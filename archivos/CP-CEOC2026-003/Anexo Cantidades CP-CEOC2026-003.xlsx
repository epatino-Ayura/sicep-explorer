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o1-my.sharepoint.com/personal/juan_villalobos_ceoesp_com/Documents/Transacciones de Energía (Compartido)/SICEP/2026/SICEP_COMPRA/CP-CEOC2026-003 (2027-2028)/"/>
    </mc:Choice>
  </mc:AlternateContent>
  <xr:revisionPtr revIDLastSave="1063" documentId="8_{C42DAE52-43AC-4F34-A024-BEFFBC0075F2}" xr6:coauthVersionLast="47" xr6:coauthVersionMax="47" xr10:uidLastSave="{DC889D2F-EC4E-463D-B1BE-6792E7272F4F}"/>
  <bookViews>
    <workbookView xWindow="-110" yWindow="-110" windowWidth="19420" windowHeight="11500" tabRatio="694" firstSheet="1" activeTab="1" xr2:uid="{292E59AB-5B41-4D56-8953-C576756F8AE6}"/>
  </bookViews>
  <sheets>
    <sheet name="Basis" sheetId="1" state="hidden" r:id="rId1"/>
    <sheet name="Prod- 1" sheetId="2" r:id="rId2"/>
    <sheet name="Cant. P0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6" i="1" l="1"/>
  <c r="H746" i="1" s="1"/>
  <c r="V792" i="1" l="1"/>
  <c r="N792" i="1"/>
  <c r="G792" i="1"/>
  <c r="F792" i="1"/>
  <c r="D792" i="1"/>
  <c r="AB791" i="1"/>
  <c r="AA791" i="1"/>
  <c r="Z791" i="1"/>
  <c r="Y791" i="1"/>
  <c r="X791" i="1"/>
  <c r="X792" i="1" s="1"/>
  <c r="W791" i="1"/>
  <c r="V791" i="1"/>
  <c r="U791" i="1"/>
  <c r="T791" i="1"/>
  <c r="S791" i="1"/>
  <c r="R791" i="1"/>
  <c r="Q791" i="1"/>
  <c r="P791" i="1"/>
  <c r="P792" i="1" s="1"/>
  <c r="O791" i="1"/>
  <c r="N791" i="1"/>
  <c r="M791" i="1"/>
  <c r="L791" i="1"/>
  <c r="K791" i="1"/>
  <c r="J791" i="1"/>
  <c r="I791" i="1"/>
  <c r="H791" i="1"/>
  <c r="H792" i="1" s="1"/>
  <c r="G791" i="1"/>
  <c r="F791" i="1"/>
  <c r="E791" i="1"/>
  <c r="AC791" i="1" s="1"/>
  <c r="AB790" i="1"/>
  <c r="AA790" i="1"/>
  <c r="Z790" i="1"/>
  <c r="Y790" i="1"/>
  <c r="Y792" i="1" s="1"/>
  <c r="X790" i="1"/>
  <c r="W790" i="1"/>
  <c r="V790" i="1"/>
  <c r="U790" i="1"/>
  <c r="T790" i="1"/>
  <c r="S790" i="1"/>
  <c r="R790" i="1"/>
  <c r="Q790" i="1"/>
  <c r="Q792" i="1" s="1"/>
  <c r="P790" i="1"/>
  <c r="O790" i="1"/>
  <c r="N790" i="1"/>
  <c r="M790" i="1"/>
  <c r="L790" i="1"/>
  <c r="K790" i="1"/>
  <c r="J790" i="1"/>
  <c r="I790" i="1"/>
  <c r="I792" i="1" s="1"/>
  <c r="H790" i="1"/>
  <c r="G790" i="1"/>
  <c r="F790" i="1"/>
  <c r="E790" i="1"/>
  <c r="AC790" i="1" s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AC789" i="1" s="1"/>
  <c r="AB788" i="1"/>
  <c r="AB792" i="1" s="1"/>
  <c r="AA788" i="1"/>
  <c r="AA792" i="1" s="1"/>
  <c r="Z788" i="1"/>
  <c r="Z792" i="1" s="1"/>
  <c r="Y788" i="1"/>
  <c r="X788" i="1"/>
  <c r="W788" i="1"/>
  <c r="W792" i="1" s="1"/>
  <c r="V788" i="1"/>
  <c r="U788" i="1"/>
  <c r="U792" i="1" s="1"/>
  <c r="T788" i="1"/>
  <c r="T792" i="1" s="1"/>
  <c r="S788" i="1"/>
  <c r="S792" i="1" s="1"/>
  <c r="R788" i="1"/>
  <c r="R792" i="1" s="1"/>
  <c r="Q788" i="1"/>
  <c r="P788" i="1"/>
  <c r="O788" i="1"/>
  <c r="O792" i="1" s="1"/>
  <c r="N788" i="1"/>
  <c r="M788" i="1"/>
  <c r="M792" i="1" s="1"/>
  <c r="L788" i="1"/>
  <c r="L792" i="1" s="1"/>
  <c r="K788" i="1"/>
  <c r="AC788" i="1" s="1"/>
  <c r="J788" i="1"/>
  <c r="J792" i="1" s="1"/>
  <c r="I788" i="1"/>
  <c r="H788" i="1"/>
  <c r="G788" i="1"/>
  <c r="F788" i="1"/>
  <c r="E788" i="1"/>
  <c r="E792" i="1" s="1"/>
  <c r="V787" i="1"/>
  <c r="U787" i="1"/>
  <c r="N787" i="1"/>
  <c r="M787" i="1"/>
  <c r="F787" i="1"/>
  <c r="E787" i="1"/>
  <c r="D787" i="1"/>
  <c r="AB786" i="1"/>
  <c r="AA786" i="1"/>
  <c r="Z786" i="1"/>
  <c r="Y786" i="1"/>
  <c r="X786" i="1"/>
  <c r="W786" i="1"/>
  <c r="W787" i="1" s="1"/>
  <c r="V786" i="1"/>
  <c r="U786" i="1"/>
  <c r="T786" i="1"/>
  <c r="S786" i="1"/>
  <c r="R786" i="1"/>
  <c r="Q786" i="1"/>
  <c r="P786" i="1"/>
  <c r="O786" i="1"/>
  <c r="O787" i="1" s="1"/>
  <c r="N786" i="1"/>
  <c r="M786" i="1"/>
  <c r="L786" i="1"/>
  <c r="K786" i="1"/>
  <c r="J786" i="1"/>
  <c r="I786" i="1"/>
  <c r="H786" i="1"/>
  <c r="G786" i="1"/>
  <c r="G787" i="1" s="1"/>
  <c r="F786" i="1"/>
  <c r="E786" i="1"/>
  <c r="AC786" i="1" s="1"/>
  <c r="AB785" i="1"/>
  <c r="AA785" i="1"/>
  <c r="Z785" i="1"/>
  <c r="Y785" i="1"/>
  <c r="X785" i="1"/>
  <c r="X787" i="1" s="1"/>
  <c r="W785" i="1"/>
  <c r="V785" i="1"/>
  <c r="U785" i="1"/>
  <c r="T785" i="1"/>
  <c r="S785" i="1"/>
  <c r="R785" i="1"/>
  <c r="Q785" i="1"/>
  <c r="P785" i="1"/>
  <c r="P787" i="1" s="1"/>
  <c r="O785" i="1"/>
  <c r="N785" i="1"/>
  <c r="M785" i="1"/>
  <c r="L785" i="1"/>
  <c r="K785" i="1"/>
  <c r="J785" i="1"/>
  <c r="I785" i="1"/>
  <c r="H785" i="1"/>
  <c r="H787" i="1" s="1"/>
  <c r="G785" i="1"/>
  <c r="F785" i="1"/>
  <c r="E785" i="1"/>
  <c r="AC785" i="1" s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AC784" i="1" s="1"/>
  <c r="AB783" i="1"/>
  <c r="AB787" i="1" s="1"/>
  <c r="AA783" i="1"/>
  <c r="AA787" i="1" s="1"/>
  <c r="Z783" i="1"/>
  <c r="Z787" i="1" s="1"/>
  <c r="Y783" i="1"/>
  <c r="Y787" i="1" s="1"/>
  <c r="X783" i="1"/>
  <c r="W783" i="1"/>
  <c r="V783" i="1"/>
  <c r="U783" i="1"/>
  <c r="T783" i="1"/>
  <c r="T787" i="1" s="1"/>
  <c r="S783" i="1"/>
  <c r="S787" i="1" s="1"/>
  <c r="R783" i="1"/>
  <c r="R787" i="1" s="1"/>
  <c r="Q783" i="1"/>
  <c r="Q787" i="1" s="1"/>
  <c r="P783" i="1"/>
  <c r="O783" i="1"/>
  <c r="N783" i="1"/>
  <c r="M783" i="1"/>
  <c r="L783" i="1"/>
  <c r="L787" i="1" s="1"/>
  <c r="K783" i="1"/>
  <c r="K787" i="1" s="1"/>
  <c r="J783" i="1"/>
  <c r="J787" i="1" s="1"/>
  <c r="I783" i="1"/>
  <c r="I787" i="1" s="1"/>
  <c r="H783" i="1"/>
  <c r="G783" i="1"/>
  <c r="F783" i="1"/>
  <c r="E783" i="1"/>
  <c r="AC783" i="1" s="1"/>
  <c r="AB782" i="1"/>
  <c r="U782" i="1"/>
  <c r="T782" i="1"/>
  <c r="M782" i="1"/>
  <c r="L782" i="1"/>
  <c r="E782" i="1"/>
  <c r="D782" i="1"/>
  <c r="AB781" i="1"/>
  <c r="AA781" i="1"/>
  <c r="Z781" i="1"/>
  <c r="Y781" i="1"/>
  <c r="X781" i="1"/>
  <c r="W781" i="1"/>
  <c r="V781" i="1"/>
  <c r="V782" i="1" s="1"/>
  <c r="U781" i="1"/>
  <c r="T781" i="1"/>
  <c r="S781" i="1"/>
  <c r="R781" i="1"/>
  <c r="Q781" i="1"/>
  <c r="P781" i="1"/>
  <c r="O781" i="1"/>
  <c r="N781" i="1"/>
  <c r="N782" i="1" s="1"/>
  <c r="M781" i="1"/>
  <c r="L781" i="1"/>
  <c r="K781" i="1"/>
  <c r="J781" i="1"/>
  <c r="I781" i="1"/>
  <c r="H781" i="1"/>
  <c r="G781" i="1"/>
  <c r="F781" i="1"/>
  <c r="F782" i="1" s="1"/>
  <c r="E781" i="1"/>
  <c r="AC781" i="1" s="1"/>
  <c r="AB780" i="1"/>
  <c r="AA780" i="1"/>
  <c r="Z780" i="1"/>
  <c r="Y780" i="1"/>
  <c r="X780" i="1"/>
  <c r="W780" i="1"/>
  <c r="W782" i="1" s="1"/>
  <c r="V780" i="1"/>
  <c r="U780" i="1"/>
  <c r="T780" i="1"/>
  <c r="S780" i="1"/>
  <c r="R780" i="1"/>
  <c r="Q780" i="1"/>
  <c r="P780" i="1"/>
  <c r="O780" i="1"/>
  <c r="O782" i="1" s="1"/>
  <c r="N780" i="1"/>
  <c r="M780" i="1"/>
  <c r="L780" i="1"/>
  <c r="K780" i="1"/>
  <c r="J780" i="1"/>
  <c r="I780" i="1"/>
  <c r="H780" i="1"/>
  <c r="G780" i="1"/>
  <c r="G782" i="1" s="1"/>
  <c r="F780" i="1"/>
  <c r="E780" i="1"/>
  <c r="AC780" i="1" s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AC779" i="1" s="1"/>
  <c r="AB778" i="1"/>
  <c r="AA778" i="1"/>
  <c r="AA782" i="1" s="1"/>
  <c r="Z778" i="1"/>
  <c r="Z782" i="1" s="1"/>
  <c r="Y778" i="1"/>
  <c r="Y782" i="1" s="1"/>
  <c r="X778" i="1"/>
  <c r="X782" i="1" s="1"/>
  <c r="W778" i="1"/>
  <c r="V778" i="1"/>
  <c r="U778" i="1"/>
  <c r="T778" i="1"/>
  <c r="S778" i="1"/>
  <c r="S782" i="1" s="1"/>
  <c r="R778" i="1"/>
  <c r="R782" i="1" s="1"/>
  <c r="Q778" i="1"/>
  <c r="Q782" i="1" s="1"/>
  <c r="P778" i="1"/>
  <c r="P782" i="1" s="1"/>
  <c r="O778" i="1"/>
  <c r="N778" i="1"/>
  <c r="M778" i="1"/>
  <c r="L778" i="1"/>
  <c r="K778" i="1"/>
  <c r="K782" i="1" s="1"/>
  <c r="J778" i="1"/>
  <c r="J782" i="1" s="1"/>
  <c r="I778" i="1"/>
  <c r="I782" i="1" s="1"/>
  <c r="H778" i="1"/>
  <c r="H782" i="1" s="1"/>
  <c r="G778" i="1"/>
  <c r="F778" i="1"/>
  <c r="E778" i="1"/>
  <c r="AC778" i="1" s="1"/>
  <c r="AB777" i="1"/>
  <c r="AA777" i="1"/>
  <c r="T777" i="1"/>
  <c r="S777" i="1"/>
  <c r="L777" i="1"/>
  <c r="K777" i="1"/>
  <c r="D777" i="1"/>
  <c r="AB776" i="1"/>
  <c r="AA776" i="1"/>
  <c r="Z776" i="1"/>
  <c r="Y776" i="1"/>
  <c r="X776" i="1"/>
  <c r="W776" i="1"/>
  <c r="V776" i="1"/>
  <c r="U776" i="1"/>
  <c r="U777" i="1" s="1"/>
  <c r="T776" i="1"/>
  <c r="S776" i="1"/>
  <c r="R776" i="1"/>
  <c r="Q776" i="1"/>
  <c r="P776" i="1"/>
  <c r="O776" i="1"/>
  <c r="N776" i="1"/>
  <c r="M776" i="1"/>
  <c r="M777" i="1" s="1"/>
  <c r="L776" i="1"/>
  <c r="K776" i="1"/>
  <c r="J776" i="1"/>
  <c r="I776" i="1"/>
  <c r="H776" i="1"/>
  <c r="G776" i="1"/>
  <c r="F776" i="1"/>
  <c r="E776" i="1"/>
  <c r="E777" i="1" s="1"/>
  <c r="AB775" i="1"/>
  <c r="AA775" i="1"/>
  <c r="Z775" i="1"/>
  <c r="Y775" i="1"/>
  <c r="X775" i="1"/>
  <c r="W775" i="1"/>
  <c r="V775" i="1"/>
  <c r="V777" i="1" s="1"/>
  <c r="U775" i="1"/>
  <c r="T775" i="1"/>
  <c r="S775" i="1"/>
  <c r="R775" i="1"/>
  <c r="Q775" i="1"/>
  <c r="P775" i="1"/>
  <c r="O775" i="1"/>
  <c r="N775" i="1"/>
  <c r="N777" i="1" s="1"/>
  <c r="M775" i="1"/>
  <c r="L775" i="1"/>
  <c r="K775" i="1"/>
  <c r="J775" i="1"/>
  <c r="I775" i="1"/>
  <c r="H775" i="1"/>
  <c r="G775" i="1"/>
  <c r="F775" i="1"/>
  <c r="F777" i="1" s="1"/>
  <c r="E775" i="1"/>
  <c r="AC775" i="1" s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AC774" i="1" s="1"/>
  <c r="AB773" i="1"/>
  <c r="AA773" i="1"/>
  <c r="Z773" i="1"/>
  <c r="Z777" i="1" s="1"/>
  <c r="Y773" i="1"/>
  <c r="Y777" i="1" s="1"/>
  <c r="X773" i="1"/>
  <c r="X777" i="1" s="1"/>
  <c r="W773" i="1"/>
  <c r="W777" i="1" s="1"/>
  <c r="V773" i="1"/>
  <c r="U773" i="1"/>
  <c r="T773" i="1"/>
  <c r="S773" i="1"/>
  <c r="R773" i="1"/>
  <c r="R777" i="1" s="1"/>
  <c r="Q773" i="1"/>
  <c r="Q777" i="1" s="1"/>
  <c r="P773" i="1"/>
  <c r="P777" i="1" s="1"/>
  <c r="O773" i="1"/>
  <c r="O777" i="1" s="1"/>
  <c r="N773" i="1"/>
  <c r="M773" i="1"/>
  <c r="L773" i="1"/>
  <c r="K773" i="1"/>
  <c r="J773" i="1"/>
  <c r="J777" i="1" s="1"/>
  <c r="I773" i="1"/>
  <c r="I777" i="1" s="1"/>
  <c r="H773" i="1"/>
  <c r="H777" i="1" s="1"/>
  <c r="G773" i="1"/>
  <c r="G777" i="1" s="1"/>
  <c r="F773" i="1"/>
  <c r="E773" i="1"/>
  <c r="AC773" i="1" s="1"/>
  <c r="Z772" i="1"/>
  <c r="S772" i="1"/>
  <c r="R772" i="1"/>
  <c r="K772" i="1"/>
  <c r="J772" i="1"/>
  <c r="D772" i="1"/>
  <c r="AB771" i="1"/>
  <c r="AB772" i="1" s="1"/>
  <c r="AA771" i="1"/>
  <c r="Z771" i="1"/>
  <c r="Y771" i="1"/>
  <c r="X771" i="1"/>
  <c r="W771" i="1"/>
  <c r="V771" i="1"/>
  <c r="U771" i="1"/>
  <c r="T771" i="1"/>
  <c r="T772" i="1" s="1"/>
  <c r="S771" i="1"/>
  <c r="R771" i="1"/>
  <c r="Q771" i="1"/>
  <c r="P771" i="1"/>
  <c r="O771" i="1"/>
  <c r="N771" i="1"/>
  <c r="M771" i="1"/>
  <c r="L771" i="1"/>
  <c r="L772" i="1" s="1"/>
  <c r="K771" i="1"/>
  <c r="J771" i="1"/>
  <c r="I771" i="1"/>
  <c r="H771" i="1"/>
  <c r="G771" i="1"/>
  <c r="F771" i="1"/>
  <c r="E771" i="1"/>
  <c r="AC771" i="1" s="1"/>
  <c r="AB770" i="1"/>
  <c r="AA770" i="1"/>
  <c r="Z770" i="1"/>
  <c r="Y770" i="1"/>
  <c r="X770" i="1"/>
  <c r="W770" i="1"/>
  <c r="V770" i="1"/>
  <c r="U770" i="1"/>
  <c r="U772" i="1" s="1"/>
  <c r="T770" i="1"/>
  <c r="S770" i="1"/>
  <c r="R770" i="1"/>
  <c r="Q770" i="1"/>
  <c r="P770" i="1"/>
  <c r="O770" i="1"/>
  <c r="N770" i="1"/>
  <c r="M770" i="1"/>
  <c r="M772" i="1" s="1"/>
  <c r="L770" i="1"/>
  <c r="K770" i="1"/>
  <c r="J770" i="1"/>
  <c r="I770" i="1"/>
  <c r="H770" i="1"/>
  <c r="G770" i="1"/>
  <c r="F770" i="1"/>
  <c r="E770" i="1"/>
  <c r="E772" i="1" s="1"/>
  <c r="AC772" i="1" s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AC769" i="1" s="1"/>
  <c r="AB768" i="1"/>
  <c r="AA768" i="1"/>
  <c r="AA772" i="1" s="1"/>
  <c r="Z768" i="1"/>
  <c r="Y768" i="1"/>
  <c r="Y772" i="1" s="1"/>
  <c r="X768" i="1"/>
  <c r="X772" i="1" s="1"/>
  <c r="W768" i="1"/>
  <c r="W772" i="1" s="1"/>
  <c r="V768" i="1"/>
  <c r="V772" i="1" s="1"/>
  <c r="U768" i="1"/>
  <c r="T768" i="1"/>
  <c r="S768" i="1"/>
  <c r="R768" i="1"/>
  <c r="Q768" i="1"/>
  <c r="Q772" i="1" s="1"/>
  <c r="P768" i="1"/>
  <c r="P772" i="1" s="1"/>
  <c r="O768" i="1"/>
  <c r="O772" i="1" s="1"/>
  <c r="N768" i="1"/>
  <c r="N772" i="1" s="1"/>
  <c r="M768" i="1"/>
  <c r="L768" i="1"/>
  <c r="K768" i="1"/>
  <c r="J768" i="1"/>
  <c r="I768" i="1"/>
  <c r="I772" i="1" s="1"/>
  <c r="H768" i="1"/>
  <c r="H772" i="1" s="1"/>
  <c r="G768" i="1"/>
  <c r="G772" i="1" s="1"/>
  <c r="F768" i="1"/>
  <c r="F772" i="1" s="1"/>
  <c r="E768" i="1"/>
  <c r="AC768" i="1" s="1"/>
  <c r="Y767" i="1"/>
  <c r="Q767" i="1"/>
  <c r="J767" i="1"/>
  <c r="I767" i="1"/>
  <c r="D767" i="1"/>
  <c r="AB766" i="1"/>
  <c r="AA766" i="1"/>
  <c r="AA767" i="1" s="1"/>
  <c r="Z766" i="1"/>
  <c r="Y766" i="1"/>
  <c r="X766" i="1"/>
  <c r="W766" i="1"/>
  <c r="V766" i="1"/>
  <c r="U766" i="1"/>
  <c r="T766" i="1"/>
  <c r="S766" i="1"/>
  <c r="S767" i="1" s="1"/>
  <c r="R766" i="1"/>
  <c r="Q766" i="1"/>
  <c r="P766" i="1"/>
  <c r="O766" i="1"/>
  <c r="N766" i="1"/>
  <c r="M766" i="1"/>
  <c r="L766" i="1"/>
  <c r="K766" i="1"/>
  <c r="K767" i="1" s="1"/>
  <c r="J766" i="1"/>
  <c r="I766" i="1"/>
  <c r="H766" i="1"/>
  <c r="G766" i="1"/>
  <c r="F766" i="1"/>
  <c r="E766" i="1"/>
  <c r="AC766" i="1" s="1"/>
  <c r="AB765" i="1"/>
  <c r="AB767" i="1" s="1"/>
  <c r="AA765" i="1"/>
  <c r="Z765" i="1"/>
  <c r="Y765" i="1"/>
  <c r="X765" i="1"/>
  <c r="W765" i="1"/>
  <c r="V765" i="1"/>
  <c r="U765" i="1"/>
  <c r="T765" i="1"/>
  <c r="T767" i="1" s="1"/>
  <c r="S765" i="1"/>
  <c r="R765" i="1"/>
  <c r="Q765" i="1"/>
  <c r="P765" i="1"/>
  <c r="O765" i="1"/>
  <c r="N765" i="1"/>
  <c r="M765" i="1"/>
  <c r="L765" i="1"/>
  <c r="L767" i="1" s="1"/>
  <c r="K765" i="1"/>
  <c r="J765" i="1"/>
  <c r="I765" i="1"/>
  <c r="H765" i="1"/>
  <c r="G765" i="1"/>
  <c r="F765" i="1"/>
  <c r="E765" i="1"/>
  <c r="AC765" i="1" s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AC764" i="1" s="1"/>
  <c r="AB763" i="1"/>
  <c r="AA763" i="1"/>
  <c r="Z763" i="1"/>
  <c r="Z767" i="1" s="1"/>
  <c r="Y763" i="1"/>
  <c r="X763" i="1"/>
  <c r="X767" i="1" s="1"/>
  <c r="W763" i="1"/>
  <c r="W767" i="1" s="1"/>
  <c r="V763" i="1"/>
  <c r="V767" i="1" s="1"/>
  <c r="U763" i="1"/>
  <c r="U767" i="1" s="1"/>
  <c r="T763" i="1"/>
  <c r="S763" i="1"/>
  <c r="R763" i="1"/>
  <c r="R767" i="1" s="1"/>
  <c r="Q763" i="1"/>
  <c r="P763" i="1"/>
  <c r="P767" i="1" s="1"/>
  <c r="O763" i="1"/>
  <c r="O767" i="1" s="1"/>
  <c r="N763" i="1"/>
  <c r="N767" i="1" s="1"/>
  <c r="M763" i="1"/>
  <c r="M767" i="1" s="1"/>
  <c r="L763" i="1"/>
  <c r="K763" i="1"/>
  <c r="J763" i="1"/>
  <c r="I763" i="1"/>
  <c r="H763" i="1"/>
  <c r="H767" i="1" s="1"/>
  <c r="G763" i="1"/>
  <c r="G767" i="1" s="1"/>
  <c r="F763" i="1"/>
  <c r="F767" i="1" s="1"/>
  <c r="E763" i="1"/>
  <c r="AC763" i="1" s="1"/>
  <c r="X762" i="1"/>
  <c r="P762" i="1"/>
  <c r="I762" i="1"/>
  <c r="H762" i="1"/>
  <c r="D762" i="1"/>
  <c r="AB761" i="1"/>
  <c r="AA761" i="1"/>
  <c r="Z761" i="1"/>
  <c r="Z762" i="1" s="1"/>
  <c r="Y761" i="1"/>
  <c r="X761" i="1"/>
  <c r="W761" i="1"/>
  <c r="V761" i="1"/>
  <c r="U761" i="1"/>
  <c r="T761" i="1"/>
  <c r="S761" i="1"/>
  <c r="R761" i="1"/>
  <c r="R762" i="1" s="1"/>
  <c r="Q761" i="1"/>
  <c r="P761" i="1"/>
  <c r="O761" i="1"/>
  <c r="N761" i="1"/>
  <c r="M761" i="1"/>
  <c r="L761" i="1"/>
  <c r="K761" i="1"/>
  <c r="J761" i="1"/>
  <c r="J762" i="1" s="1"/>
  <c r="I761" i="1"/>
  <c r="H761" i="1"/>
  <c r="G761" i="1"/>
  <c r="F761" i="1"/>
  <c r="E761" i="1"/>
  <c r="AC761" i="1" s="1"/>
  <c r="AB760" i="1"/>
  <c r="AA760" i="1"/>
  <c r="AA762" i="1" s="1"/>
  <c r="Z760" i="1"/>
  <c r="Y760" i="1"/>
  <c r="X760" i="1"/>
  <c r="W760" i="1"/>
  <c r="V760" i="1"/>
  <c r="U760" i="1"/>
  <c r="T760" i="1"/>
  <c r="S760" i="1"/>
  <c r="S762" i="1" s="1"/>
  <c r="R760" i="1"/>
  <c r="Q760" i="1"/>
  <c r="P760" i="1"/>
  <c r="O760" i="1"/>
  <c r="N760" i="1"/>
  <c r="M760" i="1"/>
  <c r="L760" i="1"/>
  <c r="K760" i="1"/>
  <c r="K762" i="1" s="1"/>
  <c r="J760" i="1"/>
  <c r="I760" i="1"/>
  <c r="H760" i="1"/>
  <c r="G760" i="1"/>
  <c r="F760" i="1"/>
  <c r="E760" i="1"/>
  <c r="AC760" i="1" s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AC759" i="1" s="1"/>
  <c r="AB758" i="1"/>
  <c r="AB762" i="1" s="1"/>
  <c r="AA758" i="1"/>
  <c r="Z758" i="1"/>
  <c r="Y758" i="1"/>
  <c r="Y762" i="1" s="1"/>
  <c r="X758" i="1"/>
  <c r="W758" i="1"/>
  <c r="W762" i="1" s="1"/>
  <c r="V758" i="1"/>
  <c r="V762" i="1" s="1"/>
  <c r="U758" i="1"/>
  <c r="U762" i="1" s="1"/>
  <c r="T758" i="1"/>
  <c r="T762" i="1" s="1"/>
  <c r="S758" i="1"/>
  <c r="R758" i="1"/>
  <c r="Q758" i="1"/>
  <c r="Q762" i="1" s="1"/>
  <c r="P758" i="1"/>
  <c r="O758" i="1"/>
  <c r="O762" i="1" s="1"/>
  <c r="N758" i="1"/>
  <c r="N762" i="1" s="1"/>
  <c r="M758" i="1"/>
  <c r="M762" i="1" s="1"/>
  <c r="L758" i="1"/>
  <c r="L762" i="1" s="1"/>
  <c r="K758" i="1"/>
  <c r="J758" i="1"/>
  <c r="I758" i="1"/>
  <c r="H758" i="1"/>
  <c r="G758" i="1"/>
  <c r="G762" i="1" s="1"/>
  <c r="F758" i="1"/>
  <c r="F762" i="1" s="1"/>
  <c r="E758" i="1"/>
  <c r="E762" i="1" s="1"/>
  <c r="W757" i="1"/>
  <c r="O757" i="1"/>
  <c r="H757" i="1"/>
  <c r="G757" i="1"/>
  <c r="D757" i="1"/>
  <c r="AB756" i="1"/>
  <c r="AA756" i="1"/>
  <c r="Z756" i="1"/>
  <c r="Y756" i="1"/>
  <c r="Y757" i="1" s="1"/>
  <c r="X756" i="1"/>
  <c r="W756" i="1"/>
  <c r="V756" i="1"/>
  <c r="U756" i="1"/>
  <c r="T756" i="1"/>
  <c r="S756" i="1"/>
  <c r="R756" i="1"/>
  <c r="Q756" i="1"/>
  <c r="Q757" i="1" s="1"/>
  <c r="P756" i="1"/>
  <c r="O756" i="1"/>
  <c r="N756" i="1"/>
  <c r="M756" i="1"/>
  <c r="L756" i="1"/>
  <c r="K756" i="1"/>
  <c r="J756" i="1"/>
  <c r="I756" i="1"/>
  <c r="I757" i="1" s="1"/>
  <c r="H756" i="1"/>
  <c r="G756" i="1"/>
  <c r="F756" i="1"/>
  <c r="E756" i="1"/>
  <c r="AC756" i="1" s="1"/>
  <c r="AB755" i="1"/>
  <c r="AA755" i="1"/>
  <c r="Z755" i="1"/>
  <c r="Z757" i="1" s="1"/>
  <c r="Y755" i="1"/>
  <c r="X755" i="1"/>
  <c r="W755" i="1"/>
  <c r="V755" i="1"/>
  <c r="U755" i="1"/>
  <c r="T755" i="1"/>
  <c r="S755" i="1"/>
  <c r="R755" i="1"/>
  <c r="R757" i="1" s="1"/>
  <c r="Q755" i="1"/>
  <c r="P755" i="1"/>
  <c r="O755" i="1"/>
  <c r="N755" i="1"/>
  <c r="M755" i="1"/>
  <c r="L755" i="1"/>
  <c r="K755" i="1"/>
  <c r="J755" i="1"/>
  <c r="J757" i="1" s="1"/>
  <c r="I755" i="1"/>
  <c r="H755" i="1"/>
  <c r="G755" i="1"/>
  <c r="F755" i="1"/>
  <c r="E755" i="1"/>
  <c r="AC755" i="1" s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AC754" i="1" s="1"/>
  <c r="AB753" i="1"/>
  <c r="AB757" i="1" s="1"/>
  <c r="AA753" i="1"/>
  <c r="AA757" i="1" s="1"/>
  <c r="Z753" i="1"/>
  <c r="Y753" i="1"/>
  <c r="X753" i="1"/>
  <c r="X757" i="1" s="1"/>
  <c r="W753" i="1"/>
  <c r="V753" i="1"/>
  <c r="V757" i="1" s="1"/>
  <c r="U753" i="1"/>
  <c r="U757" i="1" s="1"/>
  <c r="T753" i="1"/>
  <c r="T757" i="1" s="1"/>
  <c r="S753" i="1"/>
  <c r="S757" i="1" s="1"/>
  <c r="R753" i="1"/>
  <c r="Q753" i="1"/>
  <c r="P753" i="1"/>
  <c r="P757" i="1" s="1"/>
  <c r="O753" i="1"/>
  <c r="N753" i="1"/>
  <c r="N757" i="1" s="1"/>
  <c r="M753" i="1"/>
  <c r="M757" i="1" s="1"/>
  <c r="L753" i="1"/>
  <c r="L757" i="1" s="1"/>
  <c r="K753" i="1"/>
  <c r="K757" i="1" s="1"/>
  <c r="J753" i="1"/>
  <c r="I753" i="1"/>
  <c r="H753" i="1"/>
  <c r="G753" i="1"/>
  <c r="F753" i="1"/>
  <c r="F757" i="1" s="1"/>
  <c r="E753" i="1"/>
  <c r="E757" i="1" s="1"/>
  <c r="V752" i="1"/>
  <c r="N752" i="1"/>
  <c r="F752" i="1"/>
  <c r="D752" i="1"/>
  <c r="AB751" i="1"/>
  <c r="AA751" i="1"/>
  <c r="Z751" i="1"/>
  <c r="Y751" i="1"/>
  <c r="X751" i="1"/>
  <c r="X752" i="1" s="1"/>
  <c r="W751" i="1"/>
  <c r="V751" i="1"/>
  <c r="U751" i="1"/>
  <c r="T751" i="1"/>
  <c r="S751" i="1"/>
  <c r="R751" i="1"/>
  <c r="Q751" i="1"/>
  <c r="P751" i="1"/>
  <c r="P752" i="1" s="1"/>
  <c r="O751" i="1"/>
  <c r="N751" i="1"/>
  <c r="M751" i="1"/>
  <c r="L751" i="1"/>
  <c r="K751" i="1"/>
  <c r="J751" i="1"/>
  <c r="I751" i="1"/>
  <c r="H751" i="1"/>
  <c r="H752" i="1" s="1"/>
  <c r="G751" i="1"/>
  <c r="F751" i="1"/>
  <c r="E751" i="1"/>
  <c r="AC751" i="1" s="1"/>
  <c r="AB750" i="1"/>
  <c r="AA750" i="1"/>
  <c r="Z750" i="1"/>
  <c r="Y750" i="1"/>
  <c r="Y752" i="1" s="1"/>
  <c r="X750" i="1"/>
  <c r="W750" i="1"/>
  <c r="V750" i="1"/>
  <c r="U750" i="1"/>
  <c r="T750" i="1"/>
  <c r="S750" i="1"/>
  <c r="R750" i="1"/>
  <c r="Q750" i="1"/>
  <c r="Q752" i="1" s="1"/>
  <c r="P750" i="1"/>
  <c r="O750" i="1"/>
  <c r="N750" i="1"/>
  <c r="M750" i="1"/>
  <c r="L750" i="1"/>
  <c r="K750" i="1"/>
  <c r="J750" i="1"/>
  <c r="I750" i="1"/>
  <c r="I752" i="1" s="1"/>
  <c r="H750" i="1"/>
  <c r="G750" i="1"/>
  <c r="F750" i="1"/>
  <c r="E750" i="1"/>
  <c r="AC750" i="1" s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AC749" i="1" s="1"/>
  <c r="AB748" i="1"/>
  <c r="AB752" i="1" s="1"/>
  <c r="AA748" i="1"/>
  <c r="AA752" i="1" s="1"/>
  <c r="Z748" i="1"/>
  <c r="Z752" i="1" s="1"/>
  <c r="Y748" i="1"/>
  <c r="X748" i="1"/>
  <c r="W748" i="1"/>
  <c r="W752" i="1" s="1"/>
  <c r="V748" i="1"/>
  <c r="U748" i="1"/>
  <c r="U752" i="1" s="1"/>
  <c r="T748" i="1"/>
  <c r="T752" i="1" s="1"/>
  <c r="S748" i="1"/>
  <c r="S752" i="1" s="1"/>
  <c r="R748" i="1"/>
  <c r="R752" i="1" s="1"/>
  <c r="Q748" i="1"/>
  <c r="P748" i="1"/>
  <c r="O748" i="1"/>
  <c r="O752" i="1" s="1"/>
  <c r="N748" i="1"/>
  <c r="M748" i="1"/>
  <c r="M752" i="1" s="1"/>
  <c r="L748" i="1"/>
  <c r="L752" i="1" s="1"/>
  <c r="K748" i="1"/>
  <c r="K752" i="1" s="1"/>
  <c r="J748" i="1"/>
  <c r="J752" i="1" s="1"/>
  <c r="I748" i="1"/>
  <c r="H748" i="1"/>
  <c r="G748" i="1"/>
  <c r="G752" i="1" s="1"/>
  <c r="F748" i="1"/>
  <c r="E748" i="1"/>
  <c r="E752" i="1" s="1"/>
  <c r="U747" i="1"/>
  <c r="M747" i="1"/>
  <c r="E747" i="1"/>
  <c r="D747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G746" i="1"/>
  <c r="F746" i="1"/>
  <c r="E746" i="1"/>
  <c r="AC746" i="1" s="1"/>
  <c r="AB745" i="1"/>
  <c r="AA745" i="1"/>
  <c r="Z745" i="1"/>
  <c r="Y745" i="1"/>
  <c r="X745" i="1"/>
  <c r="W745" i="1"/>
  <c r="W747" i="1" s="1"/>
  <c r="V745" i="1"/>
  <c r="U745" i="1"/>
  <c r="T745" i="1"/>
  <c r="S745" i="1"/>
  <c r="R745" i="1"/>
  <c r="Q745" i="1"/>
  <c r="P745" i="1"/>
  <c r="O745" i="1"/>
  <c r="O747" i="1" s="1"/>
  <c r="N745" i="1"/>
  <c r="M745" i="1"/>
  <c r="L745" i="1"/>
  <c r="K745" i="1"/>
  <c r="J745" i="1"/>
  <c r="I745" i="1"/>
  <c r="H745" i="1"/>
  <c r="G745" i="1"/>
  <c r="G747" i="1" s="1"/>
  <c r="F745" i="1"/>
  <c r="E745" i="1"/>
  <c r="AC745" i="1" s="1"/>
  <c r="AB744" i="1"/>
  <c r="AA744" i="1"/>
  <c r="Z744" i="1"/>
  <c r="Y744" i="1"/>
  <c r="X744" i="1"/>
  <c r="X747" i="1" s="1"/>
  <c r="W744" i="1"/>
  <c r="V744" i="1"/>
  <c r="U744" i="1"/>
  <c r="T744" i="1"/>
  <c r="S744" i="1"/>
  <c r="R744" i="1"/>
  <c r="Q744" i="1"/>
  <c r="P744" i="1"/>
  <c r="P747" i="1" s="1"/>
  <c r="O744" i="1"/>
  <c r="N744" i="1"/>
  <c r="M744" i="1"/>
  <c r="L744" i="1"/>
  <c r="K744" i="1"/>
  <c r="J744" i="1"/>
  <c r="I744" i="1"/>
  <c r="H744" i="1"/>
  <c r="H747" i="1" s="1"/>
  <c r="G744" i="1"/>
  <c r="F744" i="1"/>
  <c r="E744" i="1"/>
  <c r="AC744" i="1" s="1"/>
  <c r="AB743" i="1"/>
  <c r="AB747" i="1" s="1"/>
  <c r="AA743" i="1"/>
  <c r="AA747" i="1" s="1"/>
  <c r="Z743" i="1"/>
  <c r="Z747" i="1" s="1"/>
  <c r="Y743" i="1"/>
  <c r="Y747" i="1" s="1"/>
  <c r="X743" i="1"/>
  <c r="W743" i="1"/>
  <c r="V743" i="1"/>
  <c r="V747" i="1" s="1"/>
  <c r="U743" i="1"/>
  <c r="T743" i="1"/>
  <c r="T747" i="1" s="1"/>
  <c r="S743" i="1"/>
  <c r="S747" i="1" s="1"/>
  <c r="R743" i="1"/>
  <c r="R747" i="1" s="1"/>
  <c r="Q743" i="1"/>
  <c r="Q747" i="1" s="1"/>
  <c r="P743" i="1"/>
  <c r="O743" i="1"/>
  <c r="N743" i="1"/>
  <c r="N747" i="1" s="1"/>
  <c r="M743" i="1"/>
  <c r="L743" i="1"/>
  <c r="L747" i="1" s="1"/>
  <c r="K743" i="1"/>
  <c r="K747" i="1" s="1"/>
  <c r="J743" i="1"/>
  <c r="J747" i="1" s="1"/>
  <c r="I743" i="1"/>
  <c r="I747" i="1" s="1"/>
  <c r="H743" i="1"/>
  <c r="G743" i="1"/>
  <c r="F743" i="1"/>
  <c r="F747" i="1" s="1"/>
  <c r="E743" i="1"/>
  <c r="AC743" i="1" s="1"/>
  <c r="AA742" i="1"/>
  <c r="S742" i="1"/>
  <c r="K742" i="1"/>
  <c r="D742" i="1"/>
  <c r="AB741" i="1"/>
  <c r="AA741" i="1"/>
  <c r="Z741" i="1"/>
  <c r="Y741" i="1"/>
  <c r="X741" i="1"/>
  <c r="W741" i="1"/>
  <c r="V741" i="1"/>
  <c r="U741" i="1"/>
  <c r="U742" i="1" s="1"/>
  <c r="T741" i="1"/>
  <c r="S741" i="1"/>
  <c r="R741" i="1"/>
  <c r="Q741" i="1"/>
  <c r="P741" i="1"/>
  <c r="O741" i="1"/>
  <c r="N741" i="1"/>
  <c r="M741" i="1"/>
  <c r="M742" i="1" s="1"/>
  <c r="L741" i="1"/>
  <c r="K741" i="1"/>
  <c r="J741" i="1"/>
  <c r="I741" i="1"/>
  <c r="H741" i="1"/>
  <c r="G741" i="1"/>
  <c r="F741" i="1"/>
  <c r="E741" i="1"/>
  <c r="AC741" i="1" s="1"/>
  <c r="AB740" i="1"/>
  <c r="AA740" i="1"/>
  <c r="Z740" i="1"/>
  <c r="Y740" i="1"/>
  <c r="X740" i="1"/>
  <c r="W740" i="1"/>
  <c r="V740" i="1"/>
  <c r="V742" i="1" s="1"/>
  <c r="U740" i="1"/>
  <c r="T740" i="1"/>
  <c r="S740" i="1"/>
  <c r="R740" i="1"/>
  <c r="Q740" i="1"/>
  <c r="P740" i="1"/>
  <c r="O740" i="1"/>
  <c r="N740" i="1"/>
  <c r="N742" i="1" s="1"/>
  <c r="M740" i="1"/>
  <c r="L740" i="1"/>
  <c r="K740" i="1"/>
  <c r="J740" i="1"/>
  <c r="I740" i="1"/>
  <c r="H740" i="1"/>
  <c r="G740" i="1"/>
  <c r="F740" i="1"/>
  <c r="F742" i="1" s="1"/>
  <c r="E740" i="1"/>
  <c r="AC740" i="1" s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AC739" i="1" s="1"/>
  <c r="AB738" i="1"/>
  <c r="AB742" i="1" s="1"/>
  <c r="AA738" i="1"/>
  <c r="Z738" i="1"/>
  <c r="Z742" i="1" s="1"/>
  <c r="Y738" i="1"/>
  <c r="Y742" i="1" s="1"/>
  <c r="X738" i="1"/>
  <c r="X742" i="1" s="1"/>
  <c r="W738" i="1"/>
  <c r="W742" i="1" s="1"/>
  <c r="V738" i="1"/>
  <c r="U738" i="1"/>
  <c r="T738" i="1"/>
  <c r="T742" i="1" s="1"/>
  <c r="S738" i="1"/>
  <c r="R738" i="1"/>
  <c r="R742" i="1" s="1"/>
  <c r="Q738" i="1"/>
  <c r="Q742" i="1" s="1"/>
  <c r="P738" i="1"/>
  <c r="P742" i="1" s="1"/>
  <c r="O738" i="1"/>
  <c r="O742" i="1" s="1"/>
  <c r="N738" i="1"/>
  <c r="M738" i="1"/>
  <c r="L738" i="1"/>
  <c r="L742" i="1" s="1"/>
  <c r="K738" i="1"/>
  <c r="J738" i="1"/>
  <c r="J742" i="1" s="1"/>
  <c r="I738" i="1"/>
  <c r="I742" i="1" s="1"/>
  <c r="H738" i="1"/>
  <c r="H742" i="1" s="1"/>
  <c r="G738" i="1"/>
  <c r="G742" i="1" s="1"/>
  <c r="F738" i="1"/>
  <c r="E738" i="1"/>
  <c r="AC738" i="1" s="1"/>
  <c r="Z737" i="1"/>
  <c r="R737" i="1"/>
  <c r="J737" i="1"/>
  <c r="D737" i="1"/>
  <c r="AB736" i="1"/>
  <c r="AB737" i="1" s="1"/>
  <c r="AA736" i="1"/>
  <c r="Z736" i="1"/>
  <c r="Y736" i="1"/>
  <c r="X736" i="1"/>
  <c r="W736" i="1"/>
  <c r="V736" i="1"/>
  <c r="U736" i="1"/>
  <c r="T736" i="1"/>
  <c r="T737" i="1" s="1"/>
  <c r="S736" i="1"/>
  <c r="R736" i="1"/>
  <c r="Q736" i="1"/>
  <c r="P736" i="1"/>
  <c r="O736" i="1"/>
  <c r="N736" i="1"/>
  <c r="M736" i="1"/>
  <c r="L736" i="1"/>
  <c r="L737" i="1" s="1"/>
  <c r="K736" i="1"/>
  <c r="J736" i="1"/>
  <c r="I736" i="1"/>
  <c r="H736" i="1"/>
  <c r="G736" i="1"/>
  <c r="F736" i="1"/>
  <c r="E736" i="1"/>
  <c r="AC736" i="1" s="1"/>
  <c r="AB735" i="1"/>
  <c r="AA735" i="1"/>
  <c r="Z735" i="1"/>
  <c r="Y735" i="1"/>
  <c r="X735" i="1"/>
  <c r="W735" i="1"/>
  <c r="V735" i="1"/>
  <c r="U735" i="1"/>
  <c r="U737" i="1" s="1"/>
  <c r="T735" i="1"/>
  <c r="S735" i="1"/>
  <c r="R735" i="1"/>
  <c r="Q735" i="1"/>
  <c r="P735" i="1"/>
  <c r="O735" i="1"/>
  <c r="N735" i="1"/>
  <c r="M735" i="1"/>
  <c r="M737" i="1" s="1"/>
  <c r="L735" i="1"/>
  <c r="K735" i="1"/>
  <c r="J735" i="1"/>
  <c r="I735" i="1"/>
  <c r="H735" i="1"/>
  <c r="G735" i="1"/>
  <c r="F735" i="1"/>
  <c r="E735" i="1"/>
  <c r="AC735" i="1" s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AC734" i="1" s="1"/>
  <c r="AB733" i="1"/>
  <c r="AA733" i="1"/>
  <c r="AA737" i="1" s="1"/>
  <c r="Z733" i="1"/>
  <c r="Y733" i="1"/>
  <c r="Y737" i="1" s="1"/>
  <c r="X733" i="1"/>
  <c r="X737" i="1" s="1"/>
  <c r="W733" i="1"/>
  <c r="W737" i="1" s="1"/>
  <c r="V733" i="1"/>
  <c r="V737" i="1" s="1"/>
  <c r="U733" i="1"/>
  <c r="T733" i="1"/>
  <c r="S733" i="1"/>
  <c r="S737" i="1" s="1"/>
  <c r="R733" i="1"/>
  <c r="Q733" i="1"/>
  <c r="Q737" i="1" s="1"/>
  <c r="P733" i="1"/>
  <c r="P737" i="1" s="1"/>
  <c r="O733" i="1"/>
  <c r="O737" i="1" s="1"/>
  <c r="N733" i="1"/>
  <c r="N737" i="1" s="1"/>
  <c r="M733" i="1"/>
  <c r="L733" i="1"/>
  <c r="K733" i="1"/>
  <c r="K737" i="1" s="1"/>
  <c r="J733" i="1"/>
  <c r="I733" i="1"/>
  <c r="I737" i="1" s="1"/>
  <c r="H733" i="1"/>
  <c r="H737" i="1" s="1"/>
  <c r="G733" i="1"/>
  <c r="G737" i="1" s="1"/>
  <c r="F733" i="1"/>
  <c r="F737" i="1" s="1"/>
  <c r="E733" i="1"/>
  <c r="AC733" i="1" s="1"/>
  <c r="B733" i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E673" i="1"/>
  <c r="AA732" i="1"/>
  <c r="Z732" i="1"/>
  <c r="S732" i="1"/>
  <c r="R732" i="1"/>
  <c r="K732" i="1"/>
  <c r="J732" i="1"/>
  <c r="D732" i="1"/>
  <c r="AB731" i="1"/>
  <c r="AB732" i="1" s="1"/>
  <c r="AA731" i="1"/>
  <c r="Z731" i="1"/>
  <c r="Y731" i="1"/>
  <c r="X731" i="1"/>
  <c r="W731" i="1"/>
  <c r="V731" i="1"/>
  <c r="U731" i="1"/>
  <c r="T731" i="1"/>
  <c r="T732" i="1" s="1"/>
  <c r="S731" i="1"/>
  <c r="R731" i="1"/>
  <c r="Q731" i="1"/>
  <c r="P731" i="1"/>
  <c r="O731" i="1"/>
  <c r="N731" i="1"/>
  <c r="M731" i="1"/>
  <c r="L731" i="1"/>
  <c r="L732" i="1" s="1"/>
  <c r="K731" i="1"/>
  <c r="J731" i="1"/>
  <c r="I731" i="1"/>
  <c r="H731" i="1"/>
  <c r="G731" i="1"/>
  <c r="F731" i="1"/>
  <c r="E731" i="1"/>
  <c r="AC731" i="1" s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AC730" i="1" s="1"/>
  <c r="AB729" i="1"/>
  <c r="AA729" i="1"/>
  <c r="Z729" i="1"/>
  <c r="Y729" i="1"/>
  <c r="X729" i="1"/>
  <c r="W729" i="1"/>
  <c r="V729" i="1"/>
  <c r="U729" i="1"/>
  <c r="U732" i="1" s="1"/>
  <c r="T729" i="1"/>
  <c r="S729" i="1"/>
  <c r="R729" i="1"/>
  <c r="Q729" i="1"/>
  <c r="P729" i="1"/>
  <c r="O729" i="1"/>
  <c r="N729" i="1"/>
  <c r="M729" i="1"/>
  <c r="M732" i="1" s="1"/>
  <c r="L729" i="1"/>
  <c r="K729" i="1"/>
  <c r="J729" i="1"/>
  <c r="I729" i="1"/>
  <c r="H729" i="1"/>
  <c r="G729" i="1"/>
  <c r="F729" i="1"/>
  <c r="E729" i="1"/>
  <c r="AC729" i="1" s="1"/>
  <c r="AB728" i="1"/>
  <c r="AA728" i="1"/>
  <c r="Z728" i="1"/>
  <c r="Y728" i="1"/>
  <c r="Y732" i="1" s="1"/>
  <c r="X728" i="1"/>
  <c r="X732" i="1" s="1"/>
  <c r="W728" i="1"/>
  <c r="W732" i="1" s="1"/>
  <c r="V728" i="1"/>
  <c r="U728" i="1"/>
  <c r="T728" i="1"/>
  <c r="S728" i="1"/>
  <c r="R728" i="1"/>
  <c r="Q728" i="1"/>
  <c r="Q732" i="1" s="1"/>
  <c r="P728" i="1"/>
  <c r="P732" i="1" s="1"/>
  <c r="O728" i="1"/>
  <c r="O732" i="1" s="1"/>
  <c r="N728" i="1"/>
  <c r="M728" i="1"/>
  <c r="L728" i="1"/>
  <c r="K728" i="1"/>
  <c r="J728" i="1"/>
  <c r="I728" i="1"/>
  <c r="I732" i="1" s="1"/>
  <c r="H728" i="1"/>
  <c r="H732" i="1" s="1"/>
  <c r="G728" i="1"/>
  <c r="G732" i="1" s="1"/>
  <c r="F728" i="1"/>
  <c r="F732" i="1" s="1"/>
  <c r="E728" i="1"/>
  <c r="AC728" i="1" s="1"/>
  <c r="Z727" i="1"/>
  <c r="Y727" i="1"/>
  <c r="R727" i="1"/>
  <c r="Q727" i="1"/>
  <c r="J727" i="1"/>
  <c r="I727" i="1"/>
  <c r="D727" i="1"/>
  <c r="AB726" i="1"/>
  <c r="AA726" i="1"/>
  <c r="AA727" i="1" s="1"/>
  <c r="Z726" i="1"/>
  <c r="Y726" i="1"/>
  <c r="X726" i="1"/>
  <c r="W726" i="1"/>
  <c r="V726" i="1"/>
  <c r="U726" i="1"/>
  <c r="T726" i="1"/>
  <c r="S726" i="1"/>
  <c r="S727" i="1" s="1"/>
  <c r="R726" i="1"/>
  <c r="Q726" i="1"/>
  <c r="P726" i="1"/>
  <c r="O726" i="1"/>
  <c r="N726" i="1"/>
  <c r="M726" i="1"/>
  <c r="L726" i="1"/>
  <c r="K726" i="1"/>
  <c r="K727" i="1" s="1"/>
  <c r="J726" i="1"/>
  <c r="I726" i="1"/>
  <c r="H726" i="1"/>
  <c r="G726" i="1"/>
  <c r="F726" i="1"/>
  <c r="E726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AC725" i="1" s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AC724" i="1" s="1"/>
  <c r="AB723" i="1"/>
  <c r="AA723" i="1"/>
  <c r="Z723" i="1"/>
  <c r="Y723" i="1"/>
  <c r="X723" i="1"/>
  <c r="X727" i="1" s="1"/>
  <c r="W723" i="1"/>
  <c r="W727" i="1" s="1"/>
  <c r="V723" i="1"/>
  <c r="V727" i="1" s="1"/>
  <c r="U723" i="1"/>
  <c r="U727" i="1" s="1"/>
  <c r="T723" i="1"/>
  <c r="S723" i="1"/>
  <c r="R723" i="1"/>
  <c r="Q723" i="1"/>
  <c r="P723" i="1"/>
  <c r="P727" i="1" s="1"/>
  <c r="O723" i="1"/>
  <c r="O727" i="1" s="1"/>
  <c r="N723" i="1"/>
  <c r="N727" i="1" s="1"/>
  <c r="M723" i="1"/>
  <c r="M727" i="1" s="1"/>
  <c r="L723" i="1"/>
  <c r="K723" i="1"/>
  <c r="J723" i="1"/>
  <c r="I723" i="1"/>
  <c r="H723" i="1"/>
  <c r="H727" i="1" s="1"/>
  <c r="G723" i="1"/>
  <c r="G727" i="1" s="1"/>
  <c r="F723" i="1"/>
  <c r="F727" i="1" s="1"/>
  <c r="E723" i="1"/>
  <c r="AC723" i="1" s="1"/>
  <c r="Y722" i="1"/>
  <c r="X722" i="1"/>
  <c r="Q722" i="1"/>
  <c r="P722" i="1"/>
  <c r="I722" i="1"/>
  <c r="H722" i="1"/>
  <c r="D722" i="1"/>
  <c r="AB721" i="1"/>
  <c r="AA721" i="1"/>
  <c r="Z721" i="1"/>
  <c r="Z722" i="1" s="1"/>
  <c r="Y721" i="1"/>
  <c r="X721" i="1"/>
  <c r="W721" i="1"/>
  <c r="V721" i="1"/>
  <c r="U721" i="1"/>
  <c r="T721" i="1"/>
  <c r="S721" i="1"/>
  <c r="R721" i="1"/>
  <c r="R722" i="1" s="1"/>
  <c r="Q721" i="1"/>
  <c r="P721" i="1"/>
  <c r="O721" i="1"/>
  <c r="N721" i="1"/>
  <c r="M721" i="1"/>
  <c r="L721" i="1"/>
  <c r="K721" i="1"/>
  <c r="J721" i="1"/>
  <c r="J722" i="1" s="1"/>
  <c r="I721" i="1"/>
  <c r="H721" i="1"/>
  <c r="G721" i="1"/>
  <c r="F721" i="1"/>
  <c r="E721" i="1"/>
  <c r="AC721" i="1" s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AC719" i="1" s="1"/>
  <c r="AB718" i="1"/>
  <c r="AA718" i="1"/>
  <c r="Z718" i="1"/>
  <c r="Y718" i="1"/>
  <c r="X718" i="1"/>
  <c r="W718" i="1"/>
  <c r="W722" i="1" s="1"/>
  <c r="V718" i="1"/>
  <c r="V722" i="1" s="1"/>
  <c r="U718" i="1"/>
  <c r="U722" i="1" s="1"/>
  <c r="T718" i="1"/>
  <c r="S718" i="1"/>
  <c r="R718" i="1"/>
  <c r="Q718" i="1"/>
  <c r="P718" i="1"/>
  <c r="O718" i="1"/>
  <c r="O722" i="1" s="1"/>
  <c r="N718" i="1"/>
  <c r="N722" i="1" s="1"/>
  <c r="M718" i="1"/>
  <c r="M722" i="1" s="1"/>
  <c r="L718" i="1"/>
  <c r="K718" i="1"/>
  <c r="J718" i="1"/>
  <c r="I718" i="1"/>
  <c r="H718" i="1"/>
  <c r="G718" i="1"/>
  <c r="G722" i="1" s="1"/>
  <c r="F718" i="1"/>
  <c r="F722" i="1" s="1"/>
  <c r="E718" i="1"/>
  <c r="AC718" i="1" s="1"/>
  <c r="X717" i="1"/>
  <c r="W717" i="1"/>
  <c r="P717" i="1"/>
  <c r="O717" i="1"/>
  <c r="H717" i="1"/>
  <c r="G717" i="1"/>
  <c r="D717" i="1"/>
  <c r="AB716" i="1"/>
  <c r="AA716" i="1"/>
  <c r="Z716" i="1"/>
  <c r="Y716" i="1"/>
  <c r="Y717" i="1" s="1"/>
  <c r="X716" i="1"/>
  <c r="W716" i="1"/>
  <c r="V716" i="1"/>
  <c r="U716" i="1"/>
  <c r="T716" i="1"/>
  <c r="S716" i="1"/>
  <c r="R716" i="1"/>
  <c r="Q716" i="1"/>
  <c r="Q717" i="1" s="1"/>
  <c r="P716" i="1"/>
  <c r="O716" i="1"/>
  <c r="N716" i="1"/>
  <c r="M716" i="1"/>
  <c r="L716" i="1"/>
  <c r="K716" i="1"/>
  <c r="J716" i="1"/>
  <c r="I716" i="1"/>
  <c r="I717" i="1" s="1"/>
  <c r="H716" i="1"/>
  <c r="G716" i="1"/>
  <c r="F716" i="1"/>
  <c r="E716" i="1"/>
  <c r="AC716" i="1" s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AC715" i="1" s="1"/>
  <c r="AB714" i="1"/>
  <c r="AA714" i="1"/>
  <c r="Z714" i="1"/>
  <c r="Z717" i="1" s="1"/>
  <c r="Y714" i="1"/>
  <c r="X714" i="1"/>
  <c r="W714" i="1"/>
  <c r="V714" i="1"/>
  <c r="U714" i="1"/>
  <c r="T714" i="1"/>
  <c r="S714" i="1"/>
  <c r="R714" i="1"/>
  <c r="R717" i="1" s="1"/>
  <c r="Q714" i="1"/>
  <c r="P714" i="1"/>
  <c r="O714" i="1"/>
  <c r="N714" i="1"/>
  <c r="M714" i="1"/>
  <c r="L714" i="1"/>
  <c r="K714" i="1"/>
  <c r="J714" i="1"/>
  <c r="J717" i="1" s="1"/>
  <c r="I714" i="1"/>
  <c r="H714" i="1"/>
  <c r="G714" i="1"/>
  <c r="F714" i="1"/>
  <c r="E714" i="1"/>
  <c r="AB713" i="1"/>
  <c r="AA713" i="1"/>
  <c r="Z713" i="1"/>
  <c r="Y713" i="1"/>
  <c r="X713" i="1"/>
  <c r="W713" i="1"/>
  <c r="V713" i="1"/>
  <c r="V717" i="1" s="1"/>
  <c r="U713" i="1"/>
  <c r="U717" i="1" s="1"/>
  <c r="T713" i="1"/>
  <c r="S713" i="1"/>
  <c r="R713" i="1"/>
  <c r="Q713" i="1"/>
  <c r="P713" i="1"/>
  <c r="O713" i="1"/>
  <c r="N713" i="1"/>
  <c r="N717" i="1" s="1"/>
  <c r="M713" i="1"/>
  <c r="M717" i="1" s="1"/>
  <c r="L713" i="1"/>
  <c r="K713" i="1"/>
  <c r="J713" i="1"/>
  <c r="I713" i="1"/>
  <c r="H713" i="1"/>
  <c r="G713" i="1"/>
  <c r="F713" i="1"/>
  <c r="F717" i="1" s="1"/>
  <c r="E713" i="1"/>
  <c r="E717" i="1" s="1"/>
  <c r="W712" i="1"/>
  <c r="V712" i="1"/>
  <c r="O712" i="1"/>
  <c r="N712" i="1"/>
  <c r="G712" i="1"/>
  <c r="F712" i="1"/>
  <c r="D712" i="1"/>
  <c r="AB711" i="1"/>
  <c r="AA711" i="1"/>
  <c r="Z711" i="1"/>
  <c r="Y711" i="1"/>
  <c r="X711" i="1"/>
  <c r="X712" i="1" s="1"/>
  <c r="W711" i="1"/>
  <c r="V711" i="1"/>
  <c r="U711" i="1"/>
  <c r="T711" i="1"/>
  <c r="S711" i="1"/>
  <c r="R711" i="1"/>
  <c r="Q711" i="1"/>
  <c r="P711" i="1"/>
  <c r="P712" i="1" s="1"/>
  <c r="O711" i="1"/>
  <c r="N711" i="1"/>
  <c r="M711" i="1"/>
  <c r="L711" i="1"/>
  <c r="K711" i="1"/>
  <c r="J711" i="1"/>
  <c r="I711" i="1"/>
  <c r="H711" i="1"/>
  <c r="H712" i="1" s="1"/>
  <c r="G711" i="1"/>
  <c r="F711" i="1"/>
  <c r="E711" i="1"/>
  <c r="AC711" i="1" s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AC710" i="1" s="1"/>
  <c r="AB709" i="1"/>
  <c r="AA709" i="1"/>
  <c r="Z709" i="1"/>
  <c r="Y709" i="1"/>
  <c r="Y712" i="1" s="1"/>
  <c r="X709" i="1"/>
  <c r="W709" i="1"/>
  <c r="V709" i="1"/>
  <c r="U709" i="1"/>
  <c r="T709" i="1"/>
  <c r="S709" i="1"/>
  <c r="R709" i="1"/>
  <c r="Q709" i="1"/>
  <c r="Q712" i="1" s="1"/>
  <c r="P709" i="1"/>
  <c r="O709" i="1"/>
  <c r="N709" i="1"/>
  <c r="M709" i="1"/>
  <c r="L709" i="1"/>
  <c r="K709" i="1"/>
  <c r="J709" i="1"/>
  <c r="I709" i="1"/>
  <c r="I712" i="1" s="1"/>
  <c r="H709" i="1"/>
  <c r="G709" i="1"/>
  <c r="F709" i="1"/>
  <c r="E709" i="1"/>
  <c r="AC709" i="1" s="1"/>
  <c r="AB708" i="1"/>
  <c r="AB712" i="1" s="1"/>
  <c r="AA708" i="1"/>
  <c r="AA712" i="1" s="1"/>
  <c r="Z708" i="1"/>
  <c r="Z712" i="1" s="1"/>
  <c r="Y708" i="1"/>
  <c r="X708" i="1"/>
  <c r="W708" i="1"/>
  <c r="V708" i="1"/>
  <c r="U708" i="1"/>
  <c r="U712" i="1" s="1"/>
  <c r="T708" i="1"/>
  <c r="T712" i="1" s="1"/>
  <c r="S708" i="1"/>
  <c r="S712" i="1" s="1"/>
  <c r="R708" i="1"/>
  <c r="R712" i="1" s="1"/>
  <c r="Q708" i="1"/>
  <c r="P708" i="1"/>
  <c r="O708" i="1"/>
  <c r="N708" i="1"/>
  <c r="M708" i="1"/>
  <c r="M712" i="1" s="1"/>
  <c r="L708" i="1"/>
  <c r="L712" i="1" s="1"/>
  <c r="K708" i="1"/>
  <c r="K712" i="1" s="1"/>
  <c r="J708" i="1"/>
  <c r="J712" i="1" s="1"/>
  <c r="I708" i="1"/>
  <c r="H708" i="1"/>
  <c r="G708" i="1"/>
  <c r="F708" i="1"/>
  <c r="E708" i="1"/>
  <c r="E712" i="1" s="1"/>
  <c r="V707" i="1"/>
  <c r="U707" i="1"/>
  <c r="N707" i="1"/>
  <c r="M707" i="1"/>
  <c r="F707" i="1"/>
  <c r="E707" i="1"/>
  <c r="D707" i="1"/>
  <c r="AB706" i="1"/>
  <c r="AA706" i="1"/>
  <c r="Z706" i="1"/>
  <c r="Y706" i="1"/>
  <c r="X706" i="1"/>
  <c r="W706" i="1"/>
  <c r="W707" i="1" s="1"/>
  <c r="V706" i="1"/>
  <c r="U706" i="1"/>
  <c r="T706" i="1"/>
  <c r="S706" i="1"/>
  <c r="R706" i="1"/>
  <c r="Q706" i="1"/>
  <c r="P706" i="1"/>
  <c r="O706" i="1"/>
  <c r="O707" i="1" s="1"/>
  <c r="N706" i="1"/>
  <c r="M706" i="1"/>
  <c r="L706" i="1"/>
  <c r="K706" i="1"/>
  <c r="J706" i="1"/>
  <c r="I706" i="1"/>
  <c r="H706" i="1"/>
  <c r="G706" i="1"/>
  <c r="G707" i="1" s="1"/>
  <c r="F706" i="1"/>
  <c r="E706" i="1"/>
  <c r="AC706" i="1" s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AC705" i="1" s="1"/>
  <c r="AB704" i="1"/>
  <c r="AA704" i="1"/>
  <c r="Z704" i="1"/>
  <c r="Y704" i="1"/>
  <c r="X704" i="1"/>
  <c r="X707" i="1" s="1"/>
  <c r="W704" i="1"/>
  <c r="V704" i="1"/>
  <c r="U704" i="1"/>
  <c r="T704" i="1"/>
  <c r="S704" i="1"/>
  <c r="R704" i="1"/>
  <c r="Q704" i="1"/>
  <c r="P704" i="1"/>
  <c r="P707" i="1" s="1"/>
  <c r="O704" i="1"/>
  <c r="N704" i="1"/>
  <c r="M704" i="1"/>
  <c r="L704" i="1"/>
  <c r="K704" i="1"/>
  <c r="J704" i="1"/>
  <c r="I704" i="1"/>
  <c r="H704" i="1"/>
  <c r="H707" i="1" s="1"/>
  <c r="G704" i="1"/>
  <c r="F704" i="1"/>
  <c r="E704" i="1"/>
  <c r="AC704" i="1" s="1"/>
  <c r="AB703" i="1"/>
  <c r="AB707" i="1" s="1"/>
  <c r="AA703" i="1"/>
  <c r="AA707" i="1" s="1"/>
  <c r="Z703" i="1"/>
  <c r="Z707" i="1" s="1"/>
  <c r="Y703" i="1"/>
  <c r="Y707" i="1" s="1"/>
  <c r="X703" i="1"/>
  <c r="W703" i="1"/>
  <c r="V703" i="1"/>
  <c r="U703" i="1"/>
  <c r="T703" i="1"/>
  <c r="T707" i="1" s="1"/>
  <c r="S703" i="1"/>
  <c r="S707" i="1" s="1"/>
  <c r="R703" i="1"/>
  <c r="R707" i="1" s="1"/>
  <c r="Q703" i="1"/>
  <c r="Q707" i="1" s="1"/>
  <c r="P703" i="1"/>
  <c r="O703" i="1"/>
  <c r="N703" i="1"/>
  <c r="M703" i="1"/>
  <c r="L703" i="1"/>
  <c r="L707" i="1" s="1"/>
  <c r="K703" i="1"/>
  <c r="K707" i="1" s="1"/>
  <c r="J703" i="1"/>
  <c r="J707" i="1" s="1"/>
  <c r="I703" i="1"/>
  <c r="I707" i="1" s="1"/>
  <c r="H703" i="1"/>
  <c r="G703" i="1"/>
  <c r="F703" i="1"/>
  <c r="E703" i="1"/>
  <c r="AC703" i="1" s="1"/>
  <c r="AB702" i="1"/>
  <c r="AA702" i="1"/>
  <c r="T702" i="1"/>
  <c r="S702" i="1"/>
  <c r="M702" i="1"/>
  <c r="L702" i="1"/>
  <c r="K702" i="1"/>
  <c r="E702" i="1"/>
  <c r="D702" i="1"/>
  <c r="AB701" i="1"/>
  <c r="AA701" i="1"/>
  <c r="Z701" i="1"/>
  <c r="Y701" i="1"/>
  <c r="X701" i="1"/>
  <c r="W701" i="1"/>
  <c r="V701" i="1"/>
  <c r="U701" i="1"/>
  <c r="U702" i="1" s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AC701" i="1" s="1"/>
  <c r="AB700" i="1"/>
  <c r="AA700" i="1"/>
  <c r="Z700" i="1"/>
  <c r="Y700" i="1"/>
  <c r="X700" i="1"/>
  <c r="W700" i="1"/>
  <c r="V700" i="1"/>
  <c r="V702" i="1" s="1"/>
  <c r="U700" i="1"/>
  <c r="T700" i="1"/>
  <c r="S700" i="1"/>
  <c r="R700" i="1"/>
  <c r="Q700" i="1"/>
  <c r="P700" i="1"/>
  <c r="O700" i="1"/>
  <c r="N700" i="1"/>
  <c r="N702" i="1" s="1"/>
  <c r="M700" i="1"/>
  <c r="L700" i="1"/>
  <c r="K700" i="1"/>
  <c r="J700" i="1"/>
  <c r="I700" i="1"/>
  <c r="H700" i="1"/>
  <c r="G700" i="1"/>
  <c r="F700" i="1"/>
  <c r="F702" i="1" s="1"/>
  <c r="E700" i="1"/>
  <c r="AB699" i="1"/>
  <c r="AA699" i="1"/>
  <c r="Z699" i="1"/>
  <c r="Y699" i="1"/>
  <c r="X699" i="1"/>
  <c r="W699" i="1"/>
  <c r="W702" i="1" s="1"/>
  <c r="V699" i="1"/>
  <c r="U699" i="1"/>
  <c r="T699" i="1"/>
  <c r="S699" i="1"/>
  <c r="R699" i="1"/>
  <c r="Q699" i="1"/>
  <c r="P699" i="1"/>
  <c r="O699" i="1"/>
  <c r="O702" i="1" s="1"/>
  <c r="N699" i="1"/>
  <c r="M699" i="1"/>
  <c r="L699" i="1"/>
  <c r="K699" i="1"/>
  <c r="J699" i="1"/>
  <c r="I699" i="1"/>
  <c r="H699" i="1"/>
  <c r="G699" i="1"/>
  <c r="G702" i="1" s="1"/>
  <c r="F699" i="1"/>
  <c r="E699" i="1"/>
  <c r="AB698" i="1"/>
  <c r="AA698" i="1"/>
  <c r="Z698" i="1"/>
  <c r="Z702" i="1" s="1"/>
  <c r="Y698" i="1"/>
  <c r="Y702" i="1" s="1"/>
  <c r="X698" i="1"/>
  <c r="X702" i="1" s="1"/>
  <c r="W698" i="1"/>
  <c r="V698" i="1"/>
  <c r="U698" i="1"/>
  <c r="T698" i="1"/>
  <c r="S698" i="1"/>
  <c r="R698" i="1"/>
  <c r="R702" i="1" s="1"/>
  <c r="Q698" i="1"/>
  <c r="Q702" i="1" s="1"/>
  <c r="P698" i="1"/>
  <c r="P702" i="1" s="1"/>
  <c r="O698" i="1"/>
  <c r="N698" i="1"/>
  <c r="M698" i="1"/>
  <c r="L698" i="1"/>
  <c r="K698" i="1"/>
  <c r="J698" i="1"/>
  <c r="J702" i="1" s="1"/>
  <c r="I698" i="1"/>
  <c r="I702" i="1" s="1"/>
  <c r="H698" i="1"/>
  <c r="H702" i="1" s="1"/>
  <c r="G698" i="1"/>
  <c r="F698" i="1"/>
  <c r="E698" i="1"/>
  <c r="AA697" i="1"/>
  <c r="Z697" i="1"/>
  <c r="S697" i="1"/>
  <c r="R697" i="1"/>
  <c r="K697" i="1"/>
  <c r="J697" i="1"/>
  <c r="D697" i="1"/>
  <c r="AB696" i="1"/>
  <c r="AB697" i="1" s="1"/>
  <c r="AA696" i="1"/>
  <c r="Z696" i="1"/>
  <c r="Y696" i="1"/>
  <c r="X696" i="1"/>
  <c r="W696" i="1"/>
  <c r="V696" i="1"/>
  <c r="U696" i="1"/>
  <c r="T696" i="1"/>
  <c r="T697" i="1" s="1"/>
  <c r="S696" i="1"/>
  <c r="R696" i="1"/>
  <c r="Q696" i="1"/>
  <c r="P696" i="1"/>
  <c r="O696" i="1"/>
  <c r="N696" i="1"/>
  <c r="M696" i="1"/>
  <c r="L696" i="1"/>
  <c r="L697" i="1" s="1"/>
  <c r="K696" i="1"/>
  <c r="J696" i="1"/>
  <c r="I696" i="1"/>
  <c r="H696" i="1"/>
  <c r="G696" i="1"/>
  <c r="F696" i="1"/>
  <c r="E696" i="1"/>
  <c r="AC696" i="1" s="1"/>
  <c r="AB695" i="1"/>
  <c r="AA695" i="1"/>
  <c r="Z695" i="1"/>
  <c r="Y695" i="1"/>
  <c r="X695" i="1"/>
  <c r="W695" i="1"/>
  <c r="V695" i="1"/>
  <c r="U695" i="1"/>
  <c r="U697" i="1" s="1"/>
  <c r="T695" i="1"/>
  <c r="S695" i="1"/>
  <c r="R695" i="1"/>
  <c r="Q695" i="1"/>
  <c r="P695" i="1"/>
  <c r="O695" i="1"/>
  <c r="N695" i="1"/>
  <c r="M695" i="1"/>
  <c r="M697" i="1" s="1"/>
  <c r="L695" i="1"/>
  <c r="K695" i="1"/>
  <c r="J695" i="1"/>
  <c r="I695" i="1"/>
  <c r="H695" i="1"/>
  <c r="G695" i="1"/>
  <c r="F695" i="1"/>
  <c r="E695" i="1"/>
  <c r="E697" i="1" s="1"/>
  <c r="AB694" i="1"/>
  <c r="AA694" i="1"/>
  <c r="Z694" i="1"/>
  <c r="Y694" i="1"/>
  <c r="X694" i="1"/>
  <c r="W694" i="1"/>
  <c r="V694" i="1"/>
  <c r="V697" i="1" s="1"/>
  <c r="U694" i="1"/>
  <c r="T694" i="1"/>
  <c r="S694" i="1"/>
  <c r="R694" i="1"/>
  <c r="Q694" i="1"/>
  <c r="P694" i="1"/>
  <c r="O694" i="1"/>
  <c r="N694" i="1"/>
  <c r="N697" i="1" s="1"/>
  <c r="M694" i="1"/>
  <c r="L694" i="1"/>
  <c r="K694" i="1"/>
  <c r="J694" i="1"/>
  <c r="I694" i="1"/>
  <c r="H694" i="1"/>
  <c r="G694" i="1"/>
  <c r="F694" i="1"/>
  <c r="F697" i="1" s="1"/>
  <c r="E694" i="1"/>
  <c r="AC694" i="1" s="1"/>
  <c r="AB693" i="1"/>
  <c r="AA693" i="1"/>
  <c r="Z693" i="1"/>
  <c r="Y693" i="1"/>
  <c r="Y697" i="1" s="1"/>
  <c r="X693" i="1"/>
  <c r="X697" i="1" s="1"/>
  <c r="W693" i="1"/>
  <c r="W697" i="1" s="1"/>
  <c r="V693" i="1"/>
  <c r="U693" i="1"/>
  <c r="T693" i="1"/>
  <c r="S693" i="1"/>
  <c r="R693" i="1"/>
  <c r="Q693" i="1"/>
  <c r="Q697" i="1" s="1"/>
  <c r="P693" i="1"/>
  <c r="P697" i="1" s="1"/>
  <c r="O693" i="1"/>
  <c r="O697" i="1" s="1"/>
  <c r="N693" i="1"/>
  <c r="M693" i="1"/>
  <c r="L693" i="1"/>
  <c r="K693" i="1"/>
  <c r="J693" i="1"/>
  <c r="I693" i="1"/>
  <c r="I697" i="1" s="1"/>
  <c r="H693" i="1"/>
  <c r="H697" i="1" s="1"/>
  <c r="G693" i="1"/>
  <c r="G697" i="1" s="1"/>
  <c r="F693" i="1"/>
  <c r="E693" i="1"/>
  <c r="AC693" i="1" s="1"/>
  <c r="AA692" i="1"/>
  <c r="Z692" i="1"/>
  <c r="Y692" i="1"/>
  <c r="R692" i="1"/>
  <c r="Q692" i="1"/>
  <c r="K692" i="1"/>
  <c r="J692" i="1"/>
  <c r="I692" i="1"/>
  <c r="D692" i="1"/>
  <c r="AB691" i="1"/>
  <c r="AA691" i="1"/>
  <c r="Z691" i="1"/>
  <c r="Y691" i="1"/>
  <c r="X691" i="1"/>
  <c r="W691" i="1"/>
  <c r="V691" i="1"/>
  <c r="U691" i="1"/>
  <c r="T691" i="1"/>
  <c r="S691" i="1"/>
  <c r="S692" i="1" s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AC691" i="1" s="1"/>
  <c r="AB690" i="1"/>
  <c r="AB692" i="1" s="1"/>
  <c r="AA690" i="1"/>
  <c r="Z690" i="1"/>
  <c r="Y690" i="1"/>
  <c r="X690" i="1"/>
  <c r="W690" i="1"/>
  <c r="V690" i="1"/>
  <c r="U690" i="1"/>
  <c r="T690" i="1"/>
  <c r="T692" i="1" s="1"/>
  <c r="S690" i="1"/>
  <c r="R690" i="1"/>
  <c r="Q690" i="1"/>
  <c r="P690" i="1"/>
  <c r="O690" i="1"/>
  <c r="N690" i="1"/>
  <c r="M690" i="1"/>
  <c r="L690" i="1"/>
  <c r="L692" i="1" s="1"/>
  <c r="K690" i="1"/>
  <c r="J690" i="1"/>
  <c r="I690" i="1"/>
  <c r="H690" i="1"/>
  <c r="G690" i="1"/>
  <c r="F690" i="1"/>
  <c r="E690" i="1"/>
  <c r="AC690" i="1" s="1"/>
  <c r="AB689" i="1"/>
  <c r="AA689" i="1"/>
  <c r="Z689" i="1"/>
  <c r="Y689" i="1"/>
  <c r="X689" i="1"/>
  <c r="W689" i="1"/>
  <c r="V689" i="1"/>
  <c r="U689" i="1"/>
  <c r="U692" i="1" s="1"/>
  <c r="T689" i="1"/>
  <c r="S689" i="1"/>
  <c r="R689" i="1"/>
  <c r="Q689" i="1"/>
  <c r="P689" i="1"/>
  <c r="O689" i="1"/>
  <c r="N689" i="1"/>
  <c r="M689" i="1"/>
  <c r="M692" i="1" s="1"/>
  <c r="L689" i="1"/>
  <c r="K689" i="1"/>
  <c r="J689" i="1"/>
  <c r="I689" i="1"/>
  <c r="H689" i="1"/>
  <c r="G689" i="1"/>
  <c r="F689" i="1"/>
  <c r="E689" i="1"/>
  <c r="E692" i="1" s="1"/>
  <c r="AB688" i="1"/>
  <c r="AA688" i="1"/>
  <c r="Z688" i="1"/>
  <c r="Y688" i="1"/>
  <c r="X688" i="1"/>
  <c r="X692" i="1" s="1"/>
  <c r="W688" i="1"/>
  <c r="W692" i="1" s="1"/>
  <c r="V688" i="1"/>
  <c r="V692" i="1" s="1"/>
  <c r="U688" i="1"/>
  <c r="T688" i="1"/>
  <c r="S688" i="1"/>
  <c r="R688" i="1"/>
  <c r="Q688" i="1"/>
  <c r="P688" i="1"/>
  <c r="P692" i="1" s="1"/>
  <c r="O688" i="1"/>
  <c r="O692" i="1" s="1"/>
  <c r="N688" i="1"/>
  <c r="N692" i="1" s="1"/>
  <c r="M688" i="1"/>
  <c r="L688" i="1"/>
  <c r="K688" i="1"/>
  <c r="J688" i="1"/>
  <c r="I688" i="1"/>
  <c r="H688" i="1"/>
  <c r="H692" i="1" s="1"/>
  <c r="G688" i="1"/>
  <c r="G692" i="1" s="1"/>
  <c r="F688" i="1"/>
  <c r="F692" i="1" s="1"/>
  <c r="E688" i="1"/>
  <c r="AC688" i="1" s="1"/>
  <c r="Y687" i="1"/>
  <c r="X687" i="1"/>
  <c r="R687" i="1"/>
  <c r="Q687" i="1"/>
  <c r="P687" i="1"/>
  <c r="I687" i="1"/>
  <c r="H687" i="1"/>
  <c r="D687" i="1"/>
  <c r="AB686" i="1"/>
  <c r="AA686" i="1"/>
  <c r="Z686" i="1"/>
  <c r="Z687" i="1" s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J687" i="1" s="1"/>
  <c r="I686" i="1"/>
  <c r="G686" i="1"/>
  <c r="F686" i="1"/>
  <c r="E686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AC684" i="1" s="1"/>
  <c r="AB683" i="1"/>
  <c r="AA683" i="1"/>
  <c r="Z683" i="1"/>
  <c r="Y683" i="1"/>
  <c r="X683" i="1"/>
  <c r="W683" i="1"/>
  <c r="W687" i="1" s="1"/>
  <c r="V683" i="1"/>
  <c r="U683" i="1"/>
  <c r="T683" i="1"/>
  <c r="S683" i="1"/>
  <c r="R683" i="1"/>
  <c r="Q683" i="1"/>
  <c r="P683" i="1"/>
  <c r="O683" i="1"/>
  <c r="O687" i="1" s="1"/>
  <c r="N683" i="1"/>
  <c r="M683" i="1"/>
  <c r="L683" i="1"/>
  <c r="K683" i="1"/>
  <c r="J683" i="1"/>
  <c r="I683" i="1"/>
  <c r="H683" i="1"/>
  <c r="G683" i="1"/>
  <c r="G687" i="1" s="1"/>
  <c r="F683" i="1"/>
  <c r="E683" i="1"/>
  <c r="X682" i="1"/>
  <c r="W682" i="1"/>
  <c r="P682" i="1"/>
  <c r="O682" i="1"/>
  <c r="H682" i="1"/>
  <c r="G682" i="1"/>
  <c r="D682" i="1"/>
  <c r="AB681" i="1"/>
  <c r="AA681" i="1"/>
  <c r="Z681" i="1"/>
  <c r="Y681" i="1"/>
  <c r="Y682" i="1" s="1"/>
  <c r="X681" i="1"/>
  <c r="W681" i="1"/>
  <c r="V681" i="1"/>
  <c r="U681" i="1"/>
  <c r="T681" i="1"/>
  <c r="S681" i="1"/>
  <c r="R681" i="1"/>
  <c r="Q681" i="1"/>
  <c r="Q682" i="1" s="1"/>
  <c r="P681" i="1"/>
  <c r="O681" i="1"/>
  <c r="N681" i="1"/>
  <c r="M681" i="1"/>
  <c r="L681" i="1"/>
  <c r="K681" i="1"/>
  <c r="J681" i="1"/>
  <c r="I681" i="1"/>
  <c r="I682" i="1" s="1"/>
  <c r="H681" i="1"/>
  <c r="G681" i="1"/>
  <c r="F681" i="1"/>
  <c r="E681" i="1"/>
  <c r="AB680" i="1"/>
  <c r="AA680" i="1"/>
  <c r="Z680" i="1"/>
  <c r="Z682" i="1" s="1"/>
  <c r="Y680" i="1"/>
  <c r="X680" i="1"/>
  <c r="W680" i="1"/>
  <c r="V680" i="1"/>
  <c r="U680" i="1"/>
  <c r="T680" i="1"/>
  <c r="S680" i="1"/>
  <c r="R680" i="1"/>
  <c r="R682" i="1" s="1"/>
  <c r="Q680" i="1"/>
  <c r="P680" i="1"/>
  <c r="O680" i="1"/>
  <c r="N680" i="1"/>
  <c r="M680" i="1"/>
  <c r="L680" i="1"/>
  <c r="K680" i="1"/>
  <c r="J680" i="1"/>
  <c r="J682" i="1" s="1"/>
  <c r="I680" i="1"/>
  <c r="H680" i="1"/>
  <c r="G680" i="1"/>
  <c r="F680" i="1"/>
  <c r="E680" i="1"/>
  <c r="AB679" i="1"/>
  <c r="AA679" i="1"/>
  <c r="AA682" i="1" s="1"/>
  <c r="Z679" i="1"/>
  <c r="Y679" i="1"/>
  <c r="X679" i="1"/>
  <c r="W679" i="1"/>
  <c r="V679" i="1"/>
  <c r="U679" i="1"/>
  <c r="T679" i="1"/>
  <c r="S679" i="1"/>
  <c r="S682" i="1" s="1"/>
  <c r="R679" i="1"/>
  <c r="Q679" i="1"/>
  <c r="P679" i="1"/>
  <c r="O679" i="1"/>
  <c r="N679" i="1"/>
  <c r="M679" i="1"/>
  <c r="L679" i="1"/>
  <c r="K679" i="1"/>
  <c r="K682" i="1" s="1"/>
  <c r="J679" i="1"/>
  <c r="I679" i="1"/>
  <c r="H679" i="1"/>
  <c r="G679" i="1"/>
  <c r="F679" i="1"/>
  <c r="E679" i="1"/>
  <c r="AC679" i="1" s="1"/>
  <c r="AB678" i="1"/>
  <c r="AB682" i="1" s="1"/>
  <c r="AA678" i="1"/>
  <c r="Z678" i="1"/>
  <c r="Y678" i="1"/>
  <c r="X678" i="1"/>
  <c r="W678" i="1"/>
  <c r="V678" i="1"/>
  <c r="V682" i="1" s="1"/>
  <c r="U678" i="1"/>
  <c r="T678" i="1"/>
  <c r="T682" i="1" s="1"/>
  <c r="S678" i="1"/>
  <c r="R678" i="1"/>
  <c r="Q678" i="1"/>
  <c r="P678" i="1"/>
  <c r="O678" i="1"/>
  <c r="N678" i="1"/>
  <c r="N682" i="1" s="1"/>
  <c r="M678" i="1"/>
  <c r="L678" i="1"/>
  <c r="L682" i="1" s="1"/>
  <c r="K678" i="1"/>
  <c r="J678" i="1"/>
  <c r="I678" i="1"/>
  <c r="H678" i="1"/>
  <c r="G678" i="1"/>
  <c r="F678" i="1"/>
  <c r="F682" i="1" s="1"/>
  <c r="E678" i="1"/>
  <c r="B678" i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X677" i="1"/>
  <c r="W677" i="1"/>
  <c r="V677" i="1"/>
  <c r="O677" i="1"/>
  <c r="G677" i="1"/>
  <c r="F677" i="1"/>
  <c r="D677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P677" i="1" s="1"/>
  <c r="O676" i="1"/>
  <c r="N676" i="1"/>
  <c r="M676" i="1"/>
  <c r="L676" i="1"/>
  <c r="K676" i="1"/>
  <c r="J676" i="1"/>
  <c r="I676" i="1"/>
  <c r="H676" i="1"/>
  <c r="H677" i="1" s="1"/>
  <c r="G676" i="1"/>
  <c r="F676" i="1"/>
  <c r="E676" i="1"/>
  <c r="AC676" i="1" s="1"/>
  <c r="AB675" i="1"/>
  <c r="AA675" i="1"/>
  <c r="Z675" i="1"/>
  <c r="Y675" i="1"/>
  <c r="Y677" i="1" s="1"/>
  <c r="X675" i="1"/>
  <c r="W675" i="1"/>
  <c r="V675" i="1"/>
  <c r="U675" i="1"/>
  <c r="T675" i="1"/>
  <c r="S675" i="1"/>
  <c r="R675" i="1"/>
  <c r="Q675" i="1"/>
  <c r="Q677" i="1" s="1"/>
  <c r="P675" i="1"/>
  <c r="O675" i="1"/>
  <c r="N675" i="1"/>
  <c r="M675" i="1"/>
  <c r="L675" i="1"/>
  <c r="K675" i="1"/>
  <c r="J675" i="1"/>
  <c r="I675" i="1"/>
  <c r="I677" i="1" s="1"/>
  <c r="H675" i="1"/>
  <c r="G675" i="1"/>
  <c r="F675" i="1"/>
  <c r="E675" i="1"/>
  <c r="AC675" i="1" s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AC674" i="1" s="1"/>
  <c r="AB673" i="1"/>
  <c r="AA673" i="1"/>
  <c r="AA677" i="1" s="1"/>
  <c r="Z673" i="1"/>
  <c r="Z677" i="1" s="1"/>
  <c r="Y673" i="1"/>
  <c r="X673" i="1"/>
  <c r="W673" i="1"/>
  <c r="V673" i="1"/>
  <c r="U673" i="1"/>
  <c r="U677" i="1" s="1"/>
  <c r="T673" i="1"/>
  <c r="S673" i="1"/>
  <c r="S677" i="1" s="1"/>
  <c r="R673" i="1"/>
  <c r="R677" i="1" s="1"/>
  <c r="Q673" i="1"/>
  <c r="P673" i="1"/>
  <c r="O673" i="1"/>
  <c r="N673" i="1"/>
  <c r="N677" i="1" s="1"/>
  <c r="M673" i="1"/>
  <c r="M677" i="1" s="1"/>
  <c r="L673" i="1"/>
  <c r="K673" i="1"/>
  <c r="K677" i="1" s="1"/>
  <c r="J673" i="1"/>
  <c r="J677" i="1" s="1"/>
  <c r="I673" i="1"/>
  <c r="H673" i="1"/>
  <c r="G673" i="1"/>
  <c r="F673" i="1"/>
  <c r="E677" i="1"/>
  <c r="B673" i="1"/>
  <c r="E110" i="2"/>
  <c r="D2" i="2"/>
  <c r="C106" i="2"/>
  <c r="E9" i="3"/>
  <c r="AC747" i="1" l="1"/>
  <c r="AC757" i="1"/>
  <c r="AC752" i="1"/>
  <c r="AC787" i="1"/>
  <c r="AC762" i="1"/>
  <c r="AC777" i="1"/>
  <c r="AC782" i="1"/>
  <c r="AC758" i="1"/>
  <c r="AC770" i="1"/>
  <c r="AC776" i="1"/>
  <c r="AC753" i="1"/>
  <c r="AC748" i="1"/>
  <c r="E737" i="1"/>
  <c r="AC737" i="1" s="1"/>
  <c r="E742" i="1"/>
  <c r="AC742" i="1" s="1"/>
  <c r="E767" i="1"/>
  <c r="AC767" i="1" s="1"/>
  <c r="K792" i="1"/>
  <c r="AC792" i="1" s="1"/>
  <c r="AC707" i="1"/>
  <c r="AC702" i="1"/>
  <c r="AC695" i="1"/>
  <c r="AC714" i="1"/>
  <c r="AC720" i="1"/>
  <c r="N732" i="1"/>
  <c r="V732" i="1"/>
  <c r="E682" i="1"/>
  <c r="AC682" i="1" s="1"/>
  <c r="M682" i="1"/>
  <c r="U682" i="1"/>
  <c r="AC678" i="1"/>
  <c r="AC713" i="1"/>
  <c r="AC726" i="1"/>
  <c r="AC692" i="1"/>
  <c r="AC689" i="1"/>
  <c r="AC680" i="1"/>
  <c r="AC681" i="1"/>
  <c r="AC698" i="1"/>
  <c r="AC699" i="1"/>
  <c r="AC700" i="1"/>
  <c r="L677" i="1"/>
  <c r="T677" i="1"/>
  <c r="AB677" i="1"/>
  <c r="AC697" i="1"/>
  <c r="AC673" i="1"/>
  <c r="E687" i="1"/>
  <c r="M687" i="1"/>
  <c r="U687" i="1"/>
  <c r="AC683" i="1"/>
  <c r="L687" i="1"/>
  <c r="T687" i="1"/>
  <c r="AB687" i="1"/>
  <c r="K687" i="1"/>
  <c r="S687" i="1"/>
  <c r="AA687" i="1"/>
  <c r="K717" i="1"/>
  <c r="S717" i="1"/>
  <c r="AA717" i="1"/>
  <c r="K722" i="1"/>
  <c r="S722" i="1"/>
  <c r="AA722" i="1"/>
  <c r="AC686" i="1"/>
  <c r="AC712" i="1"/>
  <c r="F687" i="1"/>
  <c r="N687" i="1"/>
  <c r="V687" i="1"/>
  <c r="L717" i="1"/>
  <c r="T717" i="1"/>
  <c r="AB717" i="1"/>
  <c r="L722" i="1"/>
  <c r="T722" i="1"/>
  <c r="AB722" i="1"/>
  <c r="L727" i="1"/>
  <c r="T727" i="1"/>
  <c r="AB727" i="1"/>
  <c r="E727" i="1"/>
  <c r="E732" i="1"/>
  <c r="E722" i="1"/>
  <c r="AC708" i="1"/>
  <c r="AC677" i="1" l="1"/>
  <c r="AC717" i="1"/>
  <c r="AC722" i="1"/>
  <c r="AC687" i="1"/>
  <c r="AC732" i="1"/>
  <c r="AC727" i="1"/>
  <c r="E10" i="2" l="1"/>
  <c r="I22" i="2"/>
  <c r="I23" i="2"/>
  <c r="I24" i="2"/>
  <c r="I25" i="2"/>
  <c r="I26" i="2"/>
  <c r="I27" i="2"/>
  <c r="I28" i="2"/>
  <c r="I29" i="2"/>
  <c r="I30" i="2"/>
  <c r="I31" i="2"/>
  <c r="I32" i="2"/>
  <c r="I33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34" i="2"/>
  <c r="E547" i="3"/>
  <c r="E546" i="3"/>
  <c r="E545" i="3"/>
  <c r="E544" i="3"/>
  <c r="E543" i="3"/>
  <c r="E542" i="3"/>
  <c r="E541" i="3"/>
  <c r="E540" i="3"/>
  <c r="E539" i="3"/>
  <c r="E537" i="3"/>
  <c r="E536" i="3"/>
  <c r="E535" i="3"/>
  <c r="E534" i="3"/>
  <c r="E538" i="3" s="1"/>
  <c r="E532" i="3"/>
  <c r="E531" i="3"/>
  <c r="E530" i="3"/>
  <c r="E529" i="3"/>
  <c r="E527" i="3"/>
  <c r="E526" i="3"/>
  <c r="E525" i="3"/>
  <c r="E524" i="3"/>
  <c r="E528" i="3" s="1"/>
  <c r="E523" i="3"/>
  <c r="E522" i="3"/>
  <c r="E521" i="3"/>
  <c r="E520" i="3"/>
  <c r="E519" i="3"/>
  <c r="E517" i="3"/>
  <c r="E516" i="3"/>
  <c r="E515" i="3"/>
  <c r="E514" i="3"/>
  <c r="E518" i="3" s="1"/>
  <c r="E512" i="3"/>
  <c r="E511" i="3"/>
  <c r="E510" i="3"/>
  <c r="E509" i="3"/>
  <c r="E507" i="3"/>
  <c r="E506" i="3"/>
  <c r="E505" i="3"/>
  <c r="E504" i="3"/>
  <c r="E503" i="3"/>
  <c r="E502" i="3"/>
  <c r="E501" i="3"/>
  <c r="E500" i="3"/>
  <c r="E499" i="3"/>
  <c r="E497" i="3"/>
  <c r="E496" i="3"/>
  <c r="E495" i="3"/>
  <c r="E494" i="3"/>
  <c r="E492" i="3"/>
  <c r="E491" i="3"/>
  <c r="E490" i="3"/>
  <c r="E489" i="3"/>
  <c r="E487" i="3"/>
  <c r="E486" i="3"/>
  <c r="E485" i="3"/>
  <c r="E484" i="3"/>
  <c r="E482" i="3"/>
  <c r="E481" i="3"/>
  <c r="E480" i="3"/>
  <c r="E479" i="3"/>
  <c r="E483" i="3" s="1"/>
  <c r="E477" i="3"/>
  <c r="E476" i="3"/>
  <c r="E475" i="3"/>
  <c r="E474" i="3"/>
  <c r="E472" i="3"/>
  <c r="E471" i="3"/>
  <c r="E470" i="3"/>
  <c r="E469" i="3"/>
  <c r="E473" i="3" s="1"/>
  <c r="E467" i="3"/>
  <c r="E466" i="3"/>
  <c r="E465" i="3"/>
  <c r="E464" i="3"/>
  <c r="E468" i="3" s="1"/>
  <c r="E463" i="3"/>
  <c r="E462" i="3"/>
  <c r="E461" i="3"/>
  <c r="E460" i="3"/>
  <c r="E459" i="3"/>
  <c r="E458" i="3"/>
  <c r="E457" i="3"/>
  <c r="E456" i="3"/>
  <c r="E455" i="3"/>
  <c r="E454" i="3"/>
  <c r="E452" i="3"/>
  <c r="E451" i="3"/>
  <c r="E450" i="3"/>
  <c r="E449" i="3"/>
  <c r="E453" i="3" s="1"/>
  <c r="E447" i="3"/>
  <c r="E446" i="3"/>
  <c r="E445" i="3"/>
  <c r="E444" i="3"/>
  <c r="E442" i="3"/>
  <c r="E441" i="3"/>
  <c r="E440" i="3"/>
  <c r="E439" i="3"/>
  <c r="E437" i="3"/>
  <c r="E436" i="3"/>
  <c r="E435" i="3"/>
  <c r="E434" i="3"/>
  <c r="E438" i="3" s="1"/>
  <c r="E432" i="3"/>
  <c r="E431" i="3"/>
  <c r="E430" i="3"/>
  <c r="E429" i="3"/>
  <c r="E427" i="3"/>
  <c r="E426" i="3"/>
  <c r="E425" i="3"/>
  <c r="E424" i="3"/>
  <c r="E428" i="3" s="1"/>
  <c r="E422" i="3"/>
  <c r="E421" i="3"/>
  <c r="E420" i="3"/>
  <c r="E419" i="3"/>
  <c r="E423" i="3" s="1"/>
  <c r="E417" i="3"/>
  <c r="E416" i="3"/>
  <c r="E415" i="3"/>
  <c r="E414" i="3"/>
  <c r="E412" i="3"/>
  <c r="E411" i="3"/>
  <c r="E410" i="3"/>
  <c r="E409" i="3"/>
  <c r="E408" i="3"/>
  <c r="E407" i="3"/>
  <c r="E406" i="3"/>
  <c r="E405" i="3"/>
  <c r="E404" i="3"/>
  <c r="E402" i="3"/>
  <c r="E401" i="3"/>
  <c r="E400" i="3"/>
  <c r="E399" i="3"/>
  <c r="E403" i="3" s="1"/>
  <c r="E397" i="3"/>
  <c r="E396" i="3"/>
  <c r="E395" i="3"/>
  <c r="E394" i="3"/>
  <c r="E392" i="3"/>
  <c r="E391" i="3"/>
  <c r="E390" i="3"/>
  <c r="E389" i="3"/>
  <c r="E387" i="3"/>
  <c r="E386" i="3"/>
  <c r="E385" i="3"/>
  <c r="E384" i="3"/>
  <c r="E382" i="3"/>
  <c r="E381" i="3"/>
  <c r="E380" i="3"/>
  <c r="E379" i="3"/>
  <c r="E378" i="3"/>
  <c r="E377" i="3"/>
  <c r="E376" i="3"/>
  <c r="E375" i="3"/>
  <c r="E374" i="3"/>
  <c r="E372" i="3"/>
  <c r="E371" i="3"/>
  <c r="E370" i="3"/>
  <c r="E369" i="3"/>
  <c r="E373" i="3" s="1"/>
  <c r="E367" i="3"/>
  <c r="E366" i="3"/>
  <c r="E365" i="3"/>
  <c r="E368" i="3" s="1"/>
  <c r="E364" i="3"/>
  <c r="E363" i="3"/>
  <c r="E362" i="3"/>
  <c r="E361" i="3"/>
  <c r="E360" i="3"/>
  <c r="E359" i="3"/>
  <c r="E357" i="3"/>
  <c r="E356" i="3"/>
  <c r="E355" i="3"/>
  <c r="E354" i="3"/>
  <c r="E352" i="3"/>
  <c r="E351" i="3"/>
  <c r="E350" i="3"/>
  <c r="E349" i="3"/>
  <c r="E347" i="3"/>
  <c r="E346" i="3"/>
  <c r="E345" i="3"/>
  <c r="E344" i="3"/>
  <c r="E348" i="3" s="1"/>
  <c r="E342" i="3"/>
  <c r="E341" i="3"/>
  <c r="E340" i="3"/>
  <c r="E339" i="3"/>
  <c r="E343" i="3" s="1"/>
  <c r="E337" i="3"/>
  <c r="E336" i="3"/>
  <c r="E335" i="3"/>
  <c r="E334" i="3"/>
  <c r="E332" i="3"/>
  <c r="E331" i="3"/>
  <c r="E330" i="3"/>
  <c r="E329" i="3"/>
  <c r="E327" i="3"/>
  <c r="E326" i="3"/>
  <c r="E325" i="3"/>
  <c r="E324" i="3"/>
  <c r="E322" i="3"/>
  <c r="E321" i="3"/>
  <c r="E320" i="3"/>
  <c r="E319" i="3"/>
  <c r="E317" i="3"/>
  <c r="E316" i="3"/>
  <c r="E315" i="3"/>
  <c r="E314" i="3"/>
  <c r="E318" i="3" s="1"/>
  <c r="E312" i="3"/>
  <c r="E311" i="3"/>
  <c r="E310" i="3"/>
  <c r="E309" i="3"/>
  <c r="E313" i="3" s="1"/>
  <c r="E433" i="3" l="1"/>
  <c r="E498" i="3"/>
  <c r="E493" i="3"/>
  <c r="E508" i="3"/>
  <c r="E513" i="3"/>
  <c r="E533" i="3"/>
  <c r="E548" i="3"/>
  <c r="E443" i="3"/>
  <c r="E448" i="3"/>
  <c r="E478" i="3"/>
  <c r="E488" i="3"/>
  <c r="E383" i="3"/>
  <c r="E388" i="3"/>
  <c r="E393" i="3"/>
  <c r="E418" i="3"/>
  <c r="E398" i="3"/>
  <c r="E413" i="3"/>
  <c r="E323" i="3"/>
  <c r="E333" i="3"/>
  <c r="E328" i="3"/>
  <c r="E338" i="3"/>
  <c r="E358" i="3"/>
  <c r="E353" i="3"/>
  <c r="D572" i="1"/>
  <c r="D567" i="1"/>
  <c r="D562" i="1"/>
  <c r="D557" i="1"/>
  <c r="D552" i="1"/>
  <c r="D547" i="1"/>
  <c r="D542" i="1"/>
  <c r="D537" i="1"/>
  <c r="D532" i="1"/>
  <c r="D527" i="1"/>
  <c r="D522" i="1"/>
  <c r="D517" i="1"/>
  <c r="D512" i="1"/>
  <c r="D507" i="1"/>
  <c r="D502" i="1"/>
  <c r="D497" i="1"/>
  <c r="D492" i="1"/>
  <c r="D487" i="1"/>
  <c r="D482" i="1"/>
  <c r="D477" i="1"/>
  <c r="D472" i="1"/>
  <c r="D467" i="1"/>
  <c r="D462" i="1"/>
  <c r="D457" i="1"/>
  <c r="V672" i="1" l="1"/>
  <c r="O672" i="1"/>
  <c r="N672" i="1"/>
  <c r="G672" i="1"/>
  <c r="F672" i="1"/>
  <c r="D672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AC671" i="1" s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AC670" i="1" s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C669" i="1" s="1"/>
  <c r="AB668" i="1"/>
  <c r="AB672" i="1" s="1"/>
  <c r="AA668" i="1"/>
  <c r="AA672" i="1" s="1"/>
  <c r="Z668" i="1"/>
  <c r="Z672" i="1" s="1"/>
  <c r="Y668" i="1"/>
  <c r="Y672" i="1" s="1"/>
  <c r="X668" i="1"/>
  <c r="X672" i="1" s="1"/>
  <c r="W668" i="1"/>
  <c r="W672" i="1" s="1"/>
  <c r="V668" i="1"/>
  <c r="U668" i="1"/>
  <c r="U672" i="1" s="1"/>
  <c r="T668" i="1"/>
  <c r="T672" i="1" s="1"/>
  <c r="S668" i="1"/>
  <c r="S672" i="1" s="1"/>
  <c r="R668" i="1"/>
  <c r="R672" i="1" s="1"/>
  <c r="Q668" i="1"/>
  <c r="Q672" i="1" s="1"/>
  <c r="P668" i="1"/>
  <c r="P672" i="1" s="1"/>
  <c r="O668" i="1"/>
  <c r="N668" i="1"/>
  <c r="M668" i="1"/>
  <c r="M672" i="1" s="1"/>
  <c r="L668" i="1"/>
  <c r="L672" i="1" s="1"/>
  <c r="K668" i="1"/>
  <c r="K672" i="1" s="1"/>
  <c r="J668" i="1"/>
  <c r="J672" i="1" s="1"/>
  <c r="I668" i="1"/>
  <c r="I672" i="1" s="1"/>
  <c r="H668" i="1"/>
  <c r="H672" i="1" s="1"/>
  <c r="G668" i="1"/>
  <c r="F668" i="1"/>
  <c r="E668" i="1"/>
  <c r="E672" i="1" s="1"/>
  <c r="V667" i="1"/>
  <c r="U667" i="1"/>
  <c r="N667" i="1"/>
  <c r="M667" i="1"/>
  <c r="F667" i="1"/>
  <c r="E667" i="1"/>
  <c r="D667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AC666" i="1" s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AC665" i="1" s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AC664" i="1" s="1"/>
  <c r="AB663" i="1"/>
  <c r="AB667" i="1" s="1"/>
  <c r="AA663" i="1"/>
  <c r="AA667" i="1" s="1"/>
  <c r="Z663" i="1"/>
  <c r="Z667" i="1" s="1"/>
  <c r="Y663" i="1"/>
  <c r="Y667" i="1" s="1"/>
  <c r="X663" i="1"/>
  <c r="X667" i="1" s="1"/>
  <c r="W663" i="1"/>
  <c r="W667" i="1" s="1"/>
  <c r="V663" i="1"/>
  <c r="U663" i="1"/>
  <c r="T663" i="1"/>
  <c r="T667" i="1" s="1"/>
  <c r="S663" i="1"/>
  <c r="S667" i="1" s="1"/>
  <c r="R663" i="1"/>
  <c r="R667" i="1" s="1"/>
  <c r="Q663" i="1"/>
  <c r="Q667" i="1" s="1"/>
  <c r="P663" i="1"/>
  <c r="P667" i="1" s="1"/>
  <c r="O663" i="1"/>
  <c r="O667" i="1" s="1"/>
  <c r="N663" i="1"/>
  <c r="M663" i="1"/>
  <c r="L663" i="1"/>
  <c r="L667" i="1" s="1"/>
  <c r="K663" i="1"/>
  <c r="K667" i="1" s="1"/>
  <c r="J663" i="1"/>
  <c r="J667" i="1" s="1"/>
  <c r="I663" i="1"/>
  <c r="I667" i="1" s="1"/>
  <c r="H663" i="1"/>
  <c r="H667" i="1" s="1"/>
  <c r="G663" i="1"/>
  <c r="G667" i="1" s="1"/>
  <c r="F663" i="1"/>
  <c r="E663" i="1"/>
  <c r="AC663" i="1" s="1"/>
  <c r="AB662" i="1"/>
  <c r="U662" i="1"/>
  <c r="T662" i="1"/>
  <c r="M662" i="1"/>
  <c r="L662" i="1"/>
  <c r="E662" i="1"/>
  <c r="D662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AC661" i="1" s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AC660" i="1" s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AC659" i="1" s="1"/>
  <c r="AB658" i="1"/>
  <c r="AA658" i="1"/>
  <c r="AA662" i="1" s="1"/>
  <c r="Z658" i="1"/>
  <c r="Z662" i="1" s="1"/>
  <c r="Y658" i="1"/>
  <c r="Y662" i="1" s="1"/>
  <c r="X658" i="1"/>
  <c r="X662" i="1" s="1"/>
  <c r="W658" i="1"/>
  <c r="W662" i="1" s="1"/>
  <c r="V658" i="1"/>
  <c r="V662" i="1" s="1"/>
  <c r="U658" i="1"/>
  <c r="T658" i="1"/>
  <c r="S658" i="1"/>
  <c r="S662" i="1" s="1"/>
  <c r="R658" i="1"/>
  <c r="R662" i="1" s="1"/>
  <c r="Q658" i="1"/>
  <c r="Q662" i="1" s="1"/>
  <c r="P658" i="1"/>
  <c r="P662" i="1" s="1"/>
  <c r="O658" i="1"/>
  <c r="O662" i="1" s="1"/>
  <c r="N658" i="1"/>
  <c r="N662" i="1" s="1"/>
  <c r="M658" i="1"/>
  <c r="L658" i="1"/>
  <c r="K658" i="1"/>
  <c r="K662" i="1" s="1"/>
  <c r="J658" i="1"/>
  <c r="J662" i="1" s="1"/>
  <c r="I658" i="1"/>
  <c r="I662" i="1" s="1"/>
  <c r="H658" i="1"/>
  <c r="H662" i="1" s="1"/>
  <c r="G658" i="1"/>
  <c r="G662" i="1" s="1"/>
  <c r="F658" i="1"/>
  <c r="F662" i="1" s="1"/>
  <c r="E658" i="1"/>
  <c r="AC658" i="1" s="1"/>
  <c r="AB657" i="1"/>
  <c r="AA657" i="1"/>
  <c r="T657" i="1"/>
  <c r="S657" i="1"/>
  <c r="L657" i="1"/>
  <c r="K657" i="1"/>
  <c r="D657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AC656" i="1" s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AC655" i="1" s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AC654" i="1" s="1"/>
  <c r="AB653" i="1"/>
  <c r="AA653" i="1"/>
  <c r="Z653" i="1"/>
  <c r="Z657" i="1" s="1"/>
  <c r="Y653" i="1"/>
  <c r="Y657" i="1" s="1"/>
  <c r="X653" i="1"/>
  <c r="X657" i="1" s="1"/>
  <c r="W653" i="1"/>
  <c r="W657" i="1" s="1"/>
  <c r="V653" i="1"/>
  <c r="V657" i="1" s="1"/>
  <c r="U653" i="1"/>
  <c r="U657" i="1" s="1"/>
  <c r="T653" i="1"/>
  <c r="S653" i="1"/>
  <c r="R653" i="1"/>
  <c r="R657" i="1" s="1"/>
  <c r="Q653" i="1"/>
  <c r="Q657" i="1" s="1"/>
  <c r="P653" i="1"/>
  <c r="P657" i="1" s="1"/>
  <c r="O653" i="1"/>
  <c r="O657" i="1" s="1"/>
  <c r="N653" i="1"/>
  <c r="N657" i="1" s="1"/>
  <c r="M653" i="1"/>
  <c r="M657" i="1" s="1"/>
  <c r="L653" i="1"/>
  <c r="K653" i="1"/>
  <c r="J653" i="1"/>
  <c r="J657" i="1" s="1"/>
  <c r="I653" i="1"/>
  <c r="I657" i="1" s="1"/>
  <c r="H653" i="1"/>
  <c r="H657" i="1" s="1"/>
  <c r="G653" i="1"/>
  <c r="G657" i="1" s="1"/>
  <c r="F653" i="1"/>
  <c r="F657" i="1" s="1"/>
  <c r="E653" i="1"/>
  <c r="AC653" i="1" s="1"/>
  <c r="AA652" i="1"/>
  <c r="Z652" i="1"/>
  <c r="S652" i="1"/>
  <c r="R652" i="1"/>
  <c r="K652" i="1"/>
  <c r="J652" i="1"/>
  <c r="D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C651" i="1" s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N652" i="1" s="1"/>
  <c r="M649" i="1"/>
  <c r="L649" i="1"/>
  <c r="K649" i="1"/>
  <c r="J649" i="1"/>
  <c r="I649" i="1"/>
  <c r="H649" i="1"/>
  <c r="G649" i="1"/>
  <c r="F649" i="1"/>
  <c r="F652" i="1" s="1"/>
  <c r="E649" i="1"/>
  <c r="AC649" i="1" s="1"/>
  <c r="AB648" i="1"/>
  <c r="AB652" i="1" s="1"/>
  <c r="AA648" i="1"/>
  <c r="Z648" i="1"/>
  <c r="Y648" i="1"/>
  <c r="Y652" i="1" s="1"/>
  <c r="X648" i="1"/>
  <c r="X652" i="1" s="1"/>
  <c r="W648" i="1"/>
  <c r="W652" i="1" s="1"/>
  <c r="V648" i="1"/>
  <c r="V652" i="1" s="1"/>
  <c r="U648" i="1"/>
  <c r="U652" i="1" s="1"/>
  <c r="T648" i="1"/>
  <c r="T652" i="1" s="1"/>
  <c r="S648" i="1"/>
  <c r="R648" i="1"/>
  <c r="Q648" i="1"/>
  <c r="Q652" i="1" s="1"/>
  <c r="P648" i="1"/>
  <c r="P652" i="1" s="1"/>
  <c r="O648" i="1"/>
  <c r="O652" i="1" s="1"/>
  <c r="N648" i="1"/>
  <c r="M648" i="1"/>
  <c r="M652" i="1" s="1"/>
  <c r="L648" i="1"/>
  <c r="L652" i="1" s="1"/>
  <c r="K648" i="1"/>
  <c r="J648" i="1"/>
  <c r="I648" i="1"/>
  <c r="I652" i="1" s="1"/>
  <c r="H648" i="1"/>
  <c r="H652" i="1" s="1"/>
  <c r="G648" i="1"/>
  <c r="G652" i="1" s="1"/>
  <c r="F648" i="1"/>
  <c r="E648" i="1"/>
  <c r="AC648" i="1" s="1"/>
  <c r="Z647" i="1"/>
  <c r="Y647" i="1"/>
  <c r="R647" i="1"/>
  <c r="Q647" i="1"/>
  <c r="J647" i="1"/>
  <c r="I647" i="1"/>
  <c r="D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C646" i="1" s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C645" i="1" s="1"/>
  <c r="AB644" i="1"/>
  <c r="AA644" i="1"/>
  <c r="Z644" i="1"/>
  <c r="Y644" i="1"/>
  <c r="X644" i="1"/>
  <c r="W644" i="1"/>
  <c r="V644" i="1"/>
  <c r="U644" i="1"/>
  <c r="U647" i="1" s="1"/>
  <c r="T644" i="1"/>
  <c r="S644" i="1"/>
  <c r="R644" i="1"/>
  <c r="Q644" i="1"/>
  <c r="P644" i="1"/>
  <c r="O644" i="1"/>
  <c r="N644" i="1"/>
  <c r="M644" i="1"/>
  <c r="M647" i="1" s="1"/>
  <c r="L644" i="1"/>
  <c r="K644" i="1"/>
  <c r="J644" i="1"/>
  <c r="I644" i="1"/>
  <c r="H644" i="1"/>
  <c r="G644" i="1"/>
  <c r="F644" i="1"/>
  <c r="E644" i="1"/>
  <c r="AC644" i="1" s="1"/>
  <c r="AB643" i="1"/>
  <c r="AB647" i="1" s="1"/>
  <c r="AA643" i="1"/>
  <c r="AA647" i="1" s="1"/>
  <c r="Z643" i="1"/>
  <c r="Y643" i="1"/>
  <c r="X643" i="1"/>
  <c r="X647" i="1" s="1"/>
  <c r="W643" i="1"/>
  <c r="W647" i="1" s="1"/>
  <c r="V643" i="1"/>
  <c r="V647" i="1" s="1"/>
  <c r="U643" i="1"/>
  <c r="T643" i="1"/>
  <c r="T647" i="1" s="1"/>
  <c r="S643" i="1"/>
  <c r="S647" i="1" s="1"/>
  <c r="R643" i="1"/>
  <c r="Q643" i="1"/>
  <c r="P643" i="1"/>
  <c r="P647" i="1" s="1"/>
  <c r="O643" i="1"/>
  <c r="O647" i="1" s="1"/>
  <c r="N643" i="1"/>
  <c r="N647" i="1" s="1"/>
  <c r="M643" i="1"/>
  <c r="L643" i="1"/>
  <c r="L647" i="1" s="1"/>
  <c r="K643" i="1"/>
  <c r="K647" i="1" s="1"/>
  <c r="J643" i="1"/>
  <c r="I643" i="1"/>
  <c r="H643" i="1"/>
  <c r="H647" i="1" s="1"/>
  <c r="G643" i="1"/>
  <c r="G647" i="1" s="1"/>
  <c r="F643" i="1"/>
  <c r="F647" i="1" s="1"/>
  <c r="E643" i="1"/>
  <c r="AC643" i="1" s="1"/>
  <c r="X642" i="1"/>
  <c r="P642" i="1"/>
  <c r="H642" i="1"/>
  <c r="D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C641" i="1" s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C640" i="1" s="1"/>
  <c r="AB639" i="1"/>
  <c r="AB642" i="1" s="1"/>
  <c r="AA639" i="1"/>
  <c r="Z639" i="1"/>
  <c r="Y639" i="1"/>
  <c r="X639" i="1"/>
  <c r="W639" i="1"/>
  <c r="V639" i="1"/>
  <c r="U639" i="1"/>
  <c r="T639" i="1"/>
  <c r="T642" i="1" s="1"/>
  <c r="S639" i="1"/>
  <c r="R639" i="1"/>
  <c r="Q639" i="1"/>
  <c r="P639" i="1"/>
  <c r="O639" i="1"/>
  <c r="N639" i="1"/>
  <c r="M639" i="1"/>
  <c r="L639" i="1"/>
  <c r="L642" i="1" s="1"/>
  <c r="K639" i="1"/>
  <c r="J639" i="1"/>
  <c r="I639" i="1"/>
  <c r="H639" i="1"/>
  <c r="G639" i="1"/>
  <c r="F639" i="1"/>
  <c r="E639" i="1"/>
  <c r="AC639" i="1" s="1"/>
  <c r="AB638" i="1"/>
  <c r="AA638" i="1"/>
  <c r="AA642" i="1" s="1"/>
  <c r="Z638" i="1"/>
  <c r="Z642" i="1" s="1"/>
  <c r="Y638" i="1"/>
  <c r="Y642" i="1" s="1"/>
  <c r="X638" i="1"/>
  <c r="W638" i="1"/>
  <c r="W642" i="1" s="1"/>
  <c r="V638" i="1"/>
  <c r="V642" i="1" s="1"/>
  <c r="U638" i="1"/>
  <c r="U642" i="1" s="1"/>
  <c r="T638" i="1"/>
  <c r="S638" i="1"/>
  <c r="S642" i="1" s="1"/>
  <c r="R638" i="1"/>
  <c r="R642" i="1" s="1"/>
  <c r="Q638" i="1"/>
  <c r="Q642" i="1" s="1"/>
  <c r="P638" i="1"/>
  <c r="O638" i="1"/>
  <c r="O642" i="1" s="1"/>
  <c r="N638" i="1"/>
  <c r="N642" i="1" s="1"/>
  <c r="M638" i="1"/>
  <c r="M642" i="1" s="1"/>
  <c r="L638" i="1"/>
  <c r="K638" i="1"/>
  <c r="K642" i="1" s="1"/>
  <c r="J638" i="1"/>
  <c r="J642" i="1" s="1"/>
  <c r="I638" i="1"/>
  <c r="I642" i="1" s="1"/>
  <c r="H638" i="1"/>
  <c r="G638" i="1"/>
  <c r="G642" i="1" s="1"/>
  <c r="F638" i="1"/>
  <c r="F642" i="1" s="1"/>
  <c r="E638" i="1"/>
  <c r="E642" i="1" s="1"/>
  <c r="W637" i="1"/>
  <c r="O637" i="1"/>
  <c r="G637" i="1"/>
  <c r="D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C636" i="1" s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C635" i="1" s="1"/>
  <c r="AB634" i="1"/>
  <c r="AA634" i="1"/>
  <c r="AA637" i="1" s="1"/>
  <c r="Z634" i="1"/>
  <c r="Y634" i="1"/>
  <c r="X634" i="1"/>
  <c r="W634" i="1"/>
  <c r="V634" i="1"/>
  <c r="U634" i="1"/>
  <c r="T634" i="1"/>
  <c r="S634" i="1"/>
  <c r="S637" i="1" s="1"/>
  <c r="R634" i="1"/>
  <c r="Q634" i="1"/>
  <c r="P634" i="1"/>
  <c r="O634" i="1"/>
  <c r="N634" i="1"/>
  <c r="M634" i="1"/>
  <c r="L634" i="1"/>
  <c r="K634" i="1"/>
  <c r="K637" i="1" s="1"/>
  <c r="J634" i="1"/>
  <c r="I634" i="1"/>
  <c r="H634" i="1"/>
  <c r="G634" i="1"/>
  <c r="F634" i="1"/>
  <c r="E634" i="1"/>
  <c r="AC634" i="1" s="1"/>
  <c r="AB633" i="1"/>
  <c r="AB637" i="1" s="1"/>
  <c r="AA633" i="1"/>
  <c r="Z633" i="1"/>
  <c r="Z637" i="1" s="1"/>
  <c r="Y633" i="1"/>
  <c r="Y637" i="1" s="1"/>
  <c r="X633" i="1"/>
  <c r="X637" i="1" s="1"/>
  <c r="W633" i="1"/>
  <c r="V633" i="1"/>
  <c r="V637" i="1" s="1"/>
  <c r="U633" i="1"/>
  <c r="U637" i="1" s="1"/>
  <c r="T633" i="1"/>
  <c r="T637" i="1" s="1"/>
  <c r="S633" i="1"/>
  <c r="R633" i="1"/>
  <c r="R637" i="1" s="1"/>
  <c r="Q633" i="1"/>
  <c r="Q637" i="1" s="1"/>
  <c r="P633" i="1"/>
  <c r="P637" i="1" s="1"/>
  <c r="O633" i="1"/>
  <c r="N633" i="1"/>
  <c r="N637" i="1" s="1"/>
  <c r="M633" i="1"/>
  <c r="M637" i="1" s="1"/>
  <c r="L633" i="1"/>
  <c r="L637" i="1" s="1"/>
  <c r="K633" i="1"/>
  <c r="J633" i="1"/>
  <c r="J637" i="1" s="1"/>
  <c r="I633" i="1"/>
  <c r="I637" i="1" s="1"/>
  <c r="H633" i="1"/>
  <c r="H637" i="1" s="1"/>
  <c r="G633" i="1"/>
  <c r="F633" i="1"/>
  <c r="F637" i="1" s="1"/>
  <c r="E633" i="1"/>
  <c r="E637" i="1" s="1"/>
  <c r="V632" i="1"/>
  <c r="N632" i="1"/>
  <c r="F632" i="1"/>
  <c r="D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C631" i="1" s="1"/>
  <c r="AB630" i="1"/>
  <c r="AA630" i="1"/>
  <c r="Z630" i="1"/>
  <c r="Y630" i="1"/>
  <c r="X630" i="1"/>
  <c r="W630" i="1"/>
  <c r="V630" i="1"/>
  <c r="U630" i="1"/>
  <c r="U632" i="1" s="1"/>
  <c r="T630" i="1"/>
  <c r="S630" i="1"/>
  <c r="R630" i="1"/>
  <c r="Q630" i="1"/>
  <c r="P630" i="1"/>
  <c r="O630" i="1"/>
  <c r="N630" i="1"/>
  <c r="M630" i="1"/>
  <c r="M632" i="1" s="1"/>
  <c r="L630" i="1"/>
  <c r="K630" i="1"/>
  <c r="J630" i="1"/>
  <c r="I630" i="1"/>
  <c r="H630" i="1"/>
  <c r="G630" i="1"/>
  <c r="F630" i="1"/>
  <c r="E630" i="1"/>
  <c r="E632" i="1" s="1"/>
  <c r="AB629" i="1"/>
  <c r="AA629" i="1"/>
  <c r="Z629" i="1"/>
  <c r="Z632" i="1" s="1"/>
  <c r="Y629" i="1"/>
  <c r="X629" i="1"/>
  <c r="W629" i="1"/>
  <c r="V629" i="1"/>
  <c r="U629" i="1"/>
  <c r="T629" i="1"/>
  <c r="S629" i="1"/>
  <c r="R629" i="1"/>
  <c r="R632" i="1" s="1"/>
  <c r="Q629" i="1"/>
  <c r="P629" i="1"/>
  <c r="O629" i="1"/>
  <c r="N629" i="1"/>
  <c r="M629" i="1"/>
  <c r="L629" i="1"/>
  <c r="K629" i="1"/>
  <c r="J629" i="1"/>
  <c r="J632" i="1" s="1"/>
  <c r="I629" i="1"/>
  <c r="H629" i="1"/>
  <c r="G629" i="1"/>
  <c r="F629" i="1"/>
  <c r="E629" i="1"/>
  <c r="AC629" i="1" s="1"/>
  <c r="AB628" i="1"/>
  <c r="AB632" i="1" s="1"/>
  <c r="AA628" i="1"/>
  <c r="AA632" i="1" s="1"/>
  <c r="Z628" i="1"/>
  <c r="Y628" i="1"/>
  <c r="Y632" i="1" s="1"/>
  <c r="X628" i="1"/>
  <c r="X632" i="1" s="1"/>
  <c r="W628" i="1"/>
  <c r="W632" i="1" s="1"/>
  <c r="V628" i="1"/>
  <c r="U628" i="1"/>
  <c r="T628" i="1"/>
  <c r="T632" i="1" s="1"/>
  <c r="S628" i="1"/>
  <c r="S632" i="1" s="1"/>
  <c r="R628" i="1"/>
  <c r="Q628" i="1"/>
  <c r="Q632" i="1" s="1"/>
  <c r="P628" i="1"/>
  <c r="P632" i="1" s="1"/>
  <c r="O628" i="1"/>
  <c r="O632" i="1" s="1"/>
  <c r="N628" i="1"/>
  <c r="M628" i="1"/>
  <c r="L628" i="1"/>
  <c r="L632" i="1" s="1"/>
  <c r="K628" i="1"/>
  <c r="K632" i="1" s="1"/>
  <c r="J628" i="1"/>
  <c r="I628" i="1"/>
  <c r="I632" i="1" s="1"/>
  <c r="H628" i="1"/>
  <c r="H632" i="1" s="1"/>
  <c r="G628" i="1"/>
  <c r="G632" i="1" s="1"/>
  <c r="F628" i="1"/>
  <c r="E628" i="1"/>
  <c r="AC628" i="1" s="1"/>
  <c r="U627" i="1"/>
  <c r="M627" i="1"/>
  <c r="E627" i="1"/>
  <c r="D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C626" i="1" s="1"/>
  <c r="AB625" i="1"/>
  <c r="AB627" i="1" s="1"/>
  <c r="AA625" i="1"/>
  <c r="Z625" i="1"/>
  <c r="Y625" i="1"/>
  <c r="X625" i="1"/>
  <c r="W625" i="1"/>
  <c r="V625" i="1"/>
  <c r="U625" i="1"/>
  <c r="T625" i="1"/>
  <c r="T627" i="1" s="1"/>
  <c r="S625" i="1"/>
  <c r="R625" i="1"/>
  <c r="Q625" i="1"/>
  <c r="P625" i="1"/>
  <c r="O625" i="1"/>
  <c r="N625" i="1"/>
  <c r="M625" i="1"/>
  <c r="L625" i="1"/>
  <c r="L627" i="1" s="1"/>
  <c r="K625" i="1"/>
  <c r="J625" i="1"/>
  <c r="I625" i="1"/>
  <c r="H625" i="1"/>
  <c r="G625" i="1"/>
  <c r="F625" i="1"/>
  <c r="E625" i="1"/>
  <c r="AC625" i="1" s="1"/>
  <c r="AB624" i="1"/>
  <c r="AA624" i="1"/>
  <c r="Z624" i="1"/>
  <c r="Y624" i="1"/>
  <c r="Y627" i="1" s="1"/>
  <c r="X624" i="1"/>
  <c r="W624" i="1"/>
  <c r="V624" i="1"/>
  <c r="U624" i="1"/>
  <c r="T624" i="1"/>
  <c r="S624" i="1"/>
  <c r="R624" i="1"/>
  <c r="Q624" i="1"/>
  <c r="Q627" i="1" s="1"/>
  <c r="P624" i="1"/>
  <c r="O624" i="1"/>
  <c r="N624" i="1"/>
  <c r="M624" i="1"/>
  <c r="L624" i="1"/>
  <c r="K624" i="1"/>
  <c r="J624" i="1"/>
  <c r="I624" i="1"/>
  <c r="I627" i="1" s="1"/>
  <c r="H624" i="1"/>
  <c r="G624" i="1"/>
  <c r="F624" i="1"/>
  <c r="E624" i="1"/>
  <c r="AC624" i="1" s="1"/>
  <c r="AB623" i="1"/>
  <c r="AA623" i="1"/>
  <c r="AA627" i="1" s="1"/>
  <c r="Z623" i="1"/>
  <c r="Z627" i="1" s="1"/>
  <c r="Y623" i="1"/>
  <c r="X623" i="1"/>
  <c r="X627" i="1" s="1"/>
  <c r="W623" i="1"/>
  <c r="W627" i="1" s="1"/>
  <c r="V623" i="1"/>
  <c r="V627" i="1" s="1"/>
  <c r="U623" i="1"/>
  <c r="T623" i="1"/>
  <c r="S623" i="1"/>
  <c r="S627" i="1" s="1"/>
  <c r="R623" i="1"/>
  <c r="R627" i="1" s="1"/>
  <c r="Q623" i="1"/>
  <c r="P623" i="1"/>
  <c r="P627" i="1" s="1"/>
  <c r="O623" i="1"/>
  <c r="O627" i="1" s="1"/>
  <c r="N623" i="1"/>
  <c r="N627" i="1" s="1"/>
  <c r="M623" i="1"/>
  <c r="L623" i="1"/>
  <c r="K623" i="1"/>
  <c r="K627" i="1" s="1"/>
  <c r="J623" i="1"/>
  <c r="J627" i="1" s="1"/>
  <c r="I623" i="1"/>
  <c r="H623" i="1"/>
  <c r="H627" i="1" s="1"/>
  <c r="G623" i="1"/>
  <c r="G627" i="1" s="1"/>
  <c r="F623" i="1"/>
  <c r="F627" i="1" s="1"/>
  <c r="E623" i="1"/>
  <c r="AC623" i="1" s="1"/>
  <c r="AB622" i="1"/>
  <c r="T622" i="1"/>
  <c r="L622" i="1"/>
  <c r="D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C621" i="1" s="1"/>
  <c r="AB620" i="1"/>
  <c r="AA620" i="1"/>
  <c r="AA622" i="1" s="1"/>
  <c r="Z620" i="1"/>
  <c r="Y620" i="1"/>
  <c r="X620" i="1"/>
  <c r="W620" i="1"/>
  <c r="V620" i="1"/>
  <c r="U620" i="1"/>
  <c r="T620" i="1"/>
  <c r="S620" i="1"/>
  <c r="S622" i="1" s="1"/>
  <c r="R620" i="1"/>
  <c r="Q620" i="1"/>
  <c r="P620" i="1"/>
  <c r="O620" i="1"/>
  <c r="N620" i="1"/>
  <c r="M620" i="1"/>
  <c r="L620" i="1"/>
  <c r="K620" i="1"/>
  <c r="K622" i="1" s="1"/>
  <c r="J620" i="1"/>
  <c r="I620" i="1"/>
  <c r="H620" i="1"/>
  <c r="G620" i="1"/>
  <c r="F620" i="1"/>
  <c r="E620" i="1"/>
  <c r="AC620" i="1" s="1"/>
  <c r="AB619" i="1"/>
  <c r="AA619" i="1"/>
  <c r="Z619" i="1"/>
  <c r="Y619" i="1"/>
  <c r="X619" i="1"/>
  <c r="X622" i="1" s="1"/>
  <c r="W619" i="1"/>
  <c r="V619" i="1"/>
  <c r="U619" i="1"/>
  <c r="T619" i="1"/>
  <c r="S619" i="1"/>
  <c r="R619" i="1"/>
  <c r="Q619" i="1"/>
  <c r="P619" i="1"/>
  <c r="P622" i="1" s="1"/>
  <c r="O619" i="1"/>
  <c r="N619" i="1"/>
  <c r="M619" i="1"/>
  <c r="L619" i="1"/>
  <c r="K619" i="1"/>
  <c r="J619" i="1"/>
  <c r="I619" i="1"/>
  <c r="H619" i="1"/>
  <c r="H622" i="1" s="1"/>
  <c r="G619" i="1"/>
  <c r="F619" i="1"/>
  <c r="E619" i="1"/>
  <c r="AC619" i="1" s="1"/>
  <c r="AB618" i="1"/>
  <c r="AA618" i="1"/>
  <c r="Z618" i="1"/>
  <c r="Z622" i="1" s="1"/>
  <c r="Y618" i="1"/>
  <c r="Y622" i="1" s="1"/>
  <c r="X618" i="1"/>
  <c r="W618" i="1"/>
  <c r="W622" i="1" s="1"/>
  <c r="V618" i="1"/>
  <c r="V622" i="1" s="1"/>
  <c r="U618" i="1"/>
  <c r="U622" i="1" s="1"/>
  <c r="T618" i="1"/>
  <c r="S618" i="1"/>
  <c r="R618" i="1"/>
  <c r="R622" i="1" s="1"/>
  <c r="Q618" i="1"/>
  <c r="Q622" i="1" s="1"/>
  <c r="P618" i="1"/>
  <c r="O618" i="1"/>
  <c r="O622" i="1" s="1"/>
  <c r="N618" i="1"/>
  <c r="N622" i="1" s="1"/>
  <c r="M618" i="1"/>
  <c r="M622" i="1" s="1"/>
  <c r="L618" i="1"/>
  <c r="K618" i="1"/>
  <c r="J618" i="1"/>
  <c r="J622" i="1" s="1"/>
  <c r="I618" i="1"/>
  <c r="I622" i="1" s="1"/>
  <c r="H618" i="1"/>
  <c r="G618" i="1"/>
  <c r="G622" i="1" s="1"/>
  <c r="F618" i="1"/>
  <c r="F622" i="1" s="1"/>
  <c r="E618" i="1"/>
  <c r="AC618" i="1" s="1"/>
  <c r="AA617" i="1"/>
  <c r="S617" i="1"/>
  <c r="K617" i="1"/>
  <c r="D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C616" i="1" s="1"/>
  <c r="AB615" i="1"/>
  <c r="AA615" i="1"/>
  <c r="Z615" i="1"/>
  <c r="Z617" i="1" s="1"/>
  <c r="Y615" i="1"/>
  <c r="X615" i="1"/>
  <c r="W615" i="1"/>
  <c r="V615" i="1"/>
  <c r="U615" i="1"/>
  <c r="T615" i="1"/>
  <c r="S615" i="1"/>
  <c r="R615" i="1"/>
  <c r="R617" i="1" s="1"/>
  <c r="Q615" i="1"/>
  <c r="P615" i="1"/>
  <c r="O615" i="1"/>
  <c r="N615" i="1"/>
  <c r="M615" i="1"/>
  <c r="L615" i="1"/>
  <c r="K615" i="1"/>
  <c r="J615" i="1"/>
  <c r="J617" i="1" s="1"/>
  <c r="I615" i="1"/>
  <c r="H615" i="1"/>
  <c r="G615" i="1"/>
  <c r="F615" i="1"/>
  <c r="E615" i="1"/>
  <c r="AC615" i="1" s="1"/>
  <c r="AB614" i="1"/>
  <c r="AA614" i="1"/>
  <c r="Z614" i="1"/>
  <c r="Y614" i="1"/>
  <c r="X614" i="1"/>
  <c r="W614" i="1"/>
  <c r="W617" i="1" s="1"/>
  <c r="V614" i="1"/>
  <c r="U614" i="1"/>
  <c r="T614" i="1"/>
  <c r="S614" i="1"/>
  <c r="R614" i="1"/>
  <c r="Q614" i="1"/>
  <c r="P614" i="1"/>
  <c r="O614" i="1"/>
  <c r="O617" i="1" s="1"/>
  <c r="N614" i="1"/>
  <c r="M614" i="1"/>
  <c r="L614" i="1"/>
  <c r="K614" i="1"/>
  <c r="J614" i="1"/>
  <c r="I614" i="1"/>
  <c r="H614" i="1"/>
  <c r="G614" i="1"/>
  <c r="G617" i="1" s="1"/>
  <c r="F614" i="1"/>
  <c r="E614" i="1"/>
  <c r="AC614" i="1" s="1"/>
  <c r="AB613" i="1"/>
  <c r="AB617" i="1" s="1"/>
  <c r="AA613" i="1"/>
  <c r="Z613" i="1"/>
  <c r="Y613" i="1"/>
  <c r="Y617" i="1" s="1"/>
  <c r="X613" i="1"/>
  <c r="X617" i="1" s="1"/>
  <c r="W613" i="1"/>
  <c r="V613" i="1"/>
  <c r="V617" i="1" s="1"/>
  <c r="U613" i="1"/>
  <c r="U617" i="1" s="1"/>
  <c r="T613" i="1"/>
  <c r="T617" i="1" s="1"/>
  <c r="S613" i="1"/>
  <c r="R613" i="1"/>
  <c r="Q613" i="1"/>
  <c r="Q617" i="1" s="1"/>
  <c r="P613" i="1"/>
  <c r="P617" i="1" s="1"/>
  <c r="O613" i="1"/>
  <c r="N613" i="1"/>
  <c r="N617" i="1" s="1"/>
  <c r="M613" i="1"/>
  <c r="M617" i="1" s="1"/>
  <c r="L613" i="1"/>
  <c r="L617" i="1" s="1"/>
  <c r="K613" i="1"/>
  <c r="J613" i="1"/>
  <c r="I613" i="1"/>
  <c r="I617" i="1" s="1"/>
  <c r="H613" i="1"/>
  <c r="H617" i="1" s="1"/>
  <c r="G613" i="1"/>
  <c r="F613" i="1"/>
  <c r="F617" i="1" s="1"/>
  <c r="E613" i="1"/>
  <c r="AC613" i="1" s="1"/>
  <c r="B613" i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W612" i="1"/>
  <c r="O612" i="1"/>
  <c r="G612" i="1"/>
  <c r="D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C611" i="1" s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C610" i="1" s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C609" i="1" s="1"/>
  <c r="AB608" i="1"/>
  <c r="AB612" i="1" s="1"/>
  <c r="AA608" i="1"/>
  <c r="AA612" i="1" s="1"/>
  <c r="Z608" i="1"/>
  <c r="Z612" i="1" s="1"/>
  <c r="Y608" i="1"/>
  <c r="Y612" i="1" s="1"/>
  <c r="X608" i="1"/>
  <c r="X612" i="1" s="1"/>
  <c r="W608" i="1"/>
  <c r="V608" i="1"/>
  <c r="V612" i="1" s="1"/>
  <c r="U608" i="1"/>
  <c r="U612" i="1" s="1"/>
  <c r="T608" i="1"/>
  <c r="T612" i="1" s="1"/>
  <c r="S608" i="1"/>
  <c r="S612" i="1" s="1"/>
  <c r="R608" i="1"/>
  <c r="R612" i="1" s="1"/>
  <c r="Q608" i="1"/>
  <c r="Q612" i="1" s="1"/>
  <c r="P608" i="1"/>
  <c r="P612" i="1" s="1"/>
  <c r="O608" i="1"/>
  <c r="N608" i="1"/>
  <c r="N612" i="1" s="1"/>
  <c r="M608" i="1"/>
  <c r="M612" i="1" s="1"/>
  <c r="L608" i="1"/>
  <c r="L612" i="1" s="1"/>
  <c r="K608" i="1"/>
  <c r="K612" i="1" s="1"/>
  <c r="J608" i="1"/>
  <c r="J612" i="1" s="1"/>
  <c r="I608" i="1"/>
  <c r="I612" i="1" s="1"/>
  <c r="H608" i="1"/>
  <c r="H612" i="1" s="1"/>
  <c r="G608" i="1"/>
  <c r="F608" i="1"/>
  <c r="F612" i="1" s="1"/>
  <c r="E608" i="1"/>
  <c r="E612" i="1" s="1"/>
  <c r="V607" i="1"/>
  <c r="N607" i="1"/>
  <c r="F607" i="1"/>
  <c r="D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C606" i="1" s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C605" i="1" s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C604" i="1" s="1"/>
  <c r="AB603" i="1"/>
  <c r="AB607" i="1" s="1"/>
  <c r="AA603" i="1"/>
  <c r="AA607" i="1" s="1"/>
  <c r="Z603" i="1"/>
  <c r="Z607" i="1" s="1"/>
  <c r="Y603" i="1"/>
  <c r="Y607" i="1" s="1"/>
  <c r="X603" i="1"/>
  <c r="X607" i="1" s="1"/>
  <c r="W603" i="1"/>
  <c r="W607" i="1" s="1"/>
  <c r="V603" i="1"/>
  <c r="U603" i="1"/>
  <c r="U607" i="1" s="1"/>
  <c r="T603" i="1"/>
  <c r="T607" i="1" s="1"/>
  <c r="S603" i="1"/>
  <c r="S607" i="1" s="1"/>
  <c r="R603" i="1"/>
  <c r="R607" i="1" s="1"/>
  <c r="Q603" i="1"/>
  <c r="Q607" i="1" s="1"/>
  <c r="P603" i="1"/>
  <c r="P607" i="1" s="1"/>
  <c r="O603" i="1"/>
  <c r="O607" i="1" s="1"/>
  <c r="N603" i="1"/>
  <c r="M603" i="1"/>
  <c r="M607" i="1" s="1"/>
  <c r="L603" i="1"/>
  <c r="L607" i="1" s="1"/>
  <c r="K603" i="1"/>
  <c r="K607" i="1" s="1"/>
  <c r="J603" i="1"/>
  <c r="J607" i="1" s="1"/>
  <c r="I603" i="1"/>
  <c r="I607" i="1" s="1"/>
  <c r="H603" i="1"/>
  <c r="H607" i="1" s="1"/>
  <c r="G603" i="1"/>
  <c r="G607" i="1" s="1"/>
  <c r="F603" i="1"/>
  <c r="E603" i="1"/>
  <c r="AC603" i="1" s="1"/>
  <c r="U602" i="1"/>
  <c r="M602" i="1"/>
  <c r="E602" i="1"/>
  <c r="D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C601" i="1" s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C600" i="1" s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C599" i="1" s="1"/>
  <c r="AB598" i="1"/>
  <c r="AB602" i="1" s="1"/>
  <c r="AA598" i="1"/>
  <c r="AA602" i="1" s="1"/>
  <c r="Z598" i="1"/>
  <c r="Z602" i="1" s="1"/>
  <c r="Y598" i="1"/>
  <c r="Y602" i="1" s="1"/>
  <c r="X598" i="1"/>
  <c r="X602" i="1" s="1"/>
  <c r="W598" i="1"/>
  <c r="W602" i="1" s="1"/>
  <c r="V598" i="1"/>
  <c r="V602" i="1" s="1"/>
  <c r="U598" i="1"/>
  <c r="T598" i="1"/>
  <c r="T602" i="1" s="1"/>
  <c r="S598" i="1"/>
  <c r="S602" i="1" s="1"/>
  <c r="R598" i="1"/>
  <c r="R602" i="1" s="1"/>
  <c r="Q598" i="1"/>
  <c r="Q602" i="1" s="1"/>
  <c r="P598" i="1"/>
  <c r="P602" i="1" s="1"/>
  <c r="O598" i="1"/>
  <c r="O602" i="1" s="1"/>
  <c r="N598" i="1"/>
  <c r="N602" i="1" s="1"/>
  <c r="M598" i="1"/>
  <c r="L598" i="1"/>
  <c r="L602" i="1" s="1"/>
  <c r="K598" i="1"/>
  <c r="K602" i="1" s="1"/>
  <c r="J598" i="1"/>
  <c r="J602" i="1" s="1"/>
  <c r="I598" i="1"/>
  <c r="I602" i="1" s="1"/>
  <c r="H598" i="1"/>
  <c r="H602" i="1" s="1"/>
  <c r="G598" i="1"/>
  <c r="G602" i="1" s="1"/>
  <c r="F598" i="1"/>
  <c r="F602" i="1" s="1"/>
  <c r="E598" i="1"/>
  <c r="AC598" i="1" s="1"/>
  <c r="AB597" i="1"/>
  <c r="T597" i="1"/>
  <c r="L597" i="1"/>
  <c r="D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C596" i="1" s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C595" i="1" s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C594" i="1" s="1"/>
  <c r="AB593" i="1"/>
  <c r="AA593" i="1"/>
  <c r="AA597" i="1" s="1"/>
  <c r="Z593" i="1"/>
  <c r="Z597" i="1" s="1"/>
  <c r="Y593" i="1"/>
  <c r="Y597" i="1" s="1"/>
  <c r="X593" i="1"/>
  <c r="X597" i="1" s="1"/>
  <c r="W593" i="1"/>
  <c r="W597" i="1" s="1"/>
  <c r="V593" i="1"/>
  <c r="V597" i="1" s="1"/>
  <c r="U593" i="1"/>
  <c r="U597" i="1" s="1"/>
  <c r="T593" i="1"/>
  <c r="S593" i="1"/>
  <c r="S597" i="1" s="1"/>
  <c r="R593" i="1"/>
  <c r="R597" i="1" s="1"/>
  <c r="Q593" i="1"/>
  <c r="Q597" i="1" s="1"/>
  <c r="P593" i="1"/>
  <c r="P597" i="1" s="1"/>
  <c r="O593" i="1"/>
  <c r="O597" i="1" s="1"/>
  <c r="N593" i="1"/>
  <c r="N597" i="1" s="1"/>
  <c r="M593" i="1"/>
  <c r="M597" i="1" s="1"/>
  <c r="L593" i="1"/>
  <c r="K593" i="1"/>
  <c r="K597" i="1" s="1"/>
  <c r="J593" i="1"/>
  <c r="J597" i="1" s="1"/>
  <c r="I593" i="1"/>
  <c r="I597" i="1" s="1"/>
  <c r="H593" i="1"/>
  <c r="H597" i="1" s="1"/>
  <c r="G593" i="1"/>
  <c r="G597" i="1" s="1"/>
  <c r="F593" i="1"/>
  <c r="F597" i="1" s="1"/>
  <c r="E593" i="1"/>
  <c r="AC593" i="1" s="1"/>
  <c r="AA592" i="1"/>
  <c r="S592" i="1"/>
  <c r="K592" i="1"/>
  <c r="D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C591" i="1" s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I592" i="1" s="1"/>
  <c r="H590" i="1"/>
  <c r="G590" i="1"/>
  <c r="F590" i="1"/>
  <c r="E590" i="1"/>
  <c r="AC590" i="1" s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C589" i="1" s="1"/>
  <c r="AB588" i="1"/>
  <c r="AB592" i="1" s="1"/>
  <c r="AA588" i="1"/>
  <c r="Z588" i="1"/>
  <c r="Z592" i="1" s="1"/>
  <c r="Y588" i="1"/>
  <c r="Y592" i="1" s="1"/>
  <c r="X588" i="1"/>
  <c r="X592" i="1" s="1"/>
  <c r="W588" i="1"/>
  <c r="W592" i="1" s="1"/>
  <c r="V588" i="1"/>
  <c r="V592" i="1" s="1"/>
  <c r="U588" i="1"/>
  <c r="U592" i="1" s="1"/>
  <c r="T588" i="1"/>
  <c r="T592" i="1" s="1"/>
  <c r="S588" i="1"/>
  <c r="R588" i="1"/>
  <c r="R592" i="1" s="1"/>
  <c r="Q588" i="1"/>
  <c r="Q592" i="1" s="1"/>
  <c r="P588" i="1"/>
  <c r="P592" i="1" s="1"/>
  <c r="O588" i="1"/>
  <c r="O592" i="1" s="1"/>
  <c r="N588" i="1"/>
  <c r="N592" i="1" s="1"/>
  <c r="M588" i="1"/>
  <c r="M592" i="1" s="1"/>
  <c r="L588" i="1"/>
  <c r="L592" i="1" s="1"/>
  <c r="K588" i="1"/>
  <c r="J588" i="1"/>
  <c r="J592" i="1" s="1"/>
  <c r="I588" i="1"/>
  <c r="H588" i="1"/>
  <c r="H592" i="1" s="1"/>
  <c r="G588" i="1"/>
  <c r="G592" i="1" s="1"/>
  <c r="F588" i="1"/>
  <c r="F592" i="1" s="1"/>
  <c r="E588" i="1"/>
  <c r="AC588" i="1" s="1"/>
  <c r="Z587" i="1"/>
  <c r="R587" i="1"/>
  <c r="J587" i="1"/>
  <c r="D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C586" i="1" s="1"/>
  <c r="AB585" i="1"/>
  <c r="AA585" i="1"/>
  <c r="Z585" i="1"/>
  <c r="Y585" i="1"/>
  <c r="X585" i="1"/>
  <c r="X587" i="1" s="1"/>
  <c r="W585" i="1"/>
  <c r="V585" i="1"/>
  <c r="U585" i="1"/>
  <c r="T585" i="1"/>
  <c r="S585" i="1"/>
  <c r="R585" i="1"/>
  <c r="Q585" i="1"/>
  <c r="P585" i="1"/>
  <c r="P587" i="1" s="1"/>
  <c r="O585" i="1"/>
  <c r="N585" i="1"/>
  <c r="M585" i="1"/>
  <c r="L585" i="1"/>
  <c r="K585" i="1"/>
  <c r="J585" i="1"/>
  <c r="I585" i="1"/>
  <c r="H585" i="1"/>
  <c r="H587" i="1" s="1"/>
  <c r="G585" i="1"/>
  <c r="F585" i="1"/>
  <c r="E585" i="1"/>
  <c r="AC585" i="1" s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C584" i="1" s="1"/>
  <c r="AB583" i="1"/>
  <c r="AB587" i="1" s="1"/>
  <c r="AA583" i="1"/>
  <c r="AA587" i="1" s="1"/>
  <c r="Z583" i="1"/>
  <c r="Y583" i="1"/>
  <c r="Y587" i="1" s="1"/>
  <c r="X583" i="1"/>
  <c r="W583" i="1"/>
  <c r="W587" i="1" s="1"/>
  <c r="V583" i="1"/>
  <c r="V587" i="1" s="1"/>
  <c r="U583" i="1"/>
  <c r="U587" i="1" s="1"/>
  <c r="T583" i="1"/>
  <c r="T587" i="1" s="1"/>
  <c r="S583" i="1"/>
  <c r="S587" i="1" s="1"/>
  <c r="R583" i="1"/>
  <c r="Q583" i="1"/>
  <c r="Q587" i="1" s="1"/>
  <c r="P583" i="1"/>
  <c r="O583" i="1"/>
  <c r="O587" i="1" s="1"/>
  <c r="N583" i="1"/>
  <c r="N587" i="1" s="1"/>
  <c r="M583" i="1"/>
  <c r="M587" i="1" s="1"/>
  <c r="L583" i="1"/>
  <c r="L587" i="1" s="1"/>
  <c r="K583" i="1"/>
  <c r="K587" i="1" s="1"/>
  <c r="J583" i="1"/>
  <c r="I583" i="1"/>
  <c r="I587" i="1" s="1"/>
  <c r="H583" i="1"/>
  <c r="G583" i="1"/>
  <c r="G587" i="1" s="1"/>
  <c r="F583" i="1"/>
  <c r="F587" i="1" s="1"/>
  <c r="E583" i="1"/>
  <c r="AC583" i="1" s="1"/>
  <c r="Y582" i="1"/>
  <c r="Q582" i="1"/>
  <c r="I582" i="1"/>
  <c r="D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C581" i="1" s="1"/>
  <c r="AB580" i="1"/>
  <c r="AA580" i="1"/>
  <c r="Z580" i="1"/>
  <c r="Y580" i="1"/>
  <c r="X580" i="1"/>
  <c r="W580" i="1"/>
  <c r="W582" i="1" s="1"/>
  <c r="V580" i="1"/>
  <c r="U580" i="1"/>
  <c r="T580" i="1"/>
  <c r="S580" i="1"/>
  <c r="R580" i="1"/>
  <c r="Q580" i="1"/>
  <c r="P580" i="1"/>
  <c r="O580" i="1"/>
  <c r="O582" i="1" s="1"/>
  <c r="N580" i="1"/>
  <c r="M580" i="1"/>
  <c r="L580" i="1"/>
  <c r="L582" i="1" s="1"/>
  <c r="K580" i="1"/>
  <c r="J580" i="1"/>
  <c r="I580" i="1"/>
  <c r="H580" i="1"/>
  <c r="G580" i="1"/>
  <c r="G582" i="1" s="1"/>
  <c r="F580" i="1"/>
  <c r="E580" i="1"/>
  <c r="AC580" i="1" s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P582" i="1" s="1"/>
  <c r="O579" i="1"/>
  <c r="N579" i="1"/>
  <c r="M579" i="1"/>
  <c r="L579" i="1"/>
  <c r="K579" i="1"/>
  <c r="J579" i="1"/>
  <c r="I579" i="1"/>
  <c r="H579" i="1"/>
  <c r="H582" i="1" s="1"/>
  <c r="G579" i="1"/>
  <c r="F579" i="1"/>
  <c r="E579" i="1"/>
  <c r="AC579" i="1" s="1"/>
  <c r="AB578" i="1"/>
  <c r="AB582" i="1" s="1"/>
  <c r="AA578" i="1"/>
  <c r="AA582" i="1" s="1"/>
  <c r="Z578" i="1"/>
  <c r="Z582" i="1" s="1"/>
  <c r="Y578" i="1"/>
  <c r="X578" i="1"/>
  <c r="X582" i="1" s="1"/>
  <c r="W578" i="1"/>
  <c r="V578" i="1"/>
  <c r="V582" i="1" s="1"/>
  <c r="U578" i="1"/>
  <c r="U582" i="1" s="1"/>
  <c r="T578" i="1"/>
  <c r="T582" i="1" s="1"/>
  <c r="S578" i="1"/>
  <c r="S582" i="1" s="1"/>
  <c r="R578" i="1"/>
  <c r="R582" i="1" s="1"/>
  <c r="Q578" i="1"/>
  <c r="P578" i="1"/>
  <c r="O578" i="1"/>
  <c r="N578" i="1"/>
  <c r="N582" i="1" s="1"/>
  <c r="M578" i="1"/>
  <c r="M582" i="1" s="1"/>
  <c r="L578" i="1"/>
  <c r="K578" i="1"/>
  <c r="K582" i="1" s="1"/>
  <c r="J578" i="1"/>
  <c r="J582" i="1" s="1"/>
  <c r="I578" i="1"/>
  <c r="H578" i="1"/>
  <c r="G578" i="1"/>
  <c r="F578" i="1"/>
  <c r="F582" i="1" s="1"/>
  <c r="E578" i="1"/>
  <c r="E582" i="1" s="1"/>
  <c r="X577" i="1"/>
  <c r="P577" i="1"/>
  <c r="H577" i="1"/>
  <c r="D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C576" i="1" s="1"/>
  <c r="AB575" i="1"/>
  <c r="AA575" i="1"/>
  <c r="Z575" i="1"/>
  <c r="Y575" i="1"/>
  <c r="X575" i="1"/>
  <c r="W575" i="1"/>
  <c r="V575" i="1"/>
  <c r="V577" i="1" s="1"/>
  <c r="U575" i="1"/>
  <c r="T575" i="1"/>
  <c r="S575" i="1"/>
  <c r="R575" i="1"/>
  <c r="Q575" i="1"/>
  <c r="P575" i="1"/>
  <c r="O575" i="1"/>
  <c r="N575" i="1"/>
  <c r="N577" i="1" s="1"/>
  <c r="M575" i="1"/>
  <c r="L575" i="1"/>
  <c r="K575" i="1"/>
  <c r="K577" i="1" s="1"/>
  <c r="J575" i="1"/>
  <c r="I575" i="1"/>
  <c r="H575" i="1"/>
  <c r="G575" i="1"/>
  <c r="F575" i="1"/>
  <c r="F577" i="1" s="1"/>
  <c r="E575" i="1"/>
  <c r="AC575" i="1" s="1"/>
  <c r="AB574" i="1"/>
  <c r="AA574" i="1"/>
  <c r="Z574" i="1"/>
  <c r="Y574" i="1"/>
  <c r="X574" i="1"/>
  <c r="W574" i="1"/>
  <c r="W577" i="1" s="1"/>
  <c r="V574" i="1"/>
  <c r="U574" i="1"/>
  <c r="T574" i="1"/>
  <c r="S574" i="1"/>
  <c r="R574" i="1"/>
  <c r="Q574" i="1"/>
  <c r="P574" i="1"/>
  <c r="O574" i="1"/>
  <c r="O577" i="1" s="1"/>
  <c r="N574" i="1"/>
  <c r="M574" i="1"/>
  <c r="L574" i="1"/>
  <c r="K574" i="1"/>
  <c r="J574" i="1"/>
  <c r="I574" i="1"/>
  <c r="H574" i="1"/>
  <c r="G574" i="1"/>
  <c r="G577" i="1" s="1"/>
  <c r="F574" i="1"/>
  <c r="E574" i="1"/>
  <c r="AC574" i="1" s="1"/>
  <c r="AB573" i="1"/>
  <c r="AB577" i="1" s="1"/>
  <c r="AA573" i="1"/>
  <c r="AA577" i="1" s="1"/>
  <c r="Z573" i="1"/>
  <c r="Z577" i="1" s="1"/>
  <c r="Y573" i="1"/>
  <c r="Y577" i="1" s="1"/>
  <c r="X573" i="1"/>
  <c r="W573" i="1"/>
  <c r="V573" i="1"/>
  <c r="U573" i="1"/>
  <c r="U577" i="1" s="1"/>
  <c r="T573" i="1"/>
  <c r="T577" i="1" s="1"/>
  <c r="S573" i="1"/>
  <c r="S577" i="1" s="1"/>
  <c r="R573" i="1"/>
  <c r="R577" i="1" s="1"/>
  <c r="Q573" i="1"/>
  <c r="Q577" i="1" s="1"/>
  <c r="P573" i="1"/>
  <c r="O573" i="1"/>
  <c r="N573" i="1"/>
  <c r="M573" i="1"/>
  <c r="M577" i="1" s="1"/>
  <c r="L573" i="1"/>
  <c r="L577" i="1" s="1"/>
  <c r="K573" i="1"/>
  <c r="J573" i="1"/>
  <c r="J577" i="1" s="1"/>
  <c r="I573" i="1"/>
  <c r="I577" i="1" s="1"/>
  <c r="H573" i="1"/>
  <c r="G573" i="1"/>
  <c r="F573" i="1"/>
  <c r="E573" i="1"/>
  <c r="E577" i="1" s="1"/>
  <c r="W572" i="1"/>
  <c r="O572" i="1"/>
  <c r="G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C571" i="1" s="1"/>
  <c r="AB570" i="1"/>
  <c r="AA570" i="1"/>
  <c r="Z570" i="1"/>
  <c r="Y570" i="1"/>
  <c r="X570" i="1"/>
  <c r="W570" i="1"/>
  <c r="V570" i="1"/>
  <c r="U570" i="1"/>
  <c r="U572" i="1" s="1"/>
  <c r="T570" i="1"/>
  <c r="S570" i="1"/>
  <c r="R570" i="1"/>
  <c r="Q570" i="1"/>
  <c r="P570" i="1"/>
  <c r="O570" i="1"/>
  <c r="N570" i="1"/>
  <c r="M570" i="1"/>
  <c r="M572" i="1" s="1"/>
  <c r="L570" i="1"/>
  <c r="K570" i="1"/>
  <c r="J570" i="1"/>
  <c r="J572" i="1" s="1"/>
  <c r="I570" i="1"/>
  <c r="H570" i="1"/>
  <c r="G570" i="1"/>
  <c r="F570" i="1"/>
  <c r="E570" i="1"/>
  <c r="E572" i="1" s="1"/>
  <c r="AB569" i="1"/>
  <c r="AA569" i="1"/>
  <c r="Z569" i="1"/>
  <c r="Y569" i="1"/>
  <c r="X569" i="1"/>
  <c r="W569" i="1"/>
  <c r="V569" i="1"/>
  <c r="V572" i="1" s="1"/>
  <c r="U569" i="1"/>
  <c r="T569" i="1"/>
  <c r="S569" i="1"/>
  <c r="R569" i="1"/>
  <c r="Q569" i="1"/>
  <c r="P569" i="1"/>
  <c r="O569" i="1"/>
  <c r="N569" i="1"/>
  <c r="N572" i="1" s="1"/>
  <c r="M569" i="1"/>
  <c r="L569" i="1"/>
  <c r="K569" i="1"/>
  <c r="J569" i="1"/>
  <c r="I569" i="1"/>
  <c r="H569" i="1"/>
  <c r="G569" i="1"/>
  <c r="F569" i="1"/>
  <c r="F572" i="1" s="1"/>
  <c r="E569" i="1"/>
  <c r="AC569" i="1" s="1"/>
  <c r="AB568" i="1"/>
  <c r="AB572" i="1" s="1"/>
  <c r="AA568" i="1"/>
  <c r="AA572" i="1" s="1"/>
  <c r="Z568" i="1"/>
  <c r="Z572" i="1" s="1"/>
  <c r="Y568" i="1"/>
  <c r="Y572" i="1" s="1"/>
  <c r="X568" i="1"/>
  <c r="X572" i="1" s="1"/>
  <c r="W568" i="1"/>
  <c r="V568" i="1"/>
  <c r="U568" i="1"/>
  <c r="T568" i="1"/>
  <c r="T572" i="1" s="1"/>
  <c r="S568" i="1"/>
  <c r="S572" i="1" s="1"/>
  <c r="R568" i="1"/>
  <c r="R572" i="1" s="1"/>
  <c r="Q568" i="1"/>
  <c r="Q572" i="1" s="1"/>
  <c r="P568" i="1"/>
  <c r="P572" i="1" s="1"/>
  <c r="O568" i="1"/>
  <c r="N568" i="1"/>
  <c r="M568" i="1"/>
  <c r="L568" i="1"/>
  <c r="L572" i="1" s="1"/>
  <c r="K568" i="1"/>
  <c r="K572" i="1" s="1"/>
  <c r="J568" i="1"/>
  <c r="I568" i="1"/>
  <c r="I572" i="1" s="1"/>
  <c r="H568" i="1"/>
  <c r="H572" i="1" s="1"/>
  <c r="G568" i="1"/>
  <c r="F568" i="1"/>
  <c r="E568" i="1"/>
  <c r="AC568" i="1" s="1"/>
  <c r="V567" i="1"/>
  <c r="N567" i="1"/>
  <c r="F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C566" i="1" s="1"/>
  <c r="AB565" i="1"/>
  <c r="AB567" i="1" s="1"/>
  <c r="AA565" i="1"/>
  <c r="Z565" i="1"/>
  <c r="Y565" i="1"/>
  <c r="X565" i="1"/>
  <c r="W565" i="1"/>
  <c r="V565" i="1"/>
  <c r="U565" i="1"/>
  <c r="T565" i="1"/>
  <c r="T567" i="1" s="1"/>
  <c r="S565" i="1"/>
  <c r="R565" i="1"/>
  <c r="Q565" i="1"/>
  <c r="P565" i="1"/>
  <c r="O565" i="1"/>
  <c r="N565" i="1"/>
  <c r="M565" i="1"/>
  <c r="L565" i="1"/>
  <c r="L567" i="1" s="1"/>
  <c r="K565" i="1"/>
  <c r="J565" i="1"/>
  <c r="I565" i="1"/>
  <c r="I567" i="1" s="1"/>
  <c r="H565" i="1"/>
  <c r="G565" i="1"/>
  <c r="F565" i="1"/>
  <c r="E565" i="1"/>
  <c r="AC565" i="1" s="1"/>
  <c r="AB564" i="1"/>
  <c r="AA564" i="1"/>
  <c r="Z564" i="1"/>
  <c r="Y564" i="1"/>
  <c r="X564" i="1"/>
  <c r="W564" i="1"/>
  <c r="V564" i="1"/>
  <c r="U564" i="1"/>
  <c r="U567" i="1" s="1"/>
  <c r="T564" i="1"/>
  <c r="S564" i="1"/>
  <c r="R564" i="1"/>
  <c r="Q564" i="1"/>
  <c r="P564" i="1"/>
  <c r="O564" i="1"/>
  <c r="N564" i="1"/>
  <c r="M564" i="1"/>
  <c r="M567" i="1" s="1"/>
  <c r="L564" i="1"/>
  <c r="K564" i="1"/>
  <c r="J564" i="1"/>
  <c r="I564" i="1"/>
  <c r="H564" i="1"/>
  <c r="G564" i="1"/>
  <c r="F564" i="1"/>
  <c r="E564" i="1"/>
  <c r="AC564" i="1" s="1"/>
  <c r="AB563" i="1"/>
  <c r="AA563" i="1"/>
  <c r="AA567" i="1" s="1"/>
  <c r="Z563" i="1"/>
  <c r="Z567" i="1" s="1"/>
  <c r="Y563" i="1"/>
  <c r="Y567" i="1" s="1"/>
  <c r="X563" i="1"/>
  <c r="X567" i="1" s="1"/>
  <c r="W563" i="1"/>
  <c r="W567" i="1" s="1"/>
  <c r="V563" i="1"/>
  <c r="U563" i="1"/>
  <c r="T563" i="1"/>
  <c r="S563" i="1"/>
  <c r="S567" i="1" s="1"/>
  <c r="R563" i="1"/>
  <c r="R567" i="1" s="1"/>
  <c r="Q563" i="1"/>
  <c r="Q567" i="1" s="1"/>
  <c r="P563" i="1"/>
  <c r="P567" i="1" s="1"/>
  <c r="O563" i="1"/>
  <c r="O567" i="1" s="1"/>
  <c r="N563" i="1"/>
  <c r="M563" i="1"/>
  <c r="L563" i="1"/>
  <c r="K563" i="1"/>
  <c r="K567" i="1" s="1"/>
  <c r="J563" i="1"/>
  <c r="J567" i="1" s="1"/>
  <c r="I563" i="1"/>
  <c r="H563" i="1"/>
  <c r="H567" i="1" s="1"/>
  <c r="G563" i="1"/>
  <c r="G567" i="1" s="1"/>
  <c r="F563" i="1"/>
  <c r="E563" i="1"/>
  <c r="AC563" i="1" s="1"/>
  <c r="U562" i="1"/>
  <c r="M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C561" i="1" s="1"/>
  <c r="AB560" i="1"/>
  <c r="AA560" i="1"/>
  <c r="AA562" i="1" s="1"/>
  <c r="Z560" i="1"/>
  <c r="Y560" i="1"/>
  <c r="X560" i="1"/>
  <c r="W560" i="1"/>
  <c r="V560" i="1"/>
  <c r="U560" i="1"/>
  <c r="T560" i="1"/>
  <c r="S560" i="1"/>
  <c r="S562" i="1" s="1"/>
  <c r="R560" i="1"/>
  <c r="Q560" i="1"/>
  <c r="P560" i="1"/>
  <c r="O560" i="1"/>
  <c r="N560" i="1"/>
  <c r="M560" i="1"/>
  <c r="L560" i="1"/>
  <c r="K560" i="1"/>
  <c r="K562" i="1" s="1"/>
  <c r="J560" i="1"/>
  <c r="I560" i="1"/>
  <c r="H560" i="1"/>
  <c r="H562" i="1" s="1"/>
  <c r="G560" i="1"/>
  <c r="F560" i="1"/>
  <c r="E560" i="1"/>
  <c r="AC560" i="1" s="1"/>
  <c r="AB559" i="1"/>
  <c r="AB562" i="1" s="1"/>
  <c r="AA559" i="1"/>
  <c r="Z559" i="1"/>
  <c r="Y559" i="1"/>
  <c r="X559" i="1"/>
  <c r="W559" i="1"/>
  <c r="V559" i="1"/>
  <c r="U559" i="1"/>
  <c r="T559" i="1"/>
  <c r="T562" i="1" s="1"/>
  <c r="S559" i="1"/>
  <c r="R559" i="1"/>
  <c r="Q559" i="1"/>
  <c r="P559" i="1"/>
  <c r="O559" i="1"/>
  <c r="N559" i="1"/>
  <c r="M559" i="1"/>
  <c r="L559" i="1"/>
  <c r="L562" i="1" s="1"/>
  <c r="K559" i="1"/>
  <c r="J559" i="1"/>
  <c r="I559" i="1"/>
  <c r="H559" i="1"/>
  <c r="G559" i="1"/>
  <c r="F559" i="1"/>
  <c r="E559" i="1"/>
  <c r="AC559" i="1" s="1"/>
  <c r="AB558" i="1"/>
  <c r="AA558" i="1"/>
  <c r="Z558" i="1"/>
  <c r="Z562" i="1" s="1"/>
  <c r="Y558" i="1"/>
  <c r="Y562" i="1" s="1"/>
  <c r="X558" i="1"/>
  <c r="X562" i="1" s="1"/>
  <c r="W558" i="1"/>
  <c r="W562" i="1" s="1"/>
  <c r="V558" i="1"/>
  <c r="V562" i="1" s="1"/>
  <c r="U558" i="1"/>
  <c r="T558" i="1"/>
  <c r="S558" i="1"/>
  <c r="R558" i="1"/>
  <c r="R562" i="1" s="1"/>
  <c r="Q558" i="1"/>
  <c r="Q562" i="1" s="1"/>
  <c r="P558" i="1"/>
  <c r="P562" i="1" s="1"/>
  <c r="O558" i="1"/>
  <c r="O562" i="1" s="1"/>
  <c r="N558" i="1"/>
  <c r="N562" i="1" s="1"/>
  <c r="M558" i="1"/>
  <c r="L558" i="1"/>
  <c r="K558" i="1"/>
  <c r="J558" i="1"/>
  <c r="J562" i="1" s="1"/>
  <c r="I558" i="1"/>
  <c r="I562" i="1" s="1"/>
  <c r="H558" i="1"/>
  <c r="G558" i="1"/>
  <c r="G562" i="1" s="1"/>
  <c r="F558" i="1"/>
  <c r="F562" i="1" s="1"/>
  <c r="E558" i="1"/>
  <c r="AC558" i="1" s="1"/>
  <c r="AB557" i="1"/>
  <c r="T557" i="1"/>
  <c r="L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C556" i="1" s="1"/>
  <c r="AB555" i="1"/>
  <c r="AA555" i="1"/>
  <c r="Z555" i="1"/>
  <c r="Z557" i="1" s="1"/>
  <c r="Y555" i="1"/>
  <c r="X555" i="1"/>
  <c r="W555" i="1"/>
  <c r="V555" i="1"/>
  <c r="U555" i="1"/>
  <c r="T555" i="1"/>
  <c r="S555" i="1"/>
  <c r="R555" i="1"/>
  <c r="R557" i="1" s="1"/>
  <c r="Q555" i="1"/>
  <c r="P555" i="1"/>
  <c r="O555" i="1"/>
  <c r="N555" i="1"/>
  <c r="M555" i="1"/>
  <c r="L555" i="1"/>
  <c r="K555" i="1"/>
  <c r="J555" i="1"/>
  <c r="J557" i="1" s="1"/>
  <c r="I555" i="1"/>
  <c r="H555" i="1"/>
  <c r="G555" i="1"/>
  <c r="G557" i="1" s="1"/>
  <c r="F555" i="1"/>
  <c r="E555" i="1"/>
  <c r="AC555" i="1" s="1"/>
  <c r="AB554" i="1"/>
  <c r="AA554" i="1"/>
  <c r="AA557" i="1" s="1"/>
  <c r="Z554" i="1"/>
  <c r="Y554" i="1"/>
  <c r="X554" i="1"/>
  <c r="W554" i="1"/>
  <c r="V554" i="1"/>
  <c r="U554" i="1"/>
  <c r="T554" i="1"/>
  <c r="S554" i="1"/>
  <c r="S557" i="1" s="1"/>
  <c r="R554" i="1"/>
  <c r="Q554" i="1"/>
  <c r="P554" i="1"/>
  <c r="O554" i="1"/>
  <c r="N554" i="1"/>
  <c r="M554" i="1"/>
  <c r="L554" i="1"/>
  <c r="K554" i="1"/>
  <c r="K557" i="1" s="1"/>
  <c r="J554" i="1"/>
  <c r="I554" i="1"/>
  <c r="H554" i="1"/>
  <c r="G554" i="1"/>
  <c r="F554" i="1"/>
  <c r="E554" i="1"/>
  <c r="AC554" i="1" s="1"/>
  <c r="AB553" i="1"/>
  <c r="AA553" i="1"/>
  <c r="Z553" i="1"/>
  <c r="Y553" i="1"/>
  <c r="Y557" i="1" s="1"/>
  <c r="X553" i="1"/>
  <c r="X557" i="1" s="1"/>
  <c r="W553" i="1"/>
  <c r="W557" i="1" s="1"/>
  <c r="V553" i="1"/>
  <c r="V557" i="1" s="1"/>
  <c r="U553" i="1"/>
  <c r="U557" i="1" s="1"/>
  <c r="T553" i="1"/>
  <c r="S553" i="1"/>
  <c r="R553" i="1"/>
  <c r="Q553" i="1"/>
  <c r="Q557" i="1" s="1"/>
  <c r="P553" i="1"/>
  <c r="P557" i="1" s="1"/>
  <c r="O553" i="1"/>
  <c r="O557" i="1" s="1"/>
  <c r="N553" i="1"/>
  <c r="N557" i="1" s="1"/>
  <c r="M553" i="1"/>
  <c r="M557" i="1" s="1"/>
  <c r="L553" i="1"/>
  <c r="K553" i="1"/>
  <c r="J553" i="1"/>
  <c r="I553" i="1"/>
  <c r="I557" i="1" s="1"/>
  <c r="H553" i="1"/>
  <c r="H557" i="1" s="1"/>
  <c r="G553" i="1"/>
  <c r="F553" i="1"/>
  <c r="F557" i="1" s="1"/>
  <c r="E553" i="1"/>
  <c r="AC553" i="1" s="1"/>
  <c r="B553" i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W552" i="1"/>
  <c r="U552" i="1"/>
  <c r="O552" i="1"/>
  <c r="M552" i="1"/>
  <c r="G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C551" i="1" s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C550" i="1" s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C549" i="1" s="1"/>
  <c r="AB548" i="1"/>
  <c r="AB552" i="1" s="1"/>
  <c r="AA548" i="1"/>
  <c r="AA552" i="1" s="1"/>
  <c r="Z548" i="1"/>
  <c r="Z552" i="1" s="1"/>
  <c r="Y548" i="1"/>
  <c r="Y552" i="1" s="1"/>
  <c r="X548" i="1"/>
  <c r="X552" i="1" s="1"/>
  <c r="W548" i="1"/>
  <c r="V548" i="1"/>
  <c r="V552" i="1" s="1"/>
  <c r="U548" i="1"/>
  <c r="T548" i="1"/>
  <c r="T552" i="1" s="1"/>
  <c r="S548" i="1"/>
  <c r="S552" i="1" s="1"/>
  <c r="R548" i="1"/>
  <c r="R552" i="1" s="1"/>
  <c r="Q548" i="1"/>
  <c r="Q552" i="1" s="1"/>
  <c r="P548" i="1"/>
  <c r="P552" i="1" s="1"/>
  <c r="O548" i="1"/>
  <c r="N548" i="1"/>
  <c r="N552" i="1" s="1"/>
  <c r="M548" i="1"/>
  <c r="L548" i="1"/>
  <c r="L552" i="1" s="1"/>
  <c r="K548" i="1"/>
  <c r="K552" i="1" s="1"/>
  <c r="J548" i="1"/>
  <c r="J552" i="1" s="1"/>
  <c r="I548" i="1"/>
  <c r="I552" i="1" s="1"/>
  <c r="H548" i="1"/>
  <c r="H552" i="1" s="1"/>
  <c r="G548" i="1"/>
  <c r="F548" i="1"/>
  <c r="F552" i="1" s="1"/>
  <c r="E548" i="1"/>
  <c r="AC548" i="1" s="1"/>
  <c r="AB547" i="1"/>
  <c r="V547" i="1"/>
  <c r="T547" i="1"/>
  <c r="N547" i="1"/>
  <c r="L547" i="1"/>
  <c r="F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C546" i="1" s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C545" i="1" s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C544" i="1" s="1"/>
  <c r="AB543" i="1"/>
  <c r="AA543" i="1"/>
  <c r="AA547" i="1" s="1"/>
  <c r="Z543" i="1"/>
  <c r="Z547" i="1" s="1"/>
  <c r="Y543" i="1"/>
  <c r="Y547" i="1" s="1"/>
  <c r="X543" i="1"/>
  <c r="X547" i="1" s="1"/>
  <c r="W543" i="1"/>
  <c r="W547" i="1" s="1"/>
  <c r="V543" i="1"/>
  <c r="U543" i="1"/>
  <c r="U547" i="1" s="1"/>
  <c r="T543" i="1"/>
  <c r="S543" i="1"/>
  <c r="S547" i="1" s="1"/>
  <c r="R543" i="1"/>
  <c r="R547" i="1" s="1"/>
  <c r="Q543" i="1"/>
  <c r="Q547" i="1" s="1"/>
  <c r="P543" i="1"/>
  <c r="P547" i="1" s="1"/>
  <c r="O543" i="1"/>
  <c r="O547" i="1" s="1"/>
  <c r="N543" i="1"/>
  <c r="M543" i="1"/>
  <c r="M547" i="1" s="1"/>
  <c r="L543" i="1"/>
  <c r="K543" i="1"/>
  <c r="K547" i="1" s="1"/>
  <c r="J543" i="1"/>
  <c r="J547" i="1" s="1"/>
  <c r="I543" i="1"/>
  <c r="I547" i="1" s="1"/>
  <c r="H543" i="1"/>
  <c r="H547" i="1" s="1"/>
  <c r="G543" i="1"/>
  <c r="G547" i="1" s="1"/>
  <c r="F543" i="1"/>
  <c r="E543" i="1"/>
  <c r="AC543" i="1" s="1"/>
  <c r="AA542" i="1"/>
  <c r="U542" i="1"/>
  <c r="S542" i="1"/>
  <c r="M542" i="1"/>
  <c r="K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C541" i="1" s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C540" i="1" s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F542" i="1" s="1"/>
  <c r="E539" i="1"/>
  <c r="AC539" i="1" s="1"/>
  <c r="AB538" i="1"/>
  <c r="AB542" i="1" s="1"/>
  <c r="AA538" i="1"/>
  <c r="Z538" i="1"/>
  <c r="Z542" i="1" s="1"/>
  <c r="Y538" i="1"/>
  <c r="Y542" i="1" s="1"/>
  <c r="X538" i="1"/>
  <c r="X542" i="1" s="1"/>
  <c r="W538" i="1"/>
  <c r="W542" i="1" s="1"/>
  <c r="V538" i="1"/>
  <c r="V542" i="1" s="1"/>
  <c r="U538" i="1"/>
  <c r="T538" i="1"/>
  <c r="T542" i="1" s="1"/>
  <c r="S538" i="1"/>
  <c r="R538" i="1"/>
  <c r="R542" i="1" s="1"/>
  <c r="Q538" i="1"/>
  <c r="Q542" i="1" s="1"/>
  <c r="P538" i="1"/>
  <c r="P542" i="1" s="1"/>
  <c r="O538" i="1"/>
  <c r="O542" i="1" s="1"/>
  <c r="N538" i="1"/>
  <c r="N542" i="1" s="1"/>
  <c r="M538" i="1"/>
  <c r="L538" i="1"/>
  <c r="L542" i="1" s="1"/>
  <c r="K538" i="1"/>
  <c r="J538" i="1"/>
  <c r="J542" i="1" s="1"/>
  <c r="I538" i="1"/>
  <c r="I542" i="1" s="1"/>
  <c r="H538" i="1"/>
  <c r="H542" i="1" s="1"/>
  <c r="G538" i="1"/>
  <c r="G542" i="1" s="1"/>
  <c r="F538" i="1"/>
  <c r="E538" i="1"/>
  <c r="AC538" i="1" s="1"/>
  <c r="AB537" i="1"/>
  <c r="Z537" i="1"/>
  <c r="T537" i="1"/>
  <c r="R537" i="1"/>
  <c r="L537" i="1"/>
  <c r="J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C536" i="1" s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C535" i="1" s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M537" i="1" s="1"/>
  <c r="L534" i="1"/>
  <c r="K534" i="1"/>
  <c r="J534" i="1"/>
  <c r="I534" i="1"/>
  <c r="H534" i="1"/>
  <c r="G534" i="1"/>
  <c r="F534" i="1"/>
  <c r="E534" i="1"/>
  <c r="AC534" i="1" s="1"/>
  <c r="AB533" i="1"/>
  <c r="AA533" i="1"/>
  <c r="AA537" i="1" s="1"/>
  <c r="Z533" i="1"/>
  <c r="Y533" i="1"/>
  <c r="Y537" i="1" s="1"/>
  <c r="X533" i="1"/>
  <c r="X537" i="1" s="1"/>
  <c r="W533" i="1"/>
  <c r="W537" i="1" s="1"/>
  <c r="V533" i="1"/>
  <c r="V537" i="1" s="1"/>
  <c r="U533" i="1"/>
  <c r="U537" i="1" s="1"/>
  <c r="T533" i="1"/>
  <c r="S533" i="1"/>
  <c r="S537" i="1" s="1"/>
  <c r="R533" i="1"/>
  <c r="Q533" i="1"/>
  <c r="Q537" i="1" s="1"/>
  <c r="P533" i="1"/>
  <c r="P537" i="1" s="1"/>
  <c r="O533" i="1"/>
  <c r="O537" i="1" s="1"/>
  <c r="N533" i="1"/>
  <c r="N537" i="1" s="1"/>
  <c r="M533" i="1"/>
  <c r="L533" i="1"/>
  <c r="K533" i="1"/>
  <c r="K537" i="1" s="1"/>
  <c r="J533" i="1"/>
  <c r="I533" i="1"/>
  <c r="I537" i="1" s="1"/>
  <c r="H533" i="1"/>
  <c r="H537" i="1" s="1"/>
  <c r="G533" i="1"/>
  <c r="G537" i="1" s="1"/>
  <c r="F533" i="1"/>
  <c r="F537" i="1" s="1"/>
  <c r="E533" i="1"/>
  <c r="AC533" i="1" s="1"/>
  <c r="AA532" i="1"/>
  <c r="Y532" i="1"/>
  <c r="S532" i="1"/>
  <c r="Q532" i="1"/>
  <c r="K532" i="1"/>
  <c r="I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C531" i="1" s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C530" i="1" s="1"/>
  <c r="AB529" i="1"/>
  <c r="AB532" i="1" s="1"/>
  <c r="AA529" i="1"/>
  <c r="Z529" i="1"/>
  <c r="Y529" i="1"/>
  <c r="X529" i="1"/>
  <c r="W529" i="1"/>
  <c r="V529" i="1"/>
  <c r="U529" i="1"/>
  <c r="T529" i="1"/>
  <c r="T532" i="1" s="1"/>
  <c r="S529" i="1"/>
  <c r="R529" i="1"/>
  <c r="Q529" i="1"/>
  <c r="P529" i="1"/>
  <c r="O529" i="1"/>
  <c r="N529" i="1"/>
  <c r="M529" i="1"/>
  <c r="L529" i="1"/>
  <c r="L532" i="1" s="1"/>
  <c r="K529" i="1"/>
  <c r="J529" i="1"/>
  <c r="I529" i="1"/>
  <c r="H529" i="1"/>
  <c r="G529" i="1"/>
  <c r="F529" i="1"/>
  <c r="E529" i="1"/>
  <c r="AC529" i="1" s="1"/>
  <c r="AB528" i="1"/>
  <c r="AA528" i="1"/>
  <c r="Z528" i="1"/>
  <c r="Z532" i="1" s="1"/>
  <c r="Y528" i="1"/>
  <c r="X528" i="1"/>
  <c r="X532" i="1" s="1"/>
  <c r="W528" i="1"/>
  <c r="W532" i="1" s="1"/>
  <c r="V528" i="1"/>
  <c r="V532" i="1" s="1"/>
  <c r="U528" i="1"/>
  <c r="U532" i="1" s="1"/>
  <c r="T528" i="1"/>
  <c r="S528" i="1"/>
  <c r="R528" i="1"/>
  <c r="R532" i="1" s="1"/>
  <c r="Q528" i="1"/>
  <c r="P528" i="1"/>
  <c r="P532" i="1" s="1"/>
  <c r="O528" i="1"/>
  <c r="O532" i="1" s="1"/>
  <c r="N528" i="1"/>
  <c r="N532" i="1" s="1"/>
  <c r="M528" i="1"/>
  <c r="M532" i="1" s="1"/>
  <c r="L528" i="1"/>
  <c r="K528" i="1"/>
  <c r="J528" i="1"/>
  <c r="J532" i="1" s="1"/>
  <c r="I528" i="1"/>
  <c r="H528" i="1"/>
  <c r="H532" i="1" s="1"/>
  <c r="G528" i="1"/>
  <c r="G532" i="1" s="1"/>
  <c r="F528" i="1"/>
  <c r="F532" i="1" s="1"/>
  <c r="E528" i="1"/>
  <c r="AC528" i="1" s="1"/>
  <c r="Z527" i="1"/>
  <c r="X527" i="1"/>
  <c r="R527" i="1"/>
  <c r="P527" i="1"/>
  <c r="J527" i="1"/>
  <c r="H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C526" i="1" s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C525" i="1" s="1"/>
  <c r="AB524" i="1"/>
  <c r="AA524" i="1"/>
  <c r="Z524" i="1"/>
  <c r="Y524" i="1"/>
  <c r="X524" i="1"/>
  <c r="W524" i="1"/>
  <c r="V524" i="1"/>
  <c r="U524" i="1"/>
  <c r="T524" i="1"/>
  <c r="S524" i="1"/>
  <c r="S527" i="1" s="1"/>
  <c r="R524" i="1"/>
  <c r="Q524" i="1"/>
  <c r="P524" i="1"/>
  <c r="O524" i="1"/>
  <c r="N524" i="1"/>
  <c r="M524" i="1"/>
  <c r="L524" i="1"/>
  <c r="K524" i="1"/>
  <c r="K527" i="1" s="1"/>
  <c r="J524" i="1"/>
  <c r="I524" i="1"/>
  <c r="H524" i="1"/>
  <c r="G524" i="1"/>
  <c r="F524" i="1"/>
  <c r="F527" i="1" s="1"/>
  <c r="E524" i="1"/>
  <c r="AC524" i="1" s="1"/>
  <c r="AB523" i="1"/>
  <c r="AB527" i="1" s="1"/>
  <c r="AA523" i="1"/>
  <c r="AA527" i="1" s="1"/>
  <c r="Z523" i="1"/>
  <c r="Y523" i="1"/>
  <c r="Y527" i="1" s="1"/>
  <c r="X523" i="1"/>
  <c r="W523" i="1"/>
  <c r="W527" i="1" s="1"/>
  <c r="V523" i="1"/>
  <c r="V527" i="1" s="1"/>
  <c r="U523" i="1"/>
  <c r="U527" i="1" s="1"/>
  <c r="T523" i="1"/>
  <c r="T527" i="1" s="1"/>
  <c r="S523" i="1"/>
  <c r="R523" i="1"/>
  <c r="Q523" i="1"/>
  <c r="Q527" i="1" s="1"/>
  <c r="P523" i="1"/>
  <c r="O523" i="1"/>
  <c r="O527" i="1" s="1"/>
  <c r="N523" i="1"/>
  <c r="N527" i="1" s="1"/>
  <c r="M523" i="1"/>
  <c r="M527" i="1" s="1"/>
  <c r="L523" i="1"/>
  <c r="L527" i="1" s="1"/>
  <c r="K523" i="1"/>
  <c r="J523" i="1"/>
  <c r="I523" i="1"/>
  <c r="I527" i="1" s="1"/>
  <c r="H523" i="1"/>
  <c r="G523" i="1"/>
  <c r="G527" i="1" s="1"/>
  <c r="F523" i="1"/>
  <c r="E523" i="1"/>
  <c r="AC523" i="1" s="1"/>
  <c r="Y522" i="1"/>
  <c r="W522" i="1"/>
  <c r="Q522" i="1"/>
  <c r="O522" i="1"/>
  <c r="I522" i="1"/>
  <c r="G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C521" i="1" s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C520" i="1" s="1"/>
  <c r="AB519" i="1"/>
  <c r="AA519" i="1"/>
  <c r="Z519" i="1"/>
  <c r="Y519" i="1"/>
  <c r="X519" i="1"/>
  <c r="W519" i="1"/>
  <c r="V519" i="1"/>
  <c r="U519" i="1"/>
  <c r="U522" i="1" s="1"/>
  <c r="T519" i="1"/>
  <c r="S519" i="1"/>
  <c r="R519" i="1"/>
  <c r="R522" i="1" s="1"/>
  <c r="Q519" i="1"/>
  <c r="P519" i="1"/>
  <c r="O519" i="1"/>
  <c r="N519" i="1"/>
  <c r="M519" i="1"/>
  <c r="M522" i="1" s="1"/>
  <c r="L519" i="1"/>
  <c r="K519" i="1"/>
  <c r="J519" i="1"/>
  <c r="J522" i="1" s="1"/>
  <c r="I519" i="1"/>
  <c r="H519" i="1"/>
  <c r="G519" i="1"/>
  <c r="F519" i="1"/>
  <c r="E519" i="1"/>
  <c r="AC519" i="1" s="1"/>
  <c r="AB518" i="1"/>
  <c r="AB522" i="1" s="1"/>
  <c r="AA518" i="1"/>
  <c r="AA522" i="1" s="1"/>
  <c r="Z518" i="1"/>
  <c r="Z522" i="1" s="1"/>
  <c r="Y518" i="1"/>
  <c r="X518" i="1"/>
  <c r="X522" i="1" s="1"/>
  <c r="W518" i="1"/>
  <c r="V518" i="1"/>
  <c r="V522" i="1" s="1"/>
  <c r="U518" i="1"/>
  <c r="T518" i="1"/>
  <c r="T522" i="1" s="1"/>
  <c r="S518" i="1"/>
  <c r="S522" i="1" s="1"/>
  <c r="R518" i="1"/>
  <c r="Q518" i="1"/>
  <c r="P518" i="1"/>
  <c r="P522" i="1" s="1"/>
  <c r="O518" i="1"/>
  <c r="N518" i="1"/>
  <c r="N522" i="1" s="1"/>
  <c r="M518" i="1"/>
  <c r="L518" i="1"/>
  <c r="L522" i="1" s="1"/>
  <c r="K518" i="1"/>
  <c r="K522" i="1" s="1"/>
  <c r="J518" i="1"/>
  <c r="I518" i="1"/>
  <c r="H518" i="1"/>
  <c r="H522" i="1" s="1"/>
  <c r="G518" i="1"/>
  <c r="F518" i="1"/>
  <c r="F522" i="1" s="1"/>
  <c r="E518" i="1"/>
  <c r="AC518" i="1" s="1"/>
  <c r="X517" i="1"/>
  <c r="V517" i="1"/>
  <c r="P517" i="1"/>
  <c r="N517" i="1"/>
  <c r="H517" i="1"/>
  <c r="F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C516" i="1" s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C515" i="1" s="1"/>
  <c r="AB514" i="1"/>
  <c r="AB517" i="1" s="1"/>
  <c r="AA514" i="1"/>
  <c r="Z514" i="1"/>
  <c r="Y514" i="1"/>
  <c r="X514" i="1"/>
  <c r="W514" i="1"/>
  <c r="V514" i="1"/>
  <c r="U514" i="1"/>
  <c r="T514" i="1"/>
  <c r="T517" i="1" s="1"/>
  <c r="S514" i="1"/>
  <c r="R514" i="1"/>
  <c r="Q514" i="1"/>
  <c r="P514" i="1"/>
  <c r="O514" i="1"/>
  <c r="N514" i="1"/>
  <c r="M514" i="1"/>
  <c r="L514" i="1"/>
  <c r="L517" i="1" s="1"/>
  <c r="K514" i="1"/>
  <c r="J514" i="1"/>
  <c r="I514" i="1"/>
  <c r="I517" i="1" s="1"/>
  <c r="H514" i="1"/>
  <c r="G514" i="1"/>
  <c r="F514" i="1"/>
  <c r="E514" i="1"/>
  <c r="AC514" i="1" s="1"/>
  <c r="AB513" i="1"/>
  <c r="AA513" i="1"/>
  <c r="AA517" i="1" s="1"/>
  <c r="Z513" i="1"/>
  <c r="Z517" i="1" s="1"/>
  <c r="Y513" i="1"/>
  <c r="Y517" i="1" s="1"/>
  <c r="X513" i="1"/>
  <c r="W513" i="1"/>
  <c r="W517" i="1" s="1"/>
  <c r="V513" i="1"/>
  <c r="U513" i="1"/>
  <c r="U517" i="1" s="1"/>
  <c r="T513" i="1"/>
  <c r="S513" i="1"/>
  <c r="S517" i="1" s="1"/>
  <c r="R513" i="1"/>
  <c r="R517" i="1" s="1"/>
  <c r="Q513" i="1"/>
  <c r="Q517" i="1" s="1"/>
  <c r="P513" i="1"/>
  <c r="O513" i="1"/>
  <c r="O517" i="1" s="1"/>
  <c r="N513" i="1"/>
  <c r="M513" i="1"/>
  <c r="M517" i="1" s="1"/>
  <c r="L513" i="1"/>
  <c r="K513" i="1"/>
  <c r="K517" i="1" s="1"/>
  <c r="J513" i="1"/>
  <c r="J517" i="1" s="1"/>
  <c r="I513" i="1"/>
  <c r="H513" i="1"/>
  <c r="G513" i="1"/>
  <c r="G517" i="1" s="1"/>
  <c r="F513" i="1"/>
  <c r="E513" i="1"/>
  <c r="E517" i="1" s="1"/>
  <c r="W512" i="1"/>
  <c r="U512" i="1"/>
  <c r="O512" i="1"/>
  <c r="M512" i="1"/>
  <c r="G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C511" i="1" s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C510" i="1" s="1"/>
  <c r="AB509" i="1"/>
  <c r="AA509" i="1"/>
  <c r="AA512" i="1" s="1"/>
  <c r="Z509" i="1"/>
  <c r="Y509" i="1"/>
  <c r="X509" i="1"/>
  <c r="W509" i="1"/>
  <c r="V509" i="1"/>
  <c r="U509" i="1"/>
  <c r="T509" i="1"/>
  <c r="S509" i="1"/>
  <c r="S512" i="1" s="1"/>
  <c r="R509" i="1"/>
  <c r="Q509" i="1"/>
  <c r="P509" i="1"/>
  <c r="O509" i="1"/>
  <c r="N509" i="1"/>
  <c r="M509" i="1"/>
  <c r="L509" i="1"/>
  <c r="K509" i="1"/>
  <c r="K512" i="1" s="1"/>
  <c r="J509" i="1"/>
  <c r="I509" i="1"/>
  <c r="H509" i="1"/>
  <c r="H512" i="1" s="1"/>
  <c r="G509" i="1"/>
  <c r="F509" i="1"/>
  <c r="E509" i="1"/>
  <c r="AC509" i="1" s="1"/>
  <c r="AB508" i="1"/>
  <c r="AB512" i="1" s="1"/>
  <c r="AA508" i="1"/>
  <c r="Z508" i="1"/>
  <c r="Z512" i="1" s="1"/>
  <c r="Y508" i="1"/>
  <c r="Y512" i="1" s="1"/>
  <c r="X508" i="1"/>
  <c r="X512" i="1" s="1"/>
  <c r="W508" i="1"/>
  <c r="V508" i="1"/>
  <c r="V512" i="1" s="1"/>
  <c r="U508" i="1"/>
  <c r="T508" i="1"/>
  <c r="T512" i="1" s="1"/>
  <c r="S508" i="1"/>
  <c r="R508" i="1"/>
  <c r="R512" i="1" s="1"/>
  <c r="Q508" i="1"/>
  <c r="Q512" i="1" s="1"/>
  <c r="P508" i="1"/>
  <c r="P512" i="1" s="1"/>
  <c r="O508" i="1"/>
  <c r="N508" i="1"/>
  <c r="N512" i="1" s="1"/>
  <c r="M508" i="1"/>
  <c r="L508" i="1"/>
  <c r="L512" i="1" s="1"/>
  <c r="K508" i="1"/>
  <c r="J508" i="1"/>
  <c r="J512" i="1" s="1"/>
  <c r="I508" i="1"/>
  <c r="I512" i="1" s="1"/>
  <c r="H508" i="1"/>
  <c r="G508" i="1"/>
  <c r="F508" i="1"/>
  <c r="F512" i="1" s="1"/>
  <c r="E508" i="1"/>
  <c r="AC508" i="1" s="1"/>
  <c r="AB507" i="1"/>
  <c r="V507" i="1"/>
  <c r="T507" i="1"/>
  <c r="N507" i="1"/>
  <c r="L507" i="1"/>
  <c r="F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6" i="1" s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5" i="1" s="1"/>
  <c r="AB504" i="1"/>
  <c r="AA504" i="1"/>
  <c r="Z504" i="1"/>
  <c r="Z507" i="1" s="1"/>
  <c r="Y504" i="1"/>
  <c r="X504" i="1"/>
  <c r="W504" i="1"/>
  <c r="V504" i="1"/>
  <c r="U504" i="1"/>
  <c r="T504" i="1"/>
  <c r="S504" i="1"/>
  <c r="R504" i="1"/>
  <c r="R507" i="1" s="1"/>
  <c r="Q504" i="1"/>
  <c r="P504" i="1"/>
  <c r="O504" i="1"/>
  <c r="N504" i="1"/>
  <c r="M504" i="1"/>
  <c r="L504" i="1"/>
  <c r="K504" i="1"/>
  <c r="J504" i="1"/>
  <c r="J507" i="1" s="1"/>
  <c r="I504" i="1"/>
  <c r="H504" i="1"/>
  <c r="G504" i="1"/>
  <c r="F504" i="1"/>
  <c r="E504" i="1"/>
  <c r="AC504" i="1" s="1"/>
  <c r="AB503" i="1"/>
  <c r="AA503" i="1"/>
  <c r="AA507" i="1" s="1"/>
  <c r="Z503" i="1"/>
  <c r="Y503" i="1"/>
  <c r="Y507" i="1" s="1"/>
  <c r="X503" i="1"/>
  <c r="X507" i="1" s="1"/>
  <c r="W503" i="1"/>
  <c r="W507" i="1" s="1"/>
  <c r="V503" i="1"/>
  <c r="U503" i="1"/>
  <c r="U507" i="1" s="1"/>
  <c r="T503" i="1"/>
  <c r="S503" i="1"/>
  <c r="S507" i="1" s="1"/>
  <c r="R503" i="1"/>
  <c r="Q503" i="1"/>
  <c r="Q507" i="1" s="1"/>
  <c r="P503" i="1"/>
  <c r="P507" i="1" s="1"/>
  <c r="O503" i="1"/>
  <c r="O507" i="1" s="1"/>
  <c r="N503" i="1"/>
  <c r="M503" i="1"/>
  <c r="M507" i="1" s="1"/>
  <c r="L503" i="1"/>
  <c r="K503" i="1"/>
  <c r="K507" i="1" s="1"/>
  <c r="J503" i="1"/>
  <c r="I503" i="1"/>
  <c r="I507" i="1" s="1"/>
  <c r="H503" i="1"/>
  <c r="H507" i="1" s="1"/>
  <c r="G503" i="1"/>
  <c r="G507" i="1" s="1"/>
  <c r="F503" i="1"/>
  <c r="E503" i="1"/>
  <c r="AC503" i="1" s="1"/>
  <c r="AA502" i="1"/>
  <c r="U502" i="1"/>
  <c r="S502" i="1"/>
  <c r="M502" i="1"/>
  <c r="K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C501" i="1" s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C500" i="1" s="1"/>
  <c r="AB499" i="1"/>
  <c r="AA499" i="1"/>
  <c r="Z499" i="1"/>
  <c r="Y499" i="1"/>
  <c r="Y502" i="1" s="1"/>
  <c r="X499" i="1"/>
  <c r="W499" i="1"/>
  <c r="V499" i="1"/>
  <c r="U499" i="1"/>
  <c r="T499" i="1"/>
  <c r="S499" i="1"/>
  <c r="R499" i="1"/>
  <c r="Q499" i="1"/>
  <c r="Q502" i="1" s="1"/>
  <c r="P499" i="1"/>
  <c r="O499" i="1"/>
  <c r="N499" i="1"/>
  <c r="M499" i="1"/>
  <c r="L499" i="1"/>
  <c r="K499" i="1"/>
  <c r="J499" i="1"/>
  <c r="I499" i="1"/>
  <c r="I502" i="1" s="1"/>
  <c r="H499" i="1"/>
  <c r="G499" i="1"/>
  <c r="F499" i="1"/>
  <c r="E499" i="1"/>
  <c r="AC499" i="1" s="1"/>
  <c r="AB498" i="1"/>
  <c r="AB502" i="1" s="1"/>
  <c r="AA498" i="1"/>
  <c r="Z498" i="1"/>
  <c r="Z502" i="1" s="1"/>
  <c r="Y498" i="1"/>
  <c r="X498" i="1"/>
  <c r="X502" i="1" s="1"/>
  <c r="W498" i="1"/>
  <c r="W502" i="1" s="1"/>
  <c r="V498" i="1"/>
  <c r="V502" i="1" s="1"/>
  <c r="U498" i="1"/>
  <c r="T498" i="1"/>
  <c r="T502" i="1" s="1"/>
  <c r="S498" i="1"/>
  <c r="R498" i="1"/>
  <c r="R502" i="1" s="1"/>
  <c r="Q498" i="1"/>
  <c r="P498" i="1"/>
  <c r="P502" i="1" s="1"/>
  <c r="O498" i="1"/>
  <c r="O502" i="1" s="1"/>
  <c r="N498" i="1"/>
  <c r="N502" i="1" s="1"/>
  <c r="M498" i="1"/>
  <c r="L498" i="1"/>
  <c r="L502" i="1" s="1"/>
  <c r="K498" i="1"/>
  <c r="J498" i="1"/>
  <c r="J502" i="1" s="1"/>
  <c r="I498" i="1"/>
  <c r="H498" i="1"/>
  <c r="H502" i="1" s="1"/>
  <c r="G498" i="1"/>
  <c r="G502" i="1" s="1"/>
  <c r="F498" i="1"/>
  <c r="F502" i="1" s="1"/>
  <c r="E498" i="1"/>
  <c r="AC498" i="1" s="1"/>
  <c r="AB497" i="1"/>
  <c r="Z497" i="1"/>
  <c r="T497" i="1"/>
  <c r="R497" i="1"/>
  <c r="L497" i="1"/>
  <c r="J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C496" i="1" s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C495" i="1" s="1"/>
  <c r="AB494" i="1"/>
  <c r="AA494" i="1"/>
  <c r="Z494" i="1"/>
  <c r="Y494" i="1"/>
  <c r="X494" i="1"/>
  <c r="X497" i="1" s="1"/>
  <c r="W494" i="1"/>
  <c r="V494" i="1"/>
  <c r="U494" i="1"/>
  <c r="T494" i="1"/>
  <c r="S494" i="1"/>
  <c r="R494" i="1"/>
  <c r="Q494" i="1"/>
  <c r="P494" i="1"/>
  <c r="P497" i="1" s="1"/>
  <c r="O494" i="1"/>
  <c r="N494" i="1"/>
  <c r="M494" i="1"/>
  <c r="L494" i="1"/>
  <c r="K494" i="1"/>
  <c r="J494" i="1"/>
  <c r="I494" i="1"/>
  <c r="H494" i="1"/>
  <c r="H497" i="1" s="1"/>
  <c r="G494" i="1"/>
  <c r="F494" i="1"/>
  <c r="E494" i="1"/>
  <c r="AC494" i="1" s="1"/>
  <c r="AB493" i="1"/>
  <c r="AA493" i="1"/>
  <c r="AA497" i="1" s="1"/>
  <c r="Z493" i="1"/>
  <c r="Y493" i="1"/>
  <c r="Y497" i="1" s="1"/>
  <c r="X493" i="1"/>
  <c r="W493" i="1"/>
  <c r="W497" i="1" s="1"/>
  <c r="V493" i="1"/>
  <c r="V497" i="1" s="1"/>
  <c r="U493" i="1"/>
  <c r="U497" i="1" s="1"/>
  <c r="T493" i="1"/>
  <c r="S493" i="1"/>
  <c r="S497" i="1" s="1"/>
  <c r="R493" i="1"/>
  <c r="Q493" i="1"/>
  <c r="Q497" i="1" s="1"/>
  <c r="P493" i="1"/>
  <c r="O493" i="1"/>
  <c r="O497" i="1" s="1"/>
  <c r="N493" i="1"/>
  <c r="N497" i="1" s="1"/>
  <c r="M493" i="1"/>
  <c r="M497" i="1" s="1"/>
  <c r="L493" i="1"/>
  <c r="K493" i="1"/>
  <c r="K497" i="1" s="1"/>
  <c r="J493" i="1"/>
  <c r="I493" i="1"/>
  <c r="I497" i="1" s="1"/>
  <c r="H493" i="1"/>
  <c r="G493" i="1"/>
  <c r="G497" i="1" s="1"/>
  <c r="F493" i="1"/>
  <c r="F497" i="1" s="1"/>
  <c r="E493" i="1"/>
  <c r="AC493" i="1" s="1"/>
  <c r="B493" i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V492" i="1"/>
  <c r="N492" i="1"/>
  <c r="G492" i="1"/>
  <c r="F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H492" i="1" s="1"/>
  <c r="G491" i="1"/>
  <c r="F491" i="1"/>
  <c r="E491" i="1"/>
  <c r="AC491" i="1" s="1"/>
  <c r="AB490" i="1"/>
  <c r="AA490" i="1"/>
  <c r="Z490" i="1"/>
  <c r="Y490" i="1"/>
  <c r="Y492" i="1" s="1"/>
  <c r="X490" i="1"/>
  <c r="W490" i="1"/>
  <c r="V490" i="1"/>
  <c r="U490" i="1"/>
  <c r="T490" i="1"/>
  <c r="S490" i="1"/>
  <c r="R490" i="1"/>
  <c r="Q490" i="1"/>
  <c r="Q492" i="1" s="1"/>
  <c r="P490" i="1"/>
  <c r="O490" i="1"/>
  <c r="N490" i="1"/>
  <c r="M490" i="1"/>
  <c r="L490" i="1"/>
  <c r="K490" i="1"/>
  <c r="J490" i="1"/>
  <c r="I490" i="1"/>
  <c r="I492" i="1" s="1"/>
  <c r="H490" i="1"/>
  <c r="G490" i="1"/>
  <c r="F490" i="1"/>
  <c r="E490" i="1"/>
  <c r="AC490" i="1" s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C489" i="1" s="1"/>
  <c r="AB488" i="1"/>
  <c r="AB492" i="1" s="1"/>
  <c r="AA488" i="1"/>
  <c r="AA492" i="1" s="1"/>
  <c r="Z488" i="1"/>
  <c r="Z492" i="1" s="1"/>
  <c r="Y488" i="1"/>
  <c r="X488" i="1"/>
  <c r="X492" i="1" s="1"/>
  <c r="W488" i="1"/>
  <c r="W492" i="1" s="1"/>
  <c r="V488" i="1"/>
  <c r="U488" i="1"/>
  <c r="U492" i="1" s="1"/>
  <c r="T488" i="1"/>
  <c r="T492" i="1" s="1"/>
  <c r="S488" i="1"/>
  <c r="S492" i="1" s="1"/>
  <c r="R488" i="1"/>
  <c r="R492" i="1" s="1"/>
  <c r="Q488" i="1"/>
  <c r="P488" i="1"/>
  <c r="P492" i="1" s="1"/>
  <c r="O488" i="1"/>
  <c r="O492" i="1" s="1"/>
  <c r="N488" i="1"/>
  <c r="M488" i="1"/>
  <c r="M492" i="1" s="1"/>
  <c r="L488" i="1"/>
  <c r="L492" i="1" s="1"/>
  <c r="K488" i="1"/>
  <c r="K492" i="1" s="1"/>
  <c r="J488" i="1"/>
  <c r="J492" i="1" s="1"/>
  <c r="I488" i="1"/>
  <c r="H488" i="1"/>
  <c r="G488" i="1"/>
  <c r="F488" i="1"/>
  <c r="E488" i="1"/>
  <c r="E492" i="1" s="1"/>
  <c r="V487" i="1"/>
  <c r="U487" i="1"/>
  <c r="N487" i="1"/>
  <c r="M487" i="1"/>
  <c r="F487" i="1"/>
  <c r="E487" i="1"/>
  <c r="AB486" i="1"/>
  <c r="AA486" i="1"/>
  <c r="Z486" i="1"/>
  <c r="Y486" i="1"/>
  <c r="X486" i="1"/>
  <c r="W486" i="1"/>
  <c r="W487" i="1" s="1"/>
  <c r="V486" i="1"/>
  <c r="U486" i="1"/>
  <c r="T486" i="1"/>
  <c r="S486" i="1"/>
  <c r="R486" i="1"/>
  <c r="Q486" i="1"/>
  <c r="P486" i="1"/>
  <c r="O486" i="1"/>
  <c r="O487" i="1" s="1"/>
  <c r="N486" i="1"/>
  <c r="M486" i="1"/>
  <c r="L486" i="1"/>
  <c r="K486" i="1"/>
  <c r="J486" i="1"/>
  <c r="I486" i="1"/>
  <c r="H486" i="1"/>
  <c r="G486" i="1"/>
  <c r="G487" i="1" s="1"/>
  <c r="F486" i="1"/>
  <c r="E486" i="1"/>
  <c r="AC486" i="1" s="1"/>
  <c r="AB485" i="1"/>
  <c r="AA485" i="1"/>
  <c r="Z485" i="1"/>
  <c r="Y485" i="1"/>
  <c r="X485" i="1"/>
  <c r="X487" i="1" s="1"/>
  <c r="W485" i="1"/>
  <c r="V485" i="1"/>
  <c r="U485" i="1"/>
  <c r="T485" i="1"/>
  <c r="S485" i="1"/>
  <c r="R485" i="1"/>
  <c r="Q485" i="1"/>
  <c r="P485" i="1"/>
  <c r="P487" i="1" s="1"/>
  <c r="O485" i="1"/>
  <c r="N485" i="1"/>
  <c r="M485" i="1"/>
  <c r="L485" i="1"/>
  <c r="K485" i="1"/>
  <c r="J485" i="1"/>
  <c r="I485" i="1"/>
  <c r="H485" i="1"/>
  <c r="H487" i="1" s="1"/>
  <c r="G485" i="1"/>
  <c r="F485" i="1"/>
  <c r="E485" i="1"/>
  <c r="AC485" i="1" s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C484" i="1" s="1"/>
  <c r="AB483" i="1"/>
  <c r="AB487" i="1" s="1"/>
  <c r="AA483" i="1"/>
  <c r="AA487" i="1" s="1"/>
  <c r="Z483" i="1"/>
  <c r="Z487" i="1" s="1"/>
  <c r="Y483" i="1"/>
  <c r="Y487" i="1" s="1"/>
  <c r="X483" i="1"/>
  <c r="W483" i="1"/>
  <c r="V483" i="1"/>
  <c r="U483" i="1"/>
  <c r="T483" i="1"/>
  <c r="T487" i="1" s="1"/>
  <c r="S483" i="1"/>
  <c r="S487" i="1" s="1"/>
  <c r="R483" i="1"/>
  <c r="R487" i="1" s="1"/>
  <c r="Q483" i="1"/>
  <c r="Q487" i="1" s="1"/>
  <c r="P483" i="1"/>
  <c r="O483" i="1"/>
  <c r="N483" i="1"/>
  <c r="M483" i="1"/>
  <c r="L483" i="1"/>
  <c r="L487" i="1" s="1"/>
  <c r="K483" i="1"/>
  <c r="K487" i="1" s="1"/>
  <c r="J483" i="1"/>
  <c r="AC483" i="1" s="1"/>
  <c r="I483" i="1"/>
  <c r="I487" i="1" s="1"/>
  <c r="H483" i="1"/>
  <c r="G483" i="1"/>
  <c r="F483" i="1"/>
  <c r="E483" i="1"/>
  <c r="AB482" i="1"/>
  <c r="U482" i="1"/>
  <c r="T482" i="1"/>
  <c r="M482" i="1"/>
  <c r="L482" i="1"/>
  <c r="E482" i="1"/>
  <c r="AB481" i="1"/>
  <c r="AA481" i="1"/>
  <c r="Z481" i="1"/>
  <c r="Y481" i="1"/>
  <c r="X481" i="1"/>
  <c r="W481" i="1"/>
  <c r="V481" i="1"/>
  <c r="V482" i="1" s="1"/>
  <c r="U481" i="1"/>
  <c r="T481" i="1"/>
  <c r="S481" i="1"/>
  <c r="R481" i="1"/>
  <c r="Q481" i="1"/>
  <c r="P481" i="1"/>
  <c r="O481" i="1"/>
  <c r="N481" i="1"/>
  <c r="N482" i="1" s="1"/>
  <c r="M481" i="1"/>
  <c r="L481" i="1"/>
  <c r="K481" i="1"/>
  <c r="J481" i="1"/>
  <c r="I481" i="1"/>
  <c r="H481" i="1"/>
  <c r="G481" i="1"/>
  <c r="F481" i="1"/>
  <c r="F482" i="1" s="1"/>
  <c r="E481" i="1"/>
  <c r="AC481" i="1" s="1"/>
  <c r="AB480" i="1"/>
  <c r="AA480" i="1"/>
  <c r="Z480" i="1"/>
  <c r="Y480" i="1"/>
  <c r="X480" i="1"/>
  <c r="W480" i="1"/>
  <c r="W482" i="1" s="1"/>
  <c r="V480" i="1"/>
  <c r="U480" i="1"/>
  <c r="T480" i="1"/>
  <c r="S480" i="1"/>
  <c r="R480" i="1"/>
  <c r="Q480" i="1"/>
  <c r="P480" i="1"/>
  <c r="O480" i="1"/>
  <c r="O482" i="1" s="1"/>
  <c r="N480" i="1"/>
  <c r="M480" i="1"/>
  <c r="L480" i="1"/>
  <c r="K480" i="1"/>
  <c r="J480" i="1"/>
  <c r="I480" i="1"/>
  <c r="H480" i="1"/>
  <c r="G480" i="1"/>
  <c r="G482" i="1" s="1"/>
  <c r="F480" i="1"/>
  <c r="E480" i="1"/>
  <c r="AC480" i="1" s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C479" i="1" s="1"/>
  <c r="AB478" i="1"/>
  <c r="AA478" i="1"/>
  <c r="AA482" i="1" s="1"/>
  <c r="Z478" i="1"/>
  <c r="Z482" i="1" s="1"/>
  <c r="Y478" i="1"/>
  <c r="Y482" i="1" s="1"/>
  <c r="X478" i="1"/>
  <c r="X482" i="1" s="1"/>
  <c r="W478" i="1"/>
  <c r="V478" i="1"/>
  <c r="U478" i="1"/>
  <c r="T478" i="1"/>
  <c r="S478" i="1"/>
  <c r="S482" i="1" s="1"/>
  <c r="R478" i="1"/>
  <c r="R482" i="1" s="1"/>
  <c r="Q478" i="1"/>
  <c r="Q482" i="1" s="1"/>
  <c r="P478" i="1"/>
  <c r="P482" i="1" s="1"/>
  <c r="O478" i="1"/>
  <c r="N478" i="1"/>
  <c r="M478" i="1"/>
  <c r="L478" i="1"/>
  <c r="K478" i="1"/>
  <c r="K482" i="1" s="1"/>
  <c r="J478" i="1"/>
  <c r="J482" i="1" s="1"/>
  <c r="I478" i="1"/>
  <c r="I482" i="1" s="1"/>
  <c r="H478" i="1"/>
  <c r="H482" i="1" s="1"/>
  <c r="G478" i="1"/>
  <c r="F478" i="1"/>
  <c r="E478" i="1"/>
  <c r="AC478" i="1" s="1"/>
  <c r="AB477" i="1"/>
  <c r="AA477" i="1"/>
  <c r="T477" i="1"/>
  <c r="S477" i="1"/>
  <c r="L477" i="1"/>
  <c r="K477" i="1"/>
  <c r="AB476" i="1"/>
  <c r="AA476" i="1"/>
  <c r="Z476" i="1"/>
  <c r="Y476" i="1"/>
  <c r="X476" i="1"/>
  <c r="W476" i="1"/>
  <c r="V476" i="1"/>
  <c r="U476" i="1"/>
  <c r="U477" i="1" s="1"/>
  <c r="T476" i="1"/>
  <c r="S476" i="1"/>
  <c r="R476" i="1"/>
  <c r="Q476" i="1"/>
  <c r="P476" i="1"/>
  <c r="O476" i="1"/>
  <c r="N476" i="1"/>
  <c r="M476" i="1"/>
  <c r="M477" i="1" s="1"/>
  <c r="L476" i="1"/>
  <c r="K476" i="1"/>
  <c r="J476" i="1"/>
  <c r="I476" i="1"/>
  <c r="H476" i="1"/>
  <c r="G476" i="1"/>
  <c r="F476" i="1"/>
  <c r="E476" i="1"/>
  <c r="E477" i="1" s="1"/>
  <c r="AB475" i="1"/>
  <c r="AA475" i="1"/>
  <c r="Z475" i="1"/>
  <c r="Y475" i="1"/>
  <c r="X475" i="1"/>
  <c r="W475" i="1"/>
  <c r="V475" i="1"/>
  <c r="V477" i="1" s="1"/>
  <c r="U475" i="1"/>
  <c r="T475" i="1"/>
  <c r="S475" i="1"/>
  <c r="R475" i="1"/>
  <c r="Q475" i="1"/>
  <c r="P475" i="1"/>
  <c r="O475" i="1"/>
  <c r="N475" i="1"/>
  <c r="N477" i="1" s="1"/>
  <c r="M475" i="1"/>
  <c r="L475" i="1"/>
  <c r="K475" i="1"/>
  <c r="J475" i="1"/>
  <c r="I475" i="1"/>
  <c r="H475" i="1"/>
  <c r="G475" i="1"/>
  <c r="F475" i="1"/>
  <c r="F477" i="1" s="1"/>
  <c r="E475" i="1"/>
  <c r="AC475" i="1" s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C474" i="1" s="1"/>
  <c r="AB473" i="1"/>
  <c r="AA473" i="1"/>
  <c r="Z473" i="1"/>
  <c r="Z477" i="1" s="1"/>
  <c r="Y473" i="1"/>
  <c r="Y477" i="1" s="1"/>
  <c r="X473" i="1"/>
  <c r="X477" i="1" s="1"/>
  <c r="W473" i="1"/>
  <c r="W477" i="1" s="1"/>
  <c r="V473" i="1"/>
  <c r="U473" i="1"/>
  <c r="T473" i="1"/>
  <c r="S473" i="1"/>
  <c r="R473" i="1"/>
  <c r="R477" i="1" s="1"/>
  <c r="Q473" i="1"/>
  <c r="Q477" i="1" s="1"/>
  <c r="P473" i="1"/>
  <c r="P477" i="1" s="1"/>
  <c r="O473" i="1"/>
  <c r="O477" i="1" s="1"/>
  <c r="N473" i="1"/>
  <c r="M473" i="1"/>
  <c r="L473" i="1"/>
  <c r="K473" i="1"/>
  <c r="J473" i="1"/>
  <c r="J477" i="1" s="1"/>
  <c r="I473" i="1"/>
  <c r="I477" i="1" s="1"/>
  <c r="H473" i="1"/>
  <c r="H477" i="1" s="1"/>
  <c r="G473" i="1"/>
  <c r="G477" i="1" s="1"/>
  <c r="F473" i="1"/>
  <c r="E473" i="1"/>
  <c r="AC473" i="1" s="1"/>
  <c r="AA472" i="1"/>
  <c r="Z472" i="1"/>
  <c r="S472" i="1"/>
  <c r="R472" i="1"/>
  <c r="K472" i="1"/>
  <c r="J472" i="1"/>
  <c r="AB471" i="1"/>
  <c r="AB472" i="1" s="1"/>
  <c r="AA471" i="1"/>
  <c r="Z471" i="1"/>
  <c r="Y471" i="1"/>
  <c r="X471" i="1"/>
  <c r="W471" i="1"/>
  <c r="V471" i="1"/>
  <c r="U471" i="1"/>
  <c r="T471" i="1"/>
  <c r="T472" i="1" s="1"/>
  <c r="S471" i="1"/>
  <c r="R471" i="1"/>
  <c r="Q471" i="1"/>
  <c r="P471" i="1"/>
  <c r="O471" i="1"/>
  <c r="N471" i="1"/>
  <c r="M471" i="1"/>
  <c r="L471" i="1"/>
  <c r="L472" i="1" s="1"/>
  <c r="K471" i="1"/>
  <c r="J471" i="1"/>
  <c r="I471" i="1"/>
  <c r="H471" i="1"/>
  <c r="G471" i="1"/>
  <c r="F471" i="1"/>
  <c r="E471" i="1"/>
  <c r="AC471" i="1" s="1"/>
  <c r="AB470" i="1"/>
  <c r="AA470" i="1"/>
  <c r="Z470" i="1"/>
  <c r="Y470" i="1"/>
  <c r="X470" i="1"/>
  <c r="W470" i="1"/>
  <c r="V470" i="1"/>
  <c r="U470" i="1"/>
  <c r="U472" i="1" s="1"/>
  <c r="T470" i="1"/>
  <c r="S470" i="1"/>
  <c r="R470" i="1"/>
  <c r="Q470" i="1"/>
  <c r="P470" i="1"/>
  <c r="O470" i="1"/>
  <c r="N470" i="1"/>
  <c r="M470" i="1"/>
  <c r="M472" i="1" s="1"/>
  <c r="L470" i="1"/>
  <c r="K470" i="1"/>
  <c r="J470" i="1"/>
  <c r="I470" i="1"/>
  <c r="H470" i="1"/>
  <c r="G470" i="1"/>
  <c r="F470" i="1"/>
  <c r="E470" i="1"/>
  <c r="E472" i="1" s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C469" i="1" s="1"/>
  <c r="AB468" i="1"/>
  <c r="AA468" i="1"/>
  <c r="Z468" i="1"/>
  <c r="Y468" i="1"/>
  <c r="Y472" i="1" s="1"/>
  <c r="X468" i="1"/>
  <c r="X472" i="1" s="1"/>
  <c r="W468" i="1"/>
  <c r="W472" i="1" s="1"/>
  <c r="V468" i="1"/>
  <c r="V472" i="1" s="1"/>
  <c r="U468" i="1"/>
  <c r="T468" i="1"/>
  <c r="S468" i="1"/>
  <c r="R468" i="1"/>
  <c r="Q468" i="1"/>
  <c r="Q472" i="1" s="1"/>
  <c r="P468" i="1"/>
  <c r="P472" i="1" s="1"/>
  <c r="O468" i="1"/>
  <c r="O472" i="1" s="1"/>
  <c r="N468" i="1"/>
  <c r="N472" i="1" s="1"/>
  <c r="M468" i="1"/>
  <c r="L468" i="1"/>
  <c r="K468" i="1"/>
  <c r="J468" i="1"/>
  <c r="I468" i="1"/>
  <c r="I472" i="1" s="1"/>
  <c r="H468" i="1"/>
  <c r="H472" i="1" s="1"/>
  <c r="G468" i="1"/>
  <c r="G472" i="1" s="1"/>
  <c r="F468" i="1"/>
  <c r="F472" i="1" s="1"/>
  <c r="E468" i="1"/>
  <c r="AC468" i="1" s="1"/>
  <c r="Z467" i="1"/>
  <c r="Y467" i="1"/>
  <c r="R467" i="1"/>
  <c r="Q467" i="1"/>
  <c r="J467" i="1"/>
  <c r="I467" i="1"/>
  <c r="AB466" i="1"/>
  <c r="AA466" i="1"/>
  <c r="AA467" i="1" s="1"/>
  <c r="Z466" i="1"/>
  <c r="Y466" i="1"/>
  <c r="X466" i="1"/>
  <c r="W466" i="1"/>
  <c r="V466" i="1"/>
  <c r="U466" i="1"/>
  <c r="T466" i="1"/>
  <c r="S466" i="1"/>
  <c r="S467" i="1" s="1"/>
  <c r="R466" i="1"/>
  <c r="Q466" i="1"/>
  <c r="P466" i="1"/>
  <c r="O466" i="1"/>
  <c r="N466" i="1"/>
  <c r="M466" i="1"/>
  <c r="L466" i="1"/>
  <c r="K466" i="1"/>
  <c r="K467" i="1" s="1"/>
  <c r="J466" i="1"/>
  <c r="I466" i="1"/>
  <c r="H466" i="1"/>
  <c r="G466" i="1"/>
  <c r="F466" i="1"/>
  <c r="E466" i="1"/>
  <c r="AC466" i="1" s="1"/>
  <c r="AB465" i="1"/>
  <c r="AB467" i="1" s="1"/>
  <c r="AA465" i="1"/>
  <c r="Z465" i="1"/>
  <c r="Y465" i="1"/>
  <c r="X465" i="1"/>
  <c r="W465" i="1"/>
  <c r="V465" i="1"/>
  <c r="U465" i="1"/>
  <c r="T465" i="1"/>
  <c r="T467" i="1" s="1"/>
  <c r="S465" i="1"/>
  <c r="R465" i="1"/>
  <c r="Q465" i="1"/>
  <c r="P465" i="1"/>
  <c r="O465" i="1"/>
  <c r="N465" i="1"/>
  <c r="M465" i="1"/>
  <c r="L465" i="1"/>
  <c r="L467" i="1" s="1"/>
  <c r="K465" i="1"/>
  <c r="J465" i="1"/>
  <c r="I465" i="1"/>
  <c r="H465" i="1"/>
  <c r="G465" i="1"/>
  <c r="F465" i="1"/>
  <c r="E465" i="1"/>
  <c r="AC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X467" i="1" s="1"/>
  <c r="W463" i="1"/>
  <c r="W467" i="1" s="1"/>
  <c r="V463" i="1"/>
  <c r="V467" i="1" s="1"/>
  <c r="U463" i="1"/>
  <c r="U467" i="1" s="1"/>
  <c r="T463" i="1"/>
  <c r="S463" i="1"/>
  <c r="R463" i="1"/>
  <c r="Q463" i="1"/>
  <c r="P463" i="1"/>
  <c r="P467" i="1" s="1"/>
  <c r="O463" i="1"/>
  <c r="O467" i="1" s="1"/>
  <c r="N463" i="1"/>
  <c r="N467" i="1" s="1"/>
  <c r="M463" i="1"/>
  <c r="M467" i="1" s="1"/>
  <c r="L463" i="1"/>
  <c r="K463" i="1"/>
  <c r="J463" i="1"/>
  <c r="I463" i="1"/>
  <c r="H463" i="1"/>
  <c r="H467" i="1" s="1"/>
  <c r="G463" i="1"/>
  <c r="G467" i="1" s="1"/>
  <c r="F463" i="1"/>
  <c r="F467" i="1" s="1"/>
  <c r="E463" i="1"/>
  <c r="AC463" i="1" s="1"/>
  <c r="Y462" i="1"/>
  <c r="X462" i="1"/>
  <c r="Q462" i="1"/>
  <c r="P462" i="1"/>
  <c r="I462" i="1"/>
  <c r="H462" i="1"/>
  <c r="AB461" i="1"/>
  <c r="AA461" i="1"/>
  <c r="Z461" i="1"/>
  <c r="Z462" i="1" s="1"/>
  <c r="Y461" i="1"/>
  <c r="X461" i="1"/>
  <c r="W461" i="1"/>
  <c r="V461" i="1"/>
  <c r="U461" i="1"/>
  <c r="T461" i="1"/>
  <c r="S461" i="1"/>
  <c r="R461" i="1"/>
  <c r="R462" i="1" s="1"/>
  <c r="Q461" i="1"/>
  <c r="P461" i="1"/>
  <c r="O461" i="1"/>
  <c r="N461" i="1"/>
  <c r="M461" i="1"/>
  <c r="L461" i="1"/>
  <c r="K461" i="1"/>
  <c r="J461" i="1"/>
  <c r="J462" i="1" s="1"/>
  <c r="I461" i="1"/>
  <c r="H461" i="1"/>
  <c r="G461" i="1"/>
  <c r="F461" i="1"/>
  <c r="E461" i="1"/>
  <c r="AC461" i="1" s="1"/>
  <c r="AB460" i="1"/>
  <c r="AA460" i="1"/>
  <c r="AA462" i="1" s="1"/>
  <c r="Z460" i="1"/>
  <c r="Y460" i="1"/>
  <c r="X460" i="1"/>
  <c r="W460" i="1"/>
  <c r="V460" i="1"/>
  <c r="U460" i="1"/>
  <c r="T460" i="1"/>
  <c r="S460" i="1"/>
  <c r="S462" i="1" s="1"/>
  <c r="R460" i="1"/>
  <c r="Q460" i="1"/>
  <c r="P460" i="1"/>
  <c r="O460" i="1"/>
  <c r="N460" i="1"/>
  <c r="M460" i="1"/>
  <c r="L460" i="1"/>
  <c r="K460" i="1"/>
  <c r="K462" i="1" s="1"/>
  <c r="J460" i="1"/>
  <c r="I460" i="1"/>
  <c r="H460" i="1"/>
  <c r="G460" i="1"/>
  <c r="F460" i="1"/>
  <c r="E460" i="1"/>
  <c r="AC460" i="1" s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C459" i="1" s="1"/>
  <c r="AB458" i="1"/>
  <c r="AB462" i="1" s="1"/>
  <c r="AA458" i="1"/>
  <c r="Z458" i="1"/>
  <c r="Y458" i="1"/>
  <c r="X458" i="1"/>
  <c r="W458" i="1"/>
  <c r="W462" i="1" s="1"/>
  <c r="V458" i="1"/>
  <c r="V462" i="1" s="1"/>
  <c r="U458" i="1"/>
  <c r="U462" i="1" s="1"/>
  <c r="T458" i="1"/>
  <c r="T462" i="1" s="1"/>
  <c r="S458" i="1"/>
  <c r="R458" i="1"/>
  <c r="Q458" i="1"/>
  <c r="P458" i="1"/>
  <c r="O458" i="1"/>
  <c r="O462" i="1" s="1"/>
  <c r="N458" i="1"/>
  <c r="N462" i="1" s="1"/>
  <c r="M458" i="1"/>
  <c r="M462" i="1" s="1"/>
  <c r="L458" i="1"/>
  <c r="L462" i="1" s="1"/>
  <c r="K458" i="1"/>
  <c r="J458" i="1"/>
  <c r="I458" i="1"/>
  <c r="H458" i="1"/>
  <c r="G458" i="1"/>
  <c r="G462" i="1" s="1"/>
  <c r="F458" i="1"/>
  <c r="F462" i="1" s="1"/>
  <c r="E458" i="1"/>
  <c r="AC458" i="1" s="1"/>
  <c r="X457" i="1"/>
  <c r="W457" i="1"/>
  <c r="P457" i="1"/>
  <c r="O457" i="1"/>
  <c r="H457" i="1"/>
  <c r="G457" i="1"/>
  <c r="AB456" i="1"/>
  <c r="AA456" i="1"/>
  <c r="Z456" i="1"/>
  <c r="Y456" i="1"/>
  <c r="Y457" i="1" s="1"/>
  <c r="X456" i="1"/>
  <c r="W456" i="1"/>
  <c r="V456" i="1"/>
  <c r="U456" i="1"/>
  <c r="T456" i="1"/>
  <c r="S456" i="1"/>
  <c r="R456" i="1"/>
  <c r="Q456" i="1"/>
  <c r="Q457" i="1" s="1"/>
  <c r="P456" i="1"/>
  <c r="O456" i="1"/>
  <c r="N456" i="1"/>
  <c r="M456" i="1"/>
  <c r="L456" i="1"/>
  <c r="K456" i="1"/>
  <c r="J456" i="1"/>
  <c r="I456" i="1"/>
  <c r="I457" i="1" s="1"/>
  <c r="H456" i="1"/>
  <c r="G456" i="1"/>
  <c r="F456" i="1"/>
  <c r="E456" i="1"/>
  <c r="AC456" i="1" s="1"/>
  <c r="AB455" i="1"/>
  <c r="AA455" i="1"/>
  <c r="Z455" i="1"/>
  <c r="Z457" i="1" s="1"/>
  <c r="Y455" i="1"/>
  <c r="X455" i="1"/>
  <c r="W455" i="1"/>
  <c r="V455" i="1"/>
  <c r="U455" i="1"/>
  <c r="T455" i="1"/>
  <c r="S455" i="1"/>
  <c r="R455" i="1"/>
  <c r="R457" i="1" s="1"/>
  <c r="Q455" i="1"/>
  <c r="P455" i="1"/>
  <c r="O455" i="1"/>
  <c r="N455" i="1"/>
  <c r="M455" i="1"/>
  <c r="L455" i="1"/>
  <c r="K455" i="1"/>
  <c r="J455" i="1"/>
  <c r="J457" i="1" s="1"/>
  <c r="I455" i="1"/>
  <c r="H455" i="1"/>
  <c r="G455" i="1"/>
  <c r="F455" i="1"/>
  <c r="E455" i="1"/>
  <c r="AC455" i="1" s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C454" i="1" s="1"/>
  <c r="AB453" i="1"/>
  <c r="AB457" i="1" s="1"/>
  <c r="AA453" i="1"/>
  <c r="AA457" i="1" s="1"/>
  <c r="Z453" i="1"/>
  <c r="Y453" i="1"/>
  <c r="X453" i="1"/>
  <c r="W453" i="1"/>
  <c r="V453" i="1"/>
  <c r="V457" i="1" s="1"/>
  <c r="U453" i="1"/>
  <c r="U457" i="1" s="1"/>
  <c r="T453" i="1"/>
  <c r="T457" i="1" s="1"/>
  <c r="S453" i="1"/>
  <c r="S457" i="1" s="1"/>
  <c r="R453" i="1"/>
  <c r="Q453" i="1"/>
  <c r="P453" i="1"/>
  <c r="O453" i="1"/>
  <c r="N453" i="1"/>
  <c r="N457" i="1" s="1"/>
  <c r="M453" i="1"/>
  <c r="M457" i="1" s="1"/>
  <c r="L453" i="1"/>
  <c r="L457" i="1" s="1"/>
  <c r="K453" i="1"/>
  <c r="K457" i="1" s="1"/>
  <c r="J453" i="1"/>
  <c r="I453" i="1"/>
  <c r="H453" i="1"/>
  <c r="G453" i="1"/>
  <c r="F453" i="1"/>
  <c r="F457" i="1" s="1"/>
  <c r="E453" i="1"/>
  <c r="E457" i="1" s="1"/>
  <c r="W452" i="1"/>
  <c r="V452" i="1"/>
  <c r="O452" i="1"/>
  <c r="N452" i="1"/>
  <c r="G452" i="1"/>
  <c r="F452" i="1"/>
  <c r="D452" i="1"/>
  <c r="AB451" i="1"/>
  <c r="AA451" i="1"/>
  <c r="Z451" i="1"/>
  <c r="Y451" i="1"/>
  <c r="X451" i="1"/>
  <c r="X452" i="1" s="1"/>
  <c r="W451" i="1"/>
  <c r="V451" i="1"/>
  <c r="U451" i="1"/>
  <c r="T451" i="1"/>
  <c r="S451" i="1"/>
  <c r="R451" i="1"/>
  <c r="Q451" i="1"/>
  <c r="P451" i="1"/>
  <c r="P452" i="1" s="1"/>
  <c r="O451" i="1"/>
  <c r="N451" i="1"/>
  <c r="M451" i="1"/>
  <c r="L451" i="1"/>
  <c r="K451" i="1"/>
  <c r="J451" i="1"/>
  <c r="I451" i="1"/>
  <c r="H451" i="1"/>
  <c r="H452" i="1" s="1"/>
  <c r="G451" i="1"/>
  <c r="F451" i="1"/>
  <c r="E451" i="1"/>
  <c r="AC451" i="1" s="1"/>
  <c r="AB450" i="1"/>
  <c r="AA450" i="1"/>
  <c r="Z450" i="1"/>
  <c r="Y450" i="1"/>
  <c r="Y452" i="1" s="1"/>
  <c r="X450" i="1"/>
  <c r="W450" i="1"/>
  <c r="V450" i="1"/>
  <c r="U450" i="1"/>
  <c r="T450" i="1"/>
  <c r="S450" i="1"/>
  <c r="R450" i="1"/>
  <c r="Q450" i="1"/>
  <c r="Q452" i="1" s="1"/>
  <c r="P450" i="1"/>
  <c r="O450" i="1"/>
  <c r="N450" i="1"/>
  <c r="M450" i="1"/>
  <c r="L450" i="1"/>
  <c r="K450" i="1"/>
  <c r="J450" i="1"/>
  <c r="I450" i="1"/>
  <c r="I452" i="1" s="1"/>
  <c r="H450" i="1"/>
  <c r="G450" i="1"/>
  <c r="F450" i="1"/>
  <c r="E450" i="1"/>
  <c r="AC450" i="1" s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C449" i="1" s="1"/>
  <c r="AB448" i="1"/>
  <c r="AB452" i="1" s="1"/>
  <c r="AA448" i="1"/>
  <c r="AA452" i="1" s="1"/>
  <c r="Z448" i="1"/>
  <c r="Z452" i="1" s="1"/>
  <c r="Y448" i="1"/>
  <c r="X448" i="1"/>
  <c r="W448" i="1"/>
  <c r="V448" i="1"/>
  <c r="U448" i="1"/>
  <c r="U452" i="1" s="1"/>
  <c r="T448" i="1"/>
  <c r="T452" i="1" s="1"/>
  <c r="S448" i="1"/>
  <c r="S452" i="1" s="1"/>
  <c r="R448" i="1"/>
  <c r="R452" i="1" s="1"/>
  <c r="Q448" i="1"/>
  <c r="P448" i="1"/>
  <c r="O448" i="1"/>
  <c r="N448" i="1"/>
  <c r="M448" i="1"/>
  <c r="M452" i="1" s="1"/>
  <c r="L448" i="1"/>
  <c r="L452" i="1" s="1"/>
  <c r="K448" i="1"/>
  <c r="K452" i="1" s="1"/>
  <c r="J448" i="1"/>
  <c r="J452" i="1" s="1"/>
  <c r="I448" i="1"/>
  <c r="H448" i="1"/>
  <c r="G448" i="1"/>
  <c r="F448" i="1"/>
  <c r="E448" i="1"/>
  <c r="E452" i="1" s="1"/>
  <c r="V447" i="1"/>
  <c r="U447" i="1"/>
  <c r="N447" i="1"/>
  <c r="M447" i="1"/>
  <c r="F447" i="1"/>
  <c r="E447" i="1"/>
  <c r="D447" i="1"/>
  <c r="AB446" i="1"/>
  <c r="AA446" i="1"/>
  <c r="Z446" i="1"/>
  <c r="Y446" i="1"/>
  <c r="X446" i="1"/>
  <c r="W446" i="1"/>
  <c r="W447" i="1" s="1"/>
  <c r="V446" i="1"/>
  <c r="U446" i="1"/>
  <c r="T446" i="1"/>
  <c r="S446" i="1"/>
  <c r="R446" i="1"/>
  <c r="Q446" i="1"/>
  <c r="P446" i="1"/>
  <c r="O446" i="1"/>
  <c r="O447" i="1" s="1"/>
  <c r="N446" i="1"/>
  <c r="M446" i="1"/>
  <c r="L446" i="1"/>
  <c r="K446" i="1"/>
  <c r="J446" i="1"/>
  <c r="I446" i="1"/>
  <c r="H446" i="1"/>
  <c r="G446" i="1"/>
  <c r="G447" i="1" s="1"/>
  <c r="F446" i="1"/>
  <c r="E446" i="1"/>
  <c r="AC446" i="1" s="1"/>
  <c r="AB445" i="1"/>
  <c r="AA445" i="1"/>
  <c r="Z445" i="1"/>
  <c r="Y445" i="1"/>
  <c r="X445" i="1"/>
  <c r="X447" i="1" s="1"/>
  <c r="W445" i="1"/>
  <c r="V445" i="1"/>
  <c r="U445" i="1"/>
  <c r="T445" i="1"/>
  <c r="S445" i="1"/>
  <c r="R445" i="1"/>
  <c r="Q445" i="1"/>
  <c r="P445" i="1"/>
  <c r="P447" i="1" s="1"/>
  <c r="O445" i="1"/>
  <c r="N445" i="1"/>
  <c r="M445" i="1"/>
  <c r="L445" i="1"/>
  <c r="K445" i="1"/>
  <c r="J445" i="1"/>
  <c r="I445" i="1"/>
  <c r="H445" i="1"/>
  <c r="H447" i="1" s="1"/>
  <c r="G445" i="1"/>
  <c r="F445" i="1"/>
  <c r="E445" i="1"/>
  <c r="AC445" i="1" s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C444" i="1" s="1"/>
  <c r="AB443" i="1"/>
  <c r="AB447" i="1" s="1"/>
  <c r="AA443" i="1"/>
  <c r="AA447" i="1" s="1"/>
  <c r="Z443" i="1"/>
  <c r="Z447" i="1" s="1"/>
  <c r="Y443" i="1"/>
  <c r="Y447" i="1" s="1"/>
  <c r="X443" i="1"/>
  <c r="W443" i="1"/>
  <c r="V443" i="1"/>
  <c r="U443" i="1"/>
  <c r="T443" i="1"/>
  <c r="T447" i="1" s="1"/>
  <c r="S443" i="1"/>
  <c r="S447" i="1" s="1"/>
  <c r="R443" i="1"/>
  <c r="R447" i="1" s="1"/>
  <c r="Q443" i="1"/>
  <c r="Q447" i="1" s="1"/>
  <c r="P443" i="1"/>
  <c r="O443" i="1"/>
  <c r="N443" i="1"/>
  <c r="M443" i="1"/>
  <c r="L443" i="1"/>
  <c r="L447" i="1" s="1"/>
  <c r="K443" i="1"/>
  <c r="K447" i="1" s="1"/>
  <c r="J443" i="1"/>
  <c r="J447" i="1" s="1"/>
  <c r="I443" i="1"/>
  <c r="I447" i="1" s="1"/>
  <c r="H443" i="1"/>
  <c r="G443" i="1"/>
  <c r="F443" i="1"/>
  <c r="E443" i="1"/>
  <c r="AC443" i="1" s="1"/>
  <c r="AB442" i="1"/>
  <c r="U442" i="1"/>
  <c r="T442" i="1"/>
  <c r="M442" i="1"/>
  <c r="L442" i="1"/>
  <c r="E442" i="1"/>
  <c r="D442" i="1"/>
  <c r="AB441" i="1"/>
  <c r="AA441" i="1"/>
  <c r="Z441" i="1"/>
  <c r="Y441" i="1"/>
  <c r="X441" i="1"/>
  <c r="W441" i="1"/>
  <c r="V441" i="1"/>
  <c r="V442" i="1" s="1"/>
  <c r="U441" i="1"/>
  <c r="T441" i="1"/>
  <c r="S441" i="1"/>
  <c r="R441" i="1"/>
  <c r="Q441" i="1"/>
  <c r="P441" i="1"/>
  <c r="O441" i="1"/>
  <c r="N441" i="1"/>
  <c r="N442" i="1" s="1"/>
  <c r="M441" i="1"/>
  <c r="L441" i="1"/>
  <c r="K441" i="1"/>
  <c r="J441" i="1"/>
  <c r="I441" i="1"/>
  <c r="H441" i="1"/>
  <c r="G441" i="1"/>
  <c r="F441" i="1"/>
  <c r="F442" i="1" s="1"/>
  <c r="E441" i="1"/>
  <c r="AC441" i="1" s="1"/>
  <c r="AB440" i="1"/>
  <c r="AA440" i="1"/>
  <c r="Z440" i="1"/>
  <c r="Y440" i="1"/>
  <c r="X440" i="1"/>
  <c r="W440" i="1"/>
  <c r="W442" i="1" s="1"/>
  <c r="V440" i="1"/>
  <c r="U440" i="1"/>
  <c r="T440" i="1"/>
  <c r="S440" i="1"/>
  <c r="R440" i="1"/>
  <c r="Q440" i="1"/>
  <c r="P440" i="1"/>
  <c r="O440" i="1"/>
  <c r="O442" i="1" s="1"/>
  <c r="N440" i="1"/>
  <c r="M440" i="1"/>
  <c r="L440" i="1"/>
  <c r="K440" i="1"/>
  <c r="J440" i="1"/>
  <c r="I440" i="1"/>
  <c r="H440" i="1"/>
  <c r="G440" i="1"/>
  <c r="G442" i="1" s="1"/>
  <c r="F440" i="1"/>
  <c r="E440" i="1"/>
  <c r="AC440" i="1" s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C439" i="1" s="1"/>
  <c r="AB438" i="1"/>
  <c r="AA438" i="1"/>
  <c r="AA442" i="1" s="1"/>
  <c r="Z438" i="1"/>
  <c r="Z442" i="1" s="1"/>
  <c r="Y438" i="1"/>
  <c r="Y442" i="1" s="1"/>
  <c r="X438" i="1"/>
  <c r="X442" i="1" s="1"/>
  <c r="W438" i="1"/>
  <c r="V438" i="1"/>
  <c r="U438" i="1"/>
  <c r="T438" i="1"/>
  <c r="S438" i="1"/>
  <c r="S442" i="1" s="1"/>
  <c r="R438" i="1"/>
  <c r="R442" i="1" s="1"/>
  <c r="Q438" i="1"/>
  <c r="Q442" i="1" s="1"/>
  <c r="P438" i="1"/>
  <c r="P442" i="1" s="1"/>
  <c r="O438" i="1"/>
  <c r="N438" i="1"/>
  <c r="M438" i="1"/>
  <c r="L438" i="1"/>
  <c r="K438" i="1"/>
  <c r="K442" i="1" s="1"/>
  <c r="J438" i="1"/>
  <c r="J442" i="1" s="1"/>
  <c r="I438" i="1"/>
  <c r="I442" i="1" s="1"/>
  <c r="H438" i="1"/>
  <c r="H442" i="1" s="1"/>
  <c r="G438" i="1"/>
  <c r="F438" i="1"/>
  <c r="E438" i="1"/>
  <c r="AC438" i="1" s="1"/>
  <c r="B438" i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AB437" i="1"/>
  <c r="AA437" i="1"/>
  <c r="T437" i="1"/>
  <c r="S437" i="1"/>
  <c r="L437" i="1"/>
  <c r="K437" i="1"/>
  <c r="D437" i="1"/>
  <c r="AB436" i="1"/>
  <c r="AA436" i="1"/>
  <c r="Z436" i="1"/>
  <c r="Y436" i="1"/>
  <c r="X436" i="1"/>
  <c r="W436" i="1"/>
  <c r="V436" i="1"/>
  <c r="U436" i="1"/>
  <c r="U437" i="1" s="1"/>
  <c r="T436" i="1"/>
  <c r="S436" i="1"/>
  <c r="R436" i="1"/>
  <c r="Q436" i="1"/>
  <c r="P436" i="1"/>
  <c r="O436" i="1"/>
  <c r="N436" i="1"/>
  <c r="M436" i="1"/>
  <c r="M437" i="1" s="1"/>
  <c r="L436" i="1"/>
  <c r="K436" i="1"/>
  <c r="J436" i="1"/>
  <c r="I436" i="1"/>
  <c r="H436" i="1"/>
  <c r="G436" i="1"/>
  <c r="F436" i="1"/>
  <c r="E436" i="1"/>
  <c r="AC436" i="1" s="1"/>
  <c r="AB435" i="1"/>
  <c r="AA435" i="1"/>
  <c r="Z435" i="1"/>
  <c r="Y435" i="1"/>
  <c r="X435" i="1"/>
  <c r="W435" i="1"/>
  <c r="V435" i="1"/>
  <c r="V437" i="1" s="1"/>
  <c r="U435" i="1"/>
  <c r="T435" i="1"/>
  <c r="S435" i="1"/>
  <c r="R435" i="1"/>
  <c r="Q435" i="1"/>
  <c r="P435" i="1"/>
  <c r="O435" i="1"/>
  <c r="N435" i="1"/>
  <c r="N437" i="1" s="1"/>
  <c r="M435" i="1"/>
  <c r="L435" i="1"/>
  <c r="K435" i="1"/>
  <c r="J435" i="1"/>
  <c r="I435" i="1"/>
  <c r="H435" i="1"/>
  <c r="G435" i="1"/>
  <c r="F435" i="1"/>
  <c r="F437" i="1" s="1"/>
  <c r="E435" i="1"/>
  <c r="AC435" i="1" s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C434" i="1" s="1"/>
  <c r="AB433" i="1"/>
  <c r="AA433" i="1"/>
  <c r="Z433" i="1"/>
  <c r="Z437" i="1" s="1"/>
  <c r="Y433" i="1"/>
  <c r="Y437" i="1" s="1"/>
  <c r="X433" i="1"/>
  <c r="X437" i="1" s="1"/>
  <c r="W433" i="1"/>
  <c r="W437" i="1" s="1"/>
  <c r="V433" i="1"/>
  <c r="U433" i="1"/>
  <c r="T433" i="1"/>
  <c r="S433" i="1"/>
  <c r="R433" i="1"/>
  <c r="R437" i="1" s="1"/>
  <c r="Q433" i="1"/>
  <c r="Q437" i="1" s="1"/>
  <c r="P433" i="1"/>
  <c r="P437" i="1" s="1"/>
  <c r="O433" i="1"/>
  <c r="O437" i="1" s="1"/>
  <c r="N433" i="1"/>
  <c r="M433" i="1"/>
  <c r="L433" i="1"/>
  <c r="K433" i="1"/>
  <c r="J433" i="1"/>
  <c r="J437" i="1" s="1"/>
  <c r="I433" i="1"/>
  <c r="I437" i="1" s="1"/>
  <c r="H433" i="1"/>
  <c r="H437" i="1" s="1"/>
  <c r="G433" i="1"/>
  <c r="G437" i="1" s="1"/>
  <c r="F433" i="1"/>
  <c r="E433" i="1"/>
  <c r="AC433" i="1" s="1"/>
  <c r="B433" i="1"/>
  <c r="E307" i="3"/>
  <c r="E306" i="3"/>
  <c r="E305" i="3"/>
  <c r="E304" i="3"/>
  <c r="E302" i="3"/>
  <c r="E301" i="3"/>
  <c r="E300" i="3"/>
  <c r="E299" i="3"/>
  <c r="E297" i="3"/>
  <c r="E296" i="3"/>
  <c r="E295" i="3"/>
  <c r="E294" i="3"/>
  <c r="E292" i="3"/>
  <c r="E291" i="3"/>
  <c r="E290" i="3"/>
  <c r="E289" i="3"/>
  <c r="E287" i="3"/>
  <c r="E286" i="3"/>
  <c r="E285" i="3"/>
  <c r="E284" i="3"/>
  <c r="E282" i="3"/>
  <c r="E281" i="3"/>
  <c r="E280" i="3"/>
  <c r="E279" i="3"/>
  <c r="E277" i="3"/>
  <c r="E276" i="3"/>
  <c r="E275" i="3"/>
  <c r="E274" i="3"/>
  <c r="E272" i="3"/>
  <c r="E271" i="3"/>
  <c r="E270" i="3"/>
  <c r="E269" i="3"/>
  <c r="E267" i="3"/>
  <c r="E266" i="3"/>
  <c r="E265" i="3"/>
  <c r="E264" i="3"/>
  <c r="E262" i="3"/>
  <c r="E261" i="3"/>
  <c r="E260" i="3"/>
  <c r="E259" i="3"/>
  <c r="E257" i="3"/>
  <c r="E256" i="3"/>
  <c r="E255" i="3"/>
  <c r="E254" i="3"/>
  <c r="E252" i="3"/>
  <c r="E251" i="3"/>
  <c r="E250" i="3"/>
  <c r="E249" i="3"/>
  <c r="E247" i="3"/>
  <c r="E246" i="3"/>
  <c r="E245" i="3"/>
  <c r="E244" i="3"/>
  <c r="E242" i="3"/>
  <c r="E241" i="3"/>
  <c r="E240" i="3"/>
  <c r="E239" i="3"/>
  <c r="E237" i="3"/>
  <c r="E236" i="3"/>
  <c r="E235" i="3"/>
  <c r="E234" i="3"/>
  <c r="E232" i="3"/>
  <c r="E231" i="3"/>
  <c r="E230" i="3"/>
  <c r="E229" i="3"/>
  <c r="E227" i="3"/>
  <c r="E226" i="3"/>
  <c r="E225" i="3"/>
  <c r="E224" i="3"/>
  <c r="E222" i="3"/>
  <c r="E221" i="3"/>
  <c r="E220" i="3"/>
  <c r="E219" i="3"/>
  <c r="E217" i="3"/>
  <c r="E216" i="3"/>
  <c r="E215" i="3"/>
  <c r="E214" i="3"/>
  <c r="E212" i="3"/>
  <c r="E211" i="3"/>
  <c r="E210" i="3"/>
  <c r="E209" i="3"/>
  <c r="E207" i="3"/>
  <c r="E206" i="3"/>
  <c r="E205" i="3"/>
  <c r="E204" i="3"/>
  <c r="E202" i="3"/>
  <c r="E201" i="3"/>
  <c r="E200" i="3"/>
  <c r="E199" i="3"/>
  <c r="E197" i="3"/>
  <c r="E196" i="3"/>
  <c r="E195" i="3"/>
  <c r="E194" i="3"/>
  <c r="E192" i="3"/>
  <c r="E191" i="3"/>
  <c r="E190" i="3"/>
  <c r="E189" i="3"/>
  <c r="E187" i="3"/>
  <c r="E186" i="3"/>
  <c r="E185" i="3"/>
  <c r="E184" i="3"/>
  <c r="E182" i="3"/>
  <c r="E181" i="3"/>
  <c r="E180" i="3"/>
  <c r="E179" i="3"/>
  <c r="E177" i="3"/>
  <c r="E176" i="3"/>
  <c r="E175" i="3"/>
  <c r="E174" i="3"/>
  <c r="E172" i="3"/>
  <c r="E171" i="3"/>
  <c r="E170" i="3"/>
  <c r="E169" i="3"/>
  <c r="E167" i="3"/>
  <c r="E166" i="3"/>
  <c r="E165" i="3"/>
  <c r="E164" i="3"/>
  <c r="E162" i="3"/>
  <c r="E161" i="3"/>
  <c r="E160" i="3"/>
  <c r="E159" i="3"/>
  <c r="E157" i="3"/>
  <c r="E156" i="3"/>
  <c r="E155" i="3"/>
  <c r="E154" i="3"/>
  <c r="E152" i="3"/>
  <c r="E151" i="3"/>
  <c r="E150" i="3"/>
  <c r="E149" i="3"/>
  <c r="E147" i="3"/>
  <c r="E146" i="3"/>
  <c r="E145" i="3"/>
  <c r="E144" i="3"/>
  <c r="E142" i="3"/>
  <c r="E141" i="3"/>
  <c r="E140" i="3"/>
  <c r="E139" i="3"/>
  <c r="E137" i="3"/>
  <c r="E136" i="3"/>
  <c r="E135" i="3"/>
  <c r="E134" i="3"/>
  <c r="E132" i="3"/>
  <c r="E131" i="3"/>
  <c r="E130" i="3"/>
  <c r="E129" i="3"/>
  <c r="AC582" i="1" l="1"/>
  <c r="AC577" i="1"/>
  <c r="AC632" i="1"/>
  <c r="AC642" i="1"/>
  <c r="AC672" i="1"/>
  <c r="AC667" i="1"/>
  <c r="AC662" i="1"/>
  <c r="AC637" i="1"/>
  <c r="AC627" i="1"/>
  <c r="E622" i="1"/>
  <c r="AC622" i="1" s="1"/>
  <c r="AC633" i="1"/>
  <c r="AC638" i="1"/>
  <c r="E617" i="1"/>
  <c r="AC617" i="1" s="1"/>
  <c r="E657" i="1"/>
  <c r="AC657" i="1" s="1"/>
  <c r="AC668" i="1"/>
  <c r="E652" i="1"/>
  <c r="AC652" i="1" s="1"/>
  <c r="AC630" i="1"/>
  <c r="E647" i="1"/>
  <c r="AC647" i="1" s="1"/>
  <c r="AC572" i="1"/>
  <c r="AC612" i="1"/>
  <c r="AC562" i="1"/>
  <c r="AC602" i="1"/>
  <c r="E567" i="1"/>
  <c r="AC567" i="1" s="1"/>
  <c r="AC578" i="1"/>
  <c r="E607" i="1"/>
  <c r="AC607" i="1" s="1"/>
  <c r="E557" i="1"/>
  <c r="AC557" i="1" s="1"/>
  <c r="E597" i="1"/>
  <c r="AC597" i="1" s="1"/>
  <c r="AC608" i="1"/>
  <c r="AC573" i="1"/>
  <c r="E592" i="1"/>
  <c r="AC592" i="1" s="1"/>
  <c r="AC570" i="1"/>
  <c r="E587" i="1"/>
  <c r="AC587" i="1" s="1"/>
  <c r="AC517" i="1"/>
  <c r="AC512" i="1"/>
  <c r="AC552" i="1"/>
  <c r="AC502" i="1"/>
  <c r="AC542" i="1"/>
  <c r="E507" i="1"/>
  <c r="AC507" i="1" s="1"/>
  <c r="E547" i="1"/>
  <c r="AC547" i="1" s="1"/>
  <c r="AC513" i="1"/>
  <c r="E497" i="1"/>
  <c r="AC497" i="1" s="1"/>
  <c r="E537" i="1"/>
  <c r="AC537" i="1" s="1"/>
  <c r="E532" i="1"/>
  <c r="AC532" i="1" s="1"/>
  <c r="E527" i="1"/>
  <c r="AC527" i="1" s="1"/>
  <c r="E522" i="1"/>
  <c r="AC522" i="1" s="1"/>
  <c r="AC457" i="1"/>
  <c r="AC452" i="1"/>
  <c r="AC447" i="1"/>
  <c r="AC492" i="1"/>
  <c r="AC442" i="1"/>
  <c r="AC477" i="1"/>
  <c r="AC482" i="1"/>
  <c r="AC472" i="1"/>
  <c r="AC453" i="1"/>
  <c r="AC470" i="1"/>
  <c r="AC476" i="1"/>
  <c r="E437" i="1"/>
  <c r="AC437" i="1" s="1"/>
  <c r="AC448" i="1"/>
  <c r="AC488" i="1"/>
  <c r="E467" i="1"/>
  <c r="AC467" i="1" s="1"/>
  <c r="E462" i="1"/>
  <c r="AC462" i="1" s="1"/>
  <c r="J487" i="1"/>
  <c r="AC487" i="1" s="1"/>
  <c r="E127" i="3"/>
  <c r="E126" i="3"/>
  <c r="E125" i="3"/>
  <c r="E124" i="3"/>
  <c r="E122" i="3"/>
  <c r="E121" i="3"/>
  <c r="E120" i="3"/>
  <c r="E119" i="3"/>
  <c r="E117" i="3"/>
  <c r="E116" i="3"/>
  <c r="E115" i="3"/>
  <c r="E114" i="3"/>
  <c r="E112" i="3"/>
  <c r="E111" i="3"/>
  <c r="E110" i="3"/>
  <c r="E109" i="3"/>
  <c r="E107" i="3"/>
  <c r="E106" i="3"/>
  <c r="E105" i="3"/>
  <c r="E104" i="3"/>
  <c r="E102" i="3"/>
  <c r="E101" i="3"/>
  <c r="E100" i="3"/>
  <c r="E99" i="3"/>
  <c r="E97" i="3"/>
  <c r="E96" i="3"/>
  <c r="E95" i="3"/>
  <c r="E94" i="3"/>
  <c r="E92" i="3"/>
  <c r="E91" i="3"/>
  <c r="E90" i="3"/>
  <c r="E89" i="3"/>
  <c r="E87" i="3"/>
  <c r="E86" i="3"/>
  <c r="E85" i="3"/>
  <c r="E84" i="3"/>
  <c r="E82" i="3"/>
  <c r="E81" i="3"/>
  <c r="E80" i="3"/>
  <c r="E79" i="3"/>
  <c r="E77" i="3"/>
  <c r="E76" i="3"/>
  <c r="E75" i="3"/>
  <c r="E74" i="3"/>
  <c r="E72" i="3"/>
  <c r="E71" i="3"/>
  <c r="E70" i="3"/>
  <c r="E69" i="3"/>
  <c r="E67" i="3" l="1"/>
  <c r="E66" i="3"/>
  <c r="E65" i="3"/>
  <c r="E64" i="3"/>
  <c r="E62" i="3"/>
  <c r="E61" i="3"/>
  <c r="E60" i="3"/>
  <c r="E59" i="3"/>
  <c r="E57" i="3"/>
  <c r="E56" i="3"/>
  <c r="E55" i="3"/>
  <c r="E54" i="3"/>
  <c r="E52" i="3"/>
  <c r="E51" i="3"/>
  <c r="E50" i="3"/>
  <c r="E49" i="3"/>
  <c r="E47" i="3"/>
  <c r="E46" i="3"/>
  <c r="E45" i="3"/>
  <c r="E44" i="3"/>
  <c r="E42" i="3"/>
  <c r="E41" i="3"/>
  <c r="E40" i="3"/>
  <c r="E39" i="3"/>
  <c r="E37" i="3"/>
  <c r="E36" i="3"/>
  <c r="E35" i="3"/>
  <c r="E34" i="3"/>
  <c r="E32" i="3"/>
  <c r="E31" i="3"/>
  <c r="E30" i="3"/>
  <c r="E29" i="3"/>
  <c r="E27" i="3"/>
  <c r="E26" i="3"/>
  <c r="E25" i="3"/>
  <c r="E24" i="3"/>
  <c r="E22" i="3"/>
  <c r="E21" i="3"/>
  <c r="E20" i="3"/>
  <c r="E19" i="3"/>
  <c r="E17" i="3"/>
  <c r="E16" i="3"/>
  <c r="E15" i="3"/>
  <c r="E14" i="3"/>
  <c r="E12" i="3"/>
  <c r="E11" i="3"/>
  <c r="E10" i="3"/>
  <c r="B9" i="3"/>
  <c r="W432" i="1" l="1"/>
  <c r="V432" i="1"/>
  <c r="O432" i="1"/>
  <c r="N432" i="1"/>
  <c r="G432" i="1"/>
  <c r="F432" i="1"/>
  <c r="D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C431" i="1" s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C430" i="1" s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C429" i="1" s="1"/>
  <c r="AB428" i="1"/>
  <c r="AB432" i="1" s="1"/>
  <c r="AA428" i="1"/>
  <c r="AA432" i="1" s="1"/>
  <c r="Z428" i="1"/>
  <c r="Z432" i="1" s="1"/>
  <c r="Y428" i="1"/>
  <c r="Y432" i="1" s="1"/>
  <c r="X428" i="1"/>
  <c r="X432" i="1" s="1"/>
  <c r="W428" i="1"/>
  <c r="V428" i="1"/>
  <c r="U428" i="1"/>
  <c r="U432" i="1" s="1"/>
  <c r="T428" i="1"/>
  <c r="T432" i="1" s="1"/>
  <c r="S428" i="1"/>
  <c r="S432" i="1" s="1"/>
  <c r="R428" i="1"/>
  <c r="R432" i="1" s="1"/>
  <c r="Q428" i="1"/>
  <c r="Q432" i="1" s="1"/>
  <c r="P428" i="1"/>
  <c r="P432" i="1" s="1"/>
  <c r="O428" i="1"/>
  <c r="N428" i="1"/>
  <c r="M428" i="1"/>
  <c r="M432" i="1" s="1"/>
  <c r="L428" i="1"/>
  <c r="L432" i="1" s="1"/>
  <c r="K428" i="1"/>
  <c r="K432" i="1" s="1"/>
  <c r="J428" i="1"/>
  <c r="J432" i="1" s="1"/>
  <c r="I428" i="1"/>
  <c r="I432" i="1" s="1"/>
  <c r="H428" i="1"/>
  <c r="H432" i="1" s="1"/>
  <c r="G428" i="1"/>
  <c r="F428" i="1"/>
  <c r="E428" i="1"/>
  <c r="E432" i="1" s="1"/>
  <c r="V427" i="1"/>
  <c r="U427" i="1"/>
  <c r="N427" i="1"/>
  <c r="M427" i="1"/>
  <c r="F427" i="1"/>
  <c r="E427" i="1"/>
  <c r="D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C426" i="1" s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C425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C424" i="1" s="1"/>
  <c r="AB423" i="1"/>
  <c r="AB427" i="1" s="1"/>
  <c r="AA423" i="1"/>
  <c r="AA427" i="1" s="1"/>
  <c r="Z423" i="1"/>
  <c r="Z427" i="1" s="1"/>
  <c r="Y423" i="1"/>
  <c r="Y427" i="1" s="1"/>
  <c r="X423" i="1"/>
  <c r="X427" i="1" s="1"/>
  <c r="W423" i="1"/>
  <c r="W427" i="1" s="1"/>
  <c r="V423" i="1"/>
  <c r="U423" i="1"/>
  <c r="T423" i="1"/>
  <c r="T427" i="1" s="1"/>
  <c r="S423" i="1"/>
  <c r="S427" i="1" s="1"/>
  <c r="R423" i="1"/>
  <c r="R427" i="1" s="1"/>
  <c r="Q423" i="1"/>
  <c r="Q427" i="1" s="1"/>
  <c r="P423" i="1"/>
  <c r="P427" i="1" s="1"/>
  <c r="O423" i="1"/>
  <c r="O427" i="1" s="1"/>
  <c r="N423" i="1"/>
  <c r="M423" i="1"/>
  <c r="L423" i="1"/>
  <c r="L427" i="1" s="1"/>
  <c r="K423" i="1"/>
  <c r="K427" i="1" s="1"/>
  <c r="J423" i="1"/>
  <c r="J427" i="1" s="1"/>
  <c r="I423" i="1"/>
  <c r="I427" i="1" s="1"/>
  <c r="H423" i="1"/>
  <c r="H427" i="1" s="1"/>
  <c r="G423" i="1"/>
  <c r="G427" i="1" s="1"/>
  <c r="F423" i="1"/>
  <c r="E423" i="1"/>
  <c r="AC423" i="1" s="1"/>
  <c r="AB422" i="1"/>
  <c r="U422" i="1"/>
  <c r="T422" i="1"/>
  <c r="M422" i="1"/>
  <c r="L422" i="1"/>
  <c r="E422" i="1"/>
  <c r="D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C421" i="1" s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C420" i="1" s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C419" i="1" s="1"/>
  <c r="AB418" i="1"/>
  <c r="AA418" i="1"/>
  <c r="AA422" i="1" s="1"/>
  <c r="Z418" i="1"/>
  <c r="Z422" i="1" s="1"/>
  <c r="Y418" i="1"/>
  <c r="Y422" i="1" s="1"/>
  <c r="X418" i="1"/>
  <c r="X422" i="1" s="1"/>
  <c r="W418" i="1"/>
  <c r="W422" i="1" s="1"/>
  <c r="V418" i="1"/>
  <c r="V422" i="1" s="1"/>
  <c r="U418" i="1"/>
  <c r="T418" i="1"/>
  <c r="S418" i="1"/>
  <c r="S422" i="1" s="1"/>
  <c r="R418" i="1"/>
  <c r="R422" i="1" s="1"/>
  <c r="Q418" i="1"/>
  <c r="Q422" i="1" s="1"/>
  <c r="P418" i="1"/>
  <c r="P422" i="1" s="1"/>
  <c r="O418" i="1"/>
  <c r="O422" i="1" s="1"/>
  <c r="N418" i="1"/>
  <c r="N422" i="1" s="1"/>
  <c r="M418" i="1"/>
  <c r="L418" i="1"/>
  <c r="K418" i="1"/>
  <c r="K422" i="1" s="1"/>
  <c r="J418" i="1"/>
  <c r="J422" i="1" s="1"/>
  <c r="I418" i="1"/>
  <c r="I422" i="1" s="1"/>
  <c r="H418" i="1"/>
  <c r="H422" i="1" s="1"/>
  <c r="G418" i="1"/>
  <c r="G422" i="1" s="1"/>
  <c r="F418" i="1"/>
  <c r="F422" i="1" s="1"/>
  <c r="E418" i="1"/>
  <c r="AC418" i="1" s="1"/>
  <c r="AB417" i="1"/>
  <c r="AA417" i="1"/>
  <c r="T417" i="1"/>
  <c r="S417" i="1"/>
  <c r="L417" i="1"/>
  <c r="K417" i="1"/>
  <c r="D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C416" i="1" s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C415" i="1" s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C414" i="1" s="1"/>
  <c r="AB413" i="1"/>
  <c r="AA413" i="1"/>
  <c r="Z413" i="1"/>
  <c r="Z417" i="1" s="1"/>
  <c r="Y413" i="1"/>
  <c r="Y417" i="1" s="1"/>
  <c r="X413" i="1"/>
  <c r="X417" i="1" s="1"/>
  <c r="W413" i="1"/>
  <c r="W417" i="1" s="1"/>
  <c r="V413" i="1"/>
  <c r="V417" i="1" s="1"/>
  <c r="U413" i="1"/>
  <c r="U417" i="1" s="1"/>
  <c r="T413" i="1"/>
  <c r="S413" i="1"/>
  <c r="R413" i="1"/>
  <c r="R417" i="1" s="1"/>
  <c r="Q413" i="1"/>
  <c r="Q417" i="1" s="1"/>
  <c r="P413" i="1"/>
  <c r="P417" i="1" s="1"/>
  <c r="O413" i="1"/>
  <c r="O417" i="1" s="1"/>
  <c r="N413" i="1"/>
  <c r="N417" i="1" s="1"/>
  <c r="M413" i="1"/>
  <c r="M417" i="1" s="1"/>
  <c r="L413" i="1"/>
  <c r="K413" i="1"/>
  <c r="J413" i="1"/>
  <c r="J417" i="1" s="1"/>
  <c r="I413" i="1"/>
  <c r="I417" i="1" s="1"/>
  <c r="H413" i="1"/>
  <c r="H417" i="1" s="1"/>
  <c r="G413" i="1"/>
  <c r="G417" i="1" s="1"/>
  <c r="F413" i="1"/>
  <c r="F417" i="1" s="1"/>
  <c r="E413" i="1"/>
  <c r="AC413" i="1" s="1"/>
  <c r="AA412" i="1"/>
  <c r="Z412" i="1"/>
  <c r="S412" i="1"/>
  <c r="R412" i="1"/>
  <c r="K412" i="1"/>
  <c r="J412" i="1"/>
  <c r="D412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C410" i="1" s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C409" i="1" s="1"/>
  <c r="AB408" i="1"/>
  <c r="AB412" i="1" s="1"/>
  <c r="AA408" i="1"/>
  <c r="Z408" i="1"/>
  <c r="Y408" i="1"/>
  <c r="Y412" i="1" s="1"/>
  <c r="X408" i="1"/>
  <c r="X412" i="1" s="1"/>
  <c r="W408" i="1"/>
  <c r="W412" i="1" s="1"/>
  <c r="V408" i="1"/>
  <c r="V412" i="1" s="1"/>
  <c r="U408" i="1"/>
  <c r="U412" i="1" s="1"/>
  <c r="T408" i="1"/>
  <c r="T412" i="1" s="1"/>
  <c r="S408" i="1"/>
  <c r="R408" i="1"/>
  <c r="Q408" i="1"/>
  <c r="Q412" i="1" s="1"/>
  <c r="P408" i="1"/>
  <c r="P412" i="1" s="1"/>
  <c r="O408" i="1"/>
  <c r="O412" i="1" s="1"/>
  <c r="N408" i="1"/>
  <c r="N412" i="1" s="1"/>
  <c r="M408" i="1"/>
  <c r="M412" i="1" s="1"/>
  <c r="L408" i="1"/>
  <c r="L412" i="1" s="1"/>
  <c r="K408" i="1"/>
  <c r="J408" i="1"/>
  <c r="I408" i="1"/>
  <c r="I412" i="1" s="1"/>
  <c r="H408" i="1"/>
  <c r="H412" i="1" s="1"/>
  <c r="G408" i="1"/>
  <c r="G412" i="1" s="1"/>
  <c r="F408" i="1"/>
  <c r="F412" i="1" s="1"/>
  <c r="E408" i="1"/>
  <c r="AC408" i="1" s="1"/>
  <c r="Z407" i="1"/>
  <c r="Y407" i="1"/>
  <c r="R407" i="1"/>
  <c r="Q407" i="1"/>
  <c r="J407" i="1"/>
  <c r="I407" i="1"/>
  <c r="D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C406" i="1" s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C404" i="1" s="1"/>
  <c r="AB403" i="1"/>
  <c r="AB407" i="1" s="1"/>
  <c r="AA403" i="1"/>
  <c r="AA407" i="1" s="1"/>
  <c r="Z403" i="1"/>
  <c r="Y403" i="1"/>
  <c r="X403" i="1"/>
  <c r="X407" i="1" s="1"/>
  <c r="W403" i="1"/>
  <c r="W407" i="1" s="1"/>
  <c r="V403" i="1"/>
  <c r="V407" i="1" s="1"/>
  <c r="U403" i="1"/>
  <c r="U407" i="1" s="1"/>
  <c r="T403" i="1"/>
  <c r="T407" i="1" s="1"/>
  <c r="S403" i="1"/>
  <c r="S407" i="1" s="1"/>
  <c r="R403" i="1"/>
  <c r="Q403" i="1"/>
  <c r="P403" i="1"/>
  <c r="P407" i="1" s="1"/>
  <c r="O403" i="1"/>
  <c r="O407" i="1" s="1"/>
  <c r="N403" i="1"/>
  <c r="N407" i="1" s="1"/>
  <c r="M403" i="1"/>
  <c r="M407" i="1" s="1"/>
  <c r="L403" i="1"/>
  <c r="L407" i="1" s="1"/>
  <c r="K403" i="1"/>
  <c r="K407" i="1" s="1"/>
  <c r="J403" i="1"/>
  <c r="I403" i="1"/>
  <c r="H403" i="1"/>
  <c r="H407" i="1" s="1"/>
  <c r="G403" i="1"/>
  <c r="G407" i="1" s="1"/>
  <c r="F403" i="1"/>
  <c r="F407" i="1" s="1"/>
  <c r="E403" i="1"/>
  <c r="AC403" i="1" s="1"/>
  <c r="Y402" i="1"/>
  <c r="X402" i="1"/>
  <c r="Q402" i="1"/>
  <c r="P402" i="1"/>
  <c r="I402" i="1"/>
  <c r="H402" i="1"/>
  <c r="D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C401" i="1" s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C400" i="1" s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C399" i="1" s="1"/>
  <c r="AB398" i="1"/>
  <c r="AB402" i="1" s="1"/>
  <c r="AA398" i="1"/>
  <c r="AA402" i="1" s="1"/>
  <c r="Z398" i="1"/>
  <c r="Z402" i="1" s="1"/>
  <c r="Y398" i="1"/>
  <c r="X398" i="1"/>
  <c r="W398" i="1"/>
  <c r="W402" i="1" s="1"/>
  <c r="V398" i="1"/>
  <c r="V402" i="1" s="1"/>
  <c r="U398" i="1"/>
  <c r="U402" i="1" s="1"/>
  <c r="T398" i="1"/>
  <c r="T402" i="1" s="1"/>
  <c r="S398" i="1"/>
  <c r="S402" i="1" s="1"/>
  <c r="R398" i="1"/>
  <c r="R402" i="1" s="1"/>
  <c r="Q398" i="1"/>
  <c r="P398" i="1"/>
  <c r="O398" i="1"/>
  <c r="O402" i="1" s="1"/>
  <c r="N398" i="1"/>
  <c r="N402" i="1" s="1"/>
  <c r="M398" i="1"/>
  <c r="M402" i="1" s="1"/>
  <c r="L398" i="1"/>
  <c r="L402" i="1" s="1"/>
  <c r="K398" i="1"/>
  <c r="K402" i="1" s="1"/>
  <c r="J398" i="1"/>
  <c r="J402" i="1" s="1"/>
  <c r="I398" i="1"/>
  <c r="H398" i="1"/>
  <c r="G398" i="1"/>
  <c r="G402" i="1" s="1"/>
  <c r="F398" i="1"/>
  <c r="F402" i="1" s="1"/>
  <c r="E398" i="1"/>
  <c r="E402" i="1" s="1"/>
  <c r="X397" i="1"/>
  <c r="W397" i="1"/>
  <c r="P397" i="1"/>
  <c r="O397" i="1"/>
  <c r="H397" i="1"/>
  <c r="G397" i="1"/>
  <c r="D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C396" i="1" s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C395" i="1" s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C394" i="1" s="1"/>
  <c r="AB393" i="1"/>
  <c r="AB397" i="1" s="1"/>
  <c r="AA393" i="1"/>
  <c r="AA397" i="1" s="1"/>
  <c r="Z393" i="1"/>
  <c r="Z397" i="1" s="1"/>
  <c r="Y393" i="1"/>
  <c r="Y397" i="1" s="1"/>
  <c r="X393" i="1"/>
  <c r="W393" i="1"/>
  <c r="V393" i="1"/>
  <c r="V397" i="1" s="1"/>
  <c r="U393" i="1"/>
  <c r="U397" i="1" s="1"/>
  <c r="T393" i="1"/>
  <c r="T397" i="1" s="1"/>
  <c r="S393" i="1"/>
  <c r="S397" i="1" s="1"/>
  <c r="R393" i="1"/>
  <c r="R397" i="1" s="1"/>
  <c r="Q393" i="1"/>
  <c r="Q397" i="1" s="1"/>
  <c r="P393" i="1"/>
  <c r="O393" i="1"/>
  <c r="N393" i="1"/>
  <c r="N397" i="1" s="1"/>
  <c r="M393" i="1"/>
  <c r="M397" i="1" s="1"/>
  <c r="L393" i="1"/>
  <c r="L397" i="1" s="1"/>
  <c r="K393" i="1"/>
  <c r="K397" i="1" s="1"/>
  <c r="J393" i="1"/>
  <c r="J397" i="1" s="1"/>
  <c r="I393" i="1"/>
  <c r="I397" i="1" s="1"/>
  <c r="H393" i="1"/>
  <c r="G393" i="1"/>
  <c r="F393" i="1"/>
  <c r="F397" i="1" s="1"/>
  <c r="E393" i="1"/>
  <c r="E397" i="1" s="1"/>
  <c r="W392" i="1"/>
  <c r="V392" i="1"/>
  <c r="O392" i="1"/>
  <c r="N392" i="1"/>
  <c r="G392" i="1"/>
  <c r="F392" i="1"/>
  <c r="D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C391" i="1" s="1"/>
  <c r="AB390" i="1"/>
  <c r="AA390" i="1"/>
  <c r="Z390" i="1"/>
  <c r="Y390" i="1"/>
  <c r="Y392" i="1" s="1"/>
  <c r="X390" i="1"/>
  <c r="W390" i="1"/>
  <c r="V390" i="1"/>
  <c r="U390" i="1"/>
  <c r="T390" i="1"/>
  <c r="S390" i="1"/>
  <c r="R390" i="1"/>
  <c r="Q390" i="1"/>
  <c r="Q392" i="1" s="1"/>
  <c r="P390" i="1"/>
  <c r="O390" i="1"/>
  <c r="N390" i="1"/>
  <c r="M390" i="1"/>
  <c r="L390" i="1"/>
  <c r="K390" i="1"/>
  <c r="J390" i="1"/>
  <c r="I390" i="1"/>
  <c r="I392" i="1" s="1"/>
  <c r="H390" i="1"/>
  <c r="G390" i="1"/>
  <c r="F390" i="1"/>
  <c r="E390" i="1"/>
  <c r="AC390" i="1" s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C389" i="1" s="1"/>
  <c r="AB388" i="1"/>
  <c r="AB392" i="1" s="1"/>
  <c r="AA388" i="1"/>
  <c r="AA392" i="1" s="1"/>
  <c r="Z388" i="1"/>
  <c r="Z392" i="1" s="1"/>
  <c r="Y388" i="1"/>
  <c r="X388" i="1"/>
  <c r="X392" i="1" s="1"/>
  <c r="W388" i="1"/>
  <c r="V388" i="1"/>
  <c r="U388" i="1"/>
  <c r="U392" i="1" s="1"/>
  <c r="T388" i="1"/>
  <c r="T392" i="1" s="1"/>
  <c r="S388" i="1"/>
  <c r="S392" i="1" s="1"/>
  <c r="R388" i="1"/>
  <c r="R392" i="1" s="1"/>
  <c r="Q388" i="1"/>
  <c r="P388" i="1"/>
  <c r="P392" i="1" s="1"/>
  <c r="O388" i="1"/>
  <c r="N388" i="1"/>
  <c r="M388" i="1"/>
  <c r="M392" i="1" s="1"/>
  <c r="L388" i="1"/>
  <c r="L392" i="1" s="1"/>
  <c r="K388" i="1"/>
  <c r="K392" i="1" s="1"/>
  <c r="J388" i="1"/>
  <c r="J392" i="1" s="1"/>
  <c r="I388" i="1"/>
  <c r="H388" i="1"/>
  <c r="H392" i="1" s="1"/>
  <c r="G388" i="1"/>
  <c r="F388" i="1"/>
  <c r="E388" i="1"/>
  <c r="E392" i="1" s="1"/>
  <c r="V387" i="1"/>
  <c r="U387" i="1"/>
  <c r="N387" i="1"/>
  <c r="M387" i="1"/>
  <c r="F387" i="1"/>
  <c r="E387" i="1"/>
  <c r="D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C386" i="1" s="1"/>
  <c r="AB385" i="1"/>
  <c r="AA385" i="1"/>
  <c r="Z385" i="1"/>
  <c r="Y385" i="1"/>
  <c r="X385" i="1"/>
  <c r="X387" i="1" s="1"/>
  <c r="W385" i="1"/>
  <c r="V385" i="1"/>
  <c r="U385" i="1"/>
  <c r="T385" i="1"/>
  <c r="S385" i="1"/>
  <c r="R385" i="1"/>
  <c r="Q385" i="1"/>
  <c r="P385" i="1"/>
  <c r="P387" i="1" s="1"/>
  <c r="O385" i="1"/>
  <c r="N385" i="1"/>
  <c r="M385" i="1"/>
  <c r="L385" i="1"/>
  <c r="K385" i="1"/>
  <c r="J385" i="1"/>
  <c r="I385" i="1"/>
  <c r="H385" i="1"/>
  <c r="H387" i="1" s="1"/>
  <c r="G385" i="1"/>
  <c r="F385" i="1"/>
  <c r="E385" i="1"/>
  <c r="AC385" i="1" s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C384" i="1" s="1"/>
  <c r="AB383" i="1"/>
  <c r="AB387" i="1" s="1"/>
  <c r="AA383" i="1"/>
  <c r="AA387" i="1" s="1"/>
  <c r="Z383" i="1"/>
  <c r="Z387" i="1" s="1"/>
  <c r="Y383" i="1"/>
  <c r="Y387" i="1" s="1"/>
  <c r="X383" i="1"/>
  <c r="W383" i="1"/>
  <c r="W387" i="1" s="1"/>
  <c r="V383" i="1"/>
  <c r="U383" i="1"/>
  <c r="T383" i="1"/>
  <c r="T387" i="1" s="1"/>
  <c r="S383" i="1"/>
  <c r="S387" i="1" s="1"/>
  <c r="R383" i="1"/>
  <c r="R387" i="1" s="1"/>
  <c r="Q383" i="1"/>
  <c r="Q387" i="1" s="1"/>
  <c r="P383" i="1"/>
  <c r="O383" i="1"/>
  <c r="O387" i="1" s="1"/>
  <c r="N383" i="1"/>
  <c r="M383" i="1"/>
  <c r="L383" i="1"/>
  <c r="L387" i="1" s="1"/>
  <c r="K383" i="1"/>
  <c r="K387" i="1" s="1"/>
  <c r="J383" i="1"/>
  <c r="J387" i="1" s="1"/>
  <c r="I383" i="1"/>
  <c r="I387" i="1" s="1"/>
  <c r="H383" i="1"/>
  <c r="G383" i="1"/>
  <c r="G387" i="1" s="1"/>
  <c r="F383" i="1"/>
  <c r="E383" i="1"/>
  <c r="AC383" i="1" s="1"/>
  <c r="AB382" i="1"/>
  <c r="U382" i="1"/>
  <c r="T382" i="1"/>
  <c r="M382" i="1"/>
  <c r="L382" i="1"/>
  <c r="E382" i="1"/>
  <c r="D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C381" i="1" s="1"/>
  <c r="AB380" i="1"/>
  <c r="AA380" i="1"/>
  <c r="Z380" i="1"/>
  <c r="Y380" i="1"/>
  <c r="X380" i="1"/>
  <c r="W380" i="1"/>
  <c r="W382" i="1" s="1"/>
  <c r="V380" i="1"/>
  <c r="U380" i="1"/>
  <c r="T380" i="1"/>
  <c r="S380" i="1"/>
  <c r="R380" i="1"/>
  <c r="Q380" i="1"/>
  <c r="P380" i="1"/>
  <c r="O380" i="1"/>
  <c r="O382" i="1" s="1"/>
  <c r="N380" i="1"/>
  <c r="M380" i="1"/>
  <c r="L380" i="1"/>
  <c r="K380" i="1"/>
  <c r="J380" i="1"/>
  <c r="I380" i="1"/>
  <c r="H380" i="1"/>
  <c r="G380" i="1"/>
  <c r="G382" i="1" s="1"/>
  <c r="F380" i="1"/>
  <c r="E380" i="1"/>
  <c r="AC380" i="1" s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H382" i="1" s="1"/>
  <c r="G379" i="1"/>
  <c r="F379" i="1"/>
  <c r="E379" i="1"/>
  <c r="AC379" i="1" s="1"/>
  <c r="AB378" i="1"/>
  <c r="AA378" i="1"/>
  <c r="AA382" i="1" s="1"/>
  <c r="Z378" i="1"/>
  <c r="Z382" i="1" s="1"/>
  <c r="Y378" i="1"/>
  <c r="Y382" i="1" s="1"/>
  <c r="X378" i="1"/>
  <c r="X382" i="1" s="1"/>
  <c r="W378" i="1"/>
  <c r="V378" i="1"/>
  <c r="V382" i="1" s="1"/>
  <c r="U378" i="1"/>
  <c r="T378" i="1"/>
  <c r="S378" i="1"/>
  <c r="S382" i="1" s="1"/>
  <c r="R378" i="1"/>
  <c r="R382" i="1" s="1"/>
  <c r="Q378" i="1"/>
  <c r="Q382" i="1" s="1"/>
  <c r="P378" i="1"/>
  <c r="P382" i="1" s="1"/>
  <c r="O378" i="1"/>
  <c r="N378" i="1"/>
  <c r="N382" i="1" s="1"/>
  <c r="M378" i="1"/>
  <c r="L378" i="1"/>
  <c r="K378" i="1"/>
  <c r="K382" i="1" s="1"/>
  <c r="J378" i="1"/>
  <c r="J382" i="1" s="1"/>
  <c r="I378" i="1"/>
  <c r="I382" i="1" s="1"/>
  <c r="H378" i="1"/>
  <c r="G378" i="1"/>
  <c r="F378" i="1"/>
  <c r="F382" i="1" s="1"/>
  <c r="E378" i="1"/>
  <c r="AC378" i="1" s="1"/>
  <c r="AB377" i="1"/>
  <c r="AA377" i="1"/>
  <c r="T377" i="1"/>
  <c r="S377" i="1"/>
  <c r="L377" i="1"/>
  <c r="K377" i="1"/>
  <c r="D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C376" i="1" s="1"/>
  <c r="AB375" i="1"/>
  <c r="AA375" i="1"/>
  <c r="Z375" i="1"/>
  <c r="Y375" i="1"/>
  <c r="X375" i="1"/>
  <c r="W375" i="1"/>
  <c r="V375" i="1"/>
  <c r="V377" i="1" s="1"/>
  <c r="U375" i="1"/>
  <c r="T375" i="1"/>
  <c r="S375" i="1"/>
  <c r="R375" i="1"/>
  <c r="Q375" i="1"/>
  <c r="P375" i="1"/>
  <c r="O375" i="1"/>
  <c r="N375" i="1"/>
  <c r="N377" i="1" s="1"/>
  <c r="M375" i="1"/>
  <c r="L375" i="1"/>
  <c r="K375" i="1"/>
  <c r="J375" i="1"/>
  <c r="I375" i="1"/>
  <c r="H375" i="1"/>
  <c r="G375" i="1"/>
  <c r="F375" i="1"/>
  <c r="F377" i="1" s="1"/>
  <c r="E375" i="1"/>
  <c r="AC375" i="1" s="1"/>
  <c r="AB374" i="1"/>
  <c r="AA374" i="1"/>
  <c r="Z374" i="1"/>
  <c r="Y374" i="1"/>
  <c r="X374" i="1"/>
  <c r="W374" i="1"/>
  <c r="W377" i="1" s="1"/>
  <c r="V374" i="1"/>
  <c r="U374" i="1"/>
  <c r="T374" i="1"/>
  <c r="S374" i="1"/>
  <c r="R374" i="1"/>
  <c r="Q374" i="1"/>
  <c r="P374" i="1"/>
  <c r="O374" i="1"/>
  <c r="O377" i="1" s="1"/>
  <c r="N374" i="1"/>
  <c r="M374" i="1"/>
  <c r="L374" i="1"/>
  <c r="K374" i="1"/>
  <c r="J374" i="1"/>
  <c r="I374" i="1"/>
  <c r="H374" i="1"/>
  <c r="G374" i="1"/>
  <c r="G377" i="1" s="1"/>
  <c r="F374" i="1"/>
  <c r="E374" i="1"/>
  <c r="AC374" i="1" s="1"/>
  <c r="AB373" i="1"/>
  <c r="AA373" i="1"/>
  <c r="Z373" i="1"/>
  <c r="Z377" i="1" s="1"/>
  <c r="Y373" i="1"/>
  <c r="Y377" i="1" s="1"/>
  <c r="X373" i="1"/>
  <c r="X377" i="1" s="1"/>
  <c r="W373" i="1"/>
  <c r="V373" i="1"/>
  <c r="U373" i="1"/>
  <c r="U377" i="1" s="1"/>
  <c r="T373" i="1"/>
  <c r="S373" i="1"/>
  <c r="R373" i="1"/>
  <c r="R377" i="1" s="1"/>
  <c r="Q373" i="1"/>
  <c r="Q377" i="1" s="1"/>
  <c r="P373" i="1"/>
  <c r="P377" i="1" s="1"/>
  <c r="O373" i="1"/>
  <c r="N373" i="1"/>
  <c r="M373" i="1"/>
  <c r="M377" i="1" s="1"/>
  <c r="L373" i="1"/>
  <c r="K373" i="1"/>
  <c r="J373" i="1"/>
  <c r="J377" i="1" s="1"/>
  <c r="I373" i="1"/>
  <c r="I377" i="1" s="1"/>
  <c r="H373" i="1"/>
  <c r="H377" i="1" s="1"/>
  <c r="G373" i="1"/>
  <c r="F373" i="1"/>
  <c r="E373" i="1"/>
  <c r="AC373" i="1" s="1"/>
  <c r="B373" i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AC432" i="1" l="1"/>
  <c r="AC392" i="1"/>
  <c r="AC387" i="1"/>
  <c r="AC382" i="1"/>
  <c r="AC427" i="1"/>
  <c r="AC422" i="1"/>
  <c r="AC402" i="1"/>
  <c r="AC397" i="1"/>
  <c r="AC398" i="1"/>
  <c r="AC393" i="1"/>
  <c r="E377" i="1"/>
  <c r="AC377" i="1" s="1"/>
  <c r="AC388" i="1"/>
  <c r="E417" i="1"/>
  <c r="AC417" i="1" s="1"/>
  <c r="AC428" i="1"/>
  <c r="E412" i="1"/>
  <c r="AC412" i="1" s="1"/>
  <c r="E407" i="1"/>
  <c r="AC407" i="1" s="1"/>
  <c r="F106" i="2" l="1"/>
  <c r="C6" i="3" l="1"/>
  <c r="B2" i="3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6" i="1"/>
  <c r="E135" i="1"/>
  <c r="E134" i="1"/>
  <c r="E133" i="1"/>
  <c r="C10" i="1"/>
  <c r="E308" i="3" l="1"/>
  <c r="E303" i="3"/>
  <c r="E298" i="3"/>
  <c r="E293" i="3"/>
  <c r="E288" i="3"/>
  <c r="E283" i="3"/>
  <c r="E278" i="3"/>
  <c r="E273" i="3"/>
  <c r="E268" i="3"/>
  <c r="E263" i="3"/>
  <c r="E258" i="3"/>
  <c r="E253" i="3"/>
  <c r="E248" i="3"/>
  <c r="E243" i="3"/>
  <c r="E238" i="3"/>
  <c r="E233" i="3"/>
  <c r="E228" i="3"/>
  <c r="E223" i="3"/>
  <c r="E218" i="3"/>
  <c r="E213" i="3"/>
  <c r="E208" i="3"/>
  <c r="E203" i="3"/>
  <c r="E198" i="3"/>
  <c r="E193" i="3"/>
  <c r="E188" i="3"/>
  <c r="E183" i="3"/>
  <c r="E178" i="3"/>
  <c r="E173" i="3"/>
  <c r="E168" i="3"/>
  <c r="E163" i="3"/>
  <c r="E158" i="3"/>
  <c r="E153" i="3"/>
  <c r="E148" i="3"/>
  <c r="E143" i="3"/>
  <c r="E138" i="3"/>
  <c r="E133" i="3"/>
  <c r="E128" i="3"/>
  <c r="E123" i="3"/>
  <c r="E118" i="3"/>
  <c r="E113" i="3"/>
  <c r="E108" i="3"/>
  <c r="E103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E23" i="3"/>
  <c r="E18" i="3"/>
  <c r="E13" i="3"/>
  <c r="D6" i="2" l="1"/>
  <c r="B4" i="3" s="1"/>
  <c r="D5" i="2"/>
  <c r="AB372" i="1" l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C371" i="1"/>
  <c r="AC370" i="1"/>
  <c r="AC369" i="1"/>
  <c r="AC366" i="1"/>
  <c r="AC365" i="1"/>
  <c r="AC364" i="1"/>
  <c r="AC361" i="1"/>
  <c r="AC360" i="1"/>
  <c r="AC359" i="1"/>
  <c r="AC356" i="1"/>
  <c r="AC355" i="1"/>
  <c r="AC354" i="1"/>
  <c r="AC351" i="1"/>
  <c r="AC350" i="1"/>
  <c r="AC349" i="1"/>
  <c r="AC346" i="1"/>
  <c r="AC345" i="1"/>
  <c r="AC344" i="1"/>
  <c r="AC341" i="1"/>
  <c r="AC340" i="1"/>
  <c r="AC339" i="1"/>
  <c r="AC336" i="1"/>
  <c r="AC335" i="1"/>
  <c r="AC334" i="1"/>
  <c r="AC331" i="1"/>
  <c r="AC330" i="1"/>
  <c r="AC329" i="1"/>
  <c r="AC328" i="1"/>
  <c r="AC326" i="1"/>
  <c r="AC325" i="1"/>
  <c r="AC324" i="1"/>
  <c r="AC321" i="1"/>
  <c r="AC320" i="1"/>
  <c r="AC319" i="1"/>
  <c r="AC318" i="1"/>
  <c r="AC316" i="1"/>
  <c r="AC315" i="1"/>
  <c r="AC314" i="1"/>
  <c r="AC311" i="1"/>
  <c r="AC310" i="1"/>
  <c r="AC309" i="1"/>
  <c r="AC306" i="1"/>
  <c r="AC305" i="1"/>
  <c r="AC304" i="1"/>
  <c r="AC301" i="1"/>
  <c r="AC300" i="1"/>
  <c r="AC299" i="1"/>
  <c r="AC298" i="1"/>
  <c r="AC296" i="1"/>
  <c r="AC295" i="1"/>
  <c r="AC294" i="1"/>
  <c r="AC291" i="1"/>
  <c r="AC290" i="1"/>
  <c r="AC289" i="1"/>
  <c r="AC286" i="1"/>
  <c r="AC285" i="1"/>
  <c r="AC284" i="1"/>
  <c r="AC281" i="1"/>
  <c r="AC280" i="1"/>
  <c r="AC279" i="1"/>
  <c r="AC278" i="1"/>
  <c r="AC276" i="1"/>
  <c r="AC275" i="1"/>
  <c r="AC274" i="1"/>
  <c r="AC271" i="1"/>
  <c r="AC270" i="1"/>
  <c r="AC269" i="1"/>
  <c r="AC268" i="1"/>
  <c r="AC266" i="1"/>
  <c r="AC265" i="1"/>
  <c r="AC264" i="1"/>
  <c r="AC263" i="1"/>
  <c r="AC261" i="1"/>
  <c r="AC260" i="1"/>
  <c r="AC259" i="1"/>
  <c r="AC256" i="1"/>
  <c r="AC255" i="1"/>
  <c r="AC254" i="1"/>
  <c r="AC253" i="1"/>
  <c r="AC251" i="1"/>
  <c r="AC250" i="1"/>
  <c r="AC249" i="1"/>
  <c r="AC248" i="1"/>
  <c r="AC246" i="1"/>
  <c r="AC245" i="1"/>
  <c r="AC244" i="1"/>
  <c r="AC243" i="1"/>
  <c r="AC241" i="1"/>
  <c r="AC240" i="1"/>
  <c r="AC239" i="1"/>
  <c r="AC236" i="1"/>
  <c r="AC235" i="1"/>
  <c r="AC234" i="1"/>
  <c r="AC233" i="1"/>
  <c r="AC231" i="1"/>
  <c r="AC230" i="1"/>
  <c r="AC229" i="1"/>
  <c r="AC226" i="1"/>
  <c r="AC225" i="1"/>
  <c r="AC224" i="1"/>
  <c r="AC223" i="1"/>
  <c r="AC221" i="1"/>
  <c r="AC220" i="1"/>
  <c r="AC219" i="1"/>
  <c r="AC218" i="1"/>
  <c r="AC216" i="1"/>
  <c r="AC215" i="1"/>
  <c r="AC214" i="1"/>
  <c r="AC213" i="1"/>
  <c r="AC211" i="1"/>
  <c r="AC210" i="1"/>
  <c r="AC209" i="1"/>
  <c r="AC208" i="1"/>
  <c r="AC206" i="1"/>
  <c r="AC205" i="1"/>
  <c r="AC204" i="1"/>
  <c r="AC201" i="1"/>
  <c r="AC200" i="1"/>
  <c r="AC199" i="1"/>
  <c r="AC198" i="1"/>
  <c r="AC196" i="1"/>
  <c r="AC195" i="1"/>
  <c r="AC194" i="1"/>
  <c r="AC193" i="1"/>
  <c r="AC191" i="1"/>
  <c r="AC190" i="1"/>
  <c r="AC189" i="1"/>
  <c r="AC186" i="1"/>
  <c r="AC185" i="1"/>
  <c r="AC184" i="1"/>
  <c r="AC183" i="1"/>
  <c r="AC181" i="1"/>
  <c r="AC180" i="1"/>
  <c r="AC179" i="1"/>
  <c r="AC178" i="1"/>
  <c r="AC176" i="1"/>
  <c r="AC175" i="1"/>
  <c r="AC174" i="1"/>
  <c r="AC171" i="1"/>
  <c r="AC170" i="1"/>
  <c r="AC169" i="1"/>
  <c r="AC168" i="1"/>
  <c r="AC166" i="1"/>
  <c r="AC165" i="1"/>
  <c r="AC164" i="1"/>
  <c r="AC163" i="1"/>
  <c r="AC161" i="1"/>
  <c r="AC160" i="1"/>
  <c r="AC159" i="1"/>
  <c r="AC156" i="1"/>
  <c r="AC155" i="1"/>
  <c r="AC154" i="1"/>
  <c r="AC151" i="1"/>
  <c r="AC150" i="1"/>
  <c r="AC149" i="1"/>
  <c r="AC148" i="1"/>
  <c r="AC146" i="1"/>
  <c r="AC145" i="1"/>
  <c r="AC144" i="1"/>
  <c r="AC141" i="1"/>
  <c r="AC140" i="1"/>
  <c r="AC139" i="1"/>
  <c r="AC138" i="1"/>
  <c r="AC136" i="1"/>
  <c r="AC135" i="1"/>
  <c r="AC134" i="1"/>
  <c r="AC131" i="1"/>
  <c r="AC130" i="1"/>
  <c r="AC129" i="1"/>
  <c r="AC128" i="1"/>
  <c r="AC126" i="1"/>
  <c r="AC125" i="1"/>
  <c r="AC124" i="1"/>
  <c r="AC123" i="1"/>
  <c r="AC121" i="1"/>
  <c r="AC120" i="1"/>
  <c r="AC119" i="1"/>
  <c r="AC118" i="1"/>
  <c r="AC116" i="1"/>
  <c r="AC115" i="1"/>
  <c r="AC114" i="1"/>
  <c r="AC113" i="1"/>
  <c r="AC111" i="1"/>
  <c r="AC110" i="1"/>
  <c r="AC109" i="1"/>
  <c r="AC108" i="1"/>
  <c r="AC106" i="1"/>
  <c r="AC105" i="1"/>
  <c r="AC104" i="1"/>
  <c r="AC101" i="1"/>
  <c r="AC100" i="1"/>
  <c r="AC99" i="1"/>
  <c r="AC98" i="1"/>
  <c r="AC96" i="1"/>
  <c r="AC95" i="1"/>
  <c r="AC94" i="1"/>
  <c r="AC91" i="1"/>
  <c r="AC90" i="1"/>
  <c r="AC89" i="1"/>
  <c r="AC88" i="1"/>
  <c r="AC86" i="1"/>
  <c r="AC85" i="1"/>
  <c r="AC84" i="1"/>
  <c r="AC81" i="1"/>
  <c r="AC80" i="1"/>
  <c r="AC79" i="1"/>
  <c r="AC78" i="1"/>
  <c r="AC76" i="1"/>
  <c r="AC75" i="1"/>
  <c r="AC74" i="1"/>
  <c r="AC73" i="1"/>
  <c r="AC317" i="1" l="1"/>
  <c r="AC357" i="1"/>
  <c r="AC277" i="1"/>
  <c r="AC197" i="1"/>
  <c r="AC237" i="1"/>
  <c r="AC157" i="1"/>
  <c r="AC77" i="1"/>
  <c r="AC117" i="1"/>
  <c r="AC122" i="1"/>
  <c r="AC242" i="1"/>
  <c r="AC282" i="1"/>
  <c r="AC322" i="1"/>
  <c r="AC362" i="1"/>
  <c r="AC87" i="1"/>
  <c r="AC127" i="1"/>
  <c r="AC167" i="1"/>
  <c r="AC207" i="1"/>
  <c r="AC247" i="1"/>
  <c r="AC287" i="1"/>
  <c r="AC327" i="1"/>
  <c r="AC367" i="1"/>
  <c r="AC82" i="1"/>
  <c r="AC162" i="1"/>
  <c r="AC92" i="1"/>
  <c r="AC172" i="1"/>
  <c r="AC212" i="1"/>
  <c r="AC97" i="1"/>
  <c r="AC137" i="1"/>
  <c r="AC177" i="1"/>
  <c r="AC217" i="1"/>
  <c r="AC257" i="1"/>
  <c r="AC297" i="1"/>
  <c r="AC337" i="1"/>
  <c r="AC102" i="1"/>
  <c r="AC142" i="1"/>
  <c r="AC182" i="1"/>
  <c r="AC222" i="1"/>
  <c r="AC262" i="1"/>
  <c r="AC302" i="1"/>
  <c r="AC342" i="1"/>
  <c r="AC132" i="1"/>
  <c r="AC332" i="1"/>
  <c r="AC107" i="1"/>
  <c r="AC147" i="1"/>
  <c r="AC187" i="1"/>
  <c r="AC227" i="1"/>
  <c r="AC267" i="1"/>
  <c r="AC307" i="1"/>
  <c r="AC347" i="1"/>
  <c r="AC202" i="1"/>
  <c r="AC252" i="1"/>
  <c r="AC292" i="1"/>
  <c r="AC372" i="1"/>
  <c r="AC112" i="1"/>
  <c r="AC152" i="1"/>
  <c r="AC192" i="1"/>
  <c r="AC232" i="1"/>
  <c r="AC272" i="1"/>
  <c r="AC312" i="1"/>
  <c r="AC352" i="1"/>
  <c r="AC103" i="1"/>
  <c r="AC228" i="1"/>
  <c r="AC188" i="1"/>
  <c r="AC83" i="1"/>
  <c r="AC143" i="1"/>
  <c r="AC93" i="1"/>
  <c r="AC238" i="1"/>
  <c r="AC133" i="1"/>
  <c r="AC153" i="1"/>
  <c r="AC173" i="1"/>
  <c r="AC258" i="1"/>
  <c r="AC158" i="1"/>
  <c r="AC203" i="1"/>
  <c r="AC293" i="1"/>
  <c r="AC288" i="1"/>
  <c r="AC313" i="1"/>
  <c r="AC353" i="1"/>
  <c r="AC273" i="1"/>
  <c r="AC308" i="1"/>
  <c r="AC333" i="1"/>
  <c r="AC338" i="1"/>
  <c r="AC358" i="1"/>
  <c r="AC283" i="1"/>
  <c r="AC303" i="1"/>
  <c r="AC323" i="1"/>
  <c r="AC343" i="1"/>
  <c r="AC363" i="1"/>
  <c r="AC348" i="1"/>
  <c r="AC368" i="1"/>
  <c r="B18" i="1" l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08" i="1" s="1"/>
  <c r="B213" i="1" s="1"/>
  <c r="B218" i="1" s="1"/>
  <c r="B223" i="1" s="1"/>
  <c r="B228" i="1" s="1"/>
  <c r="B233" i="1" s="1"/>
  <c r="B238" i="1" s="1"/>
  <c r="B243" i="1" s="1"/>
  <c r="B248" i="1" s="1"/>
  <c r="B253" i="1" s="1"/>
  <c r="B258" i="1" s="1"/>
  <c r="B263" i="1" s="1"/>
  <c r="B268" i="1" s="1"/>
  <c r="B273" i="1" s="1"/>
  <c r="B278" i="1" s="1"/>
  <c r="B283" i="1" s="1"/>
  <c r="B288" i="1" s="1"/>
  <c r="B293" i="1" s="1"/>
  <c r="B298" i="1" s="1"/>
  <c r="B303" i="1" s="1"/>
  <c r="B308" i="1" s="1"/>
  <c r="B313" i="1" s="1"/>
  <c r="B318" i="1" s="1"/>
  <c r="B323" i="1" s="1"/>
  <c r="B328" i="1" s="1"/>
  <c r="B333" i="1" s="1"/>
  <c r="B338" i="1" s="1"/>
  <c r="B343" i="1" s="1"/>
  <c r="B348" i="1" s="1"/>
  <c r="B353" i="1" s="1"/>
  <c r="B358" i="1" s="1"/>
  <c r="B363" i="1" s="1"/>
  <c r="B368" i="1" s="1"/>
  <c r="D72" i="1"/>
  <c r="D67" i="1"/>
  <c r="D62" i="1"/>
  <c r="D57" i="1"/>
  <c r="D52" i="1"/>
  <c r="D47" i="1"/>
  <c r="D42" i="1"/>
  <c r="D37" i="1"/>
  <c r="D32" i="1"/>
  <c r="D27" i="1"/>
  <c r="D22" i="1"/>
  <c r="D17" i="1"/>
  <c r="V72" i="1"/>
  <c r="N72" i="1"/>
  <c r="F72" i="1"/>
  <c r="AC71" i="1"/>
  <c r="AC70" i="1"/>
  <c r="AC69" i="1"/>
  <c r="U72" i="1"/>
  <c r="AA67" i="1"/>
  <c r="Y67" i="1"/>
  <c r="W67" i="1"/>
  <c r="S67" i="1"/>
  <c r="Q67" i="1"/>
  <c r="O67" i="1"/>
  <c r="K67" i="1"/>
  <c r="I67" i="1"/>
  <c r="G67" i="1"/>
  <c r="E67" i="1"/>
  <c r="AC66" i="1"/>
  <c r="AC65" i="1"/>
  <c r="AC64" i="1"/>
  <c r="AC63" i="1"/>
  <c r="X67" i="1"/>
  <c r="V62" i="1"/>
  <c r="R62" i="1"/>
  <c r="N62" i="1"/>
  <c r="J62" i="1"/>
  <c r="F62" i="1"/>
  <c r="AC61" i="1"/>
  <c r="AC60" i="1"/>
  <c r="AC59" i="1"/>
  <c r="AA62" i="1"/>
  <c r="AA57" i="1"/>
  <c r="Z57" i="1"/>
  <c r="Y57" i="1"/>
  <c r="W57" i="1"/>
  <c r="V57" i="1"/>
  <c r="U57" i="1"/>
  <c r="S57" i="1"/>
  <c r="R57" i="1"/>
  <c r="Q57" i="1"/>
  <c r="O57" i="1"/>
  <c r="N57" i="1"/>
  <c r="M57" i="1"/>
  <c r="K57" i="1"/>
  <c r="J57" i="1"/>
  <c r="I57" i="1"/>
  <c r="G57" i="1"/>
  <c r="F57" i="1"/>
  <c r="E57" i="1"/>
  <c r="AC56" i="1"/>
  <c r="AC55" i="1"/>
  <c r="AC54" i="1"/>
  <c r="AC53" i="1"/>
  <c r="AB57" i="1"/>
  <c r="AC51" i="1"/>
  <c r="AC50" i="1"/>
  <c r="AC49" i="1"/>
  <c r="Y52" i="1"/>
  <c r="AA47" i="1"/>
  <c r="W47" i="1"/>
  <c r="U47" i="1"/>
  <c r="S47" i="1"/>
  <c r="O47" i="1"/>
  <c r="M47" i="1"/>
  <c r="K47" i="1"/>
  <c r="G47" i="1"/>
  <c r="E47" i="1"/>
  <c r="AC46" i="1"/>
  <c r="AC45" i="1"/>
  <c r="AC44" i="1"/>
  <c r="AC43" i="1"/>
  <c r="AB47" i="1"/>
  <c r="AA42" i="1"/>
  <c r="Z42" i="1"/>
  <c r="X42" i="1"/>
  <c r="W42" i="1"/>
  <c r="V42" i="1"/>
  <c r="S42" i="1"/>
  <c r="R42" i="1"/>
  <c r="P42" i="1"/>
  <c r="O42" i="1"/>
  <c r="N42" i="1"/>
  <c r="K42" i="1"/>
  <c r="J42" i="1"/>
  <c r="H42" i="1"/>
  <c r="G42" i="1"/>
  <c r="F42" i="1"/>
  <c r="AC41" i="1"/>
  <c r="AC40" i="1"/>
  <c r="AC39" i="1"/>
  <c r="U42" i="1"/>
  <c r="AA37" i="1"/>
  <c r="Z37" i="1"/>
  <c r="Y37" i="1"/>
  <c r="W37" i="1"/>
  <c r="V37" i="1"/>
  <c r="U37" i="1"/>
  <c r="S37" i="1"/>
  <c r="R37" i="1"/>
  <c r="Q37" i="1"/>
  <c r="O37" i="1"/>
  <c r="N37" i="1"/>
  <c r="M37" i="1"/>
  <c r="K37" i="1"/>
  <c r="J37" i="1"/>
  <c r="I37" i="1"/>
  <c r="G37" i="1"/>
  <c r="F37" i="1"/>
  <c r="E37" i="1"/>
  <c r="AC36" i="1"/>
  <c r="AC35" i="1"/>
  <c r="AC34" i="1"/>
  <c r="AC33" i="1"/>
  <c r="X37" i="1"/>
  <c r="X32" i="1"/>
  <c r="P32" i="1"/>
  <c r="L32" i="1"/>
  <c r="H32" i="1"/>
  <c r="AC31" i="1"/>
  <c r="AC30" i="1"/>
  <c r="AC29" i="1"/>
  <c r="U32" i="1"/>
  <c r="AA27" i="1"/>
  <c r="X27" i="1"/>
  <c r="W27" i="1"/>
  <c r="S27" i="1"/>
  <c r="Q27" i="1"/>
  <c r="P27" i="1"/>
  <c r="O27" i="1"/>
  <c r="K27" i="1"/>
  <c r="I27" i="1"/>
  <c r="H27" i="1"/>
  <c r="G27" i="1"/>
  <c r="AC26" i="1"/>
  <c r="AC25" i="1"/>
  <c r="AC24" i="1"/>
  <c r="V27" i="1"/>
  <c r="AA22" i="1"/>
  <c r="Z22" i="1"/>
  <c r="V22" i="1"/>
  <c r="S22" i="1"/>
  <c r="R22" i="1"/>
  <c r="N22" i="1"/>
  <c r="L22" i="1"/>
  <c r="K22" i="1"/>
  <c r="J22" i="1"/>
  <c r="F22" i="1"/>
  <c r="AC21" i="1"/>
  <c r="AC20" i="1"/>
  <c r="AC19" i="1"/>
  <c r="Y22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E17" i="1"/>
  <c r="AC16" i="1"/>
  <c r="AC15" i="1"/>
  <c r="AC14" i="1"/>
  <c r="AC13" i="1"/>
  <c r="AB17" i="1"/>
  <c r="D11" i="2"/>
  <c r="B11" i="2"/>
  <c r="B12" i="2" s="1"/>
  <c r="B13" i="2" s="1"/>
  <c r="B14" i="2" s="1"/>
  <c r="B15" i="2" s="1"/>
  <c r="B16" i="2" s="1"/>
  <c r="B17" i="2" s="1"/>
  <c r="D12" i="2" l="1"/>
  <c r="E12" i="2" s="1"/>
  <c r="E11" i="2"/>
  <c r="B18" i="2"/>
  <c r="B19" i="2" s="1"/>
  <c r="B20" i="2" s="1"/>
  <c r="B21" i="2" s="1"/>
  <c r="T22" i="1"/>
  <c r="Y27" i="1"/>
  <c r="N32" i="1"/>
  <c r="Z52" i="1"/>
  <c r="T62" i="1"/>
  <c r="AB22" i="1"/>
  <c r="F32" i="1"/>
  <c r="V32" i="1"/>
  <c r="J52" i="1"/>
  <c r="R52" i="1"/>
  <c r="L62" i="1"/>
  <c r="AB62" i="1"/>
  <c r="H17" i="1"/>
  <c r="P17" i="1"/>
  <c r="X17" i="1"/>
  <c r="AC18" i="1"/>
  <c r="E22" i="1"/>
  <c r="M22" i="1"/>
  <c r="U22" i="1"/>
  <c r="J27" i="1"/>
  <c r="R27" i="1"/>
  <c r="Z27" i="1"/>
  <c r="G32" i="1"/>
  <c r="O32" i="1"/>
  <c r="W32" i="1"/>
  <c r="L37" i="1"/>
  <c r="T37" i="1"/>
  <c r="AB37" i="1"/>
  <c r="I42" i="1"/>
  <c r="Q42" i="1"/>
  <c r="Y42" i="1"/>
  <c r="F47" i="1"/>
  <c r="N47" i="1"/>
  <c r="V47" i="1"/>
  <c r="K52" i="1"/>
  <c r="S52" i="1"/>
  <c r="AA52" i="1"/>
  <c r="H57" i="1"/>
  <c r="P57" i="1"/>
  <c r="X57" i="1"/>
  <c r="AC58" i="1"/>
  <c r="E62" i="1"/>
  <c r="M62" i="1"/>
  <c r="U62" i="1"/>
  <c r="J67" i="1"/>
  <c r="R67" i="1"/>
  <c r="Z67" i="1"/>
  <c r="G72" i="1"/>
  <c r="O72" i="1"/>
  <c r="W72" i="1"/>
  <c r="H72" i="1"/>
  <c r="P72" i="1"/>
  <c r="X72" i="1"/>
  <c r="T52" i="1"/>
  <c r="G22" i="1"/>
  <c r="T27" i="1"/>
  <c r="Q32" i="1"/>
  <c r="H47" i="1"/>
  <c r="P47" i="1"/>
  <c r="X47" i="1"/>
  <c r="AC48" i="1"/>
  <c r="E52" i="1"/>
  <c r="M52" i="1"/>
  <c r="U52" i="1"/>
  <c r="G62" i="1"/>
  <c r="O62" i="1"/>
  <c r="W62" i="1"/>
  <c r="L67" i="1"/>
  <c r="T67" i="1"/>
  <c r="AB67" i="1"/>
  <c r="I72" i="1"/>
  <c r="Q72" i="1"/>
  <c r="Y72" i="1"/>
  <c r="AB52" i="1"/>
  <c r="W22" i="1"/>
  <c r="L27" i="1"/>
  <c r="I32" i="1"/>
  <c r="P22" i="1"/>
  <c r="X22" i="1"/>
  <c r="AC23" i="1"/>
  <c r="M27" i="1"/>
  <c r="R32" i="1"/>
  <c r="Z32" i="1"/>
  <c r="T42" i="1"/>
  <c r="I47" i="1"/>
  <c r="Y47" i="1"/>
  <c r="F52" i="1"/>
  <c r="V52" i="1"/>
  <c r="H62" i="1"/>
  <c r="P62" i="1"/>
  <c r="M67" i="1"/>
  <c r="U67" i="1"/>
  <c r="J72" i="1"/>
  <c r="R72" i="1"/>
  <c r="Z72" i="1"/>
  <c r="L52" i="1"/>
  <c r="O22" i="1"/>
  <c r="AB27" i="1"/>
  <c r="Y32" i="1"/>
  <c r="H22" i="1"/>
  <c r="E27" i="1"/>
  <c r="U27" i="1"/>
  <c r="J32" i="1"/>
  <c r="L42" i="1"/>
  <c r="AB42" i="1"/>
  <c r="Q47" i="1"/>
  <c r="N52" i="1"/>
  <c r="X62" i="1"/>
  <c r="L17" i="1"/>
  <c r="T17" i="1"/>
  <c r="I22" i="1"/>
  <c r="Q22" i="1"/>
  <c r="F27" i="1"/>
  <c r="N27" i="1"/>
  <c r="K32" i="1"/>
  <c r="S32" i="1"/>
  <c r="AA32" i="1"/>
  <c r="H37" i="1"/>
  <c r="P37" i="1"/>
  <c r="AC38" i="1"/>
  <c r="E42" i="1"/>
  <c r="M42" i="1"/>
  <c r="J47" i="1"/>
  <c r="R47" i="1"/>
  <c r="Z47" i="1"/>
  <c r="G52" i="1"/>
  <c r="O52" i="1"/>
  <c r="W52" i="1"/>
  <c r="L57" i="1"/>
  <c r="T57" i="1"/>
  <c r="I62" i="1"/>
  <c r="Q62" i="1"/>
  <c r="Y62" i="1"/>
  <c r="F67" i="1"/>
  <c r="N67" i="1"/>
  <c r="V67" i="1"/>
  <c r="K72" i="1"/>
  <c r="S72" i="1"/>
  <c r="AA72" i="1"/>
  <c r="T32" i="1"/>
  <c r="AB32" i="1"/>
  <c r="H52" i="1"/>
  <c r="P52" i="1"/>
  <c r="X52" i="1"/>
  <c r="Z62" i="1"/>
  <c r="L72" i="1"/>
  <c r="T72" i="1"/>
  <c r="AB72" i="1"/>
  <c r="AC28" i="1"/>
  <c r="E32" i="1"/>
  <c r="M32" i="1"/>
  <c r="L47" i="1"/>
  <c r="T47" i="1"/>
  <c r="I52" i="1"/>
  <c r="Q52" i="1"/>
  <c r="K62" i="1"/>
  <c r="S62" i="1"/>
  <c r="H67" i="1"/>
  <c r="P67" i="1"/>
  <c r="AC68" i="1"/>
  <c r="E72" i="1"/>
  <c r="M72" i="1"/>
  <c r="D13" i="2" l="1"/>
  <c r="E13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" i="3"/>
  <c r="B14" i="3"/>
  <c r="AC47" i="1"/>
  <c r="AC37" i="1"/>
  <c r="AC17" i="1"/>
  <c r="AC67" i="1"/>
  <c r="AC57" i="1"/>
  <c r="AC42" i="1"/>
  <c r="AC22" i="1"/>
  <c r="AC62" i="1"/>
  <c r="AC72" i="1"/>
  <c r="AC32" i="1"/>
  <c r="AC52" i="1"/>
  <c r="AC27" i="1"/>
  <c r="D14" i="2" l="1"/>
  <c r="E14" i="2" s="1"/>
  <c r="B15" i="3"/>
  <c r="B19" i="3"/>
  <c r="B11" i="3"/>
  <c r="D15" i="2" l="1"/>
  <c r="E15" i="2" s="1"/>
  <c r="B12" i="3"/>
  <c r="B16" i="3"/>
  <c r="B24" i="3"/>
  <c r="B20" i="3"/>
  <c r="D16" i="2" l="1"/>
  <c r="E16" i="2" s="1"/>
  <c r="B17" i="3"/>
  <c r="B21" i="3"/>
  <c r="B29" i="3"/>
  <c r="B25" i="3"/>
  <c r="D17" i="2" l="1"/>
  <c r="E17" i="2" s="1"/>
  <c r="B26" i="3"/>
  <c r="B34" i="3"/>
  <c r="C34" i="3" s="1"/>
  <c r="B30" i="3"/>
  <c r="B22" i="3"/>
  <c r="D18" i="2" l="1"/>
  <c r="E18" i="2" s="1"/>
  <c r="X34" i="3"/>
  <c r="P34" i="3"/>
  <c r="H34" i="3"/>
  <c r="W34" i="3"/>
  <c r="O34" i="3"/>
  <c r="G34" i="3"/>
  <c r="U34" i="3"/>
  <c r="K34" i="3"/>
  <c r="T34" i="3"/>
  <c r="J34" i="3"/>
  <c r="AC34" i="3"/>
  <c r="S34" i="3"/>
  <c r="I34" i="3"/>
  <c r="AB34" i="3"/>
  <c r="R34" i="3"/>
  <c r="F34" i="3"/>
  <c r="V34" i="3"/>
  <c r="L34" i="3"/>
  <c r="AA34" i="3"/>
  <c r="Z34" i="3"/>
  <c r="Y34" i="3"/>
  <c r="Q34" i="3"/>
  <c r="N34" i="3"/>
  <c r="M34" i="3"/>
  <c r="C9" i="3"/>
  <c r="C10" i="3"/>
  <c r="C11" i="3"/>
  <c r="C12" i="3"/>
  <c r="B31" i="3"/>
  <c r="B39" i="3"/>
  <c r="C39" i="3" s="1"/>
  <c r="B35" i="3"/>
  <c r="C35" i="3" s="1"/>
  <c r="B27" i="3"/>
  <c r="D19" i="2"/>
  <c r="E19" i="2" s="1"/>
  <c r="X35" i="3" l="1"/>
  <c r="P35" i="3"/>
  <c r="H35" i="3"/>
  <c r="W35" i="3"/>
  <c r="O35" i="3"/>
  <c r="G35" i="3"/>
  <c r="AC35" i="3"/>
  <c r="S35" i="3"/>
  <c r="I35" i="3"/>
  <c r="AB35" i="3"/>
  <c r="R35" i="3"/>
  <c r="F35" i="3"/>
  <c r="AA35" i="3"/>
  <c r="Q35" i="3"/>
  <c r="Z35" i="3"/>
  <c r="N35" i="3"/>
  <c r="T35" i="3"/>
  <c r="J35" i="3"/>
  <c r="K35" i="3"/>
  <c r="Y35" i="3"/>
  <c r="V35" i="3"/>
  <c r="U35" i="3"/>
  <c r="M35" i="3"/>
  <c r="L35" i="3"/>
  <c r="L12" i="3"/>
  <c r="T12" i="3"/>
  <c r="AB12" i="3"/>
  <c r="M12" i="3"/>
  <c r="G12" i="3"/>
  <c r="AC12" i="3"/>
  <c r="U12" i="3"/>
  <c r="N12" i="3"/>
  <c r="V12" i="3"/>
  <c r="O12" i="3"/>
  <c r="H12" i="3"/>
  <c r="W12" i="3"/>
  <c r="P12" i="3"/>
  <c r="X12" i="3"/>
  <c r="I12" i="3"/>
  <c r="Q12" i="3"/>
  <c r="Y12" i="3"/>
  <c r="F12" i="3"/>
  <c r="AA12" i="3"/>
  <c r="J12" i="3"/>
  <c r="Z12" i="3"/>
  <c r="K12" i="3"/>
  <c r="R12" i="3"/>
  <c r="S12" i="3"/>
  <c r="X39" i="3"/>
  <c r="P39" i="3"/>
  <c r="H39" i="3"/>
  <c r="W39" i="3"/>
  <c r="O39" i="3"/>
  <c r="G39" i="3"/>
  <c r="U39" i="3"/>
  <c r="K39" i="3"/>
  <c r="T39" i="3"/>
  <c r="J39" i="3"/>
  <c r="AC39" i="3"/>
  <c r="S39" i="3"/>
  <c r="I39" i="3"/>
  <c r="AB39" i="3"/>
  <c r="R39" i="3"/>
  <c r="F39" i="3"/>
  <c r="V39" i="3"/>
  <c r="L39" i="3"/>
  <c r="Y39" i="3"/>
  <c r="Q39" i="3"/>
  <c r="N39" i="3"/>
  <c r="M39" i="3"/>
  <c r="AA39" i="3"/>
  <c r="Z39" i="3"/>
  <c r="I11" i="3"/>
  <c r="Q11" i="3"/>
  <c r="Y11" i="3"/>
  <c r="J11" i="3"/>
  <c r="Z11" i="3"/>
  <c r="R11" i="3"/>
  <c r="AC11" i="3"/>
  <c r="K11" i="3"/>
  <c r="S11" i="3"/>
  <c r="AA11" i="3"/>
  <c r="G11" i="3"/>
  <c r="L11" i="3"/>
  <c r="AB11" i="3"/>
  <c r="T11" i="3"/>
  <c r="U11" i="3"/>
  <c r="M11" i="3"/>
  <c r="N11" i="3"/>
  <c r="V11" i="3"/>
  <c r="P11" i="3"/>
  <c r="W11" i="3"/>
  <c r="X11" i="3"/>
  <c r="H11" i="3"/>
  <c r="F11" i="3"/>
  <c r="O11" i="3"/>
  <c r="N10" i="3"/>
  <c r="V10" i="3"/>
  <c r="O10" i="3"/>
  <c r="W10" i="3"/>
  <c r="H10" i="3"/>
  <c r="P10" i="3"/>
  <c r="X10" i="3"/>
  <c r="AC10" i="3"/>
  <c r="I10" i="3"/>
  <c r="Y10" i="3"/>
  <c r="G10" i="3"/>
  <c r="Z10" i="3"/>
  <c r="Q10" i="3"/>
  <c r="R10" i="3"/>
  <c r="L10" i="3"/>
  <c r="J10" i="3"/>
  <c r="K10" i="3"/>
  <c r="S10" i="3"/>
  <c r="AA10" i="3"/>
  <c r="U10" i="3"/>
  <c r="M10" i="3"/>
  <c r="F10" i="3"/>
  <c r="T10" i="3"/>
  <c r="AB10" i="3"/>
  <c r="K9" i="3"/>
  <c r="S9" i="3"/>
  <c r="AA9" i="3"/>
  <c r="F9" i="3"/>
  <c r="L9" i="3"/>
  <c r="T9" i="3"/>
  <c r="AB9" i="3"/>
  <c r="M9" i="3"/>
  <c r="U9" i="3"/>
  <c r="V9" i="3"/>
  <c r="W9" i="3"/>
  <c r="Q9" i="3"/>
  <c r="N9" i="3"/>
  <c r="O9" i="3"/>
  <c r="G9" i="3"/>
  <c r="AC9" i="3"/>
  <c r="I9" i="3"/>
  <c r="H9" i="3"/>
  <c r="P9" i="3"/>
  <c r="X9" i="3"/>
  <c r="Y9" i="3"/>
  <c r="Z9" i="3"/>
  <c r="J9" i="3"/>
  <c r="R9" i="3"/>
  <c r="C14" i="3"/>
  <c r="C15" i="3"/>
  <c r="C16" i="3"/>
  <c r="C17" i="3"/>
  <c r="B44" i="3"/>
  <c r="C44" i="3" s="1"/>
  <c r="B40" i="3"/>
  <c r="C40" i="3" s="1"/>
  <c r="B36" i="3"/>
  <c r="C36" i="3" s="1"/>
  <c r="D20" i="2"/>
  <c r="E20" i="2" s="1"/>
  <c r="B32" i="3"/>
  <c r="N13" i="3" l="1"/>
  <c r="W17" i="3"/>
  <c r="O17" i="3"/>
  <c r="G17" i="3"/>
  <c r="V17" i="3"/>
  <c r="N17" i="3"/>
  <c r="F17" i="3"/>
  <c r="AC17" i="3"/>
  <c r="U17" i="3"/>
  <c r="M17" i="3"/>
  <c r="AB17" i="3"/>
  <c r="T17" i="3"/>
  <c r="L17" i="3"/>
  <c r="X17" i="3"/>
  <c r="P17" i="3"/>
  <c r="H17" i="3"/>
  <c r="Q17" i="3"/>
  <c r="K17" i="3"/>
  <c r="J17" i="3"/>
  <c r="AA17" i="3"/>
  <c r="I17" i="3"/>
  <c r="S17" i="3"/>
  <c r="Z17" i="3"/>
  <c r="Y17" i="3"/>
  <c r="R17" i="3"/>
  <c r="AC16" i="3"/>
  <c r="AB16" i="3"/>
  <c r="X16" i="3"/>
  <c r="V16" i="3"/>
  <c r="N16" i="3"/>
  <c r="F16" i="3"/>
  <c r="U16" i="3"/>
  <c r="M16" i="3"/>
  <c r="T16" i="3"/>
  <c r="L16" i="3"/>
  <c r="K16" i="3"/>
  <c r="AA16" i="3"/>
  <c r="S16" i="3"/>
  <c r="R16" i="3"/>
  <c r="J16" i="3"/>
  <c r="Y16" i="3"/>
  <c r="Z16" i="3"/>
  <c r="Q16" i="3"/>
  <c r="I16" i="3"/>
  <c r="P16" i="3"/>
  <c r="H16" i="3"/>
  <c r="O16" i="3"/>
  <c r="G16" i="3"/>
  <c r="W16" i="3"/>
  <c r="V15" i="3"/>
  <c r="N15" i="3"/>
  <c r="F15" i="3"/>
  <c r="AC15" i="3"/>
  <c r="U15" i="3"/>
  <c r="M15" i="3"/>
  <c r="AB15" i="3"/>
  <c r="T15" i="3"/>
  <c r="L15" i="3"/>
  <c r="AA15" i="3"/>
  <c r="K15" i="3"/>
  <c r="R15" i="3"/>
  <c r="S15" i="3"/>
  <c r="Z15" i="3"/>
  <c r="J15" i="3"/>
  <c r="X15" i="3"/>
  <c r="H15" i="3"/>
  <c r="Y15" i="3"/>
  <c r="Q15" i="3"/>
  <c r="I15" i="3"/>
  <c r="P15" i="3"/>
  <c r="W15" i="3"/>
  <c r="O15" i="3"/>
  <c r="G15" i="3"/>
  <c r="X40" i="3"/>
  <c r="P40" i="3"/>
  <c r="H40" i="3"/>
  <c r="W40" i="3"/>
  <c r="O40" i="3"/>
  <c r="G40" i="3"/>
  <c r="AC40" i="3"/>
  <c r="S40" i="3"/>
  <c r="I40" i="3"/>
  <c r="AB40" i="3"/>
  <c r="R40" i="3"/>
  <c r="F40" i="3"/>
  <c r="AA40" i="3"/>
  <c r="Q40" i="3"/>
  <c r="Z40" i="3"/>
  <c r="N40" i="3"/>
  <c r="T40" i="3"/>
  <c r="J40" i="3"/>
  <c r="Y40" i="3"/>
  <c r="V40" i="3"/>
  <c r="U40" i="3"/>
  <c r="M40" i="3"/>
  <c r="L40" i="3"/>
  <c r="K40" i="3"/>
  <c r="X44" i="3"/>
  <c r="P44" i="3"/>
  <c r="H44" i="3"/>
  <c r="W44" i="3"/>
  <c r="O44" i="3"/>
  <c r="G44" i="3"/>
  <c r="U44" i="3"/>
  <c r="K44" i="3"/>
  <c r="T44" i="3"/>
  <c r="J44" i="3"/>
  <c r="AC44" i="3"/>
  <c r="S44" i="3"/>
  <c r="I44" i="3"/>
  <c r="AB44" i="3"/>
  <c r="R44" i="3"/>
  <c r="F44" i="3"/>
  <c r="V44" i="3"/>
  <c r="L44" i="3"/>
  <c r="M44" i="3"/>
  <c r="AA44" i="3"/>
  <c r="Z44" i="3"/>
  <c r="Y44" i="3"/>
  <c r="Q44" i="3"/>
  <c r="N44" i="3"/>
  <c r="V14" i="3"/>
  <c r="N14" i="3"/>
  <c r="F14" i="3"/>
  <c r="AC14" i="3"/>
  <c r="U14" i="3"/>
  <c r="M14" i="3"/>
  <c r="AB14" i="3"/>
  <c r="T14" i="3"/>
  <c r="L14" i="3"/>
  <c r="AA14" i="3"/>
  <c r="K14" i="3"/>
  <c r="R14" i="3"/>
  <c r="X14" i="3"/>
  <c r="S14" i="3"/>
  <c r="J14" i="3"/>
  <c r="P14" i="3"/>
  <c r="Z14" i="3"/>
  <c r="Y14" i="3"/>
  <c r="Q14" i="3"/>
  <c r="I14" i="3"/>
  <c r="H14" i="3"/>
  <c r="W14" i="3"/>
  <c r="O14" i="3"/>
  <c r="G14" i="3"/>
  <c r="X36" i="3"/>
  <c r="P36" i="3"/>
  <c r="H36" i="3"/>
  <c r="W36" i="3"/>
  <c r="O36" i="3"/>
  <c r="G36" i="3"/>
  <c r="AA36" i="3"/>
  <c r="Q36" i="3"/>
  <c r="Z36" i="3"/>
  <c r="N36" i="3"/>
  <c r="Y36" i="3"/>
  <c r="M36" i="3"/>
  <c r="V36" i="3"/>
  <c r="L36" i="3"/>
  <c r="AB36" i="3"/>
  <c r="R36" i="3"/>
  <c r="F36" i="3"/>
  <c r="K36" i="3"/>
  <c r="J36" i="3"/>
  <c r="I36" i="3"/>
  <c r="AC36" i="3"/>
  <c r="U36" i="3"/>
  <c r="T36" i="3"/>
  <c r="S36" i="3"/>
  <c r="AD12" i="3"/>
  <c r="K13" i="3"/>
  <c r="R13" i="3"/>
  <c r="AD10" i="3"/>
  <c r="U13" i="3"/>
  <c r="G13" i="3"/>
  <c r="Y13" i="3"/>
  <c r="O13" i="3"/>
  <c r="Q13" i="3"/>
  <c r="P13" i="3"/>
  <c r="AD11" i="3"/>
  <c r="X13" i="3"/>
  <c r="W13" i="3"/>
  <c r="AB13" i="3"/>
  <c r="H13" i="3"/>
  <c r="T13" i="3"/>
  <c r="AA13" i="3"/>
  <c r="J13" i="3"/>
  <c r="I13" i="3"/>
  <c r="C19" i="3"/>
  <c r="C20" i="3"/>
  <c r="C21" i="3"/>
  <c r="C22" i="3"/>
  <c r="AD9" i="3"/>
  <c r="F13" i="3"/>
  <c r="S13" i="3"/>
  <c r="V13" i="3"/>
  <c r="AC13" i="3"/>
  <c r="L13" i="3"/>
  <c r="M13" i="3"/>
  <c r="Z13" i="3"/>
  <c r="B41" i="3"/>
  <c r="C41" i="3" s="1"/>
  <c r="B49" i="3"/>
  <c r="C49" i="3" s="1"/>
  <c r="B45" i="3"/>
  <c r="C45" i="3" s="1"/>
  <c r="AD34" i="3"/>
  <c r="B37" i="3"/>
  <c r="C37" i="3" s="1"/>
  <c r="D21" i="2"/>
  <c r="E21" i="2" s="1"/>
  <c r="E106" i="2" s="1"/>
  <c r="P18" i="3" l="1"/>
  <c r="W22" i="3"/>
  <c r="O22" i="3"/>
  <c r="G22" i="3"/>
  <c r="V22" i="3"/>
  <c r="N22" i="3"/>
  <c r="F22" i="3"/>
  <c r="AC22" i="3"/>
  <c r="U22" i="3"/>
  <c r="M22" i="3"/>
  <c r="AB22" i="3"/>
  <c r="T22" i="3"/>
  <c r="L22" i="3"/>
  <c r="X22" i="3"/>
  <c r="P22" i="3"/>
  <c r="H22" i="3"/>
  <c r="Z22" i="3"/>
  <c r="Y22" i="3"/>
  <c r="S22" i="3"/>
  <c r="R22" i="3"/>
  <c r="Q22" i="3"/>
  <c r="K22" i="3"/>
  <c r="J22" i="3"/>
  <c r="I22" i="3"/>
  <c r="AA22" i="3"/>
  <c r="X45" i="3"/>
  <c r="P45" i="3"/>
  <c r="H45" i="3"/>
  <c r="W45" i="3"/>
  <c r="O45" i="3"/>
  <c r="G45" i="3"/>
  <c r="AC45" i="3"/>
  <c r="S45" i="3"/>
  <c r="I45" i="3"/>
  <c r="AB45" i="3"/>
  <c r="R45" i="3"/>
  <c r="F45" i="3"/>
  <c r="AA45" i="3"/>
  <c r="Q45" i="3"/>
  <c r="Z45" i="3"/>
  <c r="N45" i="3"/>
  <c r="T45" i="3"/>
  <c r="J45" i="3"/>
  <c r="M45" i="3"/>
  <c r="L45" i="3"/>
  <c r="K45" i="3"/>
  <c r="Y45" i="3"/>
  <c r="V45" i="3"/>
  <c r="U45" i="3"/>
  <c r="W19" i="3"/>
  <c r="O19" i="3"/>
  <c r="G19" i="3"/>
  <c r="V19" i="3"/>
  <c r="N19" i="3"/>
  <c r="F19" i="3"/>
  <c r="AC19" i="3"/>
  <c r="U19" i="3"/>
  <c r="M19" i="3"/>
  <c r="AB19" i="3"/>
  <c r="T19" i="3"/>
  <c r="L19" i="3"/>
  <c r="X19" i="3"/>
  <c r="P19" i="3"/>
  <c r="H19" i="3"/>
  <c r="K19" i="3"/>
  <c r="J19" i="3"/>
  <c r="AA19" i="3"/>
  <c r="I19" i="3"/>
  <c r="Z19" i="3"/>
  <c r="Y19" i="3"/>
  <c r="S19" i="3"/>
  <c r="R19" i="3"/>
  <c r="Q19" i="3"/>
  <c r="W20" i="3"/>
  <c r="O20" i="3"/>
  <c r="G20" i="3"/>
  <c r="V20" i="3"/>
  <c r="N20" i="3"/>
  <c r="F20" i="3"/>
  <c r="AC20" i="3"/>
  <c r="U20" i="3"/>
  <c r="M20" i="3"/>
  <c r="AB20" i="3"/>
  <c r="T20" i="3"/>
  <c r="L20" i="3"/>
  <c r="X20" i="3"/>
  <c r="P20" i="3"/>
  <c r="H20" i="3"/>
  <c r="J20" i="3"/>
  <c r="AA20" i="3"/>
  <c r="I20" i="3"/>
  <c r="Z20" i="3"/>
  <c r="Y20" i="3"/>
  <c r="Q20" i="3"/>
  <c r="S20" i="3"/>
  <c r="R20" i="3"/>
  <c r="K20" i="3"/>
  <c r="Z49" i="3"/>
  <c r="R49" i="3"/>
  <c r="J49" i="3"/>
  <c r="X49" i="3"/>
  <c r="P49" i="3"/>
  <c r="H49" i="3"/>
  <c r="W49" i="3"/>
  <c r="O49" i="3"/>
  <c r="G49" i="3"/>
  <c r="AA49" i="3"/>
  <c r="M49" i="3"/>
  <c r="Y49" i="3"/>
  <c r="L49" i="3"/>
  <c r="V49" i="3"/>
  <c r="K49" i="3"/>
  <c r="U49" i="3"/>
  <c r="I49" i="3"/>
  <c r="AB49" i="3"/>
  <c r="N49" i="3"/>
  <c r="AC49" i="3"/>
  <c r="T49" i="3"/>
  <c r="S49" i="3"/>
  <c r="Q49" i="3"/>
  <c r="F49" i="3"/>
  <c r="X41" i="3"/>
  <c r="P41" i="3"/>
  <c r="H41" i="3"/>
  <c r="W41" i="3"/>
  <c r="O41" i="3"/>
  <c r="G41" i="3"/>
  <c r="AA41" i="3"/>
  <c r="Q41" i="3"/>
  <c r="Z41" i="3"/>
  <c r="N41" i="3"/>
  <c r="Y41" i="3"/>
  <c r="M41" i="3"/>
  <c r="V41" i="3"/>
  <c r="L41" i="3"/>
  <c r="AB41" i="3"/>
  <c r="R41" i="3"/>
  <c r="F41" i="3"/>
  <c r="AC41" i="3"/>
  <c r="U41" i="3"/>
  <c r="T41" i="3"/>
  <c r="S41" i="3"/>
  <c r="K41" i="3"/>
  <c r="J41" i="3"/>
  <c r="I41" i="3"/>
  <c r="W21" i="3"/>
  <c r="O21" i="3"/>
  <c r="G21" i="3"/>
  <c r="V21" i="3"/>
  <c r="N21" i="3"/>
  <c r="F21" i="3"/>
  <c r="AC21" i="3"/>
  <c r="U21" i="3"/>
  <c r="M21" i="3"/>
  <c r="AB21" i="3"/>
  <c r="T21" i="3"/>
  <c r="L21" i="3"/>
  <c r="X21" i="3"/>
  <c r="P21" i="3"/>
  <c r="H21" i="3"/>
  <c r="AA21" i="3"/>
  <c r="I21" i="3"/>
  <c r="Z21" i="3"/>
  <c r="Y21" i="3"/>
  <c r="S21" i="3"/>
  <c r="R21" i="3"/>
  <c r="Q21" i="3"/>
  <c r="K21" i="3"/>
  <c r="J21" i="3"/>
  <c r="X37" i="3"/>
  <c r="P37" i="3"/>
  <c r="H37" i="3"/>
  <c r="H38" i="3" s="1"/>
  <c r="W37" i="3"/>
  <c r="O37" i="3"/>
  <c r="O38" i="3" s="1"/>
  <c r="G37" i="3"/>
  <c r="Y37" i="3"/>
  <c r="M37" i="3"/>
  <c r="V37" i="3"/>
  <c r="L37" i="3"/>
  <c r="U37" i="3"/>
  <c r="K37" i="3"/>
  <c r="T37" i="3"/>
  <c r="J37" i="3"/>
  <c r="Z37" i="3"/>
  <c r="Z38" i="3" s="1"/>
  <c r="N37" i="3"/>
  <c r="R37" i="3"/>
  <c r="R38" i="3" s="1"/>
  <c r="Q37" i="3"/>
  <c r="I37" i="3"/>
  <c r="F37" i="3"/>
  <c r="AC37" i="3"/>
  <c r="AB37" i="3"/>
  <c r="AA37" i="3"/>
  <c r="S37" i="3"/>
  <c r="S38" i="3" s="1"/>
  <c r="AD13" i="3"/>
  <c r="AB18" i="3"/>
  <c r="X18" i="3"/>
  <c r="N18" i="3"/>
  <c r="C29" i="3"/>
  <c r="C30" i="3"/>
  <c r="C31" i="3"/>
  <c r="L18" i="3"/>
  <c r="O18" i="3"/>
  <c r="R18" i="3"/>
  <c r="AD16" i="3"/>
  <c r="T18" i="3"/>
  <c r="M18" i="3"/>
  <c r="AD15" i="3"/>
  <c r="K18" i="3"/>
  <c r="Y18" i="3"/>
  <c r="U18" i="3"/>
  <c r="C32" i="3"/>
  <c r="C24" i="3"/>
  <c r="C25" i="3"/>
  <c r="C26" i="3"/>
  <c r="C27" i="3"/>
  <c r="S18" i="3"/>
  <c r="H18" i="3"/>
  <c r="W18" i="3"/>
  <c r="AA18" i="3"/>
  <c r="Z18" i="3"/>
  <c r="F18" i="3"/>
  <c r="AD17" i="3"/>
  <c r="AC18" i="3"/>
  <c r="J18" i="3"/>
  <c r="Q18" i="3"/>
  <c r="AD14" i="3"/>
  <c r="G18" i="3"/>
  <c r="I18" i="3"/>
  <c r="V18" i="3"/>
  <c r="AD35" i="3"/>
  <c r="B46" i="3"/>
  <c r="C46" i="3" s="1"/>
  <c r="B42" i="3"/>
  <c r="C42" i="3" s="1"/>
  <c r="B54" i="3"/>
  <c r="C54" i="3" s="1"/>
  <c r="B50" i="3"/>
  <c r="C50" i="3" s="1"/>
  <c r="AD39" i="3"/>
  <c r="AE13" i="3" l="1"/>
  <c r="W30" i="3"/>
  <c r="O30" i="3"/>
  <c r="G30" i="3"/>
  <c r="V30" i="3"/>
  <c r="N30" i="3"/>
  <c r="F30" i="3"/>
  <c r="AC30" i="3"/>
  <c r="U30" i="3"/>
  <c r="M30" i="3"/>
  <c r="AB30" i="3"/>
  <c r="T30" i="3"/>
  <c r="L30" i="3"/>
  <c r="X30" i="3"/>
  <c r="P30" i="3"/>
  <c r="H30" i="3"/>
  <c r="J30" i="3"/>
  <c r="AA30" i="3"/>
  <c r="I30" i="3"/>
  <c r="Z30" i="3"/>
  <c r="Y30" i="3"/>
  <c r="S30" i="3"/>
  <c r="R30" i="3"/>
  <c r="Q30" i="3"/>
  <c r="K30" i="3"/>
  <c r="W27" i="3"/>
  <c r="O27" i="3"/>
  <c r="G27" i="3"/>
  <c r="V27" i="3"/>
  <c r="N27" i="3"/>
  <c r="F27" i="3"/>
  <c r="AC27" i="3"/>
  <c r="U27" i="3"/>
  <c r="M27" i="3"/>
  <c r="AB27" i="3"/>
  <c r="T27" i="3"/>
  <c r="L27" i="3"/>
  <c r="X27" i="3"/>
  <c r="P27" i="3"/>
  <c r="H27" i="3"/>
  <c r="Q27" i="3"/>
  <c r="K27" i="3"/>
  <c r="J27" i="3"/>
  <c r="AA27" i="3"/>
  <c r="I27" i="3"/>
  <c r="Z27" i="3"/>
  <c r="Y27" i="3"/>
  <c r="S27" i="3"/>
  <c r="R27" i="3"/>
  <c r="W29" i="3"/>
  <c r="O29" i="3"/>
  <c r="G29" i="3"/>
  <c r="V29" i="3"/>
  <c r="N29" i="3"/>
  <c r="F29" i="3"/>
  <c r="AC29" i="3"/>
  <c r="U29" i="3"/>
  <c r="M29" i="3"/>
  <c r="AB29" i="3"/>
  <c r="T29" i="3"/>
  <c r="L29" i="3"/>
  <c r="X29" i="3"/>
  <c r="P29" i="3"/>
  <c r="H29" i="3"/>
  <c r="K29" i="3"/>
  <c r="J29" i="3"/>
  <c r="AA29" i="3"/>
  <c r="I29" i="3"/>
  <c r="Z29" i="3"/>
  <c r="Y29" i="3"/>
  <c r="S29" i="3"/>
  <c r="R29" i="3"/>
  <c r="Q29" i="3"/>
  <c r="W24" i="3"/>
  <c r="O24" i="3"/>
  <c r="G24" i="3"/>
  <c r="V24" i="3"/>
  <c r="N24" i="3"/>
  <c r="F24" i="3"/>
  <c r="AC24" i="3"/>
  <c r="U24" i="3"/>
  <c r="M24" i="3"/>
  <c r="AB24" i="3"/>
  <c r="T24" i="3"/>
  <c r="L24" i="3"/>
  <c r="X24" i="3"/>
  <c r="P24" i="3"/>
  <c r="H24" i="3"/>
  <c r="Y24" i="3"/>
  <c r="S24" i="3"/>
  <c r="R24" i="3"/>
  <c r="Q24" i="3"/>
  <c r="K24" i="3"/>
  <c r="J24" i="3"/>
  <c r="AA24" i="3"/>
  <c r="I24" i="3"/>
  <c r="Z24" i="3"/>
  <c r="X32" i="3"/>
  <c r="W32" i="3"/>
  <c r="Y32" i="3"/>
  <c r="O32" i="3"/>
  <c r="G32" i="3"/>
  <c r="V32" i="3"/>
  <c r="N32" i="3"/>
  <c r="F32" i="3"/>
  <c r="U32" i="3"/>
  <c r="M32" i="3"/>
  <c r="T32" i="3"/>
  <c r="L32" i="3"/>
  <c r="Z32" i="3"/>
  <c r="P32" i="3"/>
  <c r="H32" i="3"/>
  <c r="AB32" i="3"/>
  <c r="AA32" i="3"/>
  <c r="S32" i="3"/>
  <c r="R32" i="3"/>
  <c r="Q32" i="3"/>
  <c r="K32" i="3"/>
  <c r="J32" i="3"/>
  <c r="AC32" i="3"/>
  <c r="I32" i="3"/>
  <c r="AA50" i="3"/>
  <c r="S50" i="3"/>
  <c r="K50" i="3"/>
  <c r="Z50" i="3"/>
  <c r="R50" i="3"/>
  <c r="J50" i="3"/>
  <c r="Y50" i="3"/>
  <c r="Q50" i="3"/>
  <c r="X50" i="3"/>
  <c r="P50" i="3"/>
  <c r="H50" i="3"/>
  <c r="W50" i="3"/>
  <c r="O50" i="3"/>
  <c r="G50" i="3"/>
  <c r="T50" i="3"/>
  <c r="N50" i="3"/>
  <c r="M50" i="3"/>
  <c r="L50" i="3"/>
  <c r="U50" i="3"/>
  <c r="I50" i="3"/>
  <c r="F50" i="3"/>
  <c r="AC50" i="3"/>
  <c r="AB50" i="3"/>
  <c r="V50" i="3"/>
  <c r="W31" i="3"/>
  <c r="O31" i="3"/>
  <c r="G31" i="3"/>
  <c r="V31" i="3"/>
  <c r="N31" i="3"/>
  <c r="F31" i="3"/>
  <c r="AC31" i="3"/>
  <c r="U31" i="3"/>
  <c r="M31" i="3"/>
  <c r="AB31" i="3"/>
  <c r="T31" i="3"/>
  <c r="L31" i="3"/>
  <c r="X31" i="3"/>
  <c r="P31" i="3"/>
  <c r="H31" i="3"/>
  <c r="AA31" i="3"/>
  <c r="I31" i="3"/>
  <c r="Z31" i="3"/>
  <c r="Y31" i="3"/>
  <c r="S31" i="3"/>
  <c r="R31" i="3"/>
  <c r="Q31" i="3"/>
  <c r="K31" i="3"/>
  <c r="J31" i="3"/>
  <c r="AA54" i="3"/>
  <c r="S54" i="3"/>
  <c r="K54" i="3"/>
  <c r="Z54" i="3"/>
  <c r="R54" i="3"/>
  <c r="J54" i="3"/>
  <c r="Y54" i="3"/>
  <c r="Q54" i="3"/>
  <c r="I54" i="3"/>
  <c r="X54" i="3"/>
  <c r="P54" i="3"/>
  <c r="H54" i="3"/>
  <c r="W54" i="3"/>
  <c r="O54" i="3"/>
  <c r="G54" i="3"/>
  <c r="L54" i="3"/>
  <c r="AC54" i="3"/>
  <c r="F54" i="3"/>
  <c r="AB54" i="3"/>
  <c r="V54" i="3"/>
  <c r="M54" i="3"/>
  <c r="U54" i="3"/>
  <c r="T54" i="3"/>
  <c r="N54" i="3"/>
  <c r="X46" i="3"/>
  <c r="P46" i="3"/>
  <c r="H46" i="3"/>
  <c r="W46" i="3"/>
  <c r="O46" i="3"/>
  <c r="G46" i="3"/>
  <c r="AA46" i="3"/>
  <c r="Q46" i="3"/>
  <c r="Z46" i="3"/>
  <c r="N46" i="3"/>
  <c r="Y46" i="3"/>
  <c r="M46" i="3"/>
  <c r="V46" i="3"/>
  <c r="L46" i="3"/>
  <c r="AB46" i="3"/>
  <c r="R46" i="3"/>
  <c r="F46" i="3"/>
  <c r="T46" i="3"/>
  <c r="S46" i="3"/>
  <c r="K46" i="3"/>
  <c r="J46" i="3"/>
  <c r="I46" i="3"/>
  <c r="AC46" i="3"/>
  <c r="U46" i="3"/>
  <c r="W26" i="3"/>
  <c r="O26" i="3"/>
  <c r="G26" i="3"/>
  <c r="V26" i="3"/>
  <c r="N26" i="3"/>
  <c r="F26" i="3"/>
  <c r="AC26" i="3"/>
  <c r="U26" i="3"/>
  <c r="M26" i="3"/>
  <c r="AB26" i="3"/>
  <c r="T26" i="3"/>
  <c r="L26" i="3"/>
  <c r="X26" i="3"/>
  <c r="P26" i="3"/>
  <c r="H26" i="3"/>
  <c r="R26" i="3"/>
  <c r="Q26" i="3"/>
  <c r="K26" i="3"/>
  <c r="J26" i="3"/>
  <c r="AA26" i="3"/>
  <c r="I26" i="3"/>
  <c r="Z26" i="3"/>
  <c r="Y26" i="3"/>
  <c r="S26" i="3"/>
  <c r="W25" i="3"/>
  <c r="O25" i="3"/>
  <c r="G25" i="3"/>
  <c r="V25" i="3"/>
  <c r="N25" i="3"/>
  <c r="F25" i="3"/>
  <c r="AC25" i="3"/>
  <c r="U25" i="3"/>
  <c r="M25" i="3"/>
  <c r="AB25" i="3"/>
  <c r="T25" i="3"/>
  <c r="L25" i="3"/>
  <c r="X25" i="3"/>
  <c r="P25" i="3"/>
  <c r="H25" i="3"/>
  <c r="S25" i="3"/>
  <c r="R25" i="3"/>
  <c r="Q25" i="3"/>
  <c r="K25" i="3"/>
  <c r="J25" i="3"/>
  <c r="AA25" i="3"/>
  <c r="I25" i="3"/>
  <c r="Z25" i="3"/>
  <c r="Y25" i="3"/>
  <c r="X42" i="3"/>
  <c r="P42" i="3"/>
  <c r="H42" i="3"/>
  <c r="W42" i="3"/>
  <c r="O42" i="3"/>
  <c r="G42" i="3"/>
  <c r="Y42" i="3"/>
  <c r="M42" i="3"/>
  <c r="V42" i="3"/>
  <c r="L42" i="3"/>
  <c r="U42" i="3"/>
  <c r="K42" i="3"/>
  <c r="T42" i="3"/>
  <c r="J42" i="3"/>
  <c r="Z42" i="3"/>
  <c r="N42" i="3"/>
  <c r="F42" i="3"/>
  <c r="AC42" i="3"/>
  <c r="AB42" i="3"/>
  <c r="AA42" i="3"/>
  <c r="S42" i="3"/>
  <c r="R42" i="3"/>
  <c r="Q42" i="3"/>
  <c r="I42" i="3"/>
  <c r="M23" i="3"/>
  <c r="W23" i="3"/>
  <c r="R23" i="3"/>
  <c r="S23" i="3"/>
  <c r="L23" i="3"/>
  <c r="J23" i="3"/>
  <c r="AD19" i="3"/>
  <c r="Z23" i="3"/>
  <c r="Q23" i="3"/>
  <c r="AD20" i="3"/>
  <c r="X23" i="3"/>
  <c r="O23" i="3"/>
  <c r="H23" i="3"/>
  <c r="F23" i="3"/>
  <c r="AD22" i="3"/>
  <c r="T23" i="3"/>
  <c r="U23" i="3"/>
  <c r="V23" i="3"/>
  <c r="AD21" i="3"/>
  <c r="Y23" i="3"/>
  <c r="AC23" i="3"/>
  <c r="G23" i="3"/>
  <c r="AD18" i="3"/>
  <c r="AA23" i="3"/>
  <c r="K23" i="3"/>
  <c r="I23" i="3"/>
  <c r="T33" i="3"/>
  <c r="N23" i="3"/>
  <c r="AB23" i="3"/>
  <c r="P23" i="3"/>
  <c r="V38" i="3"/>
  <c r="N38" i="3"/>
  <c r="P38" i="3"/>
  <c r="I38" i="3"/>
  <c r="AA38" i="3"/>
  <c r="AD36" i="3"/>
  <c r="X38" i="3"/>
  <c r="Q38" i="3"/>
  <c r="AC38" i="3"/>
  <c r="J38" i="3"/>
  <c r="G38" i="3"/>
  <c r="K38" i="3"/>
  <c r="L38" i="3"/>
  <c r="AB38" i="3"/>
  <c r="T38" i="3"/>
  <c r="M38" i="3"/>
  <c r="U38" i="3"/>
  <c r="F38" i="3"/>
  <c r="AD40" i="3"/>
  <c r="B59" i="3"/>
  <c r="C59" i="3" s="1"/>
  <c r="B55" i="3"/>
  <c r="C55" i="3" s="1"/>
  <c r="B47" i="3"/>
  <c r="C47" i="3" s="1"/>
  <c r="AD44" i="3"/>
  <c r="W38" i="3"/>
  <c r="B51" i="3"/>
  <c r="C51" i="3" s="1"/>
  <c r="Y38" i="3"/>
  <c r="AE18" i="3" l="1"/>
  <c r="AA33" i="3"/>
  <c r="V33" i="3"/>
  <c r="I33" i="3"/>
  <c r="AB33" i="3"/>
  <c r="Z33" i="3"/>
  <c r="S33" i="3"/>
  <c r="AD25" i="3"/>
  <c r="H33" i="3"/>
  <c r="X33" i="3"/>
  <c r="Z47" i="3"/>
  <c r="X47" i="3"/>
  <c r="P47" i="3"/>
  <c r="H47" i="3"/>
  <c r="W47" i="3"/>
  <c r="O47" i="3"/>
  <c r="G47" i="3"/>
  <c r="Y47" i="3"/>
  <c r="M47" i="3"/>
  <c r="V47" i="3"/>
  <c r="L47" i="3"/>
  <c r="U47" i="3"/>
  <c r="K47" i="3"/>
  <c r="T47" i="3"/>
  <c r="J47" i="3"/>
  <c r="AA47" i="3"/>
  <c r="N47" i="3"/>
  <c r="AB47" i="3"/>
  <c r="S47" i="3"/>
  <c r="R47" i="3"/>
  <c r="Q47" i="3"/>
  <c r="I47" i="3"/>
  <c r="F47" i="3"/>
  <c r="AC47" i="3"/>
  <c r="AA55" i="3"/>
  <c r="S55" i="3"/>
  <c r="K55" i="3"/>
  <c r="Z55" i="3"/>
  <c r="R55" i="3"/>
  <c r="J55" i="3"/>
  <c r="Y55" i="3"/>
  <c r="Q55" i="3"/>
  <c r="I55" i="3"/>
  <c r="X55" i="3"/>
  <c r="P55" i="3"/>
  <c r="H55" i="3"/>
  <c r="W55" i="3"/>
  <c r="O55" i="3"/>
  <c r="G55" i="3"/>
  <c r="AC55" i="3"/>
  <c r="F55" i="3"/>
  <c r="AB55" i="3"/>
  <c r="V55" i="3"/>
  <c r="U55" i="3"/>
  <c r="L55" i="3"/>
  <c r="T55" i="3"/>
  <c r="N55" i="3"/>
  <c r="M55" i="3"/>
  <c r="AA59" i="3"/>
  <c r="S59" i="3"/>
  <c r="K59" i="3"/>
  <c r="Z59" i="3"/>
  <c r="R59" i="3"/>
  <c r="J59" i="3"/>
  <c r="Y59" i="3"/>
  <c r="Q59" i="3"/>
  <c r="I59" i="3"/>
  <c r="X59" i="3"/>
  <c r="P59" i="3"/>
  <c r="H59" i="3"/>
  <c r="W59" i="3"/>
  <c r="O59" i="3"/>
  <c r="G59" i="3"/>
  <c r="U59" i="3"/>
  <c r="T59" i="3"/>
  <c r="N59" i="3"/>
  <c r="M59" i="3"/>
  <c r="V59" i="3"/>
  <c r="L59" i="3"/>
  <c r="F59" i="3"/>
  <c r="AC59" i="3"/>
  <c r="AB59" i="3"/>
  <c r="AA51" i="3"/>
  <c r="S51" i="3"/>
  <c r="K51" i="3"/>
  <c r="Z51" i="3"/>
  <c r="R51" i="3"/>
  <c r="J51" i="3"/>
  <c r="Y51" i="3"/>
  <c r="Q51" i="3"/>
  <c r="I51" i="3"/>
  <c r="X51" i="3"/>
  <c r="P51" i="3"/>
  <c r="H51" i="3"/>
  <c r="W51" i="3"/>
  <c r="O51" i="3"/>
  <c r="G51" i="3"/>
  <c r="N51" i="3"/>
  <c r="M51" i="3"/>
  <c r="L51" i="3"/>
  <c r="AC51" i="3"/>
  <c r="F51" i="3"/>
  <c r="T51" i="3"/>
  <c r="AB51" i="3"/>
  <c r="V51" i="3"/>
  <c r="U51" i="3"/>
  <c r="L33" i="3"/>
  <c r="AD29" i="3"/>
  <c r="K33" i="3"/>
  <c r="U33" i="3"/>
  <c r="I28" i="3"/>
  <c r="X28" i="3"/>
  <c r="U28" i="3"/>
  <c r="AD26" i="3"/>
  <c r="P28" i="3"/>
  <c r="AD27" i="3"/>
  <c r="Z28" i="3"/>
  <c r="AD31" i="3"/>
  <c r="Q33" i="3"/>
  <c r="AB28" i="3"/>
  <c r="J33" i="3"/>
  <c r="AC28" i="3"/>
  <c r="H28" i="3"/>
  <c r="V28" i="3"/>
  <c r="F33" i="3"/>
  <c r="R33" i="3"/>
  <c r="O28" i="3"/>
  <c r="W28" i="3"/>
  <c r="K28" i="3"/>
  <c r="O33" i="3"/>
  <c r="AD23" i="3"/>
  <c r="AD30" i="3"/>
  <c r="N28" i="3"/>
  <c r="G28" i="3"/>
  <c r="Q28" i="3"/>
  <c r="AD24" i="3"/>
  <c r="F28" i="3"/>
  <c r="N33" i="3"/>
  <c r="AC33" i="3"/>
  <c r="W33" i="3"/>
  <c r="AA28" i="3"/>
  <c r="R28" i="3"/>
  <c r="M33" i="3"/>
  <c r="Y33" i="3"/>
  <c r="P33" i="3"/>
  <c r="Y28" i="3"/>
  <c r="T28" i="3"/>
  <c r="M28" i="3"/>
  <c r="AD32" i="3"/>
  <c r="G33" i="3"/>
  <c r="S28" i="3"/>
  <c r="J28" i="3"/>
  <c r="L28" i="3"/>
  <c r="O43" i="3"/>
  <c r="K43" i="3"/>
  <c r="H43" i="3"/>
  <c r="N43" i="3"/>
  <c r="AD49" i="3"/>
  <c r="W43" i="3"/>
  <c r="AB43" i="3"/>
  <c r="Z43" i="3"/>
  <c r="J43" i="3"/>
  <c r="T43" i="3"/>
  <c r="G43" i="3"/>
  <c r="V43" i="3"/>
  <c r="AC43" i="3"/>
  <c r="M43" i="3"/>
  <c r="I43" i="3"/>
  <c r="AD41" i="3"/>
  <c r="P43" i="3"/>
  <c r="Y43" i="3"/>
  <c r="AA43" i="3"/>
  <c r="Q43" i="3"/>
  <c r="B60" i="3"/>
  <c r="C60" i="3" s="1"/>
  <c r="B64" i="3"/>
  <c r="C64" i="3" s="1"/>
  <c r="AD37" i="3"/>
  <c r="AD38" i="3" s="1"/>
  <c r="B52" i="3"/>
  <c r="C52" i="3" s="1"/>
  <c r="B56" i="3"/>
  <c r="C56" i="3" s="1"/>
  <c r="AD45" i="3"/>
  <c r="F43" i="3"/>
  <c r="S43" i="3"/>
  <c r="L43" i="3"/>
  <c r="U43" i="3"/>
  <c r="X43" i="3"/>
  <c r="R43" i="3"/>
  <c r="AE23" i="3" l="1"/>
  <c r="AE38" i="3"/>
  <c r="AA56" i="3"/>
  <c r="S56" i="3"/>
  <c r="K56" i="3"/>
  <c r="Z56" i="3"/>
  <c r="R56" i="3"/>
  <c r="J56" i="3"/>
  <c r="Y56" i="3"/>
  <c r="Q56" i="3"/>
  <c r="I56" i="3"/>
  <c r="X56" i="3"/>
  <c r="P56" i="3"/>
  <c r="H56" i="3"/>
  <c r="W56" i="3"/>
  <c r="O56" i="3"/>
  <c r="G56" i="3"/>
  <c r="AB56" i="3"/>
  <c r="V56" i="3"/>
  <c r="U56" i="3"/>
  <c r="T56" i="3"/>
  <c r="AC56" i="3"/>
  <c r="F56" i="3"/>
  <c r="L56" i="3"/>
  <c r="N56" i="3"/>
  <c r="M56" i="3"/>
  <c r="AA60" i="3"/>
  <c r="S60" i="3"/>
  <c r="K60" i="3"/>
  <c r="Z60" i="3"/>
  <c r="R60" i="3"/>
  <c r="J60" i="3"/>
  <c r="Y60" i="3"/>
  <c r="Q60" i="3"/>
  <c r="I60" i="3"/>
  <c r="X60" i="3"/>
  <c r="P60" i="3"/>
  <c r="H60" i="3"/>
  <c r="W60" i="3"/>
  <c r="O60" i="3"/>
  <c r="G60" i="3"/>
  <c r="T60" i="3"/>
  <c r="N60" i="3"/>
  <c r="M60" i="3"/>
  <c r="L60" i="3"/>
  <c r="U60" i="3"/>
  <c r="AC60" i="3"/>
  <c r="AB60" i="3"/>
  <c r="V60" i="3"/>
  <c r="F60" i="3"/>
  <c r="AA52" i="3"/>
  <c r="S52" i="3"/>
  <c r="K52" i="3"/>
  <c r="Z52" i="3"/>
  <c r="R52" i="3"/>
  <c r="J52" i="3"/>
  <c r="J53" i="3" s="1"/>
  <c r="Y52" i="3"/>
  <c r="Q52" i="3"/>
  <c r="I52" i="3"/>
  <c r="X52" i="3"/>
  <c r="P52" i="3"/>
  <c r="H52" i="3"/>
  <c r="W52" i="3"/>
  <c r="O52" i="3"/>
  <c r="G52" i="3"/>
  <c r="M52" i="3"/>
  <c r="L52" i="3"/>
  <c r="AC52" i="3"/>
  <c r="F52" i="3"/>
  <c r="AB52" i="3"/>
  <c r="N52" i="3"/>
  <c r="U52" i="3"/>
  <c r="T52" i="3"/>
  <c r="V52" i="3"/>
  <c r="AA64" i="3"/>
  <c r="S64" i="3"/>
  <c r="K64" i="3"/>
  <c r="Z64" i="3"/>
  <c r="R64" i="3"/>
  <c r="J64" i="3"/>
  <c r="Y64" i="3"/>
  <c r="Q64" i="3"/>
  <c r="I64" i="3"/>
  <c r="X64" i="3"/>
  <c r="P64" i="3"/>
  <c r="H64" i="3"/>
  <c r="W64" i="3"/>
  <c r="O64" i="3"/>
  <c r="G64" i="3"/>
  <c r="L64" i="3"/>
  <c r="AC64" i="3"/>
  <c r="F64" i="3"/>
  <c r="AB64" i="3"/>
  <c r="V64" i="3"/>
  <c r="M64" i="3"/>
  <c r="U64" i="3"/>
  <c r="T64" i="3"/>
  <c r="N64" i="3"/>
  <c r="AD33" i="3"/>
  <c r="AD28" i="3"/>
  <c r="U48" i="3"/>
  <c r="K48" i="3"/>
  <c r="O48" i="3"/>
  <c r="R48" i="3"/>
  <c r="AD46" i="3"/>
  <c r="Q48" i="3"/>
  <c r="AD42" i="3"/>
  <c r="AD43" i="3" s="1"/>
  <c r="S48" i="3"/>
  <c r="B61" i="3"/>
  <c r="C61" i="3" s="1"/>
  <c r="AC48" i="3"/>
  <c r="AA48" i="3"/>
  <c r="W48" i="3"/>
  <c r="B69" i="3"/>
  <c r="B65" i="3"/>
  <c r="C65" i="3" s="1"/>
  <c r="N48" i="3"/>
  <c r="X48" i="3"/>
  <c r="T48" i="3"/>
  <c r="Y48" i="3"/>
  <c r="B57" i="3"/>
  <c r="C57" i="3" s="1"/>
  <c r="V48" i="3"/>
  <c r="AB48" i="3"/>
  <c r="M48" i="3"/>
  <c r="L48" i="3"/>
  <c r="H48" i="3"/>
  <c r="Z48" i="3"/>
  <c r="I48" i="3"/>
  <c r="P48" i="3"/>
  <c r="J48" i="3"/>
  <c r="G48" i="3"/>
  <c r="AD54" i="3"/>
  <c r="AD50" i="3"/>
  <c r="C69" i="3" l="1"/>
  <c r="F69" i="3" s="1"/>
  <c r="AE28" i="3"/>
  <c r="AE43" i="3"/>
  <c r="AE33" i="3"/>
  <c r="AA57" i="3"/>
  <c r="S57" i="3"/>
  <c r="K57" i="3"/>
  <c r="Z57" i="3"/>
  <c r="R57" i="3"/>
  <c r="J57" i="3"/>
  <c r="Y57" i="3"/>
  <c r="Q57" i="3"/>
  <c r="I57" i="3"/>
  <c r="X57" i="3"/>
  <c r="P57" i="3"/>
  <c r="H57" i="3"/>
  <c r="W57" i="3"/>
  <c r="W58" i="3" s="1"/>
  <c r="O57" i="3"/>
  <c r="G57" i="3"/>
  <c r="V57" i="3"/>
  <c r="U57" i="3"/>
  <c r="T57" i="3"/>
  <c r="N57" i="3"/>
  <c r="AB57" i="3"/>
  <c r="AC57" i="3"/>
  <c r="M57" i="3"/>
  <c r="L57" i="3"/>
  <c r="F57" i="3"/>
  <c r="AA61" i="3"/>
  <c r="S61" i="3"/>
  <c r="K61" i="3"/>
  <c r="Z61" i="3"/>
  <c r="R61" i="3"/>
  <c r="J61" i="3"/>
  <c r="Y61" i="3"/>
  <c r="Q61" i="3"/>
  <c r="I61" i="3"/>
  <c r="X61" i="3"/>
  <c r="P61" i="3"/>
  <c r="H61" i="3"/>
  <c r="W61" i="3"/>
  <c r="O61" i="3"/>
  <c r="G61" i="3"/>
  <c r="N61" i="3"/>
  <c r="M61" i="3"/>
  <c r="L61" i="3"/>
  <c r="AC61" i="3"/>
  <c r="F61" i="3"/>
  <c r="T61" i="3"/>
  <c r="V61" i="3"/>
  <c r="U61" i="3"/>
  <c r="AB61" i="3"/>
  <c r="AA65" i="3"/>
  <c r="S65" i="3"/>
  <c r="K65" i="3"/>
  <c r="Z65" i="3"/>
  <c r="R65" i="3"/>
  <c r="J65" i="3"/>
  <c r="Y65" i="3"/>
  <c r="Q65" i="3"/>
  <c r="I65" i="3"/>
  <c r="X65" i="3"/>
  <c r="P65" i="3"/>
  <c r="H65" i="3"/>
  <c r="W65" i="3"/>
  <c r="O65" i="3"/>
  <c r="G65" i="3"/>
  <c r="AC65" i="3"/>
  <c r="F65" i="3"/>
  <c r="AB65" i="3"/>
  <c r="V65" i="3"/>
  <c r="U65" i="3"/>
  <c r="L65" i="3"/>
  <c r="M65" i="3"/>
  <c r="T65" i="3"/>
  <c r="N65" i="3"/>
  <c r="P53" i="3"/>
  <c r="M53" i="3"/>
  <c r="K53" i="3"/>
  <c r="S53" i="3"/>
  <c r="Q53" i="3"/>
  <c r="I53" i="3"/>
  <c r="L53" i="3"/>
  <c r="O53" i="3"/>
  <c r="AD59" i="3"/>
  <c r="AA53" i="3"/>
  <c r="W53" i="3"/>
  <c r="AB53" i="3"/>
  <c r="B74" i="3"/>
  <c r="C74" i="3" s="1"/>
  <c r="B70" i="3"/>
  <c r="C70" i="3" s="1"/>
  <c r="B62" i="3"/>
  <c r="C62" i="3" s="1"/>
  <c r="X53" i="3"/>
  <c r="U53" i="3"/>
  <c r="AD51" i="3"/>
  <c r="Z53" i="3"/>
  <c r="H53" i="3"/>
  <c r="AC53" i="3"/>
  <c r="AD55" i="3"/>
  <c r="V53" i="3"/>
  <c r="Y53" i="3"/>
  <c r="AD47" i="3"/>
  <c r="AD48" i="3" s="1"/>
  <c r="AE48" i="3" s="1"/>
  <c r="F48" i="3"/>
  <c r="T53" i="3"/>
  <c r="N53" i="3"/>
  <c r="G53" i="3"/>
  <c r="B66" i="3"/>
  <c r="C66" i="3" s="1"/>
  <c r="R53" i="3"/>
  <c r="AB69" i="3" l="1"/>
  <c r="J69" i="3"/>
  <c r="O69" i="3"/>
  <c r="S69" i="3"/>
  <c r="H69" i="3"/>
  <c r="M69" i="3"/>
  <c r="W69" i="3"/>
  <c r="I69" i="3"/>
  <c r="U69" i="3"/>
  <c r="Z69" i="3"/>
  <c r="Q69" i="3"/>
  <c r="AC69" i="3"/>
  <c r="K69" i="3"/>
  <c r="Y69" i="3"/>
  <c r="AA69" i="3"/>
  <c r="N69" i="3"/>
  <c r="P69" i="3"/>
  <c r="L69" i="3"/>
  <c r="V69" i="3"/>
  <c r="X69" i="3"/>
  <c r="T69" i="3"/>
  <c r="G69" i="3"/>
  <c r="R69" i="3"/>
  <c r="Y70" i="3"/>
  <c r="Q70" i="3"/>
  <c r="I70" i="3"/>
  <c r="X70" i="3"/>
  <c r="P70" i="3"/>
  <c r="H70" i="3"/>
  <c r="W70" i="3"/>
  <c r="O70" i="3"/>
  <c r="G70" i="3"/>
  <c r="K70" i="3"/>
  <c r="Z70" i="3"/>
  <c r="V70" i="3"/>
  <c r="N70" i="3"/>
  <c r="F70" i="3"/>
  <c r="AA70" i="3"/>
  <c r="AC70" i="3"/>
  <c r="U70" i="3"/>
  <c r="M70" i="3"/>
  <c r="S70" i="3"/>
  <c r="J70" i="3"/>
  <c r="AB70" i="3"/>
  <c r="T70" i="3"/>
  <c r="L70" i="3"/>
  <c r="R70" i="3"/>
  <c r="AC74" i="3"/>
  <c r="U74" i="3"/>
  <c r="M74" i="3"/>
  <c r="G74" i="3"/>
  <c r="N74" i="3"/>
  <c r="AB74" i="3"/>
  <c r="T74" i="3"/>
  <c r="L74" i="3"/>
  <c r="V74" i="3"/>
  <c r="AA74" i="3"/>
  <c r="S74" i="3"/>
  <c r="K74" i="3"/>
  <c r="Z74" i="3"/>
  <c r="R74" i="3"/>
  <c r="J74" i="3"/>
  <c r="O74" i="3"/>
  <c r="F74" i="3"/>
  <c r="Y74" i="3"/>
  <c r="Q74" i="3"/>
  <c r="I74" i="3"/>
  <c r="X74" i="3"/>
  <c r="P74" i="3"/>
  <c r="H74" i="3"/>
  <c r="W74" i="3"/>
  <c r="AA62" i="3"/>
  <c r="S62" i="3"/>
  <c r="K62" i="3"/>
  <c r="Z62" i="3"/>
  <c r="R62" i="3"/>
  <c r="J62" i="3"/>
  <c r="Y62" i="3"/>
  <c r="Q62" i="3"/>
  <c r="I62" i="3"/>
  <c r="X62" i="3"/>
  <c r="P62" i="3"/>
  <c r="H62" i="3"/>
  <c r="W62" i="3"/>
  <c r="O62" i="3"/>
  <c r="G62" i="3"/>
  <c r="M62" i="3"/>
  <c r="L62" i="3"/>
  <c r="AC62" i="3"/>
  <c r="F62" i="3"/>
  <c r="AB62" i="3"/>
  <c r="N62" i="3"/>
  <c r="V62" i="3"/>
  <c r="U62" i="3"/>
  <c r="T62" i="3"/>
  <c r="AA66" i="3"/>
  <c r="S66" i="3"/>
  <c r="K66" i="3"/>
  <c r="Z66" i="3"/>
  <c r="R66" i="3"/>
  <c r="J66" i="3"/>
  <c r="Y66" i="3"/>
  <c r="Q66" i="3"/>
  <c r="I66" i="3"/>
  <c r="X66" i="3"/>
  <c r="P66" i="3"/>
  <c r="H66" i="3"/>
  <c r="W66" i="3"/>
  <c r="O66" i="3"/>
  <c r="G66" i="3"/>
  <c r="AB66" i="3"/>
  <c r="V66" i="3"/>
  <c r="U66" i="3"/>
  <c r="T66" i="3"/>
  <c r="AC66" i="3"/>
  <c r="F66" i="3"/>
  <c r="N66" i="3"/>
  <c r="M66" i="3"/>
  <c r="L66" i="3"/>
  <c r="G58" i="3"/>
  <c r="Z58" i="3"/>
  <c r="O58" i="3"/>
  <c r="S58" i="3"/>
  <c r="U58" i="3"/>
  <c r="K58" i="3"/>
  <c r="Q58" i="3"/>
  <c r="J58" i="3"/>
  <c r="AA58" i="3"/>
  <c r="V58" i="3"/>
  <c r="T58" i="3"/>
  <c r="L58" i="3"/>
  <c r="N58" i="3"/>
  <c r="AC58" i="3"/>
  <c r="AB58" i="3"/>
  <c r="X58" i="3"/>
  <c r="R58" i="3"/>
  <c r="P58" i="3"/>
  <c r="M58" i="3"/>
  <c r="AD64" i="3"/>
  <c r="AD52" i="3"/>
  <c r="AD53" i="3" s="1"/>
  <c r="AE53" i="3" s="1"/>
  <c r="F53" i="3"/>
  <c r="B67" i="3"/>
  <c r="C67" i="3" s="1"/>
  <c r="AD60" i="3"/>
  <c r="Y58" i="3"/>
  <c r="H58" i="3"/>
  <c r="I58" i="3"/>
  <c r="B71" i="3"/>
  <c r="C71" i="3" s="1"/>
  <c r="AD56" i="3"/>
  <c r="F58" i="3"/>
  <c r="B79" i="3"/>
  <c r="C79" i="3" s="1"/>
  <c r="B75" i="3"/>
  <c r="C75" i="3" s="1"/>
  <c r="Y71" i="3" l="1"/>
  <c r="Q71" i="3"/>
  <c r="I71" i="3"/>
  <c r="K71" i="3"/>
  <c r="R71" i="3"/>
  <c r="X71" i="3"/>
  <c r="P71" i="3"/>
  <c r="H71" i="3"/>
  <c r="S71" i="3"/>
  <c r="Z71" i="3"/>
  <c r="W71" i="3"/>
  <c r="O71" i="3"/>
  <c r="G71" i="3"/>
  <c r="V71" i="3"/>
  <c r="N71" i="3"/>
  <c r="F71" i="3"/>
  <c r="J71" i="3"/>
  <c r="AC71" i="3"/>
  <c r="U71" i="3"/>
  <c r="M71" i="3"/>
  <c r="AB71" i="3"/>
  <c r="T71" i="3"/>
  <c r="L71" i="3"/>
  <c r="AA71" i="3"/>
  <c r="AC79" i="3"/>
  <c r="U79" i="3"/>
  <c r="M79" i="3"/>
  <c r="N79" i="3"/>
  <c r="AB79" i="3"/>
  <c r="T79" i="3"/>
  <c r="L79" i="3"/>
  <c r="V79" i="3"/>
  <c r="AA79" i="3"/>
  <c r="S79" i="3"/>
  <c r="K79" i="3"/>
  <c r="W79" i="3"/>
  <c r="Z79" i="3"/>
  <c r="R79" i="3"/>
  <c r="J79" i="3"/>
  <c r="F79" i="3"/>
  <c r="Y79" i="3"/>
  <c r="Q79" i="3"/>
  <c r="I79" i="3"/>
  <c r="G79" i="3"/>
  <c r="X79" i="3"/>
  <c r="P79" i="3"/>
  <c r="H79" i="3"/>
  <c r="O79" i="3"/>
  <c r="AC75" i="3"/>
  <c r="U75" i="3"/>
  <c r="M75" i="3"/>
  <c r="W75" i="3"/>
  <c r="AB75" i="3"/>
  <c r="T75" i="3"/>
  <c r="L75" i="3"/>
  <c r="AA75" i="3"/>
  <c r="S75" i="3"/>
  <c r="K75" i="3"/>
  <c r="G75" i="3"/>
  <c r="N75" i="3"/>
  <c r="Z75" i="3"/>
  <c r="R75" i="3"/>
  <c r="J75" i="3"/>
  <c r="Y75" i="3"/>
  <c r="Q75" i="3"/>
  <c r="I75" i="3"/>
  <c r="O75" i="3"/>
  <c r="F75" i="3"/>
  <c r="X75" i="3"/>
  <c r="P75" i="3"/>
  <c r="H75" i="3"/>
  <c r="V75" i="3"/>
  <c r="AC67" i="3"/>
  <c r="AB67" i="3"/>
  <c r="AA67" i="3"/>
  <c r="S67" i="3"/>
  <c r="K67" i="3"/>
  <c r="Z67" i="3"/>
  <c r="R67" i="3"/>
  <c r="J67" i="3"/>
  <c r="Y67" i="3"/>
  <c r="Q67" i="3"/>
  <c r="I67" i="3"/>
  <c r="X67" i="3"/>
  <c r="P67" i="3"/>
  <c r="H67" i="3"/>
  <c r="W67" i="3"/>
  <c r="O67" i="3"/>
  <c r="G67" i="3"/>
  <c r="V67" i="3"/>
  <c r="U67" i="3"/>
  <c r="T67" i="3"/>
  <c r="N67" i="3"/>
  <c r="M67" i="3"/>
  <c r="L67" i="3"/>
  <c r="F67" i="3"/>
  <c r="AD69" i="3"/>
  <c r="AB63" i="3"/>
  <c r="L63" i="3"/>
  <c r="V63" i="3"/>
  <c r="O63" i="3"/>
  <c r="X63" i="3"/>
  <c r="R63" i="3"/>
  <c r="T63" i="3"/>
  <c r="K63" i="3"/>
  <c r="M63" i="3"/>
  <c r="J63" i="3"/>
  <c r="U63" i="3"/>
  <c r="S63" i="3"/>
  <c r="AC63" i="3"/>
  <c r="Y63" i="3"/>
  <c r="AD57" i="3"/>
  <c r="AD58" i="3" s="1"/>
  <c r="AE58" i="3" s="1"/>
  <c r="Z63" i="3"/>
  <c r="AD65" i="3"/>
  <c r="B76" i="3"/>
  <c r="C76" i="3" s="1"/>
  <c r="AA63" i="3"/>
  <c r="W63" i="3"/>
  <c r="P63" i="3"/>
  <c r="H63" i="3"/>
  <c r="B80" i="3"/>
  <c r="C80" i="3" s="1"/>
  <c r="B84" i="3"/>
  <c r="C84" i="3" s="1"/>
  <c r="AD61" i="3"/>
  <c r="B72" i="3"/>
  <c r="C72" i="3" s="1"/>
  <c r="I63" i="3"/>
  <c r="N63" i="3"/>
  <c r="Q63" i="3"/>
  <c r="F63" i="3"/>
  <c r="AC80" i="3" l="1"/>
  <c r="U80" i="3"/>
  <c r="M80" i="3"/>
  <c r="O80" i="3"/>
  <c r="AB80" i="3"/>
  <c r="T80" i="3"/>
  <c r="L80" i="3"/>
  <c r="W80" i="3"/>
  <c r="AA80" i="3"/>
  <c r="S80" i="3"/>
  <c r="K80" i="3"/>
  <c r="F80" i="3"/>
  <c r="Z80" i="3"/>
  <c r="R80" i="3"/>
  <c r="J80" i="3"/>
  <c r="G80" i="3"/>
  <c r="Y80" i="3"/>
  <c r="Q80" i="3"/>
  <c r="I80" i="3"/>
  <c r="N80" i="3"/>
  <c r="X80" i="3"/>
  <c r="P80" i="3"/>
  <c r="H80" i="3"/>
  <c r="V80" i="3"/>
  <c r="AC76" i="3"/>
  <c r="U76" i="3"/>
  <c r="M76" i="3"/>
  <c r="N76" i="3"/>
  <c r="AB76" i="3"/>
  <c r="T76" i="3"/>
  <c r="L76" i="3"/>
  <c r="G76" i="3"/>
  <c r="V76" i="3"/>
  <c r="AA76" i="3"/>
  <c r="S76" i="3"/>
  <c r="K76" i="3"/>
  <c r="W76" i="3"/>
  <c r="Z76" i="3"/>
  <c r="R76" i="3"/>
  <c r="J76" i="3"/>
  <c r="F76" i="3"/>
  <c r="Y76" i="3"/>
  <c r="Q76" i="3"/>
  <c r="I76" i="3"/>
  <c r="X76" i="3"/>
  <c r="P76" i="3"/>
  <c r="H76" i="3"/>
  <c r="O76" i="3"/>
  <c r="Y72" i="3"/>
  <c r="Q72" i="3"/>
  <c r="I72" i="3"/>
  <c r="X72" i="3"/>
  <c r="P72" i="3"/>
  <c r="H72" i="3"/>
  <c r="AA72" i="3"/>
  <c r="W72" i="3"/>
  <c r="O72" i="3"/>
  <c r="G72" i="3"/>
  <c r="K72" i="3"/>
  <c r="R72" i="3"/>
  <c r="V72" i="3"/>
  <c r="N72" i="3"/>
  <c r="F72" i="3"/>
  <c r="AC72" i="3"/>
  <c r="AC73" i="3" s="1"/>
  <c r="U72" i="3"/>
  <c r="M72" i="3"/>
  <c r="S72" i="3"/>
  <c r="J72" i="3"/>
  <c r="AB72" i="3"/>
  <c r="T72" i="3"/>
  <c r="L72" i="3"/>
  <c r="Z72" i="3"/>
  <c r="AC84" i="3"/>
  <c r="U84" i="3"/>
  <c r="M84" i="3"/>
  <c r="N84" i="3"/>
  <c r="AB84" i="3"/>
  <c r="T84" i="3"/>
  <c r="L84" i="3"/>
  <c r="F84" i="3"/>
  <c r="AA84" i="3"/>
  <c r="S84" i="3"/>
  <c r="K84" i="3"/>
  <c r="O84" i="3"/>
  <c r="Z84" i="3"/>
  <c r="R84" i="3"/>
  <c r="J84" i="3"/>
  <c r="V84" i="3"/>
  <c r="Y84" i="3"/>
  <c r="Q84" i="3"/>
  <c r="I84" i="3"/>
  <c r="W84" i="3"/>
  <c r="X84" i="3"/>
  <c r="P84" i="3"/>
  <c r="H84" i="3"/>
  <c r="G84" i="3"/>
  <c r="Q68" i="3"/>
  <c r="AD62" i="3"/>
  <c r="AD63" i="3" s="1"/>
  <c r="AE63" i="3" s="1"/>
  <c r="AD70" i="3"/>
  <c r="N68" i="3"/>
  <c r="V68" i="3"/>
  <c r="G68" i="3"/>
  <c r="Z68" i="3"/>
  <c r="L68" i="3"/>
  <c r="AD74" i="3"/>
  <c r="O68" i="3"/>
  <c r="M68" i="3"/>
  <c r="J68" i="3"/>
  <c r="B89" i="3"/>
  <c r="C89" i="3" s="1"/>
  <c r="B85" i="3"/>
  <c r="C85" i="3" s="1"/>
  <c r="T68" i="3"/>
  <c r="H68" i="3"/>
  <c r="K68" i="3"/>
  <c r="W68" i="3"/>
  <c r="B81" i="3"/>
  <c r="C81" i="3" s="1"/>
  <c r="G63" i="3"/>
  <c r="AC68" i="3"/>
  <c r="U68" i="3"/>
  <c r="P68" i="3"/>
  <c r="R68" i="3"/>
  <c r="I68" i="3"/>
  <c r="S68" i="3"/>
  <c r="B77" i="3"/>
  <c r="C77" i="3" s="1"/>
  <c r="AB68" i="3"/>
  <c r="X73" i="3"/>
  <c r="AD66" i="3"/>
  <c r="AA68" i="3"/>
  <c r="X68" i="3"/>
  <c r="Y68" i="3"/>
  <c r="AC85" i="3" l="1"/>
  <c r="U85" i="3"/>
  <c r="M85" i="3"/>
  <c r="W85" i="3"/>
  <c r="AB85" i="3"/>
  <c r="T85" i="3"/>
  <c r="L85" i="3"/>
  <c r="O85" i="3"/>
  <c r="AA85" i="3"/>
  <c r="S85" i="3"/>
  <c r="K85" i="3"/>
  <c r="V85" i="3"/>
  <c r="Z85" i="3"/>
  <c r="R85" i="3"/>
  <c r="J85" i="3"/>
  <c r="G85" i="3"/>
  <c r="Y85" i="3"/>
  <c r="Q85" i="3"/>
  <c r="I85" i="3"/>
  <c r="F85" i="3"/>
  <c r="X85" i="3"/>
  <c r="P85" i="3"/>
  <c r="H85" i="3"/>
  <c r="N85" i="3"/>
  <c r="AC89" i="3"/>
  <c r="U89" i="3"/>
  <c r="M89" i="3"/>
  <c r="N89" i="3"/>
  <c r="AB89" i="3"/>
  <c r="T89" i="3"/>
  <c r="L89" i="3"/>
  <c r="F89" i="3"/>
  <c r="AA89" i="3"/>
  <c r="S89" i="3"/>
  <c r="K89" i="3"/>
  <c r="O89" i="3"/>
  <c r="Z89" i="3"/>
  <c r="R89" i="3"/>
  <c r="J89" i="3"/>
  <c r="Y89" i="3"/>
  <c r="Q89" i="3"/>
  <c r="I89" i="3"/>
  <c r="W89" i="3"/>
  <c r="V89" i="3"/>
  <c r="X89" i="3"/>
  <c r="P89" i="3"/>
  <c r="H89" i="3"/>
  <c r="G89" i="3"/>
  <c r="AC77" i="3"/>
  <c r="U77" i="3"/>
  <c r="M77" i="3"/>
  <c r="O77" i="3"/>
  <c r="AB77" i="3"/>
  <c r="T77" i="3"/>
  <c r="L77" i="3"/>
  <c r="W77" i="3"/>
  <c r="AA77" i="3"/>
  <c r="S77" i="3"/>
  <c r="K77" i="3"/>
  <c r="N77" i="3"/>
  <c r="Z77" i="3"/>
  <c r="R77" i="3"/>
  <c r="J77" i="3"/>
  <c r="G77" i="3"/>
  <c r="Y77" i="3"/>
  <c r="Q77" i="3"/>
  <c r="I77" i="3"/>
  <c r="F77" i="3"/>
  <c r="X77" i="3"/>
  <c r="P77" i="3"/>
  <c r="H77" i="3"/>
  <c r="V77" i="3"/>
  <c r="AC81" i="3"/>
  <c r="U81" i="3"/>
  <c r="M81" i="3"/>
  <c r="F81" i="3"/>
  <c r="AB81" i="3"/>
  <c r="T81" i="3"/>
  <c r="L81" i="3"/>
  <c r="N81" i="3"/>
  <c r="AA81" i="3"/>
  <c r="S81" i="3"/>
  <c r="K81" i="3"/>
  <c r="W81" i="3"/>
  <c r="Z81" i="3"/>
  <c r="R81" i="3"/>
  <c r="J81" i="3"/>
  <c r="V81" i="3"/>
  <c r="Y81" i="3"/>
  <c r="Q81" i="3"/>
  <c r="I81" i="3"/>
  <c r="G81" i="3"/>
  <c r="X81" i="3"/>
  <c r="P81" i="3"/>
  <c r="H81" i="3"/>
  <c r="O81" i="3"/>
  <c r="Q73" i="3"/>
  <c r="AD79" i="3"/>
  <c r="AB73" i="3"/>
  <c r="P73" i="3"/>
  <c r="J73" i="3"/>
  <c r="W73" i="3"/>
  <c r="Z73" i="3"/>
  <c r="S73" i="3"/>
  <c r="N73" i="3"/>
  <c r="I73" i="3"/>
  <c r="T73" i="3"/>
  <c r="AD75" i="3"/>
  <c r="B82" i="3"/>
  <c r="C82" i="3" s="1"/>
  <c r="O73" i="3"/>
  <c r="M73" i="3"/>
  <c r="L73" i="3"/>
  <c r="Y78" i="3"/>
  <c r="B86" i="3"/>
  <c r="C86" i="3" s="1"/>
  <c r="AD67" i="3"/>
  <c r="AD68" i="3" s="1"/>
  <c r="K73" i="3"/>
  <c r="V73" i="3"/>
  <c r="U73" i="3"/>
  <c r="F73" i="3"/>
  <c r="AA73" i="3"/>
  <c r="B94" i="3"/>
  <c r="C94" i="3" s="1"/>
  <c r="B90" i="3"/>
  <c r="C90" i="3" s="1"/>
  <c r="AD71" i="3"/>
  <c r="F68" i="3"/>
  <c r="Y73" i="3"/>
  <c r="R73" i="3"/>
  <c r="H73" i="3"/>
  <c r="G73" i="3"/>
  <c r="AC90" i="3" l="1"/>
  <c r="U90" i="3"/>
  <c r="M90" i="3"/>
  <c r="O90" i="3"/>
  <c r="AB90" i="3"/>
  <c r="T90" i="3"/>
  <c r="L90" i="3"/>
  <c r="G90" i="3"/>
  <c r="AA90" i="3"/>
  <c r="S90" i="3"/>
  <c r="K90" i="3"/>
  <c r="F90" i="3"/>
  <c r="Z90" i="3"/>
  <c r="R90" i="3"/>
  <c r="J90" i="3"/>
  <c r="V90" i="3"/>
  <c r="Y90" i="3"/>
  <c r="Q90" i="3"/>
  <c r="I90" i="3"/>
  <c r="X90" i="3"/>
  <c r="P90" i="3"/>
  <c r="H90" i="3"/>
  <c r="W90" i="3"/>
  <c r="N90" i="3"/>
  <c r="AC82" i="3"/>
  <c r="U82" i="3"/>
  <c r="M82" i="3"/>
  <c r="W82" i="3"/>
  <c r="AB82" i="3"/>
  <c r="T82" i="3"/>
  <c r="L82" i="3"/>
  <c r="O82" i="3"/>
  <c r="AA82" i="3"/>
  <c r="S82" i="3"/>
  <c r="K82" i="3"/>
  <c r="V82" i="3"/>
  <c r="Z82" i="3"/>
  <c r="R82" i="3"/>
  <c r="J82" i="3"/>
  <c r="G82" i="3"/>
  <c r="Y82" i="3"/>
  <c r="Q82" i="3"/>
  <c r="I82" i="3"/>
  <c r="F82" i="3"/>
  <c r="X82" i="3"/>
  <c r="P82" i="3"/>
  <c r="H82" i="3"/>
  <c r="N82" i="3"/>
  <c r="AC86" i="3"/>
  <c r="U86" i="3"/>
  <c r="M86" i="3"/>
  <c r="N86" i="3"/>
  <c r="AB86" i="3"/>
  <c r="T86" i="3"/>
  <c r="L86" i="3"/>
  <c r="F86" i="3"/>
  <c r="AA86" i="3"/>
  <c r="S86" i="3"/>
  <c r="K86" i="3"/>
  <c r="G86" i="3"/>
  <c r="Z86" i="3"/>
  <c r="R86" i="3"/>
  <c r="J86" i="3"/>
  <c r="Y86" i="3"/>
  <c r="Q86" i="3"/>
  <c r="I86" i="3"/>
  <c r="W86" i="3"/>
  <c r="V86" i="3"/>
  <c r="X86" i="3"/>
  <c r="P86" i="3"/>
  <c r="H86" i="3"/>
  <c r="O86" i="3"/>
  <c r="AA94" i="3"/>
  <c r="S94" i="3"/>
  <c r="K94" i="3"/>
  <c r="Z94" i="3"/>
  <c r="R94" i="3"/>
  <c r="J94" i="3"/>
  <c r="Y94" i="3"/>
  <c r="Q94" i="3"/>
  <c r="I94" i="3"/>
  <c r="X94" i="3"/>
  <c r="P94" i="3"/>
  <c r="H94" i="3"/>
  <c r="W94" i="3"/>
  <c r="O94" i="3"/>
  <c r="G94" i="3"/>
  <c r="V94" i="3"/>
  <c r="N94" i="3"/>
  <c r="F94" i="3"/>
  <c r="U94" i="3"/>
  <c r="AB94" i="3"/>
  <c r="T94" i="3"/>
  <c r="M94" i="3"/>
  <c r="AC94" i="3"/>
  <c r="L94" i="3"/>
  <c r="AE68" i="3"/>
  <c r="AD84" i="3"/>
  <c r="J78" i="3"/>
  <c r="Z78" i="3"/>
  <c r="AD76" i="3"/>
  <c r="R78" i="3"/>
  <c r="X78" i="3"/>
  <c r="AA78" i="3"/>
  <c r="L78" i="3"/>
  <c r="V78" i="3"/>
  <c r="B91" i="3"/>
  <c r="C91" i="3" s="1"/>
  <c r="I78" i="3"/>
  <c r="S78" i="3"/>
  <c r="G78" i="3"/>
  <c r="B99" i="3"/>
  <c r="C99" i="3" s="1"/>
  <c r="B95" i="3"/>
  <c r="C95" i="3" s="1"/>
  <c r="AC78" i="3"/>
  <c r="P78" i="3"/>
  <c r="N78" i="3"/>
  <c r="Q78" i="3"/>
  <c r="B87" i="3"/>
  <c r="C87" i="3" s="1"/>
  <c r="U78" i="3"/>
  <c r="O78" i="3"/>
  <c r="AD80" i="3"/>
  <c r="AD72" i="3"/>
  <c r="AD73" i="3" s="1"/>
  <c r="AE73" i="3" s="1"/>
  <c r="T78" i="3"/>
  <c r="M78" i="3"/>
  <c r="AB78" i="3"/>
  <c r="K78" i="3"/>
  <c r="H78" i="3"/>
  <c r="W78" i="3"/>
  <c r="AA99" i="3" l="1"/>
  <c r="S99" i="3"/>
  <c r="K99" i="3"/>
  <c r="Z99" i="3"/>
  <c r="R99" i="3"/>
  <c r="J99" i="3"/>
  <c r="Y99" i="3"/>
  <c r="Q99" i="3"/>
  <c r="I99" i="3"/>
  <c r="X99" i="3"/>
  <c r="P99" i="3"/>
  <c r="H99" i="3"/>
  <c r="W99" i="3"/>
  <c r="O99" i="3"/>
  <c r="G99" i="3"/>
  <c r="V99" i="3"/>
  <c r="N99" i="3"/>
  <c r="F99" i="3"/>
  <c r="U99" i="3"/>
  <c r="T99" i="3"/>
  <c r="M99" i="3"/>
  <c r="AC99" i="3"/>
  <c r="L99" i="3"/>
  <c r="AB99" i="3"/>
  <c r="AC87" i="3"/>
  <c r="U87" i="3"/>
  <c r="M87" i="3"/>
  <c r="M88" i="3" s="1"/>
  <c r="W87" i="3"/>
  <c r="AB87" i="3"/>
  <c r="T87" i="3"/>
  <c r="L87" i="3"/>
  <c r="O87" i="3"/>
  <c r="AA87" i="3"/>
  <c r="S87" i="3"/>
  <c r="K87" i="3"/>
  <c r="N87" i="3"/>
  <c r="Z87" i="3"/>
  <c r="R87" i="3"/>
  <c r="J87" i="3"/>
  <c r="G87" i="3"/>
  <c r="F87" i="3"/>
  <c r="Y87" i="3"/>
  <c r="Q87" i="3"/>
  <c r="Q88" i="3" s="1"/>
  <c r="I87" i="3"/>
  <c r="X87" i="3"/>
  <c r="X88" i="3" s="1"/>
  <c r="P87" i="3"/>
  <c r="H87" i="3"/>
  <c r="V87" i="3"/>
  <c r="AC91" i="3"/>
  <c r="U91" i="3"/>
  <c r="M91" i="3"/>
  <c r="N91" i="3"/>
  <c r="AB91" i="3"/>
  <c r="T91" i="3"/>
  <c r="L91" i="3"/>
  <c r="F91" i="3"/>
  <c r="AA91" i="3"/>
  <c r="S91" i="3"/>
  <c r="K91" i="3"/>
  <c r="O91" i="3"/>
  <c r="V91" i="3"/>
  <c r="Z91" i="3"/>
  <c r="R91" i="3"/>
  <c r="J91" i="3"/>
  <c r="G91" i="3"/>
  <c r="Y91" i="3"/>
  <c r="Q91" i="3"/>
  <c r="I91" i="3"/>
  <c r="W91" i="3"/>
  <c r="X91" i="3"/>
  <c r="P91" i="3"/>
  <c r="H91" i="3"/>
  <c r="AA95" i="3"/>
  <c r="S95" i="3"/>
  <c r="K95" i="3"/>
  <c r="Z95" i="3"/>
  <c r="R95" i="3"/>
  <c r="J95" i="3"/>
  <c r="Y95" i="3"/>
  <c r="Q95" i="3"/>
  <c r="I95" i="3"/>
  <c r="X95" i="3"/>
  <c r="P95" i="3"/>
  <c r="H95" i="3"/>
  <c r="W95" i="3"/>
  <c r="O95" i="3"/>
  <c r="G95" i="3"/>
  <c r="V95" i="3"/>
  <c r="N95" i="3"/>
  <c r="F95" i="3"/>
  <c r="AC95" i="3"/>
  <c r="AB95" i="3"/>
  <c r="U95" i="3"/>
  <c r="T95" i="3"/>
  <c r="M95" i="3"/>
  <c r="L95" i="3"/>
  <c r="H83" i="3"/>
  <c r="AA83" i="3"/>
  <c r="Y83" i="3"/>
  <c r="G83" i="3"/>
  <c r="AC83" i="3"/>
  <c r="K83" i="3"/>
  <c r="Q83" i="3"/>
  <c r="X83" i="3"/>
  <c r="O83" i="3"/>
  <c r="AD89" i="3"/>
  <c r="V83" i="3"/>
  <c r="P83" i="3"/>
  <c r="R83" i="3"/>
  <c r="S83" i="3"/>
  <c r="AD85" i="3"/>
  <c r="W83" i="3"/>
  <c r="T83" i="3"/>
  <c r="AD81" i="3"/>
  <c r="N83" i="3"/>
  <c r="B104" i="3"/>
  <c r="C104" i="3" s="1"/>
  <c r="B100" i="3"/>
  <c r="C100" i="3" s="1"/>
  <c r="B92" i="3"/>
  <c r="C92" i="3" s="1"/>
  <c r="M83" i="3"/>
  <c r="J83" i="3"/>
  <c r="Z83" i="3"/>
  <c r="I83" i="3"/>
  <c r="AB83" i="3"/>
  <c r="AD77" i="3"/>
  <c r="AD78" i="3" s="1"/>
  <c r="AE78" i="3" s="1"/>
  <c r="F78" i="3"/>
  <c r="L83" i="3"/>
  <c r="B96" i="3"/>
  <c r="C96" i="3" s="1"/>
  <c r="U83" i="3"/>
  <c r="F83" i="3"/>
  <c r="Y92" i="3" l="1"/>
  <c r="X92" i="3"/>
  <c r="W92" i="3"/>
  <c r="V92" i="3"/>
  <c r="U92" i="3"/>
  <c r="M92" i="3"/>
  <c r="O92" i="3"/>
  <c r="T92" i="3"/>
  <c r="L92" i="3"/>
  <c r="G92" i="3"/>
  <c r="S92" i="3"/>
  <c r="K92" i="3"/>
  <c r="R92" i="3"/>
  <c r="J92" i="3"/>
  <c r="Z92" i="3"/>
  <c r="AC92" i="3"/>
  <c r="Q92" i="3"/>
  <c r="I92" i="3"/>
  <c r="N92" i="3"/>
  <c r="AB92" i="3"/>
  <c r="P92" i="3"/>
  <c r="H92" i="3"/>
  <c r="AA92" i="3"/>
  <c r="F92" i="3"/>
  <c r="AA96" i="3"/>
  <c r="S96" i="3"/>
  <c r="K96" i="3"/>
  <c r="Z96" i="3"/>
  <c r="R96" i="3"/>
  <c r="J96" i="3"/>
  <c r="Y96" i="3"/>
  <c r="Q96" i="3"/>
  <c r="I96" i="3"/>
  <c r="X96" i="3"/>
  <c r="P96" i="3"/>
  <c r="H96" i="3"/>
  <c r="W96" i="3"/>
  <c r="O96" i="3"/>
  <c r="G96" i="3"/>
  <c r="V96" i="3"/>
  <c r="N96" i="3"/>
  <c r="F96" i="3"/>
  <c r="L96" i="3"/>
  <c r="AC96" i="3"/>
  <c r="AB96" i="3"/>
  <c r="M96" i="3"/>
  <c r="U96" i="3"/>
  <c r="T96" i="3"/>
  <c r="AA104" i="3"/>
  <c r="S104" i="3"/>
  <c r="K104" i="3"/>
  <c r="Z104" i="3"/>
  <c r="R104" i="3"/>
  <c r="J104" i="3"/>
  <c r="Y104" i="3"/>
  <c r="Q104" i="3"/>
  <c r="I104" i="3"/>
  <c r="X104" i="3"/>
  <c r="P104" i="3"/>
  <c r="H104" i="3"/>
  <c r="W104" i="3"/>
  <c r="O104" i="3"/>
  <c r="G104" i="3"/>
  <c r="V104" i="3"/>
  <c r="N104" i="3"/>
  <c r="F104" i="3"/>
  <c r="U104" i="3"/>
  <c r="AB104" i="3"/>
  <c r="T104" i="3"/>
  <c r="AC104" i="3"/>
  <c r="M104" i="3"/>
  <c r="L104" i="3"/>
  <c r="AA100" i="3"/>
  <c r="S100" i="3"/>
  <c r="K100" i="3"/>
  <c r="Z100" i="3"/>
  <c r="R100" i="3"/>
  <c r="J100" i="3"/>
  <c r="Y100" i="3"/>
  <c r="Q100" i="3"/>
  <c r="I100" i="3"/>
  <c r="X100" i="3"/>
  <c r="P100" i="3"/>
  <c r="H100" i="3"/>
  <c r="W100" i="3"/>
  <c r="O100" i="3"/>
  <c r="G100" i="3"/>
  <c r="V100" i="3"/>
  <c r="N100" i="3"/>
  <c r="F100" i="3"/>
  <c r="AC100" i="3"/>
  <c r="AB100" i="3"/>
  <c r="U100" i="3"/>
  <c r="T100" i="3"/>
  <c r="M100" i="3"/>
  <c r="L100" i="3"/>
  <c r="AA88" i="3"/>
  <c r="AD94" i="3"/>
  <c r="L88" i="3"/>
  <c r="O88" i="3"/>
  <c r="K88" i="3"/>
  <c r="AD90" i="3"/>
  <c r="R88" i="3"/>
  <c r="N88" i="3"/>
  <c r="V88" i="3"/>
  <c r="AC88" i="3"/>
  <c r="Y88" i="3"/>
  <c r="S88" i="3"/>
  <c r="B109" i="3"/>
  <c r="C109" i="3" s="1"/>
  <c r="B105" i="3"/>
  <c r="C105" i="3" s="1"/>
  <c r="B101" i="3"/>
  <c r="C101" i="3" s="1"/>
  <c r="I88" i="3"/>
  <c r="AD82" i="3"/>
  <c r="AD83" i="3" s="1"/>
  <c r="AE83" i="3" s="1"/>
  <c r="Z88" i="3"/>
  <c r="H88" i="3"/>
  <c r="P88" i="3"/>
  <c r="B97" i="3"/>
  <c r="C97" i="3" s="1"/>
  <c r="G88" i="3"/>
  <c r="AB88" i="3"/>
  <c r="J88" i="3"/>
  <c r="AD86" i="3"/>
  <c r="W88" i="3"/>
  <c r="T88" i="3"/>
  <c r="U88" i="3"/>
  <c r="D22" i="2" l="1"/>
  <c r="AA105" i="3"/>
  <c r="S105" i="3"/>
  <c r="K105" i="3"/>
  <c r="Z105" i="3"/>
  <c r="R105" i="3"/>
  <c r="J105" i="3"/>
  <c r="Y105" i="3"/>
  <c r="Q105" i="3"/>
  <c r="I105" i="3"/>
  <c r="X105" i="3"/>
  <c r="P105" i="3"/>
  <c r="H105" i="3"/>
  <c r="W105" i="3"/>
  <c r="O105" i="3"/>
  <c r="G105" i="3"/>
  <c r="V105" i="3"/>
  <c r="N105" i="3"/>
  <c r="F105" i="3"/>
  <c r="AC105" i="3"/>
  <c r="AB105" i="3"/>
  <c r="U105" i="3"/>
  <c r="T105" i="3"/>
  <c r="M105" i="3"/>
  <c r="L105" i="3"/>
  <c r="AA109" i="3"/>
  <c r="S109" i="3"/>
  <c r="K109" i="3"/>
  <c r="Z109" i="3"/>
  <c r="R109" i="3"/>
  <c r="J109" i="3"/>
  <c r="Y109" i="3"/>
  <c r="Q109" i="3"/>
  <c r="I109" i="3"/>
  <c r="X109" i="3"/>
  <c r="P109" i="3"/>
  <c r="H109" i="3"/>
  <c r="W109" i="3"/>
  <c r="O109" i="3"/>
  <c r="G109" i="3"/>
  <c r="V109" i="3"/>
  <c r="N109" i="3"/>
  <c r="F109" i="3"/>
  <c r="U109" i="3"/>
  <c r="T109" i="3"/>
  <c r="M109" i="3"/>
  <c r="AC109" i="3"/>
  <c r="L109" i="3"/>
  <c r="AB109" i="3"/>
  <c r="AA101" i="3"/>
  <c r="S101" i="3"/>
  <c r="K101" i="3"/>
  <c r="Z101" i="3"/>
  <c r="R101" i="3"/>
  <c r="J101" i="3"/>
  <c r="Y101" i="3"/>
  <c r="Q101" i="3"/>
  <c r="I101" i="3"/>
  <c r="X101" i="3"/>
  <c r="P101" i="3"/>
  <c r="H101" i="3"/>
  <c r="W101" i="3"/>
  <c r="O101" i="3"/>
  <c r="G101" i="3"/>
  <c r="V101" i="3"/>
  <c r="N101" i="3"/>
  <c r="F101" i="3"/>
  <c r="AC101" i="3"/>
  <c r="AB101" i="3"/>
  <c r="U101" i="3"/>
  <c r="L101" i="3"/>
  <c r="T101" i="3"/>
  <c r="M101" i="3"/>
  <c r="AA97" i="3"/>
  <c r="AA98" i="3" s="1"/>
  <c r="S97" i="3"/>
  <c r="K97" i="3"/>
  <c r="Z97" i="3"/>
  <c r="Z98" i="3" s="1"/>
  <c r="R97" i="3"/>
  <c r="J97" i="3"/>
  <c r="Y97" i="3"/>
  <c r="Q97" i="3"/>
  <c r="I97" i="3"/>
  <c r="X97" i="3"/>
  <c r="X98" i="3" s="1"/>
  <c r="P97" i="3"/>
  <c r="H97" i="3"/>
  <c r="H98" i="3" s="1"/>
  <c r="W97" i="3"/>
  <c r="O97" i="3"/>
  <c r="O98" i="3" s="1"/>
  <c r="G97" i="3"/>
  <c r="V97" i="3"/>
  <c r="N97" i="3"/>
  <c r="F97" i="3"/>
  <c r="F98" i="3" s="1"/>
  <c r="M97" i="3"/>
  <c r="L97" i="3"/>
  <c r="T97" i="3"/>
  <c r="AC97" i="3"/>
  <c r="U97" i="3"/>
  <c r="AB97" i="3"/>
  <c r="G93" i="3"/>
  <c r="W93" i="3"/>
  <c r="AD99" i="3"/>
  <c r="AA93" i="3"/>
  <c r="M93" i="3"/>
  <c r="O93" i="3"/>
  <c r="F93" i="3"/>
  <c r="S93" i="3"/>
  <c r="R93" i="3"/>
  <c r="AD91" i="3"/>
  <c r="B102" i="3"/>
  <c r="C102" i="3" s="1"/>
  <c r="F88" i="3"/>
  <c r="AD87" i="3"/>
  <c r="AD88" i="3" s="1"/>
  <c r="AE88" i="3" s="1"/>
  <c r="P93" i="3"/>
  <c r="V93" i="3"/>
  <c r="X93" i="3"/>
  <c r="U93" i="3"/>
  <c r="L93" i="3"/>
  <c r="AD95" i="3"/>
  <c r="Y93" i="3"/>
  <c r="AC93" i="3"/>
  <c r="I93" i="3"/>
  <c r="K93" i="3"/>
  <c r="T93" i="3"/>
  <c r="AB93" i="3"/>
  <c r="Z93" i="3"/>
  <c r="J93" i="3"/>
  <c r="B106" i="3"/>
  <c r="C106" i="3" s="1"/>
  <c r="Q93" i="3"/>
  <c r="N93" i="3"/>
  <c r="H93" i="3"/>
  <c r="B110" i="3"/>
  <c r="C110" i="3" s="1"/>
  <c r="B114" i="3"/>
  <c r="C114" i="3" s="1"/>
  <c r="D23" i="2" l="1"/>
  <c r="E22" i="2"/>
  <c r="AA114" i="3"/>
  <c r="S114" i="3"/>
  <c r="K114" i="3"/>
  <c r="Z114" i="3"/>
  <c r="R114" i="3"/>
  <c r="J114" i="3"/>
  <c r="Y114" i="3"/>
  <c r="Q114" i="3"/>
  <c r="I114" i="3"/>
  <c r="X114" i="3"/>
  <c r="P114" i="3"/>
  <c r="H114" i="3"/>
  <c r="W114" i="3"/>
  <c r="O114" i="3"/>
  <c r="G114" i="3"/>
  <c r="V114" i="3"/>
  <c r="N114" i="3"/>
  <c r="F114" i="3"/>
  <c r="U114" i="3"/>
  <c r="T114" i="3"/>
  <c r="AB114" i="3"/>
  <c r="M114" i="3"/>
  <c r="L114" i="3"/>
  <c r="AC114" i="3"/>
  <c r="AA110" i="3"/>
  <c r="S110" i="3"/>
  <c r="K110" i="3"/>
  <c r="Z110" i="3"/>
  <c r="R110" i="3"/>
  <c r="J110" i="3"/>
  <c r="Y110" i="3"/>
  <c r="Q110" i="3"/>
  <c r="I110" i="3"/>
  <c r="X110" i="3"/>
  <c r="P110" i="3"/>
  <c r="H110" i="3"/>
  <c r="W110" i="3"/>
  <c r="O110" i="3"/>
  <c r="G110" i="3"/>
  <c r="V110" i="3"/>
  <c r="N110" i="3"/>
  <c r="F110" i="3"/>
  <c r="AC110" i="3"/>
  <c r="AB110" i="3"/>
  <c r="U110" i="3"/>
  <c r="T110" i="3"/>
  <c r="M110" i="3"/>
  <c r="L110" i="3"/>
  <c r="AA102" i="3"/>
  <c r="S102" i="3"/>
  <c r="K102" i="3"/>
  <c r="Z102" i="3"/>
  <c r="Z103" i="3" s="1"/>
  <c r="R102" i="3"/>
  <c r="J102" i="3"/>
  <c r="J103" i="3" s="1"/>
  <c r="Y102" i="3"/>
  <c r="Q102" i="3"/>
  <c r="I102" i="3"/>
  <c r="I103" i="3" s="1"/>
  <c r="X102" i="3"/>
  <c r="P102" i="3"/>
  <c r="P103" i="3" s="1"/>
  <c r="H102" i="3"/>
  <c r="W102" i="3"/>
  <c r="O102" i="3"/>
  <c r="G102" i="3"/>
  <c r="V102" i="3"/>
  <c r="N102" i="3"/>
  <c r="F102" i="3"/>
  <c r="M102" i="3"/>
  <c r="U102" i="3"/>
  <c r="L102" i="3"/>
  <c r="T102" i="3"/>
  <c r="AC102" i="3"/>
  <c r="AC103" i="3" s="1"/>
  <c r="AB102" i="3"/>
  <c r="AA106" i="3"/>
  <c r="S106" i="3"/>
  <c r="K106" i="3"/>
  <c r="Z106" i="3"/>
  <c r="R106" i="3"/>
  <c r="J106" i="3"/>
  <c r="Y106" i="3"/>
  <c r="Q106" i="3"/>
  <c r="I106" i="3"/>
  <c r="X106" i="3"/>
  <c r="P106" i="3"/>
  <c r="H106" i="3"/>
  <c r="W106" i="3"/>
  <c r="O106" i="3"/>
  <c r="G106" i="3"/>
  <c r="V106" i="3"/>
  <c r="N106" i="3"/>
  <c r="F106" i="3"/>
  <c r="AC106" i="3"/>
  <c r="AB106" i="3"/>
  <c r="M106" i="3"/>
  <c r="L106" i="3"/>
  <c r="U106" i="3"/>
  <c r="T106" i="3"/>
  <c r="N98" i="3"/>
  <c r="M98" i="3"/>
  <c r="AD104" i="3"/>
  <c r="L98" i="3"/>
  <c r="AD96" i="3"/>
  <c r="V98" i="3"/>
  <c r="S98" i="3"/>
  <c r="W98" i="3"/>
  <c r="I98" i="3"/>
  <c r="B115" i="3"/>
  <c r="C115" i="3" s="1"/>
  <c r="B119" i="3"/>
  <c r="C119" i="3" s="1"/>
  <c r="B107" i="3"/>
  <c r="C107" i="3" s="1"/>
  <c r="Y98" i="3"/>
  <c r="J98" i="3"/>
  <c r="K98" i="3"/>
  <c r="AD100" i="3"/>
  <c r="AD92" i="3"/>
  <c r="AD93" i="3" s="1"/>
  <c r="AE93" i="3" s="1"/>
  <c r="U98" i="3"/>
  <c r="Q98" i="3"/>
  <c r="T98" i="3"/>
  <c r="AB98" i="3"/>
  <c r="B111" i="3"/>
  <c r="C111" i="3" s="1"/>
  <c r="P98" i="3"/>
  <c r="G98" i="3"/>
  <c r="R98" i="3"/>
  <c r="AC98" i="3"/>
  <c r="D24" i="2" l="1"/>
  <c r="E23" i="2"/>
  <c r="AA111" i="3"/>
  <c r="S111" i="3"/>
  <c r="K111" i="3"/>
  <c r="Z111" i="3"/>
  <c r="R111" i="3"/>
  <c r="J111" i="3"/>
  <c r="Y111" i="3"/>
  <c r="Q111" i="3"/>
  <c r="I111" i="3"/>
  <c r="X111" i="3"/>
  <c r="P111" i="3"/>
  <c r="H111" i="3"/>
  <c r="W111" i="3"/>
  <c r="O111" i="3"/>
  <c r="G111" i="3"/>
  <c r="V111" i="3"/>
  <c r="N111" i="3"/>
  <c r="F111" i="3"/>
  <c r="AC111" i="3"/>
  <c r="AB111" i="3"/>
  <c r="U111" i="3"/>
  <c r="L111" i="3"/>
  <c r="T111" i="3"/>
  <c r="M111" i="3"/>
  <c r="AA107" i="3"/>
  <c r="S107" i="3"/>
  <c r="K107" i="3"/>
  <c r="Z107" i="3"/>
  <c r="R107" i="3"/>
  <c r="J107" i="3"/>
  <c r="Y107" i="3"/>
  <c r="Q107" i="3"/>
  <c r="I107" i="3"/>
  <c r="X107" i="3"/>
  <c r="P107" i="3"/>
  <c r="H107" i="3"/>
  <c r="W107" i="3"/>
  <c r="O107" i="3"/>
  <c r="G107" i="3"/>
  <c r="V107" i="3"/>
  <c r="N107" i="3"/>
  <c r="F107" i="3"/>
  <c r="M107" i="3"/>
  <c r="L107" i="3"/>
  <c r="T107" i="3"/>
  <c r="AC107" i="3"/>
  <c r="U107" i="3"/>
  <c r="AB107" i="3"/>
  <c r="AA119" i="3"/>
  <c r="S119" i="3"/>
  <c r="K119" i="3"/>
  <c r="Z119" i="3"/>
  <c r="R119" i="3"/>
  <c r="J119" i="3"/>
  <c r="Y119" i="3"/>
  <c r="Q119" i="3"/>
  <c r="I119" i="3"/>
  <c r="X119" i="3"/>
  <c r="P119" i="3"/>
  <c r="H119" i="3"/>
  <c r="W119" i="3"/>
  <c r="O119" i="3"/>
  <c r="G119" i="3"/>
  <c r="V119" i="3"/>
  <c r="N119" i="3"/>
  <c r="F119" i="3"/>
  <c r="U119" i="3"/>
  <c r="T119" i="3"/>
  <c r="AC119" i="3"/>
  <c r="M119" i="3"/>
  <c r="L119" i="3"/>
  <c r="AB119" i="3"/>
  <c r="AA115" i="3"/>
  <c r="S115" i="3"/>
  <c r="K115" i="3"/>
  <c r="Z115" i="3"/>
  <c r="R115" i="3"/>
  <c r="J115" i="3"/>
  <c r="Y115" i="3"/>
  <c r="Q115" i="3"/>
  <c r="I115" i="3"/>
  <c r="X115" i="3"/>
  <c r="P115" i="3"/>
  <c r="H115" i="3"/>
  <c r="W115" i="3"/>
  <c r="O115" i="3"/>
  <c r="G115" i="3"/>
  <c r="V115" i="3"/>
  <c r="N115" i="3"/>
  <c r="F115" i="3"/>
  <c r="AC115" i="3"/>
  <c r="AB115" i="3"/>
  <c r="U115" i="3"/>
  <c r="T115" i="3"/>
  <c r="M115" i="3"/>
  <c r="L115" i="3"/>
  <c r="X103" i="3"/>
  <c r="Y103" i="3"/>
  <c r="K103" i="3"/>
  <c r="O103" i="3"/>
  <c r="T103" i="3"/>
  <c r="Q103" i="3"/>
  <c r="S103" i="3"/>
  <c r="H103" i="3"/>
  <c r="AB103" i="3"/>
  <c r="L103" i="3"/>
  <c r="AD101" i="3"/>
  <c r="G103" i="3"/>
  <c r="AA103" i="3"/>
  <c r="N103" i="3"/>
  <c r="F103" i="3"/>
  <c r="V103" i="3"/>
  <c r="W103" i="3"/>
  <c r="U103" i="3"/>
  <c r="R103" i="3"/>
  <c r="M103" i="3"/>
  <c r="B120" i="3"/>
  <c r="C120" i="3" s="1"/>
  <c r="B124" i="3"/>
  <c r="C124" i="3" s="1"/>
  <c r="AD97" i="3"/>
  <c r="AD98" i="3" s="1"/>
  <c r="AE98" i="3" s="1"/>
  <c r="V108" i="3"/>
  <c r="AD105" i="3"/>
  <c r="B112" i="3"/>
  <c r="C112" i="3" s="1"/>
  <c r="AD109" i="3"/>
  <c r="B116" i="3"/>
  <c r="C116" i="3" s="1"/>
  <c r="D25" i="2" l="1"/>
  <c r="E24" i="2"/>
  <c r="AA120" i="3"/>
  <c r="S120" i="3"/>
  <c r="K120" i="3"/>
  <c r="Z120" i="3"/>
  <c r="R120" i="3"/>
  <c r="J120" i="3"/>
  <c r="Y120" i="3"/>
  <c r="Q120" i="3"/>
  <c r="I120" i="3"/>
  <c r="X120" i="3"/>
  <c r="P120" i="3"/>
  <c r="H120" i="3"/>
  <c r="W120" i="3"/>
  <c r="O120" i="3"/>
  <c r="G120" i="3"/>
  <c r="V120" i="3"/>
  <c r="N120" i="3"/>
  <c r="F120" i="3"/>
  <c r="AC120" i="3"/>
  <c r="AB120" i="3"/>
  <c r="U120" i="3"/>
  <c r="T120" i="3"/>
  <c r="M120" i="3"/>
  <c r="L120" i="3"/>
  <c r="AA124" i="3"/>
  <c r="S124" i="3"/>
  <c r="K124" i="3"/>
  <c r="Z124" i="3"/>
  <c r="R124" i="3"/>
  <c r="J124" i="3"/>
  <c r="Y124" i="3"/>
  <c r="Q124" i="3"/>
  <c r="I124" i="3"/>
  <c r="X124" i="3"/>
  <c r="P124" i="3"/>
  <c r="H124" i="3"/>
  <c r="W124" i="3"/>
  <c r="O124" i="3"/>
  <c r="G124" i="3"/>
  <c r="V124" i="3"/>
  <c r="N124" i="3"/>
  <c r="F124" i="3"/>
  <c r="U124" i="3"/>
  <c r="T124" i="3"/>
  <c r="M124" i="3"/>
  <c r="L124" i="3"/>
  <c r="AC124" i="3"/>
  <c r="AB124" i="3"/>
  <c r="AA116" i="3"/>
  <c r="S116" i="3"/>
  <c r="K116" i="3"/>
  <c r="Z116" i="3"/>
  <c r="R116" i="3"/>
  <c r="J116" i="3"/>
  <c r="Y116" i="3"/>
  <c r="Q116" i="3"/>
  <c r="I116" i="3"/>
  <c r="X116" i="3"/>
  <c r="P116" i="3"/>
  <c r="H116" i="3"/>
  <c r="W116" i="3"/>
  <c r="O116" i="3"/>
  <c r="G116" i="3"/>
  <c r="V116" i="3"/>
  <c r="N116" i="3"/>
  <c r="F116" i="3"/>
  <c r="AC116" i="3"/>
  <c r="AB116" i="3"/>
  <c r="U116" i="3"/>
  <c r="T116" i="3"/>
  <c r="M116" i="3"/>
  <c r="L116" i="3"/>
  <c r="AA112" i="3"/>
  <c r="S112" i="3"/>
  <c r="K112" i="3"/>
  <c r="Z112" i="3"/>
  <c r="R112" i="3"/>
  <c r="J112" i="3"/>
  <c r="Y112" i="3"/>
  <c r="Q112" i="3"/>
  <c r="I112" i="3"/>
  <c r="X112" i="3"/>
  <c r="P112" i="3"/>
  <c r="H112" i="3"/>
  <c r="W112" i="3"/>
  <c r="O112" i="3"/>
  <c r="G112" i="3"/>
  <c r="V112" i="3"/>
  <c r="N112" i="3"/>
  <c r="F112" i="3"/>
  <c r="M112" i="3"/>
  <c r="T112" i="3"/>
  <c r="L112" i="3"/>
  <c r="U112" i="3"/>
  <c r="AC112" i="3"/>
  <c r="AB112" i="3"/>
  <c r="AB113" i="3" s="1"/>
  <c r="AD110" i="3"/>
  <c r="AD102" i="3"/>
  <c r="AD103" i="3" s="1"/>
  <c r="AE103" i="3" s="1"/>
  <c r="AD106" i="3"/>
  <c r="L108" i="3"/>
  <c r="Z108" i="3"/>
  <c r="S108" i="3"/>
  <c r="T108" i="3"/>
  <c r="J108" i="3"/>
  <c r="H108" i="3"/>
  <c r="B129" i="3"/>
  <c r="B125" i="3"/>
  <c r="C125" i="3" s="1"/>
  <c r="K108" i="3"/>
  <c r="G108" i="3"/>
  <c r="AD114" i="3"/>
  <c r="AA108" i="3"/>
  <c r="I108" i="3"/>
  <c r="O108" i="3"/>
  <c r="B121" i="3"/>
  <c r="C121" i="3" s="1"/>
  <c r="U108" i="3"/>
  <c r="R108" i="3"/>
  <c r="AB108" i="3"/>
  <c r="P108" i="3"/>
  <c r="AC108" i="3"/>
  <c r="Q108" i="3"/>
  <c r="Y108" i="3"/>
  <c r="W108" i="3"/>
  <c r="B117" i="3"/>
  <c r="C117" i="3" s="1"/>
  <c r="N108" i="3"/>
  <c r="M108" i="3"/>
  <c r="X108" i="3"/>
  <c r="D26" i="2" l="1"/>
  <c r="E25" i="2"/>
  <c r="C129" i="3"/>
  <c r="S129" i="3" s="1"/>
  <c r="AA117" i="3"/>
  <c r="S117" i="3"/>
  <c r="K117" i="3"/>
  <c r="Z117" i="3"/>
  <c r="R117" i="3"/>
  <c r="J117" i="3"/>
  <c r="Y117" i="3"/>
  <c r="Q117" i="3"/>
  <c r="I117" i="3"/>
  <c r="I118" i="3" s="1"/>
  <c r="X117" i="3"/>
  <c r="P117" i="3"/>
  <c r="H117" i="3"/>
  <c r="W117" i="3"/>
  <c r="O117" i="3"/>
  <c r="G117" i="3"/>
  <c r="V117" i="3"/>
  <c r="N117" i="3"/>
  <c r="F117" i="3"/>
  <c r="M117" i="3"/>
  <c r="L117" i="3"/>
  <c r="U117" i="3"/>
  <c r="T117" i="3"/>
  <c r="AC117" i="3"/>
  <c r="AB117" i="3"/>
  <c r="AA125" i="3"/>
  <c r="S125" i="3"/>
  <c r="K125" i="3"/>
  <c r="Z125" i="3"/>
  <c r="R125" i="3"/>
  <c r="J125" i="3"/>
  <c r="Y125" i="3"/>
  <c r="Q125" i="3"/>
  <c r="I125" i="3"/>
  <c r="X125" i="3"/>
  <c r="P125" i="3"/>
  <c r="H125" i="3"/>
  <c r="W125" i="3"/>
  <c r="O125" i="3"/>
  <c r="G125" i="3"/>
  <c r="V125" i="3"/>
  <c r="N125" i="3"/>
  <c r="F125" i="3"/>
  <c r="AC125" i="3"/>
  <c r="AB125" i="3"/>
  <c r="U125" i="3"/>
  <c r="T125" i="3"/>
  <c r="M125" i="3"/>
  <c r="L125" i="3"/>
  <c r="AA121" i="3"/>
  <c r="S121" i="3"/>
  <c r="K121" i="3"/>
  <c r="Z121" i="3"/>
  <c r="R121" i="3"/>
  <c r="J121" i="3"/>
  <c r="Y121" i="3"/>
  <c r="Q121" i="3"/>
  <c r="I121" i="3"/>
  <c r="X121" i="3"/>
  <c r="P121" i="3"/>
  <c r="H121" i="3"/>
  <c r="W121" i="3"/>
  <c r="O121" i="3"/>
  <c r="G121" i="3"/>
  <c r="V121" i="3"/>
  <c r="N121" i="3"/>
  <c r="F121" i="3"/>
  <c r="M121" i="3"/>
  <c r="L121" i="3"/>
  <c r="AC121" i="3"/>
  <c r="AB121" i="3"/>
  <c r="U121" i="3"/>
  <c r="T121" i="3"/>
  <c r="L113" i="3"/>
  <c r="O113" i="3"/>
  <c r="M113" i="3"/>
  <c r="Y113" i="3"/>
  <c r="N113" i="3"/>
  <c r="P113" i="3"/>
  <c r="R113" i="3"/>
  <c r="J113" i="3"/>
  <c r="G113" i="3"/>
  <c r="W113" i="3"/>
  <c r="V113" i="3"/>
  <c r="T113" i="3"/>
  <c r="Z113" i="3"/>
  <c r="Q113" i="3"/>
  <c r="AC113" i="3"/>
  <c r="H113" i="3"/>
  <c r="AD107" i="3"/>
  <c r="AD108" i="3" s="1"/>
  <c r="AE108" i="3" s="1"/>
  <c r="F108" i="3"/>
  <c r="X113" i="3"/>
  <c r="B134" i="3"/>
  <c r="B130" i="3"/>
  <c r="F113" i="3"/>
  <c r="B126" i="3"/>
  <c r="C126" i="3" s="1"/>
  <c r="AD111" i="3"/>
  <c r="S113" i="3"/>
  <c r="U113" i="3"/>
  <c r="I113" i="3"/>
  <c r="AD119" i="3"/>
  <c r="AA113" i="3"/>
  <c r="K113" i="3"/>
  <c r="B122" i="3"/>
  <c r="C122" i="3" s="1"/>
  <c r="AD115" i="3"/>
  <c r="AA129" i="3" l="1"/>
  <c r="L129" i="3"/>
  <c r="AC129" i="3"/>
  <c r="G129" i="3"/>
  <c r="P129" i="3"/>
  <c r="D27" i="2"/>
  <c r="E26" i="2"/>
  <c r="U129" i="3"/>
  <c r="H129" i="3"/>
  <c r="AB129" i="3"/>
  <c r="O129" i="3"/>
  <c r="X129" i="3"/>
  <c r="F129" i="3"/>
  <c r="W129" i="3"/>
  <c r="M129" i="3"/>
  <c r="N129" i="3"/>
  <c r="R129" i="3"/>
  <c r="I129" i="3"/>
  <c r="V129" i="3"/>
  <c r="K129" i="3"/>
  <c r="Q129" i="3"/>
  <c r="J129" i="3"/>
  <c r="T129" i="3"/>
  <c r="Y129" i="3"/>
  <c r="Z129" i="3"/>
  <c r="C130" i="3"/>
  <c r="L130" i="3" s="1"/>
  <c r="C134" i="3"/>
  <c r="N134" i="3" s="1"/>
  <c r="AA126" i="3"/>
  <c r="S126" i="3"/>
  <c r="K126" i="3"/>
  <c r="Z126" i="3"/>
  <c r="R126" i="3"/>
  <c r="J126" i="3"/>
  <c r="Y126" i="3"/>
  <c r="Q126" i="3"/>
  <c r="I126" i="3"/>
  <c r="X126" i="3"/>
  <c r="P126" i="3"/>
  <c r="H126" i="3"/>
  <c r="W126" i="3"/>
  <c r="O126" i="3"/>
  <c r="G126" i="3"/>
  <c r="V126" i="3"/>
  <c r="N126" i="3"/>
  <c r="F126" i="3"/>
  <c r="AC126" i="3"/>
  <c r="L126" i="3"/>
  <c r="AB126" i="3"/>
  <c r="U126" i="3"/>
  <c r="T126" i="3"/>
  <c r="M126" i="3"/>
  <c r="AA122" i="3"/>
  <c r="S122" i="3"/>
  <c r="K122" i="3"/>
  <c r="Z122" i="3"/>
  <c r="R122" i="3"/>
  <c r="J122" i="3"/>
  <c r="Y122" i="3"/>
  <c r="Q122" i="3"/>
  <c r="I122" i="3"/>
  <c r="X122" i="3"/>
  <c r="P122" i="3"/>
  <c r="H122" i="3"/>
  <c r="H123" i="3" s="1"/>
  <c r="W122" i="3"/>
  <c r="O122" i="3"/>
  <c r="G122" i="3"/>
  <c r="V122" i="3"/>
  <c r="N122" i="3"/>
  <c r="F122" i="3"/>
  <c r="M122" i="3"/>
  <c r="L122" i="3"/>
  <c r="L123" i="3" s="1"/>
  <c r="T122" i="3"/>
  <c r="AC122" i="3"/>
  <c r="U122" i="3"/>
  <c r="U123" i="3" s="1"/>
  <c r="AB122" i="3"/>
  <c r="AB123" i="3" s="1"/>
  <c r="W118" i="3"/>
  <c r="AA118" i="3"/>
  <c r="Y118" i="3"/>
  <c r="AD120" i="3"/>
  <c r="M118" i="3"/>
  <c r="B127" i="3"/>
  <c r="C127" i="3" s="1"/>
  <c r="O118" i="3"/>
  <c r="T118" i="3"/>
  <c r="J118" i="3"/>
  <c r="AD124" i="3"/>
  <c r="B139" i="3"/>
  <c r="B135" i="3"/>
  <c r="Z118" i="3"/>
  <c r="G118" i="3"/>
  <c r="U118" i="3"/>
  <c r="AD116" i="3"/>
  <c r="F118" i="3"/>
  <c r="N118" i="3"/>
  <c r="H118" i="3"/>
  <c r="K118" i="3"/>
  <c r="B131" i="3"/>
  <c r="R118" i="3"/>
  <c r="P118" i="3"/>
  <c r="AC118" i="3"/>
  <c r="L118" i="3"/>
  <c r="AB118" i="3"/>
  <c r="S118" i="3"/>
  <c r="AD112" i="3"/>
  <c r="AD113" i="3" s="1"/>
  <c r="AE113" i="3" s="1"/>
  <c r="X118" i="3"/>
  <c r="Q118" i="3"/>
  <c r="V118" i="3"/>
  <c r="S130" i="3" l="1"/>
  <c r="W130" i="3"/>
  <c r="AA130" i="3"/>
  <c r="U130" i="3"/>
  <c r="F130" i="3"/>
  <c r="N130" i="3"/>
  <c r="V130" i="3"/>
  <c r="R130" i="3"/>
  <c r="Z130" i="3"/>
  <c r="T130" i="3"/>
  <c r="O130" i="3"/>
  <c r="D28" i="2"/>
  <c r="E27" i="2"/>
  <c r="AC130" i="3"/>
  <c r="T134" i="3"/>
  <c r="Z134" i="3"/>
  <c r="AC134" i="3"/>
  <c r="G130" i="3"/>
  <c r="S134" i="3"/>
  <c r="M130" i="3"/>
  <c r="F134" i="3"/>
  <c r="V134" i="3"/>
  <c r="AB130" i="3"/>
  <c r="I130" i="3"/>
  <c r="H134" i="3"/>
  <c r="G134" i="3"/>
  <c r="H130" i="3"/>
  <c r="Q130" i="3"/>
  <c r="I134" i="3"/>
  <c r="O134" i="3"/>
  <c r="P130" i="3"/>
  <c r="Y130" i="3"/>
  <c r="J134" i="3"/>
  <c r="W134" i="3"/>
  <c r="X130" i="3"/>
  <c r="J130" i="3"/>
  <c r="K134" i="3"/>
  <c r="K130" i="3"/>
  <c r="AB134" i="3"/>
  <c r="AA134" i="3"/>
  <c r="C135" i="3"/>
  <c r="X135" i="3" s="1"/>
  <c r="C139" i="3"/>
  <c r="V139" i="3" s="1"/>
  <c r="L134" i="3"/>
  <c r="M134" i="3"/>
  <c r="P134" i="3"/>
  <c r="Q134" i="3"/>
  <c r="U134" i="3"/>
  <c r="X134" i="3"/>
  <c r="C131" i="3"/>
  <c r="AA131" i="3" s="1"/>
  <c r="Y134" i="3"/>
  <c r="R134" i="3"/>
  <c r="AA127" i="3"/>
  <c r="S127" i="3"/>
  <c r="K127" i="3"/>
  <c r="Z127" i="3"/>
  <c r="R127" i="3"/>
  <c r="J127" i="3"/>
  <c r="Y127" i="3"/>
  <c r="Q127" i="3"/>
  <c r="I127" i="3"/>
  <c r="X127" i="3"/>
  <c r="P127" i="3"/>
  <c r="H127" i="3"/>
  <c r="W127" i="3"/>
  <c r="O127" i="3"/>
  <c r="G127" i="3"/>
  <c r="V127" i="3"/>
  <c r="N127" i="3"/>
  <c r="F127" i="3"/>
  <c r="M127" i="3"/>
  <c r="L127" i="3"/>
  <c r="U127" i="3"/>
  <c r="T127" i="3"/>
  <c r="AC127" i="3"/>
  <c r="AB127" i="3"/>
  <c r="I123" i="3"/>
  <c r="V123" i="3"/>
  <c r="G123" i="3"/>
  <c r="AA123" i="3"/>
  <c r="Q123" i="3"/>
  <c r="K123" i="3"/>
  <c r="Z123" i="3"/>
  <c r="S123" i="3"/>
  <c r="R123" i="3"/>
  <c r="M123" i="3"/>
  <c r="N123" i="3"/>
  <c r="B132" i="3"/>
  <c r="X123" i="3"/>
  <c r="AC123" i="3"/>
  <c r="B136" i="3"/>
  <c r="P123" i="3"/>
  <c r="AD117" i="3"/>
  <c r="AD118" i="3" s="1"/>
  <c r="AE118" i="3" s="1"/>
  <c r="B140" i="3"/>
  <c r="B144" i="3"/>
  <c r="F123" i="3"/>
  <c r="J123" i="3"/>
  <c r="AD125" i="3"/>
  <c r="O123" i="3"/>
  <c r="W123" i="3"/>
  <c r="AD129" i="3"/>
  <c r="T123" i="3"/>
  <c r="Y123" i="3"/>
  <c r="AD121" i="3"/>
  <c r="S135" i="3" l="1"/>
  <c r="T139" i="3"/>
  <c r="P131" i="3"/>
  <c r="L139" i="3"/>
  <c r="L131" i="3"/>
  <c r="S139" i="3"/>
  <c r="M131" i="3"/>
  <c r="AA139" i="3"/>
  <c r="AC131" i="3"/>
  <c r="N139" i="3"/>
  <c r="G131" i="3"/>
  <c r="D29" i="2"/>
  <c r="E28" i="2"/>
  <c r="H131" i="3"/>
  <c r="J135" i="3"/>
  <c r="Z139" i="3"/>
  <c r="G135" i="3"/>
  <c r="W135" i="3"/>
  <c r="O139" i="3"/>
  <c r="Q139" i="3"/>
  <c r="I135" i="3"/>
  <c r="F131" i="3"/>
  <c r="S131" i="3"/>
  <c r="N131" i="3"/>
  <c r="T131" i="3"/>
  <c r="V131" i="3"/>
  <c r="U131" i="3"/>
  <c r="R131" i="3"/>
  <c r="Z131" i="3"/>
  <c r="I131" i="3"/>
  <c r="K131" i="3"/>
  <c r="AB131" i="3"/>
  <c r="J131" i="3"/>
  <c r="L135" i="3"/>
  <c r="AA135" i="3"/>
  <c r="H135" i="3"/>
  <c r="Q135" i="3"/>
  <c r="T135" i="3"/>
  <c r="U135" i="3"/>
  <c r="M135" i="3"/>
  <c r="O131" i="3"/>
  <c r="Q131" i="3"/>
  <c r="Y135" i="3"/>
  <c r="AC135" i="3"/>
  <c r="W131" i="3"/>
  <c r="Y131" i="3"/>
  <c r="G139" i="3"/>
  <c r="AB135" i="3"/>
  <c r="F135" i="3"/>
  <c r="R135" i="3"/>
  <c r="O135" i="3"/>
  <c r="W139" i="3"/>
  <c r="H139" i="3"/>
  <c r="P135" i="3"/>
  <c r="X131" i="3"/>
  <c r="Y139" i="3"/>
  <c r="M139" i="3"/>
  <c r="Z135" i="3"/>
  <c r="N135" i="3"/>
  <c r="AB139" i="3"/>
  <c r="U139" i="3"/>
  <c r="K135" i="3"/>
  <c r="V135" i="3"/>
  <c r="C144" i="3"/>
  <c r="X144" i="3" s="1"/>
  <c r="J139" i="3"/>
  <c r="AC139" i="3"/>
  <c r="P139" i="3"/>
  <c r="C132" i="3"/>
  <c r="Y132" i="3" s="1"/>
  <c r="R139" i="3"/>
  <c r="F139" i="3"/>
  <c r="X139" i="3"/>
  <c r="C136" i="3"/>
  <c r="X136" i="3" s="1"/>
  <c r="C140" i="3"/>
  <c r="V140" i="3" s="1"/>
  <c r="I139" i="3"/>
  <c r="K139" i="3"/>
  <c r="I128" i="3"/>
  <c r="Y128" i="3"/>
  <c r="T128" i="3"/>
  <c r="AD126" i="3"/>
  <c r="W128" i="3"/>
  <c r="Z128" i="3"/>
  <c r="H128" i="3"/>
  <c r="AC128" i="3"/>
  <c r="K128" i="3"/>
  <c r="P128" i="3"/>
  <c r="V128" i="3"/>
  <c r="AB128" i="3"/>
  <c r="F128" i="3"/>
  <c r="X128" i="3"/>
  <c r="J128" i="3"/>
  <c r="R128" i="3"/>
  <c r="G128" i="3"/>
  <c r="B145" i="3"/>
  <c r="B149" i="3"/>
  <c r="AD130" i="3"/>
  <c r="U128" i="3"/>
  <c r="L128" i="3"/>
  <c r="M128" i="3"/>
  <c r="AD122" i="3"/>
  <c r="AD123" i="3" s="1"/>
  <c r="AE123" i="3" s="1"/>
  <c r="AD134" i="3"/>
  <c r="B141" i="3"/>
  <c r="AA128" i="3"/>
  <c r="S128" i="3"/>
  <c r="O128" i="3"/>
  <c r="N128" i="3"/>
  <c r="Q128" i="3"/>
  <c r="B137" i="3"/>
  <c r="T140" i="3" l="1"/>
  <c r="S140" i="3"/>
  <c r="AA140" i="3"/>
  <c r="D30" i="2"/>
  <c r="E29" i="2"/>
  <c r="U140" i="3"/>
  <c r="H140" i="3"/>
  <c r="J144" i="3"/>
  <c r="Q140" i="3"/>
  <c r="Z144" i="3"/>
  <c r="AB144" i="3"/>
  <c r="U144" i="3"/>
  <c r="W144" i="3"/>
  <c r="L140" i="3"/>
  <c r="AB136" i="3"/>
  <c r="R144" i="3"/>
  <c r="H144" i="3"/>
  <c r="Y140" i="3"/>
  <c r="U136" i="3"/>
  <c r="K144" i="3"/>
  <c r="Y144" i="3"/>
  <c r="M144" i="3"/>
  <c r="Q144" i="3"/>
  <c r="AC144" i="3"/>
  <c r="W140" i="3"/>
  <c r="T144" i="3"/>
  <c r="F144" i="3"/>
  <c r="L136" i="3"/>
  <c r="M136" i="3"/>
  <c r="H136" i="3"/>
  <c r="M140" i="3"/>
  <c r="P140" i="3"/>
  <c r="J136" i="3"/>
  <c r="AC136" i="3"/>
  <c r="P144" i="3"/>
  <c r="R136" i="3"/>
  <c r="N136" i="3"/>
  <c r="AB140" i="3"/>
  <c r="AC140" i="3"/>
  <c r="Q136" i="3"/>
  <c r="Z136" i="3"/>
  <c r="V136" i="3"/>
  <c r="N144" i="3"/>
  <c r="J140" i="3"/>
  <c r="N140" i="3"/>
  <c r="T136" i="3"/>
  <c r="K136" i="3"/>
  <c r="G136" i="3"/>
  <c r="U132" i="3"/>
  <c r="U133" i="3" s="1"/>
  <c r="V144" i="3"/>
  <c r="Z140" i="3"/>
  <c r="G140" i="3"/>
  <c r="Y136" i="3"/>
  <c r="S136" i="3"/>
  <c r="O136" i="3"/>
  <c r="H132" i="3"/>
  <c r="H133" i="3" s="1"/>
  <c r="I144" i="3"/>
  <c r="S144" i="3"/>
  <c r="G144" i="3"/>
  <c r="I140" i="3"/>
  <c r="K140" i="3"/>
  <c r="O140" i="3"/>
  <c r="I136" i="3"/>
  <c r="AA136" i="3"/>
  <c r="W136" i="3"/>
  <c r="J132" i="3"/>
  <c r="J133" i="3" s="1"/>
  <c r="L144" i="3"/>
  <c r="AA144" i="3"/>
  <c r="O144" i="3"/>
  <c r="C149" i="3"/>
  <c r="X149" i="3" s="1"/>
  <c r="G132" i="3"/>
  <c r="G133" i="3" s="1"/>
  <c r="P132" i="3"/>
  <c r="P133" i="3" s="1"/>
  <c r="R132" i="3"/>
  <c r="C141" i="3"/>
  <c r="W141" i="3" s="1"/>
  <c r="C145" i="3"/>
  <c r="H145" i="3" s="1"/>
  <c r="O132" i="3"/>
  <c r="O133" i="3" s="1"/>
  <c r="X132" i="3"/>
  <c r="X133" i="3" s="1"/>
  <c r="Z132" i="3"/>
  <c r="Z133" i="3" s="1"/>
  <c r="N132" i="3"/>
  <c r="N133" i="3" s="1"/>
  <c r="K132" i="3"/>
  <c r="K133" i="3" s="1"/>
  <c r="AC132" i="3"/>
  <c r="AC133" i="3" s="1"/>
  <c r="R140" i="3"/>
  <c r="F140" i="3"/>
  <c r="X140" i="3"/>
  <c r="P136" i="3"/>
  <c r="V132" i="3"/>
  <c r="V133" i="3" s="1"/>
  <c r="L132" i="3"/>
  <c r="L133" i="3" s="1"/>
  <c r="I132" i="3"/>
  <c r="I133" i="3" s="1"/>
  <c r="W132" i="3"/>
  <c r="W133" i="3" s="1"/>
  <c r="AA132" i="3"/>
  <c r="AA133" i="3" s="1"/>
  <c r="C137" i="3"/>
  <c r="H137" i="3" s="1"/>
  <c r="F136" i="3"/>
  <c r="S132" i="3"/>
  <c r="S133" i="3" s="1"/>
  <c r="AB132" i="3"/>
  <c r="AB133" i="3" s="1"/>
  <c r="Q132" i="3"/>
  <c r="Q133" i="3" s="1"/>
  <c r="F132" i="3"/>
  <c r="T132" i="3"/>
  <c r="T133" i="3" s="1"/>
  <c r="M132" i="3"/>
  <c r="M133" i="3" s="1"/>
  <c r="B150" i="3"/>
  <c r="B154" i="3"/>
  <c r="B142" i="3"/>
  <c r="Y133" i="3"/>
  <c r="B146" i="3"/>
  <c r="AD135" i="3"/>
  <c r="R133" i="3"/>
  <c r="AD127" i="3"/>
  <c r="AD128" i="3" s="1"/>
  <c r="AD131" i="3"/>
  <c r="AD139" i="3"/>
  <c r="D31" i="2" l="1"/>
  <c r="E30" i="2"/>
  <c r="U141" i="3"/>
  <c r="Z137" i="3"/>
  <c r="Z138" i="3" s="1"/>
  <c r="Q149" i="3"/>
  <c r="AC137" i="3"/>
  <c r="N137" i="3"/>
  <c r="N138" i="3" s="1"/>
  <c r="U149" i="3"/>
  <c r="L149" i="3"/>
  <c r="M149" i="3"/>
  <c r="P149" i="3"/>
  <c r="T149" i="3"/>
  <c r="AC149" i="3"/>
  <c r="V137" i="3"/>
  <c r="V138" i="3" s="1"/>
  <c r="J149" i="3"/>
  <c r="F149" i="3"/>
  <c r="J145" i="3"/>
  <c r="R149" i="3"/>
  <c r="N149" i="3"/>
  <c r="Z145" i="3"/>
  <c r="Z149" i="3"/>
  <c r="G149" i="3"/>
  <c r="K145" i="3"/>
  <c r="I149" i="3"/>
  <c r="S149" i="3"/>
  <c r="O149" i="3"/>
  <c r="Y137" i="3"/>
  <c r="Y138" i="3" s="1"/>
  <c r="AC145" i="3"/>
  <c r="AB149" i="3"/>
  <c r="AA149" i="3"/>
  <c r="W149" i="3"/>
  <c r="H141" i="3"/>
  <c r="T137" i="3"/>
  <c r="P137" i="3"/>
  <c r="P138" i="3" s="1"/>
  <c r="N145" i="3"/>
  <c r="H149" i="3"/>
  <c r="I145" i="3"/>
  <c r="V145" i="3"/>
  <c r="J137" i="3"/>
  <c r="J138" i="3" s="1"/>
  <c r="L145" i="3"/>
  <c r="P145" i="3"/>
  <c r="K137" i="3"/>
  <c r="K138" i="3" s="1"/>
  <c r="R145" i="3"/>
  <c r="AB141" i="3"/>
  <c r="Y149" i="3"/>
  <c r="K149" i="3"/>
  <c r="V149" i="3"/>
  <c r="R137" i="3"/>
  <c r="R138" i="3" s="1"/>
  <c r="F137" i="3"/>
  <c r="F138" i="3" s="1"/>
  <c r="X137" i="3"/>
  <c r="X138" i="3" s="1"/>
  <c r="F145" i="3"/>
  <c r="X145" i="3"/>
  <c r="J141" i="3"/>
  <c r="AC141" i="3"/>
  <c r="P141" i="3"/>
  <c r="C150" i="3"/>
  <c r="X150" i="3" s="1"/>
  <c r="R141" i="3"/>
  <c r="F141" i="3"/>
  <c r="X141" i="3"/>
  <c r="Z141" i="3"/>
  <c r="C146" i="3"/>
  <c r="H146" i="3" s="1"/>
  <c r="AB137" i="3"/>
  <c r="AB138" i="3" s="1"/>
  <c r="S137" i="3"/>
  <c r="S138" i="3" s="1"/>
  <c r="G137" i="3"/>
  <c r="G138" i="3" s="1"/>
  <c r="Q145" i="3"/>
  <c r="S145" i="3"/>
  <c r="G145" i="3"/>
  <c r="T141" i="3"/>
  <c r="K141" i="3"/>
  <c r="V141" i="3"/>
  <c r="Q137" i="3"/>
  <c r="Q138" i="3" s="1"/>
  <c r="AA137" i="3"/>
  <c r="AA138" i="3" s="1"/>
  <c r="O137" i="3"/>
  <c r="O138" i="3" s="1"/>
  <c r="T145" i="3"/>
  <c r="AA145" i="3"/>
  <c r="O145" i="3"/>
  <c r="L141" i="3"/>
  <c r="S141" i="3"/>
  <c r="G141" i="3"/>
  <c r="Q141" i="3"/>
  <c r="N141" i="3"/>
  <c r="C142" i="3"/>
  <c r="G142" i="3" s="1"/>
  <c r="I137" i="3"/>
  <c r="I138" i="3" s="1"/>
  <c r="M137" i="3"/>
  <c r="M138" i="3" s="1"/>
  <c r="W137" i="3"/>
  <c r="W138" i="3" s="1"/>
  <c r="Y145" i="3"/>
  <c r="M145" i="3"/>
  <c r="W145" i="3"/>
  <c r="Y141" i="3"/>
  <c r="AA141" i="3"/>
  <c r="O141" i="3"/>
  <c r="C154" i="3"/>
  <c r="W154" i="3" s="1"/>
  <c r="L137" i="3"/>
  <c r="L138" i="3" s="1"/>
  <c r="U137" i="3"/>
  <c r="U138" i="3" s="1"/>
  <c r="AB145" i="3"/>
  <c r="U145" i="3"/>
  <c r="I141" i="3"/>
  <c r="M141" i="3"/>
  <c r="AE128" i="3"/>
  <c r="AF128" i="3"/>
  <c r="H138" i="3"/>
  <c r="AD140" i="3"/>
  <c r="B159" i="3"/>
  <c r="B155" i="3"/>
  <c r="T138" i="3"/>
  <c r="AD132" i="3"/>
  <c r="AD133" i="3" s="1"/>
  <c r="AE133" i="3" s="1"/>
  <c r="F133" i="3"/>
  <c r="AD144" i="3"/>
  <c r="B151" i="3"/>
  <c r="AC138" i="3"/>
  <c r="B147" i="3"/>
  <c r="AD136" i="3"/>
  <c r="AB142" i="3" l="1"/>
  <c r="AB143" i="3" s="1"/>
  <c r="I142" i="3"/>
  <c r="I143" i="3" s="1"/>
  <c r="M142" i="3"/>
  <c r="M143" i="3" s="1"/>
  <c r="J142" i="3"/>
  <c r="J143" i="3" s="1"/>
  <c r="N142" i="3"/>
  <c r="N143" i="3" s="1"/>
  <c r="O142" i="3"/>
  <c r="O143" i="3" s="1"/>
  <c r="Q142" i="3"/>
  <c r="Q143" i="3" s="1"/>
  <c r="V146" i="3"/>
  <c r="W142" i="3"/>
  <c r="W143" i="3" s="1"/>
  <c r="AA142" i="3"/>
  <c r="AA143" i="3" s="1"/>
  <c r="J150" i="3"/>
  <c r="U142" i="3"/>
  <c r="U143" i="3" s="1"/>
  <c r="U150" i="3"/>
  <c r="D32" i="2"/>
  <c r="E31" i="2"/>
  <c r="N150" i="3"/>
  <c r="Q146" i="3"/>
  <c r="T146" i="3"/>
  <c r="Z146" i="3"/>
  <c r="F146" i="3"/>
  <c r="Y150" i="3"/>
  <c r="N146" i="3"/>
  <c r="AB150" i="3"/>
  <c r="L142" i="3"/>
  <c r="L143" i="3" s="1"/>
  <c r="H142" i="3"/>
  <c r="H143" i="3" s="1"/>
  <c r="R146" i="3"/>
  <c r="AC150" i="3"/>
  <c r="T154" i="3"/>
  <c r="K146" i="3"/>
  <c r="AC146" i="3"/>
  <c r="Z150" i="3"/>
  <c r="V150" i="3"/>
  <c r="I150" i="3"/>
  <c r="K150" i="3"/>
  <c r="G150" i="3"/>
  <c r="U154" i="3"/>
  <c r="L150" i="3"/>
  <c r="S150" i="3"/>
  <c r="O150" i="3"/>
  <c r="AC154" i="3"/>
  <c r="Z142" i="3"/>
  <c r="Z143" i="3" s="1"/>
  <c r="P142" i="3"/>
  <c r="P143" i="3" s="1"/>
  <c r="J146" i="3"/>
  <c r="P146" i="3"/>
  <c r="Q150" i="3"/>
  <c r="AA150" i="3"/>
  <c r="W150" i="3"/>
  <c r="T150" i="3"/>
  <c r="M150" i="3"/>
  <c r="P150" i="3"/>
  <c r="H154" i="3"/>
  <c r="P154" i="3"/>
  <c r="X146" i="3"/>
  <c r="J154" i="3"/>
  <c r="R154" i="3"/>
  <c r="AC142" i="3"/>
  <c r="AC143" i="3" s="1"/>
  <c r="F154" i="3"/>
  <c r="X154" i="3"/>
  <c r="C155" i="3"/>
  <c r="G155" i="3" s="1"/>
  <c r="AB154" i="3"/>
  <c r="K154" i="3"/>
  <c r="V154" i="3"/>
  <c r="R142" i="3"/>
  <c r="R143" i="3" s="1"/>
  <c r="F142" i="3"/>
  <c r="F143" i="3" s="1"/>
  <c r="X142" i="3"/>
  <c r="X143" i="3" s="1"/>
  <c r="I146" i="3"/>
  <c r="S146" i="3"/>
  <c r="G146" i="3"/>
  <c r="H150" i="3"/>
  <c r="Y154" i="3"/>
  <c r="N154" i="3"/>
  <c r="C147" i="3"/>
  <c r="X147" i="3" s="1"/>
  <c r="C159" i="3"/>
  <c r="X159" i="3" s="1"/>
  <c r="G154" i="3"/>
  <c r="Y146" i="3"/>
  <c r="AA146" i="3"/>
  <c r="O146" i="3"/>
  <c r="C151" i="3"/>
  <c r="H151" i="3" s="1"/>
  <c r="I154" i="3"/>
  <c r="S154" i="3"/>
  <c r="L154" i="3"/>
  <c r="AA154" i="3"/>
  <c r="O154" i="3"/>
  <c r="Y142" i="3"/>
  <c r="Y143" i="3" s="1"/>
  <c r="K142" i="3"/>
  <c r="K143" i="3" s="1"/>
  <c r="V142" i="3"/>
  <c r="V143" i="3" s="1"/>
  <c r="L146" i="3"/>
  <c r="M146" i="3"/>
  <c r="W146" i="3"/>
  <c r="R150" i="3"/>
  <c r="F150" i="3"/>
  <c r="Z154" i="3"/>
  <c r="Q154" i="3"/>
  <c r="M154" i="3"/>
  <c r="T142" i="3"/>
  <c r="T143" i="3" s="1"/>
  <c r="S142" i="3"/>
  <c r="S143" i="3" s="1"/>
  <c r="AB146" i="3"/>
  <c r="U146" i="3"/>
  <c r="AD149" i="3"/>
  <c r="B152" i="3"/>
  <c r="AD137" i="3"/>
  <c r="AD138" i="3" s="1"/>
  <c r="AE138" i="3" s="1"/>
  <c r="B164" i="3"/>
  <c r="B160" i="3"/>
  <c r="G143" i="3"/>
  <c r="B156" i="3"/>
  <c r="AD145" i="3"/>
  <c r="AD141" i="3"/>
  <c r="AA155" i="3" l="1"/>
  <c r="H155" i="3"/>
  <c r="D33" i="2"/>
  <c r="E32" i="2"/>
  <c r="T159" i="3"/>
  <c r="U155" i="3"/>
  <c r="S159" i="3"/>
  <c r="W155" i="3"/>
  <c r="AA159" i="3"/>
  <c r="M159" i="3"/>
  <c r="N159" i="3"/>
  <c r="Q159" i="3"/>
  <c r="O159" i="3"/>
  <c r="I155" i="3"/>
  <c r="Y159" i="3"/>
  <c r="H159" i="3"/>
  <c r="T155" i="3"/>
  <c r="Y155" i="3"/>
  <c r="J159" i="3"/>
  <c r="Z155" i="3"/>
  <c r="W159" i="3"/>
  <c r="M155" i="3"/>
  <c r="P155" i="3"/>
  <c r="AC155" i="3"/>
  <c r="AB155" i="3"/>
  <c r="F155" i="3"/>
  <c r="P151" i="3"/>
  <c r="I159" i="3"/>
  <c r="U159" i="3"/>
  <c r="J155" i="3"/>
  <c r="N155" i="3"/>
  <c r="X151" i="3"/>
  <c r="L159" i="3"/>
  <c r="AC159" i="3"/>
  <c r="R155" i="3"/>
  <c r="O155" i="3"/>
  <c r="P159" i="3"/>
  <c r="J151" i="3"/>
  <c r="R151" i="3"/>
  <c r="T147" i="3"/>
  <c r="T148" i="3" s="1"/>
  <c r="AC151" i="3"/>
  <c r="Z159" i="3"/>
  <c r="V159" i="3"/>
  <c r="Z147" i="3"/>
  <c r="Z148" i="3" s="1"/>
  <c r="X155" i="3"/>
  <c r="F151" i="3"/>
  <c r="AB159" i="3"/>
  <c r="K159" i="3"/>
  <c r="G159" i="3"/>
  <c r="N147" i="3"/>
  <c r="N148" i="3" s="1"/>
  <c r="K147" i="3"/>
  <c r="K148" i="3" s="1"/>
  <c r="S147" i="3"/>
  <c r="S148" i="3" s="1"/>
  <c r="Q151" i="3"/>
  <c r="K151" i="3"/>
  <c r="V151" i="3"/>
  <c r="AB147" i="3"/>
  <c r="AB148" i="3" s="1"/>
  <c r="AA147" i="3"/>
  <c r="AA148" i="3" s="1"/>
  <c r="O147" i="3"/>
  <c r="O148" i="3" s="1"/>
  <c r="V147" i="3"/>
  <c r="V148" i="3" s="1"/>
  <c r="Q147" i="3"/>
  <c r="Q148" i="3" s="1"/>
  <c r="G147" i="3"/>
  <c r="G148" i="3" s="1"/>
  <c r="C160" i="3"/>
  <c r="O160" i="3" s="1"/>
  <c r="T151" i="3"/>
  <c r="S151" i="3"/>
  <c r="G151" i="3"/>
  <c r="I147" i="3"/>
  <c r="I148" i="3" s="1"/>
  <c r="M147" i="3"/>
  <c r="M148" i="3" s="1"/>
  <c r="W147" i="3"/>
  <c r="W148" i="3" s="1"/>
  <c r="I151" i="3"/>
  <c r="Z151" i="3"/>
  <c r="N151" i="3"/>
  <c r="Y151" i="3"/>
  <c r="AA151" i="3"/>
  <c r="O151" i="3"/>
  <c r="L147" i="3"/>
  <c r="L148" i="3" s="1"/>
  <c r="U147" i="3"/>
  <c r="U148" i="3" s="1"/>
  <c r="H147" i="3"/>
  <c r="H148" i="3" s="1"/>
  <c r="C164" i="3"/>
  <c r="O164" i="3" s="1"/>
  <c r="C156" i="3"/>
  <c r="W156" i="3" s="1"/>
  <c r="C152" i="3"/>
  <c r="H152" i="3" s="1"/>
  <c r="L151" i="3"/>
  <c r="M151" i="3"/>
  <c r="W151" i="3"/>
  <c r="R159" i="3"/>
  <c r="F159" i="3"/>
  <c r="J147" i="3"/>
  <c r="J148" i="3" s="1"/>
  <c r="AC147" i="3"/>
  <c r="AC148" i="3" s="1"/>
  <c r="P147" i="3"/>
  <c r="P148" i="3" s="1"/>
  <c r="L155" i="3"/>
  <c r="K155" i="3"/>
  <c r="V155" i="3"/>
  <c r="Y147" i="3"/>
  <c r="Y148" i="3" s="1"/>
  <c r="AB151" i="3"/>
  <c r="U151" i="3"/>
  <c r="R147" i="3"/>
  <c r="R148" i="3" s="1"/>
  <c r="F147" i="3"/>
  <c r="Q155" i="3"/>
  <c r="S155" i="3"/>
  <c r="AD154" i="3"/>
  <c r="B161" i="3"/>
  <c r="AD150" i="3"/>
  <c r="B157" i="3"/>
  <c r="X148" i="3"/>
  <c r="B169" i="3"/>
  <c r="B165" i="3"/>
  <c r="AD146" i="3"/>
  <c r="AD142" i="3"/>
  <c r="AD143" i="3" s="1"/>
  <c r="AE143" i="3" s="1"/>
  <c r="H160" i="3" l="1"/>
  <c r="P160" i="3"/>
  <c r="J160" i="3"/>
  <c r="W160" i="3"/>
  <c r="AB160" i="3"/>
  <c r="R160" i="3"/>
  <c r="Z160" i="3"/>
  <c r="Z164" i="3"/>
  <c r="M160" i="3"/>
  <c r="U160" i="3"/>
  <c r="T164" i="3"/>
  <c r="Q156" i="3"/>
  <c r="U164" i="3"/>
  <c r="AB156" i="3"/>
  <c r="J156" i="3"/>
  <c r="R156" i="3"/>
  <c r="AC156" i="3"/>
  <c r="D34" i="2"/>
  <c r="E33" i="2"/>
  <c r="M164" i="3"/>
  <c r="N164" i="3"/>
  <c r="N156" i="3"/>
  <c r="H164" i="3"/>
  <c r="P164" i="3"/>
  <c r="R164" i="3"/>
  <c r="X152" i="3"/>
  <c r="X153" i="3" s="1"/>
  <c r="H156" i="3"/>
  <c r="F160" i="3"/>
  <c r="Y160" i="3"/>
  <c r="N160" i="3"/>
  <c r="X156" i="3"/>
  <c r="X164" i="3"/>
  <c r="Z156" i="3"/>
  <c r="Y164" i="3"/>
  <c r="AC164" i="3"/>
  <c r="U156" i="3"/>
  <c r="Q164" i="3"/>
  <c r="F164" i="3"/>
  <c r="F156" i="3"/>
  <c r="J164" i="3"/>
  <c r="W164" i="3"/>
  <c r="P152" i="3"/>
  <c r="P153" i="3" s="1"/>
  <c r="J152" i="3"/>
  <c r="J153" i="3" s="1"/>
  <c r="R152" i="3"/>
  <c r="R153" i="3" s="1"/>
  <c r="P156" i="3"/>
  <c r="X160" i="3"/>
  <c r="AC152" i="3"/>
  <c r="AC153" i="3" s="1"/>
  <c r="F152" i="3"/>
  <c r="I160" i="3"/>
  <c r="AC160" i="3"/>
  <c r="V152" i="3"/>
  <c r="V153" i="3" s="1"/>
  <c r="Z152" i="3"/>
  <c r="Z153" i="3" s="1"/>
  <c r="K152" i="3"/>
  <c r="K153" i="3" s="1"/>
  <c r="S152" i="3"/>
  <c r="S153" i="3" s="1"/>
  <c r="G152" i="3"/>
  <c r="G153" i="3" s="1"/>
  <c r="K156" i="3"/>
  <c r="V156" i="3"/>
  <c r="AB152" i="3"/>
  <c r="AB153" i="3" s="1"/>
  <c r="T156" i="3"/>
  <c r="Q152" i="3"/>
  <c r="Q153" i="3" s="1"/>
  <c r="AA152" i="3"/>
  <c r="AA153" i="3" s="1"/>
  <c r="O152" i="3"/>
  <c r="O153" i="3" s="1"/>
  <c r="Y156" i="3"/>
  <c r="S156" i="3"/>
  <c r="G156" i="3"/>
  <c r="I164" i="3"/>
  <c r="K164" i="3"/>
  <c r="V164" i="3"/>
  <c r="L160" i="3"/>
  <c r="K160" i="3"/>
  <c r="V160" i="3"/>
  <c r="C165" i="3"/>
  <c r="H165" i="3" s="1"/>
  <c r="C161" i="3"/>
  <c r="P161" i="3" s="1"/>
  <c r="T152" i="3"/>
  <c r="T153" i="3" s="1"/>
  <c r="C169" i="3"/>
  <c r="X169" i="3" s="1"/>
  <c r="Y152" i="3"/>
  <c r="Y153" i="3" s="1"/>
  <c r="I152" i="3"/>
  <c r="I153" i="3" s="1"/>
  <c r="M152" i="3"/>
  <c r="M153" i="3" s="1"/>
  <c r="W152" i="3"/>
  <c r="W153" i="3" s="1"/>
  <c r="I156" i="3"/>
  <c r="AA156" i="3"/>
  <c r="O156" i="3"/>
  <c r="AB164" i="3"/>
  <c r="S164" i="3"/>
  <c r="G164" i="3"/>
  <c r="Q160" i="3"/>
  <c r="S160" i="3"/>
  <c r="G160" i="3"/>
  <c r="N152" i="3"/>
  <c r="N153" i="3" s="1"/>
  <c r="C157" i="3"/>
  <c r="X157" i="3" s="1"/>
  <c r="L152" i="3"/>
  <c r="L153" i="3" s="1"/>
  <c r="U152" i="3"/>
  <c r="U153" i="3" s="1"/>
  <c r="L156" i="3"/>
  <c r="M156" i="3"/>
  <c r="L164" i="3"/>
  <c r="AA164" i="3"/>
  <c r="T160" i="3"/>
  <c r="AA160" i="3"/>
  <c r="H153" i="3"/>
  <c r="AD151" i="3"/>
  <c r="AD155" i="3"/>
  <c r="AD147" i="3"/>
  <c r="AD148" i="3" s="1"/>
  <c r="AE148" i="3" s="1"/>
  <c r="B166" i="3"/>
  <c r="B170" i="3"/>
  <c r="B174" i="3"/>
  <c r="F148" i="3"/>
  <c r="AD159" i="3"/>
  <c r="B162" i="3"/>
  <c r="M169" i="3" l="1"/>
  <c r="N157" i="3"/>
  <c r="N158" i="3" s="1"/>
  <c r="D35" i="2"/>
  <c r="E34" i="2"/>
  <c r="Y157" i="3"/>
  <c r="O169" i="3"/>
  <c r="W169" i="3"/>
  <c r="V157" i="3"/>
  <c r="V158" i="3" s="1"/>
  <c r="Y169" i="3"/>
  <c r="AB169" i="3"/>
  <c r="K169" i="3"/>
  <c r="S169" i="3"/>
  <c r="X165" i="3"/>
  <c r="I169" i="3"/>
  <c r="AA169" i="3"/>
  <c r="H169" i="3"/>
  <c r="Q157" i="3"/>
  <c r="Q158" i="3" s="1"/>
  <c r="L169" i="3"/>
  <c r="U169" i="3"/>
  <c r="Q169" i="3"/>
  <c r="N169" i="3"/>
  <c r="Z157" i="3"/>
  <c r="Z158" i="3" s="1"/>
  <c r="T169" i="3"/>
  <c r="V169" i="3"/>
  <c r="R165" i="3"/>
  <c r="K157" i="3"/>
  <c r="K158" i="3" s="1"/>
  <c r="Z169" i="3"/>
  <c r="G169" i="3"/>
  <c r="F165" i="3"/>
  <c r="R161" i="3"/>
  <c r="F161" i="3"/>
  <c r="X161" i="3"/>
  <c r="J165" i="3"/>
  <c r="AC165" i="3"/>
  <c r="P165" i="3"/>
  <c r="Z161" i="3"/>
  <c r="N161" i="3"/>
  <c r="T157" i="3"/>
  <c r="T158" i="3" s="1"/>
  <c r="S157" i="3"/>
  <c r="S158" i="3" s="1"/>
  <c r="G157" i="3"/>
  <c r="G158" i="3" s="1"/>
  <c r="K161" i="3"/>
  <c r="AB157" i="3"/>
  <c r="AB158" i="3" s="1"/>
  <c r="O157" i="3"/>
  <c r="O158" i="3" s="1"/>
  <c r="T161" i="3"/>
  <c r="S161" i="3"/>
  <c r="G161" i="3"/>
  <c r="L165" i="3"/>
  <c r="K165" i="3"/>
  <c r="V165" i="3"/>
  <c r="C162" i="3"/>
  <c r="H162" i="3" s="1"/>
  <c r="I161" i="3"/>
  <c r="I157" i="3"/>
  <c r="I158" i="3" s="1"/>
  <c r="Y161" i="3"/>
  <c r="AA161" i="3"/>
  <c r="O161" i="3"/>
  <c r="Q165" i="3"/>
  <c r="S165" i="3"/>
  <c r="G165" i="3"/>
  <c r="V161" i="3"/>
  <c r="Z165" i="3"/>
  <c r="N165" i="3"/>
  <c r="C166" i="3"/>
  <c r="X166" i="3" s="1"/>
  <c r="M157" i="3"/>
  <c r="M158" i="3" s="1"/>
  <c r="L157" i="3"/>
  <c r="L158" i="3" s="1"/>
  <c r="U157" i="3"/>
  <c r="U158" i="3" s="1"/>
  <c r="H157" i="3"/>
  <c r="H158" i="3" s="1"/>
  <c r="J169" i="3"/>
  <c r="AC169" i="3"/>
  <c r="P169" i="3"/>
  <c r="L161" i="3"/>
  <c r="M161" i="3"/>
  <c r="W161" i="3"/>
  <c r="T165" i="3"/>
  <c r="AA165" i="3"/>
  <c r="O165" i="3"/>
  <c r="AA157" i="3"/>
  <c r="AA158" i="3" s="1"/>
  <c r="W157" i="3"/>
  <c r="W158" i="3" s="1"/>
  <c r="C174" i="3"/>
  <c r="X174" i="3" s="1"/>
  <c r="J157" i="3"/>
  <c r="J158" i="3" s="1"/>
  <c r="AC157" i="3"/>
  <c r="AC158" i="3" s="1"/>
  <c r="P157" i="3"/>
  <c r="P158" i="3" s="1"/>
  <c r="R169" i="3"/>
  <c r="F169" i="3"/>
  <c r="AB161" i="3"/>
  <c r="U161" i="3"/>
  <c r="H161" i="3"/>
  <c r="Y165" i="3"/>
  <c r="M165" i="3"/>
  <c r="W165" i="3"/>
  <c r="Q161" i="3"/>
  <c r="I165" i="3"/>
  <c r="C170" i="3"/>
  <c r="X170" i="3" s="1"/>
  <c r="R157" i="3"/>
  <c r="R158" i="3" s="1"/>
  <c r="F157" i="3"/>
  <c r="J161" i="3"/>
  <c r="AC161" i="3"/>
  <c r="AB165" i="3"/>
  <c r="U165" i="3"/>
  <c r="AD160" i="3"/>
  <c r="AD156" i="3"/>
  <c r="Y158" i="3"/>
  <c r="B167" i="3"/>
  <c r="X158" i="3"/>
  <c r="B179" i="3"/>
  <c r="B175" i="3"/>
  <c r="AD164" i="3"/>
  <c r="B171" i="3"/>
  <c r="AD152" i="3"/>
  <c r="AD153" i="3" s="1"/>
  <c r="AE153" i="3" s="1"/>
  <c r="F153" i="3"/>
  <c r="G166" i="3" l="1"/>
  <c r="T166" i="3"/>
  <c r="V166" i="3"/>
  <c r="O166" i="3"/>
  <c r="L166" i="3"/>
  <c r="Y166" i="3"/>
  <c r="Z166" i="3"/>
  <c r="S166" i="3"/>
  <c r="T162" i="3"/>
  <c r="T163" i="3" s="1"/>
  <c r="X162" i="3"/>
  <c r="X163" i="3" s="1"/>
  <c r="D36" i="2"/>
  <c r="E35" i="2"/>
  <c r="N166" i="3"/>
  <c r="AB166" i="3"/>
  <c r="W166" i="3"/>
  <c r="K166" i="3"/>
  <c r="L174" i="3"/>
  <c r="AB174" i="3"/>
  <c r="Z174" i="3"/>
  <c r="S174" i="3"/>
  <c r="N174" i="3"/>
  <c r="V174" i="3"/>
  <c r="AA166" i="3"/>
  <c r="I174" i="3"/>
  <c r="G174" i="3"/>
  <c r="Y174" i="3"/>
  <c r="Q166" i="3"/>
  <c r="M166" i="3"/>
  <c r="P162" i="3"/>
  <c r="P163" i="3" s="1"/>
  <c r="K174" i="3"/>
  <c r="O174" i="3"/>
  <c r="R162" i="3"/>
  <c r="R163" i="3" s="1"/>
  <c r="Z162" i="3"/>
  <c r="Z163" i="3" s="1"/>
  <c r="AA174" i="3"/>
  <c r="AC162" i="3"/>
  <c r="AC163" i="3" s="1"/>
  <c r="J162" i="3"/>
  <c r="J163" i="3" s="1"/>
  <c r="Q174" i="3"/>
  <c r="M174" i="3"/>
  <c r="F162" i="3"/>
  <c r="F163" i="3" s="1"/>
  <c r="T174" i="3"/>
  <c r="U174" i="3"/>
  <c r="I166" i="3"/>
  <c r="U166" i="3"/>
  <c r="N162" i="3"/>
  <c r="N163" i="3" s="1"/>
  <c r="L170" i="3"/>
  <c r="Q170" i="3"/>
  <c r="I170" i="3"/>
  <c r="N170" i="3"/>
  <c r="T170" i="3"/>
  <c r="AA170" i="3"/>
  <c r="O170" i="3"/>
  <c r="W174" i="3"/>
  <c r="Y162" i="3"/>
  <c r="Y163" i="3" s="1"/>
  <c r="K162" i="3"/>
  <c r="K163" i="3" s="1"/>
  <c r="V162" i="3"/>
  <c r="V163" i="3" s="1"/>
  <c r="S170" i="3"/>
  <c r="Y170" i="3"/>
  <c r="M170" i="3"/>
  <c r="W170" i="3"/>
  <c r="H174" i="3"/>
  <c r="H166" i="3"/>
  <c r="AB162" i="3"/>
  <c r="AB163" i="3" s="1"/>
  <c r="S162" i="3"/>
  <c r="S163" i="3" s="1"/>
  <c r="G162" i="3"/>
  <c r="G163" i="3" s="1"/>
  <c r="C171" i="3"/>
  <c r="V171" i="3" s="1"/>
  <c r="K170" i="3"/>
  <c r="V170" i="3"/>
  <c r="G170" i="3"/>
  <c r="C179" i="3"/>
  <c r="AC179" i="3" s="1"/>
  <c r="AB170" i="3"/>
  <c r="U170" i="3"/>
  <c r="H170" i="3"/>
  <c r="J174" i="3"/>
  <c r="AC174" i="3"/>
  <c r="P174" i="3"/>
  <c r="J166" i="3"/>
  <c r="AC166" i="3"/>
  <c r="P166" i="3"/>
  <c r="Q162" i="3"/>
  <c r="Q163" i="3" s="1"/>
  <c r="AA162" i="3"/>
  <c r="AA163" i="3" s="1"/>
  <c r="O162" i="3"/>
  <c r="O163" i="3" s="1"/>
  <c r="C167" i="3"/>
  <c r="V167" i="3" s="1"/>
  <c r="C175" i="3"/>
  <c r="W175" i="3" s="1"/>
  <c r="J170" i="3"/>
  <c r="AC170" i="3"/>
  <c r="P170" i="3"/>
  <c r="R174" i="3"/>
  <c r="F174" i="3"/>
  <c r="R166" i="3"/>
  <c r="F166" i="3"/>
  <c r="I162" i="3"/>
  <c r="I163" i="3" s="1"/>
  <c r="M162" i="3"/>
  <c r="M163" i="3" s="1"/>
  <c r="W162" i="3"/>
  <c r="W163" i="3" s="1"/>
  <c r="Z170" i="3"/>
  <c r="R170" i="3"/>
  <c r="F170" i="3"/>
  <c r="L162" i="3"/>
  <c r="L163" i="3" s="1"/>
  <c r="U162" i="3"/>
  <c r="U163" i="3" s="1"/>
  <c r="H163" i="3"/>
  <c r="AD161" i="3"/>
  <c r="B172" i="3"/>
  <c r="B176" i="3"/>
  <c r="B184" i="3"/>
  <c r="B180" i="3"/>
  <c r="AD169" i="3"/>
  <c r="AD157" i="3"/>
  <c r="AD158" i="3" s="1"/>
  <c r="AE158" i="3" s="1"/>
  <c r="F158" i="3"/>
  <c r="AD165" i="3"/>
  <c r="T171" i="3" l="1"/>
  <c r="Z171" i="3"/>
  <c r="D37" i="2"/>
  <c r="E36" i="2"/>
  <c r="K171" i="3"/>
  <c r="AB175" i="3"/>
  <c r="S167" i="3"/>
  <c r="S168" i="3" s="1"/>
  <c r="J167" i="3"/>
  <c r="J168" i="3" s="1"/>
  <c r="H167" i="3"/>
  <c r="H168" i="3" s="1"/>
  <c r="Z167" i="3"/>
  <c r="Z168" i="3" s="1"/>
  <c r="AA167" i="3"/>
  <c r="AA168" i="3" s="1"/>
  <c r="M167" i="3"/>
  <c r="M168" i="3" s="1"/>
  <c r="Y167" i="3"/>
  <c r="Y168" i="3" s="1"/>
  <c r="F167" i="3"/>
  <c r="F168" i="3" s="1"/>
  <c r="Q167" i="3"/>
  <c r="Q168" i="3" s="1"/>
  <c r="G167" i="3"/>
  <c r="G168" i="3" s="1"/>
  <c r="V179" i="3"/>
  <c r="AA171" i="3"/>
  <c r="T167" i="3"/>
  <c r="O167" i="3"/>
  <c r="O168" i="3" s="1"/>
  <c r="W171" i="3"/>
  <c r="O171" i="3"/>
  <c r="J175" i="3"/>
  <c r="W167" i="3"/>
  <c r="W168" i="3" s="1"/>
  <c r="Q171" i="3"/>
  <c r="S171" i="3"/>
  <c r="H171" i="3"/>
  <c r="Z175" i="3"/>
  <c r="U175" i="3"/>
  <c r="I167" i="3"/>
  <c r="I168" i="3" s="1"/>
  <c r="U167" i="3"/>
  <c r="U168" i="3" s="1"/>
  <c r="P167" i="3"/>
  <c r="P168" i="3" s="1"/>
  <c r="H179" i="3"/>
  <c r="I171" i="3"/>
  <c r="M171" i="3"/>
  <c r="AC175" i="3"/>
  <c r="L167" i="3"/>
  <c r="L168" i="3" s="1"/>
  <c r="AC167" i="3"/>
  <c r="AC168" i="3" s="1"/>
  <c r="X167" i="3"/>
  <c r="X168" i="3" s="1"/>
  <c r="W179" i="3"/>
  <c r="Y171" i="3"/>
  <c r="U171" i="3"/>
  <c r="L171" i="3"/>
  <c r="N171" i="3"/>
  <c r="H175" i="3"/>
  <c r="P175" i="3"/>
  <c r="R167" i="3"/>
  <c r="R168" i="3" s="1"/>
  <c r="N167" i="3"/>
  <c r="N168" i="3" s="1"/>
  <c r="AB171" i="3"/>
  <c r="G171" i="3"/>
  <c r="M179" i="3"/>
  <c r="R175" i="3"/>
  <c r="F175" i="3"/>
  <c r="X175" i="3"/>
  <c r="L179" i="3"/>
  <c r="Y179" i="3"/>
  <c r="S179" i="3"/>
  <c r="Q179" i="3"/>
  <c r="AA179" i="3"/>
  <c r="C172" i="3"/>
  <c r="X172" i="3" s="1"/>
  <c r="Q175" i="3"/>
  <c r="K175" i="3"/>
  <c r="V175" i="3"/>
  <c r="X179" i="3"/>
  <c r="N179" i="3"/>
  <c r="T179" i="3"/>
  <c r="J171" i="3"/>
  <c r="AC171" i="3"/>
  <c r="P171" i="3"/>
  <c r="C184" i="3"/>
  <c r="AC184" i="3" s="1"/>
  <c r="I179" i="3"/>
  <c r="C176" i="3"/>
  <c r="P176" i="3" s="1"/>
  <c r="F179" i="3"/>
  <c r="L175" i="3"/>
  <c r="S175" i="3"/>
  <c r="G175" i="3"/>
  <c r="AB167" i="3"/>
  <c r="AB168" i="3" s="1"/>
  <c r="K167" i="3"/>
  <c r="K168" i="3" s="1"/>
  <c r="J179" i="3"/>
  <c r="Z179" i="3"/>
  <c r="AB179" i="3"/>
  <c r="R171" i="3"/>
  <c r="F171" i="3"/>
  <c r="X171" i="3"/>
  <c r="P179" i="3"/>
  <c r="I175" i="3"/>
  <c r="N175" i="3"/>
  <c r="T175" i="3"/>
  <c r="AA175" i="3"/>
  <c r="O175" i="3"/>
  <c r="R179" i="3"/>
  <c r="G179" i="3"/>
  <c r="U179" i="3"/>
  <c r="C180" i="3"/>
  <c r="O180" i="3" s="1"/>
  <c r="Y175" i="3"/>
  <c r="M175" i="3"/>
  <c r="K179" i="3"/>
  <c r="O179" i="3"/>
  <c r="T168" i="3"/>
  <c r="B181" i="3"/>
  <c r="AD162" i="3"/>
  <c r="AD163" i="3" s="1"/>
  <c r="AE163" i="3" s="1"/>
  <c r="B185" i="3"/>
  <c r="B189" i="3"/>
  <c r="AD174" i="3"/>
  <c r="AD170" i="3"/>
  <c r="V168" i="3"/>
  <c r="B177" i="3"/>
  <c r="AD166" i="3"/>
  <c r="M180" i="3" l="1"/>
  <c r="L180" i="3"/>
  <c r="Q172" i="3"/>
  <c r="Q173" i="3" s="1"/>
  <c r="D38" i="2"/>
  <c r="E37" i="2"/>
  <c r="G184" i="3"/>
  <c r="U172" i="3"/>
  <c r="U173" i="3" s="1"/>
  <c r="H180" i="3"/>
  <c r="X176" i="3"/>
  <c r="T172" i="3"/>
  <c r="T173" i="3" s="1"/>
  <c r="M172" i="3"/>
  <c r="M173" i="3" s="1"/>
  <c r="P172" i="3"/>
  <c r="P173" i="3" s="1"/>
  <c r="L172" i="3"/>
  <c r="L173" i="3" s="1"/>
  <c r="V172" i="3"/>
  <c r="V173" i="3" s="1"/>
  <c r="I172" i="3"/>
  <c r="I173" i="3" s="1"/>
  <c r="Y176" i="3"/>
  <c r="Z172" i="3"/>
  <c r="Z173" i="3" s="1"/>
  <c r="G172" i="3"/>
  <c r="G173" i="3" s="1"/>
  <c r="Q176" i="3"/>
  <c r="K172" i="3"/>
  <c r="K173" i="3" s="1"/>
  <c r="O172" i="3"/>
  <c r="O173" i="3" s="1"/>
  <c r="Z176" i="3"/>
  <c r="Y172" i="3"/>
  <c r="Y173" i="3" s="1"/>
  <c r="S172" i="3"/>
  <c r="S173" i="3" s="1"/>
  <c r="W172" i="3"/>
  <c r="W173" i="3" s="1"/>
  <c r="AC172" i="3"/>
  <c r="AC173" i="3" s="1"/>
  <c r="G176" i="3"/>
  <c r="AB172" i="3"/>
  <c r="AB173" i="3" s="1"/>
  <c r="AA172" i="3"/>
  <c r="AA173" i="3" s="1"/>
  <c r="H172" i="3"/>
  <c r="H173" i="3" s="1"/>
  <c r="S184" i="3"/>
  <c r="V184" i="3"/>
  <c r="W180" i="3"/>
  <c r="R176" i="3"/>
  <c r="S176" i="3"/>
  <c r="P180" i="3"/>
  <c r="F176" i="3"/>
  <c r="R180" i="3"/>
  <c r="N176" i="3"/>
  <c r="J172" i="3"/>
  <c r="J173" i="3" s="1"/>
  <c r="N172" i="3"/>
  <c r="N173" i="3" s="1"/>
  <c r="Y180" i="3"/>
  <c r="F180" i="3"/>
  <c r="T180" i="3"/>
  <c r="I184" i="3"/>
  <c r="AA184" i="3"/>
  <c r="O184" i="3"/>
  <c r="I180" i="3"/>
  <c r="V180" i="3"/>
  <c r="AB180" i="3"/>
  <c r="AB176" i="3"/>
  <c r="K176" i="3"/>
  <c r="V176" i="3"/>
  <c r="Y184" i="3"/>
  <c r="L184" i="3"/>
  <c r="W184" i="3"/>
  <c r="T184" i="3"/>
  <c r="J180" i="3"/>
  <c r="X180" i="3"/>
  <c r="U180" i="3"/>
  <c r="T176" i="3"/>
  <c r="AA176" i="3"/>
  <c r="O176" i="3"/>
  <c r="Q184" i="3"/>
  <c r="Z184" i="3"/>
  <c r="AB184" i="3"/>
  <c r="J184" i="3"/>
  <c r="C189" i="3"/>
  <c r="U189" i="3" s="1"/>
  <c r="Z180" i="3"/>
  <c r="K180" i="3"/>
  <c r="AC180" i="3"/>
  <c r="X173" i="3"/>
  <c r="I176" i="3"/>
  <c r="M176" i="3"/>
  <c r="W176" i="3"/>
  <c r="H184" i="3"/>
  <c r="N184" i="3"/>
  <c r="M184" i="3"/>
  <c r="C177" i="3"/>
  <c r="P177" i="3" s="1"/>
  <c r="C181" i="3"/>
  <c r="W181" i="3" s="1"/>
  <c r="C185" i="3"/>
  <c r="W185" i="3" s="1"/>
  <c r="N180" i="3"/>
  <c r="S180" i="3"/>
  <c r="G180" i="3"/>
  <c r="L176" i="3"/>
  <c r="U176" i="3"/>
  <c r="H176" i="3"/>
  <c r="R184" i="3"/>
  <c r="P184" i="3"/>
  <c r="U184" i="3"/>
  <c r="R172" i="3"/>
  <c r="R173" i="3" s="1"/>
  <c r="F172" i="3"/>
  <c r="F173" i="3" s="1"/>
  <c r="X184" i="3"/>
  <c r="Q180" i="3"/>
  <c r="AA180" i="3"/>
  <c r="J176" i="3"/>
  <c r="AC176" i="3"/>
  <c r="F184" i="3"/>
  <c r="K184" i="3"/>
  <c r="AD179" i="3"/>
  <c r="B194" i="3"/>
  <c r="B190" i="3"/>
  <c r="B186" i="3"/>
  <c r="AD175" i="3"/>
  <c r="B182" i="3"/>
  <c r="AD167" i="3"/>
  <c r="AD168" i="3" s="1"/>
  <c r="AE168" i="3" s="1"/>
  <c r="AD171" i="3"/>
  <c r="F185" i="3" l="1"/>
  <c r="AC185" i="3"/>
  <c r="D39" i="2"/>
  <c r="E38" i="2"/>
  <c r="I185" i="3"/>
  <c r="H185" i="3"/>
  <c r="P185" i="3"/>
  <c r="X185" i="3"/>
  <c r="F177" i="3"/>
  <c r="F178" i="3" s="1"/>
  <c r="S185" i="3"/>
  <c r="J185" i="3"/>
  <c r="T185" i="3"/>
  <c r="Y185" i="3"/>
  <c r="Z185" i="3"/>
  <c r="M185" i="3"/>
  <c r="V185" i="3"/>
  <c r="Q185" i="3"/>
  <c r="U185" i="3"/>
  <c r="N185" i="3"/>
  <c r="AB185" i="3"/>
  <c r="R177" i="3"/>
  <c r="R178" i="3" s="1"/>
  <c r="K185" i="3"/>
  <c r="G185" i="3"/>
  <c r="Y189" i="3"/>
  <c r="AA185" i="3"/>
  <c r="V189" i="3"/>
  <c r="G189" i="3"/>
  <c r="X177" i="3"/>
  <c r="X178" i="3" s="1"/>
  <c r="J189" i="3"/>
  <c r="K189" i="3"/>
  <c r="S189" i="3"/>
  <c r="O185" i="3"/>
  <c r="L189" i="3"/>
  <c r="H189" i="3"/>
  <c r="T189" i="3"/>
  <c r="F189" i="3"/>
  <c r="AC189" i="3"/>
  <c r="AB181" i="3"/>
  <c r="H181" i="3"/>
  <c r="N181" i="3"/>
  <c r="M181" i="3"/>
  <c r="Y177" i="3"/>
  <c r="Y178" i="3" s="1"/>
  <c r="K177" i="3"/>
  <c r="K178" i="3" s="1"/>
  <c r="V177" i="3"/>
  <c r="V178" i="3" s="1"/>
  <c r="I189" i="3"/>
  <c r="AA189" i="3"/>
  <c r="O189" i="3"/>
  <c r="C182" i="3"/>
  <c r="M182" i="3" s="1"/>
  <c r="R181" i="3"/>
  <c r="P181" i="3"/>
  <c r="U181" i="3"/>
  <c r="I177" i="3"/>
  <c r="I178" i="3" s="1"/>
  <c r="S177" i="3"/>
  <c r="S178" i="3" s="1"/>
  <c r="G177" i="3"/>
  <c r="G178" i="3" s="1"/>
  <c r="W189" i="3"/>
  <c r="K181" i="3"/>
  <c r="AC181" i="3"/>
  <c r="O177" i="3"/>
  <c r="O178" i="3" s="1"/>
  <c r="Q181" i="3"/>
  <c r="F181" i="3"/>
  <c r="L177" i="3"/>
  <c r="L178" i="3" s="1"/>
  <c r="C186" i="3"/>
  <c r="U186" i="3" s="1"/>
  <c r="V181" i="3"/>
  <c r="S181" i="3"/>
  <c r="G181" i="3"/>
  <c r="Q177" i="3"/>
  <c r="Q178" i="3" s="1"/>
  <c r="M177" i="3"/>
  <c r="M178" i="3" s="1"/>
  <c r="W177" i="3"/>
  <c r="W178" i="3" s="1"/>
  <c r="Q189" i="3"/>
  <c r="Z189" i="3"/>
  <c r="AB189" i="3"/>
  <c r="X181" i="3"/>
  <c r="Z177" i="3"/>
  <c r="Z178" i="3" s="1"/>
  <c r="AA177" i="3"/>
  <c r="AA178" i="3" s="1"/>
  <c r="C190" i="3"/>
  <c r="G190" i="3" s="1"/>
  <c r="R185" i="3"/>
  <c r="L185" i="3"/>
  <c r="I181" i="3"/>
  <c r="AA181" i="3"/>
  <c r="O181" i="3"/>
  <c r="T177" i="3"/>
  <c r="T178" i="3" s="1"/>
  <c r="U177" i="3"/>
  <c r="U178" i="3" s="1"/>
  <c r="H177" i="3"/>
  <c r="H178" i="3" s="1"/>
  <c r="X189" i="3"/>
  <c r="N189" i="3"/>
  <c r="M189" i="3"/>
  <c r="J181" i="3"/>
  <c r="T181" i="3"/>
  <c r="Z181" i="3"/>
  <c r="AB177" i="3"/>
  <c r="AB178" i="3" s="1"/>
  <c r="N177" i="3"/>
  <c r="N178" i="3" s="1"/>
  <c r="C194" i="3"/>
  <c r="W194" i="3" s="1"/>
  <c r="Y181" i="3"/>
  <c r="L181" i="3"/>
  <c r="J177" i="3"/>
  <c r="J178" i="3" s="1"/>
  <c r="AC177" i="3"/>
  <c r="AC178" i="3" s="1"/>
  <c r="R189" i="3"/>
  <c r="P189" i="3"/>
  <c r="AD176" i="3"/>
  <c r="P178" i="3"/>
  <c r="AD184" i="3"/>
  <c r="AD172" i="3"/>
  <c r="AD173" i="3" s="1"/>
  <c r="AE173" i="3" s="1"/>
  <c r="AD180" i="3"/>
  <c r="B191" i="3"/>
  <c r="B187" i="3"/>
  <c r="B199" i="3"/>
  <c r="B195" i="3"/>
  <c r="N186" i="3" l="1"/>
  <c r="K186" i="3"/>
  <c r="X182" i="3"/>
  <c r="X183" i="3" s="1"/>
  <c r="G186" i="3"/>
  <c r="K182" i="3"/>
  <c r="K183" i="3" s="1"/>
  <c r="W186" i="3"/>
  <c r="D40" i="2"/>
  <c r="E39" i="2"/>
  <c r="H186" i="3"/>
  <c r="I186" i="3"/>
  <c r="Z186" i="3"/>
  <c r="Q186" i="3"/>
  <c r="S186" i="3"/>
  <c r="X186" i="3"/>
  <c r="AA186" i="3"/>
  <c r="F186" i="3"/>
  <c r="L186" i="3"/>
  <c r="V186" i="3"/>
  <c r="AC186" i="3"/>
  <c r="I190" i="3"/>
  <c r="F190" i="3"/>
  <c r="V190" i="3"/>
  <c r="X194" i="3"/>
  <c r="AB190" i="3"/>
  <c r="Q190" i="3"/>
  <c r="T194" i="3"/>
  <c r="O190" i="3"/>
  <c r="R190" i="3"/>
  <c r="W190" i="3"/>
  <c r="O186" i="3"/>
  <c r="AA190" i="3"/>
  <c r="L190" i="3"/>
  <c r="Y186" i="3"/>
  <c r="T186" i="3"/>
  <c r="Y190" i="3"/>
  <c r="T190" i="3"/>
  <c r="J186" i="3"/>
  <c r="AB186" i="3"/>
  <c r="O182" i="3"/>
  <c r="O183" i="3" s="1"/>
  <c r="I182" i="3"/>
  <c r="I183" i="3" s="1"/>
  <c r="S182" i="3"/>
  <c r="S183" i="3" s="1"/>
  <c r="J182" i="3"/>
  <c r="J183" i="3" s="1"/>
  <c r="AA182" i="3"/>
  <c r="AA183" i="3" s="1"/>
  <c r="Z182" i="3"/>
  <c r="Z183" i="3" s="1"/>
  <c r="T182" i="3"/>
  <c r="T183" i="3" s="1"/>
  <c r="N182" i="3"/>
  <c r="N183" i="3" s="1"/>
  <c r="U182" i="3"/>
  <c r="U183" i="3" s="1"/>
  <c r="M186" i="3"/>
  <c r="Q182" i="3"/>
  <c r="Q183" i="3" s="1"/>
  <c r="AC182" i="3"/>
  <c r="AC183" i="3" s="1"/>
  <c r="Z194" i="3"/>
  <c r="R186" i="3"/>
  <c r="P186" i="3"/>
  <c r="F182" i="3"/>
  <c r="G182" i="3"/>
  <c r="G183" i="3" s="1"/>
  <c r="C187" i="3"/>
  <c r="W187" i="3" s="1"/>
  <c r="C191" i="3"/>
  <c r="O191" i="3" s="1"/>
  <c r="M194" i="3"/>
  <c r="AB194" i="3"/>
  <c r="U194" i="3"/>
  <c r="J194" i="3"/>
  <c r="R194" i="3"/>
  <c r="K194" i="3"/>
  <c r="AC194" i="3"/>
  <c r="P190" i="3"/>
  <c r="H190" i="3"/>
  <c r="M190" i="3"/>
  <c r="R182" i="3"/>
  <c r="R183" i="3" s="1"/>
  <c r="L182" i="3"/>
  <c r="L183" i="3" s="1"/>
  <c r="W182" i="3"/>
  <c r="W183" i="3" s="1"/>
  <c r="N194" i="3"/>
  <c r="F194" i="3"/>
  <c r="J190" i="3"/>
  <c r="X190" i="3"/>
  <c r="U190" i="3"/>
  <c r="Y194" i="3"/>
  <c r="G194" i="3"/>
  <c r="C195" i="3"/>
  <c r="P195" i="3" s="1"/>
  <c r="V194" i="3"/>
  <c r="AA194" i="3"/>
  <c r="O194" i="3"/>
  <c r="Z190" i="3"/>
  <c r="K190" i="3"/>
  <c r="AC190" i="3"/>
  <c r="P182" i="3"/>
  <c r="P183" i="3" s="1"/>
  <c r="V182" i="3"/>
  <c r="V183" i="3" s="1"/>
  <c r="AB182" i="3"/>
  <c r="AB183" i="3" s="1"/>
  <c r="Q194" i="3"/>
  <c r="H194" i="3"/>
  <c r="P194" i="3"/>
  <c r="S194" i="3"/>
  <c r="C199" i="3"/>
  <c r="W199" i="3" s="1"/>
  <c r="I194" i="3"/>
  <c r="L194" i="3"/>
  <c r="N190" i="3"/>
  <c r="S190" i="3"/>
  <c r="Y182" i="3"/>
  <c r="Y183" i="3" s="1"/>
  <c r="H182" i="3"/>
  <c r="H183" i="3" s="1"/>
  <c r="AD189" i="3"/>
  <c r="AD181" i="3"/>
  <c r="AD177" i="3"/>
  <c r="AD178" i="3" s="1"/>
  <c r="AE178" i="3" s="1"/>
  <c r="B200" i="3"/>
  <c r="B204" i="3"/>
  <c r="AD185" i="3"/>
  <c r="B196" i="3"/>
  <c r="B192" i="3"/>
  <c r="M183" i="3"/>
  <c r="U199" i="3" l="1"/>
  <c r="D41" i="2"/>
  <c r="E40" i="2"/>
  <c r="Q199" i="3"/>
  <c r="M187" i="3"/>
  <c r="M188" i="3" s="1"/>
  <c r="U187" i="3"/>
  <c r="U188" i="3" s="1"/>
  <c r="Y187" i="3"/>
  <c r="Y188" i="3" s="1"/>
  <c r="AC187" i="3"/>
  <c r="AC188" i="3" s="1"/>
  <c r="F187" i="3"/>
  <c r="F188" i="3" s="1"/>
  <c r="V187" i="3"/>
  <c r="V188" i="3" s="1"/>
  <c r="I187" i="3"/>
  <c r="I188" i="3" s="1"/>
  <c r="H187" i="3"/>
  <c r="H188" i="3" s="1"/>
  <c r="X187" i="3"/>
  <c r="X188" i="3" s="1"/>
  <c r="H199" i="3"/>
  <c r="I195" i="3"/>
  <c r="P199" i="3"/>
  <c r="M195" i="3"/>
  <c r="T191" i="3"/>
  <c r="H191" i="3"/>
  <c r="Q191" i="3"/>
  <c r="X195" i="3"/>
  <c r="Y191" i="3"/>
  <c r="P187" i="3"/>
  <c r="P188" i="3" s="1"/>
  <c r="K187" i="3"/>
  <c r="K188" i="3" s="1"/>
  <c r="J191" i="3"/>
  <c r="J187" i="3"/>
  <c r="J188" i="3" s="1"/>
  <c r="S187" i="3"/>
  <c r="S188" i="3" s="1"/>
  <c r="Z191" i="3"/>
  <c r="Z187" i="3"/>
  <c r="Z188" i="3" s="1"/>
  <c r="T187" i="3"/>
  <c r="T188" i="3" s="1"/>
  <c r="F199" i="3"/>
  <c r="L191" i="3"/>
  <c r="Q187" i="3"/>
  <c r="Q188" i="3" s="1"/>
  <c r="AB187" i="3"/>
  <c r="AB188" i="3" s="1"/>
  <c r="W191" i="3"/>
  <c r="AB191" i="3"/>
  <c r="X191" i="3"/>
  <c r="N191" i="3"/>
  <c r="M191" i="3"/>
  <c r="R199" i="3"/>
  <c r="R191" i="3"/>
  <c r="P191" i="3"/>
  <c r="U191" i="3"/>
  <c r="Y199" i="3"/>
  <c r="F191" i="3"/>
  <c r="K191" i="3"/>
  <c r="AC191" i="3"/>
  <c r="G187" i="3"/>
  <c r="G188" i="3" s="1"/>
  <c r="T199" i="3"/>
  <c r="V191" i="3"/>
  <c r="S191" i="3"/>
  <c r="G191" i="3"/>
  <c r="AB199" i="3"/>
  <c r="I191" i="3"/>
  <c r="AA191" i="3"/>
  <c r="N187" i="3"/>
  <c r="N188" i="3" s="1"/>
  <c r="AA187" i="3"/>
  <c r="AA188" i="3" s="1"/>
  <c r="C204" i="3"/>
  <c r="X204" i="3" s="1"/>
  <c r="V199" i="3"/>
  <c r="M199" i="3"/>
  <c r="X199" i="3"/>
  <c r="V195" i="3"/>
  <c r="K195" i="3"/>
  <c r="AC195" i="3"/>
  <c r="C192" i="3"/>
  <c r="W192" i="3" s="1"/>
  <c r="J195" i="3"/>
  <c r="Q195" i="3"/>
  <c r="S195" i="3"/>
  <c r="G195" i="3"/>
  <c r="N199" i="3"/>
  <c r="K199" i="3"/>
  <c r="AC199" i="3"/>
  <c r="R195" i="3"/>
  <c r="AA195" i="3"/>
  <c r="O195" i="3"/>
  <c r="N195" i="3"/>
  <c r="Z199" i="3"/>
  <c r="S199" i="3"/>
  <c r="G199" i="3"/>
  <c r="Y195" i="3"/>
  <c r="L195" i="3"/>
  <c r="W195" i="3"/>
  <c r="O187" i="3"/>
  <c r="O188" i="3" s="1"/>
  <c r="C200" i="3"/>
  <c r="AC200" i="3" s="1"/>
  <c r="I199" i="3"/>
  <c r="AA199" i="3"/>
  <c r="O199" i="3"/>
  <c r="F195" i="3"/>
  <c r="T195" i="3"/>
  <c r="H195" i="3"/>
  <c r="R187" i="3"/>
  <c r="R188" i="3" s="1"/>
  <c r="L187" i="3"/>
  <c r="L188" i="3" s="1"/>
  <c r="U195" i="3"/>
  <c r="C196" i="3"/>
  <c r="W196" i="3" s="1"/>
  <c r="J199" i="3"/>
  <c r="L199" i="3"/>
  <c r="Z195" i="3"/>
  <c r="AB195" i="3"/>
  <c r="W188" i="3"/>
  <c r="AD190" i="3"/>
  <c r="AD186" i="3"/>
  <c r="AD194" i="3"/>
  <c r="B197" i="3"/>
  <c r="AD182" i="3"/>
  <c r="AD183" i="3" s="1"/>
  <c r="AE183" i="3" s="1"/>
  <c r="F183" i="3"/>
  <c r="B205" i="3"/>
  <c r="B209" i="3"/>
  <c r="B201" i="3"/>
  <c r="R204" i="3" l="1"/>
  <c r="H196" i="3"/>
  <c r="Y196" i="3"/>
  <c r="W193" i="3"/>
  <c r="D42" i="2"/>
  <c r="E41" i="2"/>
  <c r="U196" i="3"/>
  <c r="V204" i="3"/>
  <c r="P196" i="3"/>
  <c r="J196" i="3"/>
  <c r="I200" i="3"/>
  <c r="H200" i="3"/>
  <c r="Q200" i="3"/>
  <c r="AA200" i="3"/>
  <c r="N200" i="3"/>
  <c r="L200" i="3"/>
  <c r="I196" i="3"/>
  <c r="J200" i="3"/>
  <c r="T200" i="3"/>
  <c r="L204" i="3"/>
  <c r="T196" i="3"/>
  <c r="F200" i="3"/>
  <c r="M200" i="3"/>
  <c r="T204" i="3"/>
  <c r="AB196" i="3"/>
  <c r="Z200" i="3"/>
  <c r="W200" i="3"/>
  <c r="P200" i="3"/>
  <c r="F204" i="3"/>
  <c r="U204" i="3"/>
  <c r="AB200" i="3"/>
  <c r="X200" i="3"/>
  <c r="Z204" i="3"/>
  <c r="AC204" i="3"/>
  <c r="N204" i="3"/>
  <c r="G204" i="3"/>
  <c r="R200" i="3"/>
  <c r="U200" i="3"/>
  <c r="K204" i="3"/>
  <c r="O204" i="3"/>
  <c r="F196" i="3"/>
  <c r="V200" i="3"/>
  <c r="G200" i="3"/>
  <c r="Q204" i="3"/>
  <c r="S204" i="3"/>
  <c r="W204" i="3"/>
  <c r="S200" i="3"/>
  <c r="O200" i="3"/>
  <c r="Y204" i="3"/>
  <c r="AA204" i="3"/>
  <c r="H204" i="3"/>
  <c r="Z196" i="3"/>
  <c r="M196" i="3"/>
  <c r="X196" i="3"/>
  <c r="Y192" i="3"/>
  <c r="Y193" i="3" s="1"/>
  <c r="H192" i="3"/>
  <c r="H193" i="3" s="1"/>
  <c r="M192" i="3"/>
  <c r="M193" i="3" s="1"/>
  <c r="F192" i="3"/>
  <c r="F193" i="3" s="1"/>
  <c r="P192" i="3"/>
  <c r="P193" i="3" s="1"/>
  <c r="V192" i="3"/>
  <c r="V193" i="3" s="1"/>
  <c r="J192" i="3"/>
  <c r="X192" i="3"/>
  <c r="X193" i="3" s="1"/>
  <c r="U192" i="3"/>
  <c r="U193" i="3" s="1"/>
  <c r="C201" i="3"/>
  <c r="W201" i="3" s="1"/>
  <c r="R196" i="3"/>
  <c r="K196" i="3"/>
  <c r="AC196" i="3"/>
  <c r="Z192" i="3"/>
  <c r="Z193" i="3" s="1"/>
  <c r="K192" i="3"/>
  <c r="K193" i="3" s="1"/>
  <c r="AC192" i="3"/>
  <c r="AC193" i="3" s="1"/>
  <c r="AB192" i="3"/>
  <c r="AB193" i="3" s="1"/>
  <c r="N196" i="3"/>
  <c r="S196" i="3"/>
  <c r="G196" i="3"/>
  <c r="N192" i="3"/>
  <c r="N193" i="3" s="1"/>
  <c r="S192" i="3"/>
  <c r="S193" i="3" s="1"/>
  <c r="G192" i="3"/>
  <c r="G193" i="3" s="1"/>
  <c r="I204" i="3"/>
  <c r="AB204" i="3"/>
  <c r="P204" i="3"/>
  <c r="I192" i="3"/>
  <c r="I193" i="3" s="1"/>
  <c r="C209" i="3"/>
  <c r="P209" i="3" s="1"/>
  <c r="Q196" i="3"/>
  <c r="AA196" i="3"/>
  <c r="O196" i="3"/>
  <c r="Y200" i="3"/>
  <c r="K200" i="3"/>
  <c r="Q192" i="3"/>
  <c r="Q193" i="3" s="1"/>
  <c r="AA192" i="3"/>
  <c r="AA193" i="3" s="1"/>
  <c r="O192" i="3"/>
  <c r="O193" i="3" s="1"/>
  <c r="J204" i="3"/>
  <c r="M204" i="3"/>
  <c r="T192" i="3"/>
  <c r="T193" i="3" s="1"/>
  <c r="C205" i="3"/>
  <c r="G205" i="3" s="1"/>
  <c r="C197" i="3"/>
  <c r="O197" i="3" s="1"/>
  <c r="V196" i="3"/>
  <c r="L196" i="3"/>
  <c r="R192" i="3"/>
  <c r="R193" i="3" s="1"/>
  <c r="L192" i="3"/>
  <c r="L193" i="3" s="1"/>
  <c r="AD199" i="3"/>
  <c r="J193" i="3"/>
  <c r="AD191" i="3"/>
  <c r="B214" i="3"/>
  <c r="B210" i="3"/>
  <c r="B206" i="3"/>
  <c r="AD187" i="3"/>
  <c r="AD188" i="3" s="1"/>
  <c r="B202" i="3"/>
  <c r="AD195" i="3"/>
  <c r="V197" i="3" l="1"/>
  <c r="V198" i="3" s="1"/>
  <c r="D43" i="2"/>
  <c r="E42" i="2"/>
  <c r="H201" i="3"/>
  <c r="P201" i="3"/>
  <c r="Y197" i="3"/>
  <c r="Y198" i="3" s="1"/>
  <c r="AB197" i="3"/>
  <c r="AB198" i="3" s="1"/>
  <c r="AA205" i="3"/>
  <c r="L205" i="3"/>
  <c r="I201" i="3"/>
  <c r="P205" i="3"/>
  <c r="J201" i="3"/>
  <c r="U201" i="3"/>
  <c r="X197" i="3"/>
  <c r="X198" i="3" s="1"/>
  <c r="F197" i="3"/>
  <c r="U197" i="3"/>
  <c r="N205" i="3"/>
  <c r="T205" i="3"/>
  <c r="Z197" i="3"/>
  <c r="AC197" i="3"/>
  <c r="AC198" i="3" s="1"/>
  <c r="R205" i="3"/>
  <c r="AB205" i="3"/>
  <c r="I197" i="3"/>
  <c r="I198" i="3" s="1"/>
  <c r="K197" i="3"/>
  <c r="K198" i="3" s="1"/>
  <c r="G197" i="3"/>
  <c r="G198" i="3" s="1"/>
  <c r="Y205" i="3"/>
  <c r="U205" i="3"/>
  <c r="N201" i="3"/>
  <c r="Q197" i="3"/>
  <c r="S197" i="3"/>
  <c r="S198" i="3" s="1"/>
  <c r="W197" i="3"/>
  <c r="W198" i="3" s="1"/>
  <c r="F205" i="3"/>
  <c r="O205" i="3"/>
  <c r="V209" i="3"/>
  <c r="R201" i="3"/>
  <c r="M197" i="3"/>
  <c r="M198" i="3" s="1"/>
  <c r="J197" i="3"/>
  <c r="J198" i="3" s="1"/>
  <c r="L197" i="3"/>
  <c r="L198" i="3" s="1"/>
  <c r="H197" i="3"/>
  <c r="H198" i="3" s="1"/>
  <c r="Z205" i="3"/>
  <c r="W205" i="3"/>
  <c r="M209" i="3"/>
  <c r="T201" i="3"/>
  <c r="R197" i="3"/>
  <c r="R198" i="3" s="1"/>
  <c r="T197" i="3"/>
  <c r="T198" i="3" s="1"/>
  <c r="P197" i="3"/>
  <c r="P198" i="3" s="1"/>
  <c r="J205" i="3"/>
  <c r="H205" i="3"/>
  <c r="X209" i="3"/>
  <c r="AB201" i="3"/>
  <c r="U209" i="3"/>
  <c r="N209" i="3"/>
  <c r="K209" i="3"/>
  <c r="AC209" i="3"/>
  <c r="Q201" i="3"/>
  <c r="M201" i="3"/>
  <c r="X201" i="3"/>
  <c r="C206" i="3"/>
  <c r="X206" i="3" s="1"/>
  <c r="Z209" i="3"/>
  <c r="G209" i="3"/>
  <c r="AE188" i="3"/>
  <c r="AF188" i="3"/>
  <c r="I205" i="3"/>
  <c r="M205" i="3"/>
  <c r="X205" i="3"/>
  <c r="I209" i="3"/>
  <c r="AA209" i="3"/>
  <c r="O209" i="3"/>
  <c r="V201" i="3"/>
  <c r="K201" i="3"/>
  <c r="AC201" i="3"/>
  <c r="J209" i="3"/>
  <c r="L209" i="3"/>
  <c r="W209" i="3"/>
  <c r="Y201" i="3"/>
  <c r="S201" i="3"/>
  <c r="G201" i="3"/>
  <c r="C214" i="3"/>
  <c r="O214" i="3" s="1"/>
  <c r="Y209" i="3"/>
  <c r="V205" i="3"/>
  <c r="K205" i="3"/>
  <c r="AC205" i="3"/>
  <c r="Q209" i="3"/>
  <c r="T209" i="3"/>
  <c r="H209" i="3"/>
  <c r="F201" i="3"/>
  <c r="AA201" i="3"/>
  <c r="O201" i="3"/>
  <c r="F209" i="3"/>
  <c r="C202" i="3"/>
  <c r="X202" i="3" s="1"/>
  <c r="S209" i="3"/>
  <c r="C210" i="3"/>
  <c r="AC210" i="3" s="1"/>
  <c r="N197" i="3"/>
  <c r="N198" i="3" s="1"/>
  <c r="AA197" i="3"/>
  <c r="AA198" i="3" s="1"/>
  <c r="Q205" i="3"/>
  <c r="S205" i="3"/>
  <c r="R209" i="3"/>
  <c r="AB209" i="3"/>
  <c r="Z201" i="3"/>
  <c r="L201" i="3"/>
  <c r="Q198" i="3"/>
  <c r="AD204" i="3"/>
  <c r="F198" i="3"/>
  <c r="U198" i="3"/>
  <c r="O198" i="3"/>
  <c r="AD196" i="3"/>
  <c r="Z198" i="3"/>
  <c r="B207" i="3"/>
  <c r="AD200" i="3"/>
  <c r="B219" i="3"/>
  <c r="B215" i="3"/>
  <c r="B211" i="3"/>
  <c r="AD192" i="3"/>
  <c r="AD193" i="3" s="1"/>
  <c r="AE193" i="3" s="1"/>
  <c r="H33" i="2" l="1"/>
  <c r="D44" i="2"/>
  <c r="E43" i="2"/>
  <c r="T210" i="3"/>
  <c r="Z210" i="3"/>
  <c r="N210" i="3"/>
  <c r="V210" i="3"/>
  <c r="AA210" i="3"/>
  <c r="S210" i="3"/>
  <c r="J210" i="3"/>
  <c r="W210" i="3"/>
  <c r="Q214" i="3"/>
  <c r="F210" i="3"/>
  <c r="H210" i="3"/>
  <c r="N214" i="3"/>
  <c r="L210" i="3"/>
  <c r="P210" i="3"/>
  <c r="F214" i="3"/>
  <c r="I210" i="3"/>
  <c r="AB210" i="3"/>
  <c r="L214" i="3"/>
  <c r="U210" i="3"/>
  <c r="U214" i="3"/>
  <c r="Q210" i="3"/>
  <c r="G210" i="3"/>
  <c r="W214" i="3"/>
  <c r="O210" i="3"/>
  <c r="Q202" i="3"/>
  <c r="Q203" i="3" s="1"/>
  <c r="J206" i="3"/>
  <c r="Z202" i="3"/>
  <c r="Z203" i="3" s="1"/>
  <c r="K202" i="3"/>
  <c r="K203" i="3" s="1"/>
  <c r="AC202" i="3"/>
  <c r="AC203" i="3" s="1"/>
  <c r="Z214" i="3"/>
  <c r="T214" i="3"/>
  <c r="H214" i="3"/>
  <c r="R206" i="3"/>
  <c r="K206" i="3"/>
  <c r="AC206" i="3"/>
  <c r="U206" i="3"/>
  <c r="F202" i="3"/>
  <c r="F203" i="3" s="1"/>
  <c r="S202" i="3"/>
  <c r="S203" i="3" s="1"/>
  <c r="G202" i="3"/>
  <c r="G203" i="3" s="1"/>
  <c r="I214" i="3"/>
  <c r="AB214" i="3"/>
  <c r="P214" i="3"/>
  <c r="N206" i="3"/>
  <c r="S206" i="3"/>
  <c r="G206" i="3"/>
  <c r="V202" i="3"/>
  <c r="V203" i="3" s="1"/>
  <c r="AA202" i="3"/>
  <c r="AA203" i="3" s="1"/>
  <c r="O202" i="3"/>
  <c r="O203" i="3" s="1"/>
  <c r="J214" i="3"/>
  <c r="M214" i="3"/>
  <c r="X214" i="3"/>
  <c r="Q206" i="3"/>
  <c r="AA206" i="3"/>
  <c r="O206" i="3"/>
  <c r="C211" i="3"/>
  <c r="P211" i="3" s="1"/>
  <c r="L202" i="3"/>
  <c r="L203" i="3" s="1"/>
  <c r="V206" i="3"/>
  <c r="L206" i="3"/>
  <c r="W206" i="3"/>
  <c r="R202" i="3"/>
  <c r="R203" i="3" s="1"/>
  <c r="U202" i="3"/>
  <c r="U203" i="3" s="1"/>
  <c r="C215" i="3"/>
  <c r="H215" i="3" s="1"/>
  <c r="W202" i="3"/>
  <c r="W203" i="3" s="1"/>
  <c r="R210" i="3"/>
  <c r="M210" i="3"/>
  <c r="X210" i="3"/>
  <c r="I202" i="3"/>
  <c r="I203" i="3" s="1"/>
  <c r="T202" i="3"/>
  <c r="T203" i="3" s="1"/>
  <c r="H202" i="3"/>
  <c r="H203" i="3" s="1"/>
  <c r="Y214" i="3"/>
  <c r="K214" i="3"/>
  <c r="AC214" i="3"/>
  <c r="Y206" i="3"/>
  <c r="T206" i="3"/>
  <c r="H206" i="3"/>
  <c r="I206" i="3"/>
  <c r="C219" i="3"/>
  <c r="W219" i="3" s="1"/>
  <c r="J202" i="3"/>
  <c r="J203" i="3" s="1"/>
  <c r="AB202" i="3"/>
  <c r="AB203" i="3" s="1"/>
  <c r="P202" i="3"/>
  <c r="P203" i="3" s="1"/>
  <c r="R214" i="3"/>
  <c r="S214" i="3"/>
  <c r="G214" i="3"/>
  <c r="F206" i="3"/>
  <c r="AB206" i="3"/>
  <c r="P206" i="3"/>
  <c r="Y202" i="3"/>
  <c r="Y203" i="3" s="1"/>
  <c r="C207" i="3"/>
  <c r="X207" i="3" s="1"/>
  <c r="Y210" i="3"/>
  <c r="K210" i="3"/>
  <c r="N202" i="3"/>
  <c r="N203" i="3" s="1"/>
  <c r="M202" i="3"/>
  <c r="M203" i="3" s="1"/>
  <c r="V214" i="3"/>
  <c r="AA214" i="3"/>
  <c r="Z206" i="3"/>
  <c r="M206" i="3"/>
  <c r="AD201" i="3"/>
  <c r="X203" i="3"/>
  <c r="AD197" i="3"/>
  <c r="AD198" i="3" s="1"/>
  <c r="AE198" i="3" s="1"/>
  <c r="AD205" i="3"/>
  <c r="AD209" i="3"/>
  <c r="B212" i="3"/>
  <c r="B224" i="3"/>
  <c r="B220" i="3"/>
  <c r="B216" i="3"/>
  <c r="F219" i="3" l="1"/>
  <c r="X219" i="3"/>
  <c r="X215" i="3"/>
  <c r="D45" i="2"/>
  <c r="E44" i="2"/>
  <c r="U215" i="3"/>
  <c r="N215" i="3"/>
  <c r="I215" i="3"/>
  <c r="J215" i="3"/>
  <c r="Z207" i="3"/>
  <c r="Z208" i="3" s="1"/>
  <c r="M215" i="3"/>
  <c r="Q207" i="3"/>
  <c r="Q208" i="3" s="1"/>
  <c r="J219" i="3"/>
  <c r="K219" i="3"/>
  <c r="S219" i="3"/>
  <c r="AA207" i="3"/>
  <c r="AA208" i="3" s="1"/>
  <c r="U207" i="3"/>
  <c r="U208" i="3" s="1"/>
  <c r="I207" i="3"/>
  <c r="I208" i="3" s="1"/>
  <c r="AC207" i="3"/>
  <c r="AC208" i="3" s="1"/>
  <c r="J207" i="3"/>
  <c r="J208" i="3" s="1"/>
  <c r="G207" i="3"/>
  <c r="G208" i="3" s="1"/>
  <c r="AA219" i="3"/>
  <c r="N207" i="3"/>
  <c r="N208" i="3" s="1"/>
  <c r="O207" i="3"/>
  <c r="O208" i="3" s="1"/>
  <c r="AC219" i="3"/>
  <c r="K207" i="3"/>
  <c r="K208" i="3" s="1"/>
  <c r="N219" i="3"/>
  <c r="S207" i="3"/>
  <c r="S208" i="3" s="1"/>
  <c r="P219" i="3"/>
  <c r="Z219" i="3"/>
  <c r="U219" i="3"/>
  <c r="H219" i="3"/>
  <c r="Z215" i="3"/>
  <c r="AB215" i="3"/>
  <c r="P215" i="3"/>
  <c r="Q211" i="3"/>
  <c r="M211" i="3"/>
  <c r="X211" i="3"/>
  <c r="R211" i="3"/>
  <c r="I211" i="3"/>
  <c r="K211" i="3"/>
  <c r="AC211" i="3"/>
  <c r="V215" i="3"/>
  <c r="K215" i="3"/>
  <c r="AC215" i="3"/>
  <c r="Y211" i="3"/>
  <c r="S211" i="3"/>
  <c r="G211" i="3"/>
  <c r="C220" i="3"/>
  <c r="O220" i="3" s="1"/>
  <c r="C224" i="3"/>
  <c r="W224" i="3" s="1"/>
  <c r="R207" i="3"/>
  <c r="R208" i="3" s="1"/>
  <c r="L207" i="3"/>
  <c r="W207" i="3"/>
  <c r="W208" i="3" s="1"/>
  <c r="I219" i="3"/>
  <c r="L219" i="3"/>
  <c r="V219" i="3"/>
  <c r="Q215" i="3"/>
  <c r="S215" i="3"/>
  <c r="G215" i="3"/>
  <c r="F211" i="3"/>
  <c r="AA211" i="3"/>
  <c r="O211" i="3"/>
  <c r="V211" i="3"/>
  <c r="V207" i="3"/>
  <c r="V208" i="3" s="1"/>
  <c r="T207" i="3"/>
  <c r="T208" i="3" s="1"/>
  <c r="H207" i="3"/>
  <c r="H208" i="3" s="1"/>
  <c r="Q219" i="3"/>
  <c r="T219" i="3"/>
  <c r="G219" i="3"/>
  <c r="R215" i="3"/>
  <c r="AA215" i="3"/>
  <c r="O215" i="3"/>
  <c r="Z211" i="3"/>
  <c r="L211" i="3"/>
  <c r="W211" i="3"/>
  <c r="C216" i="3"/>
  <c r="P216" i="3" s="1"/>
  <c r="U211" i="3"/>
  <c r="C212" i="3"/>
  <c r="W212" i="3" s="1"/>
  <c r="Y207" i="3"/>
  <c r="Y208" i="3" s="1"/>
  <c r="AB207" i="3"/>
  <c r="AB208" i="3" s="1"/>
  <c r="P207" i="3"/>
  <c r="P208" i="3" s="1"/>
  <c r="R219" i="3"/>
  <c r="AB219" i="3"/>
  <c r="O219" i="3"/>
  <c r="Y215" i="3"/>
  <c r="L215" i="3"/>
  <c r="W215" i="3"/>
  <c r="J211" i="3"/>
  <c r="T211" i="3"/>
  <c r="H211" i="3"/>
  <c r="F207" i="3"/>
  <c r="M207" i="3"/>
  <c r="M208" i="3" s="1"/>
  <c r="Y219" i="3"/>
  <c r="M219" i="3"/>
  <c r="F215" i="3"/>
  <c r="T215" i="3"/>
  <c r="N211" i="3"/>
  <c r="AB211" i="3"/>
  <c r="AD206" i="3"/>
  <c r="L208" i="3"/>
  <c r="AD202" i="3"/>
  <c r="AD203" i="3" s="1"/>
  <c r="AE203" i="3" s="1"/>
  <c r="B217" i="3"/>
  <c r="AD214" i="3"/>
  <c r="B221" i="3"/>
  <c r="AD210" i="3"/>
  <c r="X208" i="3"/>
  <c r="B229" i="3"/>
  <c r="B225" i="3"/>
  <c r="U220" i="3" l="1"/>
  <c r="N216" i="3"/>
  <c r="X216" i="3"/>
  <c r="D46" i="2"/>
  <c r="E45" i="2"/>
  <c r="M220" i="3"/>
  <c r="P220" i="3"/>
  <c r="X220" i="3"/>
  <c r="N212" i="3"/>
  <c r="N213" i="3" s="1"/>
  <c r="U224" i="3"/>
  <c r="Q212" i="3"/>
  <c r="Q213" i="3" s="1"/>
  <c r="N224" i="3"/>
  <c r="P212" i="3"/>
  <c r="P213" i="3" s="1"/>
  <c r="X212" i="3"/>
  <c r="X213" i="3" s="1"/>
  <c r="F216" i="3"/>
  <c r="AA220" i="3"/>
  <c r="Z212" i="3"/>
  <c r="Z213" i="3" s="1"/>
  <c r="T212" i="3"/>
  <c r="T213" i="3" s="1"/>
  <c r="I220" i="3"/>
  <c r="AC220" i="3"/>
  <c r="F212" i="3"/>
  <c r="F213" i="3" s="1"/>
  <c r="AB212" i="3"/>
  <c r="AB213" i="3" s="1"/>
  <c r="Z216" i="3"/>
  <c r="Y220" i="3"/>
  <c r="F220" i="3"/>
  <c r="V212" i="3"/>
  <c r="V213" i="3" s="1"/>
  <c r="M212" i="3"/>
  <c r="M213" i="3" s="1"/>
  <c r="R216" i="3"/>
  <c r="J224" i="3"/>
  <c r="Z220" i="3"/>
  <c r="N220" i="3"/>
  <c r="AA212" i="3"/>
  <c r="AA213" i="3" s="1"/>
  <c r="I212" i="3"/>
  <c r="I213" i="3" s="1"/>
  <c r="U212" i="3"/>
  <c r="U213" i="3" s="1"/>
  <c r="AA216" i="3"/>
  <c r="Z224" i="3"/>
  <c r="K220" i="3"/>
  <c r="W220" i="3"/>
  <c r="R212" i="3"/>
  <c r="R213" i="3" s="1"/>
  <c r="J212" i="3"/>
  <c r="J213" i="3" s="1"/>
  <c r="H212" i="3"/>
  <c r="H213" i="3" s="1"/>
  <c r="T216" i="3"/>
  <c r="AA224" i="3"/>
  <c r="S220" i="3"/>
  <c r="H220" i="3"/>
  <c r="K212" i="3"/>
  <c r="K213" i="3" s="1"/>
  <c r="AC212" i="3"/>
  <c r="AC213" i="3" s="1"/>
  <c r="G216" i="3"/>
  <c r="S212" i="3"/>
  <c r="S213" i="3" s="1"/>
  <c r="G212" i="3"/>
  <c r="G213" i="3" s="1"/>
  <c r="H224" i="3"/>
  <c r="O212" i="3"/>
  <c r="O213" i="3" s="1"/>
  <c r="Y212" i="3"/>
  <c r="Y213" i="3" s="1"/>
  <c r="L212" i="3"/>
  <c r="L213" i="3" s="1"/>
  <c r="S216" i="3"/>
  <c r="K224" i="3"/>
  <c r="AC224" i="3"/>
  <c r="P224" i="3"/>
  <c r="Q216" i="3"/>
  <c r="L216" i="3"/>
  <c r="V216" i="3"/>
  <c r="S224" i="3"/>
  <c r="F224" i="3"/>
  <c r="X224" i="3"/>
  <c r="Y216" i="3"/>
  <c r="AB216" i="3"/>
  <c r="O216" i="3"/>
  <c r="I224" i="3"/>
  <c r="L224" i="3"/>
  <c r="V224" i="3"/>
  <c r="I216" i="3"/>
  <c r="M216" i="3"/>
  <c r="W216" i="3"/>
  <c r="Q224" i="3"/>
  <c r="T224" i="3"/>
  <c r="G224" i="3"/>
  <c r="R220" i="3"/>
  <c r="L220" i="3"/>
  <c r="V220" i="3"/>
  <c r="C221" i="3"/>
  <c r="X221" i="3" s="1"/>
  <c r="C225" i="3"/>
  <c r="X225" i="3" s="1"/>
  <c r="C217" i="3"/>
  <c r="H217" i="3" s="1"/>
  <c r="J216" i="3"/>
  <c r="U216" i="3"/>
  <c r="H216" i="3"/>
  <c r="R224" i="3"/>
  <c r="AB224" i="3"/>
  <c r="O224" i="3"/>
  <c r="J220" i="3"/>
  <c r="T220" i="3"/>
  <c r="G220" i="3"/>
  <c r="C229" i="3"/>
  <c r="W229" i="3" s="1"/>
  <c r="K216" i="3"/>
  <c r="AC216" i="3"/>
  <c r="Y224" i="3"/>
  <c r="M224" i="3"/>
  <c r="Q220" i="3"/>
  <c r="AB220" i="3"/>
  <c r="W213" i="3"/>
  <c r="AD215" i="3"/>
  <c r="AD219" i="3"/>
  <c r="AD211" i="3"/>
  <c r="B222" i="3"/>
  <c r="B234" i="3"/>
  <c r="B230" i="3"/>
  <c r="AD207" i="3"/>
  <c r="AD208" i="3" s="1"/>
  <c r="AE208" i="3" s="1"/>
  <c r="F208" i="3"/>
  <c r="B226" i="3"/>
  <c r="Z217" i="3" l="1"/>
  <c r="Z218" i="3" s="1"/>
  <c r="D47" i="2"/>
  <c r="E46" i="2"/>
  <c r="R221" i="3"/>
  <c r="Y221" i="3"/>
  <c r="L221" i="3"/>
  <c r="I217" i="3"/>
  <c r="I218" i="3" s="1"/>
  <c r="T221" i="3"/>
  <c r="F217" i="3"/>
  <c r="O221" i="3"/>
  <c r="W221" i="3"/>
  <c r="AC225" i="3"/>
  <c r="N217" i="3"/>
  <c r="N218" i="3" s="1"/>
  <c r="Y217" i="3"/>
  <c r="Y218" i="3" s="1"/>
  <c r="P217" i="3"/>
  <c r="P218" i="3" s="1"/>
  <c r="AA221" i="3"/>
  <c r="H221" i="3"/>
  <c r="K217" i="3"/>
  <c r="K218" i="3" s="1"/>
  <c r="AB221" i="3"/>
  <c r="AA217" i="3"/>
  <c r="AA218" i="3" s="1"/>
  <c r="Q221" i="3"/>
  <c r="M221" i="3"/>
  <c r="K229" i="3"/>
  <c r="AC217" i="3"/>
  <c r="AC218" i="3" s="1"/>
  <c r="Z221" i="3"/>
  <c r="G221" i="3"/>
  <c r="S217" i="3"/>
  <c r="S218" i="3" s="1"/>
  <c r="X217" i="3"/>
  <c r="X218" i="3" s="1"/>
  <c r="L217" i="3"/>
  <c r="L218" i="3" s="1"/>
  <c r="Z225" i="3"/>
  <c r="T217" i="3"/>
  <c r="T218" i="3" s="1"/>
  <c r="K225" i="3"/>
  <c r="S229" i="3"/>
  <c r="N225" i="3"/>
  <c r="U229" i="3"/>
  <c r="AA225" i="3"/>
  <c r="V225" i="3"/>
  <c r="AC229" i="3"/>
  <c r="V217" i="3"/>
  <c r="V218" i="3" s="1"/>
  <c r="I225" i="3"/>
  <c r="L225" i="3"/>
  <c r="G225" i="3"/>
  <c r="F229" i="3"/>
  <c r="G217" i="3"/>
  <c r="R225" i="3"/>
  <c r="T225" i="3"/>
  <c r="O225" i="3"/>
  <c r="N229" i="3"/>
  <c r="J217" i="3"/>
  <c r="J218" i="3" s="1"/>
  <c r="AB217" i="3"/>
  <c r="AB218" i="3" s="1"/>
  <c r="O217" i="3"/>
  <c r="O218" i="3" s="1"/>
  <c r="J225" i="3"/>
  <c r="AB225" i="3"/>
  <c r="W225" i="3"/>
  <c r="I221" i="3"/>
  <c r="U221" i="3"/>
  <c r="J229" i="3"/>
  <c r="P229" i="3"/>
  <c r="Q217" i="3"/>
  <c r="Q218" i="3" s="1"/>
  <c r="M217" i="3"/>
  <c r="M218" i="3" s="1"/>
  <c r="W217" i="3"/>
  <c r="W218" i="3" s="1"/>
  <c r="Q225" i="3"/>
  <c r="M225" i="3"/>
  <c r="H225" i="3"/>
  <c r="J221" i="3"/>
  <c r="N221" i="3"/>
  <c r="Z229" i="3"/>
  <c r="X229" i="3"/>
  <c r="R217" i="3"/>
  <c r="R218" i="3" s="1"/>
  <c r="U217" i="3"/>
  <c r="U218" i="3" s="1"/>
  <c r="Y225" i="3"/>
  <c r="U225" i="3"/>
  <c r="P225" i="3"/>
  <c r="K221" i="3"/>
  <c r="V221" i="3"/>
  <c r="H229" i="3"/>
  <c r="C230" i="3"/>
  <c r="V230" i="3" s="1"/>
  <c r="I229" i="3"/>
  <c r="L229" i="3"/>
  <c r="V229" i="3"/>
  <c r="C234" i="3"/>
  <c r="H234" i="3" s="1"/>
  <c r="Q229" i="3"/>
  <c r="T229" i="3"/>
  <c r="G229" i="3"/>
  <c r="S225" i="3"/>
  <c r="F225" i="3"/>
  <c r="AC221" i="3"/>
  <c r="P221" i="3"/>
  <c r="C226" i="3"/>
  <c r="H226" i="3" s="1"/>
  <c r="C222" i="3"/>
  <c r="P222" i="3" s="1"/>
  <c r="R229" i="3"/>
  <c r="AB229" i="3"/>
  <c r="O229" i="3"/>
  <c r="S221" i="3"/>
  <c r="F221" i="3"/>
  <c r="AA229" i="3"/>
  <c r="Y229" i="3"/>
  <c r="M229" i="3"/>
  <c r="AD216" i="3"/>
  <c r="AD212" i="3"/>
  <c r="AD213" i="3" s="1"/>
  <c r="AE213" i="3" s="1"/>
  <c r="AD220" i="3"/>
  <c r="H218" i="3"/>
  <c r="B227" i="3"/>
  <c r="B231" i="3"/>
  <c r="B239" i="3"/>
  <c r="B235" i="3"/>
  <c r="AD224" i="3"/>
  <c r="G218" i="3"/>
  <c r="D48" i="2" l="1"/>
  <c r="E47" i="2"/>
  <c r="R230" i="3"/>
  <c r="AA230" i="3"/>
  <c r="T230" i="3"/>
  <c r="X222" i="3"/>
  <c r="X223" i="3" s="1"/>
  <c r="P234" i="3"/>
  <c r="J234" i="3"/>
  <c r="AB230" i="3"/>
  <c r="K234" i="3"/>
  <c r="O230" i="3"/>
  <c r="S234" i="3"/>
  <c r="W230" i="3"/>
  <c r="AA234" i="3"/>
  <c r="AA222" i="3"/>
  <c r="AA223" i="3" s="1"/>
  <c r="AC234" i="3"/>
  <c r="J230" i="3"/>
  <c r="F222" i="3"/>
  <c r="F223" i="3" s="1"/>
  <c r="N234" i="3"/>
  <c r="K230" i="3"/>
  <c r="N222" i="3"/>
  <c r="N223" i="3" s="1"/>
  <c r="H230" i="3"/>
  <c r="M230" i="3"/>
  <c r="K226" i="3"/>
  <c r="Q230" i="3"/>
  <c r="U230" i="3"/>
  <c r="Y222" i="3"/>
  <c r="Y223" i="3" s="1"/>
  <c r="AC226" i="3"/>
  <c r="Y230" i="3"/>
  <c r="N230" i="3"/>
  <c r="S222" i="3"/>
  <c r="S223" i="3" s="1"/>
  <c r="P226" i="3"/>
  <c r="Z230" i="3"/>
  <c r="G230" i="3"/>
  <c r="S226" i="3"/>
  <c r="F226" i="3"/>
  <c r="X226" i="3"/>
  <c r="F234" i="3"/>
  <c r="X234" i="3"/>
  <c r="Q226" i="3"/>
  <c r="I222" i="3"/>
  <c r="I223" i="3" s="1"/>
  <c r="T222" i="3"/>
  <c r="T223" i="3" s="1"/>
  <c r="G222" i="3"/>
  <c r="G223" i="3" s="1"/>
  <c r="Z226" i="3"/>
  <c r="L226" i="3"/>
  <c r="V226" i="3"/>
  <c r="I234" i="3"/>
  <c r="L234" i="3"/>
  <c r="V234" i="3"/>
  <c r="C239" i="3"/>
  <c r="X239" i="3" s="1"/>
  <c r="L222" i="3"/>
  <c r="L223" i="3" s="1"/>
  <c r="J222" i="3"/>
  <c r="J223" i="3" s="1"/>
  <c r="AB222" i="3"/>
  <c r="AB223" i="3" s="1"/>
  <c r="O222" i="3"/>
  <c r="O223" i="3" s="1"/>
  <c r="R226" i="3"/>
  <c r="T226" i="3"/>
  <c r="G226" i="3"/>
  <c r="Q234" i="3"/>
  <c r="T234" i="3"/>
  <c r="G234" i="3"/>
  <c r="AC230" i="3"/>
  <c r="P230" i="3"/>
  <c r="V222" i="3"/>
  <c r="V223" i="3" s="1"/>
  <c r="AA226" i="3"/>
  <c r="Q222" i="3"/>
  <c r="Q223" i="3" s="1"/>
  <c r="M222" i="3"/>
  <c r="M223" i="3" s="1"/>
  <c r="W222" i="3"/>
  <c r="W223" i="3" s="1"/>
  <c r="Y226" i="3"/>
  <c r="AB226" i="3"/>
  <c r="O226" i="3"/>
  <c r="R234" i="3"/>
  <c r="AB234" i="3"/>
  <c r="O234" i="3"/>
  <c r="S230" i="3"/>
  <c r="F230" i="3"/>
  <c r="X230" i="3"/>
  <c r="C231" i="3"/>
  <c r="G231" i="3" s="1"/>
  <c r="R222" i="3"/>
  <c r="R223" i="3" s="1"/>
  <c r="H222" i="3"/>
  <c r="H223" i="3" s="1"/>
  <c r="M226" i="3"/>
  <c r="Y234" i="3"/>
  <c r="M234" i="3"/>
  <c r="W234" i="3"/>
  <c r="C235" i="3"/>
  <c r="V235" i="3" s="1"/>
  <c r="Z222" i="3"/>
  <c r="Z223" i="3" s="1"/>
  <c r="N226" i="3"/>
  <c r="U222" i="3"/>
  <c r="U223" i="3" s="1"/>
  <c r="I226" i="3"/>
  <c r="W226" i="3"/>
  <c r="C227" i="3"/>
  <c r="X227" i="3" s="1"/>
  <c r="K222" i="3"/>
  <c r="K223" i="3" s="1"/>
  <c r="AC222" i="3"/>
  <c r="AC223" i="3" s="1"/>
  <c r="J226" i="3"/>
  <c r="U226" i="3"/>
  <c r="Z234" i="3"/>
  <c r="U234" i="3"/>
  <c r="I230" i="3"/>
  <c r="L230" i="3"/>
  <c r="AD229" i="3"/>
  <c r="B236" i="3"/>
  <c r="AD217" i="3"/>
  <c r="AD218" i="3" s="1"/>
  <c r="AE218" i="3" s="1"/>
  <c r="F218" i="3"/>
  <c r="AD221" i="3"/>
  <c r="AD225" i="3"/>
  <c r="B244" i="3"/>
  <c r="B240" i="3"/>
  <c r="B232" i="3"/>
  <c r="P223" i="3"/>
  <c r="D49" i="2" l="1"/>
  <c r="E48" i="2"/>
  <c r="N239" i="3"/>
  <c r="AA235" i="3"/>
  <c r="F235" i="3"/>
  <c r="N235" i="3"/>
  <c r="Y231" i="3"/>
  <c r="AA227" i="3"/>
  <c r="AA228" i="3" s="1"/>
  <c r="J231" i="3"/>
  <c r="V239" i="3"/>
  <c r="Z227" i="3"/>
  <c r="Z228" i="3" s="1"/>
  <c r="I231" i="3"/>
  <c r="L227" i="3"/>
  <c r="L228" i="3" s="1"/>
  <c r="U231" i="3"/>
  <c r="N227" i="3"/>
  <c r="N228" i="3" s="1"/>
  <c r="K235" i="3"/>
  <c r="AC231" i="3"/>
  <c r="V227" i="3"/>
  <c r="V228" i="3" s="1"/>
  <c r="S235" i="3"/>
  <c r="F231" i="3"/>
  <c r="X231" i="3"/>
  <c r="G235" i="3"/>
  <c r="I235" i="3"/>
  <c r="T235" i="3"/>
  <c r="O235" i="3"/>
  <c r="K231" i="3"/>
  <c r="N231" i="3"/>
  <c r="J235" i="3"/>
  <c r="AB235" i="3"/>
  <c r="W235" i="3"/>
  <c r="S231" i="3"/>
  <c r="O231" i="3"/>
  <c r="J239" i="3"/>
  <c r="Q235" i="3"/>
  <c r="M235" i="3"/>
  <c r="H235" i="3"/>
  <c r="AA231" i="3"/>
  <c r="W231" i="3"/>
  <c r="I239" i="3"/>
  <c r="Y235" i="3"/>
  <c r="U235" i="3"/>
  <c r="P235" i="3"/>
  <c r="AB231" i="3"/>
  <c r="H231" i="3"/>
  <c r="AA239" i="3"/>
  <c r="Y227" i="3"/>
  <c r="Y228" i="3" s="1"/>
  <c r="Z235" i="3"/>
  <c r="AC235" i="3"/>
  <c r="X235" i="3"/>
  <c r="Q231" i="3"/>
  <c r="M231" i="3"/>
  <c r="P231" i="3"/>
  <c r="L239" i="3"/>
  <c r="I227" i="3"/>
  <c r="I228" i="3" s="1"/>
  <c r="T227" i="3"/>
  <c r="T228" i="3" s="1"/>
  <c r="G227" i="3"/>
  <c r="G228" i="3" s="1"/>
  <c r="Q239" i="3"/>
  <c r="T239" i="3"/>
  <c r="G239" i="3"/>
  <c r="J227" i="3"/>
  <c r="J228" i="3" s="1"/>
  <c r="AB227" i="3"/>
  <c r="AB228" i="3" s="1"/>
  <c r="O227" i="3"/>
  <c r="O228" i="3" s="1"/>
  <c r="R239" i="3"/>
  <c r="AB239" i="3"/>
  <c r="O239" i="3"/>
  <c r="C240" i="3"/>
  <c r="U240" i="3" s="1"/>
  <c r="C232" i="3"/>
  <c r="P232" i="3" s="1"/>
  <c r="Q227" i="3"/>
  <c r="Q228" i="3" s="1"/>
  <c r="M227" i="3"/>
  <c r="M228" i="3" s="1"/>
  <c r="W227" i="3"/>
  <c r="W228" i="3" s="1"/>
  <c r="Y239" i="3"/>
  <c r="M239" i="3"/>
  <c r="W239" i="3"/>
  <c r="R227" i="3"/>
  <c r="R228" i="3" s="1"/>
  <c r="U227" i="3"/>
  <c r="U228" i="3" s="1"/>
  <c r="H227" i="3"/>
  <c r="H228" i="3" s="1"/>
  <c r="Z239" i="3"/>
  <c r="U239" i="3"/>
  <c r="H239" i="3"/>
  <c r="C244" i="3"/>
  <c r="U244" i="3" s="1"/>
  <c r="K227" i="3"/>
  <c r="K228" i="3" s="1"/>
  <c r="AC227" i="3"/>
  <c r="AC228" i="3" s="1"/>
  <c r="P227" i="3"/>
  <c r="P228" i="3" s="1"/>
  <c r="Z231" i="3"/>
  <c r="L231" i="3"/>
  <c r="V231" i="3"/>
  <c r="K239" i="3"/>
  <c r="AC239" i="3"/>
  <c r="P239" i="3"/>
  <c r="C236" i="3"/>
  <c r="H236" i="3" s="1"/>
  <c r="S227" i="3"/>
  <c r="S228" i="3" s="1"/>
  <c r="F227" i="3"/>
  <c r="F228" i="3" s="1"/>
  <c r="R235" i="3"/>
  <c r="L235" i="3"/>
  <c r="R231" i="3"/>
  <c r="T231" i="3"/>
  <c r="S239" i="3"/>
  <c r="F239" i="3"/>
  <c r="AD234" i="3"/>
  <c r="AD226" i="3"/>
  <c r="AD222" i="3"/>
  <c r="AD223" i="3" s="1"/>
  <c r="AE223" i="3" s="1"/>
  <c r="B245" i="3"/>
  <c r="B249" i="3"/>
  <c r="X228" i="3"/>
  <c r="AD230" i="3"/>
  <c r="B241" i="3"/>
  <c r="B237" i="3"/>
  <c r="D50" i="2" l="1"/>
  <c r="E49" i="2"/>
  <c r="Y232" i="3"/>
  <c r="Y233" i="3" s="1"/>
  <c r="AC240" i="3"/>
  <c r="R244" i="3"/>
  <c r="X244" i="3"/>
  <c r="S244" i="3"/>
  <c r="T244" i="3"/>
  <c r="AC244" i="3"/>
  <c r="X236" i="3"/>
  <c r="F244" i="3"/>
  <c r="Y240" i="3"/>
  <c r="H244" i="3"/>
  <c r="N244" i="3"/>
  <c r="Z232" i="3"/>
  <c r="Z233" i="3" s="1"/>
  <c r="P244" i="3"/>
  <c r="V244" i="3"/>
  <c r="N232" i="3"/>
  <c r="N233" i="3" s="1"/>
  <c r="V232" i="3"/>
  <c r="AC236" i="3"/>
  <c r="F236" i="3"/>
  <c r="K244" i="3"/>
  <c r="X232" i="3"/>
  <c r="X233" i="3" s="1"/>
  <c r="P236" i="3"/>
  <c r="S232" i="3"/>
  <c r="S233" i="3" s="1"/>
  <c r="I240" i="3"/>
  <c r="AA232" i="3"/>
  <c r="AA233" i="3" s="1"/>
  <c r="L240" i="3"/>
  <c r="K236" i="3"/>
  <c r="W244" i="3"/>
  <c r="AA244" i="3"/>
  <c r="L232" i="3"/>
  <c r="L233" i="3" s="1"/>
  <c r="M240" i="3"/>
  <c r="S236" i="3"/>
  <c r="O244" i="3"/>
  <c r="L244" i="3"/>
  <c r="F232" i="3"/>
  <c r="F233" i="3" s="1"/>
  <c r="H240" i="3"/>
  <c r="X240" i="3"/>
  <c r="P240" i="3"/>
  <c r="V240" i="3"/>
  <c r="Q236" i="3"/>
  <c r="AA236" i="3"/>
  <c r="N236" i="3"/>
  <c r="Z236" i="3"/>
  <c r="L236" i="3"/>
  <c r="V236" i="3"/>
  <c r="I232" i="3"/>
  <c r="I233" i="3" s="1"/>
  <c r="T232" i="3"/>
  <c r="T233" i="3" s="1"/>
  <c r="G232" i="3"/>
  <c r="G233" i="3" s="1"/>
  <c r="R240" i="3"/>
  <c r="Z240" i="3"/>
  <c r="S240" i="3"/>
  <c r="R236" i="3"/>
  <c r="T236" i="3"/>
  <c r="G236" i="3"/>
  <c r="J232" i="3"/>
  <c r="J233" i="3" s="1"/>
  <c r="AB232" i="3"/>
  <c r="AB233" i="3" s="1"/>
  <c r="O232" i="3"/>
  <c r="O233" i="3" s="1"/>
  <c r="J240" i="3"/>
  <c r="F240" i="3"/>
  <c r="AA240" i="3"/>
  <c r="C237" i="3"/>
  <c r="X237" i="3" s="1"/>
  <c r="Y236" i="3"/>
  <c r="AB236" i="3"/>
  <c r="O236" i="3"/>
  <c r="Z244" i="3"/>
  <c r="I244" i="3"/>
  <c r="AB244" i="3"/>
  <c r="Q232" i="3"/>
  <c r="Q233" i="3" s="1"/>
  <c r="M232" i="3"/>
  <c r="M233" i="3" s="1"/>
  <c r="W232" i="3"/>
  <c r="W233" i="3" s="1"/>
  <c r="Q240" i="3"/>
  <c r="N240" i="3"/>
  <c r="T240" i="3"/>
  <c r="C241" i="3"/>
  <c r="F241" i="3" s="1"/>
  <c r="I236" i="3"/>
  <c r="M236" i="3"/>
  <c r="W236" i="3"/>
  <c r="G244" i="3"/>
  <c r="Q244" i="3"/>
  <c r="M244" i="3"/>
  <c r="R232" i="3"/>
  <c r="R233" i="3" s="1"/>
  <c r="U232" i="3"/>
  <c r="U233" i="3" s="1"/>
  <c r="H232" i="3"/>
  <c r="H233" i="3" s="1"/>
  <c r="K240" i="3"/>
  <c r="G240" i="3"/>
  <c r="AB240" i="3"/>
  <c r="C249" i="3"/>
  <c r="AB249" i="3" s="1"/>
  <c r="C245" i="3"/>
  <c r="U245" i="3" s="1"/>
  <c r="J236" i="3"/>
  <c r="U236" i="3"/>
  <c r="J244" i="3"/>
  <c r="Y244" i="3"/>
  <c r="K232" i="3"/>
  <c r="K233" i="3" s="1"/>
  <c r="AC232" i="3"/>
  <c r="AC233" i="3" s="1"/>
  <c r="W240" i="3"/>
  <c r="O240" i="3"/>
  <c r="V233" i="3"/>
  <c r="AD235" i="3"/>
  <c r="AD239" i="3"/>
  <c r="AD231" i="3"/>
  <c r="B250" i="3"/>
  <c r="B254" i="3"/>
  <c r="P233" i="3"/>
  <c r="AD227" i="3"/>
  <c r="AD228" i="3" s="1"/>
  <c r="AE228" i="3" s="1"/>
  <c r="B242" i="3"/>
  <c r="B246" i="3"/>
  <c r="AC245" i="3" l="1"/>
  <c r="D51" i="2"/>
  <c r="E50" i="2"/>
  <c r="T245" i="3"/>
  <c r="R249" i="3"/>
  <c r="V241" i="3"/>
  <c r="P249" i="3"/>
  <c r="V249" i="3"/>
  <c r="H249" i="3"/>
  <c r="I237" i="3"/>
  <c r="I238" i="3" s="1"/>
  <c r="G245" i="3"/>
  <c r="S249" i="3"/>
  <c r="W245" i="3"/>
  <c r="AA249" i="3"/>
  <c r="L249" i="3"/>
  <c r="Z245" i="3"/>
  <c r="W249" i="3"/>
  <c r="X249" i="3"/>
  <c r="M249" i="3"/>
  <c r="H245" i="3"/>
  <c r="Z249" i="3"/>
  <c r="I249" i="3"/>
  <c r="U249" i="3"/>
  <c r="X245" i="3"/>
  <c r="G249" i="3"/>
  <c r="Q249" i="3"/>
  <c r="AC249" i="3"/>
  <c r="S245" i="3"/>
  <c r="J249" i="3"/>
  <c r="Y249" i="3"/>
  <c r="F249" i="3"/>
  <c r="AA245" i="3"/>
  <c r="O249" i="3"/>
  <c r="K249" i="3"/>
  <c r="N249" i="3"/>
  <c r="J237" i="3"/>
  <c r="J238" i="3" s="1"/>
  <c r="U237" i="3"/>
  <c r="U238" i="3" s="1"/>
  <c r="Q237" i="3"/>
  <c r="Q238" i="3" s="1"/>
  <c r="N237" i="3"/>
  <c r="N238" i="3" s="1"/>
  <c r="M237" i="3"/>
  <c r="M238" i="3" s="1"/>
  <c r="O241" i="3"/>
  <c r="R237" i="3"/>
  <c r="R238" i="3" s="1"/>
  <c r="V237" i="3"/>
  <c r="V238" i="3" s="1"/>
  <c r="F245" i="3"/>
  <c r="H241" i="3"/>
  <c r="AA237" i="3"/>
  <c r="AA238" i="3" s="1"/>
  <c r="G237" i="3"/>
  <c r="G238" i="3" s="1"/>
  <c r="N245" i="3"/>
  <c r="J241" i="3"/>
  <c r="L237" i="3"/>
  <c r="L238" i="3" s="1"/>
  <c r="O237" i="3"/>
  <c r="O238" i="3" s="1"/>
  <c r="L241" i="3"/>
  <c r="Y237" i="3"/>
  <c r="Y238" i="3" s="1"/>
  <c r="T237" i="3"/>
  <c r="T238" i="3" s="1"/>
  <c r="W237" i="3"/>
  <c r="W238" i="3" s="1"/>
  <c r="K245" i="3"/>
  <c r="T249" i="3"/>
  <c r="T241" i="3"/>
  <c r="Z237" i="3"/>
  <c r="Z238" i="3" s="1"/>
  <c r="AB237" i="3"/>
  <c r="AB238" i="3" s="1"/>
  <c r="H237" i="3"/>
  <c r="H238" i="3" s="1"/>
  <c r="C254" i="3"/>
  <c r="V254" i="3" s="1"/>
  <c r="Z241" i="3"/>
  <c r="AA241" i="3"/>
  <c r="N241" i="3"/>
  <c r="C250" i="3"/>
  <c r="AC250" i="3" s="1"/>
  <c r="P245" i="3"/>
  <c r="L245" i="3"/>
  <c r="V245" i="3"/>
  <c r="P241" i="3"/>
  <c r="I241" i="3"/>
  <c r="AB241" i="3"/>
  <c r="R241" i="3"/>
  <c r="Q241" i="3"/>
  <c r="M241" i="3"/>
  <c r="C246" i="3"/>
  <c r="N246" i="3" s="1"/>
  <c r="C242" i="3"/>
  <c r="V242" i="3" s="1"/>
  <c r="J245" i="3"/>
  <c r="I245" i="3"/>
  <c r="AB245" i="3"/>
  <c r="W241" i="3"/>
  <c r="Y241" i="3"/>
  <c r="U241" i="3"/>
  <c r="K237" i="3"/>
  <c r="K238" i="3" s="1"/>
  <c r="AC237" i="3"/>
  <c r="AC238" i="3" s="1"/>
  <c r="P237" i="3"/>
  <c r="P238" i="3" s="1"/>
  <c r="O245" i="3"/>
  <c r="Q245" i="3"/>
  <c r="M245" i="3"/>
  <c r="X241" i="3"/>
  <c r="K241" i="3"/>
  <c r="AC241" i="3"/>
  <c r="S237" i="3"/>
  <c r="S238" i="3" s="1"/>
  <c r="F237" i="3"/>
  <c r="F238" i="3" s="1"/>
  <c r="R245" i="3"/>
  <c r="Y245" i="3"/>
  <c r="G241" i="3"/>
  <c r="S241" i="3"/>
  <c r="AD244" i="3"/>
  <c r="X238" i="3"/>
  <c r="B255" i="3"/>
  <c r="B259" i="3"/>
  <c r="B251" i="3"/>
  <c r="AD240" i="3"/>
  <c r="AD236" i="3"/>
  <c r="AD232" i="3"/>
  <c r="AD233" i="3" s="1"/>
  <c r="AE233" i="3" s="1"/>
  <c r="B247" i="3"/>
  <c r="G254" i="3" l="1"/>
  <c r="X254" i="3"/>
  <c r="G250" i="3"/>
  <c r="D52" i="2"/>
  <c r="E51" i="2"/>
  <c r="P254" i="3"/>
  <c r="AA250" i="3"/>
  <c r="I254" i="3"/>
  <c r="Q254" i="3"/>
  <c r="U254" i="3"/>
  <c r="W254" i="3"/>
  <c r="T250" i="3"/>
  <c r="AC254" i="3"/>
  <c r="H250" i="3"/>
  <c r="Y254" i="3"/>
  <c r="X250" i="3"/>
  <c r="AB254" i="3"/>
  <c r="S250" i="3"/>
  <c r="Z254" i="3"/>
  <c r="M254" i="3"/>
  <c r="AB242" i="3"/>
  <c r="AB243" i="3" s="1"/>
  <c r="F250" i="3"/>
  <c r="O242" i="3"/>
  <c r="O243" i="3" s="1"/>
  <c r="R242" i="3"/>
  <c r="R243" i="3" s="1"/>
  <c r="X242" i="3"/>
  <c r="X243" i="3" s="1"/>
  <c r="Z250" i="3"/>
  <c r="N250" i="3"/>
  <c r="J254" i="3"/>
  <c r="K254" i="3"/>
  <c r="I242" i="3"/>
  <c r="I243" i="3" s="1"/>
  <c r="O254" i="3"/>
  <c r="S254" i="3"/>
  <c r="T242" i="3"/>
  <c r="T243" i="3" s="1"/>
  <c r="P250" i="3"/>
  <c r="R254" i="3"/>
  <c r="T254" i="3"/>
  <c r="P246" i="3"/>
  <c r="L246" i="3"/>
  <c r="V246" i="3"/>
  <c r="T246" i="3"/>
  <c r="W242" i="3"/>
  <c r="W243" i="3" s="1"/>
  <c r="Q242" i="3"/>
  <c r="Q243" i="3" s="1"/>
  <c r="M242" i="3"/>
  <c r="M243" i="3" s="1"/>
  <c r="G246" i="3"/>
  <c r="I246" i="3"/>
  <c r="AB246" i="3"/>
  <c r="L250" i="3"/>
  <c r="V250" i="3"/>
  <c r="J246" i="3"/>
  <c r="Z242" i="3"/>
  <c r="Z243" i="3" s="1"/>
  <c r="Y242" i="3"/>
  <c r="U242" i="3"/>
  <c r="U243" i="3" s="1"/>
  <c r="O246" i="3"/>
  <c r="Q246" i="3"/>
  <c r="M246" i="3"/>
  <c r="C259" i="3"/>
  <c r="U259" i="3" s="1"/>
  <c r="G242" i="3"/>
  <c r="G243" i="3" s="1"/>
  <c r="K242" i="3"/>
  <c r="K243" i="3" s="1"/>
  <c r="AC242" i="3"/>
  <c r="AC243" i="3" s="1"/>
  <c r="R246" i="3"/>
  <c r="Y246" i="3"/>
  <c r="U246" i="3"/>
  <c r="J250" i="3"/>
  <c r="I250" i="3"/>
  <c r="AB250" i="3"/>
  <c r="F254" i="3"/>
  <c r="C255" i="3"/>
  <c r="N255" i="3" s="1"/>
  <c r="J242" i="3"/>
  <c r="J243" i="3" s="1"/>
  <c r="S242" i="3"/>
  <c r="S243" i="3" s="1"/>
  <c r="F242" i="3"/>
  <c r="F243" i="3" s="1"/>
  <c r="W246" i="3"/>
  <c r="K246" i="3"/>
  <c r="AC246" i="3"/>
  <c r="O250" i="3"/>
  <c r="Q250" i="3"/>
  <c r="M250" i="3"/>
  <c r="H254" i="3"/>
  <c r="AA254" i="3"/>
  <c r="N254" i="3"/>
  <c r="C251" i="3"/>
  <c r="U251" i="3" s="1"/>
  <c r="H242" i="3"/>
  <c r="H243" i="3" s="1"/>
  <c r="AA242" i="3"/>
  <c r="AA243" i="3" s="1"/>
  <c r="N242" i="3"/>
  <c r="N243" i="3" s="1"/>
  <c r="Z246" i="3"/>
  <c r="S246" i="3"/>
  <c r="F246" i="3"/>
  <c r="R250" i="3"/>
  <c r="Y250" i="3"/>
  <c r="U250" i="3"/>
  <c r="L254" i="3"/>
  <c r="X246" i="3"/>
  <c r="C247" i="3"/>
  <c r="V247" i="3" s="1"/>
  <c r="P242" i="3"/>
  <c r="P243" i="3" s="1"/>
  <c r="L242" i="3"/>
  <c r="L243" i="3" s="1"/>
  <c r="H246" i="3"/>
  <c r="AA246" i="3"/>
  <c r="W250" i="3"/>
  <c r="K250" i="3"/>
  <c r="Y243" i="3"/>
  <c r="AD249" i="3"/>
  <c r="AD245" i="3"/>
  <c r="B256" i="3"/>
  <c r="V243" i="3"/>
  <c r="AD237" i="3"/>
  <c r="AD238" i="3" s="1"/>
  <c r="AE238" i="3" s="1"/>
  <c r="AD241" i="3"/>
  <c r="B252" i="3"/>
  <c r="B260" i="3"/>
  <c r="B264" i="3"/>
  <c r="H251" i="3" l="1"/>
  <c r="D53" i="2"/>
  <c r="E52" i="2"/>
  <c r="O259" i="3"/>
  <c r="G255" i="3"/>
  <c r="R259" i="3"/>
  <c r="X255" i="3"/>
  <c r="H259" i="3"/>
  <c r="L255" i="3"/>
  <c r="AC259" i="3"/>
  <c r="T255" i="3"/>
  <c r="F259" i="3"/>
  <c r="N259" i="3"/>
  <c r="P251" i="3"/>
  <c r="P259" i="3"/>
  <c r="K259" i="3"/>
  <c r="S259" i="3"/>
  <c r="T259" i="3"/>
  <c r="F251" i="3"/>
  <c r="V255" i="3"/>
  <c r="X259" i="3"/>
  <c r="V259" i="3"/>
  <c r="Z251" i="3"/>
  <c r="L259" i="3"/>
  <c r="X251" i="3"/>
  <c r="K251" i="3"/>
  <c r="S251" i="3"/>
  <c r="G251" i="3"/>
  <c r="T251" i="3"/>
  <c r="W251" i="3"/>
  <c r="AC251" i="3"/>
  <c r="P255" i="3"/>
  <c r="Z259" i="3"/>
  <c r="AA259" i="3"/>
  <c r="T247" i="3"/>
  <c r="T248" i="3" s="1"/>
  <c r="AB247" i="3"/>
  <c r="AB248" i="3" s="1"/>
  <c r="W247" i="3"/>
  <c r="W248" i="3" s="1"/>
  <c r="Q247" i="3"/>
  <c r="Q248" i="3" s="1"/>
  <c r="M247" i="3"/>
  <c r="M248" i="3" s="1"/>
  <c r="AA251" i="3"/>
  <c r="N251" i="3"/>
  <c r="J255" i="3"/>
  <c r="I255" i="3"/>
  <c r="AB255" i="3"/>
  <c r="I247" i="3"/>
  <c r="I248" i="3" s="1"/>
  <c r="Z247" i="3"/>
  <c r="Z248" i="3" s="1"/>
  <c r="Y247" i="3"/>
  <c r="Y248" i="3" s="1"/>
  <c r="U247" i="3"/>
  <c r="U248" i="3" s="1"/>
  <c r="L251" i="3"/>
  <c r="V251" i="3"/>
  <c r="O255" i="3"/>
  <c r="Q255" i="3"/>
  <c r="M255" i="3"/>
  <c r="X247" i="3"/>
  <c r="X248" i="3" s="1"/>
  <c r="R247" i="3"/>
  <c r="R248" i="3" s="1"/>
  <c r="G247" i="3"/>
  <c r="G248" i="3" s="1"/>
  <c r="R255" i="3"/>
  <c r="Y255" i="3"/>
  <c r="U255" i="3"/>
  <c r="C264" i="3"/>
  <c r="AB264" i="3" s="1"/>
  <c r="C260" i="3"/>
  <c r="M260" i="3" s="1"/>
  <c r="AC247" i="3"/>
  <c r="AC248" i="3" s="1"/>
  <c r="J247" i="3"/>
  <c r="J248" i="3" s="1"/>
  <c r="S247" i="3"/>
  <c r="S248" i="3" s="1"/>
  <c r="F247" i="3"/>
  <c r="J251" i="3"/>
  <c r="I251" i="3"/>
  <c r="AB251" i="3"/>
  <c r="W255" i="3"/>
  <c r="K255" i="3"/>
  <c r="AC255" i="3"/>
  <c r="W259" i="3"/>
  <c r="I259" i="3"/>
  <c r="AB259" i="3"/>
  <c r="C256" i="3"/>
  <c r="F256" i="3" s="1"/>
  <c r="K247" i="3"/>
  <c r="K248" i="3" s="1"/>
  <c r="C252" i="3"/>
  <c r="M252" i="3" s="1"/>
  <c r="H247" i="3"/>
  <c r="H248" i="3" s="1"/>
  <c r="AA247" i="3"/>
  <c r="AA248" i="3" s="1"/>
  <c r="N247" i="3"/>
  <c r="N248" i="3" s="1"/>
  <c r="O251" i="3"/>
  <c r="Q251" i="3"/>
  <c r="M251" i="3"/>
  <c r="Z255" i="3"/>
  <c r="S255" i="3"/>
  <c r="F255" i="3"/>
  <c r="G259" i="3"/>
  <c r="Q259" i="3"/>
  <c r="M259" i="3"/>
  <c r="O247" i="3"/>
  <c r="O248" i="3" s="1"/>
  <c r="P247" i="3"/>
  <c r="P248" i="3" s="1"/>
  <c r="L247" i="3"/>
  <c r="L248" i="3" s="1"/>
  <c r="R251" i="3"/>
  <c r="Y251" i="3"/>
  <c r="H255" i="3"/>
  <c r="AA255" i="3"/>
  <c r="J259" i="3"/>
  <c r="Y259" i="3"/>
  <c r="AD250" i="3"/>
  <c r="AD242" i="3"/>
  <c r="AD243" i="3" s="1"/>
  <c r="AE243" i="3" s="1"/>
  <c r="V248" i="3"/>
  <c r="B269" i="3"/>
  <c r="B265" i="3"/>
  <c r="AD254" i="3"/>
  <c r="B261" i="3"/>
  <c r="AD246" i="3"/>
  <c r="B257" i="3"/>
  <c r="T256" i="3" l="1"/>
  <c r="H252" i="3"/>
  <c r="G260" i="3"/>
  <c r="O252" i="3"/>
  <c r="O253" i="3" s="1"/>
  <c r="M256" i="3"/>
  <c r="Y260" i="3"/>
  <c r="S260" i="3"/>
  <c r="G256" i="3"/>
  <c r="K260" i="3"/>
  <c r="J260" i="3"/>
  <c r="U260" i="3"/>
  <c r="Z260" i="3"/>
  <c r="AC260" i="3"/>
  <c r="T252" i="3"/>
  <c r="T253" i="3" s="1"/>
  <c r="P260" i="3"/>
  <c r="H260" i="3"/>
  <c r="I260" i="3"/>
  <c r="D54" i="2"/>
  <c r="E53" i="2"/>
  <c r="Y252" i="3"/>
  <c r="Y253" i="3" s="1"/>
  <c r="R260" i="3"/>
  <c r="L260" i="3"/>
  <c r="L252" i="3"/>
  <c r="L253" i="3" s="1"/>
  <c r="F260" i="3"/>
  <c r="P256" i="3"/>
  <c r="O256" i="3"/>
  <c r="R256" i="3"/>
  <c r="H256" i="3"/>
  <c r="AC252" i="3"/>
  <c r="AC253" i="3" s="1"/>
  <c r="X256" i="3"/>
  <c r="L256" i="3"/>
  <c r="I256" i="3"/>
  <c r="Q256" i="3"/>
  <c r="AA256" i="3"/>
  <c r="M264" i="3"/>
  <c r="N256" i="3"/>
  <c r="N260" i="3"/>
  <c r="V256" i="3"/>
  <c r="V260" i="3"/>
  <c r="P252" i="3"/>
  <c r="P253" i="3" s="1"/>
  <c r="J256" i="3"/>
  <c r="Y256" i="3"/>
  <c r="W260" i="3"/>
  <c r="AA260" i="3"/>
  <c r="O264" i="3"/>
  <c r="J264" i="3"/>
  <c r="T264" i="3"/>
  <c r="X252" i="3"/>
  <c r="X253" i="3" s="1"/>
  <c r="AB252" i="3"/>
  <c r="AB253" i="3" s="1"/>
  <c r="R264" i="3"/>
  <c r="U264" i="3"/>
  <c r="R252" i="3"/>
  <c r="R253" i="3" s="1"/>
  <c r="I252" i="3"/>
  <c r="I253" i="3" s="1"/>
  <c r="U252" i="3"/>
  <c r="U253" i="3" s="1"/>
  <c r="AB256" i="3"/>
  <c r="X264" i="3"/>
  <c r="AC264" i="3"/>
  <c r="Q264" i="3"/>
  <c r="Z252" i="3"/>
  <c r="Z253" i="3" s="1"/>
  <c r="K252" i="3"/>
  <c r="K253" i="3" s="1"/>
  <c r="F252" i="3"/>
  <c r="F253" i="3" s="1"/>
  <c r="U256" i="3"/>
  <c r="Y264" i="3"/>
  <c r="G252" i="3"/>
  <c r="G253" i="3" s="1"/>
  <c r="S252" i="3"/>
  <c r="S253" i="3" s="1"/>
  <c r="N252" i="3"/>
  <c r="N253" i="3" s="1"/>
  <c r="W256" i="3"/>
  <c r="K256" i="3"/>
  <c r="AC256" i="3"/>
  <c r="T260" i="3"/>
  <c r="W264" i="3"/>
  <c r="K264" i="3"/>
  <c r="J252" i="3"/>
  <c r="J253" i="3" s="1"/>
  <c r="AA252" i="3"/>
  <c r="AA253" i="3" s="1"/>
  <c r="V252" i="3"/>
  <c r="V253" i="3" s="1"/>
  <c r="Z256" i="3"/>
  <c r="S256" i="3"/>
  <c r="X260" i="3"/>
  <c r="AB260" i="3"/>
  <c r="G264" i="3"/>
  <c r="S264" i="3"/>
  <c r="F264" i="3"/>
  <c r="H264" i="3"/>
  <c r="AA264" i="3"/>
  <c r="N264" i="3"/>
  <c r="C261" i="3"/>
  <c r="AC261" i="3" s="1"/>
  <c r="C265" i="3"/>
  <c r="F265" i="3" s="1"/>
  <c r="P264" i="3"/>
  <c r="L264" i="3"/>
  <c r="V264" i="3"/>
  <c r="C257" i="3"/>
  <c r="AB257" i="3" s="1"/>
  <c r="C269" i="3"/>
  <c r="M269" i="3" s="1"/>
  <c r="W252" i="3"/>
  <c r="W253" i="3" s="1"/>
  <c r="Q252" i="3"/>
  <c r="Q253" i="3" s="1"/>
  <c r="O260" i="3"/>
  <c r="Q260" i="3"/>
  <c r="Z264" i="3"/>
  <c r="I264" i="3"/>
  <c r="M253" i="3"/>
  <c r="AD255" i="3"/>
  <c r="AD251" i="3"/>
  <c r="B262" i="3"/>
  <c r="AD247" i="3"/>
  <c r="AD248" i="3" s="1"/>
  <c r="B266" i="3"/>
  <c r="AD259" i="3"/>
  <c r="B270" i="3"/>
  <c r="B274" i="3"/>
  <c r="F248" i="3"/>
  <c r="X257" i="3" l="1"/>
  <c r="X258" i="3" s="1"/>
  <c r="Y257" i="3"/>
  <c r="Y258" i="3" s="1"/>
  <c r="M257" i="3"/>
  <c r="M258" i="3" s="1"/>
  <c r="D55" i="2"/>
  <c r="E54" i="2"/>
  <c r="G257" i="3"/>
  <c r="G258" i="3" s="1"/>
  <c r="Y269" i="3"/>
  <c r="W269" i="3"/>
  <c r="G261" i="3"/>
  <c r="J269" i="3"/>
  <c r="T257" i="3"/>
  <c r="T258" i="3" s="1"/>
  <c r="H261" i="3"/>
  <c r="H269" i="3"/>
  <c r="S261" i="3"/>
  <c r="X269" i="3"/>
  <c r="AA261" i="3"/>
  <c r="G265" i="3"/>
  <c r="J265" i="3"/>
  <c r="P265" i="3"/>
  <c r="AB269" i="3"/>
  <c r="AC257" i="3"/>
  <c r="AC258" i="3" s="1"/>
  <c r="L265" i="3"/>
  <c r="T265" i="3"/>
  <c r="T261" i="3"/>
  <c r="Z257" i="3"/>
  <c r="Z258" i="3" s="1"/>
  <c r="AB265" i="3"/>
  <c r="F261" i="3"/>
  <c r="N265" i="3"/>
  <c r="S269" i="3"/>
  <c r="H265" i="3"/>
  <c r="X265" i="3"/>
  <c r="X261" i="3"/>
  <c r="U269" i="3"/>
  <c r="I269" i="3"/>
  <c r="AC269" i="3"/>
  <c r="J257" i="3"/>
  <c r="J258" i="3" s="1"/>
  <c r="U257" i="3"/>
  <c r="U258" i="3" s="1"/>
  <c r="F269" i="3"/>
  <c r="Z269" i="3"/>
  <c r="K269" i="3"/>
  <c r="N269" i="3"/>
  <c r="Q257" i="3"/>
  <c r="Q258" i="3" s="1"/>
  <c r="F257" i="3"/>
  <c r="F258" i="3" s="1"/>
  <c r="V265" i="3"/>
  <c r="O269" i="3"/>
  <c r="AA269" i="3"/>
  <c r="O257" i="3"/>
  <c r="O258" i="3" s="1"/>
  <c r="K257" i="3"/>
  <c r="K258" i="3" s="1"/>
  <c r="I265" i="3"/>
  <c r="R269" i="3"/>
  <c r="T269" i="3"/>
  <c r="W257" i="3"/>
  <c r="W258" i="3" s="1"/>
  <c r="S257" i="3"/>
  <c r="S258" i="3" s="1"/>
  <c r="AA265" i="3"/>
  <c r="Z261" i="3"/>
  <c r="N261" i="3"/>
  <c r="P261" i="3"/>
  <c r="L261" i="3"/>
  <c r="V261" i="3"/>
  <c r="C270" i="3"/>
  <c r="AC270" i="3" s="1"/>
  <c r="C262" i="3"/>
  <c r="F262" i="3" s="1"/>
  <c r="P269" i="3"/>
  <c r="L269" i="3"/>
  <c r="V269" i="3"/>
  <c r="H257" i="3"/>
  <c r="H258" i="3" s="1"/>
  <c r="AA257" i="3"/>
  <c r="AA258" i="3" s="1"/>
  <c r="N257" i="3"/>
  <c r="N258" i="3" s="1"/>
  <c r="O265" i="3"/>
  <c r="Q265" i="3"/>
  <c r="M265" i="3"/>
  <c r="J261" i="3"/>
  <c r="I261" i="3"/>
  <c r="AB261" i="3"/>
  <c r="AE248" i="3"/>
  <c r="AF248" i="3"/>
  <c r="P257" i="3"/>
  <c r="P258" i="3" s="1"/>
  <c r="L257" i="3"/>
  <c r="L258" i="3" s="1"/>
  <c r="V257" i="3"/>
  <c r="V258" i="3" s="1"/>
  <c r="R265" i="3"/>
  <c r="Y265" i="3"/>
  <c r="U265" i="3"/>
  <c r="O261" i="3"/>
  <c r="Q261" i="3"/>
  <c r="M261" i="3"/>
  <c r="C266" i="3"/>
  <c r="F266" i="3" s="1"/>
  <c r="W265" i="3"/>
  <c r="K265" i="3"/>
  <c r="AC265" i="3"/>
  <c r="R261" i="3"/>
  <c r="Y261" i="3"/>
  <c r="U261" i="3"/>
  <c r="C274" i="3"/>
  <c r="X274" i="3" s="1"/>
  <c r="G269" i="3"/>
  <c r="Q269" i="3"/>
  <c r="R257" i="3"/>
  <c r="R258" i="3" s="1"/>
  <c r="I257" i="3"/>
  <c r="I258" i="3" s="1"/>
  <c r="Z265" i="3"/>
  <c r="S265" i="3"/>
  <c r="W261" i="3"/>
  <c r="K261" i="3"/>
  <c r="AD252" i="3"/>
  <c r="AD253" i="3" s="1"/>
  <c r="AD260" i="3"/>
  <c r="H253" i="3"/>
  <c r="AB258" i="3"/>
  <c r="AD256" i="3"/>
  <c r="B267" i="3"/>
  <c r="B275" i="3"/>
  <c r="B279" i="3"/>
  <c r="B271" i="3"/>
  <c r="AD264" i="3"/>
  <c r="H45" i="2" l="1"/>
  <c r="D56" i="2"/>
  <c r="E55" i="2"/>
  <c r="G266" i="3"/>
  <c r="AB262" i="3"/>
  <c r="AB263" i="3" s="1"/>
  <c r="J266" i="3"/>
  <c r="T262" i="3"/>
  <c r="T263" i="3" s="1"/>
  <c r="V266" i="3"/>
  <c r="P266" i="3"/>
  <c r="L266" i="3"/>
  <c r="T266" i="3"/>
  <c r="AB266" i="3"/>
  <c r="V262" i="3"/>
  <c r="V263" i="3" s="1"/>
  <c r="O262" i="3"/>
  <c r="O263" i="3" s="1"/>
  <c r="X270" i="3"/>
  <c r="R262" i="3"/>
  <c r="R263" i="3" s="1"/>
  <c r="AA270" i="3"/>
  <c r="I262" i="3"/>
  <c r="I263" i="3" s="1"/>
  <c r="T270" i="3"/>
  <c r="I266" i="3"/>
  <c r="L262" i="3"/>
  <c r="L263" i="3" s="1"/>
  <c r="N270" i="3"/>
  <c r="L274" i="3"/>
  <c r="V274" i="3"/>
  <c r="Q274" i="3"/>
  <c r="X266" i="3"/>
  <c r="P262" i="3"/>
  <c r="P263" i="3" s="1"/>
  <c r="G270" i="3"/>
  <c r="Q266" i="3"/>
  <c r="X262" i="3"/>
  <c r="X263" i="3" s="1"/>
  <c r="H270" i="3"/>
  <c r="C271" i="3"/>
  <c r="AB271" i="3" s="1"/>
  <c r="O274" i="3"/>
  <c r="C279" i="3"/>
  <c r="H279" i="3" s="1"/>
  <c r="Z274" i="3"/>
  <c r="N274" i="3"/>
  <c r="I274" i="3"/>
  <c r="H266" i="3"/>
  <c r="AA266" i="3"/>
  <c r="N266" i="3"/>
  <c r="H262" i="3"/>
  <c r="H263" i="3" s="1"/>
  <c r="AA262" i="3"/>
  <c r="AA263" i="3" s="1"/>
  <c r="N262" i="3"/>
  <c r="N263" i="3" s="1"/>
  <c r="Z270" i="3"/>
  <c r="S270" i="3"/>
  <c r="F270" i="3"/>
  <c r="T274" i="3"/>
  <c r="G274" i="3"/>
  <c r="Y274" i="3"/>
  <c r="P270" i="3"/>
  <c r="L270" i="3"/>
  <c r="V270" i="3"/>
  <c r="C275" i="3"/>
  <c r="I275" i="3" s="1"/>
  <c r="W262" i="3"/>
  <c r="W263" i="3" s="1"/>
  <c r="Q262" i="3"/>
  <c r="Q263" i="3" s="1"/>
  <c r="M262" i="3"/>
  <c r="M263" i="3" s="1"/>
  <c r="J270" i="3"/>
  <c r="I270" i="3"/>
  <c r="AB270" i="3"/>
  <c r="W274" i="3"/>
  <c r="AA274" i="3"/>
  <c r="U274" i="3"/>
  <c r="H274" i="3"/>
  <c r="R266" i="3"/>
  <c r="Y266" i="3"/>
  <c r="U266" i="3"/>
  <c r="Z262" i="3"/>
  <c r="Z263" i="3" s="1"/>
  <c r="Y262" i="3"/>
  <c r="Y263" i="3" s="1"/>
  <c r="U262" i="3"/>
  <c r="U263" i="3" s="1"/>
  <c r="O270" i="3"/>
  <c r="Q270" i="3"/>
  <c r="M270" i="3"/>
  <c r="C267" i="3"/>
  <c r="AB267" i="3" s="1"/>
  <c r="S274" i="3"/>
  <c r="J274" i="3"/>
  <c r="AC274" i="3"/>
  <c r="P274" i="3"/>
  <c r="W266" i="3"/>
  <c r="K266" i="3"/>
  <c r="AC266" i="3"/>
  <c r="G262" i="3"/>
  <c r="G263" i="3" s="1"/>
  <c r="K262" i="3"/>
  <c r="K263" i="3" s="1"/>
  <c r="AC262" i="3"/>
  <c r="AC263" i="3" s="1"/>
  <c r="R270" i="3"/>
  <c r="Y270" i="3"/>
  <c r="U270" i="3"/>
  <c r="K274" i="3"/>
  <c r="AB274" i="3"/>
  <c r="M274" i="3"/>
  <c r="O266" i="3"/>
  <c r="M266" i="3"/>
  <c r="R274" i="3"/>
  <c r="F274" i="3"/>
  <c r="Z266" i="3"/>
  <c r="S266" i="3"/>
  <c r="J262" i="3"/>
  <c r="J263" i="3" s="1"/>
  <c r="S262" i="3"/>
  <c r="S263" i="3" s="1"/>
  <c r="W270" i="3"/>
  <c r="K270" i="3"/>
  <c r="AE253" i="3"/>
  <c r="AD261" i="3"/>
  <c r="AD269" i="3"/>
  <c r="B280" i="3"/>
  <c r="B284" i="3"/>
  <c r="AD257" i="3"/>
  <c r="AD258" i="3" s="1"/>
  <c r="AE258" i="3" s="1"/>
  <c r="B272" i="3"/>
  <c r="B276" i="3"/>
  <c r="AD265" i="3"/>
  <c r="L267" i="3" l="1"/>
  <c r="L268" i="3" s="1"/>
  <c r="T267" i="3"/>
  <c r="T268" i="3" s="1"/>
  <c r="D57" i="2"/>
  <c r="E56" i="2"/>
  <c r="Y267" i="3"/>
  <c r="Z267" i="3"/>
  <c r="Z268" i="3" s="1"/>
  <c r="G267" i="3"/>
  <c r="Y271" i="3"/>
  <c r="K271" i="3"/>
  <c r="M267" i="3"/>
  <c r="M268" i="3" s="1"/>
  <c r="O271" i="3"/>
  <c r="S271" i="3"/>
  <c r="G271" i="3"/>
  <c r="W267" i="3"/>
  <c r="W268" i="3" s="1"/>
  <c r="U267" i="3"/>
  <c r="U268" i="3" s="1"/>
  <c r="R279" i="3"/>
  <c r="R271" i="3"/>
  <c r="U271" i="3"/>
  <c r="Q271" i="3"/>
  <c r="Z279" i="3"/>
  <c r="W271" i="3"/>
  <c r="AC271" i="3"/>
  <c r="AC279" i="3"/>
  <c r="Z271" i="3"/>
  <c r="F271" i="3"/>
  <c r="X267" i="3"/>
  <c r="X268" i="3" s="1"/>
  <c r="O279" i="3"/>
  <c r="X271" i="3"/>
  <c r="N271" i="3"/>
  <c r="S275" i="3"/>
  <c r="L275" i="3"/>
  <c r="T275" i="3"/>
  <c r="P267" i="3"/>
  <c r="P268" i="3" s="1"/>
  <c r="AC267" i="3"/>
  <c r="AC268" i="3" s="1"/>
  <c r="O275" i="3"/>
  <c r="AA271" i="3"/>
  <c r="Q275" i="3"/>
  <c r="H271" i="3"/>
  <c r="T271" i="3"/>
  <c r="Q267" i="3"/>
  <c r="Q268" i="3" s="1"/>
  <c r="Y275" i="3"/>
  <c r="P271" i="3"/>
  <c r="M271" i="3"/>
  <c r="P279" i="3"/>
  <c r="L279" i="3"/>
  <c r="X279" i="3"/>
  <c r="AB279" i="3"/>
  <c r="I279" i="3"/>
  <c r="V267" i="3"/>
  <c r="V268" i="3" s="1"/>
  <c r="AB275" i="3"/>
  <c r="F279" i="3"/>
  <c r="L271" i="3"/>
  <c r="V271" i="3"/>
  <c r="V275" i="3"/>
  <c r="K279" i="3"/>
  <c r="N279" i="3"/>
  <c r="O267" i="3"/>
  <c r="O268" i="3" s="1"/>
  <c r="K267" i="3"/>
  <c r="K268" i="3" s="1"/>
  <c r="G275" i="3"/>
  <c r="J279" i="3"/>
  <c r="V279" i="3"/>
  <c r="J271" i="3"/>
  <c r="I271" i="3"/>
  <c r="J267" i="3"/>
  <c r="J268" i="3" s="1"/>
  <c r="S267" i="3"/>
  <c r="S268" i="3" s="1"/>
  <c r="F267" i="3"/>
  <c r="AA275" i="3"/>
  <c r="M275" i="3"/>
  <c r="W275" i="3"/>
  <c r="Q279" i="3"/>
  <c r="C272" i="3"/>
  <c r="AC272" i="3" s="1"/>
  <c r="H267" i="3"/>
  <c r="H268" i="3" s="1"/>
  <c r="AA267" i="3"/>
  <c r="AA268" i="3" s="1"/>
  <c r="N267" i="3"/>
  <c r="N268" i="3" s="1"/>
  <c r="K275" i="3"/>
  <c r="U275" i="3"/>
  <c r="H275" i="3"/>
  <c r="T279" i="3"/>
  <c r="G279" i="3"/>
  <c r="Y279" i="3"/>
  <c r="J275" i="3"/>
  <c r="AC275" i="3"/>
  <c r="P275" i="3"/>
  <c r="C284" i="3"/>
  <c r="X284" i="3" s="1"/>
  <c r="R275" i="3"/>
  <c r="F275" i="3"/>
  <c r="X275" i="3"/>
  <c r="S279" i="3"/>
  <c r="M279" i="3"/>
  <c r="W279" i="3"/>
  <c r="C280" i="3"/>
  <c r="P280" i="3" s="1"/>
  <c r="C276" i="3"/>
  <c r="X276" i="3" s="1"/>
  <c r="R267" i="3"/>
  <c r="R268" i="3" s="1"/>
  <c r="I267" i="3"/>
  <c r="I268" i="3" s="1"/>
  <c r="Z275" i="3"/>
  <c r="N275" i="3"/>
  <c r="AA279" i="3"/>
  <c r="U279" i="3"/>
  <c r="AD266" i="3"/>
  <c r="AD274" i="3"/>
  <c r="Y268" i="3"/>
  <c r="AD270" i="3"/>
  <c r="G268" i="3"/>
  <c r="AB268" i="3"/>
  <c r="B289" i="3"/>
  <c r="B285" i="3"/>
  <c r="B277" i="3"/>
  <c r="B281" i="3"/>
  <c r="AD262" i="3"/>
  <c r="AD263" i="3" s="1"/>
  <c r="F263" i="3"/>
  <c r="E57" i="2" l="1"/>
  <c r="D58" i="2"/>
  <c r="I272" i="3"/>
  <c r="I273" i="3" s="1"/>
  <c r="M272" i="3"/>
  <c r="M273" i="3" s="1"/>
  <c r="N280" i="3"/>
  <c r="Z284" i="3"/>
  <c r="U272" i="3"/>
  <c r="U273" i="3" s="1"/>
  <c r="K280" i="3"/>
  <c r="V280" i="3"/>
  <c r="L284" i="3"/>
  <c r="Z276" i="3"/>
  <c r="R280" i="3"/>
  <c r="G280" i="3"/>
  <c r="AB284" i="3"/>
  <c r="O280" i="3"/>
  <c r="N284" i="3"/>
  <c r="Z280" i="3"/>
  <c r="N276" i="3"/>
  <c r="L280" i="3"/>
  <c r="X280" i="3"/>
  <c r="V284" i="3"/>
  <c r="V276" i="3"/>
  <c r="T280" i="3"/>
  <c r="I280" i="3"/>
  <c r="O284" i="3"/>
  <c r="R272" i="3"/>
  <c r="R273" i="3" s="1"/>
  <c r="L276" i="3"/>
  <c r="I276" i="3"/>
  <c r="AB280" i="3"/>
  <c r="Q280" i="3"/>
  <c r="I284" i="3"/>
  <c r="O272" i="3"/>
  <c r="O273" i="3" s="1"/>
  <c r="Q276" i="3"/>
  <c r="F280" i="3"/>
  <c r="Y280" i="3"/>
  <c r="K284" i="3"/>
  <c r="Q284" i="3"/>
  <c r="X272" i="3"/>
  <c r="X273" i="3" s="1"/>
  <c r="T276" i="3"/>
  <c r="G276" i="3"/>
  <c r="Y276" i="3"/>
  <c r="T284" i="3"/>
  <c r="G284" i="3"/>
  <c r="Y284" i="3"/>
  <c r="W272" i="3"/>
  <c r="Q272" i="3"/>
  <c r="Q273" i="3" s="1"/>
  <c r="F272" i="3"/>
  <c r="AA272" i="3"/>
  <c r="AA273" i="3" s="1"/>
  <c r="Y272" i="3"/>
  <c r="Y273" i="3" s="1"/>
  <c r="N272" i="3"/>
  <c r="N273" i="3" s="1"/>
  <c r="C277" i="3"/>
  <c r="X277" i="3" s="1"/>
  <c r="S284" i="3"/>
  <c r="M284" i="3"/>
  <c r="W284" i="3"/>
  <c r="G272" i="3"/>
  <c r="G273" i="3" s="1"/>
  <c r="K272" i="3"/>
  <c r="K273" i="3" s="1"/>
  <c r="V272" i="3"/>
  <c r="V273" i="3" s="1"/>
  <c r="AB276" i="3"/>
  <c r="M276" i="3"/>
  <c r="W276" i="3"/>
  <c r="C285" i="3"/>
  <c r="Q285" i="3" s="1"/>
  <c r="AA276" i="3"/>
  <c r="U276" i="3"/>
  <c r="H276" i="3"/>
  <c r="S280" i="3"/>
  <c r="M280" i="3"/>
  <c r="W280" i="3"/>
  <c r="AA284" i="3"/>
  <c r="U284" i="3"/>
  <c r="H284" i="3"/>
  <c r="J272" i="3"/>
  <c r="J273" i="3" s="1"/>
  <c r="S272" i="3"/>
  <c r="S273" i="3" s="1"/>
  <c r="Z272" i="3"/>
  <c r="Z273" i="3" s="1"/>
  <c r="C281" i="3"/>
  <c r="P281" i="3" s="1"/>
  <c r="S276" i="3"/>
  <c r="J276" i="3"/>
  <c r="AC276" i="3"/>
  <c r="P276" i="3"/>
  <c r="AA280" i="3"/>
  <c r="U280" i="3"/>
  <c r="H280" i="3"/>
  <c r="J284" i="3"/>
  <c r="AC284" i="3"/>
  <c r="P284" i="3"/>
  <c r="H272" i="3"/>
  <c r="H273" i="3" s="1"/>
  <c r="L272" i="3"/>
  <c r="L273" i="3" s="1"/>
  <c r="AB272" i="3"/>
  <c r="AB273" i="3" s="1"/>
  <c r="O276" i="3"/>
  <c r="K276" i="3"/>
  <c r="C289" i="3"/>
  <c r="P289" i="3" s="1"/>
  <c r="R276" i="3"/>
  <c r="F276" i="3"/>
  <c r="J280" i="3"/>
  <c r="AC280" i="3"/>
  <c r="R284" i="3"/>
  <c r="F284" i="3"/>
  <c r="P272" i="3"/>
  <c r="P273" i="3" s="1"/>
  <c r="T272" i="3"/>
  <c r="T273" i="3" s="1"/>
  <c r="AE263" i="3"/>
  <c r="AD275" i="3"/>
  <c r="W273" i="3"/>
  <c r="AC273" i="3"/>
  <c r="B294" i="3"/>
  <c r="B290" i="3"/>
  <c r="B282" i="3"/>
  <c r="B286" i="3"/>
  <c r="AD271" i="3"/>
  <c r="AD267" i="3"/>
  <c r="AD268" i="3" s="1"/>
  <c r="AE268" i="3" s="1"/>
  <c r="F268" i="3"/>
  <c r="AD279" i="3"/>
  <c r="E58" i="2" l="1"/>
  <c r="D59" i="2"/>
  <c r="Q281" i="3"/>
  <c r="T281" i="3"/>
  <c r="M281" i="3"/>
  <c r="V281" i="3"/>
  <c r="AA281" i="3"/>
  <c r="O281" i="3"/>
  <c r="K281" i="3"/>
  <c r="W281" i="3"/>
  <c r="AB281" i="3"/>
  <c r="R281" i="3"/>
  <c r="X281" i="3"/>
  <c r="L281" i="3"/>
  <c r="I281" i="3"/>
  <c r="R289" i="3"/>
  <c r="AB289" i="3"/>
  <c r="M289" i="3"/>
  <c r="V289" i="3"/>
  <c r="Z277" i="3"/>
  <c r="X289" i="3"/>
  <c r="V277" i="3"/>
  <c r="I289" i="3"/>
  <c r="F281" i="3"/>
  <c r="O277" i="3"/>
  <c r="O278" i="3" s="1"/>
  <c r="Y285" i="3"/>
  <c r="K289" i="3"/>
  <c r="F289" i="3"/>
  <c r="Q289" i="3"/>
  <c r="I277" i="3"/>
  <c r="I278" i="3" s="1"/>
  <c r="S289" i="3"/>
  <c r="N289" i="3"/>
  <c r="Y289" i="3"/>
  <c r="S285" i="3"/>
  <c r="K277" i="3"/>
  <c r="K278" i="3" s="1"/>
  <c r="Q277" i="3"/>
  <c r="Q278" i="3" s="1"/>
  <c r="T285" i="3"/>
  <c r="Z289" i="3"/>
  <c r="G289" i="3"/>
  <c r="N281" i="3"/>
  <c r="Y281" i="3"/>
  <c r="AB285" i="3"/>
  <c r="L277" i="3"/>
  <c r="L278" i="3" s="1"/>
  <c r="L289" i="3"/>
  <c r="O289" i="3"/>
  <c r="G285" i="3"/>
  <c r="AB277" i="3"/>
  <c r="AB278" i="3" s="1"/>
  <c r="T289" i="3"/>
  <c r="W289" i="3"/>
  <c r="Z281" i="3"/>
  <c r="G281" i="3"/>
  <c r="O285" i="3"/>
  <c r="N277" i="3"/>
  <c r="N278" i="3" s="1"/>
  <c r="AA285" i="3"/>
  <c r="M285" i="3"/>
  <c r="W285" i="3"/>
  <c r="T277" i="3"/>
  <c r="T278" i="3" s="1"/>
  <c r="G277" i="3"/>
  <c r="G278" i="3" s="1"/>
  <c r="Y277" i="3"/>
  <c r="Y278" i="3" s="1"/>
  <c r="C294" i="3"/>
  <c r="Q294" i="3" s="1"/>
  <c r="K285" i="3"/>
  <c r="U285" i="3"/>
  <c r="H285" i="3"/>
  <c r="J285" i="3"/>
  <c r="AC285" i="3"/>
  <c r="P285" i="3"/>
  <c r="S277" i="3"/>
  <c r="S278" i="3" s="1"/>
  <c r="M277" i="3"/>
  <c r="M278" i="3" s="1"/>
  <c r="W277" i="3"/>
  <c r="W278" i="3" s="1"/>
  <c r="C286" i="3"/>
  <c r="Y286" i="3" s="1"/>
  <c r="C290" i="3"/>
  <c r="W290" i="3" s="1"/>
  <c r="R285" i="3"/>
  <c r="F285" i="3"/>
  <c r="X285" i="3"/>
  <c r="AA277" i="3"/>
  <c r="U277" i="3"/>
  <c r="U278" i="3" s="1"/>
  <c r="H277" i="3"/>
  <c r="H278" i="3" s="1"/>
  <c r="C282" i="3"/>
  <c r="I282" i="3" s="1"/>
  <c r="AA289" i="3"/>
  <c r="U289" i="3"/>
  <c r="H289" i="3"/>
  <c r="S281" i="3"/>
  <c r="U281" i="3"/>
  <c r="H281" i="3"/>
  <c r="Z285" i="3"/>
  <c r="N285" i="3"/>
  <c r="I285" i="3"/>
  <c r="J277" i="3"/>
  <c r="J278" i="3" s="1"/>
  <c r="AC277" i="3"/>
  <c r="AC278" i="3" s="1"/>
  <c r="P277" i="3"/>
  <c r="P278" i="3" s="1"/>
  <c r="J289" i="3"/>
  <c r="AC289" i="3"/>
  <c r="J281" i="3"/>
  <c r="AC281" i="3"/>
  <c r="L285" i="3"/>
  <c r="V285" i="3"/>
  <c r="R277" i="3"/>
  <c r="R278" i="3" s="1"/>
  <c r="F277" i="3"/>
  <c r="AD284" i="3"/>
  <c r="AD276" i="3"/>
  <c r="X278" i="3"/>
  <c r="V278" i="3"/>
  <c r="B299" i="3"/>
  <c r="B295" i="3"/>
  <c r="B287" i="3"/>
  <c r="B291" i="3"/>
  <c r="AA278" i="3"/>
  <c r="Z278" i="3"/>
  <c r="AD272" i="3"/>
  <c r="AD273" i="3" s="1"/>
  <c r="F273" i="3"/>
  <c r="AD280" i="3"/>
  <c r="D60" i="2" l="1"/>
  <c r="E59" i="2"/>
  <c r="S286" i="3"/>
  <c r="Z286" i="3"/>
  <c r="L286" i="3"/>
  <c r="AB286" i="3"/>
  <c r="S282" i="3"/>
  <c r="S283" i="3" s="1"/>
  <c r="Z282" i="3"/>
  <c r="Z283" i="3" s="1"/>
  <c r="Q282" i="3"/>
  <c r="Q283" i="3" s="1"/>
  <c r="J290" i="3"/>
  <c r="W282" i="3"/>
  <c r="W283" i="3" s="1"/>
  <c r="R290" i="3"/>
  <c r="K282" i="3"/>
  <c r="K283" i="3" s="1"/>
  <c r="T290" i="3"/>
  <c r="F286" i="3"/>
  <c r="AC290" i="3"/>
  <c r="R282" i="3"/>
  <c r="R283" i="3" s="1"/>
  <c r="X290" i="3"/>
  <c r="V282" i="3"/>
  <c r="V283" i="3" s="1"/>
  <c r="L282" i="3"/>
  <c r="L283" i="3" s="1"/>
  <c r="M282" i="3"/>
  <c r="M283" i="3" s="1"/>
  <c r="X286" i="3"/>
  <c r="F282" i="3"/>
  <c r="F283" i="3" s="1"/>
  <c r="N282" i="3"/>
  <c r="N283" i="3" s="1"/>
  <c r="U282" i="3"/>
  <c r="U283" i="3" s="1"/>
  <c r="H282" i="3"/>
  <c r="H283" i="3" s="1"/>
  <c r="O290" i="3"/>
  <c r="J282" i="3"/>
  <c r="J283" i="3" s="1"/>
  <c r="AC282" i="3"/>
  <c r="AC283" i="3" s="1"/>
  <c r="P282" i="3"/>
  <c r="P283" i="3" s="1"/>
  <c r="H290" i="3"/>
  <c r="T286" i="3"/>
  <c r="AC286" i="3"/>
  <c r="T282" i="3"/>
  <c r="T283" i="3" s="1"/>
  <c r="G282" i="3"/>
  <c r="G283" i="3" s="1"/>
  <c r="AB290" i="3"/>
  <c r="J286" i="3"/>
  <c r="V286" i="3"/>
  <c r="AA282" i="3"/>
  <c r="AA283" i="3" s="1"/>
  <c r="AB282" i="3"/>
  <c r="AB283" i="3" s="1"/>
  <c r="O282" i="3"/>
  <c r="O283" i="3" s="1"/>
  <c r="U290" i="3"/>
  <c r="R286" i="3"/>
  <c r="P286" i="3"/>
  <c r="P290" i="3"/>
  <c r="N286" i="3"/>
  <c r="Q286" i="3"/>
  <c r="G286" i="3"/>
  <c r="O286" i="3"/>
  <c r="Y282" i="3"/>
  <c r="Y283" i="3" s="1"/>
  <c r="K290" i="3"/>
  <c r="F290" i="3"/>
  <c r="K286" i="3"/>
  <c r="M286" i="3"/>
  <c r="W286" i="3"/>
  <c r="AA290" i="3"/>
  <c r="G290" i="3"/>
  <c r="AA286" i="3"/>
  <c r="U286" i="3"/>
  <c r="H286" i="3"/>
  <c r="T294" i="3"/>
  <c r="G294" i="3"/>
  <c r="Y294" i="3"/>
  <c r="S294" i="3"/>
  <c r="M294" i="3"/>
  <c r="W294" i="3"/>
  <c r="K294" i="3"/>
  <c r="C287" i="3"/>
  <c r="Y287" i="3" s="1"/>
  <c r="X282" i="3"/>
  <c r="X283" i="3" s="1"/>
  <c r="Z290" i="3"/>
  <c r="N290" i="3"/>
  <c r="I290" i="3"/>
  <c r="AA294" i="3"/>
  <c r="U294" i="3"/>
  <c r="H294" i="3"/>
  <c r="AB294" i="3"/>
  <c r="L290" i="3"/>
  <c r="V290" i="3"/>
  <c r="Q290" i="3"/>
  <c r="I286" i="3"/>
  <c r="J294" i="3"/>
  <c r="AC294" i="3"/>
  <c r="P294" i="3"/>
  <c r="O294" i="3"/>
  <c r="Y290" i="3"/>
  <c r="R294" i="3"/>
  <c r="F294" i="3"/>
  <c r="X294" i="3"/>
  <c r="C295" i="3"/>
  <c r="X295" i="3" s="1"/>
  <c r="Z294" i="3"/>
  <c r="N294" i="3"/>
  <c r="I294" i="3"/>
  <c r="C291" i="3"/>
  <c r="Y291" i="3" s="1"/>
  <c r="C299" i="3"/>
  <c r="Y299" i="3" s="1"/>
  <c r="S290" i="3"/>
  <c r="M290" i="3"/>
  <c r="L294" i="3"/>
  <c r="V294" i="3"/>
  <c r="AE273" i="3"/>
  <c r="I283" i="3"/>
  <c r="B304" i="3"/>
  <c r="B309" i="3" s="1"/>
  <c r="B300" i="3"/>
  <c r="AD277" i="3"/>
  <c r="AD278" i="3" s="1"/>
  <c r="AE278" i="3" s="1"/>
  <c r="F278" i="3"/>
  <c r="AD285" i="3"/>
  <c r="AD281" i="3"/>
  <c r="B292" i="3"/>
  <c r="B296" i="3"/>
  <c r="AD289" i="3"/>
  <c r="C309" i="3" l="1"/>
  <c r="L309" i="3" s="1"/>
  <c r="B314" i="3"/>
  <c r="B310" i="3"/>
  <c r="E60" i="2"/>
  <c r="D61" i="2"/>
  <c r="O295" i="3"/>
  <c r="N295" i="3"/>
  <c r="M299" i="3"/>
  <c r="S291" i="3"/>
  <c r="V295" i="3"/>
  <c r="N299" i="3"/>
  <c r="S299" i="3"/>
  <c r="V299" i="3"/>
  <c r="Z299" i="3"/>
  <c r="F299" i="3"/>
  <c r="H299" i="3"/>
  <c r="J299" i="3"/>
  <c r="P299" i="3"/>
  <c r="S295" i="3"/>
  <c r="AA299" i="3"/>
  <c r="R299" i="3"/>
  <c r="X299" i="3"/>
  <c r="Z295" i="3"/>
  <c r="J291" i="3"/>
  <c r="F291" i="3"/>
  <c r="N291" i="3"/>
  <c r="U299" i="3"/>
  <c r="I299" i="3"/>
  <c r="I295" i="3"/>
  <c r="K299" i="3"/>
  <c r="AC299" i="3"/>
  <c r="Q299" i="3"/>
  <c r="Q295" i="3"/>
  <c r="R291" i="3"/>
  <c r="O291" i="3"/>
  <c r="K287" i="3"/>
  <c r="K288" i="3" s="1"/>
  <c r="Z291" i="3"/>
  <c r="W291" i="3"/>
  <c r="S287" i="3"/>
  <c r="S288" i="3" s="1"/>
  <c r="AB291" i="3"/>
  <c r="H291" i="3"/>
  <c r="AB287" i="3"/>
  <c r="AB288" i="3" s="1"/>
  <c r="M291" i="3"/>
  <c r="P291" i="3"/>
  <c r="M287" i="3"/>
  <c r="M288" i="3" s="1"/>
  <c r="L299" i="3"/>
  <c r="O299" i="3"/>
  <c r="AA291" i="3"/>
  <c r="U291" i="3"/>
  <c r="X291" i="3"/>
  <c r="L295" i="3"/>
  <c r="O287" i="3"/>
  <c r="O288" i="3" s="1"/>
  <c r="AB299" i="3"/>
  <c r="W299" i="3"/>
  <c r="K291" i="3"/>
  <c r="AC291" i="3"/>
  <c r="I291" i="3"/>
  <c r="AB295" i="3"/>
  <c r="W287" i="3"/>
  <c r="W288" i="3" s="1"/>
  <c r="T295" i="3"/>
  <c r="G295" i="3"/>
  <c r="Y295" i="3"/>
  <c r="AA287" i="3"/>
  <c r="AA288" i="3" s="1"/>
  <c r="U287" i="3"/>
  <c r="U288" i="3" s="1"/>
  <c r="H287" i="3"/>
  <c r="H288" i="3" s="1"/>
  <c r="J287" i="3"/>
  <c r="J288" i="3" s="1"/>
  <c r="AC287" i="3"/>
  <c r="AC288" i="3" s="1"/>
  <c r="P287" i="3"/>
  <c r="P288" i="3" s="1"/>
  <c r="AA295" i="3"/>
  <c r="M295" i="3"/>
  <c r="W295" i="3"/>
  <c r="R287" i="3"/>
  <c r="R288" i="3" s="1"/>
  <c r="F287" i="3"/>
  <c r="F288" i="3" s="1"/>
  <c r="X287" i="3"/>
  <c r="X288" i="3" s="1"/>
  <c r="C296" i="3"/>
  <c r="Y296" i="3" s="1"/>
  <c r="C292" i="3"/>
  <c r="H292" i="3" s="1"/>
  <c r="C300" i="3"/>
  <c r="W300" i="3" s="1"/>
  <c r="C304" i="3"/>
  <c r="H304" i="3" s="1"/>
  <c r="T299" i="3"/>
  <c r="G299" i="3"/>
  <c r="L291" i="3"/>
  <c r="V291" i="3"/>
  <c r="Q291" i="3"/>
  <c r="K295" i="3"/>
  <c r="U295" i="3"/>
  <c r="H295" i="3"/>
  <c r="Z287" i="3"/>
  <c r="Z288" i="3" s="1"/>
  <c r="N287" i="3"/>
  <c r="N288" i="3" s="1"/>
  <c r="I287" i="3"/>
  <c r="I288" i="3" s="1"/>
  <c r="T291" i="3"/>
  <c r="G291" i="3"/>
  <c r="J295" i="3"/>
  <c r="AC295" i="3"/>
  <c r="P295" i="3"/>
  <c r="L287" i="3"/>
  <c r="L288" i="3" s="1"/>
  <c r="V287" i="3"/>
  <c r="V288" i="3" s="1"/>
  <c r="Q287" i="3"/>
  <c r="Q288" i="3" s="1"/>
  <c r="R295" i="3"/>
  <c r="F295" i="3"/>
  <c r="T287" i="3"/>
  <c r="T288" i="3" s="1"/>
  <c r="G287" i="3"/>
  <c r="G288" i="3" s="1"/>
  <c r="AD294" i="3"/>
  <c r="Y288" i="3"/>
  <c r="AD290" i="3"/>
  <c r="AD282" i="3"/>
  <c r="AD283" i="3" s="1"/>
  <c r="AE283" i="3" s="1"/>
  <c r="B305" i="3"/>
  <c r="B297" i="3"/>
  <c r="B301" i="3"/>
  <c r="AD286" i="3"/>
  <c r="M309" i="3" l="1"/>
  <c r="S309" i="3"/>
  <c r="I309" i="3"/>
  <c r="F309" i="3"/>
  <c r="P309" i="3"/>
  <c r="Y309" i="3"/>
  <c r="J309" i="3"/>
  <c r="H309" i="3"/>
  <c r="G309" i="3"/>
  <c r="N309" i="3"/>
  <c r="AC309" i="3"/>
  <c r="AB309" i="3"/>
  <c r="V309" i="3"/>
  <c r="AA309" i="3"/>
  <c r="Q309" i="3"/>
  <c r="K309" i="3"/>
  <c r="Z309" i="3"/>
  <c r="X309" i="3"/>
  <c r="R309" i="3"/>
  <c r="O309" i="3"/>
  <c r="W309" i="3"/>
  <c r="T309" i="3"/>
  <c r="B315" i="3"/>
  <c r="C314" i="3"/>
  <c r="AC314" i="3" s="1"/>
  <c r="B319" i="3"/>
  <c r="C310" i="3"/>
  <c r="S310" i="3" s="1"/>
  <c r="B311" i="3"/>
  <c r="U309" i="3"/>
  <c r="E61" i="2"/>
  <c r="D62" i="2"/>
  <c r="P292" i="3"/>
  <c r="P293" i="3" s="1"/>
  <c r="F304" i="3"/>
  <c r="P304" i="3"/>
  <c r="AA292" i="3"/>
  <c r="AA293" i="3" s="1"/>
  <c r="R304" i="3"/>
  <c r="K292" i="3"/>
  <c r="K293" i="3" s="1"/>
  <c r="L304" i="3"/>
  <c r="R292" i="3"/>
  <c r="R293" i="3" s="1"/>
  <c r="M304" i="3"/>
  <c r="N292" i="3"/>
  <c r="N293" i="3" s="1"/>
  <c r="J292" i="3"/>
  <c r="J293" i="3" s="1"/>
  <c r="X292" i="3"/>
  <c r="X293" i="3" s="1"/>
  <c r="AB292" i="3"/>
  <c r="AB293" i="3" s="1"/>
  <c r="X304" i="3"/>
  <c r="M292" i="3"/>
  <c r="M293" i="3" s="1"/>
  <c r="AC292" i="3"/>
  <c r="AC293" i="3" s="1"/>
  <c r="F292" i="3"/>
  <c r="F293" i="3" s="1"/>
  <c r="AB300" i="3"/>
  <c r="U300" i="3"/>
  <c r="AB304" i="3"/>
  <c r="Q304" i="3"/>
  <c r="AC300" i="3"/>
  <c r="I292" i="3"/>
  <c r="I293" i="3" s="1"/>
  <c r="F300" i="3"/>
  <c r="K300" i="3"/>
  <c r="O300" i="3"/>
  <c r="K304" i="3"/>
  <c r="N304" i="3"/>
  <c r="J300" i="3"/>
  <c r="H300" i="3"/>
  <c r="Z292" i="3"/>
  <c r="Z293" i="3" s="1"/>
  <c r="V292" i="3"/>
  <c r="V293" i="3" s="1"/>
  <c r="S304" i="3"/>
  <c r="V304" i="3"/>
  <c r="R300" i="3"/>
  <c r="P300" i="3"/>
  <c r="L292" i="3"/>
  <c r="L293" i="3" s="1"/>
  <c r="O292" i="3"/>
  <c r="O293" i="3" s="1"/>
  <c r="J304" i="3"/>
  <c r="W304" i="3"/>
  <c r="Z300" i="3"/>
  <c r="I300" i="3"/>
  <c r="T292" i="3"/>
  <c r="T293" i="3" s="1"/>
  <c r="W292" i="3"/>
  <c r="W293" i="3" s="1"/>
  <c r="AC304" i="3"/>
  <c r="I304" i="3"/>
  <c r="Q292" i="3"/>
  <c r="Q293" i="3" s="1"/>
  <c r="G292" i="3"/>
  <c r="G293" i="3" s="1"/>
  <c r="Y292" i="3"/>
  <c r="Y293" i="3" s="1"/>
  <c r="Z304" i="3"/>
  <c r="O304" i="3"/>
  <c r="AA300" i="3"/>
  <c r="N300" i="3"/>
  <c r="S292" i="3"/>
  <c r="S293" i="3" s="1"/>
  <c r="U292" i="3"/>
  <c r="U293" i="3" s="1"/>
  <c r="AB296" i="3"/>
  <c r="K296" i="3"/>
  <c r="M296" i="3"/>
  <c r="W296" i="3"/>
  <c r="S296" i="3"/>
  <c r="X300" i="3"/>
  <c r="AA296" i="3"/>
  <c r="U296" i="3"/>
  <c r="H296" i="3"/>
  <c r="J296" i="3"/>
  <c r="AC296" i="3"/>
  <c r="P296" i="3"/>
  <c r="T304" i="3"/>
  <c r="G304" i="3"/>
  <c r="Y304" i="3"/>
  <c r="L300" i="3"/>
  <c r="V300" i="3"/>
  <c r="Q300" i="3"/>
  <c r="R296" i="3"/>
  <c r="F296" i="3"/>
  <c r="X296" i="3"/>
  <c r="C305" i="3"/>
  <c r="I305" i="3" s="1"/>
  <c r="T300" i="3"/>
  <c r="G300" i="3"/>
  <c r="Y300" i="3"/>
  <c r="Z296" i="3"/>
  <c r="N296" i="3"/>
  <c r="I296" i="3"/>
  <c r="O296" i="3"/>
  <c r="C301" i="3"/>
  <c r="I301" i="3" s="1"/>
  <c r="C297" i="3"/>
  <c r="Q297" i="3" s="1"/>
  <c r="L296" i="3"/>
  <c r="V296" i="3"/>
  <c r="Q296" i="3"/>
  <c r="AA304" i="3"/>
  <c r="U304" i="3"/>
  <c r="S300" i="3"/>
  <c r="M300" i="3"/>
  <c r="T296" i="3"/>
  <c r="G296" i="3"/>
  <c r="AD287" i="3"/>
  <c r="AD288" i="3" s="1"/>
  <c r="AE288" i="3" s="1"/>
  <c r="AD291" i="3"/>
  <c r="B302" i="3"/>
  <c r="AD295" i="3"/>
  <c r="H293" i="3"/>
  <c r="AD299" i="3"/>
  <c r="B306" i="3"/>
  <c r="AD309" i="3" l="1"/>
  <c r="V314" i="3"/>
  <c r="R314" i="3"/>
  <c r="L310" i="3"/>
  <c r="T310" i="3"/>
  <c r="V310" i="3"/>
  <c r="U310" i="3"/>
  <c r="Z310" i="3"/>
  <c r="AB310" i="3"/>
  <c r="K310" i="3"/>
  <c r="M310" i="3"/>
  <c r="P310" i="3"/>
  <c r="O310" i="3"/>
  <c r="X310" i="3"/>
  <c r="H314" i="3"/>
  <c r="G310" i="3"/>
  <c r="Q310" i="3"/>
  <c r="J310" i="3"/>
  <c r="AA310" i="3"/>
  <c r="I310" i="3"/>
  <c r="AC310" i="3"/>
  <c r="W310" i="3"/>
  <c r="N310" i="3"/>
  <c r="Y310" i="3"/>
  <c r="R310" i="3"/>
  <c r="Q314" i="3"/>
  <c r="J314" i="3"/>
  <c r="AA314" i="3"/>
  <c r="O314" i="3"/>
  <c r="S314" i="3"/>
  <c r="F314" i="3"/>
  <c r="P314" i="3"/>
  <c r="B316" i="3"/>
  <c r="C315" i="3"/>
  <c r="AC315" i="3" s="1"/>
  <c r="C311" i="3"/>
  <c r="G311" i="3" s="1"/>
  <c r="B312" i="3"/>
  <c r="X314" i="3"/>
  <c r="Z314" i="3"/>
  <c r="L314" i="3"/>
  <c r="Y314" i="3"/>
  <c r="W314" i="3"/>
  <c r="N314" i="3"/>
  <c r="G314" i="3"/>
  <c r="AB314" i="3"/>
  <c r="K314" i="3"/>
  <c r="I314" i="3"/>
  <c r="U314" i="3"/>
  <c r="H310" i="3"/>
  <c r="F310" i="3"/>
  <c r="T314" i="3"/>
  <c r="B320" i="3"/>
  <c r="B324" i="3"/>
  <c r="C319" i="3"/>
  <c r="Q319" i="3" s="1"/>
  <c r="M314" i="3"/>
  <c r="E62" i="2"/>
  <c r="D63" i="2"/>
  <c r="S305" i="3"/>
  <c r="S297" i="3"/>
  <c r="S298" i="3" s="1"/>
  <c r="L305" i="3"/>
  <c r="K297" i="3"/>
  <c r="K298" i="3" s="1"/>
  <c r="AB297" i="3"/>
  <c r="AB298" i="3" s="1"/>
  <c r="AB305" i="3"/>
  <c r="M297" i="3"/>
  <c r="M298" i="3" s="1"/>
  <c r="G297" i="3"/>
  <c r="G298" i="3" s="1"/>
  <c r="O297" i="3"/>
  <c r="O298" i="3" s="1"/>
  <c r="W297" i="3"/>
  <c r="W298" i="3" s="1"/>
  <c r="Q301" i="3"/>
  <c r="Y297" i="3"/>
  <c r="Y298" i="3" s="1"/>
  <c r="V305" i="3"/>
  <c r="O305" i="3"/>
  <c r="T297" i="3"/>
  <c r="T298" i="3" s="1"/>
  <c r="L301" i="3"/>
  <c r="Q305" i="3"/>
  <c r="V301" i="3"/>
  <c r="C306" i="3"/>
  <c r="Y306" i="3" s="1"/>
  <c r="T301" i="3"/>
  <c r="G301" i="3"/>
  <c r="Y301" i="3"/>
  <c r="T305" i="3"/>
  <c r="G305" i="3"/>
  <c r="Y305" i="3"/>
  <c r="AB301" i="3"/>
  <c r="AA297" i="3"/>
  <c r="AA298" i="3" s="1"/>
  <c r="U297" i="3"/>
  <c r="U298" i="3" s="1"/>
  <c r="H297" i="3"/>
  <c r="H298" i="3" s="1"/>
  <c r="K301" i="3"/>
  <c r="M301" i="3"/>
  <c r="W301" i="3"/>
  <c r="AA305" i="3"/>
  <c r="M305" i="3"/>
  <c r="W305" i="3"/>
  <c r="J297" i="3"/>
  <c r="J298" i="3" s="1"/>
  <c r="AC297" i="3"/>
  <c r="AC298" i="3" s="1"/>
  <c r="P297" i="3"/>
  <c r="P298" i="3" s="1"/>
  <c r="S301" i="3"/>
  <c r="U301" i="3"/>
  <c r="H301" i="3"/>
  <c r="K305" i="3"/>
  <c r="U305" i="3"/>
  <c r="H305" i="3"/>
  <c r="R297" i="3"/>
  <c r="R298" i="3" s="1"/>
  <c r="F297" i="3"/>
  <c r="F298" i="3" s="1"/>
  <c r="X297" i="3"/>
  <c r="X298" i="3" s="1"/>
  <c r="J301" i="3"/>
  <c r="AC301" i="3"/>
  <c r="P301" i="3"/>
  <c r="J305" i="3"/>
  <c r="AC305" i="3"/>
  <c r="P305" i="3"/>
  <c r="O301" i="3"/>
  <c r="C302" i="3"/>
  <c r="X302" i="3" s="1"/>
  <c r="Z297" i="3"/>
  <c r="Z298" i="3" s="1"/>
  <c r="N297" i="3"/>
  <c r="N298" i="3" s="1"/>
  <c r="I297" i="3"/>
  <c r="I298" i="3" s="1"/>
  <c r="R301" i="3"/>
  <c r="F301" i="3"/>
  <c r="X301" i="3"/>
  <c r="R305" i="3"/>
  <c r="F305" i="3"/>
  <c r="X305" i="3"/>
  <c r="AA301" i="3"/>
  <c r="L297" i="3"/>
  <c r="L298" i="3" s="1"/>
  <c r="V297" i="3"/>
  <c r="V298" i="3" s="1"/>
  <c r="Z301" i="3"/>
  <c r="N301" i="3"/>
  <c r="Z305" i="3"/>
  <c r="N305" i="3"/>
  <c r="AD300" i="3"/>
  <c r="AD304" i="3"/>
  <c r="AD292" i="3"/>
  <c r="AD293" i="3" s="1"/>
  <c r="AE293" i="3" s="1"/>
  <c r="Q298" i="3"/>
  <c r="B307" i="3"/>
  <c r="AD296" i="3"/>
  <c r="I319" i="3" l="1"/>
  <c r="AA315" i="3"/>
  <c r="F319" i="3"/>
  <c r="O319" i="3"/>
  <c r="R319" i="3"/>
  <c r="AC319" i="3"/>
  <c r="S319" i="3"/>
  <c r="Y315" i="3"/>
  <c r="V319" i="3"/>
  <c r="F315" i="3"/>
  <c r="V315" i="3"/>
  <c r="U315" i="3"/>
  <c r="AA319" i="3"/>
  <c r="W315" i="3"/>
  <c r="N319" i="3"/>
  <c r="X315" i="3"/>
  <c r="P315" i="3"/>
  <c r="J319" i="3"/>
  <c r="W319" i="3"/>
  <c r="X319" i="3"/>
  <c r="U319" i="3"/>
  <c r="K311" i="3"/>
  <c r="W311" i="3"/>
  <c r="X311" i="3"/>
  <c r="Y319" i="3"/>
  <c r="Z319" i="3"/>
  <c r="R311" i="3"/>
  <c r="I311" i="3"/>
  <c r="P311" i="3"/>
  <c r="O315" i="3"/>
  <c r="S315" i="3"/>
  <c r="K315" i="3"/>
  <c r="AA311" i="3"/>
  <c r="AB311" i="3"/>
  <c r="Y311" i="3"/>
  <c r="N315" i="3"/>
  <c r="G315" i="3"/>
  <c r="Z315" i="3"/>
  <c r="AD314" i="3"/>
  <c r="AC311" i="3"/>
  <c r="B329" i="3"/>
  <c r="C324" i="3"/>
  <c r="I324" i="3" s="1"/>
  <c r="B325" i="3"/>
  <c r="N311" i="3"/>
  <c r="O311" i="3"/>
  <c r="H311" i="3"/>
  <c r="U311" i="3"/>
  <c r="L311" i="3"/>
  <c r="K319" i="3"/>
  <c r="G319" i="3"/>
  <c r="B321" i="3"/>
  <c r="C320" i="3"/>
  <c r="N320" i="3" s="1"/>
  <c r="T311" i="3"/>
  <c r="F311" i="3"/>
  <c r="Z311" i="3"/>
  <c r="H315" i="3"/>
  <c r="AB315" i="3"/>
  <c r="L315" i="3"/>
  <c r="C316" i="3"/>
  <c r="Y316" i="3" s="1"/>
  <c r="B317" i="3"/>
  <c r="AB319" i="3"/>
  <c r="L319" i="3"/>
  <c r="P319" i="3"/>
  <c r="V311" i="3"/>
  <c r="J311" i="3"/>
  <c r="Q311" i="3"/>
  <c r="I315" i="3"/>
  <c r="Q315" i="3"/>
  <c r="M315" i="3"/>
  <c r="H319" i="3"/>
  <c r="T319" i="3"/>
  <c r="M319" i="3"/>
  <c r="AD310" i="3"/>
  <c r="S311" i="3"/>
  <c r="C312" i="3"/>
  <c r="S312" i="3" s="1"/>
  <c r="M311" i="3"/>
  <c r="R315" i="3"/>
  <c r="J315" i="3"/>
  <c r="T315" i="3"/>
  <c r="Z306" i="3"/>
  <c r="L306" i="3"/>
  <c r="H306" i="3"/>
  <c r="E63" i="2"/>
  <c r="D64" i="2"/>
  <c r="O302" i="3"/>
  <c r="O303" i="3" s="1"/>
  <c r="I302" i="3"/>
  <c r="I303" i="3" s="1"/>
  <c r="P306" i="3"/>
  <c r="K306" i="3"/>
  <c r="R306" i="3"/>
  <c r="N306" i="3"/>
  <c r="AA302" i="3"/>
  <c r="AA303" i="3" s="1"/>
  <c r="AB306" i="3"/>
  <c r="X306" i="3"/>
  <c r="L302" i="3"/>
  <c r="L303" i="3" s="1"/>
  <c r="S306" i="3"/>
  <c r="M306" i="3"/>
  <c r="I306" i="3"/>
  <c r="U306" i="3"/>
  <c r="AA306" i="3"/>
  <c r="AC306" i="3"/>
  <c r="Q302" i="3"/>
  <c r="Q303" i="3" s="1"/>
  <c r="J306" i="3"/>
  <c r="F306" i="3"/>
  <c r="Q306" i="3"/>
  <c r="V306" i="3"/>
  <c r="T306" i="3"/>
  <c r="W306" i="3"/>
  <c r="Z302" i="3"/>
  <c r="Z303" i="3" s="1"/>
  <c r="Y302" i="3"/>
  <c r="Y303" i="3" s="1"/>
  <c r="T302" i="3"/>
  <c r="T303" i="3" s="1"/>
  <c r="AB302" i="3"/>
  <c r="AB303" i="3" s="1"/>
  <c r="G302" i="3"/>
  <c r="G303" i="3" s="1"/>
  <c r="O306" i="3"/>
  <c r="N302" i="3"/>
  <c r="N303" i="3" s="1"/>
  <c r="V302" i="3"/>
  <c r="V303" i="3" s="1"/>
  <c r="K302" i="3"/>
  <c r="K303" i="3" s="1"/>
  <c r="M302" i="3"/>
  <c r="M303" i="3" s="1"/>
  <c r="W302" i="3"/>
  <c r="W303" i="3" s="1"/>
  <c r="S302" i="3"/>
  <c r="S303" i="3" s="1"/>
  <c r="U302" i="3"/>
  <c r="U303" i="3" s="1"/>
  <c r="H302" i="3"/>
  <c r="H303" i="3" s="1"/>
  <c r="C307" i="3"/>
  <c r="Q307" i="3" s="1"/>
  <c r="J302" i="3"/>
  <c r="J303" i="3" s="1"/>
  <c r="AC302" i="3"/>
  <c r="AC303" i="3" s="1"/>
  <c r="P302" i="3"/>
  <c r="P303" i="3" s="1"/>
  <c r="G306" i="3"/>
  <c r="R302" i="3"/>
  <c r="R303" i="3" s="1"/>
  <c r="F302" i="3"/>
  <c r="F303" i="3" s="1"/>
  <c r="AD305" i="3"/>
  <c r="AD301" i="3"/>
  <c r="X303" i="3"/>
  <c r="AD297" i="3"/>
  <c r="AD298" i="3" s="1"/>
  <c r="AE298" i="3" s="1"/>
  <c r="AC312" i="3" l="1"/>
  <c r="AC313" i="3" s="1"/>
  <c r="Q312" i="3"/>
  <c r="Q313" i="3" s="1"/>
  <c r="X312" i="3"/>
  <c r="X313" i="3" s="1"/>
  <c r="M312" i="3"/>
  <c r="M313" i="3" s="1"/>
  <c r="U316" i="3"/>
  <c r="F312" i="3"/>
  <c r="F313" i="3" s="1"/>
  <c r="R324" i="3"/>
  <c r="Q324" i="3"/>
  <c r="L324" i="3"/>
  <c r="V320" i="3"/>
  <c r="F324" i="3"/>
  <c r="J324" i="3"/>
  <c r="H324" i="3"/>
  <c r="R320" i="3"/>
  <c r="AC324" i="3"/>
  <c r="W324" i="3"/>
  <c r="V312" i="3"/>
  <c r="V313" i="3" s="1"/>
  <c r="Z324" i="3"/>
  <c r="X324" i="3"/>
  <c r="G324" i="3"/>
  <c r="L312" i="3"/>
  <c r="L313" i="3" s="1"/>
  <c r="V324" i="3"/>
  <c r="AA324" i="3"/>
  <c r="U324" i="3"/>
  <c r="S313" i="3"/>
  <c r="Y324" i="3"/>
  <c r="K324" i="3"/>
  <c r="O324" i="3"/>
  <c r="K312" i="3"/>
  <c r="K313" i="3" s="1"/>
  <c r="K316" i="3"/>
  <c r="AB324" i="3"/>
  <c r="M324" i="3"/>
  <c r="I312" i="3"/>
  <c r="I313" i="3" s="1"/>
  <c r="Y312" i="3"/>
  <c r="Y313" i="3" s="1"/>
  <c r="I316" i="3"/>
  <c r="R312" i="3"/>
  <c r="R313" i="3" s="1"/>
  <c r="AB312" i="3"/>
  <c r="AB313" i="3" s="1"/>
  <c r="AA316" i="3"/>
  <c r="AD315" i="3"/>
  <c r="Z312" i="3"/>
  <c r="Z313" i="3" s="1"/>
  <c r="U312" i="3"/>
  <c r="U313" i="3" s="1"/>
  <c r="AD319" i="3"/>
  <c r="L316" i="3"/>
  <c r="F320" i="3"/>
  <c r="T324" i="3"/>
  <c r="W312" i="3"/>
  <c r="W313" i="3" s="1"/>
  <c r="T312" i="3"/>
  <c r="T313" i="3" s="1"/>
  <c r="N316" i="3"/>
  <c r="C321" i="3"/>
  <c r="P321" i="3" s="1"/>
  <c r="B322" i="3"/>
  <c r="R316" i="3"/>
  <c r="C317" i="3"/>
  <c r="O317" i="3" s="1"/>
  <c r="H316" i="3"/>
  <c r="J316" i="3"/>
  <c r="H320" i="3"/>
  <c r="AB320" i="3"/>
  <c r="S320" i="3"/>
  <c r="AA312" i="3"/>
  <c r="AA313" i="3" s="1"/>
  <c r="AB316" i="3"/>
  <c r="G316" i="3"/>
  <c r="W316" i="3"/>
  <c r="T316" i="3"/>
  <c r="I320" i="3"/>
  <c r="Y320" i="3"/>
  <c r="O320" i="3"/>
  <c r="AC320" i="3"/>
  <c r="C325" i="3"/>
  <c r="S325" i="3" s="1"/>
  <c r="B326" i="3"/>
  <c r="N312" i="3"/>
  <c r="N313" i="3" s="1"/>
  <c r="G312" i="3"/>
  <c r="G313" i="3" s="1"/>
  <c r="Z316" i="3"/>
  <c r="X316" i="3"/>
  <c r="Q316" i="3"/>
  <c r="AA320" i="3"/>
  <c r="L320" i="3"/>
  <c r="Z320" i="3"/>
  <c r="M320" i="3"/>
  <c r="B334" i="3"/>
  <c r="C329" i="3"/>
  <c r="K329" i="3" s="1"/>
  <c r="B330" i="3"/>
  <c r="M316" i="3"/>
  <c r="O312" i="3"/>
  <c r="O313" i="3" s="1"/>
  <c r="V316" i="3"/>
  <c r="AC316" i="3"/>
  <c r="F316" i="3"/>
  <c r="X320" i="3"/>
  <c r="J320" i="3"/>
  <c r="W320" i="3"/>
  <c r="S316" i="3"/>
  <c r="P320" i="3"/>
  <c r="H312" i="3"/>
  <c r="H313" i="3" s="1"/>
  <c r="J312" i="3"/>
  <c r="J313" i="3" s="1"/>
  <c r="P312" i="3"/>
  <c r="P313" i="3" s="1"/>
  <c r="P316" i="3"/>
  <c r="O316" i="3"/>
  <c r="Q320" i="3"/>
  <c r="T320" i="3"/>
  <c r="K320" i="3"/>
  <c r="N324" i="3"/>
  <c r="S324" i="3"/>
  <c r="P324" i="3"/>
  <c r="AD311" i="3"/>
  <c r="G320" i="3"/>
  <c r="U320" i="3"/>
  <c r="D65" i="2"/>
  <c r="E64" i="2"/>
  <c r="G307" i="3"/>
  <c r="G308" i="3" s="1"/>
  <c r="K307" i="3"/>
  <c r="K308" i="3" s="1"/>
  <c r="T307" i="3"/>
  <c r="T308" i="3" s="1"/>
  <c r="AB307" i="3"/>
  <c r="AB308" i="3" s="1"/>
  <c r="O307" i="3"/>
  <c r="O308" i="3" s="1"/>
  <c r="Y307" i="3"/>
  <c r="Y308" i="3" s="1"/>
  <c r="S307" i="3"/>
  <c r="S308" i="3" s="1"/>
  <c r="M307" i="3"/>
  <c r="M308" i="3" s="1"/>
  <c r="W307" i="3"/>
  <c r="W308" i="3" s="1"/>
  <c r="AA307" i="3"/>
  <c r="AA308" i="3" s="1"/>
  <c r="U307" i="3"/>
  <c r="U308" i="3" s="1"/>
  <c r="H307" i="3"/>
  <c r="H308" i="3" s="1"/>
  <c r="J307" i="3"/>
  <c r="J308" i="3" s="1"/>
  <c r="AC307" i="3"/>
  <c r="AC308" i="3" s="1"/>
  <c r="P307" i="3"/>
  <c r="P308" i="3" s="1"/>
  <c r="R307" i="3"/>
  <c r="R308" i="3" s="1"/>
  <c r="F307" i="3"/>
  <c r="X307" i="3"/>
  <c r="X308" i="3" s="1"/>
  <c r="Z307" i="3"/>
  <c r="Z308" i="3" s="1"/>
  <c r="N307" i="3"/>
  <c r="N308" i="3" s="1"/>
  <c r="I307" i="3"/>
  <c r="I308" i="3" s="1"/>
  <c r="L307" i="3"/>
  <c r="L308" i="3" s="1"/>
  <c r="V307" i="3"/>
  <c r="V308" i="3" s="1"/>
  <c r="AD306" i="3"/>
  <c r="AD302" i="3"/>
  <c r="AD303" i="3" s="1"/>
  <c r="AE303" i="3" s="1"/>
  <c r="Q308" i="3"/>
  <c r="AB321" i="3" l="1"/>
  <c r="H321" i="3"/>
  <c r="AA321" i="3"/>
  <c r="U321" i="3"/>
  <c r="Q321" i="3"/>
  <c r="F321" i="3"/>
  <c r="N321" i="3"/>
  <c r="T321" i="3"/>
  <c r="Y321" i="3"/>
  <c r="I321" i="3"/>
  <c r="Z321" i="3"/>
  <c r="R317" i="3"/>
  <c r="R318" i="3" s="1"/>
  <c r="V321" i="3"/>
  <c r="W321" i="3"/>
  <c r="G321" i="3"/>
  <c r="R321" i="3"/>
  <c r="M321" i="3"/>
  <c r="J321" i="3"/>
  <c r="K321" i="3"/>
  <c r="X321" i="3"/>
  <c r="L321" i="3"/>
  <c r="S321" i="3"/>
  <c r="AC321" i="3"/>
  <c r="O321" i="3"/>
  <c r="AD324" i="3"/>
  <c r="AB317" i="3"/>
  <c r="AB318" i="3" s="1"/>
  <c r="U317" i="3"/>
  <c r="U318" i="3" s="1"/>
  <c r="AC317" i="3"/>
  <c r="AC318" i="3" s="1"/>
  <c r="H317" i="3"/>
  <c r="H318" i="3" s="1"/>
  <c r="Z317" i="3"/>
  <c r="Z318" i="3" s="1"/>
  <c r="F317" i="3"/>
  <c r="F318" i="3" s="1"/>
  <c r="S317" i="3"/>
  <c r="S318" i="3" s="1"/>
  <c r="P317" i="3"/>
  <c r="P318" i="3" s="1"/>
  <c r="Q317" i="3"/>
  <c r="Q318" i="3" s="1"/>
  <c r="X317" i="3"/>
  <c r="X318" i="3" s="1"/>
  <c r="AD320" i="3"/>
  <c r="J317" i="3"/>
  <c r="J318" i="3" s="1"/>
  <c r="AA317" i="3"/>
  <c r="AA318" i="3" s="1"/>
  <c r="I317" i="3"/>
  <c r="I318" i="3" s="1"/>
  <c r="V317" i="3"/>
  <c r="V318" i="3" s="1"/>
  <c r="T317" i="3"/>
  <c r="T318" i="3" s="1"/>
  <c r="AD312" i="3"/>
  <c r="AD313" i="3" s="1"/>
  <c r="AE313" i="3" s="1"/>
  <c r="N317" i="3"/>
  <c r="N318" i="3" s="1"/>
  <c r="L317" i="3"/>
  <c r="L318" i="3" s="1"/>
  <c r="Y317" i="3"/>
  <c r="Y318" i="3" s="1"/>
  <c r="Y329" i="3"/>
  <c r="O329" i="3"/>
  <c r="K325" i="3"/>
  <c r="C326" i="3"/>
  <c r="G326" i="3" s="1"/>
  <c r="B327" i="3"/>
  <c r="N329" i="3"/>
  <c r="W329" i="3"/>
  <c r="P329" i="3"/>
  <c r="J325" i="3"/>
  <c r="Z325" i="3"/>
  <c r="AC325" i="3"/>
  <c r="I329" i="3"/>
  <c r="L325" i="3"/>
  <c r="T329" i="3"/>
  <c r="C330" i="3"/>
  <c r="W330" i="3" s="1"/>
  <c r="B331" i="3"/>
  <c r="H329" i="3"/>
  <c r="R325" i="3"/>
  <c r="O325" i="3"/>
  <c r="AB325" i="3"/>
  <c r="G325" i="3"/>
  <c r="V325" i="3"/>
  <c r="U329" i="3"/>
  <c r="J329" i="3"/>
  <c r="G329" i="3"/>
  <c r="AA325" i="3"/>
  <c r="P325" i="3"/>
  <c r="N325" i="3"/>
  <c r="W317" i="3"/>
  <c r="W318" i="3" s="1"/>
  <c r="G317" i="3"/>
  <c r="G318" i="3" s="1"/>
  <c r="C322" i="3"/>
  <c r="T322" i="3" s="1"/>
  <c r="M329" i="3"/>
  <c r="AD316" i="3"/>
  <c r="AA329" i="3"/>
  <c r="Z329" i="3"/>
  <c r="AC329" i="3"/>
  <c r="M325" i="3"/>
  <c r="W325" i="3"/>
  <c r="H325" i="3"/>
  <c r="M317" i="3"/>
  <c r="M318" i="3" s="1"/>
  <c r="V329" i="3"/>
  <c r="R329" i="3"/>
  <c r="U325" i="3"/>
  <c r="T325" i="3"/>
  <c r="X329" i="3"/>
  <c r="L329" i="3"/>
  <c r="Y325" i="3"/>
  <c r="F329" i="3"/>
  <c r="Q329" i="3"/>
  <c r="S329" i="3"/>
  <c r="B335" i="3"/>
  <c r="C334" i="3"/>
  <c r="H334" i="3" s="1"/>
  <c r="B339" i="3"/>
  <c r="I325" i="3"/>
  <c r="X325" i="3"/>
  <c r="Q325" i="3"/>
  <c r="O318" i="3"/>
  <c r="K317" i="3"/>
  <c r="K318" i="3" s="1"/>
  <c r="AB329" i="3"/>
  <c r="F325" i="3"/>
  <c r="D66" i="2"/>
  <c r="E65" i="2"/>
  <c r="AD307" i="3"/>
  <c r="AD308" i="3" s="1"/>
  <c r="AE308" i="3" s="1"/>
  <c r="F308" i="3"/>
  <c r="T323" i="3" l="1"/>
  <c r="J330" i="3"/>
  <c r="AC326" i="3"/>
  <c r="AD321" i="3"/>
  <c r="L330" i="3"/>
  <c r="X322" i="3"/>
  <c r="X323" i="3" s="1"/>
  <c r="N322" i="3"/>
  <c r="N323" i="3" s="1"/>
  <c r="I326" i="3"/>
  <c r="T326" i="3"/>
  <c r="AA330" i="3"/>
  <c r="J326" i="3"/>
  <c r="G334" i="3"/>
  <c r="F322" i="3"/>
  <c r="F323" i="3" s="1"/>
  <c r="R334" i="3"/>
  <c r="V322" i="3"/>
  <c r="V323" i="3" s="1"/>
  <c r="AB326" i="3"/>
  <c r="J334" i="3"/>
  <c r="G322" i="3"/>
  <c r="G323" i="3" s="1"/>
  <c r="Z330" i="3"/>
  <c r="R326" i="3"/>
  <c r="V334" i="3"/>
  <c r="AC334" i="3"/>
  <c r="O322" i="3"/>
  <c r="O323" i="3" s="1"/>
  <c r="S326" i="3"/>
  <c r="V330" i="3"/>
  <c r="X330" i="3"/>
  <c r="U326" i="3"/>
  <c r="P326" i="3"/>
  <c r="W322" i="3"/>
  <c r="W323" i="3" s="1"/>
  <c r="I322" i="3"/>
  <c r="I323" i="3" s="1"/>
  <c r="Q330" i="3"/>
  <c r="K330" i="3"/>
  <c r="N326" i="3"/>
  <c r="V326" i="3"/>
  <c r="J322" i="3"/>
  <c r="J323" i="3" s="1"/>
  <c r="L322" i="3"/>
  <c r="L323" i="3" s="1"/>
  <c r="T330" i="3"/>
  <c r="S330" i="3"/>
  <c r="AA326" i="3"/>
  <c r="L326" i="3"/>
  <c r="P322" i="3"/>
  <c r="P323" i="3" s="1"/>
  <c r="Y322" i="3"/>
  <c r="Y323" i="3" s="1"/>
  <c r="AB330" i="3"/>
  <c r="Y326" i="3"/>
  <c r="X326" i="3"/>
  <c r="Z322" i="3"/>
  <c r="Z323" i="3" s="1"/>
  <c r="R322" i="3"/>
  <c r="R323" i="3" s="1"/>
  <c r="H326" i="3"/>
  <c r="O326" i="3"/>
  <c r="Z334" i="3"/>
  <c r="I334" i="3"/>
  <c r="K334" i="3"/>
  <c r="B336" i="3"/>
  <c r="C335" i="3"/>
  <c r="AB335" i="3" s="1"/>
  <c r="AA322" i="3"/>
  <c r="AA323" i="3" s="1"/>
  <c r="M322" i="3"/>
  <c r="M323" i="3" s="1"/>
  <c r="C331" i="3"/>
  <c r="K331" i="3" s="1"/>
  <c r="B332" i="3"/>
  <c r="H330" i="3"/>
  <c r="Y334" i="3"/>
  <c r="W334" i="3"/>
  <c r="AA334" i="3"/>
  <c r="U322" i="3"/>
  <c r="U323" i="3" s="1"/>
  <c r="G330" i="3"/>
  <c r="U330" i="3"/>
  <c r="F330" i="3"/>
  <c r="N334" i="3"/>
  <c r="S334" i="3"/>
  <c r="L334" i="3"/>
  <c r="AD329" i="3"/>
  <c r="I330" i="3"/>
  <c r="AD317" i="3"/>
  <c r="AD318" i="3" s="1"/>
  <c r="AE318" i="3" s="1"/>
  <c r="U334" i="3"/>
  <c r="M334" i="3"/>
  <c r="AB334" i="3"/>
  <c r="T334" i="3"/>
  <c r="X334" i="3"/>
  <c r="AC322" i="3"/>
  <c r="AC323" i="3" s="1"/>
  <c r="H322" i="3"/>
  <c r="H323" i="3" s="1"/>
  <c r="Q322" i="3"/>
  <c r="Q323" i="3" s="1"/>
  <c r="M330" i="3"/>
  <c r="O330" i="3"/>
  <c r="AC330" i="3"/>
  <c r="N330" i="3"/>
  <c r="F326" i="3"/>
  <c r="Q326" i="3"/>
  <c r="W326" i="3"/>
  <c r="O334" i="3"/>
  <c r="AD325" i="3"/>
  <c r="P334" i="3"/>
  <c r="F334" i="3"/>
  <c r="B344" i="3"/>
  <c r="C339" i="3"/>
  <c r="AB339" i="3" s="1"/>
  <c r="B340" i="3"/>
  <c r="S322" i="3"/>
  <c r="S323" i="3" s="1"/>
  <c r="K322" i="3"/>
  <c r="K323" i="3" s="1"/>
  <c r="AB322" i="3"/>
  <c r="AB323" i="3" s="1"/>
  <c r="R330" i="3"/>
  <c r="Y330" i="3"/>
  <c r="P330" i="3"/>
  <c r="K326" i="3"/>
  <c r="M326" i="3"/>
  <c r="Z326" i="3"/>
  <c r="Q334" i="3"/>
  <c r="C327" i="3"/>
  <c r="J327" i="3" s="1"/>
  <c r="E66" i="2"/>
  <c r="D67" i="2"/>
  <c r="AF308" i="3"/>
  <c r="H57" i="2" l="1"/>
  <c r="J328" i="3"/>
  <c r="J335" i="3"/>
  <c r="Y335" i="3"/>
  <c r="AC335" i="3"/>
  <c r="S335" i="3"/>
  <c r="AC327" i="3"/>
  <c r="AC328" i="3" s="1"/>
  <c r="AA335" i="3"/>
  <c r="Z335" i="3"/>
  <c r="W335" i="3"/>
  <c r="K335" i="3"/>
  <c r="V327" i="3"/>
  <c r="V328" i="3" s="1"/>
  <c r="M335" i="3"/>
  <c r="N335" i="3"/>
  <c r="AC331" i="3"/>
  <c r="I335" i="3"/>
  <c r="H335" i="3"/>
  <c r="Z331" i="3"/>
  <c r="O335" i="3"/>
  <c r="L335" i="3"/>
  <c r="Q335" i="3"/>
  <c r="G331" i="3"/>
  <c r="X335" i="3"/>
  <c r="R335" i="3"/>
  <c r="AD326" i="3"/>
  <c r="I331" i="3"/>
  <c r="R327" i="3"/>
  <c r="R328" i="3" s="1"/>
  <c r="Y331" i="3"/>
  <c r="G327" i="3"/>
  <c r="G328" i="3" s="1"/>
  <c r="H327" i="3"/>
  <c r="H328" i="3" s="1"/>
  <c r="AB327" i="3"/>
  <c r="AB328" i="3" s="1"/>
  <c r="T339" i="3"/>
  <c r="H339" i="3"/>
  <c r="X339" i="3"/>
  <c r="M339" i="3"/>
  <c r="H331" i="3"/>
  <c r="W331" i="3"/>
  <c r="AB331" i="3"/>
  <c r="S331" i="3"/>
  <c r="C336" i="3"/>
  <c r="O336" i="3" s="1"/>
  <c r="B337" i="3"/>
  <c r="AD334" i="3"/>
  <c r="O327" i="3"/>
  <c r="O328" i="3" s="1"/>
  <c r="B345" i="3"/>
  <c r="B349" i="3"/>
  <c r="C344" i="3"/>
  <c r="K344" i="3" s="1"/>
  <c r="W339" i="3"/>
  <c r="AA327" i="3"/>
  <c r="AA328" i="3" s="1"/>
  <c r="P327" i="3"/>
  <c r="P328" i="3" s="1"/>
  <c r="Z327" i="3"/>
  <c r="Z328" i="3" s="1"/>
  <c r="AD330" i="3"/>
  <c r="O339" i="3"/>
  <c r="V339" i="3"/>
  <c r="I339" i="3"/>
  <c r="P331" i="3"/>
  <c r="T331" i="3"/>
  <c r="Q331" i="3"/>
  <c r="P335" i="3"/>
  <c r="S339" i="3"/>
  <c r="F327" i="3"/>
  <c r="F328" i="3" s="1"/>
  <c r="L327" i="3"/>
  <c r="L328" i="3" s="1"/>
  <c r="Z339" i="3"/>
  <c r="P339" i="3"/>
  <c r="L339" i="3"/>
  <c r="J331" i="3"/>
  <c r="C332" i="3"/>
  <c r="N332" i="3" s="1"/>
  <c r="U331" i="3"/>
  <c r="R339" i="3"/>
  <c r="N327" i="3"/>
  <c r="N328" i="3" s="1"/>
  <c r="S327" i="3"/>
  <c r="S328" i="3" s="1"/>
  <c r="X327" i="3"/>
  <c r="X328" i="3" s="1"/>
  <c r="AC339" i="3"/>
  <c r="AA339" i="3"/>
  <c r="G339" i="3"/>
  <c r="O331" i="3"/>
  <c r="L331" i="3"/>
  <c r="R331" i="3"/>
  <c r="U335" i="3"/>
  <c r="F335" i="3"/>
  <c r="Y339" i="3"/>
  <c r="W327" i="3"/>
  <c r="W328" i="3" s="1"/>
  <c r="K327" i="3"/>
  <c r="K328" i="3" s="1"/>
  <c r="T327" i="3"/>
  <c r="T328" i="3" s="1"/>
  <c r="C340" i="3"/>
  <c r="H340" i="3" s="1"/>
  <c r="B341" i="3"/>
  <c r="U339" i="3"/>
  <c r="F339" i="3"/>
  <c r="AD322" i="3"/>
  <c r="AD323" i="3" s="1"/>
  <c r="AE323" i="3" s="1"/>
  <c r="F331" i="3"/>
  <c r="X331" i="3"/>
  <c r="AA331" i="3"/>
  <c r="I327" i="3"/>
  <c r="I328" i="3" s="1"/>
  <c r="Y327" i="3"/>
  <c r="Y328" i="3" s="1"/>
  <c r="M327" i="3"/>
  <c r="M328" i="3" s="1"/>
  <c r="U327" i="3"/>
  <c r="U328" i="3" s="1"/>
  <c r="Q327" i="3"/>
  <c r="Q328" i="3" s="1"/>
  <c r="J339" i="3"/>
  <c r="K339" i="3"/>
  <c r="N339" i="3"/>
  <c r="Q339" i="3"/>
  <c r="M331" i="3"/>
  <c r="V331" i="3"/>
  <c r="N331" i="3"/>
  <c r="T335" i="3"/>
  <c r="V335" i="3"/>
  <c r="G335" i="3"/>
  <c r="D68" i="2"/>
  <c r="E67" i="2"/>
  <c r="O332" i="3" l="1"/>
  <c r="O333" i="3" s="1"/>
  <c r="L332" i="3"/>
  <c r="L333" i="3" s="1"/>
  <c r="S332" i="3"/>
  <c r="S333" i="3" s="1"/>
  <c r="Y340" i="3"/>
  <c r="M344" i="3"/>
  <c r="W340" i="3"/>
  <c r="Z340" i="3"/>
  <c r="O340" i="3"/>
  <c r="I332" i="3"/>
  <c r="I333" i="3" s="1"/>
  <c r="R332" i="3"/>
  <c r="R333" i="3" s="1"/>
  <c r="X332" i="3"/>
  <c r="X333" i="3" s="1"/>
  <c r="AA344" i="3"/>
  <c r="N344" i="3"/>
  <c r="C349" i="3"/>
  <c r="N349" i="3" s="1"/>
  <c r="B350" i="3"/>
  <c r="B354" i="3"/>
  <c r="W336" i="3"/>
  <c r="Z336" i="3"/>
  <c r="X336" i="3"/>
  <c r="AA340" i="3"/>
  <c r="AD339" i="3"/>
  <c r="L340" i="3"/>
  <c r="N333" i="3"/>
  <c r="U332" i="3"/>
  <c r="U333" i="3" s="1"/>
  <c r="AA332" i="3"/>
  <c r="AA333" i="3" s="1"/>
  <c r="AD327" i="3"/>
  <c r="AD328" i="3" s="1"/>
  <c r="AE328" i="3" s="1"/>
  <c r="L344" i="3"/>
  <c r="W344" i="3"/>
  <c r="U344" i="3"/>
  <c r="R336" i="3"/>
  <c r="P336" i="3"/>
  <c r="I336" i="3"/>
  <c r="V336" i="3"/>
  <c r="T340" i="3"/>
  <c r="R340" i="3"/>
  <c r="U340" i="3"/>
  <c r="J340" i="3"/>
  <c r="G332" i="3"/>
  <c r="G333" i="3" s="1"/>
  <c r="Q332" i="3"/>
  <c r="Q333" i="3" s="1"/>
  <c r="V332" i="3"/>
  <c r="V333" i="3" s="1"/>
  <c r="S344" i="3"/>
  <c r="F344" i="3"/>
  <c r="Y344" i="3"/>
  <c r="B346" i="3"/>
  <c r="C345" i="3"/>
  <c r="M345" i="3" s="1"/>
  <c r="Y336" i="3"/>
  <c r="F336" i="3"/>
  <c r="K336" i="3"/>
  <c r="X344" i="3"/>
  <c r="I340" i="3"/>
  <c r="AD331" i="3"/>
  <c r="P340" i="3"/>
  <c r="N340" i="3"/>
  <c r="G340" i="3"/>
  <c r="H332" i="3"/>
  <c r="H333" i="3" s="1"/>
  <c r="Y332" i="3"/>
  <c r="Y333" i="3" s="1"/>
  <c r="AC332" i="3"/>
  <c r="AC333" i="3" s="1"/>
  <c r="V344" i="3"/>
  <c r="AC344" i="3"/>
  <c r="Q344" i="3"/>
  <c r="R344" i="3"/>
  <c r="AB336" i="3"/>
  <c r="J336" i="3"/>
  <c r="AC336" i="3"/>
  <c r="F340" i="3"/>
  <c r="Q336" i="3"/>
  <c r="S340" i="3"/>
  <c r="Q340" i="3"/>
  <c r="AC340" i="3"/>
  <c r="W332" i="3"/>
  <c r="W333" i="3" s="1"/>
  <c r="T332" i="3"/>
  <c r="T333" i="3" s="1"/>
  <c r="P332" i="3"/>
  <c r="P333" i="3" s="1"/>
  <c r="J344" i="3"/>
  <c r="AB344" i="3"/>
  <c r="O344" i="3"/>
  <c r="N336" i="3"/>
  <c r="AA336" i="3"/>
  <c r="H336" i="3"/>
  <c r="M336" i="3"/>
  <c r="M340" i="3"/>
  <c r="X340" i="3"/>
  <c r="AB340" i="3"/>
  <c r="AD335" i="3"/>
  <c r="M332" i="3"/>
  <c r="M333" i="3" s="1"/>
  <c r="J332" i="3"/>
  <c r="J333" i="3" s="1"/>
  <c r="F332" i="3"/>
  <c r="F333" i="3" s="1"/>
  <c r="P344" i="3"/>
  <c r="G344" i="3"/>
  <c r="I344" i="3"/>
  <c r="G336" i="3"/>
  <c r="U336" i="3"/>
  <c r="C337" i="3"/>
  <c r="L337" i="3" s="1"/>
  <c r="V340" i="3"/>
  <c r="K340" i="3"/>
  <c r="C341" i="3"/>
  <c r="Y341" i="3" s="1"/>
  <c r="B342" i="3"/>
  <c r="Z332" i="3"/>
  <c r="Z333" i="3" s="1"/>
  <c r="AB332" i="3"/>
  <c r="AB333" i="3" s="1"/>
  <c r="K332" i="3"/>
  <c r="K333" i="3" s="1"/>
  <c r="Z344" i="3"/>
  <c r="H344" i="3"/>
  <c r="T344" i="3"/>
  <c r="L336" i="3"/>
  <c r="T336" i="3"/>
  <c r="S336" i="3"/>
  <c r="D69" i="2"/>
  <c r="E68" i="2"/>
  <c r="E69" i="2" l="1"/>
  <c r="D70" i="2"/>
  <c r="AB341" i="3"/>
  <c r="R341" i="3"/>
  <c r="H345" i="3"/>
  <c r="AA345" i="3"/>
  <c r="AA337" i="3"/>
  <c r="AA338" i="3" s="1"/>
  <c r="P337" i="3"/>
  <c r="P338" i="3" s="1"/>
  <c r="H337" i="3"/>
  <c r="H338" i="3" s="1"/>
  <c r="AB349" i="3"/>
  <c r="AC337" i="3"/>
  <c r="AC338" i="3" s="1"/>
  <c r="G337" i="3"/>
  <c r="G338" i="3" s="1"/>
  <c r="Y337" i="3"/>
  <c r="Y338" i="3" s="1"/>
  <c r="O349" i="3"/>
  <c r="F337" i="3"/>
  <c r="F338" i="3" s="1"/>
  <c r="I341" i="3"/>
  <c r="R337" i="3"/>
  <c r="R338" i="3" s="1"/>
  <c r="G341" i="3"/>
  <c r="K337" i="3"/>
  <c r="K338" i="3" s="1"/>
  <c r="T345" i="3"/>
  <c r="Z349" i="3"/>
  <c r="L338" i="3"/>
  <c r="H349" i="3"/>
  <c r="W337" i="3"/>
  <c r="W338" i="3" s="1"/>
  <c r="Z337" i="3"/>
  <c r="Z338" i="3" s="1"/>
  <c r="F345" i="3"/>
  <c r="P345" i="3"/>
  <c r="O345" i="3"/>
  <c r="K345" i="3"/>
  <c r="U337" i="3"/>
  <c r="U338" i="3" s="1"/>
  <c r="U345" i="3"/>
  <c r="Y345" i="3"/>
  <c r="W345" i="3"/>
  <c r="T349" i="3"/>
  <c r="X345" i="3"/>
  <c r="I345" i="3"/>
  <c r="G349" i="3"/>
  <c r="M337" i="3"/>
  <c r="M338" i="3" s="1"/>
  <c r="AB345" i="3"/>
  <c r="N345" i="3"/>
  <c r="S337" i="3"/>
  <c r="S338" i="3" s="1"/>
  <c r="I337" i="3"/>
  <c r="I338" i="3" s="1"/>
  <c r="L345" i="3"/>
  <c r="S345" i="3"/>
  <c r="W349" i="3"/>
  <c r="O337" i="3"/>
  <c r="O338" i="3" s="1"/>
  <c r="T337" i="3"/>
  <c r="T338" i="3" s="1"/>
  <c r="Q345" i="3"/>
  <c r="J349" i="3"/>
  <c r="V341" i="3"/>
  <c r="L341" i="3"/>
  <c r="AC349" i="3"/>
  <c r="P341" i="3"/>
  <c r="F341" i="3"/>
  <c r="W341" i="3"/>
  <c r="Q337" i="3"/>
  <c r="AD336" i="3"/>
  <c r="M349" i="3"/>
  <c r="I349" i="3"/>
  <c r="AA349" i="3"/>
  <c r="V349" i="3"/>
  <c r="N341" i="3"/>
  <c r="M341" i="3"/>
  <c r="K341" i="3"/>
  <c r="Q341" i="3"/>
  <c r="J341" i="3"/>
  <c r="X337" i="3"/>
  <c r="X338" i="3" s="1"/>
  <c r="AB337" i="3"/>
  <c r="AB338" i="3" s="1"/>
  <c r="G345" i="3"/>
  <c r="R349" i="3"/>
  <c r="P349" i="3"/>
  <c r="H341" i="3"/>
  <c r="U341" i="3"/>
  <c r="AC341" i="3"/>
  <c r="T341" i="3"/>
  <c r="N337" i="3"/>
  <c r="N338" i="3" s="1"/>
  <c r="AD340" i="3"/>
  <c r="V345" i="3"/>
  <c r="J345" i="3"/>
  <c r="X349" i="3"/>
  <c r="C354" i="3"/>
  <c r="Q354" i="3" s="1"/>
  <c r="B359" i="3"/>
  <c r="B355" i="3"/>
  <c r="U349" i="3"/>
  <c r="C350" i="3"/>
  <c r="Z350" i="3" s="1"/>
  <c r="B351" i="3"/>
  <c r="AA341" i="3"/>
  <c r="Z341" i="3"/>
  <c r="X341" i="3"/>
  <c r="O341" i="3"/>
  <c r="J337" i="3"/>
  <c r="J338" i="3" s="1"/>
  <c r="R345" i="3"/>
  <c r="Z345" i="3"/>
  <c r="L349" i="3"/>
  <c r="Y349" i="3"/>
  <c r="S349" i="3"/>
  <c r="C342" i="3"/>
  <c r="Y342" i="3" s="1"/>
  <c r="Y343" i="3" s="1"/>
  <c r="S341" i="3"/>
  <c r="V337" i="3"/>
  <c r="V338" i="3" s="1"/>
  <c r="AD332" i="3"/>
  <c r="AD333" i="3" s="1"/>
  <c r="AE333" i="3" s="1"/>
  <c r="AC345" i="3"/>
  <c r="C346" i="3"/>
  <c r="R346" i="3" s="1"/>
  <c r="B347" i="3"/>
  <c r="AD344" i="3"/>
  <c r="F349" i="3"/>
  <c r="K349" i="3"/>
  <c r="Q349" i="3"/>
  <c r="D71" i="2" l="1"/>
  <c r="E70" i="2"/>
  <c r="X354" i="3"/>
  <c r="K354" i="3"/>
  <c r="U354" i="3"/>
  <c r="W354" i="3"/>
  <c r="T354" i="3"/>
  <c r="F350" i="3"/>
  <c r="AC354" i="3"/>
  <c r="X346" i="3"/>
  <c r="F354" i="3"/>
  <c r="Y354" i="3"/>
  <c r="I354" i="3"/>
  <c r="Q346" i="3"/>
  <c r="L346" i="3"/>
  <c r="M354" i="3"/>
  <c r="R354" i="3"/>
  <c r="AA354" i="3"/>
  <c r="O354" i="3"/>
  <c r="V354" i="3"/>
  <c r="J354" i="3"/>
  <c r="Y346" i="3"/>
  <c r="J350" i="3"/>
  <c r="L354" i="3"/>
  <c r="S354" i="3"/>
  <c r="G354" i="3"/>
  <c r="M346" i="3"/>
  <c r="G346" i="3"/>
  <c r="H354" i="3"/>
  <c r="N354" i="3"/>
  <c r="I342" i="3"/>
  <c r="I343" i="3" s="1"/>
  <c r="K342" i="3"/>
  <c r="K343" i="3" s="1"/>
  <c r="AD345" i="3"/>
  <c r="M342" i="3"/>
  <c r="M343" i="3" s="1"/>
  <c r="U342" i="3"/>
  <c r="U343" i="3" s="1"/>
  <c r="AD337" i="3"/>
  <c r="AD338" i="3" s="1"/>
  <c r="AE338" i="3" s="1"/>
  <c r="V342" i="3"/>
  <c r="V343" i="3" s="1"/>
  <c r="L342" i="3"/>
  <c r="L343" i="3" s="1"/>
  <c r="O342" i="3"/>
  <c r="O343" i="3" s="1"/>
  <c r="Q338" i="3"/>
  <c r="S342" i="3"/>
  <c r="S343" i="3" s="1"/>
  <c r="AC342" i="3"/>
  <c r="AC343" i="3" s="1"/>
  <c r="P342" i="3"/>
  <c r="P343" i="3" s="1"/>
  <c r="W342" i="3"/>
  <c r="W343" i="3" s="1"/>
  <c r="U350" i="3"/>
  <c r="P354" i="3"/>
  <c r="AB354" i="3"/>
  <c r="Z354" i="3"/>
  <c r="J346" i="3"/>
  <c r="AC346" i="3"/>
  <c r="T346" i="3"/>
  <c r="N342" i="3"/>
  <c r="N343" i="3" s="1"/>
  <c r="J342" i="3"/>
  <c r="J343" i="3" s="1"/>
  <c r="H342" i="3"/>
  <c r="H343" i="3" s="1"/>
  <c r="AB350" i="3"/>
  <c r="L350" i="3"/>
  <c r="K350" i="3"/>
  <c r="B352" i="3"/>
  <c r="C351" i="3"/>
  <c r="AC351" i="3" s="1"/>
  <c r="AD349" i="3"/>
  <c r="F346" i="3"/>
  <c r="P346" i="3"/>
  <c r="AB346" i="3"/>
  <c r="AA342" i="3"/>
  <c r="AA343" i="3" s="1"/>
  <c r="R342" i="3"/>
  <c r="R343" i="3" s="1"/>
  <c r="X350" i="3"/>
  <c r="AC350" i="3"/>
  <c r="AA350" i="3"/>
  <c r="C347" i="3"/>
  <c r="F347" i="3" s="1"/>
  <c r="H346" i="3"/>
  <c r="F342" i="3"/>
  <c r="F343" i="3" s="1"/>
  <c r="N350" i="3"/>
  <c r="S350" i="3"/>
  <c r="I350" i="3"/>
  <c r="H350" i="3"/>
  <c r="AD341" i="3"/>
  <c r="N346" i="3"/>
  <c r="O346" i="3"/>
  <c r="V346" i="3"/>
  <c r="Z346" i="3"/>
  <c r="G342" i="3"/>
  <c r="G343" i="3" s="1"/>
  <c r="X342" i="3"/>
  <c r="X343" i="3" s="1"/>
  <c r="Z342" i="3"/>
  <c r="Z343" i="3" s="1"/>
  <c r="T350" i="3"/>
  <c r="M350" i="3"/>
  <c r="P350" i="3"/>
  <c r="C355" i="3"/>
  <c r="T355" i="3" s="1"/>
  <c r="B356" i="3"/>
  <c r="U346" i="3"/>
  <c r="Q350" i="3"/>
  <c r="Y350" i="3"/>
  <c r="C359" i="3"/>
  <c r="I359" i="3" s="1"/>
  <c r="B360" i="3"/>
  <c r="B364" i="3"/>
  <c r="W346" i="3"/>
  <c r="O350" i="3"/>
  <c r="K346" i="3"/>
  <c r="I346" i="3"/>
  <c r="S346" i="3"/>
  <c r="AA346" i="3"/>
  <c r="Q342" i="3"/>
  <c r="Q343" i="3" s="1"/>
  <c r="T342" i="3"/>
  <c r="T343" i="3" s="1"/>
  <c r="AB342" i="3"/>
  <c r="AB343" i="3" s="1"/>
  <c r="V350" i="3"/>
  <c r="R350" i="3"/>
  <c r="W350" i="3"/>
  <c r="G350" i="3"/>
  <c r="E71" i="2" l="1"/>
  <c r="D72" i="2"/>
  <c r="Y347" i="3"/>
  <c r="Y348" i="3" s="1"/>
  <c r="U347" i="3"/>
  <c r="U348" i="3" s="1"/>
  <c r="AB347" i="3"/>
  <c r="AB348" i="3" s="1"/>
  <c r="F359" i="3"/>
  <c r="V359" i="3"/>
  <c r="G351" i="3"/>
  <c r="U351" i="3"/>
  <c r="J351" i="3"/>
  <c r="AD354" i="3"/>
  <c r="L355" i="3"/>
  <c r="R359" i="3"/>
  <c r="W355" i="3"/>
  <c r="L351" i="3"/>
  <c r="G355" i="3"/>
  <c r="AA359" i="3"/>
  <c r="K359" i="3"/>
  <c r="H359" i="3"/>
  <c r="N355" i="3"/>
  <c r="Q359" i="3"/>
  <c r="W359" i="3"/>
  <c r="H355" i="3"/>
  <c r="S359" i="3"/>
  <c r="J359" i="3"/>
  <c r="AD350" i="3"/>
  <c r="L359" i="3"/>
  <c r="G359" i="3"/>
  <c r="AC359" i="3"/>
  <c r="P355" i="3"/>
  <c r="Z359" i="3"/>
  <c r="U359" i="3"/>
  <c r="X359" i="3"/>
  <c r="M359" i="3"/>
  <c r="N359" i="3"/>
  <c r="T359" i="3"/>
  <c r="P359" i="3"/>
  <c r="AB359" i="3"/>
  <c r="Y359" i="3"/>
  <c r="V355" i="3"/>
  <c r="R355" i="3"/>
  <c r="Y351" i="3"/>
  <c r="AA351" i="3"/>
  <c r="AB351" i="3"/>
  <c r="R351" i="3"/>
  <c r="I351" i="3"/>
  <c r="Z351" i="3"/>
  <c r="O355" i="3"/>
  <c r="Z355" i="3"/>
  <c r="W351" i="3"/>
  <c r="B357" i="3"/>
  <c r="C356" i="3"/>
  <c r="J356" i="3" s="1"/>
  <c r="K347" i="3"/>
  <c r="K348" i="3" s="1"/>
  <c r="V347" i="3"/>
  <c r="V348" i="3" s="1"/>
  <c r="H347" i="3"/>
  <c r="H348" i="3" s="1"/>
  <c r="Y355" i="3"/>
  <c r="U355" i="3"/>
  <c r="X355" i="3"/>
  <c r="AA347" i="3"/>
  <c r="AA348" i="3" s="1"/>
  <c r="W347" i="3"/>
  <c r="W348" i="3" s="1"/>
  <c r="N347" i="3"/>
  <c r="N348" i="3" s="1"/>
  <c r="AD346" i="3"/>
  <c r="F348" i="3"/>
  <c r="P351" i="3"/>
  <c r="H351" i="3"/>
  <c r="T351" i="3"/>
  <c r="C364" i="3"/>
  <c r="Y364" i="3" s="1"/>
  <c r="B369" i="3"/>
  <c r="B365" i="3"/>
  <c r="P347" i="3"/>
  <c r="P348" i="3" s="1"/>
  <c r="T347" i="3"/>
  <c r="T348" i="3" s="1"/>
  <c r="B361" i="3"/>
  <c r="C360" i="3"/>
  <c r="M360" i="3" s="1"/>
  <c r="M355" i="3"/>
  <c r="K355" i="3"/>
  <c r="Q355" i="3"/>
  <c r="S347" i="3"/>
  <c r="S348" i="3" s="1"/>
  <c r="M347" i="3"/>
  <c r="M348" i="3" s="1"/>
  <c r="O347" i="3"/>
  <c r="O348" i="3" s="1"/>
  <c r="S351" i="3"/>
  <c r="M351" i="3"/>
  <c r="N351" i="3"/>
  <c r="Z347" i="3"/>
  <c r="Z348" i="3" s="1"/>
  <c r="O359" i="3"/>
  <c r="S355" i="3"/>
  <c r="AA355" i="3"/>
  <c r="AB355" i="3"/>
  <c r="AD342" i="3"/>
  <c r="AD343" i="3" s="1"/>
  <c r="AE343" i="3" s="1"/>
  <c r="AC347" i="3"/>
  <c r="AC348" i="3" s="1"/>
  <c r="J347" i="3"/>
  <c r="J348" i="3" s="1"/>
  <c r="G347" i="3"/>
  <c r="Q351" i="3"/>
  <c r="K351" i="3"/>
  <c r="F351" i="3"/>
  <c r="C352" i="3"/>
  <c r="I352" i="3" s="1"/>
  <c r="R347" i="3"/>
  <c r="R348" i="3" s="1"/>
  <c r="Q347" i="3"/>
  <c r="Q348" i="3" s="1"/>
  <c r="J355" i="3"/>
  <c r="I355" i="3"/>
  <c r="AC355" i="3"/>
  <c r="F355" i="3"/>
  <c r="L347" i="3"/>
  <c r="L348" i="3" s="1"/>
  <c r="X347" i="3"/>
  <c r="X348" i="3" s="1"/>
  <c r="I347" i="3"/>
  <c r="I348" i="3" s="1"/>
  <c r="O351" i="3"/>
  <c r="X351" i="3"/>
  <c r="V351" i="3"/>
  <c r="AB364" i="3" l="1"/>
  <c r="E72" i="2"/>
  <c r="D73" i="2"/>
  <c r="Z364" i="3"/>
  <c r="I353" i="3"/>
  <c r="K364" i="3"/>
  <c r="V364" i="3"/>
  <c r="M364" i="3"/>
  <c r="J364" i="3"/>
  <c r="S364" i="3"/>
  <c r="AA364" i="3"/>
  <c r="Z360" i="3"/>
  <c r="K360" i="3"/>
  <c r="L364" i="3"/>
  <c r="AC360" i="3"/>
  <c r="W364" i="3"/>
  <c r="Q364" i="3"/>
  <c r="F360" i="3"/>
  <c r="T364" i="3"/>
  <c r="AD359" i="3"/>
  <c r="M356" i="3"/>
  <c r="Z356" i="3"/>
  <c r="U356" i="3"/>
  <c r="K356" i="3"/>
  <c r="V352" i="3"/>
  <c r="V353" i="3" s="1"/>
  <c r="S360" i="3"/>
  <c r="H360" i="3"/>
  <c r="AB356" i="3"/>
  <c r="P356" i="3"/>
  <c r="P360" i="3"/>
  <c r="T356" i="3"/>
  <c r="Q352" i="3"/>
  <c r="Q353" i="3" s="1"/>
  <c r="L360" i="3"/>
  <c r="G364" i="3"/>
  <c r="Q356" i="3"/>
  <c r="H356" i="3"/>
  <c r="T360" i="3"/>
  <c r="AC356" i="3"/>
  <c r="F356" i="3"/>
  <c r="M352" i="3"/>
  <c r="M353" i="3" s="1"/>
  <c r="W352" i="3"/>
  <c r="W353" i="3" s="1"/>
  <c r="U352" i="3"/>
  <c r="U353" i="3" s="1"/>
  <c r="Z352" i="3"/>
  <c r="Z353" i="3" s="1"/>
  <c r="O352" i="3"/>
  <c r="O353" i="3" s="1"/>
  <c r="N352" i="3"/>
  <c r="N353" i="3" s="1"/>
  <c r="AD355" i="3"/>
  <c r="P352" i="3"/>
  <c r="P353" i="3" s="1"/>
  <c r="X352" i="3"/>
  <c r="X353" i="3" s="1"/>
  <c r="H364" i="3"/>
  <c r="F364" i="3"/>
  <c r="I364" i="3"/>
  <c r="L356" i="3"/>
  <c r="X356" i="3"/>
  <c r="AA352" i="3"/>
  <c r="AA353" i="3" s="1"/>
  <c r="G352" i="3"/>
  <c r="G353" i="3" s="1"/>
  <c r="T352" i="3"/>
  <c r="T353" i="3" s="1"/>
  <c r="F352" i="3"/>
  <c r="F353" i="3" s="1"/>
  <c r="U364" i="3"/>
  <c r="AC364" i="3"/>
  <c r="O364" i="3"/>
  <c r="I356" i="3"/>
  <c r="R356" i="3"/>
  <c r="J352" i="3"/>
  <c r="J353" i="3" s="1"/>
  <c r="H352" i="3"/>
  <c r="H353" i="3" s="1"/>
  <c r="R352" i="3"/>
  <c r="R353" i="3" s="1"/>
  <c r="P364" i="3"/>
  <c r="X364" i="3"/>
  <c r="W356" i="3"/>
  <c r="N356" i="3"/>
  <c r="C365" i="3"/>
  <c r="L365" i="3" s="1"/>
  <c r="B366" i="3"/>
  <c r="AD351" i="3"/>
  <c r="AB360" i="3"/>
  <c r="C357" i="3"/>
  <c r="W357" i="3" s="1"/>
  <c r="U360" i="3"/>
  <c r="AD347" i="3"/>
  <c r="AD348" i="3" s="1"/>
  <c r="AE348" i="3" s="1"/>
  <c r="G348" i="3"/>
  <c r="G360" i="3"/>
  <c r="X360" i="3"/>
  <c r="J360" i="3"/>
  <c r="O360" i="3"/>
  <c r="C361" i="3"/>
  <c r="W361" i="3" s="1"/>
  <c r="B362" i="3"/>
  <c r="I360" i="3"/>
  <c r="B374" i="3"/>
  <c r="C369" i="3"/>
  <c r="R369" i="3" s="1"/>
  <c r="B370" i="3"/>
  <c r="S352" i="3"/>
  <c r="S353" i="3" s="1"/>
  <c r="AC352" i="3"/>
  <c r="AC353" i="3" s="1"/>
  <c r="Q360" i="3"/>
  <c r="AA360" i="3"/>
  <c r="W360" i="3"/>
  <c r="Y356" i="3"/>
  <c r="AA356" i="3"/>
  <c r="V356" i="3"/>
  <c r="AB352" i="3"/>
  <c r="AB353" i="3" s="1"/>
  <c r="K352" i="3"/>
  <c r="K353" i="3" s="1"/>
  <c r="L352" i="3"/>
  <c r="L353" i="3" s="1"/>
  <c r="Y352" i="3"/>
  <c r="Y353" i="3" s="1"/>
  <c r="V360" i="3"/>
  <c r="Y360" i="3"/>
  <c r="N360" i="3"/>
  <c r="R360" i="3"/>
  <c r="N364" i="3"/>
  <c r="R364" i="3"/>
  <c r="G356" i="3"/>
  <c r="S356" i="3"/>
  <c r="O356" i="3"/>
  <c r="W358" i="3" l="1"/>
  <c r="E73" i="2"/>
  <c r="D74" i="2"/>
  <c r="I369" i="3"/>
  <c r="F369" i="3"/>
  <c r="AD364" i="3"/>
  <c r="AB369" i="3"/>
  <c r="J369" i="3"/>
  <c r="H369" i="3"/>
  <c r="O369" i="3"/>
  <c r="X369" i="3"/>
  <c r="W369" i="3"/>
  <c r="H361" i="3"/>
  <c r="G369" i="3"/>
  <c r="N369" i="3"/>
  <c r="M357" i="3"/>
  <c r="M358" i="3" s="1"/>
  <c r="T369" i="3"/>
  <c r="P369" i="3"/>
  <c r="L369" i="3"/>
  <c r="J365" i="3"/>
  <c r="T365" i="3"/>
  <c r="AB357" i="3"/>
  <c r="AB358" i="3" s="1"/>
  <c r="W365" i="3"/>
  <c r="Y361" i="3"/>
  <c r="AC357" i="3"/>
  <c r="AC358" i="3" s="1"/>
  <c r="H365" i="3"/>
  <c r="AB361" i="3"/>
  <c r="L357" i="3"/>
  <c r="L358" i="3" s="1"/>
  <c r="Y357" i="3"/>
  <c r="Y358" i="3" s="1"/>
  <c r="P365" i="3"/>
  <c r="AB365" i="3"/>
  <c r="T361" i="3"/>
  <c r="AA357" i="3"/>
  <c r="AA358" i="3" s="1"/>
  <c r="V357" i="3"/>
  <c r="V358" i="3" s="1"/>
  <c r="G365" i="3"/>
  <c r="Z365" i="3"/>
  <c r="Y365" i="3"/>
  <c r="K361" i="3"/>
  <c r="O357" i="3"/>
  <c r="O358" i="3" s="1"/>
  <c r="I357" i="3"/>
  <c r="I358" i="3" s="1"/>
  <c r="I365" i="3"/>
  <c r="S365" i="3"/>
  <c r="AD360" i="3"/>
  <c r="F361" i="3"/>
  <c r="U357" i="3"/>
  <c r="U358" i="3" s="1"/>
  <c r="N365" i="3"/>
  <c r="I361" i="3"/>
  <c r="U369" i="3"/>
  <c r="AA361" i="3"/>
  <c r="X361" i="3"/>
  <c r="J361" i="3"/>
  <c r="T357" i="3"/>
  <c r="T358" i="3" s="1"/>
  <c r="R357" i="3"/>
  <c r="R358" i="3" s="1"/>
  <c r="S369" i="3"/>
  <c r="Z369" i="3"/>
  <c r="M369" i="3"/>
  <c r="Q369" i="3"/>
  <c r="AD352" i="3"/>
  <c r="AD353" i="3" s="1"/>
  <c r="AE353" i="3" s="1"/>
  <c r="S361" i="3"/>
  <c r="V361" i="3"/>
  <c r="R361" i="3"/>
  <c r="Z357" i="3"/>
  <c r="Z358" i="3" s="1"/>
  <c r="F357" i="3"/>
  <c r="F358" i="3" s="1"/>
  <c r="S357" i="3"/>
  <c r="S358" i="3" s="1"/>
  <c r="V365" i="3"/>
  <c r="O365" i="3"/>
  <c r="U365" i="3"/>
  <c r="Q361" i="3"/>
  <c r="N361" i="3"/>
  <c r="AC361" i="3"/>
  <c r="AD356" i="3"/>
  <c r="X357" i="3"/>
  <c r="X358" i="3" s="1"/>
  <c r="G357" i="3"/>
  <c r="G358" i="3" s="1"/>
  <c r="X365" i="3"/>
  <c r="M365" i="3"/>
  <c r="AC365" i="3"/>
  <c r="K369" i="3"/>
  <c r="AA369" i="3"/>
  <c r="AC369" i="3"/>
  <c r="C374" i="3"/>
  <c r="T374" i="3" s="1"/>
  <c r="B379" i="3"/>
  <c r="B375" i="3"/>
  <c r="G361" i="3"/>
  <c r="L361" i="3"/>
  <c r="P361" i="3"/>
  <c r="P357" i="3"/>
  <c r="P358" i="3" s="1"/>
  <c r="Q357" i="3"/>
  <c r="Q358" i="3" s="1"/>
  <c r="J357" i="3"/>
  <c r="J358" i="3" s="1"/>
  <c r="Q365" i="3"/>
  <c r="AA365" i="3"/>
  <c r="F365" i="3"/>
  <c r="C370" i="3"/>
  <c r="V370" i="3" s="1"/>
  <c r="B371" i="3"/>
  <c r="Y369" i="3"/>
  <c r="V369" i="3"/>
  <c r="O361" i="3"/>
  <c r="U361" i="3"/>
  <c r="Z361" i="3"/>
  <c r="K357" i="3"/>
  <c r="K358" i="3" s="1"/>
  <c r="N357" i="3"/>
  <c r="N358" i="3" s="1"/>
  <c r="H357" i="3"/>
  <c r="H358" i="3" s="1"/>
  <c r="K365" i="3"/>
  <c r="R365" i="3"/>
  <c r="C366" i="3"/>
  <c r="O366" i="3" s="1"/>
  <c r="B367" i="3"/>
  <c r="M361" i="3"/>
  <c r="C362" i="3"/>
  <c r="AA362" i="3" s="1"/>
  <c r="D75" i="2" l="1"/>
  <c r="E74" i="2"/>
  <c r="AA363" i="3"/>
  <c r="G362" i="3"/>
  <c r="G363" i="3" s="1"/>
  <c r="M362" i="3"/>
  <c r="M363" i="3" s="1"/>
  <c r="U362" i="3"/>
  <c r="U363" i="3" s="1"/>
  <c r="S362" i="3"/>
  <c r="S363" i="3" s="1"/>
  <c r="V362" i="3"/>
  <c r="V363" i="3" s="1"/>
  <c r="H362" i="3"/>
  <c r="H363" i="3" s="1"/>
  <c r="O362" i="3"/>
  <c r="O363" i="3" s="1"/>
  <c r="W366" i="3"/>
  <c r="F362" i="3"/>
  <c r="F363" i="3" s="1"/>
  <c r="W362" i="3"/>
  <c r="W363" i="3" s="1"/>
  <c r="L366" i="3"/>
  <c r="P362" i="3"/>
  <c r="P363" i="3" s="1"/>
  <c r="AC362" i="3"/>
  <c r="AC363" i="3" s="1"/>
  <c r="X362" i="3"/>
  <c r="X363" i="3" s="1"/>
  <c r="I366" i="3"/>
  <c r="AB362" i="3"/>
  <c r="AB363" i="3" s="1"/>
  <c r="Q362" i="3"/>
  <c r="Q363" i="3" s="1"/>
  <c r="Z362" i="3"/>
  <c r="Z363" i="3" s="1"/>
  <c r="L362" i="3"/>
  <c r="L363" i="3" s="1"/>
  <c r="R362" i="3"/>
  <c r="R363" i="3" s="1"/>
  <c r="N362" i="3"/>
  <c r="N363" i="3" s="1"/>
  <c r="K362" i="3"/>
  <c r="K363" i="3" s="1"/>
  <c r="X366" i="3"/>
  <c r="S366" i="3"/>
  <c r="AA370" i="3"/>
  <c r="P366" i="3"/>
  <c r="AC370" i="3"/>
  <c r="G366" i="3"/>
  <c r="S370" i="3"/>
  <c r="M366" i="3"/>
  <c r="AC366" i="3"/>
  <c r="U366" i="3"/>
  <c r="X374" i="3"/>
  <c r="Z366" i="3"/>
  <c r="I370" i="3"/>
  <c r="W374" i="3"/>
  <c r="P370" i="3"/>
  <c r="H374" i="3"/>
  <c r="J374" i="3"/>
  <c r="AD357" i="3"/>
  <c r="AD358" i="3" s="1"/>
  <c r="AE358" i="3" s="1"/>
  <c r="H370" i="3"/>
  <c r="Q370" i="3"/>
  <c r="AC374" i="3"/>
  <c r="O374" i="3"/>
  <c r="AD369" i="3"/>
  <c r="J366" i="3"/>
  <c r="T366" i="3"/>
  <c r="F370" i="3"/>
  <c r="X370" i="3"/>
  <c r="K374" i="3"/>
  <c r="N374" i="3"/>
  <c r="Z370" i="3"/>
  <c r="AB370" i="3"/>
  <c r="Z374" i="3"/>
  <c r="V374" i="3"/>
  <c r="Y366" i="3"/>
  <c r="AB366" i="3"/>
  <c r="T370" i="3"/>
  <c r="M370" i="3"/>
  <c r="F374" i="3"/>
  <c r="K366" i="3"/>
  <c r="L370" i="3"/>
  <c r="K370" i="3"/>
  <c r="O370" i="3"/>
  <c r="P374" i="3"/>
  <c r="AD365" i="3"/>
  <c r="AD361" i="3"/>
  <c r="C375" i="3"/>
  <c r="S375" i="3" s="1"/>
  <c r="B376" i="3"/>
  <c r="Y362" i="3"/>
  <c r="Y363" i="3" s="1"/>
  <c r="I362" i="3"/>
  <c r="I363" i="3" s="1"/>
  <c r="J362" i="3"/>
  <c r="J363" i="3" s="1"/>
  <c r="H366" i="3"/>
  <c r="Q366" i="3"/>
  <c r="C367" i="3"/>
  <c r="Y367" i="3" s="1"/>
  <c r="G370" i="3"/>
  <c r="Y370" i="3"/>
  <c r="R374" i="3"/>
  <c r="C379" i="3"/>
  <c r="K379" i="3" s="1"/>
  <c r="B384" i="3"/>
  <c r="B380" i="3"/>
  <c r="N366" i="3"/>
  <c r="F366" i="3"/>
  <c r="AA366" i="3"/>
  <c r="J370" i="3"/>
  <c r="W370" i="3"/>
  <c r="U370" i="3"/>
  <c r="M374" i="3"/>
  <c r="Y374" i="3"/>
  <c r="L374" i="3"/>
  <c r="T362" i="3"/>
  <c r="T363" i="3" s="1"/>
  <c r="V366" i="3"/>
  <c r="R366" i="3"/>
  <c r="N370" i="3"/>
  <c r="R370" i="3"/>
  <c r="I374" i="3"/>
  <c r="Q374" i="3"/>
  <c r="G374" i="3"/>
  <c r="C371" i="3"/>
  <c r="X371" i="3" s="1"/>
  <c r="B372" i="3"/>
  <c r="S374" i="3"/>
  <c r="U374" i="3"/>
  <c r="AB374" i="3"/>
  <c r="AA374" i="3"/>
  <c r="E75" i="2" l="1"/>
  <c r="D76" i="2"/>
  <c r="I371" i="3"/>
  <c r="AB375" i="3"/>
  <c r="J375" i="3"/>
  <c r="Y368" i="3"/>
  <c r="U375" i="3"/>
  <c r="O375" i="3"/>
  <c r="X375" i="3"/>
  <c r="W375" i="3"/>
  <c r="G375" i="3"/>
  <c r="H375" i="3"/>
  <c r="Q375" i="3"/>
  <c r="K375" i="3"/>
  <c r="AC375" i="3"/>
  <c r="H371" i="3"/>
  <c r="AC371" i="3"/>
  <c r="J371" i="3"/>
  <c r="G371" i="3"/>
  <c r="P375" i="3"/>
  <c r="N375" i="3"/>
  <c r="W371" i="3"/>
  <c r="O371" i="3"/>
  <c r="U371" i="3"/>
  <c r="AA371" i="3"/>
  <c r="T375" i="3"/>
  <c r="Z375" i="3"/>
  <c r="M371" i="3"/>
  <c r="F375" i="3"/>
  <c r="L371" i="3"/>
  <c r="N371" i="3"/>
  <c r="S371" i="3"/>
  <c r="V375" i="3"/>
  <c r="M375" i="3"/>
  <c r="F371" i="3"/>
  <c r="J367" i="3"/>
  <c r="J368" i="3" s="1"/>
  <c r="U367" i="3"/>
  <c r="U368" i="3" s="1"/>
  <c r="AC367" i="3"/>
  <c r="AC368" i="3" s="1"/>
  <c r="W367" i="3"/>
  <c r="W368" i="3" s="1"/>
  <c r="AA367" i="3"/>
  <c r="L367" i="3"/>
  <c r="L368" i="3" s="1"/>
  <c r="AD370" i="3"/>
  <c r="X367" i="3"/>
  <c r="X368" i="3" s="1"/>
  <c r="R367" i="3"/>
  <c r="R368" i="3" s="1"/>
  <c r="M367" i="3"/>
  <c r="M368" i="3" s="1"/>
  <c r="H367" i="3"/>
  <c r="H368" i="3" s="1"/>
  <c r="V367" i="3"/>
  <c r="V368" i="3" s="1"/>
  <c r="AB367" i="3"/>
  <c r="AB368" i="3" s="1"/>
  <c r="T371" i="3"/>
  <c r="Q371" i="3"/>
  <c r="R371" i="3"/>
  <c r="Z367" i="3"/>
  <c r="Z368" i="3" s="1"/>
  <c r="Q367" i="3"/>
  <c r="Q368" i="3" s="1"/>
  <c r="K367" i="3"/>
  <c r="K368" i="3" s="1"/>
  <c r="L375" i="3"/>
  <c r="AD366" i="3"/>
  <c r="O367" i="3"/>
  <c r="O368" i="3" s="1"/>
  <c r="N367" i="3"/>
  <c r="N368" i="3" s="1"/>
  <c r="S367" i="3"/>
  <c r="S368" i="3" s="1"/>
  <c r="R375" i="3"/>
  <c r="AA375" i="3"/>
  <c r="T367" i="3"/>
  <c r="T368" i="3" s="1"/>
  <c r="AD374" i="3"/>
  <c r="F367" i="3"/>
  <c r="F368" i="3" s="1"/>
  <c r="P367" i="3"/>
  <c r="P368" i="3" s="1"/>
  <c r="G367" i="3"/>
  <c r="G368" i="3" s="1"/>
  <c r="U379" i="3"/>
  <c r="L379" i="3"/>
  <c r="I379" i="3"/>
  <c r="M379" i="3"/>
  <c r="G379" i="3"/>
  <c r="AA379" i="3"/>
  <c r="C372" i="3"/>
  <c r="J372" i="3" s="1"/>
  <c r="Z379" i="3"/>
  <c r="T379" i="3"/>
  <c r="W379" i="3"/>
  <c r="I375" i="3"/>
  <c r="R379" i="3"/>
  <c r="K371" i="3"/>
  <c r="V371" i="3"/>
  <c r="Z371" i="3"/>
  <c r="N379" i="3"/>
  <c r="O379" i="3"/>
  <c r="C380" i="3"/>
  <c r="S380" i="3" s="1"/>
  <c r="B381" i="3"/>
  <c r="I367" i="3"/>
  <c r="I368" i="3" s="1"/>
  <c r="Y375" i="3"/>
  <c r="AB371" i="3"/>
  <c r="Y371" i="3"/>
  <c r="P371" i="3"/>
  <c r="AC379" i="3"/>
  <c r="Q379" i="3"/>
  <c r="C384" i="3"/>
  <c r="AB384" i="3" s="1"/>
  <c r="B385" i="3"/>
  <c r="B389" i="3"/>
  <c r="AA368" i="3"/>
  <c r="S379" i="3"/>
  <c r="J379" i="3"/>
  <c r="H379" i="3"/>
  <c r="C376" i="3"/>
  <c r="Y376" i="3" s="1"/>
  <c r="B377" i="3"/>
  <c r="AB379" i="3"/>
  <c r="V379" i="3"/>
  <c r="Y379" i="3"/>
  <c r="AD362" i="3"/>
  <c r="AD363" i="3" s="1"/>
  <c r="AE363" i="3" s="1"/>
  <c r="X379" i="3"/>
  <c r="P379" i="3"/>
  <c r="F379" i="3"/>
  <c r="E76" i="2" l="1"/>
  <c r="D77" i="2"/>
  <c r="O380" i="3"/>
  <c r="AC380" i="3"/>
  <c r="W376" i="3"/>
  <c r="AA376" i="3"/>
  <c r="J373" i="3"/>
  <c r="Q380" i="3"/>
  <c r="T376" i="3"/>
  <c r="Y372" i="3"/>
  <c r="Y373" i="3" s="1"/>
  <c r="AD375" i="3"/>
  <c r="Z376" i="3"/>
  <c r="P376" i="3"/>
  <c r="M380" i="3"/>
  <c r="M376" i="3"/>
  <c r="AA380" i="3"/>
  <c r="L380" i="3"/>
  <c r="U376" i="3"/>
  <c r="K372" i="3"/>
  <c r="K373" i="3" s="1"/>
  <c r="I376" i="3"/>
  <c r="W380" i="3"/>
  <c r="AD371" i="3"/>
  <c r="AA372" i="3"/>
  <c r="AA373" i="3" s="1"/>
  <c r="Z384" i="3"/>
  <c r="G384" i="3"/>
  <c r="O384" i="3"/>
  <c r="AA384" i="3"/>
  <c r="R380" i="3"/>
  <c r="T380" i="3"/>
  <c r="V380" i="3"/>
  <c r="T372" i="3"/>
  <c r="T373" i="3" s="1"/>
  <c r="Q372" i="3"/>
  <c r="Q373" i="3" s="1"/>
  <c r="G372" i="3"/>
  <c r="G373" i="3" s="1"/>
  <c r="P384" i="3"/>
  <c r="R384" i="3"/>
  <c r="C385" i="3"/>
  <c r="G385" i="3" s="1"/>
  <c r="B386" i="3"/>
  <c r="I372" i="3"/>
  <c r="I373" i="3" s="1"/>
  <c r="S372" i="3"/>
  <c r="S373" i="3" s="1"/>
  <c r="M372" i="3"/>
  <c r="M373" i="3" s="1"/>
  <c r="C377" i="3"/>
  <c r="Y377" i="3" s="1"/>
  <c r="Y378" i="3" s="1"/>
  <c r="X384" i="3"/>
  <c r="N376" i="3"/>
  <c r="H376" i="3"/>
  <c r="V376" i="3"/>
  <c r="H384" i="3"/>
  <c r="L384" i="3"/>
  <c r="Y384" i="3"/>
  <c r="K380" i="3"/>
  <c r="G380" i="3"/>
  <c r="H380" i="3"/>
  <c r="Z372" i="3"/>
  <c r="Z373" i="3" s="1"/>
  <c r="H372" i="3"/>
  <c r="H373" i="3" s="1"/>
  <c r="L372" i="3"/>
  <c r="L373" i="3" s="1"/>
  <c r="L376" i="3"/>
  <c r="AC376" i="3"/>
  <c r="Q376" i="3"/>
  <c r="Q384" i="3"/>
  <c r="I384" i="3"/>
  <c r="U384" i="3"/>
  <c r="Z380" i="3"/>
  <c r="Y380" i="3"/>
  <c r="F380" i="3"/>
  <c r="AD367" i="3"/>
  <c r="AD368" i="3" s="1"/>
  <c r="R372" i="3"/>
  <c r="R373" i="3" s="1"/>
  <c r="P372" i="3"/>
  <c r="P373" i="3" s="1"/>
  <c r="U372" i="3"/>
  <c r="U373" i="3" s="1"/>
  <c r="T384" i="3"/>
  <c r="O376" i="3"/>
  <c r="X376" i="3"/>
  <c r="K376" i="3"/>
  <c r="S384" i="3"/>
  <c r="V384" i="3"/>
  <c r="J384" i="3"/>
  <c r="X380" i="3"/>
  <c r="C381" i="3"/>
  <c r="W381" i="3" s="1"/>
  <c r="B382" i="3"/>
  <c r="P380" i="3"/>
  <c r="V372" i="3"/>
  <c r="V373" i="3" s="1"/>
  <c r="F372" i="3"/>
  <c r="O372" i="3"/>
  <c r="O373" i="3" s="1"/>
  <c r="AD379" i="3"/>
  <c r="J376" i="3"/>
  <c r="AB376" i="3"/>
  <c r="G376" i="3"/>
  <c r="N384" i="3"/>
  <c r="M384" i="3"/>
  <c r="AC384" i="3"/>
  <c r="AB380" i="3"/>
  <c r="J380" i="3"/>
  <c r="N380" i="3"/>
  <c r="AC372" i="3"/>
  <c r="AC373" i="3" s="1"/>
  <c r="N372" i="3"/>
  <c r="N373" i="3" s="1"/>
  <c r="X372" i="3"/>
  <c r="X373" i="3" s="1"/>
  <c r="W384" i="3"/>
  <c r="S376" i="3"/>
  <c r="R376" i="3"/>
  <c r="F376" i="3"/>
  <c r="K384" i="3"/>
  <c r="F384" i="3"/>
  <c r="C389" i="3"/>
  <c r="Z389" i="3" s="1"/>
  <c r="B390" i="3"/>
  <c r="B394" i="3"/>
  <c r="I380" i="3"/>
  <c r="U380" i="3"/>
  <c r="AB372" i="3"/>
  <c r="AB373" i="3" s="1"/>
  <c r="W372" i="3"/>
  <c r="W373" i="3" s="1"/>
  <c r="O389" i="3" l="1"/>
  <c r="E77" i="2"/>
  <c r="D78" i="2"/>
  <c r="P381" i="3"/>
  <c r="I389" i="3"/>
  <c r="P377" i="3"/>
  <c r="P378" i="3" s="1"/>
  <c r="J389" i="3"/>
  <c r="L389" i="3"/>
  <c r="N389" i="3"/>
  <c r="U389" i="3"/>
  <c r="AB389" i="3"/>
  <c r="F389" i="3"/>
  <c r="W389" i="3"/>
  <c r="X389" i="3"/>
  <c r="Y389" i="3"/>
  <c r="G389" i="3"/>
  <c r="R389" i="3"/>
  <c r="H381" i="3"/>
  <c r="Y381" i="3"/>
  <c r="U377" i="3"/>
  <c r="U378" i="3" s="1"/>
  <c r="I385" i="3"/>
  <c r="S389" i="3"/>
  <c r="O381" i="3"/>
  <c r="K389" i="3"/>
  <c r="P389" i="3"/>
  <c r="V389" i="3"/>
  <c r="H389" i="3"/>
  <c r="L381" i="3"/>
  <c r="T389" i="3"/>
  <c r="I381" i="3"/>
  <c r="T381" i="3"/>
  <c r="M381" i="3"/>
  <c r="Q389" i="3"/>
  <c r="M389" i="3"/>
  <c r="AC389" i="3"/>
  <c r="N381" i="3"/>
  <c r="G381" i="3"/>
  <c r="T377" i="3"/>
  <c r="T378" i="3" s="1"/>
  <c r="U385" i="3"/>
  <c r="AA389" i="3"/>
  <c r="U381" i="3"/>
  <c r="V381" i="3"/>
  <c r="AA377" i="3"/>
  <c r="AA378" i="3" s="1"/>
  <c r="AA385" i="3"/>
  <c r="Q385" i="3"/>
  <c r="Z381" i="3"/>
  <c r="J381" i="3"/>
  <c r="F381" i="3"/>
  <c r="AB381" i="3"/>
  <c r="K381" i="3"/>
  <c r="S381" i="3"/>
  <c r="R381" i="3"/>
  <c r="I377" i="3"/>
  <c r="I378" i="3" s="1"/>
  <c r="S377" i="3"/>
  <c r="S378" i="3" s="1"/>
  <c r="H377" i="3"/>
  <c r="H378" i="3" s="1"/>
  <c r="AC377" i="3"/>
  <c r="AC378" i="3" s="1"/>
  <c r="K385" i="3"/>
  <c r="N385" i="3"/>
  <c r="W385" i="3"/>
  <c r="P385" i="3"/>
  <c r="C394" i="3"/>
  <c r="G394" i="3" s="1"/>
  <c r="B395" i="3"/>
  <c r="B399" i="3"/>
  <c r="C390" i="3"/>
  <c r="N390" i="3" s="1"/>
  <c r="B391" i="3"/>
  <c r="AD376" i="3"/>
  <c r="F377" i="3"/>
  <c r="X377" i="3"/>
  <c r="X378" i="3" s="1"/>
  <c r="K377" i="3"/>
  <c r="K378" i="3" s="1"/>
  <c r="AB385" i="3"/>
  <c r="O385" i="3"/>
  <c r="Z385" i="3"/>
  <c r="AD384" i="3"/>
  <c r="AC381" i="3"/>
  <c r="AB377" i="3"/>
  <c r="AB378" i="3" s="1"/>
  <c r="J377" i="3"/>
  <c r="J378" i="3" s="1"/>
  <c r="Z377" i="3"/>
  <c r="Z378" i="3" s="1"/>
  <c r="Y385" i="3"/>
  <c r="T385" i="3"/>
  <c r="C386" i="3"/>
  <c r="K386" i="3" s="1"/>
  <c r="B387" i="3"/>
  <c r="AD372" i="3"/>
  <c r="AD373" i="3" s="1"/>
  <c r="AE373" i="3" s="1"/>
  <c r="F373" i="3"/>
  <c r="G377" i="3"/>
  <c r="G378" i="3" s="1"/>
  <c r="J385" i="3"/>
  <c r="Q381" i="3"/>
  <c r="C382" i="3"/>
  <c r="G382" i="3" s="1"/>
  <c r="O377" i="3"/>
  <c r="O378" i="3" s="1"/>
  <c r="L377" i="3"/>
  <c r="L378" i="3" s="1"/>
  <c r="V377" i="3"/>
  <c r="V378" i="3" s="1"/>
  <c r="F385" i="3"/>
  <c r="M385" i="3"/>
  <c r="S385" i="3"/>
  <c r="AF368" i="3"/>
  <c r="AE368" i="3"/>
  <c r="R377" i="3"/>
  <c r="R378" i="3" s="1"/>
  <c r="Q377" i="3"/>
  <c r="Q378" i="3" s="1"/>
  <c r="M377" i="3"/>
  <c r="M378" i="3" s="1"/>
  <c r="V385" i="3"/>
  <c r="R385" i="3"/>
  <c r="AC385" i="3"/>
  <c r="H385" i="3"/>
  <c r="X381" i="3"/>
  <c r="AA381" i="3"/>
  <c r="AD380" i="3"/>
  <c r="N377" i="3"/>
  <c r="N378" i="3" s="1"/>
  <c r="W377" i="3"/>
  <c r="W378" i="3" s="1"/>
  <c r="L385" i="3"/>
  <c r="X385" i="3"/>
  <c r="H69" i="2" l="1"/>
  <c r="G383" i="3"/>
  <c r="O394" i="3"/>
  <c r="E78" i="2"/>
  <c r="D79" i="2"/>
  <c r="AB394" i="3"/>
  <c r="N394" i="3"/>
  <c r="H394" i="3"/>
  <c r="U394" i="3"/>
  <c r="O382" i="3"/>
  <c r="O383" i="3" s="1"/>
  <c r="J382" i="3"/>
  <c r="J383" i="3" s="1"/>
  <c r="V390" i="3"/>
  <c r="R390" i="3"/>
  <c r="R394" i="3"/>
  <c r="T390" i="3"/>
  <c r="AA394" i="3"/>
  <c r="K390" i="3"/>
  <c r="P394" i="3"/>
  <c r="Q394" i="3"/>
  <c r="G390" i="3"/>
  <c r="I394" i="3"/>
  <c r="S394" i="3"/>
  <c r="T394" i="3"/>
  <c r="V394" i="3"/>
  <c r="AD389" i="3"/>
  <c r="AA386" i="3"/>
  <c r="P382" i="3"/>
  <c r="P383" i="3" s="1"/>
  <c r="L386" i="3"/>
  <c r="W386" i="3"/>
  <c r="K382" i="3"/>
  <c r="K383" i="3" s="1"/>
  <c r="F386" i="3"/>
  <c r="I386" i="3"/>
  <c r="R386" i="3"/>
  <c r="M386" i="3"/>
  <c r="J394" i="3"/>
  <c r="O386" i="3"/>
  <c r="Z386" i="3"/>
  <c r="P386" i="3"/>
  <c r="L394" i="3"/>
  <c r="U386" i="3"/>
  <c r="X382" i="3"/>
  <c r="X383" i="3" s="1"/>
  <c r="J386" i="3"/>
  <c r="G386" i="3"/>
  <c r="W394" i="3"/>
  <c r="M394" i="3"/>
  <c r="X394" i="3"/>
  <c r="I382" i="3"/>
  <c r="I383" i="3" s="1"/>
  <c r="M382" i="3"/>
  <c r="M383" i="3" s="1"/>
  <c r="J390" i="3"/>
  <c r="N382" i="3"/>
  <c r="N383" i="3" s="1"/>
  <c r="M390" i="3"/>
  <c r="AA390" i="3"/>
  <c r="Z390" i="3"/>
  <c r="I390" i="3"/>
  <c r="AB382" i="3"/>
  <c r="AB383" i="3" s="1"/>
  <c r="X386" i="3"/>
  <c r="AC386" i="3"/>
  <c r="AB390" i="3"/>
  <c r="X390" i="3"/>
  <c r="R382" i="3"/>
  <c r="R383" i="3" s="1"/>
  <c r="Y390" i="3"/>
  <c r="Q390" i="3"/>
  <c r="Z382" i="3"/>
  <c r="Z383" i="3" s="1"/>
  <c r="T382" i="3"/>
  <c r="T383" i="3" s="1"/>
  <c r="L382" i="3"/>
  <c r="L383" i="3" s="1"/>
  <c r="Y386" i="3"/>
  <c r="AB386" i="3"/>
  <c r="U390" i="3"/>
  <c r="F390" i="3"/>
  <c r="C391" i="3"/>
  <c r="K391" i="3" s="1"/>
  <c r="B392" i="3"/>
  <c r="C395" i="3"/>
  <c r="T395" i="3" s="1"/>
  <c r="B396" i="3"/>
  <c r="C387" i="3"/>
  <c r="M387" i="3" s="1"/>
  <c r="S382" i="3"/>
  <c r="S383" i="3" s="1"/>
  <c r="Q382" i="3"/>
  <c r="Q383" i="3" s="1"/>
  <c r="AD381" i="3"/>
  <c r="Q386" i="3"/>
  <c r="S390" i="3"/>
  <c r="W382" i="3"/>
  <c r="W383" i="3" s="1"/>
  <c r="AD377" i="3"/>
  <c r="AD378" i="3" s="1"/>
  <c r="AE378" i="3" s="1"/>
  <c r="O390" i="3"/>
  <c r="C399" i="3"/>
  <c r="AB399" i="3" s="1"/>
  <c r="B404" i="3"/>
  <c r="B400" i="3"/>
  <c r="U382" i="3"/>
  <c r="U383" i="3" s="1"/>
  <c r="AD385" i="3"/>
  <c r="F382" i="3"/>
  <c r="AA382" i="3"/>
  <c r="AA383" i="3" s="1"/>
  <c r="Y382" i="3"/>
  <c r="Y383" i="3" s="1"/>
  <c r="S386" i="3"/>
  <c r="N386" i="3"/>
  <c r="V386" i="3"/>
  <c r="L390" i="3"/>
  <c r="P390" i="3"/>
  <c r="AC390" i="3"/>
  <c r="F394" i="3"/>
  <c r="Y394" i="3"/>
  <c r="AC394" i="3"/>
  <c r="V382" i="3"/>
  <c r="V383" i="3" s="1"/>
  <c r="AC382" i="3"/>
  <c r="AC383" i="3" s="1"/>
  <c r="H382" i="3"/>
  <c r="H383" i="3" s="1"/>
  <c r="T386" i="3"/>
  <c r="H386" i="3"/>
  <c r="F378" i="3"/>
  <c r="H390" i="3"/>
  <c r="W390" i="3"/>
  <c r="K394" i="3"/>
  <c r="Z394" i="3"/>
  <c r="D80" i="2" l="1"/>
  <c r="E79" i="2"/>
  <c r="J387" i="3"/>
  <c r="J388" i="3" s="1"/>
  <c r="U387" i="3"/>
  <c r="U388" i="3" s="1"/>
  <c r="Y391" i="3"/>
  <c r="M388" i="3"/>
  <c r="V391" i="3"/>
  <c r="I391" i="3"/>
  <c r="I387" i="3"/>
  <c r="I388" i="3" s="1"/>
  <c r="G391" i="3"/>
  <c r="N387" i="3"/>
  <c r="N388" i="3" s="1"/>
  <c r="O391" i="3"/>
  <c r="H387" i="3"/>
  <c r="H388" i="3" s="1"/>
  <c r="Q387" i="3"/>
  <c r="Q388" i="3" s="1"/>
  <c r="X391" i="3"/>
  <c r="Z391" i="3"/>
  <c r="T387" i="3"/>
  <c r="T388" i="3" s="1"/>
  <c r="W387" i="3"/>
  <c r="W388" i="3" s="1"/>
  <c r="Q391" i="3"/>
  <c r="M391" i="3"/>
  <c r="AA387" i="3"/>
  <c r="AA388" i="3" s="1"/>
  <c r="AC387" i="3"/>
  <c r="AC388" i="3" s="1"/>
  <c r="J391" i="3"/>
  <c r="R391" i="3"/>
  <c r="F387" i="3"/>
  <c r="F388" i="3" s="1"/>
  <c r="AB387" i="3"/>
  <c r="AB388" i="3" s="1"/>
  <c r="AA391" i="3"/>
  <c r="AC391" i="3"/>
  <c r="L387" i="3"/>
  <c r="L388" i="3" s="1"/>
  <c r="AD386" i="3"/>
  <c r="Y387" i="3"/>
  <c r="Y388" i="3" s="1"/>
  <c r="S387" i="3"/>
  <c r="S388" i="3" s="1"/>
  <c r="Z387" i="3"/>
  <c r="Z388" i="3" s="1"/>
  <c r="G387" i="3"/>
  <c r="G388" i="3" s="1"/>
  <c r="X387" i="3"/>
  <c r="X388" i="3" s="1"/>
  <c r="R387" i="3"/>
  <c r="R388" i="3" s="1"/>
  <c r="V387" i="3"/>
  <c r="V388" i="3" s="1"/>
  <c r="F399" i="3"/>
  <c r="P399" i="3"/>
  <c r="AC399" i="3"/>
  <c r="W399" i="3"/>
  <c r="Y395" i="3"/>
  <c r="M395" i="3"/>
  <c r="G395" i="3"/>
  <c r="Q395" i="3"/>
  <c r="C392" i="3"/>
  <c r="W392" i="3" s="1"/>
  <c r="AD394" i="3"/>
  <c r="Z399" i="3"/>
  <c r="Q399" i="3"/>
  <c r="C404" i="3"/>
  <c r="S404" i="3" s="1"/>
  <c r="B409" i="3"/>
  <c r="B405" i="3"/>
  <c r="O395" i="3"/>
  <c r="U395" i="3"/>
  <c r="C396" i="3"/>
  <c r="Q396" i="3" s="1"/>
  <c r="B397" i="3"/>
  <c r="S391" i="3"/>
  <c r="T399" i="3"/>
  <c r="G399" i="3"/>
  <c r="C400" i="3"/>
  <c r="V400" i="3" s="1"/>
  <c r="B401" i="3"/>
  <c r="R399" i="3"/>
  <c r="N395" i="3"/>
  <c r="R395" i="3"/>
  <c r="K395" i="3"/>
  <c r="H391" i="3"/>
  <c r="F391" i="3"/>
  <c r="L395" i="3"/>
  <c r="AD382" i="3"/>
  <c r="AD383" i="3" s="1"/>
  <c r="AE383" i="3" s="1"/>
  <c r="F383" i="3"/>
  <c r="N399" i="3"/>
  <c r="AB395" i="3"/>
  <c r="AC395" i="3"/>
  <c r="H395" i="3"/>
  <c r="M399" i="3"/>
  <c r="AA399" i="3"/>
  <c r="X399" i="3"/>
  <c r="S399" i="3"/>
  <c r="P387" i="3"/>
  <c r="P388" i="3" s="1"/>
  <c r="I395" i="3"/>
  <c r="Z395" i="3"/>
  <c r="J395" i="3"/>
  <c r="L391" i="3"/>
  <c r="U391" i="3"/>
  <c r="AD390" i="3"/>
  <c r="K399" i="3"/>
  <c r="X395" i="3"/>
  <c r="U399" i="3"/>
  <c r="O399" i="3"/>
  <c r="W395" i="3"/>
  <c r="F395" i="3"/>
  <c r="P395" i="3"/>
  <c r="AB391" i="3"/>
  <c r="W391" i="3"/>
  <c r="P391" i="3"/>
  <c r="J399" i="3"/>
  <c r="S395" i="3"/>
  <c r="H399" i="3"/>
  <c r="I399" i="3"/>
  <c r="L399" i="3"/>
  <c r="V399" i="3"/>
  <c r="Y399" i="3"/>
  <c r="O387" i="3"/>
  <c r="O388" i="3" s="1"/>
  <c r="K387" i="3"/>
  <c r="K388" i="3" s="1"/>
  <c r="V395" i="3"/>
  <c r="AA395" i="3"/>
  <c r="N391" i="3"/>
  <c r="T391" i="3"/>
  <c r="E80" i="2" l="1"/>
  <c r="D81" i="2"/>
  <c r="G400" i="3"/>
  <c r="I392" i="3"/>
  <c r="I393" i="3" s="1"/>
  <c r="T392" i="3"/>
  <c r="L400" i="3"/>
  <c r="Z400" i="3"/>
  <c r="Z392" i="3"/>
  <c r="Z393" i="3" s="1"/>
  <c r="M400" i="3"/>
  <c r="AB392" i="3"/>
  <c r="AB393" i="3" s="1"/>
  <c r="S400" i="3"/>
  <c r="P400" i="3"/>
  <c r="R392" i="3"/>
  <c r="R393" i="3" s="1"/>
  <c r="J400" i="3"/>
  <c r="K400" i="3"/>
  <c r="U392" i="3"/>
  <c r="U393" i="3" s="1"/>
  <c r="T400" i="3"/>
  <c r="G392" i="3"/>
  <c r="G393" i="3" s="1"/>
  <c r="X400" i="3"/>
  <c r="F400" i="3"/>
  <c r="X392" i="3"/>
  <c r="X393" i="3" s="1"/>
  <c r="AD395" i="3"/>
  <c r="M392" i="3"/>
  <c r="M393" i="3" s="1"/>
  <c r="O392" i="3"/>
  <c r="O393" i="3" s="1"/>
  <c r="P392" i="3"/>
  <c r="P393" i="3" s="1"/>
  <c r="W393" i="3"/>
  <c r="N400" i="3"/>
  <c r="I400" i="3"/>
  <c r="U400" i="3"/>
  <c r="Y392" i="3"/>
  <c r="Y393" i="3" s="1"/>
  <c r="N392" i="3"/>
  <c r="N393" i="3" s="1"/>
  <c r="S392" i="3"/>
  <c r="S393" i="3" s="1"/>
  <c r="J392" i="3"/>
  <c r="J393" i="3" s="1"/>
  <c r="L392" i="3"/>
  <c r="L393" i="3" s="1"/>
  <c r="Q400" i="3"/>
  <c r="Y400" i="3"/>
  <c r="AC392" i="3"/>
  <c r="AC393" i="3" s="1"/>
  <c r="AA392" i="3"/>
  <c r="AA393" i="3" s="1"/>
  <c r="Q392" i="3"/>
  <c r="Q393" i="3" s="1"/>
  <c r="H400" i="3"/>
  <c r="AB400" i="3"/>
  <c r="H392" i="3"/>
  <c r="H393" i="3" s="1"/>
  <c r="F392" i="3"/>
  <c r="F393" i="3" s="1"/>
  <c r="K392" i="3"/>
  <c r="K393" i="3" s="1"/>
  <c r="U396" i="3"/>
  <c r="M396" i="3"/>
  <c r="W396" i="3"/>
  <c r="J396" i="3"/>
  <c r="V404" i="3"/>
  <c r="AA404" i="3"/>
  <c r="F404" i="3"/>
  <c r="X404" i="3"/>
  <c r="T393" i="3"/>
  <c r="T396" i="3"/>
  <c r="W404" i="3"/>
  <c r="AA400" i="3"/>
  <c r="R400" i="3"/>
  <c r="W400" i="3"/>
  <c r="S396" i="3"/>
  <c r="L396" i="3"/>
  <c r="C397" i="3"/>
  <c r="Z397" i="3" s="1"/>
  <c r="M404" i="3"/>
  <c r="AB404" i="3"/>
  <c r="AC404" i="3"/>
  <c r="Z396" i="3"/>
  <c r="N396" i="3"/>
  <c r="H396" i="3"/>
  <c r="AB396" i="3"/>
  <c r="N404" i="3"/>
  <c r="H404" i="3"/>
  <c r="O404" i="3"/>
  <c r="K396" i="3"/>
  <c r="Y396" i="3"/>
  <c r="R396" i="3"/>
  <c r="R404" i="3"/>
  <c r="Z404" i="3"/>
  <c r="C409" i="3"/>
  <c r="AA409" i="3" s="1"/>
  <c r="B410" i="3"/>
  <c r="B414" i="3"/>
  <c r="V392" i="3"/>
  <c r="V393" i="3" s="1"/>
  <c r="AD391" i="3"/>
  <c r="P396" i="3"/>
  <c r="AA396" i="3"/>
  <c r="I396" i="3"/>
  <c r="G404" i="3"/>
  <c r="J404" i="3"/>
  <c r="Y404" i="3"/>
  <c r="O396" i="3"/>
  <c r="K404" i="3"/>
  <c r="C405" i="3"/>
  <c r="J405" i="3" s="1"/>
  <c r="B406" i="3"/>
  <c r="O400" i="3"/>
  <c r="AC400" i="3"/>
  <c r="X396" i="3"/>
  <c r="G396" i="3"/>
  <c r="F396" i="3"/>
  <c r="AD387" i="3"/>
  <c r="AD388" i="3" s="1"/>
  <c r="AE388" i="3" s="1"/>
  <c r="U404" i="3"/>
  <c r="L404" i="3"/>
  <c r="P404" i="3"/>
  <c r="C401" i="3"/>
  <c r="Q401" i="3" s="1"/>
  <c r="B402" i="3"/>
  <c r="V396" i="3"/>
  <c r="AC396" i="3"/>
  <c r="Q404" i="3"/>
  <c r="I404" i="3"/>
  <c r="T404" i="3"/>
  <c r="AD399" i="3"/>
  <c r="N409" i="3" l="1"/>
  <c r="D82" i="2"/>
  <c r="E81" i="2"/>
  <c r="H405" i="3"/>
  <c r="M397" i="3"/>
  <c r="M398" i="3" s="1"/>
  <c r="O397" i="3"/>
  <c r="O398" i="3" s="1"/>
  <c r="Z398" i="3"/>
  <c r="U397" i="3"/>
  <c r="U398" i="3" s="1"/>
  <c r="P405" i="3"/>
  <c r="Q397" i="3"/>
  <c r="Q398" i="3" s="1"/>
  <c r="W397" i="3"/>
  <c r="W398" i="3" s="1"/>
  <c r="G397" i="3"/>
  <c r="G398" i="3" s="1"/>
  <c r="V397" i="3"/>
  <c r="V398" i="3" s="1"/>
  <c r="AC397" i="3"/>
  <c r="Z401" i="3"/>
  <c r="T397" i="3"/>
  <c r="T398" i="3" s="1"/>
  <c r="F397" i="3"/>
  <c r="F398" i="3" s="1"/>
  <c r="AD400" i="3"/>
  <c r="T405" i="3"/>
  <c r="L401" i="3"/>
  <c r="W401" i="3"/>
  <c r="Q405" i="3"/>
  <c r="AD392" i="3"/>
  <c r="AD393" i="3" s="1"/>
  <c r="AE393" i="3" s="1"/>
  <c r="X401" i="3"/>
  <c r="K405" i="3"/>
  <c r="J409" i="3"/>
  <c r="AA401" i="3"/>
  <c r="K401" i="3"/>
  <c r="M405" i="3"/>
  <c r="N401" i="3"/>
  <c r="M401" i="3"/>
  <c r="AC401" i="3"/>
  <c r="Y405" i="3"/>
  <c r="V405" i="3"/>
  <c r="Z405" i="3"/>
  <c r="AC409" i="3"/>
  <c r="K409" i="3"/>
  <c r="C414" i="3"/>
  <c r="G414" i="3" s="1"/>
  <c r="B415" i="3"/>
  <c r="B419" i="3"/>
  <c r="I397" i="3"/>
  <c r="I398" i="3" s="1"/>
  <c r="L397" i="3"/>
  <c r="L398" i="3" s="1"/>
  <c r="P397" i="3"/>
  <c r="P398" i="3" s="1"/>
  <c r="W409" i="3"/>
  <c r="T401" i="3"/>
  <c r="O401" i="3"/>
  <c r="G401" i="3"/>
  <c r="F401" i="3"/>
  <c r="AB405" i="3"/>
  <c r="R405" i="3"/>
  <c r="C406" i="3"/>
  <c r="Z406" i="3" s="1"/>
  <c r="B407" i="3"/>
  <c r="H409" i="3"/>
  <c r="F409" i="3"/>
  <c r="G409" i="3"/>
  <c r="K397" i="3"/>
  <c r="K398" i="3" s="1"/>
  <c r="AA397" i="3"/>
  <c r="AA398" i="3" s="1"/>
  <c r="S397" i="3"/>
  <c r="S398" i="3" s="1"/>
  <c r="R401" i="3"/>
  <c r="F405" i="3"/>
  <c r="I409" i="3"/>
  <c r="Y401" i="3"/>
  <c r="W405" i="3"/>
  <c r="I401" i="3"/>
  <c r="AB401" i="3"/>
  <c r="C402" i="3"/>
  <c r="G402" i="3" s="1"/>
  <c r="AA405" i="3"/>
  <c r="G405" i="3"/>
  <c r="N405" i="3"/>
  <c r="AC405" i="3"/>
  <c r="T409" i="3"/>
  <c r="U409" i="3"/>
  <c r="C410" i="3"/>
  <c r="K410" i="3" s="1"/>
  <c r="B411" i="3"/>
  <c r="N397" i="3"/>
  <c r="N398" i="3" s="1"/>
  <c r="J397" i="3"/>
  <c r="J398" i="3" s="1"/>
  <c r="X397" i="3"/>
  <c r="X398" i="3" s="1"/>
  <c r="S401" i="3"/>
  <c r="H401" i="3"/>
  <c r="U405" i="3"/>
  <c r="O405" i="3"/>
  <c r="L405" i="3"/>
  <c r="L409" i="3"/>
  <c r="X409" i="3"/>
  <c r="S409" i="3"/>
  <c r="AC398" i="3"/>
  <c r="V401" i="3"/>
  <c r="AD396" i="3"/>
  <c r="J401" i="3"/>
  <c r="U401" i="3"/>
  <c r="P401" i="3"/>
  <c r="X405" i="3"/>
  <c r="I405" i="3"/>
  <c r="S405" i="3"/>
  <c r="Z409" i="3"/>
  <c r="O409" i="3"/>
  <c r="R409" i="3"/>
  <c r="V409" i="3"/>
  <c r="H397" i="3"/>
  <c r="H398" i="3" s="1"/>
  <c r="R397" i="3"/>
  <c r="R398" i="3" s="1"/>
  <c r="AB397" i="3"/>
  <c r="AB398" i="3" s="1"/>
  <c r="M409" i="3"/>
  <c r="Y409" i="3"/>
  <c r="AB409" i="3"/>
  <c r="AD404" i="3"/>
  <c r="P409" i="3"/>
  <c r="Q409" i="3"/>
  <c r="Y397" i="3"/>
  <c r="Y398" i="3" s="1"/>
  <c r="E82" i="2" l="1"/>
  <c r="D83" i="2"/>
  <c r="U410" i="3"/>
  <c r="N410" i="3"/>
  <c r="F410" i="3"/>
  <c r="Z410" i="3"/>
  <c r="Y410" i="3"/>
  <c r="Z402" i="3"/>
  <c r="Z403" i="3" s="1"/>
  <c r="AB402" i="3"/>
  <c r="AB403" i="3" s="1"/>
  <c r="J402" i="3"/>
  <c r="J403" i="3" s="1"/>
  <c r="P406" i="3"/>
  <c r="M406" i="3"/>
  <c r="K406" i="3"/>
  <c r="I406" i="3"/>
  <c r="N406" i="3"/>
  <c r="AC406" i="3"/>
  <c r="AB406" i="3"/>
  <c r="Y406" i="3"/>
  <c r="H410" i="3"/>
  <c r="X406" i="3"/>
  <c r="F406" i="3"/>
  <c r="AA406" i="3"/>
  <c r="S402" i="3"/>
  <c r="S403" i="3" s="1"/>
  <c r="U402" i="3"/>
  <c r="U403" i="3" s="1"/>
  <c r="W402" i="3"/>
  <c r="W403" i="3" s="1"/>
  <c r="L406" i="3"/>
  <c r="Q402" i="3"/>
  <c r="Q403" i="3" s="1"/>
  <c r="T410" i="3"/>
  <c r="T402" i="3"/>
  <c r="T403" i="3" s="1"/>
  <c r="O410" i="3"/>
  <c r="L410" i="3"/>
  <c r="H402" i="3"/>
  <c r="H403" i="3" s="1"/>
  <c r="S410" i="3"/>
  <c r="I410" i="3"/>
  <c r="V402" i="3"/>
  <c r="V403" i="3" s="1"/>
  <c r="O414" i="3"/>
  <c r="N402" i="3"/>
  <c r="N403" i="3" s="1"/>
  <c r="W406" i="3"/>
  <c r="H406" i="3"/>
  <c r="X414" i="3"/>
  <c r="AB414" i="3"/>
  <c r="M414" i="3"/>
  <c r="G406" i="3"/>
  <c r="O406" i="3"/>
  <c r="R406" i="3"/>
  <c r="W414" i="3"/>
  <c r="U406" i="3"/>
  <c r="J406" i="3"/>
  <c r="T414" i="3"/>
  <c r="K402" i="3"/>
  <c r="K403" i="3" s="1"/>
  <c r="L402" i="3"/>
  <c r="L403" i="3" s="1"/>
  <c r="Q406" i="3"/>
  <c r="V406" i="3"/>
  <c r="Y414" i="3"/>
  <c r="Z414" i="3"/>
  <c r="V410" i="3"/>
  <c r="P402" i="3"/>
  <c r="P403" i="3" s="1"/>
  <c r="Y402" i="3"/>
  <c r="Y403" i="3" s="1"/>
  <c r="T406" i="3"/>
  <c r="S406" i="3"/>
  <c r="R414" i="3"/>
  <c r="C411" i="3"/>
  <c r="Y411" i="3" s="1"/>
  <c r="B412" i="3"/>
  <c r="N414" i="3"/>
  <c r="C415" i="3"/>
  <c r="Z415" i="3" s="1"/>
  <c r="B416" i="3"/>
  <c r="X410" i="3"/>
  <c r="AA410" i="3"/>
  <c r="P410" i="3"/>
  <c r="AA402" i="3"/>
  <c r="AA403" i="3" s="1"/>
  <c r="O402" i="3"/>
  <c r="O403" i="3" s="1"/>
  <c r="X402" i="3"/>
  <c r="X403" i="3" s="1"/>
  <c r="C407" i="3"/>
  <c r="P407" i="3" s="1"/>
  <c r="AD401" i="3"/>
  <c r="P414" i="3"/>
  <c r="AA414" i="3"/>
  <c r="U414" i="3"/>
  <c r="H414" i="3"/>
  <c r="J410" i="3"/>
  <c r="G403" i="3"/>
  <c r="K414" i="3"/>
  <c r="Q414" i="3"/>
  <c r="AD409" i="3"/>
  <c r="AD397" i="3"/>
  <c r="AD398" i="3" s="1"/>
  <c r="AE398" i="3" s="1"/>
  <c r="AB410" i="3"/>
  <c r="G410" i="3"/>
  <c r="R410" i="3"/>
  <c r="I402" i="3"/>
  <c r="I403" i="3" s="1"/>
  <c r="F402" i="3"/>
  <c r="AC402" i="3"/>
  <c r="AC403" i="3" s="1"/>
  <c r="AD405" i="3"/>
  <c r="S414" i="3"/>
  <c r="I414" i="3"/>
  <c r="F414" i="3"/>
  <c r="Q410" i="3"/>
  <c r="AC410" i="3"/>
  <c r="M410" i="3"/>
  <c r="M402" i="3"/>
  <c r="M403" i="3" s="1"/>
  <c r="R402" i="3"/>
  <c r="R403" i="3" s="1"/>
  <c r="L414" i="3"/>
  <c r="V414" i="3"/>
  <c r="C419" i="3"/>
  <c r="X419" i="3" s="1"/>
  <c r="B424" i="3"/>
  <c r="B420" i="3"/>
  <c r="W410" i="3"/>
  <c r="J414" i="3"/>
  <c r="AC414" i="3"/>
  <c r="P408" i="3" l="1"/>
  <c r="D84" i="2"/>
  <c r="E83" i="2"/>
  <c r="S411" i="3"/>
  <c r="AB415" i="3"/>
  <c r="F415" i="3"/>
  <c r="AA415" i="3"/>
  <c r="X415" i="3"/>
  <c r="L411" i="3"/>
  <c r="G415" i="3"/>
  <c r="S415" i="3"/>
  <c r="O415" i="3"/>
  <c r="I415" i="3"/>
  <c r="U411" i="3"/>
  <c r="J415" i="3"/>
  <c r="I411" i="3"/>
  <c r="P419" i="3"/>
  <c r="L419" i="3"/>
  <c r="K419" i="3"/>
  <c r="Y415" i="3"/>
  <c r="R415" i="3"/>
  <c r="U415" i="3"/>
  <c r="AD406" i="3"/>
  <c r="K407" i="3"/>
  <c r="K408" i="3" s="1"/>
  <c r="F419" i="3"/>
  <c r="G407" i="3"/>
  <c r="G408" i="3" s="1"/>
  <c r="P415" i="3"/>
  <c r="V415" i="3"/>
  <c r="M411" i="3"/>
  <c r="W411" i="3"/>
  <c r="X411" i="3"/>
  <c r="V419" i="3"/>
  <c r="O419" i="3"/>
  <c r="H407" i="3"/>
  <c r="H408" i="3" s="1"/>
  <c r="O411" i="3"/>
  <c r="Z411" i="3"/>
  <c r="T419" i="3"/>
  <c r="R419" i="3"/>
  <c r="Q419" i="3"/>
  <c r="Q407" i="3"/>
  <c r="Q408" i="3" s="1"/>
  <c r="AA411" i="3"/>
  <c r="R411" i="3"/>
  <c r="AC419" i="3"/>
  <c r="H419" i="3"/>
  <c r="AA419" i="3"/>
  <c r="T407" i="3"/>
  <c r="T408" i="3" s="1"/>
  <c r="K415" i="3"/>
  <c r="AC411" i="3"/>
  <c r="F411" i="3"/>
  <c r="W419" i="3"/>
  <c r="M419" i="3"/>
  <c r="R407" i="3"/>
  <c r="R408" i="3" s="1"/>
  <c r="K411" i="3"/>
  <c r="V411" i="3"/>
  <c r="AD410" i="3"/>
  <c r="I419" i="3"/>
  <c r="S419" i="3"/>
  <c r="Z419" i="3"/>
  <c r="U419" i="3"/>
  <c r="AB419" i="3"/>
  <c r="J419" i="3"/>
  <c r="I407" i="3"/>
  <c r="I408" i="3" s="1"/>
  <c r="T411" i="3"/>
  <c r="Y419" i="3"/>
  <c r="G419" i="3"/>
  <c r="U407" i="3"/>
  <c r="U408" i="3" s="1"/>
  <c r="J411" i="3"/>
  <c r="N411" i="3"/>
  <c r="C424" i="3"/>
  <c r="V424" i="3" s="1"/>
  <c r="B429" i="3"/>
  <c r="B425" i="3"/>
  <c r="Z407" i="3"/>
  <c r="Z408" i="3" s="1"/>
  <c r="AA407" i="3"/>
  <c r="AA408" i="3" s="1"/>
  <c r="O407" i="3"/>
  <c r="O408" i="3" s="1"/>
  <c r="N407" i="3"/>
  <c r="N408" i="3" s="1"/>
  <c r="AB407" i="3"/>
  <c r="AB408" i="3" s="1"/>
  <c r="L415" i="3"/>
  <c r="C416" i="3"/>
  <c r="AC416" i="3" s="1"/>
  <c r="B417" i="3"/>
  <c r="AC415" i="3"/>
  <c r="F407" i="3"/>
  <c r="C412" i="3"/>
  <c r="V412" i="3" s="1"/>
  <c r="L407" i="3"/>
  <c r="L408" i="3" s="1"/>
  <c r="AD402" i="3"/>
  <c r="AD403" i="3" s="1"/>
  <c r="AE403" i="3" s="1"/>
  <c r="AC407" i="3"/>
  <c r="AC408" i="3" s="1"/>
  <c r="S407" i="3"/>
  <c r="S408" i="3" s="1"/>
  <c r="X407" i="3"/>
  <c r="X408" i="3" s="1"/>
  <c r="Q415" i="3"/>
  <c r="T415" i="3"/>
  <c r="M415" i="3"/>
  <c r="AB411" i="3"/>
  <c r="H411" i="3"/>
  <c r="Q411" i="3"/>
  <c r="N419" i="3"/>
  <c r="C420" i="3"/>
  <c r="J420" i="3" s="1"/>
  <c r="B421" i="3"/>
  <c r="J407" i="3"/>
  <c r="J408" i="3" s="1"/>
  <c r="W407" i="3"/>
  <c r="W408" i="3" s="1"/>
  <c r="V407" i="3"/>
  <c r="V408" i="3" s="1"/>
  <c r="N415" i="3"/>
  <c r="W415" i="3"/>
  <c r="H415" i="3"/>
  <c r="G411" i="3"/>
  <c r="P411" i="3"/>
  <c r="AD414" i="3"/>
  <c r="F403" i="3"/>
  <c r="M407" i="3"/>
  <c r="M408" i="3" s="1"/>
  <c r="Y407" i="3"/>
  <c r="Y408" i="3" s="1"/>
  <c r="E84" i="2" l="1"/>
  <c r="D85" i="2"/>
  <c r="S412" i="3"/>
  <c r="S413" i="3" s="1"/>
  <c r="O412" i="3"/>
  <c r="O413" i="3" s="1"/>
  <c r="V413" i="3"/>
  <c r="AA416" i="3"/>
  <c r="M412" i="3"/>
  <c r="M413" i="3" s="1"/>
  <c r="AB416" i="3"/>
  <c r="R420" i="3"/>
  <c r="AA412" i="3"/>
  <c r="AA413" i="3" s="1"/>
  <c r="P416" i="3"/>
  <c r="L412" i="3"/>
  <c r="L413" i="3" s="1"/>
  <c r="Z416" i="3"/>
  <c r="Z412" i="3"/>
  <c r="Z413" i="3" s="1"/>
  <c r="J416" i="3"/>
  <c r="G420" i="3"/>
  <c r="X420" i="3"/>
  <c r="H420" i="3"/>
  <c r="U420" i="3"/>
  <c r="O420" i="3"/>
  <c r="M420" i="3"/>
  <c r="AA420" i="3"/>
  <c r="AA424" i="3"/>
  <c r="R424" i="3"/>
  <c r="M424" i="3"/>
  <c r="V416" i="3"/>
  <c r="I416" i="3"/>
  <c r="T416" i="3"/>
  <c r="L424" i="3"/>
  <c r="Q424" i="3"/>
  <c r="W424" i="3"/>
  <c r="T424" i="3"/>
  <c r="N416" i="3"/>
  <c r="S416" i="3"/>
  <c r="M416" i="3"/>
  <c r="G424" i="3"/>
  <c r="O424" i="3"/>
  <c r="K424" i="3"/>
  <c r="AD415" i="3"/>
  <c r="L420" i="3"/>
  <c r="V420" i="3"/>
  <c r="K416" i="3"/>
  <c r="H416" i="3"/>
  <c r="G416" i="3"/>
  <c r="AC424" i="3"/>
  <c r="X424" i="3"/>
  <c r="H424" i="3"/>
  <c r="P424" i="3"/>
  <c r="S420" i="3"/>
  <c r="N420" i="3"/>
  <c r="R416" i="3"/>
  <c r="Y416" i="3"/>
  <c r="W416" i="3"/>
  <c r="AB424" i="3"/>
  <c r="N424" i="3"/>
  <c r="J424" i="3"/>
  <c r="AD411" i="3"/>
  <c r="K420" i="3"/>
  <c r="F416" i="3"/>
  <c r="X416" i="3"/>
  <c r="Y424" i="3"/>
  <c r="F424" i="3"/>
  <c r="Z424" i="3"/>
  <c r="Z420" i="3"/>
  <c r="Y420" i="3"/>
  <c r="F420" i="3"/>
  <c r="U416" i="3"/>
  <c r="O416" i="3"/>
  <c r="Q416" i="3"/>
  <c r="I424" i="3"/>
  <c r="S424" i="3"/>
  <c r="U424" i="3"/>
  <c r="K412" i="3"/>
  <c r="K413" i="3" s="1"/>
  <c r="H412" i="3"/>
  <c r="H413" i="3" s="1"/>
  <c r="Y412" i="3"/>
  <c r="Y413" i="3" s="1"/>
  <c r="W420" i="3"/>
  <c r="R412" i="3"/>
  <c r="R413" i="3" s="1"/>
  <c r="P412" i="3"/>
  <c r="P413" i="3" s="1"/>
  <c r="Q412" i="3"/>
  <c r="Q413" i="3" s="1"/>
  <c r="G412" i="3"/>
  <c r="G413" i="3" s="1"/>
  <c r="I412" i="3"/>
  <c r="I413" i="3" s="1"/>
  <c r="AB412" i="3"/>
  <c r="AB413" i="3" s="1"/>
  <c r="AD407" i="3"/>
  <c r="AD408" i="3" s="1"/>
  <c r="AE408" i="3" s="1"/>
  <c r="F408" i="3"/>
  <c r="B434" i="3"/>
  <c r="C429" i="3"/>
  <c r="T429" i="3" s="1"/>
  <c r="B430" i="3"/>
  <c r="C421" i="3"/>
  <c r="L421" i="3" s="1"/>
  <c r="B422" i="3"/>
  <c r="AD419" i="3"/>
  <c r="I420" i="3"/>
  <c r="P420" i="3"/>
  <c r="T420" i="3"/>
  <c r="X412" i="3"/>
  <c r="X413" i="3" s="1"/>
  <c r="AC412" i="3"/>
  <c r="AC413" i="3" s="1"/>
  <c r="J412" i="3"/>
  <c r="J413" i="3" s="1"/>
  <c r="L416" i="3"/>
  <c r="C417" i="3"/>
  <c r="AB417" i="3" s="1"/>
  <c r="AB420" i="3"/>
  <c r="Q420" i="3"/>
  <c r="W412" i="3"/>
  <c r="W413" i="3" s="1"/>
  <c r="F412" i="3"/>
  <c r="U412" i="3"/>
  <c r="U413" i="3" s="1"/>
  <c r="AC420" i="3"/>
  <c r="T412" i="3"/>
  <c r="T413" i="3" s="1"/>
  <c r="N412" i="3"/>
  <c r="N413" i="3" s="1"/>
  <c r="C425" i="3"/>
  <c r="I425" i="3" s="1"/>
  <c r="B426" i="3"/>
  <c r="Z425" i="3" l="1"/>
  <c r="D86" i="2"/>
  <c r="E85" i="2"/>
  <c r="J425" i="3"/>
  <c r="V425" i="3"/>
  <c r="AB418" i="3"/>
  <c r="I429" i="3"/>
  <c r="AC429" i="3"/>
  <c r="H429" i="3"/>
  <c r="Z429" i="3"/>
  <c r="X429" i="3"/>
  <c r="K429" i="3"/>
  <c r="S429" i="3"/>
  <c r="AB429" i="3"/>
  <c r="J417" i="3"/>
  <c r="J418" i="3" s="1"/>
  <c r="F417" i="3"/>
  <c r="F418" i="3" s="1"/>
  <c r="X421" i="3"/>
  <c r="AA417" i="3"/>
  <c r="AA418" i="3" s="1"/>
  <c r="P417" i="3"/>
  <c r="P418" i="3" s="1"/>
  <c r="S425" i="3"/>
  <c r="K417" i="3"/>
  <c r="K418" i="3" s="1"/>
  <c r="Z417" i="3"/>
  <c r="Z418" i="3" s="1"/>
  <c r="G429" i="3"/>
  <c r="O417" i="3"/>
  <c r="O418" i="3" s="1"/>
  <c r="R421" i="3"/>
  <c r="AD424" i="3"/>
  <c r="AB425" i="3"/>
  <c r="Y425" i="3"/>
  <c r="X425" i="3"/>
  <c r="M417" i="3"/>
  <c r="M418" i="3" s="1"/>
  <c r="G425" i="3"/>
  <c r="P425" i="3"/>
  <c r="O425" i="3"/>
  <c r="K425" i="3"/>
  <c r="O429" i="3"/>
  <c r="R425" i="3"/>
  <c r="Q425" i="3"/>
  <c r="M425" i="3"/>
  <c r="AD416" i="3"/>
  <c r="G421" i="3"/>
  <c r="V429" i="3"/>
  <c r="N425" i="3"/>
  <c r="AD420" i="3"/>
  <c r="M429" i="3"/>
  <c r="W429" i="3"/>
  <c r="H425" i="3"/>
  <c r="F425" i="3"/>
  <c r="F429" i="3"/>
  <c r="Y429" i="3"/>
  <c r="AA421" i="3"/>
  <c r="W421" i="3"/>
  <c r="Q417" i="3"/>
  <c r="Q418" i="3" s="1"/>
  <c r="X417" i="3"/>
  <c r="X418" i="3" s="1"/>
  <c r="I417" i="3"/>
  <c r="I418" i="3" s="1"/>
  <c r="Z421" i="3"/>
  <c r="Q421" i="3"/>
  <c r="Y421" i="3"/>
  <c r="L429" i="3"/>
  <c r="P429" i="3"/>
  <c r="AA429" i="3"/>
  <c r="AB421" i="3"/>
  <c r="AD412" i="3"/>
  <c r="AD413" i="3" s="1"/>
  <c r="AE413" i="3" s="1"/>
  <c r="F413" i="3"/>
  <c r="L417" i="3"/>
  <c r="L418" i="3" s="1"/>
  <c r="T421" i="3"/>
  <c r="T425" i="3"/>
  <c r="AC425" i="3"/>
  <c r="L425" i="3"/>
  <c r="AC417" i="3"/>
  <c r="AC418" i="3" s="1"/>
  <c r="T417" i="3"/>
  <c r="T418" i="3" s="1"/>
  <c r="N417" i="3"/>
  <c r="N418" i="3" s="1"/>
  <c r="V421" i="3"/>
  <c r="J421" i="3"/>
  <c r="N421" i="3"/>
  <c r="N429" i="3"/>
  <c r="Q429" i="3"/>
  <c r="U429" i="3"/>
  <c r="C430" i="3"/>
  <c r="P430" i="3" s="1"/>
  <c r="B431" i="3"/>
  <c r="O421" i="3"/>
  <c r="V417" i="3"/>
  <c r="V418" i="3" s="1"/>
  <c r="I421" i="3"/>
  <c r="U417" i="3"/>
  <c r="U418" i="3" s="1"/>
  <c r="R417" i="3"/>
  <c r="R418" i="3" s="1"/>
  <c r="F421" i="3"/>
  <c r="P421" i="3"/>
  <c r="C422" i="3"/>
  <c r="AB422" i="3" s="1"/>
  <c r="U421" i="3"/>
  <c r="H417" i="3"/>
  <c r="H418" i="3" s="1"/>
  <c r="H421" i="3"/>
  <c r="AA425" i="3"/>
  <c r="W417" i="3"/>
  <c r="W418" i="3" s="1"/>
  <c r="AC421" i="3"/>
  <c r="U425" i="3"/>
  <c r="W425" i="3"/>
  <c r="S417" i="3"/>
  <c r="S418" i="3" s="1"/>
  <c r="Y417" i="3"/>
  <c r="Y418" i="3" s="1"/>
  <c r="G417" i="3"/>
  <c r="G418" i="3" s="1"/>
  <c r="M421" i="3"/>
  <c r="S421" i="3"/>
  <c r="K421" i="3"/>
  <c r="R429" i="3"/>
  <c r="J429" i="3"/>
  <c r="C434" i="3"/>
  <c r="F434" i="3" s="1"/>
  <c r="B439" i="3"/>
  <c r="B435" i="3"/>
  <c r="C426" i="3"/>
  <c r="AB426" i="3" s="1"/>
  <c r="B427" i="3"/>
  <c r="E86" i="2" l="1"/>
  <c r="D87" i="2"/>
  <c r="P422" i="3"/>
  <c r="P423" i="3" s="1"/>
  <c r="G422" i="3"/>
  <c r="G423" i="3" s="1"/>
  <c r="H422" i="3"/>
  <c r="H423" i="3" s="1"/>
  <c r="Q422" i="3"/>
  <c r="Q423" i="3" s="1"/>
  <c r="AC422" i="3"/>
  <c r="AC423" i="3" s="1"/>
  <c r="AD429" i="3"/>
  <c r="I422" i="3"/>
  <c r="I423" i="3" s="1"/>
  <c r="F422" i="3"/>
  <c r="F423" i="3" s="1"/>
  <c r="O422" i="3"/>
  <c r="O423" i="3" s="1"/>
  <c r="M422" i="3"/>
  <c r="M423" i="3" s="1"/>
  <c r="T422" i="3"/>
  <c r="T423" i="3" s="1"/>
  <c r="J422" i="3"/>
  <c r="J423" i="3" s="1"/>
  <c r="N426" i="3"/>
  <c r="U430" i="3"/>
  <c r="N434" i="3"/>
  <c r="J426" i="3"/>
  <c r="AD425" i="3"/>
  <c r="F426" i="3"/>
  <c r="S434" i="3"/>
  <c r="X430" i="3"/>
  <c r="K426" i="3"/>
  <c r="U434" i="3"/>
  <c r="N422" i="3"/>
  <c r="N423" i="3" s="1"/>
  <c r="S422" i="3"/>
  <c r="R434" i="3"/>
  <c r="Q426" i="3"/>
  <c r="I426" i="3"/>
  <c r="H434" i="3"/>
  <c r="K422" i="3"/>
  <c r="K423" i="3" s="1"/>
  <c r="W422" i="3"/>
  <c r="W423" i="3" s="1"/>
  <c r="T430" i="3"/>
  <c r="P426" i="3"/>
  <c r="L426" i="3"/>
  <c r="G426" i="3"/>
  <c r="U426" i="3"/>
  <c r="X426" i="3"/>
  <c r="AC434" i="3"/>
  <c r="Z422" i="3"/>
  <c r="Z423" i="3" s="1"/>
  <c r="L422" i="3"/>
  <c r="L423" i="3" s="1"/>
  <c r="Y430" i="3"/>
  <c r="W434" i="3"/>
  <c r="X434" i="3"/>
  <c r="I434" i="3"/>
  <c r="Q430" i="3"/>
  <c r="M430" i="3"/>
  <c r="Z430" i="3"/>
  <c r="AD417" i="3"/>
  <c r="AD418" i="3" s="1"/>
  <c r="AE418" i="3" s="1"/>
  <c r="O426" i="3"/>
  <c r="O434" i="3"/>
  <c r="G434" i="3"/>
  <c r="Z434" i="3"/>
  <c r="W430" i="3"/>
  <c r="F430" i="3"/>
  <c r="AC426" i="3"/>
  <c r="R426" i="3"/>
  <c r="M426" i="3"/>
  <c r="Y426" i="3"/>
  <c r="K434" i="3"/>
  <c r="AA434" i="3"/>
  <c r="V434" i="3"/>
  <c r="C435" i="3"/>
  <c r="U435" i="3" s="1"/>
  <c r="B436" i="3"/>
  <c r="AA422" i="3"/>
  <c r="AA423" i="3" s="1"/>
  <c r="Y422" i="3"/>
  <c r="Y423" i="3" s="1"/>
  <c r="N430" i="3"/>
  <c r="J430" i="3"/>
  <c r="S430" i="3"/>
  <c r="O430" i="3"/>
  <c r="C439" i="3"/>
  <c r="H439" i="3" s="1"/>
  <c r="B440" i="3"/>
  <c r="B444" i="3"/>
  <c r="S423" i="3"/>
  <c r="AD421" i="3"/>
  <c r="V430" i="3"/>
  <c r="AB430" i="3"/>
  <c r="H430" i="3"/>
  <c r="AA426" i="3"/>
  <c r="J434" i="3"/>
  <c r="AB434" i="3"/>
  <c r="I430" i="3"/>
  <c r="G430" i="3"/>
  <c r="AA430" i="3"/>
  <c r="W426" i="3"/>
  <c r="H426" i="3"/>
  <c r="M434" i="3"/>
  <c r="T426" i="3"/>
  <c r="S426" i="3"/>
  <c r="C427" i="3"/>
  <c r="Y427" i="3" s="1"/>
  <c r="Y434" i="3"/>
  <c r="Q434" i="3"/>
  <c r="L434" i="3"/>
  <c r="U422" i="3"/>
  <c r="U423" i="3" s="1"/>
  <c r="V422" i="3"/>
  <c r="V423" i="3" s="1"/>
  <c r="X422" i="3"/>
  <c r="X423" i="3" s="1"/>
  <c r="L430" i="3"/>
  <c r="R430" i="3"/>
  <c r="AC430" i="3"/>
  <c r="AB423" i="3"/>
  <c r="V426" i="3"/>
  <c r="Z426" i="3"/>
  <c r="P434" i="3"/>
  <c r="T434" i="3"/>
  <c r="R422" i="3"/>
  <c r="R423" i="3" s="1"/>
  <c r="C431" i="3"/>
  <c r="J431" i="3" s="1"/>
  <c r="B432" i="3"/>
  <c r="K430" i="3"/>
  <c r="E87" i="2" l="1"/>
  <c r="D88" i="2"/>
  <c r="I431" i="3"/>
  <c r="S439" i="3"/>
  <c r="L431" i="3"/>
  <c r="J439" i="3"/>
  <c r="L439" i="3"/>
  <c r="AB439" i="3"/>
  <c r="Q427" i="3"/>
  <c r="Q428" i="3" s="1"/>
  <c r="X427" i="3"/>
  <c r="X428" i="3" s="1"/>
  <c r="I435" i="3"/>
  <c r="V427" i="3"/>
  <c r="V428" i="3" s="1"/>
  <c r="T427" i="3"/>
  <c r="T428" i="3" s="1"/>
  <c r="R435" i="3"/>
  <c r="Z427" i="3"/>
  <c r="Z428" i="3" s="1"/>
  <c r="Z435" i="3"/>
  <c r="N427" i="3"/>
  <c r="N428" i="3" s="1"/>
  <c r="K427" i="3"/>
  <c r="K428" i="3" s="1"/>
  <c r="AC439" i="3"/>
  <c r="F435" i="3"/>
  <c r="P427" i="3"/>
  <c r="P428" i="3" s="1"/>
  <c r="W427" i="3"/>
  <c r="W428" i="3" s="1"/>
  <c r="AA439" i="3"/>
  <c r="Z431" i="3"/>
  <c r="AD426" i="3"/>
  <c r="Q435" i="3"/>
  <c r="F431" i="3"/>
  <c r="T431" i="3"/>
  <c r="AB431" i="3"/>
  <c r="AB427" i="3"/>
  <c r="AB428" i="3" s="1"/>
  <c r="H435" i="3"/>
  <c r="H431" i="3"/>
  <c r="Y431" i="3"/>
  <c r="W431" i="3"/>
  <c r="U431" i="3"/>
  <c r="P431" i="3"/>
  <c r="AC427" i="3"/>
  <c r="AC428" i="3" s="1"/>
  <c r="M427" i="3"/>
  <c r="M428" i="3" s="1"/>
  <c r="J427" i="3"/>
  <c r="J428" i="3" s="1"/>
  <c r="P439" i="3"/>
  <c r="L435" i="3"/>
  <c r="S435" i="3"/>
  <c r="G431" i="3"/>
  <c r="X431" i="3"/>
  <c r="AB435" i="3"/>
  <c r="P435" i="3"/>
  <c r="AD434" i="3"/>
  <c r="AC431" i="3"/>
  <c r="K431" i="3"/>
  <c r="S431" i="3"/>
  <c r="O431" i="3"/>
  <c r="S427" i="3"/>
  <c r="S428" i="3" s="1"/>
  <c r="F427" i="3"/>
  <c r="F428" i="3" s="1"/>
  <c r="F439" i="3"/>
  <c r="Y435" i="3"/>
  <c r="O435" i="3"/>
  <c r="V431" i="3"/>
  <c r="N431" i="3"/>
  <c r="AA431" i="3"/>
  <c r="M431" i="3"/>
  <c r="R431" i="3"/>
  <c r="Q431" i="3"/>
  <c r="I427" i="3"/>
  <c r="I428" i="3" s="1"/>
  <c r="O427" i="3"/>
  <c r="O428" i="3" s="1"/>
  <c r="V439" i="3"/>
  <c r="N435" i="3"/>
  <c r="W439" i="3"/>
  <c r="C436" i="3"/>
  <c r="O436" i="3" s="1"/>
  <c r="B437" i="3"/>
  <c r="AD430" i="3"/>
  <c r="C444" i="3"/>
  <c r="P444" i="3" s="1"/>
  <c r="B445" i="3"/>
  <c r="B449" i="3"/>
  <c r="Q439" i="3"/>
  <c r="G439" i="3"/>
  <c r="M439" i="3"/>
  <c r="G435" i="3"/>
  <c r="T435" i="3"/>
  <c r="AD422" i="3"/>
  <c r="AD423" i="3" s="1"/>
  <c r="AE423" i="3" s="1"/>
  <c r="R439" i="3"/>
  <c r="C440" i="3"/>
  <c r="O440" i="3" s="1"/>
  <c r="B441" i="3"/>
  <c r="Y428" i="3"/>
  <c r="AA427" i="3"/>
  <c r="AA428" i="3" s="1"/>
  <c r="T439" i="3"/>
  <c r="K439" i="3"/>
  <c r="AA435" i="3"/>
  <c r="M435" i="3"/>
  <c r="G427" i="3"/>
  <c r="G428" i="3" s="1"/>
  <c r="R427" i="3"/>
  <c r="R428" i="3" s="1"/>
  <c r="H427" i="3"/>
  <c r="H428" i="3" s="1"/>
  <c r="N439" i="3"/>
  <c r="Y439" i="3"/>
  <c r="O439" i="3"/>
  <c r="U439" i="3"/>
  <c r="AC435" i="3"/>
  <c r="W435" i="3"/>
  <c r="J435" i="3"/>
  <c r="C432" i="3"/>
  <c r="K432" i="3" s="1"/>
  <c r="L427" i="3"/>
  <c r="L428" i="3" s="1"/>
  <c r="U427" i="3"/>
  <c r="U428" i="3" s="1"/>
  <c r="I439" i="3"/>
  <c r="X439" i="3"/>
  <c r="Z439" i="3"/>
  <c r="V435" i="3"/>
  <c r="K435" i="3"/>
  <c r="X435" i="3"/>
  <c r="E88" i="2" l="1"/>
  <c r="D89" i="2"/>
  <c r="K433" i="3"/>
  <c r="AC440" i="3"/>
  <c r="H440" i="3"/>
  <c r="M436" i="3"/>
  <c r="I436" i="3"/>
  <c r="W436" i="3"/>
  <c r="Q436" i="3"/>
  <c r="J432" i="3"/>
  <c r="J433" i="3" s="1"/>
  <c r="R432" i="3"/>
  <c r="R433" i="3" s="1"/>
  <c r="AD431" i="3"/>
  <c r="R440" i="3"/>
  <c r="S440" i="3"/>
  <c r="R444" i="3"/>
  <c r="U432" i="3"/>
  <c r="U433" i="3" s="1"/>
  <c r="U440" i="3"/>
  <c r="O444" i="3"/>
  <c r="K436" i="3"/>
  <c r="Z440" i="3"/>
  <c r="M444" i="3"/>
  <c r="Z436" i="3"/>
  <c r="J440" i="3"/>
  <c r="T436" i="3"/>
  <c r="K440" i="3"/>
  <c r="AA440" i="3"/>
  <c r="Y436" i="3"/>
  <c r="N444" i="3"/>
  <c r="AA444" i="3"/>
  <c r="F432" i="3"/>
  <c r="F433" i="3" s="1"/>
  <c r="X444" i="3"/>
  <c r="Y444" i="3"/>
  <c r="P436" i="3"/>
  <c r="AB436" i="3"/>
  <c r="AD435" i="3"/>
  <c r="L432" i="3"/>
  <c r="L433" i="3" s="1"/>
  <c r="AA432" i="3"/>
  <c r="AA433" i="3" s="1"/>
  <c r="W444" i="3"/>
  <c r="S444" i="3"/>
  <c r="N436" i="3"/>
  <c r="R436" i="3"/>
  <c r="V436" i="3"/>
  <c r="AD439" i="3"/>
  <c r="T432" i="3"/>
  <c r="T433" i="3" s="1"/>
  <c r="K444" i="3"/>
  <c r="L444" i="3"/>
  <c r="H436" i="3"/>
  <c r="U436" i="3"/>
  <c r="AA436" i="3"/>
  <c r="H432" i="3"/>
  <c r="H433" i="3" s="1"/>
  <c r="W440" i="3"/>
  <c r="I444" i="3"/>
  <c r="U444" i="3"/>
  <c r="J436" i="3"/>
  <c r="F436" i="3"/>
  <c r="AC432" i="3"/>
  <c r="AC433" i="3" s="1"/>
  <c r="V444" i="3"/>
  <c r="AC436" i="3"/>
  <c r="X436" i="3"/>
  <c r="S436" i="3"/>
  <c r="Q432" i="3"/>
  <c r="Q433" i="3" s="1"/>
  <c r="I440" i="3"/>
  <c r="Q440" i="3"/>
  <c r="Y432" i="3"/>
  <c r="Y433" i="3" s="1"/>
  <c r="M432" i="3"/>
  <c r="M433" i="3" s="1"/>
  <c r="V432" i="3"/>
  <c r="V433" i="3" s="1"/>
  <c r="AB432" i="3"/>
  <c r="AB433" i="3" s="1"/>
  <c r="S432" i="3"/>
  <c r="S433" i="3" s="1"/>
  <c r="P440" i="3"/>
  <c r="X440" i="3"/>
  <c r="Y440" i="3"/>
  <c r="Z444" i="3"/>
  <c r="G444" i="3"/>
  <c r="T444" i="3"/>
  <c r="L436" i="3"/>
  <c r="I432" i="3"/>
  <c r="I433" i="3" s="1"/>
  <c r="AB440" i="3"/>
  <c r="V440" i="3"/>
  <c r="L440" i="3"/>
  <c r="AC444" i="3"/>
  <c r="AB444" i="3"/>
  <c r="P432" i="3"/>
  <c r="P433" i="3" s="1"/>
  <c r="G432" i="3"/>
  <c r="G433" i="3" s="1"/>
  <c r="N432" i="3"/>
  <c r="N433" i="3" s="1"/>
  <c r="Z432" i="3"/>
  <c r="Z433" i="3" s="1"/>
  <c r="M440" i="3"/>
  <c r="N440" i="3"/>
  <c r="G440" i="3"/>
  <c r="H444" i="3"/>
  <c r="J444" i="3"/>
  <c r="C449" i="3"/>
  <c r="K449" i="3" s="1"/>
  <c r="B450" i="3"/>
  <c r="B454" i="3"/>
  <c r="G436" i="3"/>
  <c r="O432" i="3"/>
  <c r="O433" i="3" s="1"/>
  <c r="W432" i="3"/>
  <c r="W433" i="3" s="1"/>
  <c r="X432" i="3"/>
  <c r="X433" i="3" s="1"/>
  <c r="F440" i="3"/>
  <c r="T440" i="3"/>
  <c r="F444" i="3"/>
  <c r="Q444" i="3"/>
  <c r="C445" i="3"/>
  <c r="T445" i="3" s="1"/>
  <c r="B446" i="3"/>
  <c r="C441" i="3"/>
  <c r="U441" i="3" s="1"/>
  <c r="B442" i="3"/>
  <c r="C437" i="3"/>
  <c r="K437" i="3" s="1"/>
  <c r="AD427" i="3"/>
  <c r="AD428" i="3" s="1"/>
  <c r="K438" i="3" l="1"/>
  <c r="D90" i="2"/>
  <c r="E89" i="2"/>
  <c r="R445" i="3"/>
  <c r="G449" i="3"/>
  <c r="F437" i="3"/>
  <c r="F438" i="3" s="1"/>
  <c r="X445" i="3"/>
  <c r="AC449" i="3"/>
  <c r="Q437" i="3"/>
  <c r="Q438" i="3" s="1"/>
  <c r="N437" i="3"/>
  <c r="N438" i="3" s="1"/>
  <c r="H441" i="3"/>
  <c r="K445" i="3"/>
  <c r="L445" i="3"/>
  <c r="J449" i="3"/>
  <c r="W445" i="3"/>
  <c r="O445" i="3"/>
  <c r="X437" i="3"/>
  <c r="X438" i="3" s="1"/>
  <c r="G437" i="3"/>
  <c r="G438" i="3" s="1"/>
  <c r="Y445" i="3"/>
  <c r="P445" i="3"/>
  <c r="M449" i="3"/>
  <c r="T441" i="3"/>
  <c r="J441" i="3"/>
  <c r="L441" i="3"/>
  <c r="W437" i="3"/>
  <c r="W438" i="3" s="1"/>
  <c r="Z441" i="3"/>
  <c r="S445" i="3"/>
  <c r="J445" i="3"/>
  <c r="Q445" i="3"/>
  <c r="AC445" i="3"/>
  <c r="AB445" i="3"/>
  <c r="U437" i="3"/>
  <c r="U438" i="3" s="1"/>
  <c r="K441" i="3"/>
  <c r="H445" i="3"/>
  <c r="F445" i="3"/>
  <c r="X449" i="3"/>
  <c r="U449" i="3"/>
  <c r="V449" i="3"/>
  <c r="Z449" i="3"/>
  <c r="R437" i="3"/>
  <c r="R438" i="3" s="1"/>
  <c r="V445" i="3"/>
  <c r="Z445" i="3"/>
  <c r="O449" i="3"/>
  <c r="AB437" i="3"/>
  <c r="AB438" i="3" s="1"/>
  <c r="I445" i="3"/>
  <c r="N445" i="3"/>
  <c r="F449" i="3"/>
  <c r="W449" i="3"/>
  <c r="AD436" i="3"/>
  <c r="T449" i="3"/>
  <c r="AA449" i="3"/>
  <c r="G445" i="3"/>
  <c r="M445" i="3"/>
  <c r="S449" i="3"/>
  <c r="AB449" i="3"/>
  <c r="V441" i="3"/>
  <c r="I441" i="3"/>
  <c r="AC441" i="3"/>
  <c r="Q449" i="3"/>
  <c r="S437" i="3"/>
  <c r="S438" i="3" s="1"/>
  <c r="Y437" i="3"/>
  <c r="Y438" i="3" s="1"/>
  <c r="H437" i="3"/>
  <c r="H438" i="3" s="1"/>
  <c r="R441" i="3"/>
  <c r="S441" i="3"/>
  <c r="P441" i="3"/>
  <c r="F441" i="3"/>
  <c r="C446" i="3"/>
  <c r="G446" i="3" s="1"/>
  <c r="B447" i="3"/>
  <c r="Y449" i="3"/>
  <c r="H449" i="3"/>
  <c r="R449" i="3"/>
  <c r="C450" i="3"/>
  <c r="Z450" i="3" s="1"/>
  <c r="B451" i="3"/>
  <c r="AF428" i="3"/>
  <c r="AE428" i="3"/>
  <c r="AD440" i="3"/>
  <c r="AC437" i="3"/>
  <c r="AC438" i="3" s="1"/>
  <c r="AB441" i="3"/>
  <c r="I437" i="3"/>
  <c r="I438" i="3" s="1"/>
  <c r="AA441" i="3"/>
  <c r="Z437" i="3"/>
  <c r="Z438" i="3" s="1"/>
  <c r="W441" i="3"/>
  <c r="O437" i="3"/>
  <c r="O438" i="3" s="1"/>
  <c r="X441" i="3"/>
  <c r="AA437" i="3"/>
  <c r="AA438" i="3" s="1"/>
  <c r="J437" i="3"/>
  <c r="J438" i="3" s="1"/>
  <c r="N441" i="3"/>
  <c r="C442" i="3"/>
  <c r="W442" i="3" s="1"/>
  <c r="Y441" i="3"/>
  <c r="AD432" i="3"/>
  <c r="AD433" i="3" s="1"/>
  <c r="AE433" i="3" s="1"/>
  <c r="L449" i="3"/>
  <c r="P449" i="3"/>
  <c r="C454" i="3"/>
  <c r="Z454" i="3" s="1"/>
  <c r="B459" i="3"/>
  <c r="B455" i="3"/>
  <c r="L437" i="3"/>
  <c r="L438" i="3" s="1"/>
  <c r="Q441" i="3"/>
  <c r="M437" i="3"/>
  <c r="M438" i="3" s="1"/>
  <c r="M441" i="3"/>
  <c r="P437" i="3"/>
  <c r="P438" i="3" s="1"/>
  <c r="V437" i="3"/>
  <c r="V438" i="3" s="1"/>
  <c r="T437" i="3"/>
  <c r="T438" i="3" s="1"/>
  <c r="G441" i="3"/>
  <c r="O441" i="3"/>
  <c r="U445" i="3"/>
  <c r="AA445" i="3"/>
  <c r="N449" i="3"/>
  <c r="I449" i="3"/>
  <c r="AD444" i="3"/>
  <c r="H81" i="2" l="1"/>
  <c r="E90" i="2"/>
  <c r="D91" i="2"/>
  <c r="O450" i="3"/>
  <c r="V446" i="3"/>
  <c r="U450" i="3"/>
  <c r="K446" i="3"/>
  <c r="M446" i="3"/>
  <c r="M450" i="3"/>
  <c r="P454" i="3"/>
  <c r="R450" i="3"/>
  <c r="P446" i="3"/>
  <c r="L454" i="3"/>
  <c r="AC446" i="3"/>
  <c r="S450" i="3"/>
  <c r="AB446" i="3"/>
  <c r="M454" i="3"/>
  <c r="AA450" i="3"/>
  <c r="L450" i="3"/>
  <c r="AB450" i="3"/>
  <c r="K450" i="3"/>
  <c r="Z446" i="3"/>
  <c r="I446" i="3"/>
  <c r="J446" i="3"/>
  <c r="Y446" i="3"/>
  <c r="F446" i="3"/>
  <c r="X446" i="3"/>
  <c r="I450" i="3"/>
  <c r="W450" i="3"/>
  <c r="W446" i="3"/>
  <c r="R446" i="3"/>
  <c r="T446" i="3"/>
  <c r="H450" i="3"/>
  <c r="AC450" i="3"/>
  <c r="AD449" i="3"/>
  <c r="O446" i="3"/>
  <c r="Q446" i="3"/>
  <c r="AA446" i="3"/>
  <c r="V450" i="3"/>
  <c r="S446" i="3"/>
  <c r="H446" i="3"/>
  <c r="N446" i="3"/>
  <c r="Q450" i="3"/>
  <c r="J450" i="3"/>
  <c r="L446" i="3"/>
  <c r="U446" i="3"/>
  <c r="J454" i="3"/>
  <c r="V454" i="3"/>
  <c r="L442" i="3"/>
  <c r="L443" i="3" s="1"/>
  <c r="J442" i="3"/>
  <c r="J443" i="3" s="1"/>
  <c r="K442" i="3"/>
  <c r="K443" i="3" s="1"/>
  <c r="W443" i="3"/>
  <c r="AD441" i="3"/>
  <c r="C455" i="3"/>
  <c r="U455" i="3" s="1"/>
  <c r="B456" i="3"/>
  <c r="F454" i="3"/>
  <c r="N454" i="3"/>
  <c r="H454" i="3"/>
  <c r="K454" i="3"/>
  <c r="X442" i="3"/>
  <c r="X443" i="3" s="1"/>
  <c r="Q442" i="3"/>
  <c r="Q443" i="3" s="1"/>
  <c r="G442" i="3"/>
  <c r="C451" i="3"/>
  <c r="O451" i="3" s="1"/>
  <c r="B452" i="3"/>
  <c r="S442" i="3"/>
  <c r="S443" i="3" s="1"/>
  <c r="X454" i="3"/>
  <c r="Q454" i="3"/>
  <c r="O454" i="3"/>
  <c r="C459" i="3"/>
  <c r="R459" i="3" s="1"/>
  <c r="B460" i="3"/>
  <c r="B464" i="3"/>
  <c r="F442" i="3"/>
  <c r="T442" i="3"/>
  <c r="T443" i="3" s="1"/>
  <c r="R442" i="3"/>
  <c r="R443" i="3" s="1"/>
  <c r="G450" i="3"/>
  <c r="P450" i="3"/>
  <c r="AC442" i="3"/>
  <c r="AC443" i="3" s="1"/>
  <c r="O442" i="3"/>
  <c r="O443" i="3" s="1"/>
  <c r="AA454" i="3"/>
  <c r="T454" i="3"/>
  <c r="R454" i="3"/>
  <c r="I442" i="3"/>
  <c r="I443" i="3" s="1"/>
  <c r="I454" i="3"/>
  <c r="Y454" i="3"/>
  <c r="U454" i="3"/>
  <c r="N442" i="3"/>
  <c r="N443" i="3" s="1"/>
  <c r="Y442" i="3"/>
  <c r="Y443" i="3" s="1"/>
  <c r="Z442" i="3"/>
  <c r="Z443" i="3" s="1"/>
  <c r="T450" i="3"/>
  <c r="N450" i="3"/>
  <c r="X450" i="3"/>
  <c r="U442" i="3"/>
  <c r="U443" i="3" s="1"/>
  <c r="AB454" i="3"/>
  <c r="W454" i="3"/>
  <c r="M442" i="3"/>
  <c r="M443" i="3" s="1"/>
  <c r="H442" i="3"/>
  <c r="H443" i="3" s="1"/>
  <c r="C447" i="3"/>
  <c r="H447" i="3" s="1"/>
  <c r="AD437" i="3"/>
  <c r="AD438" i="3" s="1"/>
  <c r="AE438" i="3" s="1"/>
  <c r="AA442" i="3"/>
  <c r="AA443" i="3" s="1"/>
  <c r="AC454" i="3"/>
  <c r="AB442" i="3"/>
  <c r="AB443" i="3" s="1"/>
  <c r="G443" i="3"/>
  <c r="S454" i="3"/>
  <c r="G454" i="3"/>
  <c r="P442" i="3"/>
  <c r="P443" i="3" s="1"/>
  <c r="V442" i="3"/>
  <c r="V443" i="3" s="1"/>
  <c r="Y450" i="3"/>
  <c r="F450" i="3"/>
  <c r="AD445" i="3"/>
  <c r="E91" i="2" l="1"/>
  <c r="D92" i="2"/>
  <c r="H455" i="3"/>
  <c r="W455" i="3"/>
  <c r="F459" i="3"/>
  <c r="Z455" i="3"/>
  <c r="W451" i="3"/>
  <c r="Q451" i="3"/>
  <c r="L451" i="3"/>
  <c r="F455" i="3"/>
  <c r="AC451" i="3"/>
  <c r="Y451" i="3"/>
  <c r="J451" i="3"/>
  <c r="G459" i="3"/>
  <c r="M459" i="3"/>
  <c r="I459" i="3"/>
  <c r="W459" i="3"/>
  <c r="J459" i="3"/>
  <c r="I455" i="3"/>
  <c r="AC459" i="3"/>
  <c r="X455" i="3"/>
  <c r="AD446" i="3"/>
  <c r="S459" i="3"/>
  <c r="I451" i="3"/>
  <c r="K451" i="3"/>
  <c r="Q455" i="3"/>
  <c r="T459" i="3"/>
  <c r="M451" i="3"/>
  <c r="AB451" i="3"/>
  <c r="L455" i="3"/>
  <c r="Z451" i="3"/>
  <c r="S455" i="3"/>
  <c r="AB455" i="3"/>
  <c r="K455" i="3"/>
  <c r="Y459" i="3"/>
  <c r="V459" i="3"/>
  <c r="G451" i="3"/>
  <c r="P451" i="3"/>
  <c r="G455" i="3"/>
  <c r="P455" i="3"/>
  <c r="AA459" i="3"/>
  <c r="Y455" i="3"/>
  <c r="V455" i="3"/>
  <c r="R455" i="3"/>
  <c r="Q459" i="3"/>
  <c r="K459" i="3"/>
  <c r="V451" i="3"/>
  <c r="T451" i="3"/>
  <c r="O455" i="3"/>
  <c r="N455" i="3"/>
  <c r="T455" i="3"/>
  <c r="H448" i="3"/>
  <c r="X459" i="3"/>
  <c r="Z459" i="3"/>
  <c r="AA451" i="3"/>
  <c r="S451" i="3"/>
  <c r="J455" i="3"/>
  <c r="M455" i="3"/>
  <c r="AA455" i="3"/>
  <c r="P447" i="3"/>
  <c r="P448" i="3" s="1"/>
  <c r="Z447" i="3"/>
  <c r="Z448" i="3" s="1"/>
  <c r="T447" i="3"/>
  <c r="T448" i="3" s="1"/>
  <c r="AD442" i="3"/>
  <c r="AD443" i="3" s="1"/>
  <c r="AE443" i="3" s="1"/>
  <c r="I447" i="3"/>
  <c r="I448" i="3" s="1"/>
  <c r="K447" i="3"/>
  <c r="K448" i="3" s="1"/>
  <c r="C464" i="3"/>
  <c r="R464" i="3" s="1"/>
  <c r="B465" i="3"/>
  <c r="B469" i="3"/>
  <c r="L447" i="3"/>
  <c r="L448" i="3" s="1"/>
  <c r="V447" i="3"/>
  <c r="V448" i="3" s="1"/>
  <c r="AB447" i="3"/>
  <c r="AB448" i="3" s="1"/>
  <c r="X447" i="3"/>
  <c r="X448" i="3" s="1"/>
  <c r="F443" i="3"/>
  <c r="N459" i="3"/>
  <c r="C460" i="3"/>
  <c r="X460" i="3" s="1"/>
  <c r="B461" i="3"/>
  <c r="Y447" i="3"/>
  <c r="Y448" i="3" s="1"/>
  <c r="X451" i="3"/>
  <c r="C452" i="3"/>
  <c r="W452" i="3" s="1"/>
  <c r="W453" i="3" s="1"/>
  <c r="AD454" i="3"/>
  <c r="C456" i="3"/>
  <c r="U456" i="3" s="1"/>
  <c r="B457" i="3"/>
  <c r="S447" i="3"/>
  <c r="S448" i="3" s="1"/>
  <c r="P459" i="3"/>
  <c r="W447" i="3"/>
  <c r="W448" i="3" s="1"/>
  <c r="AD450" i="3"/>
  <c r="Q447" i="3"/>
  <c r="Q448" i="3" s="1"/>
  <c r="O447" i="3"/>
  <c r="O448" i="3" s="1"/>
  <c r="AC447" i="3"/>
  <c r="AC448" i="3" s="1"/>
  <c r="G447" i="3"/>
  <c r="G448" i="3" s="1"/>
  <c r="R447" i="3"/>
  <c r="R448" i="3" s="1"/>
  <c r="AA447" i="3"/>
  <c r="AA448" i="3" s="1"/>
  <c r="O459" i="3"/>
  <c r="L459" i="3"/>
  <c r="H459" i="3"/>
  <c r="N451" i="3"/>
  <c r="R451" i="3"/>
  <c r="U451" i="3"/>
  <c r="U447" i="3"/>
  <c r="U448" i="3" s="1"/>
  <c r="M447" i="3"/>
  <c r="M448" i="3" s="1"/>
  <c r="F447" i="3"/>
  <c r="J447" i="3"/>
  <c r="J448" i="3" s="1"/>
  <c r="N447" i="3"/>
  <c r="N448" i="3" s="1"/>
  <c r="AB459" i="3"/>
  <c r="U459" i="3"/>
  <c r="F451" i="3"/>
  <c r="H451" i="3"/>
  <c r="AC455" i="3"/>
  <c r="E92" i="2" l="1"/>
  <c r="D93" i="2"/>
  <c r="Z456" i="3"/>
  <c r="AA452" i="3"/>
  <c r="AA453" i="3" s="1"/>
  <c r="X452" i="3"/>
  <c r="X453" i="3" s="1"/>
  <c r="O456" i="3"/>
  <c r="AC460" i="3"/>
  <c r="F456" i="3"/>
  <c r="K452" i="3"/>
  <c r="K453" i="3" s="1"/>
  <c r="M456" i="3"/>
  <c r="L456" i="3"/>
  <c r="G456" i="3"/>
  <c r="I460" i="3"/>
  <c r="T452" i="3"/>
  <c r="T453" i="3" s="1"/>
  <c r="AB452" i="3"/>
  <c r="AB453" i="3" s="1"/>
  <c r="F452" i="3"/>
  <c r="F453" i="3" s="1"/>
  <c r="AB456" i="3"/>
  <c r="AC456" i="3"/>
  <c r="P452" i="3"/>
  <c r="P453" i="3" s="1"/>
  <c r="V460" i="3"/>
  <c r="O452" i="3"/>
  <c r="O453" i="3" s="1"/>
  <c r="Y460" i="3"/>
  <c r="W456" i="3"/>
  <c r="Z452" i="3"/>
  <c r="Z453" i="3" s="1"/>
  <c r="M460" i="3"/>
  <c r="O460" i="3"/>
  <c r="F460" i="3"/>
  <c r="K460" i="3"/>
  <c r="L452" i="3"/>
  <c r="L453" i="3" s="1"/>
  <c r="H452" i="3"/>
  <c r="H453" i="3" s="1"/>
  <c r="P460" i="3"/>
  <c r="N460" i="3"/>
  <c r="G464" i="3"/>
  <c r="O464" i="3"/>
  <c r="W460" i="3"/>
  <c r="AA460" i="3"/>
  <c r="AC464" i="3"/>
  <c r="AD459" i="3"/>
  <c r="AD455" i="3"/>
  <c r="I456" i="3"/>
  <c r="Y452" i="3"/>
  <c r="Y453" i="3" s="1"/>
  <c r="V452" i="3"/>
  <c r="V453" i="3" s="1"/>
  <c r="AB460" i="3"/>
  <c r="Q460" i="3"/>
  <c r="V464" i="3"/>
  <c r="Z460" i="3"/>
  <c r="N456" i="3"/>
  <c r="G452" i="3"/>
  <c r="G453" i="3" s="1"/>
  <c r="R452" i="3"/>
  <c r="R453" i="3" s="1"/>
  <c r="T460" i="3"/>
  <c r="U460" i="3"/>
  <c r="K464" i="3"/>
  <c r="W464" i="3"/>
  <c r="M464" i="3"/>
  <c r="S464" i="3"/>
  <c r="AD451" i="3"/>
  <c r="T456" i="3"/>
  <c r="K456" i="3"/>
  <c r="C457" i="3"/>
  <c r="V457" i="3" s="1"/>
  <c r="Q452" i="3"/>
  <c r="Q453" i="3" s="1"/>
  <c r="U452" i="3"/>
  <c r="U453" i="3" s="1"/>
  <c r="S452" i="3"/>
  <c r="S453" i="3" s="1"/>
  <c r="H460" i="3"/>
  <c r="C461" i="3"/>
  <c r="R461" i="3" s="1"/>
  <c r="B462" i="3"/>
  <c r="U464" i="3"/>
  <c r="AB464" i="3"/>
  <c r="N464" i="3"/>
  <c r="Y456" i="3"/>
  <c r="AA456" i="3"/>
  <c r="X456" i="3"/>
  <c r="T464" i="3"/>
  <c r="AA464" i="3"/>
  <c r="J464" i="3"/>
  <c r="Q464" i="3"/>
  <c r="P456" i="3"/>
  <c r="Q456" i="3"/>
  <c r="F464" i="3"/>
  <c r="C465" i="3"/>
  <c r="R465" i="3" s="1"/>
  <c r="B466" i="3"/>
  <c r="I464" i="3"/>
  <c r="Z464" i="3"/>
  <c r="C469" i="3"/>
  <c r="Z469" i="3" s="1"/>
  <c r="B470" i="3"/>
  <c r="B474" i="3"/>
  <c r="R456" i="3"/>
  <c r="J456" i="3"/>
  <c r="S456" i="3"/>
  <c r="I452" i="3"/>
  <c r="I453" i="3" s="1"/>
  <c r="J452" i="3"/>
  <c r="J453" i="3" s="1"/>
  <c r="AC452" i="3"/>
  <c r="AC453" i="3" s="1"/>
  <c r="G460" i="3"/>
  <c r="R460" i="3"/>
  <c r="S460" i="3"/>
  <c r="Y464" i="3"/>
  <c r="P464" i="3"/>
  <c r="H464" i="3"/>
  <c r="AD447" i="3"/>
  <c r="AD448" i="3" s="1"/>
  <c r="AE448" i="3" s="1"/>
  <c r="F448" i="3"/>
  <c r="H456" i="3"/>
  <c r="V456" i="3"/>
  <c r="N452" i="3"/>
  <c r="N453" i="3" s="1"/>
  <c r="M452" i="3"/>
  <c r="M453" i="3" s="1"/>
  <c r="L460" i="3"/>
  <c r="J460" i="3"/>
  <c r="L464" i="3"/>
  <c r="X464" i="3"/>
  <c r="H469" i="3" l="1"/>
  <c r="D94" i="2"/>
  <c r="E93" i="2"/>
  <c r="O469" i="3"/>
  <c r="R457" i="3"/>
  <c r="R458" i="3" s="1"/>
  <c r="I469" i="3"/>
  <c r="H465" i="3"/>
  <c r="AB457" i="3"/>
  <c r="AB458" i="3" s="1"/>
  <c r="W465" i="3"/>
  <c r="N469" i="3"/>
  <c r="N461" i="3"/>
  <c r="Z461" i="3"/>
  <c r="H461" i="3"/>
  <c r="G461" i="3"/>
  <c r="S461" i="3"/>
  <c r="L457" i="3"/>
  <c r="L458" i="3" s="1"/>
  <c r="Z457" i="3"/>
  <c r="Z458" i="3" s="1"/>
  <c r="V469" i="3"/>
  <c r="T461" i="3"/>
  <c r="M457" i="3"/>
  <c r="M458" i="3" s="1"/>
  <c r="Y469" i="3"/>
  <c r="J469" i="3"/>
  <c r="T465" i="3"/>
  <c r="I461" i="3"/>
  <c r="T457" i="3"/>
  <c r="T458" i="3" s="1"/>
  <c r="G469" i="3"/>
  <c r="T469" i="3"/>
  <c r="S465" i="3"/>
  <c r="Y461" i="3"/>
  <c r="X457" i="3"/>
  <c r="X458" i="3" s="1"/>
  <c r="AB469" i="3"/>
  <c r="Q469" i="3"/>
  <c r="AC465" i="3"/>
  <c r="AA457" i="3"/>
  <c r="AA458" i="3" s="1"/>
  <c r="P457" i="3"/>
  <c r="P458" i="3" s="1"/>
  <c r="V458" i="3"/>
  <c r="K461" i="3"/>
  <c r="V461" i="3"/>
  <c r="H457" i="3"/>
  <c r="H458" i="3" s="1"/>
  <c r="AD456" i="3"/>
  <c r="X461" i="3"/>
  <c r="L461" i="3"/>
  <c r="Y457" i="3"/>
  <c r="Y458" i="3" s="1"/>
  <c r="AD460" i="3"/>
  <c r="X469" i="3"/>
  <c r="S469" i="3"/>
  <c r="M461" i="3"/>
  <c r="K457" i="3"/>
  <c r="K458" i="3" s="1"/>
  <c r="N465" i="3"/>
  <c r="F465" i="3"/>
  <c r="C466" i="3"/>
  <c r="AB466" i="3" s="1"/>
  <c r="B467" i="3"/>
  <c r="C474" i="3"/>
  <c r="Y474" i="3" s="1"/>
  <c r="B479" i="3"/>
  <c r="B475" i="3"/>
  <c r="X465" i="3"/>
  <c r="Y465" i="3"/>
  <c r="AD464" i="3"/>
  <c r="K469" i="3"/>
  <c r="M469" i="3"/>
  <c r="C470" i="3"/>
  <c r="V470" i="3" s="1"/>
  <c r="B471" i="3"/>
  <c r="U465" i="3"/>
  <c r="V465" i="3"/>
  <c r="P465" i="3"/>
  <c r="F461" i="3"/>
  <c r="O461" i="3"/>
  <c r="AC461" i="3"/>
  <c r="I457" i="3"/>
  <c r="I458" i="3" s="1"/>
  <c r="J457" i="3"/>
  <c r="J458" i="3" s="1"/>
  <c r="Q465" i="3"/>
  <c r="J465" i="3"/>
  <c r="K465" i="3"/>
  <c r="AD452" i="3"/>
  <c r="AD453" i="3" s="1"/>
  <c r="AE453" i="3" s="1"/>
  <c r="W457" i="3"/>
  <c r="W458" i="3" s="1"/>
  <c r="Q457" i="3"/>
  <c r="Q458" i="3" s="1"/>
  <c r="AA469" i="3"/>
  <c r="F469" i="3"/>
  <c r="L469" i="3"/>
  <c r="L465" i="3"/>
  <c r="I465" i="3"/>
  <c r="G465" i="3"/>
  <c r="J461" i="3"/>
  <c r="AA461" i="3"/>
  <c r="U461" i="3"/>
  <c r="AC457" i="3"/>
  <c r="AC458" i="3" s="1"/>
  <c r="U457" i="3"/>
  <c r="U458" i="3" s="1"/>
  <c r="F457" i="3"/>
  <c r="U469" i="3"/>
  <c r="W469" i="3"/>
  <c r="P469" i="3"/>
  <c r="O465" i="3"/>
  <c r="AB465" i="3"/>
  <c r="AA465" i="3"/>
  <c r="W461" i="3"/>
  <c r="Q461" i="3"/>
  <c r="AB461" i="3"/>
  <c r="S457" i="3"/>
  <c r="S458" i="3" s="1"/>
  <c r="G457" i="3"/>
  <c r="G458" i="3" s="1"/>
  <c r="O457" i="3"/>
  <c r="O458" i="3" s="1"/>
  <c r="R469" i="3"/>
  <c r="AC469" i="3"/>
  <c r="Z465" i="3"/>
  <c r="M465" i="3"/>
  <c r="P461" i="3"/>
  <c r="C462" i="3"/>
  <c r="O462" i="3" s="1"/>
  <c r="N457" i="3"/>
  <c r="N458" i="3" s="1"/>
  <c r="P474" i="3" l="1"/>
  <c r="D95" i="2"/>
  <c r="E94" i="2"/>
  <c r="J462" i="3"/>
  <c r="J463" i="3" s="1"/>
  <c r="S462" i="3"/>
  <c r="S463" i="3" s="1"/>
  <c r="P462" i="3"/>
  <c r="P463" i="3" s="1"/>
  <c r="W474" i="3"/>
  <c r="I466" i="3"/>
  <c r="M466" i="3"/>
  <c r="Y466" i="3"/>
  <c r="R466" i="3"/>
  <c r="AC466" i="3"/>
  <c r="AA466" i="3"/>
  <c r="L462" i="3"/>
  <c r="L463" i="3" s="1"/>
  <c r="T466" i="3"/>
  <c r="H466" i="3"/>
  <c r="G466" i="3"/>
  <c r="F466" i="3"/>
  <c r="F462" i="3"/>
  <c r="F463" i="3" s="1"/>
  <c r="I462" i="3"/>
  <c r="I463" i="3" s="1"/>
  <c r="J470" i="3"/>
  <c r="L470" i="3"/>
  <c r="I474" i="3"/>
  <c r="M462" i="3"/>
  <c r="M463" i="3" s="1"/>
  <c r="H462" i="3"/>
  <c r="H463" i="3" s="1"/>
  <c r="W470" i="3"/>
  <c r="Z474" i="3"/>
  <c r="V462" i="3"/>
  <c r="V463" i="3" s="1"/>
  <c r="AB462" i="3"/>
  <c r="AB463" i="3" s="1"/>
  <c r="R470" i="3"/>
  <c r="Q462" i="3"/>
  <c r="Q463" i="3" s="1"/>
  <c r="Y462" i="3"/>
  <c r="Y463" i="3" s="1"/>
  <c r="X462" i="3"/>
  <c r="X463" i="3" s="1"/>
  <c r="AC470" i="3"/>
  <c r="S474" i="3"/>
  <c r="Q466" i="3"/>
  <c r="O466" i="3"/>
  <c r="N462" i="3"/>
  <c r="N463" i="3" s="1"/>
  <c r="AC462" i="3"/>
  <c r="AC463" i="3" s="1"/>
  <c r="X470" i="3"/>
  <c r="F470" i="3"/>
  <c r="M474" i="3"/>
  <c r="U466" i="3"/>
  <c r="M470" i="3"/>
  <c r="AA462" i="3"/>
  <c r="AA463" i="3" s="1"/>
  <c r="G462" i="3"/>
  <c r="G463" i="3" s="1"/>
  <c r="U462" i="3"/>
  <c r="U463" i="3" s="1"/>
  <c r="T462" i="3"/>
  <c r="T463" i="3" s="1"/>
  <c r="Z462" i="3"/>
  <c r="Z463" i="3" s="1"/>
  <c r="W462" i="3"/>
  <c r="W463" i="3" s="1"/>
  <c r="N470" i="3"/>
  <c r="Q470" i="3"/>
  <c r="F474" i="3"/>
  <c r="K466" i="3"/>
  <c r="W466" i="3"/>
  <c r="F458" i="3"/>
  <c r="AD457" i="3"/>
  <c r="AD458" i="3" s="1"/>
  <c r="AE458" i="3" s="1"/>
  <c r="AD469" i="3"/>
  <c r="C471" i="3"/>
  <c r="Y471" i="3" s="1"/>
  <c r="B472" i="3"/>
  <c r="P470" i="3"/>
  <c r="G470" i="3"/>
  <c r="J474" i="3"/>
  <c r="H474" i="3"/>
  <c r="L474" i="3"/>
  <c r="Z470" i="3"/>
  <c r="AA470" i="3"/>
  <c r="Y470" i="3"/>
  <c r="U474" i="3"/>
  <c r="AA474" i="3"/>
  <c r="V474" i="3"/>
  <c r="P466" i="3"/>
  <c r="AC474" i="3"/>
  <c r="Q474" i="3"/>
  <c r="O463" i="3"/>
  <c r="AB470" i="3"/>
  <c r="U470" i="3"/>
  <c r="I470" i="3"/>
  <c r="G474" i="3"/>
  <c r="X474" i="3"/>
  <c r="AB474" i="3"/>
  <c r="X466" i="3"/>
  <c r="S466" i="3"/>
  <c r="L466" i="3"/>
  <c r="AD461" i="3"/>
  <c r="T470" i="3"/>
  <c r="H470" i="3"/>
  <c r="S470" i="3"/>
  <c r="T474" i="3"/>
  <c r="R474" i="3"/>
  <c r="K474" i="3"/>
  <c r="C479" i="3"/>
  <c r="G479" i="3" s="1"/>
  <c r="B480" i="3"/>
  <c r="B484" i="3"/>
  <c r="J466" i="3"/>
  <c r="V466" i="3"/>
  <c r="C467" i="3"/>
  <c r="X467" i="3" s="1"/>
  <c r="K462" i="3"/>
  <c r="K463" i="3" s="1"/>
  <c r="R462" i="3"/>
  <c r="R463" i="3" s="1"/>
  <c r="O470" i="3"/>
  <c r="K470" i="3"/>
  <c r="N474" i="3"/>
  <c r="C475" i="3"/>
  <c r="K475" i="3" s="1"/>
  <c r="B476" i="3"/>
  <c r="O474" i="3"/>
  <c r="N466" i="3"/>
  <c r="Z466" i="3"/>
  <c r="AD465" i="3"/>
  <c r="D96" i="2" l="1"/>
  <c r="E95" i="2"/>
  <c r="AA471" i="3"/>
  <c r="AA467" i="3"/>
  <c r="AA468" i="3" s="1"/>
  <c r="R471" i="3"/>
  <c r="U479" i="3"/>
  <c r="U471" i="3"/>
  <c r="M479" i="3"/>
  <c r="N471" i="3"/>
  <c r="AC479" i="3"/>
  <c r="F467" i="3"/>
  <c r="F468" i="3" s="1"/>
  <c r="Z479" i="3"/>
  <c r="S471" i="3"/>
  <c r="I471" i="3"/>
  <c r="AC471" i="3"/>
  <c r="L471" i="3"/>
  <c r="W471" i="3"/>
  <c r="Y475" i="3"/>
  <c r="Q471" i="3"/>
  <c r="H479" i="3"/>
  <c r="F471" i="3"/>
  <c r="AD466" i="3"/>
  <c r="N467" i="3"/>
  <c r="N468" i="3" s="1"/>
  <c r="U467" i="3"/>
  <c r="U468" i="3" s="1"/>
  <c r="P479" i="3"/>
  <c r="K471" i="3"/>
  <c r="T471" i="3"/>
  <c r="W467" i="3"/>
  <c r="W468" i="3" s="1"/>
  <c r="Z467" i="3"/>
  <c r="Z468" i="3" s="1"/>
  <c r="AA479" i="3"/>
  <c r="I479" i="3"/>
  <c r="Z471" i="3"/>
  <c r="V467" i="3"/>
  <c r="V468" i="3" s="1"/>
  <c r="O467" i="3"/>
  <c r="O468" i="3" s="1"/>
  <c r="V471" i="3"/>
  <c r="G471" i="3"/>
  <c r="G467" i="3"/>
  <c r="G468" i="3" s="1"/>
  <c r="S467" i="3"/>
  <c r="S468" i="3" s="1"/>
  <c r="F479" i="3"/>
  <c r="X471" i="3"/>
  <c r="P471" i="3"/>
  <c r="M471" i="3"/>
  <c r="R479" i="3"/>
  <c r="AC467" i="3"/>
  <c r="AC468" i="3" s="1"/>
  <c r="N479" i="3"/>
  <c r="L479" i="3"/>
  <c r="J479" i="3"/>
  <c r="AC475" i="3"/>
  <c r="T467" i="3"/>
  <c r="T468" i="3" s="1"/>
  <c r="W479" i="3"/>
  <c r="X479" i="3"/>
  <c r="K479" i="3"/>
  <c r="G475" i="3"/>
  <c r="I467" i="3"/>
  <c r="I468" i="3" s="1"/>
  <c r="M467" i="3"/>
  <c r="M468" i="3" s="1"/>
  <c r="T479" i="3"/>
  <c r="AB479" i="3"/>
  <c r="O479" i="3"/>
  <c r="O471" i="3"/>
  <c r="AB471" i="3"/>
  <c r="J475" i="3"/>
  <c r="V479" i="3"/>
  <c r="Y479" i="3"/>
  <c r="S479" i="3"/>
  <c r="AD470" i="3"/>
  <c r="H471" i="3"/>
  <c r="J471" i="3"/>
  <c r="M475" i="3"/>
  <c r="P475" i="3"/>
  <c r="X468" i="3"/>
  <c r="AD474" i="3"/>
  <c r="AD462" i="3"/>
  <c r="AD463" i="3" s="1"/>
  <c r="AE463" i="3" s="1"/>
  <c r="Q475" i="3"/>
  <c r="H475" i="3"/>
  <c r="AA475" i="3"/>
  <c r="R475" i="3"/>
  <c r="U475" i="3"/>
  <c r="AB475" i="3"/>
  <c r="L467" i="3"/>
  <c r="L468" i="3" s="1"/>
  <c r="Q467" i="3"/>
  <c r="Q468" i="3" s="1"/>
  <c r="H467" i="3"/>
  <c r="H468" i="3" s="1"/>
  <c r="C480" i="3"/>
  <c r="F480" i="3" s="1"/>
  <c r="B481" i="3"/>
  <c r="T475" i="3"/>
  <c r="S475" i="3"/>
  <c r="O475" i="3"/>
  <c r="X475" i="3"/>
  <c r="L475" i="3"/>
  <c r="I475" i="3"/>
  <c r="Y467" i="3"/>
  <c r="Y468" i="3" s="1"/>
  <c r="R467" i="3"/>
  <c r="R468" i="3" s="1"/>
  <c r="P467" i="3"/>
  <c r="P468" i="3" s="1"/>
  <c r="C484" i="3"/>
  <c r="AB484" i="3" s="1"/>
  <c r="B489" i="3"/>
  <c r="B485" i="3"/>
  <c r="Q479" i="3"/>
  <c r="C472" i="3"/>
  <c r="F472" i="3" s="1"/>
  <c r="W475" i="3"/>
  <c r="Z475" i="3"/>
  <c r="AB467" i="3"/>
  <c r="AB468" i="3" s="1"/>
  <c r="F475" i="3"/>
  <c r="V475" i="3"/>
  <c r="N475" i="3"/>
  <c r="C476" i="3"/>
  <c r="Y476" i="3" s="1"/>
  <c r="B477" i="3"/>
  <c r="J467" i="3"/>
  <c r="J468" i="3" s="1"/>
  <c r="K467" i="3"/>
  <c r="K468" i="3" s="1"/>
  <c r="D97" i="2" l="1"/>
  <c r="E96" i="2"/>
  <c r="I484" i="3"/>
  <c r="AD471" i="3"/>
  <c r="P476" i="3"/>
  <c r="W476" i="3"/>
  <c r="V476" i="3"/>
  <c r="L484" i="3"/>
  <c r="J476" i="3"/>
  <c r="U476" i="3"/>
  <c r="AB476" i="3"/>
  <c r="P472" i="3"/>
  <c r="P473" i="3" s="1"/>
  <c r="N480" i="3"/>
  <c r="AA480" i="3"/>
  <c r="W480" i="3"/>
  <c r="AD479" i="3"/>
  <c r="M480" i="3"/>
  <c r="R480" i="3"/>
  <c r="S476" i="3"/>
  <c r="U480" i="3"/>
  <c r="Q480" i="3"/>
  <c r="Q472" i="3"/>
  <c r="Q473" i="3" s="1"/>
  <c r="U484" i="3"/>
  <c r="X484" i="3"/>
  <c r="AA472" i="3"/>
  <c r="AA473" i="3" s="1"/>
  <c r="Y472" i="3"/>
  <c r="Y473" i="3" s="1"/>
  <c r="K484" i="3"/>
  <c r="T484" i="3"/>
  <c r="G476" i="3"/>
  <c r="O476" i="3"/>
  <c r="V472" i="3"/>
  <c r="V473" i="3" s="1"/>
  <c r="P484" i="3"/>
  <c r="O484" i="3"/>
  <c r="T480" i="3"/>
  <c r="K476" i="3"/>
  <c r="Z476" i="3"/>
  <c r="L472" i="3"/>
  <c r="L473" i="3" s="1"/>
  <c r="F484" i="3"/>
  <c r="V480" i="3"/>
  <c r="Y480" i="3"/>
  <c r="R472" i="3"/>
  <c r="R473" i="3" s="1"/>
  <c r="Z484" i="3"/>
  <c r="W484" i="3"/>
  <c r="X476" i="3"/>
  <c r="L476" i="3"/>
  <c r="K472" i="3"/>
  <c r="K473" i="3" s="1"/>
  <c r="Z472" i="3"/>
  <c r="Z473" i="3" s="1"/>
  <c r="AA484" i="3"/>
  <c r="X480" i="3"/>
  <c r="F473" i="3"/>
  <c r="C485" i="3"/>
  <c r="O485" i="3" s="1"/>
  <c r="B486" i="3"/>
  <c r="AD475" i="3"/>
  <c r="AA476" i="3"/>
  <c r="F476" i="3"/>
  <c r="R476" i="3"/>
  <c r="I472" i="3"/>
  <c r="I473" i="3" s="1"/>
  <c r="M472" i="3"/>
  <c r="M473" i="3" s="1"/>
  <c r="AB472" i="3"/>
  <c r="AB473" i="3" s="1"/>
  <c r="AC484" i="3"/>
  <c r="G484" i="3"/>
  <c r="R484" i="3"/>
  <c r="AC480" i="3"/>
  <c r="G480" i="3"/>
  <c r="H480" i="3"/>
  <c r="Q476" i="3"/>
  <c r="H476" i="3"/>
  <c r="AC472" i="3"/>
  <c r="AC473" i="3" s="1"/>
  <c r="G472" i="3"/>
  <c r="G473" i="3" s="1"/>
  <c r="S472" i="3"/>
  <c r="S473" i="3" s="1"/>
  <c r="H484" i="3"/>
  <c r="Y484" i="3"/>
  <c r="M484" i="3"/>
  <c r="S480" i="3"/>
  <c r="Z480" i="3"/>
  <c r="L480" i="3"/>
  <c r="X472" i="3"/>
  <c r="X473" i="3" s="1"/>
  <c r="B494" i="3"/>
  <c r="B490" i="3"/>
  <c r="C489" i="3"/>
  <c r="Z489" i="3" s="1"/>
  <c r="C477" i="3"/>
  <c r="V477" i="3" s="1"/>
  <c r="T472" i="3"/>
  <c r="T473" i="3" s="1"/>
  <c r="U472" i="3"/>
  <c r="U473" i="3" s="1"/>
  <c r="P480" i="3"/>
  <c r="O480" i="3"/>
  <c r="N472" i="3"/>
  <c r="N473" i="3" s="1"/>
  <c r="O472" i="3"/>
  <c r="O473" i="3" s="1"/>
  <c r="H472" i="3"/>
  <c r="H473" i="3" s="1"/>
  <c r="S484" i="3"/>
  <c r="N484" i="3"/>
  <c r="J484" i="3"/>
  <c r="I480" i="3"/>
  <c r="AB480" i="3"/>
  <c r="K480" i="3"/>
  <c r="AD467" i="3"/>
  <c r="AD468" i="3" s="1"/>
  <c r="AE468" i="3" s="1"/>
  <c r="I476" i="3"/>
  <c r="T476" i="3"/>
  <c r="N476" i="3"/>
  <c r="M476" i="3"/>
  <c r="AC476" i="3"/>
  <c r="W472" i="3"/>
  <c r="W473" i="3" s="1"/>
  <c r="J472" i="3"/>
  <c r="J473" i="3" s="1"/>
  <c r="V484" i="3"/>
  <c r="Q484" i="3"/>
  <c r="J480" i="3"/>
  <c r="C481" i="3"/>
  <c r="M481" i="3" s="1"/>
  <c r="B482" i="3"/>
  <c r="V478" i="3" l="1"/>
  <c r="E97" i="2"/>
  <c r="D98" i="2"/>
  <c r="K481" i="3"/>
  <c r="AA481" i="3"/>
  <c r="T481" i="3"/>
  <c r="I481" i="3"/>
  <c r="O481" i="3"/>
  <c r="V481" i="3"/>
  <c r="H481" i="3"/>
  <c r="AD484" i="3"/>
  <c r="X481" i="3"/>
  <c r="Q481" i="3"/>
  <c r="AD480" i="3"/>
  <c r="S481" i="3"/>
  <c r="Y481" i="3"/>
  <c r="R481" i="3"/>
  <c r="P481" i="3"/>
  <c r="N481" i="3"/>
  <c r="Z481" i="3"/>
  <c r="O477" i="3"/>
  <c r="O478" i="3" s="1"/>
  <c r="Q477" i="3"/>
  <c r="Q478" i="3" s="1"/>
  <c r="P477" i="3"/>
  <c r="P478" i="3" s="1"/>
  <c r="I489" i="3"/>
  <c r="AB489" i="3"/>
  <c r="Q489" i="3"/>
  <c r="X485" i="3"/>
  <c r="Y485" i="3"/>
  <c r="F485" i="3"/>
  <c r="Z485" i="3"/>
  <c r="F477" i="3"/>
  <c r="F478" i="3" s="1"/>
  <c r="W481" i="3"/>
  <c r="F481" i="3"/>
  <c r="W477" i="3"/>
  <c r="W478" i="3" s="1"/>
  <c r="N477" i="3"/>
  <c r="N478" i="3" s="1"/>
  <c r="T477" i="3"/>
  <c r="T478" i="3" s="1"/>
  <c r="F489" i="3"/>
  <c r="W489" i="3"/>
  <c r="V489" i="3"/>
  <c r="B491" i="3"/>
  <c r="C490" i="3"/>
  <c r="AA490" i="3" s="1"/>
  <c r="I485" i="3"/>
  <c r="P485" i="3"/>
  <c r="M485" i="3"/>
  <c r="S477" i="3"/>
  <c r="S478" i="3" s="1"/>
  <c r="K489" i="3"/>
  <c r="L477" i="3"/>
  <c r="L478" i="3" s="1"/>
  <c r="I477" i="3"/>
  <c r="I478" i="3" s="1"/>
  <c r="K477" i="3"/>
  <c r="K478" i="3" s="1"/>
  <c r="AC489" i="3"/>
  <c r="O489" i="3"/>
  <c r="L489" i="3"/>
  <c r="C494" i="3"/>
  <c r="AB494" i="3" s="1"/>
  <c r="B499" i="3"/>
  <c r="B495" i="3"/>
  <c r="AD476" i="3"/>
  <c r="U485" i="3"/>
  <c r="T485" i="3"/>
  <c r="AB485" i="3"/>
  <c r="U477" i="3"/>
  <c r="U478" i="3" s="1"/>
  <c r="AB481" i="3"/>
  <c r="G481" i="3"/>
  <c r="L481" i="3"/>
  <c r="C482" i="3"/>
  <c r="P482" i="3" s="1"/>
  <c r="M477" i="3"/>
  <c r="M478" i="3" s="1"/>
  <c r="AB477" i="3"/>
  <c r="AB478" i="3" s="1"/>
  <c r="G477" i="3"/>
  <c r="G478" i="3" s="1"/>
  <c r="N489" i="3"/>
  <c r="U489" i="3"/>
  <c r="Y489" i="3"/>
  <c r="V485" i="3"/>
  <c r="H485" i="3"/>
  <c r="AA485" i="3"/>
  <c r="AC485" i="3"/>
  <c r="X477" i="3"/>
  <c r="X478" i="3" s="1"/>
  <c r="AA477" i="3"/>
  <c r="AA478" i="3" s="1"/>
  <c r="AC477" i="3"/>
  <c r="AC478" i="3" s="1"/>
  <c r="AA489" i="3"/>
  <c r="M489" i="3"/>
  <c r="P489" i="3"/>
  <c r="N485" i="3"/>
  <c r="R485" i="3"/>
  <c r="S485" i="3"/>
  <c r="J489" i="3"/>
  <c r="G485" i="3"/>
  <c r="AC481" i="3"/>
  <c r="Y477" i="3"/>
  <c r="Y478" i="3" s="1"/>
  <c r="H477" i="3"/>
  <c r="H478" i="3" s="1"/>
  <c r="J477" i="3"/>
  <c r="J478" i="3" s="1"/>
  <c r="H489" i="3"/>
  <c r="S489" i="3"/>
  <c r="X489" i="3"/>
  <c r="K485" i="3"/>
  <c r="W485" i="3"/>
  <c r="Q485" i="3"/>
  <c r="L485" i="3"/>
  <c r="U481" i="3"/>
  <c r="J481" i="3"/>
  <c r="Z477" i="3"/>
  <c r="Z478" i="3" s="1"/>
  <c r="R477" i="3"/>
  <c r="R478" i="3" s="1"/>
  <c r="R489" i="3"/>
  <c r="T489" i="3"/>
  <c r="G489" i="3"/>
  <c r="J485" i="3"/>
  <c r="C486" i="3"/>
  <c r="Z486" i="3" s="1"/>
  <c r="B487" i="3"/>
  <c r="AD472" i="3"/>
  <c r="AD473" i="3" s="1"/>
  <c r="AE473" i="3" s="1"/>
  <c r="D99" i="2" l="1"/>
  <c r="E98" i="2"/>
  <c r="P483" i="3"/>
  <c r="AA494" i="3"/>
  <c r="U490" i="3"/>
  <c r="F490" i="3"/>
  <c r="L490" i="3"/>
  <c r="S486" i="3"/>
  <c r="G486" i="3"/>
  <c r="P494" i="3"/>
  <c r="H490" i="3"/>
  <c r="R490" i="3"/>
  <c r="X490" i="3"/>
  <c r="J486" i="3"/>
  <c r="Q486" i="3"/>
  <c r="J494" i="3"/>
  <c r="V494" i="3"/>
  <c r="W490" i="3"/>
  <c r="P490" i="3"/>
  <c r="J490" i="3"/>
  <c r="I486" i="3"/>
  <c r="T486" i="3"/>
  <c r="N494" i="3"/>
  <c r="Z490" i="3"/>
  <c r="K490" i="3"/>
  <c r="Y490" i="3"/>
  <c r="AA486" i="3"/>
  <c r="M486" i="3"/>
  <c r="Y494" i="3"/>
  <c r="M490" i="3"/>
  <c r="T490" i="3"/>
  <c r="V486" i="3"/>
  <c r="Q490" i="3"/>
  <c r="AB486" i="3"/>
  <c r="K486" i="3"/>
  <c r="V490" i="3"/>
  <c r="G490" i="3"/>
  <c r="W486" i="3"/>
  <c r="L486" i="3"/>
  <c r="AC486" i="3"/>
  <c r="U486" i="3"/>
  <c r="Y486" i="3"/>
  <c r="H486" i="3"/>
  <c r="AB490" i="3"/>
  <c r="O490" i="3"/>
  <c r="N490" i="3"/>
  <c r="J482" i="3"/>
  <c r="J483" i="3" s="1"/>
  <c r="I482" i="3"/>
  <c r="I483" i="3" s="1"/>
  <c r="Z482" i="3"/>
  <c r="Z483" i="3" s="1"/>
  <c r="R482" i="3"/>
  <c r="R483" i="3" s="1"/>
  <c r="K482" i="3"/>
  <c r="K483" i="3" s="1"/>
  <c r="M494" i="3"/>
  <c r="AC482" i="3"/>
  <c r="AC483" i="3" s="1"/>
  <c r="Q482" i="3"/>
  <c r="Q483" i="3" s="1"/>
  <c r="Y482" i="3"/>
  <c r="Y483" i="3" s="1"/>
  <c r="AA482" i="3"/>
  <c r="AA483" i="3" s="1"/>
  <c r="N482" i="3"/>
  <c r="N483" i="3" s="1"/>
  <c r="R494" i="3"/>
  <c r="O494" i="3"/>
  <c r="S482" i="3"/>
  <c r="S483" i="3" s="1"/>
  <c r="T482" i="3"/>
  <c r="T483" i="3" s="1"/>
  <c r="X482" i="3"/>
  <c r="X483" i="3" s="1"/>
  <c r="P486" i="3"/>
  <c r="N486" i="3"/>
  <c r="U482" i="3"/>
  <c r="U483" i="3" s="1"/>
  <c r="M482" i="3"/>
  <c r="M483" i="3" s="1"/>
  <c r="G494" i="3"/>
  <c r="L494" i="3"/>
  <c r="R486" i="3"/>
  <c r="G482" i="3"/>
  <c r="G483" i="3" s="1"/>
  <c r="V482" i="3"/>
  <c r="V483" i="3" s="1"/>
  <c r="H482" i="3"/>
  <c r="H483" i="3" s="1"/>
  <c r="I494" i="3"/>
  <c r="F494" i="3"/>
  <c r="B500" i="3"/>
  <c r="B504" i="3"/>
  <c r="C499" i="3"/>
  <c r="I499" i="3" s="1"/>
  <c r="AD477" i="3"/>
  <c r="AD478" i="3" s="1"/>
  <c r="AE478" i="3" s="1"/>
  <c r="K494" i="3"/>
  <c r="AC494" i="3"/>
  <c r="X494" i="3"/>
  <c r="AD481" i="3"/>
  <c r="C487" i="3"/>
  <c r="X487" i="3" s="1"/>
  <c r="Q494" i="3"/>
  <c r="AD489" i="3"/>
  <c r="AD485" i="3"/>
  <c r="F486" i="3"/>
  <c r="X486" i="3"/>
  <c r="O486" i="3"/>
  <c r="O482" i="3"/>
  <c r="O483" i="3" s="1"/>
  <c r="W482" i="3"/>
  <c r="W483" i="3" s="1"/>
  <c r="F482" i="3"/>
  <c r="F483" i="3" s="1"/>
  <c r="W494" i="3"/>
  <c r="C495" i="3"/>
  <c r="G495" i="3" s="1"/>
  <c r="B496" i="3"/>
  <c r="U494" i="3"/>
  <c r="Z494" i="3"/>
  <c r="S490" i="3"/>
  <c r="I490" i="3"/>
  <c r="AC490" i="3"/>
  <c r="C491" i="3"/>
  <c r="U491" i="3" s="1"/>
  <c r="B492" i="3"/>
  <c r="AB482" i="3"/>
  <c r="AB483" i="3" s="1"/>
  <c r="L482" i="3"/>
  <c r="L483" i="3" s="1"/>
  <c r="T494" i="3"/>
  <c r="S494" i="3"/>
  <c r="H494" i="3"/>
  <c r="E99" i="2" l="1"/>
  <c r="D100" i="2"/>
  <c r="I487" i="3"/>
  <c r="I488" i="3" s="1"/>
  <c r="N487" i="3"/>
  <c r="N488" i="3" s="1"/>
  <c r="P487" i="3"/>
  <c r="P488" i="3" s="1"/>
  <c r="H487" i="3"/>
  <c r="H488" i="3" s="1"/>
  <c r="K487" i="3"/>
  <c r="K488" i="3" s="1"/>
  <c r="G487" i="3"/>
  <c r="G488" i="3" s="1"/>
  <c r="W487" i="3"/>
  <c r="W488" i="3" s="1"/>
  <c r="O487" i="3"/>
  <c r="O488" i="3" s="1"/>
  <c r="F487" i="3"/>
  <c r="Q487" i="3"/>
  <c r="Q488" i="3" s="1"/>
  <c r="I491" i="3"/>
  <c r="Z495" i="3"/>
  <c r="Y487" i="3"/>
  <c r="Y488" i="3" s="1"/>
  <c r="R487" i="3"/>
  <c r="R488" i="3" s="1"/>
  <c r="L487" i="3"/>
  <c r="L488" i="3" s="1"/>
  <c r="J487" i="3"/>
  <c r="J488" i="3" s="1"/>
  <c r="M487" i="3"/>
  <c r="M488" i="3" s="1"/>
  <c r="AC487" i="3"/>
  <c r="AC488" i="3" s="1"/>
  <c r="AB487" i="3"/>
  <c r="AB488" i="3" s="1"/>
  <c r="T487" i="3"/>
  <c r="T488" i="3" s="1"/>
  <c r="S487" i="3"/>
  <c r="S488" i="3" s="1"/>
  <c r="U487" i="3"/>
  <c r="U488" i="3" s="1"/>
  <c r="Z487" i="3"/>
  <c r="Z488" i="3" s="1"/>
  <c r="AA499" i="3"/>
  <c r="M499" i="3"/>
  <c r="Z499" i="3"/>
  <c r="AB491" i="3"/>
  <c r="H499" i="3"/>
  <c r="K495" i="3"/>
  <c r="Q499" i="3"/>
  <c r="AD494" i="3"/>
  <c r="O491" i="3"/>
  <c r="AD486" i="3"/>
  <c r="U499" i="3"/>
  <c r="P499" i="3"/>
  <c r="N499" i="3"/>
  <c r="X499" i="3"/>
  <c r="W499" i="3"/>
  <c r="AD490" i="3"/>
  <c r="X488" i="3"/>
  <c r="T499" i="3"/>
  <c r="S499" i="3"/>
  <c r="F488" i="3"/>
  <c r="AA491" i="3"/>
  <c r="H491" i="3"/>
  <c r="X495" i="3"/>
  <c r="M495" i="3"/>
  <c r="V495" i="3"/>
  <c r="AB495" i="3"/>
  <c r="W491" i="3"/>
  <c r="U495" i="3"/>
  <c r="H495" i="3"/>
  <c r="F495" i="3"/>
  <c r="S491" i="3"/>
  <c r="O495" i="3"/>
  <c r="I495" i="3"/>
  <c r="S495" i="3"/>
  <c r="AD482" i="3"/>
  <c r="AD483" i="3" s="1"/>
  <c r="AE483" i="3" s="1"/>
  <c r="Q491" i="3"/>
  <c r="Z491" i="3"/>
  <c r="G491" i="3"/>
  <c r="L495" i="3"/>
  <c r="W495" i="3"/>
  <c r="J499" i="3"/>
  <c r="B505" i="3"/>
  <c r="B509" i="3"/>
  <c r="C504" i="3"/>
  <c r="H504" i="3" s="1"/>
  <c r="V491" i="3"/>
  <c r="M491" i="3"/>
  <c r="T491" i="3"/>
  <c r="J491" i="3"/>
  <c r="AC495" i="3"/>
  <c r="R495" i="3"/>
  <c r="AB499" i="3"/>
  <c r="G499" i="3"/>
  <c r="O499" i="3"/>
  <c r="R491" i="3"/>
  <c r="Q495" i="3"/>
  <c r="N491" i="3"/>
  <c r="F491" i="3"/>
  <c r="N495" i="3"/>
  <c r="P491" i="3"/>
  <c r="C492" i="3"/>
  <c r="R492" i="3" s="1"/>
  <c r="L491" i="3"/>
  <c r="J495" i="3"/>
  <c r="Y495" i="3"/>
  <c r="C496" i="3"/>
  <c r="AA496" i="3" s="1"/>
  <c r="B497" i="3"/>
  <c r="AA487" i="3"/>
  <c r="AA488" i="3" s="1"/>
  <c r="V487" i="3"/>
  <c r="V488" i="3" s="1"/>
  <c r="L499" i="3"/>
  <c r="R499" i="3"/>
  <c r="V499" i="3"/>
  <c r="B501" i="3"/>
  <c r="C500" i="3"/>
  <c r="N500" i="3" s="1"/>
  <c r="X491" i="3"/>
  <c r="AC491" i="3"/>
  <c r="K491" i="3"/>
  <c r="Y491" i="3"/>
  <c r="T495" i="3"/>
  <c r="P495" i="3"/>
  <c r="AA495" i="3"/>
  <c r="AC499" i="3"/>
  <c r="K499" i="3"/>
  <c r="F499" i="3"/>
  <c r="Y499" i="3"/>
  <c r="E100" i="2" l="1"/>
  <c r="D101" i="2"/>
  <c r="X500" i="3"/>
  <c r="O500" i="3"/>
  <c r="Z504" i="3"/>
  <c r="F504" i="3"/>
  <c r="X504" i="3"/>
  <c r="N504" i="3"/>
  <c r="G504" i="3"/>
  <c r="R504" i="3"/>
  <c r="V504" i="3"/>
  <c r="I500" i="3"/>
  <c r="M500" i="3"/>
  <c r="I496" i="3"/>
  <c r="S496" i="3"/>
  <c r="G496" i="3"/>
  <c r="AB492" i="3"/>
  <c r="AB493" i="3" s="1"/>
  <c r="O496" i="3"/>
  <c r="W496" i="3"/>
  <c r="AB496" i="3"/>
  <c r="L496" i="3"/>
  <c r="J492" i="3"/>
  <c r="J493" i="3" s="1"/>
  <c r="U496" i="3"/>
  <c r="J496" i="3"/>
  <c r="H496" i="3"/>
  <c r="S492" i="3"/>
  <c r="S493" i="3" s="1"/>
  <c r="W500" i="3"/>
  <c r="X496" i="3"/>
  <c r="T496" i="3"/>
  <c r="W492" i="3"/>
  <c r="W493" i="3" s="1"/>
  <c r="H500" i="3"/>
  <c r="Y500" i="3"/>
  <c r="K496" i="3"/>
  <c r="R496" i="3"/>
  <c r="Q496" i="3"/>
  <c r="F492" i="3"/>
  <c r="F493" i="3" s="1"/>
  <c r="Q504" i="3"/>
  <c r="AC496" i="3"/>
  <c r="F496" i="3"/>
  <c r="M496" i="3"/>
  <c r="P492" i="3"/>
  <c r="P493" i="3" s="1"/>
  <c r="W504" i="3"/>
  <c r="V496" i="3"/>
  <c r="P500" i="3"/>
  <c r="AA500" i="3"/>
  <c r="J500" i="3"/>
  <c r="P496" i="3"/>
  <c r="Z496" i="3"/>
  <c r="Z492" i="3"/>
  <c r="Z493" i="3" s="1"/>
  <c r="AD495" i="3"/>
  <c r="C497" i="3"/>
  <c r="P497" i="3" s="1"/>
  <c r="U492" i="3"/>
  <c r="U493" i="3" s="1"/>
  <c r="I504" i="3"/>
  <c r="T500" i="3"/>
  <c r="Z500" i="3"/>
  <c r="I492" i="3"/>
  <c r="I493" i="3" s="1"/>
  <c r="H492" i="3"/>
  <c r="H493" i="3" s="1"/>
  <c r="N492" i="3"/>
  <c r="N493" i="3" s="1"/>
  <c r="AD491" i="3"/>
  <c r="AC504" i="3"/>
  <c r="P504" i="3"/>
  <c r="S500" i="3"/>
  <c r="B502" i="3"/>
  <c r="C501" i="3"/>
  <c r="P501" i="3" s="1"/>
  <c r="U500" i="3"/>
  <c r="V492" i="3"/>
  <c r="V493" i="3" s="1"/>
  <c r="AC492" i="3"/>
  <c r="AC493" i="3" s="1"/>
  <c r="L492" i="3"/>
  <c r="L493" i="3" s="1"/>
  <c r="M504" i="3"/>
  <c r="Y504" i="3"/>
  <c r="B514" i="3"/>
  <c r="C509" i="3"/>
  <c r="G509" i="3" s="1"/>
  <c r="B510" i="3"/>
  <c r="AD499" i="3"/>
  <c r="K504" i="3"/>
  <c r="AB500" i="3"/>
  <c r="K500" i="3"/>
  <c r="X492" i="3"/>
  <c r="X493" i="3" s="1"/>
  <c r="Q492" i="3"/>
  <c r="Q493" i="3" s="1"/>
  <c r="M492" i="3"/>
  <c r="M493" i="3" s="1"/>
  <c r="R493" i="3"/>
  <c r="AB504" i="3"/>
  <c r="J504" i="3"/>
  <c r="AA504" i="3"/>
  <c r="Q500" i="3"/>
  <c r="G500" i="3"/>
  <c r="V500" i="3"/>
  <c r="AA492" i="3"/>
  <c r="AA493" i="3" s="1"/>
  <c r="G492" i="3"/>
  <c r="G493" i="3" s="1"/>
  <c r="O492" i="3"/>
  <c r="O493" i="3" s="1"/>
  <c r="U504" i="3"/>
  <c r="O504" i="3"/>
  <c r="B506" i="3"/>
  <c r="C505" i="3"/>
  <c r="M505" i="3" s="1"/>
  <c r="AD487" i="3"/>
  <c r="AD488" i="3" s="1"/>
  <c r="AC500" i="3"/>
  <c r="F500" i="3"/>
  <c r="L500" i="3"/>
  <c r="R500" i="3"/>
  <c r="Y496" i="3"/>
  <c r="N496" i="3"/>
  <c r="T492" i="3"/>
  <c r="T493" i="3" s="1"/>
  <c r="Y492" i="3"/>
  <c r="Y493" i="3" s="1"/>
  <c r="K492" i="3"/>
  <c r="K493" i="3" s="1"/>
  <c r="S504" i="3"/>
  <c r="T504" i="3"/>
  <c r="L504" i="3"/>
  <c r="D102" i="2" l="1"/>
  <c r="E101" i="2"/>
  <c r="P498" i="3"/>
  <c r="F509" i="3"/>
  <c r="M509" i="3"/>
  <c r="X509" i="3"/>
  <c r="Y509" i="3"/>
  <c r="J509" i="3"/>
  <c r="T509" i="3"/>
  <c r="V509" i="3"/>
  <c r="Q509" i="3"/>
  <c r="L509" i="3"/>
  <c r="U509" i="3"/>
  <c r="K509" i="3"/>
  <c r="N509" i="3"/>
  <c r="W509" i="3"/>
  <c r="AB509" i="3"/>
  <c r="S509" i="3"/>
  <c r="P509" i="3"/>
  <c r="AA509" i="3"/>
  <c r="Z509" i="3"/>
  <c r="R509" i="3"/>
  <c r="AB501" i="3"/>
  <c r="N501" i="3"/>
  <c r="AC501" i="3"/>
  <c r="I501" i="3"/>
  <c r="I509" i="3"/>
  <c r="H509" i="3"/>
  <c r="R501" i="3"/>
  <c r="J501" i="3"/>
  <c r="V501" i="3"/>
  <c r="R505" i="3"/>
  <c r="Y501" i="3"/>
  <c r="AD504" i="3"/>
  <c r="X505" i="3"/>
  <c r="AD496" i="3"/>
  <c r="Y505" i="3"/>
  <c r="U501" i="3"/>
  <c r="L501" i="3"/>
  <c r="S505" i="3"/>
  <c r="AD492" i="3"/>
  <c r="AD493" i="3" s="1"/>
  <c r="AE493" i="3" s="1"/>
  <c r="T501" i="3"/>
  <c r="T505" i="3"/>
  <c r="Z505" i="3"/>
  <c r="Q505" i="3"/>
  <c r="B519" i="3"/>
  <c r="C514" i="3"/>
  <c r="AB514" i="3" s="1"/>
  <c r="B515" i="3"/>
  <c r="C502" i="3"/>
  <c r="N502" i="3" s="1"/>
  <c r="Q497" i="3"/>
  <c r="Q498" i="3" s="1"/>
  <c r="U497" i="3"/>
  <c r="U498" i="3" s="1"/>
  <c r="F497" i="3"/>
  <c r="S497" i="3"/>
  <c r="S498" i="3" s="1"/>
  <c r="M497" i="3"/>
  <c r="M498" i="3" s="1"/>
  <c r="T497" i="3"/>
  <c r="T498" i="3" s="1"/>
  <c r="AA501" i="3"/>
  <c r="O497" i="3"/>
  <c r="O498" i="3" s="1"/>
  <c r="Y497" i="3"/>
  <c r="Y498" i="3" s="1"/>
  <c r="J497" i="3"/>
  <c r="J498" i="3" s="1"/>
  <c r="W505" i="3"/>
  <c r="C506" i="3"/>
  <c r="Q506" i="3" s="1"/>
  <c r="B507" i="3"/>
  <c r="AD500" i="3"/>
  <c r="N505" i="3"/>
  <c r="I505" i="3"/>
  <c r="AB505" i="3"/>
  <c r="G501" i="3"/>
  <c r="H501" i="3"/>
  <c r="I497" i="3"/>
  <c r="I498" i="3" s="1"/>
  <c r="V497" i="3"/>
  <c r="V498" i="3" s="1"/>
  <c r="R497" i="3"/>
  <c r="R498" i="3" s="1"/>
  <c r="L497" i="3"/>
  <c r="L498" i="3" s="1"/>
  <c r="K505" i="3"/>
  <c r="U505" i="3"/>
  <c r="O505" i="3"/>
  <c r="L505" i="3"/>
  <c r="P505" i="3"/>
  <c r="F501" i="3"/>
  <c r="Z501" i="3"/>
  <c r="Q501" i="3"/>
  <c r="AB497" i="3"/>
  <c r="AB498" i="3" s="1"/>
  <c r="H497" i="3"/>
  <c r="H498" i="3" s="1"/>
  <c r="AC497" i="3"/>
  <c r="AC498" i="3" s="1"/>
  <c r="Z497" i="3"/>
  <c r="Z498" i="3" s="1"/>
  <c r="AA505" i="3"/>
  <c r="AF488" i="3"/>
  <c r="AE488" i="3"/>
  <c r="G505" i="3"/>
  <c r="AC505" i="3"/>
  <c r="J505" i="3"/>
  <c r="C510" i="3"/>
  <c r="K510" i="3" s="1"/>
  <c r="B511" i="3"/>
  <c r="AC509" i="3"/>
  <c r="W501" i="3"/>
  <c r="K501" i="3"/>
  <c r="S501" i="3"/>
  <c r="N497" i="3"/>
  <c r="N498" i="3" s="1"/>
  <c r="AA497" i="3"/>
  <c r="AA498" i="3" s="1"/>
  <c r="X497" i="3"/>
  <c r="X498" i="3" s="1"/>
  <c r="V505" i="3"/>
  <c r="F505" i="3"/>
  <c r="H505" i="3"/>
  <c r="O509" i="3"/>
  <c r="M501" i="3"/>
  <c r="O501" i="3"/>
  <c r="X501" i="3"/>
  <c r="W497" i="3"/>
  <c r="W498" i="3" s="1"/>
  <c r="G497" i="3"/>
  <c r="G498" i="3" s="1"/>
  <c r="K497" i="3"/>
  <c r="K498" i="3" s="1"/>
  <c r="H93" i="2" l="1"/>
  <c r="E102" i="2"/>
  <c r="D103" i="2"/>
  <c r="AA514" i="3"/>
  <c r="AD509" i="3"/>
  <c r="N503" i="3"/>
  <c r="Z514" i="3"/>
  <c r="K514" i="3"/>
  <c r="V514" i="3"/>
  <c r="Y514" i="3"/>
  <c r="U514" i="3"/>
  <c r="G514" i="3"/>
  <c r="U510" i="3"/>
  <c r="Q502" i="3"/>
  <c r="Q503" i="3" s="1"/>
  <c r="S510" i="3"/>
  <c r="T510" i="3"/>
  <c r="L514" i="3"/>
  <c r="H510" i="3"/>
  <c r="Z506" i="3"/>
  <c r="Y506" i="3"/>
  <c r="F510" i="3"/>
  <c r="AC510" i="3"/>
  <c r="AA506" i="3"/>
  <c r="W502" i="3"/>
  <c r="W503" i="3" s="1"/>
  <c r="R510" i="3"/>
  <c r="G510" i="3"/>
  <c r="L506" i="3"/>
  <c r="J502" i="3"/>
  <c r="J503" i="3" s="1"/>
  <c r="P510" i="3"/>
  <c r="H506" i="3"/>
  <c r="R502" i="3"/>
  <c r="R503" i="3" s="1"/>
  <c r="J510" i="3"/>
  <c r="G506" i="3"/>
  <c r="M506" i="3"/>
  <c r="AC502" i="3"/>
  <c r="AC503" i="3" s="1"/>
  <c r="I510" i="3"/>
  <c r="Y510" i="3"/>
  <c r="M510" i="3"/>
  <c r="AA510" i="3"/>
  <c r="P506" i="3"/>
  <c r="S506" i="3"/>
  <c r="U502" i="3"/>
  <c r="U503" i="3" s="1"/>
  <c r="AC506" i="3"/>
  <c r="V510" i="3"/>
  <c r="O510" i="3"/>
  <c r="AB510" i="3"/>
  <c r="N510" i="3"/>
  <c r="F506" i="3"/>
  <c r="N506" i="3"/>
  <c r="K502" i="3"/>
  <c r="K503" i="3" s="1"/>
  <c r="X514" i="3"/>
  <c r="AD501" i="3"/>
  <c r="I506" i="3"/>
  <c r="O506" i="3"/>
  <c r="X502" i="3"/>
  <c r="X503" i="3" s="1"/>
  <c r="M514" i="3"/>
  <c r="K506" i="3"/>
  <c r="C507" i="3"/>
  <c r="N507" i="3" s="1"/>
  <c r="U506" i="3"/>
  <c r="R506" i="3"/>
  <c r="I502" i="3"/>
  <c r="I503" i="3" s="1"/>
  <c r="AB502" i="3"/>
  <c r="AB503" i="3" s="1"/>
  <c r="S502" i="3"/>
  <c r="S503" i="3" s="1"/>
  <c r="F514" i="3"/>
  <c r="S514" i="3"/>
  <c r="G502" i="3"/>
  <c r="G503" i="3" s="1"/>
  <c r="F502" i="3"/>
  <c r="T514" i="3"/>
  <c r="AC514" i="3"/>
  <c r="B516" i="3"/>
  <c r="C515" i="3"/>
  <c r="G515" i="3" s="1"/>
  <c r="B512" i="3"/>
  <c r="C511" i="3"/>
  <c r="U511" i="3" s="1"/>
  <c r="AD497" i="3"/>
  <c r="AD498" i="3" s="1"/>
  <c r="AE498" i="3" s="1"/>
  <c r="F498" i="3"/>
  <c r="P502" i="3"/>
  <c r="P503" i="3" s="1"/>
  <c r="L502" i="3"/>
  <c r="L503" i="3" s="1"/>
  <c r="M502" i="3"/>
  <c r="M503" i="3" s="1"/>
  <c r="AA502" i="3"/>
  <c r="AA503" i="3" s="1"/>
  <c r="H514" i="3"/>
  <c r="I514" i="3"/>
  <c r="O514" i="3"/>
  <c r="Z510" i="3"/>
  <c r="Q510" i="3"/>
  <c r="AB506" i="3"/>
  <c r="X506" i="3"/>
  <c r="V506" i="3"/>
  <c r="Y502" i="3"/>
  <c r="Y503" i="3" s="1"/>
  <c r="H502" i="3"/>
  <c r="H503" i="3" s="1"/>
  <c r="V502" i="3"/>
  <c r="V503" i="3" s="1"/>
  <c r="W514" i="3"/>
  <c r="N514" i="3"/>
  <c r="C519" i="3"/>
  <c r="Y519" i="3" s="1"/>
  <c r="B520" i="3"/>
  <c r="B524" i="3"/>
  <c r="AD505" i="3"/>
  <c r="X510" i="3"/>
  <c r="W510" i="3"/>
  <c r="L510" i="3"/>
  <c r="W506" i="3"/>
  <c r="T506" i="3"/>
  <c r="J506" i="3"/>
  <c r="O502" i="3"/>
  <c r="O503" i="3" s="1"/>
  <c r="T502" i="3"/>
  <c r="T503" i="3" s="1"/>
  <c r="Z502" i="3"/>
  <c r="Z503" i="3" s="1"/>
  <c r="R514" i="3"/>
  <c r="J514" i="3"/>
  <c r="Q514" i="3"/>
  <c r="P514" i="3"/>
  <c r="D104" i="2" l="1"/>
  <c r="E103" i="2"/>
  <c r="N508" i="3"/>
  <c r="X507" i="3"/>
  <c r="X508" i="3" s="1"/>
  <c r="X519" i="3"/>
  <c r="AA519" i="3"/>
  <c r="AB519" i="3"/>
  <c r="Q507" i="3"/>
  <c r="Q508" i="3" s="1"/>
  <c r="I519" i="3"/>
  <c r="AB507" i="3"/>
  <c r="AB508" i="3" s="1"/>
  <c r="R515" i="3"/>
  <c r="N519" i="3"/>
  <c r="H519" i="3"/>
  <c r="Z515" i="3"/>
  <c r="F515" i="3"/>
  <c r="G519" i="3"/>
  <c r="W519" i="3"/>
  <c r="L519" i="3"/>
  <c r="S511" i="3"/>
  <c r="H515" i="3"/>
  <c r="I515" i="3"/>
  <c r="V519" i="3"/>
  <c r="O519" i="3"/>
  <c r="R519" i="3"/>
  <c r="L511" i="3"/>
  <c r="AC515" i="3"/>
  <c r="V515" i="3"/>
  <c r="Y507" i="3"/>
  <c r="Y508" i="3" s="1"/>
  <c r="AD506" i="3"/>
  <c r="W511" i="3"/>
  <c r="T515" i="3"/>
  <c r="K519" i="3"/>
  <c r="M519" i="3"/>
  <c r="N511" i="3"/>
  <c r="L515" i="3"/>
  <c r="J507" i="3"/>
  <c r="J508" i="3" s="1"/>
  <c r="Z519" i="3"/>
  <c r="P519" i="3"/>
  <c r="Q519" i="3"/>
  <c r="F519" i="3"/>
  <c r="AA511" i="3"/>
  <c r="P515" i="3"/>
  <c r="AD502" i="3"/>
  <c r="AD503" i="3" s="1"/>
  <c r="AE503" i="3" s="1"/>
  <c r="F503" i="3"/>
  <c r="T507" i="3"/>
  <c r="T508" i="3" s="1"/>
  <c r="K511" i="3"/>
  <c r="M511" i="3"/>
  <c r="F511" i="3"/>
  <c r="S507" i="3"/>
  <c r="S508" i="3" s="1"/>
  <c r="V507" i="3"/>
  <c r="V508" i="3" s="1"/>
  <c r="Y511" i="3"/>
  <c r="Q511" i="3"/>
  <c r="G511" i="3"/>
  <c r="C512" i="3"/>
  <c r="K512" i="3" s="1"/>
  <c r="O515" i="3"/>
  <c r="M515" i="3"/>
  <c r="AA515" i="3"/>
  <c r="Z507" i="3"/>
  <c r="Z508" i="3" s="1"/>
  <c r="AC507" i="3"/>
  <c r="AC508" i="3" s="1"/>
  <c r="O507" i="3"/>
  <c r="O508" i="3" s="1"/>
  <c r="B525" i="3"/>
  <c r="B529" i="3"/>
  <c r="C524" i="3"/>
  <c r="X524" i="3" s="1"/>
  <c r="P511" i="3"/>
  <c r="H511" i="3"/>
  <c r="O511" i="3"/>
  <c r="W515" i="3"/>
  <c r="AD514" i="3"/>
  <c r="M507" i="3"/>
  <c r="M508" i="3" s="1"/>
  <c r="G507" i="3"/>
  <c r="G508" i="3" s="1"/>
  <c r="H507" i="3"/>
  <c r="H508" i="3" s="1"/>
  <c r="B521" i="3"/>
  <c r="C520" i="3"/>
  <c r="U520" i="3" s="1"/>
  <c r="V511" i="3"/>
  <c r="AC511" i="3"/>
  <c r="R511" i="3"/>
  <c r="X515" i="3"/>
  <c r="Q515" i="3"/>
  <c r="K515" i="3"/>
  <c r="W507" i="3"/>
  <c r="W508" i="3" s="1"/>
  <c r="AA507" i="3"/>
  <c r="AA508" i="3" s="1"/>
  <c r="L507" i="3"/>
  <c r="L508" i="3" s="1"/>
  <c r="S519" i="3"/>
  <c r="AC519" i="3"/>
  <c r="AB511" i="3"/>
  <c r="X511" i="3"/>
  <c r="T511" i="3"/>
  <c r="Y515" i="3"/>
  <c r="J515" i="3"/>
  <c r="U515" i="3"/>
  <c r="B517" i="3"/>
  <c r="C516" i="3"/>
  <c r="AA516" i="3" s="1"/>
  <c r="K507" i="3"/>
  <c r="K508" i="3" s="1"/>
  <c r="F507" i="3"/>
  <c r="P507" i="3"/>
  <c r="P508" i="3" s="1"/>
  <c r="T519" i="3"/>
  <c r="U519" i="3"/>
  <c r="J519" i="3"/>
  <c r="J511" i="3"/>
  <c r="I511" i="3"/>
  <c r="Z511" i="3"/>
  <c r="N515" i="3"/>
  <c r="AB515" i="3"/>
  <c r="S515" i="3"/>
  <c r="U507" i="3"/>
  <c r="U508" i="3" s="1"/>
  <c r="R507" i="3"/>
  <c r="R508" i="3" s="1"/>
  <c r="I507" i="3"/>
  <c r="I508" i="3" s="1"/>
  <c r="AD510" i="3"/>
  <c r="E104" i="2" l="1"/>
  <c r="D105" i="2"/>
  <c r="E105" i="2" s="1"/>
  <c r="I524" i="3"/>
  <c r="S524" i="3"/>
  <c r="AA520" i="3"/>
  <c r="G520" i="3"/>
  <c r="P524" i="3"/>
  <c r="F520" i="3"/>
  <c r="H524" i="3"/>
  <c r="J524" i="3"/>
  <c r="AA512" i="3"/>
  <c r="AA513" i="3" s="1"/>
  <c r="J520" i="3"/>
  <c r="N524" i="3"/>
  <c r="Z520" i="3"/>
  <c r="AB524" i="3"/>
  <c r="O520" i="3"/>
  <c r="U524" i="3"/>
  <c r="T512" i="3"/>
  <c r="T513" i="3" s="1"/>
  <c r="P520" i="3"/>
  <c r="R524" i="3"/>
  <c r="Y512" i="3"/>
  <c r="Y513" i="3" s="1"/>
  <c r="AD519" i="3"/>
  <c r="K520" i="3"/>
  <c r="AD515" i="3"/>
  <c r="H520" i="3"/>
  <c r="M520" i="3"/>
  <c r="T520" i="3"/>
  <c r="AB520" i="3"/>
  <c r="L520" i="3"/>
  <c r="Y520" i="3"/>
  <c r="M524" i="3"/>
  <c r="Q516" i="3"/>
  <c r="C525" i="3"/>
  <c r="S525" i="3" s="1"/>
  <c r="B526" i="3"/>
  <c r="U516" i="3"/>
  <c r="Z516" i="3"/>
  <c r="C517" i="3"/>
  <c r="O517" i="3" s="1"/>
  <c r="J516" i="3"/>
  <c r="L524" i="3"/>
  <c r="Z524" i="3"/>
  <c r="Q524" i="3"/>
  <c r="P512" i="3"/>
  <c r="P513" i="3" s="1"/>
  <c r="Q512" i="3"/>
  <c r="Q513" i="3" s="1"/>
  <c r="G512" i="3"/>
  <c r="G513" i="3" s="1"/>
  <c r="L516" i="3"/>
  <c r="P516" i="3"/>
  <c r="T516" i="3"/>
  <c r="S520" i="3"/>
  <c r="W520" i="3"/>
  <c r="T524" i="3"/>
  <c r="K524" i="3"/>
  <c r="V524" i="3"/>
  <c r="H512" i="3"/>
  <c r="H513" i="3" s="1"/>
  <c r="U512" i="3"/>
  <c r="U513" i="3" s="1"/>
  <c r="X512" i="3"/>
  <c r="X513" i="3" s="1"/>
  <c r="R516" i="3"/>
  <c r="X516" i="3"/>
  <c r="V516" i="3"/>
  <c r="C521" i="3"/>
  <c r="H521" i="3" s="1"/>
  <c r="B522" i="3"/>
  <c r="Y524" i="3"/>
  <c r="W512" i="3"/>
  <c r="W513" i="3" s="1"/>
  <c r="I512" i="3"/>
  <c r="I513" i="3" s="1"/>
  <c r="S512" i="3"/>
  <c r="S513" i="3" s="1"/>
  <c r="AD507" i="3"/>
  <c r="AD508" i="3" s="1"/>
  <c r="AE508" i="3" s="1"/>
  <c r="F508" i="3"/>
  <c r="K516" i="3"/>
  <c r="H516" i="3"/>
  <c r="Y516" i="3"/>
  <c r="N516" i="3"/>
  <c r="AB516" i="3"/>
  <c r="V520" i="3"/>
  <c r="X520" i="3"/>
  <c r="N520" i="3"/>
  <c r="I520" i="3"/>
  <c r="AC524" i="3"/>
  <c r="G524" i="3"/>
  <c r="F524" i="3"/>
  <c r="O512" i="3"/>
  <c r="O513" i="3" s="1"/>
  <c r="AB512" i="3"/>
  <c r="AB513" i="3" s="1"/>
  <c r="N512" i="3"/>
  <c r="N513" i="3" s="1"/>
  <c r="AD511" i="3"/>
  <c r="G516" i="3"/>
  <c r="B534" i="3"/>
  <c r="C529" i="3"/>
  <c r="V529" i="3" s="1"/>
  <c r="B530" i="3"/>
  <c r="S516" i="3"/>
  <c r="M516" i="3"/>
  <c r="F512" i="3"/>
  <c r="L512" i="3"/>
  <c r="L513" i="3" s="1"/>
  <c r="O516" i="3"/>
  <c r="I516" i="3"/>
  <c r="F516" i="3"/>
  <c r="Q520" i="3"/>
  <c r="AC520" i="3"/>
  <c r="R520" i="3"/>
  <c r="AA524" i="3"/>
  <c r="W524" i="3"/>
  <c r="O524" i="3"/>
  <c r="V512" i="3"/>
  <c r="V513" i="3" s="1"/>
  <c r="R512" i="3"/>
  <c r="R513" i="3" s="1"/>
  <c r="AC512" i="3"/>
  <c r="AC513" i="3" s="1"/>
  <c r="K513" i="3"/>
  <c r="W516" i="3"/>
  <c r="AC516" i="3"/>
  <c r="Z512" i="3"/>
  <c r="Z513" i="3" s="1"/>
  <c r="J512" i="3"/>
  <c r="J513" i="3" s="1"/>
  <c r="M512" i="3"/>
  <c r="M513" i="3" s="1"/>
  <c r="O518" i="3" l="1"/>
  <c r="J525" i="3"/>
  <c r="I517" i="3"/>
  <c r="I518" i="3" s="1"/>
  <c r="M517" i="3"/>
  <c r="M518" i="3" s="1"/>
  <c r="G529" i="3"/>
  <c r="G525" i="3"/>
  <c r="K525" i="3"/>
  <c r="G517" i="3"/>
  <c r="G518" i="3" s="1"/>
  <c r="AC529" i="3"/>
  <c r="N517" i="3"/>
  <c r="N518" i="3" s="1"/>
  <c r="R529" i="3"/>
  <c r="Q517" i="3"/>
  <c r="Q518" i="3" s="1"/>
  <c r="S529" i="3"/>
  <c r="AA521" i="3"/>
  <c r="X521" i="3"/>
  <c r="AD524" i="3"/>
  <c r="V521" i="3"/>
  <c r="M521" i="3"/>
  <c r="I521" i="3"/>
  <c r="X529" i="3"/>
  <c r="S521" i="3"/>
  <c r="Q521" i="3"/>
  <c r="N529" i="3"/>
  <c r="R521" i="3"/>
  <c r="W521" i="3"/>
  <c r="Z525" i="3"/>
  <c r="AD512" i="3"/>
  <c r="AD513" i="3" s="1"/>
  <c r="AE513" i="3" s="1"/>
  <c r="Q529" i="3"/>
  <c r="J521" i="3"/>
  <c r="T521" i="3"/>
  <c r="AC525" i="3"/>
  <c r="Z529" i="3"/>
  <c r="L521" i="3"/>
  <c r="W517" i="3"/>
  <c r="W518" i="3" s="1"/>
  <c r="AB525" i="3"/>
  <c r="AA529" i="3"/>
  <c r="K529" i="3"/>
  <c r="O521" i="3"/>
  <c r="G521" i="3"/>
  <c r="O525" i="3"/>
  <c r="Z517" i="3"/>
  <c r="Z518" i="3" s="1"/>
  <c r="B531" i="3"/>
  <c r="C530" i="3"/>
  <c r="K530" i="3" s="1"/>
  <c r="F513" i="3"/>
  <c r="U517" i="3"/>
  <c r="U518" i="3" s="1"/>
  <c r="V525" i="3"/>
  <c r="L529" i="3"/>
  <c r="M529" i="3"/>
  <c r="P529" i="3"/>
  <c r="AC521" i="3"/>
  <c r="C522" i="3"/>
  <c r="M522" i="3" s="1"/>
  <c r="AB521" i="3"/>
  <c r="P517" i="3"/>
  <c r="X517" i="3"/>
  <c r="X518" i="3" s="1"/>
  <c r="J517" i="3"/>
  <c r="J518" i="3" s="1"/>
  <c r="F525" i="3"/>
  <c r="Q525" i="3"/>
  <c r="Y525" i="3"/>
  <c r="B527" i="3"/>
  <c r="C526" i="3"/>
  <c r="S526" i="3" s="1"/>
  <c r="H529" i="3"/>
  <c r="AB529" i="3"/>
  <c r="J529" i="3"/>
  <c r="F521" i="3"/>
  <c r="AB517" i="3"/>
  <c r="AB518" i="3" s="1"/>
  <c r="R517" i="3"/>
  <c r="R518" i="3" s="1"/>
  <c r="F517" i="3"/>
  <c r="F518" i="3" s="1"/>
  <c r="I525" i="3"/>
  <c r="H525" i="3"/>
  <c r="T525" i="3"/>
  <c r="AD520" i="3"/>
  <c r="AC517" i="3"/>
  <c r="AC518" i="3" s="1"/>
  <c r="Y517" i="3"/>
  <c r="Y518" i="3" s="1"/>
  <c r="K517" i="3"/>
  <c r="K518" i="3" s="1"/>
  <c r="M525" i="3"/>
  <c r="X525" i="3"/>
  <c r="P525" i="3"/>
  <c r="AD516" i="3"/>
  <c r="I529" i="3"/>
  <c r="W529" i="3"/>
  <c r="U529" i="3"/>
  <c r="T529" i="3"/>
  <c r="U521" i="3"/>
  <c r="K521" i="3"/>
  <c r="P521" i="3"/>
  <c r="AA517" i="3"/>
  <c r="AA518" i="3" s="1"/>
  <c r="L517" i="3"/>
  <c r="L518" i="3" s="1"/>
  <c r="V517" i="3"/>
  <c r="V518" i="3" s="1"/>
  <c r="L525" i="3"/>
  <c r="R525" i="3"/>
  <c r="N525" i="3"/>
  <c r="O529" i="3"/>
  <c r="Y529" i="3"/>
  <c r="F529" i="3"/>
  <c r="C534" i="3"/>
  <c r="AA534" i="3" s="1"/>
  <c r="B535" i="3"/>
  <c r="B539" i="3"/>
  <c r="Y521" i="3"/>
  <c r="N521" i="3"/>
  <c r="Z521" i="3"/>
  <c r="T517" i="3"/>
  <c r="T518" i="3" s="1"/>
  <c r="H517" i="3"/>
  <c r="H518" i="3" s="1"/>
  <c r="S517" i="3"/>
  <c r="S518" i="3" s="1"/>
  <c r="AA525" i="3"/>
  <c r="U525" i="3"/>
  <c r="W525" i="3"/>
  <c r="T526" i="3" l="1"/>
  <c r="Y526" i="3"/>
  <c r="F526" i="3"/>
  <c r="M523" i="3"/>
  <c r="M526" i="3"/>
  <c r="Z526" i="3"/>
  <c r="H526" i="3"/>
  <c r="J526" i="3"/>
  <c r="R526" i="3"/>
  <c r="P526" i="3"/>
  <c r="AA526" i="3"/>
  <c r="L526" i="3"/>
  <c r="G526" i="3"/>
  <c r="N526" i="3"/>
  <c r="V526" i="3"/>
  <c r="N534" i="3"/>
  <c r="O526" i="3"/>
  <c r="U526" i="3"/>
  <c r="AC526" i="3"/>
  <c r="V534" i="3"/>
  <c r="R534" i="3"/>
  <c r="W526" i="3"/>
  <c r="T534" i="3"/>
  <c r="AB534" i="3"/>
  <c r="I526" i="3"/>
  <c r="W534" i="3"/>
  <c r="Q526" i="3"/>
  <c r="Q534" i="3"/>
  <c r="I534" i="3"/>
  <c r="AD517" i="3"/>
  <c r="AD518" i="3" s="1"/>
  <c r="AE518" i="3" s="1"/>
  <c r="Z534" i="3"/>
  <c r="P534" i="3"/>
  <c r="AB526" i="3"/>
  <c r="X526" i="3"/>
  <c r="K526" i="3"/>
  <c r="B540" i="3"/>
  <c r="C539" i="3"/>
  <c r="P539" i="3" s="1"/>
  <c r="B544" i="3"/>
  <c r="H534" i="3"/>
  <c r="C527" i="3"/>
  <c r="AB527" i="3" s="1"/>
  <c r="P518" i="3"/>
  <c r="Y522" i="3"/>
  <c r="Y523" i="3" s="1"/>
  <c r="I522" i="3"/>
  <c r="I523" i="3" s="1"/>
  <c r="F522" i="3"/>
  <c r="F523" i="3" s="1"/>
  <c r="F530" i="3"/>
  <c r="Q530" i="3"/>
  <c r="AA530" i="3"/>
  <c r="X522" i="3"/>
  <c r="X523" i="3" s="1"/>
  <c r="U522" i="3"/>
  <c r="U523" i="3" s="1"/>
  <c r="S522" i="3"/>
  <c r="S523" i="3" s="1"/>
  <c r="Z530" i="3"/>
  <c r="AC530" i="3"/>
  <c r="G530" i="3"/>
  <c r="Y530" i="3"/>
  <c r="Z522" i="3"/>
  <c r="Z523" i="3" s="1"/>
  <c r="G522" i="3"/>
  <c r="G523" i="3" s="1"/>
  <c r="Q522" i="3"/>
  <c r="Q523" i="3" s="1"/>
  <c r="AD521" i="3"/>
  <c r="H530" i="3"/>
  <c r="T530" i="3"/>
  <c r="M530" i="3"/>
  <c r="M534" i="3"/>
  <c r="Y534" i="3"/>
  <c r="U534" i="3"/>
  <c r="X534" i="3"/>
  <c r="N522" i="3"/>
  <c r="N523" i="3" s="1"/>
  <c r="AA522" i="3"/>
  <c r="AA523" i="3" s="1"/>
  <c r="AC522" i="3"/>
  <c r="AC523" i="3" s="1"/>
  <c r="L530" i="3"/>
  <c r="J530" i="3"/>
  <c r="R530" i="3"/>
  <c r="B532" i="3"/>
  <c r="C531" i="3"/>
  <c r="V531" i="3" s="1"/>
  <c r="H522" i="3"/>
  <c r="H523" i="3" s="1"/>
  <c r="F534" i="3"/>
  <c r="AD525" i="3"/>
  <c r="AB522" i="3"/>
  <c r="AB523" i="3" s="1"/>
  <c r="O522" i="3"/>
  <c r="O523" i="3" s="1"/>
  <c r="W522" i="3"/>
  <c r="W523" i="3" s="1"/>
  <c r="AB530" i="3"/>
  <c r="O530" i="3"/>
  <c r="N530" i="3"/>
  <c r="K522" i="3"/>
  <c r="K523" i="3" s="1"/>
  <c r="G534" i="3"/>
  <c r="L534" i="3"/>
  <c r="K534" i="3"/>
  <c r="J534" i="3"/>
  <c r="B536" i="3"/>
  <c r="C535" i="3"/>
  <c r="X535" i="3" s="1"/>
  <c r="AD529" i="3"/>
  <c r="R522" i="3"/>
  <c r="R523" i="3" s="1"/>
  <c r="P522" i="3"/>
  <c r="P523" i="3" s="1"/>
  <c r="J522" i="3"/>
  <c r="J523" i="3" s="1"/>
  <c r="W530" i="3"/>
  <c r="U530" i="3"/>
  <c r="S530" i="3"/>
  <c r="V530" i="3"/>
  <c r="AC534" i="3"/>
  <c r="O534" i="3"/>
  <c r="S534" i="3"/>
  <c r="L522" i="3"/>
  <c r="L523" i="3" s="1"/>
  <c r="T522" i="3"/>
  <c r="T523" i="3" s="1"/>
  <c r="V522" i="3"/>
  <c r="V523" i="3" s="1"/>
  <c r="P530" i="3"/>
  <c r="X530" i="3"/>
  <c r="I530" i="3"/>
  <c r="AB528" i="3" l="1"/>
  <c r="F535" i="3"/>
  <c r="L531" i="3"/>
  <c r="H535" i="3"/>
  <c r="G539" i="3"/>
  <c r="R539" i="3"/>
  <c r="AD526" i="3"/>
  <c r="AC539" i="3"/>
  <c r="Y535" i="3"/>
  <c r="S539" i="3"/>
  <c r="U535" i="3"/>
  <c r="P531" i="3"/>
  <c r="V539" i="3"/>
  <c r="M531" i="3"/>
  <c r="U527" i="3"/>
  <c r="U528" i="3" s="1"/>
  <c r="L527" i="3"/>
  <c r="L528" i="3" s="1"/>
  <c r="S527" i="3"/>
  <c r="S528" i="3" s="1"/>
  <c r="AD534" i="3"/>
  <c r="F531" i="3"/>
  <c r="X527" i="3"/>
  <c r="X528" i="3" s="1"/>
  <c r="AA527" i="3"/>
  <c r="AA528" i="3" s="1"/>
  <c r="O535" i="3"/>
  <c r="AA531" i="3"/>
  <c r="G531" i="3"/>
  <c r="Y527" i="3"/>
  <c r="Y528" i="3" s="1"/>
  <c r="Q527" i="3"/>
  <c r="Q528" i="3" s="1"/>
  <c r="AC531" i="3"/>
  <c r="T531" i="3"/>
  <c r="R527" i="3"/>
  <c r="R528" i="3" s="1"/>
  <c r="V527" i="3"/>
  <c r="V528" i="3" s="1"/>
  <c r="H531" i="3"/>
  <c r="Z531" i="3"/>
  <c r="T527" i="3"/>
  <c r="T528" i="3" s="1"/>
  <c r="M527" i="3"/>
  <c r="M528" i="3" s="1"/>
  <c r="T535" i="3"/>
  <c r="AB531" i="3"/>
  <c r="H527" i="3"/>
  <c r="H528" i="3" s="1"/>
  <c r="V535" i="3"/>
  <c r="R535" i="3"/>
  <c r="AD530" i="3"/>
  <c r="W539" i="3"/>
  <c r="Y539" i="3"/>
  <c r="O539" i="3"/>
  <c r="C536" i="3"/>
  <c r="T536" i="3" s="1"/>
  <c r="B537" i="3"/>
  <c r="AC535" i="3"/>
  <c r="S535" i="3"/>
  <c r="AB535" i="3"/>
  <c r="O531" i="3"/>
  <c r="AD522" i="3"/>
  <c r="AD523" i="3" s="1"/>
  <c r="AE523" i="3" s="1"/>
  <c r="O527" i="3"/>
  <c r="O528" i="3" s="1"/>
  <c r="Z527" i="3"/>
  <c r="Z528" i="3" s="1"/>
  <c r="N539" i="3"/>
  <c r="I539" i="3"/>
  <c r="AB539" i="3"/>
  <c r="AA535" i="3"/>
  <c r="Z535" i="3"/>
  <c r="G535" i="3"/>
  <c r="X531" i="3"/>
  <c r="Y531" i="3"/>
  <c r="J531" i="3"/>
  <c r="W527" i="3"/>
  <c r="W528" i="3" s="1"/>
  <c r="G527" i="3"/>
  <c r="G528" i="3" s="1"/>
  <c r="H539" i="3"/>
  <c r="U539" i="3"/>
  <c r="M539" i="3"/>
  <c r="L539" i="3"/>
  <c r="N535" i="3"/>
  <c r="L535" i="3"/>
  <c r="I535" i="3"/>
  <c r="N531" i="3"/>
  <c r="K531" i="3"/>
  <c r="U531" i="3"/>
  <c r="J527" i="3"/>
  <c r="J528" i="3" s="1"/>
  <c r="F527" i="3"/>
  <c r="F528" i="3" s="1"/>
  <c r="P527" i="3"/>
  <c r="P528" i="3" s="1"/>
  <c r="J539" i="3"/>
  <c r="T539" i="3"/>
  <c r="AA539" i="3"/>
  <c r="C540" i="3"/>
  <c r="L540" i="3" s="1"/>
  <c r="B541" i="3"/>
  <c r="P535" i="3"/>
  <c r="W535" i="3"/>
  <c r="M535" i="3"/>
  <c r="Q531" i="3"/>
  <c r="W531" i="3"/>
  <c r="C532" i="3"/>
  <c r="S532" i="3" s="1"/>
  <c r="AC527" i="3"/>
  <c r="AC528" i="3" s="1"/>
  <c r="I527" i="3"/>
  <c r="I528" i="3" s="1"/>
  <c r="K527" i="3"/>
  <c r="K528" i="3" s="1"/>
  <c r="F539" i="3"/>
  <c r="X539" i="3"/>
  <c r="C544" i="3"/>
  <c r="T544" i="3" s="1"/>
  <c r="B545" i="3"/>
  <c r="K535" i="3"/>
  <c r="J535" i="3"/>
  <c r="Q535" i="3"/>
  <c r="S531" i="3"/>
  <c r="I531" i="3"/>
  <c r="R531" i="3"/>
  <c r="N527" i="3"/>
  <c r="N528" i="3" s="1"/>
  <c r="Z539" i="3"/>
  <c r="Q539" i="3"/>
  <c r="K539" i="3"/>
  <c r="V540" i="3" l="1"/>
  <c r="R540" i="3"/>
  <c r="J540" i="3"/>
  <c r="F540" i="3"/>
  <c r="K540" i="3"/>
  <c r="L544" i="3"/>
  <c r="S533" i="3"/>
  <c r="W540" i="3"/>
  <c r="AB544" i="3"/>
  <c r="AD531" i="3"/>
  <c r="M544" i="3"/>
  <c r="J536" i="3"/>
  <c r="R544" i="3"/>
  <c r="W536" i="3"/>
  <c r="X544" i="3"/>
  <c r="M536" i="3"/>
  <c r="AD535" i="3"/>
  <c r="AB536" i="3"/>
  <c r="X536" i="3"/>
  <c r="N544" i="3"/>
  <c r="AA544" i="3"/>
  <c r="AC544" i="3"/>
  <c r="P544" i="3"/>
  <c r="O532" i="3"/>
  <c r="O533" i="3" s="1"/>
  <c r="U540" i="3"/>
  <c r="H540" i="3"/>
  <c r="Y536" i="3"/>
  <c r="AD539" i="3"/>
  <c r="R532" i="3"/>
  <c r="R533" i="3" s="1"/>
  <c r="Y532" i="3"/>
  <c r="Y533" i="3" s="1"/>
  <c r="G532" i="3"/>
  <c r="G533" i="3" s="1"/>
  <c r="C537" i="3"/>
  <c r="H537" i="3" s="1"/>
  <c r="AA532" i="3"/>
  <c r="AA533" i="3" s="1"/>
  <c r="H536" i="3"/>
  <c r="Q536" i="3"/>
  <c r="W532" i="3"/>
  <c r="W533" i="3" s="1"/>
  <c r="Q532" i="3"/>
  <c r="Q533" i="3" s="1"/>
  <c r="U532" i="3"/>
  <c r="U533" i="3" s="1"/>
  <c r="J544" i="3"/>
  <c r="Z544" i="3"/>
  <c r="B546" i="3"/>
  <c r="C545" i="3"/>
  <c r="I545" i="3" s="1"/>
  <c r="I532" i="3"/>
  <c r="I533" i="3" s="1"/>
  <c r="N532" i="3"/>
  <c r="N533" i="3" s="1"/>
  <c r="H532" i="3"/>
  <c r="H533" i="3" s="1"/>
  <c r="S540" i="3"/>
  <c r="AC540" i="3"/>
  <c r="B542" i="3"/>
  <c r="C541" i="3"/>
  <c r="X541" i="3" s="1"/>
  <c r="T540" i="3"/>
  <c r="AA536" i="3"/>
  <c r="S536" i="3"/>
  <c r="U536" i="3"/>
  <c r="L532" i="3"/>
  <c r="L533" i="3" s="1"/>
  <c r="AC532" i="3"/>
  <c r="AC533" i="3" s="1"/>
  <c r="Z532" i="3"/>
  <c r="Z533" i="3" s="1"/>
  <c r="G540" i="3"/>
  <c r="P540" i="3"/>
  <c r="Z540" i="3"/>
  <c r="P536" i="3"/>
  <c r="Z536" i="3"/>
  <c r="V536" i="3"/>
  <c r="G544" i="3"/>
  <c r="O544" i="3"/>
  <c r="Q544" i="3"/>
  <c r="F532" i="3"/>
  <c r="P532" i="3"/>
  <c r="P533" i="3" s="1"/>
  <c r="V532" i="3"/>
  <c r="V533" i="3" s="1"/>
  <c r="X540" i="3"/>
  <c r="M540" i="3"/>
  <c r="Q540" i="3"/>
  <c r="I536" i="3"/>
  <c r="R536" i="3"/>
  <c r="O536" i="3"/>
  <c r="U544" i="3"/>
  <c r="I544" i="3"/>
  <c r="S544" i="3"/>
  <c r="F544" i="3"/>
  <c r="H544" i="3"/>
  <c r="X532" i="3"/>
  <c r="X533" i="3" s="1"/>
  <c r="T532" i="3"/>
  <c r="T533" i="3" s="1"/>
  <c r="K532" i="3"/>
  <c r="K533" i="3" s="1"/>
  <c r="O540" i="3"/>
  <c r="I540" i="3"/>
  <c r="N540" i="3"/>
  <c r="AD527" i="3"/>
  <c r="AD528" i="3" s="1"/>
  <c r="AE528" i="3" s="1"/>
  <c r="F536" i="3"/>
  <c r="N536" i="3"/>
  <c r="K536" i="3"/>
  <c r="Y544" i="3"/>
  <c r="V544" i="3"/>
  <c r="K544" i="3"/>
  <c r="W544" i="3"/>
  <c r="J532" i="3"/>
  <c r="J533" i="3" s="1"/>
  <c r="AB532" i="3"/>
  <c r="AB533" i="3" s="1"/>
  <c r="M532" i="3"/>
  <c r="M533" i="3" s="1"/>
  <c r="Y540" i="3"/>
  <c r="AB540" i="3"/>
  <c r="AA540" i="3"/>
  <c r="AC536" i="3"/>
  <c r="L536" i="3"/>
  <c r="G536" i="3"/>
  <c r="F537" i="3" l="1"/>
  <c r="F538" i="3" s="1"/>
  <c r="N545" i="3"/>
  <c r="O545" i="3"/>
  <c r="G545" i="3"/>
  <c r="K545" i="3"/>
  <c r="M541" i="3"/>
  <c r="AA541" i="3"/>
  <c r="P537" i="3"/>
  <c r="P538" i="3" s="1"/>
  <c r="Z541" i="3"/>
  <c r="U545" i="3"/>
  <c r="W537" i="3"/>
  <c r="W538" i="3" s="1"/>
  <c r="H538" i="3"/>
  <c r="P545" i="3"/>
  <c r="M545" i="3"/>
  <c r="U537" i="3"/>
  <c r="U538" i="3" s="1"/>
  <c r="F545" i="3"/>
  <c r="Q537" i="3"/>
  <c r="Q538" i="3" s="1"/>
  <c r="AD540" i="3"/>
  <c r="G541" i="3"/>
  <c r="H541" i="3"/>
  <c r="O541" i="3"/>
  <c r="T545" i="3"/>
  <c r="AA545" i="3"/>
  <c r="S541" i="3"/>
  <c r="U541" i="3"/>
  <c r="AB541" i="3"/>
  <c r="J545" i="3"/>
  <c r="AB545" i="3"/>
  <c r="X537" i="3"/>
  <c r="X538" i="3" s="1"/>
  <c r="Q541" i="3"/>
  <c r="I541" i="3"/>
  <c r="L545" i="3"/>
  <c r="Y545" i="3"/>
  <c r="O537" i="3"/>
  <c r="O538" i="3" s="1"/>
  <c r="R537" i="3"/>
  <c r="R538" i="3" s="1"/>
  <c r="K541" i="3"/>
  <c r="W545" i="3"/>
  <c r="H545" i="3"/>
  <c r="AB537" i="3"/>
  <c r="AB538" i="3" s="1"/>
  <c r="AC537" i="3"/>
  <c r="AC538" i="3" s="1"/>
  <c r="I537" i="3"/>
  <c r="I538" i="3" s="1"/>
  <c r="AC541" i="3"/>
  <c r="Y541" i="3"/>
  <c r="L541" i="3"/>
  <c r="S545" i="3"/>
  <c r="L537" i="3"/>
  <c r="L538" i="3" s="1"/>
  <c r="K537" i="3"/>
  <c r="K538" i="3" s="1"/>
  <c r="S537" i="3"/>
  <c r="S538" i="3" s="1"/>
  <c r="AD532" i="3"/>
  <c r="AD533" i="3" s="1"/>
  <c r="AE533" i="3" s="1"/>
  <c r="F533" i="3"/>
  <c r="AD536" i="3"/>
  <c r="R541" i="3"/>
  <c r="J541" i="3"/>
  <c r="C542" i="3"/>
  <c r="U542" i="3" s="1"/>
  <c r="AC545" i="3"/>
  <c r="Q545" i="3"/>
  <c r="R545" i="3"/>
  <c r="N537" i="3"/>
  <c r="N538" i="3" s="1"/>
  <c r="Y537" i="3"/>
  <c r="Y538" i="3" s="1"/>
  <c r="T537" i="3"/>
  <c r="T538" i="3" s="1"/>
  <c r="AD544" i="3"/>
  <c r="N541" i="3"/>
  <c r="V541" i="3"/>
  <c r="T541" i="3"/>
  <c r="V537" i="3"/>
  <c r="V538" i="3" s="1"/>
  <c r="G537" i="3"/>
  <c r="G538" i="3" s="1"/>
  <c r="Z537" i="3"/>
  <c r="Z538" i="3" s="1"/>
  <c r="W541" i="3"/>
  <c r="F541" i="3"/>
  <c r="P541" i="3"/>
  <c r="Z545" i="3"/>
  <c r="X545" i="3"/>
  <c r="V545" i="3"/>
  <c r="C546" i="3"/>
  <c r="V546" i="3" s="1"/>
  <c r="B547" i="3"/>
  <c r="J537" i="3"/>
  <c r="J538" i="3" s="1"/>
  <c r="AA537" i="3"/>
  <c r="AA538" i="3" s="1"/>
  <c r="M537" i="3"/>
  <c r="M538" i="3" s="1"/>
  <c r="U543" i="3" l="1"/>
  <c r="H542" i="3"/>
  <c r="H543" i="3" s="1"/>
  <c r="S542" i="3"/>
  <c r="S543" i="3" s="1"/>
  <c r="N546" i="3"/>
  <c r="L542" i="3"/>
  <c r="L543" i="3" s="1"/>
  <c r="Z546" i="3"/>
  <c r="AA546" i="3"/>
  <c r="O542" i="3"/>
  <c r="O543" i="3" s="1"/>
  <c r="T542" i="3"/>
  <c r="T543" i="3" s="1"/>
  <c r="I546" i="3"/>
  <c r="O546" i="3"/>
  <c r="P542" i="3"/>
  <c r="P543" i="3" s="1"/>
  <c r="W542" i="3"/>
  <c r="W543" i="3" s="1"/>
  <c r="V542" i="3"/>
  <c r="V543" i="3" s="1"/>
  <c r="L546" i="3"/>
  <c r="AB546" i="3"/>
  <c r="AA542" i="3"/>
  <c r="AA543" i="3" s="1"/>
  <c r="R542" i="3"/>
  <c r="R543" i="3" s="1"/>
  <c r="P546" i="3"/>
  <c r="U546" i="3"/>
  <c r="AD545" i="3"/>
  <c r="X542" i="3"/>
  <c r="X543" i="3" s="1"/>
  <c r="R546" i="3"/>
  <c r="G542" i="3"/>
  <c r="G543" i="3" s="1"/>
  <c r="W546" i="3"/>
  <c r="N542" i="3"/>
  <c r="N543" i="3" s="1"/>
  <c r="K542" i="3"/>
  <c r="K543" i="3" s="1"/>
  <c r="AD541" i="3"/>
  <c r="C547" i="3"/>
  <c r="Z547" i="3" s="1"/>
  <c r="S546" i="3"/>
  <c r="J546" i="3"/>
  <c r="Q546" i="3"/>
  <c r="F542" i="3"/>
  <c r="F543" i="3" s="1"/>
  <c r="Q542" i="3"/>
  <c r="Q543" i="3" s="1"/>
  <c r="AD537" i="3"/>
  <c r="AD538" i="3" s="1"/>
  <c r="AE538" i="3" s="1"/>
  <c r="J542" i="3"/>
  <c r="J543" i="3" s="1"/>
  <c r="Y546" i="3"/>
  <c r="X546" i="3"/>
  <c r="G546" i="3"/>
  <c r="K546" i="3"/>
  <c r="F546" i="3"/>
  <c r="Z542" i="3"/>
  <c r="Z543" i="3" s="1"/>
  <c r="Y542" i="3"/>
  <c r="Y543" i="3" s="1"/>
  <c r="M542" i="3"/>
  <c r="M543" i="3" s="1"/>
  <c r="T546" i="3"/>
  <c r="M546" i="3"/>
  <c r="AC546" i="3"/>
  <c r="H546" i="3"/>
  <c r="AC542" i="3"/>
  <c r="AC543" i="3" s="1"/>
  <c r="I542" i="3"/>
  <c r="I543" i="3" s="1"/>
  <c r="AB542" i="3"/>
  <c r="AB543" i="3" s="1"/>
  <c r="Z548" i="3" l="1"/>
  <c r="AA547" i="3"/>
  <c r="AA548" i="3" s="1"/>
  <c r="H547" i="3"/>
  <c r="H548" i="3" s="1"/>
  <c r="J547" i="3"/>
  <c r="J548" i="3" s="1"/>
  <c r="T547" i="3"/>
  <c r="T548" i="3" s="1"/>
  <c r="K547" i="3"/>
  <c r="K548" i="3" s="1"/>
  <c r="U547" i="3"/>
  <c r="U548" i="3" s="1"/>
  <c r="O547" i="3"/>
  <c r="O548" i="3" s="1"/>
  <c r="Q547" i="3"/>
  <c r="Q548" i="3" s="1"/>
  <c r="R547" i="3"/>
  <c r="R548" i="3" s="1"/>
  <c r="V547" i="3"/>
  <c r="V548" i="3" s="1"/>
  <c r="L547" i="3"/>
  <c r="L548" i="3" s="1"/>
  <c r="G547" i="3"/>
  <c r="G548" i="3" s="1"/>
  <c r="P547" i="3"/>
  <c r="P548" i="3" s="1"/>
  <c r="M547" i="3"/>
  <c r="M548" i="3" s="1"/>
  <c r="S547" i="3"/>
  <c r="S548" i="3" s="1"/>
  <c r="F547" i="3"/>
  <c r="F548" i="3" s="1"/>
  <c r="AD542" i="3"/>
  <c r="AD543" i="3" s="1"/>
  <c r="AE543" i="3" s="1"/>
  <c r="W547" i="3"/>
  <c r="W548" i="3" s="1"/>
  <c r="AC547" i="3"/>
  <c r="AC548" i="3" s="1"/>
  <c r="X547" i="3"/>
  <c r="X548" i="3" s="1"/>
  <c r="AD546" i="3"/>
  <c r="Y547" i="3"/>
  <c r="Y548" i="3" s="1"/>
  <c r="N547" i="3"/>
  <c r="N548" i="3" s="1"/>
  <c r="AB547" i="3"/>
  <c r="AB548" i="3" s="1"/>
  <c r="I547" i="3"/>
  <c r="I548" i="3" s="1"/>
  <c r="AD547" i="3" l="1"/>
  <c r="AD548" i="3" s="1"/>
  <c r="AF548" i="3" l="1"/>
  <c r="AE548" i="3"/>
  <c r="H105" i="2" l="1"/>
</calcChain>
</file>

<file path=xl/sharedStrings.xml><?xml version="1.0" encoding="utf-8"?>
<sst xmlns="http://schemas.openxmlformats.org/spreadsheetml/2006/main" count="1404" uniqueCount="57">
  <si>
    <t>CANTIDAD EN:</t>
  </si>
  <si>
    <t>MODALIDAD:</t>
  </si>
  <si>
    <t>OFERENTE:</t>
  </si>
  <si>
    <t>EXPEDIENTE:</t>
  </si>
  <si>
    <t>PRODUCTO:</t>
  </si>
  <si>
    <t>MES DE SUMINISTRO</t>
  </si>
  <si>
    <t xml:space="preserve">ENERGÍA SOLICITADA (kWh) </t>
  </si>
  <si>
    <t>PORCENTAJE ENERGÍA OFRECIDA</t>
  </si>
  <si>
    <t>ENERGÍA OFRECIDA (kWh)</t>
  </si>
  <si>
    <t>PRECIO OFERTADO ($/kWh)</t>
  </si>
  <si>
    <t>PRODUCTOS:</t>
  </si>
  <si>
    <t>AÑO</t>
  </si>
  <si>
    <t>Nota.</t>
  </si>
  <si>
    <t>2. La energia ofertada se despachara conforme a las cantidades horarias de este anexo</t>
  </si>
  <si>
    <t xml:space="preserve">NOMBRE REPRESENTANTE LEGAL </t>
  </si>
  <si>
    <t>TOTAL</t>
  </si>
  <si>
    <t xml:space="preserve"> CANTIDADES DE ENERGIA Y PRECIO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</si>
  <si>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</si>
  <si>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</si>
  <si>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</si>
  <si>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</si>
  <si>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</si>
  <si>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</si>
  <si>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</si>
  <si>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</si>
  <si>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</si>
  <si>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</si>
  <si>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</si>
  <si>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</si>
  <si>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</si>
  <si>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</si>
  <si>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</si>
  <si>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</si>
  <si>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</si>
  <si>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</si>
  <si>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</si>
  <si>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</si>
  <si>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</si>
  <si>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</si>
  <si>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</si>
  <si>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</si>
  <si>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</si>
  <si>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</si>
  <si>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</si>
  <si>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MES</t>
  </si>
  <si>
    <t>ORD.</t>
  </si>
  <si>
    <t>SAB.</t>
  </si>
  <si>
    <t>DOM.</t>
  </si>
  <si>
    <t>FES.</t>
  </si>
  <si>
    <t>Curva Horaria</t>
  </si>
  <si>
    <t>kWh</t>
  </si>
  <si>
    <t>PLC - Pague Lo Contratado</t>
  </si>
  <si>
    <t>Pesos de:</t>
  </si>
  <si>
    <t>1.   $ / kWh expresados en pesos de :</t>
  </si>
  <si>
    <t>Curva Plana</t>
  </si>
  <si>
    <t>Producto 01 - Curva Horaria / Plana</t>
  </si>
  <si>
    <t>CP-CEOC-2026-003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</si>
</sst>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\-yyyy"/>
    <numFmt numFmtId="165" formatCode="mmmm\-yy"/>
    <numFmt numFmtId="166" formatCode="_ * #,##0.00_ ;_ * \-#,##0.00_ ;_ * &quot;-&quot;??_ ;_ @_ "/>
    <numFmt numFmtId="167" formatCode="#,##0_ ;\-#,##0\ 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Frutiger CE 55 Roman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i/>
      <sz val="11"/>
      <name val="Frutiger CE 55 Roman"/>
    </font>
    <font>
      <b/>
      <i/>
      <sz val="11"/>
      <name val="Frutiger CE 55 Roman"/>
    </font>
    <font>
      <b/>
      <sz val="11"/>
      <color theme="1" tint="0.34998626667073579"/>
      <name val="Frutiger CE 55 Roman"/>
    </font>
    <font>
      <b/>
      <i/>
      <sz val="11"/>
      <color theme="1" tint="0.34998626667073579"/>
      <name val="Frutiger CE 55 Roman"/>
    </font>
    <font>
      <sz val="8"/>
      <name val="Calibri"/>
      <family val="2"/>
      <scheme val="minor"/>
    </font>
    <font>
      <b/>
      <sz val="11"/>
      <color theme="0"/>
      <name val="Frutiger CE 55 Roman"/>
    </font>
    <font>
      <b/>
      <sz val="11"/>
      <color theme="8" tint="0.59999389629810485"/>
      <name val="Frutiger CE 55 Roman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</cellStyleXfs>
  <cellXfs count="97">
    <xf numFmtId="0" fontId="0" fillId="0" borderId="0" xfId="0"/>
    <xf numFmtId="17" fontId="0" fillId="0" borderId="0" xfId="0" applyNumberFormat="1"/>
    <xf numFmtId="43" fontId="0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0" fillId="0" borderId="5" xfId="0" applyBorder="1"/>
    <xf numFmtId="165" fontId="0" fillId="0" borderId="0" xfId="0" applyNumberFormat="1"/>
    <xf numFmtId="17" fontId="3" fillId="0" borderId="10" xfId="0" applyNumberFormat="1" applyFont="1" applyBorder="1"/>
    <xf numFmtId="0" fontId="3" fillId="0" borderId="10" xfId="0" applyFont="1" applyBorder="1"/>
    <xf numFmtId="43" fontId="0" fillId="0" borderId="10" xfId="1" applyFont="1" applyBorder="1"/>
    <xf numFmtId="43" fontId="3" fillId="2" borderId="10" xfId="1" applyFont="1" applyFill="1" applyBorder="1"/>
    <xf numFmtId="43" fontId="3" fillId="2" borderId="11" xfId="1" applyFont="1" applyFill="1" applyBorder="1"/>
    <xf numFmtId="0" fontId="2" fillId="3" borderId="9" xfId="0" applyFont="1" applyFill="1" applyBorder="1"/>
    <xf numFmtId="0" fontId="5" fillId="4" borderId="12" xfId="2" applyFont="1" applyFill="1" applyBorder="1" applyAlignment="1" applyProtection="1">
      <alignment horizontal="center" vertical="center" wrapText="1"/>
      <protection locked="0"/>
    </xf>
    <xf numFmtId="0" fontId="5" fillId="4" borderId="13" xfId="2" applyFont="1" applyFill="1" applyBorder="1" applyAlignment="1" applyProtection="1">
      <alignment horizontal="center" vertical="center" wrapText="1"/>
      <protection locked="0"/>
    </xf>
    <xf numFmtId="0" fontId="5" fillId="4" borderId="14" xfId="2" applyFont="1" applyFill="1" applyBorder="1" applyAlignment="1" applyProtection="1">
      <alignment horizontal="center" vertical="center" wrapText="1"/>
      <protection locked="0"/>
    </xf>
    <xf numFmtId="0" fontId="5" fillId="4" borderId="15" xfId="2" applyFont="1" applyFill="1" applyBorder="1" applyAlignment="1" applyProtection="1">
      <alignment horizontal="center" vertical="center" wrapText="1"/>
      <protection locked="0"/>
    </xf>
    <xf numFmtId="0" fontId="5" fillId="4" borderId="16" xfId="2" applyFont="1" applyFill="1" applyBorder="1" applyAlignment="1" applyProtection="1">
      <alignment horizontal="center" vertical="center" wrapText="1"/>
      <protection locked="0"/>
    </xf>
    <xf numFmtId="0" fontId="5" fillId="4" borderId="17" xfId="2" applyFont="1" applyFill="1" applyBorder="1" applyAlignment="1" applyProtection="1">
      <alignment horizontal="center" vertical="center" wrapText="1"/>
      <protection locked="0"/>
    </xf>
    <xf numFmtId="0" fontId="5" fillId="4" borderId="18" xfId="2" applyFont="1" applyFill="1" applyBorder="1" applyAlignment="1" applyProtection="1">
      <alignment horizontal="center" vertical="center" wrapText="1"/>
      <protection locked="0"/>
    </xf>
    <xf numFmtId="169" fontId="8" fillId="4" borderId="22" xfId="5" applyNumberFormat="1" applyFont="1" applyFill="1" applyBorder="1" applyAlignment="1" applyProtection="1">
      <alignment vertical="center"/>
    </xf>
    <xf numFmtId="169" fontId="5" fillId="4" borderId="23" xfId="5" applyNumberFormat="1" applyFont="1" applyFill="1" applyBorder="1" applyAlignment="1" applyProtection="1">
      <alignment vertical="center"/>
    </xf>
    <xf numFmtId="169" fontId="5" fillId="4" borderId="25" xfId="5" applyNumberFormat="1" applyFont="1" applyFill="1" applyBorder="1" applyAlignment="1" applyProtection="1">
      <alignment vertical="center"/>
    </xf>
    <xf numFmtId="169" fontId="5" fillId="4" borderId="28" xfId="5" applyNumberFormat="1" applyFont="1" applyFill="1" applyBorder="1" applyAlignment="1" applyProtection="1">
      <alignment vertical="center"/>
    </xf>
    <xf numFmtId="169" fontId="9" fillId="4" borderId="32" xfId="5" applyNumberFormat="1" applyFont="1" applyFill="1" applyBorder="1" applyAlignment="1" applyProtection="1">
      <alignment vertical="center"/>
    </xf>
    <xf numFmtId="169" fontId="10" fillId="4" borderId="33" xfId="5" applyNumberFormat="1" applyFont="1" applyFill="1" applyBorder="1" applyAlignment="1" applyProtection="1">
      <alignment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24" xfId="2" applyFont="1" applyFill="1" applyBorder="1" applyAlignment="1">
      <alignment horizontal="center" vertical="center"/>
    </xf>
    <xf numFmtId="0" fontId="11" fillId="2" borderId="26" xfId="2" applyFont="1" applyFill="1" applyBorder="1" applyAlignment="1">
      <alignment horizontal="center" vertical="center"/>
    </xf>
    <xf numFmtId="0" fontId="11" fillId="2" borderId="27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167" fontId="5" fillId="0" borderId="10" xfId="4" applyNumberFormat="1" applyFont="1" applyBorder="1" applyAlignment="1" applyProtection="1">
      <alignment vertical="center"/>
    </xf>
    <xf numFmtId="167" fontId="5" fillId="0" borderId="30" xfId="4" applyNumberFormat="1" applyFont="1" applyBorder="1" applyAlignment="1" applyProtection="1">
      <alignment vertical="center"/>
    </xf>
    <xf numFmtId="17" fontId="5" fillId="2" borderId="19" xfId="3" applyNumberFormat="1" applyFont="1" applyFill="1" applyBorder="1" applyAlignment="1">
      <alignment vertical="center"/>
    </xf>
    <xf numFmtId="17" fontId="5" fillId="2" borderId="29" xfId="3" applyNumberFormat="1" applyFont="1" applyFill="1" applyBorder="1" applyAlignment="1">
      <alignment vertical="center"/>
    </xf>
    <xf numFmtId="167" fontId="14" fillId="0" borderId="20" xfId="4" applyNumberFormat="1" applyFont="1" applyBorder="1" applyAlignment="1" applyProtection="1">
      <alignment vertical="center"/>
    </xf>
    <xf numFmtId="167" fontId="14" fillId="0" borderId="10" xfId="4" applyNumberFormat="1" applyFont="1" applyBorder="1" applyAlignment="1" applyProtection="1">
      <alignment vertical="center"/>
    </xf>
    <xf numFmtId="17" fontId="15" fillId="2" borderId="34" xfId="3" applyNumberFormat="1" applyFont="1" applyFill="1" applyBorder="1" applyAlignment="1">
      <alignment vertical="center"/>
    </xf>
    <xf numFmtId="17" fontId="15" fillId="2" borderId="19" xfId="3" applyNumberFormat="1" applyFont="1" applyFill="1" applyBorder="1" applyAlignment="1">
      <alignment vertical="center"/>
    </xf>
    <xf numFmtId="0" fontId="0" fillId="5" borderId="0" xfId="0" applyFill="1"/>
    <xf numFmtId="2" fontId="0" fillId="5" borderId="0" xfId="0" applyNumberFormat="1" applyFill="1"/>
    <xf numFmtId="43" fontId="0" fillId="0" borderId="0" xfId="0" applyNumberFormat="1"/>
    <xf numFmtId="43" fontId="16" fillId="0" borderId="10" xfId="1" applyFont="1" applyBorder="1"/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4" fontId="0" fillId="0" borderId="38" xfId="0" applyNumberFormat="1" applyBorder="1"/>
    <xf numFmtId="170" fontId="0" fillId="0" borderId="38" xfId="1" applyNumberFormat="1" applyFont="1" applyBorder="1"/>
    <xf numFmtId="9" fontId="0" fillId="0" borderId="38" xfId="0" applyNumberFormat="1" applyBorder="1"/>
    <xf numFmtId="0" fontId="0" fillId="0" borderId="38" xfId="0" applyBorder="1" applyAlignment="1">
      <alignment horizontal="center" vertical="center"/>
    </xf>
    <xf numFmtId="164" fontId="0" fillId="0" borderId="39" xfId="0" applyNumberFormat="1" applyBorder="1"/>
    <xf numFmtId="170" fontId="0" fillId="0" borderId="39" xfId="1" applyNumberFormat="1" applyFont="1" applyBorder="1"/>
    <xf numFmtId="9" fontId="0" fillId="0" borderId="39" xfId="0" applyNumberFormat="1" applyBorder="1"/>
    <xf numFmtId="0" fontId="0" fillId="0" borderId="39" xfId="0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4" fontId="0" fillId="0" borderId="41" xfId="0" applyNumberFormat="1" applyBorder="1"/>
    <xf numFmtId="170" fontId="0" fillId="0" borderId="41" xfId="1" applyNumberFormat="1" applyFont="1" applyBorder="1"/>
    <xf numFmtId="9" fontId="0" fillId="0" borderId="41" xfId="0" applyNumberFormat="1" applyBorder="1"/>
    <xf numFmtId="164" fontId="0" fillId="0" borderId="40" xfId="0" applyNumberFormat="1" applyBorder="1"/>
    <xf numFmtId="170" fontId="0" fillId="0" borderId="40" xfId="1" applyNumberFormat="1" applyFont="1" applyBorder="1"/>
    <xf numFmtId="9" fontId="0" fillId="0" borderId="40" xfId="0" applyNumberFormat="1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4" fontId="0" fillId="0" borderId="42" xfId="0" applyNumberFormat="1" applyBorder="1"/>
    <xf numFmtId="170" fontId="0" fillId="0" borderId="42" xfId="1" applyNumberFormat="1" applyFont="1" applyBorder="1"/>
    <xf numFmtId="9" fontId="0" fillId="0" borderId="42" xfId="0" applyNumberFormat="1" applyBorder="1"/>
    <xf numFmtId="0" fontId="0" fillId="0" borderId="40" xfId="0" applyBorder="1" applyAlignment="1">
      <alignment horizontal="center" vertical="center"/>
    </xf>
    <xf numFmtId="0" fontId="17" fillId="0" borderId="0" xfId="0" applyFont="1"/>
    <xf numFmtId="17" fontId="18" fillId="0" borderId="10" xfId="0" applyNumberFormat="1" applyFont="1" applyBorder="1"/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3" fontId="3" fillId="0" borderId="0" xfId="0" applyNumberFormat="1" applyFont="1"/>
    <xf numFmtId="170" fontId="0" fillId="0" borderId="0" xfId="1" applyNumberFormat="1" applyFont="1" applyFill="1" applyBorder="1"/>
    <xf numFmtId="170" fontId="3" fillId="2" borderId="46" xfId="1" applyNumberFormat="1" applyFont="1" applyFill="1" applyBorder="1"/>
    <xf numFmtId="0" fontId="3" fillId="2" borderId="46" xfId="0" applyFont="1" applyFill="1" applyBorder="1"/>
    <xf numFmtId="1" fontId="0" fillId="0" borderId="0" xfId="0" applyNumberFormat="1"/>
    <xf numFmtId="0" fontId="0" fillId="0" borderId="0" xfId="1" applyNumberFormat="1" applyFont="1"/>
    <xf numFmtId="170" fontId="0" fillId="0" borderId="0" xfId="1" applyNumberFormat="1" applyFont="1"/>
    <xf numFmtId="164" fontId="0" fillId="0" borderId="0" xfId="0" applyNumberFormat="1"/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</cellXfs>
  <cellStyles count="6">
    <cellStyle name="Millares" xfId="1" builtinId="3"/>
    <cellStyle name="Millares 2" xfId="4" xr:uid="{32FCB70C-9743-4BCD-9F0E-74486D0E85A4}"/>
    <cellStyle name="Millares_DEMANDA COMERCIAL MR(2008-2009) 2" xfId="5" xr:uid="{DB2C2166-925C-4B4E-A00D-2AC7E239444B}"/>
    <cellStyle name="Normal" xfId="0" builtinId="0"/>
    <cellStyle name="Normal_ENE99" xfId="2" xr:uid="{EBC61039-8DAA-4D9F-82B8-D0B85ED71665}"/>
    <cellStyle name="Normal_GC00-001" xfId="3" xr:uid="{C8C13136-E2A8-4DA6-B8D1-008B68803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52678855-8C32-4950-9725-647591DCF2E9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663758BB-E097-4738-9BAD-1CBA9B364043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356647E2-CD12-4AD8-B012-C4AAE90B847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578238B9-50FE-45EE-BC4D-69645C9F27E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6042A2BE-3682-41DB-8934-4E27A44B866A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AEA5907C-EBAA-4DD9-BD1D-A3298945D56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98224949-F87B-44E8-BCCA-0499F566DBBD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45F6A584-EE7C-4658-A5AB-794960A5243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6C759F1E-B642-4F11-A2C4-2F523EA75838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E2FE4DEF-11FF-41F0-8F96-CB4332FDAC20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2" name="Text Box 24">
          <a:extLst>
            <a:ext uri="{FF2B5EF4-FFF2-40B4-BE49-F238E27FC236}">
              <a16:creationId xmlns:a16="http://schemas.microsoft.com/office/drawing/2014/main" id="{0724BF69-55B5-4CDD-9443-DDDB12D7FE08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3" name="Text Box 24">
          <a:extLst>
            <a:ext uri="{FF2B5EF4-FFF2-40B4-BE49-F238E27FC236}">
              <a16:creationId xmlns:a16="http://schemas.microsoft.com/office/drawing/2014/main" id="{4FC67B18-4599-4A2A-BDA9-377B18A4782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437E2FC0-51C1-4BE8-80FB-40DEEFBAA53F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82C379A8-B044-4497-85BA-E43ABB8D7EF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ACEC97E-021A-4387-9888-34B7564B73C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F402F70-39FC-44E2-9B6E-539AE30DE5CA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91F22D15-3A6F-4043-B52C-05DE62E56A07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84BF007D-B2CF-4DF0-AD29-1ABA5F159CD2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90249546-1B1F-4BDE-94E3-7DDA5FD8F3B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F7EC82FD-755E-491E-8AB4-9473D3ECE905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2" name="Text Box 24">
          <a:extLst>
            <a:ext uri="{FF2B5EF4-FFF2-40B4-BE49-F238E27FC236}">
              <a16:creationId xmlns:a16="http://schemas.microsoft.com/office/drawing/2014/main" id="{1B869FB8-602A-4EB6-97CF-D126E2BC5307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275F5508-466C-4A48-AD22-41EA1109A4C0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6DA5C887-675D-45AE-AEE1-E2DA9623B880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60FEBE4B-42EC-4397-A741-14CD555662A5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63C14AAB-B02D-4CE5-9F2F-7B0353EFF2AB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7" name="Text Box 24">
          <a:extLst>
            <a:ext uri="{FF2B5EF4-FFF2-40B4-BE49-F238E27FC236}">
              <a16:creationId xmlns:a16="http://schemas.microsoft.com/office/drawing/2014/main" id="{0117DA70-ADE5-44CE-A46A-AE591F17ED74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8" name="Text Box 24">
          <a:extLst>
            <a:ext uri="{FF2B5EF4-FFF2-40B4-BE49-F238E27FC236}">
              <a16:creationId xmlns:a16="http://schemas.microsoft.com/office/drawing/2014/main" id="{43E90626-630D-48CF-B3CE-0185FEE7424D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9" name="Text Box 24">
          <a:extLst>
            <a:ext uri="{FF2B5EF4-FFF2-40B4-BE49-F238E27FC236}">
              <a16:creationId xmlns:a16="http://schemas.microsoft.com/office/drawing/2014/main" id="{0D72913E-3223-4117-8234-D12ABA7969C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0" name="Text Box 24">
          <a:extLst>
            <a:ext uri="{FF2B5EF4-FFF2-40B4-BE49-F238E27FC236}">
              <a16:creationId xmlns:a16="http://schemas.microsoft.com/office/drawing/2014/main" id="{1754B9C5-B1BD-4BDD-8520-1163DA820F26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08363DD4-9693-4713-92F6-F1FC9BBC873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2" name="Text Box 24">
          <a:extLst>
            <a:ext uri="{FF2B5EF4-FFF2-40B4-BE49-F238E27FC236}">
              <a16:creationId xmlns:a16="http://schemas.microsoft.com/office/drawing/2014/main" id="{52CEF519-33BD-49F2-B04D-74F2599E8BAE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3" name="Text Box 24">
          <a:extLst>
            <a:ext uri="{FF2B5EF4-FFF2-40B4-BE49-F238E27FC236}">
              <a16:creationId xmlns:a16="http://schemas.microsoft.com/office/drawing/2014/main" id="{31847DEE-40C4-4E20-8877-D300FEC26236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4" name="Text Box 24">
          <a:extLst>
            <a:ext uri="{FF2B5EF4-FFF2-40B4-BE49-F238E27FC236}">
              <a16:creationId xmlns:a16="http://schemas.microsoft.com/office/drawing/2014/main" id="{758BC608-AE66-4F29-BD82-842B832A4392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A82E0A3B-46DB-42C6-B080-0621585F6B45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6" name="Text Box 24">
          <a:extLst>
            <a:ext uri="{FF2B5EF4-FFF2-40B4-BE49-F238E27FC236}">
              <a16:creationId xmlns:a16="http://schemas.microsoft.com/office/drawing/2014/main" id="{D614242A-EA5E-42D8-BF3D-84EE6FDA7BD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248FB065-CAB8-465C-8EC4-C982AF7FD94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5FC2D385-7BE8-44C0-A659-22796ED3D85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92D1663C-11FE-4955-B7C6-FFF08F6876D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40" name="Text Box 24">
          <a:extLst>
            <a:ext uri="{FF2B5EF4-FFF2-40B4-BE49-F238E27FC236}">
              <a16:creationId xmlns:a16="http://schemas.microsoft.com/office/drawing/2014/main" id="{C8A2A789-B54D-4583-A7C3-0BA6129AFB7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1" name="Text Box 24">
          <a:extLst>
            <a:ext uri="{FF2B5EF4-FFF2-40B4-BE49-F238E27FC236}">
              <a16:creationId xmlns:a16="http://schemas.microsoft.com/office/drawing/2014/main" id="{114831E4-AACE-4FBF-AF46-330C94A3D8F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2" name="Text Box 24">
          <a:extLst>
            <a:ext uri="{FF2B5EF4-FFF2-40B4-BE49-F238E27FC236}">
              <a16:creationId xmlns:a16="http://schemas.microsoft.com/office/drawing/2014/main" id="{E90579B2-7AF2-4973-A360-D14228414AF8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3" name="Text Box 24">
          <a:extLst>
            <a:ext uri="{FF2B5EF4-FFF2-40B4-BE49-F238E27FC236}">
              <a16:creationId xmlns:a16="http://schemas.microsoft.com/office/drawing/2014/main" id="{C5E22B60-8766-4C79-9DA2-9ABDA8B66FA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4" name="Text Box 24">
          <a:extLst>
            <a:ext uri="{FF2B5EF4-FFF2-40B4-BE49-F238E27FC236}">
              <a16:creationId xmlns:a16="http://schemas.microsoft.com/office/drawing/2014/main" id="{34BBF27E-68CD-4E0F-ABE6-95C1BCB7D766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52D701C5-039C-455D-90E3-4F16A8A58A1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6" name="Text Box 24">
          <a:extLst>
            <a:ext uri="{FF2B5EF4-FFF2-40B4-BE49-F238E27FC236}">
              <a16:creationId xmlns:a16="http://schemas.microsoft.com/office/drawing/2014/main" id="{BD20F2DE-7209-4A33-8AFD-07DD91147915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7" name="Text Box 24">
          <a:extLst>
            <a:ext uri="{FF2B5EF4-FFF2-40B4-BE49-F238E27FC236}">
              <a16:creationId xmlns:a16="http://schemas.microsoft.com/office/drawing/2014/main" id="{7FED2EDF-8889-47E7-9CBA-A23E46939C2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8" name="Text Box 24">
          <a:extLst>
            <a:ext uri="{FF2B5EF4-FFF2-40B4-BE49-F238E27FC236}">
              <a16:creationId xmlns:a16="http://schemas.microsoft.com/office/drawing/2014/main" id="{3CE4BDAF-882D-456F-AC2D-DBB79637809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25298C1E-FEA0-4F2F-A561-8CDC1FE22B2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50" name="Text Box 24">
          <a:extLst>
            <a:ext uri="{FF2B5EF4-FFF2-40B4-BE49-F238E27FC236}">
              <a16:creationId xmlns:a16="http://schemas.microsoft.com/office/drawing/2014/main" id="{AB4B52FD-BE86-47D1-B4BE-C48322490AEB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E8A01041-755A-40B6-984E-02AE33B3CA3D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2" name="Text Box 24">
          <a:extLst>
            <a:ext uri="{FF2B5EF4-FFF2-40B4-BE49-F238E27FC236}">
              <a16:creationId xmlns:a16="http://schemas.microsoft.com/office/drawing/2014/main" id="{F31F5A9C-70EE-423A-9422-C85CB851174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3" name="Text Box 24">
          <a:extLst>
            <a:ext uri="{FF2B5EF4-FFF2-40B4-BE49-F238E27FC236}">
              <a16:creationId xmlns:a16="http://schemas.microsoft.com/office/drawing/2014/main" id="{08346B8A-246D-4939-AF8D-489E91ACB21B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4" name="Text Box 24">
          <a:extLst>
            <a:ext uri="{FF2B5EF4-FFF2-40B4-BE49-F238E27FC236}">
              <a16:creationId xmlns:a16="http://schemas.microsoft.com/office/drawing/2014/main" id="{65B9D2E0-B99A-4575-A581-B3B4B86062E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9793E64D-A8D7-4D77-8825-2A102A41E56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6" name="Text Box 24">
          <a:extLst>
            <a:ext uri="{FF2B5EF4-FFF2-40B4-BE49-F238E27FC236}">
              <a16:creationId xmlns:a16="http://schemas.microsoft.com/office/drawing/2014/main" id="{AF4E1518-65B3-447D-B3F5-A1522BDB05B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86CF3BAA-BB18-469A-916A-6E1FC315160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8" name="Text Box 24">
          <a:extLst>
            <a:ext uri="{FF2B5EF4-FFF2-40B4-BE49-F238E27FC236}">
              <a16:creationId xmlns:a16="http://schemas.microsoft.com/office/drawing/2014/main" id="{7C81EA00-0539-4514-873B-7E300AFEE3E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59" name="Text Box 24">
          <a:extLst>
            <a:ext uri="{FF2B5EF4-FFF2-40B4-BE49-F238E27FC236}">
              <a16:creationId xmlns:a16="http://schemas.microsoft.com/office/drawing/2014/main" id="{2A363DE7-1FF1-4520-ADD3-2534A4E87A1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92F63029-0F24-4E2A-AD2D-FE51CC131F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61" name="Text Box 24">
          <a:extLst>
            <a:ext uri="{FF2B5EF4-FFF2-40B4-BE49-F238E27FC236}">
              <a16:creationId xmlns:a16="http://schemas.microsoft.com/office/drawing/2014/main" id="{1941F169-D05C-42DF-A607-8EBD3B97126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E83A3DD6-5235-4CD7-B864-22872C7C20C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7B649CFB-7525-4182-A109-2EC617DAC97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5A7DBCD2-1BAE-47F6-8521-E1969E3FC40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40C70C92-1FFF-4A2D-88D4-0AD4CF90E0D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6" name="Text Box 24">
          <a:extLst>
            <a:ext uri="{FF2B5EF4-FFF2-40B4-BE49-F238E27FC236}">
              <a16:creationId xmlns:a16="http://schemas.microsoft.com/office/drawing/2014/main" id="{A0EEEBBA-C942-47D6-9D24-CCA1CF6C180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CD66F754-F282-4963-8886-9313AD7BB33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8" name="Text Box 24">
          <a:extLst>
            <a:ext uri="{FF2B5EF4-FFF2-40B4-BE49-F238E27FC236}">
              <a16:creationId xmlns:a16="http://schemas.microsoft.com/office/drawing/2014/main" id="{336F6F33-9103-4CAA-8B65-B73502C0F8FC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9" name="Text Box 24">
          <a:extLst>
            <a:ext uri="{FF2B5EF4-FFF2-40B4-BE49-F238E27FC236}">
              <a16:creationId xmlns:a16="http://schemas.microsoft.com/office/drawing/2014/main" id="{2802CEBD-F43D-4F69-BC03-54B9EAE1942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0" name="Text Box 24">
          <a:extLst>
            <a:ext uri="{FF2B5EF4-FFF2-40B4-BE49-F238E27FC236}">
              <a16:creationId xmlns:a16="http://schemas.microsoft.com/office/drawing/2014/main" id="{2B31A8B3-6379-4BC2-8414-046E2B8BA43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1" name="Text Box 24">
          <a:extLst>
            <a:ext uri="{FF2B5EF4-FFF2-40B4-BE49-F238E27FC236}">
              <a16:creationId xmlns:a16="http://schemas.microsoft.com/office/drawing/2014/main" id="{47D19F4C-8147-43C8-A36D-5137FBE1EED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2" name="Text Box 24">
          <a:extLst>
            <a:ext uri="{FF2B5EF4-FFF2-40B4-BE49-F238E27FC236}">
              <a16:creationId xmlns:a16="http://schemas.microsoft.com/office/drawing/2014/main" id="{8F2CA9BD-296E-4C97-91EE-BFA4DD99E24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24BC47D1-6E99-40C2-B61E-6677F5152D6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4" name="Text Box 24">
          <a:extLst>
            <a:ext uri="{FF2B5EF4-FFF2-40B4-BE49-F238E27FC236}">
              <a16:creationId xmlns:a16="http://schemas.microsoft.com/office/drawing/2014/main" id="{AD153BDB-096D-4E78-8D6B-95A4C1FA412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C34BF2BB-1119-43AB-B7DD-FCA57475DFF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6" name="Text Box 24">
          <a:extLst>
            <a:ext uri="{FF2B5EF4-FFF2-40B4-BE49-F238E27FC236}">
              <a16:creationId xmlns:a16="http://schemas.microsoft.com/office/drawing/2014/main" id="{F84D9506-C0E6-4760-8B72-FA75B5FF76B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20B9E104-45B8-480A-9A30-9A6788F7BB9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39C79DAE-7A89-44D8-9DE7-4862C649427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9" name="Text Box 24">
          <a:extLst>
            <a:ext uri="{FF2B5EF4-FFF2-40B4-BE49-F238E27FC236}">
              <a16:creationId xmlns:a16="http://schemas.microsoft.com/office/drawing/2014/main" id="{816E99C6-3A00-4A21-A3EC-5297120260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80" name="Text Box 24">
          <a:extLst>
            <a:ext uri="{FF2B5EF4-FFF2-40B4-BE49-F238E27FC236}">
              <a16:creationId xmlns:a16="http://schemas.microsoft.com/office/drawing/2014/main" id="{B48B202F-F6FB-4C89-A509-DC36A08B311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1" name="Text Box 24">
          <a:extLst>
            <a:ext uri="{FF2B5EF4-FFF2-40B4-BE49-F238E27FC236}">
              <a16:creationId xmlns:a16="http://schemas.microsoft.com/office/drawing/2014/main" id="{0859E1C0-CA01-42DB-BEBB-DB4A845342F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EDEAB71E-E6A2-42B2-B132-C4FC09820F0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3" name="Text Box 24">
          <a:extLst>
            <a:ext uri="{FF2B5EF4-FFF2-40B4-BE49-F238E27FC236}">
              <a16:creationId xmlns:a16="http://schemas.microsoft.com/office/drawing/2014/main" id="{76D37441-E6DD-4CCC-A2C2-D5638401FD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ED4A38B3-63E6-471F-9AC4-CE7F5BF628C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5" name="Text Box 24">
          <a:extLst>
            <a:ext uri="{FF2B5EF4-FFF2-40B4-BE49-F238E27FC236}">
              <a16:creationId xmlns:a16="http://schemas.microsoft.com/office/drawing/2014/main" id="{45C1DE1E-26CB-4DDE-BEB1-B1183779516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6" name="Text Box 24">
          <a:extLst>
            <a:ext uri="{FF2B5EF4-FFF2-40B4-BE49-F238E27FC236}">
              <a16:creationId xmlns:a16="http://schemas.microsoft.com/office/drawing/2014/main" id="{B6368149-AB71-4E10-AE3B-9C7BEA93D71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7" name="Text Box 24">
          <a:extLst>
            <a:ext uri="{FF2B5EF4-FFF2-40B4-BE49-F238E27FC236}">
              <a16:creationId xmlns:a16="http://schemas.microsoft.com/office/drawing/2014/main" id="{15DC4889-D729-4F8A-AC11-8EC7464C658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690E2D65-629F-4A81-B574-4A5262BC18F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9" name="Text Box 24">
          <a:extLst>
            <a:ext uri="{FF2B5EF4-FFF2-40B4-BE49-F238E27FC236}">
              <a16:creationId xmlns:a16="http://schemas.microsoft.com/office/drawing/2014/main" id="{060CC158-D206-41BA-8EF4-3198B503CC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0" name="Text Box 24">
          <a:extLst>
            <a:ext uri="{FF2B5EF4-FFF2-40B4-BE49-F238E27FC236}">
              <a16:creationId xmlns:a16="http://schemas.microsoft.com/office/drawing/2014/main" id="{3A46FA01-A457-427A-9C0C-39C8A6F6987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1" name="Text Box 24">
          <a:extLst>
            <a:ext uri="{FF2B5EF4-FFF2-40B4-BE49-F238E27FC236}">
              <a16:creationId xmlns:a16="http://schemas.microsoft.com/office/drawing/2014/main" id="{C2AAE6DE-BF94-4D24-A317-3BEFDCD2982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E78C4D55-CC9A-4944-A3D2-C9198724415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3" name="Text Box 24">
          <a:extLst>
            <a:ext uri="{FF2B5EF4-FFF2-40B4-BE49-F238E27FC236}">
              <a16:creationId xmlns:a16="http://schemas.microsoft.com/office/drawing/2014/main" id="{10769DED-C109-44BD-BCC1-430B3413CB0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4" name="Text Box 24">
          <a:extLst>
            <a:ext uri="{FF2B5EF4-FFF2-40B4-BE49-F238E27FC236}">
              <a16:creationId xmlns:a16="http://schemas.microsoft.com/office/drawing/2014/main" id="{73739742-5938-4215-8A77-A413537413D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5" name="Text Box 24">
          <a:extLst>
            <a:ext uri="{FF2B5EF4-FFF2-40B4-BE49-F238E27FC236}">
              <a16:creationId xmlns:a16="http://schemas.microsoft.com/office/drawing/2014/main" id="{5124BC02-9A6A-4803-96C9-E102D6ED5E2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6" name="Text Box 24">
          <a:extLst>
            <a:ext uri="{FF2B5EF4-FFF2-40B4-BE49-F238E27FC236}">
              <a16:creationId xmlns:a16="http://schemas.microsoft.com/office/drawing/2014/main" id="{E422230A-C558-42DA-819C-B36C01C3997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FFACE493-B3D3-4CBE-85CE-4DB1F24B0B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8" name="Text Box 24">
          <a:extLst>
            <a:ext uri="{FF2B5EF4-FFF2-40B4-BE49-F238E27FC236}">
              <a16:creationId xmlns:a16="http://schemas.microsoft.com/office/drawing/2014/main" id="{CE1127D8-F408-49DF-A4A9-5DBDFB7D778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380EEAEB-9658-4202-B189-3F81E6891A0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0" name="Text Box 24">
          <a:extLst>
            <a:ext uri="{FF2B5EF4-FFF2-40B4-BE49-F238E27FC236}">
              <a16:creationId xmlns:a16="http://schemas.microsoft.com/office/drawing/2014/main" id="{94D69CC1-C8C2-414A-A652-1F4D6FED97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1" name="Text Box 24">
          <a:extLst>
            <a:ext uri="{FF2B5EF4-FFF2-40B4-BE49-F238E27FC236}">
              <a16:creationId xmlns:a16="http://schemas.microsoft.com/office/drawing/2014/main" id="{BAC9FF35-8FD7-4C76-A71E-49E678AAB01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E9D101D4-5AD5-4784-85C7-CB39B20FAB2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3" name="Text Box 24">
          <a:extLst>
            <a:ext uri="{FF2B5EF4-FFF2-40B4-BE49-F238E27FC236}">
              <a16:creationId xmlns:a16="http://schemas.microsoft.com/office/drawing/2014/main" id="{820E8A29-9340-4982-B8F2-36C99857DD8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4" name="Text Box 24">
          <a:extLst>
            <a:ext uri="{FF2B5EF4-FFF2-40B4-BE49-F238E27FC236}">
              <a16:creationId xmlns:a16="http://schemas.microsoft.com/office/drawing/2014/main" id="{19FDECBE-6AC7-485D-ABE6-54DA63C5EBD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61C296E7-835E-4077-AC5F-C7DCAFE4E04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6" name="Text Box 24">
          <a:extLst>
            <a:ext uri="{FF2B5EF4-FFF2-40B4-BE49-F238E27FC236}">
              <a16:creationId xmlns:a16="http://schemas.microsoft.com/office/drawing/2014/main" id="{E6D9EB99-86CB-4DC2-B6D2-99EC73E02DE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07" name="Text Box 24">
          <a:extLst>
            <a:ext uri="{FF2B5EF4-FFF2-40B4-BE49-F238E27FC236}">
              <a16:creationId xmlns:a16="http://schemas.microsoft.com/office/drawing/2014/main" id="{D211E7DC-BA0A-4E0F-AC83-8AB3A36A9056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08" name="Text Box 24">
          <a:extLst>
            <a:ext uri="{FF2B5EF4-FFF2-40B4-BE49-F238E27FC236}">
              <a16:creationId xmlns:a16="http://schemas.microsoft.com/office/drawing/2014/main" id="{5436F11D-40E5-468F-85ED-A692BBC2A22A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110EB320-8ADC-49FB-B3DA-999D03E77213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10" name="Text Box 24">
          <a:extLst>
            <a:ext uri="{FF2B5EF4-FFF2-40B4-BE49-F238E27FC236}">
              <a16:creationId xmlns:a16="http://schemas.microsoft.com/office/drawing/2014/main" id="{6967189E-DC5B-4DB3-9C06-27075E0F9A55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11" name="Text Box 24">
          <a:extLst>
            <a:ext uri="{FF2B5EF4-FFF2-40B4-BE49-F238E27FC236}">
              <a16:creationId xmlns:a16="http://schemas.microsoft.com/office/drawing/2014/main" id="{3170AC8B-21BA-4BDC-8D32-4AD486FB06A5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8DC05C31-C39F-443B-B7E9-2879F698B4EF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B6015460-50FE-4F64-839C-8875D4CB7D60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4" name="Text Box 24">
          <a:extLst>
            <a:ext uri="{FF2B5EF4-FFF2-40B4-BE49-F238E27FC236}">
              <a16:creationId xmlns:a16="http://schemas.microsoft.com/office/drawing/2014/main" id="{D6D6C00C-86F4-4B0D-B399-372DAC7186FA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5" name="Text Box 24">
          <a:extLst>
            <a:ext uri="{FF2B5EF4-FFF2-40B4-BE49-F238E27FC236}">
              <a16:creationId xmlns:a16="http://schemas.microsoft.com/office/drawing/2014/main" id="{DDB33CC4-8D4B-4451-81B4-759CA3BB0AAB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6" name="Text Box 24">
          <a:extLst>
            <a:ext uri="{FF2B5EF4-FFF2-40B4-BE49-F238E27FC236}">
              <a16:creationId xmlns:a16="http://schemas.microsoft.com/office/drawing/2014/main" id="{561342E3-9575-49F1-8E3C-BF585354E331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7" name="Text Box 24">
          <a:extLst>
            <a:ext uri="{FF2B5EF4-FFF2-40B4-BE49-F238E27FC236}">
              <a16:creationId xmlns:a16="http://schemas.microsoft.com/office/drawing/2014/main" id="{36B1B471-857D-4B9E-AB59-18791522251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8" name="Text Box 24">
          <a:extLst>
            <a:ext uri="{FF2B5EF4-FFF2-40B4-BE49-F238E27FC236}">
              <a16:creationId xmlns:a16="http://schemas.microsoft.com/office/drawing/2014/main" id="{40DA181C-26BA-4B04-AE5D-9DBB489333B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9" name="Text Box 24">
          <a:extLst>
            <a:ext uri="{FF2B5EF4-FFF2-40B4-BE49-F238E27FC236}">
              <a16:creationId xmlns:a16="http://schemas.microsoft.com/office/drawing/2014/main" id="{D1CED4CA-F0D8-4322-86F0-55A5CDEB27C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0" name="Text Box 24">
          <a:extLst>
            <a:ext uri="{FF2B5EF4-FFF2-40B4-BE49-F238E27FC236}">
              <a16:creationId xmlns:a16="http://schemas.microsoft.com/office/drawing/2014/main" id="{D3BE032D-529E-4862-8377-2C0AC61C44BD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1" name="Text Box 24">
          <a:extLst>
            <a:ext uri="{FF2B5EF4-FFF2-40B4-BE49-F238E27FC236}">
              <a16:creationId xmlns:a16="http://schemas.microsoft.com/office/drawing/2014/main" id="{77B86427-2635-46FB-9083-A3FAD310868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2" name="Text Box 24">
          <a:extLst>
            <a:ext uri="{FF2B5EF4-FFF2-40B4-BE49-F238E27FC236}">
              <a16:creationId xmlns:a16="http://schemas.microsoft.com/office/drawing/2014/main" id="{28E1DA63-457B-4B1D-B1CE-C72EAC37A0D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3" name="Text Box 24">
          <a:extLst>
            <a:ext uri="{FF2B5EF4-FFF2-40B4-BE49-F238E27FC236}">
              <a16:creationId xmlns:a16="http://schemas.microsoft.com/office/drawing/2014/main" id="{62232211-056C-47AA-B535-6506C0E0F57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4" name="Text Box 24">
          <a:extLst>
            <a:ext uri="{FF2B5EF4-FFF2-40B4-BE49-F238E27FC236}">
              <a16:creationId xmlns:a16="http://schemas.microsoft.com/office/drawing/2014/main" id="{601173AF-CBEC-4D67-B54B-CD019E0774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1F06DBB4-BFF1-4941-A68D-87184F3E3FE4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26" name="Text Box 24">
          <a:extLst>
            <a:ext uri="{FF2B5EF4-FFF2-40B4-BE49-F238E27FC236}">
              <a16:creationId xmlns:a16="http://schemas.microsoft.com/office/drawing/2014/main" id="{0A472943-3DE4-4535-A427-A4B3B1DD03AE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7" name="Text Box 24">
          <a:extLst>
            <a:ext uri="{FF2B5EF4-FFF2-40B4-BE49-F238E27FC236}">
              <a16:creationId xmlns:a16="http://schemas.microsoft.com/office/drawing/2014/main" id="{CB547065-EA9F-4D4E-BA86-9A981C9B671C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28" name="Text Box 24">
          <a:extLst>
            <a:ext uri="{FF2B5EF4-FFF2-40B4-BE49-F238E27FC236}">
              <a16:creationId xmlns:a16="http://schemas.microsoft.com/office/drawing/2014/main" id="{1594934C-9ED7-4E1B-A3D0-87FC1447BE67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293D7757-12C5-4052-AAD9-CE387828A412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30" name="Text Box 24">
          <a:extLst>
            <a:ext uri="{FF2B5EF4-FFF2-40B4-BE49-F238E27FC236}">
              <a16:creationId xmlns:a16="http://schemas.microsoft.com/office/drawing/2014/main" id="{20E6FD72-0505-4409-87DA-B7DF495B0208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C95D1E48-1204-4FAE-914D-04D0E89057C3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2" name="Text Box 24">
          <a:extLst>
            <a:ext uri="{FF2B5EF4-FFF2-40B4-BE49-F238E27FC236}">
              <a16:creationId xmlns:a16="http://schemas.microsoft.com/office/drawing/2014/main" id="{FCE8E65A-E584-413E-A3F0-EF6BC1443E7C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3" name="Text Box 24">
          <a:extLst>
            <a:ext uri="{FF2B5EF4-FFF2-40B4-BE49-F238E27FC236}">
              <a16:creationId xmlns:a16="http://schemas.microsoft.com/office/drawing/2014/main" id="{5BD183DC-D6FE-4D3B-AF1E-1AB53C5BBC29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4" name="Text Box 24">
          <a:extLst>
            <a:ext uri="{FF2B5EF4-FFF2-40B4-BE49-F238E27FC236}">
              <a16:creationId xmlns:a16="http://schemas.microsoft.com/office/drawing/2014/main" id="{3F61EE86-C29F-4529-BC14-23616A58AD23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5" name="Text Box 24">
          <a:extLst>
            <a:ext uri="{FF2B5EF4-FFF2-40B4-BE49-F238E27FC236}">
              <a16:creationId xmlns:a16="http://schemas.microsoft.com/office/drawing/2014/main" id="{5686D1B2-4CAD-48BF-A2E8-4427A5FCA482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6" name="Text Box 24">
          <a:extLst>
            <a:ext uri="{FF2B5EF4-FFF2-40B4-BE49-F238E27FC236}">
              <a16:creationId xmlns:a16="http://schemas.microsoft.com/office/drawing/2014/main" id="{5F699DBD-BEC4-4D85-A00C-0E39E79916B0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7" name="Text Box 24">
          <a:extLst>
            <a:ext uri="{FF2B5EF4-FFF2-40B4-BE49-F238E27FC236}">
              <a16:creationId xmlns:a16="http://schemas.microsoft.com/office/drawing/2014/main" id="{1AE8DA16-E8F5-46ED-8BD0-01B4F1824A7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8" name="Text Box 24">
          <a:extLst>
            <a:ext uri="{FF2B5EF4-FFF2-40B4-BE49-F238E27FC236}">
              <a16:creationId xmlns:a16="http://schemas.microsoft.com/office/drawing/2014/main" id="{AB41CA35-79AB-4259-AB37-BDB436F30C6E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9" name="Text Box 24">
          <a:extLst>
            <a:ext uri="{FF2B5EF4-FFF2-40B4-BE49-F238E27FC236}">
              <a16:creationId xmlns:a16="http://schemas.microsoft.com/office/drawing/2014/main" id="{F62F99AB-3B5E-4EF0-ADDF-666FFC99433B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0" name="Text Box 24">
          <a:extLst>
            <a:ext uri="{FF2B5EF4-FFF2-40B4-BE49-F238E27FC236}">
              <a16:creationId xmlns:a16="http://schemas.microsoft.com/office/drawing/2014/main" id="{B04EF241-4366-483B-A496-6100E783EE17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1" name="Text Box 24">
          <a:extLst>
            <a:ext uri="{FF2B5EF4-FFF2-40B4-BE49-F238E27FC236}">
              <a16:creationId xmlns:a16="http://schemas.microsoft.com/office/drawing/2014/main" id="{04EA6807-1768-407B-9379-6089F043C7BC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2" name="Text Box 24">
          <a:extLst>
            <a:ext uri="{FF2B5EF4-FFF2-40B4-BE49-F238E27FC236}">
              <a16:creationId xmlns:a16="http://schemas.microsoft.com/office/drawing/2014/main" id="{385FB077-C155-4A09-BC0F-13601D39DF40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3" name="Text Box 24">
          <a:extLst>
            <a:ext uri="{FF2B5EF4-FFF2-40B4-BE49-F238E27FC236}">
              <a16:creationId xmlns:a16="http://schemas.microsoft.com/office/drawing/2014/main" id="{1C6270C2-3CD9-4128-B5DA-E108ED9A1BDA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4" name="Text Box 24">
          <a:extLst>
            <a:ext uri="{FF2B5EF4-FFF2-40B4-BE49-F238E27FC236}">
              <a16:creationId xmlns:a16="http://schemas.microsoft.com/office/drawing/2014/main" id="{A9C37496-F85B-4FA0-A857-1AE5365E421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5" name="Text Box 24">
          <a:extLst>
            <a:ext uri="{FF2B5EF4-FFF2-40B4-BE49-F238E27FC236}">
              <a16:creationId xmlns:a16="http://schemas.microsoft.com/office/drawing/2014/main" id="{58ED3F10-3E4F-4892-B482-783E868765EF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60B1BB5B-A3E4-40FC-B12B-0815AAFEFEFA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7" name="Text Box 24">
          <a:extLst>
            <a:ext uri="{FF2B5EF4-FFF2-40B4-BE49-F238E27FC236}">
              <a16:creationId xmlns:a16="http://schemas.microsoft.com/office/drawing/2014/main" id="{FA4F3431-6223-4CCE-8941-6669872023E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8" name="Text Box 24">
          <a:extLst>
            <a:ext uri="{FF2B5EF4-FFF2-40B4-BE49-F238E27FC236}">
              <a16:creationId xmlns:a16="http://schemas.microsoft.com/office/drawing/2014/main" id="{A60511FD-CA0D-433E-B481-441BD916F46F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9" name="Text Box 24">
          <a:extLst>
            <a:ext uri="{FF2B5EF4-FFF2-40B4-BE49-F238E27FC236}">
              <a16:creationId xmlns:a16="http://schemas.microsoft.com/office/drawing/2014/main" id="{6E730F46-CE9D-4F34-AEA7-C227090FA38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0" name="Text Box 24">
          <a:extLst>
            <a:ext uri="{FF2B5EF4-FFF2-40B4-BE49-F238E27FC236}">
              <a16:creationId xmlns:a16="http://schemas.microsoft.com/office/drawing/2014/main" id="{D3DD7314-3E09-4D33-BC8B-D43E18AAD65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6F706A1C-B145-4FF7-A079-2D34811F1AE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2" name="Text Box 24">
          <a:extLst>
            <a:ext uri="{FF2B5EF4-FFF2-40B4-BE49-F238E27FC236}">
              <a16:creationId xmlns:a16="http://schemas.microsoft.com/office/drawing/2014/main" id="{539E4393-9F6D-4B3C-BAD5-C51C89C4FF41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220DC305-98B9-40A7-B2B2-AD9A084EE00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FDA7FF85-905A-4245-84D1-A86D5B6A7D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00944-6FD6-41A6-A665-5366C1B6CB33}">
  <we:reference id="wa200001584" version="2.5.0.0" store="es-E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2F6-AEA1-453B-B377-2A5E02604567}">
  <dimension ref="A3:AE792"/>
  <sheetViews>
    <sheetView showGridLines="0" zoomScale="98" zoomScaleNormal="98" workbookViewId="0">
      <selection activeCell="D9" sqref="D9"/>
    </sheetView>
  </sheetViews>
  <sheetFormatPr baseColWidth="10" defaultRowHeight="14.5" outlineLevelRow="1"/>
  <cols>
    <col min="2" max="2" width="13.6328125" bestFit="1" customWidth="1"/>
    <col min="4" max="4" width="14.36328125" customWidth="1"/>
    <col min="5" max="28" width="6" bestFit="1" customWidth="1"/>
    <col min="29" max="29" width="4.90625" customWidth="1"/>
  </cols>
  <sheetData>
    <row r="3" spans="2:29">
      <c r="B3" t="s">
        <v>3</v>
      </c>
      <c r="D3" t="s">
        <v>56</v>
      </c>
    </row>
    <row r="4" spans="2:29">
      <c r="B4" t="s">
        <v>0</v>
      </c>
      <c r="D4" t="s">
        <v>50</v>
      </c>
    </row>
    <row r="5" spans="2:29">
      <c r="B5" t="s">
        <v>1</v>
      </c>
      <c r="D5" t="s">
        <v>51</v>
      </c>
    </row>
    <row r="6" spans="2:29">
      <c r="B6" t="s">
        <v>52</v>
      </c>
      <c r="D6" s="14">
        <v>46143</v>
      </c>
    </row>
    <row r="8" spans="2:29">
      <c r="B8" t="s">
        <v>10</v>
      </c>
      <c r="C8">
        <v>1</v>
      </c>
      <c r="H8" s="49"/>
    </row>
    <row r="9" spans="2:29">
      <c r="B9" t="s">
        <v>11</v>
      </c>
      <c r="C9">
        <v>2027</v>
      </c>
    </row>
    <row r="10" spans="2:29">
      <c r="B10" s="47" t="s">
        <v>54</v>
      </c>
      <c r="C10" s="48">
        <f>1/24</f>
        <v>4.1666666666666664E-2</v>
      </c>
    </row>
    <row r="11" spans="2:29">
      <c r="B11" t="s">
        <v>49</v>
      </c>
    </row>
    <row r="12" spans="2:29">
      <c r="B12" s="20" t="s">
        <v>44</v>
      </c>
      <c r="C12" s="20" t="s">
        <v>18</v>
      </c>
      <c r="D12" s="20" t="s">
        <v>19</v>
      </c>
      <c r="E12" s="20" t="s">
        <v>20</v>
      </c>
      <c r="F12" s="20" t="s">
        <v>21</v>
      </c>
      <c r="G12" s="20" t="s">
        <v>22</v>
      </c>
      <c r="H12" s="20" t="s">
        <v>23</v>
      </c>
      <c r="I12" s="20" t="s">
        <v>24</v>
      </c>
      <c r="J12" s="20" t="s">
        <v>25</v>
      </c>
      <c r="K12" s="20" t="s">
        <v>26</v>
      </c>
      <c r="L12" s="20" t="s">
        <v>27</v>
      </c>
      <c r="M12" s="20" t="s">
        <v>28</v>
      </c>
      <c r="N12" s="20" t="s">
        <v>29</v>
      </c>
      <c r="O12" s="20" t="s">
        <v>30</v>
      </c>
      <c r="P12" s="20" t="s">
        <v>31</v>
      </c>
      <c r="Q12" s="20" t="s">
        <v>32</v>
      </c>
      <c r="R12" s="20" t="s">
        <v>33</v>
      </c>
      <c r="S12" s="20" t="s">
        <v>34</v>
      </c>
      <c r="T12" s="20" t="s">
        <v>35</v>
      </c>
      <c r="U12" s="20" t="s">
        <v>36</v>
      </c>
      <c r="V12" s="20" t="s">
        <v>37</v>
      </c>
      <c r="W12" s="20" t="s">
        <v>38</v>
      </c>
      <c r="X12" s="20" t="s">
        <v>39</v>
      </c>
      <c r="Y12" s="20" t="s">
        <v>40</v>
      </c>
      <c r="Z12" s="20" t="s">
        <v>41</v>
      </c>
      <c r="AA12" s="20" t="s">
        <v>42</v>
      </c>
      <c r="AB12" s="20" t="s">
        <v>43</v>
      </c>
      <c r="AC12" s="7"/>
    </row>
    <row r="13" spans="2:29" outlineLevel="1">
      <c r="B13" s="15">
        <v>44927</v>
      </c>
      <c r="C13" s="8" t="s">
        <v>45</v>
      </c>
      <c r="D13" s="8">
        <v>21</v>
      </c>
      <c r="E13" s="17">
        <v>1.9001807189398916E-2</v>
      </c>
      <c r="F13" s="17">
        <v>1.5724577709409941E-2</v>
      </c>
      <c r="G13" s="17">
        <v>1.3880004573424979E-2</v>
      </c>
      <c r="H13" s="17">
        <v>1.3793242499895627E-2</v>
      </c>
      <c r="I13" s="17">
        <v>1.7893597019913159E-2</v>
      </c>
      <c r="J13" s="17">
        <v>2.6334737658532066E-2</v>
      </c>
      <c r="K13" s="17">
        <v>3.3174491170745439E-2</v>
      </c>
      <c r="L13" s="17">
        <v>3.3755201360075184E-2</v>
      </c>
      <c r="M13" s="17">
        <v>3.7641050061403392E-2</v>
      </c>
      <c r="N13" s="17">
        <v>4.0405931461902113E-2</v>
      </c>
      <c r="O13" s="17">
        <v>4.3876240660445189E-2</v>
      </c>
      <c r="P13" s="17">
        <v>4.7992290965673617E-2</v>
      </c>
      <c r="Q13" s="17">
        <v>4.6808039430292415E-2</v>
      </c>
      <c r="R13" s="17">
        <v>4.350992438305254E-2</v>
      </c>
      <c r="S13" s="17">
        <v>4.3568002116234683E-2</v>
      </c>
      <c r="T13" s="17">
        <v>4.5478991127069726E-2</v>
      </c>
      <c r="U13" s="17">
        <v>4.7150818083175887E-2</v>
      </c>
      <c r="V13" s="17">
        <v>5.9136094940552233E-2</v>
      </c>
      <c r="W13" s="17">
        <v>7.6418398988148922E-2</v>
      </c>
      <c r="X13" s="17">
        <v>8.2632005268781797E-2</v>
      </c>
      <c r="Y13" s="17">
        <v>7.438834819964675E-2</v>
      </c>
      <c r="Z13" s="17">
        <v>6.1615698655613289E-2</v>
      </c>
      <c r="AA13" s="17">
        <v>4.4850156855074236E-2</v>
      </c>
      <c r="AB13" s="17">
        <v>3.097034962153809E-2</v>
      </c>
      <c r="AC13" s="8">
        <f>+SUM(E13:AB13)*D13</f>
        <v>21.000000000000011</v>
      </c>
    </row>
    <row r="14" spans="2:29" outlineLevel="1">
      <c r="B14" s="16"/>
      <c r="C14" s="8" t="s">
        <v>46</v>
      </c>
      <c r="D14" s="8">
        <v>4</v>
      </c>
      <c r="E14" s="17">
        <v>2.1689490889453281E-2</v>
      </c>
      <c r="F14" s="17">
        <v>1.7161158725796811E-2</v>
      </c>
      <c r="G14" s="17">
        <v>1.5507480566634729E-2</v>
      </c>
      <c r="H14" s="17">
        <v>1.5252108903192476E-2</v>
      </c>
      <c r="I14" s="17">
        <v>1.7494435180112202E-2</v>
      </c>
      <c r="J14" s="17">
        <v>2.3502608261375488E-2</v>
      </c>
      <c r="K14" s="17">
        <v>3.1307884675284552E-2</v>
      </c>
      <c r="L14" s="17">
        <v>3.3201631907814486E-2</v>
      </c>
      <c r="M14" s="17">
        <v>3.8507498470691799E-2</v>
      </c>
      <c r="N14" s="17">
        <v>4.1713828224053194E-2</v>
      </c>
      <c r="O14" s="17">
        <v>4.5165509224399963E-2</v>
      </c>
      <c r="P14" s="17">
        <v>4.8641585281043377E-2</v>
      </c>
      <c r="Q14" s="17">
        <v>4.8120921413809602E-2</v>
      </c>
      <c r="R14" s="17">
        <v>4.4490628914179035E-2</v>
      </c>
      <c r="S14" s="17">
        <v>4.326725080145756E-2</v>
      </c>
      <c r="T14" s="17">
        <v>4.3651177971422657E-2</v>
      </c>
      <c r="U14" s="17">
        <v>4.4759855515404408E-2</v>
      </c>
      <c r="V14" s="17">
        <v>5.6873245032604235E-2</v>
      </c>
      <c r="W14" s="17">
        <v>7.4786001664868429E-2</v>
      </c>
      <c r="X14" s="17">
        <v>8.1495514582885245E-2</v>
      </c>
      <c r="Y14" s="17">
        <v>7.3641034530434871E-2</v>
      </c>
      <c r="Z14" s="17">
        <v>6.0361300885980192E-2</v>
      </c>
      <c r="AA14" s="17">
        <v>4.5327065428956086E-2</v>
      </c>
      <c r="AB14" s="17">
        <v>3.4080782948145039E-2</v>
      </c>
      <c r="AC14" s="8">
        <f t="shared" ref="AC14:AC71" si="0">+SUM(E14:AB14)*D14</f>
        <v>3.9999999999999991</v>
      </c>
    </row>
    <row r="15" spans="2:29" outlineLevel="1">
      <c r="B15" s="16"/>
      <c r="C15" s="8" t="s">
        <v>47</v>
      </c>
      <c r="D15" s="8">
        <v>5</v>
      </c>
      <c r="E15" s="17">
        <v>1.5051671475013521E-2</v>
      </c>
      <c r="F15" s="17">
        <v>2.2380030303134048E-2</v>
      </c>
      <c r="G15" s="17">
        <v>1.9757649808874594E-2</v>
      </c>
      <c r="H15" s="17">
        <v>1.8804297702276266E-2</v>
      </c>
      <c r="I15" s="17">
        <v>1.9321815692136059E-2</v>
      </c>
      <c r="J15" s="17">
        <v>2.3835999272690436E-2</v>
      </c>
      <c r="K15" s="17">
        <v>2.8934411970849849E-2</v>
      </c>
      <c r="L15" s="17">
        <v>3.1397673562099916E-2</v>
      </c>
      <c r="M15" s="17">
        <v>3.6145684808665653E-2</v>
      </c>
      <c r="N15" s="17">
        <v>3.9407305906884016E-2</v>
      </c>
      <c r="O15" s="17">
        <v>4.2427704952785521E-2</v>
      </c>
      <c r="P15" s="17">
        <v>4.6405931151914014E-2</v>
      </c>
      <c r="Q15" s="17">
        <v>4.7292099156656407E-2</v>
      </c>
      <c r="R15" s="17">
        <v>4.386349106699769E-2</v>
      </c>
      <c r="S15" s="17">
        <v>4.1906622413603919E-2</v>
      </c>
      <c r="T15" s="17">
        <v>4.2329663144694517E-2</v>
      </c>
      <c r="U15" s="17">
        <v>4.4035685743634895E-2</v>
      </c>
      <c r="V15" s="17">
        <v>5.6954429891179222E-2</v>
      </c>
      <c r="W15" s="17">
        <v>7.5855717829176425E-2</v>
      </c>
      <c r="X15" s="17">
        <v>8.4371960102849683E-2</v>
      </c>
      <c r="Y15" s="17">
        <v>7.6149292031928772E-2</v>
      </c>
      <c r="Z15" s="17">
        <v>6.1649072800258296E-2</v>
      </c>
      <c r="AA15" s="17">
        <v>4.6944525875838479E-2</v>
      </c>
      <c r="AB15" s="17">
        <v>3.4777263335857692E-2</v>
      </c>
      <c r="AC15" s="8">
        <f t="shared" si="0"/>
        <v>5</v>
      </c>
    </row>
    <row r="16" spans="2:29" outlineLevel="1">
      <c r="B16" s="16"/>
      <c r="C16" s="8" t="s">
        <v>48</v>
      </c>
      <c r="D16" s="8">
        <v>1</v>
      </c>
      <c r="E16" s="17">
        <v>1.5051671475013521E-2</v>
      </c>
      <c r="F16" s="17">
        <v>2.2380030303134048E-2</v>
      </c>
      <c r="G16" s="17">
        <v>1.9757649808874594E-2</v>
      </c>
      <c r="H16" s="17">
        <v>1.8804297702276266E-2</v>
      </c>
      <c r="I16" s="17">
        <v>1.9321815692136059E-2</v>
      </c>
      <c r="J16" s="17">
        <v>2.3835999272690436E-2</v>
      </c>
      <c r="K16" s="17">
        <v>2.8934411970849849E-2</v>
      </c>
      <c r="L16" s="17">
        <v>3.1397673562099916E-2</v>
      </c>
      <c r="M16" s="17">
        <v>3.6145684808665653E-2</v>
      </c>
      <c r="N16" s="17">
        <v>3.9407305906884016E-2</v>
      </c>
      <c r="O16" s="17">
        <v>4.2427704952785521E-2</v>
      </c>
      <c r="P16" s="17">
        <v>4.6405931151914014E-2</v>
      </c>
      <c r="Q16" s="17">
        <v>4.7292099156656407E-2</v>
      </c>
      <c r="R16" s="17">
        <v>4.386349106699769E-2</v>
      </c>
      <c r="S16" s="17">
        <v>4.1906622413603919E-2</v>
      </c>
      <c r="T16" s="17">
        <v>4.2329663144694517E-2</v>
      </c>
      <c r="U16" s="17">
        <v>4.4035685743634895E-2</v>
      </c>
      <c r="V16" s="17">
        <v>5.6954429891179222E-2</v>
      </c>
      <c r="W16" s="17">
        <v>7.5855717829176425E-2</v>
      </c>
      <c r="X16" s="17">
        <v>8.4371960102849683E-2</v>
      </c>
      <c r="Y16" s="17">
        <v>7.6149292031928772E-2</v>
      </c>
      <c r="Z16" s="17">
        <v>6.1649072800258296E-2</v>
      </c>
      <c r="AA16" s="17">
        <v>4.6944525875838479E-2</v>
      </c>
      <c r="AB16" s="17">
        <v>3.4777263335857692E-2</v>
      </c>
      <c r="AC16" s="8">
        <f>+SUM(E16:AB16)*D16</f>
        <v>1</v>
      </c>
    </row>
    <row r="17" spans="2:29" outlineLevel="1">
      <c r="B17" s="10"/>
      <c r="C17" s="10" t="s">
        <v>15</v>
      </c>
      <c r="D17" s="10">
        <f>+SUM(D13:D16)</f>
        <v>31</v>
      </c>
      <c r="E17" s="18">
        <f>+SUMPRODUCT(E13:E16,$D13:$D16)</f>
        <v>0.57610594338527144</v>
      </c>
      <c r="F17" s="18">
        <f t="shared" ref="F17:AB17" si="1">+SUMPRODUCT(F13:F16,$D13:$D16)</f>
        <v>0.53314094861960026</v>
      </c>
      <c r="G17" s="18">
        <f t="shared" si="1"/>
        <v>0.47205591716171103</v>
      </c>
      <c r="H17" s="18">
        <f t="shared" si="1"/>
        <v>0.46349231432423565</v>
      </c>
      <c r="I17" s="18">
        <f t="shared" si="1"/>
        <v>0.56167417229144156</v>
      </c>
      <c r="J17" s="18">
        <f t="shared" si="1"/>
        <v>0.79005591951081799</v>
      </c>
      <c r="K17" s="18">
        <f t="shared" si="1"/>
        <v>0.99550232511189163</v>
      </c>
      <c r="L17" s="18">
        <f t="shared" si="1"/>
        <v>1.0300517975654364</v>
      </c>
      <c r="M17" s="18">
        <f t="shared" si="1"/>
        <v>1.1613661540242324</v>
      </c>
      <c r="N17" s="18">
        <f t="shared" si="1"/>
        <v>1.2518237090374613</v>
      </c>
      <c r="O17" s="18">
        <f t="shared" si="1"/>
        <v>1.3566293204836619</v>
      </c>
      <c r="P17" s="18">
        <f t="shared" si="1"/>
        <v>1.4808400383148037</v>
      </c>
      <c r="Q17" s="18">
        <f t="shared" si="1"/>
        <v>1.4592051086313176</v>
      </c>
      <c r="R17" s="18">
        <f t="shared" si="1"/>
        <v>1.3548518741028055</v>
      </c>
      <c r="S17" s="18">
        <f t="shared" si="1"/>
        <v>1.3394367821283824</v>
      </c>
      <c r="T17" s="18">
        <f t="shared" si="1"/>
        <v>1.383641504422322</v>
      </c>
      <c r="U17" s="18">
        <f t="shared" si="1"/>
        <v>1.4334207162701207</v>
      </c>
      <c r="V17" s="18">
        <f t="shared" si="1"/>
        <v>1.8110775532290893</v>
      </c>
      <c r="W17" s="18">
        <f t="shared" si="1"/>
        <v>2.3590646923856595</v>
      </c>
      <c r="X17" s="18">
        <f t="shared" si="1"/>
        <v>2.5674859295930572</v>
      </c>
      <c r="Y17" s="18">
        <f t="shared" si="1"/>
        <v>2.3136152025058938</v>
      </c>
      <c r="Z17" s="18">
        <f t="shared" si="1"/>
        <v>1.9052693121133495</v>
      </c>
      <c r="AA17" s="18">
        <f t="shared" si="1"/>
        <v>1.4048287109274142</v>
      </c>
      <c r="AB17" s="18">
        <f t="shared" si="1"/>
        <v>0.99536405386002624</v>
      </c>
      <c r="AC17" s="10">
        <f>+SUM(E17:AB17)</f>
        <v>31.000000000000007</v>
      </c>
    </row>
    <row r="18" spans="2:29" outlineLevel="1">
      <c r="B18" s="15">
        <f>+EDATE(B13,1)</f>
        <v>44958</v>
      </c>
      <c r="C18" s="8" t="s">
        <v>45</v>
      </c>
      <c r="D18" s="8">
        <v>20</v>
      </c>
      <c r="E18" s="17">
        <v>1.9312064988178553E-2</v>
      </c>
      <c r="F18" s="17">
        <v>1.6086854739296049E-2</v>
      </c>
      <c r="G18" s="17">
        <v>1.4273522628342829E-2</v>
      </c>
      <c r="H18" s="17">
        <v>1.4191025734182077E-2</v>
      </c>
      <c r="I18" s="17">
        <v>1.8242633802843064E-2</v>
      </c>
      <c r="J18" s="17">
        <v>2.6619043168267752E-2</v>
      </c>
      <c r="K18" s="17">
        <v>3.3398163129890475E-2</v>
      </c>
      <c r="L18" s="17">
        <v>3.394894018590381E-2</v>
      </c>
      <c r="M18" s="17">
        <v>3.773561501568419E-2</v>
      </c>
      <c r="N18" s="17">
        <v>4.0444209486585884E-2</v>
      </c>
      <c r="O18" s="17">
        <v>4.3872988418064356E-2</v>
      </c>
      <c r="P18" s="17">
        <v>4.7926760971267607E-2</v>
      </c>
      <c r="Q18" s="17">
        <v>4.6745048991949506E-2</v>
      </c>
      <c r="R18" s="17">
        <v>4.3507224495896731E-2</v>
      </c>
      <c r="S18" s="17">
        <v>4.357746920677176E-2</v>
      </c>
      <c r="T18" s="17">
        <v>4.5464184596030487E-2</v>
      </c>
      <c r="U18" s="17">
        <v>4.7122196589609644E-2</v>
      </c>
      <c r="V18" s="17">
        <v>5.8791631457456146E-2</v>
      </c>
      <c r="W18" s="17">
        <v>7.5802804384545661E-2</v>
      </c>
      <c r="X18" s="17">
        <v>8.2010321138229869E-2</v>
      </c>
      <c r="Y18" s="17">
        <v>7.3878053307622149E-2</v>
      </c>
      <c r="Z18" s="17">
        <v>6.1270625285147623E-2</v>
      </c>
      <c r="AA18" s="17">
        <v>4.4734730730745485E-2</v>
      </c>
      <c r="AB18" s="17">
        <v>3.1043887547488106E-2</v>
      </c>
      <c r="AC18" s="8">
        <f>+SUM(E18:AB18)*D18</f>
        <v>19.999999999999996</v>
      </c>
    </row>
    <row r="19" spans="2:29" outlineLevel="1">
      <c r="B19" s="16"/>
      <c r="C19" s="8" t="s">
        <v>46</v>
      </c>
      <c r="D19" s="8">
        <v>4</v>
      </c>
      <c r="E19" s="17">
        <v>2.195269827249546E-2</v>
      </c>
      <c r="F19" s="17">
        <v>1.751162425703057E-2</v>
      </c>
      <c r="G19" s="17">
        <v>1.5879558179731745E-2</v>
      </c>
      <c r="H19" s="17">
        <v>1.5627243261277818E-2</v>
      </c>
      <c r="I19" s="17">
        <v>1.7840420620373245E-2</v>
      </c>
      <c r="J19" s="17">
        <v>2.3778267533072946E-2</v>
      </c>
      <c r="K19" s="17">
        <v>3.147451846050963E-2</v>
      </c>
      <c r="L19" s="17">
        <v>3.3386384826782543E-2</v>
      </c>
      <c r="M19" s="17">
        <v>3.8597725111609346E-2</v>
      </c>
      <c r="N19" s="17">
        <v>4.1744457705478986E-2</v>
      </c>
      <c r="O19" s="17">
        <v>4.515223774871821E-2</v>
      </c>
      <c r="P19" s="17">
        <v>4.8577176027317162E-2</v>
      </c>
      <c r="Q19" s="17">
        <v>4.8054802899173507E-2</v>
      </c>
      <c r="R19" s="17">
        <v>4.4495677371078776E-2</v>
      </c>
      <c r="S19" s="17">
        <v>4.3284473094811947E-2</v>
      </c>
      <c r="T19" s="17">
        <v>4.3667306830876176E-2</v>
      </c>
      <c r="U19" s="17">
        <v>4.4765929577730949E-2</v>
      </c>
      <c r="V19" s="17">
        <v>5.655455716404735E-2</v>
      </c>
      <c r="W19" s="17">
        <v>7.4192853032578485E-2</v>
      </c>
      <c r="X19" s="17">
        <v>8.0894645570026361E-2</v>
      </c>
      <c r="Y19" s="17">
        <v>7.3153050508579426E-2</v>
      </c>
      <c r="Z19" s="17">
        <v>6.0061540941274846E-2</v>
      </c>
      <c r="AA19" s="17">
        <v>4.522718197954248E-2</v>
      </c>
      <c r="AB19" s="17">
        <v>3.4125669025882016E-2</v>
      </c>
      <c r="AC19" s="8">
        <f t="shared" si="0"/>
        <v>3.9999999999999996</v>
      </c>
    </row>
    <row r="20" spans="2:29" outlineLevel="1">
      <c r="B20" s="16"/>
      <c r="C20" s="8" t="s">
        <v>47</v>
      </c>
      <c r="D20" s="8">
        <v>4</v>
      </c>
      <c r="E20" s="17">
        <v>2.635211849763501E-2</v>
      </c>
      <c r="F20" s="17">
        <v>2.2114401379348107E-2</v>
      </c>
      <c r="G20" s="17">
        <v>1.9579103401539972E-2</v>
      </c>
      <c r="H20" s="17">
        <v>1.8784521701808467E-2</v>
      </c>
      <c r="I20" s="17">
        <v>1.8297568904976868E-2</v>
      </c>
      <c r="J20" s="17">
        <v>2.1441963706562664E-2</v>
      </c>
      <c r="K20" s="17">
        <v>2.7514898604811995E-2</v>
      </c>
      <c r="L20" s="17">
        <v>3.181605697720382E-2</v>
      </c>
      <c r="M20" s="17">
        <v>3.7135796061245854E-2</v>
      </c>
      <c r="N20" s="17">
        <v>4.0291586836715208E-2</v>
      </c>
      <c r="O20" s="17">
        <v>4.2717715108143844E-2</v>
      </c>
      <c r="P20" s="17">
        <v>4.6506840519631505E-2</v>
      </c>
      <c r="Q20" s="17">
        <v>4.6769931662177397E-2</v>
      </c>
      <c r="R20" s="17">
        <v>4.3413375637324933E-2</v>
      </c>
      <c r="S20" s="17">
        <v>4.1481212275782366E-2</v>
      </c>
      <c r="T20" s="17">
        <v>4.1777653602619827E-2</v>
      </c>
      <c r="U20" s="17">
        <v>4.3315161509710431E-2</v>
      </c>
      <c r="V20" s="17">
        <v>5.5539125442787149E-2</v>
      </c>
      <c r="W20" s="17">
        <v>7.4545063119886457E-2</v>
      </c>
      <c r="X20" s="17">
        <v>8.3159001115494263E-2</v>
      </c>
      <c r="Y20" s="17">
        <v>7.5496552032660424E-2</v>
      </c>
      <c r="Z20" s="17">
        <v>6.1324227273286999E-2</v>
      </c>
      <c r="AA20" s="17">
        <v>4.6565131840708693E-2</v>
      </c>
      <c r="AB20" s="17">
        <v>3.4060992787937609E-2</v>
      </c>
      <c r="AC20" s="8">
        <f t="shared" si="0"/>
        <v>3.9999999999999987</v>
      </c>
    </row>
    <row r="21" spans="2:29" outlineLevel="1">
      <c r="B21" s="16"/>
      <c r="C21" s="8" t="s">
        <v>48</v>
      </c>
      <c r="D21" s="8">
        <v>0</v>
      </c>
      <c r="E21" s="17">
        <v>2.635211849763501E-2</v>
      </c>
      <c r="F21" s="17">
        <v>2.2114401379348107E-2</v>
      </c>
      <c r="G21" s="17">
        <v>1.9579103401539972E-2</v>
      </c>
      <c r="H21" s="17">
        <v>1.8784521701808467E-2</v>
      </c>
      <c r="I21" s="17">
        <v>1.8297568904976868E-2</v>
      </c>
      <c r="J21" s="17">
        <v>2.1441963706562664E-2</v>
      </c>
      <c r="K21" s="17">
        <v>2.7514898604811995E-2</v>
      </c>
      <c r="L21" s="17">
        <v>3.181605697720382E-2</v>
      </c>
      <c r="M21" s="17">
        <v>3.7135796061245854E-2</v>
      </c>
      <c r="N21" s="17">
        <v>4.0291586836715208E-2</v>
      </c>
      <c r="O21" s="17">
        <v>4.2717715108143844E-2</v>
      </c>
      <c r="P21" s="17">
        <v>4.6506840519631505E-2</v>
      </c>
      <c r="Q21" s="17">
        <v>4.6769931662177397E-2</v>
      </c>
      <c r="R21" s="17">
        <v>4.3413375637324933E-2</v>
      </c>
      <c r="S21" s="17">
        <v>4.1481212275782366E-2</v>
      </c>
      <c r="T21" s="17">
        <v>4.1777653602619827E-2</v>
      </c>
      <c r="U21" s="17">
        <v>4.3315161509710431E-2</v>
      </c>
      <c r="V21" s="17">
        <v>5.5539125442787149E-2</v>
      </c>
      <c r="W21" s="17">
        <v>7.4545063119886457E-2</v>
      </c>
      <c r="X21" s="17">
        <v>8.3159001115494263E-2</v>
      </c>
      <c r="Y21" s="17">
        <v>7.5496552032660424E-2</v>
      </c>
      <c r="Z21" s="17">
        <v>6.1324227273286999E-2</v>
      </c>
      <c r="AA21" s="17">
        <v>4.6565131840708693E-2</v>
      </c>
      <c r="AB21" s="17">
        <v>3.4060992787937609E-2</v>
      </c>
      <c r="AC21" s="8">
        <f t="shared" si="0"/>
        <v>0</v>
      </c>
    </row>
    <row r="22" spans="2:29" outlineLevel="1">
      <c r="B22" s="10"/>
      <c r="C22" s="10" t="s">
        <v>15</v>
      </c>
      <c r="D22" s="10">
        <f>+SUM(D18:D21)</f>
        <v>28</v>
      </c>
      <c r="E22" s="18">
        <f t="shared" ref="E22:AB22" si="2">+SUMPRODUCT(E18:E21,$D18:$D21)</f>
        <v>0.57946056684409297</v>
      </c>
      <c r="F22" s="18">
        <f t="shared" si="2"/>
        <v>0.48024119733143567</v>
      </c>
      <c r="G22" s="18">
        <f t="shared" si="2"/>
        <v>0.42730509889194346</v>
      </c>
      <c r="H22" s="18">
        <f t="shared" si="2"/>
        <v>0.42146757453598671</v>
      </c>
      <c r="I22" s="18">
        <f t="shared" si="2"/>
        <v>0.50940463415826176</v>
      </c>
      <c r="J22" s="18">
        <f t="shared" si="2"/>
        <v>0.71326178832389742</v>
      </c>
      <c r="K22" s="18">
        <f t="shared" si="2"/>
        <v>0.90392093085909597</v>
      </c>
      <c r="L22" s="18">
        <f t="shared" si="2"/>
        <v>0.93978857093402168</v>
      </c>
      <c r="M22" s="18">
        <f t="shared" si="2"/>
        <v>1.0576463850051046</v>
      </c>
      <c r="N22" s="18">
        <f t="shared" si="2"/>
        <v>1.1370283679004944</v>
      </c>
      <c r="O22" s="18">
        <f t="shared" si="2"/>
        <v>1.2289395797887352</v>
      </c>
      <c r="P22" s="18">
        <f t="shared" si="2"/>
        <v>1.3388712856131468</v>
      </c>
      <c r="Q22" s="18">
        <f t="shared" si="2"/>
        <v>1.3141999180843937</v>
      </c>
      <c r="R22" s="18">
        <f t="shared" si="2"/>
        <v>1.2217807019515494</v>
      </c>
      <c r="S22" s="18">
        <f t="shared" si="2"/>
        <v>1.2106121256178124</v>
      </c>
      <c r="T22" s="18">
        <f t="shared" si="2"/>
        <v>1.2510635336545937</v>
      </c>
      <c r="U22" s="18">
        <f t="shared" si="2"/>
        <v>1.2947682961419584</v>
      </c>
      <c r="V22" s="18">
        <f t="shared" si="2"/>
        <v>1.624207359576461</v>
      </c>
      <c r="W22" s="18">
        <f t="shared" si="2"/>
        <v>2.1110077523007731</v>
      </c>
      <c r="X22" s="18">
        <f t="shared" si="2"/>
        <v>2.2964210095066799</v>
      </c>
      <c r="Y22" s="18">
        <f t="shared" si="2"/>
        <v>2.0721594763174025</v>
      </c>
      <c r="Z22" s="18">
        <f t="shared" si="2"/>
        <v>1.7109555785611998</v>
      </c>
      <c r="AA22" s="18">
        <f t="shared" si="2"/>
        <v>1.2618638698959146</v>
      </c>
      <c r="AB22" s="18">
        <f t="shared" si="2"/>
        <v>0.89362439820504069</v>
      </c>
      <c r="AC22" s="10">
        <f>+SUM(E22:AB22)</f>
        <v>28</v>
      </c>
    </row>
    <row r="23" spans="2:29" outlineLevel="1">
      <c r="B23" s="15">
        <f>+EDATE(B18,1)</f>
        <v>44986</v>
      </c>
      <c r="C23" s="8" t="s">
        <v>45</v>
      </c>
      <c r="D23" s="8">
        <v>22</v>
      </c>
      <c r="E23" s="17">
        <v>5.2643357585741665E-2</v>
      </c>
      <c r="F23" s="17">
        <v>2.1954712664604501E-2</v>
      </c>
      <c r="G23" s="17">
        <v>1.9492125612397469E-2</v>
      </c>
      <c r="H23" s="17">
        <v>1.8587448583221328E-2</v>
      </c>
      <c r="I23" s="17">
        <v>1.9085788762486545E-2</v>
      </c>
      <c r="J23" s="17">
        <v>2.3330656007398712E-2</v>
      </c>
      <c r="K23" s="17">
        <v>2.8150809148378201E-2</v>
      </c>
      <c r="L23" s="17">
        <v>3.0535555829851724E-2</v>
      </c>
      <c r="M23" s="17">
        <v>3.4999992431835873E-2</v>
      </c>
      <c r="N23" s="17">
        <v>3.8060288558586015E-2</v>
      </c>
      <c r="O23" s="17">
        <v>4.0903949870857659E-2</v>
      </c>
      <c r="P23" s="17">
        <v>4.462863423459245E-2</v>
      </c>
      <c r="Q23" s="17">
        <v>4.5442400697009798E-2</v>
      </c>
      <c r="R23" s="17">
        <v>4.2244821120233159E-2</v>
      </c>
      <c r="S23" s="17">
        <v>4.0402609781208715E-2</v>
      </c>
      <c r="T23" s="17">
        <v>4.0800448558431894E-2</v>
      </c>
      <c r="U23" s="17">
        <v>4.2401027394611622E-2</v>
      </c>
      <c r="V23" s="17">
        <v>5.4339486635515549E-2</v>
      </c>
      <c r="W23" s="17">
        <v>7.2101859539551991E-2</v>
      </c>
      <c r="X23" s="17">
        <v>8.0207526135271878E-2</v>
      </c>
      <c r="Y23" s="17">
        <v>7.2457077239287113E-2</v>
      </c>
      <c r="Z23" s="17">
        <v>5.8805175720658451E-2</v>
      </c>
      <c r="AA23" s="17">
        <v>4.4938794945461193E-2</v>
      </c>
      <c r="AB23" s="17">
        <v>3.3485452942806429E-2</v>
      </c>
      <c r="AC23" s="8">
        <f>+SUM(E23:AB23)*D23</f>
        <v>21.999999999999996</v>
      </c>
    </row>
    <row r="24" spans="2:29" outlineLevel="1">
      <c r="B24" s="16"/>
      <c r="C24" s="8" t="s">
        <v>46</v>
      </c>
      <c r="D24" s="8">
        <v>4</v>
      </c>
      <c r="E24" s="17">
        <v>2.2237421996981178E-2</v>
      </c>
      <c r="F24" s="17">
        <v>1.7906313818577328E-2</v>
      </c>
      <c r="G24" s="17">
        <v>1.6297578506991067E-2</v>
      </c>
      <c r="H24" s="17">
        <v>1.604839409942219E-2</v>
      </c>
      <c r="I24" s="17">
        <v>1.8230187136371624E-2</v>
      </c>
      <c r="J24" s="17">
        <v>2.4096630440716731E-2</v>
      </c>
      <c r="K24" s="17">
        <v>3.1671211713876837E-2</v>
      </c>
      <c r="L24" s="17">
        <v>3.3600778280272789E-2</v>
      </c>
      <c r="M24" s="17">
        <v>3.8695931639442897E-2</v>
      </c>
      <c r="N24" s="17">
        <v>4.1768414140612165E-2</v>
      </c>
      <c r="O24" s="17">
        <v>4.5129427351501633E-2</v>
      </c>
      <c r="P24" s="17">
        <v>4.8495930770354648E-2</v>
      </c>
      <c r="Q24" s="17">
        <v>4.7966937537637443E-2</v>
      </c>
      <c r="R24" s="17">
        <v>4.4497953028916966E-2</v>
      </c>
      <c r="S24" s="17">
        <v>4.3297772057526739E-2</v>
      </c>
      <c r="T24" s="17">
        <v>4.3681634767203208E-2</v>
      </c>
      <c r="U24" s="17">
        <v>4.4771873887229592E-2</v>
      </c>
      <c r="V24" s="17">
        <v>5.6182064942867461E-2</v>
      </c>
      <c r="W24" s="17">
        <v>7.3501322844682068E-2</v>
      </c>
      <c r="X24" s="17">
        <v>8.0239491418409858E-2</v>
      </c>
      <c r="Y24" s="17">
        <v>7.262556645904493E-2</v>
      </c>
      <c r="Z24" s="17">
        <v>5.9745559096410411E-2</v>
      </c>
      <c r="AA24" s="17">
        <v>4.5128982456912707E-2</v>
      </c>
      <c r="AB24" s="17">
        <v>3.4182621608037519E-2</v>
      </c>
      <c r="AC24" s="8">
        <f t="shared" si="0"/>
        <v>4</v>
      </c>
    </row>
    <row r="25" spans="2:29" outlineLevel="1">
      <c r="B25" s="16"/>
      <c r="C25" s="8" t="s">
        <v>47</v>
      </c>
      <c r="D25" s="8">
        <v>4</v>
      </c>
      <c r="E25" s="17">
        <v>5.2643357585741665E-2</v>
      </c>
      <c r="F25" s="17">
        <v>2.1954712664604501E-2</v>
      </c>
      <c r="G25" s="17">
        <v>1.9492125612397469E-2</v>
      </c>
      <c r="H25" s="17">
        <v>1.8587448583221328E-2</v>
      </c>
      <c r="I25" s="17">
        <v>1.9085788762486545E-2</v>
      </c>
      <c r="J25" s="17">
        <v>2.3330656007398712E-2</v>
      </c>
      <c r="K25" s="17">
        <v>2.8150809148378201E-2</v>
      </c>
      <c r="L25" s="17">
        <v>3.0535555829851724E-2</v>
      </c>
      <c r="M25" s="17">
        <v>3.4999992431835873E-2</v>
      </c>
      <c r="N25" s="17">
        <v>3.8060288558586015E-2</v>
      </c>
      <c r="O25" s="17">
        <v>4.0903949870857659E-2</v>
      </c>
      <c r="P25" s="17">
        <v>4.462863423459245E-2</v>
      </c>
      <c r="Q25" s="17">
        <v>4.5442400697009798E-2</v>
      </c>
      <c r="R25" s="17">
        <v>4.2244821120233159E-2</v>
      </c>
      <c r="S25" s="17">
        <v>4.0402609781208715E-2</v>
      </c>
      <c r="T25" s="17">
        <v>4.0800448558431894E-2</v>
      </c>
      <c r="U25" s="17">
        <v>4.2401027394611622E-2</v>
      </c>
      <c r="V25" s="17">
        <v>5.4339486635515549E-2</v>
      </c>
      <c r="W25" s="17">
        <v>7.2101859539551991E-2</v>
      </c>
      <c r="X25" s="17">
        <v>8.0207526135271878E-2</v>
      </c>
      <c r="Y25" s="17">
        <v>7.2457077239287113E-2</v>
      </c>
      <c r="Z25" s="17">
        <v>5.8805175720658451E-2</v>
      </c>
      <c r="AA25" s="17">
        <v>4.4938794945461193E-2</v>
      </c>
      <c r="AB25" s="17">
        <v>3.3485452942806429E-2</v>
      </c>
      <c r="AC25" s="8">
        <f t="shared" si="0"/>
        <v>3.9999999999999991</v>
      </c>
    </row>
    <row r="26" spans="2:29" outlineLevel="1">
      <c r="B26" s="16"/>
      <c r="C26" s="8" t="s">
        <v>48</v>
      </c>
      <c r="D26" s="8">
        <v>1</v>
      </c>
      <c r="E26" s="17">
        <v>5.2643357585741665E-2</v>
      </c>
      <c r="F26" s="17">
        <v>2.1954712664604501E-2</v>
      </c>
      <c r="G26" s="17">
        <v>1.9492125612397469E-2</v>
      </c>
      <c r="H26" s="17">
        <v>1.8587448583221328E-2</v>
      </c>
      <c r="I26" s="17">
        <v>1.9085788762486545E-2</v>
      </c>
      <c r="J26" s="17">
        <v>2.3330656007398712E-2</v>
      </c>
      <c r="K26" s="17">
        <v>2.8150809148378201E-2</v>
      </c>
      <c r="L26" s="17">
        <v>3.0535555829851724E-2</v>
      </c>
      <c r="M26" s="17">
        <v>3.4999992431835873E-2</v>
      </c>
      <c r="N26" s="17">
        <v>3.8060288558586015E-2</v>
      </c>
      <c r="O26" s="17">
        <v>4.0903949870857659E-2</v>
      </c>
      <c r="P26" s="17">
        <v>4.462863423459245E-2</v>
      </c>
      <c r="Q26" s="17">
        <v>4.5442400697009798E-2</v>
      </c>
      <c r="R26" s="17">
        <v>4.2244821120233159E-2</v>
      </c>
      <c r="S26" s="17">
        <v>4.0402609781208715E-2</v>
      </c>
      <c r="T26" s="17">
        <v>4.0800448558431894E-2</v>
      </c>
      <c r="U26" s="17">
        <v>4.2401027394611622E-2</v>
      </c>
      <c r="V26" s="17">
        <v>5.4339486635515549E-2</v>
      </c>
      <c r="W26" s="17">
        <v>7.2101859539551991E-2</v>
      </c>
      <c r="X26" s="17">
        <v>8.0207526135271878E-2</v>
      </c>
      <c r="Y26" s="17">
        <v>7.2457077239287113E-2</v>
      </c>
      <c r="Z26" s="17">
        <v>5.8805175720658451E-2</v>
      </c>
      <c r="AA26" s="17">
        <v>4.4938794945461193E-2</v>
      </c>
      <c r="AB26" s="17">
        <v>3.3485452942806429E-2</v>
      </c>
      <c r="AC26" s="8">
        <f t="shared" si="0"/>
        <v>0.99999999999999978</v>
      </c>
    </row>
    <row r="27" spans="2:29" outlineLevel="1">
      <c r="B27" s="10"/>
      <c r="C27" s="10" t="s">
        <v>15</v>
      </c>
      <c r="D27" s="10">
        <f>+SUM(D23:D26)</f>
        <v>31</v>
      </c>
      <c r="E27" s="18">
        <f t="shared" ref="E27:AB27" si="3">+SUMPRODUCT(E23:E26,$D23:$D26)</f>
        <v>1.5103203428029499</v>
      </c>
      <c r="F27" s="18">
        <f t="shared" si="3"/>
        <v>0.66440249721863076</v>
      </c>
      <c r="G27" s="18">
        <f t="shared" si="3"/>
        <v>0.59147770556269585</v>
      </c>
      <c r="H27" s="18">
        <f t="shared" si="3"/>
        <v>0.56605468814466464</v>
      </c>
      <c r="I27" s="18">
        <f t="shared" si="3"/>
        <v>0.5882370451326232</v>
      </c>
      <c r="J27" s="18">
        <f t="shared" si="3"/>
        <v>0.72631423396263206</v>
      </c>
      <c r="K27" s="18">
        <f t="shared" si="3"/>
        <v>0.88675669386171885</v>
      </c>
      <c r="L27" s="18">
        <f t="shared" si="3"/>
        <v>0.95886312052708766</v>
      </c>
      <c r="M27" s="18">
        <f t="shared" si="3"/>
        <v>1.0997835222173402</v>
      </c>
      <c r="N27" s="18">
        <f t="shared" si="3"/>
        <v>1.1947014476442712</v>
      </c>
      <c r="O27" s="18">
        <f t="shared" si="3"/>
        <v>1.2849243559191632</v>
      </c>
      <c r="P27" s="18">
        <f t="shared" si="3"/>
        <v>1.3989568474154148</v>
      </c>
      <c r="Q27" s="18">
        <f t="shared" si="3"/>
        <v>1.4188125689698141</v>
      </c>
      <c r="R27" s="18">
        <f t="shared" si="3"/>
        <v>1.318601982361963</v>
      </c>
      <c r="S27" s="18">
        <f t="shared" si="3"/>
        <v>1.2640615523227423</v>
      </c>
      <c r="T27" s="18">
        <f t="shared" si="3"/>
        <v>1.276338650146474</v>
      </c>
      <c r="U27" s="18">
        <f t="shared" si="3"/>
        <v>1.323915235203432</v>
      </c>
      <c r="V27" s="18">
        <f t="shared" si="3"/>
        <v>1.6918943989303896</v>
      </c>
      <c r="W27" s="18">
        <f t="shared" si="3"/>
        <v>2.2407554989466321</v>
      </c>
      <c r="X27" s="18">
        <f t="shared" si="3"/>
        <v>2.4865611713259801</v>
      </c>
      <c r="Y27" s="18">
        <f t="shared" si="3"/>
        <v>2.2468433512969317</v>
      </c>
      <c r="Z27" s="18">
        <f t="shared" si="3"/>
        <v>1.8267219808434199</v>
      </c>
      <c r="AA27" s="18">
        <f t="shared" si="3"/>
        <v>1.393863393355103</v>
      </c>
      <c r="AB27" s="18">
        <f t="shared" si="3"/>
        <v>1.0408377158879236</v>
      </c>
      <c r="AC27" s="10">
        <f>+SUM(E27:AB27)</f>
        <v>31.000000000000004</v>
      </c>
    </row>
    <row r="28" spans="2:29" outlineLevel="1">
      <c r="B28" s="15">
        <f>+EDATE(B23,1)</f>
        <v>45017</v>
      </c>
      <c r="C28" s="8" t="s">
        <v>45</v>
      </c>
      <c r="D28" s="8">
        <v>18</v>
      </c>
      <c r="E28" s="17">
        <v>1.8931193775617954E-2</v>
      </c>
      <c r="F28" s="17">
        <v>1.5645259556355009E-2</v>
      </c>
      <c r="G28" s="17">
        <v>1.3796154274900756E-2</v>
      </c>
      <c r="H28" s="17">
        <v>1.3709730578741192E-2</v>
      </c>
      <c r="I28" s="17">
        <v>1.7824202934748231E-2</v>
      </c>
      <c r="J28" s="17">
        <v>2.6301412145905746E-2</v>
      </c>
      <c r="K28" s="17">
        <v>3.3168786516106302E-2</v>
      </c>
      <c r="L28" s="17">
        <v>3.372741214615977E-2</v>
      </c>
      <c r="M28" s="17">
        <v>3.7616228855021375E-2</v>
      </c>
      <c r="N28" s="17">
        <v>4.0386025978974387E-2</v>
      </c>
      <c r="O28" s="17">
        <v>4.3868229594785611E-2</v>
      </c>
      <c r="P28" s="17">
        <v>4.7995822921281933E-2</v>
      </c>
      <c r="Q28" s="17">
        <v>4.6805231706772442E-2</v>
      </c>
      <c r="R28" s="17">
        <v>4.3499913923523086E-2</v>
      </c>
      <c r="S28" s="17">
        <v>4.3560713303668695E-2</v>
      </c>
      <c r="T28" s="17">
        <v>4.5477967560866299E-2</v>
      </c>
      <c r="U28" s="17">
        <v>4.7156735174939027E-2</v>
      </c>
      <c r="V28" s="17">
        <v>5.9198729793781532E-2</v>
      </c>
      <c r="W28" s="17">
        <v>7.6527624467529989E-2</v>
      </c>
      <c r="X28" s="17">
        <v>8.2775954394966073E-2</v>
      </c>
      <c r="Y28" s="17">
        <v>7.4506536611323226E-2</v>
      </c>
      <c r="Z28" s="17">
        <v>6.1692542964210055E-2</v>
      </c>
      <c r="AA28" s="17">
        <v>4.4875249217356229E-2</v>
      </c>
      <c r="AB28" s="17">
        <v>3.0952341602465152E-2</v>
      </c>
      <c r="AC28" s="8">
        <f>+SUM(E28:AB28)*D28</f>
        <v>18</v>
      </c>
    </row>
    <row r="29" spans="2:29" outlineLevel="1">
      <c r="B29" s="16"/>
      <c r="C29" s="8" t="s">
        <v>46</v>
      </c>
      <c r="D29" s="8">
        <v>5</v>
      </c>
      <c r="E29" s="17">
        <v>2.1625171841812056E-2</v>
      </c>
      <c r="F29" s="17">
        <v>1.7087813443799865E-2</v>
      </c>
      <c r="G29" s="17">
        <v>1.5428823559252637E-2</v>
      </c>
      <c r="H29" s="17">
        <v>1.5172586274374258E-2</v>
      </c>
      <c r="I29" s="17">
        <v>1.7422130913356721E-2</v>
      </c>
      <c r="J29" s="17">
        <v>2.3451225061268045E-2</v>
      </c>
      <c r="K29" s="17">
        <v>3.1280178425426387E-2</v>
      </c>
      <c r="L29" s="17">
        <v>3.316887668016047E-2</v>
      </c>
      <c r="M29" s="17">
        <v>3.8486826785930094E-2</v>
      </c>
      <c r="N29" s="17">
        <v>4.1699973911351738E-2</v>
      </c>
      <c r="O29" s="17">
        <v>4.5162980133273405E-2</v>
      </c>
      <c r="P29" s="17">
        <v>4.8649088300882826E-2</v>
      </c>
      <c r="Q29" s="17">
        <v>4.8125085352551444E-2</v>
      </c>
      <c r="R29" s="17">
        <v>4.4487796965265079E-2</v>
      </c>
      <c r="S29" s="17">
        <v>4.3259740860635158E-2</v>
      </c>
      <c r="T29" s="17">
        <v>4.3645673941031422E-2</v>
      </c>
      <c r="U29" s="17">
        <v>4.4758793588501697E-2</v>
      </c>
      <c r="V29" s="17">
        <v>5.6927862958185631E-2</v>
      </c>
      <c r="W29" s="17">
        <v>7.4890207012771118E-2</v>
      </c>
      <c r="X29" s="17">
        <v>8.1636984183219713E-2</v>
      </c>
      <c r="Y29" s="17">
        <v>7.3759292241039942E-2</v>
      </c>
      <c r="Z29" s="17">
        <v>6.0439801452031906E-2</v>
      </c>
      <c r="AA29" s="17">
        <v>4.5357960053455666E-2</v>
      </c>
      <c r="AB29" s="17">
        <v>3.4075126060422851E-2</v>
      </c>
      <c r="AC29" s="8">
        <f t="shared" si="0"/>
        <v>5.0000000000000009</v>
      </c>
    </row>
    <row r="30" spans="2:29" outlineLevel="1">
      <c r="B30" s="16"/>
      <c r="C30" s="8" t="s">
        <v>47</v>
      </c>
      <c r="D30" s="8">
        <v>5</v>
      </c>
      <c r="E30" s="17">
        <v>2.606025330613013E-2</v>
      </c>
      <c r="F30" s="17">
        <v>2.175058370676803E-2</v>
      </c>
      <c r="G30" s="17">
        <v>1.9234801806585086E-2</v>
      </c>
      <c r="H30" s="17">
        <v>1.8376006009585565E-2</v>
      </c>
      <c r="I30" s="17">
        <v>1.7499974737812327E-2</v>
      </c>
      <c r="J30" s="17">
        <v>2.0590020437774578E-2</v>
      </c>
      <c r="K30" s="17">
        <v>2.6990742508879617E-2</v>
      </c>
      <c r="L30" s="17">
        <v>3.2011434103909983E-2</v>
      </c>
      <c r="M30" s="17">
        <v>3.753609934679103E-2</v>
      </c>
      <c r="N30" s="17">
        <v>4.0467118337149929E-2</v>
      </c>
      <c r="O30" s="17">
        <v>4.2683603899033883E-2</v>
      </c>
      <c r="P30" s="17">
        <v>4.6436433148524393E-2</v>
      </c>
      <c r="Q30" s="17">
        <v>4.673985116616864E-2</v>
      </c>
      <c r="R30" s="17">
        <v>4.3398877808343596E-2</v>
      </c>
      <c r="S30" s="17">
        <v>4.1236733100256308E-2</v>
      </c>
      <c r="T30" s="17">
        <v>4.144063514021433E-2</v>
      </c>
      <c r="U30" s="17">
        <v>4.308679574519763E-2</v>
      </c>
      <c r="V30" s="17">
        <v>5.544070325491135E-2</v>
      </c>
      <c r="W30" s="17">
        <v>7.4544474936915836E-2</v>
      </c>
      <c r="X30" s="17">
        <v>8.4159546936970059E-2</v>
      </c>
      <c r="Y30" s="17">
        <v>7.6593639030939908E-2</v>
      </c>
      <c r="Z30" s="17">
        <v>6.2273005860476578E-2</v>
      </c>
      <c r="AA30" s="17">
        <v>4.7127709409784578E-2</v>
      </c>
      <c r="AB30" s="17">
        <v>3.4320956260876771E-2</v>
      </c>
      <c r="AC30" s="8">
        <f t="shared" si="0"/>
        <v>5.0000000000000009</v>
      </c>
    </row>
    <row r="31" spans="2:29" outlineLevel="1">
      <c r="B31" s="16"/>
      <c r="C31" s="8" t="s">
        <v>48</v>
      </c>
      <c r="D31" s="8">
        <v>2</v>
      </c>
      <c r="E31" s="17">
        <v>2.606025330613013E-2</v>
      </c>
      <c r="F31" s="17">
        <v>2.175058370676803E-2</v>
      </c>
      <c r="G31" s="17">
        <v>1.9234801806585086E-2</v>
      </c>
      <c r="H31" s="17">
        <v>1.8376006009585565E-2</v>
      </c>
      <c r="I31" s="17">
        <v>1.7499974737812327E-2</v>
      </c>
      <c r="J31" s="17">
        <v>2.0590020437774578E-2</v>
      </c>
      <c r="K31" s="17">
        <v>2.6990742508879617E-2</v>
      </c>
      <c r="L31" s="17">
        <v>3.2011434103909983E-2</v>
      </c>
      <c r="M31" s="17">
        <v>3.753609934679103E-2</v>
      </c>
      <c r="N31" s="17">
        <v>4.0467118337149929E-2</v>
      </c>
      <c r="O31" s="17">
        <v>4.2683603899033883E-2</v>
      </c>
      <c r="P31" s="17">
        <v>4.6436433148524393E-2</v>
      </c>
      <c r="Q31" s="17">
        <v>4.673985116616864E-2</v>
      </c>
      <c r="R31" s="17">
        <v>4.3398877808343596E-2</v>
      </c>
      <c r="S31" s="17">
        <v>4.1236733100256308E-2</v>
      </c>
      <c r="T31" s="17">
        <v>4.144063514021433E-2</v>
      </c>
      <c r="U31" s="17">
        <v>4.308679574519763E-2</v>
      </c>
      <c r="V31" s="17">
        <v>5.544070325491135E-2</v>
      </c>
      <c r="W31" s="17">
        <v>7.4544474936915836E-2</v>
      </c>
      <c r="X31" s="17">
        <v>8.4159546936970059E-2</v>
      </c>
      <c r="Y31" s="17">
        <v>7.6593639030939908E-2</v>
      </c>
      <c r="Z31" s="17">
        <v>6.2273005860476578E-2</v>
      </c>
      <c r="AA31" s="17">
        <v>4.7127709409784578E-2</v>
      </c>
      <c r="AB31" s="17">
        <v>3.4320956260876771E-2</v>
      </c>
      <c r="AC31" s="8">
        <f t="shared" si="0"/>
        <v>2.0000000000000004</v>
      </c>
    </row>
    <row r="32" spans="2:29" outlineLevel="1">
      <c r="B32" s="10"/>
      <c r="C32" s="10" t="s">
        <v>15</v>
      </c>
      <c r="D32" s="10">
        <f>+SUM(D28:D31)</f>
        <v>30</v>
      </c>
      <c r="E32" s="18">
        <f t="shared" ref="E32:AB32" si="4">+SUMPRODUCT(E28:E31,$D28:$D31)</f>
        <v>0.63130912031309439</v>
      </c>
      <c r="F32" s="18">
        <f t="shared" si="4"/>
        <v>0.51930782518076568</v>
      </c>
      <c r="G32" s="18">
        <f t="shared" si="4"/>
        <v>0.46011850739057236</v>
      </c>
      <c r="H32" s="18">
        <f t="shared" si="4"/>
        <v>0.45127012385631171</v>
      </c>
      <c r="I32" s="18">
        <f t="shared" si="4"/>
        <v>0.53044613055693812</v>
      </c>
      <c r="J32" s="18">
        <f t="shared" si="4"/>
        <v>0.73481168699706567</v>
      </c>
      <c r="K32" s="18">
        <f t="shared" si="4"/>
        <v>0.9423742469792028</v>
      </c>
      <c r="L32" s="18">
        <f t="shared" si="4"/>
        <v>0.99701784075904809</v>
      </c>
      <c r="M32" s="18">
        <f t="shared" si="4"/>
        <v>1.1322789487475724</v>
      </c>
      <c r="N32" s="18">
        <f t="shared" si="4"/>
        <v>1.218718165538347</v>
      </c>
      <c r="O32" s="18">
        <f t="shared" si="4"/>
        <v>1.3142282606657452</v>
      </c>
      <c r="P32" s="18">
        <f t="shared" si="4"/>
        <v>1.4322252861271596</v>
      </c>
      <c r="Q32" s="18">
        <f t="shared" si="4"/>
        <v>1.4102985556478418</v>
      </c>
      <c r="R32" s="18">
        <f t="shared" si="4"/>
        <v>1.3092295801081462</v>
      </c>
      <c r="S32" s="18">
        <f t="shared" si="4"/>
        <v>1.2890486754710064</v>
      </c>
      <c r="T32" s="18">
        <f t="shared" si="4"/>
        <v>1.3269162317822509</v>
      </c>
      <c r="U32" s="18">
        <f t="shared" si="4"/>
        <v>1.3742227713077944</v>
      </c>
      <c r="V32" s="18">
        <f t="shared" si="4"/>
        <v>1.738301373863375</v>
      </c>
      <c r="W32" s="18">
        <f t="shared" si="4"/>
        <v>2.2737596000378062</v>
      </c>
      <c r="X32" s="18">
        <f t="shared" si="4"/>
        <v>2.4872689285842782</v>
      </c>
      <c r="Y32" s="18">
        <f t="shared" si="4"/>
        <v>2.246069593425597</v>
      </c>
      <c r="Z32" s="18">
        <f t="shared" si="4"/>
        <v>1.8485758216392765</v>
      </c>
      <c r="AA32" s="18">
        <f t="shared" si="4"/>
        <v>1.3644382520481826</v>
      </c>
      <c r="AB32" s="18">
        <f t="shared" si="4"/>
        <v>0.96776447297262436</v>
      </c>
      <c r="AC32" s="10">
        <f>+SUM(E32:AB32)</f>
        <v>30.000000000000004</v>
      </c>
    </row>
    <row r="33" spans="2:31" outlineLevel="1">
      <c r="B33" s="15">
        <f>+EDATE(B28,1)</f>
        <v>45047</v>
      </c>
      <c r="C33" s="8" t="s">
        <v>45</v>
      </c>
      <c r="D33" s="8">
        <v>21</v>
      </c>
      <c r="E33" s="17">
        <v>1.9294699575532322E-2</v>
      </c>
      <c r="F33" s="17">
        <v>1.6029744261716803E-2</v>
      </c>
      <c r="G33" s="17">
        <v>1.4184045578912809E-2</v>
      </c>
      <c r="H33" s="17">
        <v>1.4085931459595457E-2</v>
      </c>
      <c r="I33" s="17">
        <v>1.8104571268919241E-2</v>
      </c>
      <c r="J33" s="17">
        <v>2.62328231774566E-2</v>
      </c>
      <c r="K33" s="17">
        <v>3.2852268003708281E-2</v>
      </c>
      <c r="L33" s="17">
        <v>3.3748278492884261E-2</v>
      </c>
      <c r="M33" s="17">
        <v>3.7771906568809764E-2</v>
      </c>
      <c r="N33" s="17">
        <v>4.0576820969635892E-2</v>
      </c>
      <c r="O33" s="17">
        <v>4.3979094731839523E-2</v>
      </c>
      <c r="P33" s="17">
        <v>4.8067322997617089E-2</v>
      </c>
      <c r="Q33" s="17">
        <v>4.6953581986026859E-2</v>
      </c>
      <c r="R33" s="17">
        <v>4.3635544736270029E-2</v>
      </c>
      <c r="S33" s="17">
        <v>4.3640236960211326E-2</v>
      </c>
      <c r="T33" s="17">
        <v>4.5519422847830691E-2</v>
      </c>
      <c r="U33" s="17">
        <v>4.7133307061163351E-2</v>
      </c>
      <c r="V33" s="17">
        <v>5.8993205521080221E-2</v>
      </c>
      <c r="W33" s="17">
        <v>7.6197920179853135E-2</v>
      </c>
      <c r="X33" s="17">
        <v>8.2012332608250263E-2</v>
      </c>
      <c r="Y33" s="17">
        <v>7.3878540089122924E-2</v>
      </c>
      <c r="Z33" s="17">
        <v>6.1306104420977572E-2</v>
      </c>
      <c r="AA33" s="17">
        <v>4.4751448137416654E-2</v>
      </c>
      <c r="AB33" s="17">
        <v>3.1050848365169269E-2</v>
      </c>
      <c r="AC33" s="8">
        <f>+SUM(E33:AB33)*D33</f>
        <v>21.000000000000004</v>
      </c>
    </row>
    <row r="34" spans="2:31" outlineLevel="1">
      <c r="B34" s="16"/>
      <c r="C34" s="8" t="s">
        <v>46</v>
      </c>
      <c r="D34" s="8">
        <v>4</v>
      </c>
      <c r="E34" s="17">
        <v>2.1990146673708827E-2</v>
      </c>
      <c r="F34" s="17">
        <v>1.7416254351435408E-2</v>
      </c>
      <c r="G34" s="17">
        <v>1.578762448697435E-2</v>
      </c>
      <c r="H34" s="17">
        <v>1.553728123442669E-2</v>
      </c>
      <c r="I34" s="17">
        <v>1.7745017414563132E-2</v>
      </c>
      <c r="J34" s="17">
        <v>2.3629031808097306E-2</v>
      </c>
      <c r="K34" s="17">
        <v>3.1344714603755292E-2</v>
      </c>
      <c r="L34" s="17">
        <v>3.3268980953497639E-2</v>
      </c>
      <c r="M34" s="17">
        <v>3.8596854771187128E-2</v>
      </c>
      <c r="N34" s="17">
        <v>4.1826540125279581E-2</v>
      </c>
      <c r="O34" s="17">
        <v>4.5221132108526838E-2</v>
      </c>
      <c r="P34" s="17">
        <v>4.866777481144028E-2</v>
      </c>
      <c r="Q34" s="17">
        <v>4.8189617193797017E-2</v>
      </c>
      <c r="R34" s="17">
        <v>4.4517891458748189E-2</v>
      </c>
      <c r="S34" s="17">
        <v>4.3328492861396561E-2</v>
      </c>
      <c r="T34" s="17">
        <v>4.3690661393020164E-2</v>
      </c>
      <c r="U34" s="17">
        <v>4.4764556127847861E-2</v>
      </c>
      <c r="V34" s="17">
        <v>5.677997689801511E-2</v>
      </c>
      <c r="W34" s="17">
        <v>7.4585648190386947E-2</v>
      </c>
      <c r="X34" s="17">
        <v>8.0868828447110269E-2</v>
      </c>
      <c r="Y34" s="17">
        <v>7.3091597128434493E-2</v>
      </c>
      <c r="Z34" s="17">
        <v>5.9953228166047576E-2</v>
      </c>
      <c r="AA34" s="17">
        <v>4.5132657793640341E-2</v>
      </c>
      <c r="AB34" s="17">
        <v>3.4065490998662837E-2</v>
      </c>
      <c r="AC34" s="8">
        <f t="shared" si="0"/>
        <v>3.9999999999999991</v>
      </c>
    </row>
    <row r="35" spans="2:31" outlineLevel="1">
      <c r="B35" s="16"/>
      <c r="C35" s="8" t="s">
        <v>47</v>
      </c>
      <c r="D35" s="8">
        <v>4</v>
      </c>
      <c r="E35" s="17">
        <v>5.2209547925601459E-2</v>
      </c>
      <c r="F35" s="17">
        <v>2.1561150291156371E-2</v>
      </c>
      <c r="G35" s="17">
        <v>1.9022282323212163E-2</v>
      </c>
      <c r="H35" s="17">
        <v>1.813448765167695E-2</v>
      </c>
      <c r="I35" s="17">
        <v>1.8589411305775815E-2</v>
      </c>
      <c r="J35" s="17">
        <v>2.2938266669532022E-2</v>
      </c>
      <c r="K35" s="17">
        <v>2.7753189714811406E-2</v>
      </c>
      <c r="L35" s="17">
        <v>3.0145517471134985E-2</v>
      </c>
      <c r="M35" s="17">
        <v>3.4720812416103405E-2</v>
      </c>
      <c r="N35" s="17">
        <v>3.7888233805284104E-2</v>
      </c>
      <c r="O35" s="17">
        <v>4.0785067732636959E-2</v>
      </c>
      <c r="P35" s="17">
        <v>4.467816928555314E-2</v>
      </c>
      <c r="Q35" s="17">
        <v>4.560485864581227E-2</v>
      </c>
      <c r="R35" s="17">
        <v>4.2202879917996004E-2</v>
      </c>
      <c r="S35" s="17">
        <v>4.0325421783552161E-2</v>
      </c>
      <c r="T35" s="17">
        <v>4.0732890256202484E-2</v>
      </c>
      <c r="U35" s="17">
        <v>4.2390154010013156E-2</v>
      </c>
      <c r="V35" s="17">
        <v>5.4922596494439639E-2</v>
      </c>
      <c r="W35" s="17">
        <v>7.3173951077851573E-2</v>
      </c>
      <c r="X35" s="17">
        <v>8.10141414977259E-2</v>
      </c>
      <c r="Y35" s="17">
        <v>7.3161069466497752E-2</v>
      </c>
      <c r="Z35" s="17">
        <v>5.9254367861932042E-2</v>
      </c>
      <c r="AA35" s="17">
        <v>4.5234286947321692E-2</v>
      </c>
      <c r="AB35" s="17">
        <v>3.3557245448176613E-2</v>
      </c>
      <c r="AC35" s="8">
        <f t="shared" si="0"/>
        <v>4</v>
      </c>
    </row>
    <row r="36" spans="2:31" outlineLevel="1">
      <c r="B36" s="16"/>
      <c r="C36" s="8" t="s">
        <v>48</v>
      </c>
      <c r="D36" s="8">
        <v>2</v>
      </c>
      <c r="E36" s="17">
        <v>5.2209547925601459E-2</v>
      </c>
      <c r="F36" s="17">
        <v>2.1561150291156371E-2</v>
      </c>
      <c r="G36" s="17">
        <v>1.9022282323212163E-2</v>
      </c>
      <c r="H36" s="17">
        <v>1.813448765167695E-2</v>
      </c>
      <c r="I36" s="17">
        <v>1.8589411305775815E-2</v>
      </c>
      <c r="J36" s="17">
        <v>2.2938266669532022E-2</v>
      </c>
      <c r="K36" s="17">
        <v>2.7753189714811406E-2</v>
      </c>
      <c r="L36" s="17">
        <v>3.0145517471134985E-2</v>
      </c>
      <c r="M36" s="17">
        <v>3.4720812416103405E-2</v>
      </c>
      <c r="N36" s="17">
        <v>3.7888233805284104E-2</v>
      </c>
      <c r="O36" s="17">
        <v>4.0785067732636959E-2</v>
      </c>
      <c r="P36" s="17">
        <v>4.467816928555314E-2</v>
      </c>
      <c r="Q36" s="17">
        <v>4.560485864581227E-2</v>
      </c>
      <c r="R36" s="17">
        <v>4.2202879917996004E-2</v>
      </c>
      <c r="S36" s="17">
        <v>4.0325421783552161E-2</v>
      </c>
      <c r="T36" s="17">
        <v>4.0732890256202484E-2</v>
      </c>
      <c r="U36" s="17">
        <v>4.2390154010013156E-2</v>
      </c>
      <c r="V36" s="17">
        <v>5.4922596494439639E-2</v>
      </c>
      <c r="W36" s="17">
        <v>7.3173951077851573E-2</v>
      </c>
      <c r="X36" s="17">
        <v>8.10141414977259E-2</v>
      </c>
      <c r="Y36" s="17">
        <v>7.3161069466497752E-2</v>
      </c>
      <c r="Z36" s="17">
        <v>5.9254367861932042E-2</v>
      </c>
      <c r="AA36" s="17">
        <v>4.5234286947321692E-2</v>
      </c>
      <c r="AB36" s="17">
        <v>3.3557245448176613E-2</v>
      </c>
      <c r="AC36" s="8">
        <f t="shared" si="0"/>
        <v>2</v>
      </c>
    </row>
    <row r="37" spans="2:31" outlineLevel="1">
      <c r="B37" s="10"/>
      <c r="C37" s="10" t="s">
        <v>15</v>
      </c>
      <c r="D37" s="10">
        <f>+SUM(D33:D36)</f>
        <v>31</v>
      </c>
      <c r="E37" s="18">
        <f t="shared" ref="E37:AB37" si="5">+SUMPRODUCT(E33:E36,$D33:$D36)</f>
        <v>0.80640656533462285</v>
      </c>
      <c r="F37" s="18">
        <f t="shared" si="5"/>
        <v>0.53565654864873269</v>
      </c>
      <c r="G37" s="18">
        <f t="shared" si="5"/>
        <v>0.47514914904433936</v>
      </c>
      <c r="H37" s="18">
        <f t="shared" si="5"/>
        <v>0.466760611499273</v>
      </c>
      <c r="I37" s="18">
        <f t="shared" si="5"/>
        <v>0.5627125341402115</v>
      </c>
      <c r="J37" s="18">
        <f t="shared" si="5"/>
        <v>0.78303501397617004</v>
      </c>
      <c r="K37" s="18">
        <f t="shared" si="5"/>
        <v>0.98179562478176352</v>
      </c>
      <c r="L37" s="18">
        <f t="shared" si="5"/>
        <v>1.0226628769913699</v>
      </c>
      <c r="M37" s="18">
        <f t="shared" si="5"/>
        <v>1.1559223315263738</v>
      </c>
      <c r="N37" s="18">
        <f t="shared" si="5"/>
        <v>1.2467488036951766</v>
      </c>
      <c r="O37" s="18">
        <f t="shared" si="5"/>
        <v>1.3491559241985591</v>
      </c>
      <c r="P37" s="18">
        <f t="shared" si="5"/>
        <v>1.4721538979090387</v>
      </c>
      <c r="Q37" s="18">
        <f t="shared" si="5"/>
        <v>1.4524128423566258</v>
      </c>
      <c r="R37" s="18">
        <f t="shared" si="5"/>
        <v>1.3476352848046393</v>
      </c>
      <c r="S37" s="18">
        <f t="shared" si="5"/>
        <v>1.3317114783113368</v>
      </c>
      <c r="T37" s="18">
        <f t="shared" si="5"/>
        <v>1.3750678669137402</v>
      </c>
      <c r="U37" s="18">
        <f t="shared" si="5"/>
        <v>1.4231985968559007</v>
      </c>
      <c r="V37" s="18">
        <f t="shared" si="5"/>
        <v>1.7955128025013829</v>
      </c>
      <c r="W37" s="18">
        <f t="shared" si="5"/>
        <v>2.3375426230055729</v>
      </c>
      <c r="X37" s="18">
        <f t="shared" si="5"/>
        <v>2.531819147548052</v>
      </c>
      <c r="Y37" s="18">
        <f t="shared" si="5"/>
        <v>2.2827821471843057</v>
      </c>
      <c r="Z37" s="18">
        <f t="shared" si="5"/>
        <v>1.8827673126763118</v>
      </c>
      <c r="AA37" s="18">
        <f t="shared" si="5"/>
        <v>1.3917167637442411</v>
      </c>
      <c r="AB37" s="18">
        <f t="shared" si="5"/>
        <v>0.98967325235226578</v>
      </c>
      <c r="AC37" s="10">
        <f>+SUM(E37:AB37)</f>
        <v>31.000000000000004</v>
      </c>
    </row>
    <row r="38" spans="2:31" outlineLevel="1">
      <c r="B38" s="15">
        <f>+EDATE(B33,1)</f>
        <v>45078</v>
      </c>
      <c r="C38" s="8" t="s">
        <v>45</v>
      </c>
      <c r="D38" s="8">
        <v>20</v>
      </c>
      <c r="E38" s="17">
        <v>1.8158969099188221E-2</v>
      </c>
      <c r="F38" s="17">
        <v>1.4702892531845995E-2</v>
      </c>
      <c r="G38" s="17">
        <v>1.2742208131366133E-2</v>
      </c>
      <c r="H38" s="17">
        <v>1.2628211667464691E-2</v>
      </c>
      <c r="I38" s="17">
        <v>1.6824599143234725E-2</v>
      </c>
      <c r="J38" s="17">
        <v>2.5184952767346048E-2</v>
      </c>
      <c r="K38" s="17">
        <v>3.2023177343023221E-2</v>
      </c>
      <c r="L38" s="17">
        <v>3.3035672914730856E-2</v>
      </c>
      <c r="M38" s="17">
        <v>3.7426826858069161E-2</v>
      </c>
      <c r="N38" s="17">
        <v>4.0439594568685053E-2</v>
      </c>
      <c r="O38" s="17">
        <v>4.3993341421550494E-2</v>
      </c>
      <c r="P38" s="17">
        <v>4.8310131823539083E-2</v>
      </c>
      <c r="Q38" s="17">
        <v>4.7188426171505281E-2</v>
      </c>
      <c r="R38" s="17">
        <v>4.3648194725290773E-2</v>
      </c>
      <c r="S38" s="17">
        <v>4.3607109176420036E-2</v>
      </c>
      <c r="T38" s="17">
        <v>4.5574946484191678E-2</v>
      </c>
      <c r="U38" s="17">
        <v>4.7238513140503098E-2</v>
      </c>
      <c r="V38" s="17">
        <v>6.0257285808380315E-2</v>
      </c>
      <c r="W38" s="17">
        <v>7.8457957635244435E-2</v>
      </c>
      <c r="X38" s="17">
        <v>8.4287028631876884E-2</v>
      </c>
      <c r="Y38" s="17">
        <v>7.5745553156424283E-2</v>
      </c>
      <c r="Z38" s="17">
        <v>6.2569172207996418E-2</v>
      </c>
      <c r="AA38" s="17">
        <v>4.5173794735156494E-2</v>
      </c>
      <c r="AB38" s="17">
        <v>3.0781439856966724E-2</v>
      </c>
      <c r="AC38" s="8">
        <f>+SUM(E38:AB38)*D38</f>
        <v>19.999999999999996</v>
      </c>
    </row>
    <row r="39" spans="2:31" outlineLevel="1">
      <c r="B39" s="16"/>
      <c r="C39" s="8" t="s">
        <v>46</v>
      </c>
      <c r="D39" s="8">
        <v>4</v>
      </c>
      <c r="E39" s="17">
        <v>2.1027642952711728E-2</v>
      </c>
      <c r="F39" s="17">
        <v>1.6131836009488025E-2</v>
      </c>
      <c r="G39" s="17">
        <v>1.442422112556942E-2</v>
      </c>
      <c r="H39" s="17">
        <v>1.416275154455345E-2</v>
      </c>
      <c r="I39" s="17">
        <v>1.6477019917437465E-2</v>
      </c>
      <c r="J39" s="17">
        <v>2.2617398907301339E-2</v>
      </c>
      <c r="K39" s="17">
        <v>3.0732405552438613E-2</v>
      </c>
      <c r="L39" s="17">
        <v>3.2590894974645138E-2</v>
      </c>
      <c r="M39" s="17">
        <v>3.8266925830955242E-2</v>
      </c>
      <c r="N39" s="17">
        <v>4.1716287504275217E-2</v>
      </c>
      <c r="O39" s="17">
        <v>4.5271334697083256E-2</v>
      </c>
      <c r="P39" s="17">
        <v>4.890553308001961E-2</v>
      </c>
      <c r="Q39" s="17">
        <v>4.8434498580333607E-2</v>
      </c>
      <c r="R39" s="17">
        <v>4.4500175592106173E-2</v>
      </c>
      <c r="S39" s="17">
        <v>4.3266616702566277E-2</v>
      </c>
      <c r="T39" s="17">
        <v>4.3632365819340227E-2</v>
      </c>
      <c r="U39" s="17">
        <v>4.4742587363397882E-2</v>
      </c>
      <c r="V39" s="17">
        <v>5.795015444126371E-2</v>
      </c>
      <c r="W39" s="17">
        <v>7.6763464913875382E-2</v>
      </c>
      <c r="X39" s="17">
        <v>8.3066809895601598E-2</v>
      </c>
      <c r="Y39" s="17">
        <v>7.4875762199152512E-2</v>
      </c>
      <c r="Z39" s="17">
        <v>6.1047707472666635E-2</v>
      </c>
      <c r="AA39" s="17">
        <v>4.549596417238462E-2</v>
      </c>
      <c r="AB39" s="17">
        <v>3.3899640750832828E-2</v>
      </c>
      <c r="AC39" s="8">
        <f t="shared" si="0"/>
        <v>4</v>
      </c>
    </row>
    <row r="40" spans="2:31" outlineLevel="1">
      <c r="B40" s="16"/>
      <c r="C40" s="8" t="s">
        <v>47</v>
      </c>
      <c r="D40" s="8">
        <v>4</v>
      </c>
      <c r="E40" s="17">
        <v>5.0784811250946159E-2</v>
      </c>
      <c r="F40" s="17">
        <v>2.0560524866700288E-2</v>
      </c>
      <c r="G40" s="17">
        <v>1.7872607609416238E-2</v>
      </c>
      <c r="H40" s="17">
        <v>1.695602617478013E-2</v>
      </c>
      <c r="I40" s="17">
        <v>1.740706860840709E-2</v>
      </c>
      <c r="J40" s="17">
        <v>2.1996945552732152E-2</v>
      </c>
      <c r="K40" s="17">
        <v>2.701424080316028E-2</v>
      </c>
      <c r="L40" s="17">
        <v>2.9372500540490565E-2</v>
      </c>
      <c r="M40" s="17">
        <v>3.4202134514456327E-2</v>
      </c>
      <c r="N40" s="17">
        <v>3.7561936760591677E-2</v>
      </c>
      <c r="O40" s="17">
        <v>4.0610681968805698E-2</v>
      </c>
      <c r="P40" s="17">
        <v>4.4759905125988632E-2</v>
      </c>
      <c r="Q40" s="17">
        <v>4.5786594678631991E-2</v>
      </c>
      <c r="R40" s="17">
        <v>4.213012915917988E-2</v>
      </c>
      <c r="S40" s="17">
        <v>4.015380150192218E-2</v>
      </c>
      <c r="T40" s="17">
        <v>4.0583797155609579E-2</v>
      </c>
      <c r="U40" s="17">
        <v>4.2342045918013015E-2</v>
      </c>
      <c r="V40" s="17">
        <v>5.6081432201222324E-2</v>
      </c>
      <c r="W40" s="17">
        <v>7.5372485513976434E-2</v>
      </c>
      <c r="X40" s="17">
        <v>8.3404528359080535E-2</v>
      </c>
      <c r="Y40" s="17">
        <v>7.5161839066454281E-2</v>
      </c>
      <c r="Z40" s="17">
        <v>6.0526029784312804E-2</v>
      </c>
      <c r="AA40" s="17">
        <v>4.5826204262457787E-2</v>
      </c>
      <c r="AB40" s="17">
        <v>3.3531728622663799E-2</v>
      </c>
      <c r="AC40" s="8">
        <f t="shared" si="0"/>
        <v>3.9999999999999991</v>
      </c>
    </row>
    <row r="41" spans="2:31" outlineLevel="1">
      <c r="B41" s="16"/>
      <c r="C41" s="8" t="s">
        <v>48</v>
      </c>
      <c r="D41" s="8">
        <v>2</v>
      </c>
      <c r="E41" s="17">
        <v>5.0784811250946159E-2</v>
      </c>
      <c r="F41" s="17">
        <v>2.0560524866700288E-2</v>
      </c>
      <c r="G41" s="17">
        <v>1.7872607609416238E-2</v>
      </c>
      <c r="H41" s="17">
        <v>1.695602617478013E-2</v>
      </c>
      <c r="I41" s="17">
        <v>1.740706860840709E-2</v>
      </c>
      <c r="J41" s="17">
        <v>2.1996945552732152E-2</v>
      </c>
      <c r="K41" s="17">
        <v>2.701424080316028E-2</v>
      </c>
      <c r="L41" s="17">
        <v>2.9372500540490565E-2</v>
      </c>
      <c r="M41" s="17">
        <v>3.4202134514456327E-2</v>
      </c>
      <c r="N41" s="17">
        <v>3.7561936760591677E-2</v>
      </c>
      <c r="O41" s="17">
        <v>4.0610681968805698E-2</v>
      </c>
      <c r="P41" s="17">
        <v>4.4759905125988632E-2</v>
      </c>
      <c r="Q41" s="17">
        <v>4.5786594678631991E-2</v>
      </c>
      <c r="R41" s="17">
        <v>4.213012915917988E-2</v>
      </c>
      <c r="S41" s="17">
        <v>4.015380150192218E-2</v>
      </c>
      <c r="T41" s="17">
        <v>4.0583797155609579E-2</v>
      </c>
      <c r="U41" s="17">
        <v>4.2342045918013015E-2</v>
      </c>
      <c r="V41" s="17">
        <v>5.6081432201222324E-2</v>
      </c>
      <c r="W41" s="17">
        <v>7.5372485513976434E-2</v>
      </c>
      <c r="X41" s="17">
        <v>8.3404528359080535E-2</v>
      </c>
      <c r="Y41" s="17">
        <v>7.5161839066454281E-2</v>
      </c>
      <c r="Z41" s="17">
        <v>6.0526029784312804E-2</v>
      </c>
      <c r="AA41" s="17">
        <v>4.5826204262457787E-2</v>
      </c>
      <c r="AB41" s="17">
        <v>3.3531728622663799E-2</v>
      </c>
      <c r="AC41" s="8">
        <f t="shared" si="0"/>
        <v>1.9999999999999996</v>
      </c>
    </row>
    <row r="42" spans="2:31" outlineLevel="1">
      <c r="B42" s="10"/>
      <c r="C42" s="10" t="s">
        <v>15</v>
      </c>
      <c r="D42" s="10">
        <f>+SUM(D38:D41)</f>
        <v>30</v>
      </c>
      <c r="E42" s="18">
        <f t="shared" ref="E42:AB42" si="6">+SUMPRODUCT(E38:E41,$D38:$D41)</f>
        <v>0.75199882130028828</v>
      </c>
      <c r="F42" s="18">
        <f t="shared" si="6"/>
        <v>0.48194834387507379</v>
      </c>
      <c r="G42" s="18">
        <f t="shared" si="6"/>
        <v>0.41977669278609775</v>
      </c>
      <c r="H42" s="18">
        <f t="shared" si="6"/>
        <v>0.4109513965761884</v>
      </c>
      <c r="I42" s="18">
        <f t="shared" si="6"/>
        <v>0.50684247418488693</v>
      </c>
      <c r="J42" s="18">
        <f t="shared" si="6"/>
        <v>0.72615032429251913</v>
      </c>
      <c r="K42" s="18">
        <f t="shared" si="6"/>
        <v>0.92547861388918062</v>
      </c>
      <c r="L42" s="18">
        <f t="shared" si="6"/>
        <v>0.96731204143614113</v>
      </c>
      <c r="M42" s="18">
        <f t="shared" si="6"/>
        <v>1.1068170475719421</v>
      </c>
      <c r="N42" s="18">
        <f t="shared" si="6"/>
        <v>1.2010286619543522</v>
      </c>
      <c r="O42" s="18">
        <f t="shared" si="6"/>
        <v>1.304616259032177</v>
      </c>
      <c r="P42" s="18">
        <f t="shared" si="6"/>
        <v>1.4303841995467919</v>
      </c>
      <c r="Q42" s="18">
        <f t="shared" si="6"/>
        <v>1.4122260858232321</v>
      </c>
      <c r="R42" s="18">
        <f t="shared" si="6"/>
        <v>1.3037453718293197</v>
      </c>
      <c r="S42" s="18">
        <f t="shared" si="6"/>
        <v>1.2861314593501987</v>
      </c>
      <c r="T42" s="18">
        <f t="shared" si="6"/>
        <v>1.3295311758948518</v>
      </c>
      <c r="U42" s="18">
        <f t="shared" si="6"/>
        <v>1.3777928877717316</v>
      </c>
      <c r="V42" s="18">
        <f t="shared" si="6"/>
        <v>1.773434927139995</v>
      </c>
      <c r="W42" s="18">
        <f t="shared" si="6"/>
        <v>2.3284479254442485</v>
      </c>
      <c r="X42" s="18">
        <f t="shared" si="6"/>
        <v>2.5184349823744272</v>
      </c>
      <c r="Y42" s="18">
        <f t="shared" si="6"/>
        <v>2.2653851463238213</v>
      </c>
      <c r="Z42" s="18">
        <f t="shared" si="6"/>
        <v>1.8587304527564716</v>
      </c>
      <c r="AA42" s="18">
        <f t="shared" si="6"/>
        <v>1.3604169769674148</v>
      </c>
      <c r="AB42" s="18">
        <f t="shared" si="6"/>
        <v>0.95241773187864853</v>
      </c>
      <c r="AC42" s="10">
        <f>+SUM(E42:AB42)</f>
        <v>29.999999999999996</v>
      </c>
    </row>
    <row r="43" spans="2:31" outlineLevel="1">
      <c r="B43" s="15">
        <f>+EDATE(B38,1)</f>
        <v>45108</v>
      </c>
      <c r="C43" s="8" t="s">
        <v>45</v>
      </c>
      <c r="D43" s="8">
        <v>19</v>
      </c>
      <c r="E43" s="17">
        <v>1.7823732227118683E-2</v>
      </c>
      <c r="F43" s="17">
        <v>1.4338464511656429E-2</v>
      </c>
      <c r="G43" s="17">
        <v>1.2377433816154512E-2</v>
      </c>
      <c r="H43" s="17">
        <v>1.2297984429163538E-2</v>
      </c>
      <c r="I43" s="17">
        <v>1.6577265219157401E-2</v>
      </c>
      <c r="J43" s="17">
        <v>2.5149083496888106E-2</v>
      </c>
      <c r="K43" s="17">
        <v>3.2088162572206883E-2</v>
      </c>
      <c r="L43" s="17">
        <v>3.3048075021316181E-2</v>
      </c>
      <c r="M43" s="17">
        <v>3.7441164662950936E-2</v>
      </c>
      <c r="N43" s="17">
        <v>4.0453974445888372E-2</v>
      </c>
      <c r="O43" s="17">
        <v>4.4034912168419843E-2</v>
      </c>
      <c r="P43" s="17">
        <v>4.8422533442077323E-2</v>
      </c>
      <c r="Q43" s="17">
        <v>4.7273176188262427E-2</v>
      </c>
      <c r="R43" s="17">
        <v>4.3660233659872705E-2</v>
      </c>
      <c r="S43" s="17">
        <v>4.2622937130254633E-2</v>
      </c>
      <c r="T43" s="17">
        <v>4.5683446909986901E-2</v>
      </c>
      <c r="U43" s="17">
        <v>4.7384291704802711E-2</v>
      </c>
      <c r="V43" s="17">
        <v>6.0606171219103E-2</v>
      </c>
      <c r="W43" s="17">
        <v>7.8943455118521494E-2</v>
      </c>
      <c r="X43" s="17">
        <v>8.4700449694049357E-2</v>
      </c>
      <c r="Y43" s="17">
        <v>7.6120955447977867E-2</v>
      </c>
      <c r="Z43" s="17">
        <v>6.2879561290392433E-2</v>
      </c>
      <c r="AA43" s="17">
        <v>4.5320652162540678E-2</v>
      </c>
      <c r="AB43" s="17">
        <v>3.0751883461237722E-2</v>
      </c>
      <c r="AC43" s="8">
        <f>+SUM(E43:AB43)*D43</f>
        <v>19.000000000000004</v>
      </c>
    </row>
    <row r="44" spans="2:31" outlineLevel="1">
      <c r="B44" s="16"/>
      <c r="C44" s="8" t="s">
        <v>46</v>
      </c>
      <c r="D44" s="8">
        <v>5</v>
      </c>
      <c r="E44" s="17">
        <v>1.7823732227118683E-2</v>
      </c>
      <c r="F44" s="17">
        <v>1.4338464511656429E-2</v>
      </c>
      <c r="G44" s="17">
        <v>1.2377433816154512E-2</v>
      </c>
      <c r="H44" s="17">
        <v>1.2297984429163538E-2</v>
      </c>
      <c r="I44" s="17">
        <v>1.6577265219157401E-2</v>
      </c>
      <c r="J44" s="17">
        <v>2.5149083496888106E-2</v>
      </c>
      <c r="K44" s="17">
        <v>3.2088162572206883E-2</v>
      </c>
      <c r="L44" s="17">
        <v>3.3048075021316181E-2</v>
      </c>
      <c r="M44" s="17">
        <v>3.7441164662950936E-2</v>
      </c>
      <c r="N44" s="17">
        <v>4.0453974445888372E-2</v>
      </c>
      <c r="O44" s="17">
        <v>4.4034912168419843E-2</v>
      </c>
      <c r="P44" s="17">
        <v>4.8422533442077323E-2</v>
      </c>
      <c r="Q44" s="17">
        <v>4.7273176188262427E-2</v>
      </c>
      <c r="R44" s="17">
        <v>4.3660233659872705E-2</v>
      </c>
      <c r="S44" s="17">
        <v>4.2622937130254633E-2</v>
      </c>
      <c r="T44" s="17">
        <v>4.5683446909986901E-2</v>
      </c>
      <c r="U44" s="17">
        <v>4.7384291704802711E-2</v>
      </c>
      <c r="V44" s="17">
        <v>6.0606171219103E-2</v>
      </c>
      <c r="W44" s="17">
        <v>7.8943455118521494E-2</v>
      </c>
      <c r="X44" s="17">
        <v>8.4700449694049357E-2</v>
      </c>
      <c r="Y44" s="17">
        <v>7.6120955447977867E-2</v>
      </c>
      <c r="Z44" s="17">
        <v>6.2879561290392433E-2</v>
      </c>
      <c r="AA44" s="17">
        <v>4.5320652162540678E-2</v>
      </c>
      <c r="AB44" s="17">
        <v>3.0751883461237722E-2</v>
      </c>
      <c r="AC44" s="8">
        <f t="shared" si="0"/>
        <v>5.0000000000000009</v>
      </c>
    </row>
    <row r="45" spans="2:31" outlineLevel="1">
      <c r="B45" s="16"/>
      <c r="C45" s="8" t="s">
        <v>47</v>
      </c>
      <c r="D45" s="8">
        <v>5</v>
      </c>
      <c r="E45" s="17">
        <v>5.2444099422734952E-2</v>
      </c>
      <c r="F45" s="17">
        <v>2.1264519883888562E-2</v>
      </c>
      <c r="G45" s="17">
        <v>1.8418407076518498E-2</v>
      </c>
      <c r="H45" s="17">
        <v>1.7311283929616655E-2</v>
      </c>
      <c r="I45" s="17">
        <v>1.7434362270022159E-2</v>
      </c>
      <c r="J45" s="17">
        <v>2.0851271450280401E-2</v>
      </c>
      <c r="K45" s="17">
        <v>2.5301556620614656E-2</v>
      </c>
      <c r="L45" s="17">
        <v>2.8540441467086026E-2</v>
      </c>
      <c r="M45" s="17">
        <v>3.4034521100308864E-2</v>
      </c>
      <c r="N45" s="17">
        <v>3.7731016083371864E-2</v>
      </c>
      <c r="O45" s="17">
        <v>4.0737511013774742E-2</v>
      </c>
      <c r="P45" s="17">
        <v>4.4833694055662732E-2</v>
      </c>
      <c r="Q45" s="17">
        <v>4.6131051769878105E-2</v>
      </c>
      <c r="R45" s="17">
        <v>4.2455934235957456E-2</v>
      </c>
      <c r="S45" s="17">
        <v>3.974666810380096E-2</v>
      </c>
      <c r="T45" s="17">
        <v>4.0366350147568224E-2</v>
      </c>
      <c r="U45" s="17">
        <v>4.1937368148721496E-2</v>
      </c>
      <c r="V45" s="17">
        <v>5.6050473326748382E-2</v>
      </c>
      <c r="W45" s="17">
        <v>7.589156073901368E-2</v>
      </c>
      <c r="X45" s="17">
        <v>8.3556778552452665E-2</v>
      </c>
      <c r="Y45" s="17">
        <v>7.516327473751877E-2</v>
      </c>
      <c r="Z45" s="17">
        <v>6.0365642130207606E-2</v>
      </c>
      <c r="AA45" s="17">
        <v>4.5745941997082901E-2</v>
      </c>
      <c r="AB45" s="17">
        <v>3.3686271737169704E-2</v>
      </c>
      <c r="AC45" s="8">
        <f t="shared" si="0"/>
        <v>5</v>
      </c>
    </row>
    <row r="46" spans="2:31" outlineLevel="1">
      <c r="B46" s="16"/>
      <c r="C46" s="8" t="s">
        <v>48</v>
      </c>
      <c r="D46" s="8">
        <v>2</v>
      </c>
      <c r="E46" s="17">
        <v>5.2444099422734952E-2</v>
      </c>
      <c r="F46" s="17">
        <v>2.1264519883888562E-2</v>
      </c>
      <c r="G46" s="17">
        <v>1.8418407076518498E-2</v>
      </c>
      <c r="H46" s="17">
        <v>1.7311283929616655E-2</v>
      </c>
      <c r="I46" s="17">
        <v>1.7434362270022159E-2</v>
      </c>
      <c r="J46" s="17">
        <v>2.0851271450280401E-2</v>
      </c>
      <c r="K46" s="17">
        <v>2.5301556620614656E-2</v>
      </c>
      <c r="L46" s="17">
        <v>2.8540441467086026E-2</v>
      </c>
      <c r="M46" s="17">
        <v>3.4034521100308864E-2</v>
      </c>
      <c r="N46" s="17">
        <v>3.7731016083371864E-2</v>
      </c>
      <c r="O46" s="17">
        <v>4.0737511013774742E-2</v>
      </c>
      <c r="P46" s="17">
        <v>4.4833694055662732E-2</v>
      </c>
      <c r="Q46" s="17">
        <v>4.6131051769878105E-2</v>
      </c>
      <c r="R46" s="17">
        <v>4.2455934235957456E-2</v>
      </c>
      <c r="S46" s="17">
        <v>3.974666810380096E-2</v>
      </c>
      <c r="T46" s="17">
        <v>4.0366350147568224E-2</v>
      </c>
      <c r="U46" s="17">
        <v>4.1937368148721496E-2</v>
      </c>
      <c r="V46" s="17">
        <v>5.6050473326748382E-2</v>
      </c>
      <c r="W46" s="17">
        <v>7.589156073901368E-2</v>
      </c>
      <c r="X46" s="17">
        <v>8.3556778552452665E-2</v>
      </c>
      <c r="Y46" s="17">
        <v>7.516327473751877E-2</v>
      </c>
      <c r="Z46" s="17">
        <v>6.0365642130207606E-2</v>
      </c>
      <c r="AA46" s="17">
        <v>4.5745941997082901E-2</v>
      </c>
      <c r="AB46" s="17">
        <v>3.3686271737169704E-2</v>
      </c>
      <c r="AC46" s="8">
        <f t="shared" si="0"/>
        <v>2</v>
      </c>
    </row>
    <row r="47" spans="2:31" outlineLevel="1">
      <c r="B47" s="10"/>
      <c r="C47" s="10" t="s">
        <v>15</v>
      </c>
      <c r="D47" s="10">
        <f>+SUM(D43:D46)</f>
        <v>31</v>
      </c>
      <c r="E47" s="18">
        <f t="shared" ref="E47:AB47" si="7">+SUMPRODUCT(E43:E46,$D43:$D46)</f>
        <v>0.79487826940999318</v>
      </c>
      <c r="F47" s="18">
        <f t="shared" si="7"/>
        <v>0.49297478746697421</v>
      </c>
      <c r="G47" s="18">
        <f t="shared" si="7"/>
        <v>0.42598726112333773</v>
      </c>
      <c r="H47" s="18">
        <f t="shared" si="7"/>
        <v>0.41633061380724151</v>
      </c>
      <c r="I47" s="18">
        <f t="shared" si="7"/>
        <v>0.51989490114993275</v>
      </c>
      <c r="J47" s="18">
        <f t="shared" si="7"/>
        <v>0.74953690407727747</v>
      </c>
      <c r="K47" s="18">
        <f t="shared" si="7"/>
        <v>0.94722679807726784</v>
      </c>
      <c r="L47" s="18">
        <f t="shared" si="7"/>
        <v>0.99293689078119052</v>
      </c>
      <c r="M47" s="18">
        <f t="shared" si="7"/>
        <v>1.1368295996129845</v>
      </c>
      <c r="N47" s="18">
        <f t="shared" si="7"/>
        <v>1.2350124992849241</v>
      </c>
      <c r="O47" s="18">
        <f t="shared" si="7"/>
        <v>1.3420004691384995</v>
      </c>
      <c r="P47" s="18">
        <f t="shared" si="7"/>
        <v>1.4759766609994951</v>
      </c>
      <c r="Q47" s="18">
        <f t="shared" si="7"/>
        <v>1.457473590907445</v>
      </c>
      <c r="R47" s="18">
        <f t="shared" si="7"/>
        <v>1.3450371474886471</v>
      </c>
      <c r="S47" s="18">
        <f t="shared" si="7"/>
        <v>1.301177167852718</v>
      </c>
      <c r="T47" s="18">
        <f t="shared" si="7"/>
        <v>1.378967176872663</v>
      </c>
      <c r="U47" s="18">
        <f t="shared" si="7"/>
        <v>1.4307845779563155</v>
      </c>
      <c r="V47" s="18">
        <f t="shared" si="7"/>
        <v>1.8469014225457108</v>
      </c>
      <c r="W47" s="18">
        <f t="shared" si="7"/>
        <v>2.4258838480176119</v>
      </c>
      <c r="X47" s="18">
        <f t="shared" si="7"/>
        <v>2.617708242524353</v>
      </c>
      <c r="Y47" s="18">
        <f t="shared" si="7"/>
        <v>2.3530458539141001</v>
      </c>
      <c r="Z47" s="18">
        <f t="shared" si="7"/>
        <v>1.9316689658808717</v>
      </c>
      <c r="AA47" s="18">
        <f t="shared" si="7"/>
        <v>1.4079172458805564</v>
      </c>
      <c r="AB47" s="18">
        <f t="shared" si="7"/>
        <v>0.97384910522989332</v>
      </c>
      <c r="AC47" s="10">
        <f>+SUM(E47:AB47)</f>
        <v>31</v>
      </c>
    </row>
    <row r="48" spans="2:31" outlineLevel="1">
      <c r="B48" s="15">
        <f>+EDATE(B43,1)</f>
        <v>45139</v>
      </c>
      <c r="C48" s="8" t="s">
        <v>45</v>
      </c>
      <c r="D48" s="8">
        <v>21</v>
      </c>
      <c r="E48" s="17">
        <v>1.7100204136607899E-2</v>
      </c>
      <c r="F48" s="17">
        <v>1.3490094463588453E-2</v>
      </c>
      <c r="G48" s="17">
        <v>1.1453235040648699E-2</v>
      </c>
      <c r="H48" s="17">
        <v>1.1362193973726793E-2</v>
      </c>
      <c r="I48" s="17">
        <v>1.5753118093988064E-2</v>
      </c>
      <c r="J48" s="17">
        <v>2.4458518961031385E-2</v>
      </c>
      <c r="K48" s="17">
        <v>3.1528894258664314E-2</v>
      </c>
      <c r="L48" s="17">
        <v>3.2581936362171562E-2</v>
      </c>
      <c r="M48" s="17">
        <v>3.7224264762414645E-2</v>
      </c>
      <c r="N48" s="17">
        <v>4.0376091310879492E-2</v>
      </c>
      <c r="O48" s="17">
        <v>4.4052934611378214E-2</v>
      </c>
      <c r="P48" s="17">
        <v>4.8588652372851891E-2</v>
      </c>
      <c r="Q48" s="17">
        <v>4.7438104649705888E-2</v>
      </c>
      <c r="R48" s="17">
        <v>4.3678839375631349E-2</v>
      </c>
      <c r="S48" s="17">
        <v>4.2511996015077824E-2</v>
      </c>
      <c r="T48" s="17">
        <v>4.5724422741749066E-2</v>
      </c>
      <c r="U48" s="17">
        <v>4.7454467096356187E-2</v>
      </c>
      <c r="V48" s="17">
        <v>6.1432069636347307E-2</v>
      </c>
      <c r="W48" s="17">
        <v>8.0419559649078223E-2</v>
      </c>
      <c r="X48" s="17">
        <v>8.616681789134481E-2</v>
      </c>
      <c r="Y48" s="17">
        <v>7.7324916310564165E-2</v>
      </c>
      <c r="Z48" s="17">
        <v>6.3696828934525579E-2</v>
      </c>
      <c r="AA48" s="17">
        <v>4.5597262888060458E-2</v>
      </c>
      <c r="AB48" s="17">
        <v>3.0584576463607713E-2</v>
      </c>
      <c r="AC48" s="8">
        <f>+SUM(E48:AB48)*D48</f>
        <v>20.999999999999996</v>
      </c>
      <c r="AE48" s="49"/>
    </row>
    <row r="49" spans="2:29" outlineLevel="1">
      <c r="B49" s="16"/>
      <c r="C49" s="8" t="s">
        <v>46</v>
      </c>
      <c r="D49" s="8">
        <v>4</v>
      </c>
      <c r="E49" s="17">
        <v>2.0307858615111821E-2</v>
      </c>
      <c r="F49" s="17">
        <v>1.5106031623947058E-2</v>
      </c>
      <c r="G49" s="17">
        <v>1.3337869642939279E-2</v>
      </c>
      <c r="H49" s="17">
        <v>1.3068505981889399E-2</v>
      </c>
      <c r="I49" s="17">
        <v>1.546406003810788E-2</v>
      </c>
      <c r="J49" s="17">
        <v>2.1783591886299424E-2</v>
      </c>
      <c r="K49" s="17">
        <v>3.0219428180360153E-2</v>
      </c>
      <c r="L49" s="17">
        <v>3.2030478485969981E-2</v>
      </c>
      <c r="M49" s="17">
        <v>3.8026516111008137E-2</v>
      </c>
      <c r="N49" s="17">
        <v>4.1681592639149681E-2</v>
      </c>
      <c r="O49" s="17">
        <v>4.5357067688427406E-2</v>
      </c>
      <c r="P49" s="17">
        <v>4.9147038086975167E-2</v>
      </c>
      <c r="Q49" s="17">
        <v>4.8699473767521852E-2</v>
      </c>
      <c r="R49" s="17">
        <v>4.4513784875473153E-2</v>
      </c>
      <c r="S49" s="17">
        <v>4.278749988476406E-2</v>
      </c>
      <c r="T49" s="17">
        <v>4.3614631924993923E-2</v>
      </c>
      <c r="U49" s="17">
        <v>4.474333145044318E-2</v>
      </c>
      <c r="V49" s="17">
        <v>5.8979277393068213E-2</v>
      </c>
      <c r="W49" s="17">
        <v>7.8650031200421147E-2</v>
      </c>
      <c r="X49" s="17">
        <v>8.4799876858758144E-2</v>
      </c>
      <c r="Y49" s="17">
        <v>7.6270094451628731E-2</v>
      </c>
      <c r="Z49" s="17">
        <v>6.1882541232002534E-2</v>
      </c>
      <c r="AA49" s="17">
        <v>4.5763276806680804E-2</v>
      </c>
      <c r="AB49" s="17">
        <v>3.3766141174059024E-2</v>
      </c>
      <c r="AC49" s="8">
        <f t="shared" si="0"/>
        <v>4</v>
      </c>
    </row>
    <row r="50" spans="2:29" outlineLevel="1">
      <c r="B50" s="16"/>
      <c r="C50" s="8" t="s">
        <v>47</v>
      </c>
      <c r="D50" s="8">
        <v>4</v>
      </c>
      <c r="E50" s="17">
        <v>5.1693781800499931E-2</v>
      </c>
      <c r="F50" s="17">
        <v>2.0695436889111102E-2</v>
      </c>
      <c r="G50" s="17">
        <v>1.7741025026430619E-2</v>
      </c>
      <c r="H50" s="17">
        <v>1.6599276572411354E-2</v>
      </c>
      <c r="I50" s="17">
        <v>1.6690279128268853E-2</v>
      </c>
      <c r="J50" s="17">
        <v>2.0155605866154006E-2</v>
      </c>
      <c r="K50" s="17">
        <v>2.468215469323139E-2</v>
      </c>
      <c r="L50" s="17">
        <v>2.7976925277925474E-2</v>
      </c>
      <c r="M50" s="17">
        <v>3.3690449230079716E-2</v>
      </c>
      <c r="N50" s="17">
        <v>3.7538582306707868E-2</v>
      </c>
      <c r="O50" s="17">
        <v>4.0637082685604578E-2</v>
      </c>
      <c r="P50" s="17">
        <v>4.4891173462477792E-2</v>
      </c>
      <c r="Q50" s="17">
        <v>4.6276650497096873E-2</v>
      </c>
      <c r="R50" s="17">
        <v>4.2437792682882274E-2</v>
      </c>
      <c r="S50" s="17">
        <v>3.9601318553700214E-2</v>
      </c>
      <c r="T50" s="17">
        <v>4.0252010877434005E-2</v>
      </c>
      <c r="U50" s="17">
        <v>4.1870426589382767E-2</v>
      </c>
      <c r="V50" s="17">
        <v>5.6782074384028887E-2</v>
      </c>
      <c r="W50" s="17">
        <v>7.7329021534450829E-2</v>
      </c>
      <c r="X50" s="17">
        <v>8.5077826699286291E-2</v>
      </c>
      <c r="Y50" s="17">
        <v>7.6425882026600847E-2</v>
      </c>
      <c r="Z50" s="17">
        <v>6.1154369332949141E-2</v>
      </c>
      <c r="AA50" s="17">
        <v>4.6114516505041267E-2</v>
      </c>
      <c r="AB50" s="17">
        <v>3.3686337378243975E-2</v>
      </c>
      <c r="AC50" s="8">
        <f t="shared" si="0"/>
        <v>4.0000000000000009</v>
      </c>
    </row>
    <row r="51" spans="2:29" outlineLevel="1">
      <c r="B51" s="16"/>
      <c r="C51" s="8" t="s">
        <v>48</v>
      </c>
      <c r="D51" s="8">
        <v>2</v>
      </c>
      <c r="E51" s="17">
        <v>5.1693781800499931E-2</v>
      </c>
      <c r="F51" s="17">
        <v>2.0695436889111102E-2</v>
      </c>
      <c r="G51" s="17">
        <v>1.7741025026430619E-2</v>
      </c>
      <c r="H51" s="17">
        <v>1.6599276572411354E-2</v>
      </c>
      <c r="I51" s="17">
        <v>1.6690279128268853E-2</v>
      </c>
      <c r="J51" s="17">
        <v>2.0155605866154006E-2</v>
      </c>
      <c r="K51" s="17">
        <v>2.468215469323139E-2</v>
      </c>
      <c r="L51" s="17">
        <v>2.7976925277925474E-2</v>
      </c>
      <c r="M51" s="17">
        <v>3.3690449230079716E-2</v>
      </c>
      <c r="N51" s="17">
        <v>3.7538582306707868E-2</v>
      </c>
      <c r="O51" s="17">
        <v>4.0637082685604578E-2</v>
      </c>
      <c r="P51" s="17">
        <v>4.4891173462477792E-2</v>
      </c>
      <c r="Q51" s="17">
        <v>4.6276650497096873E-2</v>
      </c>
      <c r="R51" s="17">
        <v>4.2437792682882274E-2</v>
      </c>
      <c r="S51" s="17">
        <v>3.9601318553700214E-2</v>
      </c>
      <c r="T51" s="17">
        <v>4.0252010877434005E-2</v>
      </c>
      <c r="U51" s="17">
        <v>4.1870426589382767E-2</v>
      </c>
      <c r="V51" s="17">
        <v>5.6782074384028887E-2</v>
      </c>
      <c r="W51" s="17">
        <v>7.7329021534450829E-2</v>
      </c>
      <c r="X51" s="17">
        <v>8.5077826699286291E-2</v>
      </c>
      <c r="Y51" s="17">
        <v>7.6425882026600847E-2</v>
      </c>
      <c r="Z51" s="17">
        <v>6.1154369332949141E-2</v>
      </c>
      <c r="AA51" s="17">
        <v>4.6114516505041267E-2</v>
      </c>
      <c r="AB51" s="17">
        <v>3.3686337378243975E-2</v>
      </c>
      <c r="AC51" s="8">
        <f t="shared" si="0"/>
        <v>2.0000000000000004</v>
      </c>
    </row>
    <row r="52" spans="2:29" outlineLevel="1">
      <c r="B52" s="10"/>
      <c r="C52" s="10" t="s">
        <v>15</v>
      </c>
      <c r="D52" s="10">
        <f>+SUM(D48:D51)</f>
        <v>31</v>
      </c>
      <c r="E52" s="18">
        <f t="shared" ref="E52:AB52" si="8">+SUMPRODUCT(E48:E51,$D48:$D51)</f>
        <v>0.7504984121322128</v>
      </c>
      <c r="F52" s="18">
        <f t="shared" si="8"/>
        <v>0.46788873156581234</v>
      </c>
      <c r="G52" s="18">
        <f t="shared" si="8"/>
        <v>0.4003155645839635</v>
      </c>
      <c r="H52" s="18">
        <f t="shared" si="8"/>
        <v>0.3904757568102884</v>
      </c>
      <c r="I52" s="18">
        <f t="shared" si="8"/>
        <v>0.49281339489579395</v>
      </c>
      <c r="J52" s="18">
        <f t="shared" si="8"/>
        <v>0.7216969009237808</v>
      </c>
      <c r="K52" s="18">
        <f t="shared" si="8"/>
        <v>0.93107742031277962</v>
      </c>
      <c r="L52" s="18">
        <f t="shared" si="8"/>
        <v>0.98020412921703559</v>
      </c>
      <c r="M52" s="18">
        <f t="shared" si="8"/>
        <v>1.1359583198352183</v>
      </c>
      <c r="N52" s="18">
        <f t="shared" si="8"/>
        <v>1.2398557819253151</v>
      </c>
      <c r="O52" s="18">
        <f t="shared" si="8"/>
        <v>1.3503623937062796</v>
      </c>
      <c r="P52" s="18">
        <f t="shared" si="8"/>
        <v>1.4862968929526572</v>
      </c>
      <c r="Q52" s="18">
        <f t="shared" si="8"/>
        <v>1.4686579956964922</v>
      </c>
      <c r="R52" s="18">
        <f t="shared" si="8"/>
        <v>1.3499375224874446</v>
      </c>
      <c r="S52" s="18">
        <f t="shared" si="8"/>
        <v>1.3015098271778918</v>
      </c>
      <c r="T52" s="18">
        <f t="shared" si="8"/>
        <v>1.3761834705413101</v>
      </c>
      <c r="U52" s="18">
        <f t="shared" si="8"/>
        <v>1.4267396943615493</v>
      </c>
      <c r="V52" s="18">
        <f t="shared" si="8"/>
        <v>1.8666830182397396</v>
      </c>
      <c r="W52" s="18">
        <f t="shared" si="8"/>
        <v>2.4673850066390326</v>
      </c>
      <c r="X52" s="18">
        <f t="shared" si="8"/>
        <v>2.6591696433489913</v>
      </c>
      <c r="Y52" s="18">
        <f t="shared" si="8"/>
        <v>2.3874589124879675</v>
      </c>
      <c r="Z52" s="18">
        <f t="shared" si="8"/>
        <v>1.9520897885507422</v>
      </c>
      <c r="AA52" s="18">
        <f t="shared" si="8"/>
        <v>1.4172827269062405</v>
      </c>
      <c r="AB52" s="18">
        <f t="shared" si="8"/>
        <v>0.97945869470146185</v>
      </c>
      <c r="AC52" s="10">
        <f>+SUM(E52:AB52)</f>
        <v>31</v>
      </c>
    </row>
    <row r="53" spans="2:29" outlineLevel="1">
      <c r="B53" s="15">
        <f>+EDATE(B48,1)</f>
        <v>45170</v>
      </c>
      <c r="C53" s="8" t="s">
        <v>45</v>
      </c>
      <c r="D53" s="8">
        <v>21</v>
      </c>
      <c r="E53" s="17">
        <v>1.8527971957656431E-2</v>
      </c>
      <c r="F53" s="17">
        <v>1.5113003275835223E-2</v>
      </c>
      <c r="G53" s="17">
        <v>1.3173876381258626E-2</v>
      </c>
      <c r="H53" s="17">
        <v>1.3058685044820181E-2</v>
      </c>
      <c r="I53" s="17">
        <v>1.7190673196526847E-2</v>
      </c>
      <c r="J53" s="17">
        <v>2.5390170828031047E-2</v>
      </c>
      <c r="K53" s="17">
        <v>3.210454475665861E-2</v>
      </c>
      <c r="L53" s="17">
        <v>3.3216669294317797E-2</v>
      </c>
      <c r="M53" s="17">
        <v>3.7588866226305133E-2</v>
      </c>
      <c r="N53" s="17">
        <v>4.0576792883547791E-2</v>
      </c>
      <c r="O53" s="17">
        <v>4.4076260427705405E-2</v>
      </c>
      <c r="P53" s="17">
        <v>4.8339006205212254E-2</v>
      </c>
      <c r="Q53" s="17">
        <v>4.7245060696703804E-2</v>
      </c>
      <c r="R53" s="17">
        <v>4.3739897582364455E-2</v>
      </c>
      <c r="S53" s="17">
        <v>4.2662793015004356E-2</v>
      </c>
      <c r="T53" s="17">
        <v>4.5626735604360251E-2</v>
      </c>
      <c r="U53" s="17">
        <v>4.7259239321032702E-2</v>
      </c>
      <c r="V53" s="17">
        <v>5.9998370276174939E-2</v>
      </c>
      <c r="W53" s="17">
        <v>7.7979757694014801E-2</v>
      </c>
      <c r="X53" s="17">
        <v>8.3657394287242531E-2</v>
      </c>
      <c r="Y53" s="17">
        <v>7.5234773374272521E-2</v>
      </c>
      <c r="Z53" s="17">
        <v>6.2248384508534496E-2</v>
      </c>
      <c r="AA53" s="17">
        <v>4.5092231719464436E-2</v>
      </c>
      <c r="AB53" s="17">
        <v>3.0898841442955492E-2</v>
      </c>
      <c r="AC53" s="8">
        <f>+SUM(E53:AB53)*D53</f>
        <v>21</v>
      </c>
    </row>
    <row r="54" spans="2:29" outlineLevel="1">
      <c r="B54" s="16"/>
      <c r="C54" s="8" t="s">
        <v>46</v>
      </c>
      <c r="D54" s="8">
        <v>5</v>
      </c>
      <c r="E54" s="17">
        <v>2.1348405710865617E-2</v>
      </c>
      <c r="F54" s="17">
        <v>1.6497815344756944E-2</v>
      </c>
      <c r="G54" s="17">
        <v>1.4815269735130534E-2</v>
      </c>
      <c r="H54" s="17">
        <v>1.4557910646802355E-2</v>
      </c>
      <c r="I54" s="17">
        <v>1.6838053171634726E-2</v>
      </c>
      <c r="J54" s="17">
        <v>2.2880517005409443E-2</v>
      </c>
      <c r="K54" s="17">
        <v>3.0883069616439551E-2</v>
      </c>
      <c r="L54" s="17">
        <v>3.2768549895900369E-2</v>
      </c>
      <c r="M54" s="17">
        <v>3.8385172980706025E-2</v>
      </c>
      <c r="N54" s="17">
        <v>4.1800676046635371E-2</v>
      </c>
      <c r="O54" s="17">
        <v>4.5302408697576568E-2</v>
      </c>
      <c r="P54" s="17">
        <v>4.8888665056834271E-2</v>
      </c>
      <c r="Q54" s="17">
        <v>4.8432630894488952E-2</v>
      </c>
      <c r="R54" s="17">
        <v>4.4533551428853374E-2</v>
      </c>
      <c r="S54" s="17">
        <v>4.2915204823304062E-2</v>
      </c>
      <c r="T54" s="17">
        <v>4.3678357411791893E-2</v>
      </c>
      <c r="U54" s="17">
        <v>4.476808592332359E-2</v>
      </c>
      <c r="V54" s="17">
        <v>5.769924707330025E-2</v>
      </c>
      <c r="W54" s="17">
        <v>7.6274677704310678E-2</v>
      </c>
      <c r="X54" s="17">
        <v>8.2409631770386932E-2</v>
      </c>
      <c r="Y54" s="17">
        <v>7.4329097486018778E-2</v>
      </c>
      <c r="Z54" s="17">
        <v>6.0690124157932332E-2</v>
      </c>
      <c r="AA54" s="17">
        <v>4.5363429495796102E-2</v>
      </c>
      <c r="AB54" s="17">
        <v>3.393944792180148E-2</v>
      </c>
      <c r="AC54" s="8">
        <f t="shared" si="0"/>
        <v>5</v>
      </c>
    </row>
    <row r="55" spans="2:29" outlineLevel="1">
      <c r="B55" s="16"/>
      <c r="C55" s="8" t="s">
        <v>47</v>
      </c>
      <c r="D55" s="8">
        <v>4</v>
      </c>
      <c r="E55" s="17">
        <v>2.577654528778716E-2</v>
      </c>
      <c r="F55" s="17">
        <v>2.1259381642310414E-2</v>
      </c>
      <c r="G55" s="17">
        <v>1.856664611956868E-2</v>
      </c>
      <c r="H55" s="17">
        <v>1.7817136097054983E-2</v>
      </c>
      <c r="I55" s="17">
        <v>1.723692708590812E-2</v>
      </c>
      <c r="J55" s="17">
        <v>2.0452842115910495E-2</v>
      </c>
      <c r="K55" s="17">
        <v>2.666148877650076E-2</v>
      </c>
      <c r="L55" s="17">
        <v>3.1026358013018465E-2</v>
      </c>
      <c r="M55" s="17">
        <v>3.6627544980156475E-2</v>
      </c>
      <c r="N55" s="17">
        <v>4.0048147348316382E-2</v>
      </c>
      <c r="O55" s="17">
        <v>4.2583761847768041E-2</v>
      </c>
      <c r="P55" s="17">
        <v>4.6685444595778343E-2</v>
      </c>
      <c r="Q55" s="17">
        <v>4.704225420557815E-2</v>
      </c>
      <c r="R55" s="17">
        <v>4.3318494579894118E-2</v>
      </c>
      <c r="S55" s="17">
        <v>4.1307447286057793E-2</v>
      </c>
      <c r="T55" s="17">
        <v>4.1682447885141E-2</v>
      </c>
      <c r="U55" s="17">
        <v>4.3287726897284558E-2</v>
      </c>
      <c r="V55" s="17">
        <v>5.667682717869417E-2</v>
      </c>
      <c r="W55" s="17">
        <v>7.6763995273354604E-2</v>
      </c>
      <c r="X55" s="17">
        <v>8.4898154322423092E-2</v>
      </c>
      <c r="Y55" s="17">
        <v>7.6978135015309215E-2</v>
      </c>
      <c r="Z55" s="17">
        <v>6.2231237071706816E-2</v>
      </c>
      <c r="AA55" s="17">
        <v>4.7054858686586244E-2</v>
      </c>
      <c r="AB55" s="17">
        <v>3.4016197687892061E-2</v>
      </c>
      <c r="AC55" s="8">
        <f t="shared" si="0"/>
        <v>4.0000000000000009</v>
      </c>
    </row>
    <row r="56" spans="2:29" outlineLevel="1">
      <c r="B56" s="16"/>
      <c r="C56" s="8" t="s">
        <v>48</v>
      </c>
      <c r="D56" s="8">
        <v>0</v>
      </c>
      <c r="E56" s="17">
        <v>2.577654528778716E-2</v>
      </c>
      <c r="F56" s="17">
        <v>2.1259381642310414E-2</v>
      </c>
      <c r="G56" s="17">
        <v>1.856664611956868E-2</v>
      </c>
      <c r="H56" s="17">
        <v>1.7817136097054983E-2</v>
      </c>
      <c r="I56" s="17">
        <v>1.723692708590812E-2</v>
      </c>
      <c r="J56" s="17">
        <v>2.0452842115910495E-2</v>
      </c>
      <c r="K56" s="17">
        <v>2.666148877650076E-2</v>
      </c>
      <c r="L56" s="17">
        <v>3.1026358013018465E-2</v>
      </c>
      <c r="M56" s="17">
        <v>3.6627544980156475E-2</v>
      </c>
      <c r="N56" s="17">
        <v>4.0048147348316382E-2</v>
      </c>
      <c r="O56" s="17">
        <v>4.2583761847768041E-2</v>
      </c>
      <c r="P56" s="17">
        <v>4.6685444595778343E-2</v>
      </c>
      <c r="Q56" s="17">
        <v>4.704225420557815E-2</v>
      </c>
      <c r="R56" s="17">
        <v>4.3318494579894118E-2</v>
      </c>
      <c r="S56" s="17">
        <v>4.1307447286057793E-2</v>
      </c>
      <c r="T56" s="17">
        <v>4.1682447885141E-2</v>
      </c>
      <c r="U56" s="17">
        <v>4.3287726897284558E-2</v>
      </c>
      <c r="V56" s="17">
        <v>5.667682717869417E-2</v>
      </c>
      <c r="W56" s="17">
        <v>7.6763995273354604E-2</v>
      </c>
      <c r="X56" s="17">
        <v>8.4898154322423092E-2</v>
      </c>
      <c r="Y56" s="17">
        <v>7.6978135015309215E-2</v>
      </c>
      <c r="Z56" s="17">
        <v>6.2231237071706816E-2</v>
      </c>
      <c r="AA56" s="17">
        <v>4.7054858686586244E-2</v>
      </c>
      <c r="AB56" s="17">
        <v>3.4016197687892061E-2</v>
      </c>
      <c r="AC56" s="8">
        <f t="shared" si="0"/>
        <v>0</v>
      </c>
    </row>
    <row r="57" spans="2:29" outlineLevel="1">
      <c r="B57" s="10"/>
      <c r="C57" s="10" t="s">
        <v>15</v>
      </c>
      <c r="D57" s="10">
        <f>+SUM(D53:D56)</f>
        <v>30</v>
      </c>
      <c r="E57" s="18">
        <f t="shared" ref="E57:AB57" si="9">+SUMPRODUCT(E53:E56,$D53:$D56)</f>
        <v>0.59893562081626173</v>
      </c>
      <c r="F57" s="18">
        <f t="shared" si="9"/>
        <v>0.48489967208556606</v>
      </c>
      <c r="G57" s="18">
        <f t="shared" si="9"/>
        <v>0.42499433716035856</v>
      </c>
      <c r="H57" s="18">
        <f t="shared" si="9"/>
        <v>0.4182904835634555</v>
      </c>
      <c r="I57" s="18">
        <f t="shared" si="9"/>
        <v>0.51414211132886989</v>
      </c>
      <c r="J57" s="18">
        <f t="shared" si="9"/>
        <v>0.72940754087934123</v>
      </c>
      <c r="K57" s="18">
        <f t="shared" si="9"/>
        <v>0.93525674307803164</v>
      </c>
      <c r="L57" s="18">
        <f t="shared" si="9"/>
        <v>0.98549823671224934</v>
      </c>
      <c r="M57" s="18">
        <f t="shared" si="9"/>
        <v>1.1278022355765638</v>
      </c>
      <c r="N57" s="18">
        <f t="shared" si="9"/>
        <v>1.2213086201809458</v>
      </c>
      <c r="O57" s="18">
        <f t="shared" si="9"/>
        <v>1.3224485598607685</v>
      </c>
      <c r="P57" s="18">
        <f t="shared" si="9"/>
        <v>1.446304233976742</v>
      </c>
      <c r="Q57" s="18">
        <f t="shared" si="9"/>
        <v>1.4224784459255373</v>
      </c>
      <c r="R57" s="18">
        <f t="shared" si="9"/>
        <v>1.3144795846934969</v>
      </c>
      <c r="S57" s="18">
        <f t="shared" si="9"/>
        <v>1.2757244665758429</v>
      </c>
      <c r="T57" s="18">
        <f t="shared" si="9"/>
        <v>1.3432830262910889</v>
      </c>
      <c r="U57" s="18">
        <f t="shared" si="9"/>
        <v>1.389435362947443</v>
      </c>
      <c r="V57" s="18">
        <f t="shared" si="9"/>
        <v>1.7751693198809515</v>
      </c>
      <c r="W57" s="18">
        <f t="shared" si="9"/>
        <v>2.3260042811892827</v>
      </c>
      <c r="X57" s="18">
        <f t="shared" si="9"/>
        <v>2.5084460561737205</v>
      </c>
      <c r="Y57" s="18">
        <f t="shared" si="9"/>
        <v>2.2594882683510535</v>
      </c>
      <c r="Z57" s="18">
        <f t="shared" si="9"/>
        <v>1.8595916437557134</v>
      </c>
      <c r="AA57" s="18">
        <f t="shared" si="9"/>
        <v>1.3619734483340789</v>
      </c>
      <c r="AB57" s="18">
        <f t="shared" si="9"/>
        <v>0.95463770066264098</v>
      </c>
      <c r="AC57" s="10">
        <f>+SUM(E57:AB57)</f>
        <v>30.000000000000007</v>
      </c>
    </row>
    <row r="58" spans="2:29" outlineLevel="1">
      <c r="B58" s="15">
        <f>+EDATE(B53,1)</f>
        <v>45200</v>
      </c>
      <c r="C58" s="8" t="s">
        <v>45</v>
      </c>
      <c r="D58" s="8">
        <v>21</v>
      </c>
      <c r="E58" s="17">
        <v>1.8678262826360609E-2</v>
      </c>
      <c r="F58" s="17">
        <v>1.533396107551078E-2</v>
      </c>
      <c r="G58" s="17">
        <v>1.3455099784129839E-2</v>
      </c>
      <c r="H58" s="17">
        <v>1.3381160139986375E-2</v>
      </c>
      <c r="I58" s="17">
        <v>1.7524390322490351E-2</v>
      </c>
      <c r="J58" s="17">
        <v>2.5915820807747247E-2</v>
      </c>
      <c r="K58" s="17">
        <v>3.2697831265675624E-2</v>
      </c>
      <c r="L58" s="17">
        <v>3.3559730351406483E-2</v>
      </c>
      <c r="M58" s="17">
        <v>3.7678679412100582E-2</v>
      </c>
      <c r="N58" s="17">
        <v>4.0539871838499074E-2</v>
      </c>
      <c r="O58" s="17">
        <v>4.4013241286697438E-2</v>
      </c>
      <c r="P58" s="17">
        <v>4.8226375123393686E-2</v>
      </c>
      <c r="Q58" s="17">
        <v>4.7082121618568333E-2</v>
      </c>
      <c r="R58" s="17">
        <v>4.3643538398010107E-2</v>
      </c>
      <c r="S58" s="17">
        <v>4.2746859199524014E-2</v>
      </c>
      <c r="T58" s="17">
        <v>4.5624532088739581E-2</v>
      </c>
      <c r="U58" s="17">
        <v>4.7287549786229767E-2</v>
      </c>
      <c r="V58" s="17">
        <v>5.9650180635253992E-2</v>
      </c>
      <c r="W58" s="17">
        <v>7.7257093726191023E-2</v>
      </c>
      <c r="X58" s="17">
        <v>8.3051586310848136E-2</v>
      </c>
      <c r="Y58" s="17">
        <v>7.4760934998071904E-2</v>
      </c>
      <c r="Z58" s="17">
        <v>6.194595524715249E-2</v>
      </c>
      <c r="AA58" s="17">
        <v>4.5000688187147947E-2</v>
      </c>
      <c r="AB58" s="17">
        <v>3.0944535570264727E-2</v>
      </c>
      <c r="AC58" s="8">
        <f>+SUM(E58:AB58)*D58</f>
        <v>21.000000000000004</v>
      </c>
    </row>
    <row r="59" spans="2:29" outlineLevel="1">
      <c r="B59" s="16"/>
      <c r="C59" s="8" t="s">
        <v>46</v>
      </c>
      <c r="D59" s="8">
        <v>4</v>
      </c>
      <c r="E59" s="17">
        <v>2.1606078373293425E-2</v>
      </c>
      <c r="F59" s="17">
        <v>1.6868897789996673E-2</v>
      </c>
      <c r="G59" s="17">
        <v>1.5207521369318959E-2</v>
      </c>
      <c r="H59" s="17">
        <v>1.4952869770889606E-2</v>
      </c>
      <c r="I59" s="17">
        <v>1.7204616857561823E-2</v>
      </c>
      <c r="J59" s="17">
        <v>2.3186263162607947E-2</v>
      </c>
      <c r="K59" s="17">
        <v>3.107499002279104E-2</v>
      </c>
      <c r="L59" s="17">
        <v>3.2975191618718445E-2</v>
      </c>
      <c r="M59" s="17">
        <v>3.8474161315984141E-2</v>
      </c>
      <c r="N59" s="17">
        <v>4.1813703647367022E-2</v>
      </c>
      <c r="O59" s="17">
        <v>4.5273580126730724E-2</v>
      </c>
      <c r="P59" s="17">
        <v>4.8804055918232697E-2</v>
      </c>
      <c r="Q59" s="17">
        <v>4.8337874173128313E-2</v>
      </c>
      <c r="R59" s="17">
        <v>4.453210046748219E-2</v>
      </c>
      <c r="S59" s="17">
        <v>4.2946956238570866E-2</v>
      </c>
      <c r="T59" s="17">
        <v>4.3687896256509158E-2</v>
      </c>
      <c r="U59" s="17">
        <v>4.4772167412980797E-2</v>
      </c>
      <c r="V59" s="17">
        <v>5.7335274313265495E-2</v>
      </c>
      <c r="W59" s="17">
        <v>7.5601650118227948E-2</v>
      </c>
      <c r="X59" s="17">
        <v>8.180837976599549E-2</v>
      </c>
      <c r="Y59" s="17">
        <v>7.3848677014934069E-2</v>
      </c>
      <c r="Z59" s="17">
        <v>6.0408727140743995E-2</v>
      </c>
      <c r="AA59" s="17">
        <v>4.5281328435273389E-2</v>
      </c>
      <c r="AB59" s="17">
        <v>3.3997038689395562E-2</v>
      </c>
      <c r="AC59" s="8">
        <f t="shared" si="0"/>
        <v>3.9999999999999987</v>
      </c>
    </row>
    <row r="60" spans="2:29" outlineLevel="1">
      <c r="B60" s="16"/>
      <c r="C60" s="8" t="s">
        <v>47</v>
      </c>
      <c r="D60" s="8">
        <v>5</v>
      </c>
      <c r="E60" s="17">
        <v>2.8222195145093026E-2</v>
      </c>
      <c r="F60" s="17">
        <v>2.330577707721173E-2</v>
      </c>
      <c r="G60" s="17">
        <v>2.0392539794434623E-2</v>
      </c>
      <c r="H60" s="17">
        <v>1.9116317561418281E-2</v>
      </c>
      <c r="I60" s="17">
        <v>1.9001959614719829E-2</v>
      </c>
      <c r="J60" s="17">
        <v>2.1363090746217013E-2</v>
      </c>
      <c r="K60" s="17">
        <v>2.5342182399046453E-2</v>
      </c>
      <c r="L60" s="17">
        <v>2.9398386405661055E-2</v>
      </c>
      <c r="M60" s="17">
        <v>3.534731828706749E-2</v>
      </c>
      <c r="N60" s="17">
        <v>3.9233215534667916E-2</v>
      </c>
      <c r="O60" s="17">
        <v>4.2158929635619007E-2</v>
      </c>
      <c r="P60" s="17">
        <v>4.6073943739684875E-2</v>
      </c>
      <c r="Q60" s="17">
        <v>4.7505125288958644E-2</v>
      </c>
      <c r="R60" s="17">
        <v>4.3979335428518722E-2</v>
      </c>
      <c r="S60" s="17">
        <v>4.0865310258444872E-2</v>
      </c>
      <c r="T60" s="17">
        <v>4.1463662123491021E-2</v>
      </c>
      <c r="U60" s="17">
        <v>4.2833402587633254E-2</v>
      </c>
      <c r="V60" s="17">
        <v>5.6518587417438398E-2</v>
      </c>
      <c r="W60" s="17">
        <v>7.6404117448141989E-2</v>
      </c>
      <c r="X60" s="17">
        <v>8.3961909900878678E-2</v>
      </c>
      <c r="Y60" s="17">
        <v>7.5535985766172251E-2</v>
      </c>
      <c r="Z60" s="17">
        <v>6.0824912620507307E-2</v>
      </c>
      <c r="AA60" s="17">
        <v>4.6412640129841663E-2</v>
      </c>
      <c r="AB60" s="17">
        <v>3.4739155089132105E-2</v>
      </c>
      <c r="AC60" s="8">
        <f t="shared" si="0"/>
        <v>5.0000000000000018</v>
      </c>
    </row>
    <row r="61" spans="2:29" outlineLevel="1">
      <c r="B61" s="16"/>
      <c r="C61" s="8" t="s">
        <v>48</v>
      </c>
      <c r="D61" s="8">
        <v>1</v>
      </c>
      <c r="E61" s="17">
        <v>2.8222195145093026E-2</v>
      </c>
      <c r="F61" s="17">
        <v>2.330577707721173E-2</v>
      </c>
      <c r="G61" s="17">
        <v>2.0392539794434623E-2</v>
      </c>
      <c r="H61" s="17">
        <v>1.9116317561418281E-2</v>
      </c>
      <c r="I61" s="17">
        <v>1.9001959614719829E-2</v>
      </c>
      <c r="J61" s="17">
        <v>2.1363090746217013E-2</v>
      </c>
      <c r="K61" s="17">
        <v>2.5342182399046453E-2</v>
      </c>
      <c r="L61" s="17">
        <v>2.9398386405661055E-2</v>
      </c>
      <c r="M61" s="17">
        <v>3.534731828706749E-2</v>
      </c>
      <c r="N61" s="17">
        <v>3.9233215534667916E-2</v>
      </c>
      <c r="O61" s="17">
        <v>4.2158929635619007E-2</v>
      </c>
      <c r="P61" s="17">
        <v>4.6073943739684875E-2</v>
      </c>
      <c r="Q61" s="17">
        <v>4.7505125288958644E-2</v>
      </c>
      <c r="R61" s="17">
        <v>4.3979335428518722E-2</v>
      </c>
      <c r="S61" s="17">
        <v>4.0865310258444872E-2</v>
      </c>
      <c r="T61" s="17">
        <v>4.1463662123491021E-2</v>
      </c>
      <c r="U61" s="17">
        <v>4.2833402587633254E-2</v>
      </c>
      <c r="V61" s="17">
        <v>5.6518587417438398E-2</v>
      </c>
      <c r="W61" s="17">
        <v>7.6404117448141989E-2</v>
      </c>
      <c r="X61" s="17">
        <v>8.3961909900878678E-2</v>
      </c>
      <c r="Y61" s="17">
        <v>7.5535985766172251E-2</v>
      </c>
      <c r="Z61" s="17">
        <v>6.0824912620507307E-2</v>
      </c>
      <c r="AA61" s="17">
        <v>4.6412640129841663E-2</v>
      </c>
      <c r="AB61" s="17">
        <v>3.4739155089132105E-2</v>
      </c>
      <c r="AC61" s="8">
        <f t="shared" si="0"/>
        <v>1.0000000000000004</v>
      </c>
    </row>
    <row r="62" spans="2:29" outlineLevel="1">
      <c r="B62" s="10"/>
      <c r="C62" s="10" t="s">
        <v>15</v>
      </c>
      <c r="D62" s="10">
        <f>+SUM(D58:D61)</f>
        <v>31</v>
      </c>
      <c r="E62" s="18">
        <f t="shared" ref="E62:AB62" si="10">+SUMPRODUCT(E58:E61,$D58:$D61)</f>
        <v>0.64800100371730474</v>
      </c>
      <c r="F62" s="18">
        <f t="shared" si="10"/>
        <v>0.52932343620898348</v>
      </c>
      <c r="G62" s="18">
        <f t="shared" si="10"/>
        <v>0.4657424197106102</v>
      </c>
      <c r="H62" s="18">
        <f t="shared" si="10"/>
        <v>0.45551374739178202</v>
      </c>
      <c r="I62" s="18">
        <f t="shared" si="10"/>
        <v>0.55084242189086363</v>
      </c>
      <c r="J62" s="18">
        <f t="shared" si="10"/>
        <v>0.76515583409042598</v>
      </c>
      <c r="K62" s="18">
        <f t="shared" si="10"/>
        <v>0.96300751106463101</v>
      </c>
      <c r="L62" s="18">
        <f t="shared" si="10"/>
        <v>1.0130454222883762</v>
      </c>
      <c r="M62" s="18">
        <f t="shared" si="10"/>
        <v>1.1572328226404536</v>
      </c>
      <c r="N62" s="18">
        <f t="shared" si="10"/>
        <v>1.2539914164059562</v>
      </c>
      <c r="O62" s="18">
        <f t="shared" si="10"/>
        <v>1.3583259653412834</v>
      </c>
      <c r="P62" s="18">
        <f t="shared" si="10"/>
        <v>1.4844137637023076</v>
      </c>
      <c r="Q62" s="18">
        <f t="shared" si="10"/>
        <v>1.4671068024162</v>
      </c>
      <c r="R62" s="18">
        <f t="shared" si="10"/>
        <v>1.3585187207992533</v>
      </c>
      <c r="S62" s="18">
        <f t="shared" si="10"/>
        <v>1.3146637296949568</v>
      </c>
      <c r="T62" s="18">
        <f t="shared" si="10"/>
        <v>1.3816487316305137</v>
      </c>
      <c r="U62" s="18">
        <f t="shared" si="10"/>
        <v>1.4291276306885481</v>
      </c>
      <c r="V62" s="18">
        <f t="shared" si="10"/>
        <v>1.8211064150980263</v>
      </c>
      <c r="W62" s="18">
        <f t="shared" si="10"/>
        <v>2.3832302734117752</v>
      </c>
      <c r="X62" s="18">
        <f t="shared" si="10"/>
        <v>2.5750882909970647</v>
      </c>
      <c r="Y62" s="18">
        <f t="shared" si="10"/>
        <v>2.3185902576162798</v>
      </c>
      <c r="Z62" s="18">
        <f t="shared" si="10"/>
        <v>1.9074494444762222</v>
      </c>
      <c r="AA62" s="18">
        <f t="shared" si="10"/>
        <v>1.4046156064502504</v>
      </c>
      <c r="AB62" s="18">
        <f t="shared" si="10"/>
        <v>0.99425833226793414</v>
      </c>
      <c r="AC62" s="10">
        <f>+SUM(E62:AB62)</f>
        <v>30.999999999999996</v>
      </c>
    </row>
    <row r="63" spans="2:29" outlineLevel="1">
      <c r="B63" s="15">
        <f>+EDATE(B58,1)</f>
        <v>45231</v>
      </c>
      <c r="C63" s="8" t="s">
        <v>45</v>
      </c>
      <c r="D63" s="8">
        <v>20</v>
      </c>
      <c r="E63" s="17">
        <v>1.8909471724938762E-2</v>
      </c>
      <c r="F63" s="17">
        <v>1.5573053033129064E-2</v>
      </c>
      <c r="G63" s="17">
        <v>1.3683604524720056E-2</v>
      </c>
      <c r="H63" s="17">
        <v>1.3578460098226858E-2</v>
      </c>
      <c r="I63" s="17">
        <v>1.7657418171224154E-2</v>
      </c>
      <c r="J63" s="17">
        <v>2.5846345495237625E-2</v>
      </c>
      <c r="K63" s="17">
        <v>3.2529519681603163E-2</v>
      </c>
      <c r="L63" s="17">
        <v>3.3500604044492462E-2</v>
      </c>
      <c r="M63" s="17">
        <v>3.7675801806311568E-2</v>
      </c>
      <c r="N63" s="17">
        <v>4.0563125002799412E-2</v>
      </c>
      <c r="O63" s="17">
        <v>4.4016930561082482E-2</v>
      </c>
      <c r="P63" s="17">
        <v>4.8189487550569982E-2</v>
      </c>
      <c r="Q63" s="17">
        <v>4.7078879188278633E-2</v>
      </c>
      <c r="R63" s="17">
        <v>4.3674772828511149E-2</v>
      </c>
      <c r="S63" s="17">
        <v>4.271984057550262E-2</v>
      </c>
      <c r="T63" s="17">
        <v>4.5567455702125677E-2</v>
      </c>
      <c r="U63" s="17">
        <v>4.7195119171145786E-2</v>
      </c>
      <c r="V63" s="17">
        <v>5.9475759302531288E-2</v>
      </c>
      <c r="W63" s="17">
        <v>7.7051697473352582E-2</v>
      </c>
      <c r="X63" s="17">
        <v>8.2836692401144801E-2</v>
      </c>
      <c r="Y63" s="17">
        <v>7.4557797997242006E-2</v>
      </c>
      <c r="Z63" s="17">
        <v>6.1773650168661404E-2</v>
      </c>
      <c r="AA63" s="17">
        <v>4.4918369549222036E-2</v>
      </c>
      <c r="AB63" s="17">
        <v>3.1426143947946454E-2</v>
      </c>
      <c r="AC63" s="8">
        <f>+SUM(E63:AB63)*D63</f>
        <v>20</v>
      </c>
    </row>
    <row r="64" spans="2:29" outlineLevel="1">
      <c r="B64" s="16"/>
      <c r="C64" s="8" t="s">
        <v>46</v>
      </c>
      <c r="D64" s="8">
        <v>4</v>
      </c>
      <c r="E64" s="17">
        <v>2.1664721371378485E-2</v>
      </c>
      <c r="F64" s="17">
        <v>1.69630962858353E-2</v>
      </c>
      <c r="G64" s="17">
        <v>1.5306520601995997E-2</v>
      </c>
      <c r="H64" s="17">
        <v>1.5052389096222878E-2</v>
      </c>
      <c r="I64" s="17">
        <v>1.7297740144516575E-2</v>
      </c>
      <c r="J64" s="17">
        <v>2.3268455087837637E-2</v>
      </c>
      <c r="K64" s="17">
        <v>3.1128907104370988E-2</v>
      </c>
      <c r="L64" s="17">
        <v>3.3033648657027355E-2</v>
      </c>
      <c r="M64" s="17">
        <v>3.8497107734676746E-2</v>
      </c>
      <c r="N64" s="17">
        <v>4.1813225764138783E-2</v>
      </c>
      <c r="O64" s="17">
        <v>4.5264021366847686E-2</v>
      </c>
      <c r="P64" s="17">
        <v>4.8779841544317366E-2</v>
      </c>
      <c r="Q64" s="17">
        <v>4.8308393924290406E-2</v>
      </c>
      <c r="R64" s="17">
        <v>4.4532071616129494E-2</v>
      </c>
      <c r="S64" s="17">
        <v>4.2956882429012501E-2</v>
      </c>
      <c r="T64" s="17">
        <v>4.3690417114661352E-2</v>
      </c>
      <c r="U64" s="17">
        <v>4.4774998002545183E-2</v>
      </c>
      <c r="V64" s="17">
        <v>5.7231291910987588E-2</v>
      </c>
      <c r="W64" s="17">
        <v>7.5413411061448443E-2</v>
      </c>
      <c r="X64" s="17">
        <v>8.1664410339128884E-2</v>
      </c>
      <c r="Y64" s="17">
        <v>7.3735689948909375E-2</v>
      </c>
      <c r="Z64" s="17">
        <v>6.0346030229903536E-2</v>
      </c>
      <c r="AA64" s="17">
        <v>4.5265036161299628E-2</v>
      </c>
      <c r="AB64" s="17">
        <v>3.4011692502517996E-2</v>
      </c>
      <c r="AC64" s="8">
        <f t="shared" si="0"/>
        <v>4.0000000000000009</v>
      </c>
    </row>
    <row r="65" spans="2:29" outlineLevel="1">
      <c r="B65" s="16"/>
      <c r="C65" s="8" t="s">
        <v>47</v>
      </c>
      <c r="D65" s="8">
        <v>4</v>
      </c>
      <c r="E65" s="17">
        <v>2.6544379146986877E-2</v>
      </c>
      <c r="F65" s="17">
        <v>2.1766752669527267E-2</v>
      </c>
      <c r="G65" s="17">
        <v>1.9103237681513559E-2</v>
      </c>
      <c r="H65" s="17">
        <v>1.8183734455243714E-2</v>
      </c>
      <c r="I65" s="17">
        <v>1.8645407790424257E-2</v>
      </c>
      <c r="J65" s="17">
        <v>2.3200507893613314E-2</v>
      </c>
      <c r="K65" s="17">
        <v>2.8210954097783011E-2</v>
      </c>
      <c r="L65" s="17">
        <v>3.0658056805892668E-2</v>
      </c>
      <c r="M65" s="17">
        <v>3.5450701996528756E-2</v>
      </c>
      <c r="N65" s="17">
        <v>3.8776886168829176E-2</v>
      </c>
      <c r="O65" s="17">
        <v>4.1806691383829024E-2</v>
      </c>
      <c r="P65" s="17">
        <v>4.590495354278195E-2</v>
      </c>
      <c r="Q65" s="17">
        <v>4.6900341593352074E-2</v>
      </c>
      <c r="R65" s="17">
        <v>4.3303474643281895E-2</v>
      </c>
      <c r="S65" s="17">
        <v>4.1174017846349283E-2</v>
      </c>
      <c r="T65" s="17">
        <v>4.1766389469429989E-2</v>
      </c>
      <c r="U65" s="17">
        <v>4.3506889821927949E-2</v>
      </c>
      <c r="V65" s="17">
        <v>5.6828212142637169E-2</v>
      </c>
      <c r="W65" s="17">
        <v>7.5959411517493913E-2</v>
      </c>
      <c r="X65" s="17">
        <v>8.404791435567148E-2</v>
      </c>
      <c r="Y65" s="17">
        <v>7.5845652388195142E-2</v>
      </c>
      <c r="Z65" s="17">
        <v>6.1300649973460616E-2</v>
      </c>
      <c r="AA65" s="17">
        <v>4.666521489875386E-2</v>
      </c>
      <c r="AB65" s="17">
        <v>3.4449567716493094E-2</v>
      </c>
      <c r="AC65" s="8">
        <f t="shared" si="0"/>
        <v>4.0000000000000009</v>
      </c>
    </row>
    <row r="66" spans="2:29" outlineLevel="1">
      <c r="B66" s="16"/>
      <c r="C66" s="8" t="s">
        <v>48</v>
      </c>
      <c r="D66" s="8">
        <v>2</v>
      </c>
      <c r="E66" s="17">
        <v>2.6544379146986877E-2</v>
      </c>
      <c r="F66" s="17">
        <v>2.1766752669527267E-2</v>
      </c>
      <c r="G66" s="17">
        <v>1.9103237681513559E-2</v>
      </c>
      <c r="H66" s="17">
        <v>1.8183734455243714E-2</v>
      </c>
      <c r="I66" s="17">
        <v>1.8645407790424257E-2</v>
      </c>
      <c r="J66" s="17">
        <v>2.3200507893613314E-2</v>
      </c>
      <c r="K66" s="17">
        <v>2.8210954097783011E-2</v>
      </c>
      <c r="L66" s="17">
        <v>3.0658056805892668E-2</v>
      </c>
      <c r="M66" s="17">
        <v>3.5450701996528756E-2</v>
      </c>
      <c r="N66" s="17">
        <v>3.8776886168829176E-2</v>
      </c>
      <c r="O66" s="17">
        <v>4.1806691383829024E-2</v>
      </c>
      <c r="P66" s="17">
        <v>4.590495354278195E-2</v>
      </c>
      <c r="Q66" s="17">
        <v>4.6900341593352074E-2</v>
      </c>
      <c r="R66" s="17">
        <v>4.3303474643281895E-2</v>
      </c>
      <c r="S66" s="17">
        <v>4.1174017846349283E-2</v>
      </c>
      <c r="T66" s="17">
        <v>4.1766389469429989E-2</v>
      </c>
      <c r="U66" s="17">
        <v>4.3506889821927949E-2</v>
      </c>
      <c r="V66" s="17">
        <v>5.6828212142637169E-2</v>
      </c>
      <c r="W66" s="17">
        <v>7.5959411517493913E-2</v>
      </c>
      <c r="X66" s="17">
        <v>8.404791435567148E-2</v>
      </c>
      <c r="Y66" s="17">
        <v>7.5845652388195142E-2</v>
      </c>
      <c r="Z66" s="17">
        <v>6.1300649973460616E-2</v>
      </c>
      <c r="AA66" s="17">
        <v>4.666521489875386E-2</v>
      </c>
      <c r="AB66" s="17">
        <v>3.4449567716493094E-2</v>
      </c>
      <c r="AC66" s="8">
        <f t="shared" si="0"/>
        <v>2.0000000000000004</v>
      </c>
    </row>
    <row r="67" spans="2:29" outlineLevel="1">
      <c r="B67" s="10"/>
      <c r="C67" s="10" t="s">
        <v>15</v>
      </c>
      <c r="D67" s="10">
        <f>+SUM(D63:D66)</f>
        <v>30</v>
      </c>
      <c r="E67" s="18">
        <f>+SUMPRODUCT(E63:E66,$D63:$D66)</f>
        <v>0.62411459486621046</v>
      </c>
      <c r="F67" s="18">
        <f>+SUMPRODUCT(F63:F66,$D63:$D66)</f>
        <v>0.50991396182308613</v>
      </c>
      <c r="G67" s="18">
        <f>+SUMPRODUCT(G63:G66,$D63:$D66)</f>
        <v>0.44951759899146648</v>
      </c>
      <c r="H67" s="18">
        <f t="shared" ref="H67:AB67" si="11">+SUMPRODUCT(H63:H66,$D63:$D66)</f>
        <v>0.44088116508089092</v>
      </c>
      <c r="I67" s="18">
        <f t="shared" si="11"/>
        <v>0.53421177074509485</v>
      </c>
      <c r="J67" s="18">
        <f t="shared" si="11"/>
        <v>0.74920377761778301</v>
      </c>
      <c r="K67" s="18">
        <f t="shared" si="11"/>
        <v>0.94437174663624535</v>
      </c>
      <c r="L67" s="18">
        <f t="shared" si="11"/>
        <v>0.98609501635331465</v>
      </c>
      <c r="M67" s="18">
        <f t="shared" si="11"/>
        <v>1.120208679044111</v>
      </c>
      <c r="N67" s="18">
        <f t="shared" si="11"/>
        <v>1.2111767201255184</v>
      </c>
      <c r="O67" s="18">
        <f t="shared" si="11"/>
        <v>1.3122348449920145</v>
      </c>
      <c r="P67" s="18">
        <f t="shared" si="11"/>
        <v>1.4343388384453608</v>
      </c>
      <c r="Q67" s="18">
        <f t="shared" si="11"/>
        <v>1.4162132090228468</v>
      </c>
      <c r="R67" s="18">
        <f t="shared" si="11"/>
        <v>1.3114445908944323</v>
      </c>
      <c r="S67" s="18">
        <f t="shared" si="11"/>
        <v>1.2732684483041983</v>
      </c>
      <c r="T67" s="18">
        <f t="shared" si="11"/>
        <v>1.3367091193177389</v>
      </c>
      <c r="U67" s="18">
        <f t="shared" si="11"/>
        <v>1.3840437143646642</v>
      </c>
      <c r="V67" s="18">
        <f t="shared" si="11"/>
        <v>1.7594096265503989</v>
      </c>
      <c r="W67" s="18">
        <f t="shared" si="11"/>
        <v>2.2984440628178091</v>
      </c>
      <c r="X67" s="18">
        <f t="shared" si="11"/>
        <v>2.4876789755134401</v>
      </c>
      <c r="Y67" s="18">
        <f t="shared" si="11"/>
        <v>2.2411726340696485</v>
      </c>
      <c r="Z67" s="18">
        <f t="shared" si="11"/>
        <v>1.8446610241336061</v>
      </c>
      <c r="AA67" s="18">
        <f t="shared" si="11"/>
        <v>1.3594188250221624</v>
      </c>
      <c r="AB67" s="18">
        <f t="shared" si="11"/>
        <v>0.97126705526795964</v>
      </c>
      <c r="AC67" s="10">
        <f>+SUM(E67:AB67)</f>
        <v>30</v>
      </c>
    </row>
    <row r="68" spans="2:29" outlineLevel="1">
      <c r="B68" s="15">
        <f>+EDATE(B63,1)</f>
        <v>45261</v>
      </c>
      <c r="C68" s="8" t="s">
        <v>45</v>
      </c>
      <c r="D68" s="8">
        <v>19</v>
      </c>
      <c r="E68" s="17">
        <v>2.0166213765135301E-2</v>
      </c>
      <c r="F68" s="17">
        <v>1.706771476231126E-2</v>
      </c>
      <c r="G68" s="17">
        <v>1.5327820324313009E-2</v>
      </c>
      <c r="H68" s="17">
        <v>1.5251742948722868E-2</v>
      </c>
      <c r="I68" s="17">
        <v>1.9162335926605885E-2</v>
      </c>
      <c r="J68" s="17">
        <v>2.7286580022423554E-2</v>
      </c>
      <c r="K68" s="17">
        <v>3.3852614927098637E-2</v>
      </c>
      <c r="L68" s="17">
        <v>3.4436984589405181E-2</v>
      </c>
      <c r="M68" s="17">
        <v>3.8033247821221014E-2</v>
      </c>
      <c r="N68" s="17">
        <v>4.0621664700369715E-2</v>
      </c>
      <c r="O68" s="17">
        <v>4.3930789602712447E-2</v>
      </c>
      <c r="P68" s="17">
        <v>4.782870158022353E-2</v>
      </c>
      <c r="Q68" s="17">
        <v>4.6675344955506737E-2</v>
      </c>
      <c r="R68" s="17">
        <v>4.3573555468657842E-2</v>
      </c>
      <c r="S68" s="17">
        <v>4.2970791595467767E-2</v>
      </c>
      <c r="T68" s="17">
        <v>4.5474902178022719E-2</v>
      </c>
      <c r="U68" s="17">
        <v>4.7081905596157658E-2</v>
      </c>
      <c r="V68" s="17">
        <v>5.7955247883595899E-2</v>
      </c>
      <c r="W68" s="17">
        <v>7.4301657582554914E-2</v>
      </c>
      <c r="X68" s="17">
        <v>8.0368104624641931E-2</v>
      </c>
      <c r="Y68" s="17">
        <v>7.2533704016493894E-2</v>
      </c>
      <c r="Z68" s="17">
        <v>6.037990220056428E-2</v>
      </c>
      <c r="AA68" s="17">
        <v>4.4453134368762935E-2</v>
      </c>
      <c r="AB68" s="17">
        <v>3.1265338559031026E-2</v>
      </c>
      <c r="AC68" s="8">
        <f>+SUM(E68:AB68)*D68</f>
        <v>19.000000000000004</v>
      </c>
    </row>
    <row r="69" spans="2:29" outlineLevel="1">
      <c r="B69" s="16"/>
      <c r="C69" s="8" t="s">
        <v>46</v>
      </c>
      <c r="D69" s="8">
        <v>5</v>
      </c>
      <c r="E69" s="17">
        <v>2.2686192928994577E-2</v>
      </c>
      <c r="F69" s="17">
        <v>1.8437113306621435E-2</v>
      </c>
      <c r="G69" s="17">
        <v>1.6864437214188767E-2</v>
      </c>
      <c r="H69" s="17">
        <v>1.6620998872566448E-2</v>
      </c>
      <c r="I69" s="17">
        <v>1.8753803809424527E-2</v>
      </c>
      <c r="J69" s="17">
        <v>2.4484384091423606E-2</v>
      </c>
      <c r="K69" s="17">
        <v>3.1892956008940619E-2</v>
      </c>
      <c r="L69" s="17">
        <v>3.386048989096551E-2</v>
      </c>
      <c r="M69" s="17">
        <v>3.8854948482239818E-2</v>
      </c>
      <c r="N69" s="17">
        <v>4.1868031270758416E-2</v>
      </c>
      <c r="O69" s="17">
        <v>4.5153077608115114E-2</v>
      </c>
      <c r="P69" s="17">
        <v>4.8447192188486976E-2</v>
      </c>
      <c r="Q69" s="17">
        <v>4.7934612191908352E-2</v>
      </c>
      <c r="R69" s="17">
        <v>4.4530669245285703E-2</v>
      </c>
      <c r="S69" s="17">
        <v>4.3087832844730743E-2</v>
      </c>
      <c r="T69" s="17">
        <v>4.3732588420500394E-2</v>
      </c>
      <c r="U69" s="17">
        <v>4.4796014763431861E-2</v>
      </c>
      <c r="V69" s="17">
        <v>5.5775837271495432E-2</v>
      </c>
      <c r="W69" s="17">
        <v>7.2728547102261218E-2</v>
      </c>
      <c r="X69" s="17">
        <v>7.9272864014051661E-2</v>
      </c>
      <c r="Y69" s="17">
        <v>7.1824109986161261E-2</v>
      </c>
      <c r="Z69" s="17">
        <v>5.9224915147412349E-2</v>
      </c>
      <c r="AA69" s="17">
        <v>4.4934119849887835E-2</v>
      </c>
      <c r="AB69" s="17">
        <v>3.4234263490147458E-2</v>
      </c>
      <c r="AC69" s="8">
        <f t="shared" si="0"/>
        <v>5</v>
      </c>
    </row>
    <row r="70" spans="2:29" outlineLevel="1">
      <c r="B70" s="16"/>
      <c r="C70" s="8" t="s">
        <v>47</v>
      </c>
      <c r="D70" s="8">
        <v>5</v>
      </c>
      <c r="E70" s="17">
        <v>2.6905857541797206E-2</v>
      </c>
      <c r="F70" s="17">
        <v>2.284857351311749E-2</v>
      </c>
      <c r="G70" s="17">
        <v>2.047468992953257E-2</v>
      </c>
      <c r="H70" s="17">
        <v>1.9651084701676216E-2</v>
      </c>
      <c r="I70" s="17">
        <v>1.885969584553953E-2</v>
      </c>
      <c r="J70" s="17">
        <v>2.1800151306957713E-2</v>
      </c>
      <c r="K70" s="17">
        <v>2.7862025372415982E-2</v>
      </c>
      <c r="L70" s="17">
        <v>3.2749489100669091E-2</v>
      </c>
      <c r="M70" s="17">
        <v>3.7956836313521147E-2</v>
      </c>
      <c r="N70" s="17">
        <v>4.0721818194179124E-2</v>
      </c>
      <c r="O70" s="17">
        <v>4.2832359476952908E-2</v>
      </c>
      <c r="P70" s="17">
        <v>4.6359631855581021E-2</v>
      </c>
      <c r="Q70" s="17">
        <v>4.6629086019160972E-2</v>
      </c>
      <c r="R70" s="17">
        <v>4.3506555292082916E-2</v>
      </c>
      <c r="S70" s="17">
        <v>4.1343317006545408E-2</v>
      </c>
      <c r="T70" s="17">
        <v>4.1660139257081542E-2</v>
      </c>
      <c r="U70" s="17">
        <v>4.321134757796697E-2</v>
      </c>
      <c r="V70" s="17">
        <v>5.4381005073471593E-2</v>
      </c>
      <c r="W70" s="17">
        <v>7.2410877966423523E-2</v>
      </c>
      <c r="X70" s="17">
        <v>8.1607276292076147E-2</v>
      </c>
      <c r="Y70" s="17">
        <v>7.4425493484691879E-2</v>
      </c>
      <c r="Z70" s="17">
        <v>6.0871559767509617E-2</v>
      </c>
      <c r="AA70" s="17">
        <v>4.6518168046546966E-2</v>
      </c>
      <c r="AB70" s="17">
        <v>3.4412961064502437E-2</v>
      </c>
      <c r="AC70" s="8">
        <f t="shared" si="0"/>
        <v>4.9999999999999991</v>
      </c>
    </row>
    <row r="71" spans="2:29" outlineLevel="1">
      <c r="B71" s="16"/>
      <c r="C71" s="8" t="s">
        <v>48</v>
      </c>
      <c r="D71" s="8">
        <v>2</v>
      </c>
      <c r="E71" s="17">
        <v>2.6905857541797206E-2</v>
      </c>
      <c r="F71" s="17">
        <v>2.284857351311749E-2</v>
      </c>
      <c r="G71" s="17">
        <v>2.047468992953257E-2</v>
      </c>
      <c r="H71" s="17">
        <v>1.9651084701676216E-2</v>
      </c>
      <c r="I71" s="17">
        <v>1.885969584553953E-2</v>
      </c>
      <c r="J71" s="17">
        <v>2.1800151306957713E-2</v>
      </c>
      <c r="K71" s="17">
        <v>2.7862025372415982E-2</v>
      </c>
      <c r="L71" s="17">
        <v>3.2749489100669091E-2</v>
      </c>
      <c r="M71" s="17">
        <v>3.7956836313521147E-2</v>
      </c>
      <c r="N71" s="17">
        <v>4.0721818194179124E-2</v>
      </c>
      <c r="O71" s="17">
        <v>4.2832359476952908E-2</v>
      </c>
      <c r="P71" s="17">
        <v>4.6359631855581021E-2</v>
      </c>
      <c r="Q71" s="17">
        <v>4.6629086019160972E-2</v>
      </c>
      <c r="R71" s="17">
        <v>4.3506555292082916E-2</v>
      </c>
      <c r="S71" s="17">
        <v>4.1343317006545408E-2</v>
      </c>
      <c r="T71" s="17">
        <v>4.1660139257081542E-2</v>
      </c>
      <c r="U71" s="17">
        <v>4.321134757796697E-2</v>
      </c>
      <c r="V71" s="17">
        <v>5.4381005073471593E-2</v>
      </c>
      <c r="W71" s="17">
        <v>7.2410877966423523E-2</v>
      </c>
      <c r="X71" s="17">
        <v>8.1607276292076147E-2</v>
      </c>
      <c r="Y71" s="17">
        <v>7.4425493484691879E-2</v>
      </c>
      <c r="Z71" s="17">
        <v>6.0871559767509617E-2</v>
      </c>
      <c r="AA71" s="17">
        <v>4.6518168046546966E-2</v>
      </c>
      <c r="AB71" s="17">
        <v>3.4412961064502437E-2</v>
      </c>
      <c r="AC71" s="8">
        <f t="shared" si="0"/>
        <v>1.9999999999999996</v>
      </c>
    </row>
    <row r="72" spans="2:29" outlineLevel="1">
      <c r="B72" s="12"/>
      <c r="C72" s="12" t="s">
        <v>15</v>
      </c>
      <c r="D72" s="12">
        <f>+SUM(D68:D71)</f>
        <v>31</v>
      </c>
      <c r="E72" s="19">
        <f>+SUMPRODUCT(E68:E71,$D68:$D71)</f>
        <v>0.68493002897512401</v>
      </c>
      <c r="F72" s="19">
        <f>+SUMPRODUCT(F68:F71,$D68:$D71)</f>
        <v>0.57641216160884357</v>
      </c>
      <c r="G72" s="19">
        <f t="shared" ref="G72:AB72" si="12">+SUMPRODUCT(G68:G71,$D68:$D71)</f>
        <v>0.51887360173961894</v>
      </c>
      <c r="H72" s="19">
        <f t="shared" si="12"/>
        <v>0.51044570330030026</v>
      </c>
      <c r="I72" s="19">
        <f t="shared" si="12"/>
        <v>0.58987127257141114</v>
      </c>
      <c r="J72" s="19">
        <f t="shared" si="12"/>
        <v>0.79346800003186957</v>
      </c>
      <c r="K72" s="19">
        <f t="shared" si="12"/>
        <v>0.99769864126648911</v>
      </c>
      <c r="L72" s="19">
        <f t="shared" si="12"/>
        <v>1.0528515803582097</v>
      </c>
      <c r="M72" s="19">
        <f t="shared" si="12"/>
        <v>1.1826043052090465</v>
      </c>
      <c r="N72" s="19">
        <f t="shared" si="12"/>
        <v>1.2662045130200705</v>
      </c>
      <c r="O72" s="19">
        <f t="shared" si="12"/>
        <v>1.3602769068307823</v>
      </c>
      <c r="P72" s="19">
        <f t="shared" si="12"/>
        <v>1.4754987139557489</v>
      </c>
      <c r="Q72" s="19">
        <f t="shared" si="12"/>
        <v>1.4529082172482966</v>
      </c>
      <c r="R72" s="19">
        <f t="shared" si="12"/>
        <v>1.3550967871755077</v>
      </c>
      <c r="S72" s="19">
        <f t="shared" si="12"/>
        <v>1.3212874235833592</v>
      </c>
      <c r="T72" s="19">
        <f t="shared" si="12"/>
        <v>1.3743070582845045</v>
      </c>
      <c r="U72" s="19">
        <f t="shared" si="12"/>
        <v>1.4210157131899235</v>
      </c>
      <c r="V72" s="19">
        <f t="shared" si="12"/>
        <v>1.7606959316601001</v>
      </c>
      <c r="W72" s="19">
        <f t="shared" si="12"/>
        <v>2.2822503753448142</v>
      </c>
      <c r="X72" s="19">
        <f t="shared" si="12"/>
        <v>2.4946092419829879</v>
      </c>
      <c r="Y72" s="19">
        <f t="shared" si="12"/>
        <v>2.2582393806370336</v>
      </c>
      <c r="Z72" s="19">
        <f t="shared" si="12"/>
        <v>1.8694436359203501</v>
      </c>
      <c r="AA72" s="19">
        <f t="shared" si="12"/>
        <v>1.3949073285817637</v>
      </c>
      <c r="AB72" s="19">
        <f t="shared" si="12"/>
        <v>1.0061034775238438</v>
      </c>
      <c r="AC72" s="12">
        <f>+SUM(E72:AB72)</f>
        <v>31</v>
      </c>
    </row>
    <row r="73" spans="2:29" outlineLevel="1" collapsed="1">
      <c r="B73" s="15">
        <f>+EDATE(B68,1)</f>
        <v>45292</v>
      </c>
      <c r="C73" s="8" t="s">
        <v>45</v>
      </c>
      <c r="D73" s="8">
        <v>21</v>
      </c>
      <c r="E73" s="17">
        <v>2.9361257124838391E-2</v>
      </c>
      <c r="F73" s="17">
        <v>2.7692710332229715E-2</v>
      </c>
      <c r="G73" s="17">
        <v>2.6785161397696527E-2</v>
      </c>
      <c r="H73" s="17">
        <v>2.6786989368939883E-2</v>
      </c>
      <c r="I73" s="17">
        <v>2.9135775177511477E-2</v>
      </c>
      <c r="J73" s="17">
        <v>3.4540443856715661E-2</v>
      </c>
      <c r="K73" s="17">
        <v>3.8789035252325646E-2</v>
      </c>
      <c r="L73" s="17">
        <v>3.957865839345593E-2</v>
      </c>
      <c r="M73" s="17">
        <v>4.0957538271781398E-2</v>
      </c>
      <c r="N73" s="17">
        <v>4.2166920044863825E-2</v>
      </c>
      <c r="O73" s="17">
        <v>4.4150374939633218E-2</v>
      </c>
      <c r="P73" s="17">
        <v>4.6294816466469102E-2</v>
      </c>
      <c r="Q73" s="17">
        <v>4.5431875959152102E-2</v>
      </c>
      <c r="R73" s="17">
        <v>4.3879728503346101E-2</v>
      </c>
      <c r="S73" s="17">
        <v>4.4118506624640258E-2</v>
      </c>
      <c r="T73" s="17">
        <v>4.5188432655351718E-2</v>
      </c>
      <c r="U73" s="17">
        <v>4.624302558461979E-2</v>
      </c>
      <c r="V73" s="17">
        <v>4.8247238962955179E-2</v>
      </c>
      <c r="W73" s="17">
        <v>5.7096885328092907E-2</v>
      </c>
      <c r="X73" s="17">
        <v>6.1739938045350239E-2</v>
      </c>
      <c r="Y73" s="17">
        <v>5.7231881517227232E-2</v>
      </c>
      <c r="Z73" s="17">
        <v>5.0129255438435008E-2</v>
      </c>
      <c r="AA73" s="17">
        <v>4.1010488221716553E-2</v>
      </c>
      <c r="AB73" s="17">
        <v>3.34430625326523E-2</v>
      </c>
      <c r="AC73" s="8">
        <f>+SUM(E73:AB73)*D73</f>
        <v>21.000000000000004</v>
      </c>
    </row>
    <row r="74" spans="2:29" outlineLevel="1">
      <c r="B74" s="16"/>
      <c r="C74" s="8" t="s">
        <v>46</v>
      </c>
      <c r="D74" s="8">
        <v>4</v>
      </c>
      <c r="E74" s="17">
        <v>3.0659473205105158E-2</v>
      </c>
      <c r="F74" s="17">
        <v>2.8600001140869122E-2</v>
      </c>
      <c r="G74" s="17">
        <v>2.7683858575034276E-2</v>
      </c>
      <c r="H74" s="17">
        <v>2.7537802139610414E-2</v>
      </c>
      <c r="I74" s="17">
        <v>2.8782539770184416E-2</v>
      </c>
      <c r="J74" s="17">
        <v>3.2241585579716119E-2</v>
      </c>
      <c r="K74" s="17">
        <v>3.645312931015221E-2</v>
      </c>
      <c r="L74" s="17">
        <v>3.9012639181609042E-2</v>
      </c>
      <c r="M74" s="17">
        <v>4.1549207589560662E-2</v>
      </c>
      <c r="N74" s="17">
        <v>4.3042516751632572E-2</v>
      </c>
      <c r="O74" s="17">
        <v>4.4973693586955334E-2</v>
      </c>
      <c r="P74" s="17">
        <v>4.6808021710202923E-2</v>
      </c>
      <c r="Q74" s="17">
        <v>4.6383383047344962E-2</v>
      </c>
      <c r="R74" s="17">
        <v>4.4751654806610461E-2</v>
      </c>
      <c r="S74" s="17">
        <v>4.4013077558728637E-2</v>
      </c>
      <c r="T74" s="17">
        <v>4.428856091631931E-2</v>
      </c>
      <c r="U74" s="17">
        <v>4.49735778579251E-2</v>
      </c>
      <c r="V74" s="17">
        <v>4.6933206789217301E-2</v>
      </c>
      <c r="W74" s="17">
        <v>5.6210586428141023E-2</v>
      </c>
      <c r="X74" s="17">
        <v>6.1205656691958259E-2</v>
      </c>
      <c r="Y74" s="17">
        <v>5.7018442088769522E-2</v>
      </c>
      <c r="Z74" s="17">
        <v>4.9896672365740725E-2</v>
      </c>
      <c r="AA74" s="17">
        <v>4.1622868086918119E-2</v>
      </c>
      <c r="AB74" s="17">
        <v>3.5357844821693719E-2</v>
      </c>
      <c r="AC74" s="8">
        <f>+SUM(E74:AB74)*D74</f>
        <v>3.9999999999999969</v>
      </c>
    </row>
    <row r="75" spans="2:29" outlineLevel="1">
      <c r="B75" s="16"/>
      <c r="C75" s="8" t="s">
        <v>47</v>
      </c>
      <c r="D75" s="8">
        <v>4</v>
      </c>
      <c r="E75" s="17">
        <v>3.3281514565353124E-2</v>
      </c>
      <c r="F75" s="17">
        <v>3.1140043873712407E-2</v>
      </c>
      <c r="G75" s="17">
        <v>2.984335106750436E-2</v>
      </c>
      <c r="H75" s="17">
        <v>2.9286927979133532E-2</v>
      </c>
      <c r="I75" s="17">
        <v>2.9138028999542646E-2</v>
      </c>
      <c r="J75" s="17">
        <v>3.0942883559119717E-2</v>
      </c>
      <c r="K75" s="17">
        <v>3.4432484834348992E-2</v>
      </c>
      <c r="L75" s="17">
        <v>3.8305304424032266E-2</v>
      </c>
      <c r="M75" s="17">
        <v>4.1103790742913066E-2</v>
      </c>
      <c r="N75" s="17">
        <v>4.2608444243851212E-2</v>
      </c>
      <c r="O75" s="17">
        <v>4.3914681848814308E-2</v>
      </c>
      <c r="P75" s="17">
        <v>4.5729867165388009E-2</v>
      </c>
      <c r="Q75" s="17">
        <v>4.5741487779353565E-2</v>
      </c>
      <c r="R75" s="17">
        <v>4.4277060725657284E-2</v>
      </c>
      <c r="S75" s="17">
        <v>4.3144199391556254E-2</v>
      </c>
      <c r="T75" s="17">
        <v>4.3279567369281124E-2</v>
      </c>
      <c r="U75" s="17">
        <v>4.4109954506885138E-2</v>
      </c>
      <c r="V75" s="17">
        <v>4.6298728840315946E-2</v>
      </c>
      <c r="W75" s="17">
        <v>5.6176649878816001E-2</v>
      </c>
      <c r="X75" s="17">
        <v>6.2194705000087863E-2</v>
      </c>
      <c r="Y75" s="17">
        <v>5.7928891294023718E-2</v>
      </c>
      <c r="Z75" s="17">
        <v>5.019499221712586E-2</v>
      </c>
      <c r="AA75" s="17">
        <v>4.1853093029906328E-2</v>
      </c>
      <c r="AB75" s="17">
        <v>3.507334666327714E-2</v>
      </c>
      <c r="AC75" s="8">
        <f>+SUM(E75:AB75)*D75</f>
        <v>3.9999999999999991</v>
      </c>
    </row>
    <row r="76" spans="2:29" outlineLevel="1">
      <c r="B76" s="16"/>
      <c r="C76" s="8" t="s">
        <v>48</v>
      </c>
      <c r="D76" s="8">
        <v>2</v>
      </c>
      <c r="E76" s="17">
        <v>3.367503361886829E-2</v>
      </c>
      <c r="F76" s="17">
        <v>3.1245692535415936E-2</v>
      </c>
      <c r="G76" s="17">
        <v>2.9861746203171599E-2</v>
      </c>
      <c r="H76" s="17">
        <v>2.9235019370742008E-2</v>
      </c>
      <c r="I76" s="17">
        <v>3.0186379118294998E-2</v>
      </c>
      <c r="J76" s="17">
        <v>3.3123682717801174E-2</v>
      </c>
      <c r="K76" s="17">
        <v>3.5563630818173868E-2</v>
      </c>
      <c r="L76" s="17">
        <v>3.7375437025807548E-2</v>
      </c>
      <c r="M76" s="17">
        <v>3.9557895894381336E-2</v>
      </c>
      <c r="N76" s="17">
        <v>4.1330002492198488E-2</v>
      </c>
      <c r="O76" s="17">
        <v>4.3273465010057272E-2</v>
      </c>
      <c r="P76" s="17">
        <v>4.5278417057592932E-2</v>
      </c>
      <c r="Q76" s="17">
        <v>4.5765189585786785E-2</v>
      </c>
      <c r="R76" s="17">
        <v>4.421428774797561E-2</v>
      </c>
      <c r="S76" s="17">
        <v>4.3245429527174986E-2</v>
      </c>
      <c r="T76" s="17">
        <v>4.3554999005074702E-2</v>
      </c>
      <c r="U76" s="17">
        <v>4.4435510161992771E-2</v>
      </c>
      <c r="V76" s="17">
        <v>4.717219114348542E-2</v>
      </c>
      <c r="W76" s="17">
        <v>5.6899741232983039E-2</v>
      </c>
      <c r="X76" s="17">
        <v>6.1986738769463187E-2</v>
      </c>
      <c r="Y76" s="17">
        <v>5.7208700429979269E-2</v>
      </c>
      <c r="Z76" s="17">
        <v>4.9339560702577757E-2</v>
      </c>
      <c r="AA76" s="17">
        <v>4.1368944501432053E-2</v>
      </c>
      <c r="AB76" s="17">
        <v>3.5102305329568817E-2</v>
      </c>
      <c r="AC76" s="8">
        <f>+SUM(E76:AB76)*D76</f>
        <v>1.9999999999999996</v>
      </c>
    </row>
    <row r="77" spans="2:29" outlineLevel="1">
      <c r="B77" s="12"/>
      <c r="C77" s="12" t="s">
        <v>15</v>
      </c>
      <c r="D77" s="12">
        <f>+SUM(D73:D76)</f>
        <v>31</v>
      </c>
      <c r="E77" s="19">
        <f>+SUMPRODUCT(E73:E76,$D73:$D76)</f>
        <v>0.93970041794117598</v>
      </c>
      <c r="F77" s="19">
        <f>+SUMPRODUCT(F73:F76,$D73:$D76)</f>
        <v>0.88299848210598197</v>
      </c>
      <c r="G77" s="19">
        <f t="shared" ref="G77:AB77" si="13">+SUMPRODUCT(G73:G76,$D73:$D76)</f>
        <v>0.85232072032812478</v>
      </c>
      <c r="H77" s="19">
        <f t="shared" si="13"/>
        <v>0.84829573596419738</v>
      </c>
      <c r="I77" s="19">
        <f t="shared" si="13"/>
        <v>0.90390631204323935</v>
      </c>
      <c r="J77" s="19">
        <f t="shared" si="13"/>
        <v>1.0443345629819747</v>
      </c>
      <c r="K77" s="19">
        <f t="shared" si="13"/>
        <v>1.1692394585131909</v>
      </c>
      <c r="L77" s="19">
        <f t="shared" si="13"/>
        <v>1.215174474736755</v>
      </c>
      <c r="M77" s="19">
        <f t="shared" si="13"/>
        <v>1.2698360888260669</v>
      </c>
      <c r="N77" s="19">
        <f t="shared" si="13"/>
        <v>1.3107691699084727</v>
      </c>
      <c r="O77" s="19">
        <f t="shared" si="13"/>
        <v>1.3692583054954905</v>
      </c>
      <c r="P77" s="19">
        <f t="shared" si="13"/>
        <v>1.4328995354134009</v>
      </c>
      <c r="Q77" s="19">
        <f t="shared" si="13"/>
        <v>1.4140992576205618</v>
      </c>
      <c r="R77" s="19">
        <f t="shared" si="13"/>
        <v>1.3660177361952903</v>
      </c>
      <c r="S77" s="19">
        <f t="shared" si="13"/>
        <v>1.3616086059729351</v>
      </c>
      <c r="T77" s="19">
        <f t="shared" si="13"/>
        <v>1.3863395969149375</v>
      </c>
      <c r="U77" s="19">
        <f t="shared" si="13"/>
        <v>1.4163086870602422</v>
      </c>
      <c r="V77" s="19">
        <f t="shared" si="13"/>
        <v>1.4804641430271626</v>
      </c>
      <c r="W77" s="19">
        <f t="shared" si="13"/>
        <v>1.7623830195837451</v>
      </c>
      <c r="X77" s="19">
        <f t="shared" si="13"/>
        <v>1.914113623259466</v>
      </c>
      <c r="Y77" s="19">
        <f t="shared" si="13"/>
        <v>1.7760762462529034</v>
      </c>
      <c r="Z77" s="19">
        <f t="shared" si="13"/>
        <v>1.5517601439437572</v>
      </c>
      <c r="AA77" s="19">
        <f t="shared" si="13"/>
        <v>1.2778619861262095</v>
      </c>
      <c r="AB77" s="19">
        <f t="shared" si="13"/>
        <v>1.0542336897847193</v>
      </c>
      <c r="AC77" s="12">
        <f>+SUM(E77:AB77)</f>
        <v>30.999999999999996</v>
      </c>
    </row>
    <row r="78" spans="2:29" outlineLevel="1">
      <c r="B78" s="15">
        <f>+EDATE(B73,1)</f>
        <v>45323</v>
      </c>
      <c r="C78" s="8" t="s">
        <v>45</v>
      </c>
      <c r="D78" s="8">
        <v>21</v>
      </c>
      <c r="E78" s="17">
        <v>2.9361257124838391E-2</v>
      </c>
      <c r="F78" s="17">
        <v>2.7692710332229715E-2</v>
      </c>
      <c r="G78" s="17">
        <v>2.6785161397696527E-2</v>
      </c>
      <c r="H78" s="17">
        <v>2.6786989368939883E-2</v>
      </c>
      <c r="I78" s="17">
        <v>2.9135775177511477E-2</v>
      </c>
      <c r="J78" s="17">
        <v>3.4540443856715661E-2</v>
      </c>
      <c r="K78" s="17">
        <v>3.8789035252325646E-2</v>
      </c>
      <c r="L78" s="17">
        <v>3.957865839345593E-2</v>
      </c>
      <c r="M78" s="17">
        <v>4.0957538271781398E-2</v>
      </c>
      <c r="N78" s="17">
        <v>4.2166920044863825E-2</v>
      </c>
      <c r="O78" s="17">
        <v>4.4150374939633218E-2</v>
      </c>
      <c r="P78" s="17">
        <v>4.6294816466469102E-2</v>
      </c>
      <c r="Q78" s="17">
        <v>4.5431875959152102E-2</v>
      </c>
      <c r="R78" s="17">
        <v>4.3879728503346101E-2</v>
      </c>
      <c r="S78" s="17">
        <v>4.4118506624640258E-2</v>
      </c>
      <c r="T78" s="17">
        <v>4.5188432655351718E-2</v>
      </c>
      <c r="U78" s="17">
        <v>4.624302558461979E-2</v>
      </c>
      <c r="V78" s="17">
        <v>4.8247238962955179E-2</v>
      </c>
      <c r="W78" s="17">
        <v>5.7096885328092907E-2</v>
      </c>
      <c r="X78" s="17">
        <v>6.1739938045350239E-2</v>
      </c>
      <c r="Y78" s="17">
        <v>5.7231881517227232E-2</v>
      </c>
      <c r="Z78" s="17">
        <v>5.0129255438435008E-2</v>
      </c>
      <c r="AA78" s="17">
        <v>4.1010488221716553E-2</v>
      </c>
      <c r="AB78" s="17">
        <v>3.34430625326523E-2</v>
      </c>
      <c r="AC78" s="8">
        <f>+SUM(E78:AB78)*D78</f>
        <v>21.000000000000004</v>
      </c>
    </row>
    <row r="79" spans="2:29" outlineLevel="1">
      <c r="B79" s="16"/>
      <c r="C79" s="8" t="s">
        <v>46</v>
      </c>
      <c r="D79" s="8">
        <v>4</v>
      </c>
      <c r="E79" s="17">
        <v>3.0659473205105158E-2</v>
      </c>
      <c r="F79" s="17">
        <v>2.8600001140869122E-2</v>
      </c>
      <c r="G79" s="17">
        <v>2.7683858575034276E-2</v>
      </c>
      <c r="H79" s="17">
        <v>2.7537802139610414E-2</v>
      </c>
      <c r="I79" s="17">
        <v>2.8782539770184416E-2</v>
      </c>
      <c r="J79" s="17">
        <v>3.2241585579716119E-2</v>
      </c>
      <c r="K79" s="17">
        <v>3.645312931015221E-2</v>
      </c>
      <c r="L79" s="17">
        <v>3.9012639181609042E-2</v>
      </c>
      <c r="M79" s="17">
        <v>4.1549207589560662E-2</v>
      </c>
      <c r="N79" s="17">
        <v>4.3042516751632572E-2</v>
      </c>
      <c r="O79" s="17">
        <v>4.4973693586955334E-2</v>
      </c>
      <c r="P79" s="17">
        <v>4.6808021710202923E-2</v>
      </c>
      <c r="Q79" s="17">
        <v>4.6383383047344962E-2</v>
      </c>
      <c r="R79" s="17">
        <v>4.4751654806610461E-2</v>
      </c>
      <c r="S79" s="17">
        <v>4.4013077558728637E-2</v>
      </c>
      <c r="T79" s="17">
        <v>4.428856091631931E-2</v>
      </c>
      <c r="U79" s="17">
        <v>4.49735778579251E-2</v>
      </c>
      <c r="V79" s="17">
        <v>4.6933206789217301E-2</v>
      </c>
      <c r="W79" s="17">
        <v>5.6210586428141023E-2</v>
      </c>
      <c r="X79" s="17">
        <v>6.1205656691958259E-2</v>
      </c>
      <c r="Y79" s="17">
        <v>5.7018442088769522E-2</v>
      </c>
      <c r="Z79" s="17">
        <v>4.9896672365740725E-2</v>
      </c>
      <c r="AA79" s="17">
        <v>4.1622868086918119E-2</v>
      </c>
      <c r="AB79" s="17">
        <v>3.5357844821693719E-2</v>
      </c>
      <c r="AC79" s="8">
        <f>+SUM(E79:AB79)*D79</f>
        <v>3.9999999999999969</v>
      </c>
    </row>
    <row r="80" spans="2:29" outlineLevel="1">
      <c r="B80" s="16"/>
      <c r="C80" s="8" t="s">
        <v>47</v>
      </c>
      <c r="D80" s="8">
        <v>4</v>
      </c>
      <c r="E80" s="17">
        <v>3.3281514565353124E-2</v>
      </c>
      <c r="F80" s="17">
        <v>3.1140043873712407E-2</v>
      </c>
      <c r="G80" s="17">
        <v>2.984335106750436E-2</v>
      </c>
      <c r="H80" s="17">
        <v>2.9286927979133532E-2</v>
      </c>
      <c r="I80" s="17">
        <v>2.9138028999542646E-2</v>
      </c>
      <c r="J80" s="17">
        <v>3.0942883559119717E-2</v>
      </c>
      <c r="K80" s="17">
        <v>3.4432484834348992E-2</v>
      </c>
      <c r="L80" s="17">
        <v>3.8305304424032266E-2</v>
      </c>
      <c r="M80" s="17">
        <v>4.1103790742913066E-2</v>
      </c>
      <c r="N80" s="17">
        <v>4.2608444243851212E-2</v>
      </c>
      <c r="O80" s="17">
        <v>4.3914681848814308E-2</v>
      </c>
      <c r="P80" s="17">
        <v>4.5729867165388009E-2</v>
      </c>
      <c r="Q80" s="17">
        <v>4.5741487779353565E-2</v>
      </c>
      <c r="R80" s="17">
        <v>4.4277060725657284E-2</v>
      </c>
      <c r="S80" s="17">
        <v>4.3144199391556254E-2</v>
      </c>
      <c r="T80" s="17">
        <v>4.3279567369281124E-2</v>
      </c>
      <c r="U80" s="17">
        <v>4.4109954506885138E-2</v>
      </c>
      <c r="V80" s="17">
        <v>4.6298728840315946E-2</v>
      </c>
      <c r="W80" s="17">
        <v>5.6176649878816001E-2</v>
      </c>
      <c r="X80" s="17">
        <v>6.2194705000087863E-2</v>
      </c>
      <c r="Y80" s="17">
        <v>5.7928891294023718E-2</v>
      </c>
      <c r="Z80" s="17">
        <v>5.019499221712586E-2</v>
      </c>
      <c r="AA80" s="17">
        <v>4.1853093029906328E-2</v>
      </c>
      <c r="AB80" s="17">
        <v>3.507334666327714E-2</v>
      </c>
      <c r="AC80" s="8">
        <f>+SUM(E80:AB80)*D80</f>
        <v>3.9999999999999991</v>
      </c>
    </row>
    <row r="81" spans="2:29" outlineLevel="1">
      <c r="B81" s="16"/>
      <c r="C81" s="8" t="s">
        <v>48</v>
      </c>
      <c r="D81" s="8">
        <v>0</v>
      </c>
      <c r="E81" s="17">
        <v>3.367503361886829E-2</v>
      </c>
      <c r="F81" s="17">
        <v>3.1245692535415936E-2</v>
      </c>
      <c r="G81" s="17">
        <v>2.9861746203171599E-2</v>
      </c>
      <c r="H81" s="17">
        <v>2.9235019370742008E-2</v>
      </c>
      <c r="I81" s="17">
        <v>3.0186379118294998E-2</v>
      </c>
      <c r="J81" s="17">
        <v>3.3123682717801174E-2</v>
      </c>
      <c r="K81" s="17">
        <v>3.5563630818173868E-2</v>
      </c>
      <c r="L81" s="17">
        <v>3.7375437025807548E-2</v>
      </c>
      <c r="M81" s="17">
        <v>3.9557895894381336E-2</v>
      </c>
      <c r="N81" s="17">
        <v>4.1330002492198488E-2</v>
      </c>
      <c r="O81" s="17">
        <v>4.3273465010057272E-2</v>
      </c>
      <c r="P81" s="17">
        <v>4.5278417057592932E-2</v>
      </c>
      <c r="Q81" s="17">
        <v>4.5765189585786785E-2</v>
      </c>
      <c r="R81" s="17">
        <v>4.421428774797561E-2</v>
      </c>
      <c r="S81" s="17">
        <v>4.3245429527174986E-2</v>
      </c>
      <c r="T81" s="17">
        <v>4.3554999005074702E-2</v>
      </c>
      <c r="U81" s="17">
        <v>4.4435510161992771E-2</v>
      </c>
      <c r="V81" s="17">
        <v>4.717219114348542E-2</v>
      </c>
      <c r="W81" s="17">
        <v>5.6899741232983039E-2</v>
      </c>
      <c r="X81" s="17">
        <v>6.1986738769463187E-2</v>
      </c>
      <c r="Y81" s="17">
        <v>5.7208700429979269E-2</v>
      </c>
      <c r="Z81" s="17">
        <v>4.9339560702577757E-2</v>
      </c>
      <c r="AA81" s="17">
        <v>4.1368944501432053E-2</v>
      </c>
      <c r="AB81" s="17">
        <v>3.5102305329568817E-2</v>
      </c>
      <c r="AC81" s="8">
        <f>+SUM(E81:AB81)*D81</f>
        <v>0</v>
      </c>
    </row>
    <row r="82" spans="2:29" outlineLevel="1">
      <c r="B82" s="12"/>
      <c r="C82" s="12" t="s">
        <v>15</v>
      </c>
      <c r="D82" s="12">
        <f>+SUM(D78:D81)</f>
        <v>29</v>
      </c>
      <c r="E82" s="19">
        <f>+SUMPRODUCT(E78:E81,$D78:$D81)</f>
        <v>0.87235035070343936</v>
      </c>
      <c r="F82" s="19">
        <f>+SUMPRODUCT(F78:F81,$D78:$D81)</f>
        <v>0.82050709703515012</v>
      </c>
      <c r="G82" s="19">
        <f t="shared" ref="G82:AB82" si="14">+SUMPRODUCT(G78:G81,$D78:$D81)</f>
        <v>0.79259722792178156</v>
      </c>
      <c r="H82" s="19">
        <f t="shared" si="14"/>
        <v>0.78982569722271334</v>
      </c>
      <c r="I82" s="19">
        <f t="shared" si="14"/>
        <v>0.84353355380664929</v>
      </c>
      <c r="J82" s="19">
        <f t="shared" si="14"/>
        <v>0.9780871975463723</v>
      </c>
      <c r="K82" s="19">
        <f t="shared" si="14"/>
        <v>1.0981121968768432</v>
      </c>
      <c r="L82" s="19">
        <f t="shared" si="14"/>
        <v>1.1404236006851398</v>
      </c>
      <c r="M82" s="19">
        <f t="shared" si="14"/>
        <v>1.1907202970373043</v>
      </c>
      <c r="N82" s="19">
        <f t="shared" si="14"/>
        <v>1.2281091649240756</v>
      </c>
      <c r="O82" s="19">
        <f t="shared" si="14"/>
        <v>1.2827113754753761</v>
      </c>
      <c r="P82" s="19">
        <f t="shared" si="14"/>
        <v>1.342342701298215</v>
      </c>
      <c r="Q82" s="19">
        <f t="shared" si="14"/>
        <v>1.3225688784489882</v>
      </c>
      <c r="R82" s="19">
        <f t="shared" si="14"/>
        <v>1.277589160699339</v>
      </c>
      <c r="S82" s="19">
        <f t="shared" si="14"/>
        <v>1.275117746918585</v>
      </c>
      <c r="T82" s="19">
        <f t="shared" si="14"/>
        <v>1.299229598904788</v>
      </c>
      <c r="U82" s="19">
        <f t="shared" si="14"/>
        <v>1.3274376667362566</v>
      </c>
      <c r="V82" s="19">
        <f t="shared" si="14"/>
        <v>1.3861197607401918</v>
      </c>
      <c r="W82" s="19">
        <f t="shared" si="14"/>
        <v>1.6485835371177791</v>
      </c>
      <c r="X82" s="19">
        <f t="shared" si="14"/>
        <v>1.7901401457205397</v>
      </c>
      <c r="Y82" s="19">
        <f t="shared" si="14"/>
        <v>1.6616588453929448</v>
      </c>
      <c r="Z82" s="19">
        <f t="shared" si="14"/>
        <v>1.4530810225386017</v>
      </c>
      <c r="AA82" s="19">
        <f t="shared" si="14"/>
        <v>1.1951240971233454</v>
      </c>
      <c r="AB82" s="19">
        <f t="shared" si="14"/>
        <v>0.98402907912558168</v>
      </c>
      <c r="AC82" s="12">
        <f>+SUM(E82:AB82)</f>
        <v>29</v>
      </c>
    </row>
    <row r="83" spans="2:29" outlineLevel="1">
      <c r="B83" s="15">
        <f>+EDATE(B78,1)</f>
        <v>45352</v>
      </c>
      <c r="C83" s="8" t="s">
        <v>45</v>
      </c>
      <c r="D83" s="8">
        <v>18</v>
      </c>
      <c r="E83" s="17">
        <v>2.9361257124838391E-2</v>
      </c>
      <c r="F83" s="17">
        <v>2.7692710332229715E-2</v>
      </c>
      <c r="G83" s="17">
        <v>2.6785161397696527E-2</v>
      </c>
      <c r="H83" s="17">
        <v>2.6786989368939883E-2</v>
      </c>
      <c r="I83" s="17">
        <v>2.9135775177511477E-2</v>
      </c>
      <c r="J83" s="17">
        <v>3.4540443856715661E-2</v>
      </c>
      <c r="K83" s="17">
        <v>3.8789035252325646E-2</v>
      </c>
      <c r="L83" s="17">
        <v>3.957865839345593E-2</v>
      </c>
      <c r="M83" s="17">
        <v>4.0957538271781398E-2</v>
      </c>
      <c r="N83" s="17">
        <v>4.2166920044863825E-2</v>
      </c>
      <c r="O83" s="17">
        <v>4.4150374939633218E-2</v>
      </c>
      <c r="P83" s="17">
        <v>4.6294816466469102E-2</v>
      </c>
      <c r="Q83" s="17">
        <v>4.5431875959152102E-2</v>
      </c>
      <c r="R83" s="17">
        <v>4.3879728503346101E-2</v>
      </c>
      <c r="S83" s="17">
        <v>4.4118506624640258E-2</v>
      </c>
      <c r="T83" s="17">
        <v>4.5188432655351718E-2</v>
      </c>
      <c r="U83" s="17">
        <v>4.624302558461979E-2</v>
      </c>
      <c r="V83" s="17">
        <v>4.8247238962955179E-2</v>
      </c>
      <c r="W83" s="17">
        <v>5.7096885328092907E-2</v>
      </c>
      <c r="X83" s="17">
        <v>6.1739938045350239E-2</v>
      </c>
      <c r="Y83" s="17">
        <v>5.7231881517227232E-2</v>
      </c>
      <c r="Z83" s="17">
        <v>5.0129255438435008E-2</v>
      </c>
      <c r="AA83" s="17">
        <v>4.1010488221716553E-2</v>
      </c>
      <c r="AB83" s="17">
        <v>3.34430625326523E-2</v>
      </c>
      <c r="AC83" s="8">
        <f>+SUM(E83:AB83)*D83</f>
        <v>18.000000000000004</v>
      </c>
    </row>
    <row r="84" spans="2:29" outlineLevel="1">
      <c r="B84" s="16"/>
      <c r="C84" s="8" t="s">
        <v>46</v>
      </c>
      <c r="D84" s="8">
        <v>5</v>
      </c>
      <c r="E84" s="17">
        <v>3.0659473205105158E-2</v>
      </c>
      <c r="F84" s="17">
        <v>2.8600001140869122E-2</v>
      </c>
      <c r="G84" s="17">
        <v>2.7683858575034276E-2</v>
      </c>
      <c r="H84" s="17">
        <v>2.7537802139610414E-2</v>
      </c>
      <c r="I84" s="17">
        <v>2.8782539770184416E-2</v>
      </c>
      <c r="J84" s="17">
        <v>3.2241585579716119E-2</v>
      </c>
      <c r="K84" s="17">
        <v>3.645312931015221E-2</v>
      </c>
      <c r="L84" s="17">
        <v>3.9012639181609042E-2</v>
      </c>
      <c r="M84" s="17">
        <v>4.1549207589560662E-2</v>
      </c>
      <c r="N84" s="17">
        <v>4.3042516751632572E-2</v>
      </c>
      <c r="O84" s="17">
        <v>4.4973693586955334E-2</v>
      </c>
      <c r="P84" s="17">
        <v>4.6808021710202923E-2</v>
      </c>
      <c r="Q84" s="17">
        <v>4.6383383047344962E-2</v>
      </c>
      <c r="R84" s="17">
        <v>4.4751654806610461E-2</v>
      </c>
      <c r="S84" s="17">
        <v>4.4013077558728637E-2</v>
      </c>
      <c r="T84" s="17">
        <v>4.428856091631931E-2</v>
      </c>
      <c r="U84" s="17">
        <v>4.49735778579251E-2</v>
      </c>
      <c r="V84" s="17">
        <v>4.6933206789217301E-2</v>
      </c>
      <c r="W84" s="17">
        <v>5.6210586428141023E-2</v>
      </c>
      <c r="X84" s="17">
        <v>6.1205656691958259E-2</v>
      </c>
      <c r="Y84" s="17">
        <v>5.7018442088769522E-2</v>
      </c>
      <c r="Z84" s="17">
        <v>4.9896672365740725E-2</v>
      </c>
      <c r="AA84" s="17">
        <v>4.1622868086918119E-2</v>
      </c>
      <c r="AB84" s="17">
        <v>3.5357844821693719E-2</v>
      </c>
      <c r="AC84" s="8">
        <f>+SUM(E84:AB84)*D84</f>
        <v>4.9999999999999964</v>
      </c>
    </row>
    <row r="85" spans="2:29" outlineLevel="1">
      <c r="B85" s="16"/>
      <c r="C85" s="8" t="s">
        <v>47</v>
      </c>
      <c r="D85" s="8">
        <v>5</v>
      </c>
      <c r="E85" s="17">
        <v>3.3281514565353124E-2</v>
      </c>
      <c r="F85" s="17">
        <v>3.1140043873712407E-2</v>
      </c>
      <c r="G85" s="17">
        <v>2.984335106750436E-2</v>
      </c>
      <c r="H85" s="17">
        <v>2.9286927979133532E-2</v>
      </c>
      <c r="I85" s="17">
        <v>2.9138028999542646E-2</v>
      </c>
      <c r="J85" s="17">
        <v>3.0942883559119717E-2</v>
      </c>
      <c r="K85" s="17">
        <v>3.4432484834348992E-2</v>
      </c>
      <c r="L85" s="17">
        <v>3.8305304424032266E-2</v>
      </c>
      <c r="M85" s="17">
        <v>4.1103790742913066E-2</v>
      </c>
      <c r="N85" s="17">
        <v>4.2608444243851212E-2</v>
      </c>
      <c r="O85" s="17">
        <v>4.3914681848814308E-2</v>
      </c>
      <c r="P85" s="17">
        <v>4.5729867165388009E-2</v>
      </c>
      <c r="Q85" s="17">
        <v>4.5741487779353565E-2</v>
      </c>
      <c r="R85" s="17">
        <v>4.4277060725657284E-2</v>
      </c>
      <c r="S85" s="17">
        <v>4.3144199391556254E-2</v>
      </c>
      <c r="T85" s="17">
        <v>4.3279567369281124E-2</v>
      </c>
      <c r="U85" s="17">
        <v>4.4109954506885138E-2</v>
      </c>
      <c r="V85" s="17">
        <v>4.6298728840315946E-2</v>
      </c>
      <c r="W85" s="17">
        <v>5.6176649878816001E-2</v>
      </c>
      <c r="X85" s="17">
        <v>6.2194705000087863E-2</v>
      </c>
      <c r="Y85" s="17">
        <v>5.7928891294023718E-2</v>
      </c>
      <c r="Z85" s="17">
        <v>5.019499221712586E-2</v>
      </c>
      <c r="AA85" s="17">
        <v>4.1853093029906328E-2</v>
      </c>
      <c r="AB85" s="17">
        <v>3.507334666327714E-2</v>
      </c>
      <c r="AC85" s="8">
        <f>+SUM(E85:AB85)*D85</f>
        <v>4.9999999999999991</v>
      </c>
    </row>
    <row r="86" spans="2:29" outlineLevel="1">
      <c r="B86" s="16"/>
      <c r="C86" s="8" t="s">
        <v>48</v>
      </c>
      <c r="D86" s="8">
        <v>3</v>
      </c>
      <c r="E86" s="17">
        <v>3.367503361886829E-2</v>
      </c>
      <c r="F86" s="17">
        <v>3.1245692535415936E-2</v>
      </c>
      <c r="G86" s="17">
        <v>2.9861746203171599E-2</v>
      </c>
      <c r="H86" s="17">
        <v>2.9235019370742008E-2</v>
      </c>
      <c r="I86" s="17">
        <v>3.0186379118294998E-2</v>
      </c>
      <c r="J86" s="17">
        <v>3.3123682717801174E-2</v>
      </c>
      <c r="K86" s="17">
        <v>3.5563630818173868E-2</v>
      </c>
      <c r="L86" s="17">
        <v>3.7375437025807548E-2</v>
      </c>
      <c r="M86" s="17">
        <v>3.9557895894381336E-2</v>
      </c>
      <c r="N86" s="17">
        <v>4.1330002492198488E-2</v>
      </c>
      <c r="O86" s="17">
        <v>4.3273465010057272E-2</v>
      </c>
      <c r="P86" s="17">
        <v>4.5278417057592932E-2</v>
      </c>
      <c r="Q86" s="17">
        <v>4.5765189585786785E-2</v>
      </c>
      <c r="R86" s="17">
        <v>4.421428774797561E-2</v>
      </c>
      <c r="S86" s="17">
        <v>4.3245429527174986E-2</v>
      </c>
      <c r="T86" s="17">
        <v>4.3554999005074702E-2</v>
      </c>
      <c r="U86" s="17">
        <v>4.4435510161992771E-2</v>
      </c>
      <c r="V86" s="17">
        <v>4.717219114348542E-2</v>
      </c>
      <c r="W86" s="17">
        <v>5.6899741232983039E-2</v>
      </c>
      <c r="X86" s="17">
        <v>6.1986738769463187E-2</v>
      </c>
      <c r="Y86" s="17">
        <v>5.7208700429979269E-2</v>
      </c>
      <c r="Z86" s="17">
        <v>4.9339560702577757E-2</v>
      </c>
      <c r="AA86" s="17">
        <v>4.1368944501432053E-2</v>
      </c>
      <c r="AB86" s="17">
        <v>3.5102305329568817E-2</v>
      </c>
      <c r="AC86" s="8">
        <f>+SUM(E86:AB86)*D86</f>
        <v>2.9999999999999991</v>
      </c>
    </row>
    <row r="87" spans="2:29" outlineLevel="1">
      <c r="B87" s="12"/>
      <c r="C87" s="12" t="s">
        <v>15</v>
      </c>
      <c r="D87" s="12">
        <f>+SUM(D83:D86)</f>
        <v>31</v>
      </c>
      <c r="E87" s="19">
        <f>+SUMPRODUCT(E83:E86,$D83:$D86)</f>
        <v>0.94923266795598737</v>
      </c>
      <c r="F87" s="19">
        <f>+SUMPRODUCT(F83:F86,$D83:$D86)</f>
        <v>0.89090608865929044</v>
      </c>
      <c r="G87" s="19">
        <f t="shared" ref="G87:AB87" si="15">+SUMPRODUCT(G83:G86,$D83:$D86)</f>
        <v>0.85935419198074547</v>
      </c>
      <c r="H87" s="19">
        <f t="shared" si="15"/>
        <v>0.8539945173468636</v>
      </c>
      <c r="I87" s="19">
        <f t="shared" si="15"/>
        <v>0.90460593439872683</v>
      </c>
      <c r="J87" s="19">
        <f t="shared" si="15"/>
        <v>1.0370213832684647</v>
      </c>
      <c r="K87" s="19">
        <f t="shared" si="15"/>
        <v>1.1593215977188891</v>
      </c>
      <c r="L87" s="19">
        <f t="shared" si="15"/>
        <v>1.2111318801878359</v>
      </c>
      <c r="M87" s="19">
        <f t="shared" si="15"/>
        <v>1.2691743682375778</v>
      </c>
      <c r="N87" s="19">
        <f t="shared" si="15"/>
        <v>1.3112493732615631</v>
      </c>
      <c r="O87" s="19">
        <f t="shared" si="15"/>
        <v>1.3689690211224179</v>
      </c>
      <c r="P87" s="19">
        <f t="shared" si="15"/>
        <v>1.4318313919471772</v>
      </c>
      <c r="Q87" s="19">
        <f t="shared" si="15"/>
        <v>1.4156936901555908</v>
      </c>
      <c r="R87" s="19">
        <f t="shared" si="15"/>
        <v>1.3676215539654955</v>
      </c>
      <c r="S87" s="19">
        <f t="shared" si="15"/>
        <v>1.3596557925764741</v>
      </c>
      <c r="T87" s="19">
        <f t="shared" si="15"/>
        <v>1.3818974262395571</v>
      </c>
      <c r="U87" s="19">
        <f t="shared" si="15"/>
        <v>1.4110986528331857</v>
      </c>
      <c r="V87" s="19">
        <f t="shared" si="15"/>
        <v>1.4761265529113157</v>
      </c>
      <c r="W87" s="19">
        <f t="shared" si="15"/>
        <v>1.7603793411394066</v>
      </c>
      <c r="X87" s="19">
        <f t="shared" si="15"/>
        <v>1.9142809095849245</v>
      </c>
      <c r="Y87" s="19">
        <f t="shared" si="15"/>
        <v>1.7765366355139942</v>
      </c>
      <c r="Z87" s="19">
        <f t="shared" si="15"/>
        <v>1.5508036029138963</v>
      </c>
      <c r="AA87" s="19">
        <f t="shared" si="15"/>
        <v>1.2796754270793163</v>
      </c>
      <c r="AB87" s="19">
        <f t="shared" si="15"/>
        <v>1.0594379990013021</v>
      </c>
      <c r="AC87" s="12">
        <f>+SUM(E87:AB87)</f>
        <v>31</v>
      </c>
    </row>
    <row r="88" spans="2:29" outlineLevel="1">
      <c r="B88" s="15">
        <f>+EDATE(B83,1)</f>
        <v>45383</v>
      </c>
      <c r="C88" s="8" t="s">
        <v>45</v>
      </c>
      <c r="D88" s="8">
        <v>22</v>
      </c>
      <c r="E88" s="17">
        <v>2.9361257124838391E-2</v>
      </c>
      <c r="F88" s="17">
        <v>2.7692710332229715E-2</v>
      </c>
      <c r="G88" s="17">
        <v>2.6785161397696527E-2</v>
      </c>
      <c r="H88" s="17">
        <v>2.6786989368939883E-2</v>
      </c>
      <c r="I88" s="17">
        <v>2.9135775177511477E-2</v>
      </c>
      <c r="J88" s="17">
        <v>3.4540443856715661E-2</v>
      </c>
      <c r="K88" s="17">
        <v>3.8789035252325646E-2</v>
      </c>
      <c r="L88" s="17">
        <v>3.957865839345593E-2</v>
      </c>
      <c r="M88" s="17">
        <v>4.0957538271781398E-2</v>
      </c>
      <c r="N88" s="17">
        <v>4.2166920044863825E-2</v>
      </c>
      <c r="O88" s="17">
        <v>4.4150374939633218E-2</v>
      </c>
      <c r="P88" s="17">
        <v>4.6294816466469102E-2</v>
      </c>
      <c r="Q88" s="17">
        <v>4.5431875959152102E-2</v>
      </c>
      <c r="R88" s="17">
        <v>4.3879728503346101E-2</v>
      </c>
      <c r="S88" s="17">
        <v>4.4118506624640258E-2</v>
      </c>
      <c r="T88" s="17">
        <v>4.5188432655351718E-2</v>
      </c>
      <c r="U88" s="17">
        <v>4.624302558461979E-2</v>
      </c>
      <c r="V88" s="17">
        <v>4.8247238962955179E-2</v>
      </c>
      <c r="W88" s="17">
        <v>5.7096885328092907E-2</v>
      </c>
      <c r="X88" s="17">
        <v>6.1739938045350239E-2</v>
      </c>
      <c r="Y88" s="17">
        <v>5.7231881517227232E-2</v>
      </c>
      <c r="Z88" s="17">
        <v>5.0129255438435008E-2</v>
      </c>
      <c r="AA88" s="17">
        <v>4.1010488221716553E-2</v>
      </c>
      <c r="AB88" s="17">
        <v>3.34430625326523E-2</v>
      </c>
      <c r="AC88" s="8">
        <f>+SUM(E88:AB88)*D88</f>
        <v>22.000000000000004</v>
      </c>
    </row>
    <row r="89" spans="2:29" outlineLevel="1">
      <c r="B89" s="16"/>
      <c r="C89" s="8" t="s">
        <v>46</v>
      </c>
      <c r="D89" s="8">
        <v>4</v>
      </c>
      <c r="E89" s="17">
        <v>3.0659473205105158E-2</v>
      </c>
      <c r="F89" s="17">
        <v>2.8600001140869122E-2</v>
      </c>
      <c r="G89" s="17">
        <v>2.7683858575034276E-2</v>
      </c>
      <c r="H89" s="17">
        <v>2.7537802139610414E-2</v>
      </c>
      <c r="I89" s="17">
        <v>2.8782539770184416E-2</v>
      </c>
      <c r="J89" s="17">
        <v>3.2241585579716119E-2</v>
      </c>
      <c r="K89" s="17">
        <v>3.645312931015221E-2</v>
      </c>
      <c r="L89" s="17">
        <v>3.9012639181609042E-2</v>
      </c>
      <c r="M89" s="17">
        <v>4.1549207589560662E-2</v>
      </c>
      <c r="N89" s="17">
        <v>4.3042516751632572E-2</v>
      </c>
      <c r="O89" s="17">
        <v>4.4973693586955334E-2</v>
      </c>
      <c r="P89" s="17">
        <v>4.6808021710202923E-2</v>
      </c>
      <c r="Q89" s="17">
        <v>4.6383383047344962E-2</v>
      </c>
      <c r="R89" s="17">
        <v>4.4751654806610461E-2</v>
      </c>
      <c r="S89" s="17">
        <v>4.4013077558728637E-2</v>
      </c>
      <c r="T89" s="17">
        <v>4.428856091631931E-2</v>
      </c>
      <c r="U89" s="17">
        <v>4.49735778579251E-2</v>
      </c>
      <c r="V89" s="17">
        <v>4.6933206789217301E-2</v>
      </c>
      <c r="W89" s="17">
        <v>5.6210586428141023E-2</v>
      </c>
      <c r="X89" s="17">
        <v>6.1205656691958259E-2</v>
      </c>
      <c r="Y89" s="17">
        <v>5.7018442088769522E-2</v>
      </c>
      <c r="Z89" s="17">
        <v>4.9896672365740725E-2</v>
      </c>
      <c r="AA89" s="17">
        <v>4.1622868086918119E-2</v>
      </c>
      <c r="AB89" s="17">
        <v>3.5357844821693719E-2</v>
      </c>
      <c r="AC89" s="8">
        <f>+SUM(E89:AB89)*D89</f>
        <v>3.9999999999999969</v>
      </c>
    </row>
    <row r="90" spans="2:29" outlineLevel="1">
      <c r="B90" s="16"/>
      <c r="C90" s="8" t="s">
        <v>47</v>
      </c>
      <c r="D90" s="8">
        <v>4</v>
      </c>
      <c r="E90" s="17">
        <v>3.3281514565353124E-2</v>
      </c>
      <c r="F90" s="17">
        <v>3.1140043873712407E-2</v>
      </c>
      <c r="G90" s="17">
        <v>2.984335106750436E-2</v>
      </c>
      <c r="H90" s="17">
        <v>2.9286927979133532E-2</v>
      </c>
      <c r="I90" s="17">
        <v>2.9138028999542646E-2</v>
      </c>
      <c r="J90" s="17">
        <v>3.0942883559119717E-2</v>
      </c>
      <c r="K90" s="17">
        <v>3.4432484834348992E-2</v>
      </c>
      <c r="L90" s="17">
        <v>3.8305304424032266E-2</v>
      </c>
      <c r="M90" s="17">
        <v>4.1103790742913066E-2</v>
      </c>
      <c r="N90" s="17">
        <v>4.2608444243851212E-2</v>
      </c>
      <c r="O90" s="17">
        <v>4.3914681848814308E-2</v>
      </c>
      <c r="P90" s="17">
        <v>4.5729867165388009E-2</v>
      </c>
      <c r="Q90" s="17">
        <v>4.5741487779353565E-2</v>
      </c>
      <c r="R90" s="17">
        <v>4.4277060725657284E-2</v>
      </c>
      <c r="S90" s="17">
        <v>4.3144199391556254E-2</v>
      </c>
      <c r="T90" s="17">
        <v>4.3279567369281124E-2</v>
      </c>
      <c r="U90" s="17">
        <v>4.4109954506885138E-2</v>
      </c>
      <c r="V90" s="17">
        <v>4.6298728840315946E-2</v>
      </c>
      <c r="W90" s="17">
        <v>5.6176649878816001E-2</v>
      </c>
      <c r="X90" s="17">
        <v>6.2194705000087863E-2</v>
      </c>
      <c r="Y90" s="17">
        <v>5.7928891294023718E-2</v>
      </c>
      <c r="Z90" s="17">
        <v>5.019499221712586E-2</v>
      </c>
      <c r="AA90" s="17">
        <v>4.1853093029906328E-2</v>
      </c>
      <c r="AB90" s="17">
        <v>3.507334666327714E-2</v>
      </c>
      <c r="AC90" s="8">
        <f>+SUM(E90:AB90)*D90</f>
        <v>3.9999999999999991</v>
      </c>
    </row>
    <row r="91" spans="2:29" outlineLevel="1">
      <c r="B91" s="16"/>
      <c r="C91" s="8" t="s">
        <v>48</v>
      </c>
      <c r="D91" s="8">
        <v>0</v>
      </c>
      <c r="E91" s="17">
        <v>3.367503361886829E-2</v>
      </c>
      <c r="F91" s="17">
        <v>3.1245692535415936E-2</v>
      </c>
      <c r="G91" s="17">
        <v>2.9861746203171599E-2</v>
      </c>
      <c r="H91" s="17">
        <v>2.9235019370742008E-2</v>
      </c>
      <c r="I91" s="17">
        <v>3.0186379118294998E-2</v>
      </c>
      <c r="J91" s="17">
        <v>3.3123682717801174E-2</v>
      </c>
      <c r="K91" s="17">
        <v>3.5563630818173868E-2</v>
      </c>
      <c r="L91" s="17">
        <v>3.7375437025807548E-2</v>
      </c>
      <c r="M91" s="17">
        <v>3.9557895894381336E-2</v>
      </c>
      <c r="N91" s="17">
        <v>4.1330002492198488E-2</v>
      </c>
      <c r="O91" s="17">
        <v>4.3273465010057272E-2</v>
      </c>
      <c r="P91" s="17">
        <v>4.5278417057592932E-2</v>
      </c>
      <c r="Q91" s="17">
        <v>4.5765189585786785E-2</v>
      </c>
      <c r="R91" s="17">
        <v>4.421428774797561E-2</v>
      </c>
      <c r="S91" s="17">
        <v>4.3245429527174986E-2</v>
      </c>
      <c r="T91" s="17">
        <v>4.3554999005074702E-2</v>
      </c>
      <c r="U91" s="17">
        <v>4.4435510161992771E-2</v>
      </c>
      <c r="V91" s="17">
        <v>4.717219114348542E-2</v>
      </c>
      <c r="W91" s="17">
        <v>5.6899741232983039E-2</v>
      </c>
      <c r="X91" s="17">
        <v>6.1986738769463187E-2</v>
      </c>
      <c r="Y91" s="17">
        <v>5.7208700429979269E-2</v>
      </c>
      <c r="Z91" s="17">
        <v>4.9339560702577757E-2</v>
      </c>
      <c r="AA91" s="17">
        <v>4.1368944501432053E-2</v>
      </c>
      <c r="AB91" s="17">
        <v>3.5102305329568817E-2</v>
      </c>
      <c r="AC91" s="8">
        <f>+SUM(E91:AB91)*D91</f>
        <v>0</v>
      </c>
    </row>
    <row r="92" spans="2:29" outlineLevel="1">
      <c r="B92" s="12"/>
      <c r="C92" s="12" t="s">
        <v>15</v>
      </c>
      <c r="D92" s="12">
        <f>+SUM(D88:D91)</f>
        <v>30</v>
      </c>
      <c r="E92" s="19">
        <f>+SUMPRODUCT(E88:E91,$D88:$D91)</f>
        <v>0.90171160782827764</v>
      </c>
      <c r="F92" s="19">
        <f>+SUMPRODUCT(F88:F91,$D88:$D91)</f>
        <v>0.84819980736737988</v>
      </c>
      <c r="G92" s="19">
        <f t="shared" ref="G92:AB92" si="16">+SUMPRODUCT(G88:G91,$D88:$D91)</f>
        <v>0.81938238931947815</v>
      </c>
      <c r="H92" s="19">
        <f t="shared" si="16"/>
        <v>0.8166126865916532</v>
      </c>
      <c r="I92" s="19">
        <f t="shared" si="16"/>
        <v>0.87266932898416072</v>
      </c>
      <c r="J92" s="19">
        <f t="shared" si="16"/>
        <v>1.0126276414030879</v>
      </c>
      <c r="K92" s="19">
        <f t="shared" si="16"/>
        <v>1.1369012321291692</v>
      </c>
      <c r="L92" s="19">
        <f t="shared" si="16"/>
        <v>1.1800022590785955</v>
      </c>
      <c r="M92" s="19">
        <f t="shared" si="16"/>
        <v>1.2316778353090858</v>
      </c>
      <c r="N92" s="19">
        <f t="shared" si="16"/>
        <v>1.2702760849689394</v>
      </c>
      <c r="O92" s="19">
        <f t="shared" si="16"/>
        <v>1.3268617504150093</v>
      </c>
      <c r="P92" s="19">
        <f t="shared" si="16"/>
        <v>1.3886375177646839</v>
      </c>
      <c r="Q92" s="19">
        <f t="shared" si="16"/>
        <v>1.3680007544081403</v>
      </c>
      <c r="R92" s="19">
        <f t="shared" si="16"/>
        <v>1.3214688892026851</v>
      </c>
      <c r="S92" s="19">
        <f t="shared" si="16"/>
        <v>1.3192362535432252</v>
      </c>
      <c r="T92" s="19">
        <f t="shared" si="16"/>
        <v>1.3444180315601395</v>
      </c>
      <c r="U92" s="19">
        <f t="shared" si="16"/>
        <v>1.3736806923208764</v>
      </c>
      <c r="V92" s="19">
        <f t="shared" si="16"/>
        <v>1.434366999703147</v>
      </c>
      <c r="W92" s="19">
        <f t="shared" si="16"/>
        <v>1.7056804224458719</v>
      </c>
      <c r="X92" s="19">
        <f t="shared" si="16"/>
        <v>1.8518800837658898</v>
      </c>
      <c r="Y92" s="19">
        <f t="shared" si="16"/>
        <v>1.7188907269101723</v>
      </c>
      <c r="Z92" s="19">
        <f t="shared" si="16"/>
        <v>1.5032102779770367</v>
      </c>
      <c r="AA92" s="19">
        <f t="shared" si="16"/>
        <v>1.2361345853450618</v>
      </c>
      <c r="AB92" s="19">
        <f t="shared" si="16"/>
        <v>1.017472141658234</v>
      </c>
      <c r="AC92" s="12">
        <f>+SUM(E92:AB92)</f>
        <v>29.999999999999996</v>
      </c>
    </row>
    <row r="93" spans="2:29" outlineLevel="1">
      <c r="B93" s="15">
        <f>+EDATE(B88,1)</f>
        <v>45413</v>
      </c>
      <c r="C93" s="8" t="s">
        <v>45</v>
      </c>
      <c r="D93" s="8">
        <v>21</v>
      </c>
      <c r="E93" s="17">
        <v>2.9361257124838391E-2</v>
      </c>
      <c r="F93" s="17">
        <v>2.7692710332229715E-2</v>
      </c>
      <c r="G93" s="17">
        <v>2.6785161397696527E-2</v>
      </c>
      <c r="H93" s="17">
        <v>2.6786989368939883E-2</v>
      </c>
      <c r="I93" s="17">
        <v>2.9135775177511477E-2</v>
      </c>
      <c r="J93" s="17">
        <v>3.4540443856715661E-2</v>
      </c>
      <c r="K93" s="17">
        <v>3.8789035252325646E-2</v>
      </c>
      <c r="L93" s="17">
        <v>3.957865839345593E-2</v>
      </c>
      <c r="M93" s="17">
        <v>4.0957538271781398E-2</v>
      </c>
      <c r="N93" s="17">
        <v>4.2166920044863825E-2</v>
      </c>
      <c r="O93" s="17">
        <v>4.4150374939633218E-2</v>
      </c>
      <c r="P93" s="17">
        <v>4.6294816466469102E-2</v>
      </c>
      <c r="Q93" s="17">
        <v>4.5431875959152102E-2</v>
      </c>
      <c r="R93" s="17">
        <v>4.3879728503346101E-2</v>
      </c>
      <c r="S93" s="17">
        <v>4.4118506624640258E-2</v>
      </c>
      <c r="T93" s="17">
        <v>4.5188432655351718E-2</v>
      </c>
      <c r="U93" s="17">
        <v>4.624302558461979E-2</v>
      </c>
      <c r="V93" s="17">
        <v>4.8247238962955179E-2</v>
      </c>
      <c r="W93" s="17">
        <v>5.7096885328092907E-2</v>
      </c>
      <c r="X93" s="17">
        <v>6.1739938045350239E-2</v>
      </c>
      <c r="Y93" s="17">
        <v>5.7231881517227232E-2</v>
      </c>
      <c r="Z93" s="17">
        <v>5.0129255438435008E-2</v>
      </c>
      <c r="AA93" s="17">
        <v>4.1010488221716553E-2</v>
      </c>
      <c r="AB93" s="17">
        <v>3.34430625326523E-2</v>
      </c>
      <c r="AC93" s="8">
        <f>+SUM(E93:AB93)*D93</f>
        <v>21.000000000000004</v>
      </c>
    </row>
    <row r="94" spans="2:29" outlineLevel="1">
      <c r="B94" s="16"/>
      <c r="C94" s="8" t="s">
        <v>46</v>
      </c>
      <c r="D94" s="8">
        <v>4</v>
      </c>
      <c r="E94" s="17">
        <v>3.0659473205105158E-2</v>
      </c>
      <c r="F94" s="17">
        <v>2.8600001140869122E-2</v>
      </c>
      <c r="G94" s="17">
        <v>2.7683858575034276E-2</v>
      </c>
      <c r="H94" s="17">
        <v>2.7537802139610414E-2</v>
      </c>
      <c r="I94" s="17">
        <v>2.8782539770184416E-2</v>
      </c>
      <c r="J94" s="17">
        <v>3.2241585579716119E-2</v>
      </c>
      <c r="K94" s="17">
        <v>3.645312931015221E-2</v>
      </c>
      <c r="L94" s="17">
        <v>3.9012639181609042E-2</v>
      </c>
      <c r="M94" s="17">
        <v>4.1549207589560662E-2</v>
      </c>
      <c r="N94" s="17">
        <v>4.3042516751632572E-2</v>
      </c>
      <c r="O94" s="17">
        <v>4.4973693586955334E-2</v>
      </c>
      <c r="P94" s="17">
        <v>4.6808021710202923E-2</v>
      </c>
      <c r="Q94" s="17">
        <v>4.6383383047344962E-2</v>
      </c>
      <c r="R94" s="17">
        <v>4.4751654806610461E-2</v>
      </c>
      <c r="S94" s="17">
        <v>4.4013077558728637E-2</v>
      </c>
      <c r="T94" s="17">
        <v>4.428856091631931E-2</v>
      </c>
      <c r="U94" s="17">
        <v>4.49735778579251E-2</v>
      </c>
      <c r="V94" s="17">
        <v>4.6933206789217301E-2</v>
      </c>
      <c r="W94" s="17">
        <v>5.6210586428141023E-2</v>
      </c>
      <c r="X94" s="17">
        <v>6.1205656691958259E-2</v>
      </c>
      <c r="Y94" s="17">
        <v>5.7018442088769522E-2</v>
      </c>
      <c r="Z94" s="17">
        <v>4.9896672365740725E-2</v>
      </c>
      <c r="AA94" s="17">
        <v>4.1622868086918119E-2</v>
      </c>
      <c r="AB94" s="17">
        <v>3.5357844821693719E-2</v>
      </c>
      <c r="AC94" s="8">
        <f t="shared" ref="AC94:AC151" si="17">+SUM(E94:AB94)*D94</f>
        <v>3.9999999999999969</v>
      </c>
    </row>
    <row r="95" spans="2:29" outlineLevel="1">
      <c r="B95" s="16"/>
      <c r="C95" s="8" t="s">
        <v>47</v>
      </c>
      <c r="D95" s="8">
        <v>4</v>
      </c>
      <c r="E95" s="17">
        <v>3.3281514565353124E-2</v>
      </c>
      <c r="F95" s="17">
        <v>3.1140043873712407E-2</v>
      </c>
      <c r="G95" s="17">
        <v>2.984335106750436E-2</v>
      </c>
      <c r="H95" s="17">
        <v>2.9286927979133532E-2</v>
      </c>
      <c r="I95" s="17">
        <v>2.9138028999542646E-2</v>
      </c>
      <c r="J95" s="17">
        <v>3.0942883559119717E-2</v>
      </c>
      <c r="K95" s="17">
        <v>3.4432484834348992E-2</v>
      </c>
      <c r="L95" s="17">
        <v>3.8305304424032266E-2</v>
      </c>
      <c r="M95" s="17">
        <v>4.1103790742913066E-2</v>
      </c>
      <c r="N95" s="17">
        <v>4.2608444243851212E-2</v>
      </c>
      <c r="O95" s="17">
        <v>4.3914681848814308E-2</v>
      </c>
      <c r="P95" s="17">
        <v>4.5729867165388009E-2</v>
      </c>
      <c r="Q95" s="17">
        <v>4.5741487779353565E-2</v>
      </c>
      <c r="R95" s="17">
        <v>4.4277060725657284E-2</v>
      </c>
      <c r="S95" s="17">
        <v>4.3144199391556254E-2</v>
      </c>
      <c r="T95" s="17">
        <v>4.3279567369281124E-2</v>
      </c>
      <c r="U95" s="17">
        <v>4.4109954506885138E-2</v>
      </c>
      <c r="V95" s="17">
        <v>4.6298728840315946E-2</v>
      </c>
      <c r="W95" s="17">
        <v>5.6176649878816001E-2</v>
      </c>
      <c r="X95" s="17">
        <v>6.2194705000087863E-2</v>
      </c>
      <c r="Y95" s="17">
        <v>5.7928891294023718E-2</v>
      </c>
      <c r="Z95" s="17">
        <v>5.019499221712586E-2</v>
      </c>
      <c r="AA95" s="17">
        <v>4.1853093029906328E-2</v>
      </c>
      <c r="AB95" s="17">
        <v>3.507334666327714E-2</v>
      </c>
      <c r="AC95" s="8">
        <f t="shared" si="17"/>
        <v>3.9999999999999991</v>
      </c>
    </row>
    <row r="96" spans="2:29" outlineLevel="1">
      <c r="B96" s="16"/>
      <c r="C96" s="8" t="s">
        <v>48</v>
      </c>
      <c r="D96" s="8">
        <v>2</v>
      </c>
      <c r="E96" s="17">
        <v>3.367503361886829E-2</v>
      </c>
      <c r="F96" s="17">
        <v>3.1245692535415936E-2</v>
      </c>
      <c r="G96" s="17">
        <v>2.9861746203171599E-2</v>
      </c>
      <c r="H96" s="17">
        <v>2.9235019370742008E-2</v>
      </c>
      <c r="I96" s="17">
        <v>3.0186379118294998E-2</v>
      </c>
      <c r="J96" s="17">
        <v>3.3123682717801174E-2</v>
      </c>
      <c r="K96" s="17">
        <v>3.5563630818173868E-2</v>
      </c>
      <c r="L96" s="17">
        <v>3.7375437025807548E-2</v>
      </c>
      <c r="M96" s="17">
        <v>3.9557895894381336E-2</v>
      </c>
      <c r="N96" s="17">
        <v>4.1330002492198488E-2</v>
      </c>
      <c r="O96" s="17">
        <v>4.3273465010057272E-2</v>
      </c>
      <c r="P96" s="17">
        <v>4.5278417057592932E-2</v>
      </c>
      <c r="Q96" s="17">
        <v>4.5765189585786785E-2</v>
      </c>
      <c r="R96" s="17">
        <v>4.421428774797561E-2</v>
      </c>
      <c r="S96" s="17">
        <v>4.3245429527174986E-2</v>
      </c>
      <c r="T96" s="17">
        <v>4.3554999005074702E-2</v>
      </c>
      <c r="U96" s="17">
        <v>4.4435510161992771E-2</v>
      </c>
      <c r="V96" s="17">
        <v>4.717219114348542E-2</v>
      </c>
      <c r="W96" s="17">
        <v>5.6899741232983039E-2</v>
      </c>
      <c r="X96" s="17">
        <v>6.1986738769463187E-2</v>
      </c>
      <c r="Y96" s="17">
        <v>5.7208700429979269E-2</v>
      </c>
      <c r="Z96" s="17">
        <v>4.9339560702577757E-2</v>
      </c>
      <c r="AA96" s="17">
        <v>4.1368944501432053E-2</v>
      </c>
      <c r="AB96" s="17">
        <v>3.5102305329568817E-2</v>
      </c>
      <c r="AC96" s="8">
        <f>+SUM(E96:AB96)*D96</f>
        <v>1.9999999999999996</v>
      </c>
    </row>
    <row r="97" spans="2:29" outlineLevel="1">
      <c r="B97" s="12"/>
      <c r="C97" s="12" t="s">
        <v>15</v>
      </c>
      <c r="D97" s="12">
        <f>+SUM(D93:D96)</f>
        <v>31</v>
      </c>
      <c r="E97" s="19">
        <f>+SUMPRODUCT(E93:E96,$D93:$D96)</f>
        <v>0.93970041794117598</v>
      </c>
      <c r="F97" s="19">
        <f>+SUMPRODUCT(F93:F96,$D93:$D96)</f>
        <v>0.88299848210598197</v>
      </c>
      <c r="G97" s="19">
        <f t="shared" ref="G97:AB97" si="18">+SUMPRODUCT(G93:G96,$D93:$D96)</f>
        <v>0.85232072032812478</v>
      </c>
      <c r="H97" s="19">
        <f t="shared" si="18"/>
        <v>0.84829573596419738</v>
      </c>
      <c r="I97" s="19">
        <f t="shared" si="18"/>
        <v>0.90390631204323935</v>
      </c>
      <c r="J97" s="19">
        <f t="shared" si="18"/>
        <v>1.0443345629819747</v>
      </c>
      <c r="K97" s="19">
        <f t="shared" si="18"/>
        <v>1.1692394585131909</v>
      </c>
      <c r="L97" s="19">
        <f t="shared" si="18"/>
        <v>1.215174474736755</v>
      </c>
      <c r="M97" s="19">
        <f t="shared" si="18"/>
        <v>1.2698360888260669</v>
      </c>
      <c r="N97" s="19">
        <f t="shared" si="18"/>
        <v>1.3107691699084727</v>
      </c>
      <c r="O97" s="19">
        <f t="shared" si="18"/>
        <v>1.3692583054954905</v>
      </c>
      <c r="P97" s="19">
        <f t="shared" si="18"/>
        <v>1.4328995354134009</v>
      </c>
      <c r="Q97" s="19">
        <f t="shared" si="18"/>
        <v>1.4140992576205618</v>
      </c>
      <c r="R97" s="19">
        <f t="shared" si="18"/>
        <v>1.3660177361952903</v>
      </c>
      <c r="S97" s="19">
        <f t="shared" si="18"/>
        <v>1.3616086059729351</v>
      </c>
      <c r="T97" s="19">
        <f t="shared" si="18"/>
        <v>1.3863395969149375</v>
      </c>
      <c r="U97" s="19">
        <f t="shared" si="18"/>
        <v>1.4163086870602422</v>
      </c>
      <c r="V97" s="19">
        <f t="shared" si="18"/>
        <v>1.4804641430271626</v>
      </c>
      <c r="W97" s="19">
        <f t="shared" si="18"/>
        <v>1.7623830195837451</v>
      </c>
      <c r="X97" s="19">
        <f t="shared" si="18"/>
        <v>1.914113623259466</v>
      </c>
      <c r="Y97" s="19">
        <f t="shared" si="18"/>
        <v>1.7760762462529034</v>
      </c>
      <c r="Z97" s="19">
        <f t="shared" si="18"/>
        <v>1.5517601439437572</v>
      </c>
      <c r="AA97" s="19">
        <f t="shared" si="18"/>
        <v>1.2778619861262095</v>
      </c>
      <c r="AB97" s="19">
        <f t="shared" si="18"/>
        <v>1.0542336897847193</v>
      </c>
      <c r="AC97" s="12">
        <f>+SUM(E97:AB97)</f>
        <v>30.999999999999996</v>
      </c>
    </row>
    <row r="98" spans="2:29" outlineLevel="1">
      <c r="B98" s="15">
        <f>+EDATE(B93,1)</f>
        <v>45444</v>
      </c>
      <c r="C98" s="8" t="s">
        <v>45</v>
      </c>
      <c r="D98" s="8">
        <v>18</v>
      </c>
      <c r="E98" s="17">
        <v>2.9361257124838391E-2</v>
      </c>
      <c r="F98" s="17">
        <v>2.7692710332229715E-2</v>
      </c>
      <c r="G98" s="17">
        <v>2.6785161397696527E-2</v>
      </c>
      <c r="H98" s="17">
        <v>2.6786989368939883E-2</v>
      </c>
      <c r="I98" s="17">
        <v>2.9135775177511477E-2</v>
      </c>
      <c r="J98" s="17">
        <v>3.4540443856715661E-2</v>
      </c>
      <c r="K98" s="17">
        <v>3.8789035252325646E-2</v>
      </c>
      <c r="L98" s="17">
        <v>3.957865839345593E-2</v>
      </c>
      <c r="M98" s="17">
        <v>4.0957538271781398E-2</v>
      </c>
      <c r="N98" s="17">
        <v>4.2166920044863825E-2</v>
      </c>
      <c r="O98" s="17">
        <v>4.4150374939633218E-2</v>
      </c>
      <c r="P98" s="17">
        <v>4.6294816466469102E-2</v>
      </c>
      <c r="Q98" s="17">
        <v>4.5431875959152102E-2</v>
      </c>
      <c r="R98" s="17">
        <v>4.3879728503346101E-2</v>
      </c>
      <c r="S98" s="17">
        <v>4.4118506624640258E-2</v>
      </c>
      <c r="T98" s="17">
        <v>4.5188432655351718E-2</v>
      </c>
      <c r="U98" s="17">
        <v>4.624302558461979E-2</v>
      </c>
      <c r="V98" s="17">
        <v>4.8247238962955179E-2</v>
      </c>
      <c r="W98" s="17">
        <v>5.7096885328092907E-2</v>
      </c>
      <c r="X98" s="17">
        <v>6.1739938045350239E-2</v>
      </c>
      <c r="Y98" s="17">
        <v>5.7231881517227232E-2</v>
      </c>
      <c r="Z98" s="17">
        <v>5.0129255438435008E-2</v>
      </c>
      <c r="AA98" s="17">
        <v>4.1010488221716553E-2</v>
      </c>
      <c r="AB98" s="17">
        <v>3.34430625326523E-2</v>
      </c>
      <c r="AC98" s="8">
        <f>+SUM(E98:AB98)*D98</f>
        <v>18.000000000000004</v>
      </c>
    </row>
    <row r="99" spans="2:29" outlineLevel="1">
      <c r="B99" s="16"/>
      <c r="C99" s="8" t="s">
        <v>46</v>
      </c>
      <c r="D99" s="8">
        <v>5</v>
      </c>
      <c r="E99" s="17">
        <v>3.0659473205105158E-2</v>
      </c>
      <c r="F99" s="17">
        <v>2.8600001140869122E-2</v>
      </c>
      <c r="G99" s="17">
        <v>2.7683858575034276E-2</v>
      </c>
      <c r="H99" s="17">
        <v>2.7537802139610414E-2</v>
      </c>
      <c r="I99" s="17">
        <v>2.8782539770184416E-2</v>
      </c>
      <c r="J99" s="17">
        <v>3.2241585579716119E-2</v>
      </c>
      <c r="K99" s="17">
        <v>3.645312931015221E-2</v>
      </c>
      <c r="L99" s="17">
        <v>3.9012639181609042E-2</v>
      </c>
      <c r="M99" s="17">
        <v>4.1549207589560662E-2</v>
      </c>
      <c r="N99" s="17">
        <v>4.3042516751632572E-2</v>
      </c>
      <c r="O99" s="17">
        <v>4.4973693586955334E-2</v>
      </c>
      <c r="P99" s="17">
        <v>4.6808021710202923E-2</v>
      </c>
      <c r="Q99" s="17">
        <v>4.6383383047344962E-2</v>
      </c>
      <c r="R99" s="17">
        <v>4.4751654806610461E-2</v>
      </c>
      <c r="S99" s="17">
        <v>4.4013077558728637E-2</v>
      </c>
      <c r="T99" s="17">
        <v>4.428856091631931E-2</v>
      </c>
      <c r="U99" s="17">
        <v>4.49735778579251E-2</v>
      </c>
      <c r="V99" s="17">
        <v>4.6933206789217301E-2</v>
      </c>
      <c r="W99" s="17">
        <v>5.6210586428141023E-2</v>
      </c>
      <c r="X99" s="17">
        <v>6.1205656691958259E-2</v>
      </c>
      <c r="Y99" s="17">
        <v>5.7018442088769522E-2</v>
      </c>
      <c r="Z99" s="17">
        <v>4.9896672365740725E-2</v>
      </c>
      <c r="AA99" s="17">
        <v>4.1622868086918119E-2</v>
      </c>
      <c r="AB99" s="17">
        <v>3.5357844821693719E-2</v>
      </c>
      <c r="AC99" s="8">
        <f t="shared" si="17"/>
        <v>4.9999999999999964</v>
      </c>
    </row>
    <row r="100" spans="2:29" outlineLevel="1">
      <c r="B100" s="16"/>
      <c r="C100" s="8" t="s">
        <v>47</v>
      </c>
      <c r="D100" s="8">
        <v>5</v>
      </c>
      <c r="E100" s="17">
        <v>3.3281514565353124E-2</v>
      </c>
      <c r="F100" s="17">
        <v>3.1140043873712407E-2</v>
      </c>
      <c r="G100" s="17">
        <v>2.984335106750436E-2</v>
      </c>
      <c r="H100" s="17">
        <v>2.9286927979133532E-2</v>
      </c>
      <c r="I100" s="17">
        <v>2.9138028999542646E-2</v>
      </c>
      <c r="J100" s="17">
        <v>3.0942883559119717E-2</v>
      </c>
      <c r="K100" s="17">
        <v>3.4432484834348992E-2</v>
      </c>
      <c r="L100" s="17">
        <v>3.8305304424032266E-2</v>
      </c>
      <c r="M100" s="17">
        <v>4.1103790742913066E-2</v>
      </c>
      <c r="N100" s="17">
        <v>4.2608444243851212E-2</v>
      </c>
      <c r="O100" s="17">
        <v>4.3914681848814308E-2</v>
      </c>
      <c r="P100" s="17">
        <v>4.5729867165388009E-2</v>
      </c>
      <c r="Q100" s="17">
        <v>4.5741487779353565E-2</v>
      </c>
      <c r="R100" s="17">
        <v>4.4277060725657284E-2</v>
      </c>
      <c r="S100" s="17">
        <v>4.3144199391556254E-2</v>
      </c>
      <c r="T100" s="17">
        <v>4.3279567369281124E-2</v>
      </c>
      <c r="U100" s="17">
        <v>4.4109954506885138E-2</v>
      </c>
      <c r="V100" s="17">
        <v>4.6298728840315946E-2</v>
      </c>
      <c r="W100" s="17">
        <v>5.6176649878816001E-2</v>
      </c>
      <c r="X100" s="17">
        <v>6.2194705000087863E-2</v>
      </c>
      <c r="Y100" s="17">
        <v>5.7928891294023718E-2</v>
      </c>
      <c r="Z100" s="17">
        <v>5.019499221712586E-2</v>
      </c>
      <c r="AA100" s="17">
        <v>4.1853093029906328E-2</v>
      </c>
      <c r="AB100" s="17">
        <v>3.507334666327714E-2</v>
      </c>
      <c r="AC100" s="8">
        <f t="shared" si="17"/>
        <v>4.9999999999999991</v>
      </c>
    </row>
    <row r="101" spans="2:29" outlineLevel="1">
      <c r="B101" s="16"/>
      <c r="C101" s="8" t="s">
        <v>48</v>
      </c>
      <c r="D101" s="8">
        <v>2</v>
      </c>
      <c r="E101" s="17">
        <v>3.367503361886829E-2</v>
      </c>
      <c r="F101" s="17">
        <v>3.1245692535415936E-2</v>
      </c>
      <c r="G101" s="17">
        <v>2.9861746203171599E-2</v>
      </c>
      <c r="H101" s="17">
        <v>2.9235019370742008E-2</v>
      </c>
      <c r="I101" s="17">
        <v>3.0186379118294998E-2</v>
      </c>
      <c r="J101" s="17">
        <v>3.3123682717801174E-2</v>
      </c>
      <c r="K101" s="17">
        <v>3.5563630818173868E-2</v>
      </c>
      <c r="L101" s="17">
        <v>3.7375437025807548E-2</v>
      </c>
      <c r="M101" s="17">
        <v>3.9557895894381336E-2</v>
      </c>
      <c r="N101" s="17">
        <v>4.1330002492198488E-2</v>
      </c>
      <c r="O101" s="17">
        <v>4.3273465010057272E-2</v>
      </c>
      <c r="P101" s="17">
        <v>4.5278417057592932E-2</v>
      </c>
      <c r="Q101" s="17">
        <v>4.5765189585786785E-2</v>
      </c>
      <c r="R101" s="17">
        <v>4.421428774797561E-2</v>
      </c>
      <c r="S101" s="17">
        <v>4.3245429527174986E-2</v>
      </c>
      <c r="T101" s="17">
        <v>4.3554999005074702E-2</v>
      </c>
      <c r="U101" s="17">
        <v>4.4435510161992771E-2</v>
      </c>
      <c r="V101" s="17">
        <v>4.717219114348542E-2</v>
      </c>
      <c r="W101" s="17">
        <v>5.6899741232983039E-2</v>
      </c>
      <c r="X101" s="17">
        <v>6.1986738769463187E-2</v>
      </c>
      <c r="Y101" s="17">
        <v>5.7208700429979269E-2</v>
      </c>
      <c r="Z101" s="17">
        <v>4.9339560702577757E-2</v>
      </c>
      <c r="AA101" s="17">
        <v>4.1368944501432053E-2</v>
      </c>
      <c r="AB101" s="17">
        <v>3.5102305329568817E-2</v>
      </c>
      <c r="AC101" s="8">
        <f t="shared" si="17"/>
        <v>1.9999999999999996</v>
      </c>
    </row>
    <row r="102" spans="2:29" outlineLevel="1">
      <c r="B102" s="12"/>
      <c r="C102" s="12" t="s">
        <v>15</v>
      </c>
      <c r="D102" s="12">
        <f>+SUM(D98:D101)</f>
        <v>30</v>
      </c>
      <c r="E102" s="19">
        <f>+SUMPRODUCT(E98:E101,$D98:$D101)</f>
        <v>0.91555763433711912</v>
      </c>
      <c r="F102" s="19">
        <f>+SUMPRODUCT(F98:F101,$D98:$D101)</f>
        <v>0.85966039612387446</v>
      </c>
      <c r="G102" s="19">
        <f t="shared" ref="G102:AB102" si="19">+SUMPRODUCT(G98:G101,$D98:$D101)</f>
        <v>0.82949244577757386</v>
      </c>
      <c r="H102" s="19">
        <f t="shared" si="19"/>
        <v>0.82475949797612158</v>
      </c>
      <c r="I102" s="19">
        <f t="shared" si="19"/>
        <v>0.87441955528043191</v>
      </c>
      <c r="J102" s="19">
        <f t="shared" si="19"/>
        <v>1.0038977005506635</v>
      </c>
      <c r="K102" s="19">
        <f t="shared" si="19"/>
        <v>1.1237579669007152</v>
      </c>
      <c r="L102" s="19">
        <f t="shared" si="19"/>
        <v>1.1737564431620284</v>
      </c>
      <c r="M102" s="19">
        <f t="shared" si="19"/>
        <v>1.2296164723431964</v>
      </c>
      <c r="N102" s="19">
        <f t="shared" si="19"/>
        <v>1.2699193707693648</v>
      </c>
      <c r="O102" s="19">
        <f t="shared" si="19"/>
        <v>1.3256955561123607</v>
      </c>
      <c r="P102" s="19">
        <f t="shared" si="19"/>
        <v>1.3865529748895844</v>
      </c>
      <c r="Q102" s="19">
        <f t="shared" si="19"/>
        <v>1.3699285005698041</v>
      </c>
      <c r="R102" s="19">
        <f t="shared" si="19"/>
        <v>1.3234072662175198</v>
      </c>
      <c r="S102" s="19">
        <f t="shared" si="19"/>
        <v>1.3164103630492991</v>
      </c>
      <c r="T102" s="19">
        <f t="shared" si="19"/>
        <v>1.3383424272344824</v>
      </c>
      <c r="U102" s="19">
        <f t="shared" si="19"/>
        <v>1.3666631426711928</v>
      </c>
      <c r="V102" s="19">
        <f t="shared" si="19"/>
        <v>1.4289543617678304</v>
      </c>
      <c r="W102" s="19">
        <f t="shared" si="19"/>
        <v>1.7034795999064236</v>
      </c>
      <c r="X102" s="19">
        <f t="shared" si="19"/>
        <v>1.8522941708154612</v>
      </c>
      <c r="Y102" s="19">
        <f t="shared" si="19"/>
        <v>1.7193279350840149</v>
      </c>
      <c r="Z102" s="19">
        <f t="shared" si="19"/>
        <v>1.5014640422113186</v>
      </c>
      <c r="AA102" s="19">
        <f t="shared" si="19"/>
        <v>1.2383064825778842</v>
      </c>
      <c r="AB102" s="19">
        <f t="shared" si="19"/>
        <v>1.0243356936717334</v>
      </c>
      <c r="AC102" s="12">
        <f>+SUM(E102:AB102)</f>
        <v>29.999999999999996</v>
      </c>
    </row>
    <row r="103" spans="2:29" outlineLevel="1">
      <c r="B103" s="15">
        <f>+EDATE(B98,1)</f>
        <v>45474</v>
      </c>
      <c r="C103" s="8" t="s">
        <v>45</v>
      </c>
      <c r="D103" s="8">
        <v>22</v>
      </c>
      <c r="E103" s="17">
        <v>2.9361257124838391E-2</v>
      </c>
      <c r="F103" s="17">
        <v>2.7692710332229715E-2</v>
      </c>
      <c r="G103" s="17">
        <v>2.6785161397696527E-2</v>
      </c>
      <c r="H103" s="17">
        <v>2.6786989368939883E-2</v>
      </c>
      <c r="I103" s="17">
        <v>2.9135775177511477E-2</v>
      </c>
      <c r="J103" s="17">
        <v>3.4540443856715661E-2</v>
      </c>
      <c r="K103" s="17">
        <v>3.8789035252325646E-2</v>
      </c>
      <c r="L103" s="17">
        <v>3.957865839345593E-2</v>
      </c>
      <c r="M103" s="17">
        <v>4.0957538271781398E-2</v>
      </c>
      <c r="N103" s="17">
        <v>4.2166920044863825E-2</v>
      </c>
      <c r="O103" s="17">
        <v>4.4150374939633218E-2</v>
      </c>
      <c r="P103" s="17">
        <v>4.6294816466469102E-2</v>
      </c>
      <c r="Q103" s="17">
        <v>4.5431875959152102E-2</v>
      </c>
      <c r="R103" s="17">
        <v>4.3879728503346101E-2</v>
      </c>
      <c r="S103" s="17">
        <v>4.4118506624640258E-2</v>
      </c>
      <c r="T103" s="17">
        <v>4.5188432655351718E-2</v>
      </c>
      <c r="U103" s="17">
        <v>4.624302558461979E-2</v>
      </c>
      <c r="V103" s="17">
        <v>4.8247238962955179E-2</v>
      </c>
      <c r="W103" s="17">
        <v>5.7096885328092907E-2</v>
      </c>
      <c r="X103" s="17">
        <v>6.1739938045350239E-2</v>
      </c>
      <c r="Y103" s="17">
        <v>5.7231881517227232E-2</v>
      </c>
      <c r="Z103" s="17">
        <v>5.0129255438435008E-2</v>
      </c>
      <c r="AA103" s="17">
        <v>4.1010488221716553E-2</v>
      </c>
      <c r="AB103" s="17">
        <v>3.34430625326523E-2</v>
      </c>
      <c r="AC103" s="8">
        <f>+SUM(E103:AB103)*D103</f>
        <v>22.000000000000004</v>
      </c>
    </row>
    <row r="104" spans="2:29" outlineLevel="1">
      <c r="B104" s="16"/>
      <c r="C104" s="8" t="s">
        <v>46</v>
      </c>
      <c r="D104" s="8">
        <v>3</v>
      </c>
      <c r="E104" s="17">
        <v>3.0659473205105158E-2</v>
      </c>
      <c r="F104" s="17">
        <v>2.8600001140869122E-2</v>
      </c>
      <c r="G104" s="17">
        <v>2.7683858575034276E-2</v>
      </c>
      <c r="H104" s="17">
        <v>2.7537802139610414E-2</v>
      </c>
      <c r="I104" s="17">
        <v>2.8782539770184416E-2</v>
      </c>
      <c r="J104" s="17">
        <v>3.2241585579716119E-2</v>
      </c>
      <c r="K104" s="17">
        <v>3.645312931015221E-2</v>
      </c>
      <c r="L104" s="17">
        <v>3.9012639181609042E-2</v>
      </c>
      <c r="M104" s="17">
        <v>4.1549207589560662E-2</v>
      </c>
      <c r="N104" s="17">
        <v>4.3042516751632572E-2</v>
      </c>
      <c r="O104" s="17">
        <v>4.4973693586955334E-2</v>
      </c>
      <c r="P104" s="17">
        <v>4.6808021710202923E-2</v>
      </c>
      <c r="Q104" s="17">
        <v>4.6383383047344962E-2</v>
      </c>
      <c r="R104" s="17">
        <v>4.4751654806610461E-2</v>
      </c>
      <c r="S104" s="17">
        <v>4.4013077558728637E-2</v>
      </c>
      <c r="T104" s="17">
        <v>4.428856091631931E-2</v>
      </c>
      <c r="U104" s="17">
        <v>4.49735778579251E-2</v>
      </c>
      <c r="V104" s="17">
        <v>4.6933206789217301E-2</v>
      </c>
      <c r="W104" s="17">
        <v>5.6210586428141023E-2</v>
      </c>
      <c r="X104" s="17">
        <v>6.1205656691958259E-2</v>
      </c>
      <c r="Y104" s="17">
        <v>5.7018442088769522E-2</v>
      </c>
      <c r="Z104" s="17">
        <v>4.9896672365740725E-2</v>
      </c>
      <c r="AA104" s="17">
        <v>4.1622868086918119E-2</v>
      </c>
      <c r="AB104" s="17">
        <v>3.5357844821693719E-2</v>
      </c>
      <c r="AC104" s="8">
        <f t="shared" si="17"/>
        <v>2.9999999999999978</v>
      </c>
    </row>
    <row r="105" spans="2:29" outlineLevel="1">
      <c r="B105" s="16"/>
      <c r="C105" s="8" t="s">
        <v>47</v>
      </c>
      <c r="D105" s="8">
        <v>4</v>
      </c>
      <c r="E105" s="17">
        <v>3.3281514565353124E-2</v>
      </c>
      <c r="F105" s="17">
        <v>3.1140043873712407E-2</v>
      </c>
      <c r="G105" s="17">
        <v>2.984335106750436E-2</v>
      </c>
      <c r="H105" s="17">
        <v>2.9286927979133532E-2</v>
      </c>
      <c r="I105" s="17">
        <v>2.9138028999542646E-2</v>
      </c>
      <c r="J105" s="17">
        <v>3.0942883559119717E-2</v>
      </c>
      <c r="K105" s="17">
        <v>3.4432484834348992E-2</v>
      </c>
      <c r="L105" s="17">
        <v>3.8305304424032266E-2</v>
      </c>
      <c r="M105" s="17">
        <v>4.1103790742913066E-2</v>
      </c>
      <c r="N105" s="17">
        <v>4.2608444243851212E-2</v>
      </c>
      <c r="O105" s="17">
        <v>4.3914681848814308E-2</v>
      </c>
      <c r="P105" s="17">
        <v>4.5729867165388009E-2</v>
      </c>
      <c r="Q105" s="17">
        <v>4.5741487779353565E-2</v>
      </c>
      <c r="R105" s="17">
        <v>4.4277060725657284E-2</v>
      </c>
      <c r="S105" s="17">
        <v>4.3144199391556254E-2</v>
      </c>
      <c r="T105" s="17">
        <v>4.3279567369281124E-2</v>
      </c>
      <c r="U105" s="17">
        <v>4.4109954506885138E-2</v>
      </c>
      <c r="V105" s="17">
        <v>4.6298728840315946E-2</v>
      </c>
      <c r="W105" s="17">
        <v>5.6176649878816001E-2</v>
      </c>
      <c r="X105" s="17">
        <v>6.2194705000087863E-2</v>
      </c>
      <c r="Y105" s="17">
        <v>5.7928891294023718E-2</v>
      </c>
      <c r="Z105" s="17">
        <v>5.019499221712586E-2</v>
      </c>
      <c r="AA105" s="17">
        <v>4.1853093029906328E-2</v>
      </c>
      <c r="AB105" s="17">
        <v>3.507334666327714E-2</v>
      </c>
      <c r="AC105" s="8">
        <f t="shared" si="17"/>
        <v>3.9999999999999991</v>
      </c>
    </row>
    <row r="106" spans="2:29" outlineLevel="1">
      <c r="B106" s="16"/>
      <c r="C106" s="8" t="s">
        <v>48</v>
      </c>
      <c r="D106" s="8">
        <v>2</v>
      </c>
      <c r="E106" s="17">
        <v>3.367503361886829E-2</v>
      </c>
      <c r="F106" s="17">
        <v>3.1245692535415936E-2</v>
      </c>
      <c r="G106" s="17">
        <v>2.9861746203171599E-2</v>
      </c>
      <c r="H106" s="17">
        <v>2.9235019370742008E-2</v>
      </c>
      <c r="I106" s="17">
        <v>3.0186379118294998E-2</v>
      </c>
      <c r="J106" s="17">
        <v>3.3123682717801174E-2</v>
      </c>
      <c r="K106" s="17">
        <v>3.5563630818173868E-2</v>
      </c>
      <c r="L106" s="17">
        <v>3.7375437025807548E-2</v>
      </c>
      <c r="M106" s="17">
        <v>3.9557895894381336E-2</v>
      </c>
      <c r="N106" s="17">
        <v>4.1330002492198488E-2</v>
      </c>
      <c r="O106" s="17">
        <v>4.3273465010057272E-2</v>
      </c>
      <c r="P106" s="17">
        <v>4.5278417057592932E-2</v>
      </c>
      <c r="Q106" s="17">
        <v>4.5765189585786785E-2</v>
      </c>
      <c r="R106" s="17">
        <v>4.421428774797561E-2</v>
      </c>
      <c r="S106" s="17">
        <v>4.3245429527174986E-2</v>
      </c>
      <c r="T106" s="17">
        <v>4.3554999005074702E-2</v>
      </c>
      <c r="U106" s="17">
        <v>4.4435510161992771E-2</v>
      </c>
      <c r="V106" s="17">
        <v>4.717219114348542E-2</v>
      </c>
      <c r="W106" s="17">
        <v>5.6899741232983039E-2</v>
      </c>
      <c r="X106" s="17">
        <v>6.1986738769463187E-2</v>
      </c>
      <c r="Y106" s="17">
        <v>5.7208700429979269E-2</v>
      </c>
      <c r="Z106" s="17">
        <v>4.9339560702577757E-2</v>
      </c>
      <c r="AA106" s="17">
        <v>4.1368944501432053E-2</v>
      </c>
      <c r="AB106" s="17">
        <v>3.5102305329568817E-2</v>
      </c>
      <c r="AC106" s="8">
        <f t="shared" si="17"/>
        <v>1.9999999999999996</v>
      </c>
    </row>
    <row r="107" spans="2:29" outlineLevel="1">
      <c r="B107" s="12"/>
      <c r="C107" s="12" t="s">
        <v>15</v>
      </c>
      <c r="D107" s="12">
        <f>+SUM(D103:D106)</f>
        <v>31</v>
      </c>
      <c r="E107" s="19">
        <f>+SUMPRODUCT(E103:E106,$D103:$D106)</f>
        <v>0.93840220186090917</v>
      </c>
      <c r="F107" s="19">
        <f>+SUMPRODUCT(F103:F106,$D103:$D106)</f>
        <v>0.88209119129734259</v>
      </c>
      <c r="G107" s="19">
        <f t="shared" ref="G107:AB107" si="20">+SUMPRODUCT(G103:G106,$D103:$D106)</f>
        <v>0.85142202315078708</v>
      </c>
      <c r="H107" s="19">
        <f t="shared" si="20"/>
        <v>0.84754492319352692</v>
      </c>
      <c r="I107" s="19">
        <f t="shared" si="20"/>
        <v>0.90425954745056636</v>
      </c>
      <c r="J107" s="19">
        <f t="shared" si="20"/>
        <v>1.0466334212589741</v>
      </c>
      <c r="K107" s="19">
        <f t="shared" si="20"/>
        <v>1.1715753644553646</v>
      </c>
      <c r="L107" s="19">
        <f t="shared" si="20"/>
        <v>1.2157404939486016</v>
      </c>
      <c r="M107" s="19">
        <f t="shared" si="20"/>
        <v>1.2692444195082875</v>
      </c>
      <c r="N107" s="19">
        <f t="shared" si="20"/>
        <v>1.3098935732017036</v>
      </c>
      <c r="O107" s="19">
        <f t="shared" si="20"/>
        <v>1.3684349868481684</v>
      </c>
      <c r="P107" s="19">
        <f t="shared" si="20"/>
        <v>1.4323863301696669</v>
      </c>
      <c r="Q107" s="19">
        <f t="shared" si="20"/>
        <v>1.4131477505323689</v>
      </c>
      <c r="R107" s="19">
        <f t="shared" si="20"/>
        <v>1.3651458098920259</v>
      </c>
      <c r="S107" s="19">
        <f t="shared" si="20"/>
        <v>1.3617140350388468</v>
      </c>
      <c r="T107" s="19">
        <f t="shared" si="20"/>
        <v>1.3872394686539695</v>
      </c>
      <c r="U107" s="19">
        <f t="shared" si="20"/>
        <v>1.4175781347869367</v>
      </c>
      <c r="V107" s="19">
        <f t="shared" si="20"/>
        <v>1.4817781752009003</v>
      </c>
      <c r="W107" s="19">
        <f t="shared" si="20"/>
        <v>1.7632693184836969</v>
      </c>
      <c r="X107" s="19">
        <f t="shared" si="20"/>
        <v>1.9146479046128577</v>
      </c>
      <c r="Y107" s="19">
        <f t="shared" si="20"/>
        <v>1.7762896856813613</v>
      </c>
      <c r="Z107" s="19">
        <f t="shared" si="20"/>
        <v>1.5519927270164513</v>
      </c>
      <c r="AA107" s="19">
        <f t="shared" si="20"/>
        <v>1.2772496062610077</v>
      </c>
      <c r="AB107" s="19">
        <f t="shared" si="20"/>
        <v>1.0523189074956778</v>
      </c>
      <c r="AC107" s="12">
        <f>+SUM(E107:AB107)</f>
        <v>31.000000000000004</v>
      </c>
    </row>
    <row r="108" spans="2:29" outlineLevel="1">
      <c r="B108" s="15">
        <f>+EDATE(B103,1)</f>
        <v>45505</v>
      </c>
      <c r="C108" s="8" t="s">
        <v>45</v>
      </c>
      <c r="D108" s="8">
        <v>20</v>
      </c>
      <c r="E108" s="17">
        <v>2.9361257124838391E-2</v>
      </c>
      <c r="F108" s="17">
        <v>2.7692710332229715E-2</v>
      </c>
      <c r="G108" s="17">
        <v>2.6785161397696527E-2</v>
      </c>
      <c r="H108" s="17">
        <v>2.6786989368939883E-2</v>
      </c>
      <c r="I108" s="17">
        <v>2.9135775177511477E-2</v>
      </c>
      <c r="J108" s="17">
        <v>3.4540443856715661E-2</v>
      </c>
      <c r="K108" s="17">
        <v>3.8789035252325646E-2</v>
      </c>
      <c r="L108" s="17">
        <v>3.957865839345593E-2</v>
      </c>
      <c r="M108" s="17">
        <v>4.0957538271781398E-2</v>
      </c>
      <c r="N108" s="17">
        <v>4.2166920044863825E-2</v>
      </c>
      <c r="O108" s="17">
        <v>4.4150374939633218E-2</v>
      </c>
      <c r="P108" s="17">
        <v>4.6294816466469102E-2</v>
      </c>
      <c r="Q108" s="17">
        <v>4.5431875959152102E-2</v>
      </c>
      <c r="R108" s="17">
        <v>4.3879728503346101E-2</v>
      </c>
      <c r="S108" s="17">
        <v>4.4118506624640258E-2</v>
      </c>
      <c r="T108" s="17">
        <v>4.5188432655351718E-2</v>
      </c>
      <c r="U108" s="17">
        <v>4.624302558461979E-2</v>
      </c>
      <c r="V108" s="17">
        <v>4.8247238962955179E-2</v>
      </c>
      <c r="W108" s="17">
        <v>5.7096885328092907E-2</v>
      </c>
      <c r="X108" s="17">
        <v>6.1739938045350239E-2</v>
      </c>
      <c r="Y108" s="17">
        <v>5.7231881517227232E-2</v>
      </c>
      <c r="Z108" s="17">
        <v>5.0129255438435008E-2</v>
      </c>
      <c r="AA108" s="17">
        <v>4.1010488221716553E-2</v>
      </c>
      <c r="AB108" s="17">
        <v>3.34430625326523E-2</v>
      </c>
      <c r="AC108" s="8">
        <f>+SUM(E108:AB108)*D108</f>
        <v>20.000000000000004</v>
      </c>
    </row>
    <row r="109" spans="2:29" outlineLevel="1">
      <c r="B109" s="16"/>
      <c r="C109" s="8" t="s">
        <v>46</v>
      </c>
      <c r="D109" s="8">
        <v>5</v>
      </c>
      <c r="E109" s="17">
        <v>3.0659473205105158E-2</v>
      </c>
      <c r="F109" s="17">
        <v>2.8600001140869122E-2</v>
      </c>
      <c r="G109" s="17">
        <v>2.7683858575034276E-2</v>
      </c>
      <c r="H109" s="17">
        <v>2.7537802139610414E-2</v>
      </c>
      <c r="I109" s="17">
        <v>2.8782539770184416E-2</v>
      </c>
      <c r="J109" s="17">
        <v>3.2241585579716119E-2</v>
      </c>
      <c r="K109" s="17">
        <v>3.645312931015221E-2</v>
      </c>
      <c r="L109" s="17">
        <v>3.9012639181609042E-2</v>
      </c>
      <c r="M109" s="17">
        <v>4.1549207589560662E-2</v>
      </c>
      <c r="N109" s="17">
        <v>4.3042516751632572E-2</v>
      </c>
      <c r="O109" s="17">
        <v>4.4973693586955334E-2</v>
      </c>
      <c r="P109" s="17">
        <v>4.6808021710202923E-2</v>
      </c>
      <c r="Q109" s="17">
        <v>4.6383383047344962E-2</v>
      </c>
      <c r="R109" s="17">
        <v>4.4751654806610461E-2</v>
      </c>
      <c r="S109" s="17">
        <v>4.4013077558728637E-2</v>
      </c>
      <c r="T109" s="17">
        <v>4.428856091631931E-2</v>
      </c>
      <c r="U109" s="17">
        <v>4.49735778579251E-2</v>
      </c>
      <c r="V109" s="17">
        <v>4.6933206789217301E-2</v>
      </c>
      <c r="W109" s="17">
        <v>5.6210586428141023E-2</v>
      </c>
      <c r="X109" s="17">
        <v>6.1205656691958259E-2</v>
      </c>
      <c r="Y109" s="17">
        <v>5.7018442088769522E-2</v>
      </c>
      <c r="Z109" s="17">
        <v>4.9896672365740725E-2</v>
      </c>
      <c r="AA109" s="17">
        <v>4.1622868086918119E-2</v>
      </c>
      <c r="AB109" s="17">
        <v>3.5357844821693719E-2</v>
      </c>
      <c r="AC109" s="8">
        <f t="shared" si="17"/>
        <v>4.9999999999999964</v>
      </c>
    </row>
    <row r="110" spans="2:29" outlineLevel="1">
      <c r="B110" s="16"/>
      <c r="C110" s="8" t="s">
        <v>47</v>
      </c>
      <c r="D110" s="8">
        <v>4</v>
      </c>
      <c r="E110" s="17">
        <v>3.3281514565353124E-2</v>
      </c>
      <c r="F110" s="17">
        <v>3.1140043873712407E-2</v>
      </c>
      <c r="G110" s="17">
        <v>2.984335106750436E-2</v>
      </c>
      <c r="H110" s="17">
        <v>2.9286927979133532E-2</v>
      </c>
      <c r="I110" s="17">
        <v>2.9138028999542646E-2</v>
      </c>
      <c r="J110" s="17">
        <v>3.0942883559119717E-2</v>
      </c>
      <c r="K110" s="17">
        <v>3.4432484834348992E-2</v>
      </c>
      <c r="L110" s="17">
        <v>3.8305304424032266E-2</v>
      </c>
      <c r="M110" s="17">
        <v>4.1103790742913066E-2</v>
      </c>
      <c r="N110" s="17">
        <v>4.2608444243851212E-2</v>
      </c>
      <c r="O110" s="17">
        <v>4.3914681848814308E-2</v>
      </c>
      <c r="P110" s="17">
        <v>4.5729867165388009E-2</v>
      </c>
      <c r="Q110" s="17">
        <v>4.5741487779353565E-2</v>
      </c>
      <c r="R110" s="17">
        <v>4.4277060725657284E-2</v>
      </c>
      <c r="S110" s="17">
        <v>4.3144199391556254E-2</v>
      </c>
      <c r="T110" s="17">
        <v>4.3279567369281124E-2</v>
      </c>
      <c r="U110" s="17">
        <v>4.4109954506885138E-2</v>
      </c>
      <c r="V110" s="17">
        <v>4.6298728840315946E-2</v>
      </c>
      <c r="W110" s="17">
        <v>5.6176649878816001E-2</v>
      </c>
      <c r="X110" s="17">
        <v>6.2194705000087863E-2</v>
      </c>
      <c r="Y110" s="17">
        <v>5.7928891294023718E-2</v>
      </c>
      <c r="Z110" s="17">
        <v>5.019499221712586E-2</v>
      </c>
      <c r="AA110" s="17">
        <v>4.1853093029906328E-2</v>
      </c>
      <c r="AB110" s="17">
        <v>3.507334666327714E-2</v>
      </c>
      <c r="AC110" s="8">
        <f t="shared" si="17"/>
        <v>3.9999999999999991</v>
      </c>
    </row>
    <row r="111" spans="2:29" outlineLevel="1">
      <c r="B111" s="16"/>
      <c r="C111" s="8" t="s">
        <v>48</v>
      </c>
      <c r="D111" s="8">
        <v>2</v>
      </c>
      <c r="E111" s="17">
        <v>3.367503361886829E-2</v>
      </c>
      <c r="F111" s="17">
        <v>3.1245692535415936E-2</v>
      </c>
      <c r="G111" s="17">
        <v>2.9861746203171599E-2</v>
      </c>
      <c r="H111" s="17">
        <v>2.9235019370742008E-2</v>
      </c>
      <c r="I111" s="17">
        <v>3.0186379118294998E-2</v>
      </c>
      <c r="J111" s="17">
        <v>3.3123682717801174E-2</v>
      </c>
      <c r="K111" s="17">
        <v>3.5563630818173868E-2</v>
      </c>
      <c r="L111" s="17">
        <v>3.7375437025807548E-2</v>
      </c>
      <c r="M111" s="17">
        <v>3.9557895894381336E-2</v>
      </c>
      <c r="N111" s="17">
        <v>4.1330002492198488E-2</v>
      </c>
      <c r="O111" s="17">
        <v>4.3273465010057272E-2</v>
      </c>
      <c r="P111" s="17">
        <v>4.5278417057592932E-2</v>
      </c>
      <c r="Q111" s="17">
        <v>4.5765189585786785E-2</v>
      </c>
      <c r="R111" s="17">
        <v>4.421428774797561E-2</v>
      </c>
      <c r="S111" s="17">
        <v>4.3245429527174986E-2</v>
      </c>
      <c r="T111" s="17">
        <v>4.3554999005074702E-2</v>
      </c>
      <c r="U111" s="17">
        <v>4.4435510161992771E-2</v>
      </c>
      <c r="V111" s="17">
        <v>4.717219114348542E-2</v>
      </c>
      <c r="W111" s="17">
        <v>5.6899741232983039E-2</v>
      </c>
      <c r="X111" s="17">
        <v>6.1986738769463187E-2</v>
      </c>
      <c r="Y111" s="17">
        <v>5.7208700429979269E-2</v>
      </c>
      <c r="Z111" s="17">
        <v>4.9339560702577757E-2</v>
      </c>
      <c r="AA111" s="17">
        <v>4.1368944501432053E-2</v>
      </c>
      <c r="AB111" s="17">
        <v>3.5102305329568817E-2</v>
      </c>
      <c r="AC111" s="8">
        <f t="shared" si="17"/>
        <v>1.9999999999999996</v>
      </c>
    </row>
    <row r="112" spans="2:29" outlineLevel="1">
      <c r="B112" s="12"/>
      <c r="C112" s="12" t="s">
        <v>15</v>
      </c>
      <c r="D112" s="12">
        <f>+SUM(D108:D111)</f>
        <v>31</v>
      </c>
      <c r="E112" s="19">
        <f>+SUMPRODUCT(E108:E111,$D108:$D111)</f>
        <v>0.94099863402144279</v>
      </c>
      <c r="F112" s="19">
        <f>+SUMPRODUCT(F108:F111,$D108:$D111)</f>
        <v>0.88390577291462136</v>
      </c>
      <c r="G112" s="19">
        <f t="shared" ref="G112:AB112" si="21">+SUMPRODUCT(G108:G111,$D108:$D111)</f>
        <v>0.8532194175054626</v>
      </c>
      <c r="H112" s="19">
        <f t="shared" si="21"/>
        <v>0.84904654873486796</v>
      </c>
      <c r="I112" s="19">
        <f t="shared" si="21"/>
        <v>0.90355307663591211</v>
      </c>
      <c r="J112" s="19">
        <f t="shared" si="21"/>
        <v>1.0420357047049751</v>
      </c>
      <c r="K112" s="19">
        <f t="shared" si="21"/>
        <v>1.1669035525710176</v>
      </c>
      <c r="L112" s="19">
        <f t="shared" si="21"/>
        <v>1.2146084555249079</v>
      </c>
      <c r="M112" s="19">
        <f t="shared" si="21"/>
        <v>1.2704277581438459</v>
      </c>
      <c r="N112" s="19">
        <f t="shared" si="21"/>
        <v>1.3116447666152413</v>
      </c>
      <c r="O112" s="19">
        <f t="shared" si="21"/>
        <v>1.3700816241428129</v>
      </c>
      <c r="P112" s="19">
        <f t="shared" si="21"/>
        <v>1.4334127406571346</v>
      </c>
      <c r="Q112" s="19">
        <f t="shared" si="21"/>
        <v>1.4150507647087547</v>
      </c>
      <c r="R112" s="19">
        <f t="shared" si="21"/>
        <v>1.3668896624985547</v>
      </c>
      <c r="S112" s="19">
        <f t="shared" si="21"/>
        <v>1.3615031769070234</v>
      </c>
      <c r="T112" s="19">
        <f t="shared" si="21"/>
        <v>1.385439725175905</v>
      </c>
      <c r="U112" s="19">
        <f t="shared" si="21"/>
        <v>1.4150392393335474</v>
      </c>
      <c r="V112" s="19">
        <f t="shared" si="21"/>
        <v>1.4791501108534248</v>
      </c>
      <c r="W112" s="19">
        <f t="shared" si="21"/>
        <v>1.7614967206837933</v>
      </c>
      <c r="X112" s="19">
        <f t="shared" si="21"/>
        <v>1.9135793419060738</v>
      </c>
      <c r="Y112" s="19">
        <f t="shared" si="21"/>
        <v>1.7758628068244457</v>
      </c>
      <c r="Z112" s="19">
        <f t="shared" si="21"/>
        <v>1.5515275608710626</v>
      </c>
      <c r="AA112" s="19">
        <f t="shared" si="21"/>
        <v>1.2784743659914108</v>
      </c>
      <c r="AB112" s="19">
        <f t="shared" si="21"/>
        <v>1.0561484720737608</v>
      </c>
      <c r="AC112" s="12">
        <f>+SUM(E112:AB112)</f>
        <v>31.000000000000007</v>
      </c>
    </row>
    <row r="113" spans="2:29" outlineLevel="1">
      <c r="B113" s="15">
        <f>+EDATE(B108,1)</f>
        <v>45536</v>
      </c>
      <c r="C113" s="8" t="s">
        <v>45</v>
      </c>
      <c r="D113" s="8">
        <v>21</v>
      </c>
      <c r="E113" s="17">
        <v>2.9361257124838391E-2</v>
      </c>
      <c r="F113" s="17">
        <v>2.7692710332229715E-2</v>
      </c>
      <c r="G113" s="17">
        <v>2.6785161397696527E-2</v>
      </c>
      <c r="H113" s="17">
        <v>2.6786989368939883E-2</v>
      </c>
      <c r="I113" s="17">
        <v>2.9135775177511477E-2</v>
      </c>
      <c r="J113" s="17">
        <v>3.4540443856715661E-2</v>
      </c>
      <c r="K113" s="17">
        <v>3.8789035252325646E-2</v>
      </c>
      <c r="L113" s="17">
        <v>3.957865839345593E-2</v>
      </c>
      <c r="M113" s="17">
        <v>4.0957538271781398E-2</v>
      </c>
      <c r="N113" s="17">
        <v>4.2166920044863825E-2</v>
      </c>
      <c r="O113" s="17">
        <v>4.4150374939633218E-2</v>
      </c>
      <c r="P113" s="17">
        <v>4.6294816466469102E-2</v>
      </c>
      <c r="Q113" s="17">
        <v>4.5431875959152102E-2</v>
      </c>
      <c r="R113" s="17">
        <v>4.3879728503346101E-2</v>
      </c>
      <c r="S113" s="17">
        <v>4.4118506624640258E-2</v>
      </c>
      <c r="T113" s="17">
        <v>4.5188432655351718E-2</v>
      </c>
      <c r="U113" s="17">
        <v>4.624302558461979E-2</v>
      </c>
      <c r="V113" s="17">
        <v>4.8247238962955179E-2</v>
      </c>
      <c r="W113" s="17">
        <v>5.7096885328092907E-2</v>
      </c>
      <c r="X113" s="17">
        <v>6.1739938045350239E-2</v>
      </c>
      <c r="Y113" s="17">
        <v>5.7231881517227232E-2</v>
      </c>
      <c r="Z113" s="17">
        <v>5.0129255438435008E-2</v>
      </c>
      <c r="AA113" s="17">
        <v>4.1010488221716553E-2</v>
      </c>
      <c r="AB113" s="17">
        <v>3.34430625326523E-2</v>
      </c>
      <c r="AC113" s="8">
        <f>+SUM(E113:AB113)*D113</f>
        <v>21.000000000000004</v>
      </c>
    </row>
    <row r="114" spans="2:29" outlineLevel="1">
      <c r="B114" s="16"/>
      <c r="C114" s="8" t="s">
        <v>46</v>
      </c>
      <c r="D114" s="8">
        <v>4</v>
      </c>
      <c r="E114" s="17">
        <v>3.0659473205105158E-2</v>
      </c>
      <c r="F114" s="17">
        <v>2.8600001140869122E-2</v>
      </c>
      <c r="G114" s="17">
        <v>2.7683858575034276E-2</v>
      </c>
      <c r="H114" s="17">
        <v>2.7537802139610414E-2</v>
      </c>
      <c r="I114" s="17">
        <v>2.8782539770184416E-2</v>
      </c>
      <c r="J114" s="17">
        <v>3.2241585579716119E-2</v>
      </c>
      <c r="K114" s="17">
        <v>3.645312931015221E-2</v>
      </c>
      <c r="L114" s="17">
        <v>3.9012639181609042E-2</v>
      </c>
      <c r="M114" s="17">
        <v>4.1549207589560662E-2</v>
      </c>
      <c r="N114" s="17">
        <v>4.3042516751632572E-2</v>
      </c>
      <c r="O114" s="17">
        <v>4.4973693586955334E-2</v>
      </c>
      <c r="P114" s="17">
        <v>4.6808021710202923E-2</v>
      </c>
      <c r="Q114" s="17">
        <v>4.6383383047344962E-2</v>
      </c>
      <c r="R114" s="17">
        <v>4.4751654806610461E-2</v>
      </c>
      <c r="S114" s="17">
        <v>4.4013077558728637E-2</v>
      </c>
      <c r="T114" s="17">
        <v>4.428856091631931E-2</v>
      </c>
      <c r="U114" s="17">
        <v>4.49735778579251E-2</v>
      </c>
      <c r="V114" s="17">
        <v>4.6933206789217301E-2</v>
      </c>
      <c r="W114" s="17">
        <v>5.6210586428141023E-2</v>
      </c>
      <c r="X114" s="17">
        <v>6.1205656691958259E-2</v>
      </c>
      <c r="Y114" s="17">
        <v>5.7018442088769522E-2</v>
      </c>
      <c r="Z114" s="17">
        <v>4.9896672365740725E-2</v>
      </c>
      <c r="AA114" s="17">
        <v>4.1622868086918119E-2</v>
      </c>
      <c r="AB114" s="17">
        <v>3.5357844821693719E-2</v>
      </c>
      <c r="AC114" s="8">
        <f t="shared" si="17"/>
        <v>3.9999999999999969</v>
      </c>
    </row>
    <row r="115" spans="2:29" outlineLevel="1">
      <c r="B115" s="16"/>
      <c r="C115" s="8" t="s">
        <v>47</v>
      </c>
      <c r="D115" s="8">
        <v>5</v>
      </c>
      <c r="E115" s="17">
        <v>3.3281514565353124E-2</v>
      </c>
      <c r="F115" s="17">
        <v>3.1140043873712407E-2</v>
      </c>
      <c r="G115" s="17">
        <v>2.984335106750436E-2</v>
      </c>
      <c r="H115" s="17">
        <v>2.9286927979133532E-2</v>
      </c>
      <c r="I115" s="17">
        <v>2.9138028999542646E-2</v>
      </c>
      <c r="J115" s="17">
        <v>3.0942883559119717E-2</v>
      </c>
      <c r="K115" s="17">
        <v>3.4432484834348992E-2</v>
      </c>
      <c r="L115" s="17">
        <v>3.8305304424032266E-2</v>
      </c>
      <c r="M115" s="17">
        <v>4.1103790742913066E-2</v>
      </c>
      <c r="N115" s="17">
        <v>4.2608444243851212E-2</v>
      </c>
      <c r="O115" s="17">
        <v>4.3914681848814308E-2</v>
      </c>
      <c r="P115" s="17">
        <v>4.5729867165388009E-2</v>
      </c>
      <c r="Q115" s="17">
        <v>4.5741487779353565E-2</v>
      </c>
      <c r="R115" s="17">
        <v>4.4277060725657284E-2</v>
      </c>
      <c r="S115" s="17">
        <v>4.3144199391556254E-2</v>
      </c>
      <c r="T115" s="17">
        <v>4.3279567369281124E-2</v>
      </c>
      <c r="U115" s="17">
        <v>4.4109954506885138E-2</v>
      </c>
      <c r="V115" s="17">
        <v>4.6298728840315946E-2</v>
      </c>
      <c r="W115" s="17">
        <v>5.6176649878816001E-2</v>
      </c>
      <c r="X115" s="17">
        <v>6.2194705000087863E-2</v>
      </c>
      <c r="Y115" s="17">
        <v>5.7928891294023718E-2</v>
      </c>
      <c r="Z115" s="17">
        <v>5.019499221712586E-2</v>
      </c>
      <c r="AA115" s="17">
        <v>4.1853093029906328E-2</v>
      </c>
      <c r="AB115" s="17">
        <v>3.507334666327714E-2</v>
      </c>
      <c r="AC115" s="8">
        <f t="shared" si="17"/>
        <v>4.9999999999999991</v>
      </c>
    </row>
    <row r="116" spans="2:29" outlineLevel="1">
      <c r="B116" s="16"/>
      <c r="C116" s="8" t="s">
        <v>48</v>
      </c>
      <c r="D116" s="8">
        <v>0</v>
      </c>
      <c r="E116" s="17">
        <v>3.367503361886829E-2</v>
      </c>
      <c r="F116" s="17">
        <v>3.1245692535415936E-2</v>
      </c>
      <c r="G116" s="17">
        <v>2.9861746203171599E-2</v>
      </c>
      <c r="H116" s="17">
        <v>2.9235019370742008E-2</v>
      </c>
      <c r="I116" s="17">
        <v>3.0186379118294998E-2</v>
      </c>
      <c r="J116" s="17">
        <v>3.3123682717801174E-2</v>
      </c>
      <c r="K116" s="17">
        <v>3.5563630818173868E-2</v>
      </c>
      <c r="L116" s="17">
        <v>3.7375437025807548E-2</v>
      </c>
      <c r="M116" s="17">
        <v>3.9557895894381336E-2</v>
      </c>
      <c r="N116" s="17">
        <v>4.1330002492198488E-2</v>
      </c>
      <c r="O116" s="17">
        <v>4.3273465010057272E-2</v>
      </c>
      <c r="P116" s="17">
        <v>4.5278417057592932E-2</v>
      </c>
      <c r="Q116" s="17">
        <v>4.5765189585786785E-2</v>
      </c>
      <c r="R116" s="17">
        <v>4.421428774797561E-2</v>
      </c>
      <c r="S116" s="17">
        <v>4.3245429527174986E-2</v>
      </c>
      <c r="T116" s="17">
        <v>4.3554999005074702E-2</v>
      </c>
      <c r="U116" s="17">
        <v>4.4435510161992771E-2</v>
      </c>
      <c r="V116" s="17">
        <v>4.717219114348542E-2</v>
      </c>
      <c r="W116" s="17">
        <v>5.6899741232983039E-2</v>
      </c>
      <c r="X116" s="17">
        <v>6.1986738769463187E-2</v>
      </c>
      <c r="Y116" s="17">
        <v>5.7208700429979269E-2</v>
      </c>
      <c r="Z116" s="17">
        <v>4.9339560702577757E-2</v>
      </c>
      <c r="AA116" s="17">
        <v>4.1368944501432053E-2</v>
      </c>
      <c r="AB116" s="17">
        <v>3.5102305329568817E-2</v>
      </c>
      <c r="AC116" s="8">
        <f t="shared" si="17"/>
        <v>0</v>
      </c>
    </row>
    <row r="117" spans="2:29" outlineLevel="1">
      <c r="B117" s="12"/>
      <c r="C117" s="12" t="s">
        <v>15</v>
      </c>
      <c r="D117" s="12">
        <f>+SUM(D113:D116)</f>
        <v>30</v>
      </c>
      <c r="E117" s="19">
        <f>+SUMPRODUCT(E113:E116,$D113:$D116)</f>
        <v>0.90563186526879247</v>
      </c>
      <c r="F117" s="19">
        <f>+SUMPRODUCT(F113:F116,$D113:$D116)</f>
        <v>0.85164714090886251</v>
      </c>
      <c r="G117" s="19">
        <f t="shared" ref="G117:AB117" si="22">+SUMPRODUCT(G113:G116,$D113:$D116)</f>
        <v>0.82244057898928591</v>
      </c>
      <c r="H117" s="19">
        <f t="shared" si="22"/>
        <v>0.8191126252018468</v>
      </c>
      <c r="I117" s="19">
        <f t="shared" si="22"/>
        <v>0.87267158280619195</v>
      </c>
      <c r="J117" s="19">
        <f t="shared" si="22"/>
        <v>1.009030081105492</v>
      </c>
      <c r="K117" s="19">
        <f t="shared" si="22"/>
        <v>1.1325446817111924</v>
      </c>
      <c r="L117" s="19">
        <f t="shared" si="22"/>
        <v>1.1787289051091721</v>
      </c>
      <c r="M117" s="19">
        <f t="shared" si="22"/>
        <v>1.2318240877802173</v>
      </c>
      <c r="N117" s="19">
        <f t="shared" si="22"/>
        <v>1.2707176091679266</v>
      </c>
      <c r="O117" s="19">
        <f t="shared" si="22"/>
        <v>1.3266260573241904</v>
      </c>
      <c r="P117" s="19">
        <f t="shared" si="22"/>
        <v>1.3880725684636031</v>
      </c>
      <c r="Q117" s="19">
        <f t="shared" si="22"/>
        <v>1.3683103662283418</v>
      </c>
      <c r="R117" s="19">
        <f t="shared" si="22"/>
        <v>1.3218662214249963</v>
      </c>
      <c r="S117" s="19">
        <f t="shared" si="22"/>
        <v>1.3182619463101413</v>
      </c>
      <c r="T117" s="19">
        <f t="shared" si="22"/>
        <v>1.3425091662740691</v>
      </c>
      <c r="U117" s="19">
        <f t="shared" si="22"/>
        <v>1.3715476212431417</v>
      </c>
      <c r="V117" s="19">
        <f t="shared" si="22"/>
        <v>1.4324184895805079</v>
      </c>
      <c r="W117" s="19">
        <f t="shared" si="22"/>
        <v>1.7047601869965952</v>
      </c>
      <c r="X117" s="19">
        <f t="shared" si="22"/>
        <v>1.8523348507206274</v>
      </c>
      <c r="Y117" s="19">
        <f t="shared" si="22"/>
        <v>1.7195877366869685</v>
      </c>
      <c r="Z117" s="19">
        <f t="shared" si="22"/>
        <v>1.5032760147557276</v>
      </c>
      <c r="AA117" s="19">
        <f t="shared" si="22"/>
        <v>1.2369771901532518</v>
      </c>
      <c r="AB117" s="19">
        <f t="shared" si="22"/>
        <v>1.0191024257888588</v>
      </c>
      <c r="AC117" s="12">
        <f>+SUM(E117:AB117)</f>
        <v>30</v>
      </c>
    </row>
    <row r="118" spans="2:29" outlineLevel="1">
      <c r="B118" s="15">
        <f>+EDATE(B113,1)</f>
        <v>45566</v>
      </c>
      <c r="C118" s="8" t="s">
        <v>45</v>
      </c>
      <c r="D118" s="8">
        <v>22</v>
      </c>
      <c r="E118" s="17">
        <v>2.9361257124838391E-2</v>
      </c>
      <c r="F118" s="17">
        <v>2.7692710332229715E-2</v>
      </c>
      <c r="G118" s="17">
        <v>2.6785161397696527E-2</v>
      </c>
      <c r="H118" s="17">
        <v>2.6786989368939883E-2</v>
      </c>
      <c r="I118" s="17">
        <v>2.9135775177511477E-2</v>
      </c>
      <c r="J118" s="17">
        <v>3.4540443856715661E-2</v>
      </c>
      <c r="K118" s="17">
        <v>3.8789035252325646E-2</v>
      </c>
      <c r="L118" s="17">
        <v>3.957865839345593E-2</v>
      </c>
      <c r="M118" s="17">
        <v>4.0957538271781398E-2</v>
      </c>
      <c r="N118" s="17">
        <v>4.2166920044863825E-2</v>
      </c>
      <c r="O118" s="17">
        <v>4.4150374939633218E-2</v>
      </c>
      <c r="P118" s="17">
        <v>4.6294816466469102E-2</v>
      </c>
      <c r="Q118" s="17">
        <v>4.5431875959152102E-2</v>
      </c>
      <c r="R118" s="17">
        <v>4.3879728503346101E-2</v>
      </c>
      <c r="S118" s="17">
        <v>4.4118506624640258E-2</v>
      </c>
      <c r="T118" s="17">
        <v>4.5188432655351718E-2</v>
      </c>
      <c r="U118" s="17">
        <v>4.624302558461979E-2</v>
      </c>
      <c r="V118" s="17">
        <v>4.8247238962955179E-2</v>
      </c>
      <c r="W118" s="17">
        <v>5.7096885328092907E-2</v>
      </c>
      <c r="X118" s="17">
        <v>6.1739938045350239E-2</v>
      </c>
      <c r="Y118" s="17">
        <v>5.7231881517227232E-2</v>
      </c>
      <c r="Z118" s="17">
        <v>5.0129255438435008E-2</v>
      </c>
      <c r="AA118" s="17">
        <v>4.1010488221716553E-2</v>
      </c>
      <c r="AB118" s="17">
        <v>3.34430625326523E-2</v>
      </c>
      <c r="AC118" s="8">
        <f>+SUM(E118:AB118)*D118</f>
        <v>22.000000000000004</v>
      </c>
    </row>
    <row r="119" spans="2:29" outlineLevel="1">
      <c r="B119" s="16"/>
      <c r="C119" s="8" t="s">
        <v>46</v>
      </c>
      <c r="D119" s="8">
        <v>4</v>
      </c>
      <c r="E119" s="17">
        <v>3.0659473205105158E-2</v>
      </c>
      <c r="F119" s="17">
        <v>2.8600001140869122E-2</v>
      </c>
      <c r="G119" s="17">
        <v>2.7683858575034276E-2</v>
      </c>
      <c r="H119" s="17">
        <v>2.7537802139610414E-2</v>
      </c>
      <c r="I119" s="17">
        <v>2.8782539770184416E-2</v>
      </c>
      <c r="J119" s="17">
        <v>3.2241585579716119E-2</v>
      </c>
      <c r="K119" s="17">
        <v>3.645312931015221E-2</v>
      </c>
      <c r="L119" s="17">
        <v>3.9012639181609042E-2</v>
      </c>
      <c r="M119" s="17">
        <v>4.1549207589560662E-2</v>
      </c>
      <c r="N119" s="17">
        <v>4.3042516751632572E-2</v>
      </c>
      <c r="O119" s="17">
        <v>4.4973693586955334E-2</v>
      </c>
      <c r="P119" s="17">
        <v>4.6808021710202923E-2</v>
      </c>
      <c r="Q119" s="17">
        <v>4.6383383047344962E-2</v>
      </c>
      <c r="R119" s="17">
        <v>4.4751654806610461E-2</v>
      </c>
      <c r="S119" s="17">
        <v>4.4013077558728637E-2</v>
      </c>
      <c r="T119" s="17">
        <v>4.428856091631931E-2</v>
      </c>
      <c r="U119" s="17">
        <v>4.49735778579251E-2</v>
      </c>
      <c r="V119" s="17">
        <v>4.6933206789217301E-2</v>
      </c>
      <c r="W119" s="17">
        <v>5.6210586428141023E-2</v>
      </c>
      <c r="X119" s="17">
        <v>6.1205656691958259E-2</v>
      </c>
      <c r="Y119" s="17">
        <v>5.7018442088769522E-2</v>
      </c>
      <c r="Z119" s="17">
        <v>4.9896672365740725E-2</v>
      </c>
      <c r="AA119" s="17">
        <v>4.1622868086918119E-2</v>
      </c>
      <c r="AB119" s="17">
        <v>3.5357844821693719E-2</v>
      </c>
      <c r="AC119" s="8">
        <f t="shared" si="17"/>
        <v>3.9999999999999969</v>
      </c>
    </row>
    <row r="120" spans="2:29" outlineLevel="1">
      <c r="B120" s="16"/>
      <c r="C120" s="8" t="s">
        <v>47</v>
      </c>
      <c r="D120" s="8">
        <v>4</v>
      </c>
      <c r="E120" s="17">
        <v>3.3281514565353124E-2</v>
      </c>
      <c r="F120" s="17">
        <v>3.1140043873712407E-2</v>
      </c>
      <c r="G120" s="17">
        <v>2.984335106750436E-2</v>
      </c>
      <c r="H120" s="17">
        <v>2.9286927979133532E-2</v>
      </c>
      <c r="I120" s="17">
        <v>2.9138028999542646E-2</v>
      </c>
      <c r="J120" s="17">
        <v>3.0942883559119717E-2</v>
      </c>
      <c r="K120" s="17">
        <v>3.4432484834348992E-2</v>
      </c>
      <c r="L120" s="17">
        <v>3.8305304424032266E-2</v>
      </c>
      <c r="M120" s="17">
        <v>4.1103790742913066E-2</v>
      </c>
      <c r="N120" s="17">
        <v>4.2608444243851212E-2</v>
      </c>
      <c r="O120" s="17">
        <v>4.3914681848814308E-2</v>
      </c>
      <c r="P120" s="17">
        <v>4.5729867165388009E-2</v>
      </c>
      <c r="Q120" s="17">
        <v>4.5741487779353565E-2</v>
      </c>
      <c r="R120" s="17">
        <v>4.4277060725657284E-2</v>
      </c>
      <c r="S120" s="17">
        <v>4.3144199391556254E-2</v>
      </c>
      <c r="T120" s="17">
        <v>4.3279567369281124E-2</v>
      </c>
      <c r="U120" s="17">
        <v>4.4109954506885138E-2</v>
      </c>
      <c r="V120" s="17">
        <v>4.6298728840315946E-2</v>
      </c>
      <c r="W120" s="17">
        <v>5.6176649878816001E-2</v>
      </c>
      <c r="X120" s="17">
        <v>6.2194705000087863E-2</v>
      </c>
      <c r="Y120" s="17">
        <v>5.7928891294023718E-2</v>
      </c>
      <c r="Z120" s="17">
        <v>5.019499221712586E-2</v>
      </c>
      <c r="AA120" s="17">
        <v>4.1853093029906328E-2</v>
      </c>
      <c r="AB120" s="17">
        <v>3.507334666327714E-2</v>
      </c>
      <c r="AC120" s="8">
        <f t="shared" si="17"/>
        <v>3.9999999999999991</v>
      </c>
    </row>
    <row r="121" spans="2:29" outlineLevel="1">
      <c r="B121" s="16"/>
      <c r="C121" s="8" t="s">
        <v>48</v>
      </c>
      <c r="D121" s="8">
        <v>1</v>
      </c>
      <c r="E121" s="17">
        <v>3.367503361886829E-2</v>
      </c>
      <c r="F121" s="17">
        <v>3.1245692535415936E-2</v>
      </c>
      <c r="G121" s="17">
        <v>2.9861746203171599E-2</v>
      </c>
      <c r="H121" s="17">
        <v>2.9235019370742008E-2</v>
      </c>
      <c r="I121" s="17">
        <v>3.0186379118294998E-2</v>
      </c>
      <c r="J121" s="17">
        <v>3.3123682717801174E-2</v>
      </c>
      <c r="K121" s="17">
        <v>3.5563630818173868E-2</v>
      </c>
      <c r="L121" s="17">
        <v>3.7375437025807548E-2</v>
      </c>
      <c r="M121" s="17">
        <v>3.9557895894381336E-2</v>
      </c>
      <c r="N121" s="17">
        <v>4.1330002492198488E-2</v>
      </c>
      <c r="O121" s="17">
        <v>4.3273465010057272E-2</v>
      </c>
      <c r="P121" s="17">
        <v>4.5278417057592932E-2</v>
      </c>
      <c r="Q121" s="17">
        <v>4.5765189585786785E-2</v>
      </c>
      <c r="R121" s="17">
        <v>4.421428774797561E-2</v>
      </c>
      <c r="S121" s="17">
        <v>4.3245429527174986E-2</v>
      </c>
      <c r="T121" s="17">
        <v>4.3554999005074702E-2</v>
      </c>
      <c r="U121" s="17">
        <v>4.4435510161992771E-2</v>
      </c>
      <c r="V121" s="17">
        <v>4.717219114348542E-2</v>
      </c>
      <c r="W121" s="17">
        <v>5.6899741232983039E-2</v>
      </c>
      <c r="X121" s="17">
        <v>6.1986738769463187E-2</v>
      </c>
      <c r="Y121" s="17">
        <v>5.7208700429979269E-2</v>
      </c>
      <c r="Z121" s="17">
        <v>4.9339560702577757E-2</v>
      </c>
      <c r="AA121" s="17">
        <v>4.1368944501432053E-2</v>
      </c>
      <c r="AB121" s="17">
        <v>3.5102305329568817E-2</v>
      </c>
      <c r="AC121" s="8">
        <f t="shared" si="17"/>
        <v>0.99999999999999978</v>
      </c>
    </row>
    <row r="122" spans="2:29" outlineLevel="1">
      <c r="B122" s="12"/>
      <c r="C122" s="12" t="s">
        <v>15</v>
      </c>
      <c r="D122" s="12">
        <f>+SUM(D118:D121)</f>
        <v>31</v>
      </c>
      <c r="E122" s="19">
        <f>+SUMPRODUCT(E118:E121,$D118:$D121)</f>
        <v>0.93538664144714589</v>
      </c>
      <c r="F122" s="19">
        <f>+SUMPRODUCT(F118:F121,$D118:$D121)</f>
        <v>0.87944549990279586</v>
      </c>
      <c r="G122" s="19">
        <f t="shared" ref="G122:AB122" si="23">+SUMPRODUCT(G118:G121,$D118:$D121)</f>
        <v>0.84924413552264977</v>
      </c>
      <c r="H122" s="19">
        <f t="shared" si="23"/>
        <v>0.84584770596239522</v>
      </c>
      <c r="I122" s="19">
        <f t="shared" si="23"/>
        <v>0.90285570810245575</v>
      </c>
      <c r="J122" s="19">
        <f t="shared" si="23"/>
        <v>1.0457513241208891</v>
      </c>
      <c r="K122" s="19">
        <f t="shared" si="23"/>
        <v>1.1724648629473431</v>
      </c>
      <c r="L122" s="19">
        <f t="shared" si="23"/>
        <v>1.2173776961044029</v>
      </c>
      <c r="M122" s="19">
        <f t="shared" si="23"/>
        <v>1.2712357312034672</v>
      </c>
      <c r="N122" s="19">
        <f t="shared" si="23"/>
        <v>1.3116060874611379</v>
      </c>
      <c r="O122" s="19">
        <f t="shared" si="23"/>
        <v>1.3701352154250666</v>
      </c>
      <c r="P122" s="19">
        <f t="shared" si="23"/>
        <v>1.4339159348222767</v>
      </c>
      <c r="Q122" s="19">
        <f t="shared" si="23"/>
        <v>1.413765943993927</v>
      </c>
      <c r="R122" s="19">
        <f t="shared" si="23"/>
        <v>1.3656831769506608</v>
      </c>
      <c r="S122" s="19">
        <f t="shared" si="23"/>
        <v>1.3624816830704001</v>
      </c>
      <c r="T122" s="19">
        <f t="shared" si="23"/>
        <v>1.3879730305652143</v>
      </c>
      <c r="U122" s="19">
        <f t="shared" si="23"/>
        <v>1.4181162024828693</v>
      </c>
      <c r="V122" s="19">
        <f t="shared" si="23"/>
        <v>1.4815391908466324</v>
      </c>
      <c r="W122" s="19">
        <f t="shared" si="23"/>
        <v>1.7625801636788549</v>
      </c>
      <c r="X122" s="19">
        <f t="shared" si="23"/>
        <v>1.913866822535353</v>
      </c>
      <c r="Y122" s="19">
        <f t="shared" si="23"/>
        <v>1.7760994273401516</v>
      </c>
      <c r="Z122" s="19">
        <f t="shared" si="23"/>
        <v>1.5525498386796144</v>
      </c>
      <c r="AA122" s="19">
        <f t="shared" si="23"/>
        <v>1.2775035298464938</v>
      </c>
      <c r="AB122" s="19">
        <f t="shared" si="23"/>
        <v>1.0525744469878027</v>
      </c>
      <c r="AC122" s="12">
        <f>+SUM(E122:AB122)</f>
        <v>31.000000000000004</v>
      </c>
    </row>
    <row r="123" spans="2:29" outlineLevel="1">
      <c r="B123" s="15">
        <f>+EDATE(B118,1)</f>
        <v>45597</v>
      </c>
      <c r="C123" s="8" t="s">
        <v>45</v>
      </c>
      <c r="D123" s="8">
        <v>19</v>
      </c>
      <c r="E123" s="17">
        <v>2.9361257124838391E-2</v>
      </c>
      <c r="F123" s="17">
        <v>2.7692710332229715E-2</v>
      </c>
      <c r="G123" s="17">
        <v>2.6785161397696527E-2</v>
      </c>
      <c r="H123" s="17">
        <v>2.6786989368939883E-2</v>
      </c>
      <c r="I123" s="17">
        <v>2.9135775177511477E-2</v>
      </c>
      <c r="J123" s="17">
        <v>3.4540443856715661E-2</v>
      </c>
      <c r="K123" s="17">
        <v>3.8789035252325646E-2</v>
      </c>
      <c r="L123" s="17">
        <v>3.957865839345593E-2</v>
      </c>
      <c r="M123" s="17">
        <v>4.0957538271781398E-2</v>
      </c>
      <c r="N123" s="17">
        <v>4.2166920044863825E-2</v>
      </c>
      <c r="O123" s="17">
        <v>4.4150374939633218E-2</v>
      </c>
      <c r="P123" s="17">
        <v>4.6294816466469102E-2</v>
      </c>
      <c r="Q123" s="17">
        <v>4.5431875959152102E-2</v>
      </c>
      <c r="R123" s="17">
        <v>4.3879728503346101E-2</v>
      </c>
      <c r="S123" s="17">
        <v>4.4118506624640258E-2</v>
      </c>
      <c r="T123" s="17">
        <v>4.5188432655351718E-2</v>
      </c>
      <c r="U123" s="17">
        <v>4.624302558461979E-2</v>
      </c>
      <c r="V123" s="17">
        <v>4.8247238962955179E-2</v>
      </c>
      <c r="W123" s="17">
        <v>5.7096885328092907E-2</v>
      </c>
      <c r="X123" s="17">
        <v>6.1739938045350239E-2</v>
      </c>
      <c r="Y123" s="17">
        <v>5.7231881517227232E-2</v>
      </c>
      <c r="Z123" s="17">
        <v>5.0129255438435008E-2</v>
      </c>
      <c r="AA123" s="17">
        <v>4.1010488221716553E-2</v>
      </c>
      <c r="AB123" s="17">
        <v>3.34430625326523E-2</v>
      </c>
      <c r="AC123" s="8">
        <f>+SUM(E123:AB123)*D123</f>
        <v>19.000000000000004</v>
      </c>
    </row>
    <row r="124" spans="2:29" outlineLevel="1">
      <c r="B124" s="16"/>
      <c r="C124" s="8" t="s">
        <v>46</v>
      </c>
      <c r="D124" s="8">
        <v>5</v>
      </c>
      <c r="E124" s="17">
        <v>3.0659473205105158E-2</v>
      </c>
      <c r="F124" s="17">
        <v>2.8600001140869122E-2</v>
      </c>
      <c r="G124" s="17">
        <v>2.7683858575034276E-2</v>
      </c>
      <c r="H124" s="17">
        <v>2.7537802139610414E-2</v>
      </c>
      <c r="I124" s="17">
        <v>2.8782539770184416E-2</v>
      </c>
      <c r="J124" s="17">
        <v>3.2241585579716119E-2</v>
      </c>
      <c r="K124" s="17">
        <v>3.645312931015221E-2</v>
      </c>
      <c r="L124" s="17">
        <v>3.9012639181609042E-2</v>
      </c>
      <c r="M124" s="17">
        <v>4.1549207589560662E-2</v>
      </c>
      <c r="N124" s="17">
        <v>4.3042516751632572E-2</v>
      </c>
      <c r="O124" s="17">
        <v>4.4973693586955334E-2</v>
      </c>
      <c r="P124" s="17">
        <v>4.6808021710202923E-2</v>
      </c>
      <c r="Q124" s="17">
        <v>4.6383383047344962E-2</v>
      </c>
      <c r="R124" s="17">
        <v>4.4751654806610461E-2</v>
      </c>
      <c r="S124" s="17">
        <v>4.4013077558728637E-2</v>
      </c>
      <c r="T124" s="17">
        <v>4.428856091631931E-2</v>
      </c>
      <c r="U124" s="17">
        <v>4.49735778579251E-2</v>
      </c>
      <c r="V124" s="17">
        <v>4.6933206789217301E-2</v>
      </c>
      <c r="W124" s="17">
        <v>5.6210586428141023E-2</v>
      </c>
      <c r="X124" s="17">
        <v>6.1205656691958259E-2</v>
      </c>
      <c r="Y124" s="17">
        <v>5.7018442088769522E-2</v>
      </c>
      <c r="Z124" s="17">
        <v>4.9896672365740725E-2</v>
      </c>
      <c r="AA124" s="17">
        <v>4.1622868086918119E-2</v>
      </c>
      <c r="AB124" s="17">
        <v>3.5357844821693719E-2</v>
      </c>
      <c r="AC124" s="8">
        <f t="shared" si="17"/>
        <v>4.9999999999999964</v>
      </c>
    </row>
    <row r="125" spans="2:29" outlineLevel="1">
      <c r="B125" s="16"/>
      <c r="C125" s="8" t="s">
        <v>47</v>
      </c>
      <c r="D125" s="8">
        <v>4</v>
      </c>
      <c r="E125" s="17">
        <v>3.3281514565353124E-2</v>
      </c>
      <c r="F125" s="17">
        <v>3.1140043873712407E-2</v>
      </c>
      <c r="G125" s="17">
        <v>2.984335106750436E-2</v>
      </c>
      <c r="H125" s="17">
        <v>2.9286927979133532E-2</v>
      </c>
      <c r="I125" s="17">
        <v>2.9138028999542646E-2</v>
      </c>
      <c r="J125" s="17">
        <v>3.0942883559119717E-2</v>
      </c>
      <c r="K125" s="17">
        <v>3.4432484834348992E-2</v>
      </c>
      <c r="L125" s="17">
        <v>3.8305304424032266E-2</v>
      </c>
      <c r="M125" s="17">
        <v>4.1103790742913066E-2</v>
      </c>
      <c r="N125" s="17">
        <v>4.2608444243851212E-2</v>
      </c>
      <c r="O125" s="17">
        <v>4.3914681848814308E-2</v>
      </c>
      <c r="P125" s="17">
        <v>4.5729867165388009E-2</v>
      </c>
      <c r="Q125" s="17">
        <v>4.5741487779353565E-2</v>
      </c>
      <c r="R125" s="17">
        <v>4.4277060725657284E-2</v>
      </c>
      <c r="S125" s="17">
        <v>4.3144199391556254E-2</v>
      </c>
      <c r="T125" s="17">
        <v>4.3279567369281124E-2</v>
      </c>
      <c r="U125" s="17">
        <v>4.4109954506885138E-2</v>
      </c>
      <c r="V125" s="17">
        <v>4.6298728840315946E-2</v>
      </c>
      <c r="W125" s="17">
        <v>5.6176649878816001E-2</v>
      </c>
      <c r="X125" s="17">
        <v>6.2194705000087863E-2</v>
      </c>
      <c r="Y125" s="17">
        <v>5.7928891294023718E-2</v>
      </c>
      <c r="Z125" s="17">
        <v>5.019499221712586E-2</v>
      </c>
      <c r="AA125" s="17">
        <v>4.1853093029906328E-2</v>
      </c>
      <c r="AB125" s="17">
        <v>3.507334666327714E-2</v>
      </c>
      <c r="AC125" s="8">
        <f t="shared" si="17"/>
        <v>3.9999999999999991</v>
      </c>
    </row>
    <row r="126" spans="2:29" outlineLevel="1">
      <c r="B126" s="16"/>
      <c r="C126" s="8" t="s">
        <v>48</v>
      </c>
      <c r="D126" s="8">
        <v>2</v>
      </c>
      <c r="E126" s="17">
        <v>3.367503361886829E-2</v>
      </c>
      <c r="F126" s="17">
        <v>3.1245692535415936E-2</v>
      </c>
      <c r="G126" s="17">
        <v>2.9861746203171599E-2</v>
      </c>
      <c r="H126" s="17">
        <v>2.9235019370742008E-2</v>
      </c>
      <c r="I126" s="17">
        <v>3.0186379118294998E-2</v>
      </c>
      <c r="J126" s="17">
        <v>3.3123682717801174E-2</v>
      </c>
      <c r="K126" s="17">
        <v>3.5563630818173868E-2</v>
      </c>
      <c r="L126" s="17">
        <v>3.7375437025807548E-2</v>
      </c>
      <c r="M126" s="17">
        <v>3.9557895894381336E-2</v>
      </c>
      <c r="N126" s="17">
        <v>4.1330002492198488E-2</v>
      </c>
      <c r="O126" s="17">
        <v>4.3273465010057272E-2</v>
      </c>
      <c r="P126" s="17">
        <v>4.5278417057592932E-2</v>
      </c>
      <c r="Q126" s="17">
        <v>4.5765189585786785E-2</v>
      </c>
      <c r="R126" s="17">
        <v>4.421428774797561E-2</v>
      </c>
      <c r="S126" s="17">
        <v>4.3245429527174986E-2</v>
      </c>
      <c r="T126" s="17">
        <v>4.3554999005074702E-2</v>
      </c>
      <c r="U126" s="17">
        <v>4.4435510161992771E-2</v>
      </c>
      <c r="V126" s="17">
        <v>4.717219114348542E-2</v>
      </c>
      <c r="W126" s="17">
        <v>5.6899741232983039E-2</v>
      </c>
      <c r="X126" s="17">
        <v>6.1986738769463187E-2</v>
      </c>
      <c r="Y126" s="17">
        <v>5.7208700429979269E-2</v>
      </c>
      <c r="Z126" s="17">
        <v>4.9339560702577757E-2</v>
      </c>
      <c r="AA126" s="17">
        <v>4.1368944501432053E-2</v>
      </c>
      <c r="AB126" s="17">
        <v>3.5102305329568817E-2</v>
      </c>
      <c r="AC126" s="8">
        <f t="shared" si="17"/>
        <v>1.9999999999999996</v>
      </c>
    </row>
    <row r="127" spans="2:29" outlineLevel="1">
      <c r="B127" s="12"/>
      <c r="C127" s="12" t="s">
        <v>15</v>
      </c>
      <c r="D127" s="12">
        <f>+SUM(D123:D126)</f>
        <v>30</v>
      </c>
      <c r="E127" s="19">
        <f>+SUMPRODUCT(E123:E126,$D123:$D126)</f>
        <v>0.91163737689660429</v>
      </c>
      <c r="F127" s="19">
        <f>+SUMPRODUCT(F123:F126,$D123:$D126)</f>
        <v>0.8562130625823916</v>
      </c>
      <c r="G127" s="19">
        <f t="shared" ref="G127:AB127" si="24">+SUMPRODUCT(G123:G126,$D123:$D126)</f>
        <v>0.82643425610776611</v>
      </c>
      <c r="H127" s="19">
        <f t="shared" si="24"/>
        <v>0.82225955936592809</v>
      </c>
      <c r="I127" s="19">
        <f t="shared" si="24"/>
        <v>0.87441730145840069</v>
      </c>
      <c r="J127" s="19">
        <f t="shared" si="24"/>
        <v>1.0074952608482595</v>
      </c>
      <c r="K127" s="19">
        <f t="shared" si="24"/>
        <v>1.1281145173186919</v>
      </c>
      <c r="L127" s="19">
        <f t="shared" si="24"/>
        <v>1.1750297971314521</v>
      </c>
      <c r="M127" s="19">
        <f t="shared" si="24"/>
        <v>1.2294702198720648</v>
      </c>
      <c r="N127" s="19">
        <f t="shared" si="24"/>
        <v>1.2694778465703775</v>
      </c>
      <c r="O127" s="19">
        <f t="shared" si="24"/>
        <v>1.3259312492031796</v>
      </c>
      <c r="P127" s="19">
        <f t="shared" si="24"/>
        <v>1.3871179241906655</v>
      </c>
      <c r="Q127" s="19">
        <f t="shared" si="24"/>
        <v>1.3696188887496026</v>
      </c>
      <c r="R127" s="19">
        <f t="shared" si="24"/>
        <v>1.3230099339952086</v>
      </c>
      <c r="S127" s="19">
        <f t="shared" si="24"/>
        <v>1.3173846702823833</v>
      </c>
      <c r="T127" s="19">
        <f t="shared" si="24"/>
        <v>1.340251292520553</v>
      </c>
      <c r="U127" s="19">
        <f t="shared" si="24"/>
        <v>1.3687962137489276</v>
      </c>
      <c r="V127" s="19">
        <f t="shared" si="24"/>
        <v>1.4309028718904693</v>
      </c>
      <c r="W127" s="19">
        <f t="shared" si="24"/>
        <v>1.7043998353557004</v>
      </c>
      <c r="X127" s="19">
        <f t="shared" si="24"/>
        <v>1.8518394038607233</v>
      </c>
      <c r="Y127" s="19">
        <f t="shared" si="24"/>
        <v>1.7186309253072185</v>
      </c>
      <c r="Z127" s="19">
        <f t="shared" si="24"/>
        <v>1.5013983054326276</v>
      </c>
      <c r="AA127" s="19">
        <f t="shared" si="24"/>
        <v>1.2374638777696945</v>
      </c>
      <c r="AB127" s="19">
        <f t="shared" si="24"/>
        <v>1.0227054095411083</v>
      </c>
      <c r="AC127" s="12">
        <f>+SUM(E127:AB127)</f>
        <v>29.999999999999996</v>
      </c>
    </row>
    <row r="128" spans="2:29" outlineLevel="1">
      <c r="B128" s="15">
        <f>+EDATE(B123,1)</f>
        <v>45627</v>
      </c>
      <c r="C128" s="8" t="s">
        <v>45</v>
      </c>
      <c r="D128" s="8">
        <v>21</v>
      </c>
      <c r="E128" s="17">
        <v>2.9361257124838391E-2</v>
      </c>
      <c r="F128" s="17">
        <v>2.7692710332229715E-2</v>
      </c>
      <c r="G128" s="17">
        <v>2.6785161397696527E-2</v>
      </c>
      <c r="H128" s="17">
        <v>2.6786989368939883E-2</v>
      </c>
      <c r="I128" s="17">
        <v>2.9135775177511477E-2</v>
      </c>
      <c r="J128" s="17">
        <v>3.4540443856715661E-2</v>
      </c>
      <c r="K128" s="17">
        <v>3.8789035252325646E-2</v>
      </c>
      <c r="L128" s="17">
        <v>3.957865839345593E-2</v>
      </c>
      <c r="M128" s="17">
        <v>4.0957538271781398E-2</v>
      </c>
      <c r="N128" s="17">
        <v>4.2166920044863825E-2</v>
      </c>
      <c r="O128" s="17">
        <v>4.4150374939633218E-2</v>
      </c>
      <c r="P128" s="17">
        <v>4.6294816466469102E-2</v>
      </c>
      <c r="Q128" s="17">
        <v>4.5431875959152102E-2</v>
      </c>
      <c r="R128" s="17">
        <v>4.3879728503346101E-2</v>
      </c>
      <c r="S128" s="17">
        <v>4.4118506624640258E-2</v>
      </c>
      <c r="T128" s="17">
        <v>4.5188432655351718E-2</v>
      </c>
      <c r="U128" s="17">
        <v>4.624302558461979E-2</v>
      </c>
      <c r="V128" s="17">
        <v>4.8247238962955179E-2</v>
      </c>
      <c r="W128" s="17">
        <v>5.7096885328092907E-2</v>
      </c>
      <c r="X128" s="17">
        <v>6.1739938045350239E-2</v>
      </c>
      <c r="Y128" s="17">
        <v>5.7231881517227232E-2</v>
      </c>
      <c r="Z128" s="17">
        <v>5.0129255438435008E-2</v>
      </c>
      <c r="AA128" s="17">
        <v>4.1010488221716553E-2</v>
      </c>
      <c r="AB128" s="17">
        <v>3.34430625326523E-2</v>
      </c>
      <c r="AC128" s="8">
        <f>+SUM(E128:AB128)*D128</f>
        <v>21.000000000000004</v>
      </c>
    </row>
    <row r="129" spans="2:29" outlineLevel="1">
      <c r="B129" s="16"/>
      <c r="C129" s="8" t="s">
        <v>46</v>
      </c>
      <c r="D129" s="8">
        <v>5</v>
      </c>
      <c r="E129" s="17">
        <v>3.0659473205105158E-2</v>
      </c>
      <c r="F129" s="17">
        <v>2.8600001140869122E-2</v>
      </c>
      <c r="G129" s="17">
        <v>2.7683858575034276E-2</v>
      </c>
      <c r="H129" s="17">
        <v>2.7537802139610414E-2</v>
      </c>
      <c r="I129" s="17">
        <v>2.8782539770184416E-2</v>
      </c>
      <c r="J129" s="17">
        <v>3.2241585579716119E-2</v>
      </c>
      <c r="K129" s="17">
        <v>3.645312931015221E-2</v>
      </c>
      <c r="L129" s="17">
        <v>3.9012639181609042E-2</v>
      </c>
      <c r="M129" s="17">
        <v>4.1549207589560662E-2</v>
      </c>
      <c r="N129" s="17">
        <v>4.3042516751632572E-2</v>
      </c>
      <c r="O129" s="17">
        <v>4.4973693586955334E-2</v>
      </c>
      <c r="P129" s="17">
        <v>4.6808021710202923E-2</v>
      </c>
      <c r="Q129" s="17">
        <v>4.6383383047344962E-2</v>
      </c>
      <c r="R129" s="17">
        <v>4.4751654806610461E-2</v>
      </c>
      <c r="S129" s="17">
        <v>4.4013077558728637E-2</v>
      </c>
      <c r="T129" s="17">
        <v>4.428856091631931E-2</v>
      </c>
      <c r="U129" s="17">
        <v>4.49735778579251E-2</v>
      </c>
      <c r="V129" s="17">
        <v>4.6933206789217301E-2</v>
      </c>
      <c r="W129" s="17">
        <v>5.6210586428141023E-2</v>
      </c>
      <c r="X129" s="17">
        <v>6.1205656691958259E-2</v>
      </c>
      <c r="Y129" s="17">
        <v>5.7018442088769522E-2</v>
      </c>
      <c r="Z129" s="17">
        <v>4.9896672365740725E-2</v>
      </c>
      <c r="AA129" s="17">
        <v>4.1622868086918119E-2</v>
      </c>
      <c r="AB129" s="17">
        <v>3.5357844821693719E-2</v>
      </c>
      <c r="AC129" s="8">
        <f t="shared" si="17"/>
        <v>4.9999999999999964</v>
      </c>
    </row>
    <row r="130" spans="2:29" outlineLevel="1">
      <c r="B130" s="16"/>
      <c r="C130" s="8" t="s">
        <v>47</v>
      </c>
      <c r="D130" s="8">
        <v>4</v>
      </c>
      <c r="E130" s="17">
        <v>3.3281514565353124E-2</v>
      </c>
      <c r="F130" s="17">
        <v>3.1140043873712407E-2</v>
      </c>
      <c r="G130" s="17">
        <v>2.984335106750436E-2</v>
      </c>
      <c r="H130" s="17">
        <v>2.9286927979133532E-2</v>
      </c>
      <c r="I130" s="17">
        <v>2.9138028999542646E-2</v>
      </c>
      <c r="J130" s="17">
        <v>3.0942883559119717E-2</v>
      </c>
      <c r="K130" s="17">
        <v>3.4432484834348992E-2</v>
      </c>
      <c r="L130" s="17">
        <v>3.8305304424032266E-2</v>
      </c>
      <c r="M130" s="17">
        <v>4.1103790742913066E-2</v>
      </c>
      <c r="N130" s="17">
        <v>4.2608444243851212E-2</v>
      </c>
      <c r="O130" s="17">
        <v>4.3914681848814308E-2</v>
      </c>
      <c r="P130" s="17">
        <v>4.5729867165388009E-2</v>
      </c>
      <c r="Q130" s="17">
        <v>4.5741487779353565E-2</v>
      </c>
      <c r="R130" s="17">
        <v>4.4277060725657284E-2</v>
      </c>
      <c r="S130" s="17">
        <v>4.3144199391556254E-2</v>
      </c>
      <c r="T130" s="17">
        <v>4.3279567369281124E-2</v>
      </c>
      <c r="U130" s="17">
        <v>4.4109954506885138E-2</v>
      </c>
      <c r="V130" s="17">
        <v>4.6298728840315946E-2</v>
      </c>
      <c r="W130" s="17">
        <v>5.6176649878816001E-2</v>
      </c>
      <c r="X130" s="17">
        <v>6.2194705000087863E-2</v>
      </c>
      <c r="Y130" s="17">
        <v>5.7928891294023718E-2</v>
      </c>
      <c r="Z130" s="17">
        <v>5.019499221712586E-2</v>
      </c>
      <c r="AA130" s="17">
        <v>4.1853093029906328E-2</v>
      </c>
      <c r="AB130" s="17">
        <v>3.507334666327714E-2</v>
      </c>
      <c r="AC130" s="8">
        <f t="shared" si="17"/>
        <v>3.9999999999999991</v>
      </c>
    </row>
    <row r="131" spans="2:29" outlineLevel="1">
      <c r="B131" s="16"/>
      <c r="C131" s="8" t="s">
        <v>48</v>
      </c>
      <c r="D131" s="8">
        <v>1</v>
      </c>
      <c r="E131" s="17">
        <v>3.367503361886829E-2</v>
      </c>
      <c r="F131" s="17">
        <v>3.1245692535415936E-2</v>
      </c>
      <c r="G131" s="17">
        <v>2.9861746203171599E-2</v>
      </c>
      <c r="H131" s="17">
        <v>2.9235019370742008E-2</v>
      </c>
      <c r="I131" s="17">
        <v>3.0186379118294998E-2</v>
      </c>
      <c r="J131" s="17">
        <v>3.3123682717801174E-2</v>
      </c>
      <c r="K131" s="17">
        <v>3.5563630818173868E-2</v>
      </c>
      <c r="L131" s="17">
        <v>3.7375437025807548E-2</v>
      </c>
      <c r="M131" s="17">
        <v>3.9557895894381336E-2</v>
      </c>
      <c r="N131" s="17">
        <v>4.1330002492198488E-2</v>
      </c>
      <c r="O131" s="17">
        <v>4.3273465010057272E-2</v>
      </c>
      <c r="P131" s="17">
        <v>4.5278417057592932E-2</v>
      </c>
      <c r="Q131" s="17">
        <v>4.5765189585786785E-2</v>
      </c>
      <c r="R131" s="17">
        <v>4.421428774797561E-2</v>
      </c>
      <c r="S131" s="17">
        <v>4.3245429527174986E-2</v>
      </c>
      <c r="T131" s="17">
        <v>4.3554999005074702E-2</v>
      </c>
      <c r="U131" s="17">
        <v>4.4435510161992771E-2</v>
      </c>
      <c r="V131" s="17">
        <v>4.717219114348542E-2</v>
      </c>
      <c r="W131" s="17">
        <v>5.6899741232983039E-2</v>
      </c>
      <c r="X131" s="17">
        <v>6.1986738769463187E-2</v>
      </c>
      <c r="Y131" s="17">
        <v>5.7208700429979269E-2</v>
      </c>
      <c r="Z131" s="17">
        <v>4.9339560702577757E-2</v>
      </c>
      <c r="AA131" s="17">
        <v>4.1368944501432053E-2</v>
      </c>
      <c r="AB131" s="17">
        <v>3.5102305329568817E-2</v>
      </c>
      <c r="AC131" s="8">
        <f t="shared" si="17"/>
        <v>0.99999999999999978</v>
      </c>
    </row>
    <row r="132" spans="2:29" outlineLevel="1">
      <c r="B132" s="12"/>
      <c r="C132" s="12" t="s">
        <v>15</v>
      </c>
      <c r="D132" s="12">
        <f>+SUM(D128:D131)</f>
        <v>31</v>
      </c>
      <c r="E132" s="19">
        <f>+SUMPRODUCT(E128:E131,$D128:$D131)</f>
        <v>0.93668485752741271</v>
      </c>
      <c r="F132" s="19">
        <f>+SUMPRODUCT(F128:F131,$D128:$D131)</f>
        <v>0.88035279071143524</v>
      </c>
      <c r="G132" s="19">
        <f t="shared" ref="G132:AB132" si="25">+SUMPRODUCT(G128:G131,$D128:$D131)</f>
        <v>0.85014283269998747</v>
      </c>
      <c r="H132" s="19">
        <f t="shared" si="25"/>
        <v>0.8465985187330658</v>
      </c>
      <c r="I132" s="19">
        <f t="shared" si="25"/>
        <v>0.90250247269512873</v>
      </c>
      <c r="J132" s="19">
        <f t="shared" si="25"/>
        <v>1.0434524658438895</v>
      </c>
      <c r="K132" s="19">
        <f t="shared" si="25"/>
        <v>1.1701289570051694</v>
      </c>
      <c r="L132" s="19">
        <f t="shared" si="25"/>
        <v>1.2168116768925561</v>
      </c>
      <c r="M132" s="19">
        <f t="shared" si="25"/>
        <v>1.2718274005212462</v>
      </c>
      <c r="N132" s="19">
        <f t="shared" si="25"/>
        <v>1.3124816841679066</v>
      </c>
      <c r="O132" s="19">
        <f t="shared" si="25"/>
        <v>1.3709585340723887</v>
      </c>
      <c r="P132" s="19">
        <f t="shared" si="25"/>
        <v>1.4344291400660107</v>
      </c>
      <c r="Q132" s="19">
        <f t="shared" si="25"/>
        <v>1.4147174510821199</v>
      </c>
      <c r="R132" s="19">
        <f t="shared" si="25"/>
        <v>1.3665551032539252</v>
      </c>
      <c r="S132" s="19">
        <f t="shared" si="25"/>
        <v>1.3623762540044884</v>
      </c>
      <c r="T132" s="19">
        <f t="shared" si="25"/>
        <v>1.387073158826182</v>
      </c>
      <c r="U132" s="19">
        <f t="shared" si="25"/>
        <v>1.4168467547561745</v>
      </c>
      <c r="V132" s="19">
        <f t="shared" si="25"/>
        <v>1.4802251586728945</v>
      </c>
      <c r="W132" s="19">
        <f t="shared" si="25"/>
        <v>1.7616938647789031</v>
      </c>
      <c r="X132" s="19">
        <f t="shared" si="25"/>
        <v>1.9133325411819608</v>
      </c>
      <c r="Y132" s="19">
        <f t="shared" si="25"/>
        <v>1.7758859879116937</v>
      </c>
      <c r="Z132" s="19">
        <f t="shared" si="25"/>
        <v>1.55231725560692</v>
      </c>
      <c r="AA132" s="19">
        <f t="shared" si="25"/>
        <v>1.2781159097116954</v>
      </c>
      <c r="AB132" s="19">
        <f t="shared" si="25"/>
        <v>1.0544892292768444</v>
      </c>
      <c r="AC132" s="12">
        <f>+SUM(E132:AB132)</f>
        <v>30.999999999999993</v>
      </c>
    </row>
    <row r="133" spans="2:29" outlineLevel="1" collapsed="1">
      <c r="B133" s="15">
        <f>+EDATE(B128,1)</f>
        <v>45658</v>
      </c>
      <c r="C133" s="8" t="s">
        <v>45</v>
      </c>
      <c r="D133" s="8">
        <v>21</v>
      </c>
      <c r="E133" s="50">
        <f>+E73</f>
        <v>2.9361257124838391E-2</v>
      </c>
      <c r="F133" s="50">
        <f t="shared" ref="F133:AB138" si="26">+F73</f>
        <v>2.7692710332229715E-2</v>
      </c>
      <c r="G133" s="50">
        <f t="shared" si="26"/>
        <v>2.6785161397696527E-2</v>
      </c>
      <c r="H133" s="50">
        <f t="shared" si="26"/>
        <v>2.6786989368939883E-2</v>
      </c>
      <c r="I133" s="50">
        <f t="shared" si="26"/>
        <v>2.9135775177511477E-2</v>
      </c>
      <c r="J133" s="50">
        <f t="shared" si="26"/>
        <v>3.4540443856715661E-2</v>
      </c>
      <c r="K133" s="50">
        <f t="shared" si="26"/>
        <v>3.8789035252325646E-2</v>
      </c>
      <c r="L133" s="50">
        <f t="shared" si="26"/>
        <v>3.957865839345593E-2</v>
      </c>
      <c r="M133" s="50">
        <f t="shared" si="26"/>
        <v>4.0957538271781398E-2</v>
      </c>
      <c r="N133" s="50">
        <f t="shared" si="26"/>
        <v>4.2166920044863825E-2</v>
      </c>
      <c r="O133" s="50">
        <f t="shared" si="26"/>
        <v>4.4150374939633218E-2</v>
      </c>
      <c r="P133" s="50">
        <f t="shared" si="26"/>
        <v>4.6294816466469102E-2</v>
      </c>
      <c r="Q133" s="50">
        <f t="shared" si="26"/>
        <v>4.5431875959152102E-2</v>
      </c>
      <c r="R133" s="50">
        <f t="shared" si="26"/>
        <v>4.3879728503346101E-2</v>
      </c>
      <c r="S133" s="50">
        <f t="shared" si="26"/>
        <v>4.4118506624640258E-2</v>
      </c>
      <c r="T133" s="50">
        <f t="shared" si="26"/>
        <v>4.5188432655351718E-2</v>
      </c>
      <c r="U133" s="50">
        <f t="shared" si="26"/>
        <v>4.624302558461979E-2</v>
      </c>
      <c r="V133" s="50">
        <f t="shared" si="26"/>
        <v>4.8247238962955179E-2</v>
      </c>
      <c r="W133" s="50">
        <f t="shared" si="26"/>
        <v>5.7096885328092907E-2</v>
      </c>
      <c r="X133" s="50">
        <f t="shared" si="26"/>
        <v>6.1739938045350239E-2</v>
      </c>
      <c r="Y133" s="50">
        <f t="shared" si="26"/>
        <v>5.7231881517227232E-2</v>
      </c>
      <c r="Z133" s="50">
        <f t="shared" si="26"/>
        <v>5.0129255438435008E-2</v>
      </c>
      <c r="AA133" s="50">
        <f t="shared" si="26"/>
        <v>4.1010488221716553E-2</v>
      </c>
      <c r="AB133" s="50">
        <f t="shared" si="26"/>
        <v>3.34430625326523E-2</v>
      </c>
      <c r="AC133" s="8">
        <f>+SUM(E133:AB133)*D133</f>
        <v>21.000000000000004</v>
      </c>
    </row>
    <row r="134" spans="2:29" outlineLevel="1">
      <c r="B134" s="16"/>
      <c r="C134" s="8" t="s">
        <v>46</v>
      </c>
      <c r="D134" s="8">
        <v>4</v>
      </c>
      <c r="E134" s="50">
        <f t="shared" ref="E134:T136" si="27">+E74</f>
        <v>3.0659473205105158E-2</v>
      </c>
      <c r="F134" s="50">
        <f t="shared" si="27"/>
        <v>2.8600001140869122E-2</v>
      </c>
      <c r="G134" s="50">
        <f t="shared" si="27"/>
        <v>2.7683858575034276E-2</v>
      </c>
      <c r="H134" s="50">
        <f t="shared" si="27"/>
        <v>2.7537802139610414E-2</v>
      </c>
      <c r="I134" s="50">
        <f t="shared" si="27"/>
        <v>2.8782539770184416E-2</v>
      </c>
      <c r="J134" s="50">
        <f t="shared" si="27"/>
        <v>3.2241585579716119E-2</v>
      </c>
      <c r="K134" s="50">
        <f t="shared" si="27"/>
        <v>3.645312931015221E-2</v>
      </c>
      <c r="L134" s="50">
        <f t="shared" si="27"/>
        <v>3.9012639181609042E-2</v>
      </c>
      <c r="M134" s="50">
        <f t="shared" si="27"/>
        <v>4.1549207589560662E-2</v>
      </c>
      <c r="N134" s="50">
        <f t="shared" si="27"/>
        <v>4.3042516751632572E-2</v>
      </c>
      <c r="O134" s="50">
        <f t="shared" si="27"/>
        <v>4.4973693586955334E-2</v>
      </c>
      <c r="P134" s="50">
        <f t="shared" si="27"/>
        <v>4.6808021710202923E-2</v>
      </c>
      <c r="Q134" s="50">
        <f t="shared" si="27"/>
        <v>4.6383383047344962E-2</v>
      </c>
      <c r="R134" s="50">
        <f t="shared" si="27"/>
        <v>4.4751654806610461E-2</v>
      </c>
      <c r="S134" s="50">
        <f t="shared" si="27"/>
        <v>4.4013077558728637E-2</v>
      </c>
      <c r="T134" s="50">
        <f t="shared" si="27"/>
        <v>4.428856091631931E-2</v>
      </c>
      <c r="U134" s="50">
        <f t="shared" si="26"/>
        <v>4.49735778579251E-2</v>
      </c>
      <c r="V134" s="50">
        <f t="shared" si="26"/>
        <v>4.6933206789217301E-2</v>
      </c>
      <c r="W134" s="50">
        <f t="shared" si="26"/>
        <v>5.6210586428141023E-2</v>
      </c>
      <c r="X134" s="50">
        <f t="shared" si="26"/>
        <v>6.1205656691958259E-2</v>
      </c>
      <c r="Y134" s="50">
        <f t="shared" si="26"/>
        <v>5.7018442088769522E-2</v>
      </c>
      <c r="Z134" s="50">
        <f t="shared" si="26"/>
        <v>4.9896672365740725E-2</v>
      </c>
      <c r="AA134" s="50">
        <f t="shared" si="26"/>
        <v>4.1622868086918119E-2</v>
      </c>
      <c r="AB134" s="50">
        <f t="shared" si="26"/>
        <v>3.5357844821693719E-2</v>
      </c>
      <c r="AC134" s="8">
        <f t="shared" si="17"/>
        <v>3.9999999999999969</v>
      </c>
    </row>
    <row r="135" spans="2:29" outlineLevel="1">
      <c r="B135" s="16"/>
      <c r="C135" s="8" t="s">
        <v>47</v>
      </c>
      <c r="D135" s="8">
        <v>4</v>
      </c>
      <c r="E135" s="50">
        <f t="shared" si="27"/>
        <v>3.3281514565353124E-2</v>
      </c>
      <c r="F135" s="50">
        <f t="shared" si="26"/>
        <v>3.1140043873712407E-2</v>
      </c>
      <c r="G135" s="50">
        <f t="shared" si="26"/>
        <v>2.984335106750436E-2</v>
      </c>
      <c r="H135" s="50">
        <f t="shared" si="26"/>
        <v>2.9286927979133532E-2</v>
      </c>
      <c r="I135" s="50">
        <f t="shared" si="26"/>
        <v>2.9138028999542646E-2</v>
      </c>
      <c r="J135" s="50">
        <f t="shared" si="26"/>
        <v>3.0942883559119717E-2</v>
      </c>
      <c r="K135" s="50">
        <f t="shared" si="26"/>
        <v>3.4432484834348992E-2</v>
      </c>
      <c r="L135" s="50">
        <f t="shared" si="26"/>
        <v>3.8305304424032266E-2</v>
      </c>
      <c r="M135" s="50">
        <f t="shared" si="26"/>
        <v>4.1103790742913066E-2</v>
      </c>
      <c r="N135" s="50">
        <f t="shared" si="26"/>
        <v>4.2608444243851212E-2</v>
      </c>
      <c r="O135" s="50">
        <f t="shared" si="26"/>
        <v>4.3914681848814308E-2</v>
      </c>
      <c r="P135" s="50">
        <f t="shared" si="26"/>
        <v>4.5729867165388009E-2</v>
      </c>
      <c r="Q135" s="50">
        <f t="shared" si="26"/>
        <v>4.5741487779353565E-2</v>
      </c>
      <c r="R135" s="50">
        <f t="shared" si="26"/>
        <v>4.4277060725657284E-2</v>
      </c>
      <c r="S135" s="50">
        <f t="shared" si="26"/>
        <v>4.3144199391556254E-2</v>
      </c>
      <c r="T135" s="50">
        <f t="shared" si="26"/>
        <v>4.3279567369281124E-2</v>
      </c>
      <c r="U135" s="50">
        <f t="shared" si="26"/>
        <v>4.4109954506885138E-2</v>
      </c>
      <c r="V135" s="50">
        <f t="shared" si="26"/>
        <v>4.6298728840315946E-2</v>
      </c>
      <c r="W135" s="50">
        <f t="shared" si="26"/>
        <v>5.6176649878816001E-2</v>
      </c>
      <c r="X135" s="50">
        <f t="shared" si="26"/>
        <v>6.2194705000087863E-2</v>
      </c>
      <c r="Y135" s="50">
        <f t="shared" si="26"/>
        <v>5.7928891294023718E-2</v>
      </c>
      <c r="Z135" s="50">
        <f t="shared" si="26"/>
        <v>5.019499221712586E-2</v>
      </c>
      <c r="AA135" s="50">
        <f t="shared" si="26"/>
        <v>4.1853093029906328E-2</v>
      </c>
      <c r="AB135" s="50">
        <f t="shared" si="26"/>
        <v>3.507334666327714E-2</v>
      </c>
      <c r="AC135" s="8">
        <f t="shared" si="17"/>
        <v>3.9999999999999991</v>
      </c>
    </row>
    <row r="136" spans="2:29" outlineLevel="1">
      <c r="B136" s="16"/>
      <c r="C136" s="8" t="s">
        <v>48</v>
      </c>
      <c r="D136" s="8">
        <v>2</v>
      </c>
      <c r="E136" s="50">
        <f t="shared" si="27"/>
        <v>3.367503361886829E-2</v>
      </c>
      <c r="F136" s="50">
        <f t="shared" si="26"/>
        <v>3.1245692535415936E-2</v>
      </c>
      <c r="G136" s="50">
        <f t="shared" si="26"/>
        <v>2.9861746203171599E-2</v>
      </c>
      <c r="H136" s="50">
        <f t="shared" si="26"/>
        <v>2.9235019370742008E-2</v>
      </c>
      <c r="I136" s="50">
        <f t="shared" si="26"/>
        <v>3.0186379118294998E-2</v>
      </c>
      <c r="J136" s="50">
        <f t="shared" si="26"/>
        <v>3.3123682717801174E-2</v>
      </c>
      <c r="K136" s="50">
        <f t="shared" si="26"/>
        <v>3.5563630818173868E-2</v>
      </c>
      <c r="L136" s="50">
        <f t="shared" si="26"/>
        <v>3.7375437025807548E-2</v>
      </c>
      <c r="M136" s="50">
        <f t="shared" si="26"/>
        <v>3.9557895894381336E-2</v>
      </c>
      <c r="N136" s="50">
        <f t="shared" si="26"/>
        <v>4.1330002492198488E-2</v>
      </c>
      <c r="O136" s="50">
        <f t="shared" si="26"/>
        <v>4.3273465010057272E-2</v>
      </c>
      <c r="P136" s="50">
        <f t="shared" si="26"/>
        <v>4.5278417057592932E-2</v>
      </c>
      <c r="Q136" s="50">
        <f t="shared" si="26"/>
        <v>4.5765189585786785E-2</v>
      </c>
      <c r="R136" s="50">
        <f t="shared" si="26"/>
        <v>4.421428774797561E-2</v>
      </c>
      <c r="S136" s="50">
        <f t="shared" si="26"/>
        <v>4.3245429527174986E-2</v>
      </c>
      <c r="T136" s="50">
        <f t="shared" si="26"/>
        <v>4.3554999005074702E-2</v>
      </c>
      <c r="U136" s="50">
        <f t="shared" si="26"/>
        <v>4.4435510161992771E-2</v>
      </c>
      <c r="V136" s="50">
        <f t="shared" si="26"/>
        <v>4.717219114348542E-2</v>
      </c>
      <c r="W136" s="50">
        <f t="shared" si="26"/>
        <v>5.6899741232983039E-2</v>
      </c>
      <c r="X136" s="50">
        <f t="shared" si="26"/>
        <v>6.1986738769463187E-2</v>
      </c>
      <c r="Y136" s="50">
        <f t="shared" si="26"/>
        <v>5.7208700429979269E-2</v>
      </c>
      <c r="Z136" s="50">
        <f t="shared" si="26"/>
        <v>4.9339560702577757E-2</v>
      </c>
      <c r="AA136" s="50">
        <f t="shared" si="26"/>
        <v>4.1368944501432053E-2</v>
      </c>
      <c r="AB136" s="50">
        <f t="shared" si="26"/>
        <v>3.5102305329568817E-2</v>
      </c>
      <c r="AC136" s="8">
        <f t="shared" si="17"/>
        <v>1.9999999999999996</v>
      </c>
    </row>
    <row r="137" spans="2:29" outlineLevel="1">
      <c r="B137" s="12"/>
      <c r="C137" s="12" t="s">
        <v>15</v>
      </c>
      <c r="D137" s="12">
        <f>+SUM(D133:D136)</f>
        <v>31</v>
      </c>
      <c r="E137" s="19">
        <f>+SUMPRODUCT(E133:E136,$D133:$D136)</f>
        <v>0.93970041794117598</v>
      </c>
      <c r="F137" s="19">
        <f>+SUMPRODUCT(F133:F136,$D133:$D136)</f>
        <v>0.88299848210598197</v>
      </c>
      <c r="G137" s="19">
        <f t="shared" ref="G137:AB137" si="28">+SUMPRODUCT(G133:G136,$D133:$D136)</f>
        <v>0.85232072032812478</v>
      </c>
      <c r="H137" s="19">
        <f t="shared" si="28"/>
        <v>0.84829573596419738</v>
      </c>
      <c r="I137" s="19">
        <f t="shared" si="28"/>
        <v>0.90390631204323935</v>
      </c>
      <c r="J137" s="19">
        <f t="shared" si="28"/>
        <v>1.0443345629819747</v>
      </c>
      <c r="K137" s="19">
        <f t="shared" si="28"/>
        <v>1.1692394585131909</v>
      </c>
      <c r="L137" s="19">
        <f t="shared" si="28"/>
        <v>1.215174474736755</v>
      </c>
      <c r="M137" s="19">
        <f t="shared" si="28"/>
        <v>1.2698360888260669</v>
      </c>
      <c r="N137" s="19">
        <f t="shared" si="28"/>
        <v>1.3107691699084727</v>
      </c>
      <c r="O137" s="19">
        <f t="shared" si="28"/>
        <v>1.3692583054954905</v>
      </c>
      <c r="P137" s="19">
        <f t="shared" si="28"/>
        <v>1.4328995354134009</v>
      </c>
      <c r="Q137" s="19">
        <f t="shared" si="28"/>
        <v>1.4140992576205618</v>
      </c>
      <c r="R137" s="19">
        <f t="shared" si="28"/>
        <v>1.3660177361952903</v>
      </c>
      <c r="S137" s="19">
        <f t="shared" si="28"/>
        <v>1.3616086059729351</v>
      </c>
      <c r="T137" s="19">
        <f t="shared" si="28"/>
        <v>1.3863395969149375</v>
      </c>
      <c r="U137" s="19">
        <f t="shared" si="28"/>
        <v>1.4163086870602422</v>
      </c>
      <c r="V137" s="19">
        <f t="shared" si="28"/>
        <v>1.4804641430271626</v>
      </c>
      <c r="W137" s="19">
        <f t="shared" si="28"/>
        <v>1.7623830195837451</v>
      </c>
      <c r="X137" s="19">
        <f t="shared" si="28"/>
        <v>1.914113623259466</v>
      </c>
      <c r="Y137" s="19">
        <f t="shared" si="28"/>
        <v>1.7760762462529034</v>
      </c>
      <c r="Z137" s="19">
        <f t="shared" si="28"/>
        <v>1.5517601439437572</v>
      </c>
      <c r="AA137" s="19">
        <f t="shared" si="28"/>
        <v>1.2778619861262095</v>
      </c>
      <c r="AB137" s="19">
        <f t="shared" si="28"/>
        <v>1.0542336897847193</v>
      </c>
      <c r="AC137" s="12">
        <f>+SUM(E137:AB137)</f>
        <v>30.999999999999996</v>
      </c>
    </row>
    <row r="138" spans="2:29" outlineLevel="1">
      <c r="B138" s="15">
        <f>+EDATE(B133,1)</f>
        <v>45689</v>
      </c>
      <c r="C138" s="8" t="s">
        <v>45</v>
      </c>
      <c r="D138" s="8">
        <v>20</v>
      </c>
      <c r="E138" s="50">
        <f>+E78</f>
        <v>2.9361257124838391E-2</v>
      </c>
      <c r="F138" s="50">
        <f t="shared" si="26"/>
        <v>2.7692710332229715E-2</v>
      </c>
      <c r="G138" s="50">
        <f t="shared" si="26"/>
        <v>2.6785161397696527E-2</v>
      </c>
      <c r="H138" s="50">
        <f t="shared" si="26"/>
        <v>2.6786989368939883E-2</v>
      </c>
      <c r="I138" s="50">
        <f t="shared" si="26"/>
        <v>2.9135775177511477E-2</v>
      </c>
      <c r="J138" s="50">
        <f t="shared" si="26"/>
        <v>3.4540443856715661E-2</v>
      </c>
      <c r="K138" s="50">
        <f t="shared" si="26"/>
        <v>3.8789035252325646E-2</v>
      </c>
      <c r="L138" s="50">
        <f t="shared" si="26"/>
        <v>3.957865839345593E-2</v>
      </c>
      <c r="M138" s="50">
        <f t="shared" si="26"/>
        <v>4.0957538271781398E-2</v>
      </c>
      <c r="N138" s="50">
        <f t="shared" si="26"/>
        <v>4.2166920044863825E-2</v>
      </c>
      <c r="O138" s="50">
        <f t="shared" si="26"/>
        <v>4.4150374939633218E-2</v>
      </c>
      <c r="P138" s="50">
        <f t="shared" si="26"/>
        <v>4.6294816466469102E-2</v>
      </c>
      <c r="Q138" s="50">
        <f t="shared" si="26"/>
        <v>4.5431875959152102E-2</v>
      </c>
      <c r="R138" s="50">
        <f t="shared" si="26"/>
        <v>4.3879728503346101E-2</v>
      </c>
      <c r="S138" s="50">
        <f t="shared" si="26"/>
        <v>4.4118506624640258E-2</v>
      </c>
      <c r="T138" s="50">
        <f t="shared" si="26"/>
        <v>4.5188432655351718E-2</v>
      </c>
      <c r="U138" s="50">
        <f t="shared" si="26"/>
        <v>4.624302558461979E-2</v>
      </c>
      <c r="V138" s="50">
        <f t="shared" si="26"/>
        <v>4.8247238962955179E-2</v>
      </c>
      <c r="W138" s="50">
        <f t="shared" si="26"/>
        <v>5.7096885328092907E-2</v>
      </c>
      <c r="X138" s="50">
        <f t="shared" si="26"/>
        <v>6.1739938045350239E-2</v>
      </c>
      <c r="Y138" s="50">
        <f t="shared" si="26"/>
        <v>5.7231881517227232E-2</v>
      </c>
      <c r="Z138" s="50">
        <f t="shared" si="26"/>
        <v>5.0129255438435008E-2</v>
      </c>
      <c r="AA138" s="50">
        <f t="shared" si="26"/>
        <v>4.1010488221716553E-2</v>
      </c>
      <c r="AB138" s="50">
        <f t="shared" si="26"/>
        <v>3.34430625326523E-2</v>
      </c>
      <c r="AC138" s="8">
        <f>+SUM(E138:AB138)*D138</f>
        <v>20.000000000000004</v>
      </c>
    </row>
    <row r="139" spans="2:29" outlineLevel="1">
      <c r="B139" s="16"/>
      <c r="C139" s="8" t="s">
        <v>46</v>
      </c>
      <c r="D139" s="8">
        <v>4</v>
      </c>
      <c r="E139" s="50">
        <f t="shared" ref="E139:AB139" si="29">+E79</f>
        <v>3.0659473205105158E-2</v>
      </c>
      <c r="F139" s="50">
        <f t="shared" si="29"/>
        <v>2.8600001140869122E-2</v>
      </c>
      <c r="G139" s="50">
        <f t="shared" si="29"/>
        <v>2.7683858575034276E-2</v>
      </c>
      <c r="H139" s="50">
        <f t="shared" si="29"/>
        <v>2.7537802139610414E-2</v>
      </c>
      <c r="I139" s="50">
        <f t="shared" si="29"/>
        <v>2.8782539770184416E-2</v>
      </c>
      <c r="J139" s="50">
        <f t="shared" si="29"/>
        <v>3.2241585579716119E-2</v>
      </c>
      <c r="K139" s="50">
        <f t="shared" si="29"/>
        <v>3.645312931015221E-2</v>
      </c>
      <c r="L139" s="50">
        <f t="shared" si="29"/>
        <v>3.9012639181609042E-2</v>
      </c>
      <c r="M139" s="50">
        <f t="shared" si="29"/>
        <v>4.1549207589560662E-2</v>
      </c>
      <c r="N139" s="50">
        <f t="shared" si="29"/>
        <v>4.3042516751632572E-2</v>
      </c>
      <c r="O139" s="50">
        <f t="shared" si="29"/>
        <v>4.4973693586955334E-2</v>
      </c>
      <c r="P139" s="50">
        <f t="shared" si="29"/>
        <v>4.6808021710202923E-2</v>
      </c>
      <c r="Q139" s="50">
        <f t="shared" si="29"/>
        <v>4.6383383047344962E-2</v>
      </c>
      <c r="R139" s="50">
        <f t="shared" si="29"/>
        <v>4.4751654806610461E-2</v>
      </c>
      <c r="S139" s="50">
        <f t="shared" si="29"/>
        <v>4.4013077558728637E-2</v>
      </c>
      <c r="T139" s="50">
        <f t="shared" si="29"/>
        <v>4.428856091631931E-2</v>
      </c>
      <c r="U139" s="50">
        <f t="shared" si="29"/>
        <v>4.49735778579251E-2</v>
      </c>
      <c r="V139" s="50">
        <f t="shared" si="29"/>
        <v>4.6933206789217301E-2</v>
      </c>
      <c r="W139" s="50">
        <f t="shared" si="29"/>
        <v>5.6210586428141023E-2</v>
      </c>
      <c r="X139" s="50">
        <f t="shared" si="29"/>
        <v>6.1205656691958259E-2</v>
      </c>
      <c r="Y139" s="50">
        <f t="shared" si="29"/>
        <v>5.7018442088769522E-2</v>
      </c>
      <c r="Z139" s="50">
        <f t="shared" si="29"/>
        <v>4.9896672365740725E-2</v>
      </c>
      <c r="AA139" s="50">
        <f t="shared" si="29"/>
        <v>4.1622868086918119E-2</v>
      </c>
      <c r="AB139" s="50">
        <f t="shared" si="29"/>
        <v>3.5357844821693719E-2</v>
      </c>
      <c r="AC139" s="8">
        <f t="shared" si="17"/>
        <v>3.9999999999999969</v>
      </c>
    </row>
    <row r="140" spans="2:29" outlineLevel="1">
      <c r="B140" s="16"/>
      <c r="C140" s="8" t="s">
        <v>47</v>
      </c>
      <c r="D140" s="8">
        <v>4</v>
      </c>
      <c r="E140" s="50">
        <f t="shared" ref="E140:AB140" si="30">+E80</f>
        <v>3.3281514565353124E-2</v>
      </c>
      <c r="F140" s="50">
        <f t="shared" si="30"/>
        <v>3.1140043873712407E-2</v>
      </c>
      <c r="G140" s="50">
        <f t="shared" si="30"/>
        <v>2.984335106750436E-2</v>
      </c>
      <c r="H140" s="50">
        <f t="shared" si="30"/>
        <v>2.9286927979133532E-2</v>
      </c>
      <c r="I140" s="50">
        <f t="shared" si="30"/>
        <v>2.9138028999542646E-2</v>
      </c>
      <c r="J140" s="50">
        <f t="shared" si="30"/>
        <v>3.0942883559119717E-2</v>
      </c>
      <c r="K140" s="50">
        <f t="shared" si="30"/>
        <v>3.4432484834348992E-2</v>
      </c>
      <c r="L140" s="50">
        <f t="shared" si="30"/>
        <v>3.8305304424032266E-2</v>
      </c>
      <c r="M140" s="50">
        <f t="shared" si="30"/>
        <v>4.1103790742913066E-2</v>
      </c>
      <c r="N140" s="50">
        <f t="shared" si="30"/>
        <v>4.2608444243851212E-2</v>
      </c>
      <c r="O140" s="50">
        <f t="shared" si="30"/>
        <v>4.3914681848814308E-2</v>
      </c>
      <c r="P140" s="50">
        <f t="shared" si="30"/>
        <v>4.5729867165388009E-2</v>
      </c>
      <c r="Q140" s="50">
        <f t="shared" si="30"/>
        <v>4.5741487779353565E-2</v>
      </c>
      <c r="R140" s="50">
        <f t="shared" si="30"/>
        <v>4.4277060725657284E-2</v>
      </c>
      <c r="S140" s="50">
        <f t="shared" si="30"/>
        <v>4.3144199391556254E-2</v>
      </c>
      <c r="T140" s="50">
        <f t="shared" si="30"/>
        <v>4.3279567369281124E-2</v>
      </c>
      <c r="U140" s="50">
        <f t="shared" si="30"/>
        <v>4.4109954506885138E-2</v>
      </c>
      <c r="V140" s="50">
        <f t="shared" si="30"/>
        <v>4.6298728840315946E-2</v>
      </c>
      <c r="W140" s="50">
        <f t="shared" si="30"/>
        <v>5.6176649878816001E-2</v>
      </c>
      <c r="X140" s="50">
        <f t="shared" si="30"/>
        <v>6.2194705000087863E-2</v>
      </c>
      <c r="Y140" s="50">
        <f t="shared" si="30"/>
        <v>5.7928891294023718E-2</v>
      </c>
      <c r="Z140" s="50">
        <f t="shared" si="30"/>
        <v>5.019499221712586E-2</v>
      </c>
      <c r="AA140" s="50">
        <f t="shared" si="30"/>
        <v>4.1853093029906328E-2</v>
      </c>
      <c r="AB140" s="50">
        <f t="shared" si="30"/>
        <v>3.507334666327714E-2</v>
      </c>
      <c r="AC140" s="8">
        <f t="shared" si="17"/>
        <v>3.9999999999999991</v>
      </c>
    </row>
    <row r="141" spans="2:29" outlineLevel="1">
      <c r="B141" s="16"/>
      <c r="C141" s="8" t="s">
        <v>48</v>
      </c>
      <c r="D141" s="8">
        <v>0</v>
      </c>
      <c r="E141" s="50">
        <f t="shared" ref="E141:AB141" si="31">+E81</f>
        <v>3.367503361886829E-2</v>
      </c>
      <c r="F141" s="50">
        <f t="shared" si="31"/>
        <v>3.1245692535415936E-2</v>
      </c>
      <c r="G141" s="50">
        <f t="shared" si="31"/>
        <v>2.9861746203171599E-2</v>
      </c>
      <c r="H141" s="50">
        <f t="shared" si="31"/>
        <v>2.9235019370742008E-2</v>
      </c>
      <c r="I141" s="50">
        <f t="shared" si="31"/>
        <v>3.0186379118294998E-2</v>
      </c>
      <c r="J141" s="50">
        <f t="shared" si="31"/>
        <v>3.3123682717801174E-2</v>
      </c>
      <c r="K141" s="50">
        <f t="shared" si="31"/>
        <v>3.5563630818173868E-2</v>
      </c>
      <c r="L141" s="50">
        <f t="shared" si="31"/>
        <v>3.7375437025807548E-2</v>
      </c>
      <c r="M141" s="50">
        <f t="shared" si="31"/>
        <v>3.9557895894381336E-2</v>
      </c>
      <c r="N141" s="50">
        <f t="shared" si="31"/>
        <v>4.1330002492198488E-2</v>
      </c>
      <c r="O141" s="50">
        <f t="shared" si="31"/>
        <v>4.3273465010057272E-2</v>
      </c>
      <c r="P141" s="50">
        <f t="shared" si="31"/>
        <v>4.5278417057592932E-2</v>
      </c>
      <c r="Q141" s="50">
        <f t="shared" si="31"/>
        <v>4.5765189585786785E-2</v>
      </c>
      <c r="R141" s="50">
        <f t="shared" si="31"/>
        <v>4.421428774797561E-2</v>
      </c>
      <c r="S141" s="50">
        <f t="shared" si="31"/>
        <v>4.3245429527174986E-2</v>
      </c>
      <c r="T141" s="50">
        <f t="shared" si="31"/>
        <v>4.3554999005074702E-2</v>
      </c>
      <c r="U141" s="50">
        <f t="shared" si="31"/>
        <v>4.4435510161992771E-2</v>
      </c>
      <c r="V141" s="50">
        <f t="shared" si="31"/>
        <v>4.717219114348542E-2</v>
      </c>
      <c r="W141" s="50">
        <f t="shared" si="31"/>
        <v>5.6899741232983039E-2</v>
      </c>
      <c r="X141" s="50">
        <f t="shared" si="31"/>
        <v>6.1986738769463187E-2</v>
      </c>
      <c r="Y141" s="50">
        <f t="shared" si="31"/>
        <v>5.7208700429979269E-2</v>
      </c>
      <c r="Z141" s="50">
        <f t="shared" si="31"/>
        <v>4.9339560702577757E-2</v>
      </c>
      <c r="AA141" s="50">
        <f t="shared" si="31"/>
        <v>4.1368944501432053E-2</v>
      </c>
      <c r="AB141" s="50">
        <f t="shared" si="31"/>
        <v>3.5102305329568817E-2</v>
      </c>
      <c r="AC141" s="8">
        <f t="shared" si="17"/>
        <v>0</v>
      </c>
    </row>
    <row r="142" spans="2:29" outlineLevel="1">
      <c r="B142" s="12"/>
      <c r="C142" s="12" t="s">
        <v>15</v>
      </c>
      <c r="D142" s="12">
        <f>+SUM(D138:D141)</f>
        <v>28</v>
      </c>
      <c r="E142" s="19">
        <f>+SUMPRODUCT(E138:E141,$D138:$D141)</f>
        <v>0.84298909357860086</v>
      </c>
      <c r="F142" s="19">
        <f>+SUMPRODUCT(F138:F141,$D138:$D141)</f>
        <v>0.79281438670292037</v>
      </c>
      <c r="G142" s="19">
        <f t="shared" ref="G142:AB142" si="32">+SUMPRODUCT(G138:G141,$D138:$D141)</f>
        <v>0.76581206652408507</v>
      </c>
      <c r="H142" s="19">
        <f t="shared" si="32"/>
        <v>0.76303870785377348</v>
      </c>
      <c r="I142" s="19">
        <f t="shared" si="32"/>
        <v>0.81439777862913776</v>
      </c>
      <c r="J142" s="19">
        <f t="shared" si="32"/>
        <v>0.94354675368965668</v>
      </c>
      <c r="K142" s="19">
        <f t="shared" si="32"/>
        <v>1.0593231616245178</v>
      </c>
      <c r="L142" s="19">
        <f t="shared" si="32"/>
        <v>1.1008449422916837</v>
      </c>
      <c r="M142" s="19">
        <f t="shared" si="32"/>
        <v>1.1497627587655228</v>
      </c>
      <c r="N142" s="19">
        <f t="shared" si="32"/>
        <v>1.1859422448792118</v>
      </c>
      <c r="O142" s="19">
        <f t="shared" si="32"/>
        <v>1.238561000535743</v>
      </c>
      <c r="P142" s="19">
        <f t="shared" si="32"/>
        <v>1.2960478848317458</v>
      </c>
      <c r="Q142" s="19">
        <f t="shared" si="32"/>
        <v>1.2771370024898361</v>
      </c>
      <c r="R142" s="19">
        <f t="shared" si="32"/>
        <v>1.2337094321959929</v>
      </c>
      <c r="S142" s="19">
        <f t="shared" si="32"/>
        <v>1.2309992402939449</v>
      </c>
      <c r="T142" s="19">
        <f t="shared" si="32"/>
        <v>1.2540411662494362</v>
      </c>
      <c r="U142" s="19">
        <f t="shared" si="32"/>
        <v>1.2811946411516368</v>
      </c>
      <c r="V142" s="19">
        <f t="shared" si="32"/>
        <v>1.3378725217772365</v>
      </c>
      <c r="W142" s="19">
        <f t="shared" si="32"/>
        <v>1.5914866517896862</v>
      </c>
      <c r="X142" s="19">
        <f t="shared" si="32"/>
        <v>1.7284002076751892</v>
      </c>
      <c r="Y142" s="19">
        <f t="shared" si="32"/>
        <v>1.6044269638757178</v>
      </c>
      <c r="Z142" s="19">
        <f t="shared" si="32"/>
        <v>1.4029517671001666</v>
      </c>
      <c r="AA142" s="19">
        <f t="shared" si="32"/>
        <v>1.1541136089016288</v>
      </c>
      <c r="AB142" s="19">
        <f t="shared" si="32"/>
        <v>0.95058601659292941</v>
      </c>
      <c r="AC142" s="12">
        <f>+SUM(E142:AB142)</f>
        <v>27.999999999999996</v>
      </c>
    </row>
    <row r="143" spans="2:29" outlineLevel="1">
      <c r="B143" s="15">
        <f>+EDATE(B138,1)</f>
        <v>45717</v>
      </c>
      <c r="C143" s="8" t="s">
        <v>45</v>
      </c>
      <c r="D143" s="8">
        <v>20</v>
      </c>
      <c r="E143" s="50">
        <f t="shared" ref="E143:AB143" si="33">+E83</f>
        <v>2.9361257124838391E-2</v>
      </c>
      <c r="F143" s="50">
        <f t="shared" si="33"/>
        <v>2.7692710332229715E-2</v>
      </c>
      <c r="G143" s="50">
        <f t="shared" si="33"/>
        <v>2.6785161397696527E-2</v>
      </c>
      <c r="H143" s="50">
        <f t="shared" si="33"/>
        <v>2.6786989368939883E-2</v>
      </c>
      <c r="I143" s="50">
        <f t="shared" si="33"/>
        <v>2.9135775177511477E-2</v>
      </c>
      <c r="J143" s="50">
        <f t="shared" si="33"/>
        <v>3.4540443856715661E-2</v>
      </c>
      <c r="K143" s="50">
        <f t="shared" si="33"/>
        <v>3.8789035252325646E-2</v>
      </c>
      <c r="L143" s="50">
        <f t="shared" si="33"/>
        <v>3.957865839345593E-2</v>
      </c>
      <c r="M143" s="50">
        <f t="shared" si="33"/>
        <v>4.0957538271781398E-2</v>
      </c>
      <c r="N143" s="50">
        <f t="shared" si="33"/>
        <v>4.2166920044863825E-2</v>
      </c>
      <c r="O143" s="50">
        <f t="shared" si="33"/>
        <v>4.4150374939633218E-2</v>
      </c>
      <c r="P143" s="50">
        <f t="shared" si="33"/>
        <v>4.6294816466469102E-2</v>
      </c>
      <c r="Q143" s="50">
        <f t="shared" si="33"/>
        <v>4.5431875959152102E-2</v>
      </c>
      <c r="R143" s="50">
        <f t="shared" si="33"/>
        <v>4.3879728503346101E-2</v>
      </c>
      <c r="S143" s="50">
        <f t="shared" si="33"/>
        <v>4.4118506624640258E-2</v>
      </c>
      <c r="T143" s="50">
        <f t="shared" si="33"/>
        <v>4.5188432655351718E-2</v>
      </c>
      <c r="U143" s="50">
        <f t="shared" si="33"/>
        <v>4.624302558461979E-2</v>
      </c>
      <c r="V143" s="50">
        <f t="shared" si="33"/>
        <v>4.8247238962955179E-2</v>
      </c>
      <c r="W143" s="50">
        <f t="shared" si="33"/>
        <v>5.7096885328092907E-2</v>
      </c>
      <c r="X143" s="50">
        <f t="shared" si="33"/>
        <v>6.1739938045350239E-2</v>
      </c>
      <c r="Y143" s="50">
        <f t="shared" si="33"/>
        <v>5.7231881517227232E-2</v>
      </c>
      <c r="Z143" s="50">
        <f t="shared" si="33"/>
        <v>5.0129255438435008E-2</v>
      </c>
      <c r="AA143" s="50">
        <f t="shared" si="33"/>
        <v>4.1010488221716553E-2</v>
      </c>
      <c r="AB143" s="50">
        <f t="shared" si="33"/>
        <v>3.34430625326523E-2</v>
      </c>
      <c r="AC143" s="8">
        <f>+SUM(E143:AB143)*D143</f>
        <v>20.000000000000004</v>
      </c>
    </row>
    <row r="144" spans="2:29" outlineLevel="1">
      <c r="B144" s="16"/>
      <c r="C144" s="8" t="s">
        <v>46</v>
      </c>
      <c r="D144" s="8">
        <v>5</v>
      </c>
      <c r="E144" s="50">
        <f t="shared" ref="E144:AB144" si="34">+E84</f>
        <v>3.0659473205105158E-2</v>
      </c>
      <c r="F144" s="50">
        <f t="shared" si="34"/>
        <v>2.8600001140869122E-2</v>
      </c>
      <c r="G144" s="50">
        <f t="shared" si="34"/>
        <v>2.7683858575034276E-2</v>
      </c>
      <c r="H144" s="50">
        <f t="shared" si="34"/>
        <v>2.7537802139610414E-2</v>
      </c>
      <c r="I144" s="50">
        <f t="shared" si="34"/>
        <v>2.8782539770184416E-2</v>
      </c>
      <c r="J144" s="50">
        <f t="shared" si="34"/>
        <v>3.2241585579716119E-2</v>
      </c>
      <c r="K144" s="50">
        <f t="shared" si="34"/>
        <v>3.645312931015221E-2</v>
      </c>
      <c r="L144" s="50">
        <f t="shared" si="34"/>
        <v>3.9012639181609042E-2</v>
      </c>
      <c r="M144" s="50">
        <f t="shared" si="34"/>
        <v>4.1549207589560662E-2</v>
      </c>
      <c r="N144" s="50">
        <f t="shared" si="34"/>
        <v>4.3042516751632572E-2</v>
      </c>
      <c r="O144" s="50">
        <f t="shared" si="34"/>
        <v>4.4973693586955334E-2</v>
      </c>
      <c r="P144" s="50">
        <f t="shared" si="34"/>
        <v>4.6808021710202923E-2</v>
      </c>
      <c r="Q144" s="50">
        <f t="shared" si="34"/>
        <v>4.6383383047344962E-2</v>
      </c>
      <c r="R144" s="50">
        <f t="shared" si="34"/>
        <v>4.4751654806610461E-2</v>
      </c>
      <c r="S144" s="50">
        <f t="shared" si="34"/>
        <v>4.4013077558728637E-2</v>
      </c>
      <c r="T144" s="50">
        <f t="shared" si="34"/>
        <v>4.428856091631931E-2</v>
      </c>
      <c r="U144" s="50">
        <f t="shared" si="34"/>
        <v>4.49735778579251E-2</v>
      </c>
      <c r="V144" s="50">
        <f t="shared" si="34"/>
        <v>4.6933206789217301E-2</v>
      </c>
      <c r="W144" s="50">
        <f t="shared" si="34"/>
        <v>5.6210586428141023E-2</v>
      </c>
      <c r="X144" s="50">
        <f t="shared" si="34"/>
        <v>6.1205656691958259E-2</v>
      </c>
      <c r="Y144" s="50">
        <f t="shared" si="34"/>
        <v>5.7018442088769522E-2</v>
      </c>
      <c r="Z144" s="50">
        <f t="shared" si="34"/>
        <v>4.9896672365740725E-2</v>
      </c>
      <c r="AA144" s="50">
        <f t="shared" si="34"/>
        <v>4.1622868086918119E-2</v>
      </c>
      <c r="AB144" s="50">
        <f t="shared" si="34"/>
        <v>3.5357844821693719E-2</v>
      </c>
      <c r="AC144" s="8">
        <f t="shared" si="17"/>
        <v>4.9999999999999964</v>
      </c>
    </row>
    <row r="145" spans="2:29" outlineLevel="1">
      <c r="B145" s="16"/>
      <c r="C145" s="8" t="s">
        <v>47</v>
      </c>
      <c r="D145" s="8">
        <v>5</v>
      </c>
      <c r="E145" s="50">
        <f t="shared" ref="E145:AB145" si="35">+E85</f>
        <v>3.3281514565353124E-2</v>
      </c>
      <c r="F145" s="50">
        <f t="shared" si="35"/>
        <v>3.1140043873712407E-2</v>
      </c>
      <c r="G145" s="50">
        <f t="shared" si="35"/>
        <v>2.984335106750436E-2</v>
      </c>
      <c r="H145" s="50">
        <f t="shared" si="35"/>
        <v>2.9286927979133532E-2</v>
      </c>
      <c r="I145" s="50">
        <f t="shared" si="35"/>
        <v>2.9138028999542646E-2</v>
      </c>
      <c r="J145" s="50">
        <f t="shared" si="35"/>
        <v>3.0942883559119717E-2</v>
      </c>
      <c r="K145" s="50">
        <f t="shared" si="35"/>
        <v>3.4432484834348992E-2</v>
      </c>
      <c r="L145" s="50">
        <f t="shared" si="35"/>
        <v>3.8305304424032266E-2</v>
      </c>
      <c r="M145" s="50">
        <f t="shared" si="35"/>
        <v>4.1103790742913066E-2</v>
      </c>
      <c r="N145" s="50">
        <f t="shared" si="35"/>
        <v>4.2608444243851212E-2</v>
      </c>
      <c r="O145" s="50">
        <f t="shared" si="35"/>
        <v>4.3914681848814308E-2</v>
      </c>
      <c r="P145" s="50">
        <f t="shared" si="35"/>
        <v>4.5729867165388009E-2</v>
      </c>
      <c r="Q145" s="50">
        <f t="shared" si="35"/>
        <v>4.5741487779353565E-2</v>
      </c>
      <c r="R145" s="50">
        <f t="shared" si="35"/>
        <v>4.4277060725657284E-2</v>
      </c>
      <c r="S145" s="50">
        <f t="shared" si="35"/>
        <v>4.3144199391556254E-2</v>
      </c>
      <c r="T145" s="50">
        <f t="shared" si="35"/>
        <v>4.3279567369281124E-2</v>
      </c>
      <c r="U145" s="50">
        <f t="shared" si="35"/>
        <v>4.4109954506885138E-2</v>
      </c>
      <c r="V145" s="50">
        <f t="shared" si="35"/>
        <v>4.6298728840315946E-2</v>
      </c>
      <c r="W145" s="50">
        <f t="shared" si="35"/>
        <v>5.6176649878816001E-2</v>
      </c>
      <c r="X145" s="50">
        <f t="shared" si="35"/>
        <v>6.2194705000087863E-2</v>
      </c>
      <c r="Y145" s="50">
        <f t="shared" si="35"/>
        <v>5.7928891294023718E-2</v>
      </c>
      <c r="Z145" s="50">
        <f t="shared" si="35"/>
        <v>5.019499221712586E-2</v>
      </c>
      <c r="AA145" s="50">
        <f t="shared" si="35"/>
        <v>4.1853093029906328E-2</v>
      </c>
      <c r="AB145" s="50">
        <f t="shared" si="35"/>
        <v>3.507334666327714E-2</v>
      </c>
      <c r="AC145" s="8">
        <f t="shared" si="17"/>
        <v>4.9999999999999991</v>
      </c>
    </row>
    <row r="146" spans="2:29" outlineLevel="1">
      <c r="B146" s="16"/>
      <c r="C146" s="8" t="s">
        <v>48</v>
      </c>
      <c r="D146" s="8">
        <v>1</v>
      </c>
      <c r="E146" s="50">
        <f t="shared" ref="E146:AB146" si="36">+E86</f>
        <v>3.367503361886829E-2</v>
      </c>
      <c r="F146" s="50">
        <f t="shared" si="36"/>
        <v>3.1245692535415936E-2</v>
      </c>
      <c r="G146" s="50">
        <f t="shared" si="36"/>
        <v>2.9861746203171599E-2</v>
      </c>
      <c r="H146" s="50">
        <f t="shared" si="36"/>
        <v>2.9235019370742008E-2</v>
      </c>
      <c r="I146" s="50">
        <f t="shared" si="36"/>
        <v>3.0186379118294998E-2</v>
      </c>
      <c r="J146" s="50">
        <f t="shared" si="36"/>
        <v>3.3123682717801174E-2</v>
      </c>
      <c r="K146" s="50">
        <f t="shared" si="36"/>
        <v>3.5563630818173868E-2</v>
      </c>
      <c r="L146" s="50">
        <f t="shared" si="36"/>
        <v>3.7375437025807548E-2</v>
      </c>
      <c r="M146" s="50">
        <f t="shared" si="36"/>
        <v>3.9557895894381336E-2</v>
      </c>
      <c r="N146" s="50">
        <f t="shared" si="36"/>
        <v>4.1330002492198488E-2</v>
      </c>
      <c r="O146" s="50">
        <f t="shared" si="36"/>
        <v>4.3273465010057272E-2</v>
      </c>
      <c r="P146" s="50">
        <f t="shared" si="36"/>
        <v>4.5278417057592932E-2</v>
      </c>
      <c r="Q146" s="50">
        <f t="shared" si="36"/>
        <v>4.5765189585786785E-2</v>
      </c>
      <c r="R146" s="50">
        <f t="shared" si="36"/>
        <v>4.421428774797561E-2</v>
      </c>
      <c r="S146" s="50">
        <f t="shared" si="36"/>
        <v>4.3245429527174986E-2</v>
      </c>
      <c r="T146" s="50">
        <f t="shared" si="36"/>
        <v>4.3554999005074702E-2</v>
      </c>
      <c r="U146" s="50">
        <f t="shared" si="36"/>
        <v>4.4435510161992771E-2</v>
      </c>
      <c r="V146" s="50">
        <f t="shared" si="36"/>
        <v>4.717219114348542E-2</v>
      </c>
      <c r="W146" s="50">
        <f t="shared" si="36"/>
        <v>5.6899741232983039E-2</v>
      </c>
      <c r="X146" s="50">
        <f t="shared" si="36"/>
        <v>6.1986738769463187E-2</v>
      </c>
      <c r="Y146" s="50">
        <f t="shared" si="36"/>
        <v>5.7208700429979269E-2</v>
      </c>
      <c r="Z146" s="50">
        <f t="shared" si="36"/>
        <v>4.9339560702577757E-2</v>
      </c>
      <c r="AA146" s="50">
        <f t="shared" si="36"/>
        <v>4.1368944501432053E-2</v>
      </c>
      <c r="AB146" s="50">
        <f t="shared" si="36"/>
        <v>3.5102305329568817E-2</v>
      </c>
      <c r="AC146" s="8">
        <f t="shared" si="17"/>
        <v>0.99999999999999978</v>
      </c>
    </row>
    <row r="147" spans="2:29" outlineLevel="1">
      <c r="B147" s="12"/>
      <c r="C147" s="12" t="s">
        <v>15</v>
      </c>
      <c r="D147" s="12">
        <f>+SUM(D143:D146)</f>
        <v>31</v>
      </c>
      <c r="E147" s="19">
        <f>+SUMPRODUCT(E143:E146,$D143:$D146)</f>
        <v>0.94060511496792754</v>
      </c>
      <c r="F147" s="19">
        <f>+SUMPRODUCT(F143:F146,$D143:$D146)</f>
        <v>0.88380012425291787</v>
      </c>
      <c r="G147" s="19">
        <f t="shared" ref="G147:AB147" si="37">+SUMPRODUCT(G143:G146,$D143:$D146)</f>
        <v>0.85320102236979534</v>
      </c>
      <c r="H147" s="19">
        <f t="shared" si="37"/>
        <v>0.84909845734325939</v>
      </c>
      <c r="I147" s="19">
        <f t="shared" si="37"/>
        <v>0.90250472651715985</v>
      </c>
      <c r="J147" s="19">
        <f t="shared" si="37"/>
        <v>1.0398549055462936</v>
      </c>
      <c r="K147" s="19">
        <f t="shared" si="37"/>
        <v>1.1657724065871928</v>
      </c>
      <c r="L147" s="19">
        <f t="shared" si="37"/>
        <v>1.2155383229231327</v>
      </c>
      <c r="M147" s="19">
        <f t="shared" si="37"/>
        <v>1.271973652992378</v>
      </c>
      <c r="N147" s="19">
        <f t="shared" si="37"/>
        <v>1.3129232083668938</v>
      </c>
      <c r="O147" s="19">
        <f t="shared" si="37"/>
        <v>1.3707228409815699</v>
      </c>
      <c r="P147" s="19">
        <f t="shared" si="37"/>
        <v>1.4338641907649297</v>
      </c>
      <c r="Q147" s="19">
        <f t="shared" si="37"/>
        <v>1.4150270629023214</v>
      </c>
      <c r="R147" s="19">
        <f t="shared" si="37"/>
        <v>1.3669524354762363</v>
      </c>
      <c r="S147" s="19">
        <f t="shared" si="37"/>
        <v>1.3614019467714047</v>
      </c>
      <c r="T147" s="19">
        <f t="shared" si="37"/>
        <v>1.3851642935401114</v>
      </c>
      <c r="U147" s="19">
        <f t="shared" si="37"/>
        <v>1.4147136836784397</v>
      </c>
      <c r="V147" s="19">
        <f t="shared" si="37"/>
        <v>1.4782766485502554</v>
      </c>
      <c r="W147" s="19">
        <f t="shared" si="37"/>
        <v>1.7607736293296263</v>
      </c>
      <c r="X147" s="19">
        <f t="shared" si="37"/>
        <v>1.9137873081366987</v>
      </c>
      <c r="Y147" s="19">
        <f t="shared" si="37"/>
        <v>1.7765829976884902</v>
      </c>
      <c r="Z147" s="19">
        <f t="shared" si="37"/>
        <v>1.5523829923856107</v>
      </c>
      <c r="AA147" s="19">
        <f t="shared" si="37"/>
        <v>1.2789585145198852</v>
      </c>
      <c r="AB147" s="19">
        <f t="shared" si="37"/>
        <v>1.0561195134074692</v>
      </c>
      <c r="AC147" s="12">
        <f>+SUM(E147:AB147)</f>
        <v>30.999999999999996</v>
      </c>
    </row>
    <row r="148" spans="2:29" outlineLevel="1">
      <c r="B148" s="15">
        <f>+EDATE(B143,1)</f>
        <v>45748</v>
      </c>
      <c r="C148" s="8" t="s">
        <v>45</v>
      </c>
      <c r="D148" s="8">
        <v>20</v>
      </c>
      <c r="E148" s="50">
        <f t="shared" ref="E148:AB148" si="38">+E88</f>
        <v>2.9361257124838391E-2</v>
      </c>
      <c r="F148" s="50">
        <f t="shared" si="38"/>
        <v>2.7692710332229715E-2</v>
      </c>
      <c r="G148" s="50">
        <f t="shared" si="38"/>
        <v>2.6785161397696527E-2</v>
      </c>
      <c r="H148" s="50">
        <f t="shared" si="38"/>
        <v>2.6786989368939883E-2</v>
      </c>
      <c r="I148" s="50">
        <f t="shared" si="38"/>
        <v>2.9135775177511477E-2</v>
      </c>
      <c r="J148" s="50">
        <f t="shared" si="38"/>
        <v>3.4540443856715661E-2</v>
      </c>
      <c r="K148" s="50">
        <f t="shared" si="38"/>
        <v>3.8789035252325646E-2</v>
      </c>
      <c r="L148" s="50">
        <f t="shared" si="38"/>
        <v>3.957865839345593E-2</v>
      </c>
      <c r="M148" s="50">
        <f t="shared" si="38"/>
        <v>4.0957538271781398E-2</v>
      </c>
      <c r="N148" s="50">
        <f t="shared" si="38"/>
        <v>4.2166920044863825E-2</v>
      </c>
      <c r="O148" s="50">
        <f t="shared" si="38"/>
        <v>4.4150374939633218E-2</v>
      </c>
      <c r="P148" s="50">
        <f t="shared" si="38"/>
        <v>4.6294816466469102E-2</v>
      </c>
      <c r="Q148" s="50">
        <f t="shared" si="38"/>
        <v>4.5431875959152102E-2</v>
      </c>
      <c r="R148" s="50">
        <f t="shared" si="38"/>
        <v>4.3879728503346101E-2</v>
      </c>
      <c r="S148" s="50">
        <f t="shared" si="38"/>
        <v>4.4118506624640258E-2</v>
      </c>
      <c r="T148" s="50">
        <f t="shared" si="38"/>
        <v>4.5188432655351718E-2</v>
      </c>
      <c r="U148" s="50">
        <f t="shared" si="38"/>
        <v>4.624302558461979E-2</v>
      </c>
      <c r="V148" s="50">
        <f t="shared" si="38"/>
        <v>4.8247238962955179E-2</v>
      </c>
      <c r="W148" s="50">
        <f t="shared" si="38"/>
        <v>5.7096885328092907E-2</v>
      </c>
      <c r="X148" s="50">
        <f t="shared" si="38"/>
        <v>6.1739938045350239E-2</v>
      </c>
      <c r="Y148" s="50">
        <f t="shared" si="38"/>
        <v>5.7231881517227232E-2</v>
      </c>
      <c r="Z148" s="50">
        <f t="shared" si="38"/>
        <v>5.0129255438435008E-2</v>
      </c>
      <c r="AA148" s="50">
        <f t="shared" si="38"/>
        <v>4.1010488221716553E-2</v>
      </c>
      <c r="AB148" s="50">
        <f t="shared" si="38"/>
        <v>3.34430625326523E-2</v>
      </c>
      <c r="AC148" s="8">
        <f>+SUM(E148:AB148)*D148</f>
        <v>20.000000000000004</v>
      </c>
    </row>
    <row r="149" spans="2:29" outlineLevel="1">
      <c r="B149" s="16"/>
      <c r="C149" s="8" t="s">
        <v>46</v>
      </c>
      <c r="D149" s="8">
        <v>4</v>
      </c>
      <c r="E149" s="50">
        <f t="shared" ref="E149:AB149" si="39">+E89</f>
        <v>3.0659473205105158E-2</v>
      </c>
      <c r="F149" s="50">
        <f t="shared" si="39"/>
        <v>2.8600001140869122E-2</v>
      </c>
      <c r="G149" s="50">
        <f t="shared" si="39"/>
        <v>2.7683858575034276E-2</v>
      </c>
      <c r="H149" s="50">
        <f t="shared" si="39"/>
        <v>2.7537802139610414E-2</v>
      </c>
      <c r="I149" s="50">
        <f t="shared" si="39"/>
        <v>2.8782539770184416E-2</v>
      </c>
      <c r="J149" s="50">
        <f t="shared" si="39"/>
        <v>3.2241585579716119E-2</v>
      </c>
      <c r="K149" s="50">
        <f t="shared" si="39"/>
        <v>3.645312931015221E-2</v>
      </c>
      <c r="L149" s="50">
        <f t="shared" si="39"/>
        <v>3.9012639181609042E-2</v>
      </c>
      <c r="M149" s="50">
        <f t="shared" si="39"/>
        <v>4.1549207589560662E-2</v>
      </c>
      <c r="N149" s="50">
        <f t="shared" si="39"/>
        <v>4.3042516751632572E-2</v>
      </c>
      <c r="O149" s="50">
        <f t="shared" si="39"/>
        <v>4.4973693586955334E-2</v>
      </c>
      <c r="P149" s="50">
        <f t="shared" si="39"/>
        <v>4.6808021710202923E-2</v>
      </c>
      <c r="Q149" s="50">
        <f t="shared" si="39"/>
        <v>4.6383383047344962E-2</v>
      </c>
      <c r="R149" s="50">
        <f t="shared" si="39"/>
        <v>4.4751654806610461E-2</v>
      </c>
      <c r="S149" s="50">
        <f t="shared" si="39"/>
        <v>4.4013077558728637E-2</v>
      </c>
      <c r="T149" s="50">
        <f t="shared" si="39"/>
        <v>4.428856091631931E-2</v>
      </c>
      <c r="U149" s="50">
        <f t="shared" si="39"/>
        <v>4.49735778579251E-2</v>
      </c>
      <c r="V149" s="50">
        <f t="shared" si="39"/>
        <v>4.6933206789217301E-2</v>
      </c>
      <c r="W149" s="50">
        <f t="shared" si="39"/>
        <v>5.6210586428141023E-2</v>
      </c>
      <c r="X149" s="50">
        <f t="shared" si="39"/>
        <v>6.1205656691958259E-2</v>
      </c>
      <c r="Y149" s="50">
        <f t="shared" si="39"/>
        <v>5.7018442088769522E-2</v>
      </c>
      <c r="Z149" s="50">
        <f t="shared" si="39"/>
        <v>4.9896672365740725E-2</v>
      </c>
      <c r="AA149" s="50">
        <f t="shared" si="39"/>
        <v>4.1622868086918119E-2</v>
      </c>
      <c r="AB149" s="50">
        <f t="shared" si="39"/>
        <v>3.5357844821693719E-2</v>
      </c>
      <c r="AC149" s="8">
        <f t="shared" si="17"/>
        <v>3.9999999999999969</v>
      </c>
    </row>
    <row r="150" spans="2:29" outlineLevel="1">
      <c r="B150" s="16"/>
      <c r="C150" s="8" t="s">
        <v>47</v>
      </c>
      <c r="D150" s="8">
        <v>4</v>
      </c>
      <c r="E150" s="50">
        <f t="shared" ref="E150:AB150" si="40">+E90</f>
        <v>3.3281514565353124E-2</v>
      </c>
      <c r="F150" s="50">
        <f t="shared" si="40"/>
        <v>3.1140043873712407E-2</v>
      </c>
      <c r="G150" s="50">
        <f t="shared" si="40"/>
        <v>2.984335106750436E-2</v>
      </c>
      <c r="H150" s="50">
        <f t="shared" si="40"/>
        <v>2.9286927979133532E-2</v>
      </c>
      <c r="I150" s="50">
        <f t="shared" si="40"/>
        <v>2.9138028999542646E-2</v>
      </c>
      <c r="J150" s="50">
        <f t="shared" si="40"/>
        <v>3.0942883559119717E-2</v>
      </c>
      <c r="K150" s="50">
        <f t="shared" si="40"/>
        <v>3.4432484834348992E-2</v>
      </c>
      <c r="L150" s="50">
        <f t="shared" si="40"/>
        <v>3.8305304424032266E-2</v>
      </c>
      <c r="M150" s="50">
        <f t="shared" si="40"/>
        <v>4.1103790742913066E-2</v>
      </c>
      <c r="N150" s="50">
        <f t="shared" si="40"/>
        <v>4.2608444243851212E-2</v>
      </c>
      <c r="O150" s="50">
        <f t="shared" si="40"/>
        <v>4.3914681848814308E-2</v>
      </c>
      <c r="P150" s="50">
        <f t="shared" si="40"/>
        <v>4.5729867165388009E-2</v>
      </c>
      <c r="Q150" s="50">
        <f t="shared" si="40"/>
        <v>4.5741487779353565E-2</v>
      </c>
      <c r="R150" s="50">
        <f t="shared" si="40"/>
        <v>4.4277060725657284E-2</v>
      </c>
      <c r="S150" s="50">
        <f t="shared" si="40"/>
        <v>4.3144199391556254E-2</v>
      </c>
      <c r="T150" s="50">
        <f t="shared" si="40"/>
        <v>4.3279567369281124E-2</v>
      </c>
      <c r="U150" s="50">
        <f t="shared" si="40"/>
        <v>4.4109954506885138E-2</v>
      </c>
      <c r="V150" s="50">
        <f t="shared" si="40"/>
        <v>4.6298728840315946E-2</v>
      </c>
      <c r="W150" s="50">
        <f t="shared" si="40"/>
        <v>5.6176649878816001E-2</v>
      </c>
      <c r="X150" s="50">
        <f t="shared" si="40"/>
        <v>6.2194705000087863E-2</v>
      </c>
      <c r="Y150" s="50">
        <f t="shared" si="40"/>
        <v>5.7928891294023718E-2</v>
      </c>
      <c r="Z150" s="50">
        <f t="shared" si="40"/>
        <v>5.019499221712586E-2</v>
      </c>
      <c r="AA150" s="50">
        <f t="shared" si="40"/>
        <v>4.1853093029906328E-2</v>
      </c>
      <c r="AB150" s="50">
        <f t="shared" si="40"/>
        <v>3.507334666327714E-2</v>
      </c>
      <c r="AC150" s="8">
        <f t="shared" si="17"/>
        <v>3.9999999999999991</v>
      </c>
    </row>
    <row r="151" spans="2:29" outlineLevel="1">
      <c r="B151" s="16"/>
      <c r="C151" s="8" t="s">
        <v>48</v>
      </c>
      <c r="D151" s="8">
        <v>2</v>
      </c>
      <c r="E151" s="50">
        <f t="shared" ref="E151:AB151" si="41">+E91</f>
        <v>3.367503361886829E-2</v>
      </c>
      <c r="F151" s="50">
        <f t="shared" si="41"/>
        <v>3.1245692535415936E-2</v>
      </c>
      <c r="G151" s="50">
        <f t="shared" si="41"/>
        <v>2.9861746203171599E-2</v>
      </c>
      <c r="H151" s="50">
        <f t="shared" si="41"/>
        <v>2.9235019370742008E-2</v>
      </c>
      <c r="I151" s="50">
        <f t="shared" si="41"/>
        <v>3.0186379118294998E-2</v>
      </c>
      <c r="J151" s="50">
        <f t="shared" si="41"/>
        <v>3.3123682717801174E-2</v>
      </c>
      <c r="K151" s="50">
        <f t="shared" si="41"/>
        <v>3.5563630818173868E-2</v>
      </c>
      <c r="L151" s="50">
        <f t="shared" si="41"/>
        <v>3.7375437025807548E-2</v>
      </c>
      <c r="M151" s="50">
        <f t="shared" si="41"/>
        <v>3.9557895894381336E-2</v>
      </c>
      <c r="N151" s="50">
        <f t="shared" si="41"/>
        <v>4.1330002492198488E-2</v>
      </c>
      <c r="O151" s="50">
        <f t="shared" si="41"/>
        <v>4.3273465010057272E-2</v>
      </c>
      <c r="P151" s="50">
        <f t="shared" si="41"/>
        <v>4.5278417057592932E-2</v>
      </c>
      <c r="Q151" s="50">
        <f t="shared" si="41"/>
        <v>4.5765189585786785E-2</v>
      </c>
      <c r="R151" s="50">
        <f t="shared" si="41"/>
        <v>4.421428774797561E-2</v>
      </c>
      <c r="S151" s="50">
        <f t="shared" si="41"/>
        <v>4.3245429527174986E-2</v>
      </c>
      <c r="T151" s="50">
        <f t="shared" si="41"/>
        <v>4.3554999005074702E-2</v>
      </c>
      <c r="U151" s="50">
        <f t="shared" si="41"/>
        <v>4.4435510161992771E-2</v>
      </c>
      <c r="V151" s="50">
        <f t="shared" si="41"/>
        <v>4.717219114348542E-2</v>
      </c>
      <c r="W151" s="50">
        <f t="shared" si="41"/>
        <v>5.6899741232983039E-2</v>
      </c>
      <c r="X151" s="50">
        <f t="shared" si="41"/>
        <v>6.1986738769463187E-2</v>
      </c>
      <c r="Y151" s="50">
        <f t="shared" si="41"/>
        <v>5.7208700429979269E-2</v>
      </c>
      <c r="Z151" s="50">
        <f t="shared" si="41"/>
        <v>4.9339560702577757E-2</v>
      </c>
      <c r="AA151" s="50">
        <f t="shared" si="41"/>
        <v>4.1368944501432053E-2</v>
      </c>
      <c r="AB151" s="50">
        <f t="shared" si="41"/>
        <v>3.5102305329568817E-2</v>
      </c>
      <c r="AC151" s="8">
        <f t="shared" si="17"/>
        <v>1.9999999999999996</v>
      </c>
    </row>
    <row r="152" spans="2:29" outlineLevel="1">
      <c r="B152" s="12"/>
      <c r="C152" s="12" t="s">
        <v>15</v>
      </c>
      <c r="D152" s="12">
        <f>+SUM(D148:D151)</f>
        <v>30</v>
      </c>
      <c r="E152" s="19">
        <f>+SUMPRODUCT(E148:E151,$D148:$D151)</f>
        <v>0.91033916081633748</v>
      </c>
      <c r="F152" s="19">
        <f>+SUMPRODUCT(F148:F151,$D148:$D151)</f>
        <v>0.85530577177375222</v>
      </c>
      <c r="G152" s="19">
        <f t="shared" ref="G152:AB152" si="42">+SUMPRODUCT(G148:G151,$D148:$D151)</f>
        <v>0.82553555893042829</v>
      </c>
      <c r="H152" s="19">
        <f t="shared" si="42"/>
        <v>0.82150874659525752</v>
      </c>
      <c r="I152" s="19">
        <f t="shared" si="42"/>
        <v>0.8747705368657277</v>
      </c>
      <c r="J152" s="19">
        <f t="shared" si="42"/>
        <v>1.0097941191252591</v>
      </c>
      <c r="K152" s="19">
        <f t="shared" si="42"/>
        <v>1.1304504232608654</v>
      </c>
      <c r="L152" s="19">
        <f t="shared" si="42"/>
        <v>1.1755958163432989</v>
      </c>
      <c r="M152" s="19">
        <f t="shared" si="42"/>
        <v>1.2288785505542854</v>
      </c>
      <c r="N152" s="19">
        <f t="shared" si="42"/>
        <v>1.2686022498636089</v>
      </c>
      <c r="O152" s="19">
        <f t="shared" si="42"/>
        <v>1.3251079305558575</v>
      </c>
      <c r="P152" s="19">
        <f t="shared" si="42"/>
        <v>1.3866047189469317</v>
      </c>
      <c r="Q152" s="19">
        <f t="shared" si="42"/>
        <v>1.3686673816614097</v>
      </c>
      <c r="R152" s="19">
        <f t="shared" si="42"/>
        <v>1.3221380076919442</v>
      </c>
      <c r="S152" s="19">
        <f t="shared" si="42"/>
        <v>1.317490099348295</v>
      </c>
      <c r="T152" s="19">
        <f t="shared" si="42"/>
        <v>1.3411511642595855</v>
      </c>
      <c r="U152" s="19">
        <f t="shared" si="42"/>
        <v>1.3700656614756224</v>
      </c>
      <c r="V152" s="19">
        <f t="shared" si="42"/>
        <v>1.4322169040642074</v>
      </c>
      <c r="W152" s="19">
        <f t="shared" si="42"/>
        <v>1.7052861342556522</v>
      </c>
      <c r="X152" s="19">
        <f t="shared" si="42"/>
        <v>1.8523736852141155</v>
      </c>
      <c r="Y152" s="19">
        <f t="shared" si="42"/>
        <v>1.7188443647356764</v>
      </c>
      <c r="Z152" s="19">
        <f t="shared" si="42"/>
        <v>1.501630888505322</v>
      </c>
      <c r="AA152" s="19">
        <f t="shared" si="42"/>
        <v>1.2368514979044929</v>
      </c>
      <c r="AB152" s="19">
        <f t="shared" si="42"/>
        <v>1.020790627252067</v>
      </c>
      <c r="AC152" s="12">
        <f>+SUM(E152:AB152)</f>
        <v>30</v>
      </c>
    </row>
    <row r="153" spans="2:29" outlineLevel="1">
      <c r="B153" s="15">
        <f>+EDATE(B148,1)</f>
        <v>45778</v>
      </c>
      <c r="C153" s="8" t="s">
        <v>45</v>
      </c>
      <c r="D153" s="8">
        <v>21</v>
      </c>
      <c r="E153" s="50">
        <f t="shared" ref="E153:AB153" si="43">+E93</f>
        <v>2.9361257124838391E-2</v>
      </c>
      <c r="F153" s="50">
        <f t="shared" si="43"/>
        <v>2.7692710332229715E-2</v>
      </c>
      <c r="G153" s="50">
        <f t="shared" si="43"/>
        <v>2.6785161397696527E-2</v>
      </c>
      <c r="H153" s="50">
        <f t="shared" si="43"/>
        <v>2.6786989368939883E-2</v>
      </c>
      <c r="I153" s="50">
        <f t="shared" si="43"/>
        <v>2.9135775177511477E-2</v>
      </c>
      <c r="J153" s="50">
        <f t="shared" si="43"/>
        <v>3.4540443856715661E-2</v>
      </c>
      <c r="K153" s="50">
        <f t="shared" si="43"/>
        <v>3.8789035252325646E-2</v>
      </c>
      <c r="L153" s="50">
        <f t="shared" si="43"/>
        <v>3.957865839345593E-2</v>
      </c>
      <c r="M153" s="50">
        <f t="shared" si="43"/>
        <v>4.0957538271781398E-2</v>
      </c>
      <c r="N153" s="50">
        <f t="shared" si="43"/>
        <v>4.2166920044863825E-2</v>
      </c>
      <c r="O153" s="50">
        <f t="shared" si="43"/>
        <v>4.4150374939633218E-2</v>
      </c>
      <c r="P153" s="50">
        <f t="shared" si="43"/>
        <v>4.6294816466469102E-2</v>
      </c>
      <c r="Q153" s="50">
        <f t="shared" si="43"/>
        <v>4.5431875959152102E-2</v>
      </c>
      <c r="R153" s="50">
        <f t="shared" si="43"/>
        <v>4.3879728503346101E-2</v>
      </c>
      <c r="S153" s="50">
        <f t="shared" si="43"/>
        <v>4.4118506624640258E-2</v>
      </c>
      <c r="T153" s="50">
        <f t="shared" si="43"/>
        <v>4.5188432655351718E-2</v>
      </c>
      <c r="U153" s="50">
        <f t="shared" si="43"/>
        <v>4.624302558461979E-2</v>
      </c>
      <c r="V153" s="50">
        <f t="shared" si="43"/>
        <v>4.8247238962955179E-2</v>
      </c>
      <c r="W153" s="50">
        <f t="shared" si="43"/>
        <v>5.7096885328092907E-2</v>
      </c>
      <c r="X153" s="50">
        <f t="shared" si="43"/>
        <v>6.1739938045350239E-2</v>
      </c>
      <c r="Y153" s="50">
        <f t="shared" si="43"/>
        <v>5.7231881517227232E-2</v>
      </c>
      <c r="Z153" s="50">
        <f t="shared" si="43"/>
        <v>5.0129255438435008E-2</v>
      </c>
      <c r="AA153" s="50">
        <f t="shared" si="43"/>
        <v>4.1010488221716553E-2</v>
      </c>
      <c r="AB153" s="50">
        <f t="shared" si="43"/>
        <v>3.34430625326523E-2</v>
      </c>
      <c r="AC153" s="8">
        <f>+SUM(E153:AB153)*D153</f>
        <v>21.000000000000004</v>
      </c>
    </row>
    <row r="154" spans="2:29" outlineLevel="1">
      <c r="B154" s="16"/>
      <c r="C154" s="8" t="s">
        <v>46</v>
      </c>
      <c r="D154" s="8">
        <v>5</v>
      </c>
      <c r="E154" s="50">
        <f t="shared" ref="E154:AB154" si="44">+E94</f>
        <v>3.0659473205105158E-2</v>
      </c>
      <c r="F154" s="50">
        <f t="shared" si="44"/>
        <v>2.8600001140869122E-2</v>
      </c>
      <c r="G154" s="50">
        <f t="shared" si="44"/>
        <v>2.7683858575034276E-2</v>
      </c>
      <c r="H154" s="50">
        <f t="shared" si="44"/>
        <v>2.7537802139610414E-2</v>
      </c>
      <c r="I154" s="50">
        <f t="shared" si="44"/>
        <v>2.8782539770184416E-2</v>
      </c>
      <c r="J154" s="50">
        <f t="shared" si="44"/>
        <v>3.2241585579716119E-2</v>
      </c>
      <c r="K154" s="50">
        <f t="shared" si="44"/>
        <v>3.645312931015221E-2</v>
      </c>
      <c r="L154" s="50">
        <f t="shared" si="44"/>
        <v>3.9012639181609042E-2</v>
      </c>
      <c r="M154" s="50">
        <f t="shared" si="44"/>
        <v>4.1549207589560662E-2</v>
      </c>
      <c r="N154" s="50">
        <f t="shared" si="44"/>
        <v>4.3042516751632572E-2</v>
      </c>
      <c r="O154" s="50">
        <f t="shared" si="44"/>
        <v>4.4973693586955334E-2</v>
      </c>
      <c r="P154" s="50">
        <f t="shared" si="44"/>
        <v>4.6808021710202923E-2</v>
      </c>
      <c r="Q154" s="50">
        <f t="shared" si="44"/>
        <v>4.6383383047344962E-2</v>
      </c>
      <c r="R154" s="50">
        <f t="shared" si="44"/>
        <v>4.4751654806610461E-2</v>
      </c>
      <c r="S154" s="50">
        <f t="shared" si="44"/>
        <v>4.4013077558728637E-2</v>
      </c>
      <c r="T154" s="50">
        <f t="shared" si="44"/>
        <v>4.428856091631931E-2</v>
      </c>
      <c r="U154" s="50">
        <f t="shared" si="44"/>
        <v>4.49735778579251E-2</v>
      </c>
      <c r="V154" s="50">
        <f t="shared" si="44"/>
        <v>4.6933206789217301E-2</v>
      </c>
      <c r="W154" s="50">
        <f t="shared" si="44"/>
        <v>5.6210586428141023E-2</v>
      </c>
      <c r="X154" s="50">
        <f t="shared" si="44"/>
        <v>6.1205656691958259E-2</v>
      </c>
      <c r="Y154" s="50">
        <f t="shared" si="44"/>
        <v>5.7018442088769522E-2</v>
      </c>
      <c r="Z154" s="50">
        <f t="shared" si="44"/>
        <v>4.9896672365740725E-2</v>
      </c>
      <c r="AA154" s="50">
        <f t="shared" si="44"/>
        <v>4.1622868086918119E-2</v>
      </c>
      <c r="AB154" s="50">
        <f t="shared" si="44"/>
        <v>3.5357844821693719E-2</v>
      </c>
      <c r="AC154" s="8">
        <f>+SUM(E154:AB154)*D154</f>
        <v>4.9999999999999964</v>
      </c>
    </row>
    <row r="155" spans="2:29" outlineLevel="1">
      <c r="B155" s="16"/>
      <c r="C155" s="8" t="s">
        <v>47</v>
      </c>
      <c r="D155" s="8">
        <v>4</v>
      </c>
      <c r="E155" s="50">
        <f t="shared" ref="E155:AB155" si="45">+E95</f>
        <v>3.3281514565353124E-2</v>
      </c>
      <c r="F155" s="50">
        <f t="shared" si="45"/>
        <v>3.1140043873712407E-2</v>
      </c>
      <c r="G155" s="50">
        <f t="shared" si="45"/>
        <v>2.984335106750436E-2</v>
      </c>
      <c r="H155" s="50">
        <f t="shared" si="45"/>
        <v>2.9286927979133532E-2</v>
      </c>
      <c r="I155" s="50">
        <f t="shared" si="45"/>
        <v>2.9138028999542646E-2</v>
      </c>
      <c r="J155" s="50">
        <f t="shared" si="45"/>
        <v>3.0942883559119717E-2</v>
      </c>
      <c r="K155" s="50">
        <f t="shared" si="45"/>
        <v>3.4432484834348992E-2</v>
      </c>
      <c r="L155" s="50">
        <f t="shared" si="45"/>
        <v>3.8305304424032266E-2</v>
      </c>
      <c r="M155" s="50">
        <f t="shared" si="45"/>
        <v>4.1103790742913066E-2</v>
      </c>
      <c r="N155" s="50">
        <f t="shared" si="45"/>
        <v>4.2608444243851212E-2</v>
      </c>
      <c r="O155" s="50">
        <f t="shared" si="45"/>
        <v>4.3914681848814308E-2</v>
      </c>
      <c r="P155" s="50">
        <f t="shared" si="45"/>
        <v>4.5729867165388009E-2</v>
      </c>
      <c r="Q155" s="50">
        <f t="shared" si="45"/>
        <v>4.5741487779353565E-2</v>
      </c>
      <c r="R155" s="50">
        <f t="shared" si="45"/>
        <v>4.4277060725657284E-2</v>
      </c>
      <c r="S155" s="50">
        <f t="shared" si="45"/>
        <v>4.3144199391556254E-2</v>
      </c>
      <c r="T155" s="50">
        <f t="shared" si="45"/>
        <v>4.3279567369281124E-2</v>
      </c>
      <c r="U155" s="50">
        <f t="shared" si="45"/>
        <v>4.4109954506885138E-2</v>
      </c>
      <c r="V155" s="50">
        <f t="shared" si="45"/>
        <v>4.6298728840315946E-2</v>
      </c>
      <c r="W155" s="50">
        <f t="shared" si="45"/>
        <v>5.6176649878816001E-2</v>
      </c>
      <c r="X155" s="50">
        <f t="shared" si="45"/>
        <v>6.2194705000087863E-2</v>
      </c>
      <c r="Y155" s="50">
        <f t="shared" si="45"/>
        <v>5.7928891294023718E-2</v>
      </c>
      <c r="Z155" s="50">
        <f t="shared" si="45"/>
        <v>5.019499221712586E-2</v>
      </c>
      <c r="AA155" s="50">
        <f t="shared" si="45"/>
        <v>4.1853093029906328E-2</v>
      </c>
      <c r="AB155" s="50">
        <f t="shared" si="45"/>
        <v>3.507334666327714E-2</v>
      </c>
      <c r="AC155" s="8">
        <f>+SUM(E155:AB155)*D155</f>
        <v>3.9999999999999991</v>
      </c>
    </row>
    <row r="156" spans="2:29" outlineLevel="1">
      <c r="B156" s="16"/>
      <c r="C156" s="8" t="s">
        <v>48</v>
      </c>
      <c r="D156" s="8">
        <v>1</v>
      </c>
      <c r="E156" s="50">
        <f t="shared" ref="E156:AB156" si="46">+E96</f>
        <v>3.367503361886829E-2</v>
      </c>
      <c r="F156" s="50">
        <f t="shared" si="46"/>
        <v>3.1245692535415936E-2</v>
      </c>
      <c r="G156" s="50">
        <f t="shared" si="46"/>
        <v>2.9861746203171599E-2</v>
      </c>
      <c r="H156" s="50">
        <f t="shared" si="46"/>
        <v>2.9235019370742008E-2</v>
      </c>
      <c r="I156" s="50">
        <f t="shared" si="46"/>
        <v>3.0186379118294998E-2</v>
      </c>
      <c r="J156" s="50">
        <f t="shared" si="46"/>
        <v>3.3123682717801174E-2</v>
      </c>
      <c r="K156" s="50">
        <f t="shared" si="46"/>
        <v>3.5563630818173868E-2</v>
      </c>
      <c r="L156" s="50">
        <f t="shared" si="46"/>
        <v>3.7375437025807548E-2</v>
      </c>
      <c r="M156" s="50">
        <f t="shared" si="46"/>
        <v>3.9557895894381336E-2</v>
      </c>
      <c r="N156" s="50">
        <f t="shared" si="46"/>
        <v>4.1330002492198488E-2</v>
      </c>
      <c r="O156" s="50">
        <f t="shared" si="46"/>
        <v>4.3273465010057272E-2</v>
      </c>
      <c r="P156" s="50">
        <f t="shared" si="46"/>
        <v>4.5278417057592932E-2</v>
      </c>
      <c r="Q156" s="50">
        <f t="shared" si="46"/>
        <v>4.5765189585786785E-2</v>
      </c>
      <c r="R156" s="50">
        <f t="shared" si="46"/>
        <v>4.421428774797561E-2</v>
      </c>
      <c r="S156" s="50">
        <f t="shared" si="46"/>
        <v>4.3245429527174986E-2</v>
      </c>
      <c r="T156" s="50">
        <f t="shared" si="46"/>
        <v>4.3554999005074702E-2</v>
      </c>
      <c r="U156" s="50">
        <f t="shared" si="46"/>
        <v>4.4435510161992771E-2</v>
      </c>
      <c r="V156" s="50">
        <f t="shared" si="46"/>
        <v>4.717219114348542E-2</v>
      </c>
      <c r="W156" s="50">
        <f t="shared" si="46"/>
        <v>5.6899741232983039E-2</v>
      </c>
      <c r="X156" s="50">
        <f t="shared" si="46"/>
        <v>6.1986738769463187E-2</v>
      </c>
      <c r="Y156" s="50">
        <f t="shared" si="46"/>
        <v>5.7208700429979269E-2</v>
      </c>
      <c r="Z156" s="50">
        <f t="shared" si="46"/>
        <v>4.9339560702577757E-2</v>
      </c>
      <c r="AA156" s="50">
        <f t="shared" si="46"/>
        <v>4.1368944501432053E-2</v>
      </c>
      <c r="AB156" s="50">
        <f t="shared" si="46"/>
        <v>3.5102305329568817E-2</v>
      </c>
      <c r="AC156" s="8">
        <f>+SUM(E156:AB156)*D156</f>
        <v>0.99999999999999978</v>
      </c>
    </row>
    <row r="157" spans="2:29" outlineLevel="1">
      <c r="B157" s="12"/>
      <c r="C157" s="12" t="s">
        <v>15</v>
      </c>
      <c r="D157" s="12">
        <f>+SUM(D153:D156)</f>
        <v>31</v>
      </c>
      <c r="E157" s="19">
        <f>+SUMPRODUCT(E153:E156,$D153:$D156)</f>
        <v>0.93668485752741271</v>
      </c>
      <c r="F157" s="19">
        <f>+SUMPRODUCT(F153:F156,$D153:$D156)</f>
        <v>0.88035279071143524</v>
      </c>
      <c r="G157" s="19">
        <f t="shared" ref="G157:AB157" si="47">+SUMPRODUCT(G153:G156,$D153:$D156)</f>
        <v>0.85014283269998747</v>
      </c>
      <c r="H157" s="19">
        <f t="shared" si="47"/>
        <v>0.8465985187330658</v>
      </c>
      <c r="I157" s="19">
        <f t="shared" si="47"/>
        <v>0.90250247269512873</v>
      </c>
      <c r="J157" s="19">
        <f t="shared" si="47"/>
        <v>1.0434524658438895</v>
      </c>
      <c r="K157" s="19">
        <f t="shared" si="47"/>
        <v>1.1701289570051694</v>
      </c>
      <c r="L157" s="19">
        <f t="shared" si="47"/>
        <v>1.2168116768925561</v>
      </c>
      <c r="M157" s="19">
        <f t="shared" si="47"/>
        <v>1.2718274005212462</v>
      </c>
      <c r="N157" s="19">
        <f t="shared" si="47"/>
        <v>1.3124816841679066</v>
      </c>
      <c r="O157" s="19">
        <f t="shared" si="47"/>
        <v>1.3709585340723887</v>
      </c>
      <c r="P157" s="19">
        <f t="shared" si="47"/>
        <v>1.4344291400660107</v>
      </c>
      <c r="Q157" s="19">
        <f t="shared" si="47"/>
        <v>1.4147174510821199</v>
      </c>
      <c r="R157" s="19">
        <f t="shared" si="47"/>
        <v>1.3665551032539252</v>
      </c>
      <c r="S157" s="19">
        <f t="shared" si="47"/>
        <v>1.3623762540044884</v>
      </c>
      <c r="T157" s="19">
        <f t="shared" si="47"/>
        <v>1.387073158826182</v>
      </c>
      <c r="U157" s="19">
        <f t="shared" si="47"/>
        <v>1.4168467547561745</v>
      </c>
      <c r="V157" s="19">
        <f t="shared" si="47"/>
        <v>1.4802251586728945</v>
      </c>
      <c r="W157" s="19">
        <f t="shared" si="47"/>
        <v>1.7616938647789031</v>
      </c>
      <c r="X157" s="19">
        <f t="shared" si="47"/>
        <v>1.9133325411819608</v>
      </c>
      <c r="Y157" s="19">
        <f t="shared" si="47"/>
        <v>1.7758859879116937</v>
      </c>
      <c r="Z157" s="19">
        <f t="shared" si="47"/>
        <v>1.55231725560692</v>
      </c>
      <c r="AA157" s="19">
        <f t="shared" si="47"/>
        <v>1.2781159097116954</v>
      </c>
      <c r="AB157" s="19">
        <f t="shared" si="47"/>
        <v>1.0544892292768444</v>
      </c>
      <c r="AC157" s="12">
        <f>+SUM(E157:AB157)</f>
        <v>30.999999999999993</v>
      </c>
    </row>
    <row r="158" spans="2:29" outlineLevel="1">
      <c r="B158" s="15">
        <f>+EDATE(B153,1)</f>
        <v>45809</v>
      </c>
      <c r="C158" s="8" t="s">
        <v>45</v>
      </c>
      <c r="D158" s="8">
        <v>18</v>
      </c>
      <c r="E158" s="50">
        <f t="shared" ref="E158:AB158" si="48">+E98</f>
        <v>2.9361257124838391E-2</v>
      </c>
      <c r="F158" s="50">
        <f t="shared" si="48"/>
        <v>2.7692710332229715E-2</v>
      </c>
      <c r="G158" s="50">
        <f t="shared" si="48"/>
        <v>2.6785161397696527E-2</v>
      </c>
      <c r="H158" s="50">
        <f t="shared" si="48"/>
        <v>2.6786989368939883E-2</v>
      </c>
      <c r="I158" s="50">
        <f t="shared" si="48"/>
        <v>2.9135775177511477E-2</v>
      </c>
      <c r="J158" s="50">
        <f t="shared" si="48"/>
        <v>3.4540443856715661E-2</v>
      </c>
      <c r="K158" s="50">
        <f t="shared" si="48"/>
        <v>3.8789035252325646E-2</v>
      </c>
      <c r="L158" s="50">
        <f t="shared" si="48"/>
        <v>3.957865839345593E-2</v>
      </c>
      <c r="M158" s="50">
        <f t="shared" si="48"/>
        <v>4.0957538271781398E-2</v>
      </c>
      <c r="N158" s="50">
        <f t="shared" si="48"/>
        <v>4.2166920044863825E-2</v>
      </c>
      <c r="O158" s="50">
        <f t="shared" si="48"/>
        <v>4.4150374939633218E-2</v>
      </c>
      <c r="P158" s="50">
        <f t="shared" si="48"/>
        <v>4.6294816466469102E-2</v>
      </c>
      <c r="Q158" s="50">
        <f t="shared" si="48"/>
        <v>4.5431875959152102E-2</v>
      </c>
      <c r="R158" s="50">
        <f t="shared" si="48"/>
        <v>4.3879728503346101E-2</v>
      </c>
      <c r="S158" s="50">
        <f t="shared" si="48"/>
        <v>4.4118506624640258E-2</v>
      </c>
      <c r="T158" s="50">
        <f t="shared" si="48"/>
        <v>4.5188432655351718E-2</v>
      </c>
      <c r="U158" s="50">
        <f t="shared" si="48"/>
        <v>4.624302558461979E-2</v>
      </c>
      <c r="V158" s="50">
        <f t="shared" si="48"/>
        <v>4.8247238962955179E-2</v>
      </c>
      <c r="W158" s="50">
        <f t="shared" si="48"/>
        <v>5.7096885328092907E-2</v>
      </c>
      <c r="X158" s="50">
        <f t="shared" si="48"/>
        <v>6.1739938045350239E-2</v>
      </c>
      <c r="Y158" s="50">
        <f t="shared" si="48"/>
        <v>5.7231881517227232E-2</v>
      </c>
      <c r="Z158" s="50">
        <f t="shared" si="48"/>
        <v>5.0129255438435008E-2</v>
      </c>
      <c r="AA158" s="50">
        <f t="shared" si="48"/>
        <v>4.1010488221716553E-2</v>
      </c>
      <c r="AB158" s="50">
        <f t="shared" si="48"/>
        <v>3.34430625326523E-2</v>
      </c>
      <c r="AC158" s="8">
        <f>+SUM(E158:AB158)*D158</f>
        <v>18.000000000000004</v>
      </c>
    </row>
    <row r="159" spans="2:29" outlineLevel="1">
      <c r="B159" s="16"/>
      <c r="C159" s="8" t="s">
        <v>46</v>
      </c>
      <c r="D159" s="8">
        <v>4</v>
      </c>
      <c r="E159" s="50">
        <f t="shared" ref="E159:AB159" si="49">+E99</f>
        <v>3.0659473205105158E-2</v>
      </c>
      <c r="F159" s="50">
        <f t="shared" si="49"/>
        <v>2.8600001140869122E-2</v>
      </c>
      <c r="G159" s="50">
        <f t="shared" si="49"/>
        <v>2.7683858575034276E-2</v>
      </c>
      <c r="H159" s="50">
        <f t="shared" si="49"/>
        <v>2.7537802139610414E-2</v>
      </c>
      <c r="I159" s="50">
        <f t="shared" si="49"/>
        <v>2.8782539770184416E-2</v>
      </c>
      <c r="J159" s="50">
        <f t="shared" si="49"/>
        <v>3.2241585579716119E-2</v>
      </c>
      <c r="K159" s="50">
        <f t="shared" si="49"/>
        <v>3.645312931015221E-2</v>
      </c>
      <c r="L159" s="50">
        <f t="shared" si="49"/>
        <v>3.9012639181609042E-2</v>
      </c>
      <c r="M159" s="50">
        <f t="shared" si="49"/>
        <v>4.1549207589560662E-2</v>
      </c>
      <c r="N159" s="50">
        <f t="shared" si="49"/>
        <v>4.3042516751632572E-2</v>
      </c>
      <c r="O159" s="50">
        <f t="shared" si="49"/>
        <v>4.4973693586955334E-2</v>
      </c>
      <c r="P159" s="50">
        <f t="shared" si="49"/>
        <v>4.6808021710202923E-2</v>
      </c>
      <c r="Q159" s="50">
        <f t="shared" si="49"/>
        <v>4.6383383047344962E-2</v>
      </c>
      <c r="R159" s="50">
        <f t="shared" si="49"/>
        <v>4.4751654806610461E-2</v>
      </c>
      <c r="S159" s="50">
        <f t="shared" si="49"/>
        <v>4.4013077558728637E-2</v>
      </c>
      <c r="T159" s="50">
        <f t="shared" si="49"/>
        <v>4.428856091631931E-2</v>
      </c>
      <c r="U159" s="50">
        <f t="shared" si="49"/>
        <v>4.49735778579251E-2</v>
      </c>
      <c r="V159" s="50">
        <f t="shared" si="49"/>
        <v>4.6933206789217301E-2</v>
      </c>
      <c r="W159" s="50">
        <f t="shared" si="49"/>
        <v>5.6210586428141023E-2</v>
      </c>
      <c r="X159" s="50">
        <f t="shared" si="49"/>
        <v>6.1205656691958259E-2</v>
      </c>
      <c r="Y159" s="50">
        <f t="shared" si="49"/>
        <v>5.7018442088769522E-2</v>
      </c>
      <c r="Z159" s="50">
        <f t="shared" si="49"/>
        <v>4.9896672365740725E-2</v>
      </c>
      <c r="AA159" s="50">
        <f t="shared" si="49"/>
        <v>4.1622868086918119E-2</v>
      </c>
      <c r="AB159" s="50">
        <f t="shared" si="49"/>
        <v>3.5357844821693719E-2</v>
      </c>
      <c r="AC159" s="8">
        <f>+SUM(E159:AB159)*D159</f>
        <v>3.9999999999999969</v>
      </c>
    </row>
    <row r="160" spans="2:29" outlineLevel="1">
      <c r="B160" s="16"/>
      <c r="C160" s="8" t="s">
        <v>47</v>
      </c>
      <c r="D160" s="8">
        <v>5</v>
      </c>
      <c r="E160" s="50">
        <f t="shared" ref="E160:AB160" si="50">+E100</f>
        <v>3.3281514565353124E-2</v>
      </c>
      <c r="F160" s="50">
        <f t="shared" si="50"/>
        <v>3.1140043873712407E-2</v>
      </c>
      <c r="G160" s="50">
        <f t="shared" si="50"/>
        <v>2.984335106750436E-2</v>
      </c>
      <c r="H160" s="50">
        <f t="shared" si="50"/>
        <v>2.9286927979133532E-2</v>
      </c>
      <c r="I160" s="50">
        <f t="shared" si="50"/>
        <v>2.9138028999542646E-2</v>
      </c>
      <c r="J160" s="50">
        <f t="shared" si="50"/>
        <v>3.0942883559119717E-2</v>
      </c>
      <c r="K160" s="50">
        <f t="shared" si="50"/>
        <v>3.4432484834348992E-2</v>
      </c>
      <c r="L160" s="50">
        <f t="shared" si="50"/>
        <v>3.8305304424032266E-2</v>
      </c>
      <c r="M160" s="50">
        <f t="shared" si="50"/>
        <v>4.1103790742913066E-2</v>
      </c>
      <c r="N160" s="50">
        <f t="shared" si="50"/>
        <v>4.2608444243851212E-2</v>
      </c>
      <c r="O160" s="50">
        <f t="shared" si="50"/>
        <v>4.3914681848814308E-2</v>
      </c>
      <c r="P160" s="50">
        <f t="shared" si="50"/>
        <v>4.5729867165388009E-2</v>
      </c>
      <c r="Q160" s="50">
        <f t="shared" si="50"/>
        <v>4.5741487779353565E-2</v>
      </c>
      <c r="R160" s="50">
        <f t="shared" si="50"/>
        <v>4.4277060725657284E-2</v>
      </c>
      <c r="S160" s="50">
        <f t="shared" si="50"/>
        <v>4.3144199391556254E-2</v>
      </c>
      <c r="T160" s="50">
        <f t="shared" si="50"/>
        <v>4.3279567369281124E-2</v>
      </c>
      <c r="U160" s="50">
        <f t="shared" si="50"/>
        <v>4.4109954506885138E-2</v>
      </c>
      <c r="V160" s="50">
        <f t="shared" si="50"/>
        <v>4.6298728840315946E-2</v>
      </c>
      <c r="W160" s="50">
        <f t="shared" si="50"/>
        <v>5.6176649878816001E-2</v>
      </c>
      <c r="X160" s="50">
        <f t="shared" si="50"/>
        <v>6.2194705000087863E-2</v>
      </c>
      <c r="Y160" s="50">
        <f t="shared" si="50"/>
        <v>5.7928891294023718E-2</v>
      </c>
      <c r="Z160" s="50">
        <f t="shared" si="50"/>
        <v>5.019499221712586E-2</v>
      </c>
      <c r="AA160" s="50">
        <f t="shared" si="50"/>
        <v>4.1853093029906328E-2</v>
      </c>
      <c r="AB160" s="50">
        <f t="shared" si="50"/>
        <v>3.507334666327714E-2</v>
      </c>
      <c r="AC160" s="8">
        <f>+SUM(E160:AB160)*D160</f>
        <v>4.9999999999999991</v>
      </c>
    </row>
    <row r="161" spans="2:29" outlineLevel="1">
      <c r="B161" s="16"/>
      <c r="C161" s="8" t="s">
        <v>48</v>
      </c>
      <c r="D161" s="8">
        <v>3</v>
      </c>
      <c r="E161" s="50">
        <f t="shared" ref="E161:AB161" si="51">+E101</f>
        <v>3.367503361886829E-2</v>
      </c>
      <c r="F161" s="50">
        <f t="shared" si="51"/>
        <v>3.1245692535415936E-2</v>
      </c>
      <c r="G161" s="50">
        <f t="shared" si="51"/>
        <v>2.9861746203171599E-2</v>
      </c>
      <c r="H161" s="50">
        <f t="shared" si="51"/>
        <v>2.9235019370742008E-2</v>
      </c>
      <c r="I161" s="50">
        <f t="shared" si="51"/>
        <v>3.0186379118294998E-2</v>
      </c>
      <c r="J161" s="50">
        <f t="shared" si="51"/>
        <v>3.3123682717801174E-2</v>
      </c>
      <c r="K161" s="50">
        <f t="shared" si="51"/>
        <v>3.5563630818173868E-2</v>
      </c>
      <c r="L161" s="50">
        <f t="shared" si="51"/>
        <v>3.7375437025807548E-2</v>
      </c>
      <c r="M161" s="50">
        <f t="shared" si="51"/>
        <v>3.9557895894381336E-2</v>
      </c>
      <c r="N161" s="50">
        <f t="shared" si="51"/>
        <v>4.1330002492198488E-2</v>
      </c>
      <c r="O161" s="50">
        <f t="shared" si="51"/>
        <v>4.3273465010057272E-2</v>
      </c>
      <c r="P161" s="50">
        <f t="shared" si="51"/>
        <v>4.5278417057592932E-2</v>
      </c>
      <c r="Q161" s="50">
        <f t="shared" si="51"/>
        <v>4.5765189585786785E-2</v>
      </c>
      <c r="R161" s="50">
        <f t="shared" si="51"/>
        <v>4.421428774797561E-2</v>
      </c>
      <c r="S161" s="50">
        <f t="shared" si="51"/>
        <v>4.3245429527174986E-2</v>
      </c>
      <c r="T161" s="50">
        <f t="shared" si="51"/>
        <v>4.3554999005074702E-2</v>
      </c>
      <c r="U161" s="50">
        <f t="shared" si="51"/>
        <v>4.4435510161992771E-2</v>
      </c>
      <c r="V161" s="50">
        <f t="shared" si="51"/>
        <v>4.717219114348542E-2</v>
      </c>
      <c r="W161" s="50">
        <f t="shared" si="51"/>
        <v>5.6899741232983039E-2</v>
      </c>
      <c r="X161" s="50">
        <f t="shared" si="51"/>
        <v>6.1986738769463187E-2</v>
      </c>
      <c r="Y161" s="50">
        <f t="shared" si="51"/>
        <v>5.7208700429979269E-2</v>
      </c>
      <c r="Z161" s="50">
        <f t="shared" si="51"/>
        <v>4.9339560702577757E-2</v>
      </c>
      <c r="AA161" s="50">
        <f t="shared" si="51"/>
        <v>4.1368944501432053E-2</v>
      </c>
      <c r="AB161" s="50">
        <f t="shared" si="51"/>
        <v>3.5102305329568817E-2</v>
      </c>
      <c r="AC161" s="8">
        <f>+SUM(E161:AB161)*D161</f>
        <v>2.9999999999999991</v>
      </c>
    </row>
    <row r="162" spans="2:29" outlineLevel="1">
      <c r="B162" s="12"/>
      <c r="C162" s="12" t="s">
        <v>15</v>
      </c>
      <c r="D162" s="12">
        <f>+SUM(D158:D161)</f>
        <v>30</v>
      </c>
      <c r="E162" s="19">
        <f>+SUMPRODUCT(E158:E161,$D158:$D161)</f>
        <v>0.91857319475088206</v>
      </c>
      <c r="F162" s="19">
        <f>+SUMPRODUCT(F158:F161,$D158:$D161)</f>
        <v>0.8623060875184213</v>
      </c>
      <c r="G162" s="19">
        <f t="shared" ref="G162:AB162" si="52">+SUMPRODUCT(G158:G161,$D158:$D161)</f>
        <v>0.83167033340571117</v>
      </c>
      <c r="H162" s="19">
        <f t="shared" si="52"/>
        <v>0.82645671520725328</v>
      </c>
      <c r="I162" s="19">
        <f t="shared" si="52"/>
        <v>0.87582339462854242</v>
      </c>
      <c r="J162" s="19">
        <f t="shared" si="52"/>
        <v>1.0047797976887485</v>
      </c>
      <c r="K162" s="19">
        <f t="shared" si="52"/>
        <v>1.1228684684087369</v>
      </c>
      <c r="L162" s="19">
        <f t="shared" si="52"/>
        <v>1.1721192410062269</v>
      </c>
      <c r="M162" s="19">
        <f t="shared" si="52"/>
        <v>1.2276251606480171</v>
      </c>
      <c r="N162" s="19">
        <f t="shared" si="52"/>
        <v>1.2682068565099305</v>
      </c>
      <c r="O162" s="19">
        <f t="shared" si="52"/>
        <v>1.3239953275354623</v>
      </c>
      <c r="P162" s="19">
        <f t="shared" si="52"/>
        <v>1.3850233702369743</v>
      </c>
      <c r="Q162" s="19">
        <f t="shared" si="52"/>
        <v>1.3693103071082458</v>
      </c>
      <c r="R162" s="19">
        <f t="shared" si="52"/>
        <v>1.322869899158885</v>
      </c>
      <c r="S162" s="19">
        <f t="shared" si="52"/>
        <v>1.3156427150177454</v>
      </c>
      <c r="T162" s="19">
        <f t="shared" si="52"/>
        <v>1.3376088653232379</v>
      </c>
      <c r="U162" s="19">
        <f t="shared" si="52"/>
        <v>1.3661250749752607</v>
      </c>
      <c r="V162" s="19">
        <f t="shared" si="52"/>
        <v>1.4291933461220985</v>
      </c>
      <c r="W162" s="19">
        <f t="shared" si="52"/>
        <v>1.7041687547112656</v>
      </c>
      <c r="X162" s="19">
        <f t="shared" si="52"/>
        <v>1.8530752528929662</v>
      </c>
      <c r="Y162" s="19">
        <f t="shared" si="52"/>
        <v>1.7195181934252248</v>
      </c>
      <c r="Z162" s="19">
        <f t="shared" si="52"/>
        <v>1.5009069305481555</v>
      </c>
      <c r="AA162" s="19">
        <f t="shared" si="52"/>
        <v>1.2380525589923981</v>
      </c>
      <c r="AB162" s="19">
        <f t="shared" si="52"/>
        <v>1.0240801541796083</v>
      </c>
      <c r="AC162" s="12">
        <f>+SUM(E162:AB162)</f>
        <v>29.999999999999993</v>
      </c>
    </row>
    <row r="163" spans="2:29" outlineLevel="1">
      <c r="B163" s="15">
        <f>+EDATE(B158,1)</f>
        <v>45839</v>
      </c>
      <c r="C163" s="8" t="s">
        <v>45</v>
      </c>
      <c r="D163" s="8">
        <v>23</v>
      </c>
      <c r="E163" s="50">
        <f t="shared" ref="E163:AB163" si="53">+E103</f>
        <v>2.9361257124838391E-2</v>
      </c>
      <c r="F163" s="50">
        <f t="shared" si="53"/>
        <v>2.7692710332229715E-2</v>
      </c>
      <c r="G163" s="50">
        <f t="shared" si="53"/>
        <v>2.6785161397696527E-2</v>
      </c>
      <c r="H163" s="50">
        <f t="shared" si="53"/>
        <v>2.6786989368939883E-2</v>
      </c>
      <c r="I163" s="50">
        <f t="shared" si="53"/>
        <v>2.9135775177511477E-2</v>
      </c>
      <c r="J163" s="50">
        <f t="shared" si="53"/>
        <v>3.4540443856715661E-2</v>
      </c>
      <c r="K163" s="50">
        <f t="shared" si="53"/>
        <v>3.8789035252325646E-2</v>
      </c>
      <c r="L163" s="50">
        <f t="shared" si="53"/>
        <v>3.957865839345593E-2</v>
      </c>
      <c r="M163" s="50">
        <f t="shared" si="53"/>
        <v>4.0957538271781398E-2</v>
      </c>
      <c r="N163" s="50">
        <f t="shared" si="53"/>
        <v>4.2166920044863825E-2</v>
      </c>
      <c r="O163" s="50">
        <f t="shared" si="53"/>
        <v>4.4150374939633218E-2</v>
      </c>
      <c r="P163" s="50">
        <f t="shared" si="53"/>
        <v>4.6294816466469102E-2</v>
      </c>
      <c r="Q163" s="50">
        <f t="shared" si="53"/>
        <v>4.5431875959152102E-2</v>
      </c>
      <c r="R163" s="50">
        <f t="shared" si="53"/>
        <v>4.3879728503346101E-2</v>
      </c>
      <c r="S163" s="50">
        <f t="shared" si="53"/>
        <v>4.4118506624640258E-2</v>
      </c>
      <c r="T163" s="50">
        <f t="shared" si="53"/>
        <v>4.5188432655351718E-2</v>
      </c>
      <c r="U163" s="50">
        <f t="shared" si="53"/>
        <v>4.624302558461979E-2</v>
      </c>
      <c r="V163" s="50">
        <f t="shared" si="53"/>
        <v>4.8247238962955179E-2</v>
      </c>
      <c r="W163" s="50">
        <f t="shared" si="53"/>
        <v>5.7096885328092907E-2</v>
      </c>
      <c r="X163" s="50">
        <f t="shared" si="53"/>
        <v>6.1739938045350239E-2</v>
      </c>
      <c r="Y163" s="50">
        <f t="shared" si="53"/>
        <v>5.7231881517227232E-2</v>
      </c>
      <c r="Z163" s="50">
        <f t="shared" si="53"/>
        <v>5.0129255438435008E-2</v>
      </c>
      <c r="AA163" s="50">
        <f t="shared" si="53"/>
        <v>4.1010488221716553E-2</v>
      </c>
      <c r="AB163" s="50">
        <f t="shared" si="53"/>
        <v>3.34430625326523E-2</v>
      </c>
      <c r="AC163" s="8">
        <f>+SUM(E163:AB163)*D163</f>
        <v>23.000000000000004</v>
      </c>
    </row>
    <row r="164" spans="2:29" outlineLevel="1">
      <c r="B164" s="16"/>
      <c r="C164" s="8" t="s">
        <v>46</v>
      </c>
      <c r="D164" s="8">
        <v>4</v>
      </c>
      <c r="E164" s="50">
        <f t="shared" ref="E164:AB164" si="54">+E104</f>
        <v>3.0659473205105158E-2</v>
      </c>
      <c r="F164" s="50">
        <f t="shared" si="54"/>
        <v>2.8600001140869122E-2</v>
      </c>
      <c r="G164" s="50">
        <f t="shared" si="54"/>
        <v>2.7683858575034276E-2</v>
      </c>
      <c r="H164" s="50">
        <f t="shared" si="54"/>
        <v>2.7537802139610414E-2</v>
      </c>
      <c r="I164" s="50">
        <f t="shared" si="54"/>
        <v>2.8782539770184416E-2</v>
      </c>
      <c r="J164" s="50">
        <f t="shared" si="54"/>
        <v>3.2241585579716119E-2</v>
      </c>
      <c r="K164" s="50">
        <f t="shared" si="54"/>
        <v>3.645312931015221E-2</v>
      </c>
      <c r="L164" s="50">
        <f t="shared" si="54"/>
        <v>3.9012639181609042E-2</v>
      </c>
      <c r="M164" s="50">
        <f t="shared" si="54"/>
        <v>4.1549207589560662E-2</v>
      </c>
      <c r="N164" s="50">
        <f t="shared" si="54"/>
        <v>4.3042516751632572E-2</v>
      </c>
      <c r="O164" s="50">
        <f t="shared" si="54"/>
        <v>4.4973693586955334E-2</v>
      </c>
      <c r="P164" s="50">
        <f t="shared" si="54"/>
        <v>4.6808021710202923E-2</v>
      </c>
      <c r="Q164" s="50">
        <f t="shared" si="54"/>
        <v>4.6383383047344962E-2</v>
      </c>
      <c r="R164" s="50">
        <f t="shared" si="54"/>
        <v>4.4751654806610461E-2</v>
      </c>
      <c r="S164" s="50">
        <f t="shared" si="54"/>
        <v>4.4013077558728637E-2</v>
      </c>
      <c r="T164" s="50">
        <f t="shared" si="54"/>
        <v>4.428856091631931E-2</v>
      </c>
      <c r="U164" s="50">
        <f t="shared" si="54"/>
        <v>4.49735778579251E-2</v>
      </c>
      <c r="V164" s="50">
        <f t="shared" si="54"/>
        <v>4.6933206789217301E-2</v>
      </c>
      <c r="W164" s="50">
        <f t="shared" si="54"/>
        <v>5.6210586428141023E-2</v>
      </c>
      <c r="X164" s="50">
        <f t="shared" si="54"/>
        <v>6.1205656691958259E-2</v>
      </c>
      <c r="Y164" s="50">
        <f t="shared" si="54"/>
        <v>5.7018442088769522E-2</v>
      </c>
      <c r="Z164" s="50">
        <f t="shared" si="54"/>
        <v>4.9896672365740725E-2</v>
      </c>
      <c r="AA164" s="50">
        <f t="shared" si="54"/>
        <v>4.1622868086918119E-2</v>
      </c>
      <c r="AB164" s="50">
        <f t="shared" si="54"/>
        <v>3.5357844821693719E-2</v>
      </c>
      <c r="AC164" s="8">
        <f>+SUM(E164:AB164)*D164</f>
        <v>3.9999999999999969</v>
      </c>
    </row>
    <row r="165" spans="2:29" outlineLevel="1">
      <c r="B165" s="16"/>
      <c r="C165" s="8" t="s">
        <v>47</v>
      </c>
      <c r="D165" s="8">
        <v>4</v>
      </c>
      <c r="E165" s="50">
        <f t="shared" ref="E165:AB165" si="55">+E105</f>
        <v>3.3281514565353124E-2</v>
      </c>
      <c r="F165" s="50">
        <f t="shared" si="55"/>
        <v>3.1140043873712407E-2</v>
      </c>
      <c r="G165" s="50">
        <f t="shared" si="55"/>
        <v>2.984335106750436E-2</v>
      </c>
      <c r="H165" s="50">
        <f t="shared" si="55"/>
        <v>2.9286927979133532E-2</v>
      </c>
      <c r="I165" s="50">
        <f t="shared" si="55"/>
        <v>2.9138028999542646E-2</v>
      </c>
      <c r="J165" s="50">
        <f t="shared" si="55"/>
        <v>3.0942883559119717E-2</v>
      </c>
      <c r="K165" s="50">
        <f t="shared" si="55"/>
        <v>3.4432484834348992E-2</v>
      </c>
      <c r="L165" s="50">
        <f t="shared" si="55"/>
        <v>3.8305304424032266E-2</v>
      </c>
      <c r="M165" s="50">
        <f t="shared" si="55"/>
        <v>4.1103790742913066E-2</v>
      </c>
      <c r="N165" s="50">
        <f t="shared" si="55"/>
        <v>4.2608444243851212E-2</v>
      </c>
      <c r="O165" s="50">
        <f t="shared" si="55"/>
        <v>4.3914681848814308E-2</v>
      </c>
      <c r="P165" s="50">
        <f t="shared" si="55"/>
        <v>4.5729867165388009E-2</v>
      </c>
      <c r="Q165" s="50">
        <f t="shared" si="55"/>
        <v>4.5741487779353565E-2</v>
      </c>
      <c r="R165" s="50">
        <f t="shared" si="55"/>
        <v>4.4277060725657284E-2</v>
      </c>
      <c r="S165" s="50">
        <f t="shared" si="55"/>
        <v>4.3144199391556254E-2</v>
      </c>
      <c r="T165" s="50">
        <f t="shared" si="55"/>
        <v>4.3279567369281124E-2</v>
      </c>
      <c r="U165" s="50">
        <f t="shared" si="55"/>
        <v>4.4109954506885138E-2</v>
      </c>
      <c r="V165" s="50">
        <f t="shared" si="55"/>
        <v>4.6298728840315946E-2</v>
      </c>
      <c r="W165" s="50">
        <f t="shared" si="55"/>
        <v>5.6176649878816001E-2</v>
      </c>
      <c r="X165" s="50">
        <f t="shared" si="55"/>
        <v>6.2194705000087863E-2</v>
      </c>
      <c r="Y165" s="50">
        <f t="shared" si="55"/>
        <v>5.7928891294023718E-2</v>
      </c>
      <c r="Z165" s="50">
        <f t="shared" si="55"/>
        <v>5.019499221712586E-2</v>
      </c>
      <c r="AA165" s="50">
        <f t="shared" si="55"/>
        <v>4.1853093029906328E-2</v>
      </c>
      <c r="AB165" s="50">
        <f t="shared" si="55"/>
        <v>3.507334666327714E-2</v>
      </c>
      <c r="AC165" s="8">
        <f>+SUM(E165:AB165)*D165</f>
        <v>3.9999999999999991</v>
      </c>
    </row>
    <row r="166" spans="2:29" outlineLevel="1">
      <c r="B166" s="16"/>
      <c r="C166" s="8" t="s">
        <v>48</v>
      </c>
      <c r="D166" s="8">
        <v>0</v>
      </c>
      <c r="E166" s="50">
        <f t="shared" ref="E166:AB166" si="56">+E106</f>
        <v>3.367503361886829E-2</v>
      </c>
      <c r="F166" s="50">
        <f t="shared" si="56"/>
        <v>3.1245692535415936E-2</v>
      </c>
      <c r="G166" s="50">
        <f t="shared" si="56"/>
        <v>2.9861746203171599E-2</v>
      </c>
      <c r="H166" s="50">
        <f t="shared" si="56"/>
        <v>2.9235019370742008E-2</v>
      </c>
      <c r="I166" s="50">
        <f t="shared" si="56"/>
        <v>3.0186379118294998E-2</v>
      </c>
      <c r="J166" s="50">
        <f t="shared" si="56"/>
        <v>3.3123682717801174E-2</v>
      </c>
      <c r="K166" s="50">
        <f t="shared" si="56"/>
        <v>3.5563630818173868E-2</v>
      </c>
      <c r="L166" s="50">
        <f t="shared" si="56"/>
        <v>3.7375437025807548E-2</v>
      </c>
      <c r="M166" s="50">
        <f t="shared" si="56"/>
        <v>3.9557895894381336E-2</v>
      </c>
      <c r="N166" s="50">
        <f t="shared" si="56"/>
        <v>4.1330002492198488E-2</v>
      </c>
      <c r="O166" s="50">
        <f t="shared" si="56"/>
        <v>4.3273465010057272E-2</v>
      </c>
      <c r="P166" s="50">
        <f t="shared" si="56"/>
        <v>4.5278417057592932E-2</v>
      </c>
      <c r="Q166" s="50">
        <f t="shared" si="56"/>
        <v>4.5765189585786785E-2</v>
      </c>
      <c r="R166" s="50">
        <f t="shared" si="56"/>
        <v>4.421428774797561E-2</v>
      </c>
      <c r="S166" s="50">
        <f t="shared" si="56"/>
        <v>4.3245429527174986E-2</v>
      </c>
      <c r="T166" s="50">
        <f t="shared" si="56"/>
        <v>4.3554999005074702E-2</v>
      </c>
      <c r="U166" s="50">
        <f t="shared" si="56"/>
        <v>4.4435510161992771E-2</v>
      </c>
      <c r="V166" s="50">
        <f t="shared" si="56"/>
        <v>4.717219114348542E-2</v>
      </c>
      <c r="W166" s="50">
        <f t="shared" si="56"/>
        <v>5.6899741232983039E-2</v>
      </c>
      <c r="X166" s="50">
        <f t="shared" si="56"/>
        <v>6.1986738769463187E-2</v>
      </c>
      <c r="Y166" s="50">
        <f t="shared" si="56"/>
        <v>5.7208700429979269E-2</v>
      </c>
      <c r="Z166" s="50">
        <f t="shared" si="56"/>
        <v>4.9339560702577757E-2</v>
      </c>
      <c r="AA166" s="50">
        <f t="shared" si="56"/>
        <v>4.1368944501432053E-2</v>
      </c>
      <c r="AB166" s="50">
        <f t="shared" si="56"/>
        <v>3.5102305329568817E-2</v>
      </c>
      <c r="AC166" s="8">
        <f>+SUM(E166:AB166)*D166</f>
        <v>0</v>
      </c>
    </row>
    <row r="167" spans="2:29" outlineLevel="1">
      <c r="B167" s="12"/>
      <c r="C167" s="12" t="s">
        <v>15</v>
      </c>
      <c r="D167" s="12">
        <f>+SUM(D163:D166)</f>
        <v>31</v>
      </c>
      <c r="E167" s="19">
        <f>+SUMPRODUCT(E163:E166,$D163:$D166)</f>
        <v>0.93107286495311614</v>
      </c>
      <c r="F167" s="19">
        <f>+SUMPRODUCT(F163:F166,$D163:$D166)</f>
        <v>0.87589251769960963</v>
      </c>
      <c r="G167" s="19">
        <f t="shared" ref="G167:AB167" si="57">+SUMPRODUCT(G163:G166,$D163:$D166)</f>
        <v>0.84616755071717464</v>
      </c>
      <c r="H167" s="19">
        <f t="shared" si="57"/>
        <v>0.84339967596059306</v>
      </c>
      <c r="I167" s="19">
        <f t="shared" si="57"/>
        <v>0.90180510416167226</v>
      </c>
      <c r="J167" s="19">
        <f t="shared" si="57"/>
        <v>1.0471680852598035</v>
      </c>
      <c r="K167" s="19">
        <f t="shared" si="57"/>
        <v>1.1756902673814946</v>
      </c>
      <c r="L167" s="19">
        <f t="shared" si="57"/>
        <v>1.2195809174720518</v>
      </c>
      <c r="M167" s="19">
        <f t="shared" si="57"/>
        <v>1.2726353735808669</v>
      </c>
      <c r="N167" s="19">
        <f t="shared" si="57"/>
        <v>1.3124430050138032</v>
      </c>
      <c r="O167" s="19">
        <f t="shared" si="57"/>
        <v>1.3710121253546426</v>
      </c>
      <c r="P167" s="19">
        <f t="shared" si="57"/>
        <v>1.4349323342311531</v>
      </c>
      <c r="Q167" s="19">
        <f t="shared" si="57"/>
        <v>1.4134326303672924</v>
      </c>
      <c r="R167" s="19">
        <f t="shared" si="57"/>
        <v>1.3653486177060314</v>
      </c>
      <c r="S167" s="19">
        <f t="shared" si="57"/>
        <v>1.3633547601678653</v>
      </c>
      <c r="T167" s="19">
        <f t="shared" si="57"/>
        <v>1.3896064642154913</v>
      </c>
      <c r="U167" s="19">
        <f t="shared" si="57"/>
        <v>1.4199237179054962</v>
      </c>
      <c r="V167" s="19">
        <f t="shared" si="57"/>
        <v>1.4826142386661021</v>
      </c>
      <c r="W167" s="19">
        <f t="shared" si="57"/>
        <v>1.762777307773965</v>
      </c>
      <c r="X167" s="19">
        <f t="shared" si="57"/>
        <v>1.9136200218112398</v>
      </c>
      <c r="Y167" s="19">
        <f t="shared" si="57"/>
        <v>1.7761226084273993</v>
      </c>
      <c r="Z167" s="19">
        <f t="shared" si="57"/>
        <v>1.5533395334154716</v>
      </c>
      <c r="AA167" s="19">
        <f t="shared" si="57"/>
        <v>1.2771450735667784</v>
      </c>
      <c r="AB167" s="19">
        <f t="shared" si="57"/>
        <v>1.0509152041908862</v>
      </c>
      <c r="AC167" s="12">
        <f>+SUM(E167:AB167)</f>
        <v>31.000000000000004</v>
      </c>
    </row>
    <row r="168" spans="2:29" outlineLevel="1">
      <c r="B168" s="15">
        <f>+EDATE(B163,1)</f>
        <v>45870</v>
      </c>
      <c r="C168" s="8" t="s">
        <v>45</v>
      </c>
      <c r="D168" s="8">
        <v>19</v>
      </c>
      <c r="E168" s="50">
        <f t="shared" ref="E168:AB168" si="58">+E108</f>
        <v>2.9361257124838391E-2</v>
      </c>
      <c r="F168" s="50">
        <f t="shared" si="58"/>
        <v>2.7692710332229715E-2</v>
      </c>
      <c r="G168" s="50">
        <f t="shared" si="58"/>
        <v>2.6785161397696527E-2</v>
      </c>
      <c r="H168" s="50">
        <f t="shared" si="58"/>
        <v>2.6786989368939883E-2</v>
      </c>
      <c r="I168" s="50">
        <f t="shared" si="58"/>
        <v>2.9135775177511477E-2</v>
      </c>
      <c r="J168" s="50">
        <f t="shared" si="58"/>
        <v>3.4540443856715661E-2</v>
      </c>
      <c r="K168" s="50">
        <f t="shared" si="58"/>
        <v>3.8789035252325646E-2</v>
      </c>
      <c r="L168" s="50">
        <f t="shared" si="58"/>
        <v>3.957865839345593E-2</v>
      </c>
      <c r="M168" s="50">
        <f t="shared" si="58"/>
        <v>4.0957538271781398E-2</v>
      </c>
      <c r="N168" s="50">
        <f t="shared" si="58"/>
        <v>4.2166920044863825E-2</v>
      </c>
      <c r="O168" s="50">
        <f t="shared" si="58"/>
        <v>4.4150374939633218E-2</v>
      </c>
      <c r="P168" s="50">
        <f t="shared" si="58"/>
        <v>4.6294816466469102E-2</v>
      </c>
      <c r="Q168" s="50">
        <f t="shared" si="58"/>
        <v>4.5431875959152102E-2</v>
      </c>
      <c r="R168" s="50">
        <f t="shared" si="58"/>
        <v>4.3879728503346101E-2</v>
      </c>
      <c r="S168" s="50">
        <f t="shared" si="58"/>
        <v>4.4118506624640258E-2</v>
      </c>
      <c r="T168" s="50">
        <f t="shared" si="58"/>
        <v>4.5188432655351718E-2</v>
      </c>
      <c r="U168" s="50">
        <f t="shared" si="58"/>
        <v>4.624302558461979E-2</v>
      </c>
      <c r="V168" s="50">
        <f t="shared" si="58"/>
        <v>4.8247238962955179E-2</v>
      </c>
      <c r="W168" s="50">
        <f t="shared" si="58"/>
        <v>5.7096885328092907E-2</v>
      </c>
      <c r="X168" s="50">
        <f t="shared" si="58"/>
        <v>6.1739938045350239E-2</v>
      </c>
      <c r="Y168" s="50">
        <f t="shared" si="58"/>
        <v>5.7231881517227232E-2</v>
      </c>
      <c r="Z168" s="50">
        <f t="shared" si="58"/>
        <v>5.0129255438435008E-2</v>
      </c>
      <c r="AA168" s="50">
        <f t="shared" si="58"/>
        <v>4.1010488221716553E-2</v>
      </c>
      <c r="AB168" s="50">
        <f t="shared" si="58"/>
        <v>3.34430625326523E-2</v>
      </c>
      <c r="AC168" s="8">
        <f>+SUM(E168:AB168)*D168</f>
        <v>19.000000000000004</v>
      </c>
    </row>
    <row r="169" spans="2:29" outlineLevel="1">
      <c r="B169" s="16"/>
      <c r="C169" s="8" t="s">
        <v>46</v>
      </c>
      <c r="D169" s="8">
        <v>5</v>
      </c>
      <c r="E169" s="50">
        <f t="shared" ref="E169:AB169" si="59">+E109</f>
        <v>3.0659473205105158E-2</v>
      </c>
      <c r="F169" s="50">
        <f t="shared" si="59"/>
        <v>2.8600001140869122E-2</v>
      </c>
      <c r="G169" s="50">
        <f t="shared" si="59"/>
        <v>2.7683858575034276E-2</v>
      </c>
      <c r="H169" s="50">
        <f t="shared" si="59"/>
        <v>2.7537802139610414E-2</v>
      </c>
      <c r="I169" s="50">
        <f t="shared" si="59"/>
        <v>2.8782539770184416E-2</v>
      </c>
      <c r="J169" s="50">
        <f t="shared" si="59"/>
        <v>3.2241585579716119E-2</v>
      </c>
      <c r="K169" s="50">
        <f t="shared" si="59"/>
        <v>3.645312931015221E-2</v>
      </c>
      <c r="L169" s="50">
        <f t="shared" si="59"/>
        <v>3.9012639181609042E-2</v>
      </c>
      <c r="M169" s="50">
        <f t="shared" si="59"/>
        <v>4.1549207589560662E-2</v>
      </c>
      <c r="N169" s="50">
        <f t="shared" si="59"/>
        <v>4.3042516751632572E-2</v>
      </c>
      <c r="O169" s="50">
        <f t="shared" si="59"/>
        <v>4.4973693586955334E-2</v>
      </c>
      <c r="P169" s="50">
        <f t="shared" si="59"/>
        <v>4.6808021710202923E-2</v>
      </c>
      <c r="Q169" s="50">
        <f t="shared" si="59"/>
        <v>4.6383383047344962E-2</v>
      </c>
      <c r="R169" s="50">
        <f t="shared" si="59"/>
        <v>4.4751654806610461E-2</v>
      </c>
      <c r="S169" s="50">
        <f t="shared" si="59"/>
        <v>4.4013077558728637E-2</v>
      </c>
      <c r="T169" s="50">
        <f t="shared" si="59"/>
        <v>4.428856091631931E-2</v>
      </c>
      <c r="U169" s="50">
        <f t="shared" si="59"/>
        <v>4.49735778579251E-2</v>
      </c>
      <c r="V169" s="50">
        <f t="shared" si="59"/>
        <v>4.6933206789217301E-2</v>
      </c>
      <c r="W169" s="50">
        <f t="shared" si="59"/>
        <v>5.6210586428141023E-2</v>
      </c>
      <c r="X169" s="50">
        <f t="shared" si="59"/>
        <v>6.1205656691958259E-2</v>
      </c>
      <c r="Y169" s="50">
        <f t="shared" si="59"/>
        <v>5.7018442088769522E-2</v>
      </c>
      <c r="Z169" s="50">
        <f t="shared" si="59"/>
        <v>4.9896672365740725E-2</v>
      </c>
      <c r="AA169" s="50">
        <f t="shared" si="59"/>
        <v>4.1622868086918119E-2</v>
      </c>
      <c r="AB169" s="50">
        <f t="shared" si="59"/>
        <v>3.5357844821693719E-2</v>
      </c>
      <c r="AC169" s="8">
        <f>+SUM(E169:AB169)*D169</f>
        <v>4.9999999999999964</v>
      </c>
    </row>
    <row r="170" spans="2:29" outlineLevel="1">
      <c r="B170" s="16"/>
      <c r="C170" s="8" t="s">
        <v>47</v>
      </c>
      <c r="D170" s="8">
        <v>5</v>
      </c>
      <c r="E170" s="50">
        <f t="shared" ref="E170:AB170" si="60">+E110</f>
        <v>3.3281514565353124E-2</v>
      </c>
      <c r="F170" s="50">
        <f t="shared" si="60"/>
        <v>3.1140043873712407E-2</v>
      </c>
      <c r="G170" s="50">
        <f t="shared" si="60"/>
        <v>2.984335106750436E-2</v>
      </c>
      <c r="H170" s="50">
        <f t="shared" si="60"/>
        <v>2.9286927979133532E-2</v>
      </c>
      <c r="I170" s="50">
        <f t="shared" si="60"/>
        <v>2.9138028999542646E-2</v>
      </c>
      <c r="J170" s="50">
        <f t="shared" si="60"/>
        <v>3.0942883559119717E-2</v>
      </c>
      <c r="K170" s="50">
        <f t="shared" si="60"/>
        <v>3.4432484834348992E-2</v>
      </c>
      <c r="L170" s="50">
        <f t="shared" si="60"/>
        <v>3.8305304424032266E-2</v>
      </c>
      <c r="M170" s="50">
        <f t="shared" si="60"/>
        <v>4.1103790742913066E-2</v>
      </c>
      <c r="N170" s="50">
        <f t="shared" si="60"/>
        <v>4.2608444243851212E-2</v>
      </c>
      <c r="O170" s="50">
        <f t="shared" si="60"/>
        <v>4.3914681848814308E-2</v>
      </c>
      <c r="P170" s="50">
        <f t="shared" si="60"/>
        <v>4.5729867165388009E-2</v>
      </c>
      <c r="Q170" s="50">
        <f t="shared" si="60"/>
        <v>4.5741487779353565E-2</v>
      </c>
      <c r="R170" s="50">
        <f t="shared" si="60"/>
        <v>4.4277060725657284E-2</v>
      </c>
      <c r="S170" s="50">
        <f t="shared" si="60"/>
        <v>4.3144199391556254E-2</v>
      </c>
      <c r="T170" s="50">
        <f t="shared" si="60"/>
        <v>4.3279567369281124E-2</v>
      </c>
      <c r="U170" s="50">
        <f t="shared" si="60"/>
        <v>4.4109954506885138E-2</v>
      </c>
      <c r="V170" s="50">
        <f t="shared" si="60"/>
        <v>4.6298728840315946E-2</v>
      </c>
      <c r="W170" s="50">
        <f t="shared" si="60"/>
        <v>5.6176649878816001E-2</v>
      </c>
      <c r="X170" s="50">
        <f t="shared" si="60"/>
        <v>6.2194705000087863E-2</v>
      </c>
      <c r="Y170" s="50">
        <f t="shared" si="60"/>
        <v>5.7928891294023718E-2</v>
      </c>
      <c r="Z170" s="50">
        <f t="shared" si="60"/>
        <v>5.019499221712586E-2</v>
      </c>
      <c r="AA170" s="50">
        <f t="shared" si="60"/>
        <v>4.1853093029906328E-2</v>
      </c>
      <c r="AB170" s="50">
        <f t="shared" si="60"/>
        <v>3.507334666327714E-2</v>
      </c>
      <c r="AC170" s="8">
        <f>+SUM(E170:AB170)*D170</f>
        <v>4.9999999999999991</v>
      </c>
    </row>
    <row r="171" spans="2:29" outlineLevel="1">
      <c r="B171" s="16"/>
      <c r="C171" s="8" t="s">
        <v>48</v>
      </c>
      <c r="D171" s="8">
        <v>2</v>
      </c>
      <c r="E171" s="50">
        <f t="shared" ref="E171:AB171" si="61">+E111</f>
        <v>3.367503361886829E-2</v>
      </c>
      <c r="F171" s="50">
        <f t="shared" si="61"/>
        <v>3.1245692535415936E-2</v>
      </c>
      <c r="G171" s="50">
        <f t="shared" si="61"/>
        <v>2.9861746203171599E-2</v>
      </c>
      <c r="H171" s="50">
        <f t="shared" si="61"/>
        <v>2.9235019370742008E-2</v>
      </c>
      <c r="I171" s="50">
        <f t="shared" si="61"/>
        <v>3.0186379118294998E-2</v>
      </c>
      <c r="J171" s="50">
        <f t="shared" si="61"/>
        <v>3.3123682717801174E-2</v>
      </c>
      <c r="K171" s="50">
        <f t="shared" si="61"/>
        <v>3.5563630818173868E-2</v>
      </c>
      <c r="L171" s="50">
        <f t="shared" si="61"/>
        <v>3.7375437025807548E-2</v>
      </c>
      <c r="M171" s="50">
        <f t="shared" si="61"/>
        <v>3.9557895894381336E-2</v>
      </c>
      <c r="N171" s="50">
        <f t="shared" si="61"/>
        <v>4.1330002492198488E-2</v>
      </c>
      <c r="O171" s="50">
        <f t="shared" si="61"/>
        <v>4.3273465010057272E-2</v>
      </c>
      <c r="P171" s="50">
        <f t="shared" si="61"/>
        <v>4.5278417057592932E-2</v>
      </c>
      <c r="Q171" s="50">
        <f t="shared" si="61"/>
        <v>4.5765189585786785E-2</v>
      </c>
      <c r="R171" s="50">
        <f t="shared" si="61"/>
        <v>4.421428774797561E-2</v>
      </c>
      <c r="S171" s="50">
        <f t="shared" si="61"/>
        <v>4.3245429527174986E-2</v>
      </c>
      <c r="T171" s="50">
        <f t="shared" si="61"/>
        <v>4.3554999005074702E-2</v>
      </c>
      <c r="U171" s="50">
        <f t="shared" si="61"/>
        <v>4.4435510161992771E-2</v>
      </c>
      <c r="V171" s="50">
        <f t="shared" si="61"/>
        <v>4.717219114348542E-2</v>
      </c>
      <c r="W171" s="50">
        <f t="shared" si="61"/>
        <v>5.6899741232983039E-2</v>
      </c>
      <c r="X171" s="50">
        <f t="shared" si="61"/>
        <v>6.1986738769463187E-2</v>
      </c>
      <c r="Y171" s="50">
        <f t="shared" si="61"/>
        <v>5.7208700429979269E-2</v>
      </c>
      <c r="Z171" s="50">
        <f t="shared" si="61"/>
        <v>4.9339560702577757E-2</v>
      </c>
      <c r="AA171" s="50">
        <f t="shared" si="61"/>
        <v>4.1368944501432053E-2</v>
      </c>
      <c r="AB171" s="50">
        <f t="shared" si="61"/>
        <v>3.5102305329568817E-2</v>
      </c>
      <c r="AC171" s="8">
        <f>+SUM(E171:AB171)*D171</f>
        <v>1.9999999999999996</v>
      </c>
    </row>
    <row r="172" spans="2:29" outlineLevel="1">
      <c r="B172" s="12"/>
      <c r="C172" s="12" t="s">
        <v>15</v>
      </c>
      <c r="D172" s="12">
        <f>+SUM(D168:D171)</f>
        <v>31</v>
      </c>
      <c r="E172" s="19">
        <f>+SUMPRODUCT(E168:E171,$D168:$D171)</f>
        <v>0.9449188914619574</v>
      </c>
      <c r="F172" s="19">
        <f>+SUMPRODUCT(F168:F171,$D168:$D171)</f>
        <v>0.88735310645610399</v>
      </c>
      <c r="G172" s="19">
        <f t="shared" ref="G172:AB172" si="62">+SUMPRODUCT(G168:G171,$D168:$D171)</f>
        <v>0.85627760717527046</v>
      </c>
      <c r="H172" s="19">
        <f t="shared" si="62"/>
        <v>0.85154648734506155</v>
      </c>
      <c r="I172" s="19">
        <f t="shared" si="62"/>
        <v>0.90355533045794334</v>
      </c>
      <c r="J172" s="19">
        <f t="shared" si="62"/>
        <v>1.0384381444073791</v>
      </c>
      <c r="K172" s="19">
        <f t="shared" si="62"/>
        <v>1.1625470021530409</v>
      </c>
      <c r="L172" s="19">
        <f t="shared" si="62"/>
        <v>1.2133351015554845</v>
      </c>
      <c r="M172" s="19">
        <f t="shared" si="62"/>
        <v>1.2705740106149779</v>
      </c>
      <c r="N172" s="19">
        <f t="shared" si="62"/>
        <v>1.3120862908142286</v>
      </c>
      <c r="O172" s="19">
        <f t="shared" si="62"/>
        <v>1.3698459310519939</v>
      </c>
      <c r="P172" s="19">
        <f t="shared" si="62"/>
        <v>1.4328477913560536</v>
      </c>
      <c r="Q172" s="19">
        <f t="shared" si="62"/>
        <v>1.4153603765289562</v>
      </c>
      <c r="R172" s="19">
        <f t="shared" si="62"/>
        <v>1.3672869947208659</v>
      </c>
      <c r="S172" s="19">
        <f t="shared" si="62"/>
        <v>1.3605288696739395</v>
      </c>
      <c r="T172" s="19">
        <f t="shared" si="62"/>
        <v>1.3835308598898344</v>
      </c>
      <c r="U172" s="19">
        <f t="shared" si="62"/>
        <v>1.4129061682558126</v>
      </c>
      <c r="V172" s="19">
        <f t="shared" si="62"/>
        <v>1.4772016007307855</v>
      </c>
      <c r="W172" s="19">
        <f t="shared" si="62"/>
        <v>1.7605764852345165</v>
      </c>
      <c r="X172" s="19">
        <f t="shared" si="62"/>
        <v>1.9140341088608113</v>
      </c>
      <c r="Y172" s="19">
        <f t="shared" si="62"/>
        <v>1.7765598166012422</v>
      </c>
      <c r="Z172" s="19">
        <f t="shared" si="62"/>
        <v>1.5515932976497535</v>
      </c>
      <c r="AA172" s="19">
        <f t="shared" si="62"/>
        <v>1.2793169707996008</v>
      </c>
      <c r="AB172" s="19">
        <f t="shared" si="62"/>
        <v>1.0577787562043857</v>
      </c>
      <c r="AC172" s="12">
        <f>+SUM(E172:AB172)</f>
        <v>31</v>
      </c>
    </row>
    <row r="173" spans="2:29" outlineLevel="1">
      <c r="B173" s="15">
        <f>+EDATE(B168,1)</f>
        <v>45901</v>
      </c>
      <c r="C173" s="8" t="s">
        <v>45</v>
      </c>
      <c r="D173" s="8">
        <v>22</v>
      </c>
      <c r="E173" s="50">
        <f t="shared" ref="E173:AB173" si="63">+E113</f>
        <v>2.9361257124838391E-2</v>
      </c>
      <c r="F173" s="50">
        <f t="shared" si="63"/>
        <v>2.7692710332229715E-2</v>
      </c>
      <c r="G173" s="50">
        <f t="shared" si="63"/>
        <v>2.6785161397696527E-2</v>
      </c>
      <c r="H173" s="50">
        <f t="shared" si="63"/>
        <v>2.6786989368939883E-2</v>
      </c>
      <c r="I173" s="50">
        <f t="shared" si="63"/>
        <v>2.9135775177511477E-2</v>
      </c>
      <c r="J173" s="50">
        <f t="shared" si="63"/>
        <v>3.4540443856715661E-2</v>
      </c>
      <c r="K173" s="50">
        <f t="shared" si="63"/>
        <v>3.8789035252325646E-2</v>
      </c>
      <c r="L173" s="50">
        <f t="shared" si="63"/>
        <v>3.957865839345593E-2</v>
      </c>
      <c r="M173" s="50">
        <f t="shared" si="63"/>
        <v>4.0957538271781398E-2</v>
      </c>
      <c r="N173" s="50">
        <f t="shared" si="63"/>
        <v>4.2166920044863825E-2</v>
      </c>
      <c r="O173" s="50">
        <f t="shared" si="63"/>
        <v>4.4150374939633218E-2</v>
      </c>
      <c r="P173" s="50">
        <f t="shared" si="63"/>
        <v>4.6294816466469102E-2</v>
      </c>
      <c r="Q173" s="50">
        <f t="shared" si="63"/>
        <v>4.5431875959152102E-2</v>
      </c>
      <c r="R173" s="50">
        <f t="shared" si="63"/>
        <v>4.3879728503346101E-2</v>
      </c>
      <c r="S173" s="50">
        <f t="shared" si="63"/>
        <v>4.4118506624640258E-2</v>
      </c>
      <c r="T173" s="50">
        <f t="shared" si="63"/>
        <v>4.5188432655351718E-2</v>
      </c>
      <c r="U173" s="50">
        <f t="shared" si="63"/>
        <v>4.624302558461979E-2</v>
      </c>
      <c r="V173" s="50">
        <f t="shared" si="63"/>
        <v>4.8247238962955179E-2</v>
      </c>
      <c r="W173" s="50">
        <f t="shared" si="63"/>
        <v>5.7096885328092907E-2</v>
      </c>
      <c r="X173" s="50">
        <f t="shared" si="63"/>
        <v>6.1739938045350239E-2</v>
      </c>
      <c r="Y173" s="50">
        <f t="shared" si="63"/>
        <v>5.7231881517227232E-2</v>
      </c>
      <c r="Z173" s="50">
        <f t="shared" si="63"/>
        <v>5.0129255438435008E-2</v>
      </c>
      <c r="AA173" s="50">
        <f t="shared" si="63"/>
        <v>4.1010488221716553E-2</v>
      </c>
      <c r="AB173" s="50">
        <f t="shared" si="63"/>
        <v>3.34430625326523E-2</v>
      </c>
      <c r="AC173" s="8">
        <f>+SUM(E173:AB173)*D173</f>
        <v>22.000000000000004</v>
      </c>
    </row>
    <row r="174" spans="2:29" outlineLevel="1">
      <c r="B174" s="16"/>
      <c r="C174" s="8" t="s">
        <v>46</v>
      </c>
      <c r="D174" s="8">
        <v>4</v>
      </c>
      <c r="E174" s="50">
        <f t="shared" ref="E174:AB174" si="64">+E114</f>
        <v>3.0659473205105158E-2</v>
      </c>
      <c r="F174" s="50">
        <f t="shared" si="64"/>
        <v>2.8600001140869122E-2</v>
      </c>
      <c r="G174" s="50">
        <f t="shared" si="64"/>
        <v>2.7683858575034276E-2</v>
      </c>
      <c r="H174" s="50">
        <f t="shared" si="64"/>
        <v>2.7537802139610414E-2</v>
      </c>
      <c r="I174" s="50">
        <f t="shared" si="64"/>
        <v>2.8782539770184416E-2</v>
      </c>
      <c r="J174" s="50">
        <f t="shared" si="64"/>
        <v>3.2241585579716119E-2</v>
      </c>
      <c r="K174" s="50">
        <f t="shared" si="64"/>
        <v>3.645312931015221E-2</v>
      </c>
      <c r="L174" s="50">
        <f t="shared" si="64"/>
        <v>3.9012639181609042E-2</v>
      </c>
      <c r="M174" s="50">
        <f t="shared" si="64"/>
        <v>4.1549207589560662E-2</v>
      </c>
      <c r="N174" s="50">
        <f t="shared" si="64"/>
        <v>4.3042516751632572E-2</v>
      </c>
      <c r="O174" s="50">
        <f t="shared" si="64"/>
        <v>4.4973693586955334E-2</v>
      </c>
      <c r="P174" s="50">
        <f t="shared" si="64"/>
        <v>4.6808021710202923E-2</v>
      </c>
      <c r="Q174" s="50">
        <f t="shared" si="64"/>
        <v>4.6383383047344962E-2</v>
      </c>
      <c r="R174" s="50">
        <f t="shared" si="64"/>
        <v>4.4751654806610461E-2</v>
      </c>
      <c r="S174" s="50">
        <f t="shared" si="64"/>
        <v>4.4013077558728637E-2</v>
      </c>
      <c r="T174" s="50">
        <f t="shared" si="64"/>
        <v>4.428856091631931E-2</v>
      </c>
      <c r="U174" s="50">
        <f t="shared" si="64"/>
        <v>4.49735778579251E-2</v>
      </c>
      <c r="V174" s="50">
        <f t="shared" si="64"/>
        <v>4.6933206789217301E-2</v>
      </c>
      <c r="W174" s="50">
        <f t="shared" si="64"/>
        <v>5.6210586428141023E-2</v>
      </c>
      <c r="X174" s="50">
        <f t="shared" si="64"/>
        <v>6.1205656691958259E-2</v>
      </c>
      <c r="Y174" s="50">
        <f t="shared" si="64"/>
        <v>5.7018442088769522E-2</v>
      </c>
      <c r="Z174" s="50">
        <f t="shared" si="64"/>
        <v>4.9896672365740725E-2</v>
      </c>
      <c r="AA174" s="50">
        <f t="shared" si="64"/>
        <v>4.1622868086918119E-2</v>
      </c>
      <c r="AB174" s="50">
        <f t="shared" si="64"/>
        <v>3.5357844821693719E-2</v>
      </c>
      <c r="AC174" s="8">
        <f>+SUM(E174:AB174)*D174</f>
        <v>3.9999999999999969</v>
      </c>
    </row>
    <row r="175" spans="2:29" outlineLevel="1">
      <c r="B175" s="16"/>
      <c r="C175" s="8" t="s">
        <v>47</v>
      </c>
      <c r="D175" s="8">
        <v>4</v>
      </c>
      <c r="E175" s="50">
        <f t="shared" ref="E175:AB175" si="65">+E115</f>
        <v>3.3281514565353124E-2</v>
      </c>
      <c r="F175" s="50">
        <f t="shared" si="65"/>
        <v>3.1140043873712407E-2</v>
      </c>
      <c r="G175" s="50">
        <f t="shared" si="65"/>
        <v>2.984335106750436E-2</v>
      </c>
      <c r="H175" s="50">
        <f t="shared" si="65"/>
        <v>2.9286927979133532E-2</v>
      </c>
      <c r="I175" s="50">
        <f t="shared" si="65"/>
        <v>2.9138028999542646E-2</v>
      </c>
      <c r="J175" s="50">
        <f t="shared" si="65"/>
        <v>3.0942883559119717E-2</v>
      </c>
      <c r="K175" s="50">
        <f t="shared" si="65"/>
        <v>3.4432484834348992E-2</v>
      </c>
      <c r="L175" s="50">
        <f t="shared" si="65"/>
        <v>3.8305304424032266E-2</v>
      </c>
      <c r="M175" s="50">
        <f t="shared" si="65"/>
        <v>4.1103790742913066E-2</v>
      </c>
      <c r="N175" s="50">
        <f t="shared" si="65"/>
        <v>4.2608444243851212E-2</v>
      </c>
      <c r="O175" s="50">
        <f t="shared" si="65"/>
        <v>4.3914681848814308E-2</v>
      </c>
      <c r="P175" s="50">
        <f t="shared" si="65"/>
        <v>4.5729867165388009E-2</v>
      </c>
      <c r="Q175" s="50">
        <f t="shared" si="65"/>
        <v>4.5741487779353565E-2</v>
      </c>
      <c r="R175" s="50">
        <f t="shared" si="65"/>
        <v>4.4277060725657284E-2</v>
      </c>
      <c r="S175" s="50">
        <f t="shared" si="65"/>
        <v>4.3144199391556254E-2</v>
      </c>
      <c r="T175" s="50">
        <f t="shared" si="65"/>
        <v>4.3279567369281124E-2</v>
      </c>
      <c r="U175" s="50">
        <f t="shared" si="65"/>
        <v>4.4109954506885138E-2</v>
      </c>
      <c r="V175" s="50">
        <f t="shared" si="65"/>
        <v>4.6298728840315946E-2</v>
      </c>
      <c r="W175" s="50">
        <f t="shared" si="65"/>
        <v>5.6176649878816001E-2</v>
      </c>
      <c r="X175" s="50">
        <f t="shared" si="65"/>
        <v>6.2194705000087863E-2</v>
      </c>
      <c r="Y175" s="50">
        <f t="shared" si="65"/>
        <v>5.7928891294023718E-2</v>
      </c>
      <c r="Z175" s="50">
        <f t="shared" si="65"/>
        <v>5.019499221712586E-2</v>
      </c>
      <c r="AA175" s="50">
        <f t="shared" si="65"/>
        <v>4.1853093029906328E-2</v>
      </c>
      <c r="AB175" s="50">
        <f t="shared" si="65"/>
        <v>3.507334666327714E-2</v>
      </c>
      <c r="AC175" s="8">
        <f>+SUM(E175:AB175)*D175</f>
        <v>3.9999999999999991</v>
      </c>
    </row>
    <row r="176" spans="2:29" outlineLevel="1">
      <c r="B176" s="16"/>
      <c r="C176" s="8" t="s">
        <v>48</v>
      </c>
      <c r="D176" s="8">
        <v>0</v>
      </c>
      <c r="E176" s="50">
        <f t="shared" ref="E176:AB176" si="66">+E116</f>
        <v>3.367503361886829E-2</v>
      </c>
      <c r="F176" s="50">
        <f t="shared" si="66"/>
        <v>3.1245692535415936E-2</v>
      </c>
      <c r="G176" s="50">
        <f t="shared" si="66"/>
        <v>2.9861746203171599E-2</v>
      </c>
      <c r="H176" s="50">
        <f t="shared" si="66"/>
        <v>2.9235019370742008E-2</v>
      </c>
      <c r="I176" s="50">
        <f t="shared" si="66"/>
        <v>3.0186379118294998E-2</v>
      </c>
      <c r="J176" s="50">
        <f t="shared" si="66"/>
        <v>3.3123682717801174E-2</v>
      </c>
      <c r="K176" s="50">
        <f t="shared" si="66"/>
        <v>3.5563630818173868E-2</v>
      </c>
      <c r="L176" s="50">
        <f t="shared" si="66"/>
        <v>3.7375437025807548E-2</v>
      </c>
      <c r="M176" s="50">
        <f t="shared" si="66"/>
        <v>3.9557895894381336E-2</v>
      </c>
      <c r="N176" s="50">
        <f t="shared" si="66"/>
        <v>4.1330002492198488E-2</v>
      </c>
      <c r="O176" s="50">
        <f t="shared" si="66"/>
        <v>4.3273465010057272E-2</v>
      </c>
      <c r="P176" s="50">
        <f t="shared" si="66"/>
        <v>4.5278417057592932E-2</v>
      </c>
      <c r="Q176" s="50">
        <f t="shared" si="66"/>
        <v>4.5765189585786785E-2</v>
      </c>
      <c r="R176" s="50">
        <f t="shared" si="66"/>
        <v>4.421428774797561E-2</v>
      </c>
      <c r="S176" s="50">
        <f t="shared" si="66"/>
        <v>4.3245429527174986E-2</v>
      </c>
      <c r="T176" s="50">
        <f t="shared" si="66"/>
        <v>4.3554999005074702E-2</v>
      </c>
      <c r="U176" s="50">
        <f t="shared" si="66"/>
        <v>4.4435510161992771E-2</v>
      </c>
      <c r="V176" s="50">
        <f t="shared" si="66"/>
        <v>4.717219114348542E-2</v>
      </c>
      <c r="W176" s="50">
        <f t="shared" si="66"/>
        <v>5.6899741232983039E-2</v>
      </c>
      <c r="X176" s="50">
        <f t="shared" si="66"/>
        <v>6.1986738769463187E-2</v>
      </c>
      <c r="Y176" s="50">
        <f t="shared" si="66"/>
        <v>5.7208700429979269E-2</v>
      </c>
      <c r="Z176" s="50">
        <f t="shared" si="66"/>
        <v>4.9339560702577757E-2</v>
      </c>
      <c r="AA176" s="50">
        <f t="shared" si="66"/>
        <v>4.1368944501432053E-2</v>
      </c>
      <c r="AB176" s="50">
        <f t="shared" si="66"/>
        <v>3.5102305329568817E-2</v>
      </c>
      <c r="AC176" s="8">
        <f>+SUM(E176:AB176)*D176</f>
        <v>0</v>
      </c>
    </row>
    <row r="177" spans="2:29" outlineLevel="1">
      <c r="B177" s="12"/>
      <c r="C177" s="12" t="s">
        <v>15</v>
      </c>
      <c r="D177" s="12">
        <f>+SUM(D173:D176)</f>
        <v>30</v>
      </c>
      <c r="E177" s="19">
        <f>+SUMPRODUCT(E173:E176,$D173:$D176)</f>
        <v>0.90171160782827764</v>
      </c>
      <c r="F177" s="19">
        <f>+SUMPRODUCT(F173:F176,$D173:$D176)</f>
        <v>0.84819980736737988</v>
      </c>
      <c r="G177" s="19">
        <f t="shared" ref="G177:AB177" si="67">+SUMPRODUCT(G173:G176,$D173:$D176)</f>
        <v>0.81938238931947815</v>
      </c>
      <c r="H177" s="19">
        <f t="shared" si="67"/>
        <v>0.8166126865916532</v>
      </c>
      <c r="I177" s="19">
        <f t="shared" si="67"/>
        <v>0.87266932898416072</v>
      </c>
      <c r="J177" s="19">
        <f t="shared" si="67"/>
        <v>1.0126276414030879</v>
      </c>
      <c r="K177" s="19">
        <f t="shared" si="67"/>
        <v>1.1369012321291692</v>
      </c>
      <c r="L177" s="19">
        <f t="shared" si="67"/>
        <v>1.1800022590785955</v>
      </c>
      <c r="M177" s="19">
        <f t="shared" si="67"/>
        <v>1.2316778353090858</v>
      </c>
      <c r="N177" s="19">
        <f t="shared" si="67"/>
        <v>1.2702760849689394</v>
      </c>
      <c r="O177" s="19">
        <f t="shared" si="67"/>
        <v>1.3268617504150093</v>
      </c>
      <c r="P177" s="19">
        <f t="shared" si="67"/>
        <v>1.3886375177646839</v>
      </c>
      <c r="Q177" s="19">
        <f t="shared" si="67"/>
        <v>1.3680007544081403</v>
      </c>
      <c r="R177" s="19">
        <f t="shared" si="67"/>
        <v>1.3214688892026851</v>
      </c>
      <c r="S177" s="19">
        <f t="shared" si="67"/>
        <v>1.3192362535432252</v>
      </c>
      <c r="T177" s="19">
        <f t="shared" si="67"/>
        <v>1.3444180315601395</v>
      </c>
      <c r="U177" s="19">
        <f t="shared" si="67"/>
        <v>1.3736806923208764</v>
      </c>
      <c r="V177" s="19">
        <f t="shared" si="67"/>
        <v>1.434366999703147</v>
      </c>
      <c r="W177" s="19">
        <f t="shared" si="67"/>
        <v>1.7056804224458719</v>
      </c>
      <c r="X177" s="19">
        <f t="shared" si="67"/>
        <v>1.8518800837658898</v>
      </c>
      <c r="Y177" s="19">
        <f t="shared" si="67"/>
        <v>1.7188907269101723</v>
      </c>
      <c r="Z177" s="19">
        <f t="shared" si="67"/>
        <v>1.5032102779770367</v>
      </c>
      <c r="AA177" s="19">
        <f t="shared" si="67"/>
        <v>1.2361345853450618</v>
      </c>
      <c r="AB177" s="19">
        <f t="shared" si="67"/>
        <v>1.017472141658234</v>
      </c>
      <c r="AC177" s="12">
        <f>+SUM(E177:AB177)</f>
        <v>29.999999999999996</v>
      </c>
    </row>
    <row r="178" spans="2:29" outlineLevel="1">
      <c r="B178" s="15">
        <f>+EDATE(B173,1)</f>
        <v>45931</v>
      </c>
      <c r="C178" s="8" t="s">
        <v>45</v>
      </c>
      <c r="D178" s="8">
        <v>22</v>
      </c>
      <c r="E178" s="50">
        <f t="shared" ref="E178:AB178" si="68">+E118</f>
        <v>2.9361257124838391E-2</v>
      </c>
      <c r="F178" s="50">
        <f t="shared" si="68"/>
        <v>2.7692710332229715E-2</v>
      </c>
      <c r="G178" s="50">
        <f t="shared" si="68"/>
        <v>2.6785161397696527E-2</v>
      </c>
      <c r="H178" s="50">
        <f t="shared" si="68"/>
        <v>2.6786989368939883E-2</v>
      </c>
      <c r="I178" s="50">
        <f t="shared" si="68"/>
        <v>2.9135775177511477E-2</v>
      </c>
      <c r="J178" s="50">
        <f t="shared" si="68"/>
        <v>3.4540443856715661E-2</v>
      </c>
      <c r="K178" s="50">
        <f t="shared" si="68"/>
        <v>3.8789035252325646E-2</v>
      </c>
      <c r="L178" s="50">
        <f t="shared" si="68"/>
        <v>3.957865839345593E-2</v>
      </c>
      <c r="M178" s="50">
        <f t="shared" si="68"/>
        <v>4.0957538271781398E-2</v>
      </c>
      <c r="N178" s="50">
        <f t="shared" si="68"/>
        <v>4.2166920044863825E-2</v>
      </c>
      <c r="O178" s="50">
        <f t="shared" si="68"/>
        <v>4.4150374939633218E-2</v>
      </c>
      <c r="P178" s="50">
        <f t="shared" si="68"/>
        <v>4.6294816466469102E-2</v>
      </c>
      <c r="Q178" s="50">
        <f t="shared" si="68"/>
        <v>4.5431875959152102E-2</v>
      </c>
      <c r="R178" s="50">
        <f t="shared" si="68"/>
        <v>4.3879728503346101E-2</v>
      </c>
      <c r="S178" s="50">
        <f t="shared" si="68"/>
        <v>4.4118506624640258E-2</v>
      </c>
      <c r="T178" s="50">
        <f t="shared" si="68"/>
        <v>4.5188432655351718E-2</v>
      </c>
      <c r="U178" s="50">
        <f t="shared" si="68"/>
        <v>4.624302558461979E-2</v>
      </c>
      <c r="V178" s="50">
        <f t="shared" si="68"/>
        <v>4.8247238962955179E-2</v>
      </c>
      <c r="W178" s="50">
        <f t="shared" si="68"/>
        <v>5.7096885328092907E-2</v>
      </c>
      <c r="X178" s="50">
        <f t="shared" si="68"/>
        <v>6.1739938045350239E-2</v>
      </c>
      <c r="Y178" s="50">
        <f t="shared" si="68"/>
        <v>5.7231881517227232E-2</v>
      </c>
      <c r="Z178" s="50">
        <f t="shared" si="68"/>
        <v>5.0129255438435008E-2</v>
      </c>
      <c r="AA178" s="50">
        <f t="shared" si="68"/>
        <v>4.1010488221716553E-2</v>
      </c>
      <c r="AB178" s="50">
        <f t="shared" si="68"/>
        <v>3.34430625326523E-2</v>
      </c>
      <c r="AC178" s="8">
        <f>+SUM(E178:AB178)*D178</f>
        <v>22.000000000000004</v>
      </c>
    </row>
    <row r="179" spans="2:29" outlineLevel="1">
      <c r="B179" s="16"/>
      <c r="C179" s="8" t="s">
        <v>46</v>
      </c>
      <c r="D179" s="8">
        <v>4</v>
      </c>
      <c r="E179" s="50">
        <f t="shared" ref="E179:AB179" si="69">+E119</f>
        <v>3.0659473205105158E-2</v>
      </c>
      <c r="F179" s="50">
        <f t="shared" si="69"/>
        <v>2.8600001140869122E-2</v>
      </c>
      <c r="G179" s="50">
        <f t="shared" si="69"/>
        <v>2.7683858575034276E-2</v>
      </c>
      <c r="H179" s="50">
        <f t="shared" si="69"/>
        <v>2.7537802139610414E-2</v>
      </c>
      <c r="I179" s="50">
        <f t="shared" si="69"/>
        <v>2.8782539770184416E-2</v>
      </c>
      <c r="J179" s="50">
        <f t="shared" si="69"/>
        <v>3.2241585579716119E-2</v>
      </c>
      <c r="K179" s="50">
        <f t="shared" si="69"/>
        <v>3.645312931015221E-2</v>
      </c>
      <c r="L179" s="50">
        <f t="shared" si="69"/>
        <v>3.9012639181609042E-2</v>
      </c>
      <c r="M179" s="50">
        <f t="shared" si="69"/>
        <v>4.1549207589560662E-2</v>
      </c>
      <c r="N179" s="50">
        <f t="shared" si="69"/>
        <v>4.3042516751632572E-2</v>
      </c>
      <c r="O179" s="50">
        <f t="shared" si="69"/>
        <v>4.4973693586955334E-2</v>
      </c>
      <c r="P179" s="50">
        <f t="shared" si="69"/>
        <v>4.6808021710202923E-2</v>
      </c>
      <c r="Q179" s="50">
        <f t="shared" si="69"/>
        <v>4.6383383047344962E-2</v>
      </c>
      <c r="R179" s="50">
        <f t="shared" si="69"/>
        <v>4.4751654806610461E-2</v>
      </c>
      <c r="S179" s="50">
        <f t="shared" si="69"/>
        <v>4.4013077558728637E-2</v>
      </c>
      <c r="T179" s="50">
        <f t="shared" si="69"/>
        <v>4.428856091631931E-2</v>
      </c>
      <c r="U179" s="50">
        <f t="shared" si="69"/>
        <v>4.49735778579251E-2</v>
      </c>
      <c r="V179" s="50">
        <f t="shared" si="69"/>
        <v>4.6933206789217301E-2</v>
      </c>
      <c r="W179" s="50">
        <f t="shared" si="69"/>
        <v>5.6210586428141023E-2</v>
      </c>
      <c r="X179" s="50">
        <f t="shared" si="69"/>
        <v>6.1205656691958259E-2</v>
      </c>
      <c r="Y179" s="50">
        <f t="shared" si="69"/>
        <v>5.7018442088769522E-2</v>
      </c>
      <c r="Z179" s="50">
        <f t="shared" si="69"/>
        <v>4.9896672365740725E-2</v>
      </c>
      <c r="AA179" s="50">
        <f t="shared" si="69"/>
        <v>4.1622868086918119E-2</v>
      </c>
      <c r="AB179" s="50">
        <f t="shared" si="69"/>
        <v>3.5357844821693719E-2</v>
      </c>
      <c r="AC179" s="8">
        <f>+SUM(E179:AB179)*D179</f>
        <v>3.9999999999999969</v>
      </c>
    </row>
    <row r="180" spans="2:29" outlineLevel="1">
      <c r="B180" s="16"/>
      <c r="C180" s="8" t="s">
        <v>47</v>
      </c>
      <c r="D180" s="8">
        <v>4</v>
      </c>
      <c r="E180" s="50">
        <f t="shared" ref="E180:AB180" si="70">+E120</f>
        <v>3.3281514565353124E-2</v>
      </c>
      <c r="F180" s="50">
        <f t="shared" si="70"/>
        <v>3.1140043873712407E-2</v>
      </c>
      <c r="G180" s="50">
        <f t="shared" si="70"/>
        <v>2.984335106750436E-2</v>
      </c>
      <c r="H180" s="50">
        <f t="shared" si="70"/>
        <v>2.9286927979133532E-2</v>
      </c>
      <c r="I180" s="50">
        <f t="shared" si="70"/>
        <v>2.9138028999542646E-2</v>
      </c>
      <c r="J180" s="50">
        <f t="shared" si="70"/>
        <v>3.0942883559119717E-2</v>
      </c>
      <c r="K180" s="50">
        <f t="shared" si="70"/>
        <v>3.4432484834348992E-2</v>
      </c>
      <c r="L180" s="50">
        <f t="shared" si="70"/>
        <v>3.8305304424032266E-2</v>
      </c>
      <c r="M180" s="50">
        <f t="shared" si="70"/>
        <v>4.1103790742913066E-2</v>
      </c>
      <c r="N180" s="50">
        <f t="shared" si="70"/>
        <v>4.2608444243851212E-2</v>
      </c>
      <c r="O180" s="50">
        <f t="shared" si="70"/>
        <v>4.3914681848814308E-2</v>
      </c>
      <c r="P180" s="50">
        <f t="shared" si="70"/>
        <v>4.5729867165388009E-2</v>
      </c>
      <c r="Q180" s="50">
        <f t="shared" si="70"/>
        <v>4.5741487779353565E-2</v>
      </c>
      <c r="R180" s="50">
        <f t="shared" si="70"/>
        <v>4.4277060725657284E-2</v>
      </c>
      <c r="S180" s="50">
        <f t="shared" si="70"/>
        <v>4.3144199391556254E-2</v>
      </c>
      <c r="T180" s="50">
        <f t="shared" si="70"/>
        <v>4.3279567369281124E-2</v>
      </c>
      <c r="U180" s="50">
        <f t="shared" si="70"/>
        <v>4.4109954506885138E-2</v>
      </c>
      <c r="V180" s="50">
        <f t="shared" si="70"/>
        <v>4.6298728840315946E-2</v>
      </c>
      <c r="W180" s="50">
        <f t="shared" si="70"/>
        <v>5.6176649878816001E-2</v>
      </c>
      <c r="X180" s="50">
        <f t="shared" si="70"/>
        <v>6.2194705000087863E-2</v>
      </c>
      <c r="Y180" s="50">
        <f t="shared" si="70"/>
        <v>5.7928891294023718E-2</v>
      </c>
      <c r="Z180" s="50">
        <f t="shared" si="70"/>
        <v>5.019499221712586E-2</v>
      </c>
      <c r="AA180" s="50">
        <f t="shared" si="70"/>
        <v>4.1853093029906328E-2</v>
      </c>
      <c r="AB180" s="50">
        <f t="shared" si="70"/>
        <v>3.507334666327714E-2</v>
      </c>
      <c r="AC180" s="8">
        <f>+SUM(E180:AB180)*D180</f>
        <v>3.9999999999999991</v>
      </c>
    </row>
    <row r="181" spans="2:29" outlineLevel="1">
      <c r="B181" s="16"/>
      <c r="C181" s="8" t="s">
        <v>48</v>
      </c>
      <c r="D181" s="8">
        <v>1</v>
      </c>
      <c r="E181" s="50">
        <f t="shared" ref="E181:AB181" si="71">+E121</f>
        <v>3.367503361886829E-2</v>
      </c>
      <c r="F181" s="50">
        <f t="shared" si="71"/>
        <v>3.1245692535415936E-2</v>
      </c>
      <c r="G181" s="50">
        <f t="shared" si="71"/>
        <v>2.9861746203171599E-2</v>
      </c>
      <c r="H181" s="50">
        <f t="shared" si="71"/>
        <v>2.9235019370742008E-2</v>
      </c>
      <c r="I181" s="50">
        <f t="shared" si="71"/>
        <v>3.0186379118294998E-2</v>
      </c>
      <c r="J181" s="50">
        <f t="shared" si="71"/>
        <v>3.3123682717801174E-2</v>
      </c>
      <c r="K181" s="50">
        <f t="shared" si="71"/>
        <v>3.5563630818173868E-2</v>
      </c>
      <c r="L181" s="50">
        <f t="shared" si="71"/>
        <v>3.7375437025807548E-2</v>
      </c>
      <c r="M181" s="50">
        <f t="shared" si="71"/>
        <v>3.9557895894381336E-2</v>
      </c>
      <c r="N181" s="50">
        <f t="shared" si="71"/>
        <v>4.1330002492198488E-2</v>
      </c>
      <c r="O181" s="50">
        <f t="shared" si="71"/>
        <v>4.3273465010057272E-2</v>
      </c>
      <c r="P181" s="50">
        <f t="shared" si="71"/>
        <v>4.5278417057592932E-2</v>
      </c>
      <c r="Q181" s="50">
        <f t="shared" si="71"/>
        <v>4.5765189585786785E-2</v>
      </c>
      <c r="R181" s="50">
        <f t="shared" si="71"/>
        <v>4.421428774797561E-2</v>
      </c>
      <c r="S181" s="50">
        <f t="shared" si="71"/>
        <v>4.3245429527174986E-2</v>
      </c>
      <c r="T181" s="50">
        <f t="shared" si="71"/>
        <v>4.3554999005074702E-2</v>
      </c>
      <c r="U181" s="50">
        <f t="shared" si="71"/>
        <v>4.4435510161992771E-2</v>
      </c>
      <c r="V181" s="50">
        <f t="shared" si="71"/>
        <v>4.717219114348542E-2</v>
      </c>
      <c r="W181" s="50">
        <f t="shared" si="71"/>
        <v>5.6899741232983039E-2</v>
      </c>
      <c r="X181" s="50">
        <f t="shared" si="71"/>
        <v>6.1986738769463187E-2</v>
      </c>
      <c r="Y181" s="50">
        <f t="shared" si="71"/>
        <v>5.7208700429979269E-2</v>
      </c>
      <c r="Z181" s="50">
        <f t="shared" si="71"/>
        <v>4.9339560702577757E-2</v>
      </c>
      <c r="AA181" s="50">
        <f t="shared" si="71"/>
        <v>4.1368944501432053E-2</v>
      </c>
      <c r="AB181" s="50">
        <f t="shared" si="71"/>
        <v>3.5102305329568817E-2</v>
      </c>
      <c r="AC181" s="8">
        <f>+SUM(E181:AB181)*D181</f>
        <v>0.99999999999999978</v>
      </c>
    </row>
    <row r="182" spans="2:29" outlineLevel="1">
      <c r="B182" s="12"/>
      <c r="C182" s="12" t="s">
        <v>15</v>
      </c>
      <c r="D182" s="12">
        <f>+SUM(D178:D181)</f>
        <v>31</v>
      </c>
      <c r="E182" s="19">
        <f>+SUMPRODUCT(E178:E181,$D178:$D181)</f>
        <v>0.93538664144714589</v>
      </c>
      <c r="F182" s="19">
        <f>+SUMPRODUCT(F178:F181,$D178:$D181)</f>
        <v>0.87944549990279586</v>
      </c>
      <c r="G182" s="19">
        <f t="shared" ref="G182:AB182" si="72">+SUMPRODUCT(G178:G181,$D178:$D181)</f>
        <v>0.84924413552264977</v>
      </c>
      <c r="H182" s="19">
        <f t="shared" si="72"/>
        <v>0.84584770596239522</v>
      </c>
      <c r="I182" s="19">
        <f t="shared" si="72"/>
        <v>0.90285570810245575</v>
      </c>
      <c r="J182" s="19">
        <f t="shared" si="72"/>
        <v>1.0457513241208891</v>
      </c>
      <c r="K182" s="19">
        <f t="shared" si="72"/>
        <v>1.1724648629473431</v>
      </c>
      <c r="L182" s="19">
        <f t="shared" si="72"/>
        <v>1.2173776961044029</v>
      </c>
      <c r="M182" s="19">
        <f t="shared" si="72"/>
        <v>1.2712357312034672</v>
      </c>
      <c r="N182" s="19">
        <f t="shared" si="72"/>
        <v>1.3116060874611379</v>
      </c>
      <c r="O182" s="19">
        <f t="shared" si="72"/>
        <v>1.3701352154250666</v>
      </c>
      <c r="P182" s="19">
        <f t="shared" si="72"/>
        <v>1.4339159348222767</v>
      </c>
      <c r="Q182" s="19">
        <f t="shared" si="72"/>
        <v>1.413765943993927</v>
      </c>
      <c r="R182" s="19">
        <f t="shared" si="72"/>
        <v>1.3656831769506608</v>
      </c>
      <c r="S182" s="19">
        <f t="shared" si="72"/>
        <v>1.3624816830704001</v>
      </c>
      <c r="T182" s="19">
        <f t="shared" si="72"/>
        <v>1.3879730305652143</v>
      </c>
      <c r="U182" s="19">
        <f t="shared" si="72"/>
        <v>1.4181162024828693</v>
      </c>
      <c r="V182" s="19">
        <f t="shared" si="72"/>
        <v>1.4815391908466324</v>
      </c>
      <c r="W182" s="19">
        <f t="shared" si="72"/>
        <v>1.7625801636788549</v>
      </c>
      <c r="X182" s="19">
        <f t="shared" si="72"/>
        <v>1.913866822535353</v>
      </c>
      <c r="Y182" s="19">
        <f t="shared" si="72"/>
        <v>1.7760994273401516</v>
      </c>
      <c r="Z182" s="19">
        <f t="shared" si="72"/>
        <v>1.5525498386796144</v>
      </c>
      <c r="AA182" s="19">
        <f t="shared" si="72"/>
        <v>1.2775035298464938</v>
      </c>
      <c r="AB182" s="19">
        <f t="shared" si="72"/>
        <v>1.0525744469878027</v>
      </c>
      <c r="AC182" s="12">
        <f>+SUM(E182:AB182)</f>
        <v>31.000000000000004</v>
      </c>
    </row>
    <row r="183" spans="2:29" outlineLevel="1">
      <c r="B183" s="15">
        <f>+EDATE(B178,1)</f>
        <v>45962</v>
      </c>
      <c r="C183" s="8" t="s">
        <v>45</v>
      </c>
      <c r="D183" s="8">
        <v>18</v>
      </c>
      <c r="E183" s="50">
        <f t="shared" ref="E183:AB183" si="73">+E123</f>
        <v>2.9361257124838391E-2</v>
      </c>
      <c r="F183" s="50">
        <f t="shared" si="73"/>
        <v>2.7692710332229715E-2</v>
      </c>
      <c r="G183" s="50">
        <f t="shared" si="73"/>
        <v>2.6785161397696527E-2</v>
      </c>
      <c r="H183" s="50">
        <f t="shared" si="73"/>
        <v>2.6786989368939883E-2</v>
      </c>
      <c r="I183" s="50">
        <f t="shared" si="73"/>
        <v>2.9135775177511477E-2</v>
      </c>
      <c r="J183" s="50">
        <f t="shared" si="73"/>
        <v>3.4540443856715661E-2</v>
      </c>
      <c r="K183" s="50">
        <f t="shared" si="73"/>
        <v>3.8789035252325646E-2</v>
      </c>
      <c r="L183" s="50">
        <f t="shared" si="73"/>
        <v>3.957865839345593E-2</v>
      </c>
      <c r="M183" s="50">
        <f t="shared" si="73"/>
        <v>4.0957538271781398E-2</v>
      </c>
      <c r="N183" s="50">
        <f t="shared" si="73"/>
        <v>4.2166920044863825E-2</v>
      </c>
      <c r="O183" s="50">
        <f t="shared" si="73"/>
        <v>4.4150374939633218E-2</v>
      </c>
      <c r="P183" s="50">
        <f t="shared" si="73"/>
        <v>4.6294816466469102E-2</v>
      </c>
      <c r="Q183" s="50">
        <f t="shared" si="73"/>
        <v>4.5431875959152102E-2</v>
      </c>
      <c r="R183" s="50">
        <f t="shared" si="73"/>
        <v>4.3879728503346101E-2</v>
      </c>
      <c r="S183" s="50">
        <f t="shared" si="73"/>
        <v>4.4118506624640258E-2</v>
      </c>
      <c r="T183" s="50">
        <f t="shared" si="73"/>
        <v>4.5188432655351718E-2</v>
      </c>
      <c r="U183" s="50">
        <f t="shared" si="73"/>
        <v>4.624302558461979E-2</v>
      </c>
      <c r="V183" s="50">
        <f t="shared" si="73"/>
        <v>4.8247238962955179E-2</v>
      </c>
      <c r="W183" s="50">
        <f t="shared" si="73"/>
        <v>5.7096885328092907E-2</v>
      </c>
      <c r="X183" s="50">
        <f t="shared" si="73"/>
        <v>6.1739938045350239E-2</v>
      </c>
      <c r="Y183" s="50">
        <f t="shared" si="73"/>
        <v>5.7231881517227232E-2</v>
      </c>
      <c r="Z183" s="50">
        <f t="shared" si="73"/>
        <v>5.0129255438435008E-2</v>
      </c>
      <c r="AA183" s="50">
        <f t="shared" si="73"/>
        <v>4.1010488221716553E-2</v>
      </c>
      <c r="AB183" s="50">
        <f t="shared" si="73"/>
        <v>3.34430625326523E-2</v>
      </c>
      <c r="AC183" s="8">
        <f>+SUM(E183:AB183)*D183</f>
        <v>18.000000000000004</v>
      </c>
    </row>
    <row r="184" spans="2:29" outlineLevel="1">
      <c r="B184" s="16"/>
      <c r="C184" s="8" t="s">
        <v>46</v>
      </c>
      <c r="D184" s="8">
        <v>5</v>
      </c>
      <c r="E184" s="50">
        <f t="shared" ref="E184:AB184" si="74">+E124</f>
        <v>3.0659473205105158E-2</v>
      </c>
      <c r="F184" s="50">
        <f t="shared" si="74"/>
        <v>2.8600001140869122E-2</v>
      </c>
      <c r="G184" s="50">
        <f t="shared" si="74"/>
        <v>2.7683858575034276E-2</v>
      </c>
      <c r="H184" s="50">
        <f t="shared" si="74"/>
        <v>2.7537802139610414E-2</v>
      </c>
      <c r="I184" s="50">
        <f t="shared" si="74"/>
        <v>2.8782539770184416E-2</v>
      </c>
      <c r="J184" s="50">
        <f t="shared" si="74"/>
        <v>3.2241585579716119E-2</v>
      </c>
      <c r="K184" s="50">
        <f t="shared" si="74"/>
        <v>3.645312931015221E-2</v>
      </c>
      <c r="L184" s="50">
        <f t="shared" si="74"/>
        <v>3.9012639181609042E-2</v>
      </c>
      <c r="M184" s="50">
        <f t="shared" si="74"/>
        <v>4.1549207589560662E-2</v>
      </c>
      <c r="N184" s="50">
        <f t="shared" si="74"/>
        <v>4.3042516751632572E-2</v>
      </c>
      <c r="O184" s="50">
        <f t="shared" si="74"/>
        <v>4.4973693586955334E-2</v>
      </c>
      <c r="P184" s="50">
        <f t="shared" si="74"/>
        <v>4.6808021710202923E-2</v>
      </c>
      <c r="Q184" s="50">
        <f t="shared" si="74"/>
        <v>4.6383383047344962E-2</v>
      </c>
      <c r="R184" s="50">
        <f t="shared" si="74"/>
        <v>4.4751654806610461E-2</v>
      </c>
      <c r="S184" s="50">
        <f t="shared" si="74"/>
        <v>4.4013077558728637E-2</v>
      </c>
      <c r="T184" s="50">
        <f t="shared" si="74"/>
        <v>4.428856091631931E-2</v>
      </c>
      <c r="U184" s="50">
        <f t="shared" si="74"/>
        <v>4.49735778579251E-2</v>
      </c>
      <c r="V184" s="50">
        <f t="shared" si="74"/>
        <v>4.6933206789217301E-2</v>
      </c>
      <c r="W184" s="50">
        <f t="shared" si="74"/>
        <v>5.6210586428141023E-2</v>
      </c>
      <c r="X184" s="50">
        <f t="shared" si="74"/>
        <v>6.1205656691958259E-2</v>
      </c>
      <c r="Y184" s="50">
        <f t="shared" si="74"/>
        <v>5.7018442088769522E-2</v>
      </c>
      <c r="Z184" s="50">
        <f t="shared" si="74"/>
        <v>4.9896672365740725E-2</v>
      </c>
      <c r="AA184" s="50">
        <f t="shared" si="74"/>
        <v>4.1622868086918119E-2</v>
      </c>
      <c r="AB184" s="50">
        <f t="shared" si="74"/>
        <v>3.5357844821693719E-2</v>
      </c>
      <c r="AC184" s="8">
        <f>+SUM(E184:AB184)*D184</f>
        <v>4.9999999999999964</v>
      </c>
    </row>
    <row r="185" spans="2:29" outlineLevel="1">
      <c r="B185" s="16"/>
      <c r="C185" s="8" t="s">
        <v>47</v>
      </c>
      <c r="D185" s="8">
        <v>5</v>
      </c>
      <c r="E185" s="50">
        <f t="shared" ref="E185:AB185" si="75">+E125</f>
        <v>3.3281514565353124E-2</v>
      </c>
      <c r="F185" s="50">
        <f t="shared" si="75"/>
        <v>3.1140043873712407E-2</v>
      </c>
      <c r="G185" s="50">
        <f t="shared" si="75"/>
        <v>2.984335106750436E-2</v>
      </c>
      <c r="H185" s="50">
        <f t="shared" si="75"/>
        <v>2.9286927979133532E-2</v>
      </c>
      <c r="I185" s="50">
        <f t="shared" si="75"/>
        <v>2.9138028999542646E-2</v>
      </c>
      <c r="J185" s="50">
        <f t="shared" si="75"/>
        <v>3.0942883559119717E-2</v>
      </c>
      <c r="K185" s="50">
        <f t="shared" si="75"/>
        <v>3.4432484834348992E-2</v>
      </c>
      <c r="L185" s="50">
        <f t="shared" si="75"/>
        <v>3.8305304424032266E-2</v>
      </c>
      <c r="M185" s="50">
        <f t="shared" si="75"/>
        <v>4.1103790742913066E-2</v>
      </c>
      <c r="N185" s="50">
        <f t="shared" si="75"/>
        <v>4.2608444243851212E-2</v>
      </c>
      <c r="O185" s="50">
        <f t="shared" si="75"/>
        <v>4.3914681848814308E-2</v>
      </c>
      <c r="P185" s="50">
        <f t="shared" si="75"/>
        <v>4.5729867165388009E-2</v>
      </c>
      <c r="Q185" s="50">
        <f t="shared" si="75"/>
        <v>4.5741487779353565E-2</v>
      </c>
      <c r="R185" s="50">
        <f t="shared" si="75"/>
        <v>4.4277060725657284E-2</v>
      </c>
      <c r="S185" s="50">
        <f t="shared" si="75"/>
        <v>4.3144199391556254E-2</v>
      </c>
      <c r="T185" s="50">
        <f t="shared" si="75"/>
        <v>4.3279567369281124E-2</v>
      </c>
      <c r="U185" s="50">
        <f t="shared" si="75"/>
        <v>4.4109954506885138E-2</v>
      </c>
      <c r="V185" s="50">
        <f t="shared" si="75"/>
        <v>4.6298728840315946E-2</v>
      </c>
      <c r="W185" s="50">
        <f t="shared" si="75"/>
        <v>5.6176649878816001E-2</v>
      </c>
      <c r="X185" s="50">
        <f t="shared" si="75"/>
        <v>6.2194705000087863E-2</v>
      </c>
      <c r="Y185" s="50">
        <f t="shared" si="75"/>
        <v>5.7928891294023718E-2</v>
      </c>
      <c r="Z185" s="50">
        <f t="shared" si="75"/>
        <v>5.019499221712586E-2</v>
      </c>
      <c r="AA185" s="50">
        <f t="shared" si="75"/>
        <v>4.1853093029906328E-2</v>
      </c>
      <c r="AB185" s="50">
        <f t="shared" si="75"/>
        <v>3.507334666327714E-2</v>
      </c>
      <c r="AC185" s="8">
        <f>+SUM(E185:AB185)*D185</f>
        <v>4.9999999999999991</v>
      </c>
    </row>
    <row r="186" spans="2:29" outlineLevel="1">
      <c r="B186" s="16"/>
      <c r="C186" s="8" t="s">
        <v>48</v>
      </c>
      <c r="D186" s="8">
        <v>2</v>
      </c>
      <c r="E186" s="50">
        <f t="shared" ref="E186:AB186" si="76">+E126</f>
        <v>3.367503361886829E-2</v>
      </c>
      <c r="F186" s="50">
        <f t="shared" si="76"/>
        <v>3.1245692535415936E-2</v>
      </c>
      <c r="G186" s="50">
        <f t="shared" si="76"/>
        <v>2.9861746203171599E-2</v>
      </c>
      <c r="H186" s="50">
        <f t="shared" si="76"/>
        <v>2.9235019370742008E-2</v>
      </c>
      <c r="I186" s="50">
        <f t="shared" si="76"/>
        <v>3.0186379118294998E-2</v>
      </c>
      <c r="J186" s="50">
        <f t="shared" si="76"/>
        <v>3.3123682717801174E-2</v>
      </c>
      <c r="K186" s="50">
        <f t="shared" si="76"/>
        <v>3.5563630818173868E-2</v>
      </c>
      <c r="L186" s="50">
        <f t="shared" si="76"/>
        <v>3.7375437025807548E-2</v>
      </c>
      <c r="M186" s="50">
        <f t="shared" si="76"/>
        <v>3.9557895894381336E-2</v>
      </c>
      <c r="N186" s="50">
        <f t="shared" si="76"/>
        <v>4.1330002492198488E-2</v>
      </c>
      <c r="O186" s="50">
        <f t="shared" si="76"/>
        <v>4.3273465010057272E-2</v>
      </c>
      <c r="P186" s="50">
        <f t="shared" si="76"/>
        <v>4.5278417057592932E-2</v>
      </c>
      <c r="Q186" s="50">
        <f t="shared" si="76"/>
        <v>4.5765189585786785E-2</v>
      </c>
      <c r="R186" s="50">
        <f t="shared" si="76"/>
        <v>4.421428774797561E-2</v>
      </c>
      <c r="S186" s="50">
        <f t="shared" si="76"/>
        <v>4.3245429527174986E-2</v>
      </c>
      <c r="T186" s="50">
        <f t="shared" si="76"/>
        <v>4.3554999005074702E-2</v>
      </c>
      <c r="U186" s="50">
        <f t="shared" si="76"/>
        <v>4.4435510161992771E-2</v>
      </c>
      <c r="V186" s="50">
        <f t="shared" si="76"/>
        <v>4.717219114348542E-2</v>
      </c>
      <c r="W186" s="50">
        <f t="shared" si="76"/>
        <v>5.6899741232983039E-2</v>
      </c>
      <c r="X186" s="50">
        <f t="shared" si="76"/>
        <v>6.1986738769463187E-2</v>
      </c>
      <c r="Y186" s="50">
        <f t="shared" si="76"/>
        <v>5.7208700429979269E-2</v>
      </c>
      <c r="Z186" s="50">
        <f t="shared" si="76"/>
        <v>4.9339560702577757E-2</v>
      </c>
      <c r="AA186" s="50">
        <f t="shared" si="76"/>
        <v>4.1368944501432053E-2</v>
      </c>
      <c r="AB186" s="50">
        <f t="shared" si="76"/>
        <v>3.5102305329568817E-2</v>
      </c>
      <c r="AC186" s="8">
        <f>+SUM(E186:AB186)*D186</f>
        <v>1.9999999999999996</v>
      </c>
    </row>
    <row r="187" spans="2:29" outlineLevel="1">
      <c r="B187" s="12"/>
      <c r="C187" s="12" t="s">
        <v>15</v>
      </c>
      <c r="D187" s="12">
        <f>+SUM(D183:D186)</f>
        <v>30</v>
      </c>
      <c r="E187" s="19">
        <f>+SUMPRODUCT(E183:E186,$D183:$D186)</f>
        <v>0.91555763433711912</v>
      </c>
      <c r="F187" s="19">
        <f>+SUMPRODUCT(F183:F186,$D183:$D186)</f>
        <v>0.85966039612387446</v>
      </c>
      <c r="G187" s="19">
        <f t="shared" ref="G187:AB187" si="77">+SUMPRODUCT(G183:G186,$D183:$D186)</f>
        <v>0.82949244577757386</v>
      </c>
      <c r="H187" s="19">
        <f t="shared" si="77"/>
        <v>0.82475949797612158</v>
      </c>
      <c r="I187" s="19">
        <f t="shared" si="77"/>
        <v>0.87441955528043191</v>
      </c>
      <c r="J187" s="19">
        <f t="shared" si="77"/>
        <v>1.0038977005506635</v>
      </c>
      <c r="K187" s="19">
        <f t="shared" si="77"/>
        <v>1.1237579669007152</v>
      </c>
      <c r="L187" s="19">
        <f t="shared" si="77"/>
        <v>1.1737564431620284</v>
      </c>
      <c r="M187" s="19">
        <f t="shared" si="77"/>
        <v>1.2296164723431964</v>
      </c>
      <c r="N187" s="19">
        <f t="shared" si="77"/>
        <v>1.2699193707693648</v>
      </c>
      <c r="O187" s="19">
        <f t="shared" si="77"/>
        <v>1.3256955561123607</v>
      </c>
      <c r="P187" s="19">
        <f t="shared" si="77"/>
        <v>1.3865529748895844</v>
      </c>
      <c r="Q187" s="19">
        <f t="shared" si="77"/>
        <v>1.3699285005698041</v>
      </c>
      <c r="R187" s="19">
        <f t="shared" si="77"/>
        <v>1.3234072662175198</v>
      </c>
      <c r="S187" s="19">
        <f t="shared" si="77"/>
        <v>1.3164103630492991</v>
      </c>
      <c r="T187" s="19">
        <f t="shared" si="77"/>
        <v>1.3383424272344824</v>
      </c>
      <c r="U187" s="19">
        <f t="shared" si="77"/>
        <v>1.3666631426711928</v>
      </c>
      <c r="V187" s="19">
        <f t="shared" si="77"/>
        <v>1.4289543617678304</v>
      </c>
      <c r="W187" s="19">
        <f t="shared" si="77"/>
        <v>1.7034795999064236</v>
      </c>
      <c r="X187" s="19">
        <f t="shared" si="77"/>
        <v>1.8522941708154612</v>
      </c>
      <c r="Y187" s="19">
        <f t="shared" si="77"/>
        <v>1.7193279350840149</v>
      </c>
      <c r="Z187" s="19">
        <f t="shared" si="77"/>
        <v>1.5014640422113186</v>
      </c>
      <c r="AA187" s="19">
        <f t="shared" si="77"/>
        <v>1.2383064825778842</v>
      </c>
      <c r="AB187" s="19">
        <f t="shared" si="77"/>
        <v>1.0243356936717334</v>
      </c>
      <c r="AC187" s="12">
        <f>+SUM(E187:AB187)</f>
        <v>29.999999999999996</v>
      </c>
    </row>
    <row r="188" spans="2:29" outlineLevel="1">
      <c r="B188" s="15">
        <f>+EDATE(B183,1)</f>
        <v>45992</v>
      </c>
      <c r="C188" s="8" t="s">
        <v>45</v>
      </c>
      <c r="D188" s="8">
        <v>21</v>
      </c>
      <c r="E188" s="50">
        <f t="shared" ref="E188:AB188" si="78">+E128</f>
        <v>2.9361257124838391E-2</v>
      </c>
      <c r="F188" s="50">
        <f t="shared" si="78"/>
        <v>2.7692710332229715E-2</v>
      </c>
      <c r="G188" s="50">
        <f t="shared" si="78"/>
        <v>2.6785161397696527E-2</v>
      </c>
      <c r="H188" s="50">
        <f t="shared" si="78"/>
        <v>2.6786989368939883E-2</v>
      </c>
      <c r="I188" s="50">
        <f t="shared" si="78"/>
        <v>2.9135775177511477E-2</v>
      </c>
      <c r="J188" s="50">
        <f t="shared" si="78"/>
        <v>3.4540443856715661E-2</v>
      </c>
      <c r="K188" s="50">
        <f t="shared" si="78"/>
        <v>3.8789035252325646E-2</v>
      </c>
      <c r="L188" s="50">
        <f t="shared" si="78"/>
        <v>3.957865839345593E-2</v>
      </c>
      <c r="M188" s="50">
        <f t="shared" si="78"/>
        <v>4.0957538271781398E-2</v>
      </c>
      <c r="N188" s="50">
        <f t="shared" si="78"/>
        <v>4.2166920044863825E-2</v>
      </c>
      <c r="O188" s="50">
        <f t="shared" si="78"/>
        <v>4.4150374939633218E-2</v>
      </c>
      <c r="P188" s="50">
        <f t="shared" si="78"/>
        <v>4.6294816466469102E-2</v>
      </c>
      <c r="Q188" s="50">
        <f t="shared" si="78"/>
        <v>4.5431875959152102E-2</v>
      </c>
      <c r="R188" s="50">
        <f t="shared" si="78"/>
        <v>4.3879728503346101E-2</v>
      </c>
      <c r="S188" s="50">
        <f t="shared" si="78"/>
        <v>4.4118506624640258E-2</v>
      </c>
      <c r="T188" s="50">
        <f t="shared" si="78"/>
        <v>4.5188432655351718E-2</v>
      </c>
      <c r="U188" s="50">
        <f t="shared" si="78"/>
        <v>4.624302558461979E-2</v>
      </c>
      <c r="V188" s="50">
        <f t="shared" si="78"/>
        <v>4.8247238962955179E-2</v>
      </c>
      <c r="W188" s="50">
        <f t="shared" si="78"/>
        <v>5.7096885328092907E-2</v>
      </c>
      <c r="X188" s="50">
        <f t="shared" si="78"/>
        <v>6.1739938045350239E-2</v>
      </c>
      <c r="Y188" s="50">
        <f t="shared" si="78"/>
        <v>5.7231881517227232E-2</v>
      </c>
      <c r="Z188" s="50">
        <f t="shared" si="78"/>
        <v>5.0129255438435008E-2</v>
      </c>
      <c r="AA188" s="50">
        <f t="shared" si="78"/>
        <v>4.1010488221716553E-2</v>
      </c>
      <c r="AB188" s="50">
        <f t="shared" si="78"/>
        <v>3.34430625326523E-2</v>
      </c>
      <c r="AC188" s="8">
        <f>+SUM(E188:AB188)*D188</f>
        <v>21.000000000000004</v>
      </c>
    </row>
    <row r="189" spans="2:29" outlineLevel="1">
      <c r="B189" s="16"/>
      <c r="C189" s="8" t="s">
        <v>46</v>
      </c>
      <c r="D189" s="8">
        <v>4</v>
      </c>
      <c r="E189" s="50">
        <f t="shared" ref="E189:AB189" si="79">+E129</f>
        <v>3.0659473205105158E-2</v>
      </c>
      <c r="F189" s="50">
        <f t="shared" si="79"/>
        <v>2.8600001140869122E-2</v>
      </c>
      <c r="G189" s="50">
        <f t="shared" si="79"/>
        <v>2.7683858575034276E-2</v>
      </c>
      <c r="H189" s="50">
        <f t="shared" si="79"/>
        <v>2.7537802139610414E-2</v>
      </c>
      <c r="I189" s="50">
        <f t="shared" si="79"/>
        <v>2.8782539770184416E-2</v>
      </c>
      <c r="J189" s="50">
        <f t="shared" si="79"/>
        <v>3.2241585579716119E-2</v>
      </c>
      <c r="K189" s="50">
        <f t="shared" si="79"/>
        <v>3.645312931015221E-2</v>
      </c>
      <c r="L189" s="50">
        <f t="shared" si="79"/>
        <v>3.9012639181609042E-2</v>
      </c>
      <c r="M189" s="50">
        <f t="shared" si="79"/>
        <v>4.1549207589560662E-2</v>
      </c>
      <c r="N189" s="50">
        <f t="shared" si="79"/>
        <v>4.3042516751632572E-2</v>
      </c>
      <c r="O189" s="50">
        <f t="shared" si="79"/>
        <v>4.4973693586955334E-2</v>
      </c>
      <c r="P189" s="50">
        <f t="shared" si="79"/>
        <v>4.6808021710202923E-2</v>
      </c>
      <c r="Q189" s="50">
        <f t="shared" si="79"/>
        <v>4.6383383047344962E-2</v>
      </c>
      <c r="R189" s="50">
        <f t="shared" si="79"/>
        <v>4.4751654806610461E-2</v>
      </c>
      <c r="S189" s="50">
        <f t="shared" si="79"/>
        <v>4.4013077558728637E-2</v>
      </c>
      <c r="T189" s="50">
        <f t="shared" si="79"/>
        <v>4.428856091631931E-2</v>
      </c>
      <c r="U189" s="50">
        <f t="shared" si="79"/>
        <v>4.49735778579251E-2</v>
      </c>
      <c r="V189" s="50">
        <f t="shared" si="79"/>
        <v>4.6933206789217301E-2</v>
      </c>
      <c r="W189" s="50">
        <f t="shared" si="79"/>
        <v>5.6210586428141023E-2</v>
      </c>
      <c r="X189" s="50">
        <f t="shared" si="79"/>
        <v>6.1205656691958259E-2</v>
      </c>
      <c r="Y189" s="50">
        <f t="shared" si="79"/>
        <v>5.7018442088769522E-2</v>
      </c>
      <c r="Z189" s="50">
        <f t="shared" si="79"/>
        <v>4.9896672365740725E-2</v>
      </c>
      <c r="AA189" s="50">
        <f t="shared" si="79"/>
        <v>4.1622868086918119E-2</v>
      </c>
      <c r="AB189" s="50">
        <f t="shared" si="79"/>
        <v>3.5357844821693719E-2</v>
      </c>
      <c r="AC189" s="8">
        <f>+SUM(E189:AB189)*D189</f>
        <v>3.9999999999999969</v>
      </c>
    </row>
    <row r="190" spans="2:29" outlineLevel="1">
      <c r="B190" s="16"/>
      <c r="C190" s="8" t="s">
        <v>47</v>
      </c>
      <c r="D190" s="8">
        <v>4</v>
      </c>
      <c r="E190" s="50">
        <f t="shared" ref="E190:AB190" si="80">+E130</f>
        <v>3.3281514565353124E-2</v>
      </c>
      <c r="F190" s="50">
        <f t="shared" si="80"/>
        <v>3.1140043873712407E-2</v>
      </c>
      <c r="G190" s="50">
        <f t="shared" si="80"/>
        <v>2.984335106750436E-2</v>
      </c>
      <c r="H190" s="50">
        <f t="shared" si="80"/>
        <v>2.9286927979133532E-2</v>
      </c>
      <c r="I190" s="50">
        <f t="shared" si="80"/>
        <v>2.9138028999542646E-2</v>
      </c>
      <c r="J190" s="50">
        <f t="shared" si="80"/>
        <v>3.0942883559119717E-2</v>
      </c>
      <c r="K190" s="50">
        <f t="shared" si="80"/>
        <v>3.4432484834348992E-2</v>
      </c>
      <c r="L190" s="50">
        <f t="shared" si="80"/>
        <v>3.8305304424032266E-2</v>
      </c>
      <c r="M190" s="50">
        <f t="shared" si="80"/>
        <v>4.1103790742913066E-2</v>
      </c>
      <c r="N190" s="50">
        <f t="shared" si="80"/>
        <v>4.2608444243851212E-2</v>
      </c>
      <c r="O190" s="50">
        <f t="shared" si="80"/>
        <v>4.3914681848814308E-2</v>
      </c>
      <c r="P190" s="50">
        <f t="shared" si="80"/>
        <v>4.5729867165388009E-2</v>
      </c>
      <c r="Q190" s="50">
        <f t="shared" si="80"/>
        <v>4.5741487779353565E-2</v>
      </c>
      <c r="R190" s="50">
        <f t="shared" si="80"/>
        <v>4.4277060725657284E-2</v>
      </c>
      <c r="S190" s="50">
        <f t="shared" si="80"/>
        <v>4.3144199391556254E-2</v>
      </c>
      <c r="T190" s="50">
        <f t="shared" si="80"/>
        <v>4.3279567369281124E-2</v>
      </c>
      <c r="U190" s="50">
        <f t="shared" si="80"/>
        <v>4.4109954506885138E-2</v>
      </c>
      <c r="V190" s="50">
        <f t="shared" si="80"/>
        <v>4.6298728840315946E-2</v>
      </c>
      <c r="W190" s="50">
        <f t="shared" si="80"/>
        <v>5.6176649878816001E-2</v>
      </c>
      <c r="X190" s="50">
        <f t="shared" si="80"/>
        <v>6.2194705000087863E-2</v>
      </c>
      <c r="Y190" s="50">
        <f t="shared" si="80"/>
        <v>5.7928891294023718E-2</v>
      </c>
      <c r="Z190" s="50">
        <f t="shared" si="80"/>
        <v>5.019499221712586E-2</v>
      </c>
      <c r="AA190" s="50">
        <f t="shared" si="80"/>
        <v>4.1853093029906328E-2</v>
      </c>
      <c r="AB190" s="50">
        <f t="shared" si="80"/>
        <v>3.507334666327714E-2</v>
      </c>
      <c r="AC190" s="8">
        <f>+SUM(E190:AB190)*D190</f>
        <v>3.9999999999999991</v>
      </c>
    </row>
    <row r="191" spans="2:29" outlineLevel="1">
      <c r="B191" s="16"/>
      <c r="C191" s="8" t="s">
        <v>48</v>
      </c>
      <c r="D191" s="8">
        <v>2</v>
      </c>
      <c r="E191" s="50">
        <f t="shared" ref="E191:AB191" si="81">+E131</f>
        <v>3.367503361886829E-2</v>
      </c>
      <c r="F191" s="50">
        <f t="shared" si="81"/>
        <v>3.1245692535415936E-2</v>
      </c>
      <c r="G191" s="50">
        <f t="shared" si="81"/>
        <v>2.9861746203171599E-2</v>
      </c>
      <c r="H191" s="50">
        <f t="shared" si="81"/>
        <v>2.9235019370742008E-2</v>
      </c>
      <c r="I191" s="50">
        <f t="shared" si="81"/>
        <v>3.0186379118294998E-2</v>
      </c>
      <c r="J191" s="50">
        <f t="shared" si="81"/>
        <v>3.3123682717801174E-2</v>
      </c>
      <c r="K191" s="50">
        <f t="shared" si="81"/>
        <v>3.5563630818173868E-2</v>
      </c>
      <c r="L191" s="50">
        <f t="shared" si="81"/>
        <v>3.7375437025807548E-2</v>
      </c>
      <c r="M191" s="50">
        <f t="shared" si="81"/>
        <v>3.9557895894381336E-2</v>
      </c>
      <c r="N191" s="50">
        <f t="shared" si="81"/>
        <v>4.1330002492198488E-2</v>
      </c>
      <c r="O191" s="50">
        <f t="shared" si="81"/>
        <v>4.3273465010057272E-2</v>
      </c>
      <c r="P191" s="50">
        <f t="shared" si="81"/>
        <v>4.5278417057592932E-2</v>
      </c>
      <c r="Q191" s="50">
        <f t="shared" si="81"/>
        <v>4.5765189585786785E-2</v>
      </c>
      <c r="R191" s="50">
        <f t="shared" si="81"/>
        <v>4.421428774797561E-2</v>
      </c>
      <c r="S191" s="50">
        <f t="shared" si="81"/>
        <v>4.3245429527174986E-2</v>
      </c>
      <c r="T191" s="50">
        <f t="shared" si="81"/>
        <v>4.3554999005074702E-2</v>
      </c>
      <c r="U191" s="50">
        <f t="shared" si="81"/>
        <v>4.4435510161992771E-2</v>
      </c>
      <c r="V191" s="50">
        <f t="shared" si="81"/>
        <v>4.717219114348542E-2</v>
      </c>
      <c r="W191" s="50">
        <f t="shared" si="81"/>
        <v>5.6899741232983039E-2</v>
      </c>
      <c r="X191" s="50">
        <f t="shared" si="81"/>
        <v>6.1986738769463187E-2</v>
      </c>
      <c r="Y191" s="50">
        <f t="shared" si="81"/>
        <v>5.7208700429979269E-2</v>
      </c>
      <c r="Z191" s="50">
        <f t="shared" si="81"/>
        <v>4.9339560702577757E-2</v>
      </c>
      <c r="AA191" s="50">
        <f t="shared" si="81"/>
        <v>4.1368944501432053E-2</v>
      </c>
      <c r="AB191" s="50">
        <f t="shared" si="81"/>
        <v>3.5102305329568817E-2</v>
      </c>
      <c r="AC191" s="8">
        <f>+SUM(E191:AB191)*D191</f>
        <v>1.9999999999999996</v>
      </c>
    </row>
    <row r="192" spans="2:29" outlineLevel="1">
      <c r="B192" s="12"/>
      <c r="C192" s="12" t="s">
        <v>15</v>
      </c>
      <c r="D192" s="12">
        <f>+SUM(D188:D191)</f>
        <v>31</v>
      </c>
      <c r="E192" s="19">
        <f>+SUMPRODUCT(E188:E191,$D188:$D191)</f>
        <v>0.93970041794117598</v>
      </c>
      <c r="F192" s="19">
        <f>+SUMPRODUCT(F188:F191,$D188:$D191)</f>
        <v>0.88299848210598197</v>
      </c>
      <c r="G192" s="19">
        <f t="shared" ref="G192:AB192" si="82">+SUMPRODUCT(G188:G191,$D188:$D191)</f>
        <v>0.85232072032812478</v>
      </c>
      <c r="H192" s="19">
        <f t="shared" si="82"/>
        <v>0.84829573596419738</v>
      </c>
      <c r="I192" s="19">
        <f t="shared" si="82"/>
        <v>0.90390631204323935</v>
      </c>
      <c r="J192" s="19">
        <f t="shared" si="82"/>
        <v>1.0443345629819747</v>
      </c>
      <c r="K192" s="19">
        <f t="shared" si="82"/>
        <v>1.1692394585131909</v>
      </c>
      <c r="L192" s="19">
        <f t="shared" si="82"/>
        <v>1.215174474736755</v>
      </c>
      <c r="M192" s="19">
        <f t="shared" si="82"/>
        <v>1.2698360888260669</v>
      </c>
      <c r="N192" s="19">
        <f t="shared" si="82"/>
        <v>1.3107691699084727</v>
      </c>
      <c r="O192" s="19">
        <f t="shared" si="82"/>
        <v>1.3692583054954905</v>
      </c>
      <c r="P192" s="19">
        <f t="shared" si="82"/>
        <v>1.4328995354134009</v>
      </c>
      <c r="Q192" s="19">
        <f t="shared" si="82"/>
        <v>1.4140992576205618</v>
      </c>
      <c r="R192" s="19">
        <f t="shared" si="82"/>
        <v>1.3660177361952903</v>
      </c>
      <c r="S192" s="19">
        <f t="shared" si="82"/>
        <v>1.3616086059729351</v>
      </c>
      <c r="T192" s="19">
        <f t="shared" si="82"/>
        <v>1.3863395969149375</v>
      </c>
      <c r="U192" s="19">
        <f t="shared" si="82"/>
        <v>1.4163086870602422</v>
      </c>
      <c r="V192" s="19">
        <f t="shared" si="82"/>
        <v>1.4804641430271626</v>
      </c>
      <c r="W192" s="19">
        <f t="shared" si="82"/>
        <v>1.7623830195837451</v>
      </c>
      <c r="X192" s="19">
        <f t="shared" si="82"/>
        <v>1.914113623259466</v>
      </c>
      <c r="Y192" s="19">
        <f t="shared" si="82"/>
        <v>1.7760762462529034</v>
      </c>
      <c r="Z192" s="19">
        <f t="shared" si="82"/>
        <v>1.5517601439437572</v>
      </c>
      <c r="AA192" s="19">
        <f t="shared" si="82"/>
        <v>1.2778619861262095</v>
      </c>
      <c r="AB192" s="19">
        <f t="shared" si="82"/>
        <v>1.0542336897847193</v>
      </c>
      <c r="AC192" s="12">
        <f>+SUM(E192:AB192)</f>
        <v>30.999999999999996</v>
      </c>
    </row>
    <row r="193" spans="2:29" outlineLevel="1" collapsed="1">
      <c r="B193" s="15">
        <f>+EDATE(B188,1)</f>
        <v>46023</v>
      </c>
      <c r="C193" s="8" t="s">
        <v>45</v>
      </c>
      <c r="D193" s="8">
        <v>20</v>
      </c>
      <c r="E193" s="50">
        <f t="shared" ref="E193:AB193" si="83">+E133</f>
        <v>2.9361257124838391E-2</v>
      </c>
      <c r="F193" s="50">
        <f t="shared" si="83"/>
        <v>2.7692710332229715E-2</v>
      </c>
      <c r="G193" s="50">
        <f t="shared" si="83"/>
        <v>2.6785161397696527E-2</v>
      </c>
      <c r="H193" s="50">
        <f t="shared" si="83"/>
        <v>2.6786989368939883E-2</v>
      </c>
      <c r="I193" s="50">
        <f t="shared" si="83"/>
        <v>2.9135775177511477E-2</v>
      </c>
      <c r="J193" s="50">
        <f t="shared" si="83"/>
        <v>3.4540443856715661E-2</v>
      </c>
      <c r="K193" s="50">
        <f t="shared" si="83"/>
        <v>3.8789035252325646E-2</v>
      </c>
      <c r="L193" s="50">
        <f t="shared" si="83"/>
        <v>3.957865839345593E-2</v>
      </c>
      <c r="M193" s="50">
        <f t="shared" si="83"/>
        <v>4.0957538271781398E-2</v>
      </c>
      <c r="N193" s="50">
        <f t="shared" si="83"/>
        <v>4.2166920044863825E-2</v>
      </c>
      <c r="O193" s="50">
        <f t="shared" si="83"/>
        <v>4.4150374939633218E-2</v>
      </c>
      <c r="P193" s="50">
        <f t="shared" si="83"/>
        <v>4.6294816466469102E-2</v>
      </c>
      <c r="Q193" s="50">
        <f t="shared" si="83"/>
        <v>4.5431875959152102E-2</v>
      </c>
      <c r="R193" s="50">
        <f t="shared" si="83"/>
        <v>4.3879728503346101E-2</v>
      </c>
      <c r="S193" s="50">
        <f t="shared" si="83"/>
        <v>4.4118506624640258E-2</v>
      </c>
      <c r="T193" s="50">
        <f t="shared" si="83"/>
        <v>4.5188432655351718E-2</v>
      </c>
      <c r="U193" s="50">
        <f t="shared" si="83"/>
        <v>4.624302558461979E-2</v>
      </c>
      <c r="V193" s="50">
        <f t="shared" si="83"/>
        <v>4.8247238962955179E-2</v>
      </c>
      <c r="W193" s="50">
        <f t="shared" si="83"/>
        <v>5.7096885328092907E-2</v>
      </c>
      <c r="X193" s="50">
        <f t="shared" si="83"/>
        <v>6.1739938045350239E-2</v>
      </c>
      <c r="Y193" s="50">
        <f t="shared" si="83"/>
        <v>5.7231881517227232E-2</v>
      </c>
      <c r="Z193" s="50">
        <f t="shared" si="83"/>
        <v>5.0129255438435008E-2</v>
      </c>
      <c r="AA193" s="50">
        <f t="shared" si="83"/>
        <v>4.1010488221716553E-2</v>
      </c>
      <c r="AB193" s="50">
        <f t="shared" si="83"/>
        <v>3.34430625326523E-2</v>
      </c>
      <c r="AC193" s="8">
        <f>+SUM(E193:AB193)*D193</f>
        <v>20.000000000000004</v>
      </c>
    </row>
    <row r="194" spans="2:29" outlineLevel="1">
      <c r="B194" s="16"/>
      <c r="C194" s="8" t="s">
        <v>46</v>
      </c>
      <c r="D194" s="8">
        <v>5</v>
      </c>
      <c r="E194" s="50">
        <f t="shared" ref="E194:AB194" si="84">+E134</f>
        <v>3.0659473205105158E-2</v>
      </c>
      <c r="F194" s="50">
        <f t="shared" si="84"/>
        <v>2.8600001140869122E-2</v>
      </c>
      <c r="G194" s="50">
        <f t="shared" si="84"/>
        <v>2.7683858575034276E-2</v>
      </c>
      <c r="H194" s="50">
        <f t="shared" si="84"/>
        <v>2.7537802139610414E-2</v>
      </c>
      <c r="I194" s="50">
        <f t="shared" si="84"/>
        <v>2.8782539770184416E-2</v>
      </c>
      <c r="J194" s="50">
        <f t="shared" si="84"/>
        <v>3.2241585579716119E-2</v>
      </c>
      <c r="K194" s="50">
        <f t="shared" si="84"/>
        <v>3.645312931015221E-2</v>
      </c>
      <c r="L194" s="50">
        <f t="shared" si="84"/>
        <v>3.9012639181609042E-2</v>
      </c>
      <c r="M194" s="50">
        <f t="shared" si="84"/>
        <v>4.1549207589560662E-2</v>
      </c>
      <c r="N194" s="50">
        <f t="shared" si="84"/>
        <v>4.3042516751632572E-2</v>
      </c>
      <c r="O194" s="50">
        <f t="shared" si="84"/>
        <v>4.4973693586955334E-2</v>
      </c>
      <c r="P194" s="50">
        <f t="shared" si="84"/>
        <v>4.6808021710202923E-2</v>
      </c>
      <c r="Q194" s="50">
        <f t="shared" si="84"/>
        <v>4.6383383047344962E-2</v>
      </c>
      <c r="R194" s="50">
        <f t="shared" si="84"/>
        <v>4.4751654806610461E-2</v>
      </c>
      <c r="S194" s="50">
        <f t="shared" si="84"/>
        <v>4.4013077558728637E-2</v>
      </c>
      <c r="T194" s="50">
        <f t="shared" si="84"/>
        <v>4.428856091631931E-2</v>
      </c>
      <c r="U194" s="50">
        <f t="shared" si="84"/>
        <v>4.49735778579251E-2</v>
      </c>
      <c r="V194" s="50">
        <f t="shared" si="84"/>
        <v>4.6933206789217301E-2</v>
      </c>
      <c r="W194" s="50">
        <f t="shared" si="84"/>
        <v>5.6210586428141023E-2</v>
      </c>
      <c r="X194" s="50">
        <f t="shared" si="84"/>
        <v>6.1205656691958259E-2</v>
      </c>
      <c r="Y194" s="50">
        <f t="shared" si="84"/>
        <v>5.7018442088769522E-2</v>
      </c>
      <c r="Z194" s="50">
        <f t="shared" si="84"/>
        <v>4.9896672365740725E-2</v>
      </c>
      <c r="AA194" s="50">
        <f t="shared" si="84"/>
        <v>4.1622868086918119E-2</v>
      </c>
      <c r="AB194" s="50">
        <f t="shared" si="84"/>
        <v>3.5357844821693719E-2</v>
      </c>
      <c r="AC194" s="8">
        <f>+SUM(E194:AB194)*D194</f>
        <v>4.9999999999999964</v>
      </c>
    </row>
    <row r="195" spans="2:29" outlineLevel="1">
      <c r="B195" s="16"/>
      <c r="C195" s="8" t="s">
        <v>47</v>
      </c>
      <c r="D195" s="8">
        <v>4</v>
      </c>
      <c r="E195" s="50">
        <f t="shared" ref="E195:AB195" si="85">+E135</f>
        <v>3.3281514565353124E-2</v>
      </c>
      <c r="F195" s="50">
        <f t="shared" si="85"/>
        <v>3.1140043873712407E-2</v>
      </c>
      <c r="G195" s="50">
        <f t="shared" si="85"/>
        <v>2.984335106750436E-2</v>
      </c>
      <c r="H195" s="50">
        <f t="shared" si="85"/>
        <v>2.9286927979133532E-2</v>
      </c>
      <c r="I195" s="50">
        <f t="shared" si="85"/>
        <v>2.9138028999542646E-2</v>
      </c>
      <c r="J195" s="50">
        <f t="shared" si="85"/>
        <v>3.0942883559119717E-2</v>
      </c>
      <c r="K195" s="50">
        <f t="shared" si="85"/>
        <v>3.4432484834348992E-2</v>
      </c>
      <c r="L195" s="50">
        <f t="shared" si="85"/>
        <v>3.8305304424032266E-2</v>
      </c>
      <c r="M195" s="50">
        <f t="shared" si="85"/>
        <v>4.1103790742913066E-2</v>
      </c>
      <c r="N195" s="50">
        <f t="shared" si="85"/>
        <v>4.2608444243851212E-2</v>
      </c>
      <c r="O195" s="50">
        <f t="shared" si="85"/>
        <v>4.3914681848814308E-2</v>
      </c>
      <c r="P195" s="50">
        <f t="shared" si="85"/>
        <v>4.5729867165388009E-2</v>
      </c>
      <c r="Q195" s="50">
        <f t="shared" si="85"/>
        <v>4.5741487779353565E-2</v>
      </c>
      <c r="R195" s="50">
        <f t="shared" si="85"/>
        <v>4.4277060725657284E-2</v>
      </c>
      <c r="S195" s="50">
        <f t="shared" si="85"/>
        <v>4.3144199391556254E-2</v>
      </c>
      <c r="T195" s="50">
        <f t="shared" si="85"/>
        <v>4.3279567369281124E-2</v>
      </c>
      <c r="U195" s="50">
        <f t="shared" si="85"/>
        <v>4.4109954506885138E-2</v>
      </c>
      <c r="V195" s="50">
        <f t="shared" si="85"/>
        <v>4.6298728840315946E-2</v>
      </c>
      <c r="W195" s="50">
        <f t="shared" si="85"/>
        <v>5.6176649878816001E-2</v>
      </c>
      <c r="X195" s="50">
        <f t="shared" si="85"/>
        <v>6.2194705000087863E-2</v>
      </c>
      <c r="Y195" s="50">
        <f t="shared" si="85"/>
        <v>5.7928891294023718E-2</v>
      </c>
      <c r="Z195" s="50">
        <f t="shared" si="85"/>
        <v>5.019499221712586E-2</v>
      </c>
      <c r="AA195" s="50">
        <f t="shared" si="85"/>
        <v>4.1853093029906328E-2</v>
      </c>
      <c r="AB195" s="50">
        <f t="shared" si="85"/>
        <v>3.507334666327714E-2</v>
      </c>
      <c r="AC195" s="8">
        <f>+SUM(E195:AB195)*D195</f>
        <v>3.9999999999999991</v>
      </c>
    </row>
    <row r="196" spans="2:29" outlineLevel="1">
      <c r="B196" s="16"/>
      <c r="C196" s="8" t="s">
        <v>48</v>
      </c>
      <c r="D196" s="8">
        <v>2</v>
      </c>
      <c r="E196" s="50">
        <f t="shared" ref="E196:AB196" si="86">+E136</f>
        <v>3.367503361886829E-2</v>
      </c>
      <c r="F196" s="50">
        <f t="shared" si="86"/>
        <v>3.1245692535415936E-2</v>
      </c>
      <c r="G196" s="50">
        <f t="shared" si="86"/>
        <v>2.9861746203171599E-2</v>
      </c>
      <c r="H196" s="50">
        <f t="shared" si="86"/>
        <v>2.9235019370742008E-2</v>
      </c>
      <c r="I196" s="50">
        <f t="shared" si="86"/>
        <v>3.0186379118294998E-2</v>
      </c>
      <c r="J196" s="50">
        <f t="shared" si="86"/>
        <v>3.3123682717801174E-2</v>
      </c>
      <c r="K196" s="50">
        <f t="shared" si="86"/>
        <v>3.5563630818173868E-2</v>
      </c>
      <c r="L196" s="50">
        <f t="shared" si="86"/>
        <v>3.7375437025807548E-2</v>
      </c>
      <c r="M196" s="50">
        <f t="shared" si="86"/>
        <v>3.9557895894381336E-2</v>
      </c>
      <c r="N196" s="50">
        <f t="shared" si="86"/>
        <v>4.1330002492198488E-2</v>
      </c>
      <c r="O196" s="50">
        <f t="shared" si="86"/>
        <v>4.3273465010057272E-2</v>
      </c>
      <c r="P196" s="50">
        <f t="shared" si="86"/>
        <v>4.5278417057592932E-2</v>
      </c>
      <c r="Q196" s="50">
        <f t="shared" si="86"/>
        <v>4.5765189585786785E-2</v>
      </c>
      <c r="R196" s="50">
        <f t="shared" si="86"/>
        <v>4.421428774797561E-2</v>
      </c>
      <c r="S196" s="50">
        <f t="shared" si="86"/>
        <v>4.3245429527174986E-2</v>
      </c>
      <c r="T196" s="50">
        <f t="shared" si="86"/>
        <v>4.3554999005074702E-2</v>
      </c>
      <c r="U196" s="50">
        <f t="shared" si="86"/>
        <v>4.4435510161992771E-2</v>
      </c>
      <c r="V196" s="50">
        <f t="shared" si="86"/>
        <v>4.717219114348542E-2</v>
      </c>
      <c r="W196" s="50">
        <f t="shared" si="86"/>
        <v>5.6899741232983039E-2</v>
      </c>
      <c r="X196" s="50">
        <f t="shared" si="86"/>
        <v>6.1986738769463187E-2</v>
      </c>
      <c r="Y196" s="50">
        <f t="shared" si="86"/>
        <v>5.7208700429979269E-2</v>
      </c>
      <c r="Z196" s="50">
        <f t="shared" si="86"/>
        <v>4.9339560702577757E-2</v>
      </c>
      <c r="AA196" s="50">
        <f t="shared" si="86"/>
        <v>4.1368944501432053E-2</v>
      </c>
      <c r="AB196" s="50">
        <f t="shared" si="86"/>
        <v>3.5102305329568817E-2</v>
      </c>
      <c r="AC196" s="8">
        <f>+SUM(E196:AB196)*D196</f>
        <v>1.9999999999999996</v>
      </c>
    </row>
    <row r="197" spans="2:29" outlineLevel="1">
      <c r="B197" s="12"/>
      <c r="C197" s="12" t="s">
        <v>15</v>
      </c>
      <c r="D197" s="12">
        <f>+SUM(D193:D196)</f>
        <v>31</v>
      </c>
      <c r="E197" s="19">
        <f>+SUMPRODUCT(E193:E196,$D193:$D196)</f>
        <v>0.94099863402144279</v>
      </c>
      <c r="F197" s="19">
        <f>+SUMPRODUCT(F193:F196,$D193:$D196)</f>
        <v>0.88390577291462136</v>
      </c>
      <c r="G197" s="19">
        <f t="shared" ref="G197:AB197" si="87">+SUMPRODUCT(G193:G196,$D193:$D196)</f>
        <v>0.8532194175054626</v>
      </c>
      <c r="H197" s="19">
        <f t="shared" si="87"/>
        <v>0.84904654873486796</v>
      </c>
      <c r="I197" s="19">
        <f t="shared" si="87"/>
        <v>0.90355307663591211</v>
      </c>
      <c r="J197" s="19">
        <f t="shared" si="87"/>
        <v>1.0420357047049751</v>
      </c>
      <c r="K197" s="19">
        <f t="shared" si="87"/>
        <v>1.1669035525710176</v>
      </c>
      <c r="L197" s="19">
        <f t="shared" si="87"/>
        <v>1.2146084555249079</v>
      </c>
      <c r="M197" s="19">
        <f t="shared" si="87"/>
        <v>1.2704277581438459</v>
      </c>
      <c r="N197" s="19">
        <f t="shared" si="87"/>
        <v>1.3116447666152413</v>
      </c>
      <c r="O197" s="19">
        <f t="shared" si="87"/>
        <v>1.3700816241428129</v>
      </c>
      <c r="P197" s="19">
        <f t="shared" si="87"/>
        <v>1.4334127406571346</v>
      </c>
      <c r="Q197" s="19">
        <f t="shared" si="87"/>
        <v>1.4150507647087547</v>
      </c>
      <c r="R197" s="19">
        <f t="shared" si="87"/>
        <v>1.3668896624985547</v>
      </c>
      <c r="S197" s="19">
        <f t="shared" si="87"/>
        <v>1.3615031769070234</v>
      </c>
      <c r="T197" s="19">
        <f t="shared" si="87"/>
        <v>1.385439725175905</v>
      </c>
      <c r="U197" s="19">
        <f t="shared" si="87"/>
        <v>1.4150392393335474</v>
      </c>
      <c r="V197" s="19">
        <f t="shared" si="87"/>
        <v>1.4791501108534248</v>
      </c>
      <c r="W197" s="19">
        <f t="shared" si="87"/>
        <v>1.7614967206837933</v>
      </c>
      <c r="X197" s="19">
        <f t="shared" si="87"/>
        <v>1.9135793419060738</v>
      </c>
      <c r="Y197" s="19">
        <f t="shared" si="87"/>
        <v>1.7758628068244457</v>
      </c>
      <c r="Z197" s="19">
        <f t="shared" si="87"/>
        <v>1.5515275608710626</v>
      </c>
      <c r="AA197" s="19">
        <f t="shared" si="87"/>
        <v>1.2784743659914108</v>
      </c>
      <c r="AB197" s="19">
        <f t="shared" si="87"/>
        <v>1.0561484720737608</v>
      </c>
      <c r="AC197" s="12">
        <f>+SUM(E197:AB197)</f>
        <v>31.000000000000007</v>
      </c>
    </row>
    <row r="198" spans="2:29" outlineLevel="1">
      <c r="B198" s="15">
        <f>+EDATE(B193,1)</f>
        <v>46054</v>
      </c>
      <c r="C198" s="8" t="s">
        <v>45</v>
      </c>
      <c r="D198" s="8">
        <v>20</v>
      </c>
      <c r="E198" s="50">
        <f>+E138</f>
        <v>2.9361257124838391E-2</v>
      </c>
      <c r="F198" s="50">
        <f t="shared" ref="F198:AB198" si="88">+F138</f>
        <v>2.7692710332229715E-2</v>
      </c>
      <c r="G198" s="50">
        <f t="shared" si="88"/>
        <v>2.6785161397696527E-2</v>
      </c>
      <c r="H198" s="50">
        <f t="shared" si="88"/>
        <v>2.6786989368939883E-2</v>
      </c>
      <c r="I198" s="50">
        <f t="shared" si="88"/>
        <v>2.9135775177511477E-2</v>
      </c>
      <c r="J198" s="50">
        <f t="shared" si="88"/>
        <v>3.4540443856715661E-2</v>
      </c>
      <c r="K198" s="50">
        <f t="shared" si="88"/>
        <v>3.8789035252325646E-2</v>
      </c>
      <c r="L198" s="50">
        <f t="shared" si="88"/>
        <v>3.957865839345593E-2</v>
      </c>
      <c r="M198" s="50">
        <f t="shared" si="88"/>
        <v>4.0957538271781398E-2</v>
      </c>
      <c r="N198" s="50">
        <f t="shared" si="88"/>
        <v>4.2166920044863825E-2</v>
      </c>
      <c r="O198" s="50">
        <f t="shared" si="88"/>
        <v>4.4150374939633218E-2</v>
      </c>
      <c r="P198" s="50">
        <f t="shared" si="88"/>
        <v>4.6294816466469102E-2</v>
      </c>
      <c r="Q198" s="50">
        <f t="shared" si="88"/>
        <v>4.5431875959152102E-2</v>
      </c>
      <c r="R198" s="50">
        <f t="shared" si="88"/>
        <v>4.3879728503346101E-2</v>
      </c>
      <c r="S198" s="50">
        <f t="shared" si="88"/>
        <v>4.4118506624640258E-2</v>
      </c>
      <c r="T198" s="50">
        <f t="shared" si="88"/>
        <v>4.5188432655351718E-2</v>
      </c>
      <c r="U198" s="50">
        <f t="shared" si="88"/>
        <v>4.624302558461979E-2</v>
      </c>
      <c r="V198" s="50">
        <f t="shared" si="88"/>
        <v>4.8247238962955179E-2</v>
      </c>
      <c r="W198" s="50">
        <f t="shared" si="88"/>
        <v>5.7096885328092907E-2</v>
      </c>
      <c r="X198" s="50">
        <f t="shared" si="88"/>
        <v>6.1739938045350239E-2</v>
      </c>
      <c r="Y198" s="50">
        <f t="shared" si="88"/>
        <v>5.7231881517227232E-2</v>
      </c>
      <c r="Z198" s="50">
        <f t="shared" si="88"/>
        <v>5.0129255438435008E-2</v>
      </c>
      <c r="AA198" s="50">
        <f t="shared" si="88"/>
        <v>4.1010488221716553E-2</v>
      </c>
      <c r="AB198" s="50">
        <f t="shared" si="88"/>
        <v>3.34430625326523E-2</v>
      </c>
      <c r="AC198" s="8">
        <f>+SUM(E198:AB198)*D198</f>
        <v>20.000000000000004</v>
      </c>
    </row>
    <row r="199" spans="2:29" outlineLevel="1">
      <c r="B199" s="16"/>
      <c r="C199" s="8" t="s">
        <v>46</v>
      </c>
      <c r="D199" s="8">
        <v>4</v>
      </c>
      <c r="E199" s="50">
        <f t="shared" ref="E199:AB199" si="89">+E139</f>
        <v>3.0659473205105158E-2</v>
      </c>
      <c r="F199" s="50">
        <f t="shared" si="89"/>
        <v>2.8600001140869122E-2</v>
      </c>
      <c r="G199" s="50">
        <f t="shared" si="89"/>
        <v>2.7683858575034276E-2</v>
      </c>
      <c r="H199" s="50">
        <f t="shared" si="89"/>
        <v>2.7537802139610414E-2</v>
      </c>
      <c r="I199" s="50">
        <f t="shared" si="89"/>
        <v>2.8782539770184416E-2</v>
      </c>
      <c r="J199" s="50">
        <f t="shared" si="89"/>
        <v>3.2241585579716119E-2</v>
      </c>
      <c r="K199" s="50">
        <f t="shared" si="89"/>
        <v>3.645312931015221E-2</v>
      </c>
      <c r="L199" s="50">
        <f t="shared" si="89"/>
        <v>3.9012639181609042E-2</v>
      </c>
      <c r="M199" s="50">
        <f t="shared" si="89"/>
        <v>4.1549207589560662E-2</v>
      </c>
      <c r="N199" s="50">
        <f t="shared" si="89"/>
        <v>4.3042516751632572E-2</v>
      </c>
      <c r="O199" s="50">
        <f t="shared" si="89"/>
        <v>4.4973693586955334E-2</v>
      </c>
      <c r="P199" s="50">
        <f t="shared" si="89"/>
        <v>4.6808021710202923E-2</v>
      </c>
      <c r="Q199" s="50">
        <f t="shared" si="89"/>
        <v>4.6383383047344962E-2</v>
      </c>
      <c r="R199" s="50">
        <f t="shared" si="89"/>
        <v>4.4751654806610461E-2</v>
      </c>
      <c r="S199" s="50">
        <f t="shared" si="89"/>
        <v>4.4013077558728637E-2</v>
      </c>
      <c r="T199" s="50">
        <f t="shared" si="89"/>
        <v>4.428856091631931E-2</v>
      </c>
      <c r="U199" s="50">
        <f t="shared" si="89"/>
        <v>4.49735778579251E-2</v>
      </c>
      <c r="V199" s="50">
        <f t="shared" si="89"/>
        <v>4.6933206789217301E-2</v>
      </c>
      <c r="W199" s="50">
        <f t="shared" si="89"/>
        <v>5.6210586428141023E-2</v>
      </c>
      <c r="X199" s="50">
        <f t="shared" si="89"/>
        <v>6.1205656691958259E-2</v>
      </c>
      <c r="Y199" s="50">
        <f t="shared" si="89"/>
        <v>5.7018442088769522E-2</v>
      </c>
      <c r="Z199" s="50">
        <f t="shared" si="89"/>
        <v>4.9896672365740725E-2</v>
      </c>
      <c r="AA199" s="50">
        <f t="shared" si="89"/>
        <v>4.1622868086918119E-2</v>
      </c>
      <c r="AB199" s="50">
        <f t="shared" si="89"/>
        <v>3.5357844821693719E-2</v>
      </c>
      <c r="AC199" s="8">
        <f>+SUM(E199:AB199)*D199</f>
        <v>3.9999999999999969</v>
      </c>
    </row>
    <row r="200" spans="2:29" outlineLevel="1">
      <c r="B200" s="16"/>
      <c r="C200" s="8" t="s">
        <v>47</v>
      </c>
      <c r="D200" s="8">
        <v>4</v>
      </c>
      <c r="E200" s="50">
        <f t="shared" ref="E200:AB200" si="90">+E140</f>
        <v>3.3281514565353124E-2</v>
      </c>
      <c r="F200" s="50">
        <f t="shared" si="90"/>
        <v>3.1140043873712407E-2</v>
      </c>
      <c r="G200" s="50">
        <f t="shared" si="90"/>
        <v>2.984335106750436E-2</v>
      </c>
      <c r="H200" s="50">
        <f t="shared" si="90"/>
        <v>2.9286927979133532E-2</v>
      </c>
      <c r="I200" s="50">
        <f t="shared" si="90"/>
        <v>2.9138028999542646E-2</v>
      </c>
      <c r="J200" s="50">
        <f t="shared" si="90"/>
        <v>3.0942883559119717E-2</v>
      </c>
      <c r="K200" s="50">
        <f t="shared" si="90"/>
        <v>3.4432484834348992E-2</v>
      </c>
      <c r="L200" s="50">
        <f t="shared" si="90"/>
        <v>3.8305304424032266E-2</v>
      </c>
      <c r="M200" s="50">
        <f t="shared" si="90"/>
        <v>4.1103790742913066E-2</v>
      </c>
      <c r="N200" s="50">
        <f t="shared" si="90"/>
        <v>4.2608444243851212E-2</v>
      </c>
      <c r="O200" s="50">
        <f t="shared" si="90"/>
        <v>4.3914681848814308E-2</v>
      </c>
      <c r="P200" s="50">
        <f t="shared" si="90"/>
        <v>4.5729867165388009E-2</v>
      </c>
      <c r="Q200" s="50">
        <f t="shared" si="90"/>
        <v>4.5741487779353565E-2</v>
      </c>
      <c r="R200" s="50">
        <f t="shared" si="90"/>
        <v>4.4277060725657284E-2</v>
      </c>
      <c r="S200" s="50">
        <f t="shared" si="90"/>
        <v>4.3144199391556254E-2</v>
      </c>
      <c r="T200" s="50">
        <f t="shared" si="90"/>
        <v>4.3279567369281124E-2</v>
      </c>
      <c r="U200" s="50">
        <f t="shared" si="90"/>
        <v>4.4109954506885138E-2</v>
      </c>
      <c r="V200" s="50">
        <f t="shared" si="90"/>
        <v>4.6298728840315946E-2</v>
      </c>
      <c r="W200" s="50">
        <f t="shared" si="90"/>
        <v>5.6176649878816001E-2</v>
      </c>
      <c r="X200" s="50">
        <f t="shared" si="90"/>
        <v>6.2194705000087863E-2</v>
      </c>
      <c r="Y200" s="50">
        <f t="shared" si="90"/>
        <v>5.7928891294023718E-2</v>
      </c>
      <c r="Z200" s="50">
        <f t="shared" si="90"/>
        <v>5.019499221712586E-2</v>
      </c>
      <c r="AA200" s="50">
        <f t="shared" si="90"/>
        <v>4.1853093029906328E-2</v>
      </c>
      <c r="AB200" s="50">
        <f t="shared" si="90"/>
        <v>3.507334666327714E-2</v>
      </c>
      <c r="AC200" s="8">
        <f>+SUM(E200:AB200)*D200</f>
        <v>3.9999999999999991</v>
      </c>
    </row>
    <row r="201" spans="2:29" outlineLevel="1">
      <c r="B201" s="16"/>
      <c r="C201" s="8" t="s">
        <v>48</v>
      </c>
      <c r="D201" s="8">
        <v>0</v>
      </c>
      <c r="E201" s="50">
        <f t="shared" ref="E201:AB201" si="91">+E141</f>
        <v>3.367503361886829E-2</v>
      </c>
      <c r="F201" s="50">
        <f t="shared" si="91"/>
        <v>3.1245692535415936E-2</v>
      </c>
      <c r="G201" s="50">
        <f t="shared" si="91"/>
        <v>2.9861746203171599E-2</v>
      </c>
      <c r="H201" s="50">
        <f t="shared" si="91"/>
        <v>2.9235019370742008E-2</v>
      </c>
      <c r="I201" s="50">
        <f t="shared" si="91"/>
        <v>3.0186379118294998E-2</v>
      </c>
      <c r="J201" s="50">
        <f t="shared" si="91"/>
        <v>3.3123682717801174E-2</v>
      </c>
      <c r="K201" s="50">
        <f t="shared" si="91"/>
        <v>3.5563630818173868E-2</v>
      </c>
      <c r="L201" s="50">
        <f t="shared" si="91"/>
        <v>3.7375437025807548E-2</v>
      </c>
      <c r="M201" s="50">
        <f t="shared" si="91"/>
        <v>3.9557895894381336E-2</v>
      </c>
      <c r="N201" s="50">
        <f t="shared" si="91"/>
        <v>4.1330002492198488E-2</v>
      </c>
      <c r="O201" s="50">
        <f t="shared" si="91"/>
        <v>4.3273465010057272E-2</v>
      </c>
      <c r="P201" s="50">
        <f t="shared" si="91"/>
        <v>4.5278417057592932E-2</v>
      </c>
      <c r="Q201" s="50">
        <f t="shared" si="91"/>
        <v>4.5765189585786785E-2</v>
      </c>
      <c r="R201" s="50">
        <f t="shared" si="91"/>
        <v>4.421428774797561E-2</v>
      </c>
      <c r="S201" s="50">
        <f t="shared" si="91"/>
        <v>4.3245429527174986E-2</v>
      </c>
      <c r="T201" s="50">
        <f t="shared" si="91"/>
        <v>4.3554999005074702E-2</v>
      </c>
      <c r="U201" s="50">
        <f t="shared" si="91"/>
        <v>4.4435510161992771E-2</v>
      </c>
      <c r="V201" s="50">
        <f t="shared" si="91"/>
        <v>4.717219114348542E-2</v>
      </c>
      <c r="W201" s="50">
        <f t="shared" si="91"/>
        <v>5.6899741232983039E-2</v>
      </c>
      <c r="X201" s="50">
        <f t="shared" si="91"/>
        <v>6.1986738769463187E-2</v>
      </c>
      <c r="Y201" s="50">
        <f t="shared" si="91"/>
        <v>5.7208700429979269E-2</v>
      </c>
      <c r="Z201" s="50">
        <f t="shared" si="91"/>
        <v>4.9339560702577757E-2</v>
      </c>
      <c r="AA201" s="50">
        <f t="shared" si="91"/>
        <v>4.1368944501432053E-2</v>
      </c>
      <c r="AB201" s="50">
        <f t="shared" si="91"/>
        <v>3.5102305329568817E-2</v>
      </c>
      <c r="AC201" s="8">
        <f>+SUM(E201:AB201)*D201</f>
        <v>0</v>
      </c>
    </row>
    <row r="202" spans="2:29" outlineLevel="1">
      <c r="B202" s="12"/>
      <c r="C202" s="12" t="s">
        <v>15</v>
      </c>
      <c r="D202" s="12">
        <f>+SUM(D198:D201)</f>
        <v>28</v>
      </c>
      <c r="E202" s="19">
        <f>+SUMPRODUCT(E198:E201,$D198:$D201)</f>
        <v>0.84298909357860086</v>
      </c>
      <c r="F202" s="19">
        <f>+SUMPRODUCT(F198:F201,$D198:$D201)</f>
        <v>0.79281438670292037</v>
      </c>
      <c r="G202" s="19">
        <f t="shared" ref="G202:AB202" si="92">+SUMPRODUCT(G198:G201,$D198:$D201)</f>
        <v>0.76581206652408507</v>
      </c>
      <c r="H202" s="19">
        <f t="shared" si="92"/>
        <v>0.76303870785377348</v>
      </c>
      <c r="I202" s="19">
        <f t="shared" si="92"/>
        <v>0.81439777862913776</v>
      </c>
      <c r="J202" s="19">
        <f t="shared" si="92"/>
        <v>0.94354675368965668</v>
      </c>
      <c r="K202" s="19">
        <f t="shared" si="92"/>
        <v>1.0593231616245178</v>
      </c>
      <c r="L202" s="19">
        <f t="shared" si="92"/>
        <v>1.1008449422916837</v>
      </c>
      <c r="M202" s="19">
        <f t="shared" si="92"/>
        <v>1.1497627587655228</v>
      </c>
      <c r="N202" s="19">
        <f t="shared" si="92"/>
        <v>1.1859422448792118</v>
      </c>
      <c r="O202" s="19">
        <f t="shared" si="92"/>
        <v>1.238561000535743</v>
      </c>
      <c r="P202" s="19">
        <f t="shared" si="92"/>
        <v>1.2960478848317458</v>
      </c>
      <c r="Q202" s="19">
        <f t="shared" si="92"/>
        <v>1.2771370024898361</v>
      </c>
      <c r="R202" s="19">
        <f t="shared" si="92"/>
        <v>1.2337094321959929</v>
      </c>
      <c r="S202" s="19">
        <f t="shared" si="92"/>
        <v>1.2309992402939449</v>
      </c>
      <c r="T202" s="19">
        <f t="shared" si="92"/>
        <v>1.2540411662494362</v>
      </c>
      <c r="U202" s="19">
        <f t="shared" si="92"/>
        <v>1.2811946411516368</v>
      </c>
      <c r="V202" s="19">
        <f t="shared" si="92"/>
        <v>1.3378725217772365</v>
      </c>
      <c r="W202" s="19">
        <f t="shared" si="92"/>
        <v>1.5914866517896862</v>
      </c>
      <c r="X202" s="19">
        <f t="shared" si="92"/>
        <v>1.7284002076751892</v>
      </c>
      <c r="Y202" s="19">
        <f t="shared" si="92"/>
        <v>1.6044269638757178</v>
      </c>
      <c r="Z202" s="19">
        <f t="shared" si="92"/>
        <v>1.4029517671001666</v>
      </c>
      <c r="AA202" s="19">
        <f t="shared" si="92"/>
        <v>1.1541136089016288</v>
      </c>
      <c r="AB202" s="19">
        <f t="shared" si="92"/>
        <v>0.95058601659292941</v>
      </c>
      <c r="AC202" s="12">
        <f>+SUM(E202:AB202)</f>
        <v>27.999999999999996</v>
      </c>
    </row>
    <row r="203" spans="2:29" outlineLevel="1">
      <c r="B203" s="15">
        <f>+EDATE(B198,1)</f>
        <v>46082</v>
      </c>
      <c r="C203" s="8" t="s">
        <v>45</v>
      </c>
      <c r="D203" s="8">
        <v>21</v>
      </c>
      <c r="E203" s="50">
        <f t="shared" ref="E203:AB203" si="93">+E143</f>
        <v>2.9361257124838391E-2</v>
      </c>
      <c r="F203" s="50">
        <f t="shared" si="93"/>
        <v>2.7692710332229715E-2</v>
      </c>
      <c r="G203" s="50">
        <f t="shared" si="93"/>
        <v>2.6785161397696527E-2</v>
      </c>
      <c r="H203" s="50">
        <f t="shared" si="93"/>
        <v>2.6786989368939883E-2</v>
      </c>
      <c r="I203" s="50">
        <f t="shared" si="93"/>
        <v>2.9135775177511477E-2</v>
      </c>
      <c r="J203" s="50">
        <f t="shared" si="93"/>
        <v>3.4540443856715661E-2</v>
      </c>
      <c r="K203" s="50">
        <f t="shared" si="93"/>
        <v>3.8789035252325646E-2</v>
      </c>
      <c r="L203" s="50">
        <f t="shared" si="93"/>
        <v>3.957865839345593E-2</v>
      </c>
      <c r="M203" s="50">
        <f t="shared" si="93"/>
        <v>4.0957538271781398E-2</v>
      </c>
      <c r="N203" s="50">
        <f t="shared" si="93"/>
        <v>4.2166920044863825E-2</v>
      </c>
      <c r="O203" s="50">
        <f t="shared" si="93"/>
        <v>4.4150374939633218E-2</v>
      </c>
      <c r="P203" s="50">
        <f t="shared" si="93"/>
        <v>4.6294816466469102E-2</v>
      </c>
      <c r="Q203" s="50">
        <f t="shared" si="93"/>
        <v>4.5431875959152102E-2</v>
      </c>
      <c r="R203" s="50">
        <f t="shared" si="93"/>
        <v>4.3879728503346101E-2</v>
      </c>
      <c r="S203" s="50">
        <f t="shared" si="93"/>
        <v>4.4118506624640258E-2</v>
      </c>
      <c r="T203" s="50">
        <f t="shared" si="93"/>
        <v>4.5188432655351718E-2</v>
      </c>
      <c r="U203" s="50">
        <f t="shared" si="93"/>
        <v>4.624302558461979E-2</v>
      </c>
      <c r="V203" s="50">
        <f t="shared" si="93"/>
        <v>4.8247238962955179E-2</v>
      </c>
      <c r="W203" s="50">
        <f t="shared" si="93"/>
        <v>5.7096885328092907E-2</v>
      </c>
      <c r="X203" s="50">
        <f t="shared" si="93"/>
        <v>6.1739938045350239E-2</v>
      </c>
      <c r="Y203" s="50">
        <f t="shared" si="93"/>
        <v>5.7231881517227232E-2</v>
      </c>
      <c r="Z203" s="50">
        <f t="shared" si="93"/>
        <v>5.0129255438435008E-2</v>
      </c>
      <c r="AA203" s="50">
        <f t="shared" si="93"/>
        <v>4.1010488221716553E-2</v>
      </c>
      <c r="AB203" s="50">
        <f t="shared" si="93"/>
        <v>3.34430625326523E-2</v>
      </c>
      <c r="AC203" s="8">
        <f>+SUM(E203:AB203)*D203</f>
        <v>21.000000000000004</v>
      </c>
    </row>
    <row r="204" spans="2:29" outlineLevel="1">
      <c r="B204" s="16"/>
      <c r="C204" s="8" t="s">
        <v>46</v>
      </c>
      <c r="D204" s="8">
        <v>4</v>
      </c>
      <c r="E204" s="50">
        <f t="shared" ref="E204:AB204" si="94">+E144</f>
        <v>3.0659473205105158E-2</v>
      </c>
      <c r="F204" s="50">
        <f t="shared" si="94"/>
        <v>2.8600001140869122E-2</v>
      </c>
      <c r="G204" s="50">
        <f t="shared" si="94"/>
        <v>2.7683858575034276E-2</v>
      </c>
      <c r="H204" s="50">
        <f t="shared" si="94"/>
        <v>2.7537802139610414E-2</v>
      </c>
      <c r="I204" s="50">
        <f t="shared" si="94"/>
        <v>2.8782539770184416E-2</v>
      </c>
      <c r="J204" s="50">
        <f t="shared" si="94"/>
        <v>3.2241585579716119E-2</v>
      </c>
      <c r="K204" s="50">
        <f t="shared" si="94"/>
        <v>3.645312931015221E-2</v>
      </c>
      <c r="L204" s="50">
        <f t="shared" si="94"/>
        <v>3.9012639181609042E-2</v>
      </c>
      <c r="M204" s="50">
        <f t="shared" si="94"/>
        <v>4.1549207589560662E-2</v>
      </c>
      <c r="N204" s="50">
        <f t="shared" si="94"/>
        <v>4.3042516751632572E-2</v>
      </c>
      <c r="O204" s="50">
        <f t="shared" si="94"/>
        <v>4.4973693586955334E-2</v>
      </c>
      <c r="P204" s="50">
        <f t="shared" si="94"/>
        <v>4.6808021710202923E-2</v>
      </c>
      <c r="Q204" s="50">
        <f t="shared" si="94"/>
        <v>4.6383383047344962E-2</v>
      </c>
      <c r="R204" s="50">
        <f t="shared" si="94"/>
        <v>4.4751654806610461E-2</v>
      </c>
      <c r="S204" s="50">
        <f t="shared" si="94"/>
        <v>4.4013077558728637E-2</v>
      </c>
      <c r="T204" s="50">
        <f t="shared" si="94"/>
        <v>4.428856091631931E-2</v>
      </c>
      <c r="U204" s="50">
        <f t="shared" si="94"/>
        <v>4.49735778579251E-2</v>
      </c>
      <c r="V204" s="50">
        <f t="shared" si="94"/>
        <v>4.6933206789217301E-2</v>
      </c>
      <c r="W204" s="50">
        <f t="shared" si="94"/>
        <v>5.6210586428141023E-2</v>
      </c>
      <c r="X204" s="50">
        <f t="shared" si="94"/>
        <v>6.1205656691958259E-2</v>
      </c>
      <c r="Y204" s="50">
        <f t="shared" si="94"/>
        <v>5.7018442088769522E-2</v>
      </c>
      <c r="Z204" s="50">
        <f t="shared" si="94"/>
        <v>4.9896672365740725E-2</v>
      </c>
      <c r="AA204" s="50">
        <f t="shared" si="94"/>
        <v>4.1622868086918119E-2</v>
      </c>
      <c r="AB204" s="50">
        <f t="shared" si="94"/>
        <v>3.5357844821693719E-2</v>
      </c>
      <c r="AC204" s="8">
        <f>+SUM(E204:AB204)*D204</f>
        <v>3.9999999999999969</v>
      </c>
    </row>
    <row r="205" spans="2:29" outlineLevel="1">
      <c r="B205" s="16"/>
      <c r="C205" s="8" t="s">
        <v>47</v>
      </c>
      <c r="D205" s="8">
        <v>5</v>
      </c>
      <c r="E205" s="50">
        <f t="shared" ref="E205:AB205" si="95">+E145</f>
        <v>3.3281514565353124E-2</v>
      </c>
      <c r="F205" s="50">
        <f t="shared" si="95"/>
        <v>3.1140043873712407E-2</v>
      </c>
      <c r="G205" s="50">
        <f t="shared" si="95"/>
        <v>2.984335106750436E-2</v>
      </c>
      <c r="H205" s="50">
        <f t="shared" si="95"/>
        <v>2.9286927979133532E-2</v>
      </c>
      <c r="I205" s="50">
        <f t="shared" si="95"/>
        <v>2.9138028999542646E-2</v>
      </c>
      <c r="J205" s="50">
        <f t="shared" si="95"/>
        <v>3.0942883559119717E-2</v>
      </c>
      <c r="K205" s="50">
        <f t="shared" si="95"/>
        <v>3.4432484834348992E-2</v>
      </c>
      <c r="L205" s="50">
        <f t="shared" si="95"/>
        <v>3.8305304424032266E-2</v>
      </c>
      <c r="M205" s="50">
        <f t="shared" si="95"/>
        <v>4.1103790742913066E-2</v>
      </c>
      <c r="N205" s="50">
        <f t="shared" si="95"/>
        <v>4.2608444243851212E-2</v>
      </c>
      <c r="O205" s="50">
        <f t="shared" si="95"/>
        <v>4.3914681848814308E-2</v>
      </c>
      <c r="P205" s="50">
        <f t="shared" si="95"/>
        <v>4.5729867165388009E-2</v>
      </c>
      <c r="Q205" s="50">
        <f t="shared" si="95"/>
        <v>4.5741487779353565E-2</v>
      </c>
      <c r="R205" s="50">
        <f t="shared" si="95"/>
        <v>4.4277060725657284E-2</v>
      </c>
      <c r="S205" s="50">
        <f t="shared" si="95"/>
        <v>4.3144199391556254E-2</v>
      </c>
      <c r="T205" s="50">
        <f t="shared" si="95"/>
        <v>4.3279567369281124E-2</v>
      </c>
      <c r="U205" s="50">
        <f t="shared" si="95"/>
        <v>4.4109954506885138E-2</v>
      </c>
      <c r="V205" s="50">
        <f t="shared" si="95"/>
        <v>4.6298728840315946E-2</v>
      </c>
      <c r="W205" s="50">
        <f t="shared" si="95"/>
        <v>5.6176649878816001E-2</v>
      </c>
      <c r="X205" s="50">
        <f t="shared" si="95"/>
        <v>6.2194705000087863E-2</v>
      </c>
      <c r="Y205" s="50">
        <f t="shared" si="95"/>
        <v>5.7928891294023718E-2</v>
      </c>
      <c r="Z205" s="50">
        <f t="shared" si="95"/>
        <v>5.019499221712586E-2</v>
      </c>
      <c r="AA205" s="50">
        <f t="shared" si="95"/>
        <v>4.1853093029906328E-2</v>
      </c>
      <c r="AB205" s="50">
        <f t="shared" si="95"/>
        <v>3.507334666327714E-2</v>
      </c>
      <c r="AC205" s="8">
        <f>+SUM(E205:AB205)*D205</f>
        <v>4.9999999999999991</v>
      </c>
    </row>
    <row r="206" spans="2:29" outlineLevel="1">
      <c r="B206" s="16"/>
      <c r="C206" s="8" t="s">
        <v>48</v>
      </c>
      <c r="D206" s="8">
        <v>1</v>
      </c>
      <c r="E206" s="50">
        <f t="shared" ref="E206:AB206" si="96">+E146</f>
        <v>3.367503361886829E-2</v>
      </c>
      <c r="F206" s="50">
        <f t="shared" si="96"/>
        <v>3.1245692535415936E-2</v>
      </c>
      <c r="G206" s="50">
        <f t="shared" si="96"/>
        <v>2.9861746203171599E-2</v>
      </c>
      <c r="H206" s="50">
        <f t="shared" si="96"/>
        <v>2.9235019370742008E-2</v>
      </c>
      <c r="I206" s="50">
        <f t="shared" si="96"/>
        <v>3.0186379118294998E-2</v>
      </c>
      <c r="J206" s="50">
        <f t="shared" si="96"/>
        <v>3.3123682717801174E-2</v>
      </c>
      <c r="K206" s="50">
        <f t="shared" si="96"/>
        <v>3.5563630818173868E-2</v>
      </c>
      <c r="L206" s="50">
        <f t="shared" si="96"/>
        <v>3.7375437025807548E-2</v>
      </c>
      <c r="M206" s="50">
        <f t="shared" si="96"/>
        <v>3.9557895894381336E-2</v>
      </c>
      <c r="N206" s="50">
        <f t="shared" si="96"/>
        <v>4.1330002492198488E-2</v>
      </c>
      <c r="O206" s="50">
        <f t="shared" si="96"/>
        <v>4.3273465010057272E-2</v>
      </c>
      <c r="P206" s="50">
        <f t="shared" si="96"/>
        <v>4.5278417057592932E-2</v>
      </c>
      <c r="Q206" s="50">
        <f t="shared" si="96"/>
        <v>4.5765189585786785E-2</v>
      </c>
      <c r="R206" s="50">
        <f t="shared" si="96"/>
        <v>4.421428774797561E-2</v>
      </c>
      <c r="S206" s="50">
        <f t="shared" si="96"/>
        <v>4.3245429527174986E-2</v>
      </c>
      <c r="T206" s="50">
        <f t="shared" si="96"/>
        <v>4.3554999005074702E-2</v>
      </c>
      <c r="U206" s="50">
        <f t="shared" si="96"/>
        <v>4.4435510161992771E-2</v>
      </c>
      <c r="V206" s="50">
        <f t="shared" si="96"/>
        <v>4.717219114348542E-2</v>
      </c>
      <c r="W206" s="50">
        <f t="shared" si="96"/>
        <v>5.6899741232983039E-2</v>
      </c>
      <c r="X206" s="50">
        <f t="shared" si="96"/>
        <v>6.1986738769463187E-2</v>
      </c>
      <c r="Y206" s="50">
        <f t="shared" si="96"/>
        <v>5.7208700429979269E-2</v>
      </c>
      <c r="Z206" s="50">
        <f t="shared" si="96"/>
        <v>4.9339560702577757E-2</v>
      </c>
      <c r="AA206" s="50">
        <f t="shared" si="96"/>
        <v>4.1368944501432053E-2</v>
      </c>
      <c r="AB206" s="50">
        <f t="shared" si="96"/>
        <v>3.5102305329568817E-2</v>
      </c>
      <c r="AC206" s="8">
        <f>+SUM(E206:AB206)*D206</f>
        <v>0.99999999999999978</v>
      </c>
    </row>
    <row r="207" spans="2:29" outlineLevel="1">
      <c r="B207" s="12"/>
      <c r="C207" s="12" t="s">
        <v>15</v>
      </c>
      <c r="D207" s="12">
        <f>+SUM(D203:D206)</f>
        <v>31</v>
      </c>
      <c r="E207" s="19">
        <f>+SUMPRODUCT(E203:E206,$D203:$D206)</f>
        <v>0.93930689888766072</v>
      </c>
      <c r="F207" s="19">
        <f>+SUMPRODUCT(F203:F206,$D203:$D206)</f>
        <v>0.88289283344427849</v>
      </c>
      <c r="G207" s="19">
        <f t="shared" ref="G207:AB207" si="97">+SUMPRODUCT(G203:G206,$D203:$D206)</f>
        <v>0.85230232519245752</v>
      </c>
      <c r="H207" s="19">
        <f t="shared" si="97"/>
        <v>0.84834764457258882</v>
      </c>
      <c r="I207" s="19">
        <f t="shared" si="97"/>
        <v>0.90285796192448697</v>
      </c>
      <c r="J207" s="19">
        <f t="shared" si="97"/>
        <v>1.0421537638232932</v>
      </c>
      <c r="K207" s="19">
        <f t="shared" si="97"/>
        <v>1.1681083125293663</v>
      </c>
      <c r="L207" s="19">
        <f t="shared" si="97"/>
        <v>1.2161043421349795</v>
      </c>
      <c r="M207" s="19">
        <f t="shared" si="97"/>
        <v>1.2713819836745988</v>
      </c>
      <c r="N207" s="19">
        <f t="shared" si="97"/>
        <v>1.3120476116601252</v>
      </c>
      <c r="O207" s="19">
        <f t="shared" si="97"/>
        <v>1.3698995223342476</v>
      </c>
      <c r="P207" s="19">
        <f t="shared" si="97"/>
        <v>1.4333509855211959</v>
      </c>
      <c r="Q207" s="19">
        <f t="shared" si="97"/>
        <v>1.4140755558141285</v>
      </c>
      <c r="R207" s="19">
        <f t="shared" si="97"/>
        <v>1.366080509172972</v>
      </c>
      <c r="S207" s="19">
        <f t="shared" si="97"/>
        <v>1.3615073758373162</v>
      </c>
      <c r="T207" s="19">
        <f t="shared" si="97"/>
        <v>1.3860641652791439</v>
      </c>
      <c r="U207" s="19">
        <f t="shared" si="97"/>
        <v>1.4159831314051345</v>
      </c>
      <c r="V207" s="19">
        <f t="shared" si="97"/>
        <v>1.4795906807239934</v>
      </c>
      <c r="W207" s="19">
        <f t="shared" si="97"/>
        <v>1.7616599282295782</v>
      </c>
      <c r="X207" s="19">
        <f t="shared" si="97"/>
        <v>1.9143215894900907</v>
      </c>
      <c r="Y207" s="19">
        <f t="shared" si="97"/>
        <v>1.7767964371169478</v>
      </c>
      <c r="Z207" s="19">
        <f t="shared" si="97"/>
        <v>1.5526155754583053</v>
      </c>
      <c r="AA207" s="19">
        <f t="shared" si="97"/>
        <v>1.2783461346546838</v>
      </c>
      <c r="AB207" s="19">
        <f t="shared" si="97"/>
        <v>1.0542047311184275</v>
      </c>
      <c r="AC207" s="12">
        <f>+SUM(E207:AB207)</f>
        <v>30.999999999999996</v>
      </c>
    </row>
    <row r="208" spans="2:29" outlineLevel="1">
      <c r="B208" s="15">
        <f>+EDATE(B203,1)</f>
        <v>46113</v>
      </c>
      <c r="C208" s="8" t="s">
        <v>45</v>
      </c>
      <c r="D208" s="8">
        <v>20</v>
      </c>
      <c r="E208" s="50">
        <f t="shared" ref="E208:AB208" si="98">+E148</f>
        <v>2.9361257124838391E-2</v>
      </c>
      <c r="F208" s="50">
        <f t="shared" si="98"/>
        <v>2.7692710332229715E-2</v>
      </c>
      <c r="G208" s="50">
        <f t="shared" si="98"/>
        <v>2.6785161397696527E-2</v>
      </c>
      <c r="H208" s="50">
        <f t="shared" si="98"/>
        <v>2.6786989368939883E-2</v>
      </c>
      <c r="I208" s="50">
        <f t="shared" si="98"/>
        <v>2.9135775177511477E-2</v>
      </c>
      <c r="J208" s="50">
        <f t="shared" si="98"/>
        <v>3.4540443856715661E-2</v>
      </c>
      <c r="K208" s="50">
        <f t="shared" si="98"/>
        <v>3.8789035252325646E-2</v>
      </c>
      <c r="L208" s="50">
        <f t="shared" si="98"/>
        <v>3.957865839345593E-2</v>
      </c>
      <c r="M208" s="50">
        <f t="shared" si="98"/>
        <v>4.0957538271781398E-2</v>
      </c>
      <c r="N208" s="50">
        <f t="shared" si="98"/>
        <v>4.2166920044863825E-2</v>
      </c>
      <c r="O208" s="50">
        <f t="shared" si="98"/>
        <v>4.4150374939633218E-2</v>
      </c>
      <c r="P208" s="50">
        <f t="shared" si="98"/>
        <v>4.6294816466469102E-2</v>
      </c>
      <c r="Q208" s="50">
        <f t="shared" si="98"/>
        <v>4.5431875959152102E-2</v>
      </c>
      <c r="R208" s="50">
        <f t="shared" si="98"/>
        <v>4.3879728503346101E-2</v>
      </c>
      <c r="S208" s="50">
        <f t="shared" si="98"/>
        <v>4.4118506624640258E-2</v>
      </c>
      <c r="T208" s="50">
        <f t="shared" si="98"/>
        <v>4.5188432655351718E-2</v>
      </c>
      <c r="U208" s="50">
        <f t="shared" si="98"/>
        <v>4.624302558461979E-2</v>
      </c>
      <c r="V208" s="50">
        <f t="shared" si="98"/>
        <v>4.8247238962955179E-2</v>
      </c>
      <c r="W208" s="50">
        <f t="shared" si="98"/>
        <v>5.7096885328092907E-2</v>
      </c>
      <c r="X208" s="50">
        <f t="shared" si="98"/>
        <v>6.1739938045350239E-2</v>
      </c>
      <c r="Y208" s="50">
        <f t="shared" si="98"/>
        <v>5.7231881517227232E-2</v>
      </c>
      <c r="Z208" s="50">
        <f t="shared" si="98"/>
        <v>5.0129255438435008E-2</v>
      </c>
      <c r="AA208" s="50">
        <f t="shared" si="98"/>
        <v>4.1010488221716553E-2</v>
      </c>
      <c r="AB208" s="50">
        <f t="shared" si="98"/>
        <v>3.34430625326523E-2</v>
      </c>
      <c r="AC208" s="8">
        <f>+SUM(E208:AB208)*D208</f>
        <v>20.000000000000004</v>
      </c>
    </row>
    <row r="209" spans="2:29" outlineLevel="1">
      <c r="B209" s="16"/>
      <c r="C209" s="8" t="s">
        <v>46</v>
      </c>
      <c r="D209" s="8">
        <v>4</v>
      </c>
      <c r="E209" s="50">
        <f t="shared" ref="E209:AB209" si="99">+E149</f>
        <v>3.0659473205105158E-2</v>
      </c>
      <c r="F209" s="50">
        <f t="shared" si="99"/>
        <v>2.8600001140869122E-2</v>
      </c>
      <c r="G209" s="50">
        <f t="shared" si="99"/>
        <v>2.7683858575034276E-2</v>
      </c>
      <c r="H209" s="50">
        <f t="shared" si="99"/>
        <v>2.7537802139610414E-2</v>
      </c>
      <c r="I209" s="50">
        <f t="shared" si="99"/>
        <v>2.8782539770184416E-2</v>
      </c>
      <c r="J209" s="50">
        <f t="shared" si="99"/>
        <v>3.2241585579716119E-2</v>
      </c>
      <c r="K209" s="50">
        <f t="shared" si="99"/>
        <v>3.645312931015221E-2</v>
      </c>
      <c r="L209" s="50">
        <f t="shared" si="99"/>
        <v>3.9012639181609042E-2</v>
      </c>
      <c r="M209" s="50">
        <f t="shared" si="99"/>
        <v>4.1549207589560662E-2</v>
      </c>
      <c r="N209" s="50">
        <f t="shared" si="99"/>
        <v>4.3042516751632572E-2</v>
      </c>
      <c r="O209" s="50">
        <f t="shared" si="99"/>
        <v>4.4973693586955334E-2</v>
      </c>
      <c r="P209" s="50">
        <f t="shared" si="99"/>
        <v>4.6808021710202923E-2</v>
      </c>
      <c r="Q209" s="50">
        <f t="shared" si="99"/>
        <v>4.6383383047344962E-2</v>
      </c>
      <c r="R209" s="50">
        <f t="shared" si="99"/>
        <v>4.4751654806610461E-2</v>
      </c>
      <c r="S209" s="50">
        <f t="shared" si="99"/>
        <v>4.4013077558728637E-2</v>
      </c>
      <c r="T209" s="50">
        <f t="shared" si="99"/>
        <v>4.428856091631931E-2</v>
      </c>
      <c r="U209" s="50">
        <f t="shared" si="99"/>
        <v>4.49735778579251E-2</v>
      </c>
      <c r="V209" s="50">
        <f t="shared" si="99"/>
        <v>4.6933206789217301E-2</v>
      </c>
      <c r="W209" s="50">
        <f t="shared" si="99"/>
        <v>5.6210586428141023E-2</v>
      </c>
      <c r="X209" s="50">
        <f t="shared" si="99"/>
        <v>6.1205656691958259E-2</v>
      </c>
      <c r="Y209" s="50">
        <f t="shared" si="99"/>
        <v>5.7018442088769522E-2</v>
      </c>
      <c r="Z209" s="50">
        <f t="shared" si="99"/>
        <v>4.9896672365740725E-2</v>
      </c>
      <c r="AA209" s="50">
        <f t="shared" si="99"/>
        <v>4.1622868086918119E-2</v>
      </c>
      <c r="AB209" s="50">
        <f t="shared" si="99"/>
        <v>3.5357844821693719E-2</v>
      </c>
      <c r="AC209" s="8">
        <f>+SUM(E209:AB209)*D209</f>
        <v>3.9999999999999969</v>
      </c>
    </row>
    <row r="210" spans="2:29" outlineLevel="1">
      <c r="B210" s="16"/>
      <c r="C210" s="8" t="s">
        <v>47</v>
      </c>
      <c r="D210" s="8">
        <v>4</v>
      </c>
      <c r="E210" s="50">
        <f t="shared" ref="E210:AB210" si="100">+E150</f>
        <v>3.3281514565353124E-2</v>
      </c>
      <c r="F210" s="50">
        <f t="shared" si="100"/>
        <v>3.1140043873712407E-2</v>
      </c>
      <c r="G210" s="50">
        <f t="shared" si="100"/>
        <v>2.984335106750436E-2</v>
      </c>
      <c r="H210" s="50">
        <f t="shared" si="100"/>
        <v>2.9286927979133532E-2</v>
      </c>
      <c r="I210" s="50">
        <f t="shared" si="100"/>
        <v>2.9138028999542646E-2</v>
      </c>
      <c r="J210" s="50">
        <f t="shared" si="100"/>
        <v>3.0942883559119717E-2</v>
      </c>
      <c r="K210" s="50">
        <f t="shared" si="100"/>
        <v>3.4432484834348992E-2</v>
      </c>
      <c r="L210" s="50">
        <f t="shared" si="100"/>
        <v>3.8305304424032266E-2</v>
      </c>
      <c r="M210" s="50">
        <f t="shared" si="100"/>
        <v>4.1103790742913066E-2</v>
      </c>
      <c r="N210" s="50">
        <f t="shared" si="100"/>
        <v>4.2608444243851212E-2</v>
      </c>
      <c r="O210" s="50">
        <f t="shared" si="100"/>
        <v>4.3914681848814308E-2</v>
      </c>
      <c r="P210" s="50">
        <f t="shared" si="100"/>
        <v>4.5729867165388009E-2</v>
      </c>
      <c r="Q210" s="50">
        <f t="shared" si="100"/>
        <v>4.5741487779353565E-2</v>
      </c>
      <c r="R210" s="50">
        <f t="shared" si="100"/>
        <v>4.4277060725657284E-2</v>
      </c>
      <c r="S210" s="50">
        <f t="shared" si="100"/>
        <v>4.3144199391556254E-2</v>
      </c>
      <c r="T210" s="50">
        <f t="shared" si="100"/>
        <v>4.3279567369281124E-2</v>
      </c>
      <c r="U210" s="50">
        <f t="shared" si="100"/>
        <v>4.4109954506885138E-2</v>
      </c>
      <c r="V210" s="50">
        <f t="shared" si="100"/>
        <v>4.6298728840315946E-2</v>
      </c>
      <c r="W210" s="50">
        <f t="shared" si="100"/>
        <v>5.6176649878816001E-2</v>
      </c>
      <c r="X210" s="50">
        <f t="shared" si="100"/>
        <v>6.2194705000087863E-2</v>
      </c>
      <c r="Y210" s="50">
        <f t="shared" si="100"/>
        <v>5.7928891294023718E-2</v>
      </c>
      <c r="Z210" s="50">
        <f t="shared" si="100"/>
        <v>5.019499221712586E-2</v>
      </c>
      <c r="AA210" s="50">
        <f t="shared" si="100"/>
        <v>4.1853093029906328E-2</v>
      </c>
      <c r="AB210" s="50">
        <f t="shared" si="100"/>
        <v>3.507334666327714E-2</v>
      </c>
      <c r="AC210" s="8">
        <f>+SUM(E210:AB210)*D210</f>
        <v>3.9999999999999991</v>
      </c>
    </row>
    <row r="211" spans="2:29" outlineLevel="1">
      <c r="B211" s="16"/>
      <c r="C211" s="8" t="s">
        <v>48</v>
      </c>
      <c r="D211" s="8">
        <v>2</v>
      </c>
      <c r="E211" s="50">
        <f t="shared" ref="E211:AB211" si="101">+E151</f>
        <v>3.367503361886829E-2</v>
      </c>
      <c r="F211" s="50">
        <f t="shared" si="101"/>
        <v>3.1245692535415936E-2</v>
      </c>
      <c r="G211" s="50">
        <f t="shared" si="101"/>
        <v>2.9861746203171599E-2</v>
      </c>
      <c r="H211" s="50">
        <f t="shared" si="101"/>
        <v>2.9235019370742008E-2</v>
      </c>
      <c r="I211" s="50">
        <f t="shared" si="101"/>
        <v>3.0186379118294998E-2</v>
      </c>
      <c r="J211" s="50">
        <f t="shared" si="101"/>
        <v>3.3123682717801174E-2</v>
      </c>
      <c r="K211" s="50">
        <f t="shared" si="101"/>
        <v>3.5563630818173868E-2</v>
      </c>
      <c r="L211" s="50">
        <f t="shared" si="101"/>
        <v>3.7375437025807548E-2</v>
      </c>
      <c r="M211" s="50">
        <f t="shared" si="101"/>
        <v>3.9557895894381336E-2</v>
      </c>
      <c r="N211" s="50">
        <f t="shared" si="101"/>
        <v>4.1330002492198488E-2</v>
      </c>
      <c r="O211" s="50">
        <f t="shared" si="101"/>
        <v>4.3273465010057272E-2</v>
      </c>
      <c r="P211" s="50">
        <f t="shared" si="101"/>
        <v>4.5278417057592932E-2</v>
      </c>
      <c r="Q211" s="50">
        <f t="shared" si="101"/>
        <v>4.5765189585786785E-2</v>
      </c>
      <c r="R211" s="50">
        <f t="shared" si="101"/>
        <v>4.421428774797561E-2</v>
      </c>
      <c r="S211" s="50">
        <f t="shared" si="101"/>
        <v>4.3245429527174986E-2</v>
      </c>
      <c r="T211" s="50">
        <f t="shared" si="101"/>
        <v>4.3554999005074702E-2</v>
      </c>
      <c r="U211" s="50">
        <f t="shared" si="101"/>
        <v>4.4435510161992771E-2</v>
      </c>
      <c r="V211" s="50">
        <f t="shared" si="101"/>
        <v>4.717219114348542E-2</v>
      </c>
      <c r="W211" s="50">
        <f t="shared" si="101"/>
        <v>5.6899741232983039E-2</v>
      </c>
      <c r="X211" s="50">
        <f t="shared" si="101"/>
        <v>6.1986738769463187E-2</v>
      </c>
      <c r="Y211" s="50">
        <f t="shared" si="101"/>
        <v>5.7208700429979269E-2</v>
      </c>
      <c r="Z211" s="50">
        <f t="shared" si="101"/>
        <v>4.9339560702577757E-2</v>
      </c>
      <c r="AA211" s="50">
        <f t="shared" si="101"/>
        <v>4.1368944501432053E-2</v>
      </c>
      <c r="AB211" s="50">
        <f t="shared" si="101"/>
        <v>3.5102305329568817E-2</v>
      </c>
      <c r="AC211" s="8">
        <f>+SUM(E211:AB211)*D211</f>
        <v>1.9999999999999996</v>
      </c>
    </row>
    <row r="212" spans="2:29" outlineLevel="1">
      <c r="B212" s="12"/>
      <c r="C212" s="12" t="s">
        <v>15</v>
      </c>
      <c r="D212" s="12">
        <f>+SUM(D208:D211)</f>
        <v>30</v>
      </c>
      <c r="E212" s="19">
        <f>+SUMPRODUCT(E208:E211,$D208:$D211)</f>
        <v>0.91033916081633748</v>
      </c>
      <c r="F212" s="19">
        <f>+SUMPRODUCT(F208:F211,$D208:$D211)</f>
        <v>0.85530577177375222</v>
      </c>
      <c r="G212" s="19">
        <f t="shared" ref="G212:AB212" si="102">+SUMPRODUCT(G208:G211,$D208:$D211)</f>
        <v>0.82553555893042829</v>
      </c>
      <c r="H212" s="19">
        <f t="shared" si="102"/>
        <v>0.82150874659525752</v>
      </c>
      <c r="I212" s="19">
        <f t="shared" si="102"/>
        <v>0.8747705368657277</v>
      </c>
      <c r="J212" s="19">
        <f t="shared" si="102"/>
        <v>1.0097941191252591</v>
      </c>
      <c r="K212" s="19">
        <f t="shared" si="102"/>
        <v>1.1304504232608654</v>
      </c>
      <c r="L212" s="19">
        <f t="shared" si="102"/>
        <v>1.1755958163432989</v>
      </c>
      <c r="M212" s="19">
        <f t="shared" si="102"/>
        <v>1.2288785505542854</v>
      </c>
      <c r="N212" s="19">
        <f t="shared" si="102"/>
        <v>1.2686022498636089</v>
      </c>
      <c r="O212" s="19">
        <f t="shared" si="102"/>
        <v>1.3251079305558575</v>
      </c>
      <c r="P212" s="19">
        <f t="shared" si="102"/>
        <v>1.3866047189469317</v>
      </c>
      <c r="Q212" s="19">
        <f t="shared" si="102"/>
        <v>1.3686673816614097</v>
      </c>
      <c r="R212" s="19">
        <f t="shared" si="102"/>
        <v>1.3221380076919442</v>
      </c>
      <c r="S212" s="19">
        <f t="shared" si="102"/>
        <v>1.317490099348295</v>
      </c>
      <c r="T212" s="19">
        <f t="shared" si="102"/>
        <v>1.3411511642595855</v>
      </c>
      <c r="U212" s="19">
        <f t="shared" si="102"/>
        <v>1.3700656614756224</v>
      </c>
      <c r="V212" s="19">
        <f t="shared" si="102"/>
        <v>1.4322169040642074</v>
      </c>
      <c r="W212" s="19">
        <f t="shared" si="102"/>
        <v>1.7052861342556522</v>
      </c>
      <c r="X212" s="19">
        <f t="shared" si="102"/>
        <v>1.8523736852141155</v>
      </c>
      <c r="Y212" s="19">
        <f t="shared" si="102"/>
        <v>1.7188443647356764</v>
      </c>
      <c r="Z212" s="19">
        <f t="shared" si="102"/>
        <v>1.501630888505322</v>
      </c>
      <c r="AA212" s="19">
        <f t="shared" si="102"/>
        <v>1.2368514979044929</v>
      </c>
      <c r="AB212" s="19">
        <f t="shared" si="102"/>
        <v>1.020790627252067</v>
      </c>
      <c r="AC212" s="12">
        <f>+SUM(E212:AB212)</f>
        <v>30</v>
      </c>
    </row>
    <row r="213" spans="2:29" outlineLevel="1">
      <c r="B213" s="15">
        <f>+EDATE(B208,1)</f>
        <v>46143</v>
      </c>
      <c r="C213" s="8" t="s">
        <v>45</v>
      </c>
      <c r="D213" s="8">
        <v>19</v>
      </c>
      <c r="E213" s="50">
        <f t="shared" ref="E213:AB213" si="103">+E153</f>
        <v>2.9361257124838391E-2</v>
      </c>
      <c r="F213" s="50">
        <f t="shared" si="103"/>
        <v>2.7692710332229715E-2</v>
      </c>
      <c r="G213" s="50">
        <f t="shared" si="103"/>
        <v>2.6785161397696527E-2</v>
      </c>
      <c r="H213" s="50">
        <f t="shared" si="103"/>
        <v>2.6786989368939883E-2</v>
      </c>
      <c r="I213" s="50">
        <f t="shared" si="103"/>
        <v>2.9135775177511477E-2</v>
      </c>
      <c r="J213" s="50">
        <f t="shared" si="103"/>
        <v>3.4540443856715661E-2</v>
      </c>
      <c r="K213" s="50">
        <f t="shared" si="103"/>
        <v>3.8789035252325646E-2</v>
      </c>
      <c r="L213" s="50">
        <f t="shared" si="103"/>
        <v>3.957865839345593E-2</v>
      </c>
      <c r="M213" s="50">
        <f t="shared" si="103"/>
        <v>4.0957538271781398E-2</v>
      </c>
      <c r="N213" s="50">
        <f t="shared" si="103"/>
        <v>4.2166920044863825E-2</v>
      </c>
      <c r="O213" s="50">
        <f t="shared" si="103"/>
        <v>4.4150374939633218E-2</v>
      </c>
      <c r="P213" s="50">
        <f t="shared" si="103"/>
        <v>4.6294816466469102E-2</v>
      </c>
      <c r="Q213" s="50">
        <f t="shared" si="103"/>
        <v>4.5431875959152102E-2</v>
      </c>
      <c r="R213" s="50">
        <f t="shared" si="103"/>
        <v>4.3879728503346101E-2</v>
      </c>
      <c r="S213" s="50">
        <f t="shared" si="103"/>
        <v>4.4118506624640258E-2</v>
      </c>
      <c r="T213" s="50">
        <f t="shared" si="103"/>
        <v>4.5188432655351718E-2</v>
      </c>
      <c r="U213" s="50">
        <f t="shared" si="103"/>
        <v>4.624302558461979E-2</v>
      </c>
      <c r="V213" s="50">
        <f t="shared" si="103"/>
        <v>4.8247238962955179E-2</v>
      </c>
      <c r="W213" s="50">
        <f t="shared" si="103"/>
        <v>5.7096885328092907E-2</v>
      </c>
      <c r="X213" s="50">
        <f t="shared" si="103"/>
        <v>6.1739938045350239E-2</v>
      </c>
      <c r="Y213" s="50">
        <f t="shared" si="103"/>
        <v>5.7231881517227232E-2</v>
      </c>
      <c r="Z213" s="50">
        <f t="shared" si="103"/>
        <v>5.0129255438435008E-2</v>
      </c>
      <c r="AA213" s="50">
        <f t="shared" si="103"/>
        <v>4.1010488221716553E-2</v>
      </c>
      <c r="AB213" s="50">
        <f t="shared" si="103"/>
        <v>3.34430625326523E-2</v>
      </c>
      <c r="AC213" s="8">
        <f>+SUM(E213:AB213)*D213</f>
        <v>19.000000000000004</v>
      </c>
    </row>
    <row r="214" spans="2:29" outlineLevel="1">
      <c r="B214" s="16"/>
      <c r="C214" s="8" t="s">
        <v>46</v>
      </c>
      <c r="D214" s="8">
        <v>5</v>
      </c>
      <c r="E214" s="50">
        <f t="shared" ref="E214:AB214" si="104">+E154</f>
        <v>3.0659473205105158E-2</v>
      </c>
      <c r="F214" s="50">
        <f t="shared" si="104"/>
        <v>2.8600001140869122E-2</v>
      </c>
      <c r="G214" s="50">
        <f t="shared" si="104"/>
        <v>2.7683858575034276E-2</v>
      </c>
      <c r="H214" s="50">
        <f t="shared" si="104"/>
        <v>2.7537802139610414E-2</v>
      </c>
      <c r="I214" s="50">
        <f t="shared" si="104"/>
        <v>2.8782539770184416E-2</v>
      </c>
      <c r="J214" s="50">
        <f t="shared" si="104"/>
        <v>3.2241585579716119E-2</v>
      </c>
      <c r="K214" s="50">
        <f t="shared" si="104"/>
        <v>3.645312931015221E-2</v>
      </c>
      <c r="L214" s="50">
        <f t="shared" si="104"/>
        <v>3.9012639181609042E-2</v>
      </c>
      <c r="M214" s="50">
        <f t="shared" si="104"/>
        <v>4.1549207589560662E-2</v>
      </c>
      <c r="N214" s="50">
        <f t="shared" si="104"/>
        <v>4.3042516751632572E-2</v>
      </c>
      <c r="O214" s="50">
        <f t="shared" si="104"/>
        <v>4.4973693586955334E-2</v>
      </c>
      <c r="P214" s="50">
        <f t="shared" si="104"/>
        <v>4.6808021710202923E-2</v>
      </c>
      <c r="Q214" s="50">
        <f t="shared" si="104"/>
        <v>4.6383383047344962E-2</v>
      </c>
      <c r="R214" s="50">
        <f t="shared" si="104"/>
        <v>4.4751654806610461E-2</v>
      </c>
      <c r="S214" s="50">
        <f t="shared" si="104"/>
        <v>4.4013077558728637E-2</v>
      </c>
      <c r="T214" s="50">
        <f t="shared" si="104"/>
        <v>4.428856091631931E-2</v>
      </c>
      <c r="U214" s="50">
        <f t="shared" si="104"/>
        <v>4.49735778579251E-2</v>
      </c>
      <c r="V214" s="50">
        <f t="shared" si="104"/>
        <v>4.6933206789217301E-2</v>
      </c>
      <c r="W214" s="50">
        <f t="shared" si="104"/>
        <v>5.6210586428141023E-2</v>
      </c>
      <c r="X214" s="50">
        <f t="shared" si="104"/>
        <v>6.1205656691958259E-2</v>
      </c>
      <c r="Y214" s="50">
        <f t="shared" si="104"/>
        <v>5.7018442088769522E-2</v>
      </c>
      <c r="Z214" s="50">
        <f t="shared" si="104"/>
        <v>4.9896672365740725E-2</v>
      </c>
      <c r="AA214" s="50">
        <f t="shared" si="104"/>
        <v>4.1622868086918119E-2</v>
      </c>
      <c r="AB214" s="50">
        <f t="shared" si="104"/>
        <v>3.5357844821693719E-2</v>
      </c>
      <c r="AC214" s="8">
        <f t="shared" ref="AC214:AC271" si="105">+SUM(E214:AB214)*D214</f>
        <v>4.9999999999999964</v>
      </c>
    </row>
    <row r="215" spans="2:29" outlineLevel="1">
      <c r="B215" s="16"/>
      <c r="C215" s="8" t="s">
        <v>47</v>
      </c>
      <c r="D215" s="8">
        <v>5</v>
      </c>
      <c r="E215" s="50">
        <f t="shared" ref="E215:AB215" si="106">+E155</f>
        <v>3.3281514565353124E-2</v>
      </c>
      <c r="F215" s="50">
        <f t="shared" si="106"/>
        <v>3.1140043873712407E-2</v>
      </c>
      <c r="G215" s="50">
        <f t="shared" si="106"/>
        <v>2.984335106750436E-2</v>
      </c>
      <c r="H215" s="50">
        <f t="shared" si="106"/>
        <v>2.9286927979133532E-2</v>
      </c>
      <c r="I215" s="50">
        <f t="shared" si="106"/>
        <v>2.9138028999542646E-2</v>
      </c>
      <c r="J215" s="50">
        <f t="shared" si="106"/>
        <v>3.0942883559119717E-2</v>
      </c>
      <c r="K215" s="50">
        <f t="shared" si="106"/>
        <v>3.4432484834348992E-2</v>
      </c>
      <c r="L215" s="50">
        <f t="shared" si="106"/>
        <v>3.8305304424032266E-2</v>
      </c>
      <c r="M215" s="50">
        <f t="shared" si="106"/>
        <v>4.1103790742913066E-2</v>
      </c>
      <c r="N215" s="50">
        <f t="shared" si="106"/>
        <v>4.2608444243851212E-2</v>
      </c>
      <c r="O215" s="50">
        <f t="shared" si="106"/>
        <v>4.3914681848814308E-2</v>
      </c>
      <c r="P215" s="50">
        <f t="shared" si="106"/>
        <v>4.5729867165388009E-2</v>
      </c>
      <c r="Q215" s="50">
        <f t="shared" si="106"/>
        <v>4.5741487779353565E-2</v>
      </c>
      <c r="R215" s="50">
        <f t="shared" si="106"/>
        <v>4.4277060725657284E-2</v>
      </c>
      <c r="S215" s="50">
        <f t="shared" si="106"/>
        <v>4.3144199391556254E-2</v>
      </c>
      <c r="T215" s="50">
        <f t="shared" si="106"/>
        <v>4.3279567369281124E-2</v>
      </c>
      <c r="U215" s="50">
        <f t="shared" si="106"/>
        <v>4.4109954506885138E-2</v>
      </c>
      <c r="V215" s="50">
        <f t="shared" si="106"/>
        <v>4.6298728840315946E-2</v>
      </c>
      <c r="W215" s="50">
        <f t="shared" si="106"/>
        <v>5.6176649878816001E-2</v>
      </c>
      <c r="X215" s="50">
        <f t="shared" si="106"/>
        <v>6.2194705000087863E-2</v>
      </c>
      <c r="Y215" s="50">
        <f t="shared" si="106"/>
        <v>5.7928891294023718E-2</v>
      </c>
      <c r="Z215" s="50">
        <f t="shared" si="106"/>
        <v>5.019499221712586E-2</v>
      </c>
      <c r="AA215" s="50">
        <f t="shared" si="106"/>
        <v>4.1853093029906328E-2</v>
      </c>
      <c r="AB215" s="50">
        <f t="shared" si="106"/>
        <v>3.507334666327714E-2</v>
      </c>
      <c r="AC215" s="8">
        <f t="shared" si="105"/>
        <v>4.9999999999999991</v>
      </c>
    </row>
    <row r="216" spans="2:29" outlineLevel="1">
      <c r="B216" s="16"/>
      <c r="C216" s="8" t="s">
        <v>48</v>
      </c>
      <c r="D216" s="8">
        <v>2</v>
      </c>
      <c r="E216" s="50">
        <f t="shared" ref="E216:AB216" si="107">+E156</f>
        <v>3.367503361886829E-2</v>
      </c>
      <c r="F216" s="50">
        <f t="shared" si="107"/>
        <v>3.1245692535415936E-2</v>
      </c>
      <c r="G216" s="50">
        <f t="shared" si="107"/>
        <v>2.9861746203171599E-2</v>
      </c>
      <c r="H216" s="50">
        <f t="shared" si="107"/>
        <v>2.9235019370742008E-2</v>
      </c>
      <c r="I216" s="50">
        <f t="shared" si="107"/>
        <v>3.0186379118294998E-2</v>
      </c>
      <c r="J216" s="50">
        <f t="shared" si="107"/>
        <v>3.3123682717801174E-2</v>
      </c>
      <c r="K216" s="50">
        <f t="shared" si="107"/>
        <v>3.5563630818173868E-2</v>
      </c>
      <c r="L216" s="50">
        <f t="shared" si="107"/>
        <v>3.7375437025807548E-2</v>
      </c>
      <c r="M216" s="50">
        <f t="shared" si="107"/>
        <v>3.9557895894381336E-2</v>
      </c>
      <c r="N216" s="50">
        <f t="shared" si="107"/>
        <v>4.1330002492198488E-2</v>
      </c>
      <c r="O216" s="50">
        <f t="shared" si="107"/>
        <v>4.3273465010057272E-2</v>
      </c>
      <c r="P216" s="50">
        <f t="shared" si="107"/>
        <v>4.5278417057592932E-2</v>
      </c>
      <c r="Q216" s="50">
        <f t="shared" si="107"/>
        <v>4.5765189585786785E-2</v>
      </c>
      <c r="R216" s="50">
        <f t="shared" si="107"/>
        <v>4.421428774797561E-2</v>
      </c>
      <c r="S216" s="50">
        <f t="shared" si="107"/>
        <v>4.3245429527174986E-2</v>
      </c>
      <c r="T216" s="50">
        <f t="shared" si="107"/>
        <v>4.3554999005074702E-2</v>
      </c>
      <c r="U216" s="50">
        <f t="shared" si="107"/>
        <v>4.4435510161992771E-2</v>
      </c>
      <c r="V216" s="50">
        <f t="shared" si="107"/>
        <v>4.717219114348542E-2</v>
      </c>
      <c r="W216" s="50">
        <f t="shared" si="107"/>
        <v>5.6899741232983039E-2</v>
      </c>
      <c r="X216" s="50">
        <f t="shared" si="107"/>
        <v>6.1986738769463187E-2</v>
      </c>
      <c r="Y216" s="50">
        <f t="shared" si="107"/>
        <v>5.7208700429979269E-2</v>
      </c>
      <c r="Z216" s="50">
        <f t="shared" si="107"/>
        <v>4.9339560702577757E-2</v>
      </c>
      <c r="AA216" s="50">
        <f t="shared" si="107"/>
        <v>4.1368944501432053E-2</v>
      </c>
      <c r="AB216" s="50">
        <f t="shared" si="107"/>
        <v>3.5102305329568817E-2</v>
      </c>
      <c r="AC216" s="8">
        <f>+SUM(E216:AB216)*D216</f>
        <v>1.9999999999999996</v>
      </c>
    </row>
    <row r="217" spans="2:29" outlineLevel="1">
      <c r="B217" s="12"/>
      <c r="C217" s="12" t="s">
        <v>15</v>
      </c>
      <c r="D217" s="12">
        <f>+SUM(D213:D216)</f>
        <v>31</v>
      </c>
      <c r="E217" s="19">
        <f>+SUMPRODUCT(E213:E216,$D213:$D216)</f>
        <v>0.9449188914619574</v>
      </c>
      <c r="F217" s="19">
        <f>+SUMPRODUCT(F213:F216,$D213:$D216)</f>
        <v>0.88735310645610399</v>
      </c>
      <c r="G217" s="19">
        <f t="shared" ref="G217:AB217" si="108">+SUMPRODUCT(G213:G216,$D213:$D216)</f>
        <v>0.85627760717527046</v>
      </c>
      <c r="H217" s="19">
        <f t="shared" si="108"/>
        <v>0.85154648734506155</v>
      </c>
      <c r="I217" s="19">
        <f t="shared" si="108"/>
        <v>0.90355533045794334</v>
      </c>
      <c r="J217" s="19">
        <f t="shared" si="108"/>
        <v>1.0384381444073791</v>
      </c>
      <c r="K217" s="19">
        <f t="shared" si="108"/>
        <v>1.1625470021530409</v>
      </c>
      <c r="L217" s="19">
        <f t="shared" si="108"/>
        <v>1.2133351015554845</v>
      </c>
      <c r="M217" s="19">
        <f t="shared" si="108"/>
        <v>1.2705740106149779</v>
      </c>
      <c r="N217" s="19">
        <f t="shared" si="108"/>
        <v>1.3120862908142286</v>
      </c>
      <c r="O217" s="19">
        <f t="shared" si="108"/>
        <v>1.3698459310519939</v>
      </c>
      <c r="P217" s="19">
        <f t="shared" si="108"/>
        <v>1.4328477913560536</v>
      </c>
      <c r="Q217" s="19">
        <f t="shared" si="108"/>
        <v>1.4153603765289562</v>
      </c>
      <c r="R217" s="19">
        <f t="shared" si="108"/>
        <v>1.3672869947208659</v>
      </c>
      <c r="S217" s="19">
        <f t="shared" si="108"/>
        <v>1.3605288696739395</v>
      </c>
      <c r="T217" s="19">
        <f t="shared" si="108"/>
        <v>1.3835308598898344</v>
      </c>
      <c r="U217" s="19">
        <f t="shared" si="108"/>
        <v>1.4129061682558126</v>
      </c>
      <c r="V217" s="19">
        <f t="shared" si="108"/>
        <v>1.4772016007307855</v>
      </c>
      <c r="W217" s="19">
        <f t="shared" si="108"/>
        <v>1.7605764852345165</v>
      </c>
      <c r="X217" s="19">
        <f t="shared" si="108"/>
        <v>1.9140341088608113</v>
      </c>
      <c r="Y217" s="19">
        <f t="shared" si="108"/>
        <v>1.7765598166012422</v>
      </c>
      <c r="Z217" s="19">
        <f t="shared" si="108"/>
        <v>1.5515932976497535</v>
      </c>
      <c r="AA217" s="19">
        <f t="shared" si="108"/>
        <v>1.2793169707996008</v>
      </c>
      <c r="AB217" s="19">
        <f t="shared" si="108"/>
        <v>1.0577787562043857</v>
      </c>
      <c r="AC217" s="12">
        <f>+SUM(E217:AB217)</f>
        <v>31</v>
      </c>
    </row>
    <row r="218" spans="2:29" outlineLevel="1">
      <c r="B218" s="15">
        <f>+EDATE(B213,1)</f>
        <v>46174</v>
      </c>
      <c r="C218" s="8" t="s">
        <v>45</v>
      </c>
      <c r="D218" s="8">
        <v>19</v>
      </c>
      <c r="E218" s="50">
        <f t="shared" ref="E218:AB218" si="109">+E158</f>
        <v>2.9361257124838391E-2</v>
      </c>
      <c r="F218" s="50">
        <f t="shared" si="109"/>
        <v>2.7692710332229715E-2</v>
      </c>
      <c r="G218" s="50">
        <f t="shared" si="109"/>
        <v>2.6785161397696527E-2</v>
      </c>
      <c r="H218" s="50">
        <f t="shared" si="109"/>
        <v>2.6786989368939883E-2</v>
      </c>
      <c r="I218" s="50">
        <f t="shared" si="109"/>
        <v>2.9135775177511477E-2</v>
      </c>
      <c r="J218" s="50">
        <f t="shared" si="109"/>
        <v>3.4540443856715661E-2</v>
      </c>
      <c r="K218" s="50">
        <f t="shared" si="109"/>
        <v>3.8789035252325646E-2</v>
      </c>
      <c r="L218" s="50">
        <f t="shared" si="109"/>
        <v>3.957865839345593E-2</v>
      </c>
      <c r="M218" s="50">
        <f t="shared" si="109"/>
        <v>4.0957538271781398E-2</v>
      </c>
      <c r="N218" s="50">
        <f t="shared" si="109"/>
        <v>4.2166920044863825E-2</v>
      </c>
      <c r="O218" s="50">
        <f t="shared" si="109"/>
        <v>4.4150374939633218E-2</v>
      </c>
      <c r="P218" s="50">
        <f t="shared" si="109"/>
        <v>4.6294816466469102E-2</v>
      </c>
      <c r="Q218" s="50">
        <f t="shared" si="109"/>
        <v>4.5431875959152102E-2</v>
      </c>
      <c r="R218" s="50">
        <f t="shared" si="109"/>
        <v>4.3879728503346101E-2</v>
      </c>
      <c r="S218" s="50">
        <f t="shared" si="109"/>
        <v>4.4118506624640258E-2</v>
      </c>
      <c r="T218" s="50">
        <f t="shared" si="109"/>
        <v>4.5188432655351718E-2</v>
      </c>
      <c r="U218" s="50">
        <f t="shared" si="109"/>
        <v>4.624302558461979E-2</v>
      </c>
      <c r="V218" s="50">
        <f t="shared" si="109"/>
        <v>4.8247238962955179E-2</v>
      </c>
      <c r="W218" s="50">
        <f t="shared" si="109"/>
        <v>5.7096885328092907E-2</v>
      </c>
      <c r="X218" s="50">
        <f t="shared" si="109"/>
        <v>6.1739938045350239E-2</v>
      </c>
      <c r="Y218" s="50">
        <f t="shared" si="109"/>
        <v>5.7231881517227232E-2</v>
      </c>
      <c r="Z218" s="50">
        <f t="shared" si="109"/>
        <v>5.0129255438435008E-2</v>
      </c>
      <c r="AA218" s="50">
        <f t="shared" si="109"/>
        <v>4.1010488221716553E-2</v>
      </c>
      <c r="AB218" s="50">
        <f t="shared" si="109"/>
        <v>3.34430625326523E-2</v>
      </c>
      <c r="AC218" s="8">
        <f>+SUM(E218:AB218)*D218</f>
        <v>19.000000000000004</v>
      </c>
    </row>
    <row r="219" spans="2:29" outlineLevel="1">
      <c r="B219" s="16"/>
      <c r="C219" s="8" t="s">
        <v>46</v>
      </c>
      <c r="D219" s="8">
        <v>4</v>
      </c>
      <c r="E219" s="50">
        <f t="shared" ref="E219:AB219" si="110">+E159</f>
        <v>3.0659473205105158E-2</v>
      </c>
      <c r="F219" s="50">
        <f t="shared" si="110"/>
        <v>2.8600001140869122E-2</v>
      </c>
      <c r="G219" s="50">
        <f t="shared" si="110"/>
        <v>2.7683858575034276E-2</v>
      </c>
      <c r="H219" s="50">
        <f t="shared" si="110"/>
        <v>2.7537802139610414E-2</v>
      </c>
      <c r="I219" s="50">
        <f t="shared" si="110"/>
        <v>2.8782539770184416E-2</v>
      </c>
      <c r="J219" s="50">
        <f t="shared" si="110"/>
        <v>3.2241585579716119E-2</v>
      </c>
      <c r="K219" s="50">
        <f t="shared" si="110"/>
        <v>3.645312931015221E-2</v>
      </c>
      <c r="L219" s="50">
        <f t="shared" si="110"/>
        <v>3.9012639181609042E-2</v>
      </c>
      <c r="M219" s="50">
        <f t="shared" si="110"/>
        <v>4.1549207589560662E-2</v>
      </c>
      <c r="N219" s="50">
        <f t="shared" si="110"/>
        <v>4.3042516751632572E-2</v>
      </c>
      <c r="O219" s="50">
        <f t="shared" si="110"/>
        <v>4.4973693586955334E-2</v>
      </c>
      <c r="P219" s="50">
        <f t="shared" si="110"/>
        <v>4.6808021710202923E-2</v>
      </c>
      <c r="Q219" s="50">
        <f t="shared" si="110"/>
        <v>4.6383383047344962E-2</v>
      </c>
      <c r="R219" s="50">
        <f t="shared" si="110"/>
        <v>4.4751654806610461E-2</v>
      </c>
      <c r="S219" s="50">
        <f t="shared" si="110"/>
        <v>4.4013077558728637E-2</v>
      </c>
      <c r="T219" s="50">
        <f t="shared" si="110"/>
        <v>4.428856091631931E-2</v>
      </c>
      <c r="U219" s="50">
        <f t="shared" si="110"/>
        <v>4.49735778579251E-2</v>
      </c>
      <c r="V219" s="50">
        <f t="shared" si="110"/>
        <v>4.6933206789217301E-2</v>
      </c>
      <c r="W219" s="50">
        <f t="shared" si="110"/>
        <v>5.6210586428141023E-2</v>
      </c>
      <c r="X219" s="50">
        <f t="shared" si="110"/>
        <v>6.1205656691958259E-2</v>
      </c>
      <c r="Y219" s="50">
        <f t="shared" si="110"/>
        <v>5.7018442088769522E-2</v>
      </c>
      <c r="Z219" s="50">
        <f t="shared" si="110"/>
        <v>4.9896672365740725E-2</v>
      </c>
      <c r="AA219" s="50">
        <f t="shared" si="110"/>
        <v>4.1622868086918119E-2</v>
      </c>
      <c r="AB219" s="50">
        <f t="shared" si="110"/>
        <v>3.5357844821693719E-2</v>
      </c>
      <c r="AC219" s="8">
        <f t="shared" si="105"/>
        <v>3.9999999999999969</v>
      </c>
    </row>
    <row r="220" spans="2:29" outlineLevel="1">
      <c r="B220" s="16"/>
      <c r="C220" s="8" t="s">
        <v>47</v>
      </c>
      <c r="D220" s="8">
        <v>4</v>
      </c>
      <c r="E220" s="50">
        <f t="shared" ref="E220:AB220" si="111">+E160</f>
        <v>3.3281514565353124E-2</v>
      </c>
      <c r="F220" s="50">
        <f t="shared" si="111"/>
        <v>3.1140043873712407E-2</v>
      </c>
      <c r="G220" s="50">
        <f t="shared" si="111"/>
        <v>2.984335106750436E-2</v>
      </c>
      <c r="H220" s="50">
        <f t="shared" si="111"/>
        <v>2.9286927979133532E-2</v>
      </c>
      <c r="I220" s="50">
        <f t="shared" si="111"/>
        <v>2.9138028999542646E-2</v>
      </c>
      <c r="J220" s="50">
        <f t="shared" si="111"/>
        <v>3.0942883559119717E-2</v>
      </c>
      <c r="K220" s="50">
        <f t="shared" si="111"/>
        <v>3.4432484834348992E-2</v>
      </c>
      <c r="L220" s="50">
        <f t="shared" si="111"/>
        <v>3.8305304424032266E-2</v>
      </c>
      <c r="M220" s="50">
        <f t="shared" si="111"/>
        <v>4.1103790742913066E-2</v>
      </c>
      <c r="N220" s="50">
        <f t="shared" si="111"/>
        <v>4.2608444243851212E-2</v>
      </c>
      <c r="O220" s="50">
        <f t="shared" si="111"/>
        <v>4.3914681848814308E-2</v>
      </c>
      <c r="P220" s="50">
        <f t="shared" si="111"/>
        <v>4.5729867165388009E-2</v>
      </c>
      <c r="Q220" s="50">
        <f t="shared" si="111"/>
        <v>4.5741487779353565E-2</v>
      </c>
      <c r="R220" s="50">
        <f t="shared" si="111"/>
        <v>4.4277060725657284E-2</v>
      </c>
      <c r="S220" s="50">
        <f t="shared" si="111"/>
        <v>4.3144199391556254E-2</v>
      </c>
      <c r="T220" s="50">
        <f t="shared" si="111"/>
        <v>4.3279567369281124E-2</v>
      </c>
      <c r="U220" s="50">
        <f t="shared" si="111"/>
        <v>4.4109954506885138E-2</v>
      </c>
      <c r="V220" s="50">
        <f t="shared" si="111"/>
        <v>4.6298728840315946E-2</v>
      </c>
      <c r="W220" s="50">
        <f t="shared" si="111"/>
        <v>5.6176649878816001E-2</v>
      </c>
      <c r="X220" s="50">
        <f t="shared" si="111"/>
        <v>6.2194705000087863E-2</v>
      </c>
      <c r="Y220" s="50">
        <f t="shared" si="111"/>
        <v>5.7928891294023718E-2</v>
      </c>
      <c r="Z220" s="50">
        <f t="shared" si="111"/>
        <v>5.019499221712586E-2</v>
      </c>
      <c r="AA220" s="50">
        <f t="shared" si="111"/>
        <v>4.1853093029906328E-2</v>
      </c>
      <c r="AB220" s="50">
        <f t="shared" si="111"/>
        <v>3.507334666327714E-2</v>
      </c>
      <c r="AC220" s="8">
        <f t="shared" si="105"/>
        <v>3.9999999999999991</v>
      </c>
    </row>
    <row r="221" spans="2:29" outlineLevel="1">
      <c r="B221" s="16"/>
      <c r="C221" s="8" t="s">
        <v>48</v>
      </c>
      <c r="D221" s="8">
        <v>3</v>
      </c>
      <c r="E221" s="50">
        <f t="shared" ref="E221:AB221" si="112">+E161</f>
        <v>3.367503361886829E-2</v>
      </c>
      <c r="F221" s="50">
        <f t="shared" si="112"/>
        <v>3.1245692535415936E-2</v>
      </c>
      <c r="G221" s="50">
        <f t="shared" si="112"/>
        <v>2.9861746203171599E-2</v>
      </c>
      <c r="H221" s="50">
        <f t="shared" si="112"/>
        <v>2.9235019370742008E-2</v>
      </c>
      <c r="I221" s="50">
        <f t="shared" si="112"/>
        <v>3.0186379118294998E-2</v>
      </c>
      <c r="J221" s="50">
        <f t="shared" si="112"/>
        <v>3.3123682717801174E-2</v>
      </c>
      <c r="K221" s="50">
        <f t="shared" si="112"/>
        <v>3.5563630818173868E-2</v>
      </c>
      <c r="L221" s="50">
        <f t="shared" si="112"/>
        <v>3.7375437025807548E-2</v>
      </c>
      <c r="M221" s="50">
        <f t="shared" si="112"/>
        <v>3.9557895894381336E-2</v>
      </c>
      <c r="N221" s="50">
        <f t="shared" si="112"/>
        <v>4.1330002492198488E-2</v>
      </c>
      <c r="O221" s="50">
        <f t="shared" si="112"/>
        <v>4.3273465010057272E-2</v>
      </c>
      <c r="P221" s="50">
        <f t="shared" si="112"/>
        <v>4.5278417057592932E-2</v>
      </c>
      <c r="Q221" s="50">
        <f t="shared" si="112"/>
        <v>4.5765189585786785E-2</v>
      </c>
      <c r="R221" s="50">
        <f t="shared" si="112"/>
        <v>4.421428774797561E-2</v>
      </c>
      <c r="S221" s="50">
        <f t="shared" si="112"/>
        <v>4.3245429527174986E-2</v>
      </c>
      <c r="T221" s="50">
        <f t="shared" si="112"/>
        <v>4.3554999005074702E-2</v>
      </c>
      <c r="U221" s="50">
        <f t="shared" si="112"/>
        <v>4.4435510161992771E-2</v>
      </c>
      <c r="V221" s="50">
        <f t="shared" si="112"/>
        <v>4.717219114348542E-2</v>
      </c>
      <c r="W221" s="50">
        <f t="shared" si="112"/>
        <v>5.6899741232983039E-2</v>
      </c>
      <c r="X221" s="50">
        <f t="shared" si="112"/>
        <v>6.1986738769463187E-2</v>
      </c>
      <c r="Y221" s="50">
        <f t="shared" si="112"/>
        <v>5.7208700429979269E-2</v>
      </c>
      <c r="Z221" s="50">
        <f t="shared" si="112"/>
        <v>4.9339560702577757E-2</v>
      </c>
      <c r="AA221" s="50">
        <f t="shared" si="112"/>
        <v>4.1368944501432053E-2</v>
      </c>
      <c r="AB221" s="50">
        <f t="shared" si="112"/>
        <v>3.5102305329568817E-2</v>
      </c>
      <c r="AC221" s="8">
        <f t="shared" si="105"/>
        <v>2.9999999999999991</v>
      </c>
    </row>
    <row r="222" spans="2:29" outlineLevel="1">
      <c r="B222" s="12"/>
      <c r="C222" s="12" t="s">
        <v>15</v>
      </c>
      <c r="D222" s="12">
        <f>+SUM(D218:D221)</f>
        <v>30</v>
      </c>
      <c r="E222" s="19">
        <f>+SUMPRODUCT(E218:E221,$D218:$D221)</f>
        <v>0.91465293731036745</v>
      </c>
      <c r="F222" s="19">
        <f>+SUMPRODUCT(F218:F221,$D218:$D221)</f>
        <v>0.85885875397693845</v>
      </c>
      <c r="G222" s="19">
        <f t="shared" ref="G222:AB222" si="113">+SUMPRODUCT(G218:G221,$D218:$D221)</f>
        <v>0.82861214373590342</v>
      </c>
      <c r="H222" s="19">
        <f t="shared" si="113"/>
        <v>0.82395677659705968</v>
      </c>
      <c r="I222" s="19">
        <f t="shared" si="113"/>
        <v>0.8758211408065113</v>
      </c>
      <c r="J222" s="19">
        <f t="shared" si="113"/>
        <v>1.0083773579863444</v>
      </c>
      <c r="K222" s="19">
        <f t="shared" si="113"/>
        <v>1.1272250188267137</v>
      </c>
      <c r="L222" s="19">
        <f t="shared" si="113"/>
        <v>1.1733925949756505</v>
      </c>
      <c r="M222" s="19">
        <f t="shared" si="113"/>
        <v>1.2274789081768853</v>
      </c>
      <c r="N222" s="19">
        <f t="shared" si="113"/>
        <v>1.267765332310943</v>
      </c>
      <c r="O222" s="19">
        <f t="shared" si="113"/>
        <v>1.3242310206262815</v>
      </c>
      <c r="P222" s="19">
        <f t="shared" si="113"/>
        <v>1.3855883195380554</v>
      </c>
      <c r="Q222" s="19">
        <f t="shared" si="113"/>
        <v>1.3690006952880442</v>
      </c>
      <c r="R222" s="19">
        <f t="shared" si="113"/>
        <v>1.3224725669365736</v>
      </c>
      <c r="S222" s="19">
        <f t="shared" si="113"/>
        <v>1.3166170222508293</v>
      </c>
      <c r="T222" s="19">
        <f t="shared" si="113"/>
        <v>1.3395177306093085</v>
      </c>
      <c r="U222" s="19">
        <f t="shared" si="113"/>
        <v>1.3682581460529954</v>
      </c>
      <c r="V222" s="19">
        <f t="shared" si="113"/>
        <v>1.4311418562447376</v>
      </c>
      <c r="W222" s="19">
        <f t="shared" si="113"/>
        <v>1.7050889901605424</v>
      </c>
      <c r="X222" s="19">
        <f t="shared" si="113"/>
        <v>1.8526204859382287</v>
      </c>
      <c r="Y222" s="19">
        <f t="shared" si="113"/>
        <v>1.7188211836484282</v>
      </c>
      <c r="Z222" s="19">
        <f t="shared" si="113"/>
        <v>1.5008411937694648</v>
      </c>
      <c r="AA222" s="19">
        <f t="shared" si="113"/>
        <v>1.2372099541842083</v>
      </c>
      <c r="AB222" s="19">
        <f t="shared" si="113"/>
        <v>1.0224498700489835</v>
      </c>
      <c r="AC222" s="12">
        <f>+SUM(E222:AB222)</f>
        <v>30</v>
      </c>
    </row>
    <row r="223" spans="2:29" outlineLevel="1">
      <c r="B223" s="15">
        <f>+EDATE(B218,1)</f>
        <v>46204</v>
      </c>
      <c r="C223" s="8" t="s">
        <v>45</v>
      </c>
      <c r="D223" s="8">
        <v>22</v>
      </c>
      <c r="E223" s="50">
        <f t="shared" ref="E223:AB223" si="114">+E163</f>
        <v>2.9361257124838391E-2</v>
      </c>
      <c r="F223" s="50">
        <f t="shared" si="114"/>
        <v>2.7692710332229715E-2</v>
      </c>
      <c r="G223" s="50">
        <f t="shared" si="114"/>
        <v>2.6785161397696527E-2</v>
      </c>
      <c r="H223" s="50">
        <f t="shared" si="114"/>
        <v>2.6786989368939883E-2</v>
      </c>
      <c r="I223" s="50">
        <f t="shared" si="114"/>
        <v>2.9135775177511477E-2</v>
      </c>
      <c r="J223" s="50">
        <f t="shared" si="114"/>
        <v>3.4540443856715661E-2</v>
      </c>
      <c r="K223" s="50">
        <f t="shared" si="114"/>
        <v>3.8789035252325646E-2</v>
      </c>
      <c r="L223" s="50">
        <f t="shared" si="114"/>
        <v>3.957865839345593E-2</v>
      </c>
      <c r="M223" s="50">
        <f t="shared" si="114"/>
        <v>4.0957538271781398E-2</v>
      </c>
      <c r="N223" s="50">
        <f t="shared" si="114"/>
        <v>4.2166920044863825E-2</v>
      </c>
      <c r="O223" s="50">
        <f t="shared" si="114"/>
        <v>4.4150374939633218E-2</v>
      </c>
      <c r="P223" s="50">
        <f t="shared" si="114"/>
        <v>4.6294816466469102E-2</v>
      </c>
      <c r="Q223" s="50">
        <f t="shared" si="114"/>
        <v>4.5431875959152102E-2</v>
      </c>
      <c r="R223" s="50">
        <f t="shared" si="114"/>
        <v>4.3879728503346101E-2</v>
      </c>
      <c r="S223" s="50">
        <f t="shared" si="114"/>
        <v>4.4118506624640258E-2</v>
      </c>
      <c r="T223" s="50">
        <f t="shared" si="114"/>
        <v>4.5188432655351718E-2</v>
      </c>
      <c r="U223" s="50">
        <f t="shared" si="114"/>
        <v>4.624302558461979E-2</v>
      </c>
      <c r="V223" s="50">
        <f t="shared" si="114"/>
        <v>4.8247238962955179E-2</v>
      </c>
      <c r="W223" s="50">
        <f t="shared" si="114"/>
        <v>5.7096885328092907E-2</v>
      </c>
      <c r="X223" s="50">
        <f t="shared" si="114"/>
        <v>6.1739938045350239E-2</v>
      </c>
      <c r="Y223" s="50">
        <f t="shared" si="114"/>
        <v>5.7231881517227232E-2</v>
      </c>
      <c r="Z223" s="50">
        <f t="shared" si="114"/>
        <v>5.0129255438435008E-2</v>
      </c>
      <c r="AA223" s="50">
        <f t="shared" si="114"/>
        <v>4.1010488221716553E-2</v>
      </c>
      <c r="AB223" s="50">
        <f t="shared" si="114"/>
        <v>3.34430625326523E-2</v>
      </c>
      <c r="AC223" s="8">
        <f>+SUM(E223:AB223)*D223</f>
        <v>22.000000000000004</v>
      </c>
    </row>
    <row r="224" spans="2:29" outlineLevel="1">
      <c r="B224" s="16"/>
      <c r="C224" s="8" t="s">
        <v>46</v>
      </c>
      <c r="D224" s="8">
        <v>4</v>
      </c>
      <c r="E224" s="50">
        <f t="shared" ref="E224:AB224" si="115">+E164</f>
        <v>3.0659473205105158E-2</v>
      </c>
      <c r="F224" s="50">
        <f t="shared" si="115"/>
        <v>2.8600001140869122E-2</v>
      </c>
      <c r="G224" s="50">
        <f t="shared" si="115"/>
        <v>2.7683858575034276E-2</v>
      </c>
      <c r="H224" s="50">
        <f t="shared" si="115"/>
        <v>2.7537802139610414E-2</v>
      </c>
      <c r="I224" s="50">
        <f t="shared" si="115"/>
        <v>2.8782539770184416E-2</v>
      </c>
      <c r="J224" s="50">
        <f t="shared" si="115"/>
        <v>3.2241585579716119E-2</v>
      </c>
      <c r="K224" s="50">
        <f t="shared" si="115"/>
        <v>3.645312931015221E-2</v>
      </c>
      <c r="L224" s="50">
        <f t="shared" si="115"/>
        <v>3.9012639181609042E-2</v>
      </c>
      <c r="M224" s="50">
        <f t="shared" si="115"/>
        <v>4.1549207589560662E-2</v>
      </c>
      <c r="N224" s="50">
        <f t="shared" si="115"/>
        <v>4.3042516751632572E-2</v>
      </c>
      <c r="O224" s="50">
        <f t="shared" si="115"/>
        <v>4.4973693586955334E-2</v>
      </c>
      <c r="P224" s="50">
        <f t="shared" si="115"/>
        <v>4.6808021710202923E-2</v>
      </c>
      <c r="Q224" s="50">
        <f t="shared" si="115"/>
        <v>4.6383383047344962E-2</v>
      </c>
      <c r="R224" s="50">
        <f t="shared" si="115"/>
        <v>4.4751654806610461E-2</v>
      </c>
      <c r="S224" s="50">
        <f t="shared" si="115"/>
        <v>4.4013077558728637E-2</v>
      </c>
      <c r="T224" s="50">
        <f t="shared" si="115"/>
        <v>4.428856091631931E-2</v>
      </c>
      <c r="U224" s="50">
        <f t="shared" si="115"/>
        <v>4.49735778579251E-2</v>
      </c>
      <c r="V224" s="50">
        <f t="shared" si="115"/>
        <v>4.6933206789217301E-2</v>
      </c>
      <c r="W224" s="50">
        <f t="shared" si="115"/>
        <v>5.6210586428141023E-2</v>
      </c>
      <c r="X224" s="50">
        <f t="shared" si="115"/>
        <v>6.1205656691958259E-2</v>
      </c>
      <c r="Y224" s="50">
        <f t="shared" si="115"/>
        <v>5.7018442088769522E-2</v>
      </c>
      <c r="Z224" s="50">
        <f t="shared" si="115"/>
        <v>4.9896672365740725E-2</v>
      </c>
      <c r="AA224" s="50">
        <f t="shared" si="115"/>
        <v>4.1622868086918119E-2</v>
      </c>
      <c r="AB224" s="50">
        <f t="shared" si="115"/>
        <v>3.5357844821693719E-2</v>
      </c>
      <c r="AC224" s="8">
        <f t="shared" si="105"/>
        <v>3.9999999999999969</v>
      </c>
    </row>
    <row r="225" spans="2:29" outlineLevel="1">
      <c r="B225" s="16"/>
      <c r="C225" s="8" t="s">
        <v>47</v>
      </c>
      <c r="D225" s="8">
        <v>4</v>
      </c>
      <c r="E225" s="50">
        <f t="shared" ref="E225:AB225" si="116">+E165</f>
        <v>3.3281514565353124E-2</v>
      </c>
      <c r="F225" s="50">
        <f t="shared" si="116"/>
        <v>3.1140043873712407E-2</v>
      </c>
      <c r="G225" s="50">
        <f t="shared" si="116"/>
        <v>2.984335106750436E-2</v>
      </c>
      <c r="H225" s="50">
        <f t="shared" si="116"/>
        <v>2.9286927979133532E-2</v>
      </c>
      <c r="I225" s="50">
        <f t="shared" si="116"/>
        <v>2.9138028999542646E-2</v>
      </c>
      <c r="J225" s="50">
        <f t="shared" si="116"/>
        <v>3.0942883559119717E-2</v>
      </c>
      <c r="K225" s="50">
        <f t="shared" si="116"/>
        <v>3.4432484834348992E-2</v>
      </c>
      <c r="L225" s="50">
        <f t="shared" si="116"/>
        <v>3.8305304424032266E-2</v>
      </c>
      <c r="M225" s="50">
        <f t="shared" si="116"/>
        <v>4.1103790742913066E-2</v>
      </c>
      <c r="N225" s="50">
        <f t="shared" si="116"/>
        <v>4.2608444243851212E-2</v>
      </c>
      <c r="O225" s="50">
        <f t="shared" si="116"/>
        <v>4.3914681848814308E-2</v>
      </c>
      <c r="P225" s="50">
        <f t="shared" si="116"/>
        <v>4.5729867165388009E-2</v>
      </c>
      <c r="Q225" s="50">
        <f t="shared" si="116"/>
        <v>4.5741487779353565E-2</v>
      </c>
      <c r="R225" s="50">
        <f t="shared" si="116"/>
        <v>4.4277060725657284E-2</v>
      </c>
      <c r="S225" s="50">
        <f t="shared" si="116"/>
        <v>4.3144199391556254E-2</v>
      </c>
      <c r="T225" s="50">
        <f t="shared" si="116"/>
        <v>4.3279567369281124E-2</v>
      </c>
      <c r="U225" s="50">
        <f t="shared" si="116"/>
        <v>4.4109954506885138E-2</v>
      </c>
      <c r="V225" s="50">
        <f t="shared" si="116"/>
        <v>4.6298728840315946E-2</v>
      </c>
      <c r="W225" s="50">
        <f t="shared" si="116"/>
        <v>5.6176649878816001E-2</v>
      </c>
      <c r="X225" s="50">
        <f t="shared" si="116"/>
        <v>6.2194705000087863E-2</v>
      </c>
      <c r="Y225" s="50">
        <f t="shared" si="116"/>
        <v>5.7928891294023718E-2</v>
      </c>
      <c r="Z225" s="50">
        <f t="shared" si="116"/>
        <v>5.019499221712586E-2</v>
      </c>
      <c r="AA225" s="50">
        <f t="shared" si="116"/>
        <v>4.1853093029906328E-2</v>
      </c>
      <c r="AB225" s="50">
        <f t="shared" si="116"/>
        <v>3.507334666327714E-2</v>
      </c>
      <c r="AC225" s="8">
        <f t="shared" si="105"/>
        <v>3.9999999999999991</v>
      </c>
    </row>
    <row r="226" spans="2:29" outlineLevel="1">
      <c r="B226" s="16"/>
      <c r="C226" s="8" t="s">
        <v>48</v>
      </c>
      <c r="D226" s="8">
        <v>1</v>
      </c>
      <c r="E226" s="50">
        <f t="shared" ref="E226:AB226" si="117">+E166</f>
        <v>3.367503361886829E-2</v>
      </c>
      <c r="F226" s="50">
        <f t="shared" si="117"/>
        <v>3.1245692535415936E-2</v>
      </c>
      <c r="G226" s="50">
        <f t="shared" si="117"/>
        <v>2.9861746203171599E-2</v>
      </c>
      <c r="H226" s="50">
        <f t="shared" si="117"/>
        <v>2.9235019370742008E-2</v>
      </c>
      <c r="I226" s="50">
        <f t="shared" si="117"/>
        <v>3.0186379118294998E-2</v>
      </c>
      <c r="J226" s="50">
        <f t="shared" si="117"/>
        <v>3.3123682717801174E-2</v>
      </c>
      <c r="K226" s="50">
        <f t="shared" si="117"/>
        <v>3.5563630818173868E-2</v>
      </c>
      <c r="L226" s="50">
        <f t="shared" si="117"/>
        <v>3.7375437025807548E-2</v>
      </c>
      <c r="M226" s="50">
        <f t="shared" si="117"/>
        <v>3.9557895894381336E-2</v>
      </c>
      <c r="N226" s="50">
        <f t="shared" si="117"/>
        <v>4.1330002492198488E-2</v>
      </c>
      <c r="O226" s="50">
        <f t="shared" si="117"/>
        <v>4.3273465010057272E-2</v>
      </c>
      <c r="P226" s="50">
        <f t="shared" si="117"/>
        <v>4.5278417057592932E-2</v>
      </c>
      <c r="Q226" s="50">
        <f t="shared" si="117"/>
        <v>4.5765189585786785E-2</v>
      </c>
      <c r="R226" s="50">
        <f t="shared" si="117"/>
        <v>4.421428774797561E-2</v>
      </c>
      <c r="S226" s="50">
        <f t="shared" si="117"/>
        <v>4.3245429527174986E-2</v>
      </c>
      <c r="T226" s="50">
        <f t="shared" si="117"/>
        <v>4.3554999005074702E-2</v>
      </c>
      <c r="U226" s="50">
        <f t="shared" si="117"/>
        <v>4.4435510161992771E-2</v>
      </c>
      <c r="V226" s="50">
        <f t="shared" si="117"/>
        <v>4.717219114348542E-2</v>
      </c>
      <c r="W226" s="50">
        <f t="shared" si="117"/>
        <v>5.6899741232983039E-2</v>
      </c>
      <c r="X226" s="50">
        <f t="shared" si="117"/>
        <v>6.1986738769463187E-2</v>
      </c>
      <c r="Y226" s="50">
        <f t="shared" si="117"/>
        <v>5.7208700429979269E-2</v>
      </c>
      <c r="Z226" s="50">
        <f t="shared" si="117"/>
        <v>4.9339560702577757E-2</v>
      </c>
      <c r="AA226" s="50">
        <f t="shared" si="117"/>
        <v>4.1368944501432053E-2</v>
      </c>
      <c r="AB226" s="50">
        <f t="shared" si="117"/>
        <v>3.5102305329568817E-2</v>
      </c>
      <c r="AC226" s="8">
        <f t="shared" si="105"/>
        <v>0.99999999999999978</v>
      </c>
    </row>
    <row r="227" spans="2:29" outlineLevel="1">
      <c r="B227" s="12"/>
      <c r="C227" s="12" t="s">
        <v>15</v>
      </c>
      <c r="D227" s="12">
        <f>+SUM(D223:D226)</f>
        <v>31</v>
      </c>
      <c r="E227" s="19">
        <f>+SUMPRODUCT(E223:E226,$D223:$D226)</f>
        <v>0.93538664144714589</v>
      </c>
      <c r="F227" s="19">
        <f>+SUMPRODUCT(F223:F226,$D223:$D226)</f>
        <v>0.87944549990279586</v>
      </c>
      <c r="G227" s="19">
        <f t="shared" ref="G227:AB227" si="118">+SUMPRODUCT(G223:G226,$D223:$D226)</f>
        <v>0.84924413552264977</v>
      </c>
      <c r="H227" s="19">
        <f t="shared" si="118"/>
        <v>0.84584770596239522</v>
      </c>
      <c r="I227" s="19">
        <f t="shared" si="118"/>
        <v>0.90285570810245575</v>
      </c>
      <c r="J227" s="19">
        <f t="shared" si="118"/>
        <v>1.0457513241208891</v>
      </c>
      <c r="K227" s="19">
        <f t="shared" si="118"/>
        <v>1.1724648629473431</v>
      </c>
      <c r="L227" s="19">
        <f t="shared" si="118"/>
        <v>1.2173776961044029</v>
      </c>
      <c r="M227" s="19">
        <f t="shared" si="118"/>
        <v>1.2712357312034672</v>
      </c>
      <c r="N227" s="19">
        <f t="shared" si="118"/>
        <v>1.3116060874611379</v>
      </c>
      <c r="O227" s="19">
        <f t="shared" si="118"/>
        <v>1.3701352154250666</v>
      </c>
      <c r="P227" s="19">
        <f t="shared" si="118"/>
        <v>1.4339159348222767</v>
      </c>
      <c r="Q227" s="19">
        <f t="shared" si="118"/>
        <v>1.413765943993927</v>
      </c>
      <c r="R227" s="19">
        <f t="shared" si="118"/>
        <v>1.3656831769506608</v>
      </c>
      <c r="S227" s="19">
        <f t="shared" si="118"/>
        <v>1.3624816830704001</v>
      </c>
      <c r="T227" s="19">
        <f t="shared" si="118"/>
        <v>1.3879730305652143</v>
      </c>
      <c r="U227" s="19">
        <f t="shared" si="118"/>
        <v>1.4181162024828693</v>
      </c>
      <c r="V227" s="19">
        <f t="shared" si="118"/>
        <v>1.4815391908466324</v>
      </c>
      <c r="W227" s="19">
        <f t="shared" si="118"/>
        <v>1.7625801636788549</v>
      </c>
      <c r="X227" s="19">
        <f t="shared" si="118"/>
        <v>1.913866822535353</v>
      </c>
      <c r="Y227" s="19">
        <f t="shared" si="118"/>
        <v>1.7760994273401516</v>
      </c>
      <c r="Z227" s="19">
        <f t="shared" si="118"/>
        <v>1.5525498386796144</v>
      </c>
      <c r="AA227" s="19">
        <f t="shared" si="118"/>
        <v>1.2775035298464938</v>
      </c>
      <c r="AB227" s="19">
        <f t="shared" si="118"/>
        <v>1.0525744469878027</v>
      </c>
      <c r="AC227" s="12">
        <f>+SUM(E227:AB227)</f>
        <v>31.000000000000004</v>
      </c>
    </row>
    <row r="228" spans="2:29" outlineLevel="1">
      <c r="B228" s="15">
        <f>+EDATE(B223,1)</f>
        <v>46235</v>
      </c>
      <c r="C228" s="8" t="s">
        <v>45</v>
      </c>
      <c r="D228" s="8">
        <v>19</v>
      </c>
      <c r="E228" s="50">
        <f t="shared" ref="E228:AB228" si="119">+E168</f>
        <v>2.9361257124838391E-2</v>
      </c>
      <c r="F228" s="50">
        <f t="shared" si="119"/>
        <v>2.7692710332229715E-2</v>
      </c>
      <c r="G228" s="50">
        <f t="shared" si="119"/>
        <v>2.6785161397696527E-2</v>
      </c>
      <c r="H228" s="50">
        <f t="shared" si="119"/>
        <v>2.6786989368939883E-2</v>
      </c>
      <c r="I228" s="50">
        <f t="shared" si="119"/>
        <v>2.9135775177511477E-2</v>
      </c>
      <c r="J228" s="50">
        <f t="shared" si="119"/>
        <v>3.4540443856715661E-2</v>
      </c>
      <c r="K228" s="50">
        <f t="shared" si="119"/>
        <v>3.8789035252325646E-2</v>
      </c>
      <c r="L228" s="50">
        <f t="shared" si="119"/>
        <v>3.957865839345593E-2</v>
      </c>
      <c r="M228" s="50">
        <f t="shared" si="119"/>
        <v>4.0957538271781398E-2</v>
      </c>
      <c r="N228" s="50">
        <f t="shared" si="119"/>
        <v>4.2166920044863825E-2</v>
      </c>
      <c r="O228" s="50">
        <f t="shared" si="119"/>
        <v>4.4150374939633218E-2</v>
      </c>
      <c r="P228" s="50">
        <f t="shared" si="119"/>
        <v>4.6294816466469102E-2</v>
      </c>
      <c r="Q228" s="50">
        <f t="shared" si="119"/>
        <v>4.5431875959152102E-2</v>
      </c>
      <c r="R228" s="50">
        <f t="shared" si="119"/>
        <v>4.3879728503346101E-2</v>
      </c>
      <c r="S228" s="50">
        <f t="shared" si="119"/>
        <v>4.4118506624640258E-2</v>
      </c>
      <c r="T228" s="50">
        <f t="shared" si="119"/>
        <v>4.5188432655351718E-2</v>
      </c>
      <c r="U228" s="50">
        <f t="shared" si="119"/>
        <v>4.624302558461979E-2</v>
      </c>
      <c r="V228" s="50">
        <f t="shared" si="119"/>
        <v>4.8247238962955179E-2</v>
      </c>
      <c r="W228" s="50">
        <f t="shared" si="119"/>
        <v>5.7096885328092907E-2</v>
      </c>
      <c r="X228" s="50">
        <f t="shared" si="119"/>
        <v>6.1739938045350239E-2</v>
      </c>
      <c r="Y228" s="50">
        <f t="shared" si="119"/>
        <v>5.7231881517227232E-2</v>
      </c>
      <c r="Z228" s="50">
        <f t="shared" si="119"/>
        <v>5.0129255438435008E-2</v>
      </c>
      <c r="AA228" s="50">
        <f t="shared" si="119"/>
        <v>4.1010488221716553E-2</v>
      </c>
      <c r="AB228" s="50">
        <f t="shared" si="119"/>
        <v>3.34430625326523E-2</v>
      </c>
      <c r="AC228" s="8">
        <f>+SUM(E228:AB228)*D228</f>
        <v>19.000000000000004</v>
      </c>
    </row>
    <row r="229" spans="2:29" outlineLevel="1">
      <c r="B229" s="16"/>
      <c r="C229" s="8" t="s">
        <v>46</v>
      </c>
      <c r="D229" s="8">
        <v>5</v>
      </c>
      <c r="E229" s="50">
        <f t="shared" ref="E229:AB229" si="120">+E169</f>
        <v>3.0659473205105158E-2</v>
      </c>
      <c r="F229" s="50">
        <f t="shared" si="120"/>
        <v>2.8600001140869122E-2</v>
      </c>
      <c r="G229" s="50">
        <f t="shared" si="120"/>
        <v>2.7683858575034276E-2</v>
      </c>
      <c r="H229" s="50">
        <f t="shared" si="120"/>
        <v>2.7537802139610414E-2</v>
      </c>
      <c r="I229" s="50">
        <f t="shared" si="120"/>
        <v>2.8782539770184416E-2</v>
      </c>
      <c r="J229" s="50">
        <f t="shared" si="120"/>
        <v>3.2241585579716119E-2</v>
      </c>
      <c r="K229" s="50">
        <f t="shared" si="120"/>
        <v>3.645312931015221E-2</v>
      </c>
      <c r="L229" s="50">
        <f t="shared" si="120"/>
        <v>3.9012639181609042E-2</v>
      </c>
      <c r="M229" s="50">
        <f t="shared" si="120"/>
        <v>4.1549207589560662E-2</v>
      </c>
      <c r="N229" s="50">
        <f t="shared" si="120"/>
        <v>4.3042516751632572E-2</v>
      </c>
      <c r="O229" s="50">
        <f t="shared" si="120"/>
        <v>4.4973693586955334E-2</v>
      </c>
      <c r="P229" s="50">
        <f t="shared" si="120"/>
        <v>4.6808021710202923E-2</v>
      </c>
      <c r="Q229" s="50">
        <f t="shared" si="120"/>
        <v>4.6383383047344962E-2</v>
      </c>
      <c r="R229" s="50">
        <f t="shared" si="120"/>
        <v>4.4751654806610461E-2</v>
      </c>
      <c r="S229" s="50">
        <f t="shared" si="120"/>
        <v>4.4013077558728637E-2</v>
      </c>
      <c r="T229" s="50">
        <f t="shared" si="120"/>
        <v>4.428856091631931E-2</v>
      </c>
      <c r="U229" s="50">
        <f t="shared" si="120"/>
        <v>4.49735778579251E-2</v>
      </c>
      <c r="V229" s="50">
        <f t="shared" si="120"/>
        <v>4.6933206789217301E-2</v>
      </c>
      <c r="W229" s="50">
        <f t="shared" si="120"/>
        <v>5.6210586428141023E-2</v>
      </c>
      <c r="X229" s="50">
        <f t="shared" si="120"/>
        <v>6.1205656691958259E-2</v>
      </c>
      <c r="Y229" s="50">
        <f t="shared" si="120"/>
        <v>5.7018442088769522E-2</v>
      </c>
      <c r="Z229" s="50">
        <f t="shared" si="120"/>
        <v>4.9896672365740725E-2</v>
      </c>
      <c r="AA229" s="50">
        <f t="shared" si="120"/>
        <v>4.1622868086918119E-2</v>
      </c>
      <c r="AB229" s="50">
        <f t="shared" si="120"/>
        <v>3.5357844821693719E-2</v>
      </c>
      <c r="AC229" s="8">
        <f t="shared" si="105"/>
        <v>4.9999999999999964</v>
      </c>
    </row>
    <row r="230" spans="2:29" outlineLevel="1">
      <c r="B230" s="16"/>
      <c r="C230" s="8" t="s">
        <v>47</v>
      </c>
      <c r="D230" s="8">
        <v>5</v>
      </c>
      <c r="E230" s="50">
        <f t="shared" ref="E230:AB230" si="121">+E170</f>
        <v>3.3281514565353124E-2</v>
      </c>
      <c r="F230" s="50">
        <f t="shared" si="121"/>
        <v>3.1140043873712407E-2</v>
      </c>
      <c r="G230" s="50">
        <f t="shared" si="121"/>
        <v>2.984335106750436E-2</v>
      </c>
      <c r="H230" s="50">
        <f t="shared" si="121"/>
        <v>2.9286927979133532E-2</v>
      </c>
      <c r="I230" s="50">
        <f t="shared" si="121"/>
        <v>2.9138028999542646E-2</v>
      </c>
      <c r="J230" s="50">
        <f t="shared" si="121"/>
        <v>3.0942883559119717E-2</v>
      </c>
      <c r="K230" s="50">
        <f t="shared" si="121"/>
        <v>3.4432484834348992E-2</v>
      </c>
      <c r="L230" s="50">
        <f t="shared" si="121"/>
        <v>3.8305304424032266E-2</v>
      </c>
      <c r="M230" s="50">
        <f t="shared" si="121"/>
        <v>4.1103790742913066E-2</v>
      </c>
      <c r="N230" s="50">
        <f t="shared" si="121"/>
        <v>4.2608444243851212E-2</v>
      </c>
      <c r="O230" s="50">
        <f t="shared" si="121"/>
        <v>4.3914681848814308E-2</v>
      </c>
      <c r="P230" s="50">
        <f t="shared" si="121"/>
        <v>4.5729867165388009E-2</v>
      </c>
      <c r="Q230" s="50">
        <f t="shared" si="121"/>
        <v>4.5741487779353565E-2</v>
      </c>
      <c r="R230" s="50">
        <f t="shared" si="121"/>
        <v>4.4277060725657284E-2</v>
      </c>
      <c r="S230" s="50">
        <f t="shared" si="121"/>
        <v>4.3144199391556254E-2</v>
      </c>
      <c r="T230" s="50">
        <f t="shared" si="121"/>
        <v>4.3279567369281124E-2</v>
      </c>
      <c r="U230" s="50">
        <f t="shared" si="121"/>
        <v>4.4109954506885138E-2</v>
      </c>
      <c r="V230" s="50">
        <f t="shared" si="121"/>
        <v>4.6298728840315946E-2</v>
      </c>
      <c r="W230" s="50">
        <f t="shared" si="121"/>
        <v>5.6176649878816001E-2</v>
      </c>
      <c r="X230" s="50">
        <f t="shared" si="121"/>
        <v>6.2194705000087863E-2</v>
      </c>
      <c r="Y230" s="50">
        <f t="shared" si="121"/>
        <v>5.7928891294023718E-2</v>
      </c>
      <c r="Z230" s="50">
        <f t="shared" si="121"/>
        <v>5.019499221712586E-2</v>
      </c>
      <c r="AA230" s="50">
        <f t="shared" si="121"/>
        <v>4.1853093029906328E-2</v>
      </c>
      <c r="AB230" s="50">
        <f t="shared" si="121"/>
        <v>3.507334666327714E-2</v>
      </c>
      <c r="AC230" s="8">
        <f t="shared" si="105"/>
        <v>4.9999999999999991</v>
      </c>
    </row>
    <row r="231" spans="2:29" outlineLevel="1">
      <c r="B231" s="16"/>
      <c r="C231" s="8" t="s">
        <v>48</v>
      </c>
      <c r="D231" s="8">
        <v>2</v>
      </c>
      <c r="E231" s="50">
        <f t="shared" ref="E231:AB231" si="122">+E171</f>
        <v>3.367503361886829E-2</v>
      </c>
      <c r="F231" s="50">
        <f t="shared" si="122"/>
        <v>3.1245692535415936E-2</v>
      </c>
      <c r="G231" s="50">
        <f t="shared" si="122"/>
        <v>2.9861746203171599E-2</v>
      </c>
      <c r="H231" s="50">
        <f t="shared" si="122"/>
        <v>2.9235019370742008E-2</v>
      </c>
      <c r="I231" s="50">
        <f t="shared" si="122"/>
        <v>3.0186379118294998E-2</v>
      </c>
      <c r="J231" s="50">
        <f t="shared" si="122"/>
        <v>3.3123682717801174E-2</v>
      </c>
      <c r="K231" s="50">
        <f t="shared" si="122"/>
        <v>3.5563630818173868E-2</v>
      </c>
      <c r="L231" s="50">
        <f t="shared" si="122"/>
        <v>3.7375437025807548E-2</v>
      </c>
      <c r="M231" s="50">
        <f t="shared" si="122"/>
        <v>3.9557895894381336E-2</v>
      </c>
      <c r="N231" s="50">
        <f t="shared" si="122"/>
        <v>4.1330002492198488E-2</v>
      </c>
      <c r="O231" s="50">
        <f t="shared" si="122"/>
        <v>4.3273465010057272E-2</v>
      </c>
      <c r="P231" s="50">
        <f t="shared" si="122"/>
        <v>4.5278417057592932E-2</v>
      </c>
      <c r="Q231" s="50">
        <f t="shared" si="122"/>
        <v>4.5765189585786785E-2</v>
      </c>
      <c r="R231" s="50">
        <f t="shared" si="122"/>
        <v>4.421428774797561E-2</v>
      </c>
      <c r="S231" s="50">
        <f t="shared" si="122"/>
        <v>4.3245429527174986E-2</v>
      </c>
      <c r="T231" s="50">
        <f t="shared" si="122"/>
        <v>4.3554999005074702E-2</v>
      </c>
      <c r="U231" s="50">
        <f t="shared" si="122"/>
        <v>4.4435510161992771E-2</v>
      </c>
      <c r="V231" s="50">
        <f t="shared" si="122"/>
        <v>4.717219114348542E-2</v>
      </c>
      <c r="W231" s="50">
        <f t="shared" si="122"/>
        <v>5.6899741232983039E-2</v>
      </c>
      <c r="X231" s="50">
        <f t="shared" si="122"/>
        <v>6.1986738769463187E-2</v>
      </c>
      <c r="Y231" s="50">
        <f t="shared" si="122"/>
        <v>5.7208700429979269E-2</v>
      </c>
      <c r="Z231" s="50">
        <f t="shared" si="122"/>
        <v>4.9339560702577757E-2</v>
      </c>
      <c r="AA231" s="50">
        <f t="shared" si="122"/>
        <v>4.1368944501432053E-2</v>
      </c>
      <c r="AB231" s="50">
        <f t="shared" si="122"/>
        <v>3.5102305329568817E-2</v>
      </c>
      <c r="AC231" s="8">
        <f t="shared" si="105"/>
        <v>1.9999999999999996</v>
      </c>
    </row>
    <row r="232" spans="2:29" outlineLevel="1">
      <c r="B232" s="12"/>
      <c r="C232" s="12" t="s">
        <v>15</v>
      </c>
      <c r="D232" s="12">
        <f>+SUM(D228:D231)</f>
        <v>31</v>
      </c>
      <c r="E232" s="19">
        <f>+SUMPRODUCT(E228:E231,$D228:$D231)</f>
        <v>0.9449188914619574</v>
      </c>
      <c r="F232" s="19">
        <f>+SUMPRODUCT(F228:F231,$D228:$D231)</f>
        <v>0.88735310645610399</v>
      </c>
      <c r="G232" s="19">
        <f t="shared" ref="G232:AB232" si="123">+SUMPRODUCT(G228:G231,$D228:$D231)</f>
        <v>0.85627760717527046</v>
      </c>
      <c r="H232" s="19">
        <f t="shared" si="123"/>
        <v>0.85154648734506155</v>
      </c>
      <c r="I232" s="19">
        <f t="shared" si="123"/>
        <v>0.90355533045794334</v>
      </c>
      <c r="J232" s="19">
        <f t="shared" si="123"/>
        <v>1.0384381444073791</v>
      </c>
      <c r="K232" s="19">
        <f t="shared" si="123"/>
        <v>1.1625470021530409</v>
      </c>
      <c r="L232" s="19">
        <f t="shared" si="123"/>
        <v>1.2133351015554845</v>
      </c>
      <c r="M232" s="19">
        <f t="shared" si="123"/>
        <v>1.2705740106149779</v>
      </c>
      <c r="N232" s="19">
        <f t="shared" si="123"/>
        <v>1.3120862908142286</v>
      </c>
      <c r="O232" s="19">
        <f t="shared" si="123"/>
        <v>1.3698459310519939</v>
      </c>
      <c r="P232" s="19">
        <f t="shared" si="123"/>
        <v>1.4328477913560536</v>
      </c>
      <c r="Q232" s="19">
        <f t="shared" si="123"/>
        <v>1.4153603765289562</v>
      </c>
      <c r="R232" s="19">
        <f t="shared" si="123"/>
        <v>1.3672869947208659</v>
      </c>
      <c r="S232" s="19">
        <f t="shared" si="123"/>
        <v>1.3605288696739395</v>
      </c>
      <c r="T232" s="19">
        <f t="shared" si="123"/>
        <v>1.3835308598898344</v>
      </c>
      <c r="U232" s="19">
        <f t="shared" si="123"/>
        <v>1.4129061682558126</v>
      </c>
      <c r="V232" s="19">
        <f t="shared" si="123"/>
        <v>1.4772016007307855</v>
      </c>
      <c r="W232" s="19">
        <f t="shared" si="123"/>
        <v>1.7605764852345165</v>
      </c>
      <c r="X232" s="19">
        <f t="shared" si="123"/>
        <v>1.9140341088608113</v>
      </c>
      <c r="Y232" s="19">
        <f t="shared" si="123"/>
        <v>1.7765598166012422</v>
      </c>
      <c r="Z232" s="19">
        <f t="shared" si="123"/>
        <v>1.5515932976497535</v>
      </c>
      <c r="AA232" s="19">
        <f t="shared" si="123"/>
        <v>1.2793169707996008</v>
      </c>
      <c r="AB232" s="19">
        <f t="shared" si="123"/>
        <v>1.0577787562043857</v>
      </c>
      <c r="AC232" s="12">
        <f>+SUM(E232:AB232)</f>
        <v>31</v>
      </c>
    </row>
    <row r="233" spans="2:29" outlineLevel="1">
      <c r="B233" s="15">
        <f>+EDATE(B228,1)</f>
        <v>46266</v>
      </c>
      <c r="C233" s="8" t="s">
        <v>45</v>
      </c>
      <c r="D233" s="8">
        <v>22</v>
      </c>
      <c r="E233" s="50">
        <f t="shared" ref="E233:AB233" si="124">+E173</f>
        <v>2.9361257124838391E-2</v>
      </c>
      <c r="F233" s="50">
        <f t="shared" si="124"/>
        <v>2.7692710332229715E-2</v>
      </c>
      <c r="G233" s="50">
        <f t="shared" si="124"/>
        <v>2.6785161397696527E-2</v>
      </c>
      <c r="H233" s="50">
        <f t="shared" si="124"/>
        <v>2.6786989368939883E-2</v>
      </c>
      <c r="I233" s="50">
        <f t="shared" si="124"/>
        <v>2.9135775177511477E-2</v>
      </c>
      <c r="J233" s="50">
        <f t="shared" si="124"/>
        <v>3.4540443856715661E-2</v>
      </c>
      <c r="K233" s="50">
        <f t="shared" si="124"/>
        <v>3.8789035252325646E-2</v>
      </c>
      <c r="L233" s="50">
        <f t="shared" si="124"/>
        <v>3.957865839345593E-2</v>
      </c>
      <c r="M233" s="50">
        <f t="shared" si="124"/>
        <v>4.0957538271781398E-2</v>
      </c>
      <c r="N233" s="50">
        <f t="shared" si="124"/>
        <v>4.2166920044863825E-2</v>
      </c>
      <c r="O233" s="50">
        <f t="shared" si="124"/>
        <v>4.4150374939633218E-2</v>
      </c>
      <c r="P233" s="50">
        <f t="shared" si="124"/>
        <v>4.6294816466469102E-2</v>
      </c>
      <c r="Q233" s="50">
        <f t="shared" si="124"/>
        <v>4.5431875959152102E-2</v>
      </c>
      <c r="R233" s="50">
        <f t="shared" si="124"/>
        <v>4.3879728503346101E-2</v>
      </c>
      <c r="S233" s="50">
        <f t="shared" si="124"/>
        <v>4.4118506624640258E-2</v>
      </c>
      <c r="T233" s="50">
        <f t="shared" si="124"/>
        <v>4.5188432655351718E-2</v>
      </c>
      <c r="U233" s="50">
        <f t="shared" si="124"/>
        <v>4.624302558461979E-2</v>
      </c>
      <c r="V233" s="50">
        <f t="shared" si="124"/>
        <v>4.8247238962955179E-2</v>
      </c>
      <c r="W233" s="50">
        <f t="shared" si="124"/>
        <v>5.7096885328092907E-2</v>
      </c>
      <c r="X233" s="50">
        <f t="shared" si="124"/>
        <v>6.1739938045350239E-2</v>
      </c>
      <c r="Y233" s="50">
        <f t="shared" si="124"/>
        <v>5.7231881517227232E-2</v>
      </c>
      <c r="Z233" s="50">
        <f t="shared" si="124"/>
        <v>5.0129255438435008E-2</v>
      </c>
      <c r="AA233" s="50">
        <f t="shared" si="124"/>
        <v>4.1010488221716553E-2</v>
      </c>
      <c r="AB233" s="50">
        <f t="shared" si="124"/>
        <v>3.34430625326523E-2</v>
      </c>
      <c r="AC233" s="8">
        <f>+SUM(E233:AB233)*D233</f>
        <v>22.000000000000004</v>
      </c>
    </row>
    <row r="234" spans="2:29" outlineLevel="1">
      <c r="B234" s="16"/>
      <c r="C234" s="8" t="s">
        <v>46</v>
      </c>
      <c r="D234" s="8">
        <v>4</v>
      </c>
      <c r="E234" s="50">
        <f t="shared" ref="E234:AB234" si="125">+E174</f>
        <v>3.0659473205105158E-2</v>
      </c>
      <c r="F234" s="50">
        <f t="shared" si="125"/>
        <v>2.8600001140869122E-2</v>
      </c>
      <c r="G234" s="50">
        <f t="shared" si="125"/>
        <v>2.7683858575034276E-2</v>
      </c>
      <c r="H234" s="50">
        <f t="shared" si="125"/>
        <v>2.7537802139610414E-2</v>
      </c>
      <c r="I234" s="50">
        <f t="shared" si="125"/>
        <v>2.8782539770184416E-2</v>
      </c>
      <c r="J234" s="50">
        <f t="shared" si="125"/>
        <v>3.2241585579716119E-2</v>
      </c>
      <c r="K234" s="50">
        <f t="shared" si="125"/>
        <v>3.645312931015221E-2</v>
      </c>
      <c r="L234" s="50">
        <f t="shared" si="125"/>
        <v>3.9012639181609042E-2</v>
      </c>
      <c r="M234" s="50">
        <f t="shared" si="125"/>
        <v>4.1549207589560662E-2</v>
      </c>
      <c r="N234" s="50">
        <f t="shared" si="125"/>
        <v>4.3042516751632572E-2</v>
      </c>
      <c r="O234" s="50">
        <f t="shared" si="125"/>
        <v>4.4973693586955334E-2</v>
      </c>
      <c r="P234" s="50">
        <f t="shared" si="125"/>
        <v>4.6808021710202923E-2</v>
      </c>
      <c r="Q234" s="50">
        <f t="shared" si="125"/>
        <v>4.6383383047344962E-2</v>
      </c>
      <c r="R234" s="50">
        <f t="shared" si="125"/>
        <v>4.4751654806610461E-2</v>
      </c>
      <c r="S234" s="50">
        <f t="shared" si="125"/>
        <v>4.4013077558728637E-2</v>
      </c>
      <c r="T234" s="50">
        <f t="shared" si="125"/>
        <v>4.428856091631931E-2</v>
      </c>
      <c r="U234" s="50">
        <f t="shared" si="125"/>
        <v>4.49735778579251E-2</v>
      </c>
      <c r="V234" s="50">
        <f t="shared" si="125"/>
        <v>4.6933206789217301E-2</v>
      </c>
      <c r="W234" s="50">
        <f t="shared" si="125"/>
        <v>5.6210586428141023E-2</v>
      </c>
      <c r="X234" s="50">
        <f t="shared" si="125"/>
        <v>6.1205656691958259E-2</v>
      </c>
      <c r="Y234" s="50">
        <f t="shared" si="125"/>
        <v>5.7018442088769522E-2</v>
      </c>
      <c r="Z234" s="50">
        <f t="shared" si="125"/>
        <v>4.9896672365740725E-2</v>
      </c>
      <c r="AA234" s="50">
        <f t="shared" si="125"/>
        <v>4.1622868086918119E-2</v>
      </c>
      <c r="AB234" s="50">
        <f t="shared" si="125"/>
        <v>3.5357844821693719E-2</v>
      </c>
      <c r="AC234" s="8">
        <f t="shared" si="105"/>
        <v>3.9999999999999969</v>
      </c>
    </row>
    <row r="235" spans="2:29" outlineLevel="1">
      <c r="B235" s="16"/>
      <c r="C235" s="8" t="s">
        <v>47</v>
      </c>
      <c r="D235" s="8">
        <v>4</v>
      </c>
      <c r="E235" s="50">
        <f t="shared" ref="E235:AB235" si="126">+E175</f>
        <v>3.3281514565353124E-2</v>
      </c>
      <c r="F235" s="50">
        <f t="shared" si="126"/>
        <v>3.1140043873712407E-2</v>
      </c>
      <c r="G235" s="50">
        <f t="shared" si="126"/>
        <v>2.984335106750436E-2</v>
      </c>
      <c r="H235" s="50">
        <f t="shared" si="126"/>
        <v>2.9286927979133532E-2</v>
      </c>
      <c r="I235" s="50">
        <f t="shared" si="126"/>
        <v>2.9138028999542646E-2</v>
      </c>
      <c r="J235" s="50">
        <f t="shared" si="126"/>
        <v>3.0942883559119717E-2</v>
      </c>
      <c r="K235" s="50">
        <f t="shared" si="126"/>
        <v>3.4432484834348992E-2</v>
      </c>
      <c r="L235" s="50">
        <f t="shared" si="126"/>
        <v>3.8305304424032266E-2</v>
      </c>
      <c r="M235" s="50">
        <f t="shared" si="126"/>
        <v>4.1103790742913066E-2</v>
      </c>
      <c r="N235" s="50">
        <f t="shared" si="126"/>
        <v>4.2608444243851212E-2</v>
      </c>
      <c r="O235" s="50">
        <f t="shared" si="126"/>
        <v>4.3914681848814308E-2</v>
      </c>
      <c r="P235" s="50">
        <f t="shared" si="126"/>
        <v>4.5729867165388009E-2</v>
      </c>
      <c r="Q235" s="50">
        <f t="shared" si="126"/>
        <v>4.5741487779353565E-2</v>
      </c>
      <c r="R235" s="50">
        <f t="shared" si="126"/>
        <v>4.4277060725657284E-2</v>
      </c>
      <c r="S235" s="50">
        <f t="shared" si="126"/>
        <v>4.3144199391556254E-2</v>
      </c>
      <c r="T235" s="50">
        <f t="shared" si="126"/>
        <v>4.3279567369281124E-2</v>
      </c>
      <c r="U235" s="50">
        <f t="shared" si="126"/>
        <v>4.4109954506885138E-2</v>
      </c>
      <c r="V235" s="50">
        <f t="shared" si="126"/>
        <v>4.6298728840315946E-2</v>
      </c>
      <c r="W235" s="50">
        <f t="shared" si="126"/>
        <v>5.6176649878816001E-2</v>
      </c>
      <c r="X235" s="50">
        <f t="shared" si="126"/>
        <v>6.2194705000087863E-2</v>
      </c>
      <c r="Y235" s="50">
        <f t="shared" si="126"/>
        <v>5.7928891294023718E-2</v>
      </c>
      <c r="Z235" s="50">
        <f t="shared" si="126"/>
        <v>5.019499221712586E-2</v>
      </c>
      <c r="AA235" s="50">
        <f t="shared" si="126"/>
        <v>4.1853093029906328E-2</v>
      </c>
      <c r="AB235" s="50">
        <f t="shared" si="126"/>
        <v>3.507334666327714E-2</v>
      </c>
      <c r="AC235" s="8">
        <f t="shared" si="105"/>
        <v>3.9999999999999991</v>
      </c>
    </row>
    <row r="236" spans="2:29" outlineLevel="1">
      <c r="B236" s="16"/>
      <c r="C236" s="8" t="s">
        <v>48</v>
      </c>
      <c r="D236" s="8">
        <v>0</v>
      </c>
      <c r="E236" s="50">
        <f t="shared" ref="E236:AB236" si="127">+E176</f>
        <v>3.367503361886829E-2</v>
      </c>
      <c r="F236" s="50">
        <f t="shared" si="127"/>
        <v>3.1245692535415936E-2</v>
      </c>
      <c r="G236" s="50">
        <f t="shared" si="127"/>
        <v>2.9861746203171599E-2</v>
      </c>
      <c r="H236" s="50">
        <f t="shared" si="127"/>
        <v>2.9235019370742008E-2</v>
      </c>
      <c r="I236" s="50">
        <f t="shared" si="127"/>
        <v>3.0186379118294998E-2</v>
      </c>
      <c r="J236" s="50">
        <f t="shared" si="127"/>
        <v>3.3123682717801174E-2</v>
      </c>
      <c r="K236" s="50">
        <f t="shared" si="127"/>
        <v>3.5563630818173868E-2</v>
      </c>
      <c r="L236" s="50">
        <f t="shared" si="127"/>
        <v>3.7375437025807548E-2</v>
      </c>
      <c r="M236" s="50">
        <f t="shared" si="127"/>
        <v>3.9557895894381336E-2</v>
      </c>
      <c r="N236" s="50">
        <f t="shared" si="127"/>
        <v>4.1330002492198488E-2</v>
      </c>
      <c r="O236" s="50">
        <f t="shared" si="127"/>
        <v>4.3273465010057272E-2</v>
      </c>
      <c r="P236" s="50">
        <f t="shared" si="127"/>
        <v>4.5278417057592932E-2</v>
      </c>
      <c r="Q236" s="50">
        <f t="shared" si="127"/>
        <v>4.5765189585786785E-2</v>
      </c>
      <c r="R236" s="50">
        <f t="shared" si="127"/>
        <v>4.421428774797561E-2</v>
      </c>
      <c r="S236" s="50">
        <f t="shared" si="127"/>
        <v>4.3245429527174986E-2</v>
      </c>
      <c r="T236" s="50">
        <f t="shared" si="127"/>
        <v>4.3554999005074702E-2</v>
      </c>
      <c r="U236" s="50">
        <f t="shared" si="127"/>
        <v>4.4435510161992771E-2</v>
      </c>
      <c r="V236" s="50">
        <f t="shared" si="127"/>
        <v>4.717219114348542E-2</v>
      </c>
      <c r="W236" s="50">
        <f t="shared" si="127"/>
        <v>5.6899741232983039E-2</v>
      </c>
      <c r="X236" s="50">
        <f t="shared" si="127"/>
        <v>6.1986738769463187E-2</v>
      </c>
      <c r="Y236" s="50">
        <f t="shared" si="127"/>
        <v>5.7208700429979269E-2</v>
      </c>
      <c r="Z236" s="50">
        <f t="shared" si="127"/>
        <v>4.9339560702577757E-2</v>
      </c>
      <c r="AA236" s="50">
        <f t="shared" si="127"/>
        <v>4.1368944501432053E-2</v>
      </c>
      <c r="AB236" s="50">
        <f t="shared" si="127"/>
        <v>3.5102305329568817E-2</v>
      </c>
      <c r="AC236" s="8">
        <f t="shared" si="105"/>
        <v>0</v>
      </c>
    </row>
    <row r="237" spans="2:29" outlineLevel="1">
      <c r="B237" s="12"/>
      <c r="C237" s="12" t="s">
        <v>15</v>
      </c>
      <c r="D237" s="12">
        <f>+SUM(D233:D236)</f>
        <v>30</v>
      </c>
      <c r="E237" s="19">
        <f>+SUMPRODUCT(E233:E236,$D233:$D236)</f>
        <v>0.90171160782827764</v>
      </c>
      <c r="F237" s="19">
        <f>+SUMPRODUCT(F233:F236,$D233:$D236)</f>
        <v>0.84819980736737988</v>
      </c>
      <c r="G237" s="19">
        <f t="shared" ref="G237:AB237" si="128">+SUMPRODUCT(G233:G236,$D233:$D236)</f>
        <v>0.81938238931947815</v>
      </c>
      <c r="H237" s="19">
        <f t="shared" si="128"/>
        <v>0.8166126865916532</v>
      </c>
      <c r="I237" s="19">
        <f t="shared" si="128"/>
        <v>0.87266932898416072</v>
      </c>
      <c r="J237" s="19">
        <f t="shared" si="128"/>
        <v>1.0126276414030879</v>
      </c>
      <c r="K237" s="19">
        <f t="shared" si="128"/>
        <v>1.1369012321291692</v>
      </c>
      <c r="L237" s="19">
        <f t="shared" si="128"/>
        <v>1.1800022590785955</v>
      </c>
      <c r="M237" s="19">
        <f t="shared" si="128"/>
        <v>1.2316778353090858</v>
      </c>
      <c r="N237" s="19">
        <f t="shared" si="128"/>
        <v>1.2702760849689394</v>
      </c>
      <c r="O237" s="19">
        <f t="shared" si="128"/>
        <v>1.3268617504150093</v>
      </c>
      <c r="P237" s="19">
        <f t="shared" si="128"/>
        <v>1.3886375177646839</v>
      </c>
      <c r="Q237" s="19">
        <f t="shared" si="128"/>
        <v>1.3680007544081403</v>
      </c>
      <c r="R237" s="19">
        <f t="shared" si="128"/>
        <v>1.3214688892026851</v>
      </c>
      <c r="S237" s="19">
        <f t="shared" si="128"/>
        <v>1.3192362535432252</v>
      </c>
      <c r="T237" s="19">
        <f t="shared" si="128"/>
        <v>1.3444180315601395</v>
      </c>
      <c r="U237" s="19">
        <f t="shared" si="128"/>
        <v>1.3736806923208764</v>
      </c>
      <c r="V237" s="19">
        <f t="shared" si="128"/>
        <v>1.434366999703147</v>
      </c>
      <c r="W237" s="19">
        <f t="shared" si="128"/>
        <v>1.7056804224458719</v>
      </c>
      <c r="X237" s="19">
        <f t="shared" si="128"/>
        <v>1.8518800837658898</v>
      </c>
      <c r="Y237" s="19">
        <f t="shared" si="128"/>
        <v>1.7188907269101723</v>
      </c>
      <c r="Z237" s="19">
        <f t="shared" si="128"/>
        <v>1.5032102779770367</v>
      </c>
      <c r="AA237" s="19">
        <f t="shared" si="128"/>
        <v>1.2361345853450618</v>
      </c>
      <c r="AB237" s="19">
        <f t="shared" si="128"/>
        <v>1.017472141658234</v>
      </c>
      <c r="AC237" s="12">
        <f>+SUM(E237:AB237)</f>
        <v>29.999999999999996</v>
      </c>
    </row>
    <row r="238" spans="2:29" outlineLevel="1">
      <c r="B238" s="15">
        <f>+EDATE(B233,1)</f>
        <v>46296</v>
      </c>
      <c r="C238" s="8" t="s">
        <v>45</v>
      </c>
      <c r="D238" s="8">
        <v>21</v>
      </c>
      <c r="E238" s="50">
        <f t="shared" ref="E238:AB238" si="129">+E178</f>
        <v>2.9361257124838391E-2</v>
      </c>
      <c r="F238" s="50">
        <f t="shared" si="129"/>
        <v>2.7692710332229715E-2</v>
      </c>
      <c r="G238" s="50">
        <f t="shared" si="129"/>
        <v>2.6785161397696527E-2</v>
      </c>
      <c r="H238" s="50">
        <f t="shared" si="129"/>
        <v>2.6786989368939883E-2</v>
      </c>
      <c r="I238" s="50">
        <f t="shared" si="129"/>
        <v>2.9135775177511477E-2</v>
      </c>
      <c r="J238" s="50">
        <f t="shared" si="129"/>
        <v>3.4540443856715661E-2</v>
      </c>
      <c r="K238" s="50">
        <f t="shared" si="129"/>
        <v>3.8789035252325646E-2</v>
      </c>
      <c r="L238" s="50">
        <f t="shared" si="129"/>
        <v>3.957865839345593E-2</v>
      </c>
      <c r="M238" s="50">
        <f t="shared" si="129"/>
        <v>4.0957538271781398E-2</v>
      </c>
      <c r="N238" s="50">
        <f t="shared" si="129"/>
        <v>4.2166920044863825E-2</v>
      </c>
      <c r="O238" s="50">
        <f t="shared" si="129"/>
        <v>4.4150374939633218E-2</v>
      </c>
      <c r="P238" s="50">
        <f t="shared" si="129"/>
        <v>4.6294816466469102E-2</v>
      </c>
      <c r="Q238" s="50">
        <f t="shared" si="129"/>
        <v>4.5431875959152102E-2</v>
      </c>
      <c r="R238" s="50">
        <f t="shared" si="129"/>
        <v>4.3879728503346101E-2</v>
      </c>
      <c r="S238" s="50">
        <f t="shared" si="129"/>
        <v>4.4118506624640258E-2</v>
      </c>
      <c r="T238" s="50">
        <f t="shared" si="129"/>
        <v>4.5188432655351718E-2</v>
      </c>
      <c r="U238" s="50">
        <f t="shared" si="129"/>
        <v>4.624302558461979E-2</v>
      </c>
      <c r="V238" s="50">
        <f t="shared" si="129"/>
        <v>4.8247238962955179E-2</v>
      </c>
      <c r="W238" s="50">
        <f t="shared" si="129"/>
        <v>5.7096885328092907E-2</v>
      </c>
      <c r="X238" s="50">
        <f t="shared" si="129"/>
        <v>6.1739938045350239E-2</v>
      </c>
      <c r="Y238" s="50">
        <f t="shared" si="129"/>
        <v>5.7231881517227232E-2</v>
      </c>
      <c r="Z238" s="50">
        <f t="shared" si="129"/>
        <v>5.0129255438435008E-2</v>
      </c>
      <c r="AA238" s="50">
        <f t="shared" si="129"/>
        <v>4.1010488221716553E-2</v>
      </c>
      <c r="AB238" s="50">
        <f t="shared" si="129"/>
        <v>3.34430625326523E-2</v>
      </c>
      <c r="AC238" s="8">
        <f>+SUM(E238:AB238)*D238</f>
        <v>21.000000000000004</v>
      </c>
    </row>
    <row r="239" spans="2:29" outlineLevel="1">
      <c r="B239" s="16"/>
      <c r="C239" s="8" t="s">
        <v>46</v>
      </c>
      <c r="D239" s="8">
        <v>5</v>
      </c>
      <c r="E239" s="50">
        <f t="shared" ref="E239:AB239" si="130">+E179</f>
        <v>3.0659473205105158E-2</v>
      </c>
      <c r="F239" s="50">
        <f t="shared" si="130"/>
        <v>2.8600001140869122E-2</v>
      </c>
      <c r="G239" s="50">
        <f t="shared" si="130"/>
        <v>2.7683858575034276E-2</v>
      </c>
      <c r="H239" s="50">
        <f t="shared" si="130"/>
        <v>2.7537802139610414E-2</v>
      </c>
      <c r="I239" s="50">
        <f t="shared" si="130"/>
        <v>2.8782539770184416E-2</v>
      </c>
      <c r="J239" s="50">
        <f t="shared" si="130"/>
        <v>3.2241585579716119E-2</v>
      </c>
      <c r="K239" s="50">
        <f t="shared" si="130"/>
        <v>3.645312931015221E-2</v>
      </c>
      <c r="L239" s="50">
        <f t="shared" si="130"/>
        <v>3.9012639181609042E-2</v>
      </c>
      <c r="M239" s="50">
        <f t="shared" si="130"/>
        <v>4.1549207589560662E-2</v>
      </c>
      <c r="N239" s="50">
        <f t="shared" si="130"/>
        <v>4.3042516751632572E-2</v>
      </c>
      <c r="O239" s="50">
        <f t="shared" si="130"/>
        <v>4.4973693586955334E-2</v>
      </c>
      <c r="P239" s="50">
        <f t="shared" si="130"/>
        <v>4.6808021710202923E-2</v>
      </c>
      <c r="Q239" s="50">
        <f t="shared" si="130"/>
        <v>4.6383383047344962E-2</v>
      </c>
      <c r="R239" s="50">
        <f t="shared" si="130"/>
        <v>4.4751654806610461E-2</v>
      </c>
      <c r="S239" s="50">
        <f t="shared" si="130"/>
        <v>4.4013077558728637E-2</v>
      </c>
      <c r="T239" s="50">
        <f t="shared" si="130"/>
        <v>4.428856091631931E-2</v>
      </c>
      <c r="U239" s="50">
        <f t="shared" si="130"/>
        <v>4.49735778579251E-2</v>
      </c>
      <c r="V239" s="50">
        <f t="shared" si="130"/>
        <v>4.6933206789217301E-2</v>
      </c>
      <c r="W239" s="50">
        <f t="shared" si="130"/>
        <v>5.6210586428141023E-2</v>
      </c>
      <c r="X239" s="50">
        <f t="shared" si="130"/>
        <v>6.1205656691958259E-2</v>
      </c>
      <c r="Y239" s="50">
        <f t="shared" si="130"/>
        <v>5.7018442088769522E-2</v>
      </c>
      <c r="Z239" s="50">
        <f t="shared" si="130"/>
        <v>4.9896672365740725E-2</v>
      </c>
      <c r="AA239" s="50">
        <f t="shared" si="130"/>
        <v>4.1622868086918119E-2</v>
      </c>
      <c r="AB239" s="50">
        <f t="shared" si="130"/>
        <v>3.5357844821693719E-2</v>
      </c>
      <c r="AC239" s="8">
        <f t="shared" si="105"/>
        <v>4.9999999999999964</v>
      </c>
    </row>
    <row r="240" spans="2:29" outlineLevel="1">
      <c r="B240" s="16"/>
      <c r="C240" s="8" t="s">
        <v>47</v>
      </c>
      <c r="D240" s="8">
        <v>4</v>
      </c>
      <c r="E240" s="50">
        <f t="shared" ref="E240:AB240" si="131">+E180</f>
        <v>3.3281514565353124E-2</v>
      </c>
      <c r="F240" s="50">
        <f t="shared" si="131"/>
        <v>3.1140043873712407E-2</v>
      </c>
      <c r="G240" s="50">
        <f t="shared" si="131"/>
        <v>2.984335106750436E-2</v>
      </c>
      <c r="H240" s="50">
        <f t="shared" si="131"/>
        <v>2.9286927979133532E-2</v>
      </c>
      <c r="I240" s="50">
        <f t="shared" si="131"/>
        <v>2.9138028999542646E-2</v>
      </c>
      <c r="J240" s="50">
        <f t="shared" si="131"/>
        <v>3.0942883559119717E-2</v>
      </c>
      <c r="K240" s="50">
        <f t="shared" si="131"/>
        <v>3.4432484834348992E-2</v>
      </c>
      <c r="L240" s="50">
        <f t="shared" si="131"/>
        <v>3.8305304424032266E-2</v>
      </c>
      <c r="M240" s="50">
        <f t="shared" si="131"/>
        <v>4.1103790742913066E-2</v>
      </c>
      <c r="N240" s="50">
        <f t="shared" si="131"/>
        <v>4.2608444243851212E-2</v>
      </c>
      <c r="O240" s="50">
        <f t="shared" si="131"/>
        <v>4.3914681848814308E-2</v>
      </c>
      <c r="P240" s="50">
        <f t="shared" si="131"/>
        <v>4.5729867165388009E-2</v>
      </c>
      <c r="Q240" s="50">
        <f t="shared" si="131"/>
        <v>4.5741487779353565E-2</v>
      </c>
      <c r="R240" s="50">
        <f t="shared" si="131"/>
        <v>4.4277060725657284E-2</v>
      </c>
      <c r="S240" s="50">
        <f t="shared" si="131"/>
        <v>4.3144199391556254E-2</v>
      </c>
      <c r="T240" s="50">
        <f t="shared" si="131"/>
        <v>4.3279567369281124E-2</v>
      </c>
      <c r="U240" s="50">
        <f t="shared" si="131"/>
        <v>4.4109954506885138E-2</v>
      </c>
      <c r="V240" s="50">
        <f t="shared" si="131"/>
        <v>4.6298728840315946E-2</v>
      </c>
      <c r="W240" s="50">
        <f t="shared" si="131"/>
        <v>5.6176649878816001E-2</v>
      </c>
      <c r="X240" s="50">
        <f t="shared" si="131"/>
        <v>6.2194705000087863E-2</v>
      </c>
      <c r="Y240" s="50">
        <f t="shared" si="131"/>
        <v>5.7928891294023718E-2</v>
      </c>
      <c r="Z240" s="50">
        <f t="shared" si="131"/>
        <v>5.019499221712586E-2</v>
      </c>
      <c r="AA240" s="50">
        <f t="shared" si="131"/>
        <v>4.1853093029906328E-2</v>
      </c>
      <c r="AB240" s="50">
        <f t="shared" si="131"/>
        <v>3.507334666327714E-2</v>
      </c>
      <c r="AC240" s="8">
        <f t="shared" si="105"/>
        <v>3.9999999999999991</v>
      </c>
    </row>
    <row r="241" spans="2:29" outlineLevel="1">
      <c r="B241" s="16"/>
      <c r="C241" s="8" t="s">
        <v>48</v>
      </c>
      <c r="D241" s="8">
        <v>1</v>
      </c>
      <c r="E241" s="50">
        <f t="shared" ref="E241:AB241" si="132">+E181</f>
        <v>3.367503361886829E-2</v>
      </c>
      <c r="F241" s="50">
        <f t="shared" si="132"/>
        <v>3.1245692535415936E-2</v>
      </c>
      <c r="G241" s="50">
        <f t="shared" si="132"/>
        <v>2.9861746203171599E-2</v>
      </c>
      <c r="H241" s="50">
        <f t="shared" si="132"/>
        <v>2.9235019370742008E-2</v>
      </c>
      <c r="I241" s="50">
        <f t="shared" si="132"/>
        <v>3.0186379118294998E-2</v>
      </c>
      <c r="J241" s="50">
        <f t="shared" si="132"/>
        <v>3.3123682717801174E-2</v>
      </c>
      <c r="K241" s="50">
        <f t="shared" si="132"/>
        <v>3.5563630818173868E-2</v>
      </c>
      <c r="L241" s="50">
        <f t="shared" si="132"/>
        <v>3.7375437025807548E-2</v>
      </c>
      <c r="M241" s="50">
        <f t="shared" si="132"/>
        <v>3.9557895894381336E-2</v>
      </c>
      <c r="N241" s="50">
        <f t="shared" si="132"/>
        <v>4.1330002492198488E-2</v>
      </c>
      <c r="O241" s="50">
        <f t="shared" si="132"/>
        <v>4.3273465010057272E-2</v>
      </c>
      <c r="P241" s="50">
        <f t="shared" si="132"/>
        <v>4.5278417057592932E-2</v>
      </c>
      <c r="Q241" s="50">
        <f t="shared" si="132"/>
        <v>4.5765189585786785E-2</v>
      </c>
      <c r="R241" s="50">
        <f t="shared" si="132"/>
        <v>4.421428774797561E-2</v>
      </c>
      <c r="S241" s="50">
        <f t="shared" si="132"/>
        <v>4.3245429527174986E-2</v>
      </c>
      <c r="T241" s="50">
        <f t="shared" si="132"/>
        <v>4.3554999005074702E-2</v>
      </c>
      <c r="U241" s="50">
        <f t="shared" si="132"/>
        <v>4.4435510161992771E-2</v>
      </c>
      <c r="V241" s="50">
        <f t="shared" si="132"/>
        <v>4.717219114348542E-2</v>
      </c>
      <c r="W241" s="50">
        <f t="shared" si="132"/>
        <v>5.6899741232983039E-2</v>
      </c>
      <c r="X241" s="50">
        <f t="shared" si="132"/>
        <v>6.1986738769463187E-2</v>
      </c>
      <c r="Y241" s="50">
        <f t="shared" si="132"/>
        <v>5.7208700429979269E-2</v>
      </c>
      <c r="Z241" s="50">
        <f t="shared" si="132"/>
        <v>4.9339560702577757E-2</v>
      </c>
      <c r="AA241" s="50">
        <f t="shared" si="132"/>
        <v>4.1368944501432053E-2</v>
      </c>
      <c r="AB241" s="50">
        <f t="shared" si="132"/>
        <v>3.5102305329568817E-2</v>
      </c>
      <c r="AC241" s="8">
        <f t="shared" si="105"/>
        <v>0.99999999999999978</v>
      </c>
    </row>
    <row r="242" spans="2:29" outlineLevel="1">
      <c r="B242" s="12"/>
      <c r="C242" s="12" t="s">
        <v>15</v>
      </c>
      <c r="D242" s="12">
        <f>+SUM(D238:D241)</f>
        <v>31</v>
      </c>
      <c r="E242" s="19">
        <f>+SUMPRODUCT(E238:E241,$D238:$D241)</f>
        <v>0.93668485752741271</v>
      </c>
      <c r="F242" s="19">
        <f>+SUMPRODUCT(F238:F241,$D238:$D241)</f>
        <v>0.88035279071143524</v>
      </c>
      <c r="G242" s="19">
        <f t="shared" ref="G242:AB242" si="133">+SUMPRODUCT(G238:G241,$D238:$D241)</f>
        <v>0.85014283269998747</v>
      </c>
      <c r="H242" s="19">
        <f t="shared" si="133"/>
        <v>0.8465985187330658</v>
      </c>
      <c r="I242" s="19">
        <f t="shared" si="133"/>
        <v>0.90250247269512873</v>
      </c>
      <c r="J242" s="19">
        <f t="shared" si="133"/>
        <v>1.0434524658438895</v>
      </c>
      <c r="K242" s="19">
        <f t="shared" si="133"/>
        <v>1.1701289570051694</v>
      </c>
      <c r="L242" s="19">
        <f t="shared" si="133"/>
        <v>1.2168116768925561</v>
      </c>
      <c r="M242" s="19">
        <f t="shared" si="133"/>
        <v>1.2718274005212462</v>
      </c>
      <c r="N242" s="19">
        <f t="shared" si="133"/>
        <v>1.3124816841679066</v>
      </c>
      <c r="O242" s="19">
        <f t="shared" si="133"/>
        <v>1.3709585340723887</v>
      </c>
      <c r="P242" s="19">
        <f t="shared" si="133"/>
        <v>1.4344291400660107</v>
      </c>
      <c r="Q242" s="19">
        <f t="shared" si="133"/>
        <v>1.4147174510821199</v>
      </c>
      <c r="R242" s="19">
        <f t="shared" si="133"/>
        <v>1.3665551032539252</v>
      </c>
      <c r="S242" s="19">
        <f t="shared" si="133"/>
        <v>1.3623762540044884</v>
      </c>
      <c r="T242" s="19">
        <f t="shared" si="133"/>
        <v>1.387073158826182</v>
      </c>
      <c r="U242" s="19">
        <f t="shared" si="133"/>
        <v>1.4168467547561745</v>
      </c>
      <c r="V242" s="19">
        <f t="shared" si="133"/>
        <v>1.4802251586728945</v>
      </c>
      <c r="W242" s="19">
        <f t="shared" si="133"/>
        <v>1.7616938647789031</v>
      </c>
      <c r="X242" s="19">
        <f t="shared" si="133"/>
        <v>1.9133325411819608</v>
      </c>
      <c r="Y242" s="19">
        <f t="shared" si="133"/>
        <v>1.7758859879116937</v>
      </c>
      <c r="Z242" s="19">
        <f t="shared" si="133"/>
        <v>1.55231725560692</v>
      </c>
      <c r="AA242" s="19">
        <f t="shared" si="133"/>
        <v>1.2781159097116954</v>
      </c>
      <c r="AB242" s="19">
        <f t="shared" si="133"/>
        <v>1.0544892292768444</v>
      </c>
      <c r="AC242" s="12">
        <f>+SUM(E242:AB242)</f>
        <v>30.999999999999993</v>
      </c>
    </row>
    <row r="243" spans="2:29" outlineLevel="1">
      <c r="B243" s="15">
        <f>+EDATE(B238,1)</f>
        <v>46327</v>
      </c>
      <c r="C243" s="8" t="s">
        <v>45</v>
      </c>
      <c r="D243" s="8">
        <v>19</v>
      </c>
      <c r="E243" s="50">
        <f t="shared" ref="E243:AB243" si="134">+E183</f>
        <v>2.9361257124838391E-2</v>
      </c>
      <c r="F243" s="50">
        <f t="shared" si="134"/>
        <v>2.7692710332229715E-2</v>
      </c>
      <c r="G243" s="50">
        <f t="shared" si="134"/>
        <v>2.6785161397696527E-2</v>
      </c>
      <c r="H243" s="50">
        <f t="shared" si="134"/>
        <v>2.6786989368939883E-2</v>
      </c>
      <c r="I243" s="50">
        <f t="shared" si="134"/>
        <v>2.9135775177511477E-2</v>
      </c>
      <c r="J243" s="50">
        <f t="shared" si="134"/>
        <v>3.4540443856715661E-2</v>
      </c>
      <c r="K243" s="50">
        <f t="shared" si="134"/>
        <v>3.8789035252325646E-2</v>
      </c>
      <c r="L243" s="50">
        <f t="shared" si="134"/>
        <v>3.957865839345593E-2</v>
      </c>
      <c r="M243" s="50">
        <f t="shared" si="134"/>
        <v>4.0957538271781398E-2</v>
      </c>
      <c r="N243" s="50">
        <f t="shared" si="134"/>
        <v>4.2166920044863825E-2</v>
      </c>
      <c r="O243" s="50">
        <f t="shared" si="134"/>
        <v>4.4150374939633218E-2</v>
      </c>
      <c r="P243" s="50">
        <f t="shared" si="134"/>
        <v>4.6294816466469102E-2</v>
      </c>
      <c r="Q243" s="50">
        <f t="shared" si="134"/>
        <v>4.5431875959152102E-2</v>
      </c>
      <c r="R243" s="50">
        <f t="shared" si="134"/>
        <v>4.3879728503346101E-2</v>
      </c>
      <c r="S243" s="50">
        <f t="shared" si="134"/>
        <v>4.4118506624640258E-2</v>
      </c>
      <c r="T243" s="50">
        <f t="shared" si="134"/>
        <v>4.5188432655351718E-2</v>
      </c>
      <c r="U243" s="50">
        <f t="shared" si="134"/>
        <v>4.624302558461979E-2</v>
      </c>
      <c r="V243" s="50">
        <f t="shared" si="134"/>
        <v>4.8247238962955179E-2</v>
      </c>
      <c r="W243" s="50">
        <f t="shared" si="134"/>
        <v>5.7096885328092907E-2</v>
      </c>
      <c r="X243" s="50">
        <f t="shared" si="134"/>
        <v>6.1739938045350239E-2</v>
      </c>
      <c r="Y243" s="50">
        <f t="shared" si="134"/>
        <v>5.7231881517227232E-2</v>
      </c>
      <c r="Z243" s="50">
        <f t="shared" si="134"/>
        <v>5.0129255438435008E-2</v>
      </c>
      <c r="AA243" s="50">
        <f t="shared" si="134"/>
        <v>4.1010488221716553E-2</v>
      </c>
      <c r="AB243" s="50">
        <f t="shared" si="134"/>
        <v>3.34430625326523E-2</v>
      </c>
      <c r="AC243" s="8">
        <f>+SUM(E243:AB243)*D243</f>
        <v>19.000000000000004</v>
      </c>
    </row>
    <row r="244" spans="2:29" outlineLevel="1">
      <c r="B244" s="16"/>
      <c r="C244" s="8" t="s">
        <v>46</v>
      </c>
      <c r="D244" s="8">
        <v>4</v>
      </c>
      <c r="E244" s="50">
        <f t="shared" ref="E244:AB244" si="135">+E184</f>
        <v>3.0659473205105158E-2</v>
      </c>
      <c r="F244" s="50">
        <f t="shared" si="135"/>
        <v>2.8600001140869122E-2</v>
      </c>
      <c r="G244" s="50">
        <f t="shared" si="135"/>
        <v>2.7683858575034276E-2</v>
      </c>
      <c r="H244" s="50">
        <f t="shared" si="135"/>
        <v>2.7537802139610414E-2</v>
      </c>
      <c r="I244" s="50">
        <f t="shared" si="135"/>
        <v>2.8782539770184416E-2</v>
      </c>
      <c r="J244" s="50">
        <f t="shared" si="135"/>
        <v>3.2241585579716119E-2</v>
      </c>
      <c r="K244" s="50">
        <f t="shared" si="135"/>
        <v>3.645312931015221E-2</v>
      </c>
      <c r="L244" s="50">
        <f t="shared" si="135"/>
        <v>3.9012639181609042E-2</v>
      </c>
      <c r="M244" s="50">
        <f t="shared" si="135"/>
        <v>4.1549207589560662E-2</v>
      </c>
      <c r="N244" s="50">
        <f t="shared" si="135"/>
        <v>4.3042516751632572E-2</v>
      </c>
      <c r="O244" s="50">
        <f t="shared" si="135"/>
        <v>4.4973693586955334E-2</v>
      </c>
      <c r="P244" s="50">
        <f t="shared" si="135"/>
        <v>4.6808021710202923E-2</v>
      </c>
      <c r="Q244" s="50">
        <f t="shared" si="135"/>
        <v>4.6383383047344962E-2</v>
      </c>
      <c r="R244" s="50">
        <f t="shared" si="135"/>
        <v>4.4751654806610461E-2</v>
      </c>
      <c r="S244" s="50">
        <f t="shared" si="135"/>
        <v>4.4013077558728637E-2</v>
      </c>
      <c r="T244" s="50">
        <f t="shared" si="135"/>
        <v>4.428856091631931E-2</v>
      </c>
      <c r="U244" s="50">
        <f t="shared" si="135"/>
        <v>4.49735778579251E-2</v>
      </c>
      <c r="V244" s="50">
        <f t="shared" si="135"/>
        <v>4.6933206789217301E-2</v>
      </c>
      <c r="W244" s="50">
        <f t="shared" si="135"/>
        <v>5.6210586428141023E-2</v>
      </c>
      <c r="X244" s="50">
        <f t="shared" si="135"/>
        <v>6.1205656691958259E-2</v>
      </c>
      <c r="Y244" s="50">
        <f t="shared" si="135"/>
        <v>5.7018442088769522E-2</v>
      </c>
      <c r="Z244" s="50">
        <f t="shared" si="135"/>
        <v>4.9896672365740725E-2</v>
      </c>
      <c r="AA244" s="50">
        <f t="shared" si="135"/>
        <v>4.1622868086918119E-2</v>
      </c>
      <c r="AB244" s="50">
        <f t="shared" si="135"/>
        <v>3.5357844821693719E-2</v>
      </c>
      <c r="AC244" s="8">
        <f t="shared" si="105"/>
        <v>3.9999999999999969</v>
      </c>
    </row>
    <row r="245" spans="2:29" outlineLevel="1">
      <c r="B245" s="16"/>
      <c r="C245" s="8" t="s">
        <v>47</v>
      </c>
      <c r="D245" s="8">
        <v>5</v>
      </c>
      <c r="E245" s="50">
        <f t="shared" ref="E245:AB245" si="136">+E185</f>
        <v>3.3281514565353124E-2</v>
      </c>
      <c r="F245" s="50">
        <f t="shared" si="136"/>
        <v>3.1140043873712407E-2</v>
      </c>
      <c r="G245" s="50">
        <f t="shared" si="136"/>
        <v>2.984335106750436E-2</v>
      </c>
      <c r="H245" s="50">
        <f t="shared" si="136"/>
        <v>2.9286927979133532E-2</v>
      </c>
      <c r="I245" s="50">
        <f t="shared" si="136"/>
        <v>2.9138028999542646E-2</v>
      </c>
      <c r="J245" s="50">
        <f t="shared" si="136"/>
        <v>3.0942883559119717E-2</v>
      </c>
      <c r="K245" s="50">
        <f t="shared" si="136"/>
        <v>3.4432484834348992E-2</v>
      </c>
      <c r="L245" s="50">
        <f t="shared" si="136"/>
        <v>3.8305304424032266E-2</v>
      </c>
      <c r="M245" s="50">
        <f t="shared" si="136"/>
        <v>4.1103790742913066E-2</v>
      </c>
      <c r="N245" s="50">
        <f t="shared" si="136"/>
        <v>4.2608444243851212E-2</v>
      </c>
      <c r="O245" s="50">
        <f t="shared" si="136"/>
        <v>4.3914681848814308E-2</v>
      </c>
      <c r="P245" s="50">
        <f t="shared" si="136"/>
        <v>4.5729867165388009E-2</v>
      </c>
      <c r="Q245" s="50">
        <f t="shared" si="136"/>
        <v>4.5741487779353565E-2</v>
      </c>
      <c r="R245" s="50">
        <f t="shared" si="136"/>
        <v>4.4277060725657284E-2</v>
      </c>
      <c r="S245" s="50">
        <f t="shared" si="136"/>
        <v>4.3144199391556254E-2</v>
      </c>
      <c r="T245" s="50">
        <f t="shared" si="136"/>
        <v>4.3279567369281124E-2</v>
      </c>
      <c r="U245" s="50">
        <f t="shared" si="136"/>
        <v>4.4109954506885138E-2</v>
      </c>
      <c r="V245" s="50">
        <f t="shared" si="136"/>
        <v>4.6298728840315946E-2</v>
      </c>
      <c r="W245" s="50">
        <f t="shared" si="136"/>
        <v>5.6176649878816001E-2</v>
      </c>
      <c r="X245" s="50">
        <f t="shared" si="136"/>
        <v>6.2194705000087863E-2</v>
      </c>
      <c r="Y245" s="50">
        <f t="shared" si="136"/>
        <v>5.7928891294023718E-2</v>
      </c>
      <c r="Z245" s="50">
        <f t="shared" si="136"/>
        <v>5.019499221712586E-2</v>
      </c>
      <c r="AA245" s="50">
        <f t="shared" si="136"/>
        <v>4.1853093029906328E-2</v>
      </c>
      <c r="AB245" s="50">
        <f t="shared" si="136"/>
        <v>3.507334666327714E-2</v>
      </c>
      <c r="AC245" s="8">
        <f t="shared" si="105"/>
        <v>4.9999999999999991</v>
      </c>
    </row>
    <row r="246" spans="2:29" outlineLevel="1">
      <c r="B246" s="16"/>
      <c r="C246" s="8" t="s">
        <v>48</v>
      </c>
      <c r="D246" s="8">
        <v>2</v>
      </c>
      <c r="E246" s="50">
        <f t="shared" ref="E246:AB246" si="137">+E186</f>
        <v>3.367503361886829E-2</v>
      </c>
      <c r="F246" s="50">
        <f t="shared" si="137"/>
        <v>3.1245692535415936E-2</v>
      </c>
      <c r="G246" s="50">
        <f t="shared" si="137"/>
        <v>2.9861746203171599E-2</v>
      </c>
      <c r="H246" s="50">
        <f t="shared" si="137"/>
        <v>2.9235019370742008E-2</v>
      </c>
      <c r="I246" s="50">
        <f t="shared" si="137"/>
        <v>3.0186379118294998E-2</v>
      </c>
      <c r="J246" s="50">
        <f t="shared" si="137"/>
        <v>3.3123682717801174E-2</v>
      </c>
      <c r="K246" s="50">
        <f t="shared" si="137"/>
        <v>3.5563630818173868E-2</v>
      </c>
      <c r="L246" s="50">
        <f t="shared" si="137"/>
        <v>3.7375437025807548E-2</v>
      </c>
      <c r="M246" s="50">
        <f t="shared" si="137"/>
        <v>3.9557895894381336E-2</v>
      </c>
      <c r="N246" s="50">
        <f t="shared" si="137"/>
        <v>4.1330002492198488E-2</v>
      </c>
      <c r="O246" s="50">
        <f t="shared" si="137"/>
        <v>4.3273465010057272E-2</v>
      </c>
      <c r="P246" s="50">
        <f t="shared" si="137"/>
        <v>4.5278417057592932E-2</v>
      </c>
      <c r="Q246" s="50">
        <f t="shared" si="137"/>
        <v>4.5765189585786785E-2</v>
      </c>
      <c r="R246" s="50">
        <f t="shared" si="137"/>
        <v>4.421428774797561E-2</v>
      </c>
      <c r="S246" s="50">
        <f t="shared" si="137"/>
        <v>4.3245429527174986E-2</v>
      </c>
      <c r="T246" s="50">
        <f t="shared" si="137"/>
        <v>4.3554999005074702E-2</v>
      </c>
      <c r="U246" s="50">
        <f t="shared" si="137"/>
        <v>4.4435510161992771E-2</v>
      </c>
      <c r="V246" s="50">
        <f t="shared" si="137"/>
        <v>4.717219114348542E-2</v>
      </c>
      <c r="W246" s="50">
        <f t="shared" si="137"/>
        <v>5.6899741232983039E-2</v>
      </c>
      <c r="X246" s="50">
        <f t="shared" si="137"/>
        <v>6.1986738769463187E-2</v>
      </c>
      <c r="Y246" s="50">
        <f t="shared" si="137"/>
        <v>5.7208700429979269E-2</v>
      </c>
      <c r="Z246" s="50">
        <f t="shared" si="137"/>
        <v>4.9339560702577757E-2</v>
      </c>
      <c r="AA246" s="50">
        <f t="shared" si="137"/>
        <v>4.1368944501432053E-2</v>
      </c>
      <c r="AB246" s="50">
        <f t="shared" si="137"/>
        <v>3.5102305329568817E-2</v>
      </c>
      <c r="AC246" s="8">
        <f t="shared" si="105"/>
        <v>1.9999999999999996</v>
      </c>
    </row>
    <row r="247" spans="2:29" outlineLevel="1">
      <c r="B247" s="12"/>
      <c r="C247" s="12" t="s">
        <v>15</v>
      </c>
      <c r="D247" s="12">
        <f>+SUM(D243:D246)</f>
        <v>30</v>
      </c>
      <c r="E247" s="19">
        <f>+SUMPRODUCT(E243:E246,$D243:$D246)</f>
        <v>0.91425941825685231</v>
      </c>
      <c r="F247" s="19">
        <f>+SUMPRODUCT(F243:F246,$D243:$D246)</f>
        <v>0.85875310531523485</v>
      </c>
      <c r="G247" s="19">
        <f t="shared" ref="G247:AB247" si="138">+SUMPRODUCT(G243:G246,$D243:$D246)</f>
        <v>0.82859374860023616</v>
      </c>
      <c r="H247" s="19">
        <f t="shared" si="138"/>
        <v>0.82400868520545112</v>
      </c>
      <c r="I247" s="19">
        <f t="shared" si="138"/>
        <v>0.87477279068775893</v>
      </c>
      <c r="J247" s="19">
        <f t="shared" si="138"/>
        <v>1.0061965588276629</v>
      </c>
      <c r="K247" s="19">
        <f t="shared" si="138"/>
        <v>1.1260938728428886</v>
      </c>
      <c r="L247" s="19">
        <f t="shared" si="138"/>
        <v>1.1743224623738755</v>
      </c>
      <c r="M247" s="19">
        <f t="shared" si="138"/>
        <v>1.2290248030254172</v>
      </c>
      <c r="N247" s="19">
        <f t="shared" si="138"/>
        <v>1.2690437740625959</v>
      </c>
      <c r="O247" s="19">
        <f t="shared" si="138"/>
        <v>1.3248722374650386</v>
      </c>
      <c r="P247" s="19">
        <f t="shared" si="138"/>
        <v>1.3860397696458506</v>
      </c>
      <c r="Q247" s="19">
        <f t="shared" si="138"/>
        <v>1.3689769934816112</v>
      </c>
      <c r="R247" s="19">
        <f t="shared" si="138"/>
        <v>1.3225353399142554</v>
      </c>
      <c r="S247" s="19">
        <f t="shared" si="138"/>
        <v>1.3165157921152109</v>
      </c>
      <c r="T247" s="19">
        <f t="shared" si="138"/>
        <v>1.3392422989735149</v>
      </c>
      <c r="U247" s="19">
        <f t="shared" si="138"/>
        <v>1.3679325903978876</v>
      </c>
      <c r="V247" s="19">
        <f t="shared" si="138"/>
        <v>1.4302683939415681</v>
      </c>
      <c r="W247" s="19">
        <f t="shared" si="138"/>
        <v>1.7043658988063755</v>
      </c>
      <c r="X247" s="19">
        <f t="shared" si="138"/>
        <v>1.8528284521688532</v>
      </c>
      <c r="Y247" s="19">
        <f t="shared" si="138"/>
        <v>1.7195413745124726</v>
      </c>
      <c r="Z247" s="19">
        <f t="shared" si="138"/>
        <v>1.5016966252840129</v>
      </c>
      <c r="AA247" s="19">
        <f t="shared" si="138"/>
        <v>1.2376941027126827</v>
      </c>
      <c r="AB247" s="19">
        <f t="shared" si="138"/>
        <v>1.0224209113826919</v>
      </c>
      <c r="AC247" s="12">
        <f>+SUM(E247:AB247)</f>
        <v>30.000000000000004</v>
      </c>
    </row>
    <row r="248" spans="2:29" outlineLevel="1">
      <c r="B248" s="15">
        <f>+EDATE(B243,1)</f>
        <v>46357</v>
      </c>
      <c r="C248" s="8" t="s">
        <v>45</v>
      </c>
      <c r="D248" s="8">
        <v>21</v>
      </c>
      <c r="E248" s="50">
        <f t="shared" ref="E248:AB248" si="139">+E188</f>
        <v>2.9361257124838391E-2</v>
      </c>
      <c r="F248" s="50">
        <f t="shared" si="139"/>
        <v>2.7692710332229715E-2</v>
      </c>
      <c r="G248" s="50">
        <f t="shared" si="139"/>
        <v>2.6785161397696527E-2</v>
      </c>
      <c r="H248" s="50">
        <f t="shared" si="139"/>
        <v>2.6786989368939883E-2</v>
      </c>
      <c r="I248" s="50">
        <f t="shared" si="139"/>
        <v>2.9135775177511477E-2</v>
      </c>
      <c r="J248" s="50">
        <f t="shared" si="139"/>
        <v>3.4540443856715661E-2</v>
      </c>
      <c r="K248" s="50">
        <f t="shared" si="139"/>
        <v>3.8789035252325646E-2</v>
      </c>
      <c r="L248" s="50">
        <f t="shared" si="139"/>
        <v>3.957865839345593E-2</v>
      </c>
      <c r="M248" s="50">
        <f t="shared" si="139"/>
        <v>4.0957538271781398E-2</v>
      </c>
      <c r="N248" s="50">
        <f t="shared" si="139"/>
        <v>4.2166920044863825E-2</v>
      </c>
      <c r="O248" s="50">
        <f t="shared" si="139"/>
        <v>4.4150374939633218E-2</v>
      </c>
      <c r="P248" s="50">
        <f t="shared" si="139"/>
        <v>4.6294816466469102E-2</v>
      </c>
      <c r="Q248" s="50">
        <f t="shared" si="139"/>
        <v>4.5431875959152102E-2</v>
      </c>
      <c r="R248" s="50">
        <f t="shared" si="139"/>
        <v>4.3879728503346101E-2</v>
      </c>
      <c r="S248" s="50">
        <f t="shared" si="139"/>
        <v>4.4118506624640258E-2</v>
      </c>
      <c r="T248" s="50">
        <f t="shared" si="139"/>
        <v>4.5188432655351718E-2</v>
      </c>
      <c r="U248" s="50">
        <f t="shared" si="139"/>
        <v>4.624302558461979E-2</v>
      </c>
      <c r="V248" s="50">
        <f t="shared" si="139"/>
        <v>4.8247238962955179E-2</v>
      </c>
      <c r="W248" s="50">
        <f t="shared" si="139"/>
        <v>5.7096885328092907E-2</v>
      </c>
      <c r="X248" s="50">
        <f t="shared" si="139"/>
        <v>6.1739938045350239E-2</v>
      </c>
      <c r="Y248" s="50">
        <f t="shared" si="139"/>
        <v>5.7231881517227232E-2</v>
      </c>
      <c r="Z248" s="50">
        <f t="shared" si="139"/>
        <v>5.0129255438435008E-2</v>
      </c>
      <c r="AA248" s="50">
        <f t="shared" si="139"/>
        <v>4.1010488221716553E-2</v>
      </c>
      <c r="AB248" s="50">
        <f t="shared" si="139"/>
        <v>3.34430625326523E-2</v>
      </c>
      <c r="AC248" s="8">
        <f>+SUM(E248:AB248)*D248</f>
        <v>21.000000000000004</v>
      </c>
    </row>
    <row r="249" spans="2:29" outlineLevel="1">
      <c r="B249" s="16"/>
      <c r="C249" s="8" t="s">
        <v>46</v>
      </c>
      <c r="D249" s="8">
        <v>4</v>
      </c>
      <c r="E249" s="50">
        <f t="shared" ref="E249:AB249" si="140">+E189</f>
        <v>3.0659473205105158E-2</v>
      </c>
      <c r="F249" s="50">
        <f t="shared" si="140"/>
        <v>2.8600001140869122E-2</v>
      </c>
      <c r="G249" s="50">
        <f t="shared" si="140"/>
        <v>2.7683858575034276E-2</v>
      </c>
      <c r="H249" s="50">
        <f t="shared" si="140"/>
        <v>2.7537802139610414E-2</v>
      </c>
      <c r="I249" s="50">
        <f t="shared" si="140"/>
        <v>2.8782539770184416E-2</v>
      </c>
      <c r="J249" s="50">
        <f t="shared" si="140"/>
        <v>3.2241585579716119E-2</v>
      </c>
      <c r="K249" s="50">
        <f t="shared" si="140"/>
        <v>3.645312931015221E-2</v>
      </c>
      <c r="L249" s="50">
        <f t="shared" si="140"/>
        <v>3.9012639181609042E-2</v>
      </c>
      <c r="M249" s="50">
        <f t="shared" si="140"/>
        <v>4.1549207589560662E-2</v>
      </c>
      <c r="N249" s="50">
        <f t="shared" si="140"/>
        <v>4.3042516751632572E-2</v>
      </c>
      <c r="O249" s="50">
        <f t="shared" si="140"/>
        <v>4.4973693586955334E-2</v>
      </c>
      <c r="P249" s="50">
        <f t="shared" si="140"/>
        <v>4.6808021710202923E-2</v>
      </c>
      <c r="Q249" s="50">
        <f t="shared" si="140"/>
        <v>4.6383383047344962E-2</v>
      </c>
      <c r="R249" s="50">
        <f t="shared" si="140"/>
        <v>4.4751654806610461E-2</v>
      </c>
      <c r="S249" s="50">
        <f t="shared" si="140"/>
        <v>4.4013077558728637E-2</v>
      </c>
      <c r="T249" s="50">
        <f t="shared" si="140"/>
        <v>4.428856091631931E-2</v>
      </c>
      <c r="U249" s="50">
        <f t="shared" si="140"/>
        <v>4.49735778579251E-2</v>
      </c>
      <c r="V249" s="50">
        <f t="shared" si="140"/>
        <v>4.6933206789217301E-2</v>
      </c>
      <c r="W249" s="50">
        <f t="shared" si="140"/>
        <v>5.6210586428141023E-2</v>
      </c>
      <c r="X249" s="50">
        <f t="shared" si="140"/>
        <v>6.1205656691958259E-2</v>
      </c>
      <c r="Y249" s="50">
        <f t="shared" si="140"/>
        <v>5.7018442088769522E-2</v>
      </c>
      <c r="Z249" s="50">
        <f t="shared" si="140"/>
        <v>4.9896672365740725E-2</v>
      </c>
      <c r="AA249" s="50">
        <f t="shared" si="140"/>
        <v>4.1622868086918119E-2</v>
      </c>
      <c r="AB249" s="50">
        <f t="shared" si="140"/>
        <v>3.5357844821693719E-2</v>
      </c>
      <c r="AC249" s="8">
        <f t="shared" si="105"/>
        <v>3.9999999999999969</v>
      </c>
    </row>
    <row r="250" spans="2:29" outlineLevel="1">
      <c r="B250" s="16"/>
      <c r="C250" s="8" t="s">
        <v>47</v>
      </c>
      <c r="D250" s="8">
        <v>4</v>
      </c>
      <c r="E250" s="50">
        <f t="shared" ref="E250:AB250" si="141">+E190</f>
        <v>3.3281514565353124E-2</v>
      </c>
      <c r="F250" s="50">
        <f t="shared" si="141"/>
        <v>3.1140043873712407E-2</v>
      </c>
      <c r="G250" s="50">
        <f t="shared" si="141"/>
        <v>2.984335106750436E-2</v>
      </c>
      <c r="H250" s="50">
        <f t="shared" si="141"/>
        <v>2.9286927979133532E-2</v>
      </c>
      <c r="I250" s="50">
        <f t="shared" si="141"/>
        <v>2.9138028999542646E-2</v>
      </c>
      <c r="J250" s="50">
        <f t="shared" si="141"/>
        <v>3.0942883559119717E-2</v>
      </c>
      <c r="K250" s="50">
        <f t="shared" si="141"/>
        <v>3.4432484834348992E-2</v>
      </c>
      <c r="L250" s="50">
        <f t="shared" si="141"/>
        <v>3.8305304424032266E-2</v>
      </c>
      <c r="M250" s="50">
        <f t="shared" si="141"/>
        <v>4.1103790742913066E-2</v>
      </c>
      <c r="N250" s="50">
        <f t="shared" si="141"/>
        <v>4.2608444243851212E-2</v>
      </c>
      <c r="O250" s="50">
        <f t="shared" si="141"/>
        <v>4.3914681848814308E-2</v>
      </c>
      <c r="P250" s="50">
        <f t="shared" si="141"/>
        <v>4.5729867165388009E-2</v>
      </c>
      <c r="Q250" s="50">
        <f t="shared" si="141"/>
        <v>4.5741487779353565E-2</v>
      </c>
      <c r="R250" s="50">
        <f t="shared" si="141"/>
        <v>4.4277060725657284E-2</v>
      </c>
      <c r="S250" s="50">
        <f t="shared" si="141"/>
        <v>4.3144199391556254E-2</v>
      </c>
      <c r="T250" s="50">
        <f t="shared" si="141"/>
        <v>4.3279567369281124E-2</v>
      </c>
      <c r="U250" s="50">
        <f t="shared" si="141"/>
        <v>4.4109954506885138E-2</v>
      </c>
      <c r="V250" s="50">
        <f t="shared" si="141"/>
        <v>4.6298728840315946E-2</v>
      </c>
      <c r="W250" s="50">
        <f t="shared" si="141"/>
        <v>5.6176649878816001E-2</v>
      </c>
      <c r="X250" s="50">
        <f t="shared" si="141"/>
        <v>6.2194705000087863E-2</v>
      </c>
      <c r="Y250" s="50">
        <f t="shared" si="141"/>
        <v>5.7928891294023718E-2</v>
      </c>
      <c r="Z250" s="50">
        <f t="shared" si="141"/>
        <v>5.019499221712586E-2</v>
      </c>
      <c r="AA250" s="50">
        <f t="shared" si="141"/>
        <v>4.1853093029906328E-2</v>
      </c>
      <c r="AB250" s="50">
        <f t="shared" si="141"/>
        <v>3.507334666327714E-2</v>
      </c>
      <c r="AC250" s="8">
        <f t="shared" si="105"/>
        <v>3.9999999999999991</v>
      </c>
    </row>
    <row r="251" spans="2:29" outlineLevel="1">
      <c r="B251" s="16"/>
      <c r="C251" s="8" t="s">
        <v>48</v>
      </c>
      <c r="D251" s="8">
        <v>2</v>
      </c>
      <c r="E251" s="50">
        <f t="shared" ref="E251:AB251" si="142">+E191</f>
        <v>3.367503361886829E-2</v>
      </c>
      <c r="F251" s="50">
        <f t="shared" si="142"/>
        <v>3.1245692535415936E-2</v>
      </c>
      <c r="G251" s="50">
        <f t="shared" si="142"/>
        <v>2.9861746203171599E-2</v>
      </c>
      <c r="H251" s="50">
        <f t="shared" si="142"/>
        <v>2.9235019370742008E-2</v>
      </c>
      <c r="I251" s="50">
        <f t="shared" si="142"/>
        <v>3.0186379118294998E-2</v>
      </c>
      <c r="J251" s="50">
        <f t="shared" si="142"/>
        <v>3.3123682717801174E-2</v>
      </c>
      <c r="K251" s="50">
        <f t="shared" si="142"/>
        <v>3.5563630818173868E-2</v>
      </c>
      <c r="L251" s="50">
        <f t="shared" si="142"/>
        <v>3.7375437025807548E-2</v>
      </c>
      <c r="M251" s="50">
        <f t="shared" si="142"/>
        <v>3.9557895894381336E-2</v>
      </c>
      <c r="N251" s="50">
        <f t="shared" si="142"/>
        <v>4.1330002492198488E-2</v>
      </c>
      <c r="O251" s="50">
        <f t="shared" si="142"/>
        <v>4.3273465010057272E-2</v>
      </c>
      <c r="P251" s="50">
        <f t="shared" si="142"/>
        <v>4.5278417057592932E-2</v>
      </c>
      <c r="Q251" s="50">
        <f t="shared" si="142"/>
        <v>4.5765189585786785E-2</v>
      </c>
      <c r="R251" s="50">
        <f t="shared" si="142"/>
        <v>4.421428774797561E-2</v>
      </c>
      <c r="S251" s="50">
        <f t="shared" si="142"/>
        <v>4.3245429527174986E-2</v>
      </c>
      <c r="T251" s="50">
        <f t="shared" si="142"/>
        <v>4.3554999005074702E-2</v>
      </c>
      <c r="U251" s="50">
        <f t="shared" si="142"/>
        <v>4.4435510161992771E-2</v>
      </c>
      <c r="V251" s="50">
        <f t="shared" si="142"/>
        <v>4.717219114348542E-2</v>
      </c>
      <c r="W251" s="50">
        <f t="shared" si="142"/>
        <v>5.6899741232983039E-2</v>
      </c>
      <c r="X251" s="50">
        <f t="shared" si="142"/>
        <v>6.1986738769463187E-2</v>
      </c>
      <c r="Y251" s="50">
        <f t="shared" si="142"/>
        <v>5.7208700429979269E-2</v>
      </c>
      <c r="Z251" s="50">
        <f t="shared" si="142"/>
        <v>4.9339560702577757E-2</v>
      </c>
      <c r="AA251" s="50">
        <f t="shared" si="142"/>
        <v>4.1368944501432053E-2</v>
      </c>
      <c r="AB251" s="50">
        <f t="shared" si="142"/>
        <v>3.5102305329568817E-2</v>
      </c>
      <c r="AC251" s="8">
        <f t="shared" si="105"/>
        <v>1.9999999999999996</v>
      </c>
    </row>
    <row r="252" spans="2:29" outlineLevel="1">
      <c r="B252" s="12"/>
      <c r="C252" s="12" t="s">
        <v>15</v>
      </c>
      <c r="D252" s="12">
        <f>+SUM(D248:D251)</f>
        <v>31</v>
      </c>
      <c r="E252" s="19">
        <f>+SUMPRODUCT(E248:E251,$D248:$D251)</f>
        <v>0.93970041794117598</v>
      </c>
      <c r="F252" s="19">
        <f>+SUMPRODUCT(F248:F251,$D248:$D251)</f>
        <v>0.88299848210598197</v>
      </c>
      <c r="G252" s="19">
        <f t="shared" ref="G252:AB252" si="143">+SUMPRODUCT(G248:G251,$D248:$D251)</f>
        <v>0.85232072032812478</v>
      </c>
      <c r="H252" s="19">
        <f t="shared" si="143"/>
        <v>0.84829573596419738</v>
      </c>
      <c r="I252" s="19">
        <f t="shared" si="143"/>
        <v>0.90390631204323935</v>
      </c>
      <c r="J252" s="19">
        <f t="shared" si="143"/>
        <v>1.0443345629819747</v>
      </c>
      <c r="K252" s="19">
        <f t="shared" si="143"/>
        <v>1.1692394585131909</v>
      </c>
      <c r="L252" s="19">
        <f t="shared" si="143"/>
        <v>1.215174474736755</v>
      </c>
      <c r="M252" s="19">
        <f t="shared" si="143"/>
        <v>1.2698360888260669</v>
      </c>
      <c r="N252" s="19">
        <f t="shared" si="143"/>
        <v>1.3107691699084727</v>
      </c>
      <c r="O252" s="19">
        <f t="shared" si="143"/>
        <v>1.3692583054954905</v>
      </c>
      <c r="P252" s="19">
        <f t="shared" si="143"/>
        <v>1.4328995354134009</v>
      </c>
      <c r="Q252" s="19">
        <f t="shared" si="143"/>
        <v>1.4140992576205618</v>
      </c>
      <c r="R252" s="19">
        <f t="shared" si="143"/>
        <v>1.3660177361952903</v>
      </c>
      <c r="S252" s="19">
        <f t="shared" si="143"/>
        <v>1.3616086059729351</v>
      </c>
      <c r="T252" s="19">
        <f t="shared" si="143"/>
        <v>1.3863395969149375</v>
      </c>
      <c r="U252" s="19">
        <f t="shared" si="143"/>
        <v>1.4163086870602422</v>
      </c>
      <c r="V252" s="19">
        <f t="shared" si="143"/>
        <v>1.4804641430271626</v>
      </c>
      <c r="W252" s="19">
        <f t="shared" si="143"/>
        <v>1.7623830195837451</v>
      </c>
      <c r="X252" s="19">
        <f t="shared" si="143"/>
        <v>1.914113623259466</v>
      </c>
      <c r="Y252" s="19">
        <f t="shared" si="143"/>
        <v>1.7760762462529034</v>
      </c>
      <c r="Z252" s="19">
        <f t="shared" si="143"/>
        <v>1.5517601439437572</v>
      </c>
      <c r="AA252" s="19">
        <f t="shared" si="143"/>
        <v>1.2778619861262095</v>
      </c>
      <c r="AB252" s="19">
        <f t="shared" si="143"/>
        <v>1.0542336897847193</v>
      </c>
      <c r="AC252" s="12">
        <f>+SUM(E252:AB252)</f>
        <v>30.999999999999996</v>
      </c>
    </row>
    <row r="253" spans="2:29" outlineLevel="1" collapsed="1">
      <c r="B253" s="15">
        <f>+EDATE(B248,1)</f>
        <v>46388</v>
      </c>
      <c r="C253" s="8" t="s">
        <v>45</v>
      </c>
      <c r="D253" s="8">
        <v>19</v>
      </c>
      <c r="E253" s="50">
        <f t="shared" ref="E253:AB253" si="144">+E193</f>
        <v>2.9361257124838391E-2</v>
      </c>
      <c r="F253" s="50">
        <f t="shared" si="144"/>
        <v>2.7692710332229715E-2</v>
      </c>
      <c r="G253" s="50">
        <f t="shared" si="144"/>
        <v>2.6785161397696527E-2</v>
      </c>
      <c r="H253" s="50">
        <f t="shared" si="144"/>
        <v>2.6786989368939883E-2</v>
      </c>
      <c r="I253" s="50">
        <f t="shared" si="144"/>
        <v>2.9135775177511477E-2</v>
      </c>
      <c r="J253" s="50">
        <f t="shared" si="144"/>
        <v>3.4540443856715661E-2</v>
      </c>
      <c r="K253" s="50">
        <f t="shared" si="144"/>
        <v>3.8789035252325646E-2</v>
      </c>
      <c r="L253" s="50">
        <f t="shared" si="144"/>
        <v>3.957865839345593E-2</v>
      </c>
      <c r="M253" s="50">
        <f t="shared" si="144"/>
        <v>4.0957538271781398E-2</v>
      </c>
      <c r="N253" s="50">
        <f t="shared" si="144"/>
        <v>4.2166920044863825E-2</v>
      </c>
      <c r="O253" s="50">
        <f t="shared" si="144"/>
        <v>4.4150374939633218E-2</v>
      </c>
      <c r="P253" s="50">
        <f t="shared" si="144"/>
        <v>4.6294816466469102E-2</v>
      </c>
      <c r="Q253" s="50">
        <f t="shared" si="144"/>
        <v>4.5431875959152102E-2</v>
      </c>
      <c r="R253" s="50">
        <f t="shared" si="144"/>
        <v>4.3879728503346101E-2</v>
      </c>
      <c r="S253" s="50">
        <f t="shared" si="144"/>
        <v>4.4118506624640258E-2</v>
      </c>
      <c r="T253" s="50">
        <f t="shared" si="144"/>
        <v>4.5188432655351718E-2</v>
      </c>
      <c r="U253" s="50">
        <f t="shared" si="144"/>
        <v>4.624302558461979E-2</v>
      </c>
      <c r="V253" s="50">
        <f t="shared" si="144"/>
        <v>4.8247238962955179E-2</v>
      </c>
      <c r="W253" s="50">
        <f t="shared" si="144"/>
        <v>5.7096885328092907E-2</v>
      </c>
      <c r="X253" s="50">
        <f t="shared" si="144"/>
        <v>6.1739938045350239E-2</v>
      </c>
      <c r="Y253" s="50">
        <f t="shared" si="144"/>
        <v>5.7231881517227232E-2</v>
      </c>
      <c r="Z253" s="50">
        <f t="shared" si="144"/>
        <v>5.0129255438435008E-2</v>
      </c>
      <c r="AA253" s="50">
        <f t="shared" si="144"/>
        <v>4.1010488221716553E-2</v>
      </c>
      <c r="AB253" s="50">
        <f t="shared" si="144"/>
        <v>3.34430625326523E-2</v>
      </c>
      <c r="AC253" s="8">
        <f>+SUM(E253:AB253)*D253</f>
        <v>19.000000000000004</v>
      </c>
    </row>
    <row r="254" spans="2:29" outlineLevel="1">
      <c r="B254" s="16"/>
      <c r="C254" s="8" t="s">
        <v>46</v>
      </c>
      <c r="D254" s="8">
        <v>5</v>
      </c>
      <c r="E254" s="50">
        <f t="shared" ref="E254:AB254" si="145">+E194</f>
        <v>3.0659473205105158E-2</v>
      </c>
      <c r="F254" s="50">
        <f t="shared" si="145"/>
        <v>2.8600001140869122E-2</v>
      </c>
      <c r="G254" s="50">
        <f t="shared" si="145"/>
        <v>2.7683858575034276E-2</v>
      </c>
      <c r="H254" s="50">
        <f t="shared" si="145"/>
        <v>2.7537802139610414E-2</v>
      </c>
      <c r="I254" s="50">
        <f t="shared" si="145"/>
        <v>2.8782539770184416E-2</v>
      </c>
      <c r="J254" s="50">
        <f t="shared" si="145"/>
        <v>3.2241585579716119E-2</v>
      </c>
      <c r="K254" s="50">
        <f t="shared" si="145"/>
        <v>3.645312931015221E-2</v>
      </c>
      <c r="L254" s="50">
        <f t="shared" si="145"/>
        <v>3.9012639181609042E-2</v>
      </c>
      <c r="M254" s="50">
        <f t="shared" si="145"/>
        <v>4.1549207589560662E-2</v>
      </c>
      <c r="N254" s="50">
        <f t="shared" si="145"/>
        <v>4.3042516751632572E-2</v>
      </c>
      <c r="O254" s="50">
        <f t="shared" si="145"/>
        <v>4.4973693586955334E-2</v>
      </c>
      <c r="P254" s="50">
        <f t="shared" si="145"/>
        <v>4.6808021710202923E-2</v>
      </c>
      <c r="Q254" s="50">
        <f t="shared" si="145"/>
        <v>4.6383383047344962E-2</v>
      </c>
      <c r="R254" s="50">
        <f t="shared" si="145"/>
        <v>4.4751654806610461E-2</v>
      </c>
      <c r="S254" s="50">
        <f t="shared" si="145"/>
        <v>4.4013077558728637E-2</v>
      </c>
      <c r="T254" s="50">
        <f t="shared" si="145"/>
        <v>4.428856091631931E-2</v>
      </c>
      <c r="U254" s="50">
        <f t="shared" si="145"/>
        <v>4.49735778579251E-2</v>
      </c>
      <c r="V254" s="50">
        <f t="shared" si="145"/>
        <v>4.6933206789217301E-2</v>
      </c>
      <c r="W254" s="50">
        <f t="shared" si="145"/>
        <v>5.6210586428141023E-2</v>
      </c>
      <c r="X254" s="50">
        <f t="shared" si="145"/>
        <v>6.1205656691958259E-2</v>
      </c>
      <c r="Y254" s="50">
        <f t="shared" si="145"/>
        <v>5.7018442088769522E-2</v>
      </c>
      <c r="Z254" s="50">
        <f t="shared" si="145"/>
        <v>4.9896672365740725E-2</v>
      </c>
      <c r="AA254" s="50">
        <f t="shared" si="145"/>
        <v>4.1622868086918119E-2</v>
      </c>
      <c r="AB254" s="50">
        <f t="shared" si="145"/>
        <v>3.5357844821693719E-2</v>
      </c>
      <c r="AC254" s="8">
        <f t="shared" si="105"/>
        <v>4.9999999999999964</v>
      </c>
    </row>
    <row r="255" spans="2:29" outlineLevel="1">
      <c r="B255" s="16"/>
      <c r="C255" s="8" t="s">
        <v>47</v>
      </c>
      <c r="D255" s="8">
        <v>5</v>
      </c>
      <c r="E255" s="50">
        <f t="shared" ref="E255:AB255" si="146">+E195</f>
        <v>3.3281514565353124E-2</v>
      </c>
      <c r="F255" s="50">
        <f t="shared" si="146"/>
        <v>3.1140043873712407E-2</v>
      </c>
      <c r="G255" s="50">
        <f t="shared" si="146"/>
        <v>2.984335106750436E-2</v>
      </c>
      <c r="H255" s="50">
        <f t="shared" si="146"/>
        <v>2.9286927979133532E-2</v>
      </c>
      <c r="I255" s="50">
        <f t="shared" si="146"/>
        <v>2.9138028999542646E-2</v>
      </c>
      <c r="J255" s="50">
        <f t="shared" si="146"/>
        <v>3.0942883559119717E-2</v>
      </c>
      <c r="K255" s="50">
        <f t="shared" si="146"/>
        <v>3.4432484834348992E-2</v>
      </c>
      <c r="L255" s="50">
        <f t="shared" si="146"/>
        <v>3.8305304424032266E-2</v>
      </c>
      <c r="M255" s="50">
        <f t="shared" si="146"/>
        <v>4.1103790742913066E-2</v>
      </c>
      <c r="N255" s="50">
        <f t="shared" si="146"/>
        <v>4.2608444243851212E-2</v>
      </c>
      <c r="O255" s="50">
        <f t="shared" si="146"/>
        <v>4.3914681848814308E-2</v>
      </c>
      <c r="P255" s="50">
        <f t="shared" si="146"/>
        <v>4.5729867165388009E-2</v>
      </c>
      <c r="Q255" s="50">
        <f t="shared" si="146"/>
        <v>4.5741487779353565E-2</v>
      </c>
      <c r="R255" s="50">
        <f t="shared" si="146"/>
        <v>4.4277060725657284E-2</v>
      </c>
      <c r="S255" s="50">
        <f t="shared" si="146"/>
        <v>4.3144199391556254E-2</v>
      </c>
      <c r="T255" s="50">
        <f t="shared" si="146"/>
        <v>4.3279567369281124E-2</v>
      </c>
      <c r="U255" s="50">
        <f t="shared" si="146"/>
        <v>4.4109954506885138E-2</v>
      </c>
      <c r="V255" s="50">
        <f t="shared" si="146"/>
        <v>4.6298728840315946E-2</v>
      </c>
      <c r="W255" s="50">
        <f t="shared" si="146"/>
        <v>5.6176649878816001E-2</v>
      </c>
      <c r="X255" s="50">
        <f t="shared" si="146"/>
        <v>6.2194705000087863E-2</v>
      </c>
      <c r="Y255" s="50">
        <f t="shared" si="146"/>
        <v>5.7928891294023718E-2</v>
      </c>
      <c r="Z255" s="50">
        <f t="shared" si="146"/>
        <v>5.019499221712586E-2</v>
      </c>
      <c r="AA255" s="50">
        <f t="shared" si="146"/>
        <v>4.1853093029906328E-2</v>
      </c>
      <c r="AB255" s="50">
        <f t="shared" si="146"/>
        <v>3.507334666327714E-2</v>
      </c>
      <c r="AC255" s="8">
        <f t="shared" si="105"/>
        <v>4.9999999999999991</v>
      </c>
    </row>
    <row r="256" spans="2:29" outlineLevel="1">
      <c r="B256" s="16"/>
      <c r="C256" s="8" t="s">
        <v>48</v>
      </c>
      <c r="D256" s="8">
        <v>2</v>
      </c>
      <c r="E256" s="50">
        <f t="shared" ref="E256:AB256" si="147">+E196</f>
        <v>3.367503361886829E-2</v>
      </c>
      <c r="F256" s="50">
        <f t="shared" si="147"/>
        <v>3.1245692535415936E-2</v>
      </c>
      <c r="G256" s="50">
        <f t="shared" si="147"/>
        <v>2.9861746203171599E-2</v>
      </c>
      <c r="H256" s="50">
        <f t="shared" si="147"/>
        <v>2.9235019370742008E-2</v>
      </c>
      <c r="I256" s="50">
        <f t="shared" si="147"/>
        <v>3.0186379118294998E-2</v>
      </c>
      <c r="J256" s="50">
        <f t="shared" si="147"/>
        <v>3.3123682717801174E-2</v>
      </c>
      <c r="K256" s="50">
        <f t="shared" si="147"/>
        <v>3.5563630818173868E-2</v>
      </c>
      <c r="L256" s="50">
        <f t="shared" si="147"/>
        <v>3.7375437025807548E-2</v>
      </c>
      <c r="M256" s="50">
        <f t="shared" si="147"/>
        <v>3.9557895894381336E-2</v>
      </c>
      <c r="N256" s="50">
        <f t="shared" si="147"/>
        <v>4.1330002492198488E-2</v>
      </c>
      <c r="O256" s="50">
        <f t="shared" si="147"/>
        <v>4.3273465010057272E-2</v>
      </c>
      <c r="P256" s="50">
        <f t="shared" si="147"/>
        <v>4.5278417057592932E-2</v>
      </c>
      <c r="Q256" s="50">
        <f t="shared" si="147"/>
        <v>4.5765189585786785E-2</v>
      </c>
      <c r="R256" s="50">
        <f t="shared" si="147"/>
        <v>4.421428774797561E-2</v>
      </c>
      <c r="S256" s="50">
        <f t="shared" si="147"/>
        <v>4.3245429527174986E-2</v>
      </c>
      <c r="T256" s="50">
        <f t="shared" si="147"/>
        <v>4.3554999005074702E-2</v>
      </c>
      <c r="U256" s="50">
        <f t="shared" si="147"/>
        <v>4.4435510161992771E-2</v>
      </c>
      <c r="V256" s="50">
        <f t="shared" si="147"/>
        <v>4.717219114348542E-2</v>
      </c>
      <c r="W256" s="50">
        <f t="shared" si="147"/>
        <v>5.6899741232983039E-2</v>
      </c>
      <c r="X256" s="50">
        <f t="shared" si="147"/>
        <v>6.1986738769463187E-2</v>
      </c>
      <c r="Y256" s="50">
        <f t="shared" si="147"/>
        <v>5.7208700429979269E-2</v>
      </c>
      <c r="Z256" s="50">
        <f t="shared" si="147"/>
        <v>4.9339560702577757E-2</v>
      </c>
      <c r="AA256" s="50">
        <f t="shared" si="147"/>
        <v>4.1368944501432053E-2</v>
      </c>
      <c r="AB256" s="50">
        <f t="shared" si="147"/>
        <v>3.5102305329568817E-2</v>
      </c>
      <c r="AC256" s="8">
        <f t="shared" si="105"/>
        <v>1.9999999999999996</v>
      </c>
    </row>
    <row r="257" spans="2:29" outlineLevel="1">
      <c r="B257" s="12"/>
      <c r="C257" s="12" t="s">
        <v>15</v>
      </c>
      <c r="D257" s="12">
        <f>+SUM(D253:D256)</f>
        <v>31</v>
      </c>
      <c r="E257" s="19">
        <f>+SUMPRODUCT(E253:E256,$D253:$D256)</f>
        <v>0.9449188914619574</v>
      </c>
      <c r="F257" s="19">
        <f>+SUMPRODUCT(F253:F256,$D253:$D256)</f>
        <v>0.88735310645610399</v>
      </c>
      <c r="G257" s="19">
        <f t="shared" ref="G257:AB257" si="148">+SUMPRODUCT(G253:G256,$D253:$D256)</f>
        <v>0.85627760717527046</v>
      </c>
      <c r="H257" s="19">
        <f t="shared" si="148"/>
        <v>0.85154648734506155</v>
      </c>
      <c r="I257" s="19">
        <f t="shared" si="148"/>
        <v>0.90355533045794334</v>
      </c>
      <c r="J257" s="19">
        <f t="shared" si="148"/>
        <v>1.0384381444073791</v>
      </c>
      <c r="K257" s="19">
        <f t="shared" si="148"/>
        <v>1.1625470021530409</v>
      </c>
      <c r="L257" s="19">
        <f t="shared" si="148"/>
        <v>1.2133351015554845</v>
      </c>
      <c r="M257" s="19">
        <f t="shared" si="148"/>
        <v>1.2705740106149779</v>
      </c>
      <c r="N257" s="19">
        <f t="shared" si="148"/>
        <v>1.3120862908142286</v>
      </c>
      <c r="O257" s="19">
        <f t="shared" si="148"/>
        <v>1.3698459310519939</v>
      </c>
      <c r="P257" s="19">
        <f t="shared" si="148"/>
        <v>1.4328477913560536</v>
      </c>
      <c r="Q257" s="19">
        <f t="shared" si="148"/>
        <v>1.4153603765289562</v>
      </c>
      <c r="R257" s="19">
        <f t="shared" si="148"/>
        <v>1.3672869947208659</v>
      </c>
      <c r="S257" s="19">
        <f t="shared" si="148"/>
        <v>1.3605288696739395</v>
      </c>
      <c r="T257" s="19">
        <f t="shared" si="148"/>
        <v>1.3835308598898344</v>
      </c>
      <c r="U257" s="19">
        <f t="shared" si="148"/>
        <v>1.4129061682558126</v>
      </c>
      <c r="V257" s="19">
        <f t="shared" si="148"/>
        <v>1.4772016007307855</v>
      </c>
      <c r="W257" s="19">
        <f t="shared" si="148"/>
        <v>1.7605764852345165</v>
      </c>
      <c r="X257" s="19">
        <f t="shared" si="148"/>
        <v>1.9140341088608113</v>
      </c>
      <c r="Y257" s="19">
        <f t="shared" si="148"/>
        <v>1.7765598166012422</v>
      </c>
      <c r="Z257" s="19">
        <f t="shared" si="148"/>
        <v>1.5515932976497535</v>
      </c>
      <c r="AA257" s="19">
        <f t="shared" si="148"/>
        <v>1.2793169707996008</v>
      </c>
      <c r="AB257" s="19">
        <f t="shared" si="148"/>
        <v>1.0577787562043857</v>
      </c>
      <c r="AC257" s="12">
        <f>+SUM(E257:AB257)</f>
        <v>31</v>
      </c>
    </row>
    <row r="258" spans="2:29" outlineLevel="1">
      <c r="B258" s="15">
        <f>+EDATE(B253,1)</f>
        <v>46419</v>
      </c>
      <c r="C258" s="8" t="s">
        <v>45</v>
      </c>
      <c r="D258" s="8">
        <v>20</v>
      </c>
      <c r="E258" s="50">
        <f t="shared" ref="E258:AB258" si="149">+E198</f>
        <v>2.9361257124838391E-2</v>
      </c>
      <c r="F258" s="50">
        <f t="shared" si="149"/>
        <v>2.7692710332229715E-2</v>
      </c>
      <c r="G258" s="50">
        <f t="shared" si="149"/>
        <v>2.6785161397696527E-2</v>
      </c>
      <c r="H258" s="50">
        <f t="shared" si="149"/>
        <v>2.6786989368939883E-2</v>
      </c>
      <c r="I258" s="50">
        <f t="shared" si="149"/>
        <v>2.9135775177511477E-2</v>
      </c>
      <c r="J258" s="50">
        <f t="shared" si="149"/>
        <v>3.4540443856715661E-2</v>
      </c>
      <c r="K258" s="50">
        <f t="shared" si="149"/>
        <v>3.8789035252325646E-2</v>
      </c>
      <c r="L258" s="50">
        <f t="shared" si="149"/>
        <v>3.957865839345593E-2</v>
      </c>
      <c r="M258" s="50">
        <f t="shared" si="149"/>
        <v>4.0957538271781398E-2</v>
      </c>
      <c r="N258" s="50">
        <f t="shared" si="149"/>
        <v>4.2166920044863825E-2</v>
      </c>
      <c r="O258" s="50">
        <f t="shared" si="149"/>
        <v>4.4150374939633218E-2</v>
      </c>
      <c r="P258" s="50">
        <f t="shared" si="149"/>
        <v>4.6294816466469102E-2</v>
      </c>
      <c r="Q258" s="50">
        <f t="shared" si="149"/>
        <v>4.5431875959152102E-2</v>
      </c>
      <c r="R258" s="50">
        <f t="shared" si="149"/>
        <v>4.3879728503346101E-2</v>
      </c>
      <c r="S258" s="50">
        <f t="shared" si="149"/>
        <v>4.4118506624640258E-2</v>
      </c>
      <c r="T258" s="50">
        <f t="shared" si="149"/>
        <v>4.5188432655351718E-2</v>
      </c>
      <c r="U258" s="50">
        <f t="shared" si="149"/>
        <v>4.624302558461979E-2</v>
      </c>
      <c r="V258" s="50">
        <f t="shared" si="149"/>
        <v>4.8247238962955179E-2</v>
      </c>
      <c r="W258" s="50">
        <f t="shared" si="149"/>
        <v>5.7096885328092907E-2</v>
      </c>
      <c r="X258" s="50">
        <f t="shared" si="149"/>
        <v>6.1739938045350239E-2</v>
      </c>
      <c r="Y258" s="50">
        <f t="shared" si="149"/>
        <v>5.7231881517227232E-2</v>
      </c>
      <c r="Z258" s="50">
        <f t="shared" si="149"/>
        <v>5.0129255438435008E-2</v>
      </c>
      <c r="AA258" s="50">
        <f t="shared" si="149"/>
        <v>4.1010488221716553E-2</v>
      </c>
      <c r="AB258" s="50">
        <f t="shared" si="149"/>
        <v>3.34430625326523E-2</v>
      </c>
      <c r="AC258" s="8">
        <f>+SUM(E258:AB258)*D258</f>
        <v>20.000000000000004</v>
      </c>
    </row>
    <row r="259" spans="2:29" outlineLevel="1">
      <c r="B259" s="16"/>
      <c r="C259" s="8" t="s">
        <v>46</v>
      </c>
      <c r="D259" s="8">
        <v>4</v>
      </c>
      <c r="E259" s="50">
        <f t="shared" ref="E259:AB259" si="150">+E199</f>
        <v>3.0659473205105158E-2</v>
      </c>
      <c r="F259" s="50">
        <f t="shared" si="150"/>
        <v>2.8600001140869122E-2</v>
      </c>
      <c r="G259" s="50">
        <f t="shared" si="150"/>
        <v>2.7683858575034276E-2</v>
      </c>
      <c r="H259" s="50">
        <f t="shared" si="150"/>
        <v>2.7537802139610414E-2</v>
      </c>
      <c r="I259" s="50">
        <f t="shared" si="150"/>
        <v>2.8782539770184416E-2</v>
      </c>
      <c r="J259" s="50">
        <f t="shared" si="150"/>
        <v>3.2241585579716119E-2</v>
      </c>
      <c r="K259" s="50">
        <f t="shared" si="150"/>
        <v>3.645312931015221E-2</v>
      </c>
      <c r="L259" s="50">
        <f t="shared" si="150"/>
        <v>3.9012639181609042E-2</v>
      </c>
      <c r="M259" s="50">
        <f t="shared" si="150"/>
        <v>4.1549207589560662E-2</v>
      </c>
      <c r="N259" s="50">
        <f t="shared" si="150"/>
        <v>4.3042516751632572E-2</v>
      </c>
      <c r="O259" s="50">
        <f t="shared" si="150"/>
        <v>4.4973693586955334E-2</v>
      </c>
      <c r="P259" s="50">
        <f t="shared" si="150"/>
        <v>4.6808021710202923E-2</v>
      </c>
      <c r="Q259" s="50">
        <f t="shared" si="150"/>
        <v>4.6383383047344962E-2</v>
      </c>
      <c r="R259" s="50">
        <f t="shared" si="150"/>
        <v>4.4751654806610461E-2</v>
      </c>
      <c r="S259" s="50">
        <f t="shared" si="150"/>
        <v>4.4013077558728637E-2</v>
      </c>
      <c r="T259" s="50">
        <f t="shared" si="150"/>
        <v>4.428856091631931E-2</v>
      </c>
      <c r="U259" s="50">
        <f t="shared" si="150"/>
        <v>4.49735778579251E-2</v>
      </c>
      <c r="V259" s="50">
        <f t="shared" si="150"/>
        <v>4.6933206789217301E-2</v>
      </c>
      <c r="W259" s="50">
        <f t="shared" si="150"/>
        <v>5.6210586428141023E-2</v>
      </c>
      <c r="X259" s="50">
        <f t="shared" si="150"/>
        <v>6.1205656691958259E-2</v>
      </c>
      <c r="Y259" s="50">
        <f t="shared" si="150"/>
        <v>5.7018442088769522E-2</v>
      </c>
      <c r="Z259" s="50">
        <f t="shared" si="150"/>
        <v>4.9896672365740725E-2</v>
      </c>
      <c r="AA259" s="50">
        <f t="shared" si="150"/>
        <v>4.1622868086918119E-2</v>
      </c>
      <c r="AB259" s="50">
        <f t="shared" si="150"/>
        <v>3.5357844821693719E-2</v>
      </c>
      <c r="AC259" s="8">
        <f t="shared" si="105"/>
        <v>3.9999999999999969</v>
      </c>
    </row>
    <row r="260" spans="2:29" outlineLevel="1">
      <c r="B260" s="16"/>
      <c r="C260" s="8" t="s">
        <v>47</v>
      </c>
      <c r="D260" s="8">
        <v>4</v>
      </c>
      <c r="E260" s="50">
        <f t="shared" ref="E260:AB260" si="151">+E200</f>
        <v>3.3281514565353124E-2</v>
      </c>
      <c r="F260" s="50">
        <f t="shared" si="151"/>
        <v>3.1140043873712407E-2</v>
      </c>
      <c r="G260" s="50">
        <f t="shared" si="151"/>
        <v>2.984335106750436E-2</v>
      </c>
      <c r="H260" s="50">
        <f t="shared" si="151"/>
        <v>2.9286927979133532E-2</v>
      </c>
      <c r="I260" s="50">
        <f t="shared" si="151"/>
        <v>2.9138028999542646E-2</v>
      </c>
      <c r="J260" s="50">
        <f t="shared" si="151"/>
        <v>3.0942883559119717E-2</v>
      </c>
      <c r="K260" s="50">
        <f t="shared" si="151"/>
        <v>3.4432484834348992E-2</v>
      </c>
      <c r="L260" s="50">
        <f t="shared" si="151"/>
        <v>3.8305304424032266E-2</v>
      </c>
      <c r="M260" s="50">
        <f t="shared" si="151"/>
        <v>4.1103790742913066E-2</v>
      </c>
      <c r="N260" s="50">
        <f t="shared" si="151"/>
        <v>4.2608444243851212E-2</v>
      </c>
      <c r="O260" s="50">
        <f t="shared" si="151"/>
        <v>4.3914681848814308E-2</v>
      </c>
      <c r="P260" s="50">
        <f t="shared" si="151"/>
        <v>4.5729867165388009E-2</v>
      </c>
      <c r="Q260" s="50">
        <f t="shared" si="151"/>
        <v>4.5741487779353565E-2</v>
      </c>
      <c r="R260" s="50">
        <f t="shared" si="151"/>
        <v>4.4277060725657284E-2</v>
      </c>
      <c r="S260" s="50">
        <f t="shared" si="151"/>
        <v>4.3144199391556254E-2</v>
      </c>
      <c r="T260" s="50">
        <f t="shared" si="151"/>
        <v>4.3279567369281124E-2</v>
      </c>
      <c r="U260" s="50">
        <f t="shared" si="151"/>
        <v>4.4109954506885138E-2</v>
      </c>
      <c r="V260" s="50">
        <f t="shared" si="151"/>
        <v>4.6298728840315946E-2</v>
      </c>
      <c r="W260" s="50">
        <f t="shared" si="151"/>
        <v>5.6176649878816001E-2</v>
      </c>
      <c r="X260" s="50">
        <f t="shared" si="151"/>
        <v>6.2194705000087863E-2</v>
      </c>
      <c r="Y260" s="50">
        <f t="shared" si="151"/>
        <v>5.7928891294023718E-2</v>
      </c>
      <c r="Z260" s="50">
        <f t="shared" si="151"/>
        <v>5.019499221712586E-2</v>
      </c>
      <c r="AA260" s="50">
        <f t="shared" si="151"/>
        <v>4.1853093029906328E-2</v>
      </c>
      <c r="AB260" s="50">
        <f t="shared" si="151"/>
        <v>3.507334666327714E-2</v>
      </c>
      <c r="AC260" s="8">
        <f t="shared" si="105"/>
        <v>3.9999999999999991</v>
      </c>
    </row>
    <row r="261" spans="2:29" outlineLevel="1">
      <c r="B261" s="16"/>
      <c r="C261" s="8" t="s">
        <v>48</v>
      </c>
      <c r="D261" s="8">
        <v>0</v>
      </c>
      <c r="E261" s="50">
        <f t="shared" ref="E261:AB261" si="152">+E201</f>
        <v>3.367503361886829E-2</v>
      </c>
      <c r="F261" s="50">
        <f t="shared" si="152"/>
        <v>3.1245692535415936E-2</v>
      </c>
      <c r="G261" s="50">
        <f t="shared" si="152"/>
        <v>2.9861746203171599E-2</v>
      </c>
      <c r="H261" s="50">
        <f t="shared" si="152"/>
        <v>2.9235019370742008E-2</v>
      </c>
      <c r="I261" s="50">
        <f t="shared" si="152"/>
        <v>3.0186379118294998E-2</v>
      </c>
      <c r="J261" s="50">
        <f t="shared" si="152"/>
        <v>3.3123682717801174E-2</v>
      </c>
      <c r="K261" s="50">
        <f t="shared" si="152"/>
        <v>3.5563630818173868E-2</v>
      </c>
      <c r="L261" s="50">
        <f t="shared" si="152"/>
        <v>3.7375437025807548E-2</v>
      </c>
      <c r="M261" s="50">
        <f t="shared" si="152"/>
        <v>3.9557895894381336E-2</v>
      </c>
      <c r="N261" s="50">
        <f t="shared" si="152"/>
        <v>4.1330002492198488E-2</v>
      </c>
      <c r="O261" s="50">
        <f t="shared" si="152"/>
        <v>4.3273465010057272E-2</v>
      </c>
      <c r="P261" s="50">
        <f t="shared" si="152"/>
        <v>4.5278417057592932E-2</v>
      </c>
      <c r="Q261" s="50">
        <f t="shared" si="152"/>
        <v>4.5765189585786785E-2</v>
      </c>
      <c r="R261" s="50">
        <f t="shared" si="152"/>
        <v>4.421428774797561E-2</v>
      </c>
      <c r="S261" s="50">
        <f t="shared" si="152"/>
        <v>4.3245429527174986E-2</v>
      </c>
      <c r="T261" s="50">
        <f t="shared" si="152"/>
        <v>4.3554999005074702E-2</v>
      </c>
      <c r="U261" s="50">
        <f t="shared" si="152"/>
        <v>4.4435510161992771E-2</v>
      </c>
      <c r="V261" s="50">
        <f t="shared" si="152"/>
        <v>4.717219114348542E-2</v>
      </c>
      <c r="W261" s="50">
        <f t="shared" si="152"/>
        <v>5.6899741232983039E-2</v>
      </c>
      <c r="X261" s="50">
        <f t="shared" si="152"/>
        <v>6.1986738769463187E-2</v>
      </c>
      <c r="Y261" s="50">
        <f t="shared" si="152"/>
        <v>5.7208700429979269E-2</v>
      </c>
      <c r="Z261" s="50">
        <f t="shared" si="152"/>
        <v>4.9339560702577757E-2</v>
      </c>
      <c r="AA261" s="50">
        <f t="shared" si="152"/>
        <v>4.1368944501432053E-2</v>
      </c>
      <c r="AB261" s="50">
        <f t="shared" si="152"/>
        <v>3.5102305329568817E-2</v>
      </c>
      <c r="AC261" s="8">
        <f t="shared" si="105"/>
        <v>0</v>
      </c>
    </row>
    <row r="262" spans="2:29" outlineLevel="1">
      <c r="B262" s="12"/>
      <c r="C262" s="12" t="s">
        <v>15</v>
      </c>
      <c r="D262" s="12">
        <f>+SUM(D258:D261)</f>
        <v>28</v>
      </c>
      <c r="E262" s="19">
        <f>+SUMPRODUCT(E258:E261,$D258:$D261)</f>
        <v>0.84298909357860086</v>
      </c>
      <c r="F262" s="19">
        <f>+SUMPRODUCT(F258:F261,$D258:$D261)</f>
        <v>0.79281438670292037</v>
      </c>
      <c r="G262" s="19">
        <f t="shared" ref="G262:AB262" si="153">+SUMPRODUCT(G258:G261,$D258:$D261)</f>
        <v>0.76581206652408507</v>
      </c>
      <c r="H262" s="19">
        <f t="shared" si="153"/>
        <v>0.76303870785377348</v>
      </c>
      <c r="I262" s="19">
        <f t="shared" si="153"/>
        <v>0.81439777862913776</v>
      </c>
      <c r="J262" s="19">
        <f t="shared" si="153"/>
        <v>0.94354675368965668</v>
      </c>
      <c r="K262" s="19">
        <f t="shared" si="153"/>
        <v>1.0593231616245178</v>
      </c>
      <c r="L262" s="19">
        <f t="shared" si="153"/>
        <v>1.1008449422916837</v>
      </c>
      <c r="M262" s="19">
        <f t="shared" si="153"/>
        <v>1.1497627587655228</v>
      </c>
      <c r="N262" s="19">
        <f t="shared" si="153"/>
        <v>1.1859422448792118</v>
      </c>
      <c r="O262" s="19">
        <f t="shared" si="153"/>
        <v>1.238561000535743</v>
      </c>
      <c r="P262" s="19">
        <f t="shared" si="153"/>
        <v>1.2960478848317458</v>
      </c>
      <c r="Q262" s="19">
        <f t="shared" si="153"/>
        <v>1.2771370024898361</v>
      </c>
      <c r="R262" s="19">
        <f t="shared" si="153"/>
        <v>1.2337094321959929</v>
      </c>
      <c r="S262" s="19">
        <f t="shared" si="153"/>
        <v>1.2309992402939449</v>
      </c>
      <c r="T262" s="19">
        <f t="shared" si="153"/>
        <v>1.2540411662494362</v>
      </c>
      <c r="U262" s="19">
        <f t="shared" si="153"/>
        <v>1.2811946411516368</v>
      </c>
      <c r="V262" s="19">
        <f t="shared" si="153"/>
        <v>1.3378725217772365</v>
      </c>
      <c r="W262" s="19">
        <f t="shared" si="153"/>
        <v>1.5914866517896862</v>
      </c>
      <c r="X262" s="19">
        <f t="shared" si="153"/>
        <v>1.7284002076751892</v>
      </c>
      <c r="Y262" s="19">
        <f t="shared" si="153"/>
        <v>1.6044269638757178</v>
      </c>
      <c r="Z262" s="19">
        <f t="shared" si="153"/>
        <v>1.4029517671001666</v>
      </c>
      <c r="AA262" s="19">
        <f t="shared" si="153"/>
        <v>1.1541136089016288</v>
      </c>
      <c r="AB262" s="19">
        <f t="shared" si="153"/>
        <v>0.95058601659292941</v>
      </c>
      <c r="AC262" s="12">
        <f>+SUM(E262:AB262)</f>
        <v>27.999999999999996</v>
      </c>
    </row>
    <row r="263" spans="2:29" outlineLevel="1">
      <c r="B263" s="15">
        <f>+EDATE(B258,1)</f>
        <v>46447</v>
      </c>
      <c r="C263" s="8" t="s">
        <v>45</v>
      </c>
      <c r="D263" s="8">
        <v>20</v>
      </c>
      <c r="E263" s="50">
        <f t="shared" ref="E263:AB263" si="154">+E203</f>
        <v>2.9361257124838391E-2</v>
      </c>
      <c r="F263" s="50">
        <f t="shared" si="154"/>
        <v>2.7692710332229715E-2</v>
      </c>
      <c r="G263" s="50">
        <f t="shared" si="154"/>
        <v>2.6785161397696527E-2</v>
      </c>
      <c r="H263" s="50">
        <f t="shared" si="154"/>
        <v>2.6786989368939883E-2</v>
      </c>
      <c r="I263" s="50">
        <f t="shared" si="154"/>
        <v>2.9135775177511477E-2</v>
      </c>
      <c r="J263" s="50">
        <f t="shared" si="154"/>
        <v>3.4540443856715661E-2</v>
      </c>
      <c r="K263" s="50">
        <f t="shared" si="154"/>
        <v>3.8789035252325646E-2</v>
      </c>
      <c r="L263" s="50">
        <f t="shared" si="154"/>
        <v>3.957865839345593E-2</v>
      </c>
      <c r="M263" s="50">
        <f t="shared" si="154"/>
        <v>4.0957538271781398E-2</v>
      </c>
      <c r="N263" s="50">
        <f t="shared" si="154"/>
        <v>4.2166920044863825E-2</v>
      </c>
      <c r="O263" s="50">
        <f t="shared" si="154"/>
        <v>4.4150374939633218E-2</v>
      </c>
      <c r="P263" s="50">
        <f t="shared" si="154"/>
        <v>4.6294816466469102E-2</v>
      </c>
      <c r="Q263" s="50">
        <f t="shared" si="154"/>
        <v>4.5431875959152102E-2</v>
      </c>
      <c r="R263" s="50">
        <f t="shared" si="154"/>
        <v>4.3879728503346101E-2</v>
      </c>
      <c r="S263" s="50">
        <f t="shared" si="154"/>
        <v>4.4118506624640258E-2</v>
      </c>
      <c r="T263" s="50">
        <f t="shared" si="154"/>
        <v>4.5188432655351718E-2</v>
      </c>
      <c r="U263" s="50">
        <f t="shared" si="154"/>
        <v>4.624302558461979E-2</v>
      </c>
      <c r="V263" s="50">
        <f t="shared" si="154"/>
        <v>4.8247238962955179E-2</v>
      </c>
      <c r="W263" s="50">
        <f t="shared" si="154"/>
        <v>5.7096885328092907E-2</v>
      </c>
      <c r="X263" s="50">
        <f t="shared" si="154"/>
        <v>6.1739938045350239E-2</v>
      </c>
      <c r="Y263" s="50">
        <f t="shared" si="154"/>
        <v>5.7231881517227232E-2</v>
      </c>
      <c r="Z263" s="50">
        <f t="shared" si="154"/>
        <v>5.0129255438435008E-2</v>
      </c>
      <c r="AA263" s="50">
        <f t="shared" si="154"/>
        <v>4.1010488221716553E-2</v>
      </c>
      <c r="AB263" s="50">
        <f t="shared" si="154"/>
        <v>3.34430625326523E-2</v>
      </c>
      <c r="AC263" s="8">
        <f>+SUM(E263:AB263)*D263</f>
        <v>20.000000000000004</v>
      </c>
    </row>
    <row r="264" spans="2:29" outlineLevel="1">
      <c r="B264" s="16"/>
      <c r="C264" s="8" t="s">
        <v>46</v>
      </c>
      <c r="D264" s="8">
        <v>4</v>
      </c>
      <c r="E264" s="50">
        <f t="shared" ref="E264:AB264" si="155">+E204</f>
        <v>3.0659473205105158E-2</v>
      </c>
      <c r="F264" s="50">
        <f t="shared" si="155"/>
        <v>2.8600001140869122E-2</v>
      </c>
      <c r="G264" s="50">
        <f t="shared" si="155"/>
        <v>2.7683858575034276E-2</v>
      </c>
      <c r="H264" s="50">
        <f t="shared" si="155"/>
        <v>2.7537802139610414E-2</v>
      </c>
      <c r="I264" s="50">
        <f t="shared" si="155"/>
        <v>2.8782539770184416E-2</v>
      </c>
      <c r="J264" s="50">
        <f t="shared" si="155"/>
        <v>3.2241585579716119E-2</v>
      </c>
      <c r="K264" s="50">
        <f t="shared" si="155"/>
        <v>3.645312931015221E-2</v>
      </c>
      <c r="L264" s="50">
        <f t="shared" si="155"/>
        <v>3.9012639181609042E-2</v>
      </c>
      <c r="M264" s="50">
        <f t="shared" si="155"/>
        <v>4.1549207589560662E-2</v>
      </c>
      <c r="N264" s="50">
        <f t="shared" si="155"/>
        <v>4.3042516751632572E-2</v>
      </c>
      <c r="O264" s="50">
        <f t="shared" si="155"/>
        <v>4.4973693586955334E-2</v>
      </c>
      <c r="P264" s="50">
        <f t="shared" si="155"/>
        <v>4.6808021710202923E-2</v>
      </c>
      <c r="Q264" s="50">
        <f t="shared" si="155"/>
        <v>4.6383383047344962E-2</v>
      </c>
      <c r="R264" s="50">
        <f t="shared" si="155"/>
        <v>4.4751654806610461E-2</v>
      </c>
      <c r="S264" s="50">
        <f t="shared" si="155"/>
        <v>4.4013077558728637E-2</v>
      </c>
      <c r="T264" s="50">
        <f t="shared" si="155"/>
        <v>4.428856091631931E-2</v>
      </c>
      <c r="U264" s="50">
        <f t="shared" si="155"/>
        <v>4.49735778579251E-2</v>
      </c>
      <c r="V264" s="50">
        <f t="shared" si="155"/>
        <v>4.6933206789217301E-2</v>
      </c>
      <c r="W264" s="50">
        <f t="shared" si="155"/>
        <v>5.6210586428141023E-2</v>
      </c>
      <c r="X264" s="50">
        <f t="shared" si="155"/>
        <v>6.1205656691958259E-2</v>
      </c>
      <c r="Y264" s="50">
        <f t="shared" si="155"/>
        <v>5.7018442088769522E-2</v>
      </c>
      <c r="Z264" s="50">
        <f t="shared" si="155"/>
        <v>4.9896672365740725E-2</v>
      </c>
      <c r="AA264" s="50">
        <f t="shared" si="155"/>
        <v>4.1622868086918119E-2</v>
      </c>
      <c r="AB264" s="50">
        <f t="shared" si="155"/>
        <v>3.5357844821693719E-2</v>
      </c>
      <c r="AC264" s="8">
        <f t="shared" si="105"/>
        <v>3.9999999999999969</v>
      </c>
    </row>
    <row r="265" spans="2:29" outlineLevel="1">
      <c r="B265" s="16"/>
      <c r="C265" s="8" t="s">
        <v>47</v>
      </c>
      <c r="D265" s="8">
        <v>4</v>
      </c>
      <c r="E265" s="50">
        <f t="shared" ref="E265:AB265" si="156">+E205</f>
        <v>3.3281514565353124E-2</v>
      </c>
      <c r="F265" s="50">
        <f t="shared" si="156"/>
        <v>3.1140043873712407E-2</v>
      </c>
      <c r="G265" s="50">
        <f t="shared" si="156"/>
        <v>2.984335106750436E-2</v>
      </c>
      <c r="H265" s="50">
        <f t="shared" si="156"/>
        <v>2.9286927979133532E-2</v>
      </c>
      <c r="I265" s="50">
        <f t="shared" si="156"/>
        <v>2.9138028999542646E-2</v>
      </c>
      <c r="J265" s="50">
        <f t="shared" si="156"/>
        <v>3.0942883559119717E-2</v>
      </c>
      <c r="K265" s="50">
        <f t="shared" si="156"/>
        <v>3.4432484834348992E-2</v>
      </c>
      <c r="L265" s="50">
        <f t="shared" si="156"/>
        <v>3.8305304424032266E-2</v>
      </c>
      <c r="M265" s="50">
        <f t="shared" si="156"/>
        <v>4.1103790742913066E-2</v>
      </c>
      <c r="N265" s="50">
        <f t="shared" si="156"/>
        <v>4.2608444243851212E-2</v>
      </c>
      <c r="O265" s="50">
        <f t="shared" si="156"/>
        <v>4.3914681848814308E-2</v>
      </c>
      <c r="P265" s="50">
        <f t="shared" si="156"/>
        <v>4.5729867165388009E-2</v>
      </c>
      <c r="Q265" s="50">
        <f t="shared" si="156"/>
        <v>4.5741487779353565E-2</v>
      </c>
      <c r="R265" s="50">
        <f t="shared" si="156"/>
        <v>4.4277060725657284E-2</v>
      </c>
      <c r="S265" s="50">
        <f t="shared" si="156"/>
        <v>4.3144199391556254E-2</v>
      </c>
      <c r="T265" s="50">
        <f t="shared" si="156"/>
        <v>4.3279567369281124E-2</v>
      </c>
      <c r="U265" s="50">
        <f t="shared" si="156"/>
        <v>4.4109954506885138E-2</v>
      </c>
      <c r="V265" s="50">
        <f t="shared" si="156"/>
        <v>4.6298728840315946E-2</v>
      </c>
      <c r="W265" s="50">
        <f t="shared" si="156"/>
        <v>5.6176649878816001E-2</v>
      </c>
      <c r="X265" s="50">
        <f t="shared" si="156"/>
        <v>6.2194705000087863E-2</v>
      </c>
      <c r="Y265" s="50">
        <f t="shared" si="156"/>
        <v>5.7928891294023718E-2</v>
      </c>
      <c r="Z265" s="50">
        <f t="shared" si="156"/>
        <v>5.019499221712586E-2</v>
      </c>
      <c r="AA265" s="50">
        <f t="shared" si="156"/>
        <v>4.1853093029906328E-2</v>
      </c>
      <c r="AB265" s="50">
        <f t="shared" si="156"/>
        <v>3.507334666327714E-2</v>
      </c>
      <c r="AC265" s="8">
        <f t="shared" si="105"/>
        <v>3.9999999999999991</v>
      </c>
    </row>
    <row r="266" spans="2:29" outlineLevel="1">
      <c r="B266" s="16"/>
      <c r="C266" s="8" t="s">
        <v>48</v>
      </c>
      <c r="D266" s="8">
        <v>3</v>
      </c>
      <c r="E266" s="50">
        <f t="shared" ref="E266:AB266" si="157">+E206</f>
        <v>3.367503361886829E-2</v>
      </c>
      <c r="F266" s="50">
        <f t="shared" si="157"/>
        <v>3.1245692535415936E-2</v>
      </c>
      <c r="G266" s="50">
        <f t="shared" si="157"/>
        <v>2.9861746203171599E-2</v>
      </c>
      <c r="H266" s="50">
        <f t="shared" si="157"/>
        <v>2.9235019370742008E-2</v>
      </c>
      <c r="I266" s="50">
        <f t="shared" si="157"/>
        <v>3.0186379118294998E-2</v>
      </c>
      <c r="J266" s="50">
        <f t="shared" si="157"/>
        <v>3.3123682717801174E-2</v>
      </c>
      <c r="K266" s="50">
        <f t="shared" si="157"/>
        <v>3.5563630818173868E-2</v>
      </c>
      <c r="L266" s="50">
        <f t="shared" si="157"/>
        <v>3.7375437025807548E-2</v>
      </c>
      <c r="M266" s="50">
        <f t="shared" si="157"/>
        <v>3.9557895894381336E-2</v>
      </c>
      <c r="N266" s="50">
        <f t="shared" si="157"/>
        <v>4.1330002492198488E-2</v>
      </c>
      <c r="O266" s="50">
        <f t="shared" si="157"/>
        <v>4.3273465010057272E-2</v>
      </c>
      <c r="P266" s="50">
        <f t="shared" si="157"/>
        <v>4.5278417057592932E-2</v>
      </c>
      <c r="Q266" s="50">
        <f t="shared" si="157"/>
        <v>4.5765189585786785E-2</v>
      </c>
      <c r="R266" s="50">
        <f t="shared" si="157"/>
        <v>4.421428774797561E-2</v>
      </c>
      <c r="S266" s="50">
        <f t="shared" si="157"/>
        <v>4.3245429527174986E-2</v>
      </c>
      <c r="T266" s="50">
        <f t="shared" si="157"/>
        <v>4.3554999005074702E-2</v>
      </c>
      <c r="U266" s="50">
        <f t="shared" si="157"/>
        <v>4.4435510161992771E-2</v>
      </c>
      <c r="V266" s="50">
        <f t="shared" si="157"/>
        <v>4.717219114348542E-2</v>
      </c>
      <c r="W266" s="50">
        <f t="shared" si="157"/>
        <v>5.6899741232983039E-2</v>
      </c>
      <c r="X266" s="50">
        <f t="shared" si="157"/>
        <v>6.1986738769463187E-2</v>
      </c>
      <c r="Y266" s="50">
        <f t="shared" si="157"/>
        <v>5.7208700429979269E-2</v>
      </c>
      <c r="Z266" s="50">
        <f t="shared" si="157"/>
        <v>4.9339560702577757E-2</v>
      </c>
      <c r="AA266" s="50">
        <f t="shared" si="157"/>
        <v>4.1368944501432053E-2</v>
      </c>
      <c r="AB266" s="50">
        <f t="shared" si="157"/>
        <v>3.5102305329568817E-2</v>
      </c>
      <c r="AC266" s="8">
        <f t="shared" si="105"/>
        <v>2.9999999999999991</v>
      </c>
    </row>
    <row r="267" spans="2:29" outlineLevel="1">
      <c r="B267" s="12"/>
      <c r="C267" s="12" t="s">
        <v>15</v>
      </c>
      <c r="D267" s="12">
        <f>+SUM(D263:D266)</f>
        <v>31</v>
      </c>
      <c r="E267" s="19">
        <f>+SUMPRODUCT(E263:E266,$D263:$D266)</f>
        <v>0.94401419443520573</v>
      </c>
      <c r="F267" s="19">
        <f>+SUMPRODUCT(F263:F266,$D263:$D266)</f>
        <v>0.8865514643091682</v>
      </c>
      <c r="G267" s="19">
        <f t="shared" ref="G267:AB267" si="158">+SUMPRODUCT(G263:G266,$D263:$D266)</f>
        <v>0.85539730513359991</v>
      </c>
      <c r="H267" s="19">
        <f t="shared" si="158"/>
        <v>0.85074376596599954</v>
      </c>
      <c r="I267" s="19">
        <f t="shared" si="158"/>
        <v>0.90495691598402273</v>
      </c>
      <c r="J267" s="19">
        <f t="shared" si="158"/>
        <v>1.0429178018430603</v>
      </c>
      <c r="K267" s="19">
        <f t="shared" si="158"/>
        <v>1.1660140540790394</v>
      </c>
      <c r="L267" s="19">
        <f t="shared" si="158"/>
        <v>1.2129712533691064</v>
      </c>
      <c r="M267" s="19">
        <f t="shared" si="158"/>
        <v>1.2684364464486668</v>
      </c>
      <c r="N267" s="19">
        <f t="shared" si="158"/>
        <v>1.3099322523558072</v>
      </c>
      <c r="O267" s="19">
        <f t="shared" si="158"/>
        <v>1.3683813955659148</v>
      </c>
      <c r="P267" s="19">
        <f t="shared" si="158"/>
        <v>1.4318831360045245</v>
      </c>
      <c r="Q267" s="19">
        <f t="shared" si="158"/>
        <v>1.4144325712471963</v>
      </c>
      <c r="R267" s="19">
        <f t="shared" si="158"/>
        <v>1.3663522954399197</v>
      </c>
      <c r="S267" s="19">
        <f t="shared" si="158"/>
        <v>1.3607355288754699</v>
      </c>
      <c r="T267" s="19">
        <f t="shared" si="158"/>
        <v>1.3847061632646602</v>
      </c>
      <c r="U267" s="19">
        <f t="shared" si="158"/>
        <v>1.4145011716376152</v>
      </c>
      <c r="V267" s="19">
        <f t="shared" si="158"/>
        <v>1.4793890952076927</v>
      </c>
      <c r="W267" s="19">
        <f t="shared" si="158"/>
        <v>1.7621858754886353</v>
      </c>
      <c r="X267" s="19">
        <f t="shared" si="158"/>
        <v>1.9143604239835788</v>
      </c>
      <c r="Y267" s="19">
        <f t="shared" si="158"/>
        <v>1.7760530651656556</v>
      </c>
      <c r="Z267" s="19">
        <f t="shared" si="158"/>
        <v>1.5509704492078997</v>
      </c>
      <c r="AA267" s="19">
        <f t="shared" si="158"/>
        <v>1.2782204424059249</v>
      </c>
      <c r="AB267" s="19">
        <f t="shared" si="158"/>
        <v>1.055892932581636</v>
      </c>
      <c r="AC267" s="12">
        <f>+SUM(E267:AB267)</f>
        <v>30.999999999999996</v>
      </c>
    </row>
    <row r="268" spans="2:29" outlineLevel="1">
      <c r="B268" s="15">
        <f>+EDATE(B263,1)</f>
        <v>46478</v>
      </c>
      <c r="C268" s="8" t="s">
        <v>45</v>
      </c>
      <c r="D268" s="8">
        <v>22</v>
      </c>
      <c r="E268" s="50">
        <f t="shared" ref="E268:AB268" si="159">+E208</f>
        <v>2.9361257124838391E-2</v>
      </c>
      <c r="F268" s="50">
        <f t="shared" si="159"/>
        <v>2.7692710332229715E-2</v>
      </c>
      <c r="G268" s="50">
        <f t="shared" si="159"/>
        <v>2.6785161397696527E-2</v>
      </c>
      <c r="H268" s="50">
        <f t="shared" si="159"/>
        <v>2.6786989368939883E-2</v>
      </c>
      <c r="I268" s="50">
        <f t="shared" si="159"/>
        <v>2.9135775177511477E-2</v>
      </c>
      <c r="J268" s="50">
        <f t="shared" si="159"/>
        <v>3.4540443856715661E-2</v>
      </c>
      <c r="K268" s="50">
        <f t="shared" si="159"/>
        <v>3.8789035252325646E-2</v>
      </c>
      <c r="L268" s="50">
        <f t="shared" si="159"/>
        <v>3.957865839345593E-2</v>
      </c>
      <c r="M268" s="50">
        <f t="shared" si="159"/>
        <v>4.0957538271781398E-2</v>
      </c>
      <c r="N268" s="50">
        <f t="shared" si="159"/>
        <v>4.2166920044863825E-2</v>
      </c>
      <c r="O268" s="50">
        <f t="shared" si="159"/>
        <v>4.4150374939633218E-2</v>
      </c>
      <c r="P268" s="50">
        <f t="shared" si="159"/>
        <v>4.6294816466469102E-2</v>
      </c>
      <c r="Q268" s="50">
        <f t="shared" si="159"/>
        <v>4.5431875959152102E-2</v>
      </c>
      <c r="R268" s="50">
        <f t="shared" si="159"/>
        <v>4.3879728503346101E-2</v>
      </c>
      <c r="S268" s="50">
        <f t="shared" si="159"/>
        <v>4.4118506624640258E-2</v>
      </c>
      <c r="T268" s="50">
        <f t="shared" si="159"/>
        <v>4.5188432655351718E-2</v>
      </c>
      <c r="U268" s="50">
        <f t="shared" si="159"/>
        <v>4.624302558461979E-2</v>
      </c>
      <c r="V268" s="50">
        <f t="shared" si="159"/>
        <v>4.8247238962955179E-2</v>
      </c>
      <c r="W268" s="50">
        <f t="shared" si="159"/>
        <v>5.7096885328092907E-2</v>
      </c>
      <c r="X268" s="50">
        <f t="shared" si="159"/>
        <v>6.1739938045350239E-2</v>
      </c>
      <c r="Y268" s="50">
        <f t="shared" si="159"/>
        <v>5.7231881517227232E-2</v>
      </c>
      <c r="Z268" s="50">
        <f t="shared" si="159"/>
        <v>5.0129255438435008E-2</v>
      </c>
      <c r="AA268" s="50">
        <f t="shared" si="159"/>
        <v>4.1010488221716553E-2</v>
      </c>
      <c r="AB268" s="50">
        <f t="shared" si="159"/>
        <v>3.34430625326523E-2</v>
      </c>
      <c r="AC268" s="8">
        <f>+SUM(E268:AB268)*D268</f>
        <v>22.000000000000004</v>
      </c>
    </row>
    <row r="269" spans="2:29" outlineLevel="1">
      <c r="B269" s="16"/>
      <c r="C269" s="8" t="s">
        <v>46</v>
      </c>
      <c r="D269" s="8">
        <v>4</v>
      </c>
      <c r="E269" s="50">
        <f t="shared" ref="E269:AB269" si="160">+E209</f>
        <v>3.0659473205105158E-2</v>
      </c>
      <c r="F269" s="50">
        <f t="shared" si="160"/>
        <v>2.8600001140869122E-2</v>
      </c>
      <c r="G269" s="50">
        <f t="shared" si="160"/>
        <v>2.7683858575034276E-2</v>
      </c>
      <c r="H269" s="50">
        <f t="shared" si="160"/>
        <v>2.7537802139610414E-2</v>
      </c>
      <c r="I269" s="50">
        <f t="shared" si="160"/>
        <v>2.8782539770184416E-2</v>
      </c>
      <c r="J269" s="50">
        <f t="shared" si="160"/>
        <v>3.2241585579716119E-2</v>
      </c>
      <c r="K269" s="50">
        <f t="shared" si="160"/>
        <v>3.645312931015221E-2</v>
      </c>
      <c r="L269" s="50">
        <f t="shared" si="160"/>
        <v>3.9012639181609042E-2</v>
      </c>
      <c r="M269" s="50">
        <f t="shared" si="160"/>
        <v>4.1549207589560662E-2</v>
      </c>
      <c r="N269" s="50">
        <f t="shared" si="160"/>
        <v>4.3042516751632572E-2</v>
      </c>
      <c r="O269" s="50">
        <f t="shared" si="160"/>
        <v>4.4973693586955334E-2</v>
      </c>
      <c r="P269" s="50">
        <f t="shared" si="160"/>
        <v>4.6808021710202923E-2</v>
      </c>
      <c r="Q269" s="50">
        <f t="shared" si="160"/>
        <v>4.6383383047344962E-2</v>
      </c>
      <c r="R269" s="50">
        <f t="shared" si="160"/>
        <v>4.4751654806610461E-2</v>
      </c>
      <c r="S269" s="50">
        <f t="shared" si="160"/>
        <v>4.4013077558728637E-2</v>
      </c>
      <c r="T269" s="50">
        <f t="shared" si="160"/>
        <v>4.428856091631931E-2</v>
      </c>
      <c r="U269" s="50">
        <f t="shared" si="160"/>
        <v>4.49735778579251E-2</v>
      </c>
      <c r="V269" s="50">
        <f t="shared" si="160"/>
        <v>4.6933206789217301E-2</v>
      </c>
      <c r="W269" s="50">
        <f t="shared" si="160"/>
        <v>5.6210586428141023E-2</v>
      </c>
      <c r="X269" s="50">
        <f t="shared" si="160"/>
        <v>6.1205656691958259E-2</v>
      </c>
      <c r="Y269" s="50">
        <f t="shared" si="160"/>
        <v>5.7018442088769522E-2</v>
      </c>
      <c r="Z269" s="50">
        <f t="shared" si="160"/>
        <v>4.9896672365740725E-2</v>
      </c>
      <c r="AA269" s="50">
        <f t="shared" si="160"/>
        <v>4.1622868086918119E-2</v>
      </c>
      <c r="AB269" s="50">
        <f t="shared" si="160"/>
        <v>3.5357844821693719E-2</v>
      </c>
      <c r="AC269" s="8">
        <f t="shared" si="105"/>
        <v>3.9999999999999969</v>
      </c>
    </row>
    <row r="270" spans="2:29" outlineLevel="1">
      <c r="B270" s="16"/>
      <c r="C270" s="8" t="s">
        <v>47</v>
      </c>
      <c r="D270" s="8">
        <v>4</v>
      </c>
      <c r="E270" s="50">
        <f t="shared" ref="E270:AB270" si="161">+E210</f>
        <v>3.3281514565353124E-2</v>
      </c>
      <c r="F270" s="50">
        <f t="shared" si="161"/>
        <v>3.1140043873712407E-2</v>
      </c>
      <c r="G270" s="50">
        <f t="shared" si="161"/>
        <v>2.984335106750436E-2</v>
      </c>
      <c r="H270" s="50">
        <f t="shared" si="161"/>
        <v>2.9286927979133532E-2</v>
      </c>
      <c r="I270" s="50">
        <f t="shared" si="161"/>
        <v>2.9138028999542646E-2</v>
      </c>
      <c r="J270" s="50">
        <f t="shared" si="161"/>
        <v>3.0942883559119717E-2</v>
      </c>
      <c r="K270" s="50">
        <f t="shared" si="161"/>
        <v>3.4432484834348992E-2</v>
      </c>
      <c r="L270" s="50">
        <f t="shared" si="161"/>
        <v>3.8305304424032266E-2</v>
      </c>
      <c r="M270" s="50">
        <f t="shared" si="161"/>
        <v>4.1103790742913066E-2</v>
      </c>
      <c r="N270" s="50">
        <f t="shared" si="161"/>
        <v>4.2608444243851212E-2</v>
      </c>
      <c r="O270" s="50">
        <f t="shared" si="161"/>
        <v>4.3914681848814308E-2</v>
      </c>
      <c r="P270" s="50">
        <f t="shared" si="161"/>
        <v>4.5729867165388009E-2</v>
      </c>
      <c r="Q270" s="50">
        <f t="shared" si="161"/>
        <v>4.5741487779353565E-2</v>
      </c>
      <c r="R270" s="50">
        <f t="shared" si="161"/>
        <v>4.4277060725657284E-2</v>
      </c>
      <c r="S270" s="50">
        <f t="shared" si="161"/>
        <v>4.3144199391556254E-2</v>
      </c>
      <c r="T270" s="50">
        <f t="shared" si="161"/>
        <v>4.3279567369281124E-2</v>
      </c>
      <c r="U270" s="50">
        <f t="shared" si="161"/>
        <v>4.4109954506885138E-2</v>
      </c>
      <c r="V270" s="50">
        <f t="shared" si="161"/>
        <v>4.6298728840315946E-2</v>
      </c>
      <c r="W270" s="50">
        <f t="shared" si="161"/>
        <v>5.6176649878816001E-2</v>
      </c>
      <c r="X270" s="50">
        <f t="shared" si="161"/>
        <v>6.2194705000087863E-2</v>
      </c>
      <c r="Y270" s="50">
        <f t="shared" si="161"/>
        <v>5.7928891294023718E-2</v>
      </c>
      <c r="Z270" s="50">
        <f t="shared" si="161"/>
        <v>5.019499221712586E-2</v>
      </c>
      <c r="AA270" s="50">
        <f t="shared" si="161"/>
        <v>4.1853093029906328E-2</v>
      </c>
      <c r="AB270" s="50">
        <f t="shared" si="161"/>
        <v>3.507334666327714E-2</v>
      </c>
      <c r="AC270" s="8">
        <f t="shared" si="105"/>
        <v>3.9999999999999991</v>
      </c>
    </row>
    <row r="271" spans="2:29" outlineLevel="1">
      <c r="B271" s="16"/>
      <c r="C271" s="8" t="s">
        <v>48</v>
      </c>
      <c r="D271" s="8">
        <v>0</v>
      </c>
      <c r="E271" s="50">
        <f t="shared" ref="E271:AB271" si="162">+E211</f>
        <v>3.367503361886829E-2</v>
      </c>
      <c r="F271" s="50">
        <f t="shared" si="162"/>
        <v>3.1245692535415936E-2</v>
      </c>
      <c r="G271" s="50">
        <f t="shared" si="162"/>
        <v>2.9861746203171599E-2</v>
      </c>
      <c r="H271" s="50">
        <f t="shared" si="162"/>
        <v>2.9235019370742008E-2</v>
      </c>
      <c r="I271" s="50">
        <f t="shared" si="162"/>
        <v>3.0186379118294998E-2</v>
      </c>
      <c r="J271" s="50">
        <f t="shared" si="162"/>
        <v>3.3123682717801174E-2</v>
      </c>
      <c r="K271" s="50">
        <f t="shared" si="162"/>
        <v>3.5563630818173868E-2</v>
      </c>
      <c r="L271" s="50">
        <f t="shared" si="162"/>
        <v>3.7375437025807548E-2</v>
      </c>
      <c r="M271" s="50">
        <f t="shared" si="162"/>
        <v>3.9557895894381336E-2</v>
      </c>
      <c r="N271" s="50">
        <f t="shared" si="162"/>
        <v>4.1330002492198488E-2</v>
      </c>
      <c r="O271" s="50">
        <f t="shared" si="162"/>
        <v>4.3273465010057272E-2</v>
      </c>
      <c r="P271" s="50">
        <f t="shared" si="162"/>
        <v>4.5278417057592932E-2</v>
      </c>
      <c r="Q271" s="50">
        <f t="shared" si="162"/>
        <v>4.5765189585786785E-2</v>
      </c>
      <c r="R271" s="50">
        <f t="shared" si="162"/>
        <v>4.421428774797561E-2</v>
      </c>
      <c r="S271" s="50">
        <f t="shared" si="162"/>
        <v>4.3245429527174986E-2</v>
      </c>
      <c r="T271" s="50">
        <f t="shared" si="162"/>
        <v>4.3554999005074702E-2</v>
      </c>
      <c r="U271" s="50">
        <f t="shared" si="162"/>
        <v>4.4435510161992771E-2</v>
      </c>
      <c r="V271" s="50">
        <f t="shared" si="162"/>
        <v>4.717219114348542E-2</v>
      </c>
      <c r="W271" s="50">
        <f t="shared" si="162"/>
        <v>5.6899741232983039E-2</v>
      </c>
      <c r="X271" s="50">
        <f t="shared" si="162"/>
        <v>6.1986738769463187E-2</v>
      </c>
      <c r="Y271" s="50">
        <f t="shared" si="162"/>
        <v>5.7208700429979269E-2</v>
      </c>
      <c r="Z271" s="50">
        <f t="shared" si="162"/>
        <v>4.9339560702577757E-2</v>
      </c>
      <c r="AA271" s="50">
        <f t="shared" si="162"/>
        <v>4.1368944501432053E-2</v>
      </c>
      <c r="AB271" s="50">
        <f t="shared" si="162"/>
        <v>3.5102305329568817E-2</v>
      </c>
      <c r="AC271" s="8">
        <f t="shared" si="105"/>
        <v>0</v>
      </c>
    </row>
    <row r="272" spans="2:29" outlineLevel="1">
      <c r="B272" s="12"/>
      <c r="C272" s="12" t="s">
        <v>15</v>
      </c>
      <c r="D272" s="12">
        <f>+SUM(D268:D271)</f>
        <v>30</v>
      </c>
      <c r="E272" s="19">
        <f>+SUMPRODUCT(E268:E271,$D268:$D271)</f>
        <v>0.90171160782827764</v>
      </c>
      <c r="F272" s="19">
        <f>+SUMPRODUCT(F268:F271,$D268:$D271)</f>
        <v>0.84819980736737988</v>
      </c>
      <c r="G272" s="19">
        <f t="shared" ref="G272:AB272" si="163">+SUMPRODUCT(G268:G271,$D268:$D271)</f>
        <v>0.81938238931947815</v>
      </c>
      <c r="H272" s="19">
        <f t="shared" si="163"/>
        <v>0.8166126865916532</v>
      </c>
      <c r="I272" s="19">
        <f t="shared" si="163"/>
        <v>0.87266932898416072</v>
      </c>
      <c r="J272" s="19">
        <f t="shared" si="163"/>
        <v>1.0126276414030879</v>
      </c>
      <c r="K272" s="19">
        <f t="shared" si="163"/>
        <v>1.1369012321291692</v>
      </c>
      <c r="L272" s="19">
        <f t="shared" si="163"/>
        <v>1.1800022590785955</v>
      </c>
      <c r="M272" s="19">
        <f t="shared" si="163"/>
        <v>1.2316778353090858</v>
      </c>
      <c r="N272" s="19">
        <f t="shared" si="163"/>
        <v>1.2702760849689394</v>
      </c>
      <c r="O272" s="19">
        <f t="shared" si="163"/>
        <v>1.3268617504150093</v>
      </c>
      <c r="P272" s="19">
        <f t="shared" si="163"/>
        <v>1.3886375177646839</v>
      </c>
      <c r="Q272" s="19">
        <f t="shared" si="163"/>
        <v>1.3680007544081403</v>
      </c>
      <c r="R272" s="19">
        <f t="shared" si="163"/>
        <v>1.3214688892026851</v>
      </c>
      <c r="S272" s="19">
        <f t="shared" si="163"/>
        <v>1.3192362535432252</v>
      </c>
      <c r="T272" s="19">
        <f t="shared" si="163"/>
        <v>1.3444180315601395</v>
      </c>
      <c r="U272" s="19">
        <f t="shared" si="163"/>
        <v>1.3736806923208764</v>
      </c>
      <c r="V272" s="19">
        <f t="shared" si="163"/>
        <v>1.434366999703147</v>
      </c>
      <c r="W272" s="19">
        <f t="shared" si="163"/>
        <v>1.7056804224458719</v>
      </c>
      <c r="X272" s="19">
        <f t="shared" si="163"/>
        <v>1.8518800837658898</v>
      </c>
      <c r="Y272" s="19">
        <f t="shared" si="163"/>
        <v>1.7188907269101723</v>
      </c>
      <c r="Z272" s="19">
        <f t="shared" si="163"/>
        <v>1.5032102779770367</v>
      </c>
      <c r="AA272" s="19">
        <f t="shared" si="163"/>
        <v>1.2361345853450618</v>
      </c>
      <c r="AB272" s="19">
        <f t="shared" si="163"/>
        <v>1.017472141658234</v>
      </c>
      <c r="AC272" s="12">
        <f>+SUM(E272:AB272)</f>
        <v>29.999999999999996</v>
      </c>
    </row>
    <row r="273" spans="2:29" outlineLevel="1">
      <c r="B273" s="15">
        <f>+EDATE(B268,1)</f>
        <v>46508</v>
      </c>
      <c r="C273" s="8" t="s">
        <v>45</v>
      </c>
      <c r="D273" s="8">
        <v>19</v>
      </c>
      <c r="E273" s="50">
        <f t="shared" ref="E273:AB273" si="164">+E213</f>
        <v>2.9361257124838391E-2</v>
      </c>
      <c r="F273" s="50">
        <f t="shared" si="164"/>
        <v>2.7692710332229715E-2</v>
      </c>
      <c r="G273" s="50">
        <f t="shared" si="164"/>
        <v>2.6785161397696527E-2</v>
      </c>
      <c r="H273" s="50">
        <f t="shared" si="164"/>
        <v>2.6786989368939883E-2</v>
      </c>
      <c r="I273" s="50">
        <f t="shared" si="164"/>
        <v>2.9135775177511477E-2</v>
      </c>
      <c r="J273" s="50">
        <f t="shared" si="164"/>
        <v>3.4540443856715661E-2</v>
      </c>
      <c r="K273" s="50">
        <f t="shared" si="164"/>
        <v>3.8789035252325646E-2</v>
      </c>
      <c r="L273" s="50">
        <f t="shared" si="164"/>
        <v>3.957865839345593E-2</v>
      </c>
      <c r="M273" s="50">
        <f t="shared" si="164"/>
        <v>4.0957538271781398E-2</v>
      </c>
      <c r="N273" s="50">
        <f t="shared" si="164"/>
        <v>4.2166920044863825E-2</v>
      </c>
      <c r="O273" s="50">
        <f t="shared" si="164"/>
        <v>4.4150374939633218E-2</v>
      </c>
      <c r="P273" s="50">
        <f t="shared" si="164"/>
        <v>4.6294816466469102E-2</v>
      </c>
      <c r="Q273" s="50">
        <f t="shared" si="164"/>
        <v>4.5431875959152102E-2</v>
      </c>
      <c r="R273" s="50">
        <f t="shared" si="164"/>
        <v>4.3879728503346101E-2</v>
      </c>
      <c r="S273" s="50">
        <f t="shared" si="164"/>
        <v>4.4118506624640258E-2</v>
      </c>
      <c r="T273" s="50">
        <f t="shared" si="164"/>
        <v>4.5188432655351718E-2</v>
      </c>
      <c r="U273" s="50">
        <f t="shared" si="164"/>
        <v>4.624302558461979E-2</v>
      </c>
      <c r="V273" s="50">
        <f t="shared" si="164"/>
        <v>4.8247238962955179E-2</v>
      </c>
      <c r="W273" s="50">
        <f t="shared" si="164"/>
        <v>5.7096885328092907E-2</v>
      </c>
      <c r="X273" s="50">
        <f t="shared" si="164"/>
        <v>6.1739938045350239E-2</v>
      </c>
      <c r="Y273" s="50">
        <f t="shared" si="164"/>
        <v>5.7231881517227232E-2</v>
      </c>
      <c r="Z273" s="50">
        <f t="shared" si="164"/>
        <v>5.0129255438435008E-2</v>
      </c>
      <c r="AA273" s="50">
        <f t="shared" si="164"/>
        <v>4.1010488221716553E-2</v>
      </c>
      <c r="AB273" s="50">
        <f t="shared" si="164"/>
        <v>3.34430625326523E-2</v>
      </c>
      <c r="AC273" s="8">
        <f>+SUM(E273:AB273)*D273</f>
        <v>19.000000000000004</v>
      </c>
    </row>
    <row r="274" spans="2:29" outlineLevel="1">
      <c r="B274" s="16"/>
      <c r="C274" s="8" t="s">
        <v>46</v>
      </c>
      <c r="D274" s="8">
        <v>4</v>
      </c>
      <c r="E274" s="50">
        <f t="shared" ref="E274:AB274" si="165">+E214</f>
        <v>3.0659473205105158E-2</v>
      </c>
      <c r="F274" s="50">
        <f t="shared" si="165"/>
        <v>2.8600001140869122E-2</v>
      </c>
      <c r="G274" s="50">
        <f t="shared" si="165"/>
        <v>2.7683858575034276E-2</v>
      </c>
      <c r="H274" s="50">
        <f t="shared" si="165"/>
        <v>2.7537802139610414E-2</v>
      </c>
      <c r="I274" s="50">
        <f t="shared" si="165"/>
        <v>2.8782539770184416E-2</v>
      </c>
      <c r="J274" s="50">
        <f t="shared" si="165"/>
        <v>3.2241585579716119E-2</v>
      </c>
      <c r="K274" s="50">
        <f t="shared" si="165"/>
        <v>3.645312931015221E-2</v>
      </c>
      <c r="L274" s="50">
        <f t="shared" si="165"/>
        <v>3.9012639181609042E-2</v>
      </c>
      <c r="M274" s="50">
        <f t="shared" si="165"/>
        <v>4.1549207589560662E-2</v>
      </c>
      <c r="N274" s="50">
        <f t="shared" si="165"/>
        <v>4.3042516751632572E-2</v>
      </c>
      <c r="O274" s="50">
        <f t="shared" si="165"/>
        <v>4.4973693586955334E-2</v>
      </c>
      <c r="P274" s="50">
        <f t="shared" si="165"/>
        <v>4.6808021710202923E-2</v>
      </c>
      <c r="Q274" s="50">
        <f t="shared" si="165"/>
        <v>4.6383383047344962E-2</v>
      </c>
      <c r="R274" s="50">
        <f t="shared" si="165"/>
        <v>4.4751654806610461E-2</v>
      </c>
      <c r="S274" s="50">
        <f t="shared" si="165"/>
        <v>4.4013077558728637E-2</v>
      </c>
      <c r="T274" s="50">
        <f t="shared" si="165"/>
        <v>4.428856091631931E-2</v>
      </c>
      <c r="U274" s="50">
        <f t="shared" si="165"/>
        <v>4.49735778579251E-2</v>
      </c>
      <c r="V274" s="50">
        <f t="shared" si="165"/>
        <v>4.6933206789217301E-2</v>
      </c>
      <c r="W274" s="50">
        <f t="shared" si="165"/>
        <v>5.6210586428141023E-2</v>
      </c>
      <c r="X274" s="50">
        <f t="shared" si="165"/>
        <v>6.1205656691958259E-2</v>
      </c>
      <c r="Y274" s="50">
        <f t="shared" si="165"/>
        <v>5.7018442088769522E-2</v>
      </c>
      <c r="Z274" s="50">
        <f t="shared" si="165"/>
        <v>4.9896672365740725E-2</v>
      </c>
      <c r="AA274" s="50">
        <f t="shared" si="165"/>
        <v>4.1622868086918119E-2</v>
      </c>
      <c r="AB274" s="50">
        <f t="shared" si="165"/>
        <v>3.5357844821693719E-2</v>
      </c>
      <c r="AC274" s="8">
        <f t="shared" ref="AC274:AC275" si="166">+SUM(E274:AB274)*D274</f>
        <v>3.9999999999999969</v>
      </c>
    </row>
    <row r="275" spans="2:29" outlineLevel="1">
      <c r="B275" s="16"/>
      <c r="C275" s="8" t="s">
        <v>47</v>
      </c>
      <c r="D275" s="8">
        <v>5</v>
      </c>
      <c r="E275" s="50">
        <f t="shared" ref="E275:AB275" si="167">+E215</f>
        <v>3.3281514565353124E-2</v>
      </c>
      <c r="F275" s="50">
        <f t="shared" si="167"/>
        <v>3.1140043873712407E-2</v>
      </c>
      <c r="G275" s="50">
        <f t="shared" si="167"/>
        <v>2.984335106750436E-2</v>
      </c>
      <c r="H275" s="50">
        <f t="shared" si="167"/>
        <v>2.9286927979133532E-2</v>
      </c>
      <c r="I275" s="50">
        <f t="shared" si="167"/>
        <v>2.9138028999542646E-2</v>
      </c>
      <c r="J275" s="50">
        <f t="shared" si="167"/>
        <v>3.0942883559119717E-2</v>
      </c>
      <c r="K275" s="50">
        <f t="shared" si="167"/>
        <v>3.4432484834348992E-2</v>
      </c>
      <c r="L275" s="50">
        <f t="shared" si="167"/>
        <v>3.8305304424032266E-2</v>
      </c>
      <c r="M275" s="50">
        <f t="shared" si="167"/>
        <v>4.1103790742913066E-2</v>
      </c>
      <c r="N275" s="50">
        <f t="shared" si="167"/>
        <v>4.2608444243851212E-2</v>
      </c>
      <c r="O275" s="50">
        <f t="shared" si="167"/>
        <v>4.3914681848814308E-2</v>
      </c>
      <c r="P275" s="50">
        <f t="shared" si="167"/>
        <v>4.5729867165388009E-2</v>
      </c>
      <c r="Q275" s="50">
        <f t="shared" si="167"/>
        <v>4.5741487779353565E-2</v>
      </c>
      <c r="R275" s="50">
        <f t="shared" si="167"/>
        <v>4.4277060725657284E-2</v>
      </c>
      <c r="S275" s="50">
        <f t="shared" si="167"/>
        <v>4.3144199391556254E-2</v>
      </c>
      <c r="T275" s="50">
        <f t="shared" si="167"/>
        <v>4.3279567369281124E-2</v>
      </c>
      <c r="U275" s="50">
        <f t="shared" si="167"/>
        <v>4.4109954506885138E-2</v>
      </c>
      <c r="V275" s="50">
        <f t="shared" si="167"/>
        <v>4.6298728840315946E-2</v>
      </c>
      <c r="W275" s="50">
        <f t="shared" si="167"/>
        <v>5.6176649878816001E-2</v>
      </c>
      <c r="X275" s="50">
        <f t="shared" si="167"/>
        <v>6.2194705000087863E-2</v>
      </c>
      <c r="Y275" s="50">
        <f t="shared" si="167"/>
        <v>5.7928891294023718E-2</v>
      </c>
      <c r="Z275" s="50">
        <f t="shared" si="167"/>
        <v>5.019499221712586E-2</v>
      </c>
      <c r="AA275" s="50">
        <f t="shared" si="167"/>
        <v>4.1853093029906328E-2</v>
      </c>
      <c r="AB275" s="50">
        <f t="shared" si="167"/>
        <v>3.507334666327714E-2</v>
      </c>
      <c r="AC275" s="8">
        <f t="shared" si="166"/>
        <v>4.9999999999999991</v>
      </c>
    </row>
    <row r="276" spans="2:29" outlineLevel="1">
      <c r="B276" s="16"/>
      <c r="C276" s="8" t="s">
        <v>48</v>
      </c>
      <c r="D276" s="8">
        <v>3</v>
      </c>
      <c r="E276" s="50">
        <f t="shared" ref="E276:AB276" si="168">+E216</f>
        <v>3.367503361886829E-2</v>
      </c>
      <c r="F276" s="50">
        <f t="shared" si="168"/>
        <v>3.1245692535415936E-2</v>
      </c>
      <c r="G276" s="50">
        <f t="shared" si="168"/>
        <v>2.9861746203171599E-2</v>
      </c>
      <c r="H276" s="50">
        <f t="shared" si="168"/>
        <v>2.9235019370742008E-2</v>
      </c>
      <c r="I276" s="50">
        <f t="shared" si="168"/>
        <v>3.0186379118294998E-2</v>
      </c>
      <c r="J276" s="50">
        <f t="shared" si="168"/>
        <v>3.3123682717801174E-2</v>
      </c>
      <c r="K276" s="50">
        <f t="shared" si="168"/>
        <v>3.5563630818173868E-2</v>
      </c>
      <c r="L276" s="50">
        <f t="shared" si="168"/>
        <v>3.7375437025807548E-2</v>
      </c>
      <c r="M276" s="50">
        <f t="shared" si="168"/>
        <v>3.9557895894381336E-2</v>
      </c>
      <c r="N276" s="50">
        <f t="shared" si="168"/>
        <v>4.1330002492198488E-2</v>
      </c>
      <c r="O276" s="50">
        <f t="shared" si="168"/>
        <v>4.3273465010057272E-2</v>
      </c>
      <c r="P276" s="50">
        <f t="shared" si="168"/>
        <v>4.5278417057592932E-2</v>
      </c>
      <c r="Q276" s="50">
        <f t="shared" si="168"/>
        <v>4.5765189585786785E-2</v>
      </c>
      <c r="R276" s="50">
        <f t="shared" si="168"/>
        <v>4.421428774797561E-2</v>
      </c>
      <c r="S276" s="50">
        <f t="shared" si="168"/>
        <v>4.3245429527174986E-2</v>
      </c>
      <c r="T276" s="50">
        <f t="shared" si="168"/>
        <v>4.3554999005074702E-2</v>
      </c>
      <c r="U276" s="50">
        <f t="shared" si="168"/>
        <v>4.4435510161992771E-2</v>
      </c>
      <c r="V276" s="50">
        <f t="shared" si="168"/>
        <v>4.717219114348542E-2</v>
      </c>
      <c r="W276" s="50">
        <f t="shared" si="168"/>
        <v>5.6899741232983039E-2</v>
      </c>
      <c r="X276" s="50">
        <f t="shared" si="168"/>
        <v>6.1986738769463187E-2</v>
      </c>
      <c r="Y276" s="50">
        <f t="shared" si="168"/>
        <v>5.7208700429979269E-2</v>
      </c>
      <c r="Z276" s="50">
        <f t="shared" si="168"/>
        <v>4.9339560702577757E-2</v>
      </c>
      <c r="AA276" s="50">
        <f t="shared" si="168"/>
        <v>4.1368944501432053E-2</v>
      </c>
      <c r="AB276" s="50">
        <f t="shared" si="168"/>
        <v>3.5102305329568817E-2</v>
      </c>
      <c r="AC276" s="8">
        <f>+SUM(E276:AB276)*D276</f>
        <v>2.9999999999999991</v>
      </c>
    </row>
    <row r="277" spans="2:29" outlineLevel="1">
      <c r="B277" s="12"/>
      <c r="C277" s="12" t="s">
        <v>15</v>
      </c>
      <c r="D277" s="12">
        <f>+SUM(D273:D276)</f>
        <v>31</v>
      </c>
      <c r="E277" s="19">
        <f>+SUMPRODUCT(E273:E276,$D273:$D276)</f>
        <v>0.94793445187572056</v>
      </c>
      <c r="F277" s="19">
        <f>+SUMPRODUCT(F273:F276,$D273:$D276)</f>
        <v>0.88999879785065084</v>
      </c>
      <c r="G277" s="19">
        <f t="shared" ref="G277:AB277" si="169">+SUMPRODUCT(G273:G276,$D273:$D276)</f>
        <v>0.85845549480340777</v>
      </c>
      <c r="H277" s="19">
        <f t="shared" si="169"/>
        <v>0.85324370457619314</v>
      </c>
      <c r="I277" s="19">
        <f t="shared" si="169"/>
        <v>0.90495916980605395</v>
      </c>
      <c r="J277" s="19">
        <f t="shared" si="169"/>
        <v>1.0393202415454641</v>
      </c>
      <c r="K277" s="19">
        <f t="shared" si="169"/>
        <v>1.1616575036610626</v>
      </c>
      <c r="L277" s="19">
        <f t="shared" si="169"/>
        <v>1.211697899399683</v>
      </c>
      <c r="M277" s="19">
        <f t="shared" si="169"/>
        <v>1.2685826989197986</v>
      </c>
      <c r="N277" s="19">
        <f t="shared" si="169"/>
        <v>1.3103737765547943</v>
      </c>
      <c r="O277" s="19">
        <f t="shared" si="169"/>
        <v>1.3681457024750958</v>
      </c>
      <c r="P277" s="19">
        <f t="shared" si="169"/>
        <v>1.4313181867034435</v>
      </c>
      <c r="Q277" s="19">
        <f t="shared" si="169"/>
        <v>1.4147421830673979</v>
      </c>
      <c r="R277" s="19">
        <f t="shared" si="169"/>
        <v>1.3667496276622311</v>
      </c>
      <c r="S277" s="19">
        <f t="shared" si="169"/>
        <v>1.3597612216423858</v>
      </c>
      <c r="T277" s="19">
        <f t="shared" si="169"/>
        <v>1.3827972979785896</v>
      </c>
      <c r="U277" s="19">
        <f t="shared" si="169"/>
        <v>1.4123681005598805</v>
      </c>
      <c r="V277" s="19">
        <f t="shared" si="169"/>
        <v>1.4774405850850536</v>
      </c>
      <c r="W277" s="19">
        <f t="shared" si="169"/>
        <v>1.7612656400393585</v>
      </c>
      <c r="X277" s="19">
        <f t="shared" si="169"/>
        <v>1.9148151909383164</v>
      </c>
      <c r="Y277" s="19">
        <f t="shared" si="169"/>
        <v>1.7767500749424519</v>
      </c>
      <c r="Z277" s="19">
        <f t="shared" si="169"/>
        <v>1.5510361859865909</v>
      </c>
      <c r="AA277" s="19">
        <f t="shared" si="169"/>
        <v>1.2790630472141147</v>
      </c>
      <c r="AB277" s="19">
        <f t="shared" si="169"/>
        <v>1.0575232167122608</v>
      </c>
      <c r="AC277" s="12">
        <f>+SUM(E277:AB277)</f>
        <v>31.000000000000004</v>
      </c>
    </row>
    <row r="278" spans="2:29" outlineLevel="1">
      <c r="B278" s="15">
        <f>+EDATE(B273,1)</f>
        <v>46539</v>
      </c>
      <c r="C278" s="8" t="s">
        <v>45</v>
      </c>
      <c r="D278" s="8">
        <v>21</v>
      </c>
      <c r="E278" s="50">
        <f t="shared" ref="E278:AB278" si="170">+E218</f>
        <v>2.9361257124838391E-2</v>
      </c>
      <c r="F278" s="50">
        <f t="shared" si="170"/>
        <v>2.7692710332229715E-2</v>
      </c>
      <c r="G278" s="50">
        <f t="shared" si="170"/>
        <v>2.6785161397696527E-2</v>
      </c>
      <c r="H278" s="50">
        <f t="shared" si="170"/>
        <v>2.6786989368939883E-2</v>
      </c>
      <c r="I278" s="50">
        <f t="shared" si="170"/>
        <v>2.9135775177511477E-2</v>
      </c>
      <c r="J278" s="50">
        <f t="shared" si="170"/>
        <v>3.4540443856715661E-2</v>
      </c>
      <c r="K278" s="50">
        <f t="shared" si="170"/>
        <v>3.8789035252325646E-2</v>
      </c>
      <c r="L278" s="50">
        <f t="shared" si="170"/>
        <v>3.957865839345593E-2</v>
      </c>
      <c r="M278" s="50">
        <f t="shared" si="170"/>
        <v>4.0957538271781398E-2</v>
      </c>
      <c r="N278" s="50">
        <f t="shared" si="170"/>
        <v>4.2166920044863825E-2</v>
      </c>
      <c r="O278" s="50">
        <f t="shared" si="170"/>
        <v>4.4150374939633218E-2</v>
      </c>
      <c r="P278" s="50">
        <f t="shared" si="170"/>
        <v>4.6294816466469102E-2</v>
      </c>
      <c r="Q278" s="50">
        <f t="shared" si="170"/>
        <v>4.5431875959152102E-2</v>
      </c>
      <c r="R278" s="50">
        <f t="shared" si="170"/>
        <v>4.3879728503346101E-2</v>
      </c>
      <c r="S278" s="50">
        <f t="shared" si="170"/>
        <v>4.4118506624640258E-2</v>
      </c>
      <c r="T278" s="50">
        <f t="shared" si="170"/>
        <v>4.5188432655351718E-2</v>
      </c>
      <c r="U278" s="50">
        <f t="shared" si="170"/>
        <v>4.624302558461979E-2</v>
      </c>
      <c r="V278" s="50">
        <f t="shared" si="170"/>
        <v>4.8247238962955179E-2</v>
      </c>
      <c r="W278" s="50">
        <f t="shared" si="170"/>
        <v>5.7096885328092907E-2</v>
      </c>
      <c r="X278" s="50">
        <f t="shared" si="170"/>
        <v>6.1739938045350239E-2</v>
      </c>
      <c r="Y278" s="50">
        <f t="shared" si="170"/>
        <v>5.7231881517227232E-2</v>
      </c>
      <c r="Z278" s="50">
        <f t="shared" si="170"/>
        <v>5.0129255438435008E-2</v>
      </c>
      <c r="AA278" s="50">
        <f t="shared" si="170"/>
        <v>4.1010488221716553E-2</v>
      </c>
      <c r="AB278" s="50">
        <f t="shared" si="170"/>
        <v>3.34430625326523E-2</v>
      </c>
      <c r="AC278" s="8">
        <f>+SUM(E278:AB278)*D278</f>
        <v>21.000000000000004</v>
      </c>
    </row>
    <row r="279" spans="2:29" outlineLevel="1">
      <c r="B279" s="16"/>
      <c r="C279" s="8" t="s">
        <v>46</v>
      </c>
      <c r="D279" s="8">
        <v>4</v>
      </c>
      <c r="E279" s="50">
        <f t="shared" ref="E279:AB279" si="171">+E219</f>
        <v>3.0659473205105158E-2</v>
      </c>
      <c r="F279" s="50">
        <f t="shared" si="171"/>
        <v>2.8600001140869122E-2</v>
      </c>
      <c r="G279" s="50">
        <f t="shared" si="171"/>
        <v>2.7683858575034276E-2</v>
      </c>
      <c r="H279" s="50">
        <f t="shared" si="171"/>
        <v>2.7537802139610414E-2</v>
      </c>
      <c r="I279" s="50">
        <f t="shared" si="171"/>
        <v>2.8782539770184416E-2</v>
      </c>
      <c r="J279" s="50">
        <f t="shared" si="171"/>
        <v>3.2241585579716119E-2</v>
      </c>
      <c r="K279" s="50">
        <f t="shared" si="171"/>
        <v>3.645312931015221E-2</v>
      </c>
      <c r="L279" s="50">
        <f t="shared" si="171"/>
        <v>3.9012639181609042E-2</v>
      </c>
      <c r="M279" s="50">
        <f t="shared" si="171"/>
        <v>4.1549207589560662E-2</v>
      </c>
      <c r="N279" s="50">
        <f t="shared" si="171"/>
        <v>4.3042516751632572E-2</v>
      </c>
      <c r="O279" s="50">
        <f t="shared" si="171"/>
        <v>4.4973693586955334E-2</v>
      </c>
      <c r="P279" s="50">
        <f t="shared" si="171"/>
        <v>4.6808021710202923E-2</v>
      </c>
      <c r="Q279" s="50">
        <f t="shared" si="171"/>
        <v>4.6383383047344962E-2</v>
      </c>
      <c r="R279" s="50">
        <f t="shared" si="171"/>
        <v>4.4751654806610461E-2</v>
      </c>
      <c r="S279" s="50">
        <f t="shared" si="171"/>
        <v>4.4013077558728637E-2</v>
      </c>
      <c r="T279" s="50">
        <f t="shared" si="171"/>
        <v>4.428856091631931E-2</v>
      </c>
      <c r="U279" s="50">
        <f t="shared" si="171"/>
        <v>4.49735778579251E-2</v>
      </c>
      <c r="V279" s="50">
        <f t="shared" si="171"/>
        <v>4.6933206789217301E-2</v>
      </c>
      <c r="W279" s="50">
        <f t="shared" si="171"/>
        <v>5.6210586428141023E-2</v>
      </c>
      <c r="X279" s="50">
        <f t="shared" si="171"/>
        <v>6.1205656691958259E-2</v>
      </c>
      <c r="Y279" s="50">
        <f t="shared" si="171"/>
        <v>5.7018442088769522E-2</v>
      </c>
      <c r="Z279" s="50">
        <f t="shared" si="171"/>
        <v>4.9896672365740725E-2</v>
      </c>
      <c r="AA279" s="50">
        <f t="shared" si="171"/>
        <v>4.1622868086918119E-2</v>
      </c>
      <c r="AB279" s="50">
        <f t="shared" si="171"/>
        <v>3.5357844821693719E-2</v>
      </c>
      <c r="AC279" s="8">
        <f t="shared" ref="AC279:AC281" si="172">+SUM(E279:AB279)*D279</f>
        <v>3.9999999999999969</v>
      </c>
    </row>
    <row r="280" spans="2:29" outlineLevel="1">
      <c r="B280" s="16"/>
      <c r="C280" s="8" t="s">
        <v>47</v>
      </c>
      <c r="D280" s="8">
        <v>4</v>
      </c>
      <c r="E280" s="50">
        <f t="shared" ref="E280:AB280" si="173">+E220</f>
        <v>3.3281514565353124E-2</v>
      </c>
      <c r="F280" s="50">
        <f t="shared" si="173"/>
        <v>3.1140043873712407E-2</v>
      </c>
      <c r="G280" s="50">
        <f t="shared" si="173"/>
        <v>2.984335106750436E-2</v>
      </c>
      <c r="H280" s="50">
        <f t="shared" si="173"/>
        <v>2.9286927979133532E-2</v>
      </c>
      <c r="I280" s="50">
        <f t="shared" si="173"/>
        <v>2.9138028999542646E-2</v>
      </c>
      <c r="J280" s="50">
        <f t="shared" si="173"/>
        <v>3.0942883559119717E-2</v>
      </c>
      <c r="K280" s="50">
        <f t="shared" si="173"/>
        <v>3.4432484834348992E-2</v>
      </c>
      <c r="L280" s="50">
        <f t="shared" si="173"/>
        <v>3.8305304424032266E-2</v>
      </c>
      <c r="M280" s="50">
        <f t="shared" si="173"/>
        <v>4.1103790742913066E-2</v>
      </c>
      <c r="N280" s="50">
        <f t="shared" si="173"/>
        <v>4.2608444243851212E-2</v>
      </c>
      <c r="O280" s="50">
        <f t="shared" si="173"/>
        <v>4.3914681848814308E-2</v>
      </c>
      <c r="P280" s="50">
        <f t="shared" si="173"/>
        <v>4.5729867165388009E-2</v>
      </c>
      <c r="Q280" s="50">
        <f t="shared" si="173"/>
        <v>4.5741487779353565E-2</v>
      </c>
      <c r="R280" s="50">
        <f t="shared" si="173"/>
        <v>4.4277060725657284E-2</v>
      </c>
      <c r="S280" s="50">
        <f t="shared" si="173"/>
        <v>4.3144199391556254E-2</v>
      </c>
      <c r="T280" s="50">
        <f t="shared" si="173"/>
        <v>4.3279567369281124E-2</v>
      </c>
      <c r="U280" s="50">
        <f t="shared" si="173"/>
        <v>4.4109954506885138E-2</v>
      </c>
      <c r="V280" s="50">
        <f t="shared" si="173"/>
        <v>4.6298728840315946E-2</v>
      </c>
      <c r="W280" s="50">
        <f t="shared" si="173"/>
        <v>5.6176649878816001E-2</v>
      </c>
      <c r="X280" s="50">
        <f t="shared" si="173"/>
        <v>6.2194705000087863E-2</v>
      </c>
      <c r="Y280" s="50">
        <f t="shared" si="173"/>
        <v>5.7928891294023718E-2</v>
      </c>
      <c r="Z280" s="50">
        <f t="shared" si="173"/>
        <v>5.019499221712586E-2</v>
      </c>
      <c r="AA280" s="50">
        <f t="shared" si="173"/>
        <v>4.1853093029906328E-2</v>
      </c>
      <c r="AB280" s="50">
        <f t="shared" si="173"/>
        <v>3.507334666327714E-2</v>
      </c>
      <c r="AC280" s="8">
        <f t="shared" si="172"/>
        <v>3.9999999999999991</v>
      </c>
    </row>
    <row r="281" spans="2:29" outlineLevel="1">
      <c r="B281" s="16"/>
      <c r="C281" s="8" t="s">
        <v>48</v>
      </c>
      <c r="D281" s="8">
        <v>1</v>
      </c>
      <c r="E281" s="50">
        <f t="shared" ref="E281:AB281" si="174">+E221</f>
        <v>3.367503361886829E-2</v>
      </c>
      <c r="F281" s="50">
        <f t="shared" si="174"/>
        <v>3.1245692535415936E-2</v>
      </c>
      <c r="G281" s="50">
        <f t="shared" si="174"/>
        <v>2.9861746203171599E-2</v>
      </c>
      <c r="H281" s="50">
        <f t="shared" si="174"/>
        <v>2.9235019370742008E-2</v>
      </c>
      <c r="I281" s="50">
        <f t="shared" si="174"/>
        <v>3.0186379118294998E-2</v>
      </c>
      <c r="J281" s="50">
        <f t="shared" si="174"/>
        <v>3.3123682717801174E-2</v>
      </c>
      <c r="K281" s="50">
        <f t="shared" si="174"/>
        <v>3.5563630818173868E-2</v>
      </c>
      <c r="L281" s="50">
        <f t="shared" si="174"/>
        <v>3.7375437025807548E-2</v>
      </c>
      <c r="M281" s="50">
        <f t="shared" si="174"/>
        <v>3.9557895894381336E-2</v>
      </c>
      <c r="N281" s="50">
        <f t="shared" si="174"/>
        <v>4.1330002492198488E-2</v>
      </c>
      <c r="O281" s="50">
        <f t="shared" si="174"/>
        <v>4.3273465010057272E-2</v>
      </c>
      <c r="P281" s="50">
        <f t="shared" si="174"/>
        <v>4.5278417057592932E-2</v>
      </c>
      <c r="Q281" s="50">
        <f t="shared" si="174"/>
        <v>4.5765189585786785E-2</v>
      </c>
      <c r="R281" s="50">
        <f t="shared" si="174"/>
        <v>4.421428774797561E-2</v>
      </c>
      <c r="S281" s="50">
        <f t="shared" si="174"/>
        <v>4.3245429527174986E-2</v>
      </c>
      <c r="T281" s="50">
        <f t="shared" si="174"/>
        <v>4.3554999005074702E-2</v>
      </c>
      <c r="U281" s="50">
        <f t="shared" si="174"/>
        <v>4.4435510161992771E-2</v>
      </c>
      <c r="V281" s="50">
        <f t="shared" si="174"/>
        <v>4.717219114348542E-2</v>
      </c>
      <c r="W281" s="50">
        <f t="shared" si="174"/>
        <v>5.6899741232983039E-2</v>
      </c>
      <c r="X281" s="50">
        <f t="shared" si="174"/>
        <v>6.1986738769463187E-2</v>
      </c>
      <c r="Y281" s="50">
        <f t="shared" si="174"/>
        <v>5.7208700429979269E-2</v>
      </c>
      <c r="Z281" s="50">
        <f t="shared" si="174"/>
        <v>4.9339560702577757E-2</v>
      </c>
      <c r="AA281" s="50">
        <f t="shared" si="174"/>
        <v>4.1368944501432053E-2</v>
      </c>
      <c r="AB281" s="50">
        <f t="shared" si="174"/>
        <v>3.5102305329568817E-2</v>
      </c>
      <c r="AC281" s="8">
        <f t="shared" si="172"/>
        <v>0.99999999999999978</v>
      </c>
    </row>
    <row r="282" spans="2:29" outlineLevel="1">
      <c r="B282" s="12"/>
      <c r="C282" s="12" t="s">
        <v>15</v>
      </c>
      <c r="D282" s="12">
        <f>+SUM(D278:D281)</f>
        <v>30</v>
      </c>
      <c r="E282" s="19">
        <f>+SUMPRODUCT(E278:E281,$D278:$D281)</f>
        <v>0.90602538432230761</v>
      </c>
      <c r="F282" s="19">
        <f>+SUMPRODUCT(F278:F281,$D278:$D281)</f>
        <v>0.8517527895705661</v>
      </c>
      <c r="G282" s="19">
        <f t="shared" ref="G282:AB282" si="175">+SUMPRODUCT(G278:G281,$D278:$D281)</f>
        <v>0.82245897412495317</v>
      </c>
      <c r="H282" s="19">
        <f t="shared" si="175"/>
        <v>0.81906071659345536</v>
      </c>
      <c r="I282" s="19">
        <f t="shared" si="175"/>
        <v>0.87371993292494432</v>
      </c>
      <c r="J282" s="19">
        <f t="shared" si="175"/>
        <v>1.0112108802641735</v>
      </c>
      <c r="K282" s="19">
        <f t="shared" si="175"/>
        <v>1.1336758276950172</v>
      </c>
      <c r="L282" s="19">
        <f t="shared" si="175"/>
        <v>1.1777990377109473</v>
      </c>
      <c r="M282" s="19">
        <f t="shared" si="175"/>
        <v>1.2302781929316857</v>
      </c>
      <c r="N282" s="19">
        <f t="shared" si="175"/>
        <v>1.2694391674162742</v>
      </c>
      <c r="O282" s="19">
        <f t="shared" si="175"/>
        <v>1.3259848404854333</v>
      </c>
      <c r="P282" s="19">
        <f t="shared" si="175"/>
        <v>1.3876211183558078</v>
      </c>
      <c r="Q282" s="19">
        <f t="shared" si="175"/>
        <v>1.3683340680347749</v>
      </c>
      <c r="R282" s="19">
        <f t="shared" si="175"/>
        <v>1.3218034484473147</v>
      </c>
      <c r="S282" s="19">
        <f t="shared" si="175"/>
        <v>1.31836317644576</v>
      </c>
      <c r="T282" s="19">
        <f t="shared" si="175"/>
        <v>1.3427845979098627</v>
      </c>
      <c r="U282" s="19">
        <f t="shared" si="175"/>
        <v>1.3718731768982495</v>
      </c>
      <c r="V282" s="19">
        <f t="shared" si="175"/>
        <v>1.4332919518836773</v>
      </c>
      <c r="W282" s="19">
        <f t="shared" si="175"/>
        <v>1.7054832783507621</v>
      </c>
      <c r="X282" s="19">
        <f t="shared" si="175"/>
        <v>1.852126884490003</v>
      </c>
      <c r="Y282" s="19">
        <f t="shared" si="175"/>
        <v>1.7188675458229241</v>
      </c>
      <c r="Z282" s="19">
        <f t="shared" si="175"/>
        <v>1.5024205832411794</v>
      </c>
      <c r="AA282" s="19">
        <f t="shared" si="175"/>
        <v>1.2364930416247775</v>
      </c>
      <c r="AB282" s="19">
        <f t="shared" si="175"/>
        <v>1.0191313844551506</v>
      </c>
      <c r="AC282" s="12">
        <f>+SUM(E282:AB282)</f>
        <v>29.999999999999996</v>
      </c>
    </row>
    <row r="283" spans="2:29" outlineLevel="1">
      <c r="B283" s="15">
        <f>+EDATE(B278,1)</f>
        <v>46569</v>
      </c>
      <c r="C283" s="8" t="s">
        <v>45</v>
      </c>
      <c r="D283" s="8">
        <v>20</v>
      </c>
      <c r="E283" s="50">
        <f t="shared" ref="E283:AB283" si="176">+E223</f>
        <v>2.9361257124838391E-2</v>
      </c>
      <c r="F283" s="50">
        <f t="shared" si="176"/>
        <v>2.7692710332229715E-2</v>
      </c>
      <c r="G283" s="50">
        <f t="shared" si="176"/>
        <v>2.6785161397696527E-2</v>
      </c>
      <c r="H283" s="50">
        <f t="shared" si="176"/>
        <v>2.6786989368939883E-2</v>
      </c>
      <c r="I283" s="50">
        <f t="shared" si="176"/>
        <v>2.9135775177511477E-2</v>
      </c>
      <c r="J283" s="50">
        <f t="shared" si="176"/>
        <v>3.4540443856715661E-2</v>
      </c>
      <c r="K283" s="50">
        <f t="shared" si="176"/>
        <v>3.8789035252325646E-2</v>
      </c>
      <c r="L283" s="50">
        <f t="shared" si="176"/>
        <v>3.957865839345593E-2</v>
      </c>
      <c r="M283" s="50">
        <f t="shared" si="176"/>
        <v>4.0957538271781398E-2</v>
      </c>
      <c r="N283" s="50">
        <f t="shared" si="176"/>
        <v>4.2166920044863825E-2</v>
      </c>
      <c r="O283" s="50">
        <f t="shared" si="176"/>
        <v>4.4150374939633218E-2</v>
      </c>
      <c r="P283" s="50">
        <f t="shared" si="176"/>
        <v>4.6294816466469102E-2</v>
      </c>
      <c r="Q283" s="50">
        <f t="shared" si="176"/>
        <v>4.5431875959152102E-2</v>
      </c>
      <c r="R283" s="50">
        <f t="shared" si="176"/>
        <v>4.3879728503346101E-2</v>
      </c>
      <c r="S283" s="50">
        <f t="shared" si="176"/>
        <v>4.4118506624640258E-2</v>
      </c>
      <c r="T283" s="50">
        <f t="shared" si="176"/>
        <v>4.5188432655351718E-2</v>
      </c>
      <c r="U283" s="50">
        <f t="shared" si="176"/>
        <v>4.624302558461979E-2</v>
      </c>
      <c r="V283" s="50">
        <f t="shared" si="176"/>
        <v>4.8247238962955179E-2</v>
      </c>
      <c r="W283" s="50">
        <f t="shared" si="176"/>
        <v>5.7096885328092907E-2</v>
      </c>
      <c r="X283" s="50">
        <f t="shared" si="176"/>
        <v>6.1739938045350239E-2</v>
      </c>
      <c r="Y283" s="50">
        <f t="shared" si="176"/>
        <v>5.7231881517227232E-2</v>
      </c>
      <c r="Z283" s="50">
        <f t="shared" si="176"/>
        <v>5.0129255438435008E-2</v>
      </c>
      <c r="AA283" s="50">
        <f t="shared" si="176"/>
        <v>4.1010488221716553E-2</v>
      </c>
      <c r="AB283" s="50">
        <f t="shared" si="176"/>
        <v>3.34430625326523E-2</v>
      </c>
      <c r="AC283" s="8">
        <f>+SUM(E283:AB283)*D283</f>
        <v>20.000000000000004</v>
      </c>
    </row>
    <row r="284" spans="2:29" outlineLevel="1">
      <c r="B284" s="16"/>
      <c r="C284" s="8" t="s">
        <v>46</v>
      </c>
      <c r="D284" s="8">
        <v>5</v>
      </c>
      <c r="E284" s="50">
        <f t="shared" ref="E284:AB284" si="177">+E224</f>
        <v>3.0659473205105158E-2</v>
      </c>
      <c r="F284" s="50">
        <f t="shared" si="177"/>
        <v>2.8600001140869122E-2</v>
      </c>
      <c r="G284" s="50">
        <f t="shared" si="177"/>
        <v>2.7683858575034276E-2</v>
      </c>
      <c r="H284" s="50">
        <f t="shared" si="177"/>
        <v>2.7537802139610414E-2</v>
      </c>
      <c r="I284" s="50">
        <f t="shared" si="177"/>
        <v>2.8782539770184416E-2</v>
      </c>
      <c r="J284" s="50">
        <f t="shared" si="177"/>
        <v>3.2241585579716119E-2</v>
      </c>
      <c r="K284" s="50">
        <f t="shared" si="177"/>
        <v>3.645312931015221E-2</v>
      </c>
      <c r="L284" s="50">
        <f t="shared" si="177"/>
        <v>3.9012639181609042E-2</v>
      </c>
      <c r="M284" s="50">
        <f t="shared" si="177"/>
        <v>4.1549207589560662E-2</v>
      </c>
      <c r="N284" s="50">
        <f t="shared" si="177"/>
        <v>4.3042516751632572E-2</v>
      </c>
      <c r="O284" s="50">
        <f t="shared" si="177"/>
        <v>4.4973693586955334E-2</v>
      </c>
      <c r="P284" s="50">
        <f t="shared" si="177"/>
        <v>4.6808021710202923E-2</v>
      </c>
      <c r="Q284" s="50">
        <f t="shared" si="177"/>
        <v>4.6383383047344962E-2</v>
      </c>
      <c r="R284" s="50">
        <f t="shared" si="177"/>
        <v>4.4751654806610461E-2</v>
      </c>
      <c r="S284" s="50">
        <f t="shared" si="177"/>
        <v>4.4013077558728637E-2</v>
      </c>
      <c r="T284" s="50">
        <f t="shared" si="177"/>
        <v>4.428856091631931E-2</v>
      </c>
      <c r="U284" s="50">
        <f t="shared" si="177"/>
        <v>4.49735778579251E-2</v>
      </c>
      <c r="V284" s="50">
        <f t="shared" si="177"/>
        <v>4.6933206789217301E-2</v>
      </c>
      <c r="W284" s="50">
        <f t="shared" si="177"/>
        <v>5.6210586428141023E-2</v>
      </c>
      <c r="X284" s="50">
        <f t="shared" si="177"/>
        <v>6.1205656691958259E-2</v>
      </c>
      <c r="Y284" s="50">
        <f t="shared" si="177"/>
        <v>5.7018442088769522E-2</v>
      </c>
      <c r="Z284" s="50">
        <f t="shared" si="177"/>
        <v>4.9896672365740725E-2</v>
      </c>
      <c r="AA284" s="50">
        <f t="shared" si="177"/>
        <v>4.1622868086918119E-2</v>
      </c>
      <c r="AB284" s="50">
        <f t="shared" si="177"/>
        <v>3.5357844821693719E-2</v>
      </c>
      <c r="AC284" s="8">
        <f t="shared" ref="AC284:AC286" si="178">+SUM(E284:AB284)*D284</f>
        <v>4.9999999999999964</v>
      </c>
    </row>
    <row r="285" spans="2:29" outlineLevel="1">
      <c r="B285" s="16"/>
      <c r="C285" s="8" t="s">
        <v>47</v>
      </c>
      <c r="D285" s="8">
        <v>4</v>
      </c>
      <c r="E285" s="50">
        <f t="shared" ref="E285:AB285" si="179">+E225</f>
        <v>3.3281514565353124E-2</v>
      </c>
      <c r="F285" s="50">
        <f t="shared" si="179"/>
        <v>3.1140043873712407E-2</v>
      </c>
      <c r="G285" s="50">
        <f t="shared" si="179"/>
        <v>2.984335106750436E-2</v>
      </c>
      <c r="H285" s="50">
        <f t="shared" si="179"/>
        <v>2.9286927979133532E-2</v>
      </c>
      <c r="I285" s="50">
        <f t="shared" si="179"/>
        <v>2.9138028999542646E-2</v>
      </c>
      <c r="J285" s="50">
        <f t="shared" si="179"/>
        <v>3.0942883559119717E-2</v>
      </c>
      <c r="K285" s="50">
        <f t="shared" si="179"/>
        <v>3.4432484834348992E-2</v>
      </c>
      <c r="L285" s="50">
        <f t="shared" si="179"/>
        <v>3.8305304424032266E-2</v>
      </c>
      <c r="M285" s="50">
        <f t="shared" si="179"/>
        <v>4.1103790742913066E-2</v>
      </c>
      <c r="N285" s="50">
        <f t="shared" si="179"/>
        <v>4.2608444243851212E-2</v>
      </c>
      <c r="O285" s="50">
        <f t="shared" si="179"/>
        <v>4.3914681848814308E-2</v>
      </c>
      <c r="P285" s="50">
        <f t="shared" si="179"/>
        <v>4.5729867165388009E-2</v>
      </c>
      <c r="Q285" s="50">
        <f t="shared" si="179"/>
        <v>4.5741487779353565E-2</v>
      </c>
      <c r="R285" s="50">
        <f t="shared" si="179"/>
        <v>4.4277060725657284E-2</v>
      </c>
      <c r="S285" s="50">
        <f t="shared" si="179"/>
        <v>4.3144199391556254E-2</v>
      </c>
      <c r="T285" s="50">
        <f t="shared" si="179"/>
        <v>4.3279567369281124E-2</v>
      </c>
      <c r="U285" s="50">
        <f t="shared" si="179"/>
        <v>4.4109954506885138E-2</v>
      </c>
      <c r="V285" s="50">
        <f t="shared" si="179"/>
        <v>4.6298728840315946E-2</v>
      </c>
      <c r="W285" s="50">
        <f t="shared" si="179"/>
        <v>5.6176649878816001E-2</v>
      </c>
      <c r="X285" s="50">
        <f t="shared" si="179"/>
        <v>6.2194705000087863E-2</v>
      </c>
      <c r="Y285" s="50">
        <f t="shared" si="179"/>
        <v>5.7928891294023718E-2</v>
      </c>
      <c r="Z285" s="50">
        <f t="shared" si="179"/>
        <v>5.019499221712586E-2</v>
      </c>
      <c r="AA285" s="50">
        <f t="shared" si="179"/>
        <v>4.1853093029906328E-2</v>
      </c>
      <c r="AB285" s="50">
        <f t="shared" si="179"/>
        <v>3.507334666327714E-2</v>
      </c>
      <c r="AC285" s="8">
        <f t="shared" si="178"/>
        <v>3.9999999999999991</v>
      </c>
    </row>
    <row r="286" spans="2:29" outlineLevel="1">
      <c r="B286" s="16"/>
      <c r="C286" s="8" t="s">
        <v>48</v>
      </c>
      <c r="D286" s="8">
        <v>2</v>
      </c>
      <c r="E286" s="50">
        <f t="shared" ref="E286:AB286" si="180">+E226</f>
        <v>3.367503361886829E-2</v>
      </c>
      <c r="F286" s="50">
        <f t="shared" si="180"/>
        <v>3.1245692535415936E-2</v>
      </c>
      <c r="G286" s="50">
        <f t="shared" si="180"/>
        <v>2.9861746203171599E-2</v>
      </c>
      <c r="H286" s="50">
        <f t="shared" si="180"/>
        <v>2.9235019370742008E-2</v>
      </c>
      <c r="I286" s="50">
        <f t="shared" si="180"/>
        <v>3.0186379118294998E-2</v>
      </c>
      <c r="J286" s="50">
        <f t="shared" si="180"/>
        <v>3.3123682717801174E-2</v>
      </c>
      <c r="K286" s="50">
        <f t="shared" si="180"/>
        <v>3.5563630818173868E-2</v>
      </c>
      <c r="L286" s="50">
        <f t="shared" si="180"/>
        <v>3.7375437025807548E-2</v>
      </c>
      <c r="M286" s="50">
        <f t="shared" si="180"/>
        <v>3.9557895894381336E-2</v>
      </c>
      <c r="N286" s="50">
        <f t="shared" si="180"/>
        <v>4.1330002492198488E-2</v>
      </c>
      <c r="O286" s="50">
        <f t="shared" si="180"/>
        <v>4.3273465010057272E-2</v>
      </c>
      <c r="P286" s="50">
        <f t="shared" si="180"/>
        <v>4.5278417057592932E-2</v>
      </c>
      <c r="Q286" s="50">
        <f t="shared" si="180"/>
        <v>4.5765189585786785E-2</v>
      </c>
      <c r="R286" s="50">
        <f t="shared" si="180"/>
        <v>4.421428774797561E-2</v>
      </c>
      <c r="S286" s="50">
        <f t="shared" si="180"/>
        <v>4.3245429527174986E-2</v>
      </c>
      <c r="T286" s="50">
        <f t="shared" si="180"/>
        <v>4.3554999005074702E-2</v>
      </c>
      <c r="U286" s="50">
        <f t="shared" si="180"/>
        <v>4.4435510161992771E-2</v>
      </c>
      <c r="V286" s="50">
        <f t="shared" si="180"/>
        <v>4.717219114348542E-2</v>
      </c>
      <c r="W286" s="50">
        <f t="shared" si="180"/>
        <v>5.6899741232983039E-2</v>
      </c>
      <c r="X286" s="50">
        <f t="shared" si="180"/>
        <v>6.1986738769463187E-2</v>
      </c>
      <c r="Y286" s="50">
        <f t="shared" si="180"/>
        <v>5.7208700429979269E-2</v>
      </c>
      <c r="Z286" s="50">
        <f t="shared" si="180"/>
        <v>4.9339560702577757E-2</v>
      </c>
      <c r="AA286" s="50">
        <f t="shared" si="180"/>
        <v>4.1368944501432053E-2</v>
      </c>
      <c r="AB286" s="50">
        <f t="shared" si="180"/>
        <v>3.5102305329568817E-2</v>
      </c>
      <c r="AC286" s="8">
        <f t="shared" si="178"/>
        <v>1.9999999999999996</v>
      </c>
    </row>
    <row r="287" spans="2:29" outlineLevel="1">
      <c r="B287" s="12"/>
      <c r="C287" s="12" t="s">
        <v>15</v>
      </c>
      <c r="D287" s="12">
        <f>+SUM(D283:D286)</f>
        <v>31</v>
      </c>
      <c r="E287" s="19">
        <f>+SUMPRODUCT(E283:E286,$D283:$D286)</f>
        <v>0.94099863402144279</v>
      </c>
      <c r="F287" s="19">
        <f>+SUMPRODUCT(F283:F286,$D283:$D286)</f>
        <v>0.88390577291462136</v>
      </c>
      <c r="G287" s="19">
        <f t="shared" ref="G287:AB287" si="181">+SUMPRODUCT(G283:G286,$D283:$D286)</f>
        <v>0.8532194175054626</v>
      </c>
      <c r="H287" s="19">
        <f t="shared" si="181"/>
        <v>0.84904654873486796</v>
      </c>
      <c r="I287" s="19">
        <f t="shared" si="181"/>
        <v>0.90355307663591211</v>
      </c>
      <c r="J287" s="19">
        <f t="shared" si="181"/>
        <v>1.0420357047049751</v>
      </c>
      <c r="K287" s="19">
        <f t="shared" si="181"/>
        <v>1.1669035525710176</v>
      </c>
      <c r="L287" s="19">
        <f t="shared" si="181"/>
        <v>1.2146084555249079</v>
      </c>
      <c r="M287" s="19">
        <f t="shared" si="181"/>
        <v>1.2704277581438459</v>
      </c>
      <c r="N287" s="19">
        <f t="shared" si="181"/>
        <v>1.3116447666152413</v>
      </c>
      <c r="O287" s="19">
        <f t="shared" si="181"/>
        <v>1.3700816241428129</v>
      </c>
      <c r="P287" s="19">
        <f t="shared" si="181"/>
        <v>1.4334127406571346</v>
      </c>
      <c r="Q287" s="19">
        <f t="shared" si="181"/>
        <v>1.4150507647087547</v>
      </c>
      <c r="R287" s="19">
        <f t="shared" si="181"/>
        <v>1.3668896624985547</v>
      </c>
      <c r="S287" s="19">
        <f t="shared" si="181"/>
        <v>1.3615031769070234</v>
      </c>
      <c r="T287" s="19">
        <f t="shared" si="181"/>
        <v>1.385439725175905</v>
      </c>
      <c r="U287" s="19">
        <f t="shared" si="181"/>
        <v>1.4150392393335474</v>
      </c>
      <c r="V287" s="19">
        <f t="shared" si="181"/>
        <v>1.4791501108534248</v>
      </c>
      <c r="W287" s="19">
        <f t="shared" si="181"/>
        <v>1.7614967206837933</v>
      </c>
      <c r="X287" s="19">
        <f t="shared" si="181"/>
        <v>1.9135793419060738</v>
      </c>
      <c r="Y287" s="19">
        <f t="shared" si="181"/>
        <v>1.7758628068244457</v>
      </c>
      <c r="Z287" s="19">
        <f t="shared" si="181"/>
        <v>1.5515275608710626</v>
      </c>
      <c r="AA287" s="19">
        <f t="shared" si="181"/>
        <v>1.2784743659914108</v>
      </c>
      <c r="AB287" s="19">
        <f t="shared" si="181"/>
        <v>1.0561484720737608</v>
      </c>
      <c r="AC287" s="12">
        <f>+SUM(E287:AB287)</f>
        <v>31.000000000000007</v>
      </c>
    </row>
    <row r="288" spans="2:29" outlineLevel="1">
      <c r="B288" s="15">
        <f>+EDATE(B283,1)</f>
        <v>46600</v>
      </c>
      <c r="C288" s="8" t="s">
        <v>45</v>
      </c>
      <c r="D288" s="8">
        <v>21</v>
      </c>
      <c r="E288" s="50">
        <f t="shared" ref="E288:AB288" si="182">+E228</f>
        <v>2.9361257124838391E-2</v>
      </c>
      <c r="F288" s="50">
        <f t="shared" si="182"/>
        <v>2.7692710332229715E-2</v>
      </c>
      <c r="G288" s="50">
        <f t="shared" si="182"/>
        <v>2.6785161397696527E-2</v>
      </c>
      <c r="H288" s="50">
        <f t="shared" si="182"/>
        <v>2.6786989368939883E-2</v>
      </c>
      <c r="I288" s="50">
        <f t="shared" si="182"/>
        <v>2.9135775177511477E-2</v>
      </c>
      <c r="J288" s="50">
        <f t="shared" si="182"/>
        <v>3.4540443856715661E-2</v>
      </c>
      <c r="K288" s="50">
        <f t="shared" si="182"/>
        <v>3.8789035252325646E-2</v>
      </c>
      <c r="L288" s="50">
        <f t="shared" si="182"/>
        <v>3.957865839345593E-2</v>
      </c>
      <c r="M288" s="50">
        <f t="shared" si="182"/>
        <v>4.0957538271781398E-2</v>
      </c>
      <c r="N288" s="50">
        <f t="shared" si="182"/>
        <v>4.2166920044863825E-2</v>
      </c>
      <c r="O288" s="50">
        <f t="shared" si="182"/>
        <v>4.4150374939633218E-2</v>
      </c>
      <c r="P288" s="50">
        <f t="shared" si="182"/>
        <v>4.6294816466469102E-2</v>
      </c>
      <c r="Q288" s="50">
        <f t="shared" si="182"/>
        <v>4.5431875959152102E-2</v>
      </c>
      <c r="R288" s="50">
        <f t="shared" si="182"/>
        <v>4.3879728503346101E-2</v>
      </c>
      <c r="S288" s="50">
        <f t="shared" si="182"/>
        <v>4.4118506624640258E-2</v>
      </c>
      <c r="T288" s="50">
        <f t="shared" si="182"/>
        <v>4.5188432655351718E-2</v>
      </c>
      <c r="U288" s="50">
        <f t="shared" si="182"/>
        <v>4.624302558461979E-2</v>
      </c>
      <c r="V288" s="50">
        <f t="shared" si="182"/>
        <v>4.8247238962955179E-2</v>
      </c>
      <c r="W288" s="50">
        <f t="shared" si="182"/>
        <v>5.7096885328092907E-2</v>
      </c>
      <c r="X288" s="50">
        <f t="shared" si="182"/>
        <v>6.1739938045350239E-2</v>
      </c>
      <c r="Y288" s="50">
        <f t="shared" si="182"/>
        <v>5.7231881517227232E-2</v>
      </c>
      <c r="Z288" s="50">
        <f t="shared" si="182"/>
        <v>5.0129255438435008E-2</v>
      </c>
      <c r="AA288" s="50">
        <f t="shared" si="182"/>
        <v>4.1010488221716553E-2</v>
      </c>
      <c r="AB288" s="50">
        <f t="shared" si="182"/>
        <v>3.34430625326523E-2</v>
      </c>
      <c r="AC288" s="8">
        <f>+SUM(E288:AB288)*D288</f>
        <v>21.000000000000004</v>
      </c>
    </row>
    <row r="289" spans="2:29" outlineLevel="1">
      <c r="B289" s="16"/>
      <c r="C289" s="8" t="s">
        <v>46</v>
      </c>
      <c r="D289" s="8">
        <v>3</v>
      </c>
      <c r="E289" s="50">
        <f t="shared" ref="E289:AB289" si="183">+E229</f>
        <v>3.0659473205105158E-2</v>
      </c>
      <c r="F289" s="50">
        <f t="shared" si="183"/>
        <v>2.8600001140869122E-2</v>
      </c>
      <c r="G289" s="50">
        <f t="shared" si="183"/>
        <v>2.7683858575034276E-2</v>
      </c>
      <c r="H289" s="50">
        <f t="shared" si="183"/>
        <v>2.7537802139610414E-2</v>
      </c>
      <c r="I289" s="50">
        <f t="shared" si="183"/>
        <v>2.8782539770184416E-2</v>
      </c>
      <c r="J289" s="50">
        <f t="shared" si="183"/>
        <v>3.2241585579716119E-2</v>
      </c>
      <c r="K289" s="50">
        <f t="shared" si="183"/>
        <v>3.645312931015221E-2</v>
      </c>
      <c r="L289" s="50">
        <f t="shared" si="183"/>
        <v>3.9012639181609042E-2</v>
      </c>
      <c r="M289" s="50">
        <f t="shared" si="183"/>
        <v>4.1549207589560662E-2</v>
      </c>
      <c r="N289" s="50">
        <f t="shared" si="183"/>
        <v>4.3042516751632572E-2</v>
      </c>
      <c r="O289" s="50">
        <f t="shared" si="183"/>
        <v>4.4973693586955334E-2</v>
      </c>
      <c r="P289" s="50">
        <f t="shared" si="183"/>
        <v>4.6808021710202923E-2</v>
      </c>
      <c r="Q289" s="50">
        <f t="shared" si="183"/>
        <v>4.6383383047344962E-2</v>
      </c>
      <c r="R289" s="50">
        <f t="shared" si="183"/>
        <v>4.4751654806610461E-2</v>
      </c>
      <c r="S289" s="50">
        <f t="shared" si="183"/>
        <v>4.4013077558728637E-2</v>
      </c>
      <c r="T289" s="50">
        <f t="shared" si="183"/>
        <v>4.428856091631931E-2</v>
      </c>
      <c r="U289" s="50">
        <f t="shared" si="183"/>
        <v>4.49735778579251E-2</v>
      </c>
      <c r="V289" s="50">
        <f t="shared" si="183"/>
        <v>4.6933206789217301E-2</v>
      </c>
      <c r="W289" s="50">
        <f t="shared" si="183"/>
        <v>5.6210586428141023E-2</v>
      </c>
      <c r="X289" s="50">
        <f t="shared" si="183"/>
        <v>6.1205656691958259E-2</v>
      </c>
      <c r="Y289" s="50">
        <f t="shared" si="183"/>
        <v>5.7018442088769522E-2</v>
      </c>
      <c r="Z289" s="50">
        <f t="shared" si="183"/>
        <v>4.9896672365740725E-2</v>
      </c>
      <c r="AA289" s="50">
        <f t="shared" si="183"/>
        <v>4.1622868086918119E-2</v>
      </c>
      <c r="AB289" s="50">
        <f t="shared" si="183"/>
        <v>3.5357844821693719E-2</v>
      </c>
      <c r="AC289" s="8">
        <f t="shared" ref="AC289:AC291" si="184">+SUM(E289:AB289)*D289</f>
        <v>2.9999999999999978</v>
      </c>
    </row>
    <row r="290" spans="2:29" outlineLevel="1">
      <c r="B290" s="16"/>
      <c r="C290" s="8" t="s">
        <v>47</v>
      </c>
      <c r="D290" s="8">
        <v>5</v>
      </c>
      <c r="E290" s="50">
        <f t="shared" ref="E290:AB290" si="185">+E230</f>
        <v>3.3281514565353124E-2</v>
      </c>
      <c r="F290" s="50">
        <f t="shared" si="185"/>
        <v>3.1140043873712407E-2</v>
      </c>
      <c r="G290" s="50">
        <f t="shared" si="185"/>
        <v>2.984335106750436E-2</v>
      </c>
      <c r="H290" s="50">
        <f t="shared" si="185"/>
        <v>2.9286927979133532E-2</v>
      </c>
      <c r="I290" s="50">
        <f t="shared" si="185"/>
        <v>2.9138028999542646E-2</v>
      </c>
      <c r="J290" s="50">
        <f t="shared" si="185"/>
        <v>3.0942883559119717E-2</v>
      </c>
      <c r="K290" s="50">
        <f t="shared" si="185"/>
        <v>3.4432484834348992E-2</v>
      </c>
      <c r="L290" s="50">
        <f t="shared" si="185"/>
        <v>3.8305304424032266E-2</v>
      </c>
      <c r="M290" s="50">
        <f t="shared" si="185"/>
        <v>4.1103790742913066E-2</v>
      </c>
      <c r="N290" s="50">
        <f t="shared" si="185"/>
        <v>4.2608444243851212E-2</v>
      </c>
      <c r="O290" s="50">
        <f t="shared" si="185"/>
        <v>4.3914681848814308E-2</v>
      </c>
      <c r="P290" s="50">
        <f t="shared" si="185"/>
        <v>4.5729867165388009E-2</v>
      </c>
      <c r="Q290" s="50">
        <f t="shared" si="185"/>
        <v>4.5741487779353565E-2</v>
      </c>
      <c r="R290" s="50">
        <f t="shared" si="185"/>
        <v>4.4277060725657284E-2</v>
      </c>
      <c r="S290" s="50">
        <f t="shared" si="185"/>
        <v>4.3144199391556254E-2</v>
      </c>
      <c r="T290" s="50">
        <f t="shared" si="185"/>
        <v>4.3279567369281124E-2</v>
      </c>
      <c r="U290" s="50">
        <f t="shared" si="185"/>
        <v>4.4109954506885138E-2</v>
      </c>
      <c r="V290" s="50">
        <f t="shared" si="185"/>
        <v>4.6298728840315946E-2</v>
      </c>
      <c r="W290" s="50">
        <f t="shared" si="185"/>
        <v>5.6176649878816001E-2</v>
      </c>
      <c r="X290" s="50">
        <f t="shared" si="185"/>
        <v>6.2194705000087863E-2</v>
      </c>
      <c r="Y290" s="50">
        <f t="shared" si="185"/>
        <v>5.7928891294023718E-2</v>
      </c>
      <c r="Z290" s="50">
        <f t="shared" si="185"/>
        <v>5.019499221712586E-2</v>
      </c>
      <c r="AA290" s="50">
        <f t="shared" si="185"/>
        <v>4.1853093029906328E-2</v>
      </c>
      <c r="AB290" s="50">
        <f t="shared" si="185"/>
        <v>3.507334666327714E-2</v>
      </c>
      <c r="AC290" s="8">
        <f t="shared" si="184"/>
        <v>4.9999999999999991</v>
      </c>
    </row>
    <row r="291" spans="2:29" outlineLevel="1">
      <c r="B291" s="16"/>
      <c r="C291" s="8" t="s">
        <v>48</v>
      </c>
      <c r="D291" s="8">
        <v>2</v>
      </c>
      <c r="E291" s="50">
        <f t="shared" ref="E291:AB291" si="186">+E231</f>
        <v>3.367503361886829E-2</v>
      </c>
      <c r="F291" s="50">
        <f t="shared" si="186"/>
        <v>3.1245692535415936E-2</v>
      </c>
      <c r="G291" s="50">
        <f t="shared" si="186"/>
        <v>2.9861746203171599E-2</v>
      </c>
      <c r="H291" s="50">
        <f t="shared" si="186"/>
        <v>2.9235019370742008E-2</v>
      </c>
      <c r="I291" s="50">
        <f t="shared" si="186"/>
        <v>3.0186379118294998E-2</v>
      </c>
      <c r="J291" s="50">
        <f t="shared" si="186"/>
        <v>3.3123682717801174E-2</v>
      </c>
      <c r="K291" s="50">
        <f t="shared" si="186"/>
        <v>3.5563630818173868E-2</v>
      </c>
      <c r="L291" s="50">
        <f t="shared" si="186"/>
        <v>3.7375437025807548E-2</v>
      </c>
      <c r="M291" s="50">
        <f t="shared" si="186"/>
        <v>3.9557895894381336E-2</v>
      </c>
      <c r="N291" s="50">
        <f t="shared" si="186"/>
        <v>4.1330002492198488E-2</v>
      </c>
      <c r="O291" s="50">
        <f t="shared" si="186"/>
        <v>4.3273465010057272E-2</v>
      </c>
      <c r="P291" s="50">
        <f t="shared" si="186"/>
        <v>4.5278417057592932E-2</v>
      </c>
      <c r="Q291" s="50">
        <f t="shared" si="186"/>
        <v>4.5765189585786785E-2</v>
      </c>
      <c r="R291" s="50">
        <f t="shared" si="186"/>
        <v>4.421428774797561E-2</v>
      </c>
      <c r="S291" s="50">
        <f t="shared" si="186"/>
        <v>4.3245429527174986E-2</v>
      </c>
      <c r="T291" s="50">
        <f t="shared" si="186"/>
        <v>4.3554999005074702E-2</v>
      </c>
      <c r="U291" s="50">
        <f t="shared" si="186"/>
        <v>4.4435510161992771E-2</v>
      </c>
      <c r="V291" s="50">
        <f t="shared" si="186"/>
        <v>4.717219114348542E-2</v>
      </c>
      <c r="W291" s="50">
        <f t="shared" si="186"/>
        <v>5.6899741232983039E-2</v>
      </c>
      <c r="X291" s="50">
        <f t="shared" si="186"/>
        <v>6.1986738769463187E-2</v>
      </c>
      <c r="Y291" s="50">
        <f t="shared" si="186"/>
        <v>5.7208700429979269E-2</v>
      </c>
      <c r="Z291" s="50">
        <f t="shared" si="186"/>
        <v>4.9339560702577757E-2</v>
      </c>
      <c r="AA291" s="50">
        <f t="shared" si="186"/>
        <v>4.1368944501432053E-2</v>
      </c>
      <c r="AB291" s="50">
        <f t="shared" si="186"/>
        <v>3.5102305329568817E-2</v>
      </c>
      <c r="AC291" s="8">
        <f t="shared" si="184"/>
        <v>1.9999999999999996</v>
      </c>
    </row>
    <row r="292" spans="2:29" outlineLevel="1">
      <c r="B292" s="12"/>
      <c r="C292" s="12" t="s">
        <v>15</v>
      </c>
      <c r="D292" s="12">
        <f>+SUM(D288:D291)</f>
        <v>31</v>
      </c>
      <c r="E292" s="19">
        <f>+SUMPRODUCT(E288:E291,$D288:$D291)</f>
        <v>0.942322459301424</v>
      </c>
      <c r="F292" s="19">
        <f>+SUMPRODUCT(F288:F291,$D288:$D291)</f>
        <v>0.88553852483882534</v>
      </c>
      <c r="G292" s="19">
        <f t="shared" ref="G292:AB292" si="187">+SUMPRODUCT(G288:G291,$D288:$D291)</f>
        <v>0.85448021282059483</v>
      </c>
      <c r="H292" s="19">
        <f t="shared" si="187"/>
        <v>0.85004486180372052</v>
      </c>
      <c r="I292" s="19">
        <f t="shared" si="187"/>
        <v>0.90426180127259759</v>
      </c>
      <c r="J292" s="19">
        <f t="shared" si="187"/>
        <v>1.0430358609613781</v>
      </c>
      <c r="K292" s="19">
        <f t="shared" si="187"/>
        <v>1.1672188140373878</v>
      </c>
      <c r="L292" s="19">
        <f t="shared" si="187"/>
        <v>1.2144671399791782</v>
      </c>
      <c r="M292" s="19">
        <f t="shared" si="187"/>
        <v>1.2693906719794192</v>
      </c>
      <c r="N292" s="19">
        <f t="shared" si="187"/>
        <v>1.3103350974006911</v>
      </c>
      <c r="O292" s="19">
        <f t="shared" si="187"/>
        <v>1.3681992937573495</v>
      </c>
      <c r="P292" s="19">
        <f t="shared" si="187"/>
        <v>1.431821380868586</v>
      </c>
      <c r="Q292" s="19">
        <f t="shared" si="187"/>
        <v>1.4134573623525704</v>
      </c>
      <c r="R292" s="19">
        <f t="shared" si="187"/>
        <v>1.3655431421143371</v>
      </c>
      <c r="S292" s="19">
        <f t="shared" si="187"/>
        <v>1.3607397278057627</v>
      </c>
      <c r="T292" s="19">
        <f t="shared" si="187"/>
        <v>1.3853306033678994</v>
      </c>
      <c r="U292" s="19">
        <f t="shared" si="187"/>
        <v>1.415445063709202</v>
      </c>
      <c r="V292" s="19">
        <f t="shared" si="187"/>
        <v>1.4798296650782614</v>
      </c>
      <c r="W292" s="19">
        <f t="shared" si="187"/>
        <v>1.7623490830344202</v>
      </c>
      <c r="X292" s="19">
        <f t="shared" si="187"/>
        <v>1.9151026715675954</v>
      </c>
      <c r="Y292" s="19">
        <f t="shared" si="187"/>
        <v>1.7769866954581577</v>
      </c>
      <c r="Z292" s="19">
        <f t="shared" si="187"/>
        <v>1.5520584637951422</v>
      </c>
      <c r="AA292" s="19">
        <f t="shared" si="187"/>
        <v>1.2780922110691977</v>
      </c>
      <c r="AB292" s="19">
        <f t="shared" si="187"/>
        <v>1.0539491916263029</v>
      </c>
      <c r="AC292" s="12">
        <f>+SUM(E292:AB292)</f>
        <v>30.999999999999996</v>
      </c>
    </row>
    <row r="293" spans="2:29" outlineLevel="1">
      <c r="B293" s="15">
        <f>+EDATE(B288,1)</f>
        <v>46631</v>
      </c>
      <c r="C293" s="8" t="s">
        <v>45</v>
      </c>
      <c r="D293" s="8">
        <v>22</v>
      </c>
      <c r="E293" s="50">
        <f t="shared" ref="E293:AB293" si="188">+E233</f>
        <v>2.9361257124838391E-2</v>
      </c>
      <c r="F293" s="50">
        <f t="shared" si="188"/>
        <v>2.7692710332229715E-2</v>
      </c>
      <c r="G293" s="50">
        <f t="shared" si="188"/>
        <v>2.6785161397696527E-2</v>
      </c>
      <c r="H293" s="50">
        <f t="shared" si="188"/>
        <v>2.6786989368939883E-2</v>
      </c>
      <c r="I293" s="50">
        <f t="shared" si="188"/>
        <v>2.9135775177511477E-2</v>
      </c>
      <c r="J293" s="50">
        <f t="shared" si="188"/>
        <v>3.4540443856715661E-2</v>
      </c>
      <c r="K293" s="50">
        <f t="shared" si="188"/>
        <v>3.8789035252325646E-2</v>
      </c>
      <c r="L293" s="50">
        <f t="shared" si="188"/>
        <v>3.957865839345593E-2</v>
      </c>
      <c r="M293" s="50">
        <f t="shared" si="188"/>
        <v>4.0957538271781398E-2</v>
      </c>
      <c r="N293" s="50">
        <f t="shared" si="188"/>
        <v>4.2166920044863825E-2</v>
      </c>
      <c r="O293" s="50">
        <f t="shared" si="188"/>
        <v>4.4150374939633218E-2</v>
      </c>
      <c r="P293" s="50">
        <f t="shared" si="188"/>
        <v>4.6294816466469102E-2</v>
      </c>
      <c r="Q293" s="50">
        <f t="shared" si="188"/>
        <v>4.5431875959152102E-2</v>
      </c>
      <c r="R293" s="50">
        <f t="shared" si="188"/>
        <v>4.3879728503346101E-2</v>
      </c>
      <c r="S293" s="50">
        <f t="shared" si="188"/>
        <v>4.4118506624640258E-2</v>
      </c>
      <c r="T293" s="50">
        <f t="shared" si="188"/>
        <v>4.5188432655351718E-2</v>
      </c>
      <c r="U293" s="50">
        <f t="shared" si="188"/>
        <v>4.624302558461979E-2</v>
      </c>
      <c r="V293" s="50">
        <f t="shared" si="188"/>
        <v>4.8247238962955179E-2</v>
      </c>
      <c r="W293" s="50">
        <f t="shared" si="188"/>
        <v>5.7096885328092907E-2</v>
      </c>
      <c r="X293" s="50">
        <f t="shared" si="188"/>
        <v>6.1739938045350239E-2</v>
      </c>
      <c r="Y293" s="50">
        <f t="shared" si="188"/>
        <v>5.7231881517227232E-2</v>
      </c>
      <c r="Z293" s="50">
        <f t="shared" si="188"/>
        <v>5.0129255438435008E-2</v>
      </c>
      <c r="AA293" s="50">
        <f t="shared" si="188"/>
        <v>4.1010488221716553E-2</v>
      </c>
      <c r="AB293" s="50">
        <f t="shared" si="188"/>
        <v>3.34430625326523E-2</v>
      </c>
      <c r="AC293" s="8">
        <f>+SUM(E293:AB293)*D293</f>
        <v>22.000000000000004</v>
      </c>
    </row>
    <row r="294" spans="2:29" outlineLevel="1">
      <c r="B294" s="16"/>
      <c r="C294" s="8" t="s">
        <v>46</v>
      </c>
      <c r="D294" s="8">
        <v>4</v>
      </c>
      <c r="E294" s="50">
        <f t="shared" ref="E294:AB294" si="189">+E234</f>
        <v>3.0659473205105158E-2</v>
      </c>
      <c r="F294" s="50">
        <f t="shared" si="189"/>
        <v>2.8600001140869122E-2</v>
      </c>
      <c r="G294" s="50">
        <f t="shared" si="189"/>
        <v>2.7683858575034276E-2</v>
      </c>
      <c r="H294" s="50">
        <f t="shared" si="189"/>
        <v>2.7537802139610414E-2</v>
      </c>
      <c r="I294" s="50">
        <f t="shared" si="189"/>
        <v>2.8782539770184416E-2</v>
      </c>
      <c r="J294" s="50">
        <f t="shared" si="189"/>
        <v>3.2241585579716119E-2</v>
      </c>
      <c r="K294" s="50">
        <f t="shared" si="189"/>
        <v>3.645312931015221E-2</v>
      </c>
      <c r="L294" s="50">
        <f t="shared" si="189"/>
        <v>3.9012639181609042E-2</v>
      </c>
      <c r="M294" s="50">
        <f t="shared" si="189"/>
        <v>4.1549207589560662E-2</v>
      </c>
      <c r="N294" s="50">
        <f t="shared" si="189"/>
        <v>4.3042516751632572E-2</v>
      </c>
      <c r="O294" s="50">
        <f t="shared" si="189"/>
        <v>4.4973693586955334E-2</v>
      </c>
      <c r="P294" s="50">
        <f t="shared" si="189"/>
        <v>4.6808021710202923E-2</v>
      </c>
      <c r="Q294" s="50">
        <f t="shared" si="189"/>
        <v>4.6383383047344962E-2</v>
      </c>
      <c r="R294" s="50">
        <f t="shared" si="189"/>
        <v>4.4751654806610461E-2</v>
      </c>
      <c r="S294" s="50">
        <f t="shared" si="189"/>
        <v>4.4013077558728637E-2</v>
      </c>
      <c r="T294" s="50">
        <f t="shared" si="189"/>
        <v>4.428856091631931E-2</v>
      </c>
      <c r="U294" s="50">
        <f t="shared" si="189"/>
        <v>4.49735778579251E-2</v>
      </c>
      <c r="V294" s="50">
        <f t="shared" si="189"/>
        <v>4.6933206789217301E-2</v>
      </c>
      <c r="W294" s="50">
        <f t="shared" si="189"/>
        <v>5.6210586428141023E-2</v>
      </c>
      <c r="X294" s="50">
        <f t="shared" si="189"/>
        <v>6.1205656691958259E-2</v>
      </c>
      <c r="Y294" s="50">
        <f t="shared" si="189"/>
        <v>5.7018442088769522E-2</v>
      </c>
      <c r="Z294" s="50">
        <f t="shared" si="189"/>
        <v>4.9896672365740725E-2</v>
      </c>
      <c r="AA294" s="50">
        <f t="shared" si="189"/>
        <v>4.1622868086918119E-2</v>
      </c>
      <c r="AB294" s="50">
        <f t="shared" si="189"/>
        <v>3.5357844821693719E-2</v>
      </c>
      <c r="AC294" s="8">
        <f t="shared" ref="AC294:AC296" si="190">+SUM(E294:AB294)*D294</f>
        <v>3.9999999999999969</v>
      </c>
    </row>
    <row r="295" spans="2:29" outlineLevel="1">
      <c r="B295" s="16"/>
      <c r="C295" s="8" t="s">
        <v>47</v>
      </c>
      <c r="D295" s="8">
        <v>4</v>
      </c>
      <c r="E295" s="50">
        <f t="shared" ref="E295:AB295" si="191">+E235</f>
        <v>3.3281514565353124E-2</v>
      </c>
      <c r="F295" s="50">
        <f t="shared" si="191"/>
        <v>3.1140043873712407E-2</v>
      </c>
      <c r="G295" s="50">
        <f t="shared" si="191"/>
        <v>2.984335106750436E-2</v>
      </c>
      <c r="H295" s="50">
        <f t="shared" si="191"/>
        <v>2.9286927979133532E-2</v>
      </c>
      <c r="I295" s="50">
        <f t="shared" si="191"/>
        <v>2.9138028999542646E-2</v>
      </c>
      <c r="J295" s="50">
        <f t="shared" si="191"/>
        <v>3.0942883559119717E-2</v>
      </c>
      <c r="K295" s="50">
        <f t="shared" si="191"/>
        <v>3.4432484834348992E-2</v>
      </c>
      <c r="L295" s="50">
        <f t="shared" si="191"/>
        <v>3.8305304424032266E-2</v>
      </c>
      <c r="M295" s="50">
        <f t="shared" si="191"/>
        <v>4.1103790742913066E-2</v>
      </c>
      <c r="N295" s="50">
        <f t="shared" si="191"/>
        <v>4.2608444243851212E-2</v>
      </c>
      <c r="O295" s="50">
        <f t="shared" si="191"/>
        <v>4.3914681848814308E-2</v>
      </c>
      <c r="P295" s="50">
        <f t="shared" si="191"/>
        <v>4.5729867165388009E-2</v>
      </c>
      <c r="Q295" s="50">
        <f t="shared" si="191"/>
        <v>4.5741487779353565E-2</v>
      </c>
      <c r="R295" s="50">
        <f t="shared" si="191"/>
        <v>4.4277060725657284E-2</v>
      </c>
      <c r="S295" s="50">
        <f t="shared" si="191"/>
        <v>4.3144199391556254E-2</v>
      </c>
      <c r="T295" s="50">
        <f t="shared" si="191"/>
        <v>4.3279567369281124E-2</v>
      </c>
      <c r="U295" s="50">
        <f t="shared" si="191"/>
        <v>4.4109954506885138E-2</v>
      </c>
      <c r="V295" s="50">
        <f t="shared" si="191"/>
        <v>4.6298728840315946E-2</v>
      </c>
      <c r="W295" s="50">
        <f t="shared" si="191"/>
        <v>5.6176649878816001E-2</v>
      </c>
      <c r="X295" s="50">
        <f t="shared" si="191"/>
        <v>6.2194705000087863E-2</v>
      </c>
      <c r="Y295" s="50">
        <f t="shared" si="191"/>
        <v>5.7928891294023718E-2</v>
      </c>
      <c r="Z295" s="50">
        <f t="shared" si="191"/>
        <v>5.019499221712586E-2</v>
      </c>
      <c r="AA295" s="50">
        <f t="shared" si="191"/>
        <v>4.1853093029906328E-2</v>
      </c>
      <c r="AB295" s="50">
        <f t="shared" si="191"/>
        <v>3.507334666327714E-2</v>
      </c>
      <c r="AC295" s="8">
        <f t="shared" si="190"/>
        <v>3.9999999999999991</v>
      </c>
    </row>
    <row r="296" spans="2:29" outlineLevel="1">
      <c r="B296" s="16"/>
      <c r="C296" s="8" t="s">
        <v>48</v>
      </c>
      <c r="D296" s="8">
        <v>0</v>
      </c>
      <c r="E296" s="50">
        <f t="shared" ref="E296:AB296" si="192">+E236</f>
        <v>3.367503361886829E-2</v>
      </c>
      <c r="F296" s="50">
        <f t="shared" si="192"/>
        <v>3.1245692535415936E-2</v>
      </c>
      <c r="G296" s="50">
        <f t="shared" si="192"/>
        <v>2.9861746203171599E-2</v>
      </c>
      <c r="H296" s="50">
        <f t="shared" si="192"/>
        <v>2.9235019370742008E-2</v>
      </c>
      <c r="I296" s="50">
        <f t="shared" si="192"/>
        <v>3.0186379118294998E-2</v>
      </c>
      <c r="J296" s="50">
        <f t="shared" si="192"/>
        <v>3.3123682717801174E-2</v>
      </c>
      <c r="K296" s="50">
        <f t="shared" si="192"/>
        <v>3.5563630818173868E-2</v>
      </c>
      <c r="L296" s="50">
        <f t="shared" si="192"/>
        <v>3.7375437025807548E-2</v>
      </c>
      <c r="M296" s="50">
        <f t="shared" si="192"/>
        <v>3.9557895894381336E-2</v>
      </c>
      <c r="N296" s="50">
        <f t="shared" si="192"/>
        <v>4.1330002492198488E-2</v>
      </c>
      <c r="O296" s="50">
        <f t="shared" si="192"/>
        <v>4.3273465010057272E-2</v>
      </c>
      <c r="P296" s="50">
        <f t="shared" si="192"/>
        <v>4.5278417057592932E-2</v>
      </c>
      <c r="Q296" s="50">
        <f t="shared" si="192"/>
        <v>4.5765189585786785E-2</v>
      </c>
      <c r="R296" s="50">
        <f t="shared" si="192"/>
        <v>4.421428774797561E-2</v>
      </c>
      <c r="S296" s="50">
        <f t="shared" si="192"/>
        <v>4.3245429527174986E-2</v>
      </c>
      <c r="T296" s="50">
        <f t="shared" si="192"/>
        <v>4.3554999005074702E-2</v>
      </c>
      <c r="U296" s="50">
        <f t="shared" si="192"/>
        <v>4.4435510161992771E-2</v>
      </c>
      <c r="V296" s="50">
        <f t="shared" si="192"/>
        <v>4.717219114348542E-2</v>
      </c>
      <c r="W296" s="50">
        <f t="shared" si="192"/>
        <v>5.6899741232983039E-2</v>
      </c>
      <c r="X296" s="50">
        <f t="shared" si="192"/>
        <v>6.1986738769463187E-2</v>
      </c>
      <c r="Y296" s="50">
        <f t="shared" si="192"/>
        <v>5.7208700429979269E-2</v>
      </c>
      <c r="Z296" s="50">
        <f t="shared" si="192"/>
        <v>4.9339560702577757E-2</v>
      </c>
      <c r="AA296" s="50">
        <f t="shared" si="192"/>
        <v>4.1368944501432053E-2</v>
      </c>
      <c r="AB296" s="50">
        <f t="shared" si="192"/>
        <v>3.5102305329568817E-2</v>
      </c>
      <c r="AC296" s="8">
        <f t="shared" si="190"/>
        <v>0</v>
      </c>
    </row>
    <row r="297" spans="2:29" outlineLevel="1">
      <c r="B297" s="12"/>
      <c r="C297" s="12" t="s">
        <v>15</v>
      </c>
      <c r="D297" s="12">
        <f>+SUM(D293:D296)</f>
        <v>30</v>
      </c>
      <c r="E297" s="19">
        <f>+SUMPRODUCT(E293:E296,$D293:$D296)</f>
        <v>0.90171160782827764</v>
      </c>
      <c r="F297" s="19">
        <f>+SUMPRODUCT(F293:F296,$D293:$D296)</f>
        <v>0.84819980736737988</v>
      </c>
      <c r="G297" s="19">
        <f t="shared" ref="G297:AB297" si="193">+SUMPRODUCT(G293:G296,$D293:$D296)</f>
        <v>0.81938238931947815</v>
      </c>
      <c r="H297" s="19">
        <f t="shared" si="193"/>
        <v>0.8166126865916532</v>
      </c>
      <c r="I297" s="19">
        <f t="shared" si="193"/>
        <v>0.87266932898416072</v>
      </c>
      <c r="J297" s="19">
        <f t="shared" si="193"/>
        <v>1.0126276414030879</v>
      </c>
      <c r="K297" s="19">
        <f t="shared" si="193"/>
        <v>1.1369012321291692</v>
      </c>
      <c r="L297" s="19">
        <f t="shared" si="193"/>
        <v>1.1800022590785955</v>
      </c>
      <c r="M297" s="19">
        <f t="shared" si="193"/>
        <v>1.2316778353090858</v>
      </c>
      <c r="N297" s="19">
        <f t="shared" si="193"/>
        <v>1.2702760849689394</v>
      </c>
      <c r="O297" s="19">
        <f t="shared" si="193"/>
        <v>1.3268617504150093</v>
      </c>
      <c r="P297" s="19">
        <f t="shared" si="193"/>
        <v>1.3886375177646839</v>
      </c>
      <c r="Q297" s="19">
        <f t="shared" si="193"/>
        <v>1.3680007544081403</v>
      </c>
      <c r="R297" s="19">
        <f t="shared" si="193"/>
        <v>1.3214688892026851</v>
      </c>
      <c r="S297" s="19">
        <f t="shared" si="193"/>
        <v>1.3192362535432252</v>
      </c>
      <c r="T297" s="19">
        <f t="shared" si="193"/>
        <v>1.3444180315601395</v>
      </c>
      <c r="U297" s="19">
        <f t="shared" si="193"/>
        <v>1.3736806923208764</v>
      </c>
      <c r="V297" s="19">
        <f t="shared" si="193"/>
        <v>1.434366999703147</v>
      </c>
      <c r="W297" s="19">
        <f t="shared" si="193"/>
        <v>1.7056804224458719</v>
      </c>
      <c r="X297" s="19">
        <f t="shared" si="193"/>
        <v>1.8518800837658898</v>
      </c>
      <c r="Y297" s="19">
        <f t="shared" si="193"/>
        <v>1.7188907269101723</v>
      </c>
      <c r="Z297" s="19">
        <f t="shared" si="193"/>
        <v>1.5032102779770367</v>
      </c>
      <c r="AA297" s="19">
        <f t="shared" si="193"/>
        <v>1.2361345853450618</v>
      </c>
      <c r="AB297" s="19">
        <f t="shared" si="193"/>
        <v>1.017472141658234</v>
      </c>
      <c r="AC297" s="12">
        <f>+SUM(E297:AB297)</f>
        <v>29.999999999999996</v>
      </c>
    </row>
    <row r="298" spans="2:29" outlineLevel="1">
      <c r="B298" s="15">
        <f>+EDATE(B293,1)</f>
        <v>46661</v>
      </c>
      <c r="C298" s="8" t="s">
        <v>45</v>
      </c>
      <c r="D298" s="8">
        <v>20</v>
      </c>
      <c r="E298" s="50">
        <f t="shared" ref="E298:AB298" si="194">+E238</f>
        <v>2.9361257124838391E-2</v>
      </c>
      <c r="F298" s="50">
        <f t="shared" si="194"/>
        <v>2.7692710332229715E-2</v>
      </c>
      <c r="G298" s="50">
        <f t="shared" si="194"/>
        <v>2.6785161397696527E-2</v>
      </c>
      <c r="H298" s="50">
        <f t="shared" si="194"/>
        <v>2.6786989368939883E-2</v>
      </c>
      <c r="I298" s="50">
        <f t="shared" si="194"/>
        <v>2.9135775177511477E-2</v>
      </c>
      <c r="J298" s="50">
        <f t="shared" si="194"/>
        <v>3.4540443856715661E-2</v>
      </c>
      <c r="K298" s="50">
        <f t="shared" si="194"/>
        <v>3.8789035252325646E-2</v>
      </c>
      <c r="L298" s="50">
        <f t="shared" si="194"/>
        <v>3.957865839345593E-2</v>
      </c>
      <c r="M298" s="50">
        <f t="shared" si="194"/>
        <v>4.0957538271781398E-2</v>
      </c>
      <c r="N298" s="50">
        <f t="shared" si="194"/>
        <v>4.2166920044863825E-2</v>
      </c>
      <c r="O298" s="50">
        <f t="shared" si="194"/>
        <v>4.4150374939633218E-2</v>
      </c>
      <c r="P298" s="50">
        <f t="shared" si="194"/>
        <v>4.6294816466469102E-2</v>
      </c>
      <c r="Q298" s="50">
        <f t="shared" si="194"/>
        <v>4.5431875959152102E-2</v>
      </c>
      <c r="R298" s="50">
        <f t="shared" si="194"/>
        <v>4.3879728503346101E-2</v>
      </c>
      <c r="S298" s="50">
        <f t="shared" si="194"/>
        <v>4.4118506624640258E-2</v>
      </c>
      <c r="T298" s="50">
        <f t="shared" si="194"/>
        <v>4.5188432655351718E-2</v>
      </c>
      <c r="U298" s="50">
        <f t="shared" si="194"/>
        <v>4.624302558461979E-2</v>
      </c>
      <c r="V298" s="50">
        <f t="shared" si="194"/>
        <v>4.8247238962955179E-2</v>
      </c>
      <c r="W298" s="50">
        <f t="shared" si="194"/>
        <v>5.7096885328092907E-2</v>
      </c>
      <c r="X298" s="50">
        <f t="shared" si="194"/>
        <v>6.1739938045350239E-2</v>
      </c>
      <c r="Y298" s="50">
        <f t="shared" si="194"/>
        <v>5.7231881517227232E-2</v>
      </c>
      <c r="Z298" s="50">
        <f t="shared" si="194"/>
        <v>5.0129255438435008E-2</v>
      </c>
      <c r="AA298" s="50">
        <f t="shared" si="194"/>
        <v>4.1010488221716553E-2</v>
      </c>
      <c r="AB298" s="50">
        <f t="shared" si="194"/>
        <v>3.34430625326523E-2</v>
      </c>
      <c r="AC298" s="8">
        <f>+SUM(E298:AB298)*D298</f>
        <v>20.000000000000004</v>
      </c>
    </row>
    <row r="299" spans="2:29" outlineLevel="1">
      <c r="B299" s="16"/>
      <c r="C299" s="8" t="s">
        <v>46</v>
      </c>
      <c r="D299" s="8">
        <v>5</v>
      </c>
      <c r="E299" s="50">
        <f t="shared" ref="E299:AB299" si="195">+E239</f>
        <v>3.0659473205105158E-2</v>
      </c>
      <c r="F299" s="50">
        <f t="shared" si="195"/>
        <v>2.8600001140869122E-2</v>
      </c>
      <c r="G299" s="50">
        <f t="shared" si="195"/>
        <v>2.7683858575034276E-2</v>
      </c>
      <c r="H299" s="50">
        <f t="shared" si="195"/>
        <v>2.7537802139610414E-2</v>
      </c>
      <c r="I299" s="50">
        <f t="shared" si="195"/>
        <v>2.8782539770184416E-2</v>
      </c>
      <c r="J299" s="50">
        <f t="shared" si="195"/>
        <v>3.2241585579716119E-2</v>
      </c>
      <c r="K299" s="50">
        <f t="shared" si="195"/>
        <v>3.645312931015221E-2</v>
      </c>
      <c r="L299" s="50">
        <f t="shared" si="195"/>
        <v>3.9012639181609042E-2</v>
      </c>
      <c r="M299" s="50">
        <f t="shared" si="195"/>
        <v>4.1549207589560662E-2</v>
      </c>
      <c r="N299" s="50">
        <f t="shared" si="195"/>
        <v>4.3042516751632572E-2</v>
      </c>
      <c r="O299" s="50">
        <f t="shared" si="195"/>
        <v>4.4973693586955334E-2</v>
      </c>
      <c r="P299" s="50">
        <f t="shared" si="195"/>
        <v>4.6808021710202923E-2</v>
      </c>
      <c r="Q299" s="50">
        <f t="shared" si="195"/>
        <v>4.6383383047344962E-2</v>
      </c>
      <c r="R299" s="50">
        <f t="shared" si="195"/>
        <v>4.4751654806610461E-2</v>
      </c>
      <c r="S299" s="50">
        <f t="shared" si="195"/>
        <v>4.4013077558728637E-2</v>
      </c>
      <c r="T299" s="50">
        <f t="shared" si="195"/>
        <v>4.428856091631931E-2</v>
      </c>
      <c r="U299" s="50">
        <f t="shared" si="195"/>
        <v>4.49735778579251E-2</v>
      </c>
      <c r="V299" s="50">
        <f t="shared" si="195"/>
        <v>4.6933206789217301E-2</v>
      </c>
      <c r="W299" s="50">
        <f t="shared" si="195"/>
        <v>5.6210586428141023E-2</v>
      </c>
      <c r="X299" s="50">
        <f t="shared" si="195"/>
        <v>6.1205656691958259E-2</v>
      </c>
      <c r="Y299" s="50">
        <f t="shared" si="195"/>
        <v>5.7018442088769522E-2</v>
      </c>
      <c r="Z299" s="50">
        <f t="shared" si="195"/>
        <v>4.9896672365740725E-2</v>
      </c>
      <c r="AA299" s="50">
        <f t="shared" si="195"/>
        <v>4.1622868086918119E-2</v>
      </c>
      <c r="AB299" s="50">
        <f t="shared" si="195"/>
        <v>3.5357844821693719E-2</v>
      </c>
      <c r="AC299" s="8">
        <f t="shared" ref="AC299:AC301" si="196">+SUM(E299:AB299)*D299</f>
        <v>4.9999999999999964</v>
      </c>
    </row>
    <row r="300" spans="2:29" outlineLevel="1">
      <c r="B300" s="16"/>
      <c r="C300" s="8" t="s">
        <v>47</v>
      </c>
      <c r="D300" s="8">
        <v>5</v>
      </c>
      <c r="E300" s="50">
        <f t="shared" ref="E300:AB300" si="197">+E240</f>
        <v>3.3281514565353124E-2</v>
      </c>
      <c r="F300" s="50">
        <f t="shared" si="197"/>
        <v>3.1140043873712407E-2</v>
      </c>
      <c r="G300" s="50">
        <f t="shared" si="197"/>
        <v>2.984335106750436E-2</v>
      </c>
      <c r="H300" s="50">
        <f t="shared" si="197"/>
        <v>2.9286927979133532E-2</v>
      </c>
      <c r="I300" s="50">
        <f t="shared" si="197"/>
        <v>2.9138028999542646E-2</v>
      </c>
      <c r="J300" s="50">
        <f t="shared" si="197"/>
        <v>3.0942883559119717E-2</v>
      </c>
      <c r="K300" s="50">
        <f t="shared" si="197"/>
        <v>3.4432484834348992E-2</v>
      </c>
      <c r="L300" s="50">
        <f t="shared" si="197"/>
        <v>3.8305304424032266E-2</v>
      </c>
      <c r="M300" s="50">
        <f t="shared" si="197"/>
        <v>4.1103790742913066E-2</v>
      </c>
      <c r="N300" s="50">
        <f t="shared" si="197"/>
        <v>4.2608444243851212E-2</v>
      </c>
      <c r="O300" s="50">
        <f t="shared" si="197"/>
        <v>4.3914681848814308E-2</v>
      </c>
      <c r="P300" s="50">
        <f t="shared" si="197"/>
        <v>4.5729867165388009E-2</v>
      </c>
      <c r="Q300" s="50">
        <f t="shared" si="197"/>
        <v>4.5741487779353565E-2</v>
      </c>
      <c r="R300" s="50">
        <f t="shared" si="197"/>
        <v>4.4277060725657284E-2</v>
      </c>
      <c r="S300" s="50">
        <f t="shared" si="197"/>
        <v>4.3144199391556254E-2</v>
      </c>
      <c r="T300" s="50">
        <f t="shared" si="197"/>
        <v>4.3279567369281124E-2</v>
      </c>
      <c r="U300" s="50">
        <f t="shared" si="197"/>
        <v>4.4109954506885138E-2</v>
      </c>
      <c r="V300" s="50">
        <f t="shared" si="197"/>
        <v>4.6298728840315946E-2</v>
      </c>
      <c r="W300" s="50">
        <f t="shared" si="197"/>
        <v>5.6176649878816001E-2</v>
      </c>
      <c r="X300" s="50">
        <f t="shared" si="197"/>
        <v>6.2194705000087863E-2</v>
      </c>
      <c r="Y300" s="50">
        <f t="shared" si="197"/>
        <v>5.7928891294023718E-2</v>
      </c>
      <c r="Z300" s="50">
        <f t="shared" si="197"/>
        <v>5.019499221712586E-2</v>
      </c>
      <c r="AA300" s="50">
        <f t="shared" si="197"/>
        <v>4.1853093029906328E-2</v>
      </c>
      <c r="AB300" s="50">
        <f t="shared" si="197"/>
        <v>3.507334666327714E-2</v>
      </c>
      <c r="AC300" s="8">
        <f t="shared" si="196"/>
        <v>4.9999999999999991</v>
      </c>
    </row>
    <row r="301" spans="2:29" outlineLevel="1">
      <c r="B301" s="16"/>
      <c r="C301" s="8" t="s">
        <v>48</v>
      </c>
      <c r="D301" s="8">
        <v>1</v>
      </c>
      <c r="E301" s="50">
        <f t="shared" ref="E301:AB301" si="198">+E241</f>
        <v>3.367503361886829E-2</v>
      </c>
      <c r="F301" s="50">
        <f t="shared" si="198"/>
        <v>3.1245692535415936E-2</v>
      </c>
      <c r="G301" s="50">
        <f t="shared" si="198"/>
        <v>2.9861746203171599E-2</v>
      </c>
      <c r="H301" s="50">
        <f t="shared" si="198"/>
        <v>2.9235019370742008E-2</v>
      </c>
      <c r="I301" s="50">
        <f t="shared" si="198"/>
        <v>3.0186379118294998E-2</v>
      </c>
      <c r="J301" s="50">
        <f t="shared" si="198"/>
        <v>3.3123682717801174E-2</v>
      </c>
      <c r="K301" s="50">
        <f t="shared" si="198"/>
        <v>3.5563630818173868E-2</v>
      </c>
      <c r="L301" s="50">
        <f t="shared" si="198"/>
        <v>3.7375437025807548E-2</v>
      </c>
      <c r="M301" s="50">
        <f t="shared" si="198"/>
        <v>3.9557895894381336E-2</v>
      </c>
      <c r="N301" s="50">
        <f t="shared" si="198"/>
        <v>4.1330002492198488E-2</v>
      </c>
      <c r="O301" s="50">
        <f t="shared" si="198"/>
        <v>4.3273465010057272E-2</v>
      </c>
      <c r="P301" s="50">
        <f t="shared" si="198"/>
        <v>4.5278417057592932E-2</v>
      </c>
      <c r="Q301" s="50">
        <f t="shared" si="198"/>
        <v>4.5765189585786785E-2</v>
      </c>
      <c r="R301" s="50">
        <f t="shared" si="198"/>
        <v>4.421428774797561E-2</v>
      </c>
      <c r="S301" s="50">
        <f t="shared" si="198"/>
        <v>4.3245429527174986E-2</v>
      </c>
      <c r="T301" s="50">
        <f t="shared" si="198"/>
        <v>4.3554999005074702E-2</v>
      </c>
      <c r="U301" s="50">
        <f t="shared" si="198"/>
        <v>4.4435510161992771E-2</v>
      </c>
      <c r="V301" s="50">
        <f t="shared" si="198"/>
        <v>4.717219114348542E-2</v>
      </c>
      <c r="W301" s="50">
        <f t="shared" si="198"/>
        <v>5.6899741232983039E-2</v>
      </c>
      <c r="X301" s="50">
        <f t="shared" si="198"/>
        <v>6.1986738769463187E-2</v>
      </c>
      <c r="Y301" s="50">
        <f t="shared" si="198"/>
        <v>5.7208700429979269E-2</v>
      </c>
      <c r="Z301" s="50">
        <f t="shared" si="198"/>
        <v>4.9339560702577757E-2</v>
      </c>
      <c r="AA301" s="50">
        <f t="shared" si="198"/>
        <v>4.1368944501432053E-2</v>
      </c>
      <c r="AB301" s="50">
        <f t="shared" si="198"/>
        <v>3.5102305329568817E-2</v>
      </c>
      <c r="AC301" s="8">
        <f t="shared" si="196"/>
        <v>0.99999999999999978</v>
      </c>
    </row>
    <row r="302" spans="2:29" outlineLevel="1">
      <c r="B302" s="12"/>
      <c r="C302" s="12" t="s">
        <v>15</v>
      </c>
      <c r="D302" s="12">
        <f>+SUM(D298:D301)</f>
        <v>31</v>
      </c>
      <c r="E302" s="19">
        <f>+SUMPRODUCT(E298:E301,$D298:$D301)</f>
        <v>0.94060511496792754</v>
      </c>
      <c r="F302" s="19">
        <f>+SUMPRODUCT(F298:F301,$D298:$D301)</f>
        <v>0.88380012425291787</v>
      </c>
      <c r="G302" s="19">
        <f t="shared" ref="G302:AB302" si="199">+SUMPRODUCT(G298:G301,$D298:$D301)</f>
        <v>0.85320102236979534</v>
      </c>
      <c r="H302" s="19">
        <f t="shared" si="199"/>
        <v>0.84909845734325939</v>
      </c>
      <c r="I302" s="19">
        <f t="shared" si="199"/>
        <v>0.90250472651715985</v>
      </c>
      <c r="J302" s="19">
        <f t="shared" si="199"/>
        <v>1.0398549055462936</v>
      </c>
      <c r="K302" s="19">
        <f t="shared" si="199"/>
        <v>1.1657724065871928</v>
      </c>
      <c r="L302" s="19">
        <f t="shared" si="199"/>
        <v>1.2155383229231327</v>
      </c>
      <c r="M302" s="19">
        <f t="shared" si="199"/>
        <v>1.271973652992378</v>
      </c>
      <c r="N302" s="19">
        <f t="shared" si="199"/>
        <v>1.3129232083668938</v>
      </c>
      <c r="O302" s="19">
        <f t="shared" si="199"/>
        <v>1.3707228409815699</v>
      </c>
      <c r="P302" s="19">
        <f t="shared" si="199"/>
        <v>1.4338641907649297</v>
      </c>
      <c r="Q302" s="19">
        <f t="shared" si="199"/>
        <v>1.4150270629023214</v>
      </c>
      <c r="R302" s="19">
        <f t="shared" si="199"/>
        <v>1.3669524354762363</v>
      </c>
      <c r="S302" s="19">
        <f t="shared" si="199"/>
        <v>1.3614019467714047</v>
      </c>
      <c r="T302" s="19">
        <f t="shared" si="199"/>
        <v>1.3851642935401114</v>
      </c>
      <c r="U302" s="19">
        <f t="shared" si="199"/>
        <v>1.4147136836784397</v>
      </c>
      <c r="V302" s="19">
        <f t="shared" si="199"/>
        <v>1.4782766485502554</v>
      </c>
      <c r="W302" s="19">
        <f t="shared" si="199"/>
        <v>1.7607736293296263</v>
      </c>
      <c r="X302" s="19">
        <f t="shared" si="199"/>
        <v>1.9137873081366987</v>
      </c>
      <c r="Y302" s="19">
        <f t="shared" si="199"/>
        <v>1.7765829976884902</v>
      </c>
      <c r="Z302" s="19">
        <f t="shared" si="199"/>
        <v>1.5523829923856107</v>
      </c>
      <c r="AA302" s="19">
        <f t="shared" si="199"/>
        <v>1.2789585145198852</v>
      </c>
      <c r="AB302" s="19">
        <f t="shared" si="199"/>
        <v>1.0561195134074692</v>
      </c>
      <c r="AC302" s="12">
        <f>+SUM(E302:AB302)</f>
        <v>30.999999999999996</v>
      </c>
    </row>
    <row r="303" spans="2:29" outlineLevel="1">
      <c r="B303" s="15">
        <f>+EDATE(B298,1)</f>
        <v>46692</v>
      </c>
      <c r="C303" s="8" t="s">
        <v>45</v>
      </c>
      <c r="D303" s="8">
        <v>20</v>
      </c>
      <c r="E303" s="50">
        <f t="shared" ref="E303:AB303" si="200">+E243</f>
        <v>2.9361257124838391E-2</v>
      </c>
      <c r="F303" s="50">
        <f t="shared" si="200"/>
        <v>2.7692710332229715E-2</v>
      </c>
      <c r="G303" s="50">
        <f t="shared" si="200"/>
        <v>2.6785161397696527E-2</v>
      </c>
      <c r="H303" s="50">
        <f t="shared" si="200"/>
        <v>2.6786989368939883E-2</v>
      </c>
      <c r="I303" s="50">
        <f t="shared" si="200"/>
        <v>2.9135775177511477E-2</v>
      </c>
      <c r="J303" s="50">
        <f t="shared" si="200"/>
        <v>3.4540443856715661E-2</v>
      </c>
      <c r="K303" s="50">
        <f t="shared" si="200"/>
        <v>3.8789035252325646E-2</v>
      </c>
      <c r="L303" s="50">
        <f t="shared" si="200"/>
        <v>3.957865839345593E-2</v>
      </c>
      <c r="M303" s="50">
        <f t="shared" si="200"/>
        <v>4.0957538271781398E-2</v>
      </c>
      <c r="N303" s="50">
        <f t="shared" si="200"/>
        <v>4.2166920044863825E-2</v>
      </c>
      <c r="O303" s="50">
        <f t="shared" si="200"/>
        <v>4.4150374939633218E-2</v>
      </c>
      <c r="P303" s="50">
        <f t="shared" si="200"/>
        <v>4.6294816466469102E-2</v>
      </c>
      <c r="Q303" s="50">
        <f t="shared" si="200"/>
        <v>4.5431875959152102E-2</v>
      </c>
      <c r="R303" s="50">
        <f t="shared" si="200"/>
        <v>4.3879728503346101E-2</v>
      </c>
      <c r="S303" s="50">
        <f t="shared" si="200"/>
        <v>4.4118506624640258E-2</v>
      </c>
      <c r="T303" s="50">
        <f t="shared" si="200"/>
        <v>4.5188432655351718E-2</v>
      </c>
      <c r="U303" s="50">
        <f t="shared" si="200"/>
        <v>4.624302558461979E-2</v>
      </c>
      <c r="V303" s="50">
        <f t="shared" si="200"/>
        <v>4.8247238962955179E-2</v>
      </c>
      <c r="W303" s="50">
        <f t="shared" si="200"/>
        <v>5.7096885328092907E-2</v>
      </c>
      <c r="X303" s="50">
        <f t="shared" si="200"/>
        <v>6.1739938045350239E-2</v>
      </c>
      <c r="Y303" s="50">
        <f t="shared" si="200"/>
        <v>5.7231881517227232E-2</v>
      </c>
      <c r="Z303" s="50">
        <f t="shared" si="200"/>
        <v>5.0129255438435008E-2</v>
      </c>
      <c r="AA303" s="50">
        <f t="shared" si="200"/>
        <v>4.1010488221716553E-2</v>
      </c>
      <c r="AB303" s="50">
        <f t="shared" si="200"/>
        <v>3.34430625326523E-2</v>
      </c>
      <c r="AC303" s="8">
        <f>+SUM(E303:AB303)*D303</f>
        <v>20.000000000000004</v>
      </c>
    </row>
    <row r="304" spans="2:29" outlineLevel="1">
      <c r="B304" s="16"/>
      <c r="C304" s="8" t="s">
        <v>46</v>
      </c>
      <c r="D304" s="8">
        <v>4</v>
      </c>
      <c r="E304" s="50">
        <f t="shared" ref="E304:AB304" si="201">+E244</f>
        <v>3.0659473205105158E-2</v>
      </c>
      <c r="F304" s="50">
        <f t="shared" si="201"/>
        <v>2.8600001140869122E-2</v>
      </c>
      <c r="G304" s="50">
        <f t="shared" si="201"/>
        <v>2.7683858575034276E-2</v>
      </c>
      <c r="H304" s="50">
        <f t="shared" si="201"/>
        <v>2.7537802139610414E-2</v>
      </c>
      <c r="I304" s="50">
        <f t="shared" si="201"/>
        <v>2.8782539770184416E-2</v>
      </c>
      <c r="J304" s="50">
        <f t="shared" si="201"/>
        <v>3.2241585579716119E-2</v>
      </c>
      <c r="K304" s="50">
        <f t="shared" si="201"/>
        <v>3.645312931015221E-2</v>
      </c>
      <c r="L304" s="50">
        <f t="shared" si="201"/>
        <v>3.9012639181609042E-2</v>
      </c>
      <c r="M304" s="50">
        <f t="shared" si="201"/>
        <v>4.1549207589560662E-2</v>
      </c>
      <c r="N304" s="50">
        <f t="shared" si="201"/>
        <v>4.3042516751632572E-2</v>
      </c>
      <c r="O304" s="50">
        <f t="shared" si="201"/>
        <v>4.4973693586955334E-2</v>
      </c>
      <c r="P304" s="50">
        <f t="shared" si="201"/>
        <v>4.6808021710202923E-2</v>
      </c>
      <c r="Q304" s="50">
        <f t="shared" si="201"/>
        <v>4.6383383047344962E-2</v>
      </c>
      <c r="R304" s="50">
        <f t="shared" si="201"/>
        <v>4.4751654806610461E-2</v>
      </c>
      <c r="S304" s="50">
        <f t="shared" si="201"/>
        <v>4.4013077558728637E-2</v>
      </c>
      <c r="T304" s="50">
        <f t="shared" si="201"/>
        <v>4.428856091631931E-2</v>
      </c>
      <c r="U304" s="50">
        <f t="shared" si="201"/>
        <v>4.49735778579251E-2</v>
      </c>
      <c r="V304" s="50">
        <f t="shared" si="201"/>
        <v>4.6933206789217301E-2</v>
      </c>
      <c r="W304" s="50">
        <f t="shared" si="201"/>
        <v>5.6210586428141023E-2</v>
      </c>
      <c r="X304" s="50">
        <f t="shared" si="201"/>
        <v>6.1205656691958259E-2</v>
      </c>
      <c r="Y304" s="50">
        <f t="shared" si="201"/>
        <v>5.7018442088769522E-2</v>
      </c>
      <c r="Z304" s="50">
        <f t="shared" si="201"/>
        <v>4.9896672365740725E-2</v>
      </c>
      <c r="AA304" s="50">
        <f t="shared" si="201"/>
        <v>4.1622868086918119E-2</v>
      </c>
      <c r="AB304" s="50">
        <f t="shared" si="201"/>
        <v>3.5357844821693719E-2</v>
      </c>
      <c r="AC304" s="8">
        <f t="shared" ref="AC304:AC306" si="202">+SUM(E304:AB304)*D304</f>
        <v>3.9999999999999969</v>
      </c>
    </row>
    <row r="305" spans="2:29" outlineLevel="1">
      <c r="B305" s="16"/>
      <c r="C305" s="8" t="s">
        <v>47</v>
      </c>
      <c r="D305" s="8">
        <v>4</v>
      </c>
      <c r="E305" s="50">
        <f t="shared" ref="E305:AB305" si="203">+E245</f>
        <v>3.3281514565353124E-2</v>
      </c>
      <c r="F305" s="50">
        <f t="shared" si="203"/>
        <v>3.1140043873712407E-2</v>
      </c>
      <c r="G305" s="50">
        <f t="shared" si="203"/>
        <v>2.984335106750436E-2</v>
      </c>
      <c r="H305" s="50">
        <f t="shared" si="203"/>
        <v>2.9286927979133532E-2</v>
      </c>
      <c r="I305" s="50">
        <f t="shared" si="203"/>
        <v>2.9138028999542646E-2</v>
      </c>
      <c r="J305" s="50">
        <f t="shared" si="203"/>
        <v>3.0942883559119717E-2</v>
      </c>
      <c r="K305" s="50">
        <f t="shared" si="203"/>
        <v>3.4432484834348992E-2</v>
      </c>
      <c r="L305" s="50">
        <f t="shared" si="203"/>
        <v>3.8305304424032266E-2</v>
      </c>
      <c r="M305" s="50">
        <f t="shared" si="203"/>
        <v>4.1103790742913066E-2</v>
      </c>
      <c r="N305" s="50">
        <f t="shared" si="203"/>
        <v>4.2608444243851212E-2</v>
      </c>
      <c r="O305" s="50">
        <f t="shared" si="203"/>
        <v>4.3914681848814308E-2</v>
      </c>
      <c r="P305" s="50">
        <f t="shared" si="203"/>
        <v>4.5729867165388009E-2</v>
      </c>
      <c r="Q305" s="50">
        <f t="shared" si="203"/>
        <v>4.5741487779353565E-2</v>
      </c>
      <c r="R305" s="50">
        <f t="shared" si="203"/>
        <v>4.4277060725657284E-2</v>
      </c>
      <c r="S305" s="50">
        <f t="shared" si="203"/>
        <v>4.3144199391556254E-2</v>
      </c>
      <c r="T305" s="50">
        <f t="shared" si="203"/>
        <v>4.3279567369281124E-2</v>
      </c>
      <c r="U305" s="50">
        <f t="shared" si="203"/>
        <v>4.4109954506885138E-2</v>
      </c>
      <c r="V305" s="50">
        <f t="shared" si="203"/>
        <v>4.6298728840315946E-2</v>
      </c>
      <c r="W305" s="50">
        <f t="shared" si="203"/>
        <v>5.6176649878816001E-2</v>
      </c>
      <c r="X305" s="50">
        <f t="shared" si="203"/>
        <v>6.2194705000087863E-2</v>
      </c>
      <c r="Y305" s="50">
        <f t="shared" si="203"/>
        <v>5.7928891294023718E-2</v>
      </c>
      <c r="Z305" s="50">
        <f t="shared" si="203"/>
        <v>5.019499221712586E-2</v>
      </c>
      <c r="AA305" s="50">
        <f t="shared" si="203"/>
        <v>4.1853093029906328E-2</v>
      </c>
      <c r="AB305" s="50">
        <f t="shared" si="203"/>
        <v>3.507334666327714E-2</v>
      </c>
      <c r="AC305" s="8">
        <f t="shared" si="202"/>
        <v>3.9999999999999991</v>
      </c>
    </row>
    <row r="306" spans="2:29" outlineLevel="1">
      <c r="B306" s="16"/>
      <c r="C306" s="8" t="s">
        <v>48</v>
      </c>
      <c r="D306" s="8">
        <v>2</v>
      </c>
      <c r="E306" s="50">
        <f t="shared" ref="E306:AB306" si="204">+E246</f>
        <v>3.367503361886829E-2</v>
      </c>
      <c r="F306" s="50">
        <f t="shared" si="204"/>
        <v>3.1245692535415936E-2</v>
      </c>
      <c r="G306" s="50">
        <f t="shared" si="204"/>
        <v>2.9861746203171599E-2</v>
      </c>
      <c r="H306" s="50">
        <f t="shared" si="204"/>
        <v>2.9235019370742008E-2</v>
      </c>
      <c r="I306" s="50">
        <f t="shared" si="204"/>
        <v>3.0186379118294998E-2</v>
      </c>
      <c r="J306" s="50">
        <f t="shared" si="204"/>
        <v>3.3123682717801174E-2</v>
      </c>
      <c r="K306" s="50">
        <f t="shared" si="204"/>
        <v>3.5563630818173868E-2</v>
      </c>
      <c r="L306" s="50">
        <f t="shared" si="204"/>
        <v>3.7375437025807548E-2</v>
      </c>
      <c r="M306" s="50">
        <f t="shared" si="204"/>
        <v>3.9557895894381336E-2</v>
      </c>
      <c r="N306" s="50">
        <f t="shared" si="204"/>
        <v>4.1330002492198488E-2</v>
      </c>
      <c r="O306" s="50">
        <f t="shared" si="204"/>
        <v>4.3273465010057272E-2</v>
      </c>
      <c r="P306" s="50">
        <f t="shared" si="204"/>
        <v>4.5278417057592932E-2</v>
      </c>
      <c r="Q306" s="50">
        <f t="shared" si="204"/>
        <v>4.5765189585786785E-2</v>
      </c>
      <c r="R306" s="50">
        <f t="shared" si="204"/>
        <v>4.421428774797561E-2</v>
      </c>
      <c r="S306" s="50">
        <f t="shared" si="204"/>
        <v>4.3245429527174986E-2</v>
      </c>
      <c r="T306" s="50">
        <f t="shared" si="204"/>
        <v>4.3554999005074702E-2</v>
      </c>
      <c r="U306" s="50">
        <f t="shared" si="204"/>
        <v>4.4435510161992771E-2</v>
      </c>
      <c r="V306" s="50">
        <f t="shared" si="204"/>
        <v>4.717219114348542E-2</v>
      </c>
      <c r="W306" s="50">
        <f t="shared" si="204"/>
        <v>5.6899741232983039E-2</v>
      </c>
      <c r="X306" s="50">
        <f t="shared" si="204"/>
        <v>6.1986738769463187E-2</v>
      </c>
      <c r="Y306" s="50">
        <f t="shared" si="204"/>
        <v>5.7208700429979269E-2</v>
      </c>
      <c r="Z306" s="50">
        <f t="shared" si="204"/>
        <v>4.9339560702577757E-2</v>
      </c>
      <c r="AA306" s="50">
        <f t="shared" si="204"/>
        <v>4.1368944501432053E-2</v>
      </c>
      <c r="AB306" s="50">
        <f t="shared" si="204"/>
        <v>3.5102305329568817E-2</v>
      </c>
      <c r="AC306" s="8">
        <f t="shared" si="202"/>
        <v>1.9999999999999996</v>
      </c>
    </row>
    <row r="307" spans="2:29" outlineLevel="1">
      <c r="B307" s="12"/>
      <c r="C307" s="12" t="s">
        <v>15</v>
      </c>
      <c r="D307" s="12">
        <f>+SUM(D303:D306)</f>
        <v>30</v>
      </c>
      <c r="E307" s="19">
        <f>+SUMPRODUCT(E303:E306,$D303:$D306)</f>
        <v>0.91033916081633748</v>
      </c>
      <c r="F307" s="19">
        <f>+SUMPRODUCT(F303:F306,$D303:$D306)</f>
        <v>0.85530577177375222</v>
      </c>
      <c r="G307" s="19">
        <f t="shared" ref="G307:AB307" si="205">+SUMPRODUCT(G303:G306,$D303:$D306)</f>
        <v>0.82553555893042829</v>
      </c>
      <c r="H307" s="19">
        <f t="shared" si="205"/>
        <v>0.82150874659525752</v>
      </c>
      <c r="I307" s="19">
        <f t="shared" si="205"/>
        <v>0.8747705368657277</v>
      </c>
      <c r="J307" s="19">
        <f t="shared" si="205"/>
        <v>1.0097941191252591</v>
      </c>
      <c r="K307" s="19">
        <f t="shared" si="205"/>
        <v>1.1304504232608654</v>
      </c>
      <c r="L307" s="19">
        <f t="shared" si="205"/>
        <v>1.1755958163432989</v>
      </c>
      <c r="M307" s="19">
        <f t="shared" si="205"/>
        <v>1.2288785505542854</v>
      </c>
      <c r="N307" s="19">
        <f t="shared" si="205"/>
        <v>1.2686022498636089</v>
      </c>
      <c r="O307" s="19">
        <f t="shared" si="205"/>
        <v>1.3251079305558575</v>
      </c>
      <c r="P307" s="19">
        <f t="shared" si="205"/>
        <v>1.3866047189469317</v>
      </c>
      <c r="Q307" s="19">
        <f t="shared" si="205"/>
        <v>1.3686673816614097</v>
      </c>
      <c r="R307" s="19">
        <f t="shared" si="205"/>
        <v>1.3221380076919442</v>
      </c>
      <c r="S307" s="19">
        <f t="shared" si="205"/>
        <v>1.317490099348295</v>
      </c>
      <c r="T307" s="19">
        <f t="shared" si="205"/>
        <v>1.3411511642595855</v>
      </c>
      <c r="U307" s="19">
        <f t="shared" si="205"/>
        <v>1.3700656614756224</v>
      </c>
      <c r="V307" s="19">
        <f t="shared" si="205"/>
        <v>1.4322169040642074</v>
      </c>
      <c r="W307" s="19">
        <f t="shared" si="205"/>
        <v>1.7052861342556522</v>
      </c>
      <c r="X307" s="19">
        <f t="shared" si="205"/>
        <v>1.8523736852141155</v>
      </c>
      <c r="Y307" s="19">
        <f t="shared" si="205"/>
        <v>1.7188443647356764</v>
      </c>
      <c r="Z307" s="19">
        <f t="shared" si="205"/>
        <v>1.501630888505322</v>
      </c>
      <c r="AA307" s="19">
        <f t="shared" si="205"/>
        <v>1.2368514979044929</v>
      </c>
      <c r="AB307" s="19">
        <f t="shared" si="205"/>
        <v>1.020790627252067</v>
      </c>
      <c r="AC307" s="12">
        <f>+SUM(E307:AB307)</f>
        <v>30</v>
      </c>
    </row>
    <row r="308" spans="2:29" outlineLevel="1">
      <c r="B308" s="15">
        <f>+EDATE(B303,1)</f>
        <v>46722</v>
      </c>
      <c r="C308" s="8" t="s">
        <v>45</v>
      </c>
      <c r="D308" s="8">
        <v>22</v>
      </c>
      <c r="E308" s="50">
        <f t="shared" ref="E308:AB308" si="206">+E248</f>
        <v>2.9361257124838391E-2</v>
      </c>
      <c r="F308" s="50">
        <f t="shared" si="206"/>
        <v>2.7692710332229715E-2</v>
      </c>
      <c r="G308" s="50">
        <f t="shared" si="206"/>
        <v>2.6785161397696527E-2</v>
      </c>
      <c r="H308" s="50">
        <f t="shared" si="206"/>
        <v>2.6786989368939883E-2</v>
      </c>
      <c r="I308" s="50">
        <f t="shared" si="206"/>
        <v>2.9135775177511477E-2</v>
      </c>
      <c r="J308" s="50">
        <f t="shared" si="206"/>
        <v>3.4540443856715661E-2</v>
      </c>
      <c r="K308" s="50">
        <f t="shared" si="206"/>
        <v>3.8789035252325646E-2</v>
      </c>
      <c r="L308" s="50">
        <f t="shared" si="206"/>
        <v>3.957865839345593E-2</v>
      </c>
      <c r="M308" s="50">
        <f t="shared" si="206"/>
        <v>4.0957538271781398E-2</v>
      </c>
      <c r="N308" s="50">
        <f t="shared" si="206"/>
        <v>4.2166920044863825E-2</v>
      </c>
      <c r="O308" s="50">
        <f t="shared" si="206"/>
        <v>4.4150374939633218E-2</v>
      </c>
      <c r="P308" s="50">
        <f t="shared" si="206"/>
        <v>4.6294816466469102E-2</v>
      </c>
      <c r="Q308" s="50">
        <f t="shared" si="206"/>
        <v>4.5431875959152102E-2</v>
      </c>
      <c r="R308" s="50">
        <f t="shared" si="206"/>
        <v>4.3879728503346101E-2</v>
      </c>
      <c r="S308" s="50">
        <f t="shared" si="206"/>
        <v>4.4118506624640258E-2</v>
      </c>
      <c r="T308" s="50">
        <f t="shared" si="206"/>
        <v>4.5188432655351718E-2</v>
      </c>
      <c r="U308" s="50">
        <f t="shared" si="206"/>
        <v>4.624302558461979E-2</v>
      </c>
      <c r="V308" s="50">
        <f t="shared" si="206"/>
        <v>4.8247238962955179E-2</v>
      </c>
      <c r="W308" s="50">
        <f t="shared" si="206"/>
        <v>5.7096885328092907E-2</v>
      </c>
      <c r="X308" s="50">
        <f t="shared" si="206"/>
        <v>6.1739938045350239E-2</v>
      </c>
      <c r="Y308" s="50">
        <f t="shared" si="206"/>
        <v>5.7231881517227232E-2</v>
      </c>
      <c r="Z308" s="50">
        <f t="shared" si="206"/>
        <v>5.0129255438435008E-2</v>
      </c>
      <c r="AA308" s="50">
        <f t="shared" si="206"/>
        <v>4.1010488221716553E-2</v>
      </c>
      <c r="AB308" s="50">
        <f t="shared" si="206"/>
        <v>3.34430625326523E-2</v>
      </c>
      <c r="AC308" s="8">
        <f>+SUM(E308:AB308)*D308</f>
        <v>22.000000000000004</v>
      </c>
    </row>
    <row r="309" spans="2:29" outlineLevel="1">
      <c r="B309" s="16"/>
      <c r="C309" s="8" t="s">
        <v>46</v>
      </c>
      <c r="D309" s="8">
        <v>3</v>
      </c>
      <c r="E309" s="50">
        <f t="shared" ref="E309:AB309" si="207">+E249</f>
        <v>3.0659473205105158E-2</v>
      </c>
      <c r="F309" s="50">
        <f t="shared" si="207"/>
        <v>2.8600001140869122E-2</v>
      </c>
      <c r="G309" s="50">
        <f t="shared" si="207"/>
        <v>2.7683858575034276E-2</v>
      </c>
      <c r="H309" s="50">
        <f t="shared" si="207"/>
        <v>2.7537802139610414E-2</v>
      </c>
      <c r="I309" s="50">
        <f t="shared" si="207"/>
        <v>2.8782539770184416E-2</v>
      </c>
      <c r="J309" s="50">
        <f t="shared" si="207"/>
        <v>3.2241585579716119E-2</v>
      </c>
      <c r="K309" s="50">
        <f t="shared" si="207"/>
        <v>3.645312931015221E-2</v>
      </c>
      <c r="L309" s="50">
        <f t="shared" si="207"/>
        <v>3.9012639181609042E-2</v>
      </c>
      <c r="M309" s="50">
        <f t="shared" si="207"/>
        <v>4.1549207589560662E-2</v>
      </c>
      <c r="N309" s="50">
        <f t="shared" si="207"/>
        <v>4.3042516751632572E-2</v>
      </c>
      <c r="O309" s="50">
        <f t="shared" si="207"/>
        <v>4.4973693586955334E-2</v>
      </c>
      <c r="P309" s="50">
        <f t="shared" si="207"/>
        <v>4.6808021710202923E-2</v>
      </c>
      <c r="Q309" s="50">
        <f t="shared" si="207"/>
        <v>4.6383383047344962E-2</v>
      </c>
      <c r="R309" s="50">
        <f t="shared" si="207"/>
        <v>4.4751654806610461E-2</v>
      </c>
      <c r="S309" s="50">
        <f t="shared" si="207"/>
        <v>4.4013077558728637E-2</v>
      </c>
      <c r="T309" s="50">
        <f t="shared" si="207"/>
        <v>4.428856091631931E-2</v>
      </c>
      <c r="U309" s="50">
        <f t="shared" si="207"/>
        <v>4.49735778579251E-2</v>
      </c>
      <c r="V309" s="50">
        <f t="shared" si="207"/>
        <v>4.6933206789217301E-2</v>
      </c>
      <c r="W309" s="50">
        <f t="shared" si="207"/>
        <v>5.6210586428141023E-2</v>
      </c>
      <c r="X309" s="50">
        <f t="shared" si="207"/>
        <v>6.1205656691958259E-2</v>
      </c>
      <c r="Y309" s="50">
        <f t="shared" si="207"/>
        <v>5.7018442088769522E-2</v>
      </c>
      <c r="Z309" s="50">
        <f t="shared" si="207"/>
        <v>4.9896672365740725E-2</v>
      </c>
      <c r="AA309" s="50">
        <f t="shared" si="207"/>
        <v>4.1622868086918119E-2</v>
      </c>
      <c r="AB309" s="50">
        <f t="shared" si="207"/>
        <v>3.5357844821693719E-2</v>
      </c>
      <c r="AC309" s="8">
        <f t="shared" ref="AC309:AC311" si="208">+SUM(E309:AB309)*D309</f>
        <v>2.9999999999999978</v>
      </c>
    </row>
    <row r="310" spans="2:29" outlineLevel="1">
      <c r="B310" s="16"/>
      <c r="C310" s="8" t="s">
        <v>47</v>
      </c>
      <c r="D310" s="8">
        <v>4</v>
      </c>
      <c r="E310" s="50">
        <f t="shared" ref="E310:AB310" si="209">+E250</f>
        <v>3.3281514565353124E-2</v>
      </c>
      <c r="F310" s="50">
        <f t="shared" si="209"/>
        <v>3.1140043873712407E-2</v>
      </c>
      <c r="G310" s="50">
        <f t="shared" si="209"/>
        <v>2.984335106750436E-2</v>
      </c>
      <c r="H310" s="50">
        <f t="shared" si="209"/>
        <v>2.9286927979133532E-2</v>
      </c>
      <c r="I310" s="50">
        <f t="shared" si="209"/>
        <v>2.9138028999542646E-2</v>
      </c>
      <c r="J310" s="50">
        <f t="shared" si="209"/>
        <v>3.0942883559119717E-2</v>
      </c>
      <c r="K310" s="50">
        <f t="shared" si="209"/>
        <v>3.4432484834348992E-2</v>
      </c>
      <c r="L310" s="50">
        <f t="shared" si="209"/>
        <v>3.8305304424032266E-2</v>
      </c>
      <c r="M310" s="50">
        <f t="shared" si="209"/>
        <v>4.1103790742913066E-2</v>
      </c>
      <c r="N310" s="50">
        <f t="shared" si="209"/>
        <v>4.2608444243851212E-2</v>
      </c>
      <c r="O310" s="50">
        <f t="shared" si="209"/>
        <v>4.3914681848814308E-2</v>
      </c>
      <c r="P310" s="50">
        <f t="shared" si="209"/>
        <v>4.5729867165388009E-2</v>
      </c>
      <c r="Q310" s="50">
        <f t="shared" si="209"/>
        <v>4.5741487779353565E-2</v>
      </c>
      <c r="R310" s="50">
        <f t="shared" si="209"/>
        <v>4.4277060725657284E-2</v>
      </c>
      <c r="S310" s="50">
        <f t="shared" si="209"/>
        <v>4.3144199391556254E-2</v>
      </c>
      <c r="T310" s="50">
        <f t="shared" si="209"/>
        <v>4.3279567369281124E-2</v>
      </c>
      <c r="U310" s="50">
        <f t="shared" si="209"/>
        <v>4.4109954506885138E-2</v>
      </c>
      <c r="V310" s="50">
        <f t="shared" si="209"/>
        <v>4.6298728840315946E-2</v>
      </c>
      <c r="W310" s="50">
        <f t="shared" si="209"/>
        <v>5.6176649878816001E-2</v>
      </c>
      <c r="X310" s="50">
        <f t="shared" si="209"/>
        <v>6.2194705000087863E-2</v>
      </c>
      <c r="Y310" s="50">
        <f t="shared" si="209"/>
        <v>5.7928891294023718E-2</v>
      </c>
      <c r="Z310" s="50">
        <f t="shared" si="209"/>
        <v>5.019499221712586E-2</v>
      </c>
      <c r="AA310" s="50">
        <f t="shared" si="209"/>
        <v>4.1853093029906328E-2</v>
      </c>
      <c r="AB310" s="50">
        <f t="shared" si="209"/>
        <v>3.507334666327714E-2</v>
      </c>
      <c r="AC310" s="8">
        <f t="shared" si="208"/>
        <v>3.9999999999999991</v>
      </c>
    </row>
    <row r="311" spans="2:29" outlineLevel="1">
      <c r="B311" s="16"/>
      <c r="C311" s="8" t="s">
        <v>48</v>
      </c>
      <c r="D311" s="8">
        <v>2</v>
      </c>
      <c r="E311" s="50">
        <f t="shared" ref="E311:AB311" si="210">+E251</f>
        <v>3.367503361886829E-2</v>
      </c>
      <c r="F311" s="50">
        <f t="shared" si="210"/>
        <v>3.1245692535415936E-2</v>
      </c>
      <c r="G311" s="50">
        <f t="shared" si="210"/>
        <v>2.9861746203171599E-2</v>
      </c>
      <c r="H311" s="50">
        <f t="shared" si="210"/>
        <v>2.9235019370742008E-2</v>
      </c>
      <c r="I311" s="50">
        <f t="shared" si="210"/>
        <v>3.0186379118294998E-2</v>
      </c>
      <c r="J311" s="50">
        <f t="shared" si="210"/>
        <v>3.3123682717801174E-2</v>
      </c>
      <c r="K311" s="50">
        <f t="shared" si="210"/>
        <v>3.5563630818173868E-2</v>
      </c>
      <c r="L311" s="50">
        <f t="shared" si="210"/>
        <v>3.7375437025807548E-2</v>
      </c>
      <c r="M311" s="50">
        <f t="shared" si="210"/>
        <v>3.9557895894381336E-2</v>
      </c>
      <c r="N311" s="50">
        <f t="shared" si="210"/>
        <v>4.1330002492198488E-2</v>
      </c>
      <c r="O311" s="50">
        <f t="shared" si="210"/>
        <v>4.3273465010057272E-2</v>
      </c>
      <c r="P311" s="50">
        <f t="shared" si="210"/>
        <v>4.5278417057592932E-2</v>
      </c>
      <c r="Q311" s="50">
        <f t="shared" si="210"/>
        <v>4.5765189585786785E-2</v>
      </c>
      <c r="R311" s="50">
        <f t="shared" si="210"/>
        <v>4.421428774797561E-2</v>
      </c>
      <c r="S311" s="50">
        <f t="shared" si="210"/>
        <v>4.3245429527174986E-2</v>
      </c>
      <c r="T311" s="50">
        <f t="shared" si="210"/>
        <v>4.3554999005074702E-2</v>
      </c>
      <c r="U311" s="50">
        <f t="shared" si="210"/>
        <v>4.4435510161992771E-2</v>
      </c>
      <c r="V311" s="50">
        <f t="shared" si="210"/>
        <v>4.717219114348542E-2</v>
      </c>
      <c r="W311" s="50">
        <f t="shared" si="210"/>
        <v>5.6899741232983039E-2</v>
      </c>
      <c r="X311" s="50">
        <f t="shared" si="210"/>
        <v>6.1986738769463187E-2</v>
      </c>
      <c r="Y311" s="50">
        <f t="shared" si="210"/>
        <v>5.7208700429979269E-2</v>
      </c>
      <c r="Z311" s="50">
        <f t="shared" si="210"/>
        <v>4.9339560702577757E-2</v>
      </c>
      <c r="AA311" s="50">
        <f t="shared" si="210"/>
        <v>4.1368944501432053E-2</v>
      </c>
      <c r="AB311" s="50">
        <f t="shared" si="210"/>
        <v>3.5102305329568817E-2</v>
      </c>
      <c r="AC311" s="8">
        <f t="shared" si="208"/>
        <v>1.9999999999999996</v>
      </c>
    </row>
    <row r="312" spans="2:29" outlineLevel="1">
      <c r="B312" s="12"/>
      <c r="C312" s="12" t="s">
        <v>15</v>
      </c>
      <c r="D312" s="12">
        <f>+SUM(D308:D311)</f>
        <v>31</v>
      </c>
      <c r="E312" s="19">
        <f>+SUMPRODUCT(E308:E311,$D308:$D311)</f>
        <v>0.93840220186090917</v>
      </c>
      <c r="F312" s="19">
        <f>+SUMPRODUCT(F308:F311,$D308:$D311)</f>
        <v>0.88209119129734259</v>
      </c>
      <c r="G312" s="19">
        <f t="shared" ref="G312:AB312" si="211">+SUMPRODUCT(G308:G311,$D308:$D311)</f>
        <v>0.85142202315078708</v>
      </c>
      <c r="H312" s="19">
        <f t="shared" si="211"/>
        <v>0.84754492319352692</v>
      </c>
      <c r="I312" s="19">
        <f t="shared" si="211"/>
        <v>0.90425954745056636</v>
      </c>
      <c r="J312" s="19">
        <f t="shared" si="211"/>
        <v>1.0466334212589741</v>
      </c>
      <c r="K312" s="19">
        <f t="shared" si="211"/>
        <v>1.1715753644553646</v>
      </c>
      <c r="L312" s="19">
        <f t="shared" si="211"/>
        <v>1.2157404939486016</v>
      </c>
      <c r="M312" s="19">
        <f t="shared" si="211"/>
        <v>1.2692444195082875</v>
      </c>
      <c r="N312" s="19">
        <f t="shared" si="211"/>
        <v>1.3098935732017036</v>
      </c>
      <c r="O312" s="19">
        <f t="shared" si="211"/>
        <v>1.3684349868481684</v>
      </c>
      <c r="P312" s="19">
        <f t="shared" si="211"/>
        <v>1.4323863301696669</v>
      </c>
      <c r="Q312" s="19">
        <f t="shared" si="211"/>
        <v>1.4131477505323689</v>
      </c>
      <c r="R312" s="19">
        <f t="shared" si="211"/>
        <v>1.3651458098920259</v>
      </c>
      <c r="S312" s="19">
        <f t="shared" si="211"/>
        <v>1.3617140350388468</v>
      </c>
      <c r="T312" s="19">
        <f t="shared" si="211"/>
        <v>1.3872394686539695</v>
      </c>
      <c r="U312" s="19">
        <f t="shared" si="211"/>
        <v>1.4175781347869367</v>
      </c>
      <c r="V312" s="19">
        <f t="shared" si="211"/>
        <v>1.4817781752009003</v>
      </c>
      <c r="W312" s="19">
        <f t="shared" si="211"/>
        <v>1.7632693184836969</v>
      </c>
      <c r="X312" s="19">
        <f t="shared" si="211"/>
        <v>1.9146479046128577</v>
      </c>
      <c r="Y312" s="19">
        <f t="shared" si="211"/>
        <v>1.7762896856813613</v>
      </c>
      <c r="Z312" s="19">
        <f t="shared" si="211"/>
        <v>1.5519927270164513</v>
      </c>
      <c r="AA312" s="19">
        <f t="shared" si="211"/>
        <v>1.2772496062610077</v>
      </c>
      <c r="AB312" s="19">
        <f t="shared" si="211"/>
        <v>1.0523189074956778</v>
      </c>
      <c r="AC312" s="12">
        <f>+SUM(E312:AB312)</f>
        <v>31.000000000000004</v>
      </c>
    </row>
    <row r="313" spans="2:29" outlineLevel="1" collapsed="1">
      <c r="B313" s="15">
        <f>+EDATE(B308,1)</f>
        <v>46753</v>
      </c>
      <c r="C313" s="8" t="s">
        <v>45</v>
      </c>
      <c r="D313" s="8">
        <v>20</v>
      </c>
      <c r="E313" s="50">
        <f t="shared" ref="E313:AB313" si="212">+E253</f>
        <v>2.9361257124838391E-2</v>
      </c>
      <c r="F313" s="50">
        <f t="shared" si="212"/>
        <v>2.7692710332229715E-2</v>
      </c>
      <c r="G313" s="50">
        <f t="shared" si="212"/>
        <v>2.6785161397696527E-2</v>
      </c>
      <c r="H313" s="50">
        <f t="shared" si="212"/>
        <v>2.6786989368939883E-2</v>
      </c>
      <c r="I313" s="50">
        <f t="shared" si="212"/>
        <v>2.9135775177511477E-2</v>
      </c>
      <c r="J313" s="50">
        <f t="shared" si="212"/>
        <v>3.4540443856715661E-2</v>
      </c>
      <c r="K313" s="50">
        <f t="shared" si="212"/>
        <v>3.8789035252325646E-2</v>
      </c>
      <c r="L313" s="50">
        <f t="shared" si="212"/>
        <v>3.957865839345593E-2</v>
      </c>
      <c r="M313" s="50">
        <f t="shared" si="212"/>
        <v>4.0957538271781398E-2</v>
      </c>
      <c r="N313" s="50">
        <f t="shared" si="212"/>
        <v>4.2166920044863825E-2</v>
      </c>
      <c r="O313" s="50">
        <f t="shared" si="212"/>
        <v>4.4150374939633218E-2</v>
      </c>
      <c r="P313" s="50">
        <f t="shared" si="212"/>
        <v>4.6294816466469102E-2</v>
      </c>
      <c r="Q313" s="50">
        <f t="shared" si="212"/>
        <v>4.5431875959152102E-2</v>
      </c>
      <c r="R313" s="50">
        <f t="shared" si="212"/>
        <v>4.3879728503346101E-2</v>
      </c>
      <c r="S313" s="50">
        <f t="shared" si="212"/>
        <v>4.4118506624640258E-2</v>
      </c>
      <c r="T313" s="50">
        <f t="shared" si="212"/>
        <v>4.5188432655351718E-2</v>
      </c>
      <c r="U313" s="50">
        <f t="shared" si="212"/>
        <v>4.624302558461979E-2</v>
      </c>
      <c r="V313" s="50">
        <f t="shared" si="212"/>
        <v>4.8247238962955179E-2</v>
      </c>
      <c r="W313" s="50">
        <f t="shared" si="212"/>
        <v>5.7096885328092907E-2</v>
      </c>
      <c r="X313" s="50">
        <f t="shared" si="212"/>
        <v>6.1739938045350239E-2</v>
      </c>
      <c r="Y313" s="50">
        <f t="shared" si="212"/>
        <v>5.7231881517227232E-2</v>
      </c>
      <c r="Z313" s="50">
        <f t="shared" si="212"/>
        <v>5.0129255438435008E-2</v>
      </c>
      <c r="AA313" s="50">
        <f t="shared" si="212"/>
        <v>4.1010488221716553E-2</v>
      </c>
      <c r="AB313" s="50">
        <f t="shared" si="212"/>
        <v>3.34430625326523E-2</v>
      </c>
      <c r="AC313" s="8">
        <f>+SUM(E313:AB313)*D313</f>
        <v>20.000000000000004</v>
      </c>
    </row>
    <row r="314" spans="2:29" outlineLevel="1">
      <c r="B314" s="16"/>
      <c r="C314" s="8" t="s">
        <v>46</v>
      </c>
      <c r="D314" s="8">
        <v>4</v>
      </c>
      <c r="E314" s="50">
        <f t="shared" ref="E314:AB314" si="213">+E254</f>
        <v>3.0659473205105158E-2</v>
      </c>
      <c r="F314" s="50">
        <f t="shared" si="213"/>
        <v>2.8600001140869122E-2</v>
      </c>
      <c r="G314" s="50">
        <f t="shared" si="213"/>
        <v>2.7683858575034276E-2</v>
      </c>
      <c r="H314" s="50">
        <f t="shared" si="213"/>
        <v>2.7537802139610414E-2</v>
      </c>
      <c r="I314" s="50">
        <f t="shared" si="213"/>
        <v>2.8782539770184416E-2</v>
      </c>
      <c r="J314" s="50">
        <f t="shared" si="213"/>
        <v>3.2241585579716119E-2</v>
      </c>
      <c r="K314" s="50">
        <f t="shared" si="213"/>
        <v>3.645312931015221E-2</v>
      </c>
      <c r="L314" s="50">
        <f t="shared" si="213"/>
        <v>3.9012639181609042E-2</v>
      </c>
      <c r="M314" s="50">
        <f t="shared" si="213"/>
        <v>4.1549207589560662E-2</v>
      </c>
      <c r="N314" s="50">
        <f t="shared" si="213"/>
        <v>4.3042516751632572E-2</v>
      </c>
      <c r="O314" s="50">
        <f t="shared" si="213"/>
        <v>4.4973693586955334E-2</v>
      </c>
      <c r="P314" s="50">
        <f t="shared" si="213"/>
        <v>4.6808021710202923E-2</v>
      </c>
      <c r="Q314" s="50">
        <f t="shared" si="213"/>
        <v>4.6383383047344962E-2</v>
      </c>
      <c r="R314" s="50">
        <f t="shared" si="213"/>
        <v>4.4751654806610461E-2</v>
      </c>
      <c r="S314" s="50">
        <f t="shared" si="213"/>
        <v>4.4013077558728637E-2</v>
      </c>
      <c r="T314" s="50">
        <f t="shared" si="213"/>
        <v>4.428856091631931E-2</v>
      </c>
      <c r="U314" s="50">
        <f t="shared" si="213"/>
        <v>4.49735778579251E-2</v>
      </c>
      <c r="V314" s="50">
        <f t="shared" si="213"/>
        <v>4.6933206789217301E-2</v>
      </c>
      <c r="W314" s="50">
        <f t="shared" si="213"/>
        <v>5.6210586428141023E-2</v>
      </c>
      <c r="X314" s="50">
        <f t="shared" si="213"/>
        <v>6.1205656691958259E-2</v>
      </c>
      <c r="Y314" s="50">
        <f t="shared" si="213"/>
        <v>5.7018442088769522E-2</v>
      </c>
      <c r="Z314" s="50">
        <f t="shared" si="213"/>
        <v>4.9896672365740725E-2</v>
      </c>
      <c r="AA314" s="50">
        <f t="shared" si="213"/>
        <v>4.1622868086918119E-2</v>
      </c>
      <c r="AB314" s="50">
        <f t="shared" si="213"/>
        <v>3.5357844821693719E-2</v>
      </c>
      <c r="AC314" s="8">
        <f t="shared" ref="AC314:AC316" si="214">+SUM(E314:AB314)*D314</f>
        <v>3.9999999999999969</v>
      </c>
    </row>
    <row r="315" spans="2:29" outlineLevel="1">
      <c r="B315" s="16"/>
      <c r="C315" s="8" t="s">
        <v>47</v>
      </c>
      <c r="D315" s="8">
        <v>5</v>
      </c>
      <c r="E315" s="50">
        <f t="shared" ref="E315:AB315" si="215">+E255</f>
        <v>3.3281514565353124E-2</v>
      </c>
      <c r="F315" s="50">
        <f t="shared" si="215"/>
        <v>3.1140043873712407E-2</v>
      </c>
      <c r="G315" s="50">
        <f t="shared" si="215"/>
        <v>2.984335106750436E-2</v>
      </c>
      <c r="H315" s="50">
        <f t="shared" si="215"/>
        <v>2.9286927979133532E-2</v>
      </c>
      <c r="I315" s="50">
        <f t="shared" si="215"/>
        <v>2.9138028999542646E-2</v>
      </c>
      <c r="J315" s="50">
        <f t="shared" si="215"/>
        <v>3.0942883559119717E-2</v>
      </c>
      <c r="K315" s="50">
        <f t="shared" si="215"/>
        <v>3.4432484834348992E-2</v>
      </c>
      <c r="L315" s="50">
        <f t="shared" si="215"/>
        <v>3.8305304424032266E-2</v>
      </c>
      <c r="M315" s="50">
        <f t="shared" si="215"/>
        <v>4.1103790742913066E-2</v>
      </c>
      <c r="N315" s="50">
        <f t="shared" si="215"/>
        <v>4.2608444243851212E-2</v>
      </c>
      <c r="O315" s="50">
        <f t="shared" si="215"/>
        <v>4.3914681848814308E-2</v>
      </c>
      <c r="P315" s="50">
        <f t="shared" si="215"/>
        <v>4.5729867165388009E-2</v>
      </c>
      <c r="Q315" s="50">
        <f t="shared" si="215"/>
        <v>4.5741487779353565E-2</v>
      </c>
      <c r="R315" s="50">
        <f t="shared" si="215"/>
        <v>4.4277060725657284E-2</v>
      </c>
      <c r="S315" s="50">
        <f t="shared" si="215"/>
        <v>4.3144199391556254E-2</v>
      </c>
      <c r="T315" s="50">
        <f t="shared" si="215"/>
        <v>4.3279567369281124E-2</v>
      </c>
      <c r="U315" s="50">
        <f t="shared" si="215"/>
        <v>4.4109954506885138E-2</v>
      </c>
      <c r="V315" s="50">
        <f t="shared" si="215"/>
        <v>4.6298728840315946E-2</v>
      </c>
      <c r="W315" s="50">
        <f t="shared" si="215"/>
        <v>5.6176649878816001E-2</v>
      </c>
      <c r="X315" s="50">
        <f t="shared" si="215"/>
        <v>6.2194705000087863E-2</v>
      </c>
      <c r="Y315" s="50">
        <f t="shared" si="215"/>
        <v>5.7928891294023718E-2</v>
      </c>
      <c r="Z315" s="50">
        <f t="shared" si="215"/>
        <v>5.019499221712586E-2</v>
      </c>
      <c r="AA315" s="50">
        <f t="shared" si="215"/>
        <v>4.1853093029906328E-2</v>
      </c>
      <c r="AB315" s="50">
        <f t="shared" si="215"/>
        <v>3.507334666327714E-2</v>
      </c>
      <c r="AC315" s="8">
        <f t="shared" si="214"/>
        <v>4.9999999999999991</v>
      </c>
    </row>
    <row r="316" spans="2:29" outlineLevel="1">
      <c r="B316" s="16"/>
      <c r="C316" s="8" t="s">
        <v>48</v>
      </c>
      <c r="D316" s="8">
        <v>2</v>
      </c>
      <c r="E316" s="50">
        <f t="shared" ref="E316:AB316" si="216">+E256</f>
        <v>3.367503361886829E-2</v>
      </c>
      <c r="F316" s="50">
        <f t="shared" si="216"/>
        <v>3.1245692535415936E-2</v>
      </c>
      <c r="G316" s="50">
        <f t="shared" si="216"/>
        <v>2.9861746203171599E-2</v>
      </c>
      <c r="H316" s="50">
        <f t="shared" si="216"/>
        <v>2.9235019370742008E-2</v>
      </c>
      <c r="I316" s="50">
        <f t="shared" si="216"/>
        <v>3.0186379118294998E-2</v>
      </c>
      <c r="J316" s="50">
        <f t="shared" si="216"/>
        <v>3.3123682717801174E-2</v>
      </c>
      <c r="K316" s="50">
        <f t="shared" si="216"/>
        <v>3.5563630818173868E-2</v>
      </c>
      <c r="L316" s="50">
        <f t="shared" si="216"/>
        <v>3.7375437025807548E-2</v>
      </c>
      <c r="M316" s="50">
        <f t="shared" si="216"/>
        <v>3.9557895894381336E-2</v>
      </c>
      <c r="N316" s="50">
        <f t="shared" si="216"/>
        <v>4.1330002492198488E-2</v>
      </c>
      <c r="O316" s="50">
        <f t="shared" si="216"/>
        <v>4.3273465010057272E-2</v>
      </c>
      <c r="P316" s="50">
        <f t="shared" si="216"/>
        <v>4.5278417057592932E-2</v>
      </c>
      <c r="Q316" s="50">
        <f t="shared" si="216"/>
        <v>4.5765189585786785E-2</v>
      </c>
      <c r="R316" s="50">
        <f t="shared" si="216"/>
        <v>4.421428774797561E-2</v>
      </c>
      <c r="S316" s="50">
        <f t="shared" si="216"/>
        <v>4.3245429527174986E-2</v>
      </c>
      <c r="T316" s="50">
        <f t="shared" si="216"/>
        <v>4.3554999005074702E-2</v>
      </c>
      <c r="U316" s="50">
        <f t="shared" si="216"/>
        <v>4.4435510161992771E-2</v>
      </c>
      <c r="V316" s="50">
        <f t="shared" si="216"/>
        <v>4.717219114348542E-2</v>
      </c>
      <c r="W316" s="50">
        <f t="shared" si="216"/>
        <v>5.6899741232983039E-2</v>
      </c>
      <c r="X316" s="50">
        <f t="shared" si="216"/>
        <v>6.1986738769463187E-2</v>
      </c>
      <c r="Y316" s="50">
        <f t="shared" si="216"/>
        <v>5.7208700429979269E-2</v>
      </c>
      <c r="Z316" s="50">
        <f t="shared" si="216"/>
        <v>4.9339560702577757E-2</v>
      </c>
      <c r="AA316" s="50">
        <f t="shared" si="216"/>
        <v>4.1368944501432053E-2</v>
      </c>
      <c r="AB316" s="50">
        <f t="shared" si="216"/>
        <v>3.5102305329568817E-2</v>
      </c>
      <c r="AC316" s="8">
        <f t="shared" si="214"/>
        <v>1.9999999999999996</v>
      </c>
    </row>
    <row r="317" spans="2:29" outlineLevel="1">
      <c r="B317" s="12"/>
      <c r="C317" s="12" t="s">
        <v>15</v>
      </c>
      <c r="D317" s="12">
        <f>+SUM(D313:D316)</f>
        <v>31</v>
      </c>
      <c r="E317" s="19">
        <f>+SUMPRODUCT(E313:E316,$D313:$D316)</f>
        <v>0.94362067538169059</v>
      </c>
      <c r="F317" s="19">
        <f>+SUMPRODUCT(F313:F316,$D313:$D316)</f>
        <v>0.88644581564746461</v>
      </c>
      <c r="G317" s="19">
        <f t="shared" ref="G317:AB317" si="217">+SUMPRODUCT(G313:G316,$D313:$D316)</f>
        <v>0.85537890999793265</v>
      </c>
      <c r="H317" s="19">
        <f t="shared" si="217"/>
        <v>0.85079567457439098</v>
      </c>
      <c r="I317" s="19">
        <f t="shared" si="217"/>
        <v>0.90390856586527035</v>
      </c>
      <c r="J317" s="19">
        <f t="shared" si="217"/>
        <v>1.0407370026843787</v>
      </c>
      <c r="K317" s="19">
        <f t="shared" si="217"/>
        <v>1.1648829080952143</v>
      </c>
      <c r="L317" s="19">
        <f t="shared" si="217"/>
        <v>1.2139011207673314</v>
      </c>
      <c r="M317" s="19">
        <f t="shared" si="217"/>
        <v>1.2699823412971984</v>
      </c>
      <c r="N317" s="19">
        <f t="shared" si="217"/>
        <v>1.3112106941074599</v>
      </c>
      <c r="O317" s="19">
        <f t="shared" si="217"/>
        <v>1.3690226124046718</v>
      </c>
      <c r="P317" s="19">
        <f t="shared" si="217"/>
        <v>1.4323345861123198</v>
      </c>
      <c r="Q317" s="19">
        <f t="shared" si="217"/>
        <v>1.4144088694407633</v>
      </c>
      <c r="R317" s="19">
        <f t="shared" si="217"/>
        <v>1.3664150684176015</v>
      </c>
      <c r="S317" s="19">
        <f t="shared" si="217"/>
        <v>1.3606342987398512</v>
      </c>
      <c r="T317" s="19">
        <f t="shared" si="217"/>
        <v>1.3844307316288669</v>
      </c>
      <c r="U317" s="19">
        <f t="shared" si="217"/>
        <v>1.4141756159825074</v>
      </c>
      <c r="V317" s="19">
        <f t="shared" si="217"/>
        <v>1.4785156329045233</v>
      </c>
      <c r="W317" s="19">
        <f t="shared" si="217"/>
        <v>1.7614627841344683</v>
      </c>
      <c r="X317" s="19">
        <f t="shared" si="217"/>
        <v>1.9145683902142034</v>
      </c>
      <c r="Y317" s="19">
        <f t="shared" si="217"/>
        <v>1.7767732560297</v>
      </c>
      <c r="Z317" s="19">
        <f t="shared" si="217"/>
        <v>1.5518258807224479</v>
      </c>
      <c r="AA317" s="19">
        <f t="shared" si="217"/>
        <v>1.2787045909343993</v>
      </c>
      <c r="AB317" s="19">
        <f t="shared" si="217"/>
        <v>1.0558639739153441</v>
      </c>
      <c r="AC317" s="12">
        <f>+SUM(E317:AB317)</f>
        <v>30.999999999999996</v>
      </c>
    </row>
    <row r="318" spans="2:29" outlineLevel="1">
      <c r="B318" s="15">
        <f>+EDATE(B313,1)</f>
        <v>46784</v>
      </c>
      <c r="C318" s="8" t="s">
        <v>45</v>
      </c>
      <c r="D318" s="8">
        <v>21</v>
      </c>
      <c r="E318" s="50">
        <f t="shared" ref="E318:AB318" si="218">+E258</f>
        <v>2.9361257124838391E-2</v>
      </c>
      <c r="F318" s="50">
        <f t="shared" si="218"/>
        <v>2.7692710332229715E-2</v>
      </c>
      <c r="G318" s="50">
        <f t="shared" si="218"/>
        <v>2.6785161397696527E-2</v>
      </c>
      <c r="H318" s="50">
        <f t="shared" si="218"/>
        <v>2.6786989368939883E-2</v>
      </c>
      <c r="I318" s="50">
        <f t="shared" si="218"/>
        <v>2.9135775177511477E-2</v>
      </c>
      <c r="J318" s="50">
        <f t="shared" si="218"/>
        <v>3.4540443856715661E-2</v>
      </c>
      <c r="K318" s="50">
        <f t="shared" si="218"/>
        <v>3.8789035252325646E-2</v>
      </c>
      <c r="L318" s="50">
        <f t="shared" si="218"/>
        <v>3.957865839345593E-2</v>
      </c>
      <c r="M318" s="50">
        <f t="shared" si="218"/>
        <v>4.0957538271781398E-2</v>
      </c>
      <c r="N318" s="50">
        <f t="shared" si="218"/>
        <v>4.2166920044863825E-2</v>
      </c>
      <c r="O318" s="50">
        <f t="shared" si="218"/>
        <v>4.4150374939633218E-2</v>
      </c>
      <c r="P318" s="50">
        <f t="shared" si="218"/>
        <v>4.6294816466469102E-2</v>
      </c>
      <c r="Q318" s="50">
        <f t="shared" si="218"/>
        <v>4.5431875959152102E-2</v>
      </c>
      <c r="R318" s="50">
        <f t="shared" si="218"/>
        <v>4.3879728503346101E-2</v>
      </c>
      <c r="S318" s="50">
        <f t="shared" si="218"/>
        <v>4.4118506624640258E-2</v>
      </c>
      <c r="T318" s="50">
        <f t="shared" si="218"/>
        <v>4.5188432655351718E-2</v>
      </c>
      <c r="U318" s="50">
        <f t="shared" si="218"/>
        <v>4.624302558461979E-2</v>
      </c>
      <c r="V318" s="50">
        <f t="shared" si="218"/>
        <v>4.8247238962955179E-2</v>
      </c>
      <c r="W318" s="50">
        <f t="shared" si="218"/>
        <v>5.7096885328092907E-2</v>
      </c>
      <c r="X318" s="50">
        <f t="shared" si="218"/>
        <v>6.1739938045350239E-2</v>
      </c>
      <c r="Y318" s="50">
        <f t="shared" si="218"/>
        <v>5.7231881517227232E-2</v>
      </c>
      <c r="Z318" s="50">
        <f t="shared" si="218"/>
        <v>5.0129255438435008E-2</v>
      </c>
      <c r="AA318" s="50">
        <f t="shared" si="218"/>
        <v>4.1010488221716553E-2</v>
      </c>
      <c r="AB318" s="50">
        <f t="shared" si="218"/>
        <v>3.34430625326523E-2</v>
      </c>
      <c r="AC318" s="8">
        <f>+SUM(E318:AB318)*D318</f>
        <v>21.000000000000004</v>
      </c>
    </row>
    <row r="319" spans="2:29" outlineLevel="1">
      <c r="B319" s="16"/>
      <c r="C319" s="8" t="s">
        <v>46</v>
      </c>
      <c r="D319" s="8">
        <v>4</v>
      </c>
      <c r="E319" s="50">
        <f t="shared" ref="E319:AB319" si="219">+E259</f>
        <v>3.0659473205105158E-2</v>
      </c>
      <c r="F319" s="50">
        <f t="shared" si="219"/>
        <v>2.8600001140869122E-2</v>
      </c>
      <c r="G319" s="50">
        <f t="shared" si="219"/>
        <v>2.7683858575034276E-2</v>
      </c>
      <c r="H319" s="50">
        <f t="shared" si="219"/>
        <v>2.7537802139610414E-2</v>
      </c>
      <c r="I319" s="50">
        <f t="shared" si="219"/>
        <v>2.8782539770184416E-2</v>
      </c>
      <c r="J319" s="50">
        <f t="shared" si="219"/>
        <v>3.2241585579716119E-2</v>
      </c>
      <c r="K319" s="50">
        <f t="shared" si="219"/>
        <v>3.645312931015221E-2</v>
      </c>
      <c r="L319" s="50">
        <f t="shared" si="219"/>
        <v>3.9012639181609042E-2</v>
      </c>
      <c r="M319" s="50">
        <f t="shared" si="219"/>
        <v>4.1549207589560662E-2</v>
      </c>
      <c r="N319" s="50">
        <f t="shared" si="219"/>
        <v>4.3042516751632572E-2</v>
      </c>
      <c r="O319" s="50">
        <f t="shared" si="219"/>
        <v>4.4973693586955334E-2</v>
      </c>
      <c r="P319" s="50">
        <f t="shared" si="219"/>
        <v>4.6808021710202923E-2</v>
      </c>
      <c r="Q319" s="50">
        <f t="shared" si="219"/>
        <v>4.6383383047344962E-2</v>
      </c>
      <c r="R319" s="50">
        <f t="shared" si="219"/>
        <v>4.4751654806610461E-2</v>
      </c>
      <c r="S319" s="50">
        <f t="shared" si="219"/>
        <v>4.4013077558728637E-2</v>
      </c>
      <c r="T319" s="50">
        <f t="shared" si="219"/>
        <v>4.428856091631931E-2</v>
      </c>
      <c r="U319" s="50">
        <f t="shared" si="219"/>
        <v>4.49735778579251E-2</v>
      </c>
      <c r="V319" s="50">
        <f t="shared" si="219"/>
        <v>4.6933206789217301E-2</v>
      </c>
      <c r="W319" s="50">
        <f t="shared" si="219"/>
        <v>5.6210586428141023E-2</v>
      </c>
      <c r="X319" s="50">
        <f t="shared" si="219"/>
        <v>6.1205656691958259E-2</v>
      </c>
      <c r="Y319" s="50">
        <f t="shared" si="219"/>
        <v>5.7018442088769522E-2</v>
      </c>
      <c r="Z319" s="50">
        <f t="shared" si="219"/>
        <v>4.9896672365740725E-2</v>
      </c>
      <c r="AA319" s="50">
        <f t="shared" si="219"/>
        <v>4.1622868086918119E-2</v>
      </c>
      <c r="AB319" s="50">
        <f t="shared" si="219"/>
        <v>3.5357844821693719E-2</v>
      </c>
      <c r="AC319" s="8">
        <f t="shared" ref="AC319:AC321" si="220">+SUM(E319:AB319)*D319</f>
        <v>3.9999999999999969</v>
      </c>
    </row>
    <row r="320" spans="2:29" outlineLevel="1">
      <c r="B320" s="16"/>
      <c r="C320" s="8" t="s">
        <v>47</v>
      </c>
      <c r="D320" s="8">
        <v>4</v>
      </c>
      <c r="E320" s="50">
        <f t="shared" ref="E320:AB320" si="221">+E260</f>
        <v>3.3281514565353124E-2</v>
      </c>
      <c r="F320" s="50">
        <f t="shared" si="221"/>
        <v>3.1140043873712407E-2</v>
      </c>
      <c r="G320" s="50">
        <f t="shared" si="221"/>
        <v>2.984335106750436E-2</v>
      </c>
      <c r="H320" s="50">
        <f t="shared" si="221"/>
        <v>2.9286927979133532E-2</v>
      </c>
      <c r="I320" s="50">
        <f t="shared" si="221"/>
        <v>2.9138028999542646E-2</v>
      </c>
      <c r="J320" s="50">
        <f t="shared" si="221"/>
        <v>3.0942883559119717E-2</v>
      </c>
      <c r="K320" s="50">
        <f t="shared" si="221"/>
        <v>3.4432484834348992E-2</v>
      </c>
      <c r="L320" s="50">
        <f t="shared" si="221"/>
        <v>3.8305304424032266E-2</v>
      </c>
      <c r="M320" s="50">
        <f t="shared" si="221"/>
        <v>4.1103790742913066E-2</v>
      </c>
      <c r="N320" s="50">
        <f t="shared" si="221"/>
        <v>4.2608444243851212E-2</v>
      </c>
      <c r="O320" s="50">
        <f t="shared" si="221"/>
        <v>4.3914681848814308E-2</v>
      </c>
      <c r="P320" s="50">
        <f t="shared" si="221"/>
        <v>4.5729867165388009E-2</v>
      </c>
      <c r="Q320" s="50">
        <f t="shared" si="221"/>
        <v>4.5741487779353565E-2</v>
      </c>
      <c r="R320" s="50">
        <f t="shared" si="221"/>
        <v>4.4277060725657284E-2</v>
      </c>
      <c r="S320" s="50">
        <f t="shared" si="221"/>
        <v>4.3144199391556254E-2</v>
      </c>
      <c r="T320" s="50">
        <f t="shared" si="221"/>
        <v>4.3279567369281124E-2</v>
      </c>
      <c r="U320" s="50">
        <f t="shared" si="221"/>
        <v>4.4109954506885138E-2</v>
      </c>
      <c r="V320" s="50">
        <f t="shared" si="221"/>
        <v>4.6298728840315946E-2</v>
      </c>
      <c r="W320" s="50">
        <f t="shared" si="221"/>
        <v>5.6176649878816001E-2</v>
      </c>
      <c r="X320" s="50">
        <f t="shared" si="221"/>
        <v>6.2194705000087863E-2</v>
      </c>
      <c r="Y320" s="50">
        <f t="shared" si="221"/>
        <v>5.7928891294023718E-2</v>
      </c>
      <c r="Z320" s="50">
        <f t="shared" si="221"/>
        <v>5.019499221712586E-2</v>
      </c>
      <c r="AA320" s="50">
        <f t="shared" si="221"/>
        <v>4.1853093029906328E-2</v>
      </c>
      <c r="AB320" s="50">
        <f t="shared" si="221"/>
        <v>3.507334666327714E-2</v>
      </c>
      <c r="AC320" s="8">
        <f t="shared" si="220"/>
        <v>3.9999999999999991</v>
      </c>
    </row>
    <row r="321" spans="2:29" outlineLevel="1">
      <c r="B321" s="16"/>
      <c r="C321" s="8" t="s">
        <v>48</v>
      </c>
      <c r="D321" s="8">
        <v>0</v>
      </c>
      <c r="E321" s="50">
        <f t="shared" ref="E321:AB321" si="222">+E261</f>
        <v>3.367503361886829E-2</v>
      </c>
      <c r="F321" s="50">
        <f t="shared" si="222"/>
        <v>3.1245692535415936E-2</v>
      </c>
      <c r="G321" s="50">
        <f t="shared" si="222"/>
        <v>2.9861746203171599E-2</v>
      </c>
      <c r="H321" s="50">
        <f t="shared" si="222"/>
        <v>2.9235019370742008E-2</v>
      </c>
      <c r="I321" s="50">
        <f t="shared" si="222"/>
        <v>3.0186379118294998E-2</v>
      </c>
      <c r="J321" s="50">
        <f t="shared" si="222"/>
        <v>3.3123682717801174E-2</v>
      </c>
      <c r="K321" s="50">
        <f t="shared" si="222"/>
        <v>3.5563630818173868E-2</v>
      </c>
      <c r="L321" s="50">
        <f t="shared" si="222"/>
        <v>3.7375437025807548E-2</v>
      </c>
      <c r="M321" s="50">
        <f t="shared" si="222"/>
        <v>3.9557895894381336E-2</v>
      </c>
      <c r="N321" s="50">
        <f t="shared" si="222"/>
        <v>4.1330002492198488E-2</v>
      </c>
      <c r="O321" s="50">
        <f t="shared" si="222"/>
        <v>4.3273465010057272E-2</v>
      </c>
      <c r="P321" s="50">
        <f t="shared" si="222"/>
        <v>4.5278417057592932E-2</v>
      </c>
      <c r="Q321" s="50">
        <f t="shared" si="222"/>
        <v>4.5765189585786785E-2</v>
      </c>
      <c r="R321" s="50">
        <f t="shared" si="222"/>
        <v>4.421428774797561E-2</v>
      </c>
      <c r="S321" s="50">
        <f t="shared" si="222"/>
        <v>4.3245429527174986E-2</v>
      </c>
      <c r="T321" s="50">
        <f t="shared" si="222"/>
        <v>4.3554999005074702E-2</v>
      </c>
      <c r="U321" s="50">
        <f t="shared" si="222"/>
        <v>4.4435510161992771E-2</v>
      </c>
      <c r="V321" s="50">
        <f t="shared" si="222"/>
        <v>4.717219114348542E-2</v>
      </c>
      <c r="W321" s="50">
        <f t="shared" si="222"/>
        <v>5.6899741232983039E-2</v>
      </c>
      <c r="X321" s="50">
        <f t="shared" si="222"/>
        <v>6.1986738769463187E-2</v>
      </c>
      <c r="Y321" s="50">
        <f t="shared" si="222"/>
        <v>5.7208700429979269E-2</v>
      </c>
      <c r="Z321" s="50">
        <f t="shared" si="222"/>
        <v>4.9339560702577757E-2</v>
      </c>
      <c r="AA321" s="50">
        <f t="shared" si="222"/>
        <v>4.1368944501432053E-2</v>
      </c>
      <c r="AB321" s="50">
        <f t="shared" si="222"/>
        <v>3.5102305329568817E-2</v>
      </c>
      <c r="AC321" s="8">
        <f t="shared" si="220"/>
        <v>0</v>
      </c>
    </row>
    <row r="322" spans="2:29" outlineLevel="1">
      <c r="B322" s="12"/>
      <c r="C322" s="12" t="s">
        <v>15</v>
      </c>
      <c r="D322" s="12">
        <f>+SUM(D318:D321)</f>
        <v>29</v>
      </c>
      <c r="E322" s="19">
        <f>+SUMPRODUCT(E318:E321,$D318:$D321)</f>
        <v>0.87235035070343936</v>
      </c>
      <c r="F322" s="19">
        <f>+SUMPRODUCT(F318:F321,$D318:$D321)</f>
        <v>0.82050709703515012</v>
      </c>
      <c r="G322" s="19">
        <f t="shared" ref="G322:AB322" si="223">+SUMPRODUCT(G318:G321,$D318:$D321)</f>
        <v>0.79259722792178156</v>
      </c>
      <c r="H322" s="19">
        <f t="shared" si="223"/>
        <v>0.78982569722271334</v>
      </c>
      <c r="I322" s="19">
        <f t="shared" si="223"/>
        <v>0.84353355380664929</v>
      </c>
      <c r="J322" s="19">
        <f t="shared" si="223"/>
        <v>0.9780871975463723</v>
      </c>
      <c r="K322" s="19">
        <f t="shared" si="223"/>
        <v>1.0981121968768432</v>
      </c>
      <c r="L322" s="19">
        <f t="shared" si="223"/>
        <v>1.1404236006851398</v>
      </c>
      <c r="M322" s="19">
        <f t="shared" si="223"/>
        <v>1.1907202970373043</v>
      </c>
      <c r="N322" s="19">
        <f t="shared" si="223"/>
        <v>1.2281091649240756</v>
      </c>
      <c r="O322" s="19">
        <f t="shared" si="223"/>
        <v>1.2827113754753761</v>
      </c>
      <c r="P322" s="19">
        <f t="shared" si="223"/>
        <v>1.342342701298215</v>
      </c>
      <c r="Q322" s="19">
        <f t="shared" si="223"/>
        <v>1.3225688784489882</v>
      </c>
      <c r="R322" s="19">
        <f t="shared" si="223"/>
        <v>1.277589160699339</v>
      </c>
      <c r="S322" s="19">
        <f t="shared" si="223"/>
        <v>1.275117746918585</v>
      </c>
      <c r="T322" s="19">
        <f t="shared" si="223"/>
        <v>1.299229598904788</v>
      </c>
      <c r="U322" s="19">
        <f t="shared" si="223"/>
        <v>1.3274376667362566</v>
      </c>
      <c r="V322" s="19">
        <f t="shared" si="223"/>
        <v>1.3861197607401918</v>
      </c>
      <c r="W322" s="19">
        <f t="shared" si="223"/>
        <v>1.6485835371177791</v>
      </c>
      <c r="X322" s="19">
        <f t="shared" si="223"/>
        <v>1.7901401457205397</v>
      </c>
      <c r="Y322" s="19">
        <f t="shared" si="223"/>
        <v>1.6616588453929448</v>
      </c>
      <c r="Z322" s="19">
        <f t="shared" si="223"/>
        <v>1.4530810225386017</v>
      </c>
      <c r="AA322" s="19">
        <f t="shared" si="223"/>
        <v>1.1951240971233454</v>
      </c>
      <c r="AB322" s="19">
        <f t="shared" si="223"/>
        <v>0.98402907912558168</v>
      </c>
      <c r="AC322" s="12">
        <f>+SUM(E322:AB322)</f>
        <v>29</v>
      </c>
    </row>
    <row r="323" spans="2:29" outlineLevel="1">
      <c r="B323" s="15">
        <f>+EDATE(B318,1)</f>
        <v>46813</v>
      </c>
      <c r="C323" s="8" t="s">
        <v>45</v>
      </c>
      <c r="D323" s="8">
        <v>22</v>
      </c>
      <c r="E323" s="50">
        <f t="shared" ref="E323:AB323" si="224">+E263</f>
        <v>2.9361257124838391E-2</v>
      </c>
      <c r="F323" s="50">
        <f t="shared" si="224"/>
        <v>2.7692710332229715E-2</v>
      </c>
      <c r="G323" s="50">
        <f t="shared" si="224"/>
        <v>2.6785161397696527E-2</v>
      </c>
      <c r="H323" s="50">
        <f t="shared" si="224"/>
        <v>2.6786989368939883E-2</v>
      </c>
      <c r="I323" s="50">
        <f t="shared" si="224"/>
        <v>2.9135775177511477E-2</v>
      </c>
      <c r="J323" s="50">
        <f t="shared" si="224"/>
        <v>3.4540443856715661E-2</v>
      </c>
      <c r="K323" s="50">
        <f t="shared" si="224"/>
        <v>3.8789035252325646E-2</v>
      </c>
      <c r="L323" s="50">
        <f t="shared" si="224"/>
        <v>3.957865839345593E-2</v>
      </c>
      <c r="M323" s="50">
        <f t="shared" si="224"/>
        <v>4.0957538271781398E-2</v>
      </c>
      <c r="N323" s="50">
        <f t="shared" si="224"/>
        <v>4.2166920044863825E-2</v>
      </c>
      <c r="O323" s="50">
        <f t="shared" si="224"/>
        <v>4.4150374939633218E-2</v>
      </c>
      <c r="P323" s="50">
        <f t="shared" si="224"/>
        <v>4.6294816466469102E-2</v>
      </c>
      <c r="Q323" s="50">
        <f t="shared" si="224"/>
        <v>4.5431875959152102E-2</v>
      </c>
      <c r="R323" s="50">
        <f t="shared" si="224"/>
        <v>4.3879728503346101E-2</v>
      </c>
      <c r="S323" s="50">
        <f t="shared" si="224"/>
        <v>4.4118506624640258E-2</v>
      </c>
      <c r="T323" s="50">
        <f t="shared" si="224"/>
        <v>4.5188432655351718E-2</v>
      </c>
      <c r="U323" s="50">
        <f t="shared" si="224"/>
        <v>4.624302558461979E-2</v>
      </c>
      <c r="V323" s="50">
        <f t="shared" si="224"/>
        <v>4.8247238962955179E-2</v>
      </c>
      <c r="W323" s="50">
        <f t="shared" si="224"/>
        <v>5.7096885328092907E-2</v>
      </c>
      <c r="X323" s="50">
        <f t="shared" si="224"/>
        <v>6.1739938045350239E-2</v>
      </c>
      <c r="Y323" s="50">
        <f t="shared" si="224"/>
        <v>5.7231881517227232E-2</v>
      </c>
      <c r="Z323" s="50">
        <f t="shared" si="224"/>
        <v>5.0129255438435008E-2</v>
      </c>
      <c r="AA323" s="50">
        <f t="shared" si="224"/>
        <v>4.1010488221716553E-2</v>
      </c>
      <c r="AB323" s="50">
        <f t="shared" si="224"/>
        <v>3.34430625326523E-2</v>
      </c>
      <c r="AC323" s="8">
        <f>+SUM(E323:AB323)*D323</f>
        <v>22.000000000000004</v>
      </c>
    </row>
    <row r="324" spans="2:29" outlineLevel="1">
      <c r="B324" s="16"/>
      <c r="C324" s="8" t="s">
        <v>46</v>
      </c>
      <c r="D324" s="8">
        <v>4</v>
      </c>
      <c r="E324" s="50">
        <f t="shared" ref="E324:AB324" si="225">+E264</f>
        <v>3.0659473205105158E-2</v>
      </c>
      <c r="F324" s="50">
        <f t="shared" si="225"/>
        <v>2.8600001140869122E-2</v>
      </c>
      <c r="G324" s="50">
        <f t="shared" si="225"/>
        <v>2.7683858575034276E-2</v>
      </c>
      <c r="H324" s="50">
        <f t="shared" si="225"/>
        <v>2.7537802139610414E-2</v>
      </c>
      <c r="I324" s="50">
        <f t="shared" si="225"/>
        <v>2.8782539770184416E-2</v>
      </c>
      <c r="J324" s="50">
        <f t="shared" si="225"/>
        <v>3.2241585579716119E-2</v>
      </c>
      <c r="K324" s="50">
        <f t="shared" si="225"/>
        <v>3.645312931015221E-2</v>
      </c>
      <c r="L324" s="50">
        <f t="shared" si="225"/>
        <v>3.9012639181609042E-2</v>
      </c>
      <c r="M324" s="50">
        <f t="shared" si="225"/>
        <v>4.1549207589560662E-2</v>
      </c>
      <c r="N324" s="50">
        <f t="shared" si="225"/>
        <v>4.3042516751632572E-2</v>
      </c>
      <c r="O324" s="50">
        <f t="shared" si="225"/>
        <v>4.4973693586955334E-2</v>
      </c>
      <c r="P324" s="50">
        <f t="shared" si="225"/>
        <v>4.6808021710202923E-2</v>
      </c>
      <c r="Q324" s="50">
        <f t="shared" si="225"/>
        <v>4.6383383047344962E-2</v>
      </c>
      <c r="R324" s="50">
        <f t="shared" si="225"/>
        <v>4.4751654806610461E-2</v>
      </c>
      <c r="S324" s="50">
        <f t="shared" si="225"/>
        <v>4.4013077558728637E-2</v>
      </c>
      <c r="T324" s="50">
        <f t="shared" si="225"/>
        <v>4.428856091631931E-2</v>
      </c>
      <c r="U324" s="50">
        <f t="shared" si="225"/>
        <v>4.49735778579251E-2</v>
      </c>
      <c r="V324" s="50">
        <f t="shared" si="225"/>
        <v>4.6933206789217301E-2</v>
      </c>
      <c r="W324" s="50">
        <f t="shared" si="225"/>
        <v>5.6210586428141023E-2</v>
      </c>
      <c r="X324" s="50">
        <f t="shared" si="225"/>
        <v>6.1205656691958259E-2</v>
      </c>
      <c r="Y324" s="50">
        <f t="shared" si="225"/>
        <v>5.7018442088769522E-2</v>
      </c>
      <c r="Z324" s="50">
        <f t="shared" si="225"/>
        <v>4.9896672365740725E-2</v>
      </c>
      <c r="AA324" s="50">
        <f t="shared" si="225"/>
        <v>4.1622868086918119E-2</v>
      </c>
      <c r="AB324" s="50">
        <f t="shared" si="225"/>
        <v>3.5357844821693719E-2</v>
      </c>
      <c r="AC324" s="8">
        <f t="shared" ref="AC324:AC326" si="226">+SUM(E324:AB324)*D324</f>
        <v>3.9999999999999969</v>
      </c>
    </row>
    <row r="325" spans="2:29" outlineLevel="1">
      <c r="B325" s="16"/>
      <c r="C325" s="8" t="s">
        <v>47</v>
      </c>
      <c r="D325" s="8">
        <v>4</v>
      </c>
      <c r="E325" s="50">
        <f t="shared" ref="E325:AB325" si="227">+E265</f>
        <v>3.3281514565353124E-2</v>
      </c>
      <c r="F325" s="50">
        <f t="shared" si="227"/>
        <v>3.1140043873712407E-2</v>
      </c>
      <c r="G325" s="50">
        <f t="shared" si="227"/>
        <v>2.984335106750436E-2</v>
      </c>
      <c r="H325" s="50">
        <f t="shared" si="227"/>
        <v>2.9286927979133532E-2</v>
      </c>
      <c r="I325" s="50">
        <f t="shared" si="227"/>
        <v>2.9138028999542646E-2</v>
      </c>
      <c r="J325" s="50">
        <f t="shared" si="227"/>
        <v>3.0942883559119717E-2</v>
      </c>
      <c r="K325" s="50">
        <f t="shared" si="227"/>
        <v>3.4432484834348992E-2</v>
      </c>
      <c r="L325" s="50">
        <f t="shared" si="227"/>
        <v>3.8305304424032266E-2</v>
      </c>
      <c r="M325" s="50">
        <f t="shared" si="227"/>
        <v>4.1103790742913066E-2</v>
      </c>
      <c r="N325" s="50">
        <f t="shared" si="227"/>
        <v>4.2608444243851212E-2</v>
      </c>
      <c r="O325" s="50">
        <f t="shared" si="227"/>
        <v>4.3914681848814308E-2</v>
      </c>
      <c r="P325" s="50">
        <f t="shared" si="227"/>
        <v>4.5729867165388009E-2</v>
      </c>
      <c r="Q325" s="50">
        <f t="shared" si="227"/>
        <v>4.5741487779353565E-2</v>
      </c>
      <c r="R325" s="50">
        <f t="shared" si="227"/>
        <v>4.4277060725657284E-2</v>
      </c>
      <c r="S325" s="50">
        <f t="shared" si="227"/>
        <v>4.3144199391556254E-2</v>
      </c>
      <c r="T325" s="50">
        <f t="shared" si="227"/>
        <v>4.3279567369281124E-2</v>
      </c>
      <c r="U325" s="50">
        <f t="shared" si="227"/>
        <v>4.4109954506885138E-2</v>
      </c>
      <c r="V325" s="50">
        <f t="shared" si="227"/>
        <v>4.6298728840315946E-2</v>
      </c>
      <c r="W325" s="50">
        <f t="shared" si="227"/>
        <v>5.6176649878816001E-2</v>
      </c>
      <c r="X325" s="50">
        <f t="shared" si="227"/>
        <v>6.2194705000087863E-2</v>
      </c>
      <c r="Y325" s="50">
        <f t="shared" si="227"/>
        <v>5.7928891294023718E-2</v>
      </c>
      <c r="Z325" s="50">
        <f t="shared" si="227"/>
        <v>5.019499221712586E-2</v>
      </c>
      <c r="AA325" s="50">
        <f t="shared" si="227"/>
        <v>4.1853093029906328E-2</v>
      </c>
      <c r="AB325" s="50">
        <f t="shared" si="227"/>
        <v>3.507334666327714E-2</v>
      </c>
      <c r="AC325" s="8">
        <f t="shared" si="226"/>
        <v>3.9999999999999991</v>
      </c>
    </row>
    <row r="326" spans="2:29" outlineLevel="1">
      <c r="B326" s="16"/>
      <c r="C326" s="8" t="s">
        <v>48</v>
      </c>
      <c r="D326" s="8">
        <v>1</v>
      </c>
      <c r="E326" s="50">
        <f t="shared" ref="E326:AB326" si="228">+E266</f>
        <v>3.367503361886829E-2</v>
      </c>
      <c r="F326" s="50">
        <f t="shared" si="228"/>
        <v>3.1245692535415936E-2</v>
      </c>
      <c r="G326" s="50">
        <f t="shared" si="228"/>
        <v>2.9861746203171599E-2</v>
      </c>
      <c r="H326" s="50">
        <f t="shared" si="228"/>
        <v>2.9235019370742008E-2</v>
      </c>
      <c r="I326" s="50">
        <f t="shared" si="228"/>
        <v>3.0186379118294998E-2</v>
      </c>
      <c r="J326" s="50">
        <f t="shared" si="228"/>
        <v>3.3123682717801174E-2</v>
      </c>
      <c r="K326" s="50">
        <f t="shared" si="228"/>
        <v>3.5563630818173868E-2</v>
      </c>
      <c r="L326" s="50">
        <f t="shared" si="228"/>
        <v>3.7375437025807548E-2</v>
      </c>
      <c r="M326" s="50">
        <f t="shared" si="228"/>
        <v>3.9557895894381336E-2</v>
      </c>
      <c r="N326" s="50">
        <f t="shared" si="228"/>
        <v>4.1330002492198488E-2</v>
      </c>
      <c r="O326" s="50">
        <f t="shared" si="228"/>
        <v>4.3273465010057272E-2</v>
      </c>
      <c r="P326" s="50">
        <f t="shared" si="228"/>
        <v>4.5278417057592932E-2</v>
      </c>
      <c r="Q326" s="50">
        <f t="shared" si="228"/>
        <v>4.5765189585786785E-2</v>
      </c>
      <c r="R326" s="50">
        <f t="shared" si="228"/>
        <v>4.421428774797561E-2</v>
      </c>
      <c r="S326" s="50">
        <f t="shared" si="228"/>
        <v>4.3245429527174986E-2</v>
      </c>
      <c r="T326" s="50">
        <f t="shared" si="228"/>
        <v>4.3554999005074702E-2</v>
      </c>
      <c r="U326" s="50">
        <f t="shared" si="228"/>
        <v>4.4435510161992771E-2</v>
      </c>
      <c r="V326" s="50">
        <f t="shared" si="228"/>
        <v>4.717219114348542E-2</v>
      </c>
      <c r="W326" s="50">
        <f t="shared" si="228"/>
        <v>5.6899741232983039E-2</v>
      </c>
      <c r="X326" s="50">
        <f t="shared" si="228"/>
        <v>6.1986738769463187E-2</v>
      </c>
      <c r="Y326" s="50">
        <f t="shared" si="228"/>
        <v>5.7208700429979269E-2</v>
      </c>
      <c r="Z326" s="50">
        <f t="shared" si="228"/>
        <v>4.9339560702577757E-2</v>
      </c>
      <c r="AA326" s="50">
        <f t="shared" si="228"/>
        <v>4.1368944501432053E-2</v>
      </c>
      <c r="AB326" s="50">
        <f t="shared" si="228"/>
        <v>3.5102305329568817E-2</v>
      </c>
      <c r="AC326" s="8">
        <f t="shared" si="226"/>
        <v>0.99999999999999978</v>
      </c>
    </row>
    <row r="327" spans="2:29" outlineLevel="1">
      <c r="B327" s="12"/>
      <c r="C327" s="12" t="s">
        <v>15</v>
      </c>
      <c r="D327" s="12">
        <f>+SUM(D323:D326)</f>
        <v>31</v>
      </c>
      <c r="E327" s="19">
        <f>+SUMPRODUCT(E323:E326,$D323:$D326)</f>
        <v>0.93538664144714589</v>
      </c>
      <c r="F327" s="19">
        <f>+SUMPRODUCT(F323:F326,$D323:$D326)</f>
        <v>0.87944549990279586</v>
      </c>
      <c r="G327" s="19">
        <f t="shared" ref="G327:AB327" si="229">+SUMPRODUCT(G323:G326,$D323:$D326)</f>
        <v>0.84924413552264977</v>
      </c>
      <c r="H327" s="19">
        <f t="shared" si="229"/>
        <v>0.84584770596239522</v>
      </c>
      <c r="I327" s="19">
        <f t="shared" si="229"/>
        <v>0.90285570810245575</v>
      </c>
      <c r="J327" s="19">
        <f t="shared" si="229"/>
        <v>1.0457513241208891</v>
      </c>
      <c r="K327" s="19">
        <f t="shared" si="229"/>
        <v>1.1724648629473431</v>
      </c>
      <c r="L327" s="19">
        <f t="shared" si="229"/>
        <v>1.2173776961044029</v>
      </c>
      <c r="M327" s="19">
        <f t="shared" si="229"/>
        <v>1.2712357312034672</v>
      </c>
      <c r="N327" s="19">
        <f t="shared" si="229"/>
        <v>1.3116060874611379</v>
      </c>
      <c r="O327" s="19">
        <f t="shared" si="229"/>
        <v>1.3701352154250666</v>
      </c>
      <c r="P327" s="19">
        <f t="shared" si="229"/>
        <v>1.4339159348222767</v>
      </c>
      <c r="Q327" s="19">
        <f t="shared" si="229"/>
        <v>1.413765943993927</v>
      </c>
      <c r="R327" s="19">
        <f t="shared" si="229"/>
        <v>1.3656831769506608</v>
      </c>
      <c r="S327" s="19">
        <f t="shared" si="229"/>
        <v>1.3624816830704001</v>
      </c>
      <c r="T327" s="19">
        <f t="shared" si="229"/>
        <v>1.3879730305652143</v>
      </c>
      <c r="U327" s="19">
        <f t="shared" si="229"/>
        <v>1.4181162024828693</v>
      </c>
      <c r="V327" s="19">
        <f t="shared" si="229"/>
        <v>1.4815391908466324</v>
      </c>
      <c r="W327" s="19">
        <f t="shared" si="229"/>
        <v>1.7625801636788549</v>
      </c>
      <c r="X327" s="19">
        <f t="shared" si="229"/>
        <v>1.913866822535353</v>
      </c>
      <c r="Y327" s="19">
        <f t="shared" si="229"/>
        <v>1.7760994273401516</v>
      </c>
      <c r="Z327" s="19">
        <f t="shared" si="229"/>
        <v>1.5525498386796144</v>
      </c>
      <c r="AA327" s="19">
        <f t="shared" si="229"/>
        <v>1.2775035298464938</v>
      </c>
      <c r="AB327" s="19">
        <f t="shared" si="229"/>
        <v>1.0525744469878027</v>
      </c>
      <c r="AC327" s="12">
        <f>+SUM(E327:AB327)</f>
        <v>31.000000000000004</v>
      </c>
    </row>
    <row r="328" spans="2:29" outlineLevel="1">
      <c r="B328" s="15">
        <f>+EDATE(B323,1)</f>
        <v>46844</v>
      </c>
      <c r="C328" s="8" t="s">
        <v>45</v>
      </c>
      <c r="D328" s="8">
        <v>18</v>
      </c>
      <c r="E328" s="50">
        <f t="shared" ref="E328:AB328" si="230">+E268</f>
        <v>2.9361257124838391E-2</v>
      </c>
      <c r="F328" s="50">
        <f t="shared" si="230"/>
        <v>2.7692710332229715E-2</v>
      </c>
      <c r="G328" s="50">
        <f t="shared" si="230"/>
        <v>2.6785161397696527E-2</v>
      </c>
      <c r="H328" s="50">
        <f t="shared" si="230"/>
        <v>2.6786989368939883E-2</v>
      </c>
      <c r="I328" s="50">
        <f t="shared" si="230"/>
        <v>2.9135775177511477E-2</v>
      </c>
      <c r="J328" s="50">
        <f t="shared" si="230"/>
        <v>3.4540443856715661E-2</v>
      </c>
      <c r="K328" s="50">
        <f t="shared" si="230"/>
        <v>3.8789035252325646E-2</v>
      </c>
      <c r="L328" s="50">
        <f t="shared" si="230"/>
        <v>3.957865839345593E-2</v>
      </c>
      <c r="M328" s="50">
        <f t="shared" si="230"/>
        <v>4.0957538271781398E-2</v>
      </c>
      <c r="N328" s="50">
        <f t="shared" si="230"/>
        <v>4.2166920044863825E-2</v>
      </c>
      <c r="O328" s="50">
        <f t="shared" si="230"/>
        <v>4.4150374939633218E-2</v>
      </c>
      <c r="P328" s="50">
        <f t="shared" si="230"/>
        <v>4.6294816466469102E-2</v>
      </c>
      <c r="Q328" s="50">
        <f t="shared" si="230"/>
        <v>4.5431875959152102E-2</v>
      </c>
      <c r="R328" s="50">
        <f t="shared" si="230"/>
        <v>4.3879728503346101E-2</v>
      </c>
      <c r="S328" s="50">
        <f t="shared" si="230"/>
        <v>4.4118506624640258E-2</v>
      </c>
      <c r="T328" s="50">
        <f t="shared" si="230"/>
        <v>4.5188432655351718E-2</v>
      </c>
      <c r="U328" s="50">
        <f t="shared" si="230"/>
        <v>4.624302558461979E-2</v>
      </c>
      <c r="V328" s="50">
        <f t="shared" si="230"/>
        <v>4.8247238962955179E-2</v>
      </c>
      <c r="W328" s="50">
        <f t="shared" si="230"/>
        <v>5.7096885328092907E-2</v>
      </c>
      <c r="X328" s="50">
        <f t="shared" si="230"/>
        <v>6.1739938045350239E-2</v>
      </c>
      <c r="Y328" s="50">
        <f t="shared" si="230"/>
        <v>5.7231881517227232E-2</v>
      </c>
      <c r="Z328" s="50">
        <f t="shared" si="230"/>
        <v>5.0129255438435008E-2</v>
      </c>
      <c r="AA328" s="50">
        <f t="shared" si="230"/>
        <v>4.1010488221716553E-2</v>
      </c>
      <c r="AB328" s="50">
        <f t="shared" si="230"/>
        <v>3.34430625326523E-2</v>
      </c>
      <c r="AC328" s="8">
        <f>+SUM(E328:AB328)*D328</f>
        <v>18.000000000000004</v>
      </c>
    </row>
    <row r="329" spans="2:29" outlineLevel="1">
      <c r="B329" s="16"/>
      <c r="C329" s="8" t="s">
        <v>46</v>
      </c>
      <c r="D329" s="8">
        <v>5</v>
      </c>
      <c r="E329" s="50">
        <f t="shared" ref="E329:AB329" si="231">+E269</f>
        <v>3.0659473205105158E-2</v>
      </c>
      <c r="F329" s="50">
        <f t="shared" si="231"/>
        <v>2.8600001140869122E-2</v>
      </c>
      <c r="G329" s="50">
        <f t="shared" si="231"/>
        <v>2.7683858575034276E-2</v>
      </c>
      <c r="H329" s="50">
        <f t="shared" si="231"/>
        <v>2.7537802139610414E-2</v>
      </c>
      <c r="I329" s="50">
        <f t="shared" si="231"/>
        <v>2.8782539770184416E-2</v>
      </c>
      <c r="J329" s="50">
        <f t="shared" si="231"/>
        <v>3.2241585579716119E-2</v>
      </c>
      <c r="K329" s="50">
        <f t="shared" si="231"/>
        <v>3.645312931015221E-2</v>
      </c>
      <c r="L329" s="50">
        <f t="shared" si="231"/>
        <v>3.9012639181609042E-2</v>
      </c>
      <c r="M329" s="50">
        <f t="shared" si="231"/>
        <v>4.1549207589560662E-2</v>
      </c>
      <c r="N329" s="50">
        <f t="shared" si="231"/>
        <v>4.3042516751632572E-2</v>
      </c>
      <c r="O329" s="50">
        <f t="shared" si="231"/>
        <v>4.4973693586955334E-2</v>
      </c>
      <c r="P329" s="50">
        <f t="shared" si="231"/>
        <v>4.6808021710202923E-2</v>
      </c>
      <c r="Q329" s="50">
        <f t="shared" si="231"/>
        <v>4.6383383047344962E-2</v>
      </c>
      <c r="R329" s="50">
        <f t="shared" si="231"/>
        <v>4.4751654806610461E-2</v>
      </c>
      <c r="S329" s="50">
        <f t="shared" si="231"/>
        <v>4.4013077558728637E-2</v>
      </c>
      <c r="T329" s="50">
        <f t="shared" si="231"/>
        <v>4.428856091631931E-2</v>
      </c>
      <c r="U329" s="50">
        <f t="shared" si="231"/>
        <v>4.49735778579251E-2</v>
      </c>
      <c r="V329" s="50">
        <f t="shared" si="231"/>
        <v>4.6933206789217301E-2</v>
      </c>
      <c r="W329" s="50">
        <f t="shared" si="231"/>
        <v>5.6210586428141023E-2</v>
      </c>
      <c r="X329" s="50">
        <f t="shared" si="231"/>
        <v>6.1205656691958259E-2</v>
      </c>
      <c r="Y329" s="50">
        <f t="shared" si="231"/>
        <v>5.7018442088769522E-2</v>
      </c>
      <c r="Z329" s="50">
        <f t="shared" si="231"/>
        <v>4.9896672365740725E-2</v>
      </c>
      <c r="AA329" s="50">
        <f t="shared" si="231"/>
        <v>4.1622868086918119E-2</v>
      </c>
      <c r="AB329" s="50">
        <f t="shared" si="231"/>
        <v>3.5357844821693719E-2</v>
      </c>
      <c r="AC329" s="8">
        <f t="shared" ref="AC329:AC331" si="232">+SUM(E329:AB329)*D329</f>
        <v>4.9999999999999964</v>
      </c>
    </row>
    <row r="330" spans="2:29" outlineLevel="1">
      <c r="B330" s="16"/>
      <c r="C330" s="8" t="s">
        <v>47</v>
      </c>
      <c r="D330" s="8">
        <v>5</v>
      </c>
      <c r="E330" s="50">
        <f t="shared" ref="E330:AB330" si="233">+E270</f>
        <v>3.3281514565353124E-2</v>
      </c>
      <c r="F330" s="50">
        <f t="shared" si="233"/>
        <v>3.1140043873712407E-2</v>
      </c>
      <c r="G330" s="50">
        <f t="shared" si="233"/>
        <v>2.984335106750436E-2</v>
      </c>
      <c r="H330" s="50">
        <f t="shared" si="233"/>
        <v>2.9286927979133532E-2</v>
      </c>
      <c r="I330" s="50">
        <f t="shared" si="233"/>
        <v>2.9138028999542646E-2</v>
      </c>
      <c r="J330" s="50">
        <f t="shared" si="233"/>
        <v>3.0942883559119717E-2</v>
      </c>
      <c r="K330" s="50">
        <f t="shared" si="233"/>
        <v>3.4432484834348992E-2</v>
      </c>
      <c r="L330" s="50">
        <f t="shared" si="233"/>
        <v>3.8305304424032266E-2</v>
      </c>
      <c r="M330" s="50">
        <f t="shared" si="233"/>
        <v>4.1103790742913066E-2</v>
      </c>
      <c r="N330" s="50">
        <f t="shared" si="233"/>
        <v>4.2608444243851212E-2</v>
      </c>
      <c r="O330" s="50">
        <f t="shared" si="233"/>
        <v>4.3914681848814308E-2</v>
      </c>
      <c r="P330" s="50">
        <f t="shared" si="233"/>
        <v>4.5729867165388009E-2</v>
      </c>
      <c r="Q330" s="50">
        <f t="shared" si="233"/>
        <v>4.5741487779353565E-2</v>
      </c>
      <c r="R330" s="50">
        <f t="shared" si="233"/>
        <v>4.4277060725657284E-2</v>
      </c>
      <c r="S330" s="50">
        <f t="shared" si="233"/>
        <v>4.3144199391556254E-2</v>
      </c>
      <c r="T330" s="50">
        <f t="shared" si="233"/>
        <v>4.3279567369281124E-2</v>
      </c>
      <c r="U330" s="50">
        <f t="shared" si="233"/>
        <v>4.4109954506885138E-2</v>
      </c>
      <c r="V330" s="50">
        <f t="shared" si="233"/>
        <v>4.6298728840315946E-2</v>
      </c>
      <c r="W330" s="50">
        <f t="shared" si="233"/>
        <v>5.6176649878816001E-2</v>
      </c>
      <c r="X330" s="50">
        <f t="shared" si="233"/>
        <v>6.2194705000087863E-2</v>
      </c>
      <c r="Y330" s="50">
        <f t="shared" si="233"/>
        <v>5.7928891294023718E-2</v>
      </c>
      <c r="Z330" s="50">
        <f t="shared" si="233"/>
        <v>5.019499221712586E-2</v>
      </c>
      <c r="AA330" s="50">
        <f t="shared" si="233"/>
        <v>4.1853093029906328E-2</v>
      </c>
      <c r="AB330" s="50">
        <f t="shared" si="233"/>
        <v>3.507334666327714E-2</v>
      </c>
      <c r="AC330" s="8">
        <f t="shared" si="232"/>
        <v>4.9999999999999991</v>
      </c>
    </row>
    <row r="331" spans="2:29" outlineLevel="1">
      <c r="B331" s="16"/>
      <c r="C331" s="8" t="s">
        <v>48</v>
      </c>
      <c r="D331" s="8">
        <v>2</v>
      </c>
      <c r="E331" s="50">
        <f t="shared" ref="E331:AB331" si="234">+E271</f>
        <v>3.367503361886829E-2</v>
      </c>
      <c r="F331" s="50">
        <f t="shared" si="234"/>
        <v>3.1245692535415936E-2</v>
      </c>
      <c r="G331" s="50">
        <f t="shared" si="234"/>
        <v>2.9861746203171599E-2</v>
      </c>
      <c r="H331" s="50">
        <f t="shared" si="234"/>
        <v>2.9235019370742008E-2</v>
      </c>
      <c r="I331" s="50">
        <f t="shared" si="234"/>
        <v>3.0186379118294998E-2</v>
      </c>
      <c r="J331" s="50">
        <f t="shared" si="234"/>
        <v>3.3123682717801174E-2</v>
      </c>
      <c r="K331" s="50">
        <f t="shared" si="234"/>
        <v>3.5563630818173868E-2</v>
      </c>
      <c r="L331" s="50">
        <f t="shared" si="234"/>
        <v>3.7375437025807548E-2</v>
      </c>
      <c r="M331" s="50">
        <f t="shared" si="234"/>
        <v>3.9557895894381336E-2</v>
      </c>
      <c r="N331" s="50">
        <f t="shared" si="234"/>
        <v>4.1330002492198488E-2</v>
      </c>
      <c r="O331" s="50">
        <f t="shared" si="234"/>
        <v>4.3273465010057272E-2</v>
      </c>
      <c r="P331" s="50">
        <f t="shared" si="234"/>
        <v>4.5278417057592932E-2</v>
      </c>
      <c r="Q331" s="50">
        <f t="shared" si="234"/>
        <v>4.5765189585786785E-2</v>
      </c>
      <c r="R331" s="50">
        <f t="shared" si="234"/>
        <v>4.421428774797561E-2</v>
      </c>
      <c r="S331" s="50">
        <f t="shared" si="234"/>
        <v>4.3245429527174986E-2</v>
      </c>
      <c r="T331" s="50">
        <f t="shared" si="234"/>
        <v>4.3554999005074702E-2</v>
      </c>
      <c r="U331" s="50">
        <f t="shared" si="234"/>
        <v>4.4435510161992771E-2</v>
      </c>
      <c r="V331" s="50">
        <f t="shared" si="234"/>
        <v>4.717219114348542E-2</v>
      </c>
      <c r="W331" s="50">
        <f t="shared" si="234"/>
        <v>5.6899741232983039E-2</v>
      </c>
      <c r="X331" s="50">
        <f t="shared" si="234"/>
        <v>6.1986738769463187E-2</v>
      </c>
      <c r="Y331" s="50">
        <f t="shared" si="234"/>
        <v>5.7208700429979269E-2</v>
      </c>
      <c r="Z331" s="50">
        <f t="shared" si="234"/>
        <v>4.9339560702577757E-2</v>
      </c>
      <c r="AA331" s="50">
        <f t="shared" si="234"/>
        <v>4.1368944501432053E-2</v>
      </c>
      <c r="AB331" s="50">
        <f t="shared" si="234"/>
        <v>3.5102305329568817E-2</v>
      </c>
      <c r="AC331" s="8">
        <f t="shared" si="232"/>
        <v>1.9999999999999996</v>
      </c>
    </row>
    <row r="332" spans="2:29" outlineLevel="1">
      <c r="B332" s="12"/>
      <c r="C332" s="12" t="s">
        <v>15</v>
      </c>
      <c r="D332" s="12">
        <f>+SUM(D328:D331)</f>
        <v>30</v>
      </c>
      <c r="E332" s="19">
        <f>+SUMPRODUCT(E328:E331,$D328:$D331)</f>
        <v>0.91555763433711912</v>
      </c>
      <c r="F332" s="19">
        <f>+SUMPRODUCT(F328:F331,$D328:$D331)</f>
        <v>0.85966039612387446</v>
      </c>
      <c r="G332" s="19">
        <f t="shared" ref="G332:AB332" si="235">+SUMPRODUCT(G328:G331,$D328:$D331)</f>
        <v>0.82949244577757386</v>
      </c>
      <c r="H332" s="19">
        <f t="shared" si="235"/>
        <v>0.82475949797612158</v>
      </c>
      <c r="I332" s="19">
        <f t="shared" si="235"/>
        <v>0.87441955528043191</v>
      </c>
      <c r="J332" s="19">
        <f t="shared" si="235"/>
        <v>1.0038977005506635</v>
      </c>
      <c r="K332" s="19">
        <f t="shared" si="235"/>
        <v>1.1237579669007152</v>
      </c>
      <c r="L332" s="19">
        <f t="shared" si="235"/>
        <v>1.1737564431620284</v>
      </c>
      <c r="M332" s="19">
        <f t="shared" si="235"/>
        <v>1.2296164723431964</v>
      </c>
      <c r="N332" s="19">
        <f t="shared" si="235"/>
        <v>1.2699193707693648</v>
      </c>
      <c r="O332" s="19">
        <f t="shared" si="235"/>
        <v>1.3256955561123607</v>
      </c>
      <c r="P332" s="19">
        <f t="shared" si="235"/>
        <v>1.3865529748895844</v>
      </c>
      <c r="Q332" s="19">
        <f t="shared" si="235"/>
        <v>1.3699285005698041</v>
      </c>
      <c r="R332" s="19">
        <f t="shared" si="235"/>
        <v>1.3234072662175198</v>
      </c>
      <c r="S332" s="19">
        <f t="shared" si="235"/>
        <v>1.3164103630492991</v>
      </c>
      <c r="T332" s="19">
        <f t="shared" si="235"/>
        <v>1.3383424272344824</v>
      </c>
      <c r="U332" s="19">
        <f t="shared" si="235"/>
        <v>1.3666631426711928</v>
      </c>
      <c r="V332" s="19">
        <f t="shared" si="235"/>
        <v>1.4289543617678304</v>
      </c>
      <c r="W332" s="19">
        <f t="shared" si="235"/>
        <v>1.7034795999064236</v>
      </c>
      <c r="X332" s="19">
        <f t="shared" si="235"/>
        <v>1.8522941708154612</v>
      </c>
      <c r="Y332" s="19">
        <f t="shared" si="235"/>
        <v>1.7193279350840149</v>
      </c>
      <c r="Z332" s="19">
        <f t="shared" si="235"/>
        <v>1.5014640422113186</v>
      </c>
      <c r="AA332" s="19">
        <f t="shared" si="235"/>
        <v>1.2383064825778842</v>
      </c>
      <c r="AB332" s="19">
        <f t="shared" si="235"/>
        <v>1.0243356936717334</v>
      </c>
      <c r="AC332" s="12">
        <f>+SUM(E332:AB332)</f>
        <v>29.999999999999996</v>
      </c>
    </row>
    <row r="333" spans="2:29" outlineLevel="1">
      <c r="B333" s="15">
        <f>+EDATE(B328,1)</f>
        <v>46874</v>
      </c>
      <c r="C333" s="8" t="s">
        <v>45</v>
      </c>
      <c r="D333" s="8">
        <v>21</v>
      </c>
      <c r="E333" s="50">
        <f t="shared" ref="E333:AB333" si="236">+E273</f>
        <v>2.9361257124838391E-2</v>
      </c>
      <c r="F333" s="50">
        <f t="shared" si="236"/>
        <v>2.7692710332229715E-2</v>
      </c>
      <c r="G333" s="50">
        <f t="shared" si="236"/>
        <v>2.6785161397696527E-2</v>
      </c>
      <c r="H333" s="50">
        <f t="shared" si="236"/>
        <v>2.6786989368939883E-2</v>
      </c>
      <c r="I333" s="50">
        <f t="shared" si="236"/>
        <v>2.9135775177511477E-2</v>
      </c>
      <c r="J333" s="50">
        <f t="shared" si="236"/>
        <v>3.4540443856715661E-2</v>
      </c>
      <c r="K333" s="50">
        <f t="shared" si="236"/>
        <v>3.8789035252325646E-2</v>
      </c>
      <c r="L333" s="50">
        <f t="shared" si="236"/>
        <v>3.957865839345593E-2</v>
      </c>
      <c r="M333" s="50">
        <f t="shared" si="236"/>
        <v>4.0957538271781398E-2</v>
      </c>
      <c r="N333" s="50">
        <f t="shared" si="236"/>
        <v>4.2166920044863825E-2</v>
      </c>
      <c r="O333" s="50">
        <f t="shared" si="236"/>
        <v>4.4150374939633218E-2</v>
      </c>
      <c r="P333" s="50">
        <f t="shared" si="236"/>
        <v>4.6294816466469102E-2</v>
      </c>
      <c r="Q333" s="50">
        <f t="shared" si="236"/>
        <v>4.5431875959152102E-2</v>
      </c>
      <c r="R333" s="50">
        <f t="shared" si="236"/>
        <v>4.3879728503346101E-2</v>
      </c>
      <c r="S333" s="50">
        <f t="shared" si="236"/>
        <v>4.4118506624640258E-2</v>
      </c>
      <c r="T333" s="50">
        <f t="shared" si="236"/>
        <v>4.5188432655351718E-2</v>
      </c>
      <c r="U333" s="50">
        <f t="shared" si="236"/>
        <v>4.624302558461979E-2</v>
      </c>
      <c r="V333" s="50">
        <f t="shared" si="236"/>
        <v>4.8247238962955179E-2</v>
      </c>
      <c r="W333" s="50">
        <f t="shared" si="236"/>
        <v>5.7096885328092907E-2</v>
      </c>
      <c r="X333" s="50">
        <f t="shared" si="236"/>
        <v>6.1739938045350239E-2</v>
      </c>
      <c r="Y333" s="50">
        <f t="shared" si="236"/>
        <v>5.7231881517227232E-2</v>
      </c>
      <c r="Z333" s="50">
        <f t="shared" si="236"/>
        <v>5.0129255438435008E-2</v>
      </c>
      <c r="AA333" s="50">
        <f t="shared" si="236"/>
        <v>4.1010488221716553E-2</v>
      </c>
      <c r="AB333" s="50">
        <f t="shared" si="236"/>
        <v>3.34430625326523E-2</v>
      </c>
      <c r="AC333" s="8">
        <f>+SUM(E333:AB333)*D333</f>
        <v>21.000000000000004</v>
      </c>
    </row>
    <row r="334" spans="2:29" outlineLevel="1">
      <c r="B334" s="16"/>
      <c r="C334" s="8" t="s">
        <v>46</v>
      </c>
      <c r="D334" s="8">
        <v>4</v>
      </c>
      <c r="E334" s="50">
        <f t="shared" ref="E334:AB334" si="237">+E274</f>
        <v>3.0659473205105158E-2</v>
      </c>
      <c r="F334" s="50">
        <f t="shared" si="237"/>
        <v>2.8600001140869122E-2</v>
      </c>
      <c r="G334" s="50">
        <f t="shared" si="237"/>
        <v>2.7683858575034276E-2</v>
      </c>
      <c r="H334" s="50">
        <f t="shared" si="237"/>
        <v>2.7537802139610414E-2</v>
      </c>
      <c r="I334" s="50">
        <f t="shared" si="237"/>
        <v>2.8782539770184416E-2</v>
      </c>
      <c r="J334" s="50">
        <f t="shared" si="237"/>
        <v>3.2241585579716119E-2</v>
      </c>
      <c r="K334" s="50">
        <f t="shared" si="237"/>
        <v>3.645312931015221E-2</v>
      </c>
      <c r="L334" s="50">
        <f t="shared" si="237"/>
        <v>3.9012639181609042E-2</v>
      </c>
      <c r="M334" s="50">
        <f t="shared" si="237"/>
        <v>4.1549207589560662E-2</v>
      </c>
      <c r="N334" s="50">
        <f t="shared" si="237"/>
        <v>4.3042516751632572E-2</v>
      </c>
      <c r="O334" s="50">
        <f t="shared" si="237"/>
        <v>4.4973693586955334E-2</v>
      </c>
      <c r="P334" s="50">
        <f t="shared" si="237"/>
        <v>4.6808021710202923E-2</v>
      </c>
      <c r="Q334" s="50">
        <f t="shared" si="237"/>
        <v>4.6383383047344962E-2</v>
      </c>
      <c r="R334" s="50">
        <f t="shared" si="237"/>
        <v>4.4751654806610461E-2</v>
      </c>
      <c r="S334" s="50">
        <f t="shared" si="237"/>
        <v>4.4013077558728637E-2</v>
      </c>
      <c r="T334" s="50">
        <f t="shared" si="237"/>
        <v>4.428856091631931E-2</v>
      </c>
      <c r="U334" s="50">
        <f t="shared" si="237"/>
        <v>4.49735778579251E-2</v>
      </c>
      <c r="V334" s="50">
        <f t="shared" si="237"/>
        <v>4.6933206789217301E-2</v>
      </c>
      <c r="W334" s="50">
        <f t="shared" si="237"/>
        <v>5.6210586428141023E-2</v>
      </c>
      <c r="X334" s="50">
        <f t="shared" si="237"/>
        <v>6.1205656691958259E-2</v>
      </c>
      <c r="Y334" s="50">
        <f t="shared" si="237"/>
        <v>5.7018442088769522E-2</v>
      </c>
      <c r="Z334" s="50">
        <f t="shared" si="237"/>
        <v>4.9896672365740725E-2</v>
      </c>
      <c r="AA334" s="50">
        <f t="shared" si="237"/>
        <v>4.1622868086918119E-2</v>
      </c>
      <c r="AB334" s="50">
        <f t="shared" si="237"/>
        <v>3.5357844821693719E-2</v>
      </c>
      <c r="AC334" s="8">
        <f t="shared" ref="AC334:AC335" si="238">+SUM(E334:AB334)*D334</f>
        <v>3.9999999999999969</v>
      </c>
    </row>
    <row r="335" spans="2:29" outlineLevel="1">
      <c r="B335" s="16"/>
      <c r="C335" s="8" t="s">
        <v>47</v>
      </c>
      <c r="D335" s="8">
        <v>4</v>
      </c>
      <c r="E335" s="50">
        <f t="shared" ref="E335:AB335" si="239">+E275</f>
        <v>3.3281514565353124E-2</v>
      </c>
      <c r="F335" s="50">
        <f t="shared" si="239"/>
        <v>3.1140043873712407E-2</v>
      </c>
      <c r="G335" s="50">
        <f t="shared" si="239"/>
        <v>2.984335106750436E-2</v>
      </c>
      <c r="H335" s="50">
        <f t="shared" si="239"/>
        <v>2.9286927979133532E-2</v>
      </c>
      <c r="I335" s="50">
        <f t="shared" si="239"/>
        <v>2.9138028999542646E-2</v>
      </c>
      <c r="J335" s="50">
        <f t="shared" si="239"/>
        <v>3.0942883559119717E-2</v>
      </c>
      <c r="K335" s="50">
        <f t="shared" si="239"/>
        <v>3.4432484834348992E-2</v>
      </c>
      <c r="L335" s="50">
        <f t="shared" si="239"/>
        <v>3.8305304424032266E-2</v>
      </c>
      <c r="M335" s="50">
        <f t="shared" si="239"/>
        <v>4.1103790742913066E-2</v>
      </c>
      <c r="N335" s="50">
        <f t="shared" si="239"/>
        <v>4.2608444243851212E-2</v>
      </c>
      <c r="O335" s="50">
        <f t="shared" si="239"/>
        <v>4.3914681848814308E-2</v>
      </c>
      <c r="P335" s="50">
        <f t="shared" si="239"/>
        <v>4.5729867165388009E-2</v>
      </c>
      <c r="Q335" s="50">
        <f t="shared" si="239"/>
        <v>4.5741487779353565E-2</v>
      </c>
      <c r="R335" s="50">
        <f t="shared" si="239"/>
        <v>4.4277060725657284E-2</v>
      </c>
      <c r="S335" s="50">
        <f t="shared" si="239"/>
        <v>4.3144199391556254E-2</v>
      </c>
      <c r="T335" s="50">
        <f t="shared" si="239"/>
        <v>4.3279567369281124E-2</v>
      </c>
      <c r="U335" s="50">
        <f t="shared" si="239"/>
        <v>4.4109954506885138E-2</v>
      </c>
      <c r="V335" s="50">
        <f t="shared" si="239"/>
        <v>4.6298728840315946E-2</v>
      </c>
      <c r="W335" s="50">
        <f t="shared" si="239"/>
        <v>5.6176649878816001E-2</v>
      </c>
      <c r="X335" s="50">
        <f t="shared" si="239"/>
        <v>6.2194705000087863E-2</v>
      </c>
      <c r="Y335" s="50">
        <f t="shared" si="239"/>
        <v>5.7928891294023718E-2</v>
      </c>
      <c r="Z335" s="50">
        <f t="shared" si="239"/>
        <v>5.019499221712586E-2</v>
      </c>
      <c r="AA335" s="50">
        <f t="shared" si="239"/>
        <v>4.1853093029906328E-2</v>
      </c>
      <c r="AB335" s="50">
        <f t="shared" si="239"/>
        <v>3.507334666327714E-2</v>
      </c>
      <c r="AC335" s="8">
        <f t="shared" si="238"/>
        <v>3.9999999999999991</v>
      </c>
    </row>
    <row r="336" spans="2:29" outlineLevel="1">
      <c r="B336" s="16"/>
      <c r="C336" s="8" t="s">
        <v>48</v>
      </c>
      <c r="D336" s="8">
        <v>2</v>
      </c>
      <c r="E336" s="50">
        <f t="shared" ref="E336:AB336" si="240">+E276</f>
        <v>3.367503361886829E-2</v>
      </c>
      <c r="F336" s="50">
        <f t="shared" si="240"/>
        <v>3.1245692535415936E-2</v>
      </c>
      <c r="G336" s="50">
        <f t="shared" si="240"/>
        <v>2.9861746203171599E-2</v>
      </c>
      <c r="H336" s="50">
        <f t="shared" si="240"/>
        <v>2.9235019370742008E-2</v>
      </c>
      <c r="I336" s="50">
        <f t="shared" si="240"/>
        <v>3.0186379118294998E-2</v>
      </c>
      <c r="J336" s="50">
        <f t="shared" si="240"/>
        <v>3.3123682717801174E-2</v>
      </c>
      <c r="K336" s="50">
        <f t="shared" si="240"/>
        <v>3.5563630818173868E-2</v>
      </c>
      <c r="L336" s="50">
        <f t="shared" si="240"/>
        <v>3.7375437025807548E-2</v>
      </c>
      <c r="M336" s="50">
        <f t="shared" si="240"/>
        <v>3.9557895894381336E-2</v>
      </c>
      <c r="N336" s="50">
        <f t="shared" si="240"/>
        <v>4.1330002492198488E-2</v>
      </c>
      <c r="O336" s="50">
        <f t="shared" si="240"/>
        <v>4.3273465010057272E-2</v>
      </c>
      <c r="P336" s="50">
        <f t="shared" si="240"/>
        <v>4.5278417057592932E-2</v>
      </c>
      <c r="Q336" s="50">
        <f t="shared" si="240"/>
        <v>4.5765189585786785E-2</v>
      </c>
      <c r="R336" s="50">
        <f t="shared" si="240"/>
        <v>4.421428774797561E-2</v>
      </c>
      <c r="S336" s="50">
        <f t="shared" si="240"/>
        <v>4.3245429527174986E-2</v>
      </c>
      <c r="T336" s="50">
        <f t="shared" si="240"/>
        <v>4.3554999005074702E-2</v>
      </c>
      <c r="U336" s="50">
        <f t="shared" si="240"/>
        <v>4.4435510161992771E-2</v>
      </c>
      <c r="V336" s="50">
        <f t="shared" si="240"/>
        <v>4.717219114348542E-2</v>
      </c>
      <c r="W336" s="50">
        <f t="shared" si="240"/>
        <v>5.6899741232983039E-2</v>
      </c>
      <c r="X336" s="50">
        <f t="shared" si="240"/>
        <v>6.1986738769463187E-2</v>
      </c>
      <c r="Y336" s="50">
        <f t="shared" si="240"/>
        <v>5.7208700429979269E-2</v>
      </c>
      <c r="Z336" s="50">
        <f t="shared" si="240"/>
        <v>4.9339560702577757E-2</v>
      </c>
      <c r="AA336" s="50">
        <f t="shared" si="240"/>
        <v>4.1368944501432053E-2</v>
      </c>
      <c r="AB336" s="50">
        <f t="shared" si="240"/>
        <v>3.5102305329568817E-2</v>
      </c>
      <c r="AC336" s="8">
        <f>+SUM(E336:AB336)*D336</f>
        <v>1.9999999999999996</v>
      </c>
    </row>
    <row r="337" spans="2:29" outlineLevel="1">
      <c r="B337" s="12"/>
      <c r="C337" s="12" t="s">
        <v>15</v>
      </c>
      <c r="D337" s="12">
        <f>+SUM(D333:D336)</f>
        <v>31</v>
      </c>
      <c r="E337" s="19">
        <f>+SUMPRODUCT(E333:E336,$D333:$D336)</f>
        <v>0.93970041794117598</v>
      </c>
      <c r="F337" s="19">
        <f>+SUMPRODUCT(F333:F336,$D333:$D336)</f>
        <v>0.88299848210598197</v>
      </c>
      <c r="G337" s="19">
        <f t="shared" ref="G337:AB337" si="241">+SUMPRODUCT(G333:G336,$D333:$D336)</f>
        <v>0.85232072032812478</v>
      </c>
      <c r="H337" s="19">
        <f t="shared" si="241"/>
        <v>0.84829573596419738</v>
      </c>
      <c r="I337" s="19">
        <f t="shared" si="241"/>
        <v>0.90390631204323935</v>
      </c>
      <c r="J337" s="19">
        <f t="shared" si="241"/>
        <v>1.0443345629819747</v>
      </c>
      <c r="K337" s="19">
        <f t="shared" si="241"/>
        <v>1.1692394585131909</v>
      </c>
      <c r="L337" s="19">
        <f t="shared" si="241"/>
        <v>1.215174474736755</v>
      </c>
      <c r="M337" s="19">
        <f t="shared" si="241"/>
        <v>1.2698360888260669</v>
      </c>
      <c r="N337" s="19">
        <f t="shared" si="241"/>
        <v>1.3107691699084727</v>
      </c>
      <c r="O337" s="19">
        <f t="shared" si="241"/>
        <v>1.3692583054954905</v>
      </c>
      <c r="P337" s="19">
        <f t="shared" si="241"/>
        <v>1.4328995354134009</v>
      </c>
      <c r="Q337" s="19">
        <f t="shared" si="241"/>
        <v>1.4140992576205618</v>
      </c>
      <c r="R337" s="19">
        <f t="shared" si="241"/>
        <v>1.3660177361952903</v>
      </c>
      <c r="S337" s="19">
        <f t="shared" si="241"/>
        <v>1.3616086059729351</v>
      </c>
      <c r="T337" s="19">
        <f t="shared" si="241"/>
        <v>1.3863395969149375</v>
      </c>
      <c r="U337" s="19">
        <f t="shared" si="241"/>
        <v>1.4163086870602422</v>
      </c>
      <c r="V337" s="19">
        <f t="shared" si="241"/>
        <v>1.4804641430271626</v>
      </c>
      <c r="W337" s="19">
        <f t="shared" si="241"/>
        <v>1.7623830195837451</v>
      </c>
      <c r="X337" s="19">
        <f t="shared" si="241"/>
        <v>1.914113623259466</v>
      </c>
      <c r="Y337" s="19">
        <f t="shared" si="241"/>
        <v>1.7760762462529034</v>
      </c>
      <c r="Z337" s="19">
        <f t="shared" si="241"/>
        <v>1.5517601439437572</v>
      </c>
      <c r="AA337" s="19">
        <f t="shared" si="241"/>
        <v>1.2778619861262095</v>
      </c>
      <c r="AB337" s="19">
        <f t="shared" si="241"/>
        <v>1.0542336897847193</v>
      </c>
      <c r="AC337" s="12">
        <f>+SUM(E337:AB337)</f>
        <v>30.999999999999996</v>
      </c>
    </row>
    <row r="338" spans="2:29" outlineLevel="1">
      <c r="B338" s="15">
        <f>+EDATE(B333,1)</f>
        <v>46905</v>
      </c>
      <c r="C338" s="8" t="s">
        <v>45</v>
      </c>
      <c r="D338" s="8">
        <v>20</v>
      </c>
      <c r="E338" s="50">
        <f t="shared" ref="E338:AB338" si="242">+E278</f>
        <v>2.9361257124838391E-2</v>
      </c>
      <c r="F338" s="50">
        <f t="shared" si="242"/>
        <v>2.7692710332229715E-2</v>
      </c>
      <c r="G338" s="50">
        <f t="shared" si="242"/>
        <v>2.6785161397696527E-2</v>
      </c>
      <c r="H338" s="50">
        <f t="shared" si="242"/>
        <v>2.6786989368939883E-2</v>
      </c>
      <c r="I338" s="50">
        <f t="shared" si="242"/>
        <v>2.9135775177511477E-2</v>
      </c>
      <c r="J338" s="50">
        <f t="shared" si="242"/>
        <v>3.4540443856715661E-2</v>
      </c>
      <c r="K338" s="50">
        <f t="shared" si="242"/>
        <v>3.8789035252325646E-2</v>
      </c>
      <c r="L338" s="50">
        <f t="shared" si="242"/>
        <v>3.957865839345593E-2</v>
      </c>
      <c r="M338" s="50">
        <f t="shared" si="242"/>
        <v>4.0957538271781398E-2</v>
      </c>
      <c r="N338" s="50">
        <f t="shared" si="242"/>
        <v>4.2166920044863825E-2</v>
      </c>
      <c r="O338" s="50">
        <f t="shared" si="242"/>
        <v>4.4150374939633218E-2</v>
      </c>
      <c r="P338" s="50">
        <f t="shared" si="242"/>
        <v>4.6294816466469102E-2</v>
      </c>
      <c r="Q338" s="50">
        <f t="shared" si="242"/>
        <v>4.5431875959152102E-2</v>
      </c>
      <c r="R338" s="50">
        <f t="shared" si="242"/>
        <v>4.3879728503346101E-2</v>
      </c>
      <c r="S338" s="50">
        <f t="shared" si="242"/>
        <v>4.4118506624640258E-2</v>
      </c>
      <c r="T338" s="50">
        <f t="shared" si="242"/>
        <v>4.5188432655351718E-2</v>
      </c>
      <c r="U338" s="50">
        <f t="shared" si="242"/>
        <v>4.624302558461979E-2</v>
      </c>
      <c r="V338" s="50">
        <f t="shared" si="242"/>
        <v>4.8247238962955179E-2</v>
      </c>
      <c r="W338" s="50">
        <f t="shared" si="242"/>
        <v>5.7096885328092907E-2</v>
      </c>
      <c r="X338" s="50">
        <f t="shared" si="242"/>
        <v>6.1739938045350239E-2</v>
      </c>
      <c r="Y338" s="50">
        <f t="shared" si="242"/>
        <v>5.7231881517227232E-2</v>
      </c>
      <c r="Z338" s="50">
        <f t="shared" si="242"/>
        <v>5.0129255438435008E-2</v>
      </c>
      <c r="AA338" s="50">
        <f t="shared" si="242"/>
        <v>4.1010488221716553E-2</v>
      </c>
      <c r="AB338" s="50">
        <f t="shared" si="242"/>
        <v>3.34430625326523E-2</v>
      </c>
      <c r="AC338" s="8">
        <f>+SUM(E338:AB338)*D338</f>
        <v>20.000000000000004</v>
      </c>
    </row>
    <row r="339" spans="2:29" outlineLevel="1">
      <c r="B339" s="16"/>
      <c r="C339" s="8" t="s">
        <v>46</v>
      </c>
      <c r="D339" s="8">
        <v>4</v>
      </c>
      <c r="E339" s="50">
        <f t="shared" ref="E339:AB339" si="243">+E279</f>
        <v>3.0659473205105158E-2</v>
      </c>
      <c r="F339" s="50">
        <f t="shared" si="243"/>
        <v>2.8600001140869122E-2</v>
      </c>
      <c r="G339" s="50">
        <f t="shared" si="243"/>
        <v>2.7683858575034276E-2</v>
      </c>
      <c r="H339" s="50">
        <f t="shared" si="243"/>
        <v>2.7537802139610414E-2</v>
      </c>
      <c r="I339" s="50">
        <f t="shared" si="243"/>
        <v>2.8782539770184416E-2</v>
      </c>
      <c r="J339" s="50">
        <f t="shared" si="243"/>
        <v>3.2241585579716119E-2</v>
      </c>
      <c r="K339" s="50">
        <f t="shared" si="243"/>
        <v>3.645312931015221E-2</v>
      </c>
      <c r="L339" s="50">
        <f t="shared" si="243"/>
        <v>3.9012639181609042E-2</v>
      </c>
      <c r="M339" s="50">
        <f t="shared" si="243"/>
        <v>4.1549207589560662E-2</v>
      </c>
      <c r="N339" s="50">
        <f t="shared" si="243"/>
        <v>4.3042516751632572E-2</v>
      </c>
      <c r="O339" s="50">
        <f t="shared" si="243"/>
        <v>4.4973693586955334E-2</v>
      </c>
      <c r="P339" s="50">
        <f t="shared" si="243"/>
        <v>4.6808021710202923E-2</v>
      </c>
      <c r="Q339" s="50">
        <f t="shared" si="243"/>
        <v>4.6383383047344962E-2</v>
      </c>
      <c r="R339" s="50">
        <f t="shared" si="243"/>
        <v>4.4751654806610461E-2</v>
      </c>
      <c r="S339" s="50">
        <f t="shared" si="243"/>
        <v>4.4013077558728637E-2</v>
      </c>
      <c r="T339" s="50">
        <f t="shared" si="243"/>
        <v>4.428856091631931E-2</v>
      </c>
      <c r="U339" s="50">
        <f t="shared" si="243"/>
        <v>4.49735778579251E-2</v>
      </c>
      <c r="V339" s="50">
        <f t="shared" si="243"/>
        <v>4.6933206789217301E-2</v>
      </c>
      <c r="W339" s="50">
        <f t="shared" si="243"/>
        <v>5.6210586428141023E-2</v>
      </c>
      <c r="X339" s="50">
        <f t="shared" si="243"/>
        <v>6.1205656691958259E-2</v>
      </c>
      <c r="Y339" s="50">
        <f t="shared" si="243"/>
        <v>5.7018442088769522E-2</v>
      </c>
      <c r="Z339" s="50">
        <f t="shared" si="243"/>
        <v>4.9896672365740725E-2</v>
      </c>
      <c r="AA339" s="50">
        <f t="shared" si="243"/>
        <v>4.1622868086918119E-2</v>
      </c>
      <c r="AB339" s="50">
        <f t="shared" si="243"/>
        <v>3.5357844821693719E-2</v>
      </c>
      <c r="AC339" s="8">
        <f t="shared" ref="AC339:AC341" si="244">+SUM(E339:AB339)*D339</f>
        <v>3.9999999999999969</v>
      </c>
    </row>
    <row r="340" spans="2:29" outlineLevel="1">
      <c r="B340" s="16"/>
      <c r="C340" s="8" t="s">
        <v>47</v>
      </c>
      <c r="D340" s="8">
        <v>4</v>
      </c>
      <c r="E340" s="50">
        <f t="shared" ref="E340:AB340" si="245">+E280</f>
        <v>3.3281514565353124E-2</v>
      </c>
      <c r="F340" s="50">
        <f t="shared" si="245"/>
        <v>3.1140043873712407E-2</v>
      </c>
      <c r="G340" s="50">
        <f t="shared" si="245"/>
        <v>2.984335106750436E-2</v>
      </c>
      <c r="H340" s="50">
        <f t="shared" si="245"/>
        <v>2.9286927979133532E-2</v>
      </c>
      <c r="I340" s="50">
        <f t="shared" si="245"/>
        <v>2.9138028999542646E-2</v>
      </c>
      <c r="J340" s="50">
        <f t="shared" si="245"/>
        <v>3.0942883559119717E-2</v>
      </c>
      <c r="K340" s="50">
        <f t="shared" si="245"/>
        <v>3.4432484834348992E-2</v>
      </c>
      <c r="L340" s="50">
        <f t="shared" si="245"/>
        <v>3.8305304424032266E-2</v>
      </c>
      <c r="M340" s="50">
        <f t="shared" si="245"/>
        <v>4.1103790742913066E-2</v>
      </c>
      <c r="N340" s="50">
        <f t="shared" si="245"/>
        <v>4.2608444243851212E-2</v>
      </c>
      <c r="O340" s="50">
        <f t="shared" si="245"/>
        <v>4.3914681848814308E-2</v>
      </c>
      <c r="P340" s="50">
        <f t="shared" si="245"/>
        <v>4.5729867165388009E-2</v>
      </c>
      <c r="Q340" s="50">
        <f t="shared" si="245"/>
        <v>4.5741487779353565E-2</v>
      </c>
      <c r="R340" s="50">
        <f t="shared" si="245"/>
        <v>4.4277060725657284E-2</v>
      </c>
      <c r="S340" s="50">
        <f t="shared" si="245"/>
        <v>4.3144199391556254E-2</v>
      </c>
      <c r="T340" s="50">
        <f t="shared" si="245"/>
        <v>4.3279567369281124E-2</v>
      </c>
      <c r="U340" s="50">
        <f t="shared" si="245"/>
        <v>4.4109954506885138E-2</v>
      </c>
      <c r="V340" s="50">
        <f t="shared" si="245"/>
        <v>4.6298728840315946E-2</v>
      </c>
      <c r="W340" s="50">
        <f t="shared" si="245"/>
        <v>5.6176649878816001E-2</v>
      </c>
      <c r="X340" s="50">
        <f t="shared" si="245"/>
        <v>6.2194705000087863E-2</v>
      </c>
      <c r="Y340" s="50">
        <f t="shared" si="245"/>
        <v>5.7928891294023718E-2</v>
      </c>
      <c r="Z340" s="50">
        <f t="shared" si="245"/>
        <v>5.019499221712586E-2</v>
      </c>
      <c r="AA340" s="50">
        <f t="shared" si="245"/>
        <v>4.1853093029906328E-2</v>
      </c>
      <c r="AB340" s="50">
        <f t="shared" si="245"/>
        <v>3.507334666327714E-2</v>
      </c>
      <c r="AC340" s="8">
        <f t="shared" si="244"/>
        <v>3.9999999999999991</v>
      </c>
    </row>
    <row r="341" spans="2:29" outlineLevel="1">
      <c r="B341" s="16"/>
      <c r="C341" s="8" t="s">
        <v>48</v>
      </c>
      <c r="D341" s="8">
        <v>2</v>
      </c>
      <c r="E341" s="50">
        <f t="shared" ref="E341:AB341" si="246">+E281</f>
        <v>3.367503361886829E-2</v>
      </c>
      <c r="F341" s="50">
        <f t="shared" si="246"/>
        <v>3.1245692535415936E-2</v>
      </c>
      <c r="G341" s="50">
        <f t="shared" si="246"/>
        <v>2.9861746203171599E-2</v>
      </c>
      <c r="H341" s="50">
        <f t="shared" si="246"/>
        <v>2.9235019370742008E-2</v>
      </c>
      <c r="I341" s="50">
        <f t="shared" si="246"/>
        <v>3.0186379118294998E-2</v>
      </c>
      <c r="J341" s="50">
        <f t="shared" si="246"/>
        <v>3.3123682717801174E-2</v>
      </c>
      <c r="K341" s="50">
        <f t="shared" si="246"/>
        <v>3.5563630818173868E-2</v>
      </c>
      <c r="L341" s="50">
        <f t="shared" si="246"/>
        <v>3.7375437025807548E-2</v>
      </c>
      <c r="M341" s="50">
        <f t="shared" si="246"/>
        <v>3.9557895894381336E-2</v>
      </c>
      <c r="N341" s="50">
        <f t="shared" si="246"/>
        <v>4.1330002492198488E-2</v>
      </c>
      <c r="O341" s="50">
        <f t="shared" si="246"/>
        <v>4.3273465010057272E-2</v>
      </c>
      <c r="P341" s="50">
        <f t="shared" si="246"/>
        <v>4.5278417057592932E-2</v>
      </c>
      <c r="Q341" s="50">
        <f t="shared" si="246"/>
        <v>4.5765189585786785E-2</v>
      </c>
      <c r="R341" s="50">
        <f t="shared" si="246"/>
        <v>4.421428774797561E-2</v>
      </c>
      <c r="S341" s="50">
        <f t="shared" si="246"/>
        <v>4.3245429527174986E-2</v>
      </c>
      <c r="T341" s="50">
        <f t="shared" si="246"/>
        <v>4.3554999005074702E-2</v>
      </c>
      <c r="U341" s="50">
        <f t="shared" si="246"/>
        <v>4.4435510161992771E-2</v>
      </c>
      <c r="V341" s="50">
        <f t="shared" si="246"/>
        <v>4.717219114348542E-2</v>
      </c>
      <c r="W341" s="50">
        <f t="shared" si="246"/>
        <v>5.6899741232983039E-2</v>
      </c>
      <c r="X341" s="50">
        <f t="shared" si="246"/>
        <v>6.1986738769463187E-2</v>
      </c>
      <c r="Y341" s="50">
        <f t="shared" si="246"/>
        <v>5.7208700429979269E-2</v>
      </c>
      <c r="Z341" s="50">
        <f t="shared" si="246"/>
        <v>4.9339560702577757E-2</v>
      </c>
      <c r="AA341" s="50">
        <f t="shared" si="246"/>
        <v>4.1368944501432053E-2</v>
      </c>
      <c r="AB341" s="50">
        <f t="shared" si="246"/>
        <v>3.5102305329568817E-2</v>
      </c>
      <c r="AC341" s="8">
        <f t="shared" si="244"/>
        <v>1.9999999999999996</v>
      </c>
    </row>
    <row r="342" spans="2:29" outlineLevel="1">
      <c r="B342" s="12"/>
      <c r="C342" s="12" t="s">
        <v>15</v>
      </c>
      <c r="D342" s="12">
        <f>+SUM(D338:D341)</f>
        <v>30</v>
      </c>
      <c r="E342" s="19">
        <f>+SUMPRODUCT(E338:E341,$D338:$D341)</f>
        <v>0.91033916081633748</v>
      </c>
      <c r="F342" s="19">
        <f>+SUMPRODUCT(F338:F341,$D338:$D341)</f>
        <v>0.85530577177375222</v>
      </c>
      <c r="G342" s="19">
        <f t="shared" ref="G342:AB342" si="247">+SUMPRODUCT(G338:G341,$D338:$D341)</f>
        <v>0.82553555893042829</v>
      </c>
      <c r="H342" s="19">
        <f t="shared" si="247"/>
        <v>0.82150874659525752</v>
      </c>
      <c r="I342" s="19">
        <f t="shared" si="247"/>
        <v>0.8747705368657277</v>
      </c>
      <c r="J342" s="19">
        <f t="shared" si="247"/>
        <v>1.0097941191252591</v>
      </c>
      <c r="K342" s="19">
        <f t="shared" si="247"/>
        <v>1.1304504232608654</v>
      </c>
      <c r="L342" s="19">
        <f t="shared" si="247"/>
        <v>1.1755958163432989</v>
      </c>
      <c r="M342" s="19">
        <f t="shared" si="247"/>
        <v>1.2288785505542854</v>
      </c>
      <c r="N342" s="19">
        <f t="shared" si="247"/>
        <v>1.2686022498636089</v>
      </c>
      <c r="O342" s="19">
        <f t="shared" si="247"/>
        <v>1.3251079305558575</v>
      </c>
      <c r="P342" s="19">
        <f t="shared" si="247"/>
        <v>1.3866047189469317</v>
      </c>
      <c r="Q342" s="19">
        <f t="shared" si="247"/>
        <v>1.3686673816614097</v>
      </c>
      <c r="R342" s="19">
        <f t="shared" si="247"/>
        <v>1.3221380076919442</v>
      </c>
      <c r="S342" s="19">
        <f t="shared" si="247"/>
        <v>1.317490099348295</v>
      </c>
      <c r="T342" s="19">
        <f t="shared" si="247"/>
        <v>1.3411511642595855</v>
      </c>
      <c r="U342" s="19">
        <f t="shared" si="247"/>
        <v>1.3700656614756224</v>
      </c>
      <c r="V342" s="19">
        <f t="shared" si="247"/>
        <v>1.4322169040642074</v>
      </c>
      <c r="W342" s="19">
        <f t="shared" si="247"/>
        <v>1.7052861342556522</v>
      </c>
      <c r="X342" s="19">
        <f t="shared" si="247"/>
        <v>1.8523736852141155</v>
      </c>
      <c r="Y342" s="19">
        <f t="shared" si="247"/>
        <v>1.7188443647356764</v>
      </c>
      <c r="Z342" s="19">
        <f t="shared" si="247"/>
        <v>1.501630888505322</v>
      </c>
      <c r="AA342" s="19">
        <f t="shared" si="247"/>
        <v>1.2368514979044929</v>
      </c>
      <c r="AB342" s="19">
        <f t="shared" si="247"/>
        <v>1.020790627252067</v>
      </c>
      <c r="AC342" s="12">
        <f>+SUM(E342:AB342)</f>
        <v>30</v>
      </c>
    </row>
    <row r="343" spans="2:29" outlineLevel="1">
      <c r="B343" s="15">
        <f>+EDATE(B338,1)</f>
        <v>46935</v>
      </c>
      <c r="C343" s="8" t="s">
        <v>45</v>
      </c>
      <c r="D343" s="8">
        <v>19</v>
      </c>
      <c r="E343" s="50">
        <f t="shared" ref="E343:AB343" si="248">+E283</f>
        <v>2.9361257124838391E-2</v>
      </c>
      <c r="F343" s="50">
        <f t="shared" si="248"/>
        <v>2.7692710332229715E-2</v>
      </c>
      <c r="G343" s="50">
        <f t="shared" si="248"/>
        <v>2.6785161397696527E-2</v>
      </c>
      <c r="H343" s="50">
        <f t="shared" si="248"/>
        <v>2.6786989368939883E-2</v>
      </c>
      <c r="I343" s="50">
        <f t="shared" si="248"/>
        <v>2.9135775177511477E-2</v>
      </c>
      <c r="J343" s="50">
        <f t="shared" si="248"/>
        <v>3.4540443856715661E-2</v>
      </c>
      <c r="K343" s="50">
        <f t="shared" si="248"/>
        <v>3.8789035252325646E-2</v>
      </c>
      <c r="L343" s="50">
        <f t="shared" si="248"/>
        <v>3.957865839345593E-2</v>
      </c>
      <c r="M343" s="50">
        <f t="shared" si="248"/>
        <v>4.0957538271781398E-2</v>
      </c>
      <c r="N343" s="50">
        <f t="shared" si="248"/>
        <v>4.2166920044863825E-2</v>
      </c>
      <c r="O343" s="50">
        <f t="shared" si="248"/>
        <v>4.4150374939633218E-2</v>
      </c>
      <c r="P343" s="50">
        <f t="shared" si="248"/>
        <v>4.6294816466469102E-2</v>
      </c>
      <c r="Q343" s="50">
        <f t="shared" si="248"/>
        <v>4.5431875959152102E-2</v>
      </c>
      <c r="R343" s="50">
        <f t="shared" si="248"/>
        <v>4.3879728503346101E-2</v>
      </c>
      <c r="S343" s="50">
        <f t="shared" si="248"/>
        <v>4.4118506624640258E-2</v>
      </c>
      <c r="T343" s="50">
        <f t="shared" si="248"/>
        <v>4.5188432655351718E-2</v>
      </c>
      <c r="U343" s="50">
        <f t="shared" si="248"/>
        <v>4.624302558461979E-2</v>
      </c>
      <c r="V343" s="50">
        <f t="shared" si="248"/>
        <v>4.8247238962955179E-2</v>
      </c>
      <c r="W343" s="50">
        <f t="shared" si="248"/>
        <v>5.7096885328092907E-2</v>
      </c>
      <c r="X343" s="50">
        <f t="shared" si="248"/>
        <v>6.1739938045350239E-2</v>
      </c>
      <c r="Y343" s="50">
        <f t="shared" si="248"/>
        <v>5.7231881517227232E-2</v>
      </c>
      <c r="Z343" s="50">
        <f t="shared" si="248"/>
        <v>5.0129255438435008E-2</v>
      </c>
      <c r="AA343" s="50">
        <f t="shared" si="248"/>
        <v>4.1010488221716553E-2</v>
      </c>
      <c r="AB343" s="50">
        <f t="shared" si="248"/>
        <v>3.34430625326523E-2</v>
      </c>
      <c r="AC343" s="8">
        <f>+SUM(E343:AB343)*D343</f>
        <v>19.000000000000004</v>
      </c>
    </row>
    <row r="344" spans="2:29" outlineLevel="1">
      <c r="B344" s="16"/>
      <c r="C344" s="8" t="s">
        <v>46</v>
      </c>
      <c r="D344" s="8">
        <v>5</v>
      </c>
      <c r="E344" s="50">
        <f t="shared" ref="E344:AB344" si="249">+E284</f>
        <v>3.0659473205105158E-2</v>
      </c>
      <c r="F344" s="50">
        <f t="shared" si="249"/>
        <v>2.8600001140869122E-2</v>
      </c>
      <c r="G344" s="50">
        <f t="shared" si="249"/>
        <v>2.7683858575034276E-2</v>
      </c>
      <c r="H344" s="50">
        <f t="shared" si="249"/>
        <v>2.7537802139610414E-2</v>
      </c>
      <c r="I344" s="50">
        <f t="shared" si="249"/>
        <v>2.8782539770184416E-2</v>
      </c>
      <c r="J344" s="50">
        <f t="shared" si="249"/>
        <v>3.2241585579716119E-2</v>
      </c>
      <c r="K344" s="50">
        <f t="shared" si="249"/>
        <v>3.645312931015221E-2</v>
      </c>
      <c r="L344" s="50">
        <f t="shared" si="249"/>
        <v>3.9012639181609042E-2</v>
      </c>
      <c r="M344" s="50">
        <f t="shared" si="249"/>
        <v>4.1549207589560662E-2</v>
      </c>
      <c r="N344" s="50">
        <f t="shared" si="249"/>
        <v>4.3042516751632572E-2</v>
      </c>
      <c r="O344" s="50">
        <f t="shared" si="249"/>
        <v>4.4973693586955334E-2</v>
      </c>
      <c r="P344" s="50">
        <f t="shared" si="249"/>
        <v>4.6808021710202923E-2</v>
      </c>
      <c r="Q344" s="50">
        <f t="shared" si="249"/>
        <v>4.6383383047344962E-2</v>
      </c>
      <c r="R344" s="50">
        <f t="shared" si="249"/>
        <v>4.4751654806610461E-2</v>
      </c>
      <c r="S344" s="50">
        <f t="shared" si="249"/>
        <v>4.4013077558728637E-2</v>
      </c>
      <c r="T344" s="50">
        <f t="shared" si="249"/>
        <v>4.428856091631931E-2</v>
      </c>
      <c r="U344" s="50">
        <f t="shared" si="249"/>
        <v>4.49735778579251E-2</v>
      </c>
      <c r="V344" s="50">
        <f t="shared" si="249"/>
        <v>4.6933206789217301E-2</v>
      </c>
      <c r="W344" s="50">
        <f t="shared" si="249"/>
        <v>5.6210586428141023E-2</v>
      </c>
      <c r="X344" s="50">
        <f t="shared" si="249"/>
        <v>6.1205656691958259E-2</v>
      </c>
      <c r="Y344" s="50">
        <f t="shared" si="249"/>
        <v>5.7018442088769522E-2</v>
      </c>
      <c r="Z344" s="50">
        <f t="shared" si="249"/>
        <v>4.9896672365740725E-2</v>
      </c>
      <c r="AA344" s="50">
        <f t="shared" si="249"/>
        <v>4.1622868086918119E-2</v>
      </c>
      <c r="AB344" s="50">
        <f t="shared" si="249"/>
        <v>3.5357844821693719E-2</v>
      </c>
      <c r="AC344" s="8">
        <f t="shared" ref="AC344:AC346" si="250">+SUM(E344:AB344)*D344</f>
        <v>4.9999999999999964</v>
      </c>
    </row>
    <row r="345" spans="2:29" outlineLevel="1">
      <c r="B345" s="16"/>
      <c r="C345" s="8" t="s">
        <v>47</v>
      </c>
      <c r="D345" s="8">
        <v>5</v>
      </c>
      <c r="E345" s="50">
        <f t="shared" ref="E345:AB345" si="251">+E285</f>
        <v>3.3281514565353124E-2</v>
      </c>
      <c r="F345" s="50">
        <f t="shared" si="251"/>
        <v>3.1140043873712407E-2</v>
      </c>
      <c r="G345" s="50">
        <f t="shared" si="251"/>
        <v>2.984335106750436E-2</v>
      </c>
      <c r="H345" s="50">
        <f t="shared" si="251"/>
        <v>2.9286927979133532E-2</v>
      </c>
      <c r="I345" s="50">
        <f t="shared" si="251"/>
        <v>2.9138028999542646E-2</v>
      </c>
      <c r="J345" s="50">
        <f t="shared" si="251"/>
        <v>3.0942883559119717E-2</v>
      </c>
      <c r="K345" s="50">
        <f t="shared" si="251"/>
        <v>3.4432484834348992E-2</v>
      </c>
      <c r="L345" s="50">
        <f t="shared" si="251"/>
        <v>3.8305304424032266E-2</v>
      </c>
      <c r="M345" s="50">
        <f t="shared" si="251"/>
        <v>4.1103790742913066E-2</v>
      </c>
      <c r="N345" s="50">
        <f t="shared" si="251"/>
        <v>4.2608444243851212E-2</v>
      </c>
      <c r="O345" s="50">
        <f t="shared" si="251"/>
        <v>4.3914681848814308E-2</v>
      </c>
      <c r="P345" s="50">
        <f t="shared" si="251"/>
        <v>4.5729867165388009E-2</v>
      </c>
      <c r="Q345" s="50">
        <f t="shared" si="251"/>
        <v>4.5741487779353565E-2</v>
      </c>
      <c r="R345" s="50">
        <f t="shared" si="251"/>
        <v>4.4277060725657284E-2</v>
      </c>
      <c r="S345" s="50">
        <f t="shared" si="251"/>
        <v>4.3144199391556254E-2</v>
      </c>
      <c r="T345" s="50">
        <f t="shared" si="251"/>
        <v>4.3279567369281124E-2</v>
      </c>
      <c r="U345" s="50">
        <f t="shared" si="251"/>
        <v>4.4109954506885138E-2</v>
      </c>
      <c r="V345" s="50">
        <f t="shared" si="251"/>
        <v>4.6298728840315946E-2</v>
      </c>
      <c r="W345" s="50">
        <f t="shared" si="251"/>
        <v>5.6176649878816001E-2</v>
      </c>
      <c r="X345" s="50">
        <f t="shared" si="251"/>
        <v>6.2194705000087863E-2</v>
      </c>
      <c r="Y345" s="50">
        <f t="shared" si="251"/>
        <v>5.7928891294023718E-2</v>
      </c>
      <c r="Z345" s="50">
        <f t="shared" si="251"/>
        <v>5.019499221712586E-2</v>
      </c>
      <c r="AA345" s="50">
        <f t="shared" si="251"/>
        <v>4.1853093029906328E-2</v>
      </c>
      <c r="AB345" s="50">
        <f t="shared" si="251"/>
        <v>3.507334666327714E-2</v>
      </c>
      <c r="AC345" s="8">
        <f t="shared" si="250"/>
        <v>4.9999999999999991</v>
      </c>
    </row>
    <row r="346" spans="2:29" outlineLevel="1">
      <c r="B346" s="16"/>
      <c r="C346" s="8" t="s">
        <v>48</v>
      </c>
      <c r="D346" s="8">
        <v>2</v>
      </c>
      <c r="E346" s="50">
        <f t="shared" ref="E346:AB346" si="252">+E286</f>
        <v>3.367503361886829E-2</v>
      </c>
      <c r="F346" s="50">
        <f t="shared" si="252"/>
        <v>3.1245692535415936E-2</v>
      </c>
      <c r="G346" s="50">
        <f t="shared" si="252"/>
        <v>2.9861746203171599E-2</v>
      </c>
      <c r="H346" s="50">
        <f t="shared" si="252"/>
        <v>2.9235019370742008E-2</v>
      </c>
      <c r="I346" s="50">
        <f t="shared" si="252"/>
        <v>3.0186379118294998E-2</v>
      </c>
      <c r="J346" s="50">
        <f t="shared" si="252"/>
        <v>3.3123682717801174E-2</v>
      </c>
      <c r="K346" s="50">
        <f t="shared" si="252"/>
        <v>3.5563630818173868E-2</v>
      </c>
      <c r="L346" s="50">
        <f t="shared" si="252"/>
        <v>3.7375437025807548E-2</v>
      </c>
      <c r="M346" s="50">
        <f t="shared" si="252"/>
        <v>3.9557895894381336E-2</v>
      </c>
      <c r="N346" s="50">
        <f t="shared" si="252"/>
        <v>4.1330002492198488E-2</v>
      </c>
      <c r="O346" s="50">
        <f t="shared" si="252"/>
        <v>4.3273465010057272E-2</v>
      </c>
      <c r="P346" s="50">
        <f t="shared" si="252"/>
        <v>4.5278417057592932E-2</v>
      </c>
      <c r="Q346" s="50">
        <f t="shared" si="252"/>
        <v>4.5765189585786785E-2</v>
      </c>
      <c r="R346" s="50">
        <f t="shared" si="252"/>
        <v>4.421428774797561E-2</v>
      </c>
      <c r="S346" s="50">
        <f t="shared" si="252"/>
        <v>4.3245429527174986E-2</v>
      </c>
      <c r="T346" s="50">
        <f t="shared" si="252"/>
        <v>4.3554999005074702E-2</v>
      </c>
      <c r="U346" s="50">
        <f t="shared" si="252"/>
        <v>4.4435510161992771E-2</v>
      </c>
      <c r="V346" s="50">
        <f t="shared" si="252"/>
        <v>4.717219114348542E-2</v>
      </c>
      <c r="W346" s="50">
        <f t="shared" si="252"/>
        <v>5.6899741232983039E-2</v>
      </c>
      <c r="X346" s="50">
        <f t="shared" si="252"/>
        <v>6.1986738769463187E-2</v>
      </c>
      <c r="Y346" s="50">
        <f t="shared" si="252"/>
        <v>5.7208700429979269E-2</v>
      </c>
      <c r="Z346" s="50">
        <f t="shared" si="252"/>
        <v>4.9339560702577757E-2</v>
      </c>
      <c r="AA346" s="50">
        <f t="shared" si="252"/>
        <v>4.1368944501432053E-2</v>
      </c>
      <c r="AB346" s="50">
        <f t="shared" si="252"/>
        <v>3.5102305329568817E-2</v>
      </c>
      <c r="AC346" s="8">
        <f t="shared" si="250"/>
        <v>1.9999999999999996</v>
      </c>
    </row>
    <row r="347" spans="2:29" outlineLevel="1">
      <c r="B347" s="12"/>
      <c r="C347" s="12" t="s">
        <v>15</v>
      </c>
      <c r="D347" s="12">
        <f>+SUM(D343:D346)</f>
        <v>31</v>
      </c>
      <c r="E347" s="19">
        <f>+SUMPRODUCT(E343:E346,$D343:$D346)</f>
        <v>0.9449188914619574</v>
      </c>
      <c r="F347" s="19">
        <f>+SUMPRODUCT(F343:F346,$D343:$D346)</f>
        <v>0.88735310645610399</v>
      </c>
      <c r="G347" s="19">
        <f t="shared" ref="G347:AB347" si="253">+SUMPRODUCT(G343:G346,$D343:$D346)</f>
        <v>0.85627760717527046</v>
      </c>
      <c r="H347" s="19">
        <f t="shared" si="253"/>
        <v>0.85154648734506155</v>
      </c>
      <c r="I347" s="19">
        <f t="shared" si="253"/>
        <v>0.90355533045794334</v>
      </c>
      <c r="J347" s="19">
        <f t="shared" si="253"/>
        <v>1.0384381444073791</v>
      </c>
      <c r="K347" s="19">
        <f t="shared" si="253"/>
        <v>1.1625470021530409</v>
      </c>
      <c r="L347" s="19">
        <f t="shared" si="253"/>
        <v>1.2133351015554845</v>
      </c>
      <c r="M347" s="19">
        <f t="shared" si="253"/>
        <v>1.2705740106149779</v>
      </c>
      <c r="N347" s="19">
        <f t="shared" si="253"/>
        <v>1.3120862908142286</v>
      </c>
      <c r="O347" s="19">
        <f t="shared" si="253"/>
        <v>1.3698459310519939</v>
      </c>
      <c r="P347" s="19">
        <f t="shared" si="253"/>
        <v>1.4328477913560536</v>
      </c>
      <c r="Q347" s="19">
        <f t="shared" si="253"/>
        <v>1.4153603765289562</v>
      </c>
      <c r="R347" s="19">
        <f t="shared" si="253"/>
        <v>1.3672869947208659</v>
      </c>
      <c r="S347" s="19">
        <f t="shared" si="253"/>
        <v>1.3605288696739395</v>
      </c>
      <c r="T347" s="19">
        <f t="shared" si="253"/>
        <v>1.3835308598898344</v>
      </c>
      <c r="U347" s="19">
        <f t="shared" si="253"/>
        <v>1.4129061682558126</v>
      </c>
      <c r="V347" s="19">
        <f t="shared" si="253"/>
        <v>1.4772016007307855</v>
      </c>
      <c r="W347" s="19">
        <f t="shared" si="253"/>
        <v>1.7605764852345165</v>
      </c>
      <c r="X347" s="19">
        <f t="shared" si="253"/>
        <v>1.9140341088608113</v>
      </c>
      <c r="Y347" s="19">
        <f t="shared" si="253"/>
        <v>1.7765598166012422</v>
      </c>
      <c r="Z347" s="19">
        <f t="shared" si="253"/>
        <v>1.5515932976497535</v>
      </c>
      <c r="AA347" s="19">
        <f t="shared" si="253"/>
        <v>1.2793169707996008</v>
      </c>
      <c r="AB347" s="19">
        <f t="shared" si="253"/>
        <v>1.0577787562043857</v>
      </c>
      <c r="AC347" s="12">
        <f>+SUM(E347:AB347)</f>
        <v>31</v>
      </c>
    </row>
    <row r="348" spans="2:29" outlineLevel="1">
      <c r="B348" s="15">
        <f>+EDATE(B343,1)</f>
        <v>46966</v>
      </c>
      <c r="C348" s="8" t="s">
        <v>45</v>
      </c>
      <c r="D348" s="8">
        <v>21</v>
      </c>
      <c r="E348" s="50">
        <f t="shared" ref="E348:AB348" si="254">+E288</f>
        <v>2.9361257124838391E-2</v>
      </c>
      <c r="F348" s="50">
        <f t="shared" si="254"/>
        <v>2.7692710332229715E-2</v>
      </c>
      <c r="G348" s="50">
        <f t="shared" si="254"/>
        <v>2.6785161397696527E-2</v>
      </c>
      <c r="H348" s="50">
        <f t="shared" si="254"/>
        <v>2.6786989368939883E-2</v>
      </c>
      <c r="I348" s="50">
        <f t="shared" si="254"/>
        <v>2.9135775177511477E-2</v>
      </c>
      <c r="J348" s="50">
        <f t="shared" si="254"/>
        <v>3.4540443856715661E-2</v>
      </c>
      <c r="K348" s="50">
        <f t="shared" si="254"/>
        <v>3.8789035252325646E-2</v>
      </c>
      <c r="L348" s="50">
        <f t="shared" si="254"/>
        <v>3.957865839345593E-2</v>
      </c>
      <c r="M348" s="50">
        <f t="shared" si="254"/>
        <v>4.0957538271781398E-2</v>
      </c>
      <c r="N348" s="50">
        <f t="shared" si="254"/>
        <v>4.2166920044863825E-2</v>
      </c>
      <c r="O348" s="50">
        <f t="shared" si="254"/>
        <v>4.4150374939633218E-2</v>
      </c>
      <c r="P348" s="50">
        <f t="shared" si="254"/>
        <v>4.6294816466469102E-2</v>
      </c>
      <c r="Q348" s="50">
        <f t="shared" si="254"/>
        <v>4.5431875959152102E-2</v>
      </c>
      <c r="R348" s="50">
        <f t="shared" si="254"/>
        <v>4.3879728503346101E-2</v>
      </c>
      <c r="S348" s="50">
        <f t="shared" si="254"/>
        <v>4.4118506624640258E-2</v>
      </c>
      <c r="T348" s="50">
        <f t="shared" si="254"/>
        <v>4.5188432655351718E-2</v>
      </c>
      <c r="U348" s="50">
        <f t="shared" si="254"/>
        <v>4.624302558461979E-2</v>
      </c>
      <c r="V348" s="50">
        <f t="shared" si="254"/>
        <v>4.8247238962955179E-2</v>
      </c>
      <c r="W348" s="50">
        <f t="shared" si="254"/>
        <v>5.7096885328092907E-2</v>
      </c>
      <c r="X348" s="50">
        <f t="shared" si="254"/>
        <v>6.1739938045350239E-2</v>
      </c>
      <c r="Y348" s="50">
        <f t="shared" si="254"/>
        <v>5.7231881517227232E-2</v>
      </c>
      <c r="Z348" s="50">
        <f t="shared" si="254"/>
        <v>5.0129255438435008E-2</v>
      </c>
      <c r="AA348" s="50">
        <f t="shared" si="254"/>
        <v>4.1010488221716553E-2</v>
      </c>
      <c r="AB348" s="50">
        <f t="shared" si="254"/>
        <v>3.34430625326523E-2</v>
      </c>
      <c r="AC348" s="8">
        <f>+SUM(E348:AB348)*D348</f>
        <v>21.000000000000004</v>
      </c>
    </row>
    <row r="349" spans="2:29" outlineLevel="1">
      <c r="B349" s="16"/>
      <c r="C349" s="8" t="s">
        <v>46</v>
      </c>
      <c r="D349" s="8">
        <v>4</v>
      </c>
      <c r="E349" s="50">
        <f t="shared" ref="E349:AB349" si="255">+E289</f>
        <v>3.0659473205105158E-2</v>
      </c>
      <c r="F349" s="50">
        <f t="shared" si="255"/>
        <v>2.8600001140869122E-2</v>
      </c>
      <c r="G349" s="50">
        <f t="shared" si="255"/>
        <v>2.7683858575034276E-2</v>
      </c>
      <c r="H349" s="50">
        <f t="shared" si="255"/>
        <v>2.7537802139610414E-2</v>
      </c>
      <c r="I349" s="50">
        <f t="shared" si="255"/>
        <v>2.8782539770184416E-2</v>
      </c>
      <c r="J349" s="50">
        <f t="shared" si="255"/>
        <v>3.2241585579716119E-2</v>
      </c>
      <c r="K349" s="50">
        <f t="shared" si="255"/>
        <v>3.645312931015221E-2</v>
      </c>
      <c r="L349" s="50">
        <f t="shared" si="255"/>
        <v>3.9012639181609042E-2</v>
      </c>
      <c r="M349" s="50">
        <f t="shared" si="255"/>
        <v>4.1549207589560662E-2</v>
      </c>
      <c r="N349" s="50">
        <f t="shared" si="255"/>
        <v>4.3042516751632572E-2</v>
      </c>
      <c r="O349" s="50">
        <f t="shared" si="255"/>
        <v>4.4973693586955334E-2</v>
      </c>
      <c r="P349" s="50">
        <f t="shared" si="255"/>
        <v>4.6808021710202923E-2</v>
      </c>
      <c r="Q349" s="50">
        <f t="shared" si="255"/>
        <v>4.6383383047344962E-2</v>
      </c>
      <c r="R349" s="50">
        <f t="shared" si="255"/>
        <v>4.4751654806610461E-2</v>
      </c>
      <c r="S349" s="50">
        <f t="shared" si="255"/>
        <v>4.4013077558728637E-2</v>
      </c>
      <c r="T349" s="50">
        <f t="shared" si="255"/>
        <v>4.428856091631931E-2</v>
      </c>
      <c r="U349" s="50">
        <f t="shared" si="255"/>
        <v>4.49735778579251E-2</v>
      </c>
      <c r="V349" s="50">
        <f t="shared" si="255"/>
        <v>4.6933206789217301E-2</v>
      </c>
      <c r="W349" s="50">
        <f t="shared" si="255"/>
        <v>5.6210586428141023E-2</v>
      </c>
      <c r="X349" s="50">
        <f t="shared" si="255"/>
        <v>6.1205656691958259E-2</v>
      </c>
      <c r="Y349" s="50">
        <f t="shared" si="255"/>
        <v>5.7018442088769522E-2</v>
      </c>
      <c r="Z349" s="50">
        <f t="shared" si="255"/>
        <v>4.9896672365740725E-2</v>
      </c>
      <c r="AA349" s="50">
        <f t="shared" si="255"/>
        <v>4.1622868086918119E-2</v>
      </c>
      <c r="AB349" s="50">
        <f t="shared" si="255"/>
        <v>3.5357844821693719E-2</v>
      </c>
      <c r="AC349" s="8">
        <f t="shared" ref="AC349:AC351" si="256">+SUM(E349:AB349)*D349</f>
        <v>3.9999999999999969</v>
      </c>
    </row>
    <row r="350" spans="2:29" outlineLevel="1">
      <c r="B350" s="16"/>
      <c r="C350" s="8" t="s">
        <v>47</v>
      </c>
      <c r="D350" s="8">
        <v>4</v>
      </c>
      <c r="E350" s="50">
        <f t="shared" ref="E350:AB350" si="257">+E290</f>
        <v>3.3281514565353124E-2</v>
      </c>
      <c r="F350" s="50">
        <f t="shared" si="257"/>
        <v>3.1140043873712407E-2</v>
      </c>
      <c r="G350" s="50">
        <f t="shared" si="257"/>
        <v>2.984335106750436E-2</v>
      </c>
      <c r="H350" s="50">
        <f t="shared" si="257"/>
        <v>2.9286927979133532E-2</v>
      </c>
      <c r="I350" s="50">
        <f t="shared" si="257"/>
        <v>2.9138028999542646E-2</v>
      </c>
      <c r="J350" s="50">
        <f t="shared" si="257"/>
        <v>3.0942883559119717E-2</v>
      </c>
      <c r="K350" s="50">
        <f t="shared" si="257"/>
        <v>3.4432484834348992E-2</v>
      </c>
      <c r="L350" s="50">
        <f t="shared" si="257"/>
        <v>3.8305304424032266E-2</v>
      </c>
      <c r="M350" s="50">
        <f t="shared" si="257"/>
        <v>4.1103790742913066E-2</v>
      </c>
      <c r="N350" s="50">
        <f t="shared" si="257"/>
        <v>4.2608444243851212E-2</v>
      </c>
      <c r="O350" s="50">
        <f t="shared" si="257"/>
        <v>4.3914681848814308E-2</v>
      </c>
      <c r="P350" s="50">
        <f t="shared" si="257"/>
        <v>4.5729867165388009E-2</v>
      </c>
      <c r="Q350" s="50">
        <f t="shared" si="257"/>
        <v>4.5741487779353565E-2</v>
      </c>
      <c r="R350" s="50">
        <f t="shared" si="257"/>
        <v>4.4277060725657284E-2</v>
      </c>
      <c r="S350" s="50">
        <f t="shared" si="257"/>
        <v>4.3144199391556254E-2</v>
      </c>
      <c r="T350" s="50">
        <f t="shared" si="257"/>
        <v>4.3279567369281124E-2</v>
      </c>
      <c r="U350" s="50">
        <f t="shared" si="257"/>
        <v>4.4109954506885138E-2</v>
      </c>
      <c r="V350" s="50">
        <f t="shared" si="257"/>
        <v>4.6298728840315946E-2</v>
      </c>
      <c r="W350" s="50">
        <f t="shared" si="257"/>
        <v>5.6176649878816001E-2</v>
      </c>
      <c r="X350" s="50">
        <f t="shared" si="257"/>
        <v>6.2194705000087863E-2</v>
      </c>
      <c r="Y350" s="50">
        <f t="shared" si="257"/>
        <v>5.7928891294023718E-2</v>
      </c>
      <c r="Z350" s="50">
        <f t="shared" si="257"/>
        <v>5.019499221712586E-2</v>
      </c>
      <c r="AA350" s="50">
        <f t="shared" si="257"/>
        <v>4.1853093029906328E-2</v>
      </c>
      <c r="AB350" s="50">
        <f t="shared" si="257"/>
        <v>3.507334666327714E-2</v>
      </c>
      <c r="AC350" s="8">
        <f t="shared" si="256"/>
        <v>3.9999999999999991</v>
      </c>
    </row>
    <row r="351" spans="2:29" outlineLevel="1">
      <c r="B351" s="16"/>
      <c r="C351" s="8" t="s">
        <v>48</v>
      </c>
      <c r="D351" s="8">
        <v>2</v>
      </c>
      <c r="E351" s="50">
        <f t="shared" ref="E351:AB351" si="258">+E291</f>
        <v>3.367503361886829E-2</v>
      </c>
      <c r="F351" s="50">
        <f t="shared" si="258"/>
        <v>3.1245692535415936E-2</v>
      </c>
      <c r="G351" s="50">
        <f t="shared" si="258"/>
        <v>2.9861746203171599E-2</v>
      </c>
      <c r="H351" s="50">
        <f t="shared" si="258"/>
        <v>2.9235019370742008E-2</v>
      </c>
      <c r="I351" s="50">
        <f t="shared" si="258"/>
        <v>3.0186379118294998E-2</v>
      </c>
      <c r="J351" s="50">
        <f t="shared" si="258"/>
        <v>3.3123682717801174E-2</v>
      </c>
      <c r="K351" s="50">
        <f t="shared" si="258"/>
        <v>3.5563630818173868E-2</v>
      </c>
      <c r="L351" s="50">
        <f t="shared" si="258"/>
        <v>3.7375437025807548E-2</v>
      </c>
      <c r="M351" s="50">
        <f t="shared" si="258"/>
        <v>3.9557895894381336E-2</v>
      </c>
      <c r="N351" s="50">
        <f t="shared" si="258"/>
        <v>4.1330002492198488E-2</v>
      </c>
      <c r="O351" s="50">
        <f t="shared" si="258"/>
        <v>4.3273465010057272E-2</v>
      </c>
      <c r="P351" s="50">
        <f t="shared" si="258"/>
        <v>4.5278417057592932E-2</v>
      </c>
      <c r="Q351" s="50">
        <f t="shared" si="258"/>
        <v>4.5765189585786785E-2</v>
      </c>
      <c r="R351" s="50">
        <f t="shared" si="258"/>
        <v>4.421428774797561E-2</v>
      </c>
      <c r="S351" s="50">
        <f t="shared" si="258"/>
        <v>4.3245429527174986E-2</v>
      </c>
      <c r="T351" s="50">
        <f t="shared" si="258"/>
        <v>4.3554999005074702E-2</v>
      </c>
      <c r="U351" s="50">
        <f t="shared" si="258"/>
        <v>4.4435510161992771E-2</v>
      </c>
      <c r="V351" s="50">
        <f t="shared" si="258"/>
        <v>4.717219114348542E-2</v>
      </c>
      <c r="W351" s="50">
        <f t="shared" si="258"/>
        <v>5.6899741232983039E-2</v>
      </c>
      <c r="X351" s="50">
        <f t="shared" si="258"/>
        <v>6.1986738769463187E-2</v>
      </c>
      <c r="Y351" s="50">
        <f t="shared" si="258"/>
        <v>5.7208700429979269E-2</v>
      </c>
      <c r="Z351" s="50">
        <f t="shared" si="258"/>
        <v>4.9339560702577757E-2</v>
      </c>
      <c r="AA351" s="50">
        <f t="shared" si="258"/>
        <v>4.1368944501432053E-2</v>
      </c>
      <c r="AB351" s="50">
        <f t="shared" si="258"/>
        <v>3.5102305329568817E-2</v>
      </c>
      <c r="AC351" s="8">
        <f t="shared" si="256"/>
        <v>1.9999999999999996</v>
      </c>
    </row>
    <row r="352" spans="2:29" outlineLevel="1">
      <c r="B352" s="12"/>
      <c r="C352" s="12" t="s">
        <v>15</v>
      </c>
      <c r="D352" s="12">
        <f>+SUM(D348:D351)</f>
        <v>31</v>
      </c>
      <c r="E352" s="19">
        <f>+SUMPRODUCT(E348:E351,$D348:$D351)</f>
        <v>0.93970041794117598</v>
      </c>
      <c r="F352" s="19">
        <f>+SUMPRODUCT(F348:F351,$D348:$D351)</f>
        <v>0.88299848210598197</v>
      </c>
      <c r="G352" s="19">
        <f t="shared" ref="G352:AB352" si="259">+SUMPRODUCT(G348:G351,$D348:$D351)</f>
        <v>0.85232072032812478</v>
      </c>
      <c r="H352" s="19">
        <f t="shared" si="259"/>
        <v>0.84829573596419738</v>
      </c>
      <c r="I352" s="19">
        <f t="shared" si="259"/>
        <v>0.90390631204323935</v>
      </c>
      <c r="J352" s="19">
        <f t="shared" si="259"/>
        <v>1.0443345629819747</v>
      </c>
      <c r="K352" s="19">
        <f t="shared" si="259"/>
        <v>1.1692394585131909</v>
      </c>
      <c r="L352" s="19">
        <f t="shared" si="259"/>
        <v>1.215174474736755</v>
      </c>
      <c r="M352" s="19">
        <f t="shared" si="259"/>
        <v>1.2698360888260669</v>
      </c>
      <c r="N352" s="19">
        <f t="shared" si="259"/>
        <v>1.3107691699084727</v>
      </c>
      <c r="O352" s="19">
        <f t="shared" si="259"/>
        <v>1.3692583054954905</v>
      </c>
      <c r="P352" s="19">
        <f t="shared" si="259"/>
        <v>1.4328995354134009</v>
      </c>
      <c r="Q352" s="19">
        <f t="shared" si="259"/>
        <v>1.4140992576205618</v>
      </c>
      <c r="R352" s="19">
        <f t="shared" si="259"/>
        <v>1.3660177361952903</v>
      </c>
      <c r="S352" s="19">
        <f t="shared" si="259"/>
        <v>1.3616086059729351</v>
      </c>
      <c r="T352" s="19">
        <f t="shared" si="259"/>
        <v>1.3863395969149375</v>
      </c>
      <c r="U352" s="19">
        <f t="shared" si="259"/>
        <v>1.4163086870602422</v>
      </c>
      <c r="V352" s="19">
        <f t="shared" si="259"/>
        <v>1.4804641430271626</v>
      </c>
      <c r="W352" s="19">
        <f t="shared" si="259"/>
        <v>1.7623830195837451</v>
      </c>
      <c r="X352" s="19">
        <f t="shared" si="259"/>
        <v>1.914113623259466</v>
      </c>
      <c r="Y352" s="19">
        <f t="shared" si="259"/>
        <v>1.7760762462529034</v>
      </c>
      <c r="Z352" s="19">
        <f t="shared" si="259"/>
        <v>1.5517601439437572</v>
      </c>
      <c r="AA352" s="19">
        <f t="shared" si="259"/>
        <v>1.2778619861262095</v>
      </c>
      <c r="AB352" s="19">
        <f t="shared" si="259"/>
        <v>1.0542336897847193</v>
      </c>
      <c r="AC352" s="12">
        <f>+SUM(E352:AB352)</f>
        <v>30.999999999999996</v>
      </c>
    </row>
    <row r="353" spans="2:29" outlineLevel="1">
      <c r="B353" s="15">
        <f>+EDATE(B348,1)</f>
        <v>46997</v>
      </c>
      <c r="C353" s="8" t="s">
        <v>45</v>
      </c>
      <c r="D353" s="8">
        <v>21</v>
      </c>
      <c r="E353" s="50">
        <f t="shared" ref="E353:AB353" si="260">+E293</f>
        <v>2.9361257124838391E-2</v>
      </c>
      <c r="F353" s="50">
        <f t="shared" si="260"/>
        <v>2.7692710332229715E-2</v>
      </c>
      <c r="G353" s="50">
        <f t="shared" si="260"/>
        <v>2.6785161397696527E-2</v>
      </c>
      <c r="H353" s="50">
        <f t="shared" si="260"/>
        <v>2.6786989368939883E-2</v>
      </c>
      <c r="I353" s="50">
        <f t="shared" si="260"/>
        <v>2.9135775177511477E-2</v>
      </c>
      <c r="J353" s="50">
        <f t="shared" si="260"/>
        <v>3.4540443856715661E-2</v>
      </c>
      <c r="K353" s="50">
        <f t="shared" si="260"/>
        <v>3.8789035252325646E-2</v>
      </c>
      <c r="L353" s="50">
        <f t="shared" si="260"/>
        <v>3.957865839345593E-2</v>
      </c>
      <c r="M353" s="50">
        <f t="shared" si="260"/>
        <v>4.0957538271781398E-2</v>
      </c>
      <c r="N353" s="50">
        <f t="shared" si="260"/>
        <v>4.2166920044863825E-2</v>
      </c>
      <c r="O353" s="50">
        <f t="shared" si="260"/>
        <v>4.4150374939633218E-2</v>
      </c>
      <c r="P353" s="50">
        <f t="shared" si="260"/>
        <v>4.6294816466469102E-2</v>
      </c>
      <c r="Q353" s="50">
        <f t="shared" si="260"/>
        <v>4.5431875959152102E-2</v>
      </c>
      <c r="R353" s="50">
        <f t="shared" si="260"/>
        <v>4.3879728503346101E-2</v>
      </c>
      <c r="S353" s="50">
        <f t="shared" si="260"/>
        <v>4.4118506624640258E-2</v>
      </c>
      <c r="T353" s="50">
        <f t="shared" si="260"/>
        <v>4.5188432655351718E-2</v>
      </c>
      <c r="U353" s="50">
        <f t="shared" si="260"/>
        <v>4.624302558461979E-2</v>
      </c>
      <c r="V353" s="50">
        <f t="shared" si="260"/>
        <v>4.8247238962955179E-2</v>
      </c>
      <c r="W353" s="50">
        <f t="shared" si="260"/>
        <v>5.7096885328092907E-2</v>
      </c>
      <c r="X353" s="50">
        <f t="shared" si="260"/>
        <v>6.1739938045350239E-2</v>
      </c>
      <c r="Y353" s="50">
        <f t="shared" si="260"/>
        <v>5.7231881517227232E-2</v>
      </c>
      <c r="Z353" s="50">
        <f t="shared" si="260"/>
        <v>5.0129255438435008E-2</v>
      </c>
      <c r="AA353" s="50">
        <f t="shared" si="260"/>
        <v>4.1010488221716553E-2</v>
      </c>
      <c r="AB353" s="50">
        <f t="shared" si="260"/>
        <v>3.34430625326523E-2</v>
      </c>
      <c r="AC353" s="8">
        <f>+SUM(E353:AB353)*D353</f>
        <v>21.000000000000004</v>
      </c>
    </row>
    <row r="354" spans="2:29" outlineLevel="1">
      <c r="B354" s="16"/>
      <c r="C354" s="8" t="s">
        <v>46</v>
      </c>
      <c r="D354" s="8">
        <v>5</v>
      </c>
      <c r="E354" s="50">
        <f t="shared" ref="E354:AB354" si="261">+E294</f>
        <v>3.0659473205105158E-2</v>
      </c>
      <c r="F354" s="50">
        <f t="shared" si="261"/>
        <v>2.8600001140869122E-2</v>
      </c>
      <c r="G354" s="50">
        <f t="shared" si="261"/>
        <v>2.7683858575034276E-2</v>
      </c>
      <c r="H354" s="50">
        <f t="shared" si="261"/>
        <v>2.7537802139610414E-2</v>
      </c>
      <c r="I354" s="50">
        <f t="shared" si="261"/>
        <v>2.8782539770184416E-2</v>
      </c>
      <c r="J354" s="50">
        <f t="shared" si="261"/>
        <v>3.2241585579716119E-2</v>
      </c>
      <c r="K354" s="50">
        <f t="shared" si="261"/>
        <v>3.645312931015221E-2</v>
      </c>
      <c r="L354" s="50">
        <f t="shared" si="261"/>
        <v>3.9012639181609042E-2</v>
      </c>
      <c r="M354" s="50">
        <f t="shared" si="261"/>
        <v>4.1549207589560662E-2</v>
      </c>
      <c r="N354" s="50">
        <f t="shared" si="261"/>
        <v>4.3042516751632572E-2</v>
      </c>
      <c r="O354" s="50">
        <f t="shared" si="261"/>
        <v>4.4973693586955334E-2</v>
      </c>
      <c r="P354" s="50">
        <f t="shared" si="261"/>
        <v>4.6808021710202923E-2</v>
      </c>
      <c r="Q354" s="50">
        <f t="shared" si="261"/>
        <v>4.6383383047344962E-2</v>
      </c>
      <c r="R354" s="50">
        <f t="shared" si="261"/>
        <v>4.4751654806610461E-2</v>
      </c>
      <c r="S354" s="50">
        <f t="shared" si="261"/>
        <v>4.4013077558728637E-2</v>
      </c>
      <c r="T354" s="50">
        <f t="shared" si="261"/>
        <v>4.428856091631931E-2</v>
      </c>
      <c r="U354" s="50">
        <f t="shared" si="261"/>
        <v>4.49735778579251E-2</v>
      </c>
      <c r="V354" s="50">
        <f t="shared" si="261"/>
        <v>4.6933206789217301E-2</v>
      </c>
      <c r="W354" s="50">
        <f t="shared" si="261"/>
        <v>5.6210586428141023E-2</v>
      </c>
      <c r="X354" s="50">
        <f t="shared" si="261"/>
        <v>6.1205656691958259E-2</v>
      </c>
      <c r="Y354" s="50">
        <f t="shared" si="261"/>
        <v>5.7018442088769522E-2</v>
      </c>
      <c r="Z354" s="50">
        <f t="shared" si="261"/>
        <v>4.9896672365740725E-2</v>
      </c>
      <c r="AA354" s="50">
        <f t="shared" si="261"/>
        <v>4.1622868086918119E-2</v>
      </c>
      <c r="AB354" s="50">
        <f t="shared" si="261"/>
        <v>3.5357844821693719E-2</v>
      </c>
      <c r="AC354" s="8">
        <f t="shared" ref="AC354:AC356" si="262">+SUM(E354:AB354)*D354</f>
        <v>4.9999999999999964</v>
      </c>
    </row>
    <row r="355" spans="2:29" outlineLevel="1">
      <c r="B355" s="16"/>
      <c r="C355" s="8" t="s">
        <v>47</v>
      </c>
      <c r="D355" s="8">
        <v>4</v>
      </c>
      <c r="E355" s="50">
        <f t="shared" ref="E355:AB355" si="263">+E295</f>
        <v>3.3281514565353124E-2</v>
      </c>
      <c r="F355" s="50">
        <f t="shared" si="263"/>
        <v>3.1140043873712407E-2</v>
      </c>
      <c r="G355" s="50">
        <f t="shared" si="263"/>
        <v>2.984335106750436E-2</v>
      </c>
      <c r="H355" s="50">
        <f t="shared" si="263"/>
        <v>2.9286927979133532E-2</v>
      </c>
      <c r="I355" s="50">
        <f t="shared" si="263"/>
        <v>2.9138028999542646E-2</v>
      </c>
      <c r="J355" s="50">
        <f t="shared" si="263"/>
        <v>3.0942883559119717E-2</v>
      </c>
      <c r="K355" s="50">
        <f t="shared" si="263"/>
        <v>3.4432484834348992E-2</v>
      </c>
      <c r="L355" s="50">
        <f t="shared" si="263"/>
        <v>3.8305304424032266E-2</v>
      </c>
      <c r="M355" s="50">
        <f t="shared" si="263"/>
        <v>4.1103790742913066E-2</v>
      </c>
      <c r="N355" s="50">
        <f t="shared" si="263"/>
        <v>4.2608444243851212E-2</v>
      </c>
      <c r="O355" s="50">
        <f t="shared" si="263"/>
        <v>4.3914681848814308E-2</v>
      </c>
      <c r="P355" s="50">
        <f t="shared" si="263"/>
        <v>4.5729867165388009E-2</v>
      </c>
      <c r="Q355" s="50">
        <f t="shared" si="263"/>
        <v>4.5741487779353565E-2</v>
      </c>
      <c r="R355" s="50">
        <f t="shared" si="263"/>
        <v>4.4277060725657284E-2</v>
      </c>
      <c r="S355" s="50">
        <f t="shared" si="263"/>
        <v>4.3144199391556254E-2</v>
      </c>
      <c r="T355" s="50">
        <f t="shared" si="263"/>
        <v>4.3279567369281124E-2</v>
      </c>
      <c r="U355" s="50">
        <f t="shared" si="263"/>
        <v>4.4109954506885138E-2</v>
      </c>
      <c r="V355" s="50">
        <f t="shared" si="263"/>
        <v>4.6298728840315946E-2</v>
      </c>
      <c r="W355" s="50">
        <f t="shared" si="263"/>
        <v>5.6176649878816001E-2</v>
      </c>
      <c r="X355" s="50">
        <f t="shared" si="263"/>
        <v>6.2194705000087863E-2</v>
      </c>
      <c r="Y355" s="50">
        <f t="shared" si="263"/>
        <v>5.7928891294023718E-2</v>
      </c>
      <c r="Z355" s="50">
        <f t="shared" si="263"/>
        <v>5.019499221712586E-2</v>
      </c>
      <c r="AA355" s="50">
        <f t="shared" si="263"/>
        <v>4.1853093029906328E-2</v>
      </c>
      <c r="AB355" s="50">
        <f t="shared" si="263"/>
        <v>3.507334666327714E-2</v>
      </c>
      <c r="AC355" s="8">
        <f t="shared" si="262"/>
        <v>3.9999999999999991</v>
      </c>
    </row>
    <row r="356" spans="2:29" outlineLevel="1">
      <c r="B356" s="16"/>
      <c r="C356" s="8" t="s">
        <v>48</v>
      </c>
      <c r="D356" s="8">
        <v>0</v>
      </c>
      <c r="E356" s="50">
        <f t="shared" ref="E356:AB356" si="264">+E296</f>
        <v>3.367503361886829E-2</v>
      </c>
      <c r="F356" s="50">
        <f t="shared" si="264"/>
        <v>3.1245692535415936E-2</v>
      </c>
      <c r="G356" s="50">
        <f t="shared" si="264"/>
        <v>2.9861746203171599E-2</v>
      </c>
      <c r="H356" s="50">
        <f t="shared" si="264"/>
        <v>2.9235019370742008E-2</v>
      </c>
      <c r="I356" s="50">
        <f t="shared" si="264"/>
        <v>3.0186379118294998E-2</v>
      </c>
      <c r="J356" s="50">
        <f t="shared" si="264"/>
        <v>3.3123682717801174E-2</v>
      </c>
      <c r="K356" s="50">
        <f t="shared" si="264"/>
        <v>3.5563630818173868E-2</v>
      </c>
      <c r="L356" s="50">
        <f t="shared" si="264"/>
        <v>3.7375437025807548E-2</v>
      </c>
      <c r="M356" s="50">
        <f t="shared" si="264"/>
        <v>3.9557895894381336E-2</v>
      </c>
      <c r="N356" s="50">
        <f t="shared" si="264"/>
        <v>4.1330002492198488E-2</v>
      </c>
      <c r="O356" s="50">
        <f t="shared" si="264"/>
        <v>4.3273465010057272E-2</v>
      </c>
      <c r="P356" s="50">
        <f t="shared" si="264"/>
        <v>4.5278417057592932E-2</v>
      </c>
      <c r="Q356" s="50">
        <f t="shared" si="264"/>
        <v>4.5765189585786785E-2</v>
      </c>
      <c r="R356" s="50">
        <f t="shared" si="264"/>
        <v>4.421428774797561E-2</v>
      </c>
      <c r="S356" s="50">
        <f t="shared" si="264"/>
        <v>4.3245429527174986E-2</v>
      </c>
      <c r="T356" s="50">
        <f t="shared" si="264"/>
        <v>4.3554999005074702E-2</v>
      </c>
      <c r="U356" s="50">
        <f t="shared" si="264"/>
        <v>4.4435510161992771E-2</v>
      </c>
      <c r="V356" s="50">
        <f t="shared" si="264"/>
        <v>4.717219114348542E-2</v>
      </c>
      <c r="W356" s="50">
        <f t="shared" si="264"/>
        <v>5.6899741232983039E-2</v>
      </c>
      <c r="X356" s="50">
        <f t="shared" si="264"/>
        <v>6.1986738769463187E-2</v>
      </c>
      <c r="Y356" s="50">
        <f t="shared" si="264"/>
        <v>5.7208700429979269E-2</v>
      </c>
      <c r="Z356" s="50">
        <f t="shared" si="264"/>
        <v>4.9339560702577757E-2</v>
      </c>
      <c r="AA356" s="50">
        <f t="shared" si="264"/>
        <v>4.1368944501432053E-2</v>
      </c>
      <c r="AB356" s="50">
        <f t="shared" si="264"/>
        <v>3.5102305329568817E-2</v>
      </c>
      <c r="AC356" s="8">
        <f t="shared" si="262"/>
        <v>0</v>
      </c>
    </row>
    <row r="357" spans="2:29" outlineLevel="1">
      <c r="B357" s="12"/>
      <c r="C357" s="12" t="s">
        <v>15</v>
      </c>
      <c r="D357" s="12">
        <f>+SUM(D353:D356)</f>
        <v>30</v>
      </c>
      <c r="E357" s="19">
        <f>+SUMPRODUCT(E353:E356,$D353:$D356)</f>
        <v>0.90300982390854445</v>
      </c>
      <c r="F357" s="19">
        <f>+SUMPRODUCT(F353:F356,$D353:$D356)</f>
        <v>0.84910709817601926</v>
      </c>
      <c r="G357" s="19">
        <f t="shared" ref="G357:AB357" si="265">+SUMPRODUCT(G353:G356,$D353:$D356)</f>
        <v>0.82028108649681586</v>
      </c>
      <c r="H357" s="19">
        <f t="shared" si="265"/>
        <v>0.81736349936232378</v>
      </c>
      <c r="I357" s="19">
        <f t="shared" si="265"/>
        <v>0.87231609357683371</v>
      </c>
      <c r="J357" s="19">
        <f t="shared" si="265"/>
        <v>1.0103287831260883</v>
      </c>
      <c r="K357" s="19">
        <f t="shared" si="265"/>
        <v>1.1345653261869955</v>
      </c>
      <c r="L357" s="19">
        <f t="shared" si="265"/>
        <v>1.1794362398667486</v>
      </c>
      <c r="M357" s="19">
        <f t="shared" si="265"/>
        <v>1.2322695046268648</v>
      </c>
      <c r="N357" s="19">
        <f t="shared" si="265"/>
        <v>1.271151681675708</v>
      </c>
      <c r="O357" s="19">
        <f t="shared" si="265"/>
        <v>1.3276850690623314</v>
      </c>
      <c r="P357" s="19">
        <f t="shared" si="265"/>
        <v>1.3891507230084179</v>
      </c>
      <c r="Q357" s="19">
        <f t="shared" si="265"/>
        <v>1.3689522614963332</v>
      </c>
      <c r="R357" s="19">
        <f t="shared" si="265"/>
        <v>1.3223408155059495</v>
      </c>
      <c r="S357" s="19">
        <f t="shared" si="265"/>
        <v>1.3191308244773134</v>
      </c>
      <c r="T357" s="19">
        <f t="shared" si="265"/>
        <v>1.3435181598211072</v>
      </c>
      <c r="U357" s="19">
        <f t="shared" si="265"/>
        <v>1.3724112445941816</v>
      </c>
      <c r="V357" s="19">
        <f t="shared" si="265"/>
        <v>1.433052967529409</v>
      </c>
      <c r="W357" s="19">
        <f t="shared" si="265"/>
        <v>1.7047941235459201</v>
      </c>
      <c r="X357" s="19">
        <f t="shared" si="265"/>
        <v>1.8513458024124976</v>
      </c>
      <c r="Y357" s="19">
        <f t="shared" si="265"/>
        <v>1.7186772874817144</v>
      </c>
      <c r="Z357" s="19">
        <f t="shared" si="265"/>
        <v>1.5029776949043423</v>
      </c>
      <c r="AA357" s="19">
        <f t="shared" si="265"/>
        <v>1.2367469652102634</v>
      </c>
      <c r="AB357" s="19">
        <f t="shared" si="265"/>
        <v>1.0193869239472755</v>
      </c>
      <c r="AC357" s="12">
        <f>+SUM(E357:AB357)</f>
        <v>30</v>
      </c>
    </row>
    <row r="358" spans="2:29" outlineLevel="1">
      <c r="B358" s="15">
        <f>+EDATE(B353,1)</f>
        <v>47027</v>
      </c>
      <c r="C358" s="8" t="s">
        <v>45</v>
      </c>
      <c r="D358" s="8">
        <v>21</v>
      </c>
      <c r="E358" s="50">
        <f t="shared" ref="E358:AB358" si="266">+E298</f>
        <v>2.9361257124838391E-2</v>
      </c>
      <c r="F358" s="50">
        <f t="shared" si="266"/>
        <v>2.7692710332229715E-2</v>
      </c>
      <c r="G358" s="50">
        <f t="shared" si="266"/>
        <v>2.6785161397696527E-2</v>
      </c>
      <c r="H358" s="50">
        <f t="shared" si="266"/>
        <v>2.6786989368939883E-2</v>
      </c>
      <c r="I358" s="50">
        <f t="shared" si="266"/>
        <v>2.9135775177511477E-2</v>
      </c>
      <c r="J358" s="50">
        <f t="shared" si="266"/>
        <v>3.4540443856715661E-2</v>
      </c>
      <c r="K358" s="50">
        <f t="shared" si="266"/>
        <v>3.8789035252325646E-2</v>
      </c>
      <c r="L358" s="50">
        <f t="shared" si="266"/>
        <v>3.957865839345593E-2</v>
      </c>
      <c r="M358" s="50">
        <f t="shared" si="266"/>
        <v>4.0957538271781398E-2</v>
      </c>
      <c r="N358" s="50">
        <f t="shared" si="266"/>
        <v>4.2166920044863825E-2</v>
      </c>
      <c r="O358" s="50">
        <f t="shared" si="266"/>
        <v>4.4150374939633218E-2</v>
      </c>
      <c r="P358" s="50">
        <f t="shared" si="266"/>
        <v>4.6294816466469102E-2</v>
      </c>
      <c r="Q358" s="50">
        <f t="shared" si="266"/>
        <v>4.5431875959152102E-2</v>
      </c>
      <c r="R358" s="50">
        <f t="shared" si="266"/>
        <v>4.3879728503346101E-2</v>
      </c>
      <c r="S358" s="50">
        <f t="shared" si="266"/>
        <v>4.4118506624640258E-2</v>
      </c>
      <c r="T358" s="50">
        <f t="shared" si="266"/>
        <v>4.5188432655351718E-2</v>
      </c>
      <c r="U358" s="50">
        <f t="shared" si="266"/>
        <v>4.624302558461979E-2</v>
      </c>
      <c r="V358" s="50">
        <f t="shared" si="266"/>
        <v>4.8247238962955179E-2</v>
      </c>
      <c r="W358" s="50">
        <f t="shared" si="266"/>
        <v>5.7096885328092907E-2</v>
      </c>
      <c r="X358" s="50">
        <f t="shared" si="266"/>
        <v>6.1739938045350239E-2</v>
      </c>
      <c r="Y358" s="50">
        <f t="shared" si="266"/>
        <v>5.7231881517227232E-2</v>
      </c>
      <c r="Z358" s="50">
        <f t="shared" si="266"/>
        <v>5.0129255438435008E-2</v>
      </c>
      <c r="AA358" s="50">
        <f t="shared" si="266"/>
        <v>4.1010488221716553E-2</v>
      </c>
      <c r="AB358" s="50">
        <f t="shared" si="266"/>
        <v>3.34430625326523E-2</v>
      </c>
      <c r="AC358" s="8">
        <f>+SUM(E358:AB358)*D358</f>
        <v>21.000000000000004</v>
      </c>
    </row>
    <row r="359" spans="2:29" outlineLevel="1">
      <c r="B359" s="16"/>
      <c r="C359" s="8" t="s">
        <v>46</v>
      </c>
      <c r="D359" s="8">
        <v>4</v>
      </c>
      <c r="E359" s="50">
        <f t="shared" ref="E359:AB359" si="267">+E299</f>
        <v>3.0659473205105158E-2</v>
      </c>
      <c r="F359" s="50">
        <f t="shared" si="267"/>
        <v>2.8600001140869122E-2</v>
      </c>
      <c r="G359" s="50">
        <f t="shared" si="267"/>
        <v>2.7683858575034276E-2</v>
      </c>
      <c r="H359" s="50">
        <f t="shared" si="267"/>
        <v>2.7537802139610414E-2</v>
      </c>
      <c r="I359" s="50">
        <f t="shared" si="267"/>
        <v>2.8782539770184416E-2</v>
      </c>
      <c r="J359" s="50">
        <f t="shared" si="267"/>
        <v>3.2241585579716119E-2</v>
      </c>
      <c r="K359" s="50">
        <f t="shared" si="267"/>
        <v>3.645312931015221E-2</v>
      </c>
      <c r="L359" s="50">
        <f t="shared" si="267"/>
        <v>3.9012639181609042E-2</v>
      </c>
      <c r="M359" s="50">
        <f t="shared" si="267"/>
        <v>4.1549207589560662E-2</v>
      </c>
      <c r="N359" s="50">
        <f t="shared" si="267"/>
        <v>4.3042516751632572E-2</v>
      </c>
      <c r="O359" s="50">
        <f t="shared" si="267"/>
        <v>4.4973693586955334E-2</v>
      </c>
      <c r="P359" s="50">
        <f t="shared" si="267"/>
        <v>4.6808021710202923E-2</v>
      </c>
      <c r="Q359" s="50">
        <f t="shared" si="267"/>
        <v>4.6383383047344962E-2</v>
      </c>
      <c r="R359" s="50">
        <f t="shared" si="267"/>
        <v>4.4751654806610461E-2</v>
      </c>
      <c r="S359" s="50">
        <f t="shared" si="267"/>
        <v>4.4013077558728637E-2</v>
      </c>
      <c r="T359" s="50">
        <f t="shared" si="267"/>
        <v>4.428856091631931E-2</v>
      </c>
      <c r="U359" s="50">
        <f t="shared" si="267"/>
        <v>4.49735778579251E-2</v>
      </c>
      <c r="V359" s="50">
        <f t="shared" si="267"/>
        <v>4.6933206789217301E-2</v>
      </c>
      <c r="W359" s="50">
        <f t="shared" si="267"/>
        <v>5.6210586428141023E-2</v>
      </c>
      <c r="X359" s="50">
        <f t="shared" si="267"/>
        <v>6.1205656691958259E-2</v>
      </c>
      <c r="Y359" s="50">
        <f t="shared" si="267"/>
        <v>5.7018442088769522E-2</v>
      </c>
      <c r="Z359" s="50">
        <f t="shared" si="267"/>
        <v>4.9896672365740725E-2</v>
      </c>
      <c r="AA359" s="50">
        <f t="shared" si="267"/>
        <v>4.1622868086918119E-2</v>
      </c>
      <c r="AB359" s="50">
        <f t="shared" si="267"/>
        <v>3.5357844821693719E-2</v>
      </c>
      <c r="AC359" s="8">
        <f t="shared" ref="AC359:AC361" si="268">+SUM(E359:AB359)*D359</f>
        <v>3.9999999999999969</v>
      </c>
    </row>
    <row r="360" spans="2:29" outlineLevel="1">
      <c r="B360" s="16"/>
      <c r="C360" s="8" t="s">
        <v>47</v>
      </c>
      <c r="D360" s="8">
        <v>5</v>
      </c>
      <c r="E360" s="50">
        <f t="shared" ref="E360:AB360" si="269">+E300</f>
        <v>3.3281514565353124E-2</v>
      </c>
      <c r="F360" s="50">
        <f t="shared" si="269"/>
        <v>3.1140043873712407E-2</v>
      </c>
      <c r="G360" s="50">
        <f t="shared" si="269"/>
        <v>2.984335106750436E-2</v>
      </c>
      <c r="H360" s="50">
        <f t="shared" si="269"/>
        <v>2.9286927979133532E-2</v>
      </c>
      <c r="I360" s="50">
        <f t="shared" si="269"/>
        <v>2.9138028999542646E-2</v>
      </c>
      <c r="J360" s="50">
        <f t="shared" si="269"/>
        <v>3.0942883559119717E-2</v>
      </c>
      <c r="K360" s="50">
        <f t="shared" si="269"/>
        <v>3.4432484834348992E-2</v>
      </c>
      <c r="L360" s="50">
        <f t="shared" si="269"/>
        <v>3.8305304424032266E-2</v>
      </c>
      <c r="M360" s="50">
        <f t="shared" si="269"/>
        <v>4.1103790742913066E-2</v>
      </c>
      <c r="N360" s="50">
        <f t="shared" si="269"/>
        <v>4.2608444243851212E-2</v>
      </c>
      <c r="O360" s="50">
        <f t="shared" si="269"/>
        <v>4.3914681848814308E-2</v>
      </c>
      <c r="P360" s="50">
        <f t="shared" si="269"/>
        <v>4.5729867165388009E-2</v>
      </c>
      <c r="Q360" s="50">
        <f t="shared" si="269"/>
        <v>4.5741487779353565E-2</v>
      </c>
      <c r="R360" s="50">
        <f t="shared" si="269"/>
        <v>4.4277060725657284E-2</v>
      </c>
      <c r="S360" s="50">
        <f t="shared" si="269"/>
        <v>4.3144199391556254E-2</v>
      </c>
      <c r="T360" s="50">
        <f t="shared" si="269"/>
        <v>4.3279567369281124E-2</v>
      </c>
      <c r="U360" s="50">
        <f t="shared" si="269"/>
        <v>4.4109954506885138E-2</v>
      </c>
      <c r="V360" s="50">
        <f t="shared" si="269"/>
        <v>4.6298728840315946E-2</v>
      </c>
      <c r="W360" s="50">
        <f t="shared" si="269"/>
        <v>5.6176649878816001E-2</v>
      </c>
      <c r="X360" s="50">
        <f t="shared" si="269"/>
        <v>6.2194705000087863E-2</v>
      </c>
      <c r="Y360" s="50">
        <f t="shared" si="269"/>
        <v>5.7928891294023718E-2</v>
      </c>
      <c r="Z360" s="50">
        <f t="shared" si="269"/>
        <v>5.019499221712586E-2</v>
      </c>
      <c r="AA360" s="50">
        <f t="shared" si="269"/>
        <v>4.1853093029906328E-2</v>
      </c>
      <c r="AB360" s="50">
        <f t="shared" si="269"/>
        <v>3.507334666327714E-2</v>
      </c>
      <c r="AC360" s="8">
        <f t="shared" si="268"/>
        <v>4.9999999999999991</v>
      </c>
    </row>
    <row r="361" spans="2:29" outlineLevel="1">
      <c r="B361" s="16"/>
      <c r="C361" s="8" t="s">
        <v>48</v>
      </c>
      <c r="D361" s="8">
        <v>1</v>
      </c>
      <c r="E361" s="50">
        <f t="shared" ref="E361:AB361" si="270">+E301</f>
        <v>3.367503361886829E-2</v>
      </c>
      <c r="F361" s="50">
        <f t="shared" si="270"/>
        <v>3.1245692535415936E-2</v>
      </c>
      <c r="G361" s="50">
        <f t="shared" si="270"/>
        <v>2.9861746203171599E-2</v>
      </c>
      <c r="H361" s="50">
        <f t="shared" si="270"/>
        <v>2.9235019370742008E-2</v>
      </c>
      <c r="I361" s="50">
        <f t="shared" si="270"/>
        <v>3.0186379118294998E-2</v>
      </c>
      <c r="J361" s="50">
        <f t="shared" si="270"/>
        <v>3.3123682717801174E-2</v>
      </c>
      <c r="K361" s="50">
        <f t="shared" si="270"/>
        <v>3.5563630818173868E-2</v>
      </c>
      <c r="L361" s="50">
        <f t="shared" si="270"/>
        <v>3.7375437025807548E-2</v>
      </c>
      <c r="M361" s="50">
        <f t="shared" si="270"/>
        <v>3.9557895894381336E-2</v>
      </c>
      <c r="N361" s="50">
        <f t="shared" si="270"/>
        <v>4.1330002492198488E-2</v>
      </c>
      <c r="O361" s="50">
        <f t="shared" si="270"/>
        <v>4.3273465010057272E-2</v>
      </c>
      <c r="P361" s="50">
        <f t="shared" si="270"/>
        <v>4.5278417057592932E-2</v>
      </c>
      <c r="Q361" s="50">
        <f t="shared" si="270"/>
        <v>4.5765189585786785E-2</v>
      </c>
      <c r="R361" s="50">
        <f t="shared" si="270"/>
        <v>4.421428774797561E-2</v>
      </c>
      <c r="S361" s="50">
        <f t="shared" si="270"/>
        <v>4.3245429527174986E-2</v>
      </c>
      <c r="T361" s="50">
        <f t="shared" si="270"/>
        <v>4.3554999005074702E-2</v>
      </c>
      <c r="U361" s="50">
        <f t="shared" si="270"/>
        <v>4.4435510161992771E-2</v>
      </c>
      <c r="V361" s="50">
        <f t="shared" si="270"/>
        <v>4.717219114348542E-2</v>
      </c>
      <c r="W361" s="50">
        <f t="shared" si="270"/>
        <v>5.6899741232983039E-2</v>
      </c>
      <c r="X361" s="50">
        <f t="shared" si="270"/>
        <v>6.1986738769463187E-2</v>
      </c>
      <c r="Y361" s="50">
        <f t="shared" si="270"/>
        <v>5.7208700429979269E-2</v>
      </c>
      <c r="Z361" s="50">
        <f t="shared" si="270"/>
        <v>4.9339560702577757E-2</v>
      </c>
      <c r="AA361" s="50">
        <f t="shared" si="270"/>
        <v>4.1368944501432053E-2</v>
      </c>
      <c r="AB361" s="50">
        <f t="shared" si="270"/>
        <v>3.5102305329568817E-2</v>
      </c>
      <c r="AC361" s="8">
        <f t="shared" si="268"/>
        <v>0.99999999999999978</v>
      </c>
    </row>
    <row r="362" spans="2:29" outlineLevel="1">
      <c r="B362" s="12"/>
      <c r="C362" s="12" t="s">
        <v>15</v>
      </c>
      <c r="D362" s="12">
        <f>+SUM(D358:D361)</f>
        <v>31</v>
      </c>
      <c r="E362" s="19">
        <f>+SUMPRODUCT(E358:E361,$D358:$D361)</f>
        <v>0.93930689888766072</v>
      </c>
      <c r="F362" s="19">
        <f>+SUMPRODUCT(F358:F361,$D358:$D361)</f>
        <v>0.88289283344427849</v>
      </c>
      <c r="G362" s="19">
        <f t="shared" ref="G362:AB362" si="271">+SUMPRODUCT(G358:G361,$D358:$D361)</f>
        <v>0.85230232519245752</v>
      </c>
      <c r="H362" s="19">
        <f t="shared" si="271"/>
        <v>0.84834764457258882</v>
      </c>
      <c r="I362" s="19">
        <f t="shared" si="271"/>
        <v>0.90285796192448697</v>
      </c>
      <c r="J362" s="19">
        <f t="shared" si="271"/>
        <v>1.0421537638232932</v>
      </c>
      <c r="K362" s="19">
        <f t="shared" si="271"/>
        <v>1.1681083125293663</v>
      </c>
      <c r="L362" s="19">
        <f t="shared" si="271"/>
        <v>1.2161043421349795</v>
      </c>
      <c r="M362" s="19">
        <f t="shared" si="271"/>
        <v>1.2713819836745988</v>
      </c>
      <c r="N362" s="19">
        <f t="shared" si="271"/>
        <v>1.3120476116601252</v>
      </c>
      <c r="O362" s="19">
        <f t="shared" si="271"/>
        <v>1.3698995223342476</v>
      </c>
      <c r="P362" s="19">
        <f t="shared" si="271"/>
        <v>1.4333509855211959</v>
      </c>
      <c r="Q362" s="19">
        <f t="shared" si="271"/>
        <v>1.4140755558141285</v>
      </c>
      <c r="R362" s="19">
        <f t="shared" si="271"/>
        <v>1.366080509172972</v>
      </c>
      <c r="S362" s="19">
        <f t="shared" si="271"/>
        <v>1.3615073758373162</v>
      </c>
      <c r="T362" s="19">
        <f t="shared" si="271"/>
        <v>1.3860641652791439</v>
      </c>
      <c r="U362" s="19">
        <f t="shared" si="271"/>
        <v>1.4159831314051345</v>
      </c>
      <c r="V362" s="19">
        <f t="shared" si="271"/>
        <v>1.4795906807239934</v>
      </c>
      <c r="W362" s="19">
        <f t="shared" si="271"/>
        <v>1.7616599282295782</v>
      </c>
      <c r="X362" s="19">
        <f t="shared" si="271"/>
        <v>1.9143215894900907</v>
      </c>
      <c r="Y362" s="19">
        <f t="shared" si="271"/>
        <v>1.7767964371169478</v>
      </c>
      <c r="Z362" s="19">
        <f t="shared" si="271"/>
        <v>1.5526155754583053</v>
      </c>
      <c r="AA362" s="19">
        <f t="shared" si="271"/>
        <v>1.2783461346546838</v>
      </c>
      <c r="AB362" s="19">
        <f t="shared" si="271"/>
        <v>1.0542047311184275</v>
      </c>
      <c r="AC362" s="12">
        <f>+SUM(E362:AB362)</f>
        <v>30.999999999999996</v>
      </c>
    </row>
    <row r="363" spans="2:29" outlineLevel="1">
      <c r="B363" s="15">
        <f>+EDATE(B358,1)</f>
        <v>47058</v>
      </c>
      <c r="C363" s="8" t="s">
        <v>45</v>
      </c>
      <c r="D363" s="8">
        <v>20</v>
      </c>
      <c r="E363" s="50">
        <f t="shared" ref="E363:AB363" si="272">+E303</f>
        <v>2.9361257124838391E-2</v>
      </c>
      <c r="F363" s="50">
        <f t="shared" si="272"/>
        <v>2.7692710332229715E-2</v>
      </c>
      <c r="G363" s="50">
        <f t="shared" si="272"/>
        <v>2.6785161397696527E-2</v>
      </c>
      <c r="H363" s="50">
        <f t="shared" si="272"/>
        <v>2.6786989368939883E-2</v>
      </c>
      <c r="I363" s="50">
        <f t="shared" si="272"/>
        <v>2.9135775177511477E-2</v>
      </c>
      <c r="J363" s="50">
        <f t="shared" si="272"/>
        <v>3.4540443856715661E-2</v>
      </c>
      <c r="K363" s="50">
        <f t="shared" si="272"/>
        <v>3.8789035252325646E-2</v>
      </c>
      <c r="L363" s="50">
        <f t="shared" si="272"/>
        <v>3.957865839345593E-2</v>
      </c>
      <c r="M363" s="50">
        <f t="shared" si="272"/>
        <v>4.0957538271781398E-2</v>
      </c>
      <c r="N363" s="50">
        <f t="shared" si="272"/>
        <v>4.2166920044863825E-2</v>
      </c>
      <c r="O363" s="50">
        <f t="shared" si="272"/>
        <v>4.4150374939633218E-2</v>
      </c>
      <c r="P363" s="50">
        <f t="shared" si="272"/>
        <v>4.6294816466469102E-2</v>
      </c>
      <c r="Q363" s="50">
        <f t="shared" si="272"/>
        <v>4.5431875959152102E-2</v>
      </c>
      <c r="R363" s="50">
        <f t="shared" si="272"/>
        <v>4.3879728503346101E-2</v>
      </c>
      <c r="S363" s="50">
        <f t="shared" si="272"/>
        <v>4.4118506624640258E-2</v>
      </c>
      <c r="T363" s="50">
        <f t="shared" si="272"/>
        <v>4.5188432655351718E-2</v>
      </c>
      <c r="U363" s="50">
        <f t="shared" si="272"/>
        <v>4.624302558461979E-2</v>
      </c>
      <c r="V363" s="50">
        <f t="shared" si="272"/>
        <v>4.8247238962955179E-2</v>
      </c>
      <c r="W363" s="50">
        <f t="shared" si="272"/>
        <v>5.7096885328092907E-2</v>
      </c>
      <c r="X363" s="50">
        <f t="shared" si="272"/>
        <v>6.1739938045350239E-2</v>
      </c>
      <c r="Y363" s="50">
        <f t="shared" si="272"/>
        <v>5.7231881517227232E-2</v>
      </c>
      <c r="Z363" s="50">
        <f t="shared" si="272"/>
        <v>5.0129255438435008E-2</v>
      </c>
      <c r="AA363" s="50">
        <f t="shared" si="272"/>
        <v>4.1010488221716553E-2</v>
      </c>
      <c r="AB363" s="50">
        <f t="shared" si="272"/>
        <v>3.34430625326523E-2</v>
      </c>
      <c r="AC363" s="8">
        <f>+SUM(E363:AB363)*D363</f>
        <v>20.000000000000004</v>
      </c>
    </row>
    <row r="364" spans="2:29" outlineLevel="1">
      <c r="B364" s="16"/>
      <c r="C364" s="8" t="s">
        <v>46</v>
      </c>
      <c r="D364" s="8">
        <v>4</v>
      </c>
      <c r="E364" s="50">
        <f t="shared" ref="E364:AB364" si="273">+E304</f>
        <v>3.0659473205105158E-2</v>
      </c>
      <c r="F364" s="50">
        <f t="shared" si="273"/>
        <v>2.8600001140869122E-2</v>
      </c>
      <c r="G364" s="50">
        <f t="shared" si="273"/>
        <v>2.7683858575034276E-2</v>
      </c>
      <c r="H364" s="50">
        <f t="shared" si="273"/>
        <v>2.7537802139610414E-2</v>
      </c>
      <c r="I364" s="50">
        <f t="shared" si="273"/>
        <v>2.8782539770184416E-2</v>
      </c>
      <c r="J364" s="50">
        <f t="shared" si="273"/>
        <v>3.2241585579716119E-2</v>
      </c>
      <c r="K364" s="50">
        <f t="shared" si="273"/>
        <v>3.645312931015221E-2</v>
      </c>
      <c r="L364" s="50">
        <f t="shared" si="273"/>
        <v>3.9012639181609042E-2</v>
      </c>
      <c r="M364" s="50">
        <f t="shared" si="273"/>
        <v>4.1549207589560662E-2</v>
      </c>
      <c r="N364" s="50">
        <f t="shared" si="273"/>
        <v>4.3042516751632572E-2</v>
      </c>
      <c r="O364" s="50">
        <f t="shared" si="273"/>
        <v>4.4973693586955334E-2</v>
      </c>
      <c r="P364" s="50">
        <f t="shared" si="273"/>
        <v>4.6808021710202923E-2</v>
      </c>
      <c r="Q364" s="50">
        <f t="shared" si="273"/>
        <v>4.6383383047344962E-2</v>
      </c>
      <c r="R364" s="50">
        <f t="shared" si="273"/>
        <v>4.4751654806610461E-2</v>
      </c>
      <c r="S364" s="50">
        <f t="shared" si="273"/>
        <v>4.4013077558728637E-2</v>
      </c>
      <c r="T364" s="50">
        <f t="shared" si="273"/>
        <v>4.428856091631931E-2</v>
      </c>
      <c r="U364" s="50">
        <f t="shared" si="273"/>
        <v>4.49735778579251E-2</v>
      </c>
      <c r="V364" s="50">
        <f t="shared" si="273"/>
        <v>4.6933206789217301E-2</v>
      </c>
      <c r="W364" s="50">
        <f t="shared" si="273"/>
        <v>5.6210586428141023E-2</v>
      </c>
      <c r="X364" s="50">
        <f t="shared" si="273"/>
        <v>6.1205656691958259E-2</v>
      </c>
      <c r="Y364" s="50">
        <f t="shared" si="273"/>
        <v>5.7018442088769522E-2</v>
      </c>
      <c r="Z364" s="50">
        <f t="shared" si="273"/>
        <v>4.9896672365740725E-2</v>
      </c>
      <c r="AA364" s="50">
        <f t="shared" si="273"/>
        <v>4.1622868086918119E-2</v>
      </c>
      <c r="AB364" s="50">
        <f t="shared" si="273"/>
        <v>3.5357844821693719E-2</v>
      </c>
      <c r="AC364" s="8">
        <f t="shared" ref="AC364:AC366" si="274">+SUM(E364:AB364)*D364</f>
        <v>3.9999999999999969</v>
      </c>
    </row>
    <row r="365" spans="2:29" outlineLevel="1">
      <c r="B365" s="16"/>
      <c r="C365" s="8" t="s">
        <v>47</v>
      </c>
      <c r="D365" s="8">
        <v>4</v>
      </c>
      <c r="E365" s="50">
        <f t="shared" ref="E365:AB365" si="275">+E305</f>
        <v>3.3281514565353124E-2</v>
      </c>
      <c r="F365" s="50">
        <f t="shared" si="275"/>
        <v>3.1140043873712407E-2</v>
      </c>
      <c r="G365" s="50">
        <f t="shared" si="275"/>
        <v>2.984335106750436E-2</v>
      </c>
      <c r="H365" s="50">
        <f t="shared" si="275"/>
        <v>2.9286927979133532E-2</v>
      </c>
      <c r="I365" s="50">
        <f t="shared" si="275"/>
        <v>2.9138028999542646E-2</v>
      </c>
      <c r="J365" s="50">
        <f t="shared" si="275"/>
        <v>3.0942883559119717E-2</v>
      </c>
      <c r="K365" s="50">
        <f t="shared" si="275"/>
        <v>3.4432484834348992E-2</v>
      </c>
      <c r="L365" s="50">
        <f t="shared" si="275"/>
        <v>3.8305304424032266E-2</v>
      </c>
      <c r="M365" s="50">
        <f t="shared" si="275"/>
        <v>4.1103790742913066E-2</v>
      </c>
      <c r="N365" s="50">
        <f t="shared" si="275"/>
        <v>4.2608444243851212E-2</v>
      </c>
      <c r="O365" s="50">
        <f t="shared" si="275"/>
        <v>4.3914681848814308E-2</v>
      </c>
      <c r="P365" s="50">
        <f t="shared" si="275"/>
        <v>4.5729867165388009E-2</v>
      </c>
      <c r="Q365" s="50">
        <f t="shared" si="275"/>
        <v>4.5741487779353565E-2</v>
      </c>
      <c r="R365" s="50">
        <f t="shared" si="275"/>
        <v>4.4277060725657284E-2</v>
      </c>
      <c r="S365" s="50">
        <f t="shared" si="275"/>
        <v>4.3144199391556254E-2</v>
      </c>
      <c r="T365" s="50">
        <f t="shared" si="275"/>
        <v>4.3279567369281124E-2</v>
      </c>
      <c r="U365" s="50">
        <f t="shared" si="275"/>
        <v>4.4109954506885138E-2</v>
      </c>
      <c r="V365" s="50">
        <f t="shared" si="275"/>
        <v>4.6298728840315946E-2</v>
      </c>
      <c r="W365" s="50">
        <f t="shared" si="275"/>
        <v>5.6176649878816001E-2</v>
      </c>
      <c r="X365" s="50">
        <f t="shared" si="275"/>
        <v>6.2194705000087863E-2</v>
      </c>
      <c r="Y365" s="50">
        <f t="shared" si="275"/>
        <v>5.7928891294023718E-2</v>
      </c>
      <c r="Z365" s="50">
        <f t="shared" si="275"/>
        <v>5.019499221712586E-2</v>
      </c>
      <c r="AA365" s="50">
        <f t="shared" si="275"/>
        <v>4.1853093029906328E-2</v>
      </c>
      <c r="AB365" s="50">
        <f t="shared" si="275"/>
        <v>3.507334666327714E-2</v>
      </c>
      <c r="AC365" s="8">
        <f t="shared" si="274"/>
        <v>3.9999999999999991</v>
      </c>
    </row>
    <row r="366" spans="2:29" outlineLevel="1">
      <c r="B366" s="16"/>
      <c r="C366" s="8" t="s">
        <v>48</v>
      </c>
      <c r="D366" s="8">
        <v>2</v>
      </c>
      <c r="E366" s="50">
        <f t="shared" ref="E366:AB366" si="276">+E306</f>
        <v>3.367503361886829E-2</v>
      </c>
      <c r="F366" s="50">
        <f t="shared" si="276"/>
        <v>3.1245692535415936E-2</v>
      </c>
      <c r="G366" s="50">
        <f t="shared" si="276"/>
        <v>2.9861746203171599E-2</v>
      </c>
      <c r="H366" s="50">
        <f t="shared" si="276"/>
        <v>2.9235019370742008E-2</v>
      </c>
      <c r="I366" s="50">
        <f t="shared" si="276"/>
        <v>3.0186379118294998E-2</v>
      </c>
      <c r="J366" s="50">
        <f t="shared" si="276"/>
        <v>3.3123682717801174E-2</v>
      </c>
      <c r="K366" s="50">
        <f t="shared" si="276"/>
        <v>3.5563630818173868E-2</v>
      </c>
      <c r="L366" s="50">
        <f t="shared" si="276"/>
        <v>3.7375437025807548E-2</v>
      </c>
      <c r="M366" s="50">
        <f t="shared" si="276"/>
        <v>3.9557895894381336E-2</v>
      </c>
      <c r="N366" s="50">
        <f t="shared" si="276"/>
        <v>4.1330002492198488E-2</v>
      </c>
      <c r="O366" s="50">
        <f t="shared" si="276"/>
        <v>4.3273465010057272E-2</v>
      </c>
      <c r="P366" s="50">
        <f t="shared" si="276"/>
        <v>4.5278417057592932E-2</v>
      </c>
      <c r="Q366" s="50">
        <f t="shared" si="276"/>
        <v>4.5765189585786785E-2</v>
      </c>
      <c r="R366" s="50">
        <f t="shared" si="276"/>
        <v>4.421428774797561E-2</v>
      </c>
      <c r="S366" s="50">
        <f t="shared" si="276"/>
        <v>4.3245429527174986E-2</v>
      </c>
      <c r="T366" s="50">
        <f t="shared" si="276"/>
        <v>4.3554999005074702E-2</v>
      </c>
      <c r="U366" s="50">
        <f t="shared" si="276"/>
        <v>4.4435510161992771E-2</v>
      </c>
      <c r="V366" s="50">
        <f t="shared" si="276"/>
        <v>4.717219114348542E-2</v>
      </c>
      <c r="W366" s="50">
        <f t="shared" si="276"/>
        <v>5.6899741232983039E-2</v>
      </c>
      <c r="X366" s="50">
        <f t="shared" si="276"/>
        <v>6.1986738769463187E-2</v>
      </c>
      <c r="Y366" s="50">
        <f t="shared" si="276"/>
        <v>5.7208700429979269E-2</v>
      </c>
      <c r="Z366" s="50">
        <f t="shared" si="276"/>
        <v>4.9339560702577757E-2</v>
      </c>
      <c r="AA366" s="50">
        <f t="shared" si="276"/>
        <v>4.1368944501432053E-2</v>
      </c>
      <c r="AB366" s="50">
        <f t="shared" si="276"/>
        <v>3.5102305329568817E-2</v>
      </c>
      <c r="AC366" s="8">
        <f t="shared" si="274"/>
        <v>1.9999999999999996</v>
      </c>
    </row>
    <row r="367" spans="2:29" outlineLevel="1">
      <c r="B367" s="12"/>
      <c r="C367" s="12" t="s">
        <v>15</v>
      </c>
      <c r="D367" s="12">
        <f>+SUM(D363:D366)</f>
        <v>30</v>
      </c>
      <c r="E367" s="19">
        <f>+SUMPRODUCT(E363:E366,$D363:$D366)</f>
        <v>0.91033916081633748</v>
      </c>
      <c r="F367" s="19">
        <f>+SUMPRODUCT(F363:F366,$D363:$D366)</f>
        <v>0.85530577177375222</v>
      </c>
      <c r="G367" s="19">
        <f t="shared" ref="G367:AB367" si="277">+SUMPRODUCT(G363:G366,$D363:$D366)</f>
        <v>0.82553555893042829</v>
      </c>
      <c r="H367" s="19">
        <f t="shared" si="277"/>
        <v>0.82150874659525752</v>
      </c>
      <c r="I367" s="19">
        <f t="shared" si="277"/>
        <v>0.8747705368657277</v>
      </c>
      <c r="J367" s="19">
        <f t="shared" si="277"/>
        <v>1.0097941191252591</v>
      </c>
      <c r="K367" s="19">
        <f t="shared" si="277"/>
        <v>1.1304504232608654</v>
      </c>
      <c r="L367" s="19">
        <f t="shared" si="277"/>
        <v>1.1755958163432989</v>
      </c>
      <c r="M367" s="19">
        <f t="shared" si="277"/>
        <v>1.2288785505542854</v>
      </c>
      <c r="N367" s="19">
        <f t="shared" si="277"/>
        <v>1.2686022498636089</v>
      </c>
      <c r="O367" s="19">
        <f t="shared" si="277"/>
        <v>1.3251079305558575</v>
      </c>
      <c r="P367" s="19">
        <f t="shared" si="277"/>
        <v>1.3866047189469317</v>
      </c>
      <c r="Q367" s="19">
        <f t="shared" si="277"/>
        <v>1.3686673816614097</v>
      </c>
      <c r="R367" s="19">
        <f t="shared" si="277"/>
        <v>1.3221380076919442</v>
      </c>
      <c r="S367" s="19">
        <f t="shared" si="277"/>
        <v>1.317490099348295</v>
      </c>
      <c r="T367" s="19">
        <f t="shared" si="277"/>
        <v>1.3411511642595855</v>
      </c>
      <c r="U367" s="19">
        <f t="shared" si="277"/>
        <v>1.3700656614756224</v>
      </c>
      <c r="V367" s="19">
        <f t="shared" si="277"/>
        <v>1.4322169040642074</v>
      </c>
      <c r="W367" s="19">
        <f t="shared" si="277"/>
        <v>1.7052861342556522</v>
      </c>
      <c r="X367" s="19">
        <f t="shared" si="277"/>
        <v>1.8523736852141155</v>
      </c>
      <c r="Y367" s="19">
        <f t="shared" si="277"/>
        <v>1.7188443647356764</v>
      </c>
      <c r="Z367" s="19">
        <f t="shared" si="277"/>
        <v>1.501630888505322</v>
      </c>
      <c r="AA367" s="19">
        <f t="shared" si="277"/>
        <v>1.2368514979044929</v>
      </c>
      <c r="AB367" s="19">
        <f t="shared" si="277"/>
        <v>1.020790627252067</v>
      </c>
      <c r="AC367" s="12">
        <f>+SUM(E367:AB367)</f>
        <v>30</v>
      </c>
    </row>
    <row r="368" spans="2:29" outlineLevel="1">
      <c r="B368" s="15">
        <f>+EDATE(B363,1)</f>
        <v>47088</v>
      </c>
      <c r="C368" s="8" t="s">
        <v>45</v>
      </c>
      <c r="D368" s="8">
        <v>19</v>
      </c>
      <c r="E368" s="50">
        <f t="shared" ref="E368:AB368" si="278">+E308</f>
        <v>2.9361257124838391E-2</v>
      </c>
      <c r="F368" s="50">
        <f t="shared" si="278"/>
        <v>2.7692710332229715E-2</v>
      </c>
      <c r="G368" s="50">
        <f t="shared" si="278"/>
        <v>2.6785161397696527E-2</v>
      </c>
      <c r="H368" s="50">
        <f t="shared" si="278"/>
        <v>2.6786989368939883E-2</v>
      </c>
      <c r="I368" s="50">
        <f t="shared" si="278"/>
        <v>2.9135775177511477E-2</v>
      </c>
      <c r="J368" s="50">
        <f t="shared" si="278"/>
        <v>3.4540443856715661E-2</v>
      </c>
      <c r="K368" s="50">
        <f t="shared" si="278"/>
        <v>3.8789035252325646E-2</v>
      </c>
      <c r="L368" s="50">
        <f t="shared" si="278"/>
        <v>3.957865839345593E-2</v>
      </c>
      <c r="M368" s="50">
        <f t="shared" si="278"/>
        <v>4.0957538271781398E-2</v>
      </c>
      <c r="N368" s="50">
        <f t="shared" si="278"/>
        <v>4.2166920044863825E-2</v>
      </c>
      <c r="O368" s="50">
        <f t="shared" si="278"/>
        <v>4.4150374939633218E-2</v>
      </c>
      <c r="P368" s="50">
        <f t="shared" si="278"/>
        <v>4.6294816466469102E-2</v>
      </c>
      <c r="Q368" s="50">
        <f t="shared" si="278"/>
        <v>4.5431875959152102E-2</v>
      </c>
      <c r="R368" s="50">
        <f t="shared" si="278"/>
        <v>4.3879728503346101E-2</v>
      </c>
      <c r="S368" s="50">
        <f t="shared" si="278"/>
        <v>4.4118506624640258E-2</v>
      </c>
      <c r="T368" s="50">
        <f t="shared" si="278"/>
        <v>4.5188432655351718E-2</v>
      </c>
      <c r="U368" s="50">
        <f t="shared" si="278"/>
        <v>4.624302558461979E-2</v>
      </c>
      <c r="V368" s="50">
        <f t="shared" si="278"/>
        <v>4.8247238962955179E-2</v>
      </c>
      <c r="W368" s="50">
        <f t="shared" si="278"/>
        <v>5.7096885328092907E-2</v>
      </c>
      <c r="X368" s="50">
        <f t="shared" si="278"/>
        <v>6.1739938045350239E-2</v>
      </c>
      <c r="Y368" s="50">
        <f t="shared" si="278"/>
        <v>5.7231881517227232E-2</v>
      </c>
      <c r="Z368" s="50">
        <f t="shared" si="278"/>
        <v>5.0129255438435008E-2</v>
      </c>
      <c r="AA368" s="50">
        <f t="shared" si="278"/>
        <v>4.1010488221716553E-2</v>
      </c>
      <c r="AB368" s="50">
        <f t="shared" si="278"/>
        <v>3.34430625326523E-2</v>
      </c>
      <c r="AC368" s="8">
        <f>+SUM(E368:AB368)*D368</f>
        <v>19.000000000000004</v>
      </c>
    </row>
    <row r="369" spans="1:29" outlineLevel="1">
      <c r="B369" s="16"/>
      <c r="C369" s="8" t="s">
        <v>46</v>
      </c>
      <c r="D369" s="8">
        <v>5</v>
      </c>
      <c r="E369" s="50">
        <f t="shared" ref="E369:AB369" si="279">+E309</f>
        <v>3.0659473205105158E-2</v>
      </c>
      <c r="F369" s="50">
        <f t="shared" si="279"/>
        <v>2.8600001140869122E-2</v>
      </c>
      <c r="G369" s="50">
        <f t="shared" si="279"/>
        <v>2.7683858575034276E-2</v>
      </c>
      <c r="H369" s="50">
        <f t="shared" si="279"/>
        <v>2.7537802139610414E-2</v>
      </c>
      <c r="I369" s="50">
        <f t="shared" si="279"/>
        <v>2.8782539770184416E-2</v>
      </c>
      <c r="J369" s="50">
        <f t="shared" si="279"/>
        <v>3.2241585579716119E-2</v>
      </c>
      <c r="K369" s="50">
        <f t="shared" si="279"/>
        <v>3.645312931015221E-2</v>
      </c>
      <c r="L369" s="50">
        <f t="shared" si="279"/>
        <v>3.9012639181609042E-2</v>
      </c>
      <c r="M369" s="50">
        <f t="shared" si="279"/>
        <v>4.1549207589560662E-2</v>
      </c>
      <c r="N369" s="50">
        <f t="shared" si="279"/>
        <v>4.3042516751632572E-2</v>
      </c>
      <c r="O369" s="50">
        <f t="shared" si="279"/>
        <v>4.4973693586955334E-2</v>
      </c>
      <c r="P369" s="50">
        <f t="shared" si="279"/>
        <v>4.6808021710202923E-2</v>
      </c>
      <c r="Q369" s="50">
        <f t="shared" si="279"/>
        <v>4.6383383047344962E-2</v>
      </c>
      <c r="R369" s="50">
        <f t="shared" si="279"/>
        <v>4.4751654806610461E-2</v>
      </c>
      <c r="S369" s="50">
        <f t="shared" si="279"/>
        <v>4.4013077558728637E-2</v>
      </c>
      <c r="T369" s="50">
        <f t="shared" si="279"/>
        <v>4.428856091631931E-2</v>
      </c>
      <c r="U369" s="50">
        <f t="shared" si="279"/>
        <v>4.49735778579251E-2</v>
      </c>
      <c r="V369" s="50">
        <f t="shared" si="279"/>
        <v>4.6933206789217301E-2</v>
      </c>
      <c r="W369" s="50">
        <f t="shared" si="279"/>
        <v>5.6210586428141023E-2</v>
      </c>
      <c r="X369" s="50">
        <f t="shared" si="279"/>
        <v>6.1205656691958259E-2</v>
      </c>
      <c r="Y369" s="50">
        <f t="shared" si="279"/>
        <v>5.7018442088769522E-2</v>
      </c>
      <c r="Z369" s="50">
        <f t="shared" si="279"/>
        <v>4.9896672365740725E-2</v>
      </c>
      <c r="AA369" s="50">
        <f t="shared" si="279"/>
        <v>4.1622868086918119E-2</v>
      </c>
      <c r="AB369" s="50">
        <f t="shared" si="279"/>
        <v>3.5357844821693719E-2</v>
      </c>
      <c r="AC369" s="8">
        <f t="shared" ref="AC369:AC371" si="280">+SUM(E369:AB369)*D369</f>
        <v>4.9999999999999964</v>
      </c>
    </row>
    <row r="370" spans="1:29" outlineLevel="1">
      <c r="B370" s="16"/>
      <c r="C370" s="8" t="s">
        <v>47</v>
      </c>
      <c r="D370" s="8">
        <v>5</v>
      </c>
      <c r="E370" s="50">
        <f t="shared" ref="E370:AB370" si="281">+E310</f>
        <v>3.3281514565353124E-2</v>
      </c>
      <c r="F370" s="50">
        <f t="shared" si="281"/>
        <v>3.1140043873712407E-2</v>
      </c>
      <c r="G370" s="50">
        <f t="shared" si="281"/>
        <v>2.984335106750436E-2</v>
      </c>
      <c r="H370" s="50">
        <f t="shared" si="281"/>
        <v>2.9286927979133532E-2</v>
      </c>
      <c r="I370" s="50">
        <f t="shared" si="281"/>
        <v>2.9138028999542646E-2</v>
      </c>
      <c r="J370" s="50">
        <f t="shared" si="281"/>
        <v>3.0942883559119717E-2</v>
      </c>
      <c r="K370" s="50">
        <f t="shared" si="281"/>
        <v>3.4432484834348992E-2</v>
      </c>
      <c r="L370" s="50">
        <f t="shared" si="281"/>
        <v>3.8305304424032266E-2</v>
      </c>
      <c r="M370" s="50">
        <f t="shared" si="281"/>
        <v>4.1103790742913066E-2</v>
      </c>
      <c r="N370" s="50">
        <f t="shared" si="281"/>
        <v>4.2608444243851212E-2</v>
      </c>
      <c r="O370" s="50">
        <f t="shared" si="281"/>
        <v>4.3914681848814308E-2</v>
      </c>
      <c r="P370" s="50">
        <f t="shared" si="281"/>
        <v>4.5729867165388009E-2</v>
      </c>
      <c r="Q370" s="50">
        <f t="shared" si="281"/>
        <v>4.5741487779353565E-2</v>
      </c>
      <c r="R370" s="50">
        <f t="shared" si="281"/>
        <v>4.4277060725657284E-2</v>
      </c>
      <c r="S370" s="50">
        <f t="shared" si="281"/>
        <v>4.3144199391556254E-2</v>
      </c>
      <c r="T370" s="50">
        <f t="shared" si="281"/>
        <v>4.3279567369281124E-2</v>
      </c>
      <c r="U370" s="50">
        <f t="shared" si="281"/>
        <v>4.4109954506885138E-2</v>
      </c>
      <c r="V370" s="50">
        <f t="shared" si="281"/>
        <v>4.6298728840315946E-2</v>
      </c>
      <c r="W370" s="50">
        <f t="shared" si="281"/>
        <v>5.6176649878816001E-2</v>
      </c>
      <c r="X370" s="50">
        <f t="shared" si="281"/>
        <v>6.2194705000087863E-2</v>
      </c>
      <c r="Y370" s="50">
        <f t="shared" si="281"/>
        <v>5.7928891294023718E-2</v>
      </c>
      <c r="Z370" s="50">
        <f t="shared" si="281"/>
        <v>5.019499221712586E-2</v>
      </c>
      <c r="AA370" s="50">
        <f t="shared" si="281"/>
        <v>4.1853093029906328E-2</v>
      </c>
      <c r="AB370" s="50">
        <f t="shared" si="281"/>
        <v>3.507334666327714E-2</v>
      </c>
      <c r="AC370" s="8">
        <f t="shared" si="280"/>
        <v>4.9999999999999991</v>
      </c>
    </row>
    <row r="371" spans="1:29" outlineLevel="1">
      <c r="B371" s="16"/>
      <c r="C371" s="8" t="s">
        <v>48</v>
      </c>
      <c r="D371" s="8">
        <v>2</v>
      </c>
      <c r="E371" s="50">
        <f t="shared" ref="E371:AB371" si="282">+E311</f>
        <v>3.367503361886829E-2</v>
      </c>
      <c r="F371" s="50">
        <f t="shared" si="282"/>
        <v>3.1245692535415936E-2</v>
      </c>
      <c r="G371" s="50">
        <f t="shared" si="282"/>
        <v>2.9861746203171599E-2</v>
      </c>
      <c r="H371" s="50">
        <f t="shared" si="282"/>
        <v>2.9235019370742008E-2</v>
      </c>
      <c r="I371" s="50">
        <f t="shared" si="282"/>
        <v>3.0186379118294998E-2</v>
      </c>
      <c r="J371" s="50">
        <f t="shared" si="282"/>
        <v>3.3123682717801174E-2</v>
      </c>
      <c r="K371" s="50">
        <f t="shared" si="282"/>
        <v>3.5563630818173868E-2</v>
      </c>
      <c r="L371" s="50">
        <f t="shared" si="282"/>
        <v>3.7375437025807548E-2</v>
      </c>
      <c r="M371" s="50">
        <f t="shared" si="282"/>
        <v>3.9557895894381336E-2</v>
      </c>
      <c r="N371" s="50">
        <f t="shared" si="282"/>
        <v>4.1330002492198488E-2</v>
      </c>
      <c r="O371" s="50">
        <f t="shared" si="282"/>
        <v>4.3273465010057272E-2</v>
      </c>
      <c r="P371" s="50">
        <f t="shared" si="282"/>
        <v>4.5278417057592932E-2</v>
      </c>
      <c r="Q371" s="50">
        <f t="shared" si="282"/>
        <v>4.5765189585786785E-2</v>
      </c>
      <c r="R371" s="50">
        <f t="shared" si="282"/>
        <v>4.421428774797561E-2</v>
      </c>
      <c r="S371" s="50">
        <f t="shared" si="282"/>
        <v>4.3245429527174986E-2</v>
      </c>
      <c r="T371" s="50">
        <f t="shared" si="282"/>
        <v>4.3554999005074702E-2</v>
      </c>
      <c r="U371" s="50">
        <f t="shared" si="282"/>
        <v>4.4435510161992771E-2</v>
      </c>
      <c r="V371" s="50">
        <f t="shared" si="282"/>
        <v>4.717219114348542E-2</v>
      </c>
      <c r="W371" s="50">
        <f t="shared" si="282"/>
        <v>5.6899741232983039E-2</v>
      </c>
      <c r="X371" s="50">
        <f t="shared" si="282"/>
        <v>6.1986738769463187E-2</v>
      </c>
      <c r="Y371" s="50">
        <f t="shared" si="282"/>
        <v>5.7208700429979269E-2</v>
      </c>
      <c r="Z371" s="50">
        <f t="shared" si="282"/>
        <v>4.9339560702577757E-2</v>
      </c>
      <c r="AA371" s="50">
        <f t="shared" si="282"/>
        <v>4.1368944501432053E-2</v>
      </c>
      <c r="AB371" s="50">
        <f t="shared" si="282"/>
        <v>3.5102305329568817E-2</v>
      </c>
      <c r="AC371" s="8">
        <f t="shared" si="280"/>
        <v>1.9999999999999996</v>
      </c>
    </row>
    <row r="372" spans="1:29" outlineLevel="1">
      <c r="B372" s="12"/>
      <c r="C372" s="12" t="s">
        <v>15</v>
      </c>
      <c r="D372" s="12">
        <f>+SUM(D368:D371)</f>
        <v>31</v>
      </c>
      <c r="E372" s="19">
        <f>+SUMPRODUCT(E368:E371,$D368:$D371)</f>
        <v>0.9449188914619574</v>
      </c>
      <c r="F372" s="19">
        <f>+SUMPRODUCT(F368:F371,$D368:$D371)</f>
        <v>0.88735310645610399</v>
      </c>
      <c r="G372" s="19">
        <f t="shared" ref="G372:AB372" si="283">+SUMPRODUCT(G368:G371,$D368:$D371)</f>
        <v>0.85627760717527046</v>
      </c>
      <c r="H372" s="19">
        <f t="shared" si="283"/>
        <v>0.85154648734506155</v>
      </c>
      <c r="I372" s="19">
        <f t="shared" si="283"/>
        <v>0.90355533045794334</v>
      </c>
      <c r="J372" s="19">
        <f t="shared" si="283"/>
        <v>1.0384381444073791</v>
      </c>
      <c r="K372" s="19">
        <f t="shared" si="283"/>
        <v>1.1625470021530409</v>
      </c>
      <c r="L372" s="19">
        <f t="shared" si="283"/>
        <v>1.2133351015554845</v>
      </c>
      <c r="M372" s="19">
        <f t="shared" si="283"/>
        <v>1.2705740106149779</v>
      </c>
      <c r="N372" s="19">
        <f t="shared" si="283"/>
        <v>1.3120862908142286</v>
      </c>
      <c r="O372" s="19">
        <f t="shared" si="283"/>
        <v>1.3698459310519939</v>
      </c>
      <c r="P372" s="19">
        <f t="shared" si="283"/>
        <v>1.4328477913560536</v>
      </c>
      <c r="Q372" s="19">
        <f t="shared" si="283"/>
        <v>1.4153603765289562</v>
      </c>
      <c r="R372" s="19">
        <f t="shared" si="283"/>
        <v>1.3672869947208659</v>
      </c>
      <c r="S372" s="19">
        <f t="shared" si="283"/>
        <v>1.3605288696739395</v>
      </c>
      <c r="T372" s="19">
        <f t="shared" si="283"/>
        <v>1.3835308598898344</v>
      </c>
      <c r="U372" s="19">
        <f t="shared" si="283"/>
        <v>1.4129061682558126</v>
      </c>
      <c r="V372" s="19">
        <f t="shared" si="283"/>
        <v>1.4772016007307855</v>
      </c>
      <c r="W372" s="19">
        <f t="shared" si="283"/>
        <v>1.7605764852345165</v>
      </c>
      <c r="X372" s="19">
        <f t="shared" si="283"/>
        <v>1.9140341088608113</v>
      </c>
      <c r="Y372" s="19">
        <f t="shared" si="283"/>
        <v>1.7765598166012422</v>
      </c>
      <c r="Z372" s="19">
        <f t="shared" si="283"/>
        <v>1.5515932976497535</v>
      </c>
      <c r="AA372" s="19">
        <f t="shared" si="283"/>
        <v>1.2793169707996008</v>
      </c>
      <c r="AB372" s="19">
        <f t="shared" si="283"/>
        <v>1.0577787562043857</v>
      </c>
      <c r="AC372" s="12">
        <f>+SUM(E372:AB372)</f>
        <v>31</v>
      </c>
    </row>
    <row r="373" spans="1:29">
      <c r="A373" s="80"/>
      <c r="B373" s="81">
        <f>+EDATE(B368,1)</f>
        <v>47119</v>
      </c>
      <c r="C373" s="8" t="s">
        <v>45</v>
      </c>
      <c r="D373" s="8">
        <v>21</v>
      </c>
      <c r="E373" s="50">
        <f t="shared" ref="E373:AB373" si="284">+E313</f>
        <v>2.9361257124838391E-2</v>
      </c>
      <c r="F373" s="50">
        <f t="shared" si="284"/>
        <v>2.7692710332229715E-2</v>
      </c>
      <c r="G373" s="50">
        <f t="shared" si="284"/>
        <v>2.6785161397696527E-2</v>
      </c>
      <c r="H373" s="50">
        <f t="shared" si="284"/>
        <v>2.6786989368939883E-2</v>
      </c>
      <c r="I373" s="50">
        <f t="shared" si="284"/>
        <v>2.9135775177511477E-2</v>
      </c>
      <c r="J373" s="50">
        <f t="shared" si="284"/>
        <v>3.4540443856715661E-2</v>
      </c>
      <c r="K373" s="50">
        <f t="shared" si="284"/>
        <v>3.8789035252325646E-2</v>
      </c>
      <c r="L373" s="50">
        <f t="shared" si="284"/>
        <v>3.957865839345593E-2</v>
      </c>
      <c r="M373" s="50">
        <f t="shared" si="284"/>
        <v>4.0957538271781398E-2</v>
      </c>
      <c r="N373" s="50">
        <f t="shared" si="284"/>
        <v>4.2166920044863825E-2</v>
      </c>
      <c r="O373" s="50">
        <f t="shared" si="284"/>
        <v>4.4150374939633218E-2</v>
      </c>
      <c r="P373" s="50">
        <f t="shared" si="284"/>
        <v>4.6294816466469102E-2</v>
      </c>
      <c r="Q373" s="50">
        <f t="shared" si="284"/>
        <v>4.5431875959152102E-2</v>
      </c>
      <c r="R373" s="50">
        <f t="shared" si="284"/>
        <v>4.3879728503346101E-2</v>
      </c>
      <c r="S373" s="50">
        <f t="shared" si="284"/>
        <v>4.4118506624640258E-2</v>
      </c>
      <c r="T373" s="50">
        <f t="shared" si="284"/>
        <v>4.5188432655351718E-2</v>
      </c>
      <c r="U373" s="50">
        <f t="shared" si="284"/>
        <v>4.624302558461979E-2</v>
      </c>
      <c r="V373" s="50">
        <f t="shared" si="284"/>
        <v>4.8247238962955179E-2</v>
      </c>
      <c r="W373" s="50">
        <f t="shared" si="284"/>
        <v>5.7096885328092907E-2</v>
      </c>
      <c r="X373" s="50">
        <f t="shared" si="284"/>
        <v>6.1739938045350239E-2</v>
      </c>
      <c r="Y373" s="50">
        <f t="shared" si="284"/>
        <v>5.7231881517227232E-2</v>
      </c>
      <c r="Z373" s="50">
        <f t="shared" si="284"/>
        <v>5.0129255438435008E-2</v>
      </c>
      <c r="AA373" s="50">
        <f t="shared" si="284"/>
        <v>4.1010488221716553E-2</v>
      </c>
      <c r="AB373" s="50">
        <f t="shared" si="284"/>
        <v>3.34430625326523E-2</v>
      </c>
      <c r="AC373" s="8">
        <f>+SUM(E373:AB373)*D373</f>
        <v>21.000000000000004</v>
      </c>
    </row>
    <row r="374" spans="1:29">
      <c r="B374" s="16"/>
      <c r="C374" s="8" t="s">
        <v>46</v>
      </c>
      <c r="D374" s="8">
        <v>4</v>
      </c>
      <c r="E374" s="50">
        <f t="shared" ref="E374:AB374" si="285">+E314</f>
        <v>3.0659473205105158E-2</v>
      </c>
      <c r="F374" s="50">
        <f t="shared" si="285"/>
        <v>2.8600001140869122E-2</v>
      </c>
      <c r="G374" s="50">
        <f t="shared" si="285"/>
        <v>2.7683858575034276E-2</v>
      </c>
      <c r="H374" s="50">
        <f t="shared" si="285"/>
        <v>2.7537802139610414E-2</v>
      </c>
      <c r="I374" s="50">
        <f t="shared" si="285"/>
        <v>2.8782539770184416E-2</v>
      </c>
      <c r="J374" s="50">
        <f t="shared" si="285"/>
        <v>3.2241585579716119E-2</v>
      </c>
      <c r="K374" s="50">
        <f t="shared" si="285"/>
        <v>3.645312931015221E-2</v>
      </c>
      <c r="L374" s="50">
        <f t="shared" si="285"/>
        <v>3.9012639181609042E-2</v>
      </c>
      <c r="M374" s="50">
        <f t="shared" si="285"/>
        <v>4.1549207589560662E-2</v>
      </c>
      <c r="N374" s="50">
        <f t="shared" si="285"/>
        <v>4.3042516751632572E-2</v>
      </c>
      <c r="O374" s="50">
        <f t="shared" si="285"/>
        <v>4.4973693586955334E-2</v>
      </c>
      <c r="P374" s="50">
        <f t="shared" si="285"/>
        <v>4.6808021710202923E-2</v>
      </c>
      <c r="Q374" s="50">
        <f t="shared" si="285"/>
        <v>4.6383383047344962E-2</v>
      </c>
      <c r="R374" s="50">
        <f t="shared" si="285"/>
        <v>4.4751654806610461E-2</v>
      </c>
      <c r="S374" s="50">
        <f t="shared" si="285"/>
        <v>4.4013077558728637E-2</v>
      </c>
      <c r="T374" s="50">
        <f t="shared" si="285"/>
        <v>4.428856091631931E-2</v>
      </c>
      <c r="U374" s="50">
        <f t="shared" si="285"/>
        <v>4.49735778579251E-2</v>
      </c>
      <c r="V374" s="50">
        <f t="shared" si="285"/>
        <v>4.6933206789217301E-2</v>
      </c>
      <c r="W374" s="50">
        <f t="shared" si="285"/>
        <v>5.6210586428141023E-2</v>
      </c>
      <c r="X374" s="50">
        <f t="shared" si="285"/>
        <v>6.1205656691958259E-2</v>
      </c>
      <c r="Y374" s="50">
        <f t="shared" si="285"/>
        <v>5.7018442088769522E-2</v>
      </c>
      <c r="Z374" s="50">
        <f t="shared" si="285"/>
        <v>4.9896672365740725E-2</v>
      </c>
      <c r="AA374" s="50">
        <f t="shared" si="285"/>
        <v>4.1622868086918119E-2</v>
      </c>
      <c r="AB374" s="50">
        <f t="shared" si="285"/>
        <v>3.5357844821693719E-2</v>
      </c>
      <c r="AC374" s="8">
        <f t="shared" ref="AC374:AC376" si="286">+SUM(E374:AB374)*D374</f>
        <v>3.9999999999999969</v>
      </c>
    </row>
    <row r="375" spans="1:29">
      <c r="B375" s="16"/>
      <c r="C375" s="8" t="s">
        <v>47</v>
      </c>
      <c r="D375" s="8">
        <v>4</v>
      </c>
      <c r="E375" s="50">
        <f t="shared" ref="E375:AB375" si="287">+E315</f>
        <v>3.3281514565353124E-2</v>
      </c>
      <c r="F375" s="50">
        <f t="shared" si="287"/>
        <v>3.1140043873712407E-2</v>
      </c>
      <c r="G375" s="50">
        <f t="shared" si="287"/>
        <v>2.984335106750436E-2</v>
      </c>
      <c r="H375" s="50">
        <f t="shared" si="287"/>
        <v>2.9286927979133532E-2</v>
      </c>
      <c r="I375" s="50">
        <f t="shared" si="287"/>
        <v>2.9138028999542646E-2</v>
      </c>
      <c r="J375" s="50">
        <f t="shared" si="287"/>
        <v>3.0942883559119717E-2</v>
      </c>
      <c r="K375" s="50">
        <f t="shared" si="287"/>
        <v>3.4432484834348992E-2</v>
      </c>
      <c r="L375" s="50">
        <f t="shared" si="287"/>
        <v>3.8305304424032266E-2</v>
      </c>
      <c r="M375" s="50">
        <f t="shared" si="287"/>
        <v>4.1103790742913066E-2</v>
      </c>
      <c r="N375" s="50">
        <f t="shared" si="287"/>
        <v>4.2608444243851212E-2</v>
      </c>
      <c r="O375" s="50">
        <f t="shared" si="287"/>
        <v>4.3914681848814308E-2</v>
      </c>
      <c r="P375" s="50">
        <f t="shared" si="287"/>
        <v>4.5729867165388009E-2</v>
      </c>
      <c r="Q375" s="50">
        <f t="shared" si="287"/>
        <v>4.5741487779353565E-2</v>
      </c>
      <c r="R375" s="50">
        <f t="shared" si="287"/>
        <v>4.4277060725657284E-2</v>
      </c>
      <c r="S375" s="50">
        <f t="shared" si="287"/>
        <v>4.3144199391556254E-2</v>
      </c>
      <c r="T375" s="50">
        <f t="shared" si="287"/>
        <v>4.3279567369281124E-2</v>
      </c>
      <c r="U375" s="50">
        <f t="shared" si="287"/>
        <v>4.4109954506885138E-2</v>
      </c>
      <c r="V375" s="50">
        <f t="shared" si="287"/>
        <v>4.6298728840315946E-2</v>
      </c>
      <c r="W375" s="50">
        <f t="shared" si="287"/>
        <v>5.6176649878816001E-2</v>
      </c>
      <c r="X375" s="50">
        <f t="shared" si="287"/>
        <v>6.2194705000087863E-2</v>
      </c>
      <c r="Y375" s="50">
        <f t="shared" si="287"/>
        <v>5.7928891294023718E-2</v>
      </c>
      <c r="Z375" s="50">
        <f t="shared" si="287"/>
        <v>5.019499221712586E-2</v>
      </c>
      <c r="AA375" s="50">
        <f t="shared" si="287"/>
        <v>4.1853093029906328E-2</v>
      </c>
      <c r="AB375" s="50">
        <f t="shared" si="287"/>
        <v>3.507334666327714E-2</v>
      </c>
      <c r="AC375" s="8">
        <f t="shared" si="286"/>
        <v>3.9999999999999991</v>
      </c>
    </row>
    <row r="376" spans="1:29">
      <c r="B376" s="16"/>
      <c r="C376" s="8" t="s">
        <v>48</v>
      </c>
      <c r="D376" s="8">
        <v>2</v>
      </c>
      <c r="E376" s="50">
        <f t="shared" ref="E376:AB376" si="288">+E316</f>
        <v>3.367503361886829E-2</v>
      </c>
      <c r="F376" s="50">
        <f t="shared" si="288"/>
        <v>3.1245692535415936E-2</v>
      </c>
      <c r="G376" s="50">
        <f t="shared" si="288"/>
        <v>2.9861746203171599E-2</v>
      </c>
      <c r="H376" s="50">
        <f t="shared" si="288"/>
        <v>2.9235019370742008E-2</v>
      </c>
      <c r="I376" s="50">
        <f t="shared" si="288"/>
        <v>3.0186379118294998E-2</v>
      </c>
      <c r="J376" s="50">
        <f t="shared" si="288"/>
        <v>3.3123682717801174E-2</v>
      </c>
      <c r="K376" s="50">
        <f t="shared" si="288"/>
        <v>3.5563630818173868E-2</v>
      </c>
      <c r="L376" s="50">
        <f t="shared" si="288"/>
        <v>3.7375437025807548E-2</v>
      </c>
      <c r="M376" s="50">
        <f t="shared" si="288"/>
        <v>3.9557895894381336E-2</v>
      </c>
      <c r="N376" s="50">
        <f t="shared" si="288"/>
        <v>4.1330002492198488E-2</v>
      </c>
      <c r="O376" s="50">
        <f t="shared" si="288"/>
        <v>4.3273465010057272E-2</v>
      </c>
      <c r="P376" s="50">
        <f t="shared" si="288"/>
        <v>4.5278417057592932E-2</v>
      </c>
      <c r="Q376" s="50">
        <f t="shared" si="288"/>
        <v>4.5765189585786785E-2</v>
      </c>
      <c r="R376" s="50">
        <f t="shared" si="288"/>
        <v>4.421428774797561E-2</v>
      </c>
      <c r="S376" s="50">
        <f t="shared" si="288"/>
        <v>4.3245429527174986E-2</v>
      </c>
      <c r="T376" s="50">
        <f t="shared" si="288"/>
        <v>4.3554999005074702E-2</v>
      </c>
      <c r="U376" s="50">
        <f t="shared" si="288"/>
        <v>4.4435510161992771E-2</v>
      </c>
      <c r="V376" s="50">
        <f t="shared" si="288"/>
        <v>4.717219114348542E-2</v>
      </c>
      <c r="W376" s="50">
        <f t="shared" si="288"/>
        <v>5.6899741232983039E-2</v>
      </c>
      <c r="X376" s="50">
        <f t="shared" si="288"/>
        <v>6.1986738769463187E-2</v>
      </c>
      <c r="Y376" s="50">
        <f t="shared" si="288"/>
        <v>5.7208700429979269E-2</v>
      </c>
      <c r="Z376" s="50">
        <f t="shared" si="288"/>
        <v>4.9339560702577757E-2</v>
      </c>
      <c r="AA376" s="50">
        <f t="shared" si="288"/>
        <v>4.1368944501432053E-2</v>
      </c>
      <c r="AB376" s="50">
        <f t="shared" si="288"/>
        <v>3.5102305329568817E-2</v>
      </c>
      <c r="AC376" s="8">
        <f t="shared" si="286"/>
        <v>1.9999999999999996</v>
      </c>
    </row>
    <row r="377" spans="1:29">
      <c r="B377" s="12"/>
      <c r="C377" s="12" t="s">
        <v>15</v>
      </c>
      <c r="D377" s="12">
        <f>+SUM(D373:D376)</f>
        <v>31</v>
      </c>
      <c r="E377" s="19">
        <f>+SUMPRODUCT(E373:E376,$D373:$D376)</f>
        <v>0.93970041794117598</v>
      </c>
      <c r="F377" s="19">
        <f>+SUMPRODUCT(F373:F376,$D373:$D376)</f>
        <v>0.88299848210598197</v>
      </c>
      <c r="G377" s="19">
        <f t="shared" ref="G377:AB377" si="289">+SUMPRODUCT(G373:G376,$D373:$D376)</f>
        <v>0.85232072032812478</v>
      </c>
      <c r="H377" s="19">
        <f t="shared" si="289"/>
        <v>0.84829573596419738</v>
      </c>
      <c r="I377" s="19">
        <f t="shared" si="289"/>
        <v>0.90390631204323935</v>
      </c>
      <c r="J377" s="19">
        <f t="shared" si="289"/>
        <v>1.0443345629819747</v>
      </c>
      <c r="K377" s="19">
        <f t="shared" si="289"/>
        <v>1.1692394585131909</v>
      </c>
      <c r="L377" s="19">
        <f t="shared" si="289"/>
        <v>1.215174474736755</v>
      </c>
      <c r="M377" s="19">
        <f t="shared" si="289"/>
        <v>1.2698360888260669</v>
      </c>
      <c r="N377" s="19">
        <f t="shared" si="289"/>
        <v>1.3107691699084727</v>
      </c>
      <c r="O377" s="19">
        <f t="shared" si="289"/>
        <v>1.3692583054954905</v>
      </c>
      <c r="P377" s="19">
        <f t="shared" si="289"/>
        <v>1.4328995354134009</v>
      </c>
      <c r="Q377" s="19">
        <f t="shared" si="289"/>
        <v>1.4140992576205618</v>
      </c>
      <c r="R377" s="19">
        <f t="shared" si="289"/>
        <v>1.3660177361952903</v>
      </c>
      <c r="S377" s="19">
        <f t="shared" si="289"/>
        <v>1.3616086059729351</v>
      </c>
      <c r="T377" s="19">
        <f t="shared" si="289"/>
        <v>1.3863395969149375</v>
      </c>
      <c r="U377" s="19">
        <f t="shared" si="289"/>
        <v>1.4163086870602422</v>
      </c>
      <c r="V377" s="19">
        <f t="shared" si="289"/>
        <v>1.4804641430271626</v>
      </c>
      <c r="W377" s="19">
        <f t="shared" si="289"/>
        <v>1.7623830195837451</v>
      </c>
      <c r="X377" s="19">
        <f t="shared" si="289"/>
        <v>1.914113623259466</v>
      </c>
      <c r="Y377" s="19">
        <f t="shared" si="289"/>
        <v>1.7760762462529034</v>
      </c>
      <c r="Z377" s="19">
        <f t="shared" si="289"/>
        <v>1.5517601439437572</v>
      </c>
      <c r="AA377" s="19">
        <f t="shared" si="289"/>
        <v>1.2778619861262095</v>
      </c>
      <c r="AB377" s="19">
        <f t="shared" si="289"/>
        <v>1.0542336897847193</v>
      </c>
      <c r="AC377" s="12">
        <f>+SUM(E377:AB377)</f>
        <v>30.999999999999996</v>
      </c>
    </row>
    <row r="378" spans="1:29">
      <c r="B378" s="15">
        <f>+EDATE(B373,1)</f>
        <v>47150</v>
      </c>
      <c r="C378" s="8" t="s">
        <v>45</v>
      </c>
      <c r="D378" s="8">
        <v>20</v>
      </c>
      <c r="E378" s="50">
        <f t="shared" ref="E378:AB378" si="290">+E318</f>
        <v>2.9361257124838391E-2</v>
      </c>
      <c r="F378" s="50">
        <f t="shared" si="290"/>
        <v>2.7692710332229715E-2</v>
      </c>
      <c r="G378" s="50">
        <f t="shared" si="290"/>
        <v>2.6785161397696527E-2</v>
      </c>
      <c r="H378" s="50">
        <f t="shared" si="290"/>
        <v>2.6786989368939883E-2</v>
      </c>
      <c r="I378" s="50">
        <f t="shared" si="290"/>
        <v>2.9135775177511477E-2</v>
      </c>
      <c r="J378" s="50">
        <f t="shared" si="290"/>
        <v>3.4540443856715661E-2</v>
      </c>
      <c r="K378" s="50">
        <f t="shared" si="290"/>
        <v>3.8789035252325646E-2</v>
      </c>
      <c r="L378" s="50">
        <f t="shared" si="290"/>
        <v>3.957865839345593E-2</v>
      </c>
      <c r="M378" s="50">
        <f t="shared" si="290"/>
        <v>4.0957538271781398E-2</v>
      </c>
      <c r="N378" s="50">
        <f t="shared" si="290"/>
        <v>4.2166920044863825E-2</v>
      </c>
      <c r="O378" s="50">
        <f t="shared" si="290"/>
        <v>4.4150374939633218E-2</v>
      </c>
      <c r="P378" s="50">
        <f t="shared" si="290"/>
        <v>4.6294816466469102E-2</v>
      </c>
      <c r="Q378" s="50">
        <f t="shared" si="290"/>
        <v>4.5431875959152102E-2</v>
      </c>
      <c r="R378" s="50">
        <f t="shared" si="290"/>
        <v>4.3879728503346101E-2</v>
      </c>
      <c r="S378" s="50">
        <f t="shared" si="290"/>
        <v>4.4118506624640258E-2</v>
      </c>
      <c r="T378" s="50">
        <f t="shared" si="290"/>
        <v>4.5188432655351718E-2</v>
      </c>
      <c r="U378" s="50">
        <f t="shared" si="290"/>
        <v>4.624302558461979E-2</v>
      </c>
      <c r="V378" s="50">
        <f t="shared" si="290"/>
        <v>4.8247238962955179E-2</v>
      </c>
      <c r="W378" s="50">
        <f t="shared" si="290"/>
        <v>5.7096885328092907E-2</v>
      </c>
      <c r="X378" s="50">
        <f t="shared" si="290"/>
        <v>6.1739938045350239E-2</v>
      </c>
      <c r="Y378" s="50">
        <f t="shared" si="290"/>
        <v>5.7231881517227232E-2</v>
      </c>
      <c r="Z378" s="50">
        <f t="shared" si="290"/>
        <v>5.0129255438435008E-2</v>
      </c>
      <c r="AA378" s="50">
        <f t="shared" si="290"/>
        <v>4.1010488221716553E-2</v>
      </c>
      <c r="AB378" s="50">
        <f t="shared" si="290"/>
        <v>3.34430625326523E-2</v>
      </c>
      <c r="AC378" s="8">
        <f>+SUM(E378:AB378)*D378</f>
        <v>20.000000000000004</v>
      </c>
    </row>
    <row r="379" spans="1:29">
      <c r="B379" s="16"/>
      <c r="C379" s="8" t="s">
        <v>46</v>
      </c>
      <c r="D379" s="8">
        <v>4</v>
      </c>
      <c r="E379" s="50">
        <f t="shared" ref="E379:AB379" si="291">+E319</f>
        <v>3.0659473205105158E-2</v>
      </c>
      <c r="F379" s="50">
        <f t="shared" si="291"/>
        <v>2.8600001140869122E-2</v>
      </c>
      <c r="G379" s="50">
        <f t="shared" si="291"/>
        <v>2.7683858575034276E-2</v>
      </c>
      <c r="H379" s="50">
        <f t="shared" si="291"/>
        <v>2.7537802139610414E-2</v>
      </c>
      <c r="I379" s="50">
        <f t="shared" si="291"/>
        <v>2.8782539770184416E-2</v>
      </c>
      <c r="J379" s="50">
        <f t="shared" si="291"/>
        <v>3.2241585579716119E-2</v>
      </c>
      <c r="K379" s="50">
        <f t="shared" si="291"/>
        <v>3.645312931015221E-2</v>
      </c>
      <c r="L379" s="50">
        <f t="shared" si="291"/>
        <v>3.9012639181609042E-2</v>
      </c>
      <c r="M379" s="50">
        <f t="shared" si="291"/>
        <v>4.1549207589560662E-2</v>
      </c>
      <c r="N379" s="50">
        <f t="shared" si="291"/>
        <v>4.3042516751632572E-2</v>
      </c>
      <c r="O379" s="50">
        <f t="shared" si="291"/>
        <v>4.4973693586955334E-2</v>
      </c>
      <c r="P379" s="50">
        <f t="shared" si="291"/>
        <v>4.6808021710202923E-2</v>
      </c>
      <c r="Q379" s="50">
        <f t="shared" si="291"/>
        <v>4.6383383047344962E-2</v>
      </c>
      <c r="R379" s="50">
        <f t="shared" si="291"/>
        <v>4.4751654806610461E-2</v>
      </c>
      <c r="S379" s="50">
        <f t="shared" si="291"/>
        <v>4.4013077558728637E-2</v>
      </c>
      <c r="T379" s="50">
        <f t="shared" si="291"/>
        <v>4.428856091631931E-2</v>
      </c>
      <c r="U379" s="50">
        <f t="shared" si="291"/>
        <v>4.49735778579251E-2</v>
      </c>
      <c r="V379" s="50">
        <f t="shared" si="291"/>
        <v>4.6933206789217301E-2</v>
      </c>
      <c r="W379" s="50">
        <f t="shared" si="291"/>
        <v>5.6210586428141023E-2</v>
      </c>
      <c r="X379" s="50">
        <f t="shared" si="291"/>
        <v>6.1205656691958259E-2</v>
      </c>
      <c r="Y379" s="50">
        <f t="shared" si="291"/>
        <v>5.7018442088769522E-2</v>
      </c>
      <c r="Z379" s="50">
        <f t="shared" si="291"/>
        <v>4.9896672365740725E-2</v>
      </c>
      <c r="AA379" s="50">
        <f t="shared" si="291"/>
        <v>4.1622868086918119E-2</v>
      </c>
      <c r="AB379" s="50">
        <f t="shared" si="291"/>
        <v>3.5357844821693719E-2</v>
      </c>
      <c r="AC379" s="8">
        <f t="shared" ref="AC379:AC381" si="292">+SUM(E379:AB379)*D379</f>
        <v>3.9999999999999969</v>
      </c>
    </row>
    <row r="380" spans="1:29">
      <c r="B380" s="16"/>
      <c r="C380" s="8" t="s">
        <v>47</v>
      </c>
      <c r="D380" s="8">
        <v>4</v>
      </c>
      <c r="E380" s="50">
        <f t="shared" ref="E380:AB380" si="293">+E320</f>
        <v>3.3281514565353124E-2</v>
      </c>
      <c r="F380" s="50">
        <f t="shared" si="293"/>
        <v>3.1140043873712407E-2</v>
      </c>
      <c r="G380" s="50">
        <f t="shared" si="293"/>
        <v>2.984335106750436E-2</v>
      </c>
      <c r="H380" s="50">
        <f t="shared" si="293"/>
        <v>2.9286927979133532E-2</v>
      </c>
      <c r="I380" s="50">
        <f t="shared" si="293"/>
        <v>2.9138028999542646E-2</v>
      </c>
      <c r="J380" s="50">
        <f t="shared" si="293"/>
        <v>3.0942883559119717E-2</v>
      </c>
      <c r="K380" s="50">
        <f t="shared" si="293"/>
        <v>3.4432484834348992E-2</v>
      </c>
      <c r="L380" s="50">
        <f t="shared" si="293"/>
        <v>3.8305304424032266E-2</v>
      </c>
      <c r="M380" s="50">
        <f t="shared" si="293"/>
        <v>4.1103790742913066E-2</v>
      </c>
      <c r="N380" s="50">
        <f t="shared" si="293"/>
        <v>4.2608444243851212E-2</v>
      </c>
      <c r="O380" s="50">
        <f t="shared" si="293"/>
        <v>4.3914681848814308E-2</v>
      </c>
      <c r="P380" s="50">
        <f t="shared" si="293"/>
        <v>4.5729867165388009E-2</v>
      </c>
      <c r="Q380" s="50">
        <f t="shared" si="293"/>
        <v>4.5741487779353565E-2</v>
      </c>
      <c r="R380" s="50">
        <f t="shared" si="293"/>
        <v>4.4277060725657284E-2</v>
      </c>
      <c r="S380" s="50">
        <f t="shared" si="293"/>
        <v>4.3144199391556254E-2</v>
      </c>
      <c r="T380" s="50">
        <f t="shared" si="293"/>
        <v>4.3279567369281124E-2</v>
      </c>
      <c r="U380" s="50">
        <f t="shared" si="293"/>
        <v>4.4109954506885138E-2</v>
      </c>
      <c r="V380" s="50">
        <f t="shared" si="293"/>
        <v>4.6298728840315946E-2</v>
      </c>
      <c r="W380" s="50">
        <f t="shared" si="293"/>
        <v>5.6176649878816001E-2</v>
      </c>
      <c r="X380" s="50">
        <f t="shared" si="293"/>
        <v>6.2194705000087863E-2</v>
      </c>
      <c r="Y380" s="50">
        <f t="shared" si="293"/>
        <v>5.7928891294023718E-2</v>
      </c>
      <c r="Z380" s="50">
        <f t="shared" si="293"/>
        <v>5.019499221712586E-2</v>
      </c>
      <c r="AA380" s="50">
        <f t="shared" si="293"/>
        <v>4.1853093029906328E-2</v>
      </c>
      <c r="AB380" s="50">
        <f t="shared" si="293"/>
        <v>3.507334666327714E-2</v>
      </c>
      <c r="AC380" s="8">
        <f t="shared" si="292"/>
        <v>3.9999999999999991</v>
      </c>
    </row>
    <row r="381" spans="1:29">
      <c r="B381" s="16"/>
      <c r="C381" s="8" t="s">
        <v>48</v>
      </c>
      <c r="D381" s="8">
        <v>0</v>
      </c>
      <c r="E381" s="50">
        <f t="shared" ref="E381:AB381" si="294">+E321</f>
        <v>3.367503361886829E-2</v>
      </c>
      <c r="F381" s="50">
        <f t="shared" si="294"/>
        <v>3.1245692535415936E-2</v>
      </c>
      <c r="G381" s="50">
        <f t="shared" si="294"/>
        <v>2.9861746203171599E-2</v>
      </c>
      <c r="H381" s="50">
        <f t="shared" si="294"/>
        <v>2.9235019370742008E-2</v>
      </c>
      <c r="I381" s="50">
        <f t="shared" si="294"/>
        <v>3.0186379118294998E-2</v>
      </c>
      <c r="J381" s="50">
        <f t="shared" si="294"/>
        <v>3.3123682717801174E-2</v>
      </c>
      <c r="K381" s="50">
        <f t="shared" si="294"/>
        <v>3.5563630818173868E-2</v>
      </c>
      <c r="L381" s="50">
        <f t="shared" si="294"/>
        <v>3.7375437025807548E-2</v>
      </c>
      <c r="M381" s="50">
        <f t="shared" si="294"/>
        <v>3.9557895894381336E-2</v>
      </c>
      <c r="N381" s="50">
        <f t="shared" si="294"/>
        <v>4.1330002492198488E-2</v>
      </c>
      <c r="O381" s="50">
        <f t="shared" si="294"/>
        <v>4.3273465010057272E-2</v>
      </c>
      <c r="P381" s="50">
        <f t="shared" si="294"/>
        <v>4.5278417057592932E-2</v>
      </c>
      <c r="Q381" s="50">
        <f t="shared" si="294"/>
        <v>4.5765189585786785E-2</v>
      </c>
      <c r="R381" s="50">
        <f t="shared" si="294"/>
        <v>4.421428774797561E-2</v>
      </c>
      <c r="S381" s="50">
        <f t="shared" si="294"/>
        <v>4.3245429527174986E-2</v>
      </c>
      <c r="T381" s="50">
        <f t="shared" si="294"/>
        <v>4.3554999005074702E-2</v>
      </c>
      <c r="U381" s="50">
        <f t="shared" si="294"/>
        <v>4.4435510161992771E-2</v>
      </c>
      <c r="V381" s="50">
        <f t="shared" si="294"/>
        <v>4.717219114348542E-2</v>
      </c>
      <c r="W381" s="50">
        <f t="shared" si="294"/>
        <v>5.6899741232983039E-2</v>
      </c>
      <c r="X381" s="50">
        <f t="shared" si="294"/>
        <v>6.1986738769463187E-2</v>
      </c>
      <c r="Y381" s="50">
        <f t="shared" si="294"/>
        <v>5.7208700429979269E-2</v>
      </c>
      <c r="Z381" s="50">
        <f t="shared" si="294"/>
        <v>4.9339560702577757E-2</v>
      </c>
      <c r="AA381" s="50">
        <f t="shared" si="294"/>
        <v>4.1368944501432053E-2</v>
      </c>
      <c r="AB381" s="50">
        <f t="shared" si="294"/>
        <v>3.5102305329568817E-2</v>
      </c>
      <c r="AC381" s="8">
        <f t="shared" si="292"/>
        <v>0</v>
      </c>
    </row>
    <row r="382" spans="1:29">
      <c r="B382" s="12"/>
      <c r="C382" s="12" t="s">
        <v>15</v>
      </c>
      <c r="D382" s="12">
        <f>+SUM(D378:D381)</f>
        <v>28</v>
      </c>
      <c r="E382" s="19">
        <f>+SUMPRODUCT(E378:E381,$D378:$D381)</f>
        <v>0.84298909357860086</v>
      </c>
      <c r="F382" s="19">
        <f>+SUMPRODUCT(F378:F381,$D378:$D381)</f>
        <v>0.79281438670292037</v>
      </c>
      <c r="G382" s="19">
        <f t="shared" ref="G382:AB382" si="295">+SUMPRODUCT(G378:G381,$D378:$D381)</f>
        <v>0.76581206652408507</v>
      </c>
      <c r="H382" s="19">
        <f t="shared" si="295"/>
        <v>0.76303870785377348</v>
      </c>
      <c r="I382" s="19">
        <f t="shared" si="295"/>
        <v>0.81439777862913776</v>
      </c>
      <c r="J382" s="19">
        <f t="shared" si="295"/>
        <v>0.94354675368965668</v>
      </c>
      <c r="K382" s="19">
        <f t="shared" si="295"/>
        <v>1.0593231616245178</v>
      </c>
      <c r="L382" s="19">
        <f t="shared" si="295"/>
        <v>1.1008449422916837</v>
      </c>
      <c r="M382" s="19">
        <f t="shared" si="295"/>
        <v>1.1497627587655228</v>
      </c>
      <c r="N382" s="19">
        <f t="shared" si="295"/>
        <v>1.1859422448792118</v>
      </c>
      <c r="O382" s="19">
        <f t="shared" si="295"/>
        <v>1.238561000535743</v>
      </c>
      <c r="P382" s="19">
        <f t="shared" si="295"/>
        <v>1.2960478848317458</v>
      </c>
      <c r="Q382" s="19">
        <f t="shared" si="295"/>
        <v>1.2771370024898361</v>
      </c>
      <c r="R382" s="19">
        <f t="shared" si="295"/>
        <v>1.2337094321959929</v>
      </c>
      <c r="S382" s="19">
        <f t="shared" si="295"/>
        <v>1.2309992402939449</v>
      </c>
      <c r="T382" s="19">
        <f t="shared" si="295"/>
        <v>1.2540411662494362</v>
      </c>
      <c r="U382" s="19">
        <f t="shared" si="295"/>
        <v>1.2811946411516368</v>
      </c>
      <c r="V382" s="19">
        <f t="shared" si="295"/>
        <v>1.3378725217772365</v>
      </c>
      <c r="W382" s="19">
        <f t="shared" si="295"/>
        <v>1.5914866517896862</v>
      </c>
      <c r="X382" s="19">
        <f t="shared" si="295"/>
        <v>1.7284002076751892</v>
      </c>
      <c r="Y382" s="19">
        <f t="shared" si="295"/>
        <v>1.6044269638757178</v>
      </c>
      <c r="Z382" s="19">
        <f t="shared" si="295"/>
        <v>1.4029517671001666</v>
      </c>
      <c r="AA382" s="19">
        <f t="shared" si="295"/>
        <v>1.1541136089016288</v>
      </c>
      <c r="AB382" s="19">
        <f t="shared" si="295"/>
        <v>0.95058601659292941</v>
      </c>
      <c r="AC382" s="12">
        <f>+SUM(E382:AB382)</f>
        <v>27.999999999999996</v>
      </c>
    </row>
    <row r="383" spans="1:29">
      <c r="B383" s="15">
        <f>+EDATE(B378,1)</f>
        <v>47178</v>
      </c>
      <c r="C383" s="8" t="s">
        <v>45</v>
      </c>
      <c r="D383" s="8">
        <v>19</v>
      </c>
      <c r="E383" s="50">
        <f t="shared" ref="E383:AB383" si="296">+E323</f>
        <v>2.9361257124838391E-2</v>
      </c>
      <c r="F383" s="50">
        <f t="shared" si="296"/>
        <v>2.7692710332229715E-2</v>
      </c>
      <c r="G383" s="50">
        <f t="shared" si="296"/>
        <v>2.6785161397696527E-2</v>
      </c>
      <c r="H383" s="50">
        <f t="shared" si="296"/>
        <v>2.6786989368939883E-2</v>
      </c>
      <c r="I383" s="50">
        <f t="shared" si="296"/>
        <v>2.9135775177511477E-2</v>
      </c>
      <c r="J383" s="50">
        <f t="shared" si="296"/>
        <v>3.4540443856715661E-2</v>
      </c>
      <c r="K383" s="50">
        <f t="shared" si="296"/>
        <v>3.8789035252325646E-2</v>
      </c>
      <c r="L383" s="50">
        <f t="shared" si="296"/>
        <v>3.957865839345593E-2</v>
      </c>
      <c r="M383" s="50">
        <f t="shared" si="296"/>
        <v>4.0957538271781398E-2</v>
      </c>
      <c r="N383" s="50">
        <f t="shared" si="296"/>
        <v>4.2166920044863825E-2</v>
      </c>
      <c r="O383" s="50">
        <f t="shared" si="296"/>
        <v>4.4150374939633218E-2</v>
      </c>
      <c r="P383" s="50">
        <f t="shared" si="296"/>
        <v>4.6294816466469102E-2</v>
      </c>
      <c r="Q383" s="50">
        <f t="shared" si="296"/>
        <v>4.5431875959152102E-2</v>
      </c>
      <c r="R383" s="50">
        <f t="shared" si="296"/>
        <v>4.3879728503346101E-2</v>
      </c>
      <c r="S383" s="50">
        <f t="shared" si="296"/>
        <v>4.4118506624640258E-2</v>
      </c>
      <c r="T383" s="50">
        <f t="shared" si="296"/>
        <v>4.5188432655351718E-2</v>
      </c>
      <c r="U383" s="50">
        <f t="shared" si="296"/>
        <v>4.624302558461979E-2</v>
      </c>
      <c r="V383" s="50">
        <f t="shared" si="296"/>
        <v>4.8247238962955179E-2</v>
      </c>
      <c r="W383" s="50">
        <f t="shared" si="296"/>
        <v>5.7096885328092907E-2</v>
      </c>
      <c r="X383" s="50">
        <f t="shared" si="296"/>
        <v>6.1739938045350239E-2</v>
      </c>
      <c r="Y383" s="50">
        <f t="shared" si="296"/>
        <v>5.7231881517227232E-2</v>
      </c>
      <c r="Z383" s="50">
        <f t="shared" si="296"/>
        <v>5.0129255438435008E-2</v>
      </c>
      <c r="AA383" s="50">
        <f t="shared" si="296"/>
        <v>4.1010488221716553E-2</v>
      </c>
      <c r="AB383" s="50">
        <f t="shared" si="296"/>
        <v>3.34430625326523E-2</v>
      </c>
      <c r="AC383" s="8">
        <f>+SUM(E383:AB383)*D383</f>
        <v>19.000000000000004</v>
      </c>
    </row>
    <row r="384" spans="1:29">
      <c r="B384" s="16"/>
      <c r="C384" s="8" t="s">
        <v>46</v>
      </c>
      <c r="D384" s="8">
        <v>5</v>
      </c>
      <c r="E384" s="50">
        <f t="shared" ref="E384:AB384" si="297">+E324</f>
        <v>3.0659473205105158E-2</v>
      </c>
      <c r="F384" s="50">
        <f t="shared" si="297"/>
        <v>2.8600001140869122E-2</v>
      </c>
      <c r="G384" s="50">
        <f t="shared" si="297"/>
        <v>2.7683858575034276E-2</v>
      </c>
      <c r="H384" s="50">
        <f t="shared" si="297"/>
        <v>2.7537802139610414E-2</v>
      </c>
      <c r="I384" s="50">
        <f t="shared" si="297"/>
        <v>2.8782539770184416E-2</v>
      </c>
      <c r="J384" s="50">
        <f t="shared" si="297"/>
        <v>3.2241585579716119E-2</v>
      </c>
      <c r="K384" s="50">
        <f t="shared" si="297"/>
        <v>3.645312931015221E-2</v>
      </c>
      <c r="L384" s="50">
        <f t="shared" si="297"/>
        <v>3.9012639181609042E-2</v>
      </c>
      <c r="M384" s="50">
        <f t="shared" si="297"/>
        <v>4.1549207589560662E-2</v>
      </c>
      <c r="N384" s="50">
        <f t="shared" si="297"/>
        <v>4.3042516751632572E-2</v>
      </c>
      <c r="O384" s="50">
        <f t="shared" si="297"/>
        <v>4.4973693586955334E-2</v>
      </c>
      <c r="P384" s="50">
        <f t="shared" si="297"/>
        <v>4.6808021710202923E-2</v>
      </c>
      <c r="Q384" s="50">
        <f t="shared" si="297"/>
        <v>4.6383383047344962E-2</v>
      </c>
      <c r="R384" s="50">
        <f t="shared" si="297"/>
        <v>4.4751654806610461E-2</v>
      </c>
      <c r="S384" s="50">
        <f t="shared" si="297"/>
        <v>4.4013077558728637E-2</v>
      </c>
      <c r="T384" s="50">
        <f t="shared" si="297"/>
        <v>4.428856091631931E-2</v>
      </c>
      <c r="U384" s="50">
        <f t="shared" si="297"/>
        <v>4.49735778579251E-2</v>
      </c>
      <c r="V384" s="50">
        <f t="shared" si="297"/>
        <v>4.6933206789217301E-2</v>
      </c>
      <c r="W384" s="50">
        <f t="shared" si="297"/>
        <v>5.6210586428141023E-2</v>
      </c>
      <c r="X384" s="50">
        <f t="shared" si="297"/>
        <v>6.1205656691958259E-2</v>
      </c>
      <c r="Y384" s="50">
        <f t="shared" si="297"/>
        <v>5.7018442088769522E-2</v>
      </c>
      <c r="Z384" s="50">
        <f t="shared" si="297"/>
        <v>4.9896672365740725E-2</v>
      </c>
      <c r="AA384" s="50">
        <f t="shared" si="297"/>
        <v>4.1622868086918119E-2</v>
      </c>
      <c r="AB384" s="50">
        <f t="shared" si="297"/>
        <v>3.5357844821693719E-2</v>
      </c>
      <c r="AC384" s="8">
        <f t="shared" ref="AC384:AC386" si="298">+SUM(E384:AB384)*D384</f>
        <v>4.9999999999999964</v>
      </c>
    </row>
    <row r="385" spans="2:29">
      <c r="B385" s="16"/>
      <c r="C385" s="8" t="s">
        <v>47</v>
      </c>
      <c r="D385" s="8">
        <v>4</v>
      </c>
      <c r="E385" s="50">
        <f t="shared" ref="E385:AB385" si="299">+E325</f>
        <v>3.3281514565353124E-2</v>
      </c>
      <c r="F385" s="50">
        <f t="shared" si="299"/>
        <v>3.1140043873712407E-2</v>
      </c>
      <c r="G385" s="50">
        <f t="shared" si="299"/>
        <v>2.984335106750436E-2</v>
      </c>
      <c r="H385" s="50">
        <f t="shared" si="299"/>
        <v>2.9286927979133532E-2</v>
      </c>
      <c r="I385" s="50">
        <f t="shared" si="299"/>
        <v>2.9138028999542646E-2</v>
      </c>
      <c r="J385" s="50">
        <f t="shared" si="299"/>
        <v>3.0942883559119717E-2</v>
      </c>
      <c r="K385" s="50">
        <f t="shared" si="299"/>
        <v>3.4432484834348992E-2</v>
      </c>
      <c r="L385" s="50">
        <f t="shared" si="299"/>
        <v>3.8305304424032266E-2</v>
      </c>
      <c r="M385" s="50">
        <f t="shared" si="299"/>
        <v>4.1103790742913066E-2</v>
      </c>
      <c r="N385" s="50">
        <f t="shared" si="299"/>
        <v>4.2608444243851212E-2</v>
      </c>
      <c r="O385" s="50">
        <f t="shared" si="299"/>
        <v>4.3914681848814308E-2</v>
      </c>
      <c r="P385" s="50">
        <f t="shared" si="299"/>
        <v>4.5729867165388009E-2</v>
      </c>
      <c r="Q385" s="50">
        <f t="shared" si="299"/>
        <v>4.5741487779353565E-2</v>
      </c>
      <c r="R385" s="50">
        <f t="shared" si="299"/>
        <v>4.4277060725657284E-2</v>
      </c>
      <c r="S385" s="50">
        <f t="shared" si="299"/>
        <v>4.3144199391556254E-2</v>
      </c>
      <c r="T385" s="50">
        <f t="shared" si="299"/>
        <v>4.3279567369281124E-2</v>
      </c>
      <c r="U385" s="50">
        <f t="shared" si="299"/>
        <v>4.4109954506885138E-2</v>
      </c>
      <c r="V385" s="50">
        <f t="shared" si="299"/>
        <v>4.6298728840315946E-2</v>
      </c>
      <c r="W385" s="50">
        <f t="shared" si="299"/>
        <v>5.6176649878816001E-2</v>
      </c>
      <c r="X385" s="50">
        <f t="shared" si="299"/>
        <v>6.2194705000087863E-2</v>
      </c>
      <c r="Y385" s="50">
        <f t="shared" si="299"/>
        <v>5.7928891294023718E-2</v>
      </c>
      <c r="Z385" s="50">
        <f t="shared" si="299"/>
        <v>5.019499221712586E-2</v>
      </c>
      <c r="AA385" s="50">
        <f t="shared" si="299"/>
        <v>4.1853093029906328E-2</v>
      </c>
      <c r="AB385" s="50">
        <f t="shared" si="299"/>
        <v>3.507334666327714E-2</v>
      </c>
      <c r="AC385" s="8">
        <f t="shared" si="298"/>
        <v>3.9999999999999991</v>
      </c>
    </row>
    <row r="386" spans="2:29">
      <c r="B386" s="16"/>
      <c r="C386" s="8" t="s">
        <v>48</v>
      </c>
      <c r="D386" s="8">
        <v>3</v>
      </c>
      <c r="E386" s="50">
        <f t="shared" ref="E386:AB386" si="300">+E326</f>
        <v>3.367503361886829E-2</v>
      </c>
      <c r="F386" s="50">
        <f t="shared" si="300"/>
        <v>3.1245692535415936E-2</v>
      </c>
      <c r="G386" s="50">
        <f t="shared" si="300"/>
        <v>2.9861746203171599E-2</v>
      </c>
      <c r="H386" s="50">
        <f t="shared" si="300"/>
        <v>2.9235019370742008E-2</v>
      </c>
      <c r="I386" s="50">
        <f t="shared" si="300"/>
        <v>3.0186379118294998E-2</v>
      </c>
      <c r="J386" s="50">
        <f t="shared" si="300"/>
        <v>3.3123682717801174E-2</v>
      </c>
      <c r="K386" s="50">
        <f t="shared" si="300"/>
        <v>3.5563630818173868E-2</v>
      </c>
      <c r="L386" s="50">
        <f t="shared" si="300"/>
        <v>3.7375437025807548E-2</v>
      </c>
      <c r="M386" s="50">
        <f t="shared" si="300"/>
        <v>3.9557895894381336E-2</v>
      </c>
      <c r="N386" s="50">
        <f t="shared" si="300"/>
        <v>4.1330002492198488E-2</v>
      </c>
      <c r="O386" s="50">
        <f t="shared" si="300"/>
        <v>4.3273465010057272E-2</v>
      </c>
      <c r="P386" s="50">
        <f t="shared" si="300"/>
        <v>4.5278417057592932E-2</v>
      </c>
      <c r="Q386" s="50">
        <f t="shared" si="300"/>
        <v>4.5765189585786785E-2</v>
      </c>
      <c r="R386" s="50">
        <f t="shared" si="300"/>
        <v>4.421428774797561E-2</v>
      </c>
      <c r="S386" s="50">
        <f t="shared" si="300"/>
        <v>4.3245429527174986E-2</v>
      </c>
      <c r="T386" s="50">
        <f t="shared" si="300"/>
        <v>4.3554999005074702E-2</v>
      </c>
      <c r="U386" s="50">
        <f t="shared" si="300"/>
        <v>4.4435510161992771E-2</v>
      </c>
      <c r="V386" s="50">
        <f t="shared" si="300"/>
        <v>4.717219114348542E-2</v>
      </c>
      <c r="W386" s="50">
        <f t="shared" si="300"/>
        <v>5.6899741232983039E-2</v>
      </c>
      <c r="X386" s="50">
        <f t="shared" si="300"/>
        <v>6.1986738769463187E-2</v>
      </c>
      <c r="Y386" s="50">
        <f t="shared" si="300"/>
        <v>5.7208700429979269E-2</v>
      </c>
      <c r="Z386" s="50">
        <f t="shared" si="300"/>
        <v>4.9339560702577757E-2</v>
      </c>
      <c r="AA386" s="50">
        <f t="shared" si="300"/>
        <v>4.1368944501432053E-2</v>
      </c>
      <c r="AB386" s="50">
        <f t="shared" si="300"/>
        <v>3.5102305329568817E-2</v>
      </c>
      <c r="AC386" s="8">
        <f t="shared" si="298"/>
        <v>2.9999999999999991</v>
      </c>
    </row>
    <row r="387" spans="2:29">
      <c r="B387" s="12"/>
      <c r="C387" s="12" t="s">
        <v>15</v>
      </c>
      <c r="D387" s="12">
        <f>+SUM(D383:D386)</f>
        <v>31</v>
      </c>
      <c r="E387" s="19">
        <f>+SUMPRODUCT(E383:E386,$D383:$D386)</f>
        <v>0.94531241051547255</v>
      </c>
      <c r="F387" s="19">
        <f>+SUMPRODUCT(F383:F386,$D383:$D386)</f>
        <v>0.88745875511780759</v>
      </c>
      <c r="G387" s="19">
        <f t="shared" ref="G387:AB387" si="301">+SUMPRODUCT(G383:G386,$D383:$D386)</f>
        <v>0.85629600231093772</v>
      </c>
      <c r="H387" s="19">
        <f t="shared" si="301"/>
        <v>0.85149457873667012</v>
      </c>
      <c r="I387" s="19">
        <f t="shared" si="301"/>
        <v>0.90460368057669571</v>
      </c>
      <c r="J387" s="19">
        <f t="shared" si="301"/>
        <v>1.0406189435660607</v>
      </c>
      <c r="K387" s="19">
        <f t="shared" si="301"/>
        <v>1.1636781481368659</v>
      </c>
      <c r="L387" s="19">
        <f t="shared" si="301"/>
        <v>1.2124052341572595</v>
      </c>
      <c r="M387" s="19">
        <f t="shared" si="301"/>
        <v>1.2690281157664463</v>
      </c>
      <c r="N387" s="19">
        <f t="shared" si="301"/>
        <v>1.3108078490625759</v>
      </c>
      <c r="O387" s="19">
        <f t="shared" si="301"/>
        <v>1.3692047142132369</v>
      </c>
      <c r="P387" s="19">
        <f t="shared" si="301"/>
        <v>1.4323963412482583</v>
      </c>
      <c r="Q387" s="19">
        <f t="shared" si="301"/>
        <v>1.4153840783353893</v>
      </c>
      <c r="R387" s="19">
        <f t="shared" si="301"/>
        <v>1.367224221743184</v>
      </c>
      <c r="S387" s="19">
        <f t="shared" si="301"/>
        <v>1.3606300998095582</v>
      </c>
      <c r="T387" s="19">
        <f t="shared" si="301"/>
        <v>1.3838062915256277</v>
      </c>
      <c r="U387" s="19">
        <f t="shared" si="301"/>
        <v>1.4132317239109204</v>
      </c>
      <c r="V387" s="19">
        <f t="shared" si="301"/>
        <v>1.4780750630339548</v>
      </c>
      <c r="W387" s="19">
        <f t="shared" si="301"/>
        <v>1.7612995765886834</v>
      </c>
      <c r="X387" s="19">
        <f t="shared" si="301"/>
        <v>1.9138261426301866</v>
      </c>
      <c r="Y387" s="19">
        <f t="shared" si="301"/>
        <v>1.7758396257371978</v>
      </c>
      <c r="Z387" s="19">
        <f t="shared" si="301"/>
        <v>1.5507378661352056</v>
      </c>
      <c r="AA387" s="19">
        <f t="shared" si="301"/>
        <v>1.2788328222711265</v>
      </c>
      <c r="AB387" s="19">
        <f t="shared" si="301"/>
        <v>1.0578077148706773</v>
      </c>
      <c r="AC387" s="12">
        <f>+SUM(E387:AB387)</f>
        <v>30.999999999999996</v>
      </c>
    </row>
    <row r="388" spans="2:29">
      <c r="B388" s="15">
        <f>+EDATE(B383,1)</f>
        <v>47209</v>
      </c>
      <c r="C388" s="8" t="s">
        <v>45</v>
      </c>
      <c r="D388" s="8">
        <v>21</v>
      </c>
      <c r="E388" s="50">
        <f t="shared" ref="E388:AB388" si="302">+E328</f>
        <v>2.9361257124838391E-2</v>
      </c>
      <c r="F388" s="50">
        <f t="shared" si="302"/>
        <v>2.7692710332229715E-2</v>
      </c>
      <c r="G388" s="50">
        <f t="shared" si="302"/>
        <v>2.6785161397696527E-2</v>
      </c>
      <c r="H388" s="50">
        <f t="shared" si="302"/>
        <v>2.6786989368939883E-2</v>
      </c>
      <c r="I388" s="50">
        <f t="shared" si="302"/>
        <v>2.9135775177511477E-2</v>
      </c>
      <c r="J388" s="50">
        <f t="shared" si="302"/>
        <v>3.4540443856715661E-2</v>
      </c>
      <c r="K388" s="50">
        <f t="shared" si="302"/>
        <v>3.8789035252325646E-2</v>
      </c>
      <c r="L388" s="50">
        <f t="shared" si="302"/>
        <v>3.957865839345593E-2</v>
      </c>
      <c r="M388" s="50">
        <f t="shared" si="302"/>
        <v>4.0957538271781398E-2</v>
      </c>
      <c r="N388" s="50">
        <f t="shared" si="302"/>
        <v>4.2166920044863825E-2</v>
      </c>
      <c r="O388" s="50">
        <f t="shared" si="302"/>
        <v>4.4150374939633218E-2</v>
      </c>
      <c r="P388" s="50">
        <f t="shared" si="302"/>
        <v>4.6294816466469102E-2</v>
      </c>
      <c r="Q388" s="50">
        <f t="shared" si="302"/>
        <v>4.5431875959152102E-2</v>
      </c>
      <c r="R388" s="50">
        <f t="shared" si="302"/>
        <v>4.3879728503346101E-2</v>
      </c>
      <c r="S388" s="50">
        <f t="shared" si="302"/>
        <v>4.4118506624640258E-2</v>
      </c>
      <c r="T388" s="50">
        <f t="shared" si="302"/>
        <v>4.5188432655351718E-2</v>
      </c>
      <c r="U388" s="50">
        <f t="shared" si="302"/>
        <v>4.624302558461979E-2</v>
      </c>
      <c r="V388" s="50">
        <f t="shared" si="302"/>
        <v>4.8247238962955179E-2</v>
      </c>
      <c r="W388" s="50">
        <f t="shared" si="302"/>
        <v>5.7096885328092907E-2</v>
      </c>
      <c r="X388" s="50">
        <f t="shared" si="302"/>
        <v>6.1739938045350239E-2</v>
      </c>
      <c r="Y388" s="50">
        <f t="shared" si="302"/>
        <v>5.7231881517227232E-2</v>
      </c>
      <c r="Z388" s="50">
        <f t="shared" si="302"/>
        <v>5.0129255438435008E-2</v>
      </c>
      <c r="AA388" s="50">
        <f t="shared" si="302"/>
        <v>4.1010488221716553E-2</v>
      </c>
      <c r="AB388" s="50">
        <f t="shared" si="302"/>
        <v>3.34430625326523E-2</v>
      </c>
      <c r="AC388" s="8">
        <f>+SUM(E388:AB388)*D388</f>
        <v>21.000000000000004</v>
      </c>
    </row>
    <row r="389" spans="2:29">
      <c r="B389" s="16"/>
      <c r="C389" s="8" t="s">
        <v>46</v>
      </c>
      <c r="D389" s="8">
        <v>4</v>
      </c>
      <c r="E389" s="50">
        <f t="shared" ref="E389:AB389" si="303">+E329</f>
        <v>3.0659473205105158E-2</v>
      </c>
      <c r="F389" s="50">
        <f t="shared" si="303"/>
        <v>2.8600001140869122E-2</v>
      </c>
      <c r="G389" s="50">
        <f t="shared" si="303"/>
        <v>2.7683858575034276E-2</v>
      </c>
      <c r="H389" s="50">
        <f t="shared" si="303"/>
        <v>2.7537802139610414E-2</v>
      </c>
      <c r="I389" s="50">
        <f t="shared" si="303"/>
        <v>2.8782539770184416E-2</v>
      </c>
      <c r="J389" s="50">
        <f t="shared" si="303"/>
        <v>3.2241585579716119E-2</v>
      </c>
      <c r="K389" s="50">
        <f t="shared" si="303"/>
        <v>3.645312931015221E-2</v>
      </c>
      <c r="L389" s="50">
        <f t="shared" si="303"/>
        <v>3.9012639181609042E-2</v>
      </c>
      <c r="M389" s="50">
        <f t="shared" si="303"/>
        <v>4.1549207589560662E-2</v>
      </c>
      <c r="N389" s="50">
        <f t="shared" si="303"/>
        <v>4.3042516751632572E-2</v>
      </c>
      <c r="O389" s="50">
        <f t="shared" si="303"/>
        <v>4.4973693586955334E-2</v>
      </c>
      <c r="P389" s="50">
        <f t="shared" si="303"/>
        <v>4.6808021710202923E-2</v>
      </c>
      <c r="Q389" s="50">
        <f t="shared" si="303"/>
        <v>4.6383383047344962E-2</v>
      </c>
      <c r="R389" s="50">
        <f t="shared" si="303"/>
        <v>4.4751654806610461E-2</v>
      </c>
      <c r="S389" s="50">
        <f t="shared" si="303"/>
        <v>4.4013077558728637E-2</v>
      </c>
      <c r="T389" s="50">
        <f t="shared" si="303"/>
        <v>4.428856091631931E-2</v>
      </c>
      <c r="U389" s="50">
        <f t="shared" si="303"/>
        <v>4.49735778579251E-2</v>
      </c>
      <c r="V389" s="50">
        <f t="shared" si="303"/>
        <v>4.6933206789217301E-2</v>
      </c>
      <c r="W389" s="50">
        <f t="shared" si="303"/>
        <v>5.6210586428141023E-2</v>
      </c>
      <c r="X389" s="50">
        <f t="shared" si="303"/>
        <v>6.1205656691958259E-2</v>
      </c>
      <c r="Y389" s="50">
        <f t="shared" si="303"/>
        <v>5.7018442088769522E-2</v>
      </c>
      <c r="Z389" s="50">
        <f t="shared" si="303"/>
        <v>4.9896672365740725E-2</v>
      </c>
      <c r="AA389" s="50">
        <f t="shared" si="303"/>
        <v>4.1622868086918119E-2</v>
      </c>
      <c r="AB389" s="50">
        <f t="shared" si="303"/>
        <v>3.5357844821693719E-2</v>
      </c>
      <c r="AC389" s="8">
        <f t="shared" ref="AC389:AC391" si="304">+SUM(E389:AB389)*D389</f>
        <v>3.9999999999999969</v>
      </c>
    </row>
    <row r="390" spans="2:29">
      <c r="B390" s="16"/>
      <c r="C390" s="8" t="s">
        <v>47</v>
      </c>
      <c r="D390" s="8">
        <v>5</v>
      </c>
      <c r="E390" s="50">
        <f t="shared" ref="E390:AB390" si="305">+E330</f>
        <v>3.3281514565353124E-2</v>
      </c>
      <c r="F390" s="50">
        <f t="shared" si="305"/>
        <v>3.1140043873712407E-2</v>
      </c>
      <c r="G390" s="50">
        <f t="shared" si="305"/>
        <v>2.984335106750436E-2</v>
      </c>
      <c r="H390" s="50">
        <f t="shared" si="305"/>
        <v>2.9286927979133532E-2</v>
      </c>
      <c r="I390" s="50">
        <f t="shared" si="305"/>
        <v>2.9138028999542646E-2</v>
      </c>
      <c r="J390" s="50">
        <f t="shared" si="305"/>
        <v>3.0942883559119717E-2</v>
      </c>
      <c r="K390" s="50">
        <f t="shared" si="305"/>
        <v>3.4432484834348992E-2</v>
      </c>
      <c r="L390" s="50">
        <f t="shared" si="305"/>
        <v>3.8305304424032266E-2</v>
      </c>
      <c r="M390" s="50">
        <f t="shared" si="305"/>
        <v>4.1103790742913066E-2</v>
      </c>
      <c r="N390" s="50">
        <f t="shared" si="305"/>
        <v>4.2608444243851212E-2</v>
      </c>
      <c r="O390" s="50">
        <f t="shared" si="305"/>
        <v>4.3914681848814308E-2</v>
      </c>
      <c r="P390" s="50">
        <f t="shared" si="305"/>
        <v>4.5729867165388009E-2</v>
      </c>
      <c r="Q390" s="50">
        <f t="shared" si="305"/>
        <v>4.5741487779353565E-2</v>
      </c>
      <c r="R390" s="50">
        <f t="shared" si="305"/>
        <v>4.4277060725657284E-2</v>
      </c>
      <c r="S390" s="50">
        <f t="shared" si="305"/>
        <v>4.3144199391556254E-2</v>
      </c>
      <c r="T390" s="50">
        <f t="shared" si="305"/>
        <v>4.3279567369281124E-2</v>
      </c>
      <c r="U390" s="50">
        <f t="shared" si="305"/>
        <v>4.4109954506885138E-2</v>
      </c>
      <c r="V390" s="50">
        <f t="shared" si="305"/>
        <v>4.6298728840315946E-2</v>
      </c>
      <c r="W390" s="50">
        <f t="shared" si="305"/>
        <v>5.6176649878816001E-2</v>
      </c>
      <c r="X390" s="50">
        <f t="shared" si="305"/>
        <v>6.2194705000087863E-2</v>
      </c>
      <c r="Y390" s="50">
        <f t="shared" si="305"/>
        <v>5.7928891294023718E-2</v>
      </c>
      <c r="Z390" s="50">
        <f t="shared" si="305"/>
        <v>5.019499221712586E-2</v>
      </c>
      <c r="AA390" s="50">
        <f t="shared" si="305"/>
        <v>4.1853093029906328E-2</v>
      </c>
      <c r="AB390" s="50">
        <f t="shared" si="305"/>
        <v>3.507334666327714E-2</v>
      </c>
      <c r="AC390" s="8">
        <f t="shared" si="304"/>
        <v>4.9999999999999991</v>
      </c>
    </row>
    <row r="391" spans="2:29">
      <c r="B391" s="16"/>
      <c r="C391" s="8" t="s">
        <v>48</v>
      </c>
      <c r="D391" s="8">
        <v>0</v>
      </c>
      <c r="E391" s="50">
        <f t="shared" ref="E391:AB391" si="306">+E331</f>
        <v>3.367503361886829E-2</v>
      </c>
      <c r="F391" s="50">
        <f t="shared" si="306"/>
        <v>3.1245692535415936E-2</v>
      </c>
      <c r="G391" s="50">
        <f t="shared" si="306"/>
        <v>2.9861746203171599E-2</v>
      </c>
      <c r="H391" s="50">
        <f t="shared" si="306"/>
        <v>2.9235019370742008E-2</v>
      </c>
      <c r="I391" s="50">
        <f t="shared" si="306"/>
        <v>3.0186379118294998E-2</v>
      </c>
      <c r="J391" s="50">
        <f t="shared" si="306"/>
        <v>3.3123682717801174E-2</v>
      </c>
      <c r="K391" s="50">
        <f t="shared" si="306"/>
        <v>3.5563630818173868E-2</v>
      </c>
      <c r="L391" s="50">
        <f t="shared" si="306"/>
        <v>3.7375437025807548E-2</v>
      </c>
      <c r="M391" s="50">
        <f t="shared" si="306"/>
        <v>3.9557895894381336E-2</v>
      </c>
      <c r="N391" s="50">
        <f t="shared" si="306"/>
        <v>4.1330002492198488E-2</v>
      </c>
      <c r="O391" s="50">
        <f t="shared" si="306"/>
        <v>4.3273465010057272E-2</v>
      </c>
      <c r="P391" s="50">
        <f t="shared" si="306"/>
        <v>4.5278417057592932E-2</v>
      </c>
      <c r="Q391" s="50">
        <f t="shared" si="306"/>
        <v>4.5765189585786785E-2</v>
      </c>
      <c r="R391" s="50">
        <f t="shared" si="306"/>
        <v>4.421428774797561E-2</v>
      </c>
      <c r="S391" s="50">
        <f t="shared" si="306"/>
        <v>4.3245429527174986E-2</v>
      </c>
      <c r="T391" s="50">
        <f t="shared" si="306"/>
        <v>4.3554999005074702E-2</v>
      </c>
      <c r="U391" s="50">
        <f t="shared" si="306"/>
        <v>4.4435510161992771E-2</v>
      </c>
      <c r="V391" s="50">
        <f t="shared" si="306"/>
        <v>4.717219114348542E-2</v>
      </c>
      <c r="W391" s="50">
        <f t="shared" si="306"/>
        <v>5.6899741232983039E-2</v>
      </c>
      <c r="X391" s="50">
        <f t="shared" si="306"/>
        <v>6.1986738769463187E-2</v>
      </c>
      <c r="Y391" s="50">
        <f t="shared" si="306"/>
        <v>5.7208700429979269E-2</v>
      </c>
      <c r="Z391" s="50">
        <f t="shared" si="306"/>
        <v>4.9339560702577757E-2</v>
      </c>
      <c r="AA391" s="50">
        <f t="shared" si="306"/>
        <v>4.1368944501432053E-2</v>
      </c>
      <c r="AB391" s="50">
        <f t="shared" si="306"/>
        <v>3.5102305329568817E-2</v>
      </c>
      <c r="AC391" s="8">
        <f t="shared" si="304"/>
        <v>0</v>
      </c>
    </row>
    <row r="392" spans="2:29">
      <c r="B392" s="12"/>
      <c r="C392" s="12" t="s">
        <v>15</v>
      </c>
      <c r="D392" s="12">
        <f>+SUM(D388:D391)</f>
        <v>30</v>
      </c>
      <c r="E392" s="19">
        <f>+SUMPRODUCT(E388:E391,$D388:$D391)</f>
        <v>0.90563186526879247</v>
      </c>
      <c r="F392" s="19">
        <f>+SUMPRODUCT(F388:F391,$D388:$D391)</f>
        <v>0.85164714090886251</v>
      </c>
      <c r="G392" s="19">
        <f t="shared" ref="G392:AB392" si="307">+SUMPRODUCT(G388:G391,$D388:$D391)</f>
        <v>0.82244057898928591</v>
      </c>
      <c r="H392" s="19">
        <f t="shared" si="307"/>
        <v>0.8191126252018468</v>
      </c>
      <c r="I392" s="19">
        <f t="shared" si="307"/>
        <v>0.87267158280619195</v>
      </c>
      <c r="J392" s="19">
        <f t="shared" si="307"/>
        <v>1.009030081105492</v>
      </c>
      <c r="K392" s="19">
        <f t="shared" si="307"/>
        <v>1.1325446817111924</v>
      </c>
      <c r="L392" s="19">
        <f t="shared" si="307"/>
        <v>1.1787289051091721</v>
      </c>
      <c r="M392" s="19">
        <f t="shared" si="307"/>
        <v>1.2318240877802173</v>
      </c>
      <c r="N392" s="19">
        <f t="shared" si="307"/>
        <v>1.2707176091679266</v>
      </c>
      <c r="O392" s="19">
        <f t="shared" si="307"/>
        <v>1.3266260573241904</v>
      </c>
      <c r="P392" s="19">
        <f t="shared" si="307"/>
        <v>1.3880725684636031</v>
      </c>
      <c r="Q392" s="19">
        <f t="shared" si="307"/>
        <v>1.3683103662283418</v>
      </c>
      <c r="R392" s="19">
        <f t="shared" si="307"/>
        <v>1.3218662214249963</v>
      </c>
      <c r="S392" s="19">
        <f t="shared" si="307"/>
        <v>1.3182619463101413</v>
      </c>
      <c r="T392" s="19">
        <f t="shared" si="307"/>
        <v>1.3425091662740691</v>
      </c>
      <c r="U392" s="19">
        <f t="shared" si="307"/>
        <v>1.3715476212431417</v>
      </c>
      <c r="V392" s="19">
        <f t="shared" si="307"/>
        <v>1.4324184895805079</v>
      </c>
      <c r="W392" s="19">
        <f t="shared" si="307"/>
        <v>1.7047601869965952</v>
      </c>
      <c r="X392" s="19">
        <f t="shared" si="307"/>
        <v>1.8523348507206274</v>
      </c>
      <c r="Y392" s="19">
        <f t="shared" si="307"/>
        <v>1.7195877366869685</v>
      </c>
      <c r="Z392" s="19">
        <f t="shared" si="307"/>
        <v>1.5032760147557276</v>
      </c>
      <c r="AA392" s="19">
        <f t="shared" si="307"/>
        <v>1.2369771901532518</v>
      </c>
      <c r="AB392" s="19">
        <f t="shared" si="307"/>
        <v>1.0191024257888588</v>
      </c>
      <c r="AC392" s="12">
        <f>+SUM(E392:AB392)</f>
        <v>30</v>
      </c>
    </row>
    <row r="393" spans="2:29">
      <c r="B393" s="15">
        <f>+EDATE(B388,1)</f>
        <v>47239</v>
      </c>
      <c r="C393" s="8" t="s">
        <v>45</v>
      </c>
      <c r="D393" s="8">
        <v>21</v>
      </c>
      <c r="E393" s="50">
        <f t="shared" ref="E393:AB393" si="308">+E333</f>
        <v>2.9361257124838391E-2</v>
      </c>
      <c r="F393" s="50">
        <f t="shared" si="308"/>
        <v>2.7692710332229715E-2</v>
      </c>
      <c r="G393" s="50">
        <f t="shared" si="308"/>
        <v>2.6785161397696527E-2</v>
      </c>
      <c r="H393" s="50">
        <f t="shared" si="308"/>
        <v>2.6786989368939883E-2</v>
      </c>
      <c r="I393" s="50">
        <f t="shared" si="308"/>
        <v>2.9135775177511477E-2</v>
      </c>
      <c r="J393" s="50">
        <f t="shared" si="308"/>
        <v>3.4540443856715661E-2</v>
      </c>
      <c r="K393" s="50">
        <f t="shared" si="308"/>
        <v>3.8789035252325646E-2</v>
      </c>
      <c r="L393" s="50">
        <f t="shared" si="308"/>
        <v>3.957865839345593E-2</v>
      </c>
      <c r="M393" s="50">
        <f t="shared" si="308"/>
        <v>4.0957538271781398E-2</v>
      </c>
      <c r="N393" s="50">
        <f t="shared" si="308"/>
        <v>4.2166920044863825E-2</v>
      </c>
      <c r="O393" s="50">
        <f t="shared" si="308"/>
        <v>4.4150374939633218E-2</v>
      </c>
      <c r="P393" s="50">
        <f t="shared" si="308"/>
        <v>4.6294816466469102E-2</v>
      </c>
      <c r="Q393" s="50">
        <f t="shared" si="308"/>
        <v>4.5431875959152102E-2</v>
      </c>
      <c r="R393" s="50">
        <f t="shared" si="308"/>
        <v>4.3879728503346101E-2</v>
      </c>
      <c r="S393" s="50">
        <f t="shared" si="308"/>
        <v>4.4118506624640258E-2</v>
      </c>
      <c r="T393" s="50">
        <f t="shared" si="308"/>
        <v>4.5188432655351718E-2</v>
      </c>
      <c r="U393" s="50">
        <f t="shared" si="308"/>
        <v>4.624302558461979E-2</v>
      </c>
      <c r="V393" s="50">
        <f t="shared" si="308"/>
        <v>4.8247238962955179E-2</v>
      </c>
      <c r="W393" s="50">
        <f t="shared" si="308"/>
        <v>5.7096885328092907E-2</v>
      </c>
      <c r="X393" s="50">
        <f t="shared" si="308"/>
        <v>6.1739938045350239E-2</v>
      </c>
      <c r="Y393" s="50">
        <f t="shared" si="308"/>
        <v>5.7231881517227232E-2</v>
      </c>
      <c r="Z393" s="50">
        <f t="shared" si="308"/>
        <v>5.0129255438435008E-2</v>
      </c>
      <c r="AA393" s="50">
        <f t="shared" si="308"/>
        <v>4.1010488221716553E-2</v>
      </c>
      <c r="AB393" s="50">
        <f t="shared" si="308"/>
        <v>3.34430625326523E-2</v>
      </c>
      <c r="AC393" s="8">
        <f>+SUM(E393:AB393)*D393</f>
        <v>21.000000000000004</v>
      </c>
    </row>
    <row r="394" spans="2:29">
      <c r="B394" s="16"/>
      <c r="C394" s="8" t="s">
        <v>46</v>
      </c>
      <c r="D394" s="8">
        <v>4</v>
      </c>
      <c r="E394" s="50">
        <f t="shared" ref="E394:AB394" si="309">+E334</f>
        <v>3.0659473205105158E-2</v>
      </c>
      <c r="F394" s="50">
        <f t="shared" si="309"/>
        <v>2.8600001140869122E-2</v>
      </c>
      <c r="G394" s="50">
        <f t="shared" si="309"/>
        <v>2.7683858575034276E-2</v>
      </c>
      <c r="H394" s="50">
        <f t="shared" si="309"/>
        <v>2.7537802139610414E-2</v>
      </c>
      <c r="I394" s="50">
        <f t="shared" si="309"/>
        <v>2.8782539770184416E-2</v>
      </c>
      <c r="J394" s="50">
        <f t="shared" si="309"/>
        <v>3.2241585579716119E-2</v>
      </c>
      <c r="K394" s="50">
        <f t="shared" si="309"/>
        <v>3.645312931015221E-2</v>
      </c>
      <c r="L394" s="50">
        <f t="shared" si="309"/>
        <v>3.9012639181609042E-2</v>
      </c>
      <c r="M394" s="50">
        <f t="shared" si="309"/>
        <v>4.1549207589560662E-2</v>
      </c>
      <c r="N394" s="50">
        <f t="shared" si="309"/>
        <v>4.3042516751632572E-2</v>
      </c>
      <c r="O394" s="50">
        <f t="shared" si="309"/>
        <v>4.4973693586955334E-2</v>
      </c>
      <c r="P394" s="50">
        <f t="shared" si="309"/>
        <v>4.6808021710202923E-2</v>
      </c>
      <c r="Q394" s="50">
        <f t="shared" si="309"/>
        <v>4.6383383047344962E-2</v>
      </c>
      <c r="R394" s="50">
        <f t="shared" si="309"/>
        <v>4.4751654806610461E-2</v>
      </c>
      <c r="S394" s="50">
        <f t="shared" si="309"/>
        <v>4.4013077558728637E-2</v>
      </c>
      <c r="T394" s="50">
        <f t="shared" si="309"/>
        <v>4.428856091631931E-2</v>
      </c>
      <c r="U394" s="50">
        <f t="shared" si="309"/>
        <v>4.49735778579251E-2</v>
      </c>
      <c r="V394" s="50">
        <f t="shared" si="309"/>
        <v>4.6933206789217301E-2</v>
      </c>
      <c r="W394" s="50">
        <f t="shared" si="309"/>
        <v>5.6210586428141023E-2</v>
      </c>
      <c r="X394" s="50">
        <f t="shared" si="309"/>
        <v>6.1205656691958259E-2</v>
      </c>
      <c r="Y394" s="50">
        <f t="shared" si="309"/>
        <v>5.7018442088769522E-2</v>
      </c>
      <c r="Z394" s="50">
        <f t="shared" si="309"/>
        <v>4.9896672365740725E-2</v>
      </c>
      <c r="AA394" s="50">
        <f t="shared" si="309"/>
        <v>4.1622868086918119E-2</v>
      </c>
      <c r="AB394" s="50">
        <f t="shared" si="309"/>
        <v>3.5357844821693719E-2</v>
      </c>
      <c r="AC394" s="8">
        <f t="shared" ref="AC394:AC395" si="310">+SUM(E394:AB394)*D394</f>
        <v>3.9999999999999969</v>
      </c>
    </row>
    <row r="395" spans="2:29">
      <c r="B395" s="16"/>
      <c r="C395" s="8" t="s">
        <v>47</v>
      </c>
      <c r="D395" s="8">
        <v>4</v>
      </c>
      <c r="E395" s="50">
        <f t="shared" ref="E395:AB395" si="311">+E335</f>
        <v>3.3281514565353124E-2</v>
      </c>
      <c r="F395" s="50">
        <f t="shared" si="311"/>
        <v>3.1140043873712407E-2</v>
      </c>
      <c r="G395" s="50">
        <f t="shared" si="311"/>
        <v>2.984335106750436E-2</v>
      </c>
      <c r="H395" s="50">
        <f t="shared" si="311"/>
        <v>2.9286927979133532E-2</v>
      </c>
      <c r="I395" s="50">
        <f t="shared" si="311"/>
        <v>2.9138028999542646E-2</v>
      </c>
      <c r="J395" s="50">
        <f t="shared" si="311"/>
        <v>3.0942883559119717E-2</v>
      </c>
      <c r="K395" s="50">
        <f t="shared" si="311"/>
        <v>3.4432484834348992E-2</v>
      </c>
      <c r="L395" s="50">
        <f t="shared" si="311"/>
        <v>3.8305304424032266E-2</v>
      </c>
      <c r="M395" s="50">
        <f t="shared" si="311"/>
        <v>4.1103790742913066E-2</v>
      </c>
      <c r="N395" s="50">
        <f t="shared" si="311"/>
        <v>4.2608444243851212E-2</v>
      </c>
      <c r="O395" s="50">
        <f t="shared" si="311"/>
        <v>4.3914681848814308E-2</v>
      </c>
      <c r="P395" s="50">
        <f t="shared" si="311"/>
        <v>4.5729867165388009E-2</v>
      </c>
      <c r="Q395" s="50">
        <f t="shared" si="311"/>
        <v>4.5741487779353565E-2</v>
      </c>
      <c r="R395" s="50">
        <f t="shared" si="311"/>
        <v>4.4277060725657284E-2</v>
      </c>
      <c r="S395" s="50">
        <f t="shared" si="311"/>
        <v>4.3144199391556254E-2</v>
      </c>
      <c r="T395" s="50">
        <f t="shared" si="311"/>
        <v>4.3279567369281124E-2</v>
      </c>
      <c r="U395" s="50">
        <f t="shared" si="311"/>
        <v>4.4109954506885138E-2</v>
      </c>
      <c r="V395" s="50">
        <f t="shared" si="311"/>
        <v>4.6298728840315946E-2</v>
      </c>
      <c r="W395" s="50">
        <f t="shared" si="311"/>
        <v>5.6176649878816001E-2</v>
      </c>
      <c r="X395" s="50">
        <f t="shared" si="311"/>
        <v>6.2194705000087863E-2</v>
      </c>
      <c r="Y395" s="50">
        <f t="shared" si="311"/>
        <v>5.7928891294023718E-2</v>
      </c>
      <c r="Z395" s="50">
        <f t="shared" si="311"/>
        <v>5.019499221712586E-2</v>
      </c>
      <c r="AA395" s="50">
        <f t="shared" si="311"/>
        <v>4.1853093029906328E-2</v>
      </c>
      <c r="AB395" s="50">
        <f t="shared" si="311"/>
        <v>3.507334666327714E-2</v>
      </c>
      <c r="AC395" s="8">
        <f t="shared" si="310"/>
        <v>3.9999999999999991</v>
      </c>
    </row>
    <row r="396" spans="2:29">
      <c r="B396" s="16"/>
      <c r="C396" s="8" t="s">
        <v>48</v>
      </c>
      <c r="D396" s="8">
        <v>2</v>
      </c>
      <c r="E396" s="50">
        <f t="shared" ref="E396:AB396" si="312">+E336</f>
        <v>3.367503361886829E-2</v>
      </c>
      <c r="F396" s="50">
        <f t="shared" si="312"/>
        <v>3.1245692535415936E-2</v>
      </c>
      <c r="G396" s="50">
        <f t="shared" si="312"/>
        <v>2.9861746203171599E-2</v>
      </c>
      <c r="H396" s="50">
        <f t="shared" si="312"/>
        <v>2.9235019370742008E-2</v>
      </c>
      <c r="I396" s="50">
        <f t="shared" si="312"/>
        <v>3.0186379118294998E-2</v>
      </c>
      <c r="J396" s="50">
        <f t="shared" si="312"/>
        <v>3.3123682717801174E-2</v>
      </c>
      <c r="K396" s="50">
        <f t="shared" si="312"/>
        <v>3.5563630818173868E-2</v>
      </c>
      <c r="L396" s="50">
        <f t="shared" si="312"/>
        <v>3.7375437025807548E-2</v>
      </c>
      <c r="M396" s="50">
        <f t="shared" si="312"/>
        <v>3.9557895894381336E-2</v>
      </c>
      <c r="N396" s="50">
        <f t="shared" si="312"/>
        <v>4.1330002492198488E-2</v>
      </c>
      <c r="O396" s="50">
        <f t="shared" si="312"/>
        <v>4.3273465010057272E-2</v>
      </c>
      <c r="P396" s="50">
        <f t="shared" si="312"/>
        <v>4.5278417057592932E-2</v>
      </c>
      <c r="Q396" s="50">
        <f t="shared" si="312"/>
        <v>4.5765189585786785E-2</v>
      </c>
      <c r="R396" s="50">
        <f t="shared" si="312"/>
        <v>4.421428774797561E-2</v>
      </c>
      <c r="S396" s="50">
        <f t="shared" si="312"/>
        <v>4.3245429527174986E-2</v>
      </c>
      <c r="T396" s="50">
        <f t="shared" si="312"/>
        <v>4.3554999005074702E-2</v>
      </c>
      <c r="U396" s="50">
        <f t="shared" si="312"/>
        <v>4.4435510161992771E-2</v>
      </c>
      <c r="V396" s="50">
        <f t="shared" si="312"/>
        <v>4.717219114348542E-2</v>
      </c>
      <c r="W396" s="50">
        <f t="shared" si="312"/>
        <v>5.6899741232983039E-2</v>
      </c>
      <c r="X396" s="50">
        <f t="shared" si="312"/>
        <v>6.1986738769463187E-2</v>
      </c>
      <c r="Y396" s="50">
        <f t="shared" si="312"/>
        <v>5.7208700429979269E-2</v>
      </c>
      <c r="Z396" s="50">
        <f t="shared" si="312"/>
        <v>4.9339560702577757E-2</v>
      </c>
      <c r="AA396" s="50">
        <f t="shared" si="312"/>
        <v>4.1368944501432053E-2</v>
      </c>
      <c r="AB396" s="50">
        <f t="shared" si="312"/>
        <v>3.5102305329568817E-2</v>
      </c>
      <c r="AC396" s="8">
        <f>+SUM(E396:AB396)*D396</f>
        <v>1.9999999999999996</v>
      </c>
    </row>
    <row r="397" spans="2:29">
      <c r="B397" s="12"/>
      <c r="C397" s="12" t="s">
        <v>15</v>
      </c>
      <c r="D397" s="12">
        <f>+SUM(D393:D396)</f>
        <v>31</v>
      </c>
      <c r="E397" s="19">
        <f>+SUMPRODUCT(E393:E396,$D393:$D396)</f>
        <v>0.93970041794117598</v>
      </c>
      <c r="F397" s="19">
        <f>+SUMPRODUCT(F393:F396,$D393:$D396)</f>
        <v>0.88299848210598197</v>
      </c>
      <c r="G397" s="19">
        <f t="shared" ref="G397:AB397" si="313">+SUMPRODUCT(G393:G396,$D393:$D396)</f>
        <v>0.85232072032812478</v>
      </c>
      <c r="H397" s="19">
        <f t="shared" si="313"/>
        <v>0.84829573596419738</v>
      </c>
      <c r="I397" s="19">
        <f t="shared" si="313"/>
        <v>0.90390631204323935</v>
      </c>
      <c r="J397" s="19">
        <f t="shared" si="313"/>
        <v>1.0443345629819747</v>
      </c>
      <c r="K397" s="19">
        <f t="shared" si="313"/>
        <v>1.1692394585131909</v>
      </c>
      <c r="L397" s="19">
        <f t="shared" si="313"/>
        <v>1.215174474736755</v>
      </c>
      <c r="M397" s="19">
        <f t="shared" si="313"/>
        <v>1.2698360888260669</v>
      </c>
      <c r="N397" s="19">
        <f t="shared" si="313"/>
        <v>1.3107691699084727</v>
      </c>
      <c r="O397" s="19">
        <f t="shared" si="313"/>
        <v>1.3692583054954905</v>
      </c>
      <c r="P397" s="19">
        <f t="shared" si="313"/>
        <v>1.4328995354134009</v>
      </c>
      <c r="Q397" s="19">
        <f t="shared" si="313"/>
        <v>1.4140992576205618</v>
      </c>
      <c r="R397" s="19">
        <f t="shared" si="313"/>
        <v>1.3660177361952903</v>
      </c>
      <c r="S397" s="19">
        <f t="shared" si="313"/>
        <v>1.3616086059729351</v>
      </c>
      <c r="T397" s="19">
        <f t="shared" si="313"/>
        <v>1.3863395969149375</v>
      </c>
      <c r="U397" s="19">
        <f t="shared" si="313"/>
        <v>1.4163086870602422</v>
      </c>
      <c r="V397" s="19">
        <f t="shared" si="313"/>
        <v>1.4804641430271626</v>
      </c>
      <c r="W397" s="19">
        <f t="shared" si="313"/>
        <v>1.7623830195837451</v>
      </c>
      <c r="X397" s="19">
        <f t="shared" si="313"/>
        <v>1.914113623259466</v>
      </c>
      <c r="Y397" s="19">
        <f t="shared" si="313"/>
        <v>1.7760762462529034</v>
      </c>
      <c r="Z397" s="19">
        <f t="shared" si="313"/>
        <v>1.5517601439437572</v>
      </c>
      <c r="AA397" s="19">
        <f t="shared" si="313"/>
        <v>1.2778619861262095</v>
      </c>
      <c r="AB397" s="19">
        <f t="shared" si="313"/>
        <v>1.0542336897847193</v>
      </c>
      <c r="AC397" s="12">
        <f>+SUM(E397:AB397)</f>
        <v>30.999999999999996</v>
      </c>
    </row>
    <row r="398" spans="2:29">
      <c r="B398" s="15">
        <f>+EDATE(B393,1)</f>
        <v>47270</v>
      </c>
      <c r="C398" s="8" t="s">
        <v>45</v>
      </c>
      <c r="D398" s="8">
        <v>19</v>
      </c>
      <c r="E398" s="50">
        <f t="shared" ref="E398:AB398" si="314">+E338</f>
        <v>2.9361257124838391E-2</v>
      </c>
      <c r="F398" s="50">
        <f t="shared" si="314"/>
        <v>2.7692710332229715E-2</v>
      </c>
      <c r="G398" s="50">
        <f t="shared" si="314"/>
        <v>2.6785161397696527E-2</v>
      </c>
      <c r="H398" s="50">
        <f t="shared" si="314"/>
        <v>2.6786989368939883E-2</v>
      </c>
      <c r="I398" s="50">
        <f t="shared" si="314"/>
        <v>2.9135775177511477E-2</v>
      </c>
      <c r="J398" s="50">
        <f t="shared" si="314"/>
        <v>3.4540443856715661E-2</v>
      </c>
      <c r="K398" s="50">
        <f t="shared" si="314"/>
        <v>3.8789035252325646E-2</v>
      </c>
      <c r="L398" s="50">
        <f t="shared" si="314"/>
        <v>3.957865839345593E-2</v>
      </c>
      <c r="M398" s="50">
        <f t="shared" si="314"/>
        <v>4.0957538271781398E-2</v>
      </c>
      <c r="N398" s="50">
        <f t="shared" si="314"/>
        <v>4.2166920044863825E-2</v>
      </c>
      <c r="O398" s="50">
        <f t="shared" si="314"/>
        <v>4.4150374939633218E-2</v>
      </c>
      <c r="P398" s="50">
        <f t="shared" si="314"/>
        <v>4.6294816466469102E-2</v>
      </c>
      <c r="Q398" s="50">
        <f t="shared" si="314"/>
        <v>4.5431875959152102E-2</v>
      </c>
      <c r="R398" s="50">
        <f t="shared" si="314"/>
        <v>4.3879728503346101E-2</v>
      </c>
      <c r="S398" s="50">
        <f t="shared" si="314"/>
        <v>4.4118506624640258E-2</v>
      </c>
      <c r="T398" s="50">
        <f t="shared" si="314"/>
        <v>4.5188432655351718E-2</v>
      </c>
      <c r="U398" s="50">
        <f t="shared" si="314"/>
        <v>4.624302558461979E-2</v>
      </c>
      <c r="V398" s="50">
        <f t="shared" si="314"/>
        <v>4.8247238962955179E-2</v>
      </c>
      <c r="W398" s="50">
        <f t="shared" si="314"/>
        <v>5.7096885328092907E-2</v>
      </c>
      <c r="X398" s="50">
        <f t="shared" si="314"/>
        <v>6.1739938045350239E-2</v>
      </c>
      <c r="Y398" s="50">
        <f t="shared" si="314"/>
        <v>5.7231881517227232E-2</v>
      </c>
      <c r="Z398" s="50">
        <f t="shared" si="314"/>
        <v>5.0129255438435008E-2</v>
      </c>
      <c r="AA398" s="50">
        <f t="shared" si="314"/>
        <v>4.1010488221716553E-2</v>
      </c>
      <c r="AB398" s="50">
        <f t="shared" si="314"/>
        <v>3.34430625326523E-2</v>
      </c>
      <c r="AC398" s="8">
        <f>+SUM(E398:AB398)*D398</f>
        <v>19.000000000000004</v>
      </c>
    </row>
    <row r="399" spans="2:29">
      <c r="B399" s="16"/>
      <c r="C399" s="8" t="s">
        <v>46</v>
      </c>
      <c r="D399" s="8">
        <v>5</v>
      </c>
      <c r="E399" s="50">
        <f t="shared" ref="E399:AB399" si="315">+E339</f>
        <v>3.0659473205105158E-2</v>
      </c>
      <c r="F399" s="50">
        <f t="shared" si="315"/>
        <v>2.8600001140869122E-2</v>
      </c>
      <c r="G399" s="50">
        <f t="shared" si="315"/>
        <v>2.7683858575034276E-2</v>
      </c>
      <c r="H399" s="50">
        <f t="shared" si="315"/>
        <v>2.7537802139610414E-2</v>
      </c>
      <c r="I399" s="50">
        <f t="shared" si="315"/>
        <v>2.8782539770184416E-2</v>
      </c>
      <c r="J399" s="50">
        <f t="shared" si="315"/>
        <v>3.2241585579716119E-2</v>
      </c>
      <c r="K399" s="50">
        <f t="shared" si="315"/>
        <v>3.645312931015221E-2</v>
      </c>
      <c r="L399" s="50">
        <f t="shared" si="315"/>
        <v>3.9012639181609042E-2</v>
      </c>
      <c r="M399" s="50">
        <f t="shared" si="315"/>
        <v>4.1549207589560662E-2</v>
      </c>
      <c r="N399" s="50">
        <f t="shared" si="315"/>
        <v>4.3042516751632572E-2</v>
      </c>
      <c r="O399" s="50">
        <f t="shared" si="315"/>
        <v>4.4973693586955334E-2</v>
      </c>
      <c r="P399" s="50">
        <f t="shared" si="315"/>
        <v>4.6808021710202923E-2</v>
      </c>
      <c r="Q399" s="50">
        <f t="shared" si="315"/>
        <v>4.6383383047344962E-2</v>
      </c>
      <c r="R399" s="50">
        <f t="shared" si="315"/>
        <v>4.4751654806610461E-2</v>
      </c>
      <c r="S399" s="50">
        <f t="shared" si="315"/>
        <v>4.4013077558728637E-2</v>
      </c>
      <c r="T399" s="50">
        <f t="shared" si="315"/>
        <v>4.428856091631931E-2</v>
      </c>
      <c r="U399" s="50">
        <f t="shared" si="315"/>
        <v>4.49735778579251E-2</v>
      </c>
      <c r="V399" s="50">
        <f t="shared" si="315"/>
        <v>4.6933206789217301E-2</v>
      </c>
      <c r="W399" s="50">
        <f t="shared" si="315"/>
        <v>5.6210586428141023E-2</v>
      </c>
      <c r="X399" s="50">
        <f t="shared" si="315"/>
        <v>6.1205656691958259E-2</v>
      </c>
      <c r="Y399" s="50">
        <f t="shared" si="315"/>
        <v>5.7018442088769522E-2</v>
      </c>
      <c r="Z399" s="50">
        <f t="shared" si="315"/>
        <v>4.9896672365740725E-2</v>
      </c>
      <c r="AA399" s="50">
        <f t="shared" si="315"/>
        <v>4.1622868086918119E-2</v>
      </c>
      <c r="AB399" s="50">
        <f t="shared" si="315"/>
        <v>3.5357844821693719E-2</v>
      </c>
      <c r="AC399" s="8">
        <f t="shared" ref="AC399:AC401" si="316">+SUM(E399:AB399)*D399</f>
        <v>4.9999999999999964</v>
      </c>
    </row>
    <row r="400" spans="2:29">
      <c r="B400" s="16"/>
      <c r="C400" s="8" t="s">
        <v>47</v>
      </c>
      <c r="D400" s="8">
        <v>4</v>
      </c>
      <c r="E400" s="50">
        <f t="shared" ref="E400:AB400" si="317">+E340</f>
        <v>3.3281514565353124E-2</v>
      </c>
      <c r="F400" s="50">
        <f t="shared" si="317"/>
        <v>3.1140043873712407E-2</v>
      </c>
      <c r="G400" s="50">
        <f t="shared" si="317"/>
        <v>2.984335106750436E-2</v>
      </c>
      <c r="H400" s="50">
        <f t="shared" si="317"/>
        <v>2.9286927979133532E-2</v>
      </c>
      <c r="I400" s="50">
        <f t="shared" si="317"/>
        <v>2.9138028999542646E-2</v>
      </c>
      <c r="J400" s="50">
        <f t="shared" si="317"/>
        <v>3.0942883559119717E-2</v>
      </c>
      <c r="K400" s="50">
        <f t="shared" si="317"/>
        <v>3.4432484834348992E-2</v>
      </c>
      <c r="L400" s="50">
        <f t="shared" si="317"/>
        <v>3.8305304424032266E-2</v>
      </c>
      <c r="M400" s="50">
        <f t="shared" si="317"/>
        <v>4.1103790742913066E-2</v>
      </c>
      <c r="N400" s="50">
        <f t="shared" si="317"/>
        <v>4.2608444243851212E-2</v>
      </c>
      <c r="O400" s="50">
        <f t="shared" si="317"/>
        <v>4.3914681848814308E-2</v>
      </c>
      <c r="P400" s="50">
        <f t="shared" si="317"/>
        <v>4.5729867165388009E-2</v>
      </c>
      <c r="Q400" s="50">
        <f t="shared" si="317"/>
        <v>4.5741487779353565E-2</v>
      </c>
      <c r="R400" s="50">
        <f t="shared" si="317"/>
        <v>4.4277060725657284E-2</v>
      </c>
      <c r="S400" s="50">
        <f t="shared" si="317"/>
        <v>4.3144199391556254E-2</v>
      </c>
      <c r="T400" s="50">
        <f t="shared" si="317"/>
        <v>4.3279567369281124E-2</v>
      </c>
      <c r="U400" s="50">
        <f t="shared" si="317"/>
        <v>4.4109954506885138E-2</v>
      </c>
      <c r="V400" s="50">
        <f t="shared" si="317"/>
        <v>4.6298728840315946E-2</v>
      </c>
      <c r="W400" s="50">
        <f t="shared" si="317"/>
        <v>5.6176649878816001E-2</v>
      </c>
      <c r="X400" s="50">
        <f t="shared" si="317"/>
        <v>6.2194705000087863E-2</v>
      </c>
      <c r="Y400" s="50">
        <f t="shared" si="317"/>
        <v>5.7928891294023718E-2</v>
      </c>
      <c r="Z400" s="50">
        <f t="shared" si="317"/>
        <v>5.019499221712586E-2</v>
      </c>
      <c r="AA400" s="50">
        <f t="shared" si="317"/>
        <v>4.1853093029906328E-2</v>
      </c>
      <c r="AB400" s="50">
        <f t="shared" si="317"/>
        <v>3.507334666327714E-2</v>
      </c>
      <c r="AC400" s="8">
        <f t="shared" si="316"/>
        <v>3.9999999999999991</v>
      </c>
    </row>
    <row r="401" spans="2:29">
      <c r="B401" s="16"/>
      <c r="C401" s="8" t="s">
        <v>48</v>
      </c>
      <c r="D401" s="8">
        <v>2</v>
      </c>
      <c r="E401" s="50">
        <f t="shared" ref="E401:AB401" si="318">+E341</f>
        <v>3.367503361886829E-2</v>
      </c>
      <c r="F401" s="50">
        <f t="shared" si="318"/>
        <v>3.1245692535415936E-2</v>
      </c>
      <c r="G401" s="50">
        <f t="shared" si="318"/>
        <v>2.9861746203171599E-2</v>
      </c>
      <c r="H401" s="50">
        <f t="shared" si="318"/>
        <v>2.9235019370742008E-2</v>
      </c>
      <c r="I401" s="50">
        <f t="shared" si="318"/>
        <v>3.0186379118294998E-2</v>
      </c>
      <c r="J401" s="50">
        <f t="shared" si="318"/>
        <v>3.3123682717801174E-2</v>
      </c>
      <c r="K401" s="50">
        <f t="shared" si="318"/>
        <v>3.5563630818173868E-2</v>
      </c>
      <c r="L401" s="50">
        <f t="shared" si="318"/>
        <v>3.7375437025807548E-2</v>
      </c>
      <c r="M401" s="50">
        <f t="shared" si="318"/>
        <v>3.9557895894381336E-2</v>
      </c>
      <c r="N401" s="50">
        <f t="shared" si="318"/>
        <v>4.1330002492198488E-2</v>
      </c>
      <c r="O401" s="50">
        <f t="shared" si="318"/>
        <v>4.3273465010057272E-2</v>
      </c>
      <c r="P401" s="50">
        <f t="shared" si="318"/>
        <v>4.5278417057592932E-2</v>
      </c>
      <c r="Q401" s="50">
        <f t="shared" si="318"/>
        <v>4.5765189585786785E-2</v>
      </c>
      <c r="R401" s="50">
        <f t="shared" si="318"/>
        <v>4.421428774797561E-2</v>
      </c>
      <c r="S401" s="50">
        <f t="shared" si="318"/>
        <v>4.3245429527174986E-2</v>
      </c>
      <c r="T401" s="50">
        <f t="shared" si="318"/>
        <v>4.3554999005074702E-2</v>
      </c>
      <c r="U401" s="50">
        <f t="shared" si="318"/>
        <v>4.4435510161992771E-2</v>
      </c>
      <c r="V401" s="50">
        <f t="shared" si="318"/>
        <v>4.717219114348542E-2</v>
      </c>
      <c r="W401" s="50">
        <f t="shared" si="318"/>
        <v>5.6899741232983039E-2</v>
      </c>
      <c r="X401" s="50">
        <f t="shared" si="318"/>
        <v>6.1986738769463187E-2</v>
      </c>
      <c r="Y401" s="50">
        <f t="shared" si="318"/>
        <v>5.7208700429979269E-2</v>
      </c>
      <c r="Z401" s="50">
        <f t="shared" si="318"/>
        <v>4.9339560702577757E-2</v>
      </c>
      <c r="AA401" s="50">
        <f t="shared" si="318"/>
        <v>4.1368944501432053E-2</v>
      </c>
      <c r="AB401" s="50">
        <f t="shared" si="318"/>
        <v>3.5102305329568817E-2</v>
      </c>
      <c r="AC401" s="8">
        <f t="shared" si="316"/>
        <v>1.9999999999999996</v>
      </c>
    </row>
    <row r="402" spans="2:29">
      <c r="B402" s="12"/>
      <c r="C402" s="12" t="s">
        <v>15</v>
      </c>
      <c r="D402" s="12">
        <f>+SUM(D398:D401)</f>
        <v>30</v>
      </c>
      <c r="E402" s="19">
        <f>+SUMPRODUCT(E398:E401,$D398:$D401)</f>
        <v>0.91163737689660429</v>
      </c>
      <c r="F402" s="19">
        <f>+SUMPRODUCT(F398:F401,$D398:$D401)</f>
        <v>0.8562130625823916</v>
      </c>
      <c r="G402" s="19">
        <f t="shared" ref="G402:AB402" si="319">+SUMPRODUCT(G398:G401,$D398:$D401)</f>
        <v>0.82643425610776611</v>
      </c>
      <c r="H402" s="19">
        <f t="shared" si="319"/>
        <v>0.82225955936592809</v>
      </c>
      <c r="I402" s="19">
        <f t="shared" si="319"/>
        <v>0.87441730145840069</v>
      </c>
      <c r="J402" s="19">
        <f t="shared" si="319"/>
        <v>1.0074952608482595</v>
      </c>
      <c r="K402" s="19">
        <f t="shared" si="319"/>
        <v>1.1281145173186919</v>
      </c>
      <c r="L402" s="19">
        <f t="shared" si="319"/>
        <v>1.1750297971314521</v>
      </c>
      <c r="M402" s="19">
        <f t="shared" si="319"/>
        <v>1.2294702198720648</v>
      </c>
      <c r="N402" s="19">
        <f t="shared" si="319"/>
        <v>1.2694778465703775</v>
      </c>
      <c r="O402" s="19">
        <f t="shared" si="319"/>
        <v>1.3259312492031796</v>
      </c>
      <c r="P402" s="19">
        <f t="shared" si="319"/>
        <v>1.3871179241906655</v>
      </c>
      <c r="Q402" s="19">
        <f t="shared" si="319"/>
        <v>1.3696188887496026</v>
      </c>
      <c r="R402" s="19">
        <f t="shared" si="319"/>
        <v>1.3230099339952086</v>
      </c>
      <c r="S402" s="19">
        <f t="shared" si="319"/>
        <v>1.3173846702823833</v>
      </c>
      <c r="T402" s="19">
        <f t="shared" si="319"/>
        <v>1.340251292520553</v>
      </c>
      <c r="U402" s="19">
        <f t="shared" si="319"/>
        <v>1.3687962137489276</v>
      </c>
      <c r="V402" s="19">
        <f t="shared" si="319"/>
        <v>1.4309028718904693</v>
      </c>
      <c r="W402" s="19">
        <f t="shared" si="319"/>
        <v>1.7043998353557004</v>
      </c>
      <c r="X402" s="19">
        <f t="shared" si="319"/>
        <v>1.8518394038607233</v>
      </c>
      <c r="Y402" s="19">
        <f t="shared" si="319"/>
        <v>1.7186309253072185</v>
      </c>
      <c r="Z402" s="19">
        <f t="shared" si="319"/>
        <v>1.5013983054326276</v>
      </c>
      <c r="AA402" s="19">
        <f t="shared" si="319"/>
        <v>1.2374638777696945</v>
      </c>
      <c r="AB402" s="19">
        <f t="shared" si="319"/>
        <v>1.0227054095411083</v>
      </c>
      <c r="AC402" s="12">
        <f>+SUM(E402:AB402)</f>
        <v>29.999999999999996</v>
      </c>
    </row>
    <row r="403" spans="2:29">
      <c r="B403" s="15">
        <f>+EDATE(B398,1)</f>
        <v>47300</v>
      </c>
      <c r="C403" s="8" t="s">
        <v>45</v>
      </c>
      <c r="D403" s="8">
        <v>20</v>
      </c>
      <c r="E403" s="50">
        <f t="shared" ref="E403:AB403" si="320">+E343</f>
        <v>2.9361257124838391E-2</v>
      </c>
      <c r="F403" s="50">
        <f t="shared" si="320"/>
        <v>2.7692710332229715E-2</v>
      </c>
      <c r="G403" s="50">
        <f t="shared" si="320"/>
        <v>2.6785161397696527E-2</v>
      </c>
      <c r="H403" s="50">
        <f t="shared" si="320"/>
        <v>2.6786989368939883E-2</v>
      </c>
      <c r="I403" s="50">
        <f t="shared" si="320"/>
        <v>2.9135775177511477E-2</v>
      </c>
      <c r="J403" s="50">
        <f t="shared" si="320"/>
        <v>3.4540443856715661E-2</v>
      </c>
      <c r="K403" s="50">
        <f t="shared" si="320"/>
        <v>3.8789035252325646E-2</v>
      </c>
      <c r="L403" s="50">
        <f t="shared" si="320"/>
        <v>3.957865839345593E-2</v>
      </c>
      <c r="M403" s="50">
        <f t="shared" si="320"/>
        <v>4.0957538271781398E-2</v>
      </c>
      <c r="N403" s="50">
        <f t="shared" si="320"/>
        <v>4.2166920044863825E-2</v>
      </c>
      <c r="O403" s="50">
        <f t="shared" si="320"/>
        <v>4.4150374939633218E-2</v>
      </c>
      <c r="P403" s="50">
        <f t="shared" si="320"/>
        <v>4.6294816466469102E-2</v>
      </c>
      <c r="Q403" s="50">
        <f t="shared" si="320"/>
        <v>4.5431875959152102E-2</v>
      </c>
      <c r="R403" s="50">
        <f t="shared" si="320"/>
        <v>4.3879728503346101E-2</v>
      </c>
      <c r="S403" s="50">
        <f t="shared" si="320"/>
        <v>4.4118506624640258E-2</v>
      </c>
      <c r="T403" s="50">
        <f t="shared" si="320"/>
        <v>4.5188432655351718E-2</v>
      </c>
      <c r="U403" s="50">
        <f t="shared" si="320"/>
        <v>4.624302558461979E-2</v>
      </c>
      <c r="V403" s="50">
        <f t="shared" si="320"/>
        <v>4.8247238962955179E-2</v>
      </c>
      <c r="W403" s="50">
        <f t="shared" si="320"/>
        <v>5.7096885328092907E-2</v>
      </c>
      <c r="X403" s="50">
        <f t="shared" si="320"/>
        <v>6.1739938045350239E-2</v>
      </c>
      <c r="Y403" s="50">
        <f t="shared" si="320"/>
        <v>5.7231881517227232E-2</v>
      </c>
      <c r="Z403" s="50">
        <f t="shared" si="320"/>
        <v>5.0129255438435008E-2</v>
      </c>
      <c r="AA403" s="50">
        <f t="shared" si="320"/>
        <v>4.1010488221716553E-2</v>
      </c>
      <c r="AB403" s="50">
        <f t="shared" si="320"/>
        <v>3.34430625326523E-2</v>
      </c>
      <c r="AC403" s="8">
        <f>+SUM(E403:AB403)*D403</f>
        <v>20.000000000000004</v>
      </c>
    </row>
    <row r="404" spans="2:29">
      <c r="B404" s="16"/>
      <c r="C404" s="8" t="s">
        <v>46</v>
      </c>
      <c r="D404" s="8">
        <v>4</v>
      </c>
      <c r="E404" s="50">
        <f t="shared" ref="E404:AB404" si="321">+E344</f>
        <v>3.0659473205105158E-2</v>
      </c>
      <c r="F404" s="50">
        <f t="shared" si="321"/>
        <v>2.8600001140869122E-2</v>
      </c>
      <c r="G404" s="50">
        <f t="shared" si="321"/>
        <v>2.7683858575034276E-2</v>
      </c>
      <c r="H404" s="50">
        <f t="shared" si="321"/>
        <v>2.7537802139610414E-2</v>
      </c>
      <c r="I404" s="50">
        <f t="shared" si="321"/>
        <v>2.8782539770184416E-2</v>
      </c>
      <c r="J404" s="50">
        <f t="shared" si="321"/>
        <v>3.2241585579716119E-2</v>
      </c>
      <c r="K404" s="50">
        <f t="shared" si="321"/>
        <v>3.645312931015221E-2</v>
      </c>
      <c r="L404" s="50">
        <f t="shared" si="321"/>
        <v>3.9012639181609042E-2</v>
      </c>
      <c r="M404" s="50">
        <f t="shared" si="321"/>
        <v>4.1549207589560662E-2</v>
      </c>
      <c r="N404" s="50">
        <f t="shared" si="321"/>
        <v>4.3042516751632572E-2</v>
      </c>
      <c r="O404" s="50">
        <f t="shared" si="321"/>
        <v>4.4973693586955334E-2</v>
      </c>
      <c r="P404" s="50">
        <f t="shared" si="321"/>
        <v>4.6808021710202923E-2</v>
      </c>
      <c r="Q404" s="50">
        <f t="shared" si="321"/>
        <v>4.6383383047344962E-2</v>
      </c>
      <c r="R404" s="50">
        <f t="shared" si="321"/>
        <v>4.4751654806610461E-2</v>
      </c>
      <c r="S404" s="50">
        <f t="shared" si="321"/>
        <v>4.4013077558728637E-2</v>
      </c>
      <c r="T404" s="50">
        <f t="shared" si="321"/>
        <v>4.428856091631931E-2</v>
      </c>
      <c r="U404" s="50">
        <f t="shared" si="321"/>
        <v>4.49735778579251E-2</v>
      </c>
      <c r="V404" s="50">
        <f t="shared" si="321"/>
        <v>4.6933206789217301E-2</v>
      </c>
      <c r="W404" s="50">
        <f t="shared" si="321"/>
        <v>5.6210586428141023E-2</v>
      </c>
      <c r="X404" s="50">
        <f t="shared" si="321"/>
        <v>6.1205656691958259E-2</v>
      </c>
      <c r="Y404" s="50">
        <f t="shared" si="321"/>
        <v>5.7018442088769522E-2</v>
      </c>
      <c r="Z404" s="50">
        <f t="shared" si="321"/>
        <v>4.9896672365740725E-2</v>
      </c>
      <c r="AA404" s="50">
        <f t="shared" si="321"/>
        <v>4.1622868086918119E-2</v>
      </c>
      <c r="AB404" s="50">
        <f t="shared" si="321"/>
        <v>3.5357844821693719E-2</v>
      </c>
      <c r="AC404" s="8">
        <f t="shared" ref="AC404:AC406" si="322">+SUM(E404:AB404)*D404</f>
        <v>3.9999999999999969</v>
      </c>
    </row>
    <row r="405" spans="2:29">
      <c r="B405" s="16"/>
      <c r="C405" s="8" t="s">
        <v>47</v>
      </c>
      <c r="D405" s="8">
        <v>5</v>
      </c>
      <c r="E405" s="50">
        <f t="shared" ref="E405:AB405" si="323">+E345</f>
        <v>3.3281514565353124E-2</v>
      </c>
      <c r="F405" s="50">
        <f t="shared" si="323"/>
        <v>3.1140043873712407E-2</v>
      </c>
      <c r="G405" s="50">
        <f t="shared" si="323"/>
        <v>2.984335106750436E-2</v>
      </c>
      <c r="H405" s="50">
        <f t="shared" si="323"/>
        <v>2.9286927979133532E-2</v>
      </c>
      <c r="I405" s="50">
        <f t="shared" si="323"/>
        <v>2.9138028999542646E-2</v>
      </c>
      <c r="J405" s="50">
        <f t="shared" si="323"/>
        <v>3.0942883559119717E-2</v>
      </c>
      <c r="K405" s="50">
        <f t="shared" si="323"/>
        <v>3.4432484834348992E-2</v>
      </c>
      <c r="L405" s="50">
        <f t="shared" si="323"/>
        <v>3.8305304424032266E-2</v>
      </c>
      <c r="M405" s="50">
        <f t="shared" si="323"/>
        <v>4.1103790742913066E-2</v>
      </c>
      <c r="N405" s="50">
        <f t="shared" si="323"/>
        <v>4.2608444243851212E-2</v>
      </c>
      <c r="O405" s="50">
        <f t="shared" si="323"/>
        <v>4.3914681848814308E-2</v>
      </c>
      <c r="P405" s="50">
        <f t="shared" si="323"/>
        <v>4.5729867165388009E-2</v>
      </c>
      <c r="Q405" s="50">
        <f t="shared" si="323"/>
        <v>4.5741487779353565E-2</v>
      </c>
      <c r="R405" s="50">
        <f t="shared" si="323"/>
        <v>4.4277060725657284E-2</v>
      </c>
      <c r="S405" s="50">
        <f t="shared" si="323"/>
        <v>4.3144199391556254E-2</v>
      </c>
      <c r="T405" s="50">
        <f t="shared" si="323"/>
        <v>4.3279567369281124E-2</v>
      </c>
      <c r="U405" s="50">
        <f t="shared" si="323"/>
        <v>4.4109954506885138E-2</v>
      </c>
      <c r="V405" s="50">
        <f t="shared" si="323"/>
        <v>4.6298728840315946E-2</v>
      </c>
      <c r="W405" s="50">
        <f t="shared" si="323"/>
        <v>5.6176649878816001E-2</v>
      </c>
      <c r="X405" s="50">
        <f t="shared" si="323"/>
        <v>6.2194705000087863E-2</v>
      </c>
      <c r="Y405" s="50">
        <f t="shared" si="323"/>
        <v>5.7928891294023718E-2</v>
      </c>
      <c r="Z405" s="50">
        <f t="shared" si="323"/>
        <v>5.019499221712586E-2</v>
      </c>
      <c r="AA405" s="50">
        <f t="shared" si="323"/>
        <v>4.1853093029906328E-2</v>
      </c>
      <c r="AB405" s="50">
        <f t="shared" si="323"/>
        <v>3.507334666327714E-2</v>
      </c>
      <c r="AC405" s="8">
        <f t="shared" si="322"/>
        <v>4.9999999999999991</v>
      </c>
    </row>
    <row r="406" spans="2:29">
      <c r="B406" s="16"/>
      <c r="C406" s="8" t="s">
        <v>48</v>
      </c>
      <c r="D406" s="8">
        <v>2</v>
      </c>
      <c r="E406" s="50">
        <f t="shared" ref="E406:AB406" si="324">+E346</f>
        <v>3.367503361886829E-2</v>
      </c>
      <c r="F406" s="50">
        <f t="shared" si="324"/>
        <v>3.1245692535415936E-2</v>
      </c>
      <c r="G406" s="50">
        <f t="shared" si="324"/>
        <v>2.9861746203171599E-2</v>
      </c>
      <c r="H406" s="50">
        <f t="shared" si="324"/>
        <v>2.9235019370742008E-2</v>
      </c>
      <c r="I406" s="50">
        <f t="shared" si="324"/>
        <v>3.0186379118294998E-2</v>
      </c>
      <c r="J406" s="50">
        <f t="shared" si="324"/>
        <v>3.3123682717801174E-2</v>
      </c>
      <c r="K406" s="50">
        <f t="shared" si="324"/>
        <v>3.5563630818173868E-2</v>
      </c>
      <c r="L406" s="50">
        <f t="shared" si="324"/>
        <v>3.7375437025807548E-2</v>
      </c>
      <c r="M406" s="50">
        <f t="shared" si="324"/>
        <v>3.9557895894381336E-2</v>
      </c>
      <c r="N406" s="50">
        <f t="shared" si="324"/>
        <v>4.1330002492198488E-2</v>
      </c>
      <c r="O406" s="50">
        <f t="shared" si="324"/>
        <v>4.3273465010057272E-2</v>
      </c>
      <c r="P406" s="50">
        <f t="shared" si="324"/>
        <v>4.5278417057592932E-2</v>
      </c>
      <c r="Q406" s="50">
        <f t="shared" si="324"/>
        <v>4.5765189585786785E-2</v>
      </c>
      <c r="R406" s="50">
        <f t="shared" si="324"/>
        <v>4.421428774797561E-2</v>
      </c>
      <c r="S406" s="50">
        <f t="shared" si="324"/>
        <v>4.3245429527174986E-2</v>
      </c>
      <c r="T406" s="50">
        <f t="shared" si="324"/>
        <v>4.3554999005074702E-2</v>
      </c>
      <c r="U406" s="50">
        <f t="shared" si="324"/>
        <v>4.4435510161992771E-2</v>
      </c>
      <c r="V406" s="50">
        <f t="shared" si="324"/>
        <v>4.717219114348542E-2</v>
      </c>
      <c r="W406" s="50">
        <f t="shared" si="324"/>
        <v>5.6899741232983039E-2</v>
      </c>
      <c r="X406" s="50">
        <f t="shared" si="324"/>
        <v>6.1986738769463187E-2</v>
      </c>
      <c r="Y406" s="50">
        <f t="shared" si="324"/>
        <v>5.7208700429979269E-2</v>
      </c>
      <c r="Z406" s="50">
        <f t="shared" si="324"/>
        <v>4.9339560702577757E-2</v>
      </c>
      <c r="AA406" s="50">
        <f t="shared" si="324"/>
        <v>4.1368944501432053E-2</v>
      </c>
      <c r="AB406" s="50">
        <f t="shared" si="324"/>
        <v>3.5102305329568817E-2</v>
      </c>
      <c r="AC406" s="8">
        <f t="shared" si="322"/>
        <v>1.9999999999999996</v>
      </c>
    </row>
    <row r="407" spans="2:29">
      <c r="B407" s="12"/>
      <c r="C407" s="12" t="s">
        <v>15</v>
      </c>
      <c r="D407" s="12">
        <f>+SUM(D403:D406)</f>
        <v>31</v>
      </c>
      <c r="E407" s="19">
        <f>+SUMPRODUCT(E403:E406,$D403:$D406)</f>
        <v>0.94362067538169059</v>
      </c>
      <c r="F407" s="19">
        <f>+SUMPRODUCT(F403:F406,$D403:$D406)</f>
        <v>0.88644581564746461</v>
      </c>
      <c r="G407" s="19">
        <f t="shared" ref="G407:AB407" si="325">+SUMPRODUCT(G403:G406,$D403:$D406)</f>
        <v>0.85537890999793265</v>
      </c>
      <c r="H407" s="19">
        <f t="shared" si="325"/>
        <v>0.85079567457439098</v>
      </c>
      <c r="I407" s="19">
        <f t="shared" si="325"/>
        <v>0.90390856586527035</v>
      </c>
      <c r="J407" s="19">
        <f t="shared" si="325"/>
        <v>1.0407370026843787</v>
      </c>
      <c r="K407" s="19">
        <f t="shared" si="325"/>
        <v>1.1648829080952143</v>
      </c>
      <c r="L407" s="19">
        <f t="shared" si="325"/>
        <v>1.2139011207673314</v>
      </c>
      <c r="M407" s="19">
        <f t="shared" si="325"/>
        <v>1.2699823412971984</v>
      </c>
      <c r="N407" s="19">
        <f t="shared" si="325"/>
        <v>1.3112106941074599</v>
      </c>
      <c r="O407" s="19">
        <f t="shared" si="325"/>
        <v>1.3690226124046718</v>
      </c>
      <c r="P407" s="19">
        <f t="shared" si="325"/>
        <v>1.4323345861123198</v>
      </c>
      <c r="Q407" s="19">
        <f t="shared" si="325"/>
        <v>1.4144088694407633</v>
      </c>
      <c r="R407" s="19">
        <f t="shared" si="325"/>
        <v>1.3664150684176015</v>
      </c>
      <c r="S407" s="19">
        <f t="shared" si="325"/>
        <v>1.3606342987398512</v>
      </c>
      <c r="T407" s="19">
        <f t="shared" si="325"/>
        <v>1.3844307316288669</v>
      </c>
      <c r="U407" s="19">
        <f t="shared" si="325"/>
        <v>1.4141756159825074</v>
      </c>
      <c r="V407" s="19">
        <f t="shared" si="325"/>
        <v>1.4785156329045233</v>
      </c>
      <c r="W407" s="19">
        <f t="shared" si="325"/>
        <v>1.7614627841344683</v>
      </c>
      <c r="X407" s="19">
        <f t="shared" si="325"/>
        <v>1.9145683902142034</v>
      </c>
      <c r="Y407" s="19">
        <f t="shared" si="325"/>
        <v>1.7767732560297</v>
      </c>
      <c r="Z407" s="19">
        <f t="shared" si="325"/>
        <v>1.5518258807224479</v>
      </c>
      <c r="AA407" s="19">
        <f t="shared" si="325"/>
        <v>1.2787045909343993</v>
      </c>
      <c r="AB407" s="19">
        <f t="shared" si="325"/>
        <v>1.0558639739153441</v>
      </c>
      <c r="AC407" s="12">
        <f>+SUM(E407:AB407)</f>
        <v>30.999999999999996</v>
      </c>
    </row>
    <row r="408" spans="2:29">
      <c r="B408" s="15">
        <f>+EDATE(B403,1)</f>
        <v>47331</v>
      </c>
      <c r="C408" s="8" t="s">
        <v>45</v>
      </c>
      <c r="D408" s="8">
        <v>21</v>
      </c>
      <c r="E408" s="50">
        <f t="shared" ref="E408:AB408" si="326">+E348</f>
        <v>2.9361257124838391E-2</v>
      </c>
      <c r="F408" s="50">
        <f t="shared" si="326"/>
        <v>2.7692710332229715E-2</v>
      </c>
      <c r="G408" s="50">
        <f t="shared" si="326"/>
        <v>2.6785161397696527E-2</v>
      </c>
      <c r="H408" s="50">
        <f t="shared" si="326"/>
        <v>2.6786989368939883E-2</v>
      </c>
      <c r="I408" s="50">
        <f t="shared" si="326"/>
        <v>2.9135775177511477E-2</v>
      </c>
      <c r="J408" s="50">
        <f t="shared" si="326"/>
        <v>3.4540443856715661E-2</v>
      </c>
      <c r="K408" s="50">
        <f t="shared" si="326"/>
        <v>3.8789035252325646E-2</v>
      </c>
      <c r="L408" s="50">
        <f t="shared" si="326"/>
        <v>3.957865839345593E-2</v>
      </c>
      <c r="M408" s="50">
        <f t="shared" si="326"/>
        <v>4.0957538271781398E-2</v>
      </c>
      <c r="N408" s="50">
        <f t="shared" si="326"/>
        <v>4.2166920044863825E-2</v>
      </c>
      <c r="O408" s="50">
        <f t="shared" si="326"/>
        <v>4.4150374939633218E-2</v>
      </c>
      <c r="P408" s="50">
        <f t="shared" si="326"/>
        <v>4.6294816466469102E-2</v>
      </c>
      <c r="Q408" s="50">
        <f t="shared" si="326"/>
        <v>4.5431875959152102E-2</v>
      </c>
      <c r="R408" s="50">
        <f t="shared" si="326"/>
        <v>4.3879728503346101E-2</v>
      </c>
      <c r="S408" s="50">
        <f t="shared" si="326"/>
        <v>4.4118506624640258E-2</v>
      </c>
      <c r="T408" s="50">
        <f t="shared" si="326"/>
        <v>4.5188432655351718E-2</v>
      </c>
      <c r="U408" s="50">
        <f t="shared" si="326"/>
        <v>4.624302558461979E-2</v>
      </c>
      <c r="V408" s="50">
        <f t="shared" si="326"/>
        <v>4.8247238962955179E-2</v>
      </c>
      <c r="W408" s="50">
        <f t="shared" si="326"/>
        <v>5.7096885328092907E-2</v>
      </c>
      <c r="X408" s="50">
        <f t="shared" si="326"/>
        <v>6.1739938045350239E-2</v>
      </c>
      <c r="Y408" s="50">
        <f t="shared" si="326"/>
        <v>5.7231881517227232E-2</v>
      </c>
      <c r="Z408" s="50">
        <f t="shared" si="326"/>
        <v>5.0129255438435008E-2</v>
      </c>
      <c r="AA408" s="50">
        <f t="shared" si="326"/>
        <v>4.1010488221716553E-2</v>
      </c>
      <c r="AB408" s="50">
        <f t="shared" si="326"/>
        <v>3.34430625326523E-2</v>
      </c>
      <c r="AC408" s="8">
        <f>+SUM(E408:AB408)*D408</f>
        <v>21.000000000000004</v>
      </c>
    </row>
    <row r="409" spans="2:29">
      <c r="B409" s="16"/>
      <c r="C409" s="8" t="s">
        <v>46</v>
      </c>
      <c r="D409" s="8">
        <v>4</v>
      </c>
      <c r="E409" s="50">
        <f t="shared" ref="E409:AB409" si="327">+E349</f>
        <v>3.0659473205105158E-2</v>
      </c>
      <c r="F409" s="50">
        <f t="shared" si="327"/>
        <v>2.8600001140869122E-2</v>
      </c>
      <c r="G409" s="50">
        <f t="shared" si="327"/>
        <v>2.7683858575034276E-2</v>
      </c>
      <c r="H409" s="50">
        <f t="shared" si="327"/>
        <v>2.7537802139610414E-2</v>
      </c>
      <c r="I409" s="50">
        <f t="shared" si="327"/>
        <v>2.8782539770184416E-2</v>
      </c>
      <c r="J409" s="50">
        <f t="shared" si="327"/>
        <v>3.2241585579716119E-2</v>
      </c>
      <c r="K409" s="50">
        <f t="shared" si="327"/>
        <v>3.645312931015221E-2</v>
      </c>
      <c r="L409" s="50">
        <f t="shared" si="327"/>
        <v>3.9012639181609042E-2</v>
      </c>
      <c r="M409" s="50">
        <f t="shared" si="327"/>
        <v>4.1549207589560662E-2</v>
      </c>
      <c r="N409" s="50">
        <f t="shared" si="327"/>
        <v>4.3042516751632572E-2</v>
      </c>
      <c r="O409" s="50">
        <f t="shared" si="327"/>
        <v>4.4973693586955334E-2</v>
      </c>
      <c r="P409" s="50">
        <f t="shared" si="327"/>
        <v>4.6808021710202923E-2</v>
      </c>
      <c r="Q409" s="50">
        <f t="shared" si="327"/>
        <v>4.6383383047344962E-2</v>
      </c>
      <c r="R409" s="50">
        <f t="shared" si="327"/>
        <v>4.4751654806610461E-2</v>
      </c>
      <c r="S409" s="50">
        <f t="shared" si="327"/>
        <v>4.4013077558728637E-2</v>
      </c>
      <c r="T409" s="50">
        <f t="shared" si="327"/>
        <v>4.428856091631931E-2</v>
      </c>
      <c r="U409" s="50">
        <f t="shared" si="327"/>
        <v>4.49735778579251E-2</v>
      </c>
      <c r="V409" s="50">
        <f t="shared" si="327"/>
        <v>4.6933206789217301E-2</v>
      </c>
      <c r="W409" s="50">
        <f t="shared" si="327"/>
        <v>5.6210586428141023E-2</v>
      </c>
      <c r="X409" s="50">
        <f t="shared" si="327"/>
        <v>6.1205656691958259E-2</v>
      </c>
      <c r="Y409" s="50">
        <f t="shared" si="327"/>
        <v>5.7018442088769522E-2</v>
      </c>
      <c r="Z409" s="50">
        <f t="shared" si="327"/>
        <v>4.9896672365740725E-2</v>
      </c>
      <c r="AA409" s="50">
        <f t="shared" si="327"/>
        <v>4.1622868086918119E-2</v>
      </c>
      <c r="AB409" s="50">
        <f t="shared" si="327"/>
        <v>3.5357844821693719E-2</v>
      </c>
      <c r="AC409" s="8">
        <f t="shared" ref="AC409:AC411" si="328">+SUM(E409:AB409)*D409</f>
        <v>3.9999999999999969</v>
      </c>
    </row>
    <row r="410" spans="2:29">
      <c r="B410" s="16"/>
      <c r="C410" s="8" t="s">
        <v>47</v>
      </c>
      <c r="D410" s="8">
        <v>4</v>
      </c>
      <c r="E410" s="50">
        <f t="shared" ref="E410:AB410" si="329">+E350</f>
        <v>3.3281514565353124E-2</v>
      </c>
      <c r="F410" s="50">
        <f t="shared" si="329"/>
        <v>3.1140043873712407E-2</v>
      </c>
      <c r="G410" s="50">
        <f t="shared" si="329"/>
        <v>2.984335106750436E-2</v>
      </c>
      <c r="H410" s="50">
        <f t="shared" si="329"/>
        <v>2.9286927979133532E-2</v>
      </c>
      <c r="I410" s="50">
        <f t="shared" si="329"/>
        <v>2.9138028999542646E-2</v>
      </c>
      <c r="J410" s="50">
        <f t="shared" si="329"/>
        <v>3.0942883559119717E-2</v>
      </c>
      <c r="K410" s="50">
        <f t="shared" si="329"/>
        <v>3.4432484834348992E-2</v>
      </c>
      <c r="L410" s="50">
        <f t="shared" si="329"/>
        <v>3.8305304424032266E-2</v>
      </c>
      <c r="M410" s="50">
        <f t="shared" si="329"/>
        <v>4.1103790742913066E-2</v>
      </c>
      <c r="N410" s="50">
        <f t="shared" si="329"/>
        <v>4.2608444243851212E-2</v>
      </c>
      <c r="O410" s="50">
        <f t="shared" si="329"/>
        <v>4.3914681848814308E-2</v>
      </c>
      <c r="P410" s="50">
        <f t="shared" si="329"/>
        <v>4.5729867165388009E-2</v>
      </c>
      <c r="Q410" s="50">
        <f t="shared" si="329"/>
        <v>4.5741487779353565E-2</v>
      </c>
      <c r="R410" s="50">
        <f t="shared" si="329"/>
        <v>4.4277060725657284E-2</v>
      </c>
      <c r="S410" s="50">
        <f t="shared" si="329"/>
        <v>4.3144199391556254E-2</v>
      </c>
      <c r="T410" s="50">
        <f t="shared" si="329"/>
        <v>4.3279567369281124E-2</v>
      </c>
      <c r="U410" s="50">
        <f t="shared" si="329"/>
        <v>4.4109954506885138E-2</v>
      </c>
      <c r="V410" s="50">
        <f t="shared" si="329"/>
        <v>4.6298728840315946E-2</v>
      </c>
      <c r="W410" s="50">
        <f t="shared" si="329"/>
        <v>5.6176649878816001E-2</v>
      </c>
      <c r="X410" s="50">
        <f t="shared" si="329"/>
        <v>6.2194705000087863E-2</v>
      </c>
      <c r="Y410" s="50">
        <f t="shared" si="329"/>
        <v>5.7928891294023718E-2</v>
      </c>
      <c r="Z410" s="50">
        <f t="shared" si="329"/>
        <v>5.019499221712586E-2</v>
      </c>
      <c r="AA410" s="50">
        <f t="shared" si="329"/>
        <v>4.1853093029906328E-2</v>
      </c>
      <c r="AB410" s="50">
        <f t="shared" si="329"/>
        <v>3.507334666327714E-2</v>
      </c>
      <c r="AC410" s="8">
        <f t="shared" si="328"/>
        <v>3.9999999999999991</v>
      </c>
    </row>
    <row r="411" spans="2:29">
      <c r="B411" s="16"/>
      <c r="C411" s="8" t="s">
        <v>48</v>
      </c>
      <c r="D411" s="8">
        <v>2</v>
      </c>
      <c r="E411" s="50">
        <f t="shared" ref="E411:AB411" si="330">+E351</f>
        <v>3.367503361886829E-2</v>
      </c>
      <c r="F411" s="50">
        <f t="shared" si="330"/>
        <v>3.1245692535415936E-2</v>
      </c>
      <c r="G411" s="50">
        <f t="shared" si="330"/>
        <v>2.9861746203171599E-2</v>
      </c>
      <c r="H411" s="50">
        <f t="shared" si="330"/>
        <v>2.9235019370742008E-2</v>
      </c>
      <c r="I411" s="50">
        <f t="shared" si="330"/>
        <v>3.0186379118294998E-2</v>
      </c>
      <c r="J411" s="50">
        <f t="shared" si="330"/>
        <v>3.3123682717801174E-2</v>
      </c>
      <c r="K411" s="50">
        <f t="shared" si="330"/>
        <v>3.5563630818173868E-2</v>
      </c>
      <c r="L411" s="50">
        <f t="shared" si="330"/>
        <v>3.7375437025807548E-2</v>
      </c>
      <c r="M411" s="50">
        <f t="shared" si="330"/>
        <v>3.9557895894381336E-2</v>
      </c>
      <c r="N411" s="50">
        <f t="shared" si="330"/>
        <v>4.1330002492198488E-2</v>
      </c>
      <c r="O411" s="50">
        <f t="shared" si="330"/>
        <v>4.3273465010057272E-2</v>
      </c>
      <c r="P411" s="50">
        <f t="shared" si="330"/>
        <v>4.5278417057592932E-2</v>
      </c>
      <c r="Q411" s="50">
        <f t="shared" si="330"/>
        <v>4.5765189585786785E-2</v>
      </c>
      <c r="R411" s="50">
        <f t="shared" si="330"/>
        <v>4.421428774797561E-2</v>
      </c>
      <c r="S411" s="50">
        <f t="shared" si="330"/>
        <v>4.3245429527174986E-2</v>
      </c>
      <c r="T411" s="50">
        <f t="shared" si="330"/>
        <v>4.3554999005074702E-2</v>
      </c>
      <c r="U411" s="50">
        <f t="shared" si="330"/>
        <v>4.4435510161992771E-2</v>
      </c>
      <c r="V411" s="50">
        <f t="shared" si="330"/>
        <v>4.717219114348542E-2</v>
      </c>
      <c r="W411" s="50">
        <f t="shared" si="330"/>
        <v>5.6899741232983039E-2</v>
      </c>
      <c r="X411" s="50">
        <f t="shared" si="330"/>
        <v>6.1986738769463187E-2</v>
      </c>
      <c r="Y411" s="50">
        <f t="shared" si="330"/>
        <v>5.7208700429979269E-2</v>
      </c>
      <c r="Z411" s="50">
        <f t="shared" si="330"/>
        <v>4.9339560702577757E-2</v>
      </c>
      <c r="AA411" s="50">
        <f t="shared" si="330"/>
        <v>4.1368944501432053E-2</v>
      </c>
      <c r="AB411" s="50">
        <f t="shared" si="330"/>
        <v>3.5102305329568817E-2</v>
      </c>
      <c r="AC411" s="8">
        <f t="shared" si="328"/>
        <v>1.9999999999999996</v>
      </c>
    </row>
    <row r="412" spans="2:29">
      <c r="B412" s="12"/>
      <c r="C412" s="12" t="s">
        <v>15</v>
      </c>
      <c r="D412" s="12">
        <f>+SUM(D408:D411)</f>
        <v>31</v>
      </c>
      <c r="E412" s="19">
        <f>+SUMPRODUCT(E408:E411,$D408:$D411)</f>
        <v>0.93970041794117598</v>
      </c>
      <c r="F412" s="19">
        <f>+SUMPRODUCT(F408:F411,$D408:$D411)</f>
        <v>0.88299848210598197</v>
      </c>
      <c r="G412" s="19">
        <f t="shared" ref="G412:AB412" si="331">+SUMPRODUCT(G408:G411,$D408:$D411)</f>
        <v>0.85232072032812478</v>
      </c>
      <c r="H412" s="19">
        <f t="shared" si="331"/>
        <v>0.84829573596419738</v>
      </c>
      <c r="I412" s="19">
        <f t="shared" si="331"/>
        <v>0.90390631204323935</v>
      </c>
      <c r="J412" s="19">
        <f t="shared" si="331"/>
        <v>1.0443345629819747</v>
      </c>
      <c r="K412" s="19">
        <f t="shared" si="331"/>
        <v>1.1692394585131909</v>
      </c>
      <c r="L412" s="19">
        <f t="shared" si="331"/>
        <v>1.215174474736755</v>
      </c>
      <c r="M412" s="19">
        <f t="shared" si="331"/>
        <v>1.2698360888260669</v>
      </c>
      <c r="N412" s="19">
        <f t="shared" si="331"/>
        <v>1.3107691699084727</v>
      </c>
      <c r="O412" s="19">
        <f t="shared" si="331"/>
        <v>1.3692583054954905</v>
      </c>
      <c r="P412" s="19">
        <f t="shared" si="331"/>
        <v>1.4328995354134009</v>
      </c>
      <c r="Q412" s="19">
        <f t="shared" si="331"/>
        <v>1.4140992576205618</v>
      </c>
      <c r="R412" s="19">
        <f t="shared" si="331"/>
        <v>1.3660177361952903</v>
      </c>
      <c r="S412" s="19">
        <f t="shared" si="331"/>
        <v>1.3616086059729351</v>
      </c>
      <c r="T412" s="19">
        <f t="shared" si="331"/>
        <v>1.3863395969149375</v>
      </c>
      <c r="U412" s="19">
        <f t="shared" si="331"/>
        <v>1.4163086870602422</v>
      </c>
      <c r="V412" s="19">
        <f t="shared" si="331"/>
        <v>1.4804641430271626</v>
      </c>
      <c r="W412" s="19">
        <f t="shared" si="331"/>
        <v>1.7623830195837451</v>
      </c>
      <c r="X412" s="19">
        <f t="shared" si="331"/>
        <v>1.914113623259466</v>
      </c>
      <c r="Y412" s="19">
        <f t="shared" si="331"/>
        <v>1.7760762462529034</v>
      </c>
      <c r="Z412" s="19">
        <f t="shared" si="331"/>
        <v>1.5517601439437572</v>
      </c>
      <c r="AA412" s="19">
        <f t="shared" si="331"/>
        <v>1.2778619861262095</v>
      </c>
      <c r="AB412" s="19">
        <f t="shared" si="331"/>
        <v>1.0542336897847193</v>
      </c>
      <c r="AC412" s="12">
        <f>+SUM(E412:AB412)</f>
        <v>30.999999999999996</v>
      </c>
    </row>
    <row r="413" spans="2:29">
      <c r="B413" s="15">
        <f>+EDATE(B408,1)</f>
        <v>47362</v>
      </c>
      <c r="C413" s="8" t="s">
        <v>45</v>
      </c>
      <c r="D413" s="8">
        <v>20</v>
      </c>
      <c r="E413" s="50">
        <f t="shared" ref="E413:AB413" si="332">+E353</f>
        <v>2.9361257124838391E-2</v>
      </c>
      <c r="F413" s="50">
        <f t="shared" si="332"/>
        <v>2.7692710332229715E-2</v>
      </c>
      <c r="G413" s="50">
        <f t="shared" si="332"/>
        <v>2.6785161397696527E-2</v>
      </c>
      <c r="H413" s="50">
        <f t="shared" si="332"/>
        <v>2.6786989368939883E-2</v>
      </c>
      <c r="I413" s="50">
        <f t="shared" si="332"/>
        <v>2.9135775177511477E-2</v>
      </c>
      <c r="J413" s="50">
        <f t="shared" si="332"/>
        <v>3.4540443856715661E-2</v>
      </c>
      <c r="K413" s="50">
        <f t="shared" si="332"/>
        <v>3.8789035252325646E-2</v>
      </c>
      <c r="L413" s="50">
        <f t="shared" si="332"/>
        <v>3.957865839345593E-2</v>
      </c>
      <c r="M413" s="50">
        <f t="shared" si="332"/>
        <v>4.0957538271781398E-2</v>
      </c>
      <c r="N413" s="50">
        <f t="shared" si="332"/>
        <v>4.2166920044863825E-2</v>
      </c>
      <c r="O413" s="50">
        <f t="shared" si="332"/>
        <v>4.4150374939633218E-2</v>
      </c>
      <c r="P413" s="50">
        <f t="shared" si="332"/>
        <v>4.6294816466469102E-2</v>
      </c>
      <c r="Q413" s="50">
        <f t="shared" si="332"/>
        <v>4.5431875959152102E-2</v>
      </c>
      <c r="R413" s="50">
        <f t="shared" si="332"/>
        <v>4.3879728503346101E-2</v>
      </c>
      <c r="S413" s="50">
        <f t="shared" si="332"/>
        <v>4.4118506624640258E-2</v>
      </c>
      <c r="T413" s="50">
        <f t="shared" si="332"/>
        <v>4.5188432655351718E-2</v>
      </c>
      <c r="U413" s="50">
        <f t="shared" si="332"/>
        <v>4.624302558461979E-2</v>
      </c>
      <c r="V413" s="50">
        <f t="shared" si="332"/>
        <v>4.8247238962955179E-2</v>
      </c>
      <c r="W413" s="50">
        <f t="shared" si="332"/>
        <v>5.7096885328092907E-2</v>
      </c>
      <c r="X413" s="50">
        <f t="shared" si="332"/>
        <v>6.1739938045350239E-2</v>
      </c>
      <c r="Y413" s="50">
        <f t="shared" si="332"/>
        <v>5.7231881517227232E-2</v>
      </c>
      <c r="Z413" s="50">
        <f t="shared" si="332"/>
        <v>5.0129255438435008E-2</v>
      </c>
      <c r="AA413" s="50">
        <f t="shared" si="332"/>
        <v>4.1010488221716553E-2</v>
      </c>
      <c r="AB413" s="50">
        <f t="shared" si="332"/>
        <v>3.34430625326523E-2</v>
      </c>
      <c r="AC413" s="8">
        <f>+SUM(E413:AB413)*D413</f>
        <v>20.000000000000004</v>
      </c>
    </row>
    <row r="414" spans="2:29">
      <c r="B414" s="16"/>
      <c r="C414" s="8" t="s">
        <v>46</v>
      </c>
      <c r="D414" s="8">
        <v>5</v>
      </c>
      <c r="E414" s="50">
        <f t="shared" ref="E414:AB414" si="333">+E354</f>
        <v>3.0659473205105158E-2</v>
      </c>
      <c r="F414" s="50">
        <f t="shared" si="333"/>
        <v>2.8600001140869122E-2</v>
      </c>
      <c r="G414" s="50">
        <f t="shared" si="333"/>
        <v>2.7683858575034276E-2</v>
      </c>
      <c r="H414" s="50">
        <f t="shared" si="333"/>
        <v>2.7537802139610414E-2</v>
      </c>
      <c r="I414" s="50">
        <f t="shared" si="333"/>
        <v>2.8782539770184416E-2</v>
      </c>
      <c r="J414" s="50">
        <f t="shared" si="333"/>
        <v>3.2241585579716119E-2</v>
      </c>
      <c r="K414" s="50">
        <f t="shared" si="333"/>
        <v>3.645312931015221E-2</v>
      </c>
      <c r="L414" s="50">
        <f t="shared" si="333"/>
        <v>3.9012639181609042E-2</v>
      </c>
      <c r="M414" s="50">
        <f t="shared" si="333"/>
        <v>4.1549207589560662E-2</v>
      </c>
      <c r="N414" s="50">
        <f t="shared" si="333"/>
        <v>4.3042516751632572E-2</v>
      </c>
      <c r="O414" s="50">
        <f t="shared" si="333"/>
        <v>4.4973693586955334E-2</v>
      </c>
      <c r="P414" s="50">
        <f t="shared" si="333"/>
        <v>4.6808021710202923E-2</v>
      </c>
      <c r="Q414" s="50">
        <f t="shared" si="333"/>
        <v>4.6383383047344962E-2</v>
      </c>
      <c r="R414" s="50">
        <f t="shared" si="333"/>
        <v>4.4751654806610461E-2</v>
      </c>
      <c r="S414" s="50">
        <f t="shared" si="333"/>
        <v>4.4013077558728637E-2</v>
      </c>
      <c r="T414" s="50">
        <f t="shared" si="333"/>
        <v>4.428856091631931E-2</v>
      </c>
      <c r="U414" s="50">
        <f t="shared" si="333"/>
        <v>4.49735778579251E-2</v>
      </c>
      <c r="V414" s="50">
        <f t="shared" si="333"/>
        <v>4.6933206789217301E-2</v>
      </c>
      <c r="W414" s="50">
        <f t="shared" si="333"/>
        <v>5.6210586428141023E-2</v>
      </c>
      <c r="X414" s="50">
        <f t="shared" si="333"/>
        <v>6.1205656691958259E-2</v>
      </c>
      <c r="Y414" s="50">
        <f t="shared" si="333"/>
        <v>5.7018442088769522E-2</v>
      </c>
      <c r="Z414" s="50">
        <f t="shared" si="333"/>
        <v>4.9896672365740725E-2</v>
      </c>
      <c r="AA414" s="50">
        <f t="shared" si="333"/>
        <v>4.1622868086918119E-2</v>
      </c>
      <c r="AB414" s="50">
        <f t="shared" si="333"/>
        <v>3.5357844821693719E-2</v>
      </c>
      <c r="AC414" s="8">
        <f t="shared" ref="AC414:AC416" si="334">+SUM(E414:AB414)*D414</f>
        <v>4.9999999999999964</v>
      </c>
    </row>
    <row r="415" spans="2:29">
      <c r="B415" s="16"/>
      <c r="C415" s="8" t="s">
        <v>47</v>
      </c>
      <c r="D415" s="8">
        <v>5</v>
      </c>
      <c r="E415" s="50">
        <f t="shared" ref="E415:AB415" si="335">+E355</f>
        <v>3.3281514565353124E-2</v>
      </c>
      <c r="F415" s="50">
        <f t="shared" si="335"/>
        <v>3.1140043873712407E-2</v>
      </c>
      <c r="G415" s="50">
        <f t="shared" si="335"/>
        <v>2.984335106750436E-2</v>
      </c>
      <c r="H415" s="50">
        <f t="shared" si="335"/>
        <v>2.9286927979133532E-2</v>
      </c>
      <c r="I415" s="50">
        <f t="shared" si="335"/>
        <v>2.9138028999542646E-2</v>
      </c>
      <c r="J415" s="50">
        <f t="shared" si="335"/>
        <v>3.0942883559119717E-2</v>
      </c>
      <c r="K415" s="50">
        <f t="shared" si="335"/>
        <v>3.4432484834348992E-2</v>
      </c>
      <c r="L415" s="50">
        <f t="shared" si="335"/>
        <v>3.8305304424032266E-2</v>
      </c>
      <c r="M415" s="50">
        <f t="shared" si="335"/>
        <v>4.1103790742913066E-2</v>
      </c>
      <c r="N415" s="50">
        <f t="shared" si="335"/>
        <v>4.2608444243851212E-2</v>
      </c>
      <c r="O415" s="50">
        <f t="shared" si="335"/>
        <v>4.3914681848814308E-2</v>
      </c>
      <c r="P415" s="50">
        <f t="shared" si="335"/>
        <v>4.5729867165388009E-2</v>
      </c>
      <c r="Q415" s="50">
        <f t="shared" si="335"/>
        <v>4.5741487779353565E-2</v>
      </c>
      <c r="R415" s="50">
        <f t="shared" si="335"/>
        <v>4.4277060725657284E-2</v>
      </c>
      <c r="S415" s="50">
        <f t="shared" si="335"/>
        <v>4.3144199391556254E-2</v>
      </c>
      <c r="T415" s="50">
        <f t="shared" si="335"/>
        <v>4.3279567369281124E-2</v>
      </c>
      <c r="U415" s="50">
        <f t="shared" si="335"/>
        <v>4.4109954506885138E-2</v>
      </c>
      <c r="V415" s="50">
        <f t="shared" si="335"/>
        <v>4.6298728840315946E-2</v>
      </c>
      <c r="W415" s="50">
        <f t="shared" si="335"/>
        <v>5.6176649878816001E-2</v>
      </c>
      <c r="X415" s="50">
        <f t="shared" si="335"/>
        <v>6.2194705000087863E-2</v>
      </c>
      <c r="Y415" s="50">
        <f t="shared" si="335"/>
        <v>5.7928891294023718E-2</v>
      </c>
      <c r="Z415" s="50">
        <f t="shared" si="335"/>
        <v>5.019499221712586E-2</v>
      </c>
      <c r="AA415" s="50">
        <f t="shared" si="335"/>
        <v>4.1853093029906328E-2</v>
      </c>
      <c r="AB415" s="50">
        <f t="shared" si="335"/>
        <v>3.507334666327714E-2</v>
      </c>
      <c r="AC415" s="8">
        <f t="shared" si="334"/>
        <v>4.9999999999999991</v>
      </c>
    </row>
    <row r="416" spans="2:29">
      <c r="B416" s="16"/>
      <c r="C416" s="8" t="s">
        <v>48</v>
      </c>
      <c r="D416" s="8">
        <v>0</v>
      </c>
      <c r="E416" s="50">
        <f t="shared" ref="E416:AB416" si="336">+E356</f>
        <v>3.367503361886829E-2</v>
      </c>
      <c r="F416" s="50">
        <f t="shared" si="336"/>
        <v>3.1245692535415936E-2</v>
      </c>
      <c r="G416" s="50">
        <f t="shared" si="336"/>
        <v>2.9861746203171599E-2</v>
      </c>
      <c r="H416" s="50">
        <f t="shared" si="336"/>
        <v>2.9235019370742008E-2</v>
      </c>
      <c r="I416" s="50">
        <f t="shared" si="336"/>
        <v>3.0186379118294998E-2</v>
      </c>
      <c r="J416" s="50">
        <f t="shared" si="336"/>
        <v>3.3123682717801174E-2</v>
      </c>
      <c r="K416" s="50">
        <f t="shared" si="336"/>
        <v>3.5563630818173868E-2</v>
      </c>
      <c r="L416" s="50">
        <f t="shared" si="336"/>
        <v>3.7375437025807548E-2</v>
      </c>
      <c r="M416" s="50">
        <f t="shared" si="336"/>
        <v>3.9557895894381336E-2</v>
      </c>
      <c r="N416" s="50">
        <f t="shared" si="336"/>
        <v>4.1330002492198488E-2</v>
      </c>
      <c r="O416" s="50">
        <f t="shared" si="336"/>
        <v>4.3273465010057272E-2</v>
      </c>
      <c r="P416" s="50">
        <f t="shared" si="336"/>
        <v>4.5278417057592932E-2</v>
      </c>
      <c r="Q416" s="50">
        <f t="shared" si="336"/>
        <v>4.5765189585786785E-2</v>
      </c>
      <c r="R416" s="50">
        <f t="shared" si="336"/>
        <v>4.421428774797561E-2</v>
      </c>
      <c r="S416" s="50">
        <f t="shared" si="336"/>
        <v>4.3245429527174986E-2</v>
      </c>
      <c r="T416" s="50">
        <f t="shared" si="336"/>
        <v>4.3554999005074702E-2</v>
      </c>
      <c r="U416" s="50">
        <f t="shared" si="336"/>
        <v>4.4435510161992771E-2</v>
      </c>
      <c r="V416" s="50">
        <f t="shared" si="336"/>
        <v>4.717219114348542E-2</v>
      </c>
      <c r="W416" s="50">
        <f t="shared" si="336"/>
        <v>5.6899741232983039E-2</v>
      </c>
      <c r="X416" s="50">
        <f t="shared" si="336"/>
        <v>6.1986738769463187E-2</v>
      </c>
      <c r="Y416" s="50">
        <f t="shared" si="336"/>
        <v>5.7208700429979269E-2</v>
      </c>
      <c r="Z416" s="50">
        <f t="shared" si="336"/>
        <v>4.9339560702577757E-2</v>
      </c>
      <c r="AA416" s="50">
        <f t="shared" si="336"/>
        <v>4.1368944501432053E-2</v>
      </c>
      <c r="AB416" s="50">
        <f t="shared" si="336"/>
        <v>3.5102305329568817E-2</v>
      </c>
      <c r="AC416" s="8">
        <f t="shared" si="334"/>
        <v>0</v>
      </c>
    </row>
    <row r="417" spans="2:29">
      <c r="B417" s="12"/>
      <c r="C417" s="12" t="s">
        <v>15</v>
      </c>
      <c r="D417" s="12">
        <f>+SUM(D413:D416)</f>
        <v>30</v>
      </c>
      <c r="E417" s="19">
        <f>+SUMPRODUCT(E413:E416,$D413:$D416)</f>
        <v>0.90693008134905928</v>
      </c>
      <c r="F417" s="19">
        <f>+SUMPRODUCT(F413:F416,$D413:$D416)</f>
        <v>0.85255443171750189</v>
      </c>
      <c r="G417" s="19">
        <f t="shared" ref="G417:AB417" si="337">+SUMPRODUCT(G413:G416,$D413:$D416)</f>
        <v>0.82333927616662372</v>
      </c>
      <c r="H417" s="19">
        <f t="shared" si="337"/>
        <v>0.81986343797251737</v>
      </c>
      <c r="I417" s="19">
        <f t="shared" si="337"/>
        <v>0.87231834739886482</v>
      </c>
      <c r="J417" s="19">
        <f t="shared" si="337"/>
        <v>1.0067312228284924</v>
      </c>
      <c r="K417" s="19">
        <f t="shared" si="337"/>
        <v>1.1302087757690189</v>
      </c>
      <c r="L417" s="19">
        <f t="shared" si="337"/>
        <v>1.1781628858973252</v>
      </c>
      <c r="M417" s="19">
        <f t="shared" si="337"/>
        <v>1.2324157570979966</v>
      </c>
      <c r="N417" s="19">
        <f t="shared" si="337"/>
        <v>1.2715932058746953</v>
      </c>
      <c r="O417" s="19">
        <f t="shared" si="337"/>
        <v>1.3274493759715127</v>
      </c>
      <c r="P417" s="19">
        <f t="shared" si="337"/>
        <v>1.3885857737073368</v>
      </c>
      <c r="Q417" s="19">
        <f t="shared" si="337"/>
        <v>1.3692618733165347</v>
      </c>
      <c r="R417" s="19">
        <f t="shared" si="337"/>
        <v>1.3227381477282607</v>
      </c>
      <c r="S417" s="19">
        <f t="shared" si="337"/>
        <v>1.3181565172442298</v>
      </c>
      <c r="T417" s="19">
        <f t="shared" si="337"/>
        <v>1.3416092945350366</v>
      </c>
      <c r="U417" s="19">
        <f t="shared" si="337"/>
        <v>1.3702781735164469</v>
      </c>
      <c r="V417" s="19">
        <f t="shared" si="337"/>
        <v>1.4311044574067699</v>
      </c>
      <c r="W417" s="19">
        <f t="shared" si="337"/>
        <v>1.7038738880966433</v>
      </c>
      <c r="X417" s="19">
        <f t="shared" si="337"/>
        <v>1.8518005693672355</v>
      </c>
      <c r="Y417" s="19">
        <f t="shared" si="337"/>
        <v>1.7193742972585109</v>
      </c>
      <c r="Z417" s="19">
        <f t="shared" si="337"/>
        <v>1.503043431683033</v>
      </c>
      <c r="AA417" s="19">
        <f t="shared" si="337"/>
        <v>1.2375895700184532</v>
      </c>
      <c r="AB417" s="19">
        <f t="shared" si="337"/>
        <v>1.0210172080779003</v>
      </c>
      <c r="AC417" s="12">
        <f>+SUM(E417:AB417)</f>
        <v>30.000000000000004</v>
      </c>
    </row>
    <row r="418" spans="2:29">
      <c r="B418" s="15">
        <f>+EDATE(B413,1)</f>
        <v>47392</v>
      </c>
      <c r="C418" s="8" t="s">
        <v>45</v>
      </c>
      <c r="D418" s="8">
        <v>22</v>
      </c>
      <c r="E418" s="50">
        <f t="shared" ref="E418:AB418" si="338">+E358</f>
        <v>2.9361257124838391E-2</v>
      </c>
      <c r="F418" s="50">
        <f t="shared" si="338"/>
        <v>2.7692710332229715E-2</v>
      </c>
      <c r="G418" s="50">
        <f t="shared" si="338"/>
        <v>2.6785161397696527E-2</v>
      </c>
      <c r="H418" s="50">
        <f t="shared" si="338"/>
        <v>2.6786989368939883E-2</v>
      </c>
      <c r="I418" s="50">
        <f t="shared" si="338"/>
        <v>2.9135775177511477E-2</v>
      </c>
      <c r="J418" s="50">
        <f t="shared" si="338"/>
        <v>3.4540443856715661E-2</v>
      </c>
      <c r="K418" s="50">
        <f t="shared" si="338"/>
        <v>3.8789035252325646E-2</v>
      </c>
      <c r="L418" s="50">
        <f t="shared" si="338"/>
        <v>3.957865839345593E-2</v>
      </c>
      <c r="M418" s="50">
        <f t="shared" si="338"/>
        <v>4.0957538271781398E-2</v>
      </c>
      <c r="N418" s="50">
        <f t="shared" si="338"/>
        <v>4.2166920044863825E-2</v>
      </c>
      <c r="O418" s="50">
        <f t="shared" si="338"/>
        <v>4.4150374939633218E-2</v>
      </c>
      <c r="P418" s="50">
        <f t="shared" si="338"/>
        <v>4.6294816466469102E-2</v>
      </c>
      <c r="Q418" s="50">
        <f t="shared" si="338"/>
        <v>4.5431875959152102E-2</v>
      </c>
      <c r="R418" s="50">
        <f t="shared" si="338"/>
        <v>4.3879728503346101E-2</v>
      </c>
      <c r="S418" s="50">
        <f t="shared" si="338"/>
        <v>4.4118506624640258E-2</v>
      </c>
      <c r="T418" s="50">
        <f t="shared" si="338"/>
        <v>4.5188432655351718E-2</v>
      </c>
      <c r="U418" s="50">
        <f t="shared" si="338"/>
        <v>4.624302558461979E-2</v>
      </c>
      <c r="V418" s="50">
        <f t="shared" si="338"/>
        <v>4.8247238962955179E-2</v>
      </c>
      <c r="W418" s="50">
        <f t="shared" si="338"/>
        <v>5.7096885328092907E-2</v>
      </c>
      <c r="X418" s="50">
        <f t="shared" si="338"/>
        <v>6.1739938045350239E-2</v>
      </c>
      <c r="Y418" s="50">
        <f t="shared" si="338"/>
        <v>5.7231881517227232E-2</v>
      </c>
      <c r="Z418" s="50">
        <f t="shared" si="338"/>
        <v>5.0129255438435008E-2</v>
      </c>
      <c r="AA418" s="50">
        <f t="shared" si="338"/>
        <v>4.1010488221716553E-2</v>
      </c>
      <c r="AB418" s="50">
        <f t="shared" si="338"/>
        <v>3.34430625326523E-2</v>
      </c>
      <c r="AC418" s="8">
        <f>+SUM(E418:AB418)*D418</f>
        <v>22.000000000000004</v>
      </c>
    </row>
    <row r="419" spans="2:29">
      <c r="B419" s="16"/>
      <c r="C419" s="8" t="s">
        <v>46</v>
      </c>
      <c r="D419" s="8">
        <v>4</v>
      </c>
      <c r="E419" s="50">
        <f t="shared" ref="E419:AB419" si="339">+E359</f>
        <v>3.0659473205105158E-2</v>
      </c>
      <c r="F419" s="50">
        <f t="shared" si="339"/>
        <v>2.8600001140869122E-2</v>
      </c>
      <c r="G419" s="50">
        <f t="shared" si="339"/>
        <v>2.7683858575034276E-2</v>
      </c>
      <c r="H419" s="50">
        <f t="shared" si="339"/>
        <v>2.7537802139610414E-2</v>
      </c>
      <c r="I419" s="50">
        <f t="shared" si="339"/>
        <v>2.8782539770184416E-2</v>
      </c>
      <c r="J419" s="50">
        <f t="shared" si="339"/>
        <v>3.2241585579716119E-2</v>
      </c>
      <c r="K419" s="50">
        <f t="shared" si="339"/>
        <v>3.645312931015221E-2</v>
      </c>
      <c r="L419" s="50">
        <f t="shared" si="339"/>
        <v>3.9012639181609042E-2</v>
      </c>
      <c r="M419" s="50">
        <f t="shared" si="339"/>
        <v>4.1549207589560662E-2</v>
      </c>
      <c r="N419" s="50">
        <f t="shared" si="339"/>
        <v>4.3042516751632572E-2</v>
      </c>
      <c r="O419" s="50">
        <f t="shared" si="339"/>
        <v>4.4973693586955334E-2</v>
      </c>
      <c r="P419" s="50">
        <f t="shared" si="339"/>
        <v>4.6808021710202923E-2</v>
      </c>
      <c r="Q419" s="50">
        <f t="shared" si="339"/>
        <v>4.6383383047344962E-2</v>
      </c>
      <c r="R419" s="50">
        <f t="shared" si="339"/>
        <v>4.4751654806610461E-2</v>
      </c>
      <c r="S419" s="50">
        <f t="shared" si="339"/>
        <v>4.4013077558728637E-2</v>
      </c>
      <c r="T419" s="50">
        <f t="shared" si="339"/>
        <v>4.428856091631931E-2</v>
      </c>
      <c r="U419" s="50">
        <f t="shared" si="339"/>
        <v>4.49735778579251E-2</v>
      </c>
      <c r="V419" s="50">
        <f t="shared" si="339"/>
        <v>4.6933206789217301E-2</v>
      </c>
      <c r="W419" s="50">
        <f t="shared" si="339"/>
        <v>5.6210586428141023E-2</v>
      </c>
      <c r="X419" s="50">
        <f t="shared" si="339"/>
        <v>6.1205656691958259E-2</v>
      </c>
      <c r="Y419" s="50">
        <f t="shared" si="339"/>
        <v>5.7018442088769522E-2</v>
      </c>
      <c r="Z419" s="50">
        <f t="shared" si="339"/>
        <v>4.9896672365740725E-2</v>
      </c>
      <c r="AA419" s="50">
        <f t="shared" si="339"/>
        <v>4.1622868086918119E-2</v>
      </c>
      <c r="AB419" s="50">
        <f t="shared" si="339"/>
        <v>3.5357844821693719E-2</v>
      </c>
      <c r="AC419" s="8">
        <f t="shared" ref="AC419:AC421" si="340">+SUM(E419:AB419)*D419</f>
        <v>3.9999999999999969</v>
      </c>
    </row>
    <row r="420" spans="2:29">
      <c r="B420" s="16"/>
      <c r="C420" s="8" t="s">
        <v>47</v>
      </c>
      <c r="D420" s="8">
        <v>4</v>
      </c>
      <c r="E420" s="50">
        <f t="shared" ref="E420:AB420" si="341">+E360</f>
        <v>3.3281514565353124E-2</v>
      </c>
      <c r="F420" s="50">
        <f t="shared" si="341"/>
        <v>3.1140043873712407E-2</v>
      </c>
      <c r="G420" s="50">
        <f t="shared" si="341"/>
        <v>2.984335106750436E-2</v>
      </c>
      <c r="H420" s="50">
        <f t="shared" si="341"/>
        <v>2.9286927979133532E-2</v>
      </c>
      <c r="I420" s="50">
        <f t="shared" si="341"/>
        <v>2.9138028999542646E-2</v>
      </c>
      <c r="J420" s="50">
        <f t="shared" si="341"/>
        <v>3.0942883559119717E-2</v>
      </c>
      <c r="K420" s="50">
        <f t="shared" si="341"/>
        <v>3.4432484834348992E-2</v>
      </c>
      <c r="L420" s="50">
        <f t="shared" si="341"/>
        <v>3.8305304424032266E-2</v>
      </c>
      <c r="M420" s="50">
        <f t="shared" si="341"/>
        <v>4.1103790742913066E-2</v>
      </c>
      <c r="N420" s="50">
        <f t="shared" si="341"/>
        <v>4.2608444243851212E-2</v>
      </c>
      <c r="O420" s="50">
        <f t="shared" si="341"/>
        <v>4.3914681848814308E-2</v>
      </c>
      <c r="P420" s="50">
        <f t="shared" si="341"/>
        <v>4.5729867165388009E-2</v>
      </c>
      <c r="Q420" s="50">
        <f t="shared" si="341"/>
        <v>4.5741487779353565E-2</v>
      </c>
      <c r="R420" s="50">
        <f t="shared" si="341"/>
        <v>4.4277060725657284E-2</v>
      </c>
      <c r="S420" s="50">
        <f t="shared" si="341"/>
        <v>4.3144199391556254E-2</v>
      </c>
      <c r="T420" s="50">
        <f t="shared" si="341"/>
        <v>4.3279567369281124E-2</v>
      </c>
      <c r="U420" s="50">
        <f t="shared" si="341"/>
        <v>4.4109954506885138E-2</v>
      </c>
      <c r="V420" s="50">
        <f t="shared" si="341"/>
        <v>4.6298728840315946E-2</v>
      </c>
      <c r="W420" s="50">
        <f t="shared" si="341"/>
        <v>5.6176649878816001E-2</v>
      </c>
      <c r="X420" s="50">
        <f t="shared" si="341"/>
        <v>6.2194705000087863E-2</v>
      </c>
      <c r="Y420" s="50">
        <f t="shared" si="341"/>
        <v>5.7928891294023718E-2</v>
      </c>
      <c r="Z420" s="50">
        <f t="shared" si="341"/>
        <v>5.019499221712586E-2</v>
      </c>
      <c r="AA420" s="50">
        <f t="shared" si="341"/>
        <v>4.1853093029906328E-2</v>
      </c>
      <c r="AB420" s="50">
        <f t="shared" si="341"/>
        <v>3.507334666327714E-2</v>
      </c>
      <c r="AC420" s="8">
        <f t="shared" si="340"/>
        <v>3.9999999999999991</v>
      </c>
    </row>
    <row r="421" spans="2:29">
      <c r="B421" s="16"/>
      <c r="C421" s="8" t="s">
        <v>48</v>
      </c>
      <c r="D421" s="8">
        <v>1</v>
      </c>
      <c r="E421" s="50">
        <f t="shared" ref="E421:AB421" si="342">+E361</f>
        <v>3.367503361886829E-2</v>
      </c>
      <c r="F421" s="50">
        <f t="shared" si="342"/>
        <v>3.1245692535415936E-2</v>
      </c>
      <c r="G421" s="50">
        <f t="shared" si="342"/>
        <v>2.9861746203171599E-2</v>
      </c>
      <c r="H421" s="50">
        <f t="shared" si="342"/>
        <v>2.9235019370742008E-2</v>
      </c>
      <c r="I421" s="50">
        <f t="shared" si="342"/>
        <v>3.0186379118294998E-2</v>
      </c>
      <c r="J421" s="50">
        <f t="shared" si="342"/>
        <v>3.3123682717801174E-2</v>
      </c>
      <c r="K421" s="50">
        <f t="shared" si="342"/>
        <v>3.5563630818173868E-2</v>
      </c>
      <c r="L421" s="50">
        <f t="shared" si="342"/>
        <v>3.7375437025807548E-2</v>
      </c>
      <c r="M421" s="50">
        <f t="shared" si="342"/>
        <v>3.9557895894381336E-2</v>
      </c>
      <c r="N421" s="50">
        <f t="shared" si="342"/>
        <v>4.1330002492198488E-2</v>
      </c>
      <c r="O421" s="50">
        <f t="shared" si="342"/>
        <v>4.3273465010057272E-2</v>
      </c>
      <c r="P421" s="50">
        <f t="shared" si="342"/>
        <v>4.5278417057592932E-2</v>
      </c>
      <c r="Q421" s="50">
        <f t="shared" si="342"/>
        <v>4.5765189585786785E-2</v>
      </c>
      <c r="R421" s="50">
        <f t="shared" si="342"/>
        <v>4.421428774797561E-2</v>
      </c>
      <c r="S421" s="50">
        <f t="shared" si="342"/>
        <v>4.3245429527174986E-2</v>
      </c>
      <c r="T421" s="50">
        <f t="shared" si="342"/>
        <v>4.3554999005074702E-2</v>
      </c>
      <c r="U421" s="50">
        <f t="shared" si="342"/>
        <v>4.4435510161992771E-2</v>
      </c>
      <c r="V421" s="50">
        <f t="shared" si="342"/>
        <v>4.717219114348542E-2</v>
      </c>
      <c r="W421" s="50">
        <f t="shared" si="342"/>
        <v>5.6899741232983039E-2</v>
      </c>
      <c r="X421" s="50">
        <f t="shared" si="342"/>
        <v>6.1986738769463187E-2</v>
      </c>
      <c r="Y421" s="50">
        <f t="shared" si="342"/>
        <v>5.7208700429979269E-2</v>
      </c>
      <c r="Z421" s="50">
        <f t="shared" si="342"/>
        <v>4.9339560702577757E-2</v>
      </c>
      <c r="AA421" s="50">
        <f t="shared" si="342"/>
        <v>4.1368944501432053E-2</v>
      </c>
      <c r="AB421" s="50">
        <f t="shared" si="342"/>
        <v>3.5102305329568817E-2</v>
      </c>
      <c r="AC421" s="8">
        <f t="shared" si="340"/>
        <v>0.99999999999999978</v>
      </c>
    </row>
    <row r="422" spans="2:29">
      <c r="B422" s="12"/>
      <c r="C422" s="12" t="s">
        <v>15</v>
      </c>
      <c r="D422" s="12">
        <f>+SUM(D418:D421)</f>
        <v>31</v>
      </c>
      <c r="E422" s="19">
        <f>+SUMPRODUCT(E418:E421,$D418:$D421)</f>
        <v>0.93538664144714589</v>
      </c>
      <c r="F422" s="19">
        <f>+SUMPRODUCT(F418:F421,$D418:$D421)</f>
        <v>0.87944549990279586</v>
      </c>
      <c r="G422" s="19">
        <f t="shared" ref="G422:AB422" si="343">+SUMPRODUCT(G418:G421,$D418:$D421)</f>
        <v>0.84924413552264977</v>
      </c>
      <c r="H422" s="19">
        <f t="shared" si="343"/>
        <v>0.84584770596239522</v>
      </c>
      <c r="I422" s="19">
        <f t="shared" si="343"/>
        <v>0.90285570810245575</v>
      </c>
      <c r="J422" s="19">
        <f t="shared" si="343"/>
        <v>1.0457513241208891</v>
      </c>
      <c r="K422" s="19">
        <f t="shared" si="343"/>
        <v>1.1724648629473431</v>
      </c>
      <c r="L422" s="19">
        <f t="shared" si="343"/>
        <v>1.2173776961044029</v>
      </c>
      <c r="M422" s="19">
        <f t="shared" si="343"/>
        <v>1.2712357312034672</v>
      </c>
      <c r="N422" s="19">
        <f t="shared" si="343"/>
        <v>1.3116060874611379</v>
      </c>
      <c r="O422" s="19">
        <f t="shared" si="343"/>
        <v>1.3701352154250666</v>
      </c>
      <c r="P422" s="19">
        <f t="shared" si="343"/>
        <v>1.4339159348222767</v>
      </c>
      <c r="Q422" s="19">
        <f t="shared" si="343"/>
        <v>1.413765943993927</v>
      </c>
      <c r="R422" s="19">
        <f t="shared" si="343"/>
        <v>1.3656831769506608</v>
      </c>
      <c r="S422" s="19">
        <f t="shared" si="343"/>
        <v>1.3624816830704001</v>
      </c>
      <c r="T422" s="19">
        <f t="shared" si="343"/>
        <v>1.3879730305652143</v>
      </c>
      <c r="U422" s="19">
        <f t="shared" si="343"/>
        <v>1.4181162024828693</v>
      </c>
      <c r="V422" s="19">
        <f t="shared" si="343"/>
        <v>1.4815391908466324</v>
      </c>
      <c r="W422" s="19">
        <f t="shared" si="343"/>
        <v>1.7625801636788549</v>
      </c>
      <c r="X422" s="19">
        <f t="shared" si="343"/>
        <v>1.913866822535353</v>
      </c>
      <c r="Y422" s="19">
        <f t="shared" si="343"/>
        <v>1.7760994273401516</v>
      </c>
      <c r="Z422" s="19">
        <f t="shared" si="343"/>
        <v>1.5525498386796144</v>
      </c>
      <c r="AA422" s="19">
        <f t="shared" si="343"/>
        <v>1.2775035298464938</v>
      </c>
      <c r="AB422" s="19">
        <f t="shared" si="343"/>
        <v>1.0525744469878027</v>
      </c>
      <c r="AC422" s="12">
        <f>+SUM(E422:AB422)</f>
        <v>31.000000000000004</v>
      </c>
    </row>
    <row r="423" spans="2:29">
      <c r="B423" s="15">
        <f>+EDATE(B418,1)</f>
        <v>47423</v>
      </c>
      <c r="C423" s="8" t="s">
        <v>45</v>
      </c>
      <c r="D423" s="8">
        <v>20</v>
      </c>
      <c r="E423" s="50">
        <f t="shared" ref="E423:AB423" si="344">+E363</f>
        <v>2.9361257124838391E-2</v>
      </c>
      <c r="F423" s="50">
        <f t="shared" si="344"/>
        <v>2.7692710332229715E-2</v>
      </c>
      <c r="G423" s="50">
        <f t="shared" si="344"/>
        <v>2.6785161397696527E-2</v>
      </c>
      <c r="H423" s="50">
        <f t="shared" si="344"/>
        <v>2.6786989368939883E-2</v>
      </c>
      <c r="I423" s="50">
        <f t="shared" si="344"/>
        <v>2.9135775177511477E-2</v>
      </c>
      <c r="J423" s="50">
        <f t="shared" si="344"/>
        <v>3.4540443856715661E-2</v>
      </c>
      <c r="K423" s="50">
        <f t="shared" si="344"/>
        <v>3.8789035252325646E-2</v>
      </c>
      <c r="L423" s="50">
        <f t="shared" si="344"/>
        <v>3.957865839345593E-2</v>
      </c>
      <c r="M423" s="50">
        <f t="shared" si="344"/>
        <v>4.0957538271781398E-2</v>
      </c>
      <c r="N423" s="50">
        <f t="shared" si="344"/>
        <v>4.2166920044863825E-2</v>
      </c>
      <c r="O423" s="50">
        <f t="shared" si="344"/>
        <v>4.4150374939633218E-2</v>
      </c>
      <c r="P423" s="50">
        <f t="shared" si="344"/>
        <v>4.6294816466469102E-2</v>
      </c>
      <c r="Q423" s="50">
        <f t="shared" si="344"/>
        <v>4.5431875959152102E-2</v>
      </c>
      <c r="R423" s="50">
        <f t="shared" si="344"/>
        <v>4.3879728503346101E-2</v>
      </c>
      <c r="S423" s="50">
        <f t="shared" si="344"/>
        <v>4.4118506624640258E-2</v>
      </c>
      <c r="T423" s="50">
        <f t="shared" si="344"/>
        <v>4.5188432655351718E-2</v>
      </c>
      <c r="U423" s="50">
        <f t="shared" si="344"/>
        <v>4.624302558461979E-2</v>
      </c>
      <c r="V423" s="50">
        <f t="shared" si="344"/>
        <v>4.8247238962955179E-2</v>
      </c>
      <c r="W423" s="50">
        <f t="shared" si="344"/>
        <v>5.7096885328092907E-2</v>
      </c>
      <c r="X423" s="50">
        <f t="shared" si="344"/>
        <v>6.1739938045350239E-2</v>
      </c>
      <c r="Y423" s="50">
        <f t="shared" si="344"/>
        <v>5.7231881517227232E-2</v>
      </c>
      <c r="Z423" s="50">
        <f t="shared" si="344"/>
        <v>5.0129255438435008E-2</v>
      </c>
      <c r="AA423" s="50">
        <f t="shared" si="344"/>
        <v>4.1010488221716553E-2</v>
      </c>
      <c r="AB423" s="50">
        <f t="shared" si="344"/>
        <v>3.34430625326523E-2</v>
      </c>
      <c r="AC423" s="8">
        <f>+SUM(E423:AB423)*D423</f>
        <v>20.000000000000004</v>
      </c>
    </row>
    <row r="424" spans="2:29">
      <c r="B424" s="16"/>
      <c r="C424" s="8" t="s">
        <v>46</v>
      </c>
      <c r="D424" s="8">
        <v>4</v>
      </c>
      <c r="E424" s="50">
        <f t="shared" ref="E424:AB424" si="345">+E364</f>
        <v>3.0659473205105158E-2</v>
      </c>
      <c r="F424" s="50">
        <f t="shared" si="345"/>
        <v>2.8600001140869122E-2</v>
      </c>
      <c r="G424" s="50">
        <f t="shared" si="345"/>
        <v>2.7683858575034276E-2</v>
      </c>
      <c r="H424" s="50">
        <f t="shared" si="345"/>
        <v>2.7537802139610414E-2</v>
      </c>
      <c r="I424" s="50">
        <f t="shared" si="345"/>
        <v>2.8782539770184416E-2</v>
      </c>
      <c r="J424" s="50">
        <f t="shared" si="345"/>
        <v>3.2241585579716119E-2</v>
      </c>
      <c r="K424" s="50">
        <f t="shared" si="345"/>
        <v>3.645312931015221E-2</v>
      </c>
      <c r="L424" s="50">
        <f t="shared" si="345"/>
        <v>3.9012639181609042E-2</v>
      </c>
      <c r="M424" s="50">
        <f t="shared" si="345"/>
        <v>4.1549207589560662E-2</v>
      </c>
      <c r="N424" s="50">
        <f t="shared" si="345"/>
        <v>4.3042516751632572E-2</v>
      </c>
      <c r="O424" s="50">
        <f t="shared" si="345"/>
        <v>4.4973693586955334E-2</v>
      </c>
      <c r="P424" s="50">
        <f t="shared" si="345"/>
        <v>4.6808021710202923E-2</v>
      </c>
      <c r="Q424" s="50">
        <f t="shared" si="345"/>
        <v>4.6383383047344962E-2</v>
      </c>
      <c r="R424" s="50">
        <f t="shared" si="345"/>
        <v>4.4751654806610461E-2</v>
      </c>
      <c r="S424" s="50">
        <f t="shared" si="345"/>
        <v>4.4013077558728637E-2</v>
      </c>
      <c r="T424" s="50">
        <f t="shared" si="345"/>
        <v>4.428856091631931E-2</v>
      </c>
      <c r="U424" s="50">
        <f t="shared" si="345"/>
        <v>4.49735778579251E-2</v>
      </c>
      <c r="V424" s="50">
        <f t="shared" si="345"/>
        <v>4.6933206789217301E-2</v>
      </c>
      <c r="W424" s="50">
        <f t="shared" si="345"/>
        <v>5.6210586428141023E-2</v>
      </c>
      <c r="X424" s="50">
        <f t="shared" si="345"/>
        <v>6.1205656691958259E-2</v>
      </c>
      <c r="Y424" s="50">
        <f t="shared" si="345"/>
        <v>5.7018442088769522E-2</v>
      </c>
      <c r="Z424" s="50">
        <f t="shared" si="345"/>
        <v>4.9896672365740725E-2</v>
      </c>
      <c r="AA424" s="50">
        <f t="shared" si="345"/>
        <v>4.1622868086918119E-2</v>
      </c>
      <c r="AB424" s="50">
        <f t="shared" si="345"/>
        <v>3.5357844821693719E-2</v>
      </c>
      <c r="AC424" s="8">
        <f t="shared" ref="AC424:AC426" si="346">+SUM(E424:AB424)*D424</f>
        <v>3.9999999999999969</v>
      </c>
    </row>
    <row r="425" spans="2:29">
      <c r="B425" s="16"/>
      <c r="C425" s="8" t="s">
        <v>47</v>
      </c>
      <c r="D425" s="8">
        <v>4</v>
      </c>
      <c r="E425" s="50">
        <f t="shared" ref="E425:AB425" si="347">+E365</f>
        <v>3.3281514565353124E-2</v>
      </c>
      <c r="F425" s="50">
        <f t="shared" si="347"/>
        <v>3.1140043873712407E-2</v>
      </c>
      <c r="G425" s="50">
        <f t="shared" si="347"/>
        <v>2.984335106750436E-2</v>
      </c>
      <c r="H425" s="50">
        <f t="shared" si="347"/>
        <v>2.9286927979133532E-2</v>
      </c>
      <c r="I425" s="50">
        <f t="shared" si="347"/>
        <v>2.9138028999542646E-2</v>
      </c>
      <c r="J425" s="50">
        <f t="shared" si="347"/>
        <v>3.0942883559119717E-2</v>
      </c>
      <c r="K425" s="50">
        <f t="shared" si="347"/>
        <v>3.4432484834348992E-2</v>
      </c>
      <c r="L425" s="50">
        <f t="shared" si="347"/>
        <v>3.8305304424032266E-2</v>
      </c>
      <c r="M425" s="50">
        <f t="shared" si="347"/>
        <v>4.1103790742913066E-2</v>
      </c>
      <c r="N425" s="50">
        <f t="shared" si="347"/>
        <v>4.2608444243851212E-2</v>
      </c>
      <c r="O425" s="50">
        <f t="shared" si="347"/>
        <v>4.3914681848814308E-2</v>
      </c>
      <c r="P425" s="50">
        <f t="shared" si="347"/>
        <v>4.5729867165388009E-2</v>
      </c>
      <c r="Q425" s="50">
        <f t="shared" si="347"/>
        <v>4.5741487779353565E-2</v>
      </c>
      <c r="R425" s="50">
        <f t="shared" si="347"/>
        <v>4.4277060725657284E-2</v>
      </c>
      <c r="S425" s="50">
        <f t="shared" si="347"/>
        <v>4.3144199391556254E-2</v>
      </c>
      <c r="T425" s="50">
        <f t="shared" si="347"/>
        <v>4.3279567369281124E-2</v>
      </c>
      <c r="U425" s="50">
        <f t="shared" si="347"/>
        <v>4.4109954506885138E-2</v>
      </c>
      <c r="V425" s="50">
        <f t="shared" si="347"/>
        <v>4.6298728840315946E-2</v>
      </c>
      <c r="W425" s="50">
        <f t="shared" si="347"/>
        <v>5.6176649878816001E-2</v>
      </c>
      <c r="X425" s="50">
        <f t="shared" si="347"/>
        <v>6.2194705000087863E-2</v>
      </c>
      <c r="Y425" s="50">
        <f t="shared" si="347"/>
        <v>5.7928891294023718E-2</v>
      </c>
      <c r="Z425" s="50">
        <f t="shared" si="347"/>
        <v>5.019499221712586E-2</v>
      </c>
      <c r="AA425" s="50">
        <f t="shared" si="347"/>
        <v>4.1853093029906328E-2</v>
      </c>
      <c r="AB425" s="50">
        <f t="shared" si="347"/>
        <v>3.507334666327714E-2</v>
      </c>
      <c r="AC425" s="8">
        <f t="shared" si="346"/>
        <v>3.9999999999999991</v>
      </c>
    </row>
    <row r="426" spans="2:29">
      <c r="B426" s="16"/>
      <c r="C426" s="8" t="s">
        <v>48</v>
      </c>
      <c r="D426" s="8">
        <v>2</v>
      </c>
      <c r="E426" s="50">
        <f t="shared" ref="E426:AB426" si="348">+E366</f>
        <v>3.367503361886829E-2</v>
      </c>
      <c r="F426" s="50">
        <f t="shared" si="348"/>
        <v>3.1245692535415936E-2</v>
      </c>
      <c r="G426" s="50">
        <f t="shared" si="348"/>
        <v>2.9861746203171599E-2</v>
      </c>
      <c r="H426" s="50">
        <f t="shared" si="348"/>
        <v>2.9235019370742008E-2</v>
      </c>
      <c r="I426" s="50">
        <f t="shared" si="348"/>
        <v>3.0186379118294998E-2</v>
      </c>
      <c r="J426" s="50">
        <f t="shared" si="348"/>
        <v>3.3123682717801174E-2</v>
      </c>
      <c r="K426" s="50">
        <f t="shared" si="348"/>
        <v>3.5563630818173868E-2</v>
      </c>
      <c r="L426" s="50">
        <f t="shared" si="348"/>
        <v>3.7375437025807548E-2</v>
      </c>
      <c r="M426" s="50">
        <f t="shared" si="348"/>
        <v>3.9557895894381336E-2</v>
      </c>
      <c r="N426" s="50">
        <f t="shared" si="348"/>
        <v>4.1330002492198488E-2</v>
      </c>
      <c r="O426" s="50">
        <f t="shared" si="348"/>
        <v>4.3273465010057272E-2</v>
      </c>
      <c r="P426" s="50">
        <f t="shared" si="348"/>
        <v>4.5278417057592932E-2</v>
      </c>
      <c r="Q426" s="50">
        <f t="shared" si="348"/>
        <v>4.5765189585786785E-2</v>
      </c>
      <c r="R426" s="50">
        <f t="shared" si="348"/>
        <v>4.421428774797561E-2</v>
      </c>
      <c r="S426" s="50">
        <f t="shared" si="348"/>
        <v>4.3245429527174986E-2</v>
      </c>
      <c r="T426" s="50">
        <f t="shared" si="348"/>
        <v>4.3554999005074702E-2</v>
      </c>
      <c r="U426" s="50">
        <f t="shared" si="348"/>
        <v>4.4435510161992771E-2</v>
      </c>
      <c r="V426" s="50">
        <f t="shared" si="348"/>
        <v>4.717219114348542E-2</v>
      </c>
      <c r="W426" s="50">
        <f t="shared" si="348"/>
        <v>5.6899741232983039E-2</v>
      </c>
      <c r="X426" s="50">
        <f t="shared" si="348"/>
        <v>6.1986738769463187E-2</v>
      </c>
      <c r="Y426" s="50">
        <f t="shared" si="348"/>
        <v>5.7208700429979269E-2</v>
      </c>
      <c r="Z426" s="50">
        <f t="shared" si="348"/>
        <v>4.9339560702577757E-2</v>
      </c>
      <c r="AA426" s="50">
        <f t="shared" si="348"/>
        <v>4.1368944501432053E-2</v>
      </c>
      <c r="AB426" s="50">
        <f t="shared" si="348"/>
        <v>3.5102305329568817E-2</v>
      </c>
      <c r="AC426" s="8">
        <f t="shared" si="346"/>
        <v>1.9999999999999996</v>
      </c>
    </row>
    <row r="427" spans="2:29">
      <c r="B427" s="12"/>
      <c r="C427" s="12" t="s">
        <v>15</v>
      </c>
      <c r="D427" s="12">
        <f>+SUM(D423:D426)</f>
        <v>30</v>
      </c>
      <c r="E427" s="19">
        <f>+SUMPRODUCT(E423:E426,$D423:$D426)</f>
        <v>0.91033916081633748</v>
      </c>
      <c r="F427" s="19">
        <f>+SUMPRODUCT(F423:F426,$D423:$D426)</f>
        <v>0.85530577177375222</v>
      </c>
      <c r="G427" s="19">
        <f t="shared" ref="G427:AB427" si="349">+SUMPRODUCT(G423:G426,$D423:$D426)</f>
        <v>0.82553555893042829</v>
      </c>
      <c r="H427" s="19">
        <f t="shared" si="349"/>
        <v>0.82150874659525752</v>
      </c>
      <c r="I427" s="19">
        <f t="shared" si="349"/>
        <v>0.8747705368657277</v>
      </c>
      <c r="J427" s="19">
        <f t="shared" si="349"/>
        <v>1.0097941191252591</v>
      </c>
      <c r="K427" s="19">
        <f t="shared" si="349"/>
        <v>1.1304504232608654</v>
      </c>
      <c r="L427" s="19">
        <f t="shared" si="349"/>
        <v>1.1755958163432989</v>
      </c>
      <c r="M427" s="19">
        <f t="shared" si="349"/>
        <v>1.2288785505542854</v>
      </c>
      <c r="N427" s="19">
        <f t="shared" si="349"/>
        <v>1.2686022498636089</v>
      </c>
      <c r="O427" s="19">
        <f t="shared" si="349"/>
        <v>1.3251079305558575</v>
      </c>
      <c r="P427" s="19">
        <f t="shared" si="349"/>
        <v>1.3866047189469317</v>
      </c>
      <c r="Q427" s="19">
        <f t="shared" si="349"/>
        <v>1.3686673816614097</v>
      </c>
      <c r="R427" s="19">
        <f t="shared" si="349"/>
        <v>1.3221380076919442</v>
      </c>
      <c r="S427" s="19">
        <f t="shared" si="349"/>
        <v>1.317490099348295</v>
      </c>
      <c r="T427" s="19">
        <f t="shared" si="349"/>
        <v>1.3411511642595855</v>
      </c>
      <c r="U427" s="19">
        <f t="shared" si="349"/>
        <v>1.3700656614756224</v>
      </c>
      <c r="V427" s="19">
        <f t="shared" si="349"/>
        <v>1.4322169040642074</v>
      </c>
      <c r="W427" s="19">
        <f t="shared" si="349"/>
        <v>1.7052861342556522</v>
      </c>
      <c r="X427" s="19">
        <f t="shared" si="349"/>
        <v>1.8523736852141155</v>
      </c>
      <c r="Y427" s="19">
        <f t="shared" si="349"/>
        <v>1.7188443647356764</v>
      </c>
      <c r="Z427" s="19">
        <f t="shared" si="349"/>
        <v>1.501630888505322</v>
      </c>
      <c r="AA427" s="19">
        <f t="shared" si="349"/>
        <v>1.2368514979044929</v>
      </c>
      <c r="AB427" s="19">
        <f t="shared" si="349"/>
        <v>1.020790627252067</v>
      </c>
      <c r="AC427" s="12">
        <f>+SUM(E427:AB427)</f>
        <v>30</v>
      </c>
    </row>
    <row r="428" spans="2:29">
      <c r="B428" s="15">
        <f>+EDATE(B423,1)</f>
        <v>47453</v>
      </c>
      <c r="C428" s="8" t="s">
        <v>45</v>
      </c>
      <c r="D428" s="8">
        <v>20</v>
      </c>
      <c r="E428" s="50">
        <f t="shared" ref="E428:AB428" si="350">+E368</f>
        <v>2.9361257124838391E-2</v>
      </c>
      <c r="F428" s="50">
        <f t="shared" si="350"/>
        <v>2.7692710332229715E-2</v>
      </c>
      <c r="G428" s="50">
        <f t="shared" si="350"/>
        <v>2.6785161397696527E-2</v>
      </c>
      <c r="H428" s="50">
        <f t="shared" si="350"/>
        <v>2.6786989368939883E-2</v>
      </c>
      <c r="I428" s="50">
        <f t="shared" si="350"/>
        <v>2.9135775177511477E-2</v>
      </c>
      <c r="J428" s="50">
        <f t="shared" si="350"/>
        <v>3.4540443856715661E-2</v>
      </c>
      <c r="K428" s="50">
        <f t="shared" si="350"/>
        <v>3.8789035252325646E-2</v>
      </c>
      <c r="L428" s="50">
        <f t="shared" si="350"/>
        <v>3.957865839345593E-2</v>
      </c>
      <c r="M428" s="50">
        <f t="shared" si="350"/>
        <v>4.0957538271781398E-2</v>
      </c>
      <c r="N428" s="50">
        <f t="shared" si="350"/>
        <v>4.2166920044863825E-2</v>
      </c>
      <c r="O428" s="50">
        <f t="shared" si="350"/>
        <v>4.4150374939633218E-2</v>
      </c>
      <c r="P428" s="50">
        <f t="shared" si="350"/>
        <v>4.6294816466469102E-2</v>
      </c>
      <c r="Q428" s="50">
        <f t="shared" si="350"/>
        <v>4.5431875959152102E-2</v>
      </c>
      <c r="R428" s="50">
        <f t="shared" si="350"/>
        <v>4.3879728503346101E-2</v>
      </c>
      <c r="S428" s="50">
        <f t="shared" si="350"/>
        <v>4.4118506624640258E-2</v>
      </c>
      <c r="T428" s="50">
        <f t="shared" si="350"/>
        <v>4.5188432655351718E-2</v>
      </c>
      <c r="U428" s="50">
        <f t="shared" si="350"/>
        <v>4.624302558461979E-2</v>
      </c>
      <c r="V428" s="50">
        <f t="shared" si="350"/>
        <v>4.8247238962955179E-2</v>
      </c>
      <c r="W428" s="50">
        <f t="shared" si="350"/>
        <v>5.7096885328092907E-2</v>
      </c>
      <c r="X428" s="50">
        <f t="shared" si="350"/>
        <v>6.1739938045350239E-2</v>
      </c>
      <c r="Y428" s="50">
        <f t="shared" si="350"/>
        <v>5.7231881517227232E-2</v>
      </c>
      <c r="Z428" s="50">
        <f t="shared" si="350"/>
        <v>5.0129255438435008E-2</v>
      </c>
      <c r="AA428" s="50">
        <f t="shared" si="350"/>
        <v>4.1010488221716553E-2</v>
      </c>
      <c r="AB428" s="50">
        <f t="shared" si="350"/>
        <v>3.34430625326523E-2</v>
      </c>
      <c r="AC428" s="8">
        <f>+SUM(E428:AB428)*D428</f>
        <v>20.000000000000004</v>
      </c>
    </row>
    <row r="429" spans="2:29">
      <c r="B429" s="16"/>
      <c r="C429" s="8" t="s">
        <v>46</v>
      </c>
      <c r="D429" s="8">
        <v>4</v>
      </c>
      <c r="E429" s="50">
        <f t="shared" ref="E429:AB429" si="351">+E369</f>
        <v>3.0659473205105158E-2</v>
      </c>
      <c r="F429" s="50">
        <f t="shared" si="351"/>
        <v>2.8600001140869122E-2</v>
      </c>
      <c r="G429" s="50">
        <f t="shared" si="351"/>
        <v>2.7683858575034276E-2</v>
      </c>
      <c r="H429" s="50">
        <f t="shared" si="351"/>
        <v>2.7537802139610414E-2</v>
      </c>
      <c r="I429" s="50">
        <f t="shared" si="351"/>
        <v>2.8782539770184416E-2</v>
      </c>
      <c r="J429" s="50">
        <f t="shared" si="351"/>
        <v>3.2241585579716119E-2</v>
      </c>
      <c r="K429" s="50">
        <f t="shared" si="351"/>
        <v>3.645312931015221E-2</v>
      </c>
      <c r="L429" s="50">
        <f t="shared" si="351"/>
        <v>3.9012639181609042E-2</v>
      </c>
      <c r="M429" s="50">
        <f t="shared" si="351"/>
        <v>4.1549207589560662E-2</v>
      </c>
      <c r="N429" s="50">
        <f t="shared" si="351"/>
        <v>4.3042516751632572E-2</v>
      </c>
      <c r="O429" s="50">
        <f t="shared" si="351"/>
        <v>4.4973693586955334E-2</v>
      </c>
      <c r="P429" s="50">
        <f t="shared" si="351"/>
        <v>4.6808021710202923E-2</v>
      </c>
      <c r="Q429" s="50">
        <f t="shared" si="351"/>
        <v>4.6383383047344962E-2</v>
      </c>
      <c r="R429" s="50">
        <f t="shared" si="351"/>
        <v>4.4751654806610461E-2</v>
      </c>
      <c r="S429" s="50">
        <f t="shared" si="351"/>
        <v>4.4013077558728637E-2</v>
      </c>
      <c r="T429" s="50">
        <f t="shared" si="351"/>
        <v>4.428856091631931E-2</v>
      </c>
      <c r="U429" s="50">
        <f t="shared" si="351"/>
        <v>4.49735778579251E-2</v>
      </c>
      <c r="V429" s="50">
        <f t="shared" si="351"/>
        <v>4.6933206789217301E-2</v>
      </c>
      <c r="W429" s="50">
        <f t="shared" si="351"/>
        <v>5.6210586428141023E-2</v>
      </c>
      <c r="X429" s="50">
        <f t="shared" si="351"/>
        <v>6.1205656691958259E-2</v>
      </c>
      <c r="Y429" s="50">
        <f t="shared" si="351"/>
        <v>5.7018442088769522E-2</v>
      </c>
      <c r="Z429" s="50">
        <f t="shared" si="351"/>
        <v>4.9896672365740725E-2</v>
      </c>
      <c r="AA429" s="50">
        <f t="shared" si="351"/>
        <v>4.1622868086918119E-2</v>
      </c>
      <c r="AB429" s="50">
        <f t="shared" si="351"/>
        <v>3.5357844821693719E-2</v>
      </c>
      <c r="AC429" s="8">
        <f t="shared" ref="AC429:AC431" si="352">+SUM(E429:AB429)*D429</f>
        <v>3.9999999999999969</v>
      </c>
    </row>
    <row r="430" spans="2:29">
      <c r="B430" s="16"/>
      <c r="C430" s="8" t="s">
        <v>47</v>
      </c>
      <c r="D430" s="8">
        <v>5</v>
      </c>
      <c r="E430" s="50">
        <f t="shared" ref="E430:AB430" si="353">+E370</f>
        <v>3.3281514565353124E-2</v>
      </c>
      <c r="F430" s="50">
        <f t="shared" si="353"/>
        <v>3.1140043873712407E-2</v>
      </c>
      <c r="G430" s="50">
        <f t="shared" si="353"/>
        <v>2.984335106750436E-2</v>
      </c>
      <c r="H430" s="50">
        <f t="shared" si="353"/>
        <v>2.9286927979133532E-2</v>
      </c>
      <c r="I430" s="50">
        <f t="shared" si="353"/>
        <v>2.9138028999542646E-2</v>
      </c>
      <c r="J430" s="50">
        <f t="shared" si="353"/>
        <v>3.0942883559119717E-2</v>
      </c>
      <c r="K430" s="50">
        <f t="shared" si="353"/>
        <v>3.4432484834348992E-2</v>
      </c>
      <c r="L430" s="50">
        <f t="shared" si="353"/>
        <v>3.8305304424032266E-2</v>
      </c>
      <c r="M430" s="50">
        <f t="shared" si="353"/>
        <v>4.1103790742913066E-2</v>
      </c>
      <c r="N430" s="50">
        <f t="shared" si="353"/>
        <v>4.2608444243851212E-2</v>
      </c>
      <c r="O430" s="50">
        <f t="shared" si="353"/>
        <v>4.3914681848814308E-2</v>
      </c>
      <c r="P430" s="50">
        <f t="shared" si="353"/>
        <v>4.5729867165388009E-2</v>
      </c>
      <c r="Q430" s="50">
        <f t="shared" si="353"/>
        <v>4.5741487779353565E-2</v>
      </c>
      <c r="R430" s="50">
        <f t="shared" si="353"/>
        <v>4.4277060725657284E-2</v>
      </c>
      <c r="S430" s="50">
        <f t="shared" si="353"/>
        <v>4.3144199391556254E-2</v>
      </c>
      <c r="T430" s="50">
        <f t="shared" si="353"/>
        <v>4.3279567369281124E-2</v>
      </c>
      <c r="U430" s="50">
        <f t="shared" si="353"/>
        <v>4.4109954506885138E-2</v>
      </c>
      <c r="V430" s="50">
        <f t="shared" si="353"/>
        <v>4.6298728840315946E-2</v>
      </c>
      <c r="W430" s="50">
        <f t="shared" si="353"/>
        <v>5.6176649878816001E-2</v>
      </c>
      <c r="X430" s="50">
        <f t="shared" si="353"/>
        <v>6.2194705000087863E-2</v>
      </c>
      <c r="Y430" s="50">
        <f t="shared" si="353"/>
        <v>5.7928891294023718E-2</v>
      </c>
      <c r="Z430" s="50">
        <f t="shared" si="353"/>
        <v>5.019499221712586E-2</v>
      </c>
      <c r="AA430" s="50">
        <f t="shared" si="353"/>
        <v>4.1853093029906328E-2</v>
      </c>
      <c r="AB430" s="50">
        <f t="shared" si="353"/>
        <v>3.507334666327714E-2</v>
      </c>
      <c r="AC430" s="8">
        <f t="shared" si="352"/>
        <v>4.9999999999999991</v>
      </c>
    </row>
    <row r="431" spans="2:29">
      <c r="B431" s="16"/>
      <c r="C431" s="8" t="s">
        <v>48</v>
      </c>
      <c r="D431" s="8">
        <v>2</v>
      </c>
      <c r="E431" s="50">
        <f t="shared" ref="E431:AB431" si="354">+E371</f>
        <v>3.367503361886829E-2</v>
      </c>
      <c r="F431" s="50">
        <f t="shared" si="354"/>
        <v>3.1245692535415936E-2</v>
      </c>
      <c r="G431" s="50">
        <f t="shared" si="354"/>
        <v>2.9861746203171599E-2</v>
      </c>
      <c r="H431" s="50">
        <f t="shared" si="354"/>
        <v>2.9235019370742008E-2</v>
      </c>
      <c r="I431" s="50">
        <f t="shared" si="354"/>
        <v>3.0186379118294998E-2</v>
      </c>
      <c r="J431" s="50">
        <f t="shared" si="354"/>
        <v>3.3123682717801174E-2</v>
      </c>
      <c r="K431" s="50">
        <f t="shared" si="354"/>
        <v>3.5563630818173868E-2</v>
      </c>
      <c r="L431" s="50">
        <f t="shared" si="354"/>
        <v>3.7375437025807548E-2</v>
      </c>
      <c r="M431" s="50">
        <f t="shared" si="354"/>
        <v>3.9557895894381336E-2</v>
      </c>
      <c r="N431" s="50">
        <f t="shared" si="354"/>
        <v>4.1330002492198488E-2</v>
      </c>
      <c r="O431" s="50">
        <f t="shared" si="354"/>
        <v>4.3273465010057272E-2</v>
      </c>
      <c r="P431" s="50">
        <f t="shared" si="354"/>
        <v>4.5278417057592932E-2</v>
      </c>
      <c r="Q431" s="50">
        <f t="shared" si="354"/>
        <v>4.5765189585786785E-2</v>
      </c>
      <c r="R431" s="50">
        <f t="shared" si="354"/>
        <v>4.421428774797561E-2</v>
      </c>
      <c r="S431" s="50">
        <f t="shared" si="354"/>
        <v>4.3245429527174986E-2</v>
      </c>
      <c r="T431" s="50">
        <f t="shared" si="354"/>
        <v>4.3554999005074702E-2</v>
      </c>
      <c r="U431" s="50">
        <f t="shared" si="354"/>
        <v>4.4435510161992771E-2</v>
      </c>
      <c r="V431" s="50">
        <f t="shared" si="354"/>
        <v>4.717219114348542E-2</v>
      </c>
      <c r="W431" s="50">
        <f t="shared" si="354"/>
        <v>5.6899741232983039E-2</v>
      </c>
      <c r="X431" s="50">
        <f t="shared" si="354"/>
        <v>6.1986738769463187E-2</v>
      </c>
      <c r="Y431" s="50">
        <f t="shared" si="354"/>
        <v>5.7208700429979269E-2</v>
      </c>
      <c r="Z431" s="50">
        <f t="shared" si="354"/>
        <v>4.9339560702577757E-2</v>
      </c>
      <c r="AA431" s="50">
        <f t="shared" si="354"/>
        <v>4.1368944501432053E-2</v>
      </c>
      <c r="AB431" s="50">
        <f t="shared" si="354"/>
        <v>3.5102305329568817E-2</v>
      </c>
      <c r="AC431" s="8">
        <f t="shared" si="352"/>
        <v>1.9999999999999996</v>
      </c>
    </row>
    <row r="432" spans="2:29">
      <c r="B432" s="12"/>
      <c r="C432" s="12" t="s">
        <v>15</v>
      </c>
      <c r="D432" s="12">
        <f>+SUM(D428:D431)</f>
        <v>31</v>
      </c>
      <c r="E432" s="19">
        <f>+SUMPRODUCT(E428:E431,$D428:$D431)</f>
        <v>0.94362067538169059</v>
      </c>
      <c r="F432" s="19">
        <f>+SUMPRODUCT(F428:F431,$D428:$D431)</f>
        <v>0.88644581564746461</v>
      </c>
      <c r="G432" s="19">
        <f t="shared" ref="G432:AB432" si="355">+SUMPRODUCT(G428:G431,$D428:$D431)</f>
        <v>0.85537890999793265</v>
      </c>
      <c r="H432" s="19">
        <f t="shared" si="355"/>
        <v>0.85079567457439098</v>
      </c>
      <c r="I432" s="19">
        <f t="shared" si="355"/>
        <v>0.90390856586527035</v>
      </c>
      <c r="J432" s="19">
        <f t="shared" si="355"/>
        <v>1.0407370026843787</v>
      </c>
      <c r="K432" s="19">
        <f t="shared" si="355"/>
        <v>1.1648829080952143</v>
      </c>
      <c r="L432" s="19">
        <f t="shared" si="355"/>
        <v>1.2139011207673314</v>
      </c>
      <c r="M432" s="19">
        <f t="shared" si="355"/>
        <v>1.2699823412971984</v>
      </c>
      <c r="N432" s="19">
        <f t="shared" si="355"/>
        <v>1.3112106941074599</v>
      </c>
      <c r="O432" s="19">
        <f t="shared" si="355"/>
        <v>1.3690226124046718</v>
      </c>
      <c r="P432" s="19">
        <f t="shared" si="355"/>
        <v>1.4323345861123198</v>
      </c>
      <c r="Q432" s="19">
        <f t="shared" si="355"/>
        <v>1.4144088694407633</v>
      </c>
      <c r="R432" s="19">
        <f t="shared" si="355"/>
        <v>1.3664150684176015</v>
      </c>
      <c r="S432" s="19">
        <f t="shared" si="355"/>
        <v>1.3606342987398512</v>
      </c>
      <c r="T432" s="19">
        <f t="shared" si="355"/>
        <v>1.3844307316288669</v>
      </c>
      <c r="U432" s="19">
        <f t="shared" si="355"/>
        <v>1.4141756159825074</v>
      </c>
      <c r="V432" s="19">
        <f t="shared" si="355"/>
        <v>1.4785156329045233</v>
      </c>
      <c r="W432" s="19">
        <f t="shared" si="355"/>
        <v>1.7614627841344683</v>
      </c>
      <c r="X432" s="19">
        <f t="shared" si="355"/>
        <v>1.9145683902142034</v>
      </c>
      <c r="Y432" s="19">
        <f t="shared" si="355"/>
        <v>1.7767732560297</v>
      </c>
      <c r="Z432" s="19">
        <f t="shared" si="355"/>
        <v>1.5518258807224479</v>
      </c>
      <c r="AA432" s="19">
        <f t="shared" si="355"/>
        <v>1.2787045909343993</v>
      </c>
      <c r="AB432" s="19">
        <f t="shared" si="355"/>
        <v>1.0558639739153441</v>
      </c>
      <c r="AC432" s="12">
        <f>+SUM(E432:AB432)</f>
        <v>30.999999999999996</v>
      </c>
    </row>
    <row r="433" spans="2:29">
      <c r="B433" s="15">
        <f>+EDATE(B428,1)</f>
        <v>47484</v>
      </c>
      <c r="C433" s="8" t="s">
        <v>45</v>
      </c>
      <c r="D433" s="8">
        <v>21</v>
      </c>
      <c r="E433" s="50">
        <f t="shared" ref="E433:AB433" si="356">+E373</f>
        <v>2.9361257124838391E-2</v>
      </c>
      <c r="F433" s="50">
        <f t="shared" si="356"/>
        <v>2.7692710332229715E-2</v>
      </c>
      <c r="G433" s="50">
        <f t="shared" si="356"/>
        <v>2.6785161397696527E-2</v>
      </c>
      <c r="H433" s="50">
        <f t="shared" si="356"/>
        <v>2.6786989368939883E-2</v>
      </c>
      <c r="I433" s="50">
        <f t="shared" si="356"/>
        <v>2.9135775177511477E-2</v>
      </c>
      <c r="J433" s="50">
        <f t="shared" si="356"/>
        <v>3.4540443856715661E-2</v>
      </c>
      <c r="K433" s="50">
        <f t="shared" si="356"/>
        <v>3.8789035252325646E-2</v>
      </c>
      <c r="L433" s="50">
        <f t="shared" si="356"/>
        <v>3.957865839345593E-2</v>
      </c>
      <c r="M433" s="50">
        <f t="shared" si="356"/>
        <v>4.0957538271781398E-2</v>
      </c>
      <c r="N433" s="50">
        <f t="shared" si="356"/>
        <v>4.2166920044863825E-2</v>
      </c>
      <c r="O433" s="50">
        <f t="shared" si="356"/>
        <v>4.4150374939633218E-2</v>
      </c>
      <c r="P433" s="50">
        <f t="shared" si="356"/>
        <v>4.6294816466469102E-2</v>
      </c>
      <c r="Q433" s="50">
        <f t="shared" si="356"/>
        <v>4.5431875959152102E-2</v>
      </c>
      <c r="R433" s="50">
        <f t="shared" si="356"/>
        <v>4.3879728503346101E-2</v>
      </c>
      <c r="S433" s="50">
        <f t="shared" si="356"/>
        <v>4.4118506624640258E-2</v>
      </c>
      <c r="T433" s="50">
        <f t="shared" si="356"/>
        <v>4.5188432655351718E-2</v>
      </c>
      <c r="U433" s="50">
        <f t="shared" si="356"/>
        <v>4.624302558461979E-2</v>
      </c>
      <c r="V433" s="50">
        <f t="shared" si="356"/>
        <v>4.8247238962955179E-2</v>
      </c>
      <c r="W433" s="50">
        <f t="shared" si="356"/>
        <v>5.7096885328092907E-2</v>
      </c>
      <c r="X433" s="50">
        <f t="shared" si="356"/>
        <v>6.1739938045350239E-2</v>
      </c>
      <c r="Y433" s="50">
        <f t="shared" si="356"/>
        <v>5.7231881517227232E-2</v>
      </c>
      <c r="Z433" s="50">
        <f t="shared" si="356"/>
        <v>5.0129255438435008E-2</v>
      </c>
      <c r="AA433" s="50">
        <f t="shared" si="356"/>
        <v>4.1010488221716553E-2</v>
      </c>
      <c r="AB433" s="50">
        <f t="shared" si="356"/>
        <v>3.34430625326523E-2</v>
      </c>
      <c r="AC433" s="8">
        <f>+SUM(E433:AB433)*D433</f>
        <v>21.000000000000004</v>
      </c>
    </row>
    <row r="434" spans="2:29">
      <c r="B434" s="16"/>
      <c r="C434" s="8" t="s">
        <v>46</v>
      </c>
      <c r="D434" s="8">
        <v>4</v>
      </c>
      <c r="E434" s="50">
        <f t="shared" ref="E434:AB434" si="357">+E374</f>
        <v>3.0659473205105158E-2</v>
      </c>
      <c r="F434" s="50">
        <f t="shared" si="357"/>
        <v>2.8600001140869122E-2</v>
      </c>
      <c r="G434" s="50">
        <f t="shared" si="357"/>
        <v>2.7683858575034276E-2</v>
      </c>
      <c r="H434" s="50">
        <f t="shared" si="357"/>
        <v>2.7537802139610414E-2</v>
      </c>
      <c r="I434" s="50">
        <f t="shared" si="357"/>
        <v>2.8782539770184416E-2</v>
      </c>
      <c r="J434" s="50">
        <f t="shared" si="357"/>
        <v>3.2241585579716119E-2</v>
      </c>
      <c r="K434" s="50">
        <f t="shared" si="357"/>
        <v>3.645312931015221E-2</v>
      </c>
      <c r="L434" s="50">
        <f t="shared" si="357"/>
        <v>3.9012639181609042E-2</v>
      </c>
      <c r="M434" s="50">
        <f t="shared" si="357"/>
        <v>4.1549207589560662E-2</v>
      </c>
      <c r="N434" s="50">
        <f t="shared" si="357"/>
        <v>4.3042516751632572E-2</v>
      </c>
      <c r="O434" s="50">
        <f t="shared" si="357"/>
        <v>4.4973693586955334E-2</v>
      </c>
      <c r="P434" s="50">
        <f t="shared" si="357"/>
        <v>4.6808021710202923E-2</v>
      </c>
      <c r="Q434" s="50">
        <f t="shared" si="357"/>
        <v>4.6383383047344962E-2</v>
      </c>
      <c r="R434" s="50">
        <f t="shared" si="357"/>
        <v>4.4751654806610461E-2</v>
      </c>
      <c r="S434" s="50">
        <f t="shared" si="357"/>
        <v>4.4013077558728637E-2</v>
      </c>
      <c r="T434" s="50">
        <f t="shared" si="357"/>
        <v>4.428856091631931E-2</v>
      </c>
      <c r="U434" s="50">
        <f t="shared" si="357"/>
        <v>4.49735778579251E-2</v>
      </c>
      <c r="V434" s="50">
        <f t="shared" si="357"/>
        <v>4.6933206789217301E-2</v>
      </c>
      <c r="W434" s="50">
        <f t="shared" si="357"/>
        <v>5.6210586428141023E-2</v>
      </c>
      <c r="X434" s="50">
        <f t="shared" si="357"/>
        <v>6.1205656691958259E-2</v>
      </c>
      <c r="Y434" s="50">
        <f t="shared" si="357"/>
        <v>5.7018442088769522E-2</v>
      </c>
      <c r="Z434" s="50">
        <f t="shared" si="357"/>
        <v>4.9896672365740725E-2</v>
      </c>
      <c r="AA434" s="50">
        <f t="shared" si="357"/>
        <v>4.1622868086918119E-2</v>
      </c>
      <c r="AB434" s="50">
        <f t="shared" si="357"/>
        <v>3.5357844821693719E-2</v>
      </c>
      <c r="AC434" s="8">
        <f t="shared" ref="AC434:AC436" si="358">+SUM(E434:AB434)*D434</f>
        <v>3.9999999999999969</v>
      </c>
    </row>
    <row r="435" spans="2:29">
      <c r="B435" s="16"/>
      <c r="C435" s="8" t="s">
        <v>47</v>
      </c>
      <c r="D435" s="8">
        <v>4</v>
      </c>
      <c r="E435" s="50">
        <f t="shared" ref="E435:AB435" si="359">+E375</f>
        <v>3.3281514565353124E-2</v>
      </c>
      <c r="F435" s="50">
        <f t="shared" si="359"/>
        <v>3.1140043873712407E-2</v>
      </c>
      <c r="G435" s="50">
        <f t="shared" si="359"/>
        <v>2.984335106750436E-2</v>
      </c>
      <c r="H435" s="50">
        <f t="shared" si="359"/>
        <v>2.9286927979133532E-2</v>
      </c>
      <c r="I435" s="50">
        <f t="shared" si="359"/>
        <v>2.9138028999542646E-2</v>
      </c>
      <c r="J435" s="50">
        <f t="shared" si="359"/>
        <v>3.0942883559119717E-2</v>
      </c>
      <c r="K435" s="50">
        <f t="shared" si="359"/>
        <v>3.4432484834348992E-2</v>
      </c>
      <c r="L435" s="50">
        <f t="shared" si="359"/>
        <v>3.8305304424032266E-2</v>
      </c>
      <c r="M435" s="50">
        <f t="shared" si="359"/>
        <v>4.1103790742913066E-2</v>
      </c>
      <c r="N435" s="50">
        <f t="shared" si="359"/>
        <v>4.2608444243851212E-2</v>
      </c>
      <c r="O435" s="50">
        <f t="shared" si="359"/>
        <v>4.3914681848814308E-2</v>
      </c>
      <c r="P435" s="50">
        <f t="shared" si="359"/>
        <v>4.5729867165388009E-2</v>
      </c>
      <c r="Q435" s="50">
        <f t="shared" si="359"/>
        <v>4.5741487779353565E-2</v>
      </c>
      <c r="R435" s="50">
        <f t="shared" si="359"/>
        <v>4.4277060725657284E-2</v>
      </c>
      <c r="S435" s="50">
        <f t="shared" si="359"/>
        <v>4.3144199391556254E-2</v>
      </c>
      <c r="T435" s="50">
        <f t="shared" si="359"/>
        <v>4.3279567369281124E-2</v>
      </c>
      <c r="U435" s="50">
        <f t="shared" si="359"/>
        <v>4.4109954506885138E-2</v>
      </c>
      <c r="V435" s="50">
        <f t="shared" si="359"/>
        <v>4.6298728840315946E-2</v>
      </c>
      <c r="W435" s="50">
        <f t="shared" si="359"/>
        <v>5.6176649878816001E-2</v>
      </c>
      <c r="X435" s="50">
        <f t="shared" si="359"/>
        <v>6.2194705000087863E-2</v>
      </c>
      <c r="Y435" s="50">
        <f t="shared" si="359"/>
        <v>5.7928891294023718E-2</v>
      </c>
      <c r="Z435" s="50">
        <f t="shared" si="359"/>
        <v>5.019499221712586E-2</v>
      </c>
      <c r="AA435" s="50">
        <f t="shared" si="359"/>
        <v>4.1853093029906328E-2</v>
      </c>
      <c r="AB435" s="50">
        <f t="shared" si="359"/>
        <v>3.507334666327714E-2</v>
      </c>
      <c r="AC435" s="8">
        <f t="shared" si="358"/>
        <v>3.9999999999999991</v>
      </c>
    </row>
    <row r="436" spans="2:29">
      <c r="B436" s="16"/>
      <c r="C436" s="8" t="s">
        <v>48</v>
      </c>
      <c r="D436" s="8">
        <v>2</v>
      </c>
      <c r="E436" s="50">
        <f t="shared" ref="E436:AB436" si="360">+E376</f>
        <v>3.367503361886829E-2</v>
      </c>
      <c r="F436" s="50">
        <f t="shared" si="360"/>
        <v>3.1245692535415936E-2</v>
      </c>
      <c r="G436" s="50">
        <f t="shared" si="360"/>
        <v>2.9861746203171599E-2</v>
      </c>
      <c r="H436" s="50">
        <f t="shared" si="360"/>
        <v>2.9235019370742008E-2</v>
      </c>
      <c r="I436" s="50">
        <f t="shared" si="360"/>
        <v>3.0186379118294998E-2</v>
      </c>
      <c r="J436" s="50">
        <f t="shared" si="360"/>
        <v>3.3123682717801174E-2</v>
      </c>
      <c r="K436" s="50">
        <f t="shared" si="360"/>
        <v>3.5563630818173868E-2</v>
      </c>
      <c r="L436" s="50">
        <f t="shared" si="360"/>
        <v>3.7375437025807548E-2</v>
      </c>
      <c r="M436" s="50">
        <f t="shared" si="360"/>
        <v>3.9557895894381336E-2</v>
      </c>
      <c r="N436" s="50">
        <f t="shared" si="360"/>
        <v>4.1330002492198488E-2</v>
      </c>
      <c r="O436" s="50">
        <f t="shared" si="360"/>
        <v>4.3273465010057272E-2</v>
      </c>
      <c r="P436" s="50">
        <f t="shared" si="360"/>
        <v>4.5278417057592932E-2</v>
      </c>
      <c r="Q436" s="50">
        <f t="shared" si="360"/>
        <v>4.5765189585786785E-2</v>
      </c>
      <c r="R436" s="50">
        <f t="shared" si="360"/>
        <v>4.421428774797561E-2</v>
      </c>
      <c r="S436" s="50">
        <f t="shared" si="360"/>
        <v>4.3245429527174986E-2</v>
      </c>
      <c r="T436" s="50">
        <f t="shared" si="360"/>
        <v>4.3554999005074702E-2</v>
      </c>
      <c r="U436" s="50">
        <f t="shared" si="360"/>
        <v>4.4435510161992771E-2</v>
      </c>
      <c r="V436" s="50">
        <f t="shared" si="360"/>
        <v>4.717219114348542E-2</v>
      </c>
      <c r="W436" s="50">
        <f t="shared" si="360"/>
        <v>5.6899741232983039E-2</v>
      </c>
      <c r="X436" s="50">
        <f t="shared" si="360"/>
        <v>6.1986738769463187E-2</v>
      </c>
      <c r="Y436" s="50">
        <f t="shared" si="360"/>
        <v>5.7208700429979269E-2</v>
      </c>
      <c r="Z436" s="50">
        <f t="shared" si="360"/>
        <v>4.9339560702577757E-2</v>
      </c>
      <c r="AA436" s="50">
        <f t="shared" si="360"/>
        <v>4.1368944501432053E-2</v>
      </c>
      <c r="AB436" s="50">
        <f t="shared" si="360"/>
        <v>3.5102305329568817E-2</v>
      </c>
      <c r="AC436" s="8">
        <f t="shared" si="358"/>
        <v>1.9999999999999996</v>
      </c>
    </row>
    <row r="437" spans="2:29">
      <c r="B437" s="12"/>
      <c r="C437" s="12" t="s">
        <v>15</v>
      </c>
      <c r="D437" s="12">
        <f>+SUM(D433:D436)</f>
        <v>31</v>
      </c>
      <c r="E437" s="19">
        <f>+SUMPRODUCT(E433:E436,$D433:$D436)</f>
        <v>0.93970041794117598</v>
      </c>
      <c r="F437" s="19">
        <f>+SUMPRODUCT(F433:F436,$D433:$D436)</f>
        <v>0.88299848210598197</v>
      </c>
      <c r="G437" s="19">
        <f t="shared" ref="G437:AB437" si="361">+SUMPRODUCT(G433:G436,$D433:$D436)</f>
        <v>0.85232072032812478</v>
      </c>
      <c r="H437" s="19">
        <f t="shared" si="361"/>
        <v>0.84829573596419738</v>
      </c>
      <c r="I437" s="19">
        <f t="shared" si="361"/>
        <v>0.90390631204323935</v>
      </c>
      <c r="J437" s="19">
        <f t="shared" si="361"/>
        <v>1.0443345629819747</v>
      </c>
      <c r="K437" s="19">
        <f t="shared" si="361"/>
        <v>1.1692394585131909</v>
      </c>
      <c r="L437" s="19">
        <f t="shared" si="361"/>
        <v>1.215174474736755</v>
      </c>
      <c r="M437" s="19">
        <f t="shared" si="361"/>
        <v>1.2698360888260669</v>
      </c>
      <c r="N437" s="19">
        <f t="shared" si="361"/>
        <v>1.3107691699084727</v>
      </c>
      <c r="O437" s="19">
        <f t="shared" si="361"/>
        <v>1.3692583054954905</v>
      </c>
      <c r="P437" s="19">
        <f t="shared" si="361"/>
        <v>1.4328995354134009</v>
      </c>
      <c r="Q437" s="19">
        <f t="shared" si="361"/>
        <v>1.4140992576205618</v>
      </c>
      <c r="R437" s="19">
        <f t="shared" si="361"/>
        <v>1.3660177361952903</v>
      </c>
      <c r="S437" s="19">
        <f t="shared" si="361"/>
        <v>1.3616086059729351</v>
      </c>
      <c r="T437" s="19">
        <f t="shared" si="361"/>
        <v>1.3863395969149375</v>
      </c>
      <c r="U437" s="19">
        <f t="shared" si="361"/>
        <v>1.4163086870602422</v>
      </c>
      <c r="V437" s="19">
        <f t="shared" si="361"/>
        <v>1.4804641430271626</v>
      </c>
      <c r="W437" s="19">
        <f t="shared" si="361"/>
        <v>1.7623830195837451</v>
      </c>
      <c r="X437" s="19">
        <f t="shared" si="361"/>
        <v>1.914113623259466</v>
      </c>
      <c r="Y437" s="19">
        <f t="shared" si="361"/>
        <v>1.7760762462529034</v>
      </c>
      <c r="Z437" s="19">
        <f t="shared" si="361"/>
        <v>1.5517601439437572</v>
      </c>
      <c r="AA437" s="19">
        <f t="shared" si="361"/>
        <v>1.2778619861262095</v>
      </c>
      <c r="AB437" s="19">
        <f t="shared" si="361"/>
        <v>1.0542336897847193</v>
      </c>
      <c r="AC437" s="12">
        <f>+SUM(E437:AB437)</f>
        <v>30.999999999999996</v>
      </c>
    </row>
    <row r="438" spans="2:29">
      <c r="B438" s="15">
        <f>+EDATE(B433,1)</f>
        <v>47515</v>
      </c>
      <c r="C438" s="8" t="s">
        <v>45</v>
      </c>
      <c r="D438" s="8">
        <v>20</v>
      </c>
      <c r="E438" s="50">
        <f t="shared" ref="E438:AB438" si="362">+E378</f>
        <v>2.9361257124838391E-2</v>
      </c>
      <c r="F438" s="50">
        <f t="shared" si="362"/>
        <v>2.7692710332229715E-2</v>
      </c>
      <c r="G438" s="50">
        <f t="shared" si="362"/>
        <v>2.6785161397696527E-2</v>
      </c>
      <c r="H438" s="50">
        <f t="shared" si="362"/>
        <v>2.6786989368939883E-2</v>
      </c>
      <c r="I438" s="50">
        <f t="shared" si="362"/>
        <v>2.9135775177511477E-2</v>
      </c>
      <c r="J438" s="50">
        <f t="shared" si="362"/>
        <v>3.4540443856715661E-2</v>
      </c>
      <c r="K438" s="50">
        <f t="shared" si="362"/>
        <v>3.8789035252325646E-2</v>
      </c>
      <c r="L438" s="50">
        <f t="shared" si="362"/>
        <v>3.957865839345593E-2</v>
      </c>
      <c r="M438" s="50">
        <f t="shared" si="362"/>
        <v>4.0957538271781398E-2</v>
      </c>
      <c r="N438" s="50">
        <f t="shared" si="362"/>
        <v>4.2166920044863825E-2</v>
      </c>
      <c r="O438" s="50">
        <f t="shared" si="362"/>
        <v>4.4150374939633218E-2</v>
      </c>
      <c r="P438" s="50">
        <f t="shared" si="362"/>
        <v>4.6294816466469102E-2</v>
      </c>
      <c r="Q438" s="50">
        <f t="shared" si="362"/>
        <v>4.5431875959152102E-2</v>
      </c>
      <c r="R438" s="50">
        <f t="shared" si="362"/>
        <v>4.3879728503346101E-2</v>
      </c>
      <c r="S438" s="50">
        <f t="shared" si="362"/>
        <v>4.4118506624640258E-2</v>
      </c>
      <c r="T438" s="50">
        <f t="shared" si="362"/>
        <v>4.5188432655351718E-2</v>
      </c>
      <c r="U438" s="50">
        <f t="shared" si="362"/>
        <v>4.624302558461979E-2</v>
      </c>
      <c r="V438" s="50">
        <f t="shared" si="362"/>
        <v>4.8247238962955179E-2</v>
      </c>
      <c r="W438" s="50">
        <f t="shared" si="362"/>
        <v>5.7096885328092907E-2</v>
      </c>
      <c r="X438" s="50">
        <f t="shared" si="362"/>
        <v>6.1739938045350239E-2</v>
      </c>
      <c r="Y438" s="50">
        <f t="shared" si="362"/>
        <v>5.7231881517227232E-2</v>
      </c>
      <c r="Z438" s="50">
        <f t="shared" si="362"/>
        <v>5.0129255438435008E-2</v>
      </c>
      <c r="AA438" s="50">
        <f t="shared" si="362"/>
        <v>4.1010488221716553E-2</v>
      </c>
      <c r="AB438" s="50">
        <f t="shared" si="362"/>
        <v>3.34430625326523E-2</v>
      </c>
      <c r="AC438" s="8">
        <f>+SUM(E438:AB438)*D438</f>
        <v>20.000000000000004</v>
      </c>
    </row>
    <row r="439" spans="2:29">
      <c r="B439" s="16"/>
      <c r="C439" s="8" t="s">
        <v>46</v>
      </c>
      <c r="D439" s="8">
        <v>4</v>
      </c>
      <c r="E439" s="50">
        <f t="shared" ref="E439:AB439" si="363">+E379</f>
        <v>3.0659473205105158E-2</v>
      </c>
      <c r="F439" s="50">
        <f t="shared" si="363"/>
        <v>2.8600001140869122E-2</v>
      </c>
      <c r="G439" s="50">
        <f t="shared" si="363"/>
        <v>2.7683858575034276E-2</v>
      </c>
      <c r="H439" s="50">
        <f t="shared" si="363"/>
        <v>2.7537802139610414E-2</v>
      </c>
      <c r="I439" s="50">
        <f t="shared" si="363"/>
        <v>2.8782539770184416E-2</v>
      </c>
      <c r="J439" s="50">
        <f t="shared" si="363"/>
        <v>3.2241585579716119E-2</v>
      </c>
      <c r="K439" s="50">
        <f t="shared" si="363"/>
        <v>3.645312931015221E-2</v>
      </c>
      <c r="L439" s="50">
        <f t="shared" si="363"/>
        <v>3.9012639181609042E-2</v>
      </c>
      <c r="M439" s="50">
        <f t="shared" si="363"/>
        <v>4.1549207589560662E-2</v>
      </c>
      <c r="N439" s="50">
        <f t="shared" si="363"/>
        <v>4.3042516751632572E-2</v>
      </c>
      <c r="O439" s="50">
        <f t="shared" si="363"/>
        <v>4.4973693586955334E-2</v>
      </c>
      <c r="P439" s="50">
        <f t="shared" si="363"/>
        <v>4.6808021710202923E-2</v>
      </c>
      <c r="Q439" s="50">
        <f t="shared" si="363"/>
        <v>4.6383383047344962E-2</v>
      </c>
      <c r="R439" s="50">
        <f t="shared" si="363"/>
        <v>4.4751654806610461E-2</v>
      </c>
      <c r="S439" s="50">
        <f t="shared" si="363"/>
        <v>4.4013077558728637E-2</v>
      </c>
      <c r="T439" s="50">
        <f t="shared" si="363"/>
        <v>4.428856091631931E-2</v>
      </c>
      <c r="U439" s="50">
        <f t="shared" si="363"/>
        <v>4.49735778579251E-2</v>
      </c>
      <c r="V439" s="50">
        <f t="shared" si="363"/>
        <v>4.6933206789217301E-2</v>
      </c>
      <c r="W439" s="50">
        <f t="shared" si="363"/>
        <v>5.6210586428141023E-2</v>
      </c>
      <c r="X439" s="50">
        <f t="shared" si="363"/>
        <v>6.1205656691958259E-2</v>
      </c>
      <c r="Y439" s="50">
        <f t="shared" si="363"/>
        <v>5.7018442088769522E-2</v>
      </c>
      <c r="Z439" s="50">
        <f t="shared" si="363"/>
        <v>4.9896672365740725E-2</v>
      </c>
      <c r="AA439" s="50">
        <f t="shared" si="363"/>
        <v>4.1622868086918119E-2</v>
      </c>
      <c r="AB439" s="50">
        <f t="shared" si="363"/>
        <v>3.5357844821693719E-2</v>
      </c>
      <c r="AC439" s="8">
        <f t="shared" ref="AC439:AC441" si="364">+SUM(E439:AB439)*D439</f>
        <v>3.9999999999999969</v>
      </c>
    </row>
    <row r="440" spans="2:29">
      <c r="B440" s="16"/>
      <c r="C440" s="8" t="s">
        <v>47</v>
      </c>
      <c r="D440" s="8">
        <v>4</v>
      </c>
      <c r="E440" s="50">
        <f t="shared" ref="E440:AB440" si="365">+E380</f>
        <v>3.3281514565353124E-2</v>
      </c>
      <c r="F440" s="50">
        <f t="shared" si="365"/>
        <v>3.1140043873712407E-2</v>
      </c>
      <c r="G440" s="50">
        <f t="shared" si="365"/>
        <v>2.984335106750436E-2</v>
      </c>
      <c r="H440" s="50">
        <f t="shared" si="365"/>
        <v>2.9286927979133532E-2</v>
      </c>
      <c r="I440" s="50">
        <f t="shared" si="365"/>
        <v>2.9138028999542646E-2</v>
      </c>
      <c r="J440" s="50">
        <f t="shared" si="365"/>
        <v>3.0942883559119717E-2</v>
      </c>
      <c r="K440" s="50">
        <f t="shared" si="365"/>
        <v>3.4432484834348992E-2</v>
      </c>
      <c r="L440" s="50">
        <f t="shared" si="365"/>
        <v>3.8305304424032266E-2</v>
      </c>
      <c r="M440" s="50">
        <f t="shared" si="365"/>
        <v>4.1103790742913066E-2</v>
      </c>
      <c r="N440" s="50">
        <f t="shared" si="365"/>
        <v>4.2608444243851212E-2</v>
      </c>
      <c r="O440" s="50">
        <f t="shared" si="365"/>
        <v>4.3914681848814308E-2</v>
      </c>
      <c r="P440" s="50">
        <f t="shared" si="365"/>
        <v>4.5729867165388009E-2</v>
      </c>
      <c r="Q440" s="50">
        <f t="shared" si="365"/>
        <v>4.5741487779353565E-2</v>
      </c>
      <c r="R440" s="50">
        <f t="shared" si="365"/>
        <v>4.4277060725657284E-2</v>
      </c>
      <c r="S440" s="50">
        <f t="shared" si="365"/>
        <v>4.3144199391556254E-2</v>
      </c>
      <c r="T440" s="50">
        <f t="shared" si="365"/>
        <v>4.3279567369281124E-2</v>
      </c>
      <c r="U440" s="50">
        <f t="shared" si="365"/>
        <v>4.4109954506885138E-2</v>
      </c>
      <c r="V440" s="50">
        <f t="shared" si="365"/>
        <v>4.6298728840315946E-2</v>
      </c>
      <c r="W440" s="50">
        <f t="shared" si="365"/>
        <v>5.6176649878816001E-2</v>
      </c>
      <c r="X440" s="50">
        <f t="shared" si="365"/>
        <v>6.2194705000087863E-2</v>
      </c>
      <c r="Y440" s="50">
        <f t="shared" si="365"/>
        <v>5.7928891294023718E-2</v>
      </c>
      <c r="Z440" s="50">
        <f t="shared" si="365"/>
        <v>5.019499221712586E-2</v>
      </c>
      <c r="AA440" s="50">
        <f t="shared" si="365"/>
        <v>4.1853093029906328E-2</v>
      </c>
      <c r="AB440" s="50">
        <f t="shared" si="365"/>
        <v>3.507334666327714E-2</v>
      </c>
      <c r="AC440" s="8">
        <f t="shared" si="364"/>
        <v>3.9999999999999991</v>
      </c>
    </row>
    <row r="441" spans="2:29">
      <c r="B441" s="16"/>
      <c r="C441" s="8" t="s">
        <v>48</v>
      </c>
      <c r="D441" s="8">
        <v>0</v>
      </c>
      <c r="E441" s="50">
        <f t="shared" ref="E441:AB441" si="366">+E381</f>
        <v>3.367503361886829E-2</v>
      </c>
      <c r="F441" s="50">
        <f t="shared" si="366"/>
        <v>3.1245692535415936E-2</v>
      </c>
      <c r="G441" s="50">
        <f t="shared" si="366"/>
        <v>2.9861746203171599E-2</v>
      </c>
      <c r="H441" s="50">
        <f t="shared" si="366"/>
        <v>2.9235019370742008E-2</v>
      </c>
      <c r="I441" s="50">
        <f t="shared" si="366"/>
        <v>3.0186379118294998E-2</v>
      </c>
      <c r="J441" s="50">
        <f t="shared" si="366"/>
        <v>3.3123682717801174E-2</v>
      </c>
      <c r="K441" s="50">
        <f t="shared" si="366"/>
        <v>3.5563630818173868E-2</v>
      </c>
      <c r="L441" s="50">
        <f t="shared" si="366"/>
        <v>3.7375437025807548E-2</v>
      </c>
      <c r="M441" s="50">
        <f t="shared" si="366"/>
        <v>3.9557895894381336E-2</v>
      </c>
      <c r="N441" s="50">
        <f t="shared" si="366"/>
        <v>4.1330002492198488E-2</v>
      </c>
      <c r="O441" s="50">
        <f t="shared" si="366"/>
        <v>4.3273465010057272E-2</v>
      </c>
      <c r="P441" s="50">
        <f t="shared" si="366"/>
        <v>4.5278417057592932E-2</v>
      </c>
      <c r="Q441" s="50">
        <f t="shared" si="366"/>
        <v>4.5765189585786785E-2</v>
      </c>
      <c r="R441" s="50">
        <f t="shared" si="366"/>
        <v>4.421428774797561E-2</v>
      </c>
      <c r="S441" s="50">
        <f t="shared" si="366"/>
        <v>4.3245429527174986E-2</v>
      </c>
      <c r="T441" s="50">
        <f t="shared" si="366"/>
        <v>4.3554999005074702E-2</v>
      </c>
      <c r="U441" s="50">
        <f t="shared" si="366"/>
        <v>4.4435510161992771E-2</v>
      </c>
      <c r="V441" s="50">
        <f t="shared" si="366"/>
        <v>4.717219114348542E-2</v>
      </c>
      <c r="W441" s="50">
        <f t="shared" si="366"/>
        <v>5.6899741232983039E-2</v>
      </c>
      <c r="X441" s="50">
        <f t="shared" si="366"/>
        <v>6.1986738769463187E-2</v>
      </c>
      <c r="Y441" s="50">
        <f t="shared" si="366"/>
        <v>5.7208700429979269E-2</v>
      </c>
      <c r="Z441" s="50">
        <f t="shared" si="366"/>
        <v>4.9339560702577757E-2</v>
      </c>
      <c r="AA441" s="50">
        <f t="shared" si="366"/>
        <v>4.1368944501432053E-2</v>
      </c>
      <c r="AB441" s="50">
        <f t="shared" si="366"/>
        <v>3.5102305329568817E-2</v>
      </c>
      <c r="AC441" s="8">
        <f t="shared" si="364"/>
        <v>0</v>
      </c>
    </row>
    <row r="442" spans="2:29">
      <c r="B442" s="12"/>
      <c r="C442" s="12" t="s">
        <v>15</v>
      </c>
      <c r="D442" s="12">
        <f>+SUM(D438:D441)</f>
        <v>28</v>
      </c>
      <c r="E442" s="19">
        <f>+SUMPRODUCT(E438:E441,$D438:$D441)</f>
        <v>0.84298909357860086</v>
      </c>
      <c r="F442" s="19">
        <f>+SUMPRODUCT(F438:F441,$D438:$D441)</f>
        <v>0.79281438670292037</v>
      </c>
      <c r="G442" s="19">
        <f t="shared" ref="G442:AB442" si="367">+SUMPRODUCT(G438:G441,$D438:$D441)</f>
        <v>0.76581206652408507</v>
      </c>
      <c r="H442" s="19">
        <f t="shared" si="367"/>
        <v>0.76303870785377348</v>
      </c>
      <c r="I442" s="19">
        <f t="shared" si="367"/>
        <v>0.81439777862913776</v>
      </c>
      <c r="J442" s="19">
        <f t="shared" si="367"/>
        <v>0.94354675368965668</v>
      </c>
      <c r="K442" s="19">
        <f t="shared" si="367"/>
        <v>1.0593231616245178</v>
      </c>
      <c r="L442" s="19">
        <f t="shared" si="367"/>
        <v>1.1008449422916837</v>
      </c>
      <c r="M442" s="19">
        <f t="shared" si="367"/>
        <v>1.1497627587655228</v>
      </c>
      <c r="N442" s="19">
        <f t="shared" si="367"/>
        <v>1.1859422448792118</v>
      </c>
      <c r="O442" s="19">
        <f t="shared" si="367"/>
        <v>1.238561000535743</v>
      </c>
      <c r="P442" s="19">
        <f t="shared" si="367"/>
        <v>1.2960478848317458</v>
      </c>
      <c r="Q442" s="19">
        <f t="shared" si="367"/>
        <v>1.2771370024898361</v>
      </c>
      <c r="R442" s="19">
        <f t="shared" si="367"/>
        <v>1.2337094321959929</v>
      </c>
      <c r="S442" s="19">
        <f t="shared" si="367"/>
        <v>1.2309992402939449</v>
      </c>
      <c r="T442" s="19">
        <f t="shared" si="367"/>
        <v>1.2540411662494362</v>
      </c>
      <c r="U442" s="19">
        <f t="shared" si="367"/>
        <v>1.2811946411516368</v>
      </c>
      <c r="V442" s="19">
        <f t="shared" si="367"/>
        <v>1.3378725217772365</v>
      </c>
      <c r="W442" s="19">
        <f t="shared" si="367"/>
        <v>1.5914866517896862</v>
      </c>
      <c r="X442" s="19">
        <f t="shared" si="367"/>
        <v>1.7284002076751892</v>
      </c>
      <c r="Y442" s="19">
        <f t="shared" si="367"/>
        <v>1.6044269638757178</v>
      </c>
      <c r="Z442" s="19">
        <f t="shared" si="367"/>
        <v>1.4029517671001666</v>
      </c>
      <c r="AA442" s="19">
        <f t="shared" si="367"/>
        <v>1.1541136089016288</v>
      </c>
      <c r="AB442" s="19">
        <f t="shared" si="367"/>
        <v>0.95058601659292941</v>
      </c>
      <c r="AC442" s="12">
        <f>+SUM(E442:AB442)</f>
        <v>27.999999999999996</v>
      </c>
    </row>
    <row r="443" spans="2:29">
      <c r="B443" s="15">
        <f>+EDATE(B438,1)</f>
        <v>47543</v>
      </c>
      <c r="C443" s="8" t="s">
        <v>45</v>
      </c>
      <c r="D443" s="8">
        <v>20</v>
      </c>
      <c r="E443" s="50">
        <f t="shared" ref="E443:AB443" si="368">+E383</f>
        <v>2.9361257124838391E-2</v>
      </c>
      <c r="F443" s="50">
        <f t="shared" si="368"/>
        <v>2.7692710332229715E-2</v>
      </c>
      <c r="G443" s="50">
        <f t="shared" si="368"/>
        <v>2.6785161397696527E-2</v>
      </c>
      <c r="H443" s="50">
        <f t="shared" si="368"/>
        <v>2.6786989368939883E-2</v>
      </c>
      <c r="I443" s="50">
        <f t="shared" si="368"/>
        <v>2.9135775177511477E-2</v>
      </c>
      <c r="J443" s="50">
        <f t="shared" si="368"/>
        <v>3.4540443856715661E-2</v>
      </c>
      <c r="K443" s="50">
        <f t="shared" si="368"/>
        <v>3.8789035252325646E-2</v>
      </c>
      <c r="L443" s="50">
        <f t="shared" si="368"/>
        <v>3.957865839345593E-2</v>
      </c>
      <c r="M443" s="50">
        <f t="shared" si="368"/>
        <v>4.0957538271781398E-2</v>
      </c>
      <c r="N443" s="50">
        <f t="shared" si="368"/>
        <v>4.2166920044863825E-2</v>
      </c>
      <c r="O443" s="50">
        <f t="shared" si="368"/>
        <v>4.4150374939633218E-2</v>
      </c>
      <c r="P443" s="50">
        <f t="shared" si="368"/>
        <v>4.6294816466469102E-2</v>
      </c>
      <c r="Q443" s="50">
        <f t="shared" si="368"/>
        <v>4.5431875959152102E-2</v>
      </c>
      <c r="R443" s="50">
        <f t="shared" si="368"/>
        <v>4.3879728503346101E-2</v>
      </c>
      <c r="S443" s="50">
        <f t="shared" si="368"/>
        <v>4.4118506624640258E-2</v>
      </c>
      <c r="T443" s="50">
        <f t="shared" si="368"/>
        <v>4.5188432655351718E-2</v>
      </c>
      <c r="U443" s="50">
        <f t="shared" si="368"/>
        <v>4.624302558461979E-2</v>
      </c>
      <c r="V443" s="50">
        <f t="shared" si="368"/>
        <v>4.8247238962955179E-2</v>
      </c>
      <c r="W443" s="50">
        <f t="shared" si="368"/>
        <v>5.7096885328092907E-2</v>
      </c>
      <c r="X443" s="50">
        <f t="shared" si="368"/>
        <v>6.1739938045350239E-2</v>
      </c>
      <c r="Y443" s="50">
        <f t="shared" si="368"/>
        <v>5.7231881517227232E-2</v>
      </c>
      <c r="Z443" s="50">
        <f t="shared" si="368"/>
        <v>5.0129255438435008E-2</v>
      </c>
      <c r="AA443" s="50">
        <f t="shared" si="368"/>
        <v>4.1010488221716553E-2</v>
      </c>
      <c r="AB443" s="50">
        <f t="shared" si="368"/>
        <v>3.34430625326523E-2</v>
      </c>
      <c r="AC443" s="8">
        <f>+SUM(E443:AB443)*D443</f>
        <v>20.000000000000004</v>
      </c>
    </row>
    <row r="444" spans="2:29">
      <c r="B444" s="16"/>
      <c r="C444" s="8" t="s">
        <v>46</v>
      </c>
      <c r="D444" s="8">
        <v>5</v>
      </c>
      <c r="E444" s="50">
        <f t="shared" ref="E444:AB444" si="369">+E384</f>
        <v>3.0659473205105158E-2</v>
      </c>
      <c r="F444" s="50">
        <f t="shared" si="369"/>
        <v>2.8600001140869122E-2</v>
      </c>
      <c r="G444" s="50">
        <f t="shared" si="369"/>
        <v>2.7683858575034276E-2</v>
      </c>
      <c r="H444" s="50">
        <f t="shared" si="369"/>
        <v>2.7537802139610414E-2</v>
      </c>
      <c r="I444" s="50">
        <f t="shared" si="369"/>
        <v>2.8782539770184416E-2</v>
      </c>
      <c r="J444" s="50">
        <f t="shared" si="369"/>
        <v>3.2241585579716119E-2</v>
      </c>
      <c r="K444" s="50">
        <f t="shared" si="369"/>
        <v>3.645312931015221E-2</v>
      </c>
      <c r="L444" s="50">
        <f t="shared" si="369"/>
        <v>3.9012639181609042E-2</v>
      </c>
      <c r="M444" s="50">
        <f t="shared" si="369"/>
        <v>4.1549207589560662E-2</v>
      </c>
      <c r="N444" s="50">
        <f t="shared" si="369"/>
        <v>4.3042516751632572E-2</v>
      </c>
      <c r="O444" s="50">
        <f t="shared" si="369"/>
        <v>4.4973693586955334E-2</v>
      </c>
      <c r="P444" s="50">
        <f t="shared" si="369"/>
        <v>4.6808021710202923E-2</v>
      </c>
      <c r="Q444" s="50">
        <f t="shared" si="369"/>
        <v>4.6383383047344962E-2</v>
      </c>
      <c r="R444" s="50">
        <f t="shared" si="369"/>
        <v>4.4751654806610461E-2</v>
      </c>
      <c r="S444" s="50">
        <f t="shared" si="369"/>
        <v>4.4013077558728637E-2</v>
      </c>
      <c r="T444" s="50">
        <f t="shared" si="369"/>
        <v>4.428856091631931E-2</v>
      </c>
      <c r="U444" s="50">
        <f t="shared" si="369"/>
        <v>4.49735778579251E-2</v>
      </c>
      <c r="V444" s="50">
        <f t="shared" si="369"/>
        <v>4.6933206789217301E-2</v>
      </c>
      <c r="W444" s="50">
        <f t="shared" si="369"/>
        <v>5.6210586428141023E-2</v>
      </c>
      <c r="X444" s="50">
        <f t="shared" si="369"/>
        <v>6.1205656691958259E-2</v>
      </c>
      <c r="Y444" s="50">
        <f t="shared" si="369"/>
        <v>5.7018442088769522E-2</v>
      </c>
      <c r="Z444" s="50">
        <f t="shared" si="369"/>
        <v>4.9896672365740725E-2</v>
      </c>
      <c r="AA444" s="50">
        <f t="shared" si="369"/>
        <v>4.1622868086918119E-2</v>
      </c>
      <c r="AB444" s="50">
        <f t="shared" si="369"/>
        <v>3.5357844821693719E-2</v>
      </c>
      <c r="AC444" s="8">
        <f t="shared" ref="AC444:AC446" si="370">+SUM(E444:AB444)*D444</f>
        <v>4.9999999999999964</v>
      </c>
    </row>
    <row r="445" spans="2:29">
      <c r="B445" s="16"/>
      <c r="C445" s="8" t="s">
        <v>47</v>
      </c>
      <c r="D445" s="8">
        <v>5</v>
      </c>
      <c r="E445" s="50">
        <f t="shared" ref="E445:AB445" si="371">+E385</f>
        <v>3.3281514565353124E-2</v>
      </c>
      <c r="F445" s="50">
        <f t="shared" si="371"/>
        <v>3.1140043873712407E-2</v>
      </c>
      <c r="G445" s="50">
        <f t="shared" si="371"/>
        <v>2.984335106750436E-2</v>
      </c>
      <c r="H445" s="50">
        <f t="shared" si="371"/>
        <v>2.9286927979133532E-2</v>
      </c>
      <c r="I445" s="50">
        <f t="shared" si="371"/>
        <v>2.9138028999542646E-2</v>
      </c>
      <c r="J445" s="50">
        <f t="shared" si="371"/>
        <v>3.0942883559119717E-2</v>
      </c>
      <c r="K445" s="50">
        <f t="shared" si="371"/>
        <v>3.4432484834348992E-2</v>
      </c>
      <c r="L445" s="50">
        <f t="shared" si="371"/>
        <v>3.8305304424032266E-2</v>
      </c>
      <c r="M445" s="50">
        <f t="shared" si="371"/>
        <v>4.1103790742913066E-2</v>
      </c>
      <c r="N445" s="50">
        <f t="shared" si="371"/>
        <v>4.2608444243851212E-2</v>
      </c>
      <c r="O445" s="50">
        <f t="shared" si="371"/>
        <v>4.3914681848814308E-2</v>
      </c>
      <c r="P445" s="50">
        <f t="shared" si="371"/>
        <v>4.5729867165388009E-2</v>
      </c>
      <c r="Q445" s="50">
        <f t="shared" si="371"/>
        <v>4.5741487779353565E-2</v>
      </c>
      <c r="R445" s="50">
        <f t="shared" si="371"/>
        <v>4.4277060725657284E-2</v>
      </c>
      <c r="S445" s="50">
        <f t="shared" si="371"/>
        <v>4.3144199391556254E-2</v>
      </c>
      <c r="T445" s="50">
        <f t="shared" si="371"/>
        <v>4.3279567369281124E-2</v>
      </c>
      <c r="U445" s="50">
        <f t="shared" si="371"/>
        <v>4.4109954506885138E-2</v>
      </c>
      <c r="V445" s="50">
        <f t="shared" si="371"/>
        <v>4.6298728840315946E-2</v>
      </c>
      <c r="W445" s="50">
        <f t="shared" si="371"/>
        <v>5.6176649878816001E-2</v>
      </c>
      <c r="X445" s="50">
        <f t="shared" si="371"/>
        <v>6.2194705000087863E-2</v>
      </c>
      <c r="Y445" s="50">
        <f t="shared" si="371"/>
        <v>5.7928891294023718E-2</v>
      </c>
      <c r="Z445" s="50">
        <f t="shared" si="371"/>
        <v>5.019499221712586E-2</v>
      </c>
      <c r="AA445" s="50">
        <f t="shared" si="371"/>
        <v>4.1853093029906328E-2</v>
      </c>
      <c r="AB445" s="50">
        <f t="shared" si="371"/>
        <v>3.507334666327714E-2</v>
      </c>
      <c r="AC445" s="8">
        <f t="shared" si="370"/>
        <v>4.9999999999999991</v>
      </c>
    </row>
    <row r="446" spans="2:29">
      <c r="B446" s="16"/>
      <c r="C446" s="8" t="s">
        <v>48</v>
      </c>
      <c r="D446" s="8">
        <v>1</v>
      </c>
      <c r="E446" s="50">
        <f t="shared" ref="E446:AB446" si="372">+E386</f>
        <v>3.367503361886829E-2</v>
      </c>
      <c r="F446" s="50">
        <f t="shared" si="372"/>
        <v>3.1245692535415936E-2</v>
      </c>
      <c r="G446" s="50">
        <f t="shared" si="372"/>
        <v>2.9861746203171599E-2</v>
      </c>
      <c r="H446" s="50">
        <f t="shared" si="372"/>
        <v>2.9235019370742008E-2</v>
      </c>
      <c r="I446" s="50">
        <f t="shared" si="372"/>
        <v>3.0186379118294998E-2</v>
      </c>
      <c r="J446" s="50">
        <f t="shared" si="372"/>
        <v>3.3123682717801174E-2</v>
      </c>
      <c r="K446" s="50">
        <f t="shared" si="372"/>
        <v>3.5563630818173868E-2</v>
      </c>
      <c r="L446" s="50">
        <f t="shared" si="372"/>
        <v>3.7375437025807548E-2</v>
      </c>
      <c r="M446" s="50">
        <f t="shared" si="372"/>
        <v>3.9557895894381336E-2</v>
      </c>
      <c r="N446" s="50">
        <f t="shared" si="372"/>
        <v>4.1330002492198488E-2</v>
      </c>
      <c r="O446" s="50">
        <f t="shared" si="372"/>
        <v>4.3273465010057272E-2</v>
      </c>
      <c r="P446" s="50">
        <f t="shared" si="372"/>
        <v>4.5278417057592932E-2</v>
      </c>
      <c r="Q446" s="50">
        <f t="shared" si="372"/>
        <v>4.5765189585786785E-2</v>
      </c>
      <c r="R446" s="50">
        <f t="shared" si="372"/>
        <v>4.421428774797561E-2</v>
      </c>
      <c r="S446" s="50">
        <f t="shared" si="372"/>
        <v>4.3245429527174986E-2</v>
      </c>
      <c r="T446" s="50">
        <f t="shared" si="372"/>
        <v>4.3554999005074702E-2</v>
      </c>
      <c r="U446" s="50">
        <f t="shared" si="372"/>
        <v>4.4435510161992771E-2</v>
      </c>
      <c r="V446" s="50">
        <f t="shared" si="372"/>
        <v>4.717219114348542E-2</v>
      </c>
      <c r="W446" s="50">
        <f t="shared" si="372"/>
        <v>5.6899741232983039E-2</v>
      </c>
      <c r="X446" s="50">
        <f t="shared" si="372"/>
        <v>6.1986738769463187E-2</v>
      </c>
      <c r="Y446" s="50">
        <f t="shared" si="372"/>
        <v>5.7208700429979269E-2</v>
      </c>
      <c r="Z446" s="50">
        <f t="shared" si="372"/>
        <v>4.9339560702577757E-2</v>
      </c>
      <c r="AA446" s="50">
        <f t="shared" si="372"/>
        <v>4.1368944501432053E-2</v>
      </c>
      <c r="AB446" s="50">
        <f t="shared" si="372"/>
        <v>3.5102305329568817E-2</v>
      </c>
      <c r="AC446" s="8">
        <f t="shared" si="370"/>
        <v>0.99999999999999978</v>
      </c>
    </row>
    <row r="447" spans="2:29">
      <c r="B447" s="12"/>
      <c r="C447" s="12" t="s">
        <v>15</v>
      </c>
      <c r="D447" s="12">
        <f>+SUM(D443:D446)</f>
        <v>31</v>
      </c>
      <c r="E447" s="19">
        <f>+SUMPRODUCT(E443:E446,$D443:$D446)</f>
        <v>0.94060511496792754</v>
      </c>
      <c r="F447" s="19">
        <f>+SUMPRODUCT(F443:F446,$D443:$D446)</f>
        <v>0.88380012425291787</v>
      </c>
      <c r="G447" s="19">
        <f t="shared" ref="G447:AB447" si="373">+SUMPRODUCT(G443:G446,$D443:$D446)</f>
        <v>0.85320102236979534</v>
      </c>
      <c r="H447" s="19">
        <f t="shared" si="373"/>
        <v>0.84909845734325939</v>
      </c>
      <c r="I447" s="19">
        <f t="shared" si="373"/>
        <v>0.90250472651715985</v>
      </c>
      <c r="J447" s="19">
        <f t="shared" si="373"/>
        <v>1.0398549055462936</v>
      </c>
      <c r="K447" s="19">
        <f t="shared" si="373"/>
        <v>1.1657724065871928</v>
      </c>
      <c r="L447" s="19">
        <f t="shared" si="373"/>
        <v>1.2155383229231327</v>
      </c>
      <c r="M447" s="19">
        <f t="shared" si="373"/>
        <v>1.271973652992378</v>
      </c>
      <c r="N447" s="19">
        <f t="shared" si="373"/>
        <v>1.3129232083668938</v>
      </c>
      <c r="O447" s="19">
        <f t="shared" si="373"/>
        <v>1.3707228409815699</v>
      </c>
      <c r="P447" s="19">
        <f t="shared" si="373"/>
        <v>1.4338641907649297</v>
      </c>
      <c r="Q447" s="19">
        <f t="shared" si="373"/>
        <v>1.4150270629023214</v>
      </c>
      <c r="R447" s="19">
        <f t="shared" si="373"/>
        <v>1.3669524354762363</v>
      </c>
      <c r="S447" s="19">
        <f t="shared" si="373"/>
        <v>1.3614019467714047</v>
      </c>
      <c r="T447" s="19">
        <f t="shared" si="373"/>
        <v>1.3851642935401114</v>
      </c>
      <c r="U447" s="19">
        <f t="shared" si="373"/>
        <v>1.4147136836784397</v>
      </c>
      <c r="V447" s="19">
        <f t="shared" si="373"/>
        <v>1.4782766485502554</v>
      </c>
      <c r="W447" s="19">
        <f t="shared" si="373"/>
        <v>1.7607736293296263</v>
      </c>
      <c r="X447" s="19">
        <f t="shared" si="373"/>
        <v>1.9137873081366987</v>
      </c>
      <c r="Y447" s="19">
        <f t="shared" si="373"/>
        <v>1.7765829976884902</v>
      </c>
      <c r="Z447" s="19">
        <f t="shared" si="373"/>
        <v>1.5523829923856107</v>
      </c>
      <c r="AA447" s="19">
        <f t="shared" si="373"/>
        <v>1.2789585145198852</v>
      </c>
      <c r="AB447" s="19">
        <f t="shared" si="373"/>
        <v>1.0561195134074692</v>
      </c>
      <c r="AC447" s="12">
        <f>+SUM(E447:AB447)</f>
        <v>30.999999999999996</v>
      </c>
    </row>
    <row r="448" spans="2:29">
      <c r="B448" s="15">
        <f>+EDATE(B443,1)</f>
        <v>47574</v>
      </c>
      <c r="C448" s="8" t="s">
        <v>45</v>
      </c>
      <c r="D448" s="8">
        <v>20</v>
      </c>
      <c r="E448" s="50">
        <f t="shared" ref="E448:AB448" si="374">+E388</f>
        <v>2.9361257124838391E-2</v>
      </c>
      <c r="F448" s="50">
        <f t="shared" si="374"/>
        <v>2.7692710332229715E-2</v>
      </c>
      <c r="G448" s="50">
        <f t="shared" si="374"/>
        <v>2.6785161397696527E-2</v>
      </c>
      <c r="H448" s="50">
        <f t="shared" si="374"/>
        <v>2.6786989368939883E-2</v>
      </c>
      <c r="I448" s="50">
        <f t="shared" si="374"/>
        <v>2.9135775177511477E-2</v>
      </c>
      <c r="J448" s="50">
        <f t="shared" si="374"/>
        <v>3.4540443856715661E-2</v>
      </c>
      <c r="K448" s="50">
        <f t="shared" si="374"/>
        <v>3.8789035252325646E-2</v>
      </c>
      <c r="L448" s="50">
        <f t="shared" si="374"/>
        <v>3.957865839345593E-2</v>
      </c>
      <c r="M448" s="50">
        <f t="shared" si="374"/>
        <v>4.0957538271781398E-2</v>
      </c>
      <c r="N448" s="50">
        <f t="shared" si="374"/>
        <v>4.2166920044863825E-2</v>
      </c>
      <c r="O448" s="50">
        <f t="shared" si="374"/>
        <v>4.4150374939633218E-2</v>
      </c>
      <c r="P448" s="50">
        <f t="shared" si="374"/>
        <v>4.6294816466469102E-2</v>
      </c>
      <c r="Q448" s="50">
        <f t="shared" si="374"/>
        <v>4.5431875959152102E-2</v>
      </c>
      <c r="R448" s="50">
        <f t="shared" si="374"/>
        <v>4.3879728503346101E-2</v>
      </c>
      <c r="S448" s="50">
        <f t="shared" si="374"/>
        <v>4.4118506624640258E-2</v>
      </c>
      <c r="T448" s="50">
        <f t="shared" si="374"/>
        <v>4.5188432655351718E-2</v>
      </c>
      <c r="U448" s="50">
        <f t="shared" si="374"/>
        <v>4.624302558461979E-2</v>
      </c>
      <c r="V448" s="50">
        <f t="shared" si="374"/>
        <v>4.8247238962955179E-2</v>
      </c>
      <c r="W448" s="50">
        <f t="shared" si="374"/>
        <v>5.7096885328092907E-2</v>
      </c>
      <c r="X448" s="50">
        <f t="shared" si="374"/>
        <v>6.1739938045350239E-2</v>
      </c>
      <c r="Y448" s="50">
        <f t="shared" si="374"/>
        <v>5.7231881517227232E-2</v>
      </c>
      <c r="Z448" s="50">
        <f t="shared" si="374"/>
        <v>5.0129255438435008E-2</v>
      </c>
      <c r="AA448" s="50">
        <f t="shared" si="374"/>
        <v>4.1010488221716553E-2</v>
      </c>
      <c r="AB448" s="50">
        <f t="shared" si="374"/>
        <v>3.34430625326523E-2</v>
      </c>
      <c r="AC448" s="8">
        <f>+SUM(E448:AB448)*D448</f>
        <v>20.000000000000004</v>
      </c>
    </row>
    <row r="449" spans="2:29">
      <c r="B449" s="16"/>
      <c r="C449" s="8" t="s">
        <v>46</v>
      </c>
      <c r="D449" s="8">
        <v>4</v>
      </c>
      <c r="E449" s="50">
        <f t="shared" ref="E449:AB449" si="375">+E389</f>
        <v>3.0659473205105158E-2</v>
      </c>
      <c r="F449" s="50">
        <f t="shared" si="375"/>
        <v>2.8600001140869122E-2</v>
      </c>
      <c r="G449" s="50">
        <f t="shared" si="375"/>
        <v>2.7683858575034276E-2</v>
      </c>
      <c r="H449" s="50">
        <f t="shared" si="375"/>
        <v>2.7537802139610414E-2</v>
      </c>
      <c r="I449" s="50">
        <f t="shared" si="375"/>
        <v>2.8782539770184416E-2</v>
      </c>
      <c r="J449" s="50">
        <f t="shared" si="375"/>
        <v>3.2241585579716119E-2</v>
      </c>
      <c r="K449" s="50">
        <f t="shared" si="375"/>
        <v>3.645312931015221E-2</v>
      </c>
      <c r="L449" s="50">
        <f t="shared" si="375"/>
        <v>3.9012639181609042E-2</v>
      </c>
      <c r="M449" s="50">
        <f t="shared" si="375"/>
        <v>4.1549207589560662E-2</v>
      </c>
      <c r="N449" s="50">
        <f t="shared" si="375"/>
        <v>4.3042516751632572E-2</v>
      </c>
      <c r="O449" s="50">
        <f t="shared" si="375"/>
        <v>4.4973693586955334E-2</v>
      </c>
      <c r="P449" s="50">
        <f t="shared" si="375"/>
        <v>4.6808021710202923E-2</v>
      </c>
      <c r="Q449" s="50">
        <f t="shared" si="375"/>
        <v>4.6383383047344962E-2</v>
      </c>
      <c r="R449" s="50">
        <f t="shared" si="375"/>
        <v>4.4751654806610461E-2</v>
      </c>
      <c r="S449" s="50">
        <f t="shared" si="375"/>
        <v>4.4013077558728637E-2</v>
      </c>
      <c r="T449" s="50">
        <f t="shared" si="375"/>
        <v>4.428856091631931E-2</v>
      </c>
      <c r="U449" s="50">
        <f t="shared" si="375"/>
        <v>4.49735778579251E-2</v>
      </c>
      <c r="V449" s="50">
        <f t="shared" si="375"/>
        <v>4.6933206789217301E-2</v>
      </c>
      <c r="W449" s="50">
        <f t="shared" si="375"/>
        <v>5.6210586428141023E-2</v>
      </c>
      <c r="X449" s="50">
        <f t="shared" si="375"/>
        <v>6.1205656691958259E-2</v>
      </c>
      <c r="Y449" s="50">
        <f t="shared" si="375"/>
        <v>5.7018442088769522E-2</v>
      </c>
      <c r="Z449" s="50">
        <f t="shared" si="375"/>
        <v>4.9896672365740725E-2</v>
      </c>
      <c r="AA449" s="50">
        <f t="shared" si="375"/>
        <v>4.1622868086918119E-2</v>
      </c>
      <c r="AB449" s="50">
        <f t="shared" si="375"/>
        <v>3.5357844821693719E-2</v>
      </c>
      <c r="AC449" s="8">
        <f t="shared" ref="AC449:AC451" si="376">+SUM(E449:AB449)*D449</f>
        <v>3.9999999999999969</v>
      </c>
    </row>
    <row r="450" spans="2:29">
      <c r="B450" s="16"/>
      <c r="C450" s="8" t="s">
        <v>47</v>
      </c>
      <c r="D450" s="8">
        <v>4</v>
      </c>
      <c r="E450" s="50">
        <f t="shared" ref="E450:AB450" si="377">+E390</f>
        <v>3.3281514565353124E-2</v>
      </c>
      <c r="F450" s="50">
        <f t="shared" si="377"/>
        <v>3.1140043873712407E-2</v>
      </c>
      <c r="G450" s="50">
        <f t="shared" si="377"/>
        <v>2.984335106750436E-2</v>
      </c>
      <c r="H450" s="50">
        <f t="shared" si="377"/>
        <v>2.9286927979133532E-2</v>
      </c>
      <c r="I450" s="50">
        <f t="shared" si="377"/>
        <v>2.9138028999542646E-2</v>
      </c>
      <c r="J450" s="50">
        <f t="shared" si="377"/>
        <v>3.0942883559119717E-2</v>
      </c>
      <c r="K450" s="50">
        <f t="shared" si="377"/>
        <v>3.4432484834348992E-2</v>
      </c>
      <c r="L450" s="50">
        <f t="shared" si="377"/>
        <v>3.8305304424032266E-2</v>
      </c>
      <c r="M450" s="50">
        <f t="shared" si="377"/>
        <v>4.1103790742913066E-2</v>
      </c>
      <c r="N450" s="50">
        <f t="shared" si="377"/>
        <v>4.2608444243851212E-2</v>
      </c>
      <c r="O450" s="50">
        <f t="shared" si="377"/>
        <v>4.3914681848814308E-2</v>
      </c>
      <c r="P450" s="50">
        <f t="shared" si="377"/>
        <v>4.5729867165388009E-2</v>
      </c>
      <c r="Q450" s="50">
        <f t="shared" si="377"/>
        <v>4.5741487779353565E-2</v>
      </c>
      <c r="R450" s="50">
        <f t="shared" si="377"/>
        <v>4.4277060725657284E-2</v>
      </c>
      <c r="S450" s="50">
        <f t="shared" si="377"/>
        <v>4.3144199391556254E-2</v>
      </c>
      <c r="T450" s="50">
        <f t="shared" si="377"/>
        <v>4.3279567369281124E-2</v>
      </c>
      <c r="U450" s="50">
        <f t="shared" si="377"/>
        <v>4.4109954506885138E-2</v>
      </c>
      <c r="V450" s="50">
        <f t="shared" si="377"/>
        <v>4.6298728840315946E-2</v>
      </c>
      <c r="W450" s="50">
        <f t="shared" si="377"/>
        <v>5.6176649878816001E-2</v>
      </c>
      <c r="X450" s="50">
        <f t="shared" si="377"/>
        <v>6.2194705000087863E-2</v>
      </c>
      <c r="Y450" s="50">
        <f t="shared" si="377"/>
        <v>5.7928891294023718E-2</v>
      </c>
      <c r="Z450" s="50">
        <f t="shared" si="377"/>
        <v>5.019499221712586E-2</v>
      </c>
      <c r="AA450" s="50">
        <f t="shared" si="377"/>
        <v>4.1853093029906328E-2</v>
      </c>
      <c r="AB450" s="50">
        <f t="shared" si="377"/>
        <v>3.507334666327714E-2</v>
      </c>
      <c r="AC450" s="8">
        <f t="shared" si="376"/>
        <v>3.9999999999999991</v>
      </c>
    </row>
    <row r="451" spans="2:29">
      <c r="B451" s="16"/>
      <c r="C451" s="8" t="s">
        <v>48</v>
      </c>
      <c r="D451" s="8">
        <v>2</v>
      </c>
      <c r="E451" s="50">
        <f t="shared" ref="E451:AB451" si="378">+E391</f>
        <v>3.367503361886829E-2</v>
      </c>
      <c r="F451" s="50">
        <f t="shared" si="378"/>
        <v>3.1245692535415936E-2</v>
      </c>
      <c r="G451" s="50">
        <f t="shared" si="378"/>
        <v>2.9861746203171599E-2</v>
      </c>
      <c r="H451" s="50">
        <f t="shared" si="378"/>
        <v>2.9235019370742008E-2</v>
      </c>
      <c r="I451" s="50">
        <f t="shared" si="378"/>
        <v>3.0186379118294998E-2</v>
      </c>
      <c r="J451" s="50">
        <f t="shared" si="378"/>
        <v>3.3123682717801174E-2</v>
      </c>
      <c r="K451" s="50">
        <f t="shared" si="378"/>
        <v>3.5563630818173868E-2</v>
      </c>
      <c r="L451" s="50">
        <f t="shared" si="378"/>
        <v>3.7375437025807548E-2</v>
      </c>
      <c r="M451" s="50">
        <f t="shared" si="378"/>
        <v>3.9557895894381336E-2</v>
      </c>
      <c r="N451" s="50">
        <f t="shared" si="378"/>
        <v>4.1330002492198488E-2</v>
      </c>
      <c r="O451" s="50">
        <f t="shared" si="378"/>
        <v>4.3273465010057272E-2</v>
      </c>
      <c r="P451" s="50">
        <f t="shared" si="378"/>
        <v>4.5278417057592932E-2</v>
      </c>
      <c r="Q451" s="50">
        <f t="shared" si="378"/>
        <v>4.5765189585786785E-2</v>
      </c>
      <c r="R451" s="50">
        <f t="shared" si="378"/>
        <v>4.421428774797561E-2</v>
      </c>
      <c r="S451" s="50">
        <f t="shared" si="378"/>
        <v>4.3245429527174986E-2</v>
      </c>
      <c r="T451" s="50">
        <f t="shared" si="378"/>
        <v>4.3554999005074702E-2</v>
      </c>
      <c r="U451" s="50">
        <f t="shared" si="378"/>
        <v>4.4435510161992771E-2</v>
      </c>
      <c r="V451" s="50">
        <f t="shared" si="378"/>
        <v>4.717219114348542E-2</v>
      </c>
      <c r="W451" s="50">
        <f t="shared" si="378"/>
        <v>5.6899741232983039E-2</v>
      </c>
      <c r="X451" s="50">
        <f t="shared" si="378"/>
        <v>6.1986738769463187E-2</v>
      </c>
      <c r="Y451" s="50">
        <f t="shared" si="378"/>
        <v>5.7208700429979269E-2</v>
      </c>
      <c r="Z451" s="50">
        <f t="shared" si="378"/>
        <v>4.9339560702577757E-2</v>
      </c>
      <c r="AA451" s="50">
        <f t="shared" si="378"/>
        <v>4.1368944501432053E-2</v>
      </c>
      <c r="AB451" s="50">
        <f t="shared" si="378"/>
        <v>3.5102305329568817E-2</v>
      </c>
      <c r="AC451" s="8">
        <f t="shared" si="376"/>
        <v>1.9999999999999996</v>
      </c>
    </row>
    <row r="452" spans="2:29">
      <c r="B452" s="12"/>
      <c r="C452" s="12" t="s">
        <v>15</v>
      </c>
      <c r="D452" s="12">
        <f>+SUM(D448:D451)</f>
        <v>30</v>
      </c>
      <c r="E452" s="19">
        <f>+SUMPRODUCT(E448:E451,$D448:$D451)</f>
        <v>0.91033916081633748</v>
      </c>
      <c r="F452" s="19">
        <f>+SUMPRODUCT(F448:F451,$D448:$D451)</f>
        <v>0.85530577177375222</v>
      </c>
      <c r="G452" s="19">
        <f t="shared" ref="G452:AB452" si="379">+SUMPRODUCT(G448:G451,$D448:$D451)</f>
        <v>0.82553555893042829</v>
      </c>
      <c r="H452" s="19">
        <f t="shared" si="379"/>
        <v>0.82150874659525752</v>
      </c>
      <c r="I452" s="19">
        <f t="shared" si="379"/>
        <v>0.8747705368657277</v>
      </c>
      <c r="J452" s="19">
        <f t="shared" si="379"/>
        <v>1.0097941191252591</v>
      </c>
      <c r="K452" s="19">
        <f t="shared" si="379"/>
        <v>1.1304504232608654</v>
      </c>
      <c r="L452" s="19">
        <f t="shared" si="379"/>
        <v>1.1755958163432989</v>
      </c>
      <c r="M452" s="19">
        <f t="shared" si="379"/>
        <v>1.2288785505542854</v>
      </c>
      <c r="N452" s="19">
        <f t="shared" si="379"/>
        <v>1.2686022498636089</v>
      </c>
      <c r="O452" s="19">
        <f t="shared" si="379"/>
        <v>1.3251079305558575</v>
      </c>
      <c r="P452" s="19">
        <f t="shared" si="379"/>
        <v>1.3866047189469317</v>
      </c>
      <c r="Q452" s="19">
        <f t="shared" si="379"/>
        <v>1.3686673816614097</v>
      </c>
      <c r="R452" s="19">
        <f t="shared" si="379"/>
        <v>1.3221380076919442</v>
      </c>
      <c r="S452" s="19">
        <f t="shared" si="379"/>
        <v>1.317490099348295</v>
      </c>
      <c r="T452" s="19">
        <f t="shared" si="379"/>
        <v>1.3411511642595855</v>
      </c>
      <c r="U452" s="19">
        <f t="shared" si="379"/>
        <v>1.3700656614756224</v>
      </c>
      <c r="V452" s="19">
        <f t="shared" si="379"/>
        <v>1.4322169040642074</v>
      </c>
      <c r="W452" s="19">
        <f t="shared" si="379"/>
        <v>1.7052861342556522</v>
      </c>
      <c r="X452" s="19">
        <f t="shared" si="379"/>
        <v>1.8523736852141155</v>
      </c>
      <c r="Y452" s="19">
        <f t="shared" si="379"/>
        <v>1.7188443647356764</v>
      </c>
      <c r="Z452" s="19">
        <f t="shared" si="379"/>
        <v>1.501630888505322</v>
      </c>
      <c r="AA452" s="19">
        <f t="shared" si="379"/>
        <v>1.2368514979044929</v>
      </c>
      <c r="AB452" s="19">
        <f t="shared" si="379"/>
        <v>1.020790627252067</v>
      </c>
      <c r="AC452" s="12">
        <f>+SUM(E452:AB452)</f>
        <v>30</v>
      </c>
    </row>
    <row r="453" spans="2:29">
      <c r="B453" s="15">
        <f>+EDATE(B448,1)</f>
        <v>47604</v>
      </c>
      <c r="C453" s="8" t="s">
        <v>45</v>
      </c>
      <c r="D453" s="8">
        <v>22</v>
      </c>
      <c r="E453" s="50">
        <f t="shared" ref="E453:AB453" si="380">+E393</f>
        <v>2.9361257124838391E-2</v>
      </c>
      <c r="F453" s="50">
        <f t="shared" si="380"/>
        <v>2.7692710332229715E-2</v>
      </c>
      <c r="G453" s="50">
        <f t="shared" si="380"/>
        <v>2.6785161397696527E-2</v>
      </c>
      <c r="H453" s="50">
        <f t="shared" si="380"/>
        <v>2.6786989368939883E-2</v>
      </c>
      <c r="I453" s="50">
        <f t="shared" si="380"/>
        <v>2.9135775177511477E-2</v>
      </c>
      <c r="J453" s="50">
        <f t="shared" si="380"/>
        <v>3.4540443856715661E-2</v>
      </c>
      <c r="K453" s="50">
        <f t="shared" si="380"/>
        <v>3.8789035252325646E-2</v>
      </c>
      <c r="L453" s="50">
        <f t="shared" si="380"/>
        <v>3.957865839345593E-2</v>
      </c>
      <c r="M453" s="50">
        <f t="shared" si="380"/>
        <v>4.0957538271781398E-2</v>
      </c>
      <c r="N453" s="50">
        <f t="shared" si="380"/>
        <v>4.2166920044863825E-2</v>
      </c>
      <c r="O453" s="50">
        <f t="shared" si="380"/>
        <v>4.4150374939633218E-2</v>
      </c>
      <c r="P453" s="50">
        <f t="shared" si="380"/>
        <v>4.6294816466469102E-2</v>
      </c>
      <c r="Q453" s="50">
        <f t="shared" si="380"/>
        <v>4.5431875959152102E-2</v>
      </c>
      <c r="R453" s="50">
        <f t="shared" si="380"/>
        <v>4.3879728503346101E-2</v>
      </c>
      <c r="S453" s="50">
        <f t="shared" si="380"/>
        <v>4.4118506624640258E-2</v>
      </c>
      <c r="T453" s="50">
        <f t="shared" si="380"/>
        <v>4.5188432655351718E-2</v>
      </c>
      <c r="U453" s="50">
        <f t="shared" si="380"/>
        <v>4.624302558461979E-2</v>
      </c>
      <c r="V453" s="50">
        <f t="shared" si="380"/>
        <v>4.8247238962955179E-2</v>
      </c>
      <c r="W453" s="50">
        <f t="shared" si="380"/>
        <v>5.7096885328092907E-2</v>
      </c>
      <c r="X453" s="50">
        <f t="shared" si="380"/>
        <v>6.1739938045350239E-2</v>
      </c>
      <c r="Y453" s="50">
        <f t="shared" si="380"/>
        <v>5.7231881517227232E-2</v>
      </c>
      <c r="Z453" s="50">
        <f t="shared" si="380"/>
        <v>5.0129255438435008E-2</v>
      </c>
      <c r="AA453" s="50">
        <f t="shared" si="380"/>
        <v>4.1010488221716553E-2</v>
      </c>
      <c r="AB453" s="50">
        <f t="shared" si="380"/>
        <v>3.34430625326523E-2</v>
      </c>
      <c r="AC453" s="8">
        <f>+SUM(E453:AB453)*D453</f>
        <v>22.000000000000004</v>
      </c>
    </row>
    <row r="454" spans="2:29">
      <c r="B454" s="16"/>
      <c r="C454" s="8" t="s">
        <v>46</v>
      </c>
      <c r="D454" s="8">
        <v>4</v>
      </c>
      <c r="E454" s="50">
        <f t="shared" ref="E454:AB454" si="381">+E394</f>
        <v>3.0659473205105158E-2</v>
      </c>
      <c r="F454" s="50">
        <f t="shared" si="381"/>
        <v>2.8600001140869122E-2</v>
      </c>
      <c r="G454" s="50">
        <f t="shared" si="381"/>
        <v>2.7683858575034276E-2</v>
      </c>
      <c r="H454" s="50">
        <f t="shared" si="381"/>
        <v>2.7537802139610414E-2</v>
      </c>
      <c r="I454" s="50">
        <f t="shared" si="381"/>
        <v>2.8782539770184416E-2</v>
      </c>
      <c r="J454" s="50">
        <f t="shared" si="381"/>
        <v>3.2241585579716119E-2</v>
      </c>
      <c r="K454" s="50">
        <f t="shared" si="381"/>
        <v>3.645312931015221E-2</v>
      </c>
      <c r="L454" s="50">
        <f t="shared" si="381"/>
        <v>3.9012639181609042E-2</v>
      </c>
      <c r="M454" s="50">
        <f t="shared" si="381"/>
        <v>4.1549207589560662E-2</v>
      </c>
      <c r="N454" s="50">
        <f t="shared" si="381"/>
        <v>4.3042516751632572E-2</v>
      </c>
      <c r="O454" s="50">
        <f t="shared" si="381"/>
        <v>4.4973693586955334E-2</v>
      </c>
      <c r="P454" s="50">
        <f t="shared" si="381"/>
        <v>4.6808021710202923E-2</v>
      </c>
      <c r="Q454" s="50">
        <f t="shared" si="381"/>
        <v>4.6383383047344962E-2</v>
      </c>
      <c r="R454" s="50">
        <f t="shared" si="381"/>
        <v>4.4751654806610461E-2</v>
      </c>
      <c r="S454" s="50">
        <f t="shared" si="381"/>
        <v>4.4013077558728637E-2</v>
      </c>
      <c r="T454" s="50">
        <f t="shared" si="381"/>
        <v>4.428856091631931E-2</v>
      </c>
      <c r="U454" s="50">
        <f t="shared" si="381"/>
        <v>4.49735778579251E-2</v>
      </c>
      <c r="V454" s="50">
        <f t="shared" si="381"/>
        <v>4.6933206789217301E-2</v>
      </c>
      <c r="W454" s="50">
        <f t="shared" si="381"/>
        <v>5.6210586428141023E-2</v>
      </c>
      <c r="X454" s="50">
        <f t="shared" si="381"/>
        <v>6.1205656691958259E-2</v>
      </c>
      <c r="Y454" s="50">
        <f t="shared" si="381"/>
        <v>5.7018442088769522E-2</v>
      </c>
      <c r="Z454" s="50">
        <f t="shared" si="381"/>
        <v>4.9896672365740725E-2</v>
      </c>
      <c r="AA454" s="50">
        <f t="shared" si="381"/>
        <v>4.1622868086918119E-2</v>
      </c>
      <c r="AB454" s="50">
        <f t="shared" si="381"/>
        <v>3.5357844821693719E-2</v>
      </c>
      <c r="AC454" s="8">
        <f t="shared" ref="AC454:AC455" si="382">+SUM(E454:AB454)*D454</f>
        <v>3.9999999999999969</v>
      </c>
    </row>
    <row r="455" spans="2:29">
      <c r="B455" s="16"/>
      <c r="C455" s="8" t="s">
        <v>47</v>
      </c>
      <c r="D455" s="8">
        <v>4</v>
      </c>
      <c r="E455" s="50">
        <f t="shared" ref="E455:AB455" si="383">+E395</f>
        <v>3.3281514565353124E-2</v>
      </c>
      <c r="F455" s="50">
        <f t="shared" si="383"/>
        <v>3.1140043873712407E-2</v>
      </c>
      <c r="G455" s="50">
        <f t="shared" si="383"/>
        <v>2.984335106750436E-2</v>
      </c>
      <c r="H455" s="50">
        <f t="shared" si="383"/>
        <v>2.9286927979133532E-2</v>
      </c>
      <c r="I455" s="50">
        <f t="shared" si="383"/>
        <v>2.9138028999542646E-2</v>
      </c>
      <c r="J455" s="50">
        <f t="shared" si="383"/>
        <v>3.0942883559119717E-2</v>
      </c>
      <c r="K455" s="50">
        <f t="shared" si="383"/>
        <v>3.4432484834348992E-2</v>
      </c>
      <c r="L455" s="50">
        <f t="shared" si="383"/>
        <v>3.8305304424032266E-2</v>
      </c>
      <c r="M455" s="50">
        <f t="shared" si="383"/>
        <v>4.1103790742913066E-2</v>
      </c>
      <c r="N455" s="50">
        <f t="shared" si="383"/>
        <v>4.2608444243851212E-2</v>
      </c>
      <c r="O455" s="50">
        <f t="shared" si="383"/>
        <v>4.3914681848814308E-2</v>
      </c>
      <c r="P455" s="50">
        <f t="shared" si="383"/>
        <v>4.5729867165388009E-2</v>
      </c>
      <c r="Q455" s="50">
        <f t="shared" si="383"/>
        <v>4.5741487779353565E-2</v>
      </c>
      <c r="R455" s="50">
        <f t="shared" si="383"/>
        <v>4.4277060725657284E-2</v>
      </c>
      <c r="S455" s="50">
        <f t="shared" si="383"/>
        <v>4.3144199391556254E-2</v>
      </c>
      <c r="T455" s="50">
        <f t="shared" si="383"/>
        <v>4.3279567369281124E-2</v>
      </c>
      <c r="U455" s="50">
        <f t="shared" si="383"/>
        <v>4.4109954506885138E-2</v>
      </c>
      <c r="V455" s="50">
        <f t="shared" si="383"/>
        <v>4.6298728840315946E-2</v>
      </c>
      <c r="W455" s="50">
        <f t="shared" si="383"/>
        <v>5.6176649878816001E-2</v>
      </c>
      <c r="X455" s="50">
        <f t="shared" si="383"/>
        <v>6.2194705000087863E-2</v>
      </c>
      <c r="Y455" s="50">
        <f t="shared" si="383"/>
        <v>5.7928891294023718E-2</v>
      </c>
      <c r="Z455" s="50">
        <f t="shared" si="383"/>
        <v>5.019499221712586E-2</v>
      </c>
      <c r="AA455" s="50">
        <f t="shared" si="383"/>
        <v>4.1853093029906328E-2</v>
      </c>
      <c r="AB455" s="50">
        <f t="shared" si="383"/>
        <v>3.507334666327714E-2</v>
      </c>
      <c r="AC455" s="8">
        <f t="shared" si="382"/>
        <v>3.9999999999999991</v>
      </c>
    </row>
    <row r="456" spans="2:29">
      <c r="B456" s="16"/>
      <c r="C456" s="8" t="s">
        <v>48</v>
      </c>
      <c r="D456" s="8">
        <v>1</v>
      </c>
      <c r="E456" s="50">
        <f t="shared" ref="E456:AB456" si="384">+E396</f>
        <v>3.367503361886829E-2</v>
      </c>
      <c r="F456" s="50">
        <f t="shared" si="384"/>
        <v>3.1245692535415936E-2</v>
      </c>
      <c r="G456" s="50">
        <f t="shared" si="384"/>
        <v>2.9861746203171599E-2</v>
      </c>
      <c r="H456" s="50">
        <f t="shared" si="384"/>
        <v>2.9235019370742008E-2</v>
      </c>
      <c r="I456" s="50">
        <f t="shared" si="384"/>
        <v>3.0186379118294998E-2</v>
      </c>
      <c r="J456" s="50">
        <f t="shared" si="384"/>
        <v>3.3123682717801174E-2</v>
      </c>
      <c r="K456" s="50">
        <f t="shared" si="384"/>
        <v>3.5563630818173868E-2</v>
      </c>
      <c r="L456" s="50">
        <f t="shared" si="384"/>
        <v>3.7375437025807548E-2</v>
      </c>
      <c r="M456" s="50">
        <f t="shared" si="384"/>
        <v>3.9557895894381336E-2</v>
      </c>
      <c r="N456" s="50">
        <f t="shared" si="384"/>
        <v>4.1330002492198488E-2</v>
      </c>
      <c r="O456" s="50">
        <f t="shared" si="384"/>
        <v>4.3273465010057272E-2</v>
      </c>
      <c r="P456" s="50">
        <f t="shared" si="384"/>
        <v>4.5278417057592932E-2</v>
      </c>
      <c r="Q456" s="50">
        <f t="shared" si="384"/>
        <v>4.5765189585786785E-2</v>
      </c>
      <c r="R456" s="50">
        <f t="shared" si="384"/>
        <v>4.421428774797561E-2</v>
      </c>
      <c r="S456" s="50">
        <f t="shared" si="384"/>
        <v>4.3245429527174986E-2</v>
      </c>
      <c r="T456" s="50">
        <f t="shared" si="384"/>
        <v>4.3554999005074702E-2</v>
      </c>
      <c r="U456" s="50">
        <f t="shared" si="384"/>
        <v>4.4435510161992771E-2</v>
      </c>
      <c r="V456" s="50">
        <f t="shared" si="384"/>
        <v>4.717219114348542E-2</v>
      </c>
      <c r="W456" s="50">
        <f t="shared" si="384"/>
        <v>5.6899741232983039E-2</v>
      </c>
      <c r="X456" s="50">
        <f t="shared" si="384"/>
        <v>6.1986738769463187E-2</v>
      </c>
      <c r="Y456" s="50">
        <f t="shared" si="384"/>
        <v>5.7208700429979269E-2</v>
      </c>
      <c r="Z456" s="50">
        <f t="shared" si="384"/>
        <v>4.9339560702577757E-2</v>
      </c>
      <c r="AA456" s="50">
        <f t="shared" si="384"/>
        <v>4.1368944501432053E-2</v>
      </c>
      <c r="AB456" s="50">
        <f t="shared" si="384"/>
        <v>3.5102305329568817E-2</v>
      </c>
      <c r="AC456" s="8">
        <f>+SUM(E456:AB456)*D456</f>
        <v>0.99999999999999978</v>
      </c>
    </row>
    <row r="457" spans="2:29">
      <c r="B457" s="12"/>
      <c r="C457" s="12" t="s">
        <v>15</v>
      </c>
      <c r="D457" s="12">
        <f>+SUM(D453:D456)</f>
        <v>31</v>
      </c>
      <c r="E457" s="19">
        <f>+SUMPRODUCT(E453:E456,$D453:$D456)</f>
        <v>0.93538664144714589</v>
      </c>
      <c r="F457" s="19">
        <f>+SUMPRODUCT(F453:F456,$D453:$D456)</f>
        <v>0.87944549990279586</v>
      </c>
      <c r="G457" s="19">
        <f t="shared" ref="G457:AB457" si="385">+SUMPRODUCT(G453:G456,$D453:$D456)</f>
        <v>0.84924413552264977</v>
      </c>
      <c r="H457" s="19">
        <f t="shared" si="385"/>
        <v>0.84584770596239522</v>
      </c>
      <c r="I457" s="19">
        <f t="shared" si="385"/>
        <v>0.90285570810245575</v>
      </c>
      <c r="J457" s="19">
        <f t="shared" si="385"/>
        <v>1.0457513241208891</v>
      </c>
      <c r="K457" s="19">
        <f t="shared" si="385"/>
        <v>1.1724648629473431</v>
      </c>
      <c r="L457" s="19">
        <f t="shared" si="385"/>
        <v>1.2173776961044029</v>
      </c>
      <c r="M457" s="19">
        <f t="shared" si="385"/>
        <v>1.2712357312034672</v>
      </c>
      <c r="N457" s="19">
        <f t="shared" si="385"/>
        <v>1.3116060874611379</v>
      </c>
      <c r="O457" s="19">
        <f t="shared" si="385"/>
        <v>1.3701352154250666</v>
      </c>
      <c r="P457" s="19">
        <f t="shared" si="385"/>
        <v>1.4339159348222767</v>
      </c>
      <c r="Q457" s="19">
        <f t="shared" si="385"/>
        <v>1.413765943993927</v>
      </c>
      <c r="R457" s="19">
        <f t="shared" si="385"/>
        <v>1.3656831769506608</v>
      </c>
      <c r="S457" s="19">
        <f t="shared" si="385"/>
        <v>1.3624816830704001</v>
      </c>
      <c r="T457" s="19">
        <f t="shared" si="385"/>
        <v>1.3879730305652143</v>
      </c>
      <c r="U457" s="19">
        <f t="shared" si="385"/>
        <v>1.4181162024828693</v>
      </c>
      <c r="V457" s="19">
        <f t="shared" si="385"/>
        <v>1.4815391908466324</v>
      </c>
      <c r="W457" s="19">
        <f t="shared" si="385"/>
        <v>1.7625801636788549</v>
      </c>
      <c r="X457" s="19">
        <f t="shared" si="385"/>
        <v>1.913866822535353</v>
      </c>
      <c r="Y457" s="19">
        <f t="shared" si="385"/>
        <v>1.7760994273401516</v>
      </c>
      <c r="Z457" s="19">
        <f t="shared" si="385"/>
        <v>1.5525498386796144</v>
      </c>
      <c r="AA457" s="19">
        <f t="shared" si="385"/>
        <v>1.2775035298464938</v>
      </c>
      <c r="AB457" s="19">
        <f t="shared" si="385"/>
        <v>1.0525744469878027</v>
      </c>
      <c r="AC457" s="12">
        <f>+SUM(E457:AB457)</f>
        <v>31.000000000000004</v>
      </c>
    </row>
    <row r="458" spans="2:29">
      <c r="B458" s="15">
        <f>+EDATE(B453,1)</f>
        <v>47635</v>
      </c>
      <c r="C458" s="8" t="s">
        <v>45</v>
      </c>
      <c r="D458" s="8">
        <v>18</v>
      </c>
      <c r="E458" s="50">
        <f t="shared" ref="E458:AB458" si="386">+E398</f>
        <v>2.9361257124838391E-2</v>
      </c>
      <c r="F458" s="50">
        <f t="shared" si="386"/>
        <v>2.7692710332229715E-2</v>
      </c>
      <c r="G458" s="50">
        <f t="shared" si="386"/>
        <v>2.6785161397696527E-2</v>
      </c>
      <c r="H458" s="50">
        <f t="shared" si="386"/>
        <v>2.6786989368939883E-2</v>
      </c>
      <c r="I458" s="50">
        <f t="shared" si="386"/>
        <v>2.9135775177511477E-2</v>
      </c>
      <c r="J458" s="50">
        <f t="shared" si="386"/>
        <v>3.4540443856715661E-2</v>
      </c>
      <c r="K458" s="50">
        <f t="shared" si="386"/>
        <v>3.8789035252325646E-2</v>
      </c>
      <c r="L458" s="50">
        <f t="shared" si="386"/>
        <v>3.957865839345593E-2</v>
      </c>
      <c r="M458" s="50">
        <f t="shared" si="386"/>
        <v>4.0957538271781398E-2</v>
      </c>
      <c r="N458" s="50">
        <f t="shared" si="386"/>
        <v>4.2166920044863825E-2</v>
      </c>
      <c r="O458" s="50">
        <f t="shared" si="386"/>
        <v>4.4150374939633218E-2</v>
      </c>
      <c r="P458" s="50">
        <f t="shared" si="386"/>
        <v>4.6294816466469102E-2</v>
      </c>
      <c r="Q458" s="50">
        <f t="shared" si="386"/>
        <v>4.5431875959152102E-2</v>
      </c>
      <c r="R458" s="50">
        <f t="shared" si="386"/>
        <v>4.3879728503346101E-2</v>
      </c>
      <c r="S458" s="50">
        <f t="shared" si="386"/>
        <v>4.4118506624640258E-2</v>
      </c>
      <c r="T458" s="50">
        <f t="shared" si="386"/>
        <v>4.5188432655351718E-2</v>
      </c>
      <c r="U458" s="50">
        <f t="shared" si="386"/>
        <v>4.624302558461979E-2</v>
      </c>
      <c r="V458" s="50">
        <f t="shared" si="386"/>
        <v>4.8247238962955179E-2</v>
      </c>
      <c r="W458" s="50">
        <f t="shared" si="386"/>
        <v>5.7096885328092907E-2</v>
      </c>
      <c r="X458" s="50">
        <f t="shared" si="386"/>
        <v>6.1739938045350239E-2</v>
      </c>
      <c r="Y458" s="50">
        <f t="shared" si="386"/>
        <v>5.7231881517227232E-2</v>
      </c>
      <c r="Z458" s="50">
        <f t="shared" si="386"/>
        <v>5.0129255438435008E-2</v>
      </c>
      <c r="AA458" s="50">
        <f t="shared" si="386"/>
        <v>4.1010488221716553E-2</v>
      </c>
      <c r="AB458" s="50">
        <f t="shared" si="386"/>
        <v>3.34430625326523E-2</v>
      </c>
      <c r="AC458" s="8">
        <f>+SUM(E458:AB458)*D458</f>
        <v>18.000000000000004</v>
      </c>
    </row>
    <row r="459" spans="2:29">
      <c r="B459" s="16"/>
      <c r="C459" s="8" t="s">
        <v>46</v>
      </c>
      <c r="D459" s="8">
        <v>5</v>
      </c>
      <c r="E459" s="50">
        <f t="shared" ref="E459:AB459" si="387">+E399</f>
        <v>3.0659473205105158E-2</v>
      </c>
      <c r="F459" s="50">
        <f t="shared" si="387"/>
        <v>2.8600001140869122E-2</v>
      </c>
      <c r="G459" s="50">
        <f t="shared" si="387"/>
        <v>2.7683858575034276E-2</v>
      </c>
      <c r="H459" s="50">
        <f t="shared" si="387"/>
        <v>2.7537802139610414E-2</v>
      </c>
      <c r="I459" s="50">
        <f t="shared" si="387"/>
        <v>2.8782539770184416E-2</v>
      </c>
      <c r="J459" s="50">
        <f t="shared" si="387"/>
        <v>3.2241585579716119E-2</v>
      </c>
      <c r="K459" s="50">
        <f t="shared" si="387"/>
        <v>3.645312931015221E-2</v>
      </c>
      <c r="L459" s="50">
        <f t="shared" si="387"/>
        <v>3.9012639181609042E-2</v>
      </c>
      <c r="M459" s="50">
        <f t="shared" si="387"/>
        <v>4.1549207589560662E-2</v>
      </c>
      <c r="N459" s="50">
        <f t="shared" si="387"/>
        <v>4.3042516751632572E-2</v>
      </c>
      <c r="O459" s="50">
        <f t="shared" si="387"/>
        <v>4.4973693586955334E-2</v>
      </c>
      <c r="P459" s="50">
        <f t="shared" si="387"/>
        <v>4.6808021710202923E-2</v>
      </c>
      <c r="Q459" s="50">
        <f t="shared" si="387"/>
        <v>4.6383383047344962E-2</v>
      </c>
      <c r="R459" s="50">
        <f t="shared" si="387"/>
        <v>4.4751654806610461E-2</v>
      </c>
      <c r="S459" s="50">
        <f t="shared" si="387"/>
        <v>4.4013077558728637E-2</v>
      </c>
      <c r="T459" s="50">
        <f t="shared" si="387"/>
        <v>4.428856091631931E-2</v>
      </c>
      <c r="U459" s="50">
        <f t="shared" si="387"/>
        <v>4.49735778579251E-2</v>
      </c>
      <c r="V459" s="50">
        <f t="shared" si="387"/>
        <v>4.6933206789217301E-2</v>
      </c>
      <c r="W459" s="50">
        <f t="shared" si="387"/>
        <v>5.6210586428141023E-2</v>
      </c>
      <c r="X459" s="50">
        <f t="shared" si="387"/>
        <v>6.1205656691958259E-2</v>
      </c>
      <c r="Y459" s="50">
        <f t="shared" si="387"/>
        <v>5.7018442088769522E-2</v>
      </c>
      <c r="Z459" s="50">
        <f t="shared" si="387"/>
        <v>4.9896672365740725E-2</v>
      </c>
      <c r="AA459" s="50">
        <f t="shared" si="387"/>
        <v>4.1622868086918119E-2</v>
      </c>
      <c r="AB459" s="50">
        <f t="shared" si="387"/>
        <v>3.5357844821693719E-2</v>
      </c>
      <c r="AC459" s="8">
        <f t="shared" ref="AC459:AC461" si="388">+SUM(E459:AB459)*D459</f>
        <v>4.9999999999999964</v>
      </c>
    </row>
    <row r="460" spans="2:29">
      <c r="B460" s="16"/>
      <c r="C460" s="8" t="s">
        <v>47</v>
      </c>
      <c r="D460" s="8">
        <v>5</v>
      </c>
      <c r="E460" s="50">
        <f t="shared" ref="E460:AB460" si="389">+E400</f>
        <v>3.3281514565353124E-2</v>
      </c>
      <c r="F460" s="50">
        <f t="shared" si="389"/>
        <v>3.1140043873712407E-2</v>
      </c>
      <c r="G460" s="50">
        <f t="shared" si="389"/>
        <v>2.984335106750436E-2</v>
      </c>
      <c r="H460" s="50">
        <f t="shared" si="389"/>
        <v>2.9286927979133532E-2</v>
      </c>
      <c r="I460" s="50">
        <f t="shared" si="389"/>
        <v>2.9138028999542646E-2</v>
      </c>
      <c r="J460" s="50">
        <f t="shared" si="389"/>
        <v>3.0942883559119717E-2</v>
      </c>
      <c r="K460" s="50">
        <f t="shared" si="389"/>
        <v>3.4432484834348992E-2</v>
      </c>
      <c r="L460" s="50">
        <f t="shared" si="389"/>
        <v>3.8305304424032266E-2</v>
      </c>
      <c r="M460" s="50">
        <f t="shared" si="389"/>
        <v>4.1103790742913066E-2</v>
      </c>
      <c r="N460" s="50">
        <f t="shared" si="389"/>
        <v>4.2608444243851212E-2</v>
      </c>
      <c r="O460" s="50">
        <f t="shared" si="389"/>
        <v>4.3914681848814308E-2</v>
      </c>
      <c r="P460" s="50">
        <f t="shared" si="389"/>
        <v>4.5729867165388009E-2</v>
      </c>
      <c r="Q460" s="50">
        <f t="shared" si="389"/>
        <v>4.5741487779353565E-2</v>
      </c>
      <c r="R460" s="50">
        <f t="shared" si="389"/>
        <v>4.4277060725657284E-2</v>
      </c>
      <c r="S460" s="50">
        <f t="shared" si="389"/>
        <v>4.3144199391556254E-2</v>
      </c>
      <c r="T460" s="50">
        <f t="shared" si="389"/>
        <v>4.3279567369281124E-2</v>
      </c>
      <c r="U460" s="50">
        <f t="shared" si="389"/>
        <v>4.4109954506885138E-2</v>
      </c>
      <c r="V460" s="50">
        <f t="shared" si="389"/>
        <v>4.6298728840315946E-2</v>
      </c>
      <c r="W460" s="50">
        <f t="shared" si="389"/>
        <v>5.6176649878816001E-2</v>
      </c>
      <c r="X460" s="50">
        <f t="shared" si="389"/>
        <v>6.2194705000087863E-2</v>
      </c>
      <c r="Y460" s="50">
        <f t="shared" si="389"/>
        <v>5.7928891294023718E-2</v>
      </c>
      <c r="Z460" s="50">
        <f t="shared" si="389"/>
        <v>5.019499221712586E-2</v>
      </c>
      <c r="AA460" s="50">
        <f t="shared" si="389"/>
        <v>4.1853093029906328E-2</v>
      </c>
      <c r="AB460" s="50">
        <f t="shared" si="389"/>
        <v>3.507334666327714E-2</v>
      </c>
      <c r="AC460" s="8">
        <f t="shared" si="388"/>
        <v>4.9999999999999991</v>
      </c>
    </row>
    <row r="461" spans="2:29">
      <c r="B461" s="16"/>
      <c r="C461" s="8" t="s">
        <v>48</v>
      </c>
      <c r="D461" s="8">
        <v>2</v>
      </c>
      <c r="E461" s="50">
        <f t="shared" ref="E461:AB461" si="390">+E401</f>
        <v>3.367503361886829E-2</v>
      </c>
      <c r="F461" s="50">
        <f t="shared" si="390"/>
        <v>3.1245692535415936E-2</v>
      </c>
      <c r="G461" s="50">
        <f t="shared" si="390"/>
        <v>2.9861746203171599E-2</v>
      </c>
      <c r="H461" s="50">
        <f t="shared" si="390"/>
        <v>2.9235019370742008E-2</v>
      </c>
      <c r="I461" s="50">
        <f t="shared" si="390"/>
        <v>3.0186379118294998E-2</v>
      </c>
      <c r="J461" s="50">
        <f t="shared" si="390"/>
        <v>3.3123682717801174E-2</v>
      </c>
      <c r="K461" s="50">
        <f t="shared" si="390"/>
        <v>3.5563630818173868E-2</v>
      </c>
      <c r="L461" s="50">
        <f t="shared" si="390"/>
        <v>3.7375437025807548E-2</v>
      </c>
      <c r="M461" s="50">
        <f t="shared" si="390"/>
        <v>3.9557895894381336E-2</v>
      </c>
      <c r="N461" s="50">
        <f t="shared" si="390"/>
        <v>4.1330002492198488E-2</v>
      </c>
      <c r="O461" s="50">
        <f t="shared" si="390"/>
        <v>4.3273465010057272E-2</v>
      </c>
      <c r="P461" s="50">
        <f t="shared" si="390"/>
        <v>4.5278417057592932E-2</v>
      </c>
      <c r="Q461" s="50">
        <f t="shared" si="390"/>
        <v>4.5765189585786785E-2</v>
      </c>
      <c r="R461" s="50">
        <f t="shared" si="390"/>
        <v>4.421428774797561E-2</v>
      </c>
      <c r="S461" s="50">
        <f t="shared" si="390"/>
        <v>4.3245429527174986E-2</v>
      </c>
      <c r="T461" s="50">
        <f t="shared" si="390"/>
        <v>4.3554999005074702E-2</v>
      </c>
      <c r="U461" s="50">
        <f t="shared" si="390"/>
        <v>4.4435510161992771E-2</v>
      </c>
      <c r="V461" s="50">
        <f t="shared" si="390"/>
        <v>4.717219114348542E-2</v>
      </c>
      <c r="W461" s="50">
        <f t="shared" si="390"/>
        <v>5.6899741232983039E-2</v>
      </c>
      <c r="X461" s="50">
        <f t="shared" si="390"/>
        <v>6.1986738769463187E-2</v>
      </c>
      <c r="Y461" s="50">
        <f t="shared" si="390"/>
        <v>5.7208700429979269E-2</v>
      </c>
      <c r="Z461" s="50">
        <f t="shared" si="390"/>
        <v>4.9339560702577757E-2</v>
      </c>
      <c r="AA461" s="50">
        <f t="shared" si="390"/>
        <v>4.1368944501432053E-2</v>
      </c>
      <c r="AB461" s="50">
        <f t="shared" si="390"/>
        <v>3.5102305329568817E-2</v>
      </c>
      <c r="AC461" s="8">
        <f t="shared" si="388"/>
        <v>1.9999999999999996</v>
      </c>
    </row>
    <row r="462" spans="2:29">
      <c r="B462" s="12"/>
      <c r="C462" s="12" t="s">
        <v>15</v>
      </c>
      <c r="D462" s="12">
        <f>+SUM(D458:D461)</f>
        <v>30</v>
      </c>
      <c r="E462" s="19">
        <f>+SUMPRODUCT(E458:E461,$D458:$D461)</f>
        <v>0.91555763433711912</v>
      </c>
      <c r="F462" s="19">
        <f>+SUMPRODUCT(F458:F461,$D458:$D461)</f>
        <v>0.85966039612387446</v>
      </c>
      <c r="G462" s="19">
        <f t="shared" ref="G462:AB462" si="391">+SUMPRODUCT(G458:G461,$D458:$D461)</f>
        <v>0.82949244577757386</v>
      </c>
      <c r="H462" s="19">
        <f t="shared" si="391"/>
        <v>0.82475949797612158</v>
      </c>
      <c r="I462" s="19">
        <f t="shared" si="391"/>
        <v>0.87441955528043191</v>
      </c>
      <c r="J462" s="19">
        <f t="shared" si="391"/>
        <v>1.0038977005506635</v>
      </c>
      <c r="K462" s="19">
        <f t="shared" si="391"/>
        <v>1.1237579669007152</v>
      </c>
      <c r="L462" s="19">
        <f t="shared" si="391"/>
        <v>1.1737564431620284</v>
      </c>
      <c r="M462" s="19">
        <f t="shared" si="391"/>
        <v>1.2296164723431964</v>
      </c>
      <c r="N462" s="19">
        <f t="shared" si="391"/>
        <v>1.2699193707693648</v>
      </c>
      <c r="O462" s="19">
        <f t="shared" si="391"/>
        <v>1.3256955561123607</v>
      </c>
      <c r="P462" s="19">
        <f t="shared" si="391"/>
        <v>1.3865529748895844</v>
      </c>
      <c r="Q462" s="19">
        <f t="shared" si="391"/>
        <v>1.3699285005698041</v>
      </c>
      <c r="R462" s="19">
        <f t="shared" si="391"/>
        <v>1.3234072662175198</v>
      </c>
      <c r="S462" s="19">
        <f t="shared" si="391"/>
        <v>1.3164103630492991</v>
      </c>
      <c r="T462" s="19">
        <f t="shared" si="391"/>
        <v>1.3383424272344824</v>
      </c>
      <c r="U462" s="19">
        <f t="shared" si="391"/>
        <v>1.3666631426711928</v>
      </c>
      <c r="V462" s="19">
        <f t="shared" si="391"/>
        <v>1.4289543617678304</v>
      </c>
      <c r="W462" s="19">
        <f t="shared" si="391"/>
        <v>1.7034795999064236</v>
      </c>
      <c r="X462" s="19">
        <f t="shared" si="391"/>
        <v>1.8522941708154612</v>
      </c>
      <c r="Y462" s="19">
        <f t="shared" si="391"/>
        <v>1.7193279350840149</v>
      </c>
      <c r="Z462" s="19">
        <f t="shared" si="391"/>
        <v>1.5014640422113186</v>
      </c>
      <c r="AA462" s="19">
        <f t="shared" si="391"/>
        <v>1.2383064825778842</v>
      </c>
      <c r="AB462" s="19">
        <f t="shared" si="391"/>
        <v>1.0243356936717334</v>
      </c>
      <c r="AC462" s="12">
        <f>+SUM(E462:AB462)</f>
        <v>29.999999999999996</v>
      </c>
    </row>
    <row r="463" spans="2:29">
      <c r="B463" s="15">
        <f>+EDATE(B458,1)</f>
        <v>47665</v>
      </c>
      <c r="C463" s="8" t="s">
        <v>45</v>
      </c>
      <c r="D463" s="8">
        <v>22</v>
      </c>
      <c r="E463" s="50">
        <f t="shared" ref="E463:AB463" si="392">+E403</f>
        <v>2.9361257124838391E-2</v>
      </c>
      <c r="F463" s="50">
        <f t="shared" si="392"/>
        <v>2.7692710332229715E-2</v>
      </c>
      <c r="G463" s="50">
        <f t="shared" si="392"/>
        <v>2.6785161397696527E-2</v>
      </c>
      <c r="H463" s="50">
        <f t="shared" si="392"/>
        <v>2.6786989368939883E-2</v>
      </c>
      <c r="I463" s="50">
        <f t="shared" si="392"/>
        <v>2.9135775177511477E-2</v>
      </c>
      <c r="J463" s="50">
        <f t="shared" si="392"/>
        <v>3.4540443856715661E-2</v>
      </c>
      <c r="K463" s="50">
        <f t="shared" si="392"/>
        <v>3.8789035252325646E-2</v>
      </c>
      <c r="L463" s="50">
        <f t="shared" si="392"/>
        <v>3.957865839345593E-2</v>
      </c>
      <c r="M463" s="50">
        <f t="shared" si="392"/>
        <v>4.0957538271781398E-2</v>
      </c>
      <c r="N463" s="50">
        <f t="shared" si="392"/>
        <v>4.2166920044863825E-2</v>
      </c>
      <c r="O463" s="50">
        <f t="shared" si="392"/>
        <v>4.4150374939633218E-2</v>
      </c>
      <c r="P463" s="50">
        <f t="shared" si="392"/>
        <v>4.6294816466469102E-2</v>
      </c>
      <c r="Q463" s="50">
        <f t="shared" si="392"/>
        <v>4.5431875959152102E-2</v>
      </c>
      <c r="R463" s="50">
        <f t="shared" si="392"/>
        <v>4.3879728503346101E-2</v>
      </c>
      <c r="S463" s="50">
        <f t="shared" si="392"/>
        <v>4.4118506624640258E-2</v>
      </c>
      <c r="T463" s="50">
        <f t="shared" si="392"/>
        <v>4.5188432655351718E-2</v>
      </c>
      <c r="U463" s="50">
        <f t="shared" si="392"/>
        <v>4.624302558461979E-2</v>
      </c>
      <c r="V463" s="50">
        <f t="shared" si="392"/>
        <v>4.8247238962955179E-2</v>
      </c>
      <c r="W463" s="50">
        <f t="shared" si="392"/>
        <v>5.7096885328092907E-2</v>
      </c>
      <c r="X463" s="50">
        <f t="shared" si="392"/>
        <v>6.1739938045350239E-2</v>
      </c>
      <c r="Y463" s="50">
        <f t="shared" si="392"/>
        <v>5.7231881517227232E-2</v>
      </c>
      <c r="Z463" s="50">
        <f t="shared" si="392"/>
        <v>5.0129255438435008E-2</v>
      </c>
      <c r="AA463" s="50">
        <f t="shared" si="392"/>
        <v>4.1010488221716553E-2</v>
      </c>
      <c r="AB463" s="50">
        <f t="shared" si="392"/>
        <v>3.34430625326523E-2</v>
      </c>
      <c r="AC463" s="8">
        <f>+SUM(E463:AB463)*D463</f>
        <v>22.000000000000004</v>
      </c>
    </row>
    <row r="464" spans="2:29">
      <c r="B464" s="16"/>
      <c r="C464" s="8" t="s">
        <v>46</v>
      </c>
      <c r="D464" s="8">
        <v>3</v>
      </c>
      <c r="E464" s="50">
        <f t="shared" ref="E464:AB464" si="393">+E404</f>
        <v>3.0659473205105158E-2</v>
      </c>
      <c r="F464" s="50">
        <f t="shared" si="393"/>
        <v>2.8600001140869122E-2</v>
      </c>
      <c r="G464" s="50">
        <f t="shared" si="393"/>
        <v>2.7683858575034276E-2</v>
      </c>
      <c r="H464" s="50">
        <f t="shared" si="393"/>
        <v>2.7537802139610414E-2</v>
      </c>
      <c r="I464" s="50">
        <f t="shared" si="393"/>
        <v>2.8782539770184416E-2</v>
      </c>
      <c r="J464" s="50">
        <f t="shared" si="393"/>
        <v>3.2241585579716119E-2</v>
      </c>
      <c r="K464" s="50">
        <f t="shared" si="393"/>
        <v>3.645312931015221E-2</v>
      </c>
      <c r="L464" s="50">
        <f t="shared" si="393"/>
        <v>3.9012639181609042E-2</v>
      </c>
      <c r="M464" s="50">
        <f t="shared" si="393"/>
        <v>4.1549207589560662E-2</v>
      </c>
      <c r="N464" s="50">
        <f t="shared" si="393"/>
        <v>4.3042516751632572E-2</v>
      </c>
      <c r="O464" s="50">
        <f t="shared" si="393"/>
        <v>4.4973693586955334E-2</v>
      </c>
      <c r="P464" s="50">
        <f t="shared" si="393"/>
        <v>4.6808021710202923E-2</v>
      </c>
      <c r="Q464" s="50">
        <f t="shared" si="393"/>
        <v>4.6383383047344962E-2</v>
      </c>
      <c r="R464" s="50">
        <f t="shared" si="393"/>
        <v>4.4751654806610461E-2</v>
      </c>
      <c r="S464" s="50">
        <f t="shared" si="393"/>
        <v>4.4013077558728637E-2</v>
      </c>
      <c r="T464" s="50">
        <f t="shared" si="393"/>
        <v>4.428856091631931E-2</v>
      </c>
      <c r="U464" s="50">
        <f t="shared" si="393"/>
        <v>4.49735778579251E-2</v>
      </c>
      <c r="V464" s="50">
        <f t="shared" si="393"/>
        <v>4.6933206789217301E-2</v>
      </c>
      <c r="W464" s="50">
        <f t="shared" si="393"/>
        <v>5.6210586428141023E-2</v>
      </c>
      <c r="X464" s="50">
        <f t="shared" si="393"/>
        <v>6.1205656691958259E-2</v>
      </c>
      <c r="Y464" s="50">
        <f t="shared" si="393"/>
        <v>5.7018442088769522E-2</v>
      </c>
      <c r="Z464" s="50">
        <f t="shared" si="393"/>
        <v>4.9896672365740725E-2</v>
      </c>
      <c r="AA464" s="50">
        <f t="shared" si="393"/>
        <v>4.1622868086918119E-2</v>
      </c>
      <c r="AB464" s="50">
        <f t="shared" si="393"/>
        <v>3.5357844821693719E-2</v>
      </c>
      <c r="AC464" s="8">
        <f t="shared" ref="AC464:AC466" si="394">+SUM(E464:AB464)*D464</f>
        <v>2.9999999999999978</v>
      </c>
    </row>
    <row r="465" spans="2:29">
      <c r="B465" s="16"/>
      <c r="C465" s="8" t="s">
        <v>47</v>
      </c>
      <c r="D465" s="8">
        <v>4</v>
      </c>
      <c r="E465" s="50">
        <f t="shared" ref="E465:AB465" si="395">+E405</f>
        <v>3.3281514565353124E-2</v>
      </c>
      <c r="F465" s="50">
        <f t="shared" si="395"/>
        <v>3.1140043873712407E-2</v>
      </c>
      <c r="G465" s="50">
        <f t="shared" si="395"/>
        <v>2.984335106750436E-2</v>
      </c>
      <c r="H465" s="50">
        <f t="shared" si="395"/>
        <v>2.9286927979133532E-2</v>
      </c>
      <c r="I465" s="50">
        <f t="shared" si="395"/>
        <v>2.9138028999542646E-2</v>
      </c>
      <c r="J465" s="50">
        <f t="shared" si="395"/>
        <v>3.0942883559119717E-2</v>
      </c>
      <c r="K465" s="50">
        <f t="shared" si="395"/>
        <v>3.4432484834348992E-2</v>
      </c>
      <c r="L465" s="50">
        <f t="shared" si="395"/>
        <v>3.8305304424032266E-2</v>
      </c>
      <c r="M465" s="50">
        <f t="shared" si="395"/>
        <v>4.1103790742913066E-2</v>
      </c>
      <c r="N465" s="50">
        <f t="shared" si="395"/>
        <v>4.2608444243851212E-2</v>
      </c>
      <c r="O465" s="50">
        <f t="shared" si="395"/>
        <v>4.3914681848814308E-2</v>
      </c>
      <c r="P465" s="50">
        <f t="shared" si="395"/>
        <v>4.5729867165388009E-2</v>
      </c>
      <c r="Q465" s="50">
        <f t="shared" si="395"/>
        <v>4.5741487779353565E-2</v>
      </c>
      <c r="R465" s="50">
        <f t="shared" si="395"/>
        <v>4.4277060725657284E-2</v>
      </c>
      <c r="S465" s="50">
        <f t="shared" si="395"/>
        <v>4.3144199391556254E-2</v>
      </c>
      <c r="T465" s="50">
        <f t="shared" si="395"/>
        <v>4.3279567369281124E-2</v>
      </c>
      <c r="U465" s="50">
        <f t="shared" si="395"/>
        <v>4.4109954506885138E-2</v>
      </c>
      <c r="V465" s="50">
        <f t="shared" si="395"/>
        <v>4.6298728840315946E-2</v>
      </c>
      <c r="W465" s="50">
        <f t="shared" si="395"/>
        <v>5.6176649878816001E-2</v>
      </c>
      <c r="X465" s="50">
        <f t="shared" si="395"/>
        <v>6.2194705000087863E-2</v>
      </c>
      <c r="Y465" s="50">
        <f t="shared" si="395"/>
        <v>5.7928891294023718E-2</v>
      </c>
      <c r="Z465" s="50">
        <f t="shared" si="395"/>
        <v>5.019499221712586E-2</v>
      </c>
      <c r="AA465" s="50">
        <f t="shared" si="395"/>
        <v>4.1853093029906328E-2</v>
      </c>
      <c r="AB465" s="50">
        <f t="shared" si="395"/>
        <v>3.507334666327714E-2</v>
      </c>
      <c r="AC465" s="8">
        <f t="shared" si="394"/>
        <v>3.9999999999999991</v>
      </c>
    </row>
    <row r="466" spans="2:29">
      <c r="B466" s="16"/>
      <c r="C466" s="8" t="s">
        <v>48</v>
      </c>
      <c r="D466" s="8">
        <v>2</v>
      </c>
      <c r="E466" s="50">
        <f t="shared" ref="E466:AB466" si="396">+E406</f>
        <v>3.367503361886829E-2</v>
      </c>
      <c r="F466" s="50">
        <f t="shared" si="396"/>
        <v>3.1245692535415936E-2</v>
      </c>
      <c r="G466" s="50">
        <f t="shared" si="396"/>
        <v>2.9861746203171599E-2</v>
      </c>
      <c r="H466" s="50">
        <f t="shared" si="396"/>
        <v>2.9235019370742008E-2</v>
      </c>
      <c r="I466" s="50">
        <f t="shared" si="396"/>
        <v>3.0186379118294998E-2</v>
      </c>
      <c r="J466" s="50">
        <f t="shared" si="396"/>
        <v>3.3123682717801174E-2</v>
      </c>
      <c r="K466" s="50">
        <f t="shared" si="396"/>
        <v>3.5563630818173868E-2</v>
      </c>
      <c r="L466" s="50">
        <f t="shared" si="396"/>
        <v>3.7375437025807548E-2</v>
      </c>
      <c r="M466" s="50">
        <f t="shared" si="396"/>
        <v>3.9557895894381336E-2</v>
      </c>
      <c r="N466" s="50">
        <f t="shared" si="396"/>
        <v>4.1330002492198488E-2</v>
      </c>
      <c r="O466" s="50">
        <f t="shared" si="396"/>
        <v>4.3273465010057272E-2</v>
      </c>
      <c r="P466" s="50">
        <f t="shared" si="396"/>
        <v>4.5278417057592932E-2</v>
      </c>
      <c r="Q466" s="50">
        <f t="shared" si="396"/>
        <v>4.5765189585786785E-2</v>
      </c>
      <c r="R466" s="50">
        <f t="shared" si="396"/>
        <v>4.421428774797561E-2</v>
      </c>
      <c r="S466" s="50">
        <f t="shared" si="396"/>
        <v>4.3245429527174986E-2</v>
      </c>
      <c r="T466" s="50">
        <f t="shared" si="396"/>
        <v>4.3554999005074702E-2</v>
      </c>
      <c r="U466" s="50">
        <f t="shared" si="396"/>
        <v>4.4435510161992771E-2</v>
      </c>
      <c r="V466" s="50">
        <f t="shared" si="396"/>
        <v>4.717219114348542E-2</v>
      </c>
      <c r="W466" s="50">
        <f t="shared" si="396"/>
        <v>5.6899741232983039E-2</v>
      </c>
      <c r="X466" s="50">
        <f t="shared" si="396"/>
        <v>6.1986738769463187E-2</v>
      </c>
      <c r="Y466" s="50">
        <f t="shared" si="396"/>
        <v>5.7208700429979269E-2</v>
      </c>
      <c r="Z466" s="50">
        <f t="shared" si="396"/>
        <v>4.9339560702577757E-2</v>
      </c>
      <c r="AA466" s="50">
        <f t="shared" si="396"/>
        <v>4.1368944501432053E-2</v>
      </c>
      <c r="AB466" s="50">
        <f t="shared" si="396"/>
        <v>3.5102305329568817E-2</v>
      </c>
      <c r="AC466" s="8">
        <f t="shared" si="394"/>
        <v>1.9999999999999996</v>
      </c>
    </row>
    <row r="467" spans="2:29">
      <c r="B467" s="12"/>
      <c r="C467" s="12" t="s">
        <v>15</v>
      </c>
      <c r="D467" s="12">
        <f>+SUM(D463:D466)</f>
        <v>31</v>
      </c>
      <c r="E467" s="19">
        <f>+SUMPRODUCT(E463:E466,$D463:$D466)</f>
        <v>0.93840220186090917</v>
      </c>
      <c r="F467" s="19">
        <f>+SUMPRODUCT(F463:F466,$D463:$D466)</f>
        <v>0.88209119129734259</v>
      </c>
      <c r="G467" s="19">
        <f t="shared" ref="G467:AB467" si="397">+SUMPRODUCT(G463:G466,$D463:$D466)</f>
        <v>0.85142202315078708</v>
      </c>
      <c r="H467" s="19">
        <f t="shared" si="397"/>
        <v>0.84754492319352692</v>
      </c>
      <c r="I467" s="19">
        <f t="shared" si="397"/>
        <v>0.90425954745056636</v>
      </c>
      <c r="J467" s="19">
        <f t="shared" si="397"/>
        <v>1.0466334212589741</v>
      </c>
      <c r="K467" s="19">
        <f t="shared" si="397"/>
        <v>1.1715753644553646</v>
      </c>
      <c r="L467" s="19">
        <f t="shared" si="397"/>
        <v>1.2157404939486016</v>
      </c>
      <c r="M467" s="19">
        <f t="shared" si="397"/>
        <v>1.2692444195082875</v>
      </c>
      <c r="N467" s="19">
        <f t="shared" si="397"/>
        <v>1.3098935732017036</v>
      </c>
      <c r="O467" s="19">
        <f t="shared" si="397"/>
        <v>1.3684349868481684</v>
      </c>
      <c r="P467" s="19">
        <f t="shared" si="397"/>
        <v>1.4323863301696669</v>
      </c>
      <c r="Q467" s="19">
        <f t="shared" si="397"/>
        <v>1.4131477505323689</v>
      </c>
      <c r="R467" s="19">
        <f t="shared" si="397"/>
        <v>1.3651458098920259</v>
      </c>
      <c r="S467" s="19">
        <f t="shared" si="397"/>
        <v>1.3617140350388468</v>
      </c>
      <c r="T467" s="19">
        <f t="shared" si="397"/>
        <v>1.3872394686539695</v>
      </c>
      <c r="U467" s="19">
        <f t="shared" si="397"/>
        <v>1.4175781347869367</v>
      </c>
      <c r="V467" s="19">
        <f t="shared" si="397"/>
        <v>1.4817781752009003</v>
      </c>
      <c r="W467" s="19">
        <f t="shared" si="397"/>
        <v>1.7632693184836969</v>
      </c>
      <c r="X467" s="19">
        <f t="shared" si="397"/>
        <v>1.9146479046128577</v>
      </c>
      <c r="Y467" s="19">
        <f t="shared" si="397"/>
        <v>1.7762896856813613</v>
      </c>
      <c r="Z467" s="19">
        <f t="shared" si="397"/>
        <v>1.5519927270164513</v>
      </c>
      <c r="AA467" s="19">
        <f t="shared" si="397"/>
        <v>1.2772496062610077</v>
      </c>
      <c r="AB467" s="19">
        <f t="shared" si="397"/>
        <v>1.0523189074956778</v>
      </c>
      <c r="AC467" s="12">
        <f>+SUM(E467:AB467)</f>
        <v>31.000000000000004</v>
      </c>
    </row>
    <row r="468" spans="2:29">
      <c r="B468" s="15">
        <f>+EDATE(B463,1)</f>
        <v>47696</v>
      </c>
      <c r="C468" s="8" t="s">
        <v>45</v>
      </c>
      <c r="D468" s="8">
        <v>20</v>
      </c>
      <c r="E468" s="50">
        <f t="shared" ref="E468:AB468" si="398">+E408</f>
        <v>2.9361257124838391E-2</v>
      </c>
      <c r="F468" s="50">
        <f t="shared" si="398"/>
        <v>2.7692710332229715E-2</v>
      </c>
      <c r="G468" s="50">
        <f t="shared" si="398"/>
        <v>2.6785161397696527E-2</v>
      </c>
      <c r="H468" s="50">
        <f t="shared" si="398"/>
        <v>2.6786989368939883E-2</v>
      </c>
      <c r="I468" s="50">
        <f t="shared" si="398"/>
        <v>2.9135775177511477E-2</v>
      </c>
      <c r="J468" s="50">
        <f t="shared" si="398"/>
        <v>3.4540443856715661E-2</v>
      </c>
      <c r="K468" s="50">
        <f t="shared" si="398"/>
        <v>3.8789035252325646E-2</v>
      </c>
      <c r="L468" s="50">
        <f t="shared" si="398"/>
        <v>3.957865839345593E-2</v>
      </c>
      <c r="M468" s="50">
        <f t="shared" si="398"/>
        <v>4.0957538271781398E-2</v>
      </c>
      <c r="N468" s="50">
        <f t="shared" si="398"/>
        <v>4.2166920044863825E-2</v>
      </c>
      <c r="O468" s="50">
        <f t="shared" si="398"/>
        <v>4.4150374939633218E-2</v>
      </c>
      <c r="P468" s="50">
        <f t="shared" si="398"/>
        <v>4.6294816466469102E-2</v>
      </c>
      <c r="Q468" s="50">
        <f t="shared" si="398"/>
        <v>4.5431875959152102E-2</v>
      </c>
      <c r="R468" s="50">
        <f t="shared" si="398"/>
        <v>4.3879728503346101E-2</v>
      </c>
      <c r="S468" s="50">
        <f t="shared" si="398"/>
        <v>4.4118506624640258E-2</v>
      </c>
      <c r="T468" s="50">
        <f t="shared" si="398"/>
        <v>4.5188432655351718E-2</v>
      </c>
      <c r="U468" s="50">
        <f t="shared" si="398"/>
        <v>4.624302558461979E-2</v>
      </c>
      <c r="V468" s="50">
        <f t="shared" si="398"/>
        <v>4.8247238962955179E-2</v>
      </c>
      <c r="W468" s="50">
        <f t="shared" si="398"/>
        <v>5.7096885328092907E-2</v>
      </c>
      <c r="X468" s="50">
        <f t="shared" si="398"/>
        <v>6.1739938045350239E-2</v>
      </c>
      <c r="Y468" s="50">
        <f t="shared" si="398"/>
        <v>5.7231881517227232E-2</v>
      </c>
      <c r="Z468" s="50">
        <f t="shared" si="398"/>
        <v>5.0129255438435008E-2</v>
      </c>
      <c r="AA468" s="50">
        <f t="shared" si="398"/>
        <v>4.1010488221716553E-2</v>
      </c>
      <c r="AB468" s="50">
        <f t="shared" si="398"/>
        <v>3.34430625326523E-2</v>
      </c>
      <c r="AC468" s="8">
        <f>+SUM(E468:AB468)*D468</f>
        <v>20.000000000000004</v>
      </c>
    </row>
    <row r="469" spans="2:29">
      <c r="B469" s="16"/>
      <c r="C469" s="8" t="s">
        <v>46</v>
      </c>
      <c r="D469" s="8">
        <v>5</v>
      </c>
      <c r="E469" s="50">
        <f t="shared" ref="E469:AB469" si="399">+E409</f>
        <v>3.0659473205105158E-2</v>
      </c>
      <c r="F469" s="50">
        <f t="shared" si="399"/>
        <v>2.8600001140869122E-2</v>
      </c>
      <c r="G469" s="50">
        <f t="shared" si="399"/>
        <v>2.7683858575034276E-2</v>
      </c>
      <c r="H469" s="50">
        <f t="shared" si="399"/>
        <v>2.7537802139610414E-2</v>
      </c>
      <c r="I469" s="50">
        <f t="shared" si="399"/>
        <v>2.8782539770184416E-2</v>
      </c>
      <c r="J469" s="50">
        <f t="shared" si="399"/>
        <v>3.2241585579716119E-2</v>
      </c>
      <c r="K469" s="50">
        <f t="shared" si="399"/>
        <v>3.645312931015221E-2</v>
      </c>
      <c r="L469" s="50">
        <f t="shared" si="399"/>
        <v>3.9012639181609042E-2</v>
      </c>
      <c r="M469" s="50">
        <f t="shared" si="399"/>
        <v>4.1549207589560662E-2</v>
      </c>
      <c r="N469" s="50">
        <f t="shared" si="399"/>
        <v>4.3042516751632572E-2</v>
      </c>
      <c r="O469" s="50">
        <f t="shared" si="399"/>
        <v>4.4973693586955334E-2</v>
      </c>
      <c r="P469" s="50">
        <f t="shared" si="399"/>
        <v>4.6808021710202923E-2</v>
      </c>
      <c r="Q469" s="50">
        <f t="shared" si="399"/>
        <v>4.6383383047344962E-2</v>
      </c>
      <c r="R469" s="50">
        <f t="shared" si="399"/>
        <v>4.4751654806610461E-2</v>
      </c>
      <c r="S469" s="50">
        <f t="shared" si="399"/>
        <v>4.4013077558728637E-2</v>
      </c>
      <c r="T469" s="50">
        <f t="shared" si="399"/>
        <v>4.428856091631931E-2</v>
      </c>
      <c r="U469" s="50">
        <f t="shared" si="399"/>
        <v>4.49735778579251E-2</v>
      </c>
      <c r="V469" s="50">
        <f t="shared" si="399"/>
        <v>4.6933206789217301E-2</v>
      </c>
      <c r="W469" s="50">
        <f t="shared" si="399"/>
        <v>5.6210586428141023E-2</v>
      </c>
      <c r="X469" s="50">
        <f t="shared" si="399"/>
        <v>6.1205656691958259E-2</v>
      </c>
      <c r="Y469" s="50">
        <f t="shared" si="399"/>
        <v>5.7018442088769522E-2</v>
      </c>
      <c r="Z469" s="50">
        <f t="shared" si="399"/>
        <v>4.9896672365740725E-2</v>
      </c>
      <c r="AA469" s="50">
        <f t="shared" si="399"/>
        <v>4.1622868086918119E-2</v>
      </c>
      <c r="AB469" s="50">
        <f t="shared" si="399"/>
        <v>3.5357844821693719E-2</v>
      </c>
      <c r="AC469" s="8">
        <f t="shared" ref="AC469:AC471" si="400">+SUM(E469:AB469)*D469</f>
        <v>4.9999999999999964</v>
      </c>
    </row>
    <row r="470" spans="2:29">
      <c r="B470" s="16"/>
      <c r="C470" s="8" t="s">
        <v>47</v>
      </c>
      <c r="D470" s="8">
        <v>4</v>
      </c>
      <c r="E470" s="50">
        <f t="shared" ref="E470:AB470" si="401">+E410</f>
        <v>3.3281514565353124E-2</v>
      </c>
      <c r="F470" s="50">
        <f t="shared" si="401"/>
        <v>3.1140043873712407E-2</v>
      </c>
      <c r="G470" s="50">
        <f t="shared" si="401"/>
        <v>2.984335106750436E-2</v>
      </c>
      <c r="H470" s="50">
        <f t="shared" si="401"/>
        <v>2.9286927979133532E-2</v>
      </c>
      <c r="I470" s="50">
        <f t="shared" si="401"/>
        <v>2.9138028999542646E-2</v>
      </c>
      <c r="J470" s="50">
        <f t="shared" si="401"/>
        <v>3.0942883559119717E-2</v>
      </c>
      <c r="K470" s="50">
        <f t="shared" si="401"/>
        <v>3.4432484834348992E-2</v>
      </c>
      <c r="L470" s="50">
        <f t="shared" si="401"/>
        <v>3.8305304424032266E-2</v>
      </c>
      <c r="M470" s="50">
        <f t="shared" si="401"/>
        <v>4.1103790742913066E-2</v>
      </c>
      <c r="N470" s="50">
        <f t="shared" si="401"/>
        <v>4.2608444243851212E-2</v>
      </c>
      <c r="O470" s="50">
        <f t="shared" si="401"/>
        <v>4.3914681848814308E-2</v>
      </c>
      <c r="P470" s="50">
        <f t="shared" si="401"/>
        <v>4.5729867165388009E-2</v>
      </c>
      <c r="Q470" s="50">
        <f t="shared" si="401"/>
        <v>4.5741487779353565E-2</v>
      </c>
      <c r="R470" s="50">
        <f t="shared" si="401"/>
        <v>4.4277060725657284E-2</v>
      </c>
      <c r="S470" s="50">
        <f t="shared" si="401"/>
        <v>4.3144199391556254E-2</v>
      </c>
      <c r="T470" s="50">
        <f t="shared" si="401"/>
        <v>4.3279567369281124E-2</v>
      </c>
      <c r="U470" s="50">
        <f t="shared" si="401"/>
        <v>4.4109954506885138E-2</v>
      </c>
      <c r="V470" s="50">
        <f t="shared" si="401"/>
        <v>4.6298728840315946E-2</v>
      </c>
      <c r="W470" s="50">
        <f t="shared" si="401"/>
        <v>5.6176649878816001E-2</v>
      </c>
      <c r="X470" s="50">
        <f t="shared" si="401"/>
        <v>6.2194705000087863E-2</v>
      </c>
      <c r="Y470" s="50">
        <f t="shared" si="401"/>
        <v>5.7928891294023718E-2</v>
      </c>
      <c r="Z470" s="50">
        <f t="shared" si="401"/>
        <v>5.019499221712586E-2</v>
      </c>
      <c r="AA470" s="50">
        <f t="shared" si="401"/>
        <v>4.1853093029906328E-2</v>
      </c>
      <c r="AB470" s="50">
        <f t="shared" si="401"/>
        <v>3.507334666327714E-2</v>
      </c>
      <c r="AC470" s="8">
        <f t="shared" si="400"/>
        <v>3.9999999999999991</v>
      </c>
    </row>
    <row r="471" spans="2:29">
      <c r="B471" s="16"/>
      <c r="C471" s="8" t="s">
        <v>48</v>
      </c>
      <c r="D471" s="8">
        <v>2</v>
      </c>
      <c r="E471" s="50">
        <f t="shared" ref="E471:AB471" si="402">+E411</f>
        <v>3.367503361886829E-2</v>
      </c>
      <c r="F471" s="50">
        <f t="shared" si="402"/>
        <v>3.1245692535415936E-2</v>
      </c>
      <c r="G471" s="50">
        <f t="shared" si="402"/>
        <v>2.9861746203171599E-2</v>
      </c>
      <c r="H471" s="50">
        <f t="shared" si="402"/>
        <v>2.9235019370742008E-2</v>
      </c>
      <c r="I471" s="50">
        <f t="shared" si="402"/>
        <v>3.0186379118294998E-2</v>
      </c>
      <c r="J471" s="50">
        <f t="shared" si="402"/>
        <v>3.3123682717801174E-2</v>
      </c>
      <c r="K471" s="50">
        <f t="shared" si="402"/>
        <v>3.5563630818173868E-2</v>
      </c>
      <c r="L471" s="50">
        <f t="shared" si="402"/>
        <v>3.7375437025807548E-2</v>
      </c>
      <c r="M471" s="50">
        <f t="shared" si="402"/>
        <v>3.9557895894381336E-2</v>
      </c>
      <c r="N471" s="50">
        <f t="shared" si="402"/>
        <v>4.1330002492198488E-2</v>
      </c>
      <c r="O471" s="50">
        <f t="shared" si="402"/>
        <v>4.3273465010057272E-2</v>
      </c>
      <c r="P471" s="50">
        <f t="shared" si="402"/>
        <v>4.5278417057592932E-2</v>
      </c>
      <c r="Q471" s="50">
        <f t="shared" si="402"/>
        <v>4.5765189585786785E-2</v>
      </c>
      <c r="R471" s="50">
        <f t="shared" si="402"/>
        <v>4.421428774797561E-2</v>
      </c>
      <c r="S471" s="50">
        <f t="shared" si="402"/>
        <v>4.3245429527174986E-2</v>
      </c>
      <c r="T471" s="50">
        <f t="shared" si="402"/>
        <v>4.3554999005074702E-2</v>
      </c>
      <c r="U471" s="50">
        <f t="shared" si="402"/>
        <v>4.4435510161992771E-2</v>
      </c>
      <c r="V471" s="50">
        <f t="shared" si="402"/>
        <v>4.717219114348542E-2</v>
      </c>
      <c r="W471" s="50">
        <f t="shared" si="402"/>
        <v>5.6899741232983039E-2</v>
      </c>
      <c r="X471" s="50">
        <f t="shared" si="402"/>
        <v>6.1986738769463187E-2</v>
      </c>
      <c r="Y471" s="50">
        <f t="shared" si="402"/>
        <v>5.7208700429979269E-2</v>
      </c>
      <c r="Z471" s="50">
        <f t="shared" si="402"/>
        <v>4.9339560702577757E-2</v>
      </c>
      <c r="AA471" s="50">
        <f t="shared" si="402"/>
        <v>4.1368944501432053E-2</v>
      </c>
      <c r="AB471" s="50">
        <f t="shared" si="402"/>
        <v>3.5102305329568817E-2</v>
      </c>
      <c r="AC471" s="8">
        <f t="shared" si="400"/>
        <v>1.9999999999999996</v>
      </c>
    </row>
    <row r="472" spans="2:29">
      <c r="B472" s="12"/>
      <c r="C472" s="12" t="s">
        <v>15</v>
      </c>
      <c r="D472" s="12">
        <f>+SUM(D468:D471)</f>
        <v>31</v>
      </c>
      <c r="E472" s="19">
        <f>+SUMPRODUCT(E468:E471,$D468:$D471)</f>
        <v>0.94099863402144279</v>
      </c>
      <c r="F472" s="19">
        <f>+SUMPRODUCT(F468:F471,$D468:$D471)</f>
        <v>0.88390577291462136</v>
      </c>
      <c r="G472" s="19">
        <f t="shared" ref="G472:AB472" si="403">+SUMPRODUCT(G468:G471,$D468:$D471)</f>
        <v>0.8532194175054626</v>
      </c>
      <c r="H472" s="19">
        <f t="shared" si="403"/>
        <v>0.84904654873486796</v>
      </c>
      <c r="I472" s="19">
        <f t="shared" si="403"/>
        <v>0.90355307663591211</v>
      </c>
      <c r="J472" s="19">
        <f t="shared" si="403"/>
        <v>1.0420357047049751</v>
      </c>
      <c r="K472" s="19">
        <f t="shared" si="403"/>
        <v>1.1669035525710176</v>
      </c>
      <c r="L472" s="19">
        <f t="shared" si="403"/>
        <v>1.2146084555249079</v>
      </c>
      <c r="M472" s="19">
        <f t="shared" si="403"/>
        <v>1.2704277581438459</v>
      </c>
      <c r="N472" s="19">
        <f t="shared" si="403"/>
        <v>1.3116447666152413</v>
      </c>
      <c r="O472" s="19">
        <f t="shared" si="403"/>
        <v>1.3700816241428129</v>
      </c>
      <c r="P472" s="19">
        <f t="shared" si="403"/>
        <v>1.4334127406571346</v>
      </c>
      <c r="Q472" s="19">
        <f t="shared" si="403"/>
        <v>1.4150507647087547</v>
      </c>
      <c r="R472" s="19">
        <f t="shared" si="403"/>
        <v>1.3668896624985547</v>
      </c>
      <c r="S472" s="19">
        <f t="shared" si="403"/>
        <v>1.3615031769070234</v>
      </c>
      <c r="T472" s="19">
        <f t="shared" si="403"/>
        <v>1.385439725175905</v>
      </c>
      <c r="U472" s="19">
        <f t="shared" si="403"/>
        <v>1.4150392393335474</v>
      </c>
      <c r="V472" s="19">
        <f t="shared" si="403"/>
        <v>1.4791501108534248</v>
      </c>
      <c r="W472" s="19">
        <f t="shared" si="403"/>
        <v>1.7614967206837933</v>
      </c>
      <c r="X472" s="19">
        <f t="shared" si="403"/>
        <v>1.9135793419060738</v>
      </c>
      <c r="Y472" s="19">
        <f t="shared" si="403"/>
        <v>1.7758628068244457</v>
      </c>
      <c r="Z472" s="19">
        <f t="shared" si="403"/>
        <v>1.5515275608710626</v>
      </c>
      <c r="AA472" s="19">
        <f t="shared" si="403"/>
        <v>1.2784743659914108</v>
      </c>
      <c r="AB472" s="19">
        <f t="shared" si="403"/>
        <v>1.0561484720737608</v>
      </c>
      <c r="AC472" s="12">
        <f>+SUM(E472:AB472)</f>
        <v>31.000000000000007</v>
      </c>
    </row>
    <row r="473" spans="2:29">
      <c r="B473" s="15">
        <f>+EDATE(B468,1)</f>
        <v>47727</v>
      </c>
      <c r="C473" s="8" t="s">
        <v>45</v>
      </c>
      <c r="D473" s="8">
        <v>21</v>
      </c>
      <c r="E473" s="50">
        <f t="shared" ref="E473:AB473" si="404">+E413</f>
        <v>2.9361257124838391E-2</v>
      </c>
      <c r="F473" s="50">
        <f t="shared" si="404"/>
        <v>2.7692710332229715E-2</v>
      </c>
      <c r="G473" s="50">
        <f t="shared" si="404"/>
        <v>2.6785161397696527E-2</v>
      </c>
      <c r="H473" s="50">
        <f t="shared" si="404"/>
        <v>2.6786989368939883E-2</v>
      </c>
      <c r="I473" s="50">
        <f t="shared" si="404"/>
        <v>2.9135775177511477E-2</v>
      </c>
      <c r="J473" s="50">
        <f t="shared" si="404"/>
        <v>3.4540443856715661E-2</v>
      </c>
      <c r="K473" s="50">
        <f t="shared" si="404"/>
        <v>3.8789035252325646E-2</v>
      </c>
      <c r="L473" s="50">
        <f t="shared" si="404"/>
        <v>3.957865839345593E-2</v>
      </c>
      <c r="M473" s="50">
        <f t="shared" si="404"/>
        <v>4.0957538271781398E-2</v>
      </c>
      <c r="N473" s="50">
        <f t="shared" si="404"/>
        <v>4.2166920044863825E-2</v>
      </c>
      <c r="O473" s="50">
        <f t="shared" si="404"/>
        <v>4.4150374939633218E-2</v>
      </c>
      <c r="P473" s="50">
        <f t="shared" si="404"/>
        <v>4.6294816466469102E-2</v>
      </c>
      <c r="Q473" s="50">
        <f t="shared" si="404"/>
        <v>4.5431875959152102E-2</v>
      </c>
      <c r="R473" s="50">
        <f t="shared" si="404"/>
        <v>4.3879728503346101E-2</v>
      </c>
      <c r="S473" s="50">
        <f t="shared" si="404"/>
        <v>4.4118506624640258E-2</v>
      </c>
      <c r="T473" s="50">
        <f t="shared" si="404"/>
        <v>4.5188432655351718E-2</v>
      </c>
      <c r="U473" s="50">
        <f t="shared" si="404"/>
        <v>4.624302558461979E-2</v>
      </c>
      <c r="V473" s="50">
        <f t="shared" si="404"/>
        <v>4.8247238962955179E-2</v>
      </c>
      <c r="W473" s="50">
        <f t="shared" si="404"/>
        <v>5.7096885328092907E-2</v>
      </c>
      <c r="X473" s="50">
        <f t="shared" si="404"/>
        <v>6.1739938045350239E-2</v>
      </c>
      <c r="Y473" s="50">
        <f t="shared" si="404"/>
        <v>5.7231881517227232E-2</v>
      </c>
      <c r="Z473" s="50">
        <f t="shared" si="404"/>
        <v>5.0129255438435008E-2</v>
      </c>
      <c r="AA473" s="50">
        <f t="shared" si="404"/>
        <v>4.1010488221716553E-2</v>
      </c>
      <c r="AB473" s="50">
        <f t="shared" si="404"/>
        <v>3.34430625326523E-2</v>
      </c>
      <c r="AC473" s="8">
        <f>+SUM(E473:AB473)*D473</f>
        <v>21.000000000000004</v>
      </c>
    </row>
    <row r="474" spans="2:29">
      <c r="B474" s="16"/>
      <c r="C474" s="8" t="s">
        <v>46</v>
      </c>
      <c r="D474" s="8">
        <v>4</v>
      </c>
      <c r="E474" s="50">
        <f t="shared" ref="E474:AB474" si="405">+E414</f>
        <v>3.0659473205105158E-2</v>
      </c>
      <c r="F474" s="50">
        <f t="shared" si="405"/>
        <v>2.8600001140869122E-2</v>
      </c>
      <c r="G474" s="50">
        <f t="shared" si="405"/>
        <v>2.7683858575034276E-2</v>
      </c>
      <c r="H474" s="50">
        <f t="shared" si="405"/>
        <v>2.7537802139610414E-2</v>
      </c>
      <c r="I474" s="50">
        <f t="shared" si="405"/>
        <v>2.8782539770184416E-2</v>
      </c>
      <c r="J474" s="50">
        <f t="shared" si="405"/>
        <v>3.2241585579716119E-2</v>
      </c>
      <c r="K474" s="50">
        <f t="shared" si="405"/>
        <v>3.645312931015221E-2</v>
      </c>
      <c r="L474" s="50">
        <f t="shared" si="405"/>
        <v>3.9012639181609042E-2</v>
      </c>
      <c r="M474" s="50">
        <f t="shared" si="405"/>
        <v>4.1549207589560662E-2</v>
      </c>
      <c r="N474" s="50">
        <f t="shared" si="405"/>
        <v>4.3042516751632572E-2</v>
      </c>
      <c r="O474" s="50">
        <f t="shared" si="405"/>
        <v>4.4973693586955334E-2</v>
      </c>
      <c r="P474" s="50">
        <f t="shared" si="405"/>
        <v>4.6808021710202923E-2</v>
      </c>
      <c r="Q474" s="50">
        <f t="shared" si="405"/>
        <v>4.6383383047344962E-2</v>
      </c>
      <c r="R474" s="50">
        <f t="shared" si="405"/>
        <v>4.4751654806610461E-2</v>
      </c>
      <c r="S474" s="50">
        <f t="shared" si="405"/>
        <v>4.4013077558728637E-2</v>
      </c>
      <c r="T474" s="50">
        <f t="shared" si="405"/>
        <v>4.428856091631931E-2</v>
      </c>
      <c r="U474" s="50">
        <f t="shared" si="405"/>
        <v>4.49735778579251E-2</v>
      </c>
      <c r="V474" s="50">
        <f t="shared" si="405"/>
        <v>4.6933206789217301E-2</v>
      </c>
      <c r="W474" s="50">
        <f t="shared" si="405"/>
        <v>5.6210586428141023E-2</v>
      </c>
      <c r="X474" s="50">
        <f t="shared" si="405"/>
        <v>6.1205656691958259E-2</v>
      </c>
      <c r="Y474" s="50">
        <f t="shared" si="405"/>
        <v>5.7018442088769522E-2</v>
      </c>
      <c r="Z474" s="50">
        <f t="shared" si="405"/>
        <v>4.9896672365740725E-2</v>
      </c>
      <c r="AA474" s="50">
        <f t="shared" si="405"/>
        <v>4.1622868086918119E-2</v>
      </c>
      <c r="AB474" s="50">
        <f t="shared" si="405"/>
        <v>3.5357844821693719E-2</v>
      </c>
      <c r="AC474" s="8">
        <f t="shared" ref="AC474:AC476" si="406">+SUM(E474:AB474)*D474</f>
        <v>3.9999999999999969</v>
      </c>
    </row>
    <row r="475" spans="2:29">
      <c r="B475" s="16"/>
      <c r="C475" s="8" t="s">
        <v>47</v>
      </c>
      <c r="D475" s="8">
        <v>5</v>
      </c>
      <c r="E475" s="50">
        <f t="shared" ref="E475:AB475" si="407">+E415</f>
        <v>3.3281514565353124E-2</v>
      </c>
      <c r="F475" s="50">
        <f t="shared" si="407"/>
        <v>3.1140043873712407E-2</v>
      </c>
      <c r="G475" s="50">
        <f t="shared" si="407"/>
        <v>2.984335106750436E-2</v>
      </c>
      <c r="H475" s="50">
        <f t="shared" si="407"/>
        <v>2.9286927979133532E-2</v>
      </c>
      <c r="I475" s="50">
        <f t="shared" si="407"/>
        <v>2.9138028999542646E-2</v>
      </c>
      <c r="J475" s="50">
        <f t="shared" si="407"/>
        <v>3.0942883559119717E-2</v>
      </c>
      <c r="K475" s="50">
        <f t="shared" si="407"/>
        <v>3.4432484834348992E-2</v>
      </c>
      <c r="L475" s="50">
        <f t="shared" si="407"/>
        <v>3.8305304424032266E-2</v>
      </c>
      <c r="M475" s="50">
        <f t="shared" si="407"/>
        <v>4.1103790742913066E-2</v>
      </c>
      <c r="N475" s="50">
        <f t="shared" si="407"/>
        <v>4.2608444243851212E-2</v>
      </c>
      <c r="O475" s="50">
        <f t="shared" si="407"/>
        <v>4.3914681848814308E-2</v>
      </c>
      <c r="P475" s="50">
        <f t="shared" si="407"/>
        <v>4.5729867165388009E-2</v>
      </c>
      <c r="Q475" s="50">
        <f t="shared" si="407"/>
        <v>4.5741487779353565E-2</v>
      </c>
      <c r="R475" s="50">
        <f t="shared" si="407"/>
        <v>4.4277060725657284E-2</v>
      </c>
      <c r="S475" s="50">
        <f t="shared" si="407"/>
        <v>4.3144199391556254E-2</v>
      </c>
      <c r="T475" s="50">
        <f t="shared" si="407"/>
        <v>4.3279567369281124E-2</v>
      </c>
      <c r="U475" s="50">
        <f t="shared" si="407"/>
        <v>4.4109954506885138E-2</v>
      </c>
      <c r="V475" s="50">
        <f t="shared" si="407"/>
        <v>4.6298728840315946E-2</v>
      </c>
      <c r="W475" s="50">
        <f t="shared" si="407"/>
        <v>5.6176649878816001E-2</v>
      </c>
      <c r="X475" s="50">
        <f t="shared" si="407"/>
        <v>6.2194705000087863E-2</v>
      </c>
      <c r="Y475" s="50">
        <f t="shared" si="407"/>
        <v>5.7928891294023718E-2</v>
      </c>
      <c r="Z475" s="50">
        <f t="shared" si="407"/>
        <v>5.019499221712586E-2</v>
      </c>
      <c r="AA475" s="50">
        <f t="shared" si="407"/>
        <v>4.1853093029906328E-2</v>
      </c>
      <c r="AB475" s="50">
        <f t="shared" si="407"/>
        <v>3.507334666327714E-2</v>
      </c>
      <c r="AC475" s="8">
        <f t="shared" si="406"/>
        <v>4.9999999999999991</v>
      </c>
    </row>
    <row r="476" spans="2:29">
      <c r="B476" s="16"/>
      <c r="C476" s="8" t="s">
        <v>48</v>
      </c>
      <c r="D476" s="8">
        <v>0</v>
      </c>
      <c r="E476" s="50">
        <f t="shared" ref="E476:AB476" si="408">+E416</f>
        <v>3.367503361886829E-2</v>
      </c>
      <c r="F476" s="50">
        <f t="shared" si="408"/>
        <v>3.1245692535415936E-2</v>
      </c>
      <c r="G476" s="50">
        <f t="shared" si="408"/>
        <v>2.9861746203171599E-2</v>
      </c>
      <c r="H476" s="50">
        <f t="shared" si="408"/>
        <v>2.9235019370742008E-2</v>
      </c>
      <c r="I476" s="50">
        <f t="shared" si="408"/>
        <v>3.0186379118294998E-2</v>
      </c>
      <c r="J476" s="50">
        <f t="shared" si="408"/>
        <v>3.3123682717801174E-2</v>
      </c>
      <c r="K476" s="50">
        <f t="shared" si="408"/>
        <v>3.5563630818173868E-2</v>
      </c>
      <c r="L476" s="50">
        <f t="shared" si="408"/>
        <v>3.7375437025807548E-2</v>
      </c>
      <c r="M476" s="50">
        <f t="shared" si="408"/>
        <v>3.9557895894381336E-2</v>
      </c>
      <c r="N476" s="50">
        <f t="shared" si="408"/>
        <v>4.1330002492198488E-2</v>
      </c>
      <c r="O476" s="50">
        <f t="shared" si="408"/>
        <v>4.3273465010057272E-2</v>
      </c>
      <c r="P476" s="50">
        <f t="shared" si="408"/>
        <v>4.5278417057592932E-2</v>
      </c>
      <c r="Q476" s="50">
        <f t="shared" si="408"/>
        <v>4.5765189585786785E-2</v>
      </c>
      <c r="R476" s="50">
        <f t="shared" si="408"/>
        <v>4.421428774797561E-2</v>
      </c>
      <c r="S476" s="50">
        <f t="shared" si="408"/>
        <v>4.3245429527174986E-2</v>
      </c>
      <c r="T476" s="50">
        <f t="shared" si="408"/>
        <v>4.3554999005074702E-2</v>
      </c>
      <c r="U476" s="50">
        <f t="shared" si="408"/>
        <v>4.4435510161992771E-2</v>
      </c>
      <c r="V476" s="50">
        <f t="shared" si="408"/>
        <v>4.717219114348542E-2</v>
      </c>
      <c r="W476" s="50">
        <f t="shared" si="408"/>
        <v>5.6899741232983039E-2</v>
      </c>
      <c r="X476" s="50">
        <f t="shared" si="408"/>
        <v>6.1986738769463187E-2</v>
      </c>
      <c r="Y476" s="50">
        <f t="shared" si="408"/>
        <v>5.7208700429979269E-2</v>
      </c>
      <c r="Z476" s="50">
        <f t="shared" si="408"/>
        <v>4.9339560702577757E-2</v>
      </c>
      <c r="AA476" s="50">
        <f t="shared" si="408"/>
        <v>4.1368944501432053E-2</v>
      </c>
      <c r="AB476" s="50">
        <f t="shared" si="408"/>
        <v>3.5102305329568817E-2</v>
      </c>
      <c r="AC476" s="8">
        <f t="shared" si="406"/>
        <v>0</v>
      </c>
    </row>
    <row r="477" spans="2:29">
      <c r="B477" s="12"/>
      <c r="C477" s="12" t="s">
        <v>15</v>
      </c>
      <c r="D477" s="12">
        <f>+SUM(D473:D476)</f>
        <v>30</v>
      </c>
      <c r="E477" s="19">
        <f>+SUMPRODUCT(E473:E476,$D473:$D476)</f>
        <v>0.90563186526879247</v>
      </c>
      <c r="F477" s="19">
        <f>+SUMPRODUCT(F473:F476,$D473:$D476)</f>
        <v>0.85164714090886251</v>
      </c>
      <c r="G477" s="19">
        <f t="shared" ref="G477:AB477" si="409">+SUMPRODUCT(G473:G476,$D473:$D476)</f>
        <v>0.82244057898928591</v>
      </c>
      <c r="H477" s="19">
        <f t="shared" si="409"/>
        <v>0.8191126252018468</v>
      </c>
      <c r="I477" s="19">
        <f t="shared" si="409"/>
        <v>0.87267158280619195</v>
      </c>
      <c r="J477" s="19">
        <f t="shared" si="409"/>
        <v>1.009030081105492</v>
      </c>
      <c r="K477" s="19">
        <f t="shared" si="409"/>
        <v>1.1325446817111924</v>
      </c>
      <c r="L477" s="19">
        <f t="shared" si="409"/>
        <v>1.1787289051091721</v>
      </c>
      <c r="M477" s="19">
        <f t="shared" si="409"/>
        <v>1.2318240877802173</v>
      </c>
      <c r="N477" s="19">
        <f t="shared" si="409"/>
        <v>1.2707176091679266</v>
      </c>
      <c r="O477" s="19">
        <f t="shared" si="409"/>
        <v>1.3266260573241904</v>
      </c>
      <c r="P477" s="19">
        <f t="shared" si="409"/>
        <v>1.3880725684636031</v>
      </c>
      <c r="Q477" s="19">
        <f t="shared" si="409"/>
        <v>1.3683103662283418</v>
      </c>
      <c r="R477" s="19">
        <f t="shared" si="409"/>
        <v>1.3218662214249963</v>
      </c>
      <c r="S477" s="19">
        <f t="shared" si="409"/>
        <v>1.3182619463101413</v>
      </c>
      <c r="T477" s="19">
        <f t="shared" si="409"/>
        <v>1.3425091662740691</v>
      </c>
      <c r="U477" s="19">
        <f t="shared" si="409"/>
        <v>1.3715476212431417</v>
      </c>
      <c r="V477" s="19">
        <f t="shared" si="409"/>
        <v>1.4324184895805079</v>
      </c>
      <c r="W477" s="19">
        <f t="shared" si="409"/>
        <v>1.7047601869965952</v>
      </c>
      <c r="X477" s="19">
        <f t="shared" si="409"/>
        <v>1.8523348507206274</v>
      </c>
      <c r="Y477" s="19">
        <f t="shared" si="409"/>
        <v>1.7195877366869685</v>
      </c>
      <c r="Z477" s="19">
        <f t="shared" si="409"/>
        <v>1.5032760147557276</v>
      </c>
      <c r="AA477" s="19">
        <f t="shared" si="409"/>
        <v>1.2369771901532518</v>
      </c>
      <c r="AB477" s="19">
        <f t="shared" si="409"/>
        <v>1.0191024257888588</v>
      </c>
      <c r="AC477" s="12">
        <f>+SUM(E477:AB477)</f>
        <v>30</v>
      </c>
    </row>
    <row r="478" spans="2:29">
      <c r="B478" s="15">
        <f>+EDATE(B473,1)</f>
        <v>47757</v>
      </c>
      <c r="C478" s="8" t="s">
        <v>45</v>
      </c>
      <c r="D478" s="8">
        <v>22</v>
      </c>
      <c r="E478" s="50">
        <f t="shared" ref="E478:AB478" si="410">+E418</f>
        <v>2.9361257124838391E-2</v>
      </c>
      <c r="F478" s="50">
        <f t="shared" si="410"/>
        <v>2.7692710332229715E-2</v>
      </c>
      <c r="G478" s="50">
        <f t="shared" si="410"/>
        <v>2.6785161397696527E-2</v>
      </c>
      <c r="H478" s="50">
        <f t="shared" si="410"/>
        <v>2.6786989368939883E-2</v>
      </c>
      <c r="I478" s="50">
        <f t="shared" si="410"/>
        <v>2.9135775177511477E-2</v>
      </c>
      <c r="J478" s="50">
        <f t="shared" si="410"/>
        <v>3.4540443856715661E-2</v>
      </c>
      <c r="K478" s="50">
        <f t="shared" si="410"/>
        <v>3.8789035252325646E-2</v>
      </c>
      <c r="L478" s="50">
        <f t="shared" si="410"/>
        <v>3.957865839345593E-2</v>
      </c>
      <c r="M478" s="50">
        <f t="shared" si="410"/>
        <v>4.0957538271781398E-2</v>
      </c>
      <c r="N478" s="50">
        <f t="shared" si="410"/>
        <v>4.2166920044863825E-2</v>
      </c>
      <c r="O478" s="50">
        <f t="shared" si="410"/>
        <v>4.4150374939633218E-2</v>
      </c>
      <c r="P478" s="50">
        <f t="shared" si="410"/>
        <v>4.6294816466469102E-2</v>
      </c>
      <c r="Q478" s="50">
        <f t="shared" si="410"/>
        <v>4.5431875959152102E-2</v>
      </c>
      <c r="R478" s="50">
        <f t="shared" si="410"/>
        <v>4.3879728503346101E-2</v>
      </c>
      <c r="S478" s="50">
        <f t="shared" si="410"/>
        <v>4.4118506624640258E-2</v>
      </c>
      <c r="T478" s="50">
        <f t="shared" si="410"/>
        <v>4.5188432655351718E-2</v>
      </c>
      <c r="U478" s="50">
        <f t="shared" si="410"/>
        <v>4.624302558461979E-2</v>
      </c>
      <c r="V478" s="50">
        <f t="shared" si="410"/>
        <v>4.8247238962955179E-2</v>
      </c>
      <c r="W478" s="50">
        <f t="shared" si="410"/>
        <v>5.7096885328092907E-2</v>
      </c>
      <c r="X478" s="50">
        <f t="shared" si="410"/>
        <v>6.1739938045350239E-2</v>
      </c>
      <c r="Y478" s="50">
        <f t="shared" si="410"/>
        <v>5.7231881517227232E-2</v>
      </c>
      <c r="Z478" s="50">
        <f t="shared" si="410"/>
        <v>5.0129255438435008E-2</v>
      </c>
      <c r="AA478" s="50">
        <f t="shared" si="410"/>
        <v>4.1010488221716553E-2</v>
      </c>
      <c r="AB478" s="50">
        <f t="shared" si="410"/>
        <v>3.34430625326523E-2</v>
      </c>
      <c r="AC478" s="8">
        <f>+SUM(E478:AB478)*D478</f>
        <v>22.000000000000004</v>
      </c>
    </row>
    <row r="479" spans="2:29">
      <c r="B479" s="16"/>
      <c r="C479" s="8" t="s">
        <v>46</v>
      </c>
      <c r="D479" s="8">
        <v>4</v>
      </c>
      <c r="E479" s="50">
        <f t="shared" ref="E479:AB479" si="411">+E419</f>
        <v>3.0659473205105158E-2</v>
      </c>
      <c r="F479" s="50">
        <f t="shared" si="411"/>
        <v>2.8600001140869122E-2</v>
      </c>
      <c r="G479" s="50">
        <f t="shared" si="411"/>
        <v>2.7683858575034276E-2</v>
      </c>
      <c r="H479" s="50">
        <f t="shared" si="411"/>
        <v>2.7537802139610414E-2</v>
      </c>
      <c r="I479" s="50">
        <f t="shared" si="411"/>
        <v>2.8782539770184416E-2</v>
      </c>
      <c r="J479" s="50">
        <f t="shared" si="411"/>
        <v>3.2241585579716119E-2</v>
      </c>
      <c r="K479" s="50">
        <f t="shared" si="411"/>
        <v>3.645312931015221E-2</v>
      </c>
      <c r="L479" s="50">
        <f t="shared" si="411"/>
        <v>3.9012639181609042E-2</v>
      </c>
      <c r="M479" s="50">
        <f t="shared" si="411"/>
        <v>4.1549207589560662E-2</v>
      </c>
      <c r="N479" s="50">
        <f t="shared" si="411"/>
        <v>4.3042516751632572E-2</v>
      </c>
      <c r="O479" s="50">
        <f t="shared" si="411"/>
        <v>4.4973693586955334E-2</v>
      </c>
      <c r="P479" s="50">
        <f t="shared" si="411"/>
        <v>4.6808021710202923E-2</v>
      </c>
      <c r="Q479" s="50">
        <f t="shared" si="411"/>
        <v>4.6383383047344962E-2</v>
      </c>
      <c r="R479" s="50">
        <f t="shared" si="411"/>
        <v>4.4751654806610461E-2</v>
      </c>
      <c r="S479" s="50">
        <f t="shared" si="411"/>
        <v>4.4013077558728637E-2</v>
      </c>
      <c r="T479" s="50">
        <f t="shared" si="411"/>
        <v>4.428856091631931E-2</v>
      </c>
      <c r="U479" s="50">
        <f t="shared" si="411"/>
        <v>4.49735778579251E-2</v>
      </c>
      <c r="V479" s="50">
        <f t="shared" si="411"/>
        <v>4.6933206789217301E-2</v>
      </c>
      <c r="W479" s="50">
        <f t="shared" si="411"/>
        <v>5.6210586428141023E-2</v>
      </c>
      <c r="X479" s="50">
        <f t="shared" si="411"/>
        <v>6.1205656691958259E-2</v>
      </c>
      <c r="Y479" s="50">
        <f t="shared" si="411"/>
        <v>5.7018442088769522E-2</v>
      </c>
      <c r="Z479" s="50">
        <f t="shared" si="411"/>
        <v>4.9896672365740725E-2</v>
      </c>
      <c r="AA479" s="50">
        <f t="shared" si="411"/>
        <v>4.1622868086918119E-2</v>
      </c>
      <c r="AB479" s="50">
        <f t="shared" si="411"/>
        <v>3.5357844821693719E-2</v>
      </c>
      <c r="AC479" s="8">
        <f t="shared" ref="AC479:AC481" si="412">+SUM(E479:AB479)*D479</f>
        <v>3.9999999999999969</v>
      </c>
    </row>
    <row r="480" spans="2:29">
      <c r="B480" s="16"/>
      <c r="C480" s="8" t="s">
        <v>47</v>
      </c>
      <c r="D480" s="8">
        <v>4</v>
      </c>
      <c r="E480" s="50">
        <f t="shared" ref="E480:AB480" si="413">+E420</f>
        <v>3.3281514565353124E-2</v>
      </c>
      <c r="F480" s="50">
        <f t="shared" si="413"/>
        <v>3.1140043873712407E-2</v>
      </c>
      <c r="G480" s="50">
        <f t="shared" si="413"/>
        <v>2.984335106750436E-2</v>
      </c>
      <c r="H480" s="50">
        <f t="shared" si="413"/>
        <v>2.9286927979133532E-2</v>
      </c>
      <c r="I480" s="50">
        <f t="shared" si="413"/>
        <v>2.9138028999542646E-2</v>
      </c>
      <c r="J480" s="50">
        <f t="shared" si="413"/>
        <v>3.0942883559119717E-2</v>
      </c>
      <c r="K480" s="50">
        <f t="shared" si="413"/>
        <v>3.4432484834348992E-2</v>
      </c>
      <c r="L480" s="50">
        <f t="shared" si="413"/>
        <v>3.8305304424032266E-2</v>
      </c>
      <c r="M480" s="50">
        <f t="shared" si="413"/>
        <v>4.1103790742913066E-2</v>
      </c>
      <c r="N480" s="50">
        <f t="shared" si="413"/>
        <v>4.2608444243851212E-2</v>
      </c>
      <c r="O480" s="50">
        <f t="shared" si="413"/>
        <v>4.3914681848814308E-2</v>
      </c>
      <c r="P480" s="50">
        <f t="shared" si="413"/>
        <v>4.5729867165388009E-2</v>
      </c>
      <c r="Q480" s="50">
        <f t="shared" si="413"/>
        <v>4.5741487779353565E-2</v>
      </c>
      <c r="R480" s="50">
        <f t="shared" si="413"/>
        <v>4.4277060725657284E-2</v>
      </c>
      <c r="S480" s="50">
        <f t="shared" si="413"/>
        <v>4.3144199391556254E-2</v>
      </c>
      <c r="T480" s="50">
        <f t="shared" si="413"/>
        <v>4.3279567369281124E-2</v>
      </c>
      <c r="U480" s="50">
        <f t="shared" si="413"/>
        <v>4.4109954506885138E-2</v>
      </c>
      <c r="V480" s="50">
        <f t="shared" si="413"/>
        <v>4.6298728840315946E-2</v>
      </c>
      <c r="W480" s="50">
        <f t="shared" si="413"/>
        <v>5.6176649878816001E-2</v>
      </c>
      <c r="X480" s="50">
        <f t="shared" si="413"/>
        <v>6.2194705000087863E-2</v>
      </c>
      <c r="Y480" s="50">
        <f t="shared" si="413"/>
        <v>5.7928891294023718E-2</v>
      </c>
      <c r="Z480" s="50">
        <f t="shared" si="413"/>
        <v>5.019499221712586E-2</v>
      </c>
      <c r="AA480" s="50">
        <f t="shared" si="413"/>
        <v>4.1853093029906328E-2</v>
      </c>
      <c r="AB480" s="50">
        <f t="shared" si="413"/>
        <v>3.507334666327714E-2</v>
      </c>
      <c r="AC480" s="8">
        <f t="shared" si="412"/>
        <v>3.9999999999999991</v>
      </c>
    </row>
    <row r="481" spans="2:29">
      <c r="B481" s="16"/>
      <c r="C481" s="8" t="s">
        <v>48</v>
      </c>
      <c r="D481" s="8">
        <v>1</v>
      </c>
      <c r="E481" s="50">
        <f t="shared" ref="E481:AB481" si="414">+E421</f>
        <v>3.367503361886829E-2</v>
      </c>
      <c r="F481" s="50">
        <f t="shared" si="414"/>
        <v>3.1245692535415936E-2</v>
      </c>
      <c r="G481" s="50">
        <f t="shared" si="414"/>
        <v>2.9861746203171599E-2</v>
      </c>
      <c r="H481" s="50">
        <f t="shared" si="414"/>
        <v>2.9235019370742008E-2</v>
      </c>
      <c r="I481" s="50">
        <f t="shared" si="414"/>
        <v>3.0186379118294998E-2</v>
      </c>
      <c r="J481" s="50">
        <f t="shared" si="414"/>
        <v>3.3123682717801174E-2</v>
      </c>
      <c r="K481" s="50">
        <f t="shared" si="414"/>
        <v>3.5563630818173868E-2</v>
      </c>
      <c r="L481" s="50">
        <f t="shared" si="414"/>
        <v>3.7375437025807548E-2</v>
      </c>
      <c r="M481" s="50">
        <f t="shared" si="414"/>
        <v>3.9557895894381336E-2</v>
      </c>
      <c r="N481" s="50">
        <f t="shared" si="414"/>
        <v>4.1330002492198488E-2</v>
      </c>
      <c r="O481" s="50">
        <f t="shared" si="414"/>
        <v>4.3273465010057272E-2</v>
      </c>
      <c r="P481" s="50">
        <f t="shared" si="414"/>
        <v>4.5278417057592932E-2</v>
      </c>
      <c r="Q481" s="50">
        <f t="shared" si="414"/>
        <v>4.5765189585786785E-2</v>
      </c>
      <c r="R481" s="50">
        <f t="shared" si="414"/>
        <v>4.421428774797561E-2</v>
      </c>
      <c r="S481" s="50">
        <f t="shared" si="414"/>
        <v>4.3245429527174986E-2</v>
      </c>
      <c r="T481" s="50">
        <f t="shared" si="414"/>
        <v>4.3554999005074702E-2</v>
      </c>
      <c r="U481" s="50">
        <f t="shared" si="414"/>
        <v>4.4435510161992771E-2</v>
      </c>
      <c r="V481" s="50">
        <f t="shared" si="414"/>
        <v>4.717219114348542E-2</v>
      </c>
      <c r="W481" s="50">
        <f t="shared" si="414"/>
        <v>5.6899741232983039E-2</v>
      </c>
      <c r="X481" s="50">
        <f t="shared" si="414"/>
        <v>6.1986738769463187E-2</v>
      </c>
      <c r="Y481" s="50">
        <f t="shared" si="414"/>
        <v>5.7208700429979269E-2</v>
      </c>
      <c r="Z481" s="50">
        <f t="shared" si="414"/>
        <v>4.9339560702577757E-2</v>
      </c>
      <c r="AA481" s="50">
        <f t="shared" si="414"/>
        <v>4.1368944501432053E-2</v>
      </c>
      <c r="AB481" s="50">
        <f t="shared" si="414"/>
        <v>3.5102305329568817E-2</v>
      </c>
      <c r="AC481" s="8">
        <f t="shared" si="412"/>
        <v>0.99999999999999978</v>
      </c>
    </row>
    <row r="482" spans="2:29">
      <c r="B482" s="12"/>
      <c r="C482" s="12" t="s">
        <v>15</v>
      </c>
      <c r="D482" s="12">
        <f>+SUM(D478:D481)</f>
        <v>31</v>
      </c>
      <c r="E482" s="19">
        <f>+SUMPRODUCT(E478:E481,$D478:$D481)</f>
        <v>0.93538664144714589</v>
      </c>
      <c r="F482" s="19">
        <f>+SUMPRODUCT(F478:F481,$D478:$D481)</f>
        <v>0.87944549990279586</v>
      </c>
      <c r="G482" s="19">
        <f t="shared" ref="G482:AB482" si="415">+SUMPRODUCT(G478:G481,$D478:$D481)</f>
        <v>0.84924413552264977</v>
      </c>
      <c r="H482" s="19">
        <f t="shared" si="415"/>
        <v>0.84584770596239522</v>
      </c>
      <c r="I482" s="19">
        <f t="shared" si="415"/>
        <v>0.90285570810245575</v>
      </c>
      <c r="J482" s="19">
        <f t="shared" si="415"/>
        <v>1.0457513241208891</v>
      </c>
      <c r="K482" s="19">
        <f t="shared" si="415"/>
        <v>1.1724648629473431</v>
      </c>
      <c r="L482" s="19">
        <f t="shared" si="415"/>
        <v>1.2173776961044029</v>
      </c>
      <c r="M482" s="19">
        <f t="shared" si="415"/>
        <v>1.2712357312034672</v>
      </c>
      <c r="N482" s="19">
        <f t="shared" si="415"/>
        <v>1.3116060874611379</v>
      </c>
      <c r="O482" s="19">
        <f t="shared" si="415"/>
        <v>1.3701352154250666</v>
      </c>
      <c r="P482" s="19">
        <f t="shared" si="415"/>
        <v>1.4339159348222767</v>
      </c>
      <c r="Q482" s="19">
        <f t="shared" si="415"/>
        <v>1.413765943993927</v>
      </c>
      <c r="R482" s="19">
        <f t="shared" si="415"/>
        <v>1.3656831769506608</v>
      </c>
      <c r="S482" s="19">
        <f t="shared" si="415"/>
        <v>1.3624816830704001</v>
      </c>
      <c r="T482" s="19">
        <f t="shared" si="415"/>
        <v>1.3879730305652143</v>
      </c>
      <c r="U482" s="19">
        <f t="shared" si="415"/>
        <v>1.4181162024828693</v>
      </c>
      <c r="V482" s="19">
        <f t="shared" si="415"/>
        <v>1.4815391908466324</v>
      </c>
      <c r="W482" s="19">
        <f t="shared" si="415"/>
        <v>1.7625801636788549</v>
      </c>
      <c r="X482" s="19">
        <f t="shared" si="415"/>
        <v>1.913866822535353</v>
      </c>
      <c r="Y482" s="19">
        <f t="shared" si="415"/>
        <v>1.7760994273401516</v>
      </c>
      <c r="Z482" s="19">
        <f t="shared" si="415"/>
        <v>1.5525498386796144</v>
      </c>
      <c r="AA482" s="19">
        <f t="shared" si="415"/>
        <v>1.2775035298464938</v>
      </c>
      <c r="AB482" s="19">
        <f t="shared" si="415"/>
        <v>1.0525744469878027</v>
      </c>
      <c r="AC482" s="12">
        <f>+SUM(E482:AB482)</f>
        <v>31.000000000000004</v>
      </c>
    </row>
    <row r="483" spans="2:29">
      <c r="B483" s="15">
        <f>+EDATE(B478,1)</f>
        <v>47788</v>
      </c>
      <c r="C483" s="8" t="s">
        <v>45</v>
      </c>
      <c r="D483" s="8">
        <v>19</v>
      </c>
      <c r="E483" s="50">
        <f t="shared" ref="E483:AB483" si="416">+E423</f>
        <v>2.9361257124838391E-2</v>
      </c>
      <c r="F483" s="50">
        <f t="shared" si="416"/>
        <v>2.7692710332229715E-2</v>
      </c>
      <c r="G483" s="50">
        <f t="shared" si="416"/>
        <v>2.6785161397696527E-2</v>
      </c>
      <c r="H483" s="50">
        <f t="shared" si="416"/>
        <v>2.6786989368939883E-2</v>
      </c>
      <c r="I483" s="50">
        <f t="shared" si="416"/>
        <v>2.9135775177511477E-2</v>
      </c>
      <c r="J483" s="50">
        <f t="shared" si="416"/>
        <v>3.4540443856715661E-2</v>
      </c>
      <c r="K483" s="50">
        <f t="shared" si="416"/>
        <v>3.8789035252325646E-2</v>
      </c>
      <c r="L483" s="50">
        <f t="shared" si="416"/>
        <v>3.957865839345593E-2</v>
      </c>
      <c r="M483" s="50">
        <f t="shared" si="416"/>
        <v>4.0957538271781398E-2</v>
      </c>
      <c r="N483" s="50">
        <f t="shared" si="416"/>
        <v>4.2166920044863825E-2</v>
      </c>
      <c r="O483" s="50">
        <f t="shared" si="416"/>
        <v>4.4150374939633218E-2</v>
      </c>
      <c r="P483" s="50">
        <f t="shared" si="416"/>
        <v>4.6294816466469102E-2</v>
      </c>
      <c r="Q483" s="50">
        <f t="shared" si="416"/>
        <v>4.5431875959152102E-2</v>
      </c>
      <c r="R483" s="50">
        <f t="shared" si="416"/>
        <v>4.3879728503346101E-2</v>
      </c>
      <c r="S483" s="50">
        <f t="shared" si="416"/>
        <v>4.4118506624640258E-2</v>
      </c>
      <c r="T483" s="50">
        <f t="shared" si="416"/>
        <v>4.5188432655351718E-2</v>
      </c>
      <c r="U483" s="50">
        <f t="shared" si="416"/>
        <v>4.624302558461979E-2</v>
      </c>
      <c r="V483" s="50">
        <f t="shared" si="416"/>
        <v>4.8247238962955179E-2</v>
      </c>
      <c r="W483" s="50">
        <f t="shared" si="416"/>
        <v>5.7096885328092907E-2</v>
      </c>
      <c r="X483" s="50">
        <f t="shared" si="416"/>
        <v>6.1739938045350239E-2</v>
      </c>
      <c r="Y483" s="50">
        <f t="shared" si="416"/>
        <v>5.7231881517227232E-2</v>
      </c>
      <c r="Z483" s="50">
        <f t="shared" si="416"/>
        <v>5.0129255438435008E-2</v>
      </c>
      <c r="AA483" s="50">
        <f t="shared" si="416"/>
        <v>4.1010488221716553E-2</v>
      </c>
      <c r="AB483" s="50">
        <f t="shared" si="416"/>
        <v>3.34430625326523E-2</v>
      </c>
      <c r="AC483" s="8">
        <f>+SUM(E483:AB483)*D483</f>
        <v>19.000000000000004</v>
      </c>
    </row>
    <row r="484" spans="2:29">
      <c r="B484" s="16"/>
      <c r="C484" s="8" t="s">
        <v>46</v>
      </c>
      <c r="D484" s="8">
        <v>5</v>
      </c>
      <c r="E484" s="50">
        <f t="shared" ref="E484:AB484" si="417">+E424</f>
        <v>3.0659473205105158E-2</v>
      </c>
      <c r="F484" s="50">
        <f t="shared" si="417"/>
        <v>2.8600001140869122E-2</v>
      </c>
      <c r="G484" s="50">
        <f t="shared" si="417"/>
        <v>2.7683858575034276E-2</v>
      </c>
      <c r="H484" s="50">
        <f t="shared" si="417"/>
        <v>2.7537802139610414E-2</v>
      </c>
      <c r="I484" s="50">
        <f t="shared" si="417"/>
        <v>2.8782539770184416E-2</v>
      </c>
      <c r="J484" s="50">
        <f t="shared" si="417"/>
        <v>3.2241585579716119E-2</v>
      </c>
      <c r="K484" s="50">
        <f t="shared" si="417"/>
        <v>3.645312931015221E-2</v>
      </c>
      <c r="L484" s="50">
        <f t="shared" si="417"/>
        <v>3.9012639181609042E-2</v>
      </c>
      <c r="M484" s="50">
        <f t="shared" si="417"/>
        <v>4.1549207589560662E-2</v>
      </c>
      <c r="N484" s="50">
        <f t="shared" si="417"/>
        <v>4.3042516751632572E-2</v>
      </c>
      <c r="O484" s="50">
        <f t="shared" si="417"/>
        <v>4.4973693586955334E-2</v>
      </c>
      <c r="P484" s="50">
        <f t="shared" si="417"/>
        <v>4.6808021710202923E-2</v>
      </c>
      <c r="Q484" s="50">
        <f t="shared" si="417"/>
        <v>4.6383383047344962E-2</v>
      </c>
      <c r="R484" s="50">
        <f t="shared" si="417"/>
        <v>4.4751654806610461E-2</v>
      </c>
      <c r="S484" s="50">
        <f t="shared" si="417"/>
        <v>4.4013077558728637E-2</v>
      </c>
      <c r="T484" s="50">
        <f t="shared" si="417"/>
        <v>4.428856091631931E-2</v>
      </c>
      <c r="U484" s="50">
        <f t="shared" si="417"/>
        <v>4.49735778579251E-2</v>
      </c>
      <c r="V484" s="50">
        <f t="shared" si="417"/>
        <v>4.6933206789217301E-2</v>
      </c>
      <c r="W484" s="50">
        <f t="shared" si="417"/>
        <v>5.6210586428141023E-2</v>
      </c>
      <c r="X484" s="50">
        <f t="shared" si="417"/>
        <v>6.1205656691958259E-2</v>
      </c>
      <c r="Y484" s="50">
        <f t="shared" si="417"/>
        <v>5.7018442088769522E-2</v>
      </c>
      <c r="Z484" s="50">
        <f t="shared" si="417"/>
        <v>4.9896672365740725E-2</v>
      </c>
      <c r="AA484" s="50">
        <f t="shared" si="417"/>
        <v>4.1622868086918119E-2</v>
      </c>
      <c r="AB484" s="50">
        <f t="shared" si="417"/>
        <v>3.5357844821693719E-2</v>
      </c>
      <c r="AC484" s="8">
        <f t="shared" ref="AC484:AC486" si="418">+SUM(E484:AB484)*D484</f>
        <v>4.9999999999999964</v>
      </c>
    </row>
    <row r="485" spans="2:29">
      <c r="B485" s="16"/>
      <c r="C485" s="8" t="s">
        <v>47</v>
      </c>
      <c r="D485" s="8">
        <v>4</v>
      </c>
      <c r="E485" s="50">
        <f t="shared" ref="E485:AB485" si="419">+E425</f>
        <v>3.3281514565353124E-2</v>
      </c>
      <c r="F485" s="50">
        <f t="shared" si="419"/>
        <v>3.1140043873712407E-2</v>
      </c>
      <c r="G485" s="50">
        <f t="shared" si="419"/>
        <v>2.984335106750436E-2</v>
      </c>
      <c r="H485" s="50">
        <f t="shared" si="419"/>
        <v>2.9286927979133532E-2</v>
      </c>
      <c r="I485" s="50">
        <f t="shared" si="419"/>
        <v>2.9138028999542646E-2</v>
      </c>
      <c r="J485" s="50">
        <f t="shared" si="419"/>
        <v>3.0942883559119717E-2</v>
      </c>
      <c r="K485" s="50">
        <f t="shared" si="419"/>
        <v>3.4432484834348992E-2</v>
      </c>
      <c r="L485" s="50">
        <f t="shared" si="419"/>
        <v>3.8305304424032266E-2</v>
      </c>
      <c r="M485" s="50">
        <f t="shared" si="419"/>
        <v>4.1103790742913066E-2</v>
      </c>
      <c r="N485" s="50">
        <f t="shared" si="419"/>
        <v>4.2608444243851212E-2</v>
      </c>
      <c r="O485" s="50">
        <f t="shared" si="419"/>
        <v>4.3914681848814308E-2</v>
      </c>
      <c r="P485" s="50">
        <f t="shared" si="419"/>
        <v>4.5729867165388009E-2</v>
      </c>
      <c r="Q485" s="50">
        <f t="shared" si="419"/>
        <v>4.5741487779353565E-2</v>
      </c>
      <c r="R485" s="50">
        <f t="shared" si="419"/>
        <v>4.4277060725657284E-2</v>
      </c>
      <c r="S485" s="50">
        <f t="shared" si="419"/>
        <v>4.3144199391556254E-2</v>
      </c>
      <c r="T485" s="50">
        <f t="shared" si="419"/>
        <v>4.3279567369281124E-2</v>
      </c>
      <c r="U485" s="50">
        <f t="shared" si="419"/>
        <v>4.4109954506885138E-2</v>
      </c>
      <c r="V485" s="50">
        <f t="shared" si="419"/>
        <v>4.6298728840315946E-2</v>
      </c>
      <c r="W485" s="50">
        <f t="shared" si="419"/>
        <v>5.6176649878816001E-2</v>
      </c>
      <c r="X485" s="50">
        <f t="shared" si="419"/>
        <v>6.2194705000087863E-2</v>
      </c>
      <c r="Y485" s="50">
        <f t="shared" si="419"/>
        <v>5.7928891294023718E-2</v>
      </c>
      <c r="Z485" s="50">
        <f t="shared" si="419"/>
        <v>5.019499221712586E-2</v>
      </c>
      <c r="AA485" s="50">
        <f t="shared" si="419"/>
        <v>4.1853093029906328E-2</v>
      </c>
      <c r="AB485" s="50">
        <f t="shared" si="419"/>
        <v>3.507334666327714E-2</v>
      </c>
      <c r="AC485" s="8">
        <f t="shared" si="418"/>
        <v>3.9999999999999991</v>
      </c>
    </row>
    <row r="486" spans="2:29">
      <c r="B486" s="16"/>
      <c r="C486" s="8" t="s">
        <v>48</v>
      </c>
      <c r="D486" s="8">
        <v>2</v>
      </c>
      <c r="E486" s="50">
        <f t="shared" ref="E486:AB486" si="420">+E426</f>
        <v>3.367503361886829E-2</v>
      </c>
      <c r="F486" s="50">
        <f t="shared" si="420"/>
        <v>3.1245692535415936E-2</v>
      </c>
      <c r="G486" s="50">
        <f t="shared" si="420"/>
        <v>2.9861746203171599E-2</v>
      </c>
      <c r="H486" s="50">
        <f t="shared" si="420"/>
        <v>2.9235019370742008E-2</v>
      </c>
      <c r="I486" s="50">
        <f t="shared" si="420"/>
        <v>3.0186379118294998E-2</v>
      </c>
      <c r="J486" s="50">
        <f t="shared" si="420"/>
        <v>3.3123682717801174E-2</v>
      </c>
      <c r="K486" s="50">
        <f t="shared" si="420"/>
        <v>3.5563630818173868E-2</v>
      </c>
      <c r="L486" s="50">
        <f t="shared" si="420"/>
        <v>3.7375437025807548E-2</v>
      </c>
      <c r="M486" s="50">
        <f t="shared" si="420"/>
        <v>3.9557895894381336E-2</v>
      </c>
      <c r="N486" s="50">
        <f t="shared" si="420"/>
        <v>4.1330002492198488E-2</v>
      </c>
      <c r="O486" s="50">
        <f t="shared" si="420"/>
        <v>4.3273465010057272E-2</v>
      </c>
      <c r="P486" s="50">
        <f t="shared" si="420"/>
        <v>4.5278417057592932E-2</v>
      </c>
      <c r="Q486" s="50">
        <f t="shared" si="420"/>
        <v>4.5765189585786785E-2</v>
      </c>
      <c r="R486" s="50">
        <f t="shared" si="420"/>
        <v>4.421428774797561E-2</v>
      </c>
      <c r="S486" s="50">
        <f t="shared" si="420"/>
        <v>4.3245429527174986E-2</v>
      </c>
      <c r="T486" s="50">
        <f t="shared" si="420"/>
        <v>4.3554999005074702E-2</v>
      </c>
      <c r="U486" s="50">
        <f t="shared" si="420"/>
        <v>4.4435510161992771E-2</v>
      </c>
      <c r="V486" s="50">
        <f t="shared" si="420"/>
        <v>4.717219114348542E-2</v>
      </c>
      <c r="W486" s="50">
        <f t="shared" si="420"/>
        <v>5.6899741232983039E-2</v>
      </c>
      <c r="X486" s="50">
        <f t="shared" si="420"/>
        <v>6.1986738769463187E-2</v>
      </c>
      <c r="Y486" s="50">
        <f t="shared" si="420"/>
        <v>5.7208700429979269E-2</v>
      </c>
      <c r="Z486" s="50">
        <f t="shared" si="420"/>
        <v>4.9339560702577757E-2</v>
      </c>
      <c r="AA486" s="50">
        <f t="shared" si="420"/>
        <v>4.1368944501432053E-2</v>
      </c>
      <c r="AB486" s="50">
        <f t="shared" si="420"/>
        <v>3.5102305329568817E-2</v>
      </c>
      <c r="AC486" s="8">
        <f t="shared" si="418"/>
        <v>1.9999999999999996</v>
      </c>
    </row>
    <row r="487" spans="2:29">
      <c r="B487" s="12"/>
      <c r="C487" s="12" t="s">
        <v>15</v>
      </c>
      <c r="D487" s="12">
        <f>+SUM(D483:D486)</f>
        <v>30</v>
      </c>
      <c r="E487" s="19">
        <f>+SUMPRODUCT(E483:E486,$D483:$D486)</f>
        <v>0.91163737689660429</v>
      </c>
      <c r="F487" s="19">
        <f>+SUMPRODUCT(F483:F486,$D483:$D486)</f>
        <v>0.8562130625823916</v>
      </c>
      <c r="G487" s="19">
        <f t="shared" ref="G487:AB487" si="421">+SUMPRODUCT(G483:G486,$D483:$D486)</f>
        <v>0.82643425610776611</v>
      </c>
      <c r="H487" s="19">
        <f t="shared" si="421"/>
        <v>0.82225955936592809</v>
      </c>
      <c r="I487" s="19">
        <f t="shared" si="421"/>
        <v>0.87441730145840069</v>
      </c>
      <c r="J487" s="19">
        <f t="shared" si="421"/>
        <v>1.0074952608482595</v>
      </c>
      <c r="K487" s="19">
        <f t="shared" si="421"/>
        <v>1.1281145173186919</v>
      </c>
      <c r="L487" s="19">
        <f t="shared" si="421"/>
        <v>1.1750297971314521</v>
      </c>
      <c r="M487" s="19">
        <f t="shared" si="421"/>
        <v>1.2294702198720648</v>
      </c>
      <c r="N487" s="19">
        <f t="shared" si="421"/>
        <v>1.2694778465703775</v>
      </c>
      <c r="O487" s="19">
        <f t="shared" si="421"/>
        <v>1.3259312492031796</v>
      </c>
      <c r="P487" s="19">
        <f t="shared" si="421"/>
        <v>1.3871179241906655</v>
      </c>
      <c r="Q487" s="19">
        <f t="shared" si="421"/>
        <v>1.3696188887496026</v>
      </c>
      <c r="R487" s="19">
        <f t="shared" si="421"/>
        <v>1.3230099339952086</v>
      </c>
      <c r="S487" s="19">
        <f t="shared" si="421"/>
        <v>1.3173846702823833</v>
      </c>
      <c r="T487" s="19">
        <f t="shared" si="421"/>
        <v>1.340251292520553</v>
      </c>
      <c r="U487" s="19">
        <f t="shared" si="421"/>
        <v>1.3687962137489276</v>
      </c>
      <c r="V487" s="19">
        <f t="shared" si="421"/>
        <v>1.4309028718904693</v>
      </c>
      <c r="W487" s="19">
        <f t="shared" si="421"/>
        <v>1.7043998353557004</v>
      </c>
      <c r="X487" s="19">
        <f t="shared" si="421"/>
        <v>1.8518394038607233</v>
      </c>
      <c r="Y487" s="19">
        <f t="shared" si="421"/>
        <v>1.7186309253072185</v>
      </c>
      <c r="Z487" s="19">
        <f t="shared" si="421"/>
        <v>1.5013983054326276</v>
      </c>
      <c r="AA487" s="19">
        <f t="shared" si="421"/>
        <v>1.2374638777696945</v>
      </c>
      <c r="AB487" s="19">
        <f t="shared" si="421"/>
        <v>1.0227054095411083</v>
      </c>
      <c r="AC487" s="12">
        <f>+SUM(E487:AB487)</f>
        <v>29.999999999999996</v>
      </c>
    </row>
    <row r="488" spans="2:29">
      <c r="B488" s="15">
        <f>+EDATE(B483,1)</f>
        <v>47818</v>
      </c>
      <c r="C488" s="8" t="s">
        <v>45</v>
      </c>
      <c r="D488" s="8">
        <v>21</v>
      </c>
      <c r="E488" s="50">
        <f t="shared" ref="E488:AB488" si="422">+E428</f>
        <v>2.9361257124838391E-2</v>
      </c>
      <c r="F488" s="50">
        <f t="shared" si="422"/>
        <v>2.7692710332229715E-2</v>
      </c>
      <c r="G488" s="50">
        <f t="shared" si="422"/>
        <v>2.6785161397696527E-2</v>
      </c>
      <c r="H488" s="50">
        <f t="shared" si="422"/>
        <v>2.6786989368939883E-2</v>
      </c>
      <c r="I488" s="50">
        <f t="shared" si="422"/>
        <v>2.9135775177511477E-2</v>
      </c>
      <c r="J488" s="50">
        <f t="shared" si="422"/>
        <v>3.4540443856715661E-2</v>
      </c>
      <c r="K488" s="50">
        <f t="shared" si="422"/>
        <v>3.8789035252325646E-2</v>
      </c>
      <c r="L488" s="50">
        <f t="shared" si="422"/>
        <v>3.957865839345593E-2</v>
      </c>
      <c r="M488" s="50">
        <f t="shared" si="422"/>
        <v>4.0957538271781398E-2</v>
      </c>
      <c r="N488" s="50">
        <f t="shared" si="422"/>
        <v>4.2166920044863825E-2</v>
      </c>
      <c r="O488" s="50">
        <f t="shared" si="422"/>
        <v>4.4150374939633218E-2</v>
      </c>
      <c r="P488" s="50">
        <f t="shared" si="422"/>
        <v>4.6294816466469102E-2</v>
      </c>
      <c r="Q488" s="50">
        <f t="shared" si="422"/>
        <v>4.5431875959152102E-2</v>
      </c>
      <c r="R488" s="50">
        <f t="shared" si="422"/>
        <v>4.3879728503346101E-2</v>
      </c>
      <c r="S488" s="50">
        <f t="shared" si="422"/>
        <v>4.4118506624640258E-2</v>
      </c>
      <c r="T488" s="50">
        <f t="shared" si="422"/>
        <v>4.5188432655351718E-2</v>
      </c>
      <c r="U488" s="50">
        <f t="shared" si="422"/>
        <v>4.624302558461979E-2</v>
      </c>
      <c r="V488" s="50">
        <f t="shared" si="422"/>
        <v>4.8247238962955179E-2</v>
      </c>
      <c r="W488" s="50">
        <f t="shared" si="422"/>
        <v>5.7096885328092907E-2</v>
      </c>
      <c r="X488" s="50">
        <f t="shared" si="422"/>
        <v>6.1739938045350239E-2</v>
      </c>
      <c r="Y488" s="50">
        <f t="shared" si="422"/>
        <v>5.7231881517227232E-2</v>
      </c>
      <c r="Z488" s="50">
        <f t="shared" si="422"/>
        <v>5.0129255438435008E-2</v>
      </c>
      <c r="AA488" s="50">
        <f t="shared" si="422"/>
        <v>4.1010488221716553E-2</v>
      </c>
      <c r="AB488" s="50">
        <f t="shared" si="422"/>
        <v>3.34430625326523E-2</v>
      </c>
      <c r="AC488" s="8">
        <f>+SUM(E488:AB488)*D488</f>
        <v>21.000000000000004</v>
      </c>
    </row>
    <row r="489" spans="2:29">
      <c r="B489" s="16"/>
      <c r="C489" s="8" t="s">
        <v>46</v>
      </c>
      <c r="D489" s="8">
        <v>4</v>
      </c>
      <c r="E489" s="50">
        <f t="shared" ref="E489:AB489" si="423">+E429</f>
        <v>3.0659473205105158E-2</v>
      </c>
      <c r="F489" s="50">
        <f t="shared" si="423"/>
        <v>2.8600001140869122E-2</v>
      </c>
      <c r="G489" s="50">
        <f t="shared" si="423"/>
        <v>2.7683858575034276E-2</v>
      </c>
      <c r="H489" s="50">
        <f t="shared" si="423"/>
        <v>2.7537802139610414E-2</v>
      </c>
      <c r="I489" s="50">
        <f t="shared" si="423"/>
        <v>2.8782539770184416E-2</v>
      </c>
      <c r="J489" s="50">
        <f t="shared" si="423"/>
        <v>3.2241585579716119E-2</v>
      </c>
      <c r="K489" s="50">
        <f t="shared" si="423"/>
        <v>3.645312931015221E-2</v>
      </c>
      <c r="L489" s="50">
        <f t="shared" si="423"/>
        <v>3.9012639181609042E-2</v>
      </c>
      <c r="M489" s="50">
        <f t="shared" si="423"/>
        <v>4.1549207589560662E-2</v>
      </c>
      <c r="N489" s="50">
        <f t="shared" si="423"/>
        <v>4.3042516751632572E-2</v>
      </c>
      <c r="O489" s="50">
        <f t="shared" si="423"/>
        <v>4.4973693586955334E-2</v>
      </c>
      <c r="P489" s="50">
        <f t="shared" si="423"/>
        <v>4.6808021710202923E-2</v>
      </c>
      <c r="Q489" s="50">
        <f t="shared" si="423"/>
        <v>4.6383383047344962E-2</v>
      </c>
      <c r="R489" s="50">
        <f t="shared" si="423"/>
        <v>4.4751654806610461E-2</v>
      </c>
      <c r="S489" s="50">
        <f t="shared" si="423"/>
        <v>4.4013077558728637E-2</v>
      </c>
      <c r="T489" s="50">
        <f t="shared" si="423"/>
        <v>4.428856091631931E-2</v>
      </c>
      <c r="U489" s="50">
        <f t="shared" si="423"/>
        <v>4.49735778579251E-2</v>
      </c>
      <c r="V489" s="50">
        <f t="shared" si="423"/>
        <v>4.6933206789217301E-2</v>
      </c>
      <c r="W489" s="50">
        <f t="shared" si="423"/>
        <v>5.6210586428141023E-2</v>
      </c>
      <c r="X489" s="50">
        <f t="shared" si="423"/>
        <v>6.1205656691958259E-2</v>
      </c>
      <c r="Y489" s="50">
        <f t="shared" si="423"/>
        <v>5.7018442088769522E-2</v>
      </c>
      <c r="Z489" s="50">
        <f t="shared" si="423"/>
        <v>4.9896672365740725E-2</v>
      </c>
      <c r="AA489" s="50">
        <f t="shared" si="423"/>
        <v>4.1622868086918119E-2</v>
      </c>
      <c r="AB489" s="50">
        <f t="shared" si="423"/>
        <v>3.5357844821693719E-2</v>
      </c>
      <c r="AC489" s="8">
        <f t="shared" ref="AC489:AC491" si="424">+SUM(E489:AB489)*D489</f>
        <v>3.9999999999999969</v>
      </c>
    </row>
    <row r="490" spans="2:29">
      <c r="B490" s="16"/>
      <c r="C490" s="8" t="s">
        <v>47</v>
      </c>
      <c r="D490" s="8">
        <v>5</v>
      </c>
      <c r="E490" s="50">
        <f t="shared" ref="E490:AB490" si="425">+E430</f>
        <v>3.3281514565353124E-2</v>
      </c>
      <c r="F490" s="50">
        <f t="shared" si="425"/>
        <v>3.1140043873712407E-2</v>
      </c>
      <c r="G490" s="50">
        <f t="shared" si="425"/>
        <v>2.984335106750436E-2</v>
      </c>
      <c r="H490" s="50">
        <f t="shared" si="425"/>
        <v>2.9286927979133532E-2</v>
      </c>
      <c r="I490" s="50">
        <f t="shared" si="425"/>
        <v>2.9138028999542646E-2</v>
      </c>
      <c r="J490" s="50">
        <f t="shared" si="425"/>
        <v>3.0942883559119717E-2</v>
      </c>
      <c r="K490" s="50">
        <f t="shared" si="425"/>
        <v>3.4432484834348992E-2</v>
      </c>
      <c r="L490" s="50">
        <f t="shared" si="425"/>
        <v>3.8305304424032266E-2</v>
      </c>
      <c r="M490" s="50">
        <f t="shared" si="425"/>
        <v>4.1103790742913066E-2</v>
      </c>
      <c r="N490" s="50">
        <f t="shared" si="425"/>
        <v>4.2608444243851212E-2</v>
      </c>
      <c r="O490" s="50">
        <f t="shared" si="425"/>
        <v>4.3914681848814308E-2</v>
      </c>
      <c r="P490" s="50">
        <f t="shared" si="425"/>
        <v>4.5729867165388009E-2</v>
      </c>
      <c r="Q490" s="50">
        <f t="shared" si="425"/>
        <v>4.5741487779353565E-2</v>
      </c>
      <c r="R490" s="50">
        <f t="shared" si="425"/>
        <v>4.4277060725657284E-2</v>
      </c>
      <c r="S490" s="50">
        <f t="shared" si="425"/>
        <v>4.3144199391556254E-2</v>
      </c>
      <c r="T490" s="50">
        <f t="shared" si="425"/>
        <v>4.3279567369281124E-2</v>
      </c>
      <c r="U490" s="50">
        <f t="shared" si="425"/>
        <v>4.4109954506885138E-2</v>
      </c>
      <c r="V490" s="50">
        <f t="shared" si="425"/>
        <v>4.6298728840315946E-2</v>
      </c>
      <c r="W490" s="50">
        <f t="shared" si="425"/>
        <v>5.6176649878816001E-2</v>
      </c>
      <c r="X490" s="50">
        <f t="shared" si="425"/>
        <v>6.2194705000087863E-2</v>
      </c>
      <c r="Y490" s="50">
        <f t="shared" si="425"/>
        <v>5.7928891294023718E-2</v>
      </c>
      <c r="Z490" s="50">
        <f t="shared" si="425"/>
        <v>5.019499221712586E-2</v>
      </c>
      <c r="AA490" s="50">
        <f t="shared" si="425"/>
        <v>4.1853093029906328E-2</v>
      </c>
      <c r="AB490" s="50">
        <f t="shared" si="425"/>
        <v>3.507334666327714E-2</v>
      </c>
      <c r="AC490" s="8">
        <f t="shared" si="424"/>
        <v>4.9999999999999991</v>
      </c>
    </row>
    <row r="491" spans="2:29">
      <c r="B491" s="16"/>
      <c r="C491" s="8" t="s">
        <v>48</v>
      </c>
      <c r="D491" s="8">
        <v>1</v>
      </c>
      <c r="E491" s="50">
        <f t="shared" ref="E491:AB491" si="426">+E431</f>
        <v>3.367503361886829E-2</v>
      </c>
      <c r="F491" s="50">
        <f t="shared" si="426"/>
        <v>3.1245692535415936E-2</v>
      </c>
      <c r="G491" s="50">
        <f t="shared" si="426"/>
        <v>2.9861746203171599E-2</v>
      </c>
      <c r="H491" s="50">
        <f t="shared" si="426"/>
        <v>2.9235019370742008E-2</v>
      </c>
      <c r="I491" s="50">
        <f t="shared" si="426"/>
        <v>3.0186379118294998E-2</v>
      </c>
      <c r="J491" s="50">
        <f t="shared" si="426"/>
        <v>3.3123682717801174E-2</v>
      </c>
      <c r="K491" s="50">
        <f t="shared" si="426"/>
        <v>3.5563630818173868E-2</v>
      </c>
      <c r="L491" s="50">
        <f t="shared" si="426"/>
        <v>3.7375437025807548E-2</v>
      </c>
      <c r="M491" s="50">
        <f t="shared" si="426"/>
        <v>3.9557895894381336E-2</v>
      </c>
      <c r="N491" s="50">
        <f t="shared" si="426"/>
        <v>4.1330002492198488E-2</v>
      </c>
      <c r="O491" s="50">
        <f t="shared" si="426"/>
        <v>4.3273465010057272E-2</v>
      </c>
      <c r="P491" s="50">
        <f t="shared" si="426"/>
        <v>4.5278417057592932E-2</v>
      </c>
      <c r="Q491" s="50">
        <f t="shared" si="426"/>
        <v>4.5765189585786785E-2</v>
      </c>
      <c r="R491" s="50">
        <f t="shared" si="426"/>
        <v>4.421428774797561E-2</v>
      </c>
      <c r="S491" s="50">
        <f t="shared" si="426"/>
        <v>4.3245429527174986E-2</v>
      </c>
      <c r="T491" s="50">
        <f t="shared" si="426"/>
        <v>4.3554999005074702E-2</v>
      </c>
      <c r="U491" s="50">
        <f t="shared" si="426"/>
        <v>4.4435510161992771E-2</v>
      </c>
      <c r="V491" s="50">
        <f t="shared" si="426"/>
        <v>4.717219114348542E-2</v>
      </c>
      <c r="W491" s="50">
        <f t="shared" si="426"/>
        <v>5.6899741232983039E-2</v>
      </c>
      <c r="X491" s="50">
        <f t="shared" si="426"/>
        <v>6.1986738769463187E-2</v>
      </c>
      <c r="Y491" s="50">
        <f t="shared" si="426"/>
        <v>5.7208700429979269E-2</v>
      </c>
      <c r="Z491" s="50">
        <f t="shared" si="426"/>
        <v>4.9339560702577757E-2</v>
      </c>
      <c r="AA491" s="50">
        <f t="shared" si="426"/>
        <v>4.1368944501432053E-2</v>
      </c>
      <c r="AB491" s="50">
        <f t="shared" si="426"/>
        <v>3.5102305329568817E-2</v>
      </c>
      <c r="AC491" s="8">
        <f t="shared" si="424"/>
        <v>0.99999999999999978</v>
      </c>
    </row>
    <row r="492" spans="2:29">
      <c r="B492" s="12"/>
      <c r="C492" s="12" t="s">
        <v>15</v>
      </c>
      <c r="D492" s="12">
        <f>+SUM(D488:D491)</f>
        <v>31</v>
      </c>
      <c r="E492" s="19">
        <f>+SUMPRODUCT(E488:E491,$D488:$D491)</f>
        <v>0.93930689888766072</v>
      </c>
      <c r="F492" s="19">
        <f>+SUMPRODUCT(F488:F491,$D488:$D491)</f>
        <v>0.88289283344427849</v>
      </c>
      <c r="G492" s="19">
        <f t="shared" ref="G492:AB492" si="427">+SUMPRODUCT(G488:G491,$D488:$D491)</f>
        <v>0.85230232519245752</v>
      </c>
      <c r="H492" s="19">
        <f t="shared" si="427"/>
        <v>0.84834764457258882</v>
      </c>
      <c r="I492" s="19">
        <f t="shared" si="427"/>
        <v>0.90285796192448697</v>
      </c>
      <c r="J492" s="19">
        <f t="shared" si="427"/>
        <v>1.0421537638232932</v>
      </c>
      <c r="K492" s="19">
        <f t="shared" si="427"/>
        <v>1.1681083125293663</v>
      </c>
      <c r="L492" s="19">
        <f t="shared" si="427"/>
        <v>1.2161043421349795</v>
      </c>
      <c r="M492" s="19">
        <f t="shared" si="427"/>
        <v>1.2713819836745988</v>
      </c>
      <c r="N492" s="19">
        <f t="shared" si="427"/>
        <v>1.3120476116601252</v>
      </c>
      <c r="O492" s="19">
        <f t="shared" si="427"/>
        <v>1.3698995223342476</v>
      </c>
      <c r="P492" s="19">
        <f t="shared" si="427"/>
        <v>1.4333509855211959</v>
      </c>
      <c r="Q492" s="19">
        <f t="shared" si="427"/>
        <v>1.4140755558141285</v>
      </c>
      <c r="R492" s="19">
        <f t="shared" si="427"/>
        <v>1.366080509172972</v>
      </c>
      <c r="S492" s="19">
        <f t="shared" si="427"/>
        <v>1.3615073758373162</v>
      </c>
      <c r="T492" s="19">
        <f t="shared" si="427"/>
        <v>1.3860641652791439</v>
      </c>
      <c r="U492" s="19">
        <f t="shared" si="427"/>
        <v>1.4159831314051345</v>
      </c>
      <c r="V492" s="19">
        <f t="shared" si="427"/>
        <v>1.4795906807239934</v>
      </c>
      <c r="W492" s="19">
        <f t="shared" si="427"/>
        <v>1.7616599282295782</v>
      </c>
      <c r="X492" s="19">
        <f t="shared" si="427"/>
        <v>1.9143215894900907</v>
      </c>
      <c r="Y492" s="19">
        <f t="shared" si="427"/>
        <v>1.7767964371169478</v>
      </c>
      <c r="Z492" s="19">
        <f t="shared" si="427"/>
        <v>1.5526155754583053</v>
      </c>
      <c r="AA492" s="19">
        <f t="shared" si="427"/>
        <v>1.2783461346546838</v>
      </c>
      <c r="AB492" s="19">
        <f t="shared" si="427"/>
        <v>1.0542047311184275</v>
      </c>
      <c r="AC492" s="12">
        <f>+SUM(E492:AB492)</f>
        <v>30.999999999999996</v>
      </c>
    </row>
    <row r="493" spans="2:29">
      <c r="B493" s="15">
        <f>+EDATE(B488,1)</f>
        <v>47849</v>
      </c>
      <c r="C493" s="8" t="s">
        <v>45</v>
      </c>
      <c r="D493" s="8">
        <v>21</v>
      </c>
      <c r="E493" s="50">
        <f t="shared" ref="E493:AB493" si="428">+E433</f>
        <v>2.9361257124838391E-2</v>
      </c>
      <c r="F493" s="50">
        <f t="shared" si="428"/>
        <v>2.7692710332229715E-2</v>
      </c>
      <c r="G493" s="50">
        <f t="shared" si="428"/>
        <v>2.6785161397696527E-2</v>
      </c>
      <c r="H493" s="50">
        <f t="shared" si="428"/>
        <v>2.6786989368939883E-2</v>
      </c>
      <c r="I493" s="50">
        <f t="shared" si="428"/>
        <v>2.9135775177511477E-2</v>
      </c>
      <c r="J493" s="50">
        <f t="shared" si="428"/>
        <v>3.4540443856715661E-2</v>
      </c>
      <c r="K493" s="50">
        <f t="shared" si="428"/>
        <v>3.8789035252325646E-2</v>
      </c>
      <c r="L493" s="50">
        <f t="shared" si="428"/>
        <v>3.957865839345593E-2</v>
      </c>
      <c r="M493" s="50">
        <f t="shared" si="428"/>
        <v>4.0957538271781398E-2</v>
      </c>
      <c r="N493" s="50">
        <f t="shared" si="428"/>
        <v>4.2166920044863825E-2</v>
      </c>
      <c r="O493" s="50">
        <f t="shared" si="428"/>
        <v>4.4150374939633218E-2</v>
      </c>
      <c r="P493" s="50">
        <f t="shared" si="428"/>
        <v>4.6294816466469102E-2</v>
      </c>
      <c r="Q493" s="50">
        <f t="shared" si="428"/>
        <v>4.5431875959152102E-2</v>
      </c>
      <c r="R493" s="50">
        <f t="shared" si="428"/>
        <v>4.3879728503346101E-2</v>
      </c>
      <c r="S493" s="50">
        <f t="shared" si="428"/>
        <v>4.4118506624640258E-2</v>
      </c>
      <c r="T493" s="50">
        <f t="shared" si="428"/>
        <v>4.5188432655351718E-2</v>
      </c>
      <c r="U493" s="50">
        <f t="shared" si="428"/>
        <v>4.624302558461979E-2</v>
      </c>
      <c r="V493" s="50">
        <f t="shared" si="428"/>
        <v>4.8247238962955179E-2</v>
      </c>
      <c r="W493" s="50">
        <f t="shared" si="428"/>
        <v>5.7096885328092907E-2</v>
      </c>
      <c r="X493" s="50">
        <f t="shared" si="428"/>
        <v>6.1739938045350239E-2</v>
      </c>
      <c r="Y493" s="50">
        <f t="shared" si="428"/>
        <v>5.7231881517227232E-2</v>
      </c>
      <c r="Z493" s="50">
        <f t="shared" si="428"/>
        <v>5.0129255438435008E-2</v>
      </c>
      <c r="AA493" s="50">
        <f t="shared" si="428"/>
        <v>4.1010488221716553E-2</v>
      </c>
      <c r="AB493" s="50">
        <f t="shared" si="428"/>
        <v>3.34430625326523E-2</v>
      </c>
      <c r="AC493" s="8">
        <f>+SUM(E493:AB493)*D493</f>
        <v>21.000000000000004</v>
      </c>
    </row>
    <row r="494" spans="2:29">
      <c r="B494" s="16"/>
      <c r="C494" s="8" t="s">
        <v>46</v>
      </c>
      <c r="D494" s="8">
        <v>4</v>
      </c>
      <c r="E494" s="50">
        <f t="shared" ref="E494:AB494" si="429">+E434</f>
        <v>3.0659473205105158E-2</v>
      </c>
      <c r="F494" s="50">
        <f t="shared" si="429"/>
        <v>2.8600001140869122E-2</v>
      </c>
      <c r="G494" s="50">
        <f t="shared" si="429"/>
        <v>2.7683858575034276E-2</v>
      </c>
      <c r="H494" s="50">
        <f t="shared" si="429"/>
        <v>2.7537802139610414E-2</v>
      </c>
      <c r="I494" s="50">
        <f t="shared" si="429"/>
        <v>2.8782539770184416E-2</v>
      </c>
      <c r="J494" s="50">
        <f t="shared" si="429"/>
        <v>3.2241585579716119E-2</v>
      </c>
      <c r="K494" s="50">
        <f t="shared" si="429"/>
        <v>3.645312931015221E-2</v>
      </c>
      <c r="L494" s="50">
        <f t="shared" si="429"/>
        <v>3.9012639181609042E-2</v>
      </c>
      <c r="M494" s="50">
        <f t="shared" si="429"/>
        <v>4.1549207589560662E-2</v>
      </c>
      <c r="N494" s="50">
        <f t="shared" si="429"/>
        <v>4.3042516751632572E-2</v>
      </c>
      <c r="O494" s="50">
        <f t="shared" si="429"/>
        <v>4.4973693586955334E-2</v>
      </c>
      <c r="P494" s="50">
        <f t="shared" si="429"/>
        <v>4.6808021710202923E-2</v>
      </c>
      <c r="Q494" s="50">
        <f t="shared" si="429"/>
        <v>4.6383383047344962E-2</v>
      </c>
      <c r="R494" s="50">
        <f t="shared" si="429"/>
        <v>4.4751654806610461E-2</v>
      </c>
      <c r="S494" s="50">
        <f t="shared" si="429"/>
        <v>4.4013077558728637E-2</v>
      </c>
      <c r="T494" s="50">
        <f t="shared" si="429"/>
        <v>4.428856091631931E-2</v>
      </c>
      <c r="U494" s="50">
        <f t="shared" si="429"/>
        <v>4.49735778579251E-2</v>
      </c>
      <c r="V494" s="50">
        <f t="shared" si="429"/>
        <v>4.6933206789217301E-2</v>
      </c>
      <c r="W494" s="50">
        <f t="shared" si="429"/>
        <v>5.6210586428141023E-2</v>
      </c>
      <c r="X494" s="50">
        <f t="shared" si="429"/>
        <v>6.1205656691958259E-2</v>
      </c>
      <c r="Y494" s="50">
        <f t="shared" si="429"/>
        <v>5.7018442088769522E-2</v>
      </c>
      <c r="Z494" s="50">
        <f t="shared" si="429"/>
        <v>4.9896672365740725E-2</v>
      </c>
      <c r="AA494" s="50">
        <f t="shared" si="429"/>
        <v>4.1622868086918119E-2</v>
      </c>
      <c r="AB494" s="50">
        <f t="shared" si="429"/>
        <v>3.5357844821693719E-2</v>
      </c>
      <c r="AC494" s="8">
        <f t="shared" ref="AC494:AC496" si="430">+SUM(E494:AB494)*D494</f>
        <v>3.9999999999999969</v>
      </c>
    </row>
    <row r="495" spans="2:29">
      <c r="B495" s="16"/>
      <c r="C495" s="8" t="s">
        <v>47</v>
      </c>
      <c r="D495" s="8">
        <v>4</v>
      </c>
      <c r="E495" s="50">
        <f t="shared" ref="E495:AB495" si="431">+E435</f>
        <v>3.3281514565353124E-2</v>
      </c>
      <c r="F495" s="50">
        <f t="shared" si="431"/>
        <v>3.1140043873712407E-2</v>
      </c>
      <c r="G495" s="50">
        <f t="shared" si="431"/>
        <v>2.984335106750436E-2</v>
      </c>
      <c r="H495" s="50">
        <f t="shared" si="431"/>
        <v>2.9286927979133532E-2</v>
      </c>
      <c r="I495" s="50">
        <f t="shared" si="431"/>
        <v>2.9138028999542646E-2</v>
      </c>
      <c r="J495" s="50">
        <f t="shared" si="431"/>
        <v>3.0942883559119717E-2</v>
      </c>
      <c r="K495" s="50">
        <f t="shared" si="431"/>
        <v>3.4432484834348992E-2</v>
      </c>
      <c r="L495" s="50">
        <f t="shared" si="431"/>
        <v>3.8305304424032266E-2</v>
      </c>
      <c r="M495" s="50">
        <f t="shared" si="431"/>
        <v>4.1103790742913066E-2</v>
      </c>
      <c r="N495" s="50">
        <f t="shared" si="431"/>
        <v>4.2608444243851212E-2</v>
      </c>
      <c r="O495" s="50">
        <f t="shared" si="431"/>
        <v>4.3914681848814308E-2</v>
      </c>
      <c r="P495" s="50">
        <f t="shared" si="431"/>
        <v>4.5729867165388009E-2</v>
      </c>
      <c r="Q495" s="50">
        <f t="shared" si="431"/>
        <v>4.5741487779353565E-2</v>
      </c>
      <c r="R495" s="50">
        <f t="shared" si="431"/>
        <v>4.4277060725657284E-2</v>
      </c>
      <c r="S495" s="50">
        <f t="shared" si="431"/>
        <v>4.3144199391556254E-2</v>
      </c>
      <c r="T495" s="50">
        <f t="shared" si="431"/>
        <v>4.3279567369281124E-2</v>
      </c>
      <c r="U495" s="50">
        <f t="shared" si="431"/>
        <v>4.4109954506885138E-2</v>
      </c>
      <c r="V495" s="50">
        <f t="shared" si="431"/>
        <v>4.6298728840315946E-2</v>
      </c>
      <c r="W495" s="50">
        <f t="shared" si="431"/>
        <v>5.6176649878816001E-2</v>
      </c>
      <c r="X495" s="50">
        <f t="shared" si="431"/>
        <v>6.2194705000087863E-2</v>
      </c>
      <c r="Y495" s="50">
        <f t="shared" si="431"/>
        <v>5.7928891294023718E-2</v>
      </c>
      <c r="Z495" s="50">
        <f t="shared" si="431"/>
        <v>5.019499221712586E-2</v>
      </c>
      <c r="AA495" s="50">
        <f t="shared" si="431"/>
        <v>4.1853093029906328E-2</v>
      </c>
      <c r="AB495" s="50">
        <f t="shared" si="431"/>
        <v>3.507334666327714E-2</v>
      </c>
      <c r="AC495" s="8">
        <f t="shared" si="430"/>
        <v>3.9999999999999991</v>
      </c>
    </row>
    <row r="496" spans="2:29">
      <c r="B496" s="16"/>
      <c r="C496" s="8" t="s">
        <v>48</v>
      </c>
      <c r="D496" s="8">
        <v>2</v>
      </c>
      <c r="E496" s="50">
        <f t="shared" ref="E496:AB496" si="432">+E436</f>
        <v>3.367503361886829E-2</v>
      </c>
      <c r="F496" s="50">
        <f t="shared" si="432"/>
        <v>3.1245692535415936E-2</v>
      </c>
      <c r="G496" s="50">
        <f t="shared" si="432"/>
        <v>2.9861746203171599E-2</v>
      </c>
      <c r="H496" s="50">
        <f t="shared" si="432"/>
        <v>2.9235019370742008E-2</v>
      </c>
      <c r="I496" s="50">
        <f t="shared" si="432"/>
        <v>3.0186379118294998E-2</v>
      </c>
      <c r="J496" s="50">
        <f t="shared" si="432"/>
        <v>3.3123682717801174E-2</v>
      </c>
      <c r="K496" s="50">
        <f t="shared" si="432"/>
        <v>3.5563630818173868E-2</v>
      </c>
      <c r="L496" s="50">
        <f t="shared" si="432"/>
        <v>3.7375437025807548E-2</v>
      </c>
      <c r="M496" s="50">
        <f t="shared" si="432"/>
        <v>3.9557895894381336E-2</v>
      </c>
      <c r="N496" s="50">
        <f t="shared" si="432"/>
        <v>4.1330002492198488E-2</v>
      </c>
      <c r="O496" s="50">
        <f t="shared" si="432"/>
        <v>4.3273465010057272E-2</v>
      </c>
      <c r="P496" s="50">
        <f t="shared" si="432"/>
        <v>4.5278417057592932E-2</v>
      </c>
      <c r="Q496" s="50">
        <f t="shared" si="432"/>
        <v>4.5765189585786785E-2</v>
      </c>
      <c r="R496" s="50">
        <f t="shared" si="432"/>
        <v>4.421428774797561E-2</v>
      </c>
      <c r="S496" s="50">
        <f t="shared" si="432"/>
        <v>4.3245429527174986E-2</v>
      </c>
      <c r="T496" s="50">
        <f t="shared" si="432"/>
        <v>4.3554999005074702E-2</v>
      </c>
      <c r="U496" s="50">
        <f t="shared" si="432"/>
        <v>4.4435510161992771E-2</v>
      </c>
      <c r="V496" s="50">
        <f t="shared" si="432"/>
        <v>4.717219114348542E-2</v>
      </c>
      <c r="W496" s="50">
        <f t="shared" si="432"/>
        <v>5.6899741232983039E-2</v>
      </c>
      <c r="X496" s="50">
        <f t="shared" si="432"/>
        <v>6.1986738769463187E-2</v>
      </c>
      <c r="Y496" s="50">
        <f t="shared" si="432"/>
        <v>5.7208700429979269E-2</v>
      </c>
      <c r="Z496" s="50">
        <f t="shared" si="432"/>
        <v>4.9339560702577757E-2</v>
      </c>
      <c r="AA496" s="50">
        <f t="shared" si="432"/>
        <v>4.1368944501432053E-2</v>
      </c>
      <c r="AB496" s="50">
        <f t="shared" si="432"/>
        <v>3.5102305329568817E-2</v>
      </c>
      <c r="AC496" s="8">
        <f t="shared" si="430"/>
        <v>1.9999999999999996</v>
      </c>
    </row>
    <row r="497" spans="2:29">
      <c r="B497" s="12"/>
      <c r="C497" s="12" t="s">
        <v>15</v>
      </c>
      <c r="D497" s="12">
        <f>+SUM(D493:D496)</f>
        <v>31</v>
      </c>
      <c r="E497" s="19">
        <f>+SUMPRODUCT(E493:E496,$D493:$D496)</f>
        <v>0.93970041794117598</v>
      </c>
      <c r="F497" s="19">
        <f>+SUMPRODUCT(F493:F496,$D493:$D496)</f>
        <v>0.88299848210598197</v>
      </c>
      <c r="G497" s="19">
        <f t="shared" ref="G497:AB497" si="433">+SUMPRODUCT(G493:G496,$D493:$D496)</f>
        <v>0.85232072032812478</v>
      </c>
      <c r="H497" s="19">
        <f t="shared" si="433"/>
        <v>0.84829573596419738</v>
      </c>
      <c r="I497" s="19">
        <f t="shared" si="433"/>
        <v>0.90390631204323935</v>
      </c>
      <c r="J497" s="19">
        <f t="shared" si="433"/>
        <v>1.0443345629819747</v>
      </c>
      <c r="K497" s="19">
        <f t="shared" si="433"/>
        <v>1.1692394585131909</v>
      </c>
      <c r="L497" s="19">
        <f t="shared" si="433"/>
        <v>1.215174474736755</v>
      </c>
      <c r="M497" s="19">
        <f t="shared" si="433"/>
        <v>1.2698360888260669</v>
      </c>
      <c r="N497" s="19">
        <f t="shared" si="433"/>
        <v>1.3107691699084727</v>
      </c>
      <c r="O497" s="19">
        <f t="shared" si="433"/>
        <v>1.3692583054954905</v>
      </c>
      <c r="P497" s="19">
        <f t="shared" si="433"/>
        <v>1.4328995354134009</v>
      </c>
      <c r="Q497" s="19">
        <f t="shared" si="433"/>
        <v>1.4140992576205618</v>
      </c>
      <c r="R497" s="19">
        <f t="shared" si="433"/>
        <v>1.3660177361952903</v>
      </c>
      <c r="S497" s="19">
        <f t="shared" si="433"/>
        <v>1.3616086059729351</v>
      </c>
      <c r="T497" s="19">
        <f t="shared" si="433"/>
        <v>1.3863395969149375</v>
      </c>
      <c r="U497" s="19">
        <f t="shared" si="433"/>
        <v>1.4163086870602422</v>
      </c>
      <c r="V497" s="19">
        <f t="shared" si="433"/>
        <v>1.4804641430271626</v>
      </c>
      <c r="W497" s="19">
        <f t="shared" si="433"/>
        <v>1.7623830195837451</v>
      </c>
      <c r="X497" s="19">
        <f t="shared" si="433"/>
        <v>1.914113623259466</v>
      </c>
      <c r="Y497" s="19">
        <f t="shared" si="433"/>
        <v>1.7760762462529034</v>
      </c>
      <c r="Z497" s="19">
        <f t="shared" si="433"/>
        <v>1.5517601439437572</v>
      </c>
      <c r="AA497" s="19">
        <f t="shared" si="433"/>
        <v>1.2778619861262095</v>
      </c>
      <c r="AB497" s="19">
        <f t="shared" si="433"/>
        <v>1.0542336897847193</v>
      </c>
      <c r="AC497" s="12">
        <f>+SUM(E497:AB497)</f>
        <v>30.999999999999996</v>
      </c>
    </row>
    <row r="498" spans="2:29">
      <c r="B498" s="15">
        <f>+EDATE(B493,1)</f>
        <v>47880</v>
      </c>
      <c r="C498" s="8" t="s">
        <v>45</v>
      </c>
      <c r="D498" s="8">
        <v>20</v>
      </c>
      <c r="E498" s="50">
        <f t="shared" ref="E498:AB498" si="434">+E438</f>
        <v>2.9361257124838391E-2</v>
      </c>
      <c r="F498" s="50">
        <f t="shared" si="434"/>
        <v>2.7692710332229715E-2</v>
      </c>
      <c r="G498" s="50">
        <f t="shared" si="434"/>
        <v>2.6785161397696527E-2</v>
      </c>
      <c r="H498" s="50">
        <f t="shared" si="434"/>
        <v>2.6786989368939883E-2</v>
      </c>
      <c r="I498" s="50">
        <f t="shared" si="434"/>
        <v>2.9135775177511477E-2</v>
      </c>
      <c r="J498" s="50">
        <f t="shared" si="434"/>
        <v>3.4540443856715661E-2</v>
      </c>
      <c r="K498" s="50">
        <f t="shared" si="434"/>
        <v>3.8789035252325646E-2</v>
      </c>
      <c r="L498" s="50">
        <f t="shared" si="434"/>
        <v>3.957865839345593E-2</v>
      </c>
      <c r="M498" s="50">
        <f t="shared" si="434"/>
        <v>4.0957538271781398E-2</v>
      </c>
      <c r="N498" s="50">
        <f t="shared" si="434"/>
        <v>4.2166920044863825E-2</v>
      </c>
      <c r="O498" s="50">
        <f t="shared" si="434"/>
        <v>4.4150374939633218E-2</v>
      </c>
      <c r="P498" s="50">
        <f t="shared" si="434"/>
        <v>4.6294816466469102E-2</v>
      </c>
      <c r="Q498" s="50">
        <f t="shared" si="434"/>
        <v>4.5431875959152102E-2</v>
      </c>
      <c r="R498" s="50">
        <f t="shared" si="434"/>
        <v>4.3879728503346101E-2</v>
      </c>
      <c r="S498" s="50">
        <f t="shared" si="434"/>
        <v>4.4118506624640258E-2</v>
      </c>
      <c r="T498" s="50">
        <f t="shared" si="434"/>
        <v>4.5188432655351718E-2</v>
      </c>
      <c r="U498" s="50">
        <f t="shared" si="434"/>
        <v>4.624302558461979E-2</v>
      </c>
      <c r="V498" s="50">
        <f t="shared" si="434"/>
        <v>4.8247238962955179E-2</v>
      </c>
      <c r="W498" s="50">
        <f t="shared" si="434"/>
        <v>5.7096885328092907E-2</v>
      </c>
      <c r="X498" s="50">
        <f t="shared" si="434"/>
        <v>6.1739938045350239E-2</v>
      </c>
      <c r="Y498" s="50">
        <f t="shared" si="434"/>
        <v>5.7231881517227232E-2</v>
      </c>
      <c r="Z498" s="50">
        <f t="shared" si="434"/>
        <v>5.0129255438435008E-2</v>
      </c>
      <c r="AA498" s="50">
        <f t="shared" si="434"/>
        <v>4.1010488221716553E-2</v>
      </c>
      <c r="AB498" s="50">
        <f t="shared" si="434"/>
        <v>3.34430625326523E-2</v>
      </c>
      <c r="AC498" s="8">
        <f>+SUM(E498:AB498)*D498</f>
        <v>20.000000000000004</v>
      </c>
    </row>
    <row r="499" spans="2:29">
      <c r="B499" s="16"/>
      <c r="C499" s="8" t="s">
        <v>46</v>
      </c>
      <c r="D499" s="8">
        <v>4</v>
      </c>
      <c r="E499" s="50">
        <f t="shared" ref="E499:AB499" si="435">+E439</f>
        <v>3.0659473205105158E-2</v>
      </c>
      <c r="F499" s="50">
        <f t="shared" si="435"/>
        <v>2.8600001140869122E-2</v>
      </c>
      <c r="G499" s="50">
        <f t="shared" si="435"/>
        <v>2.7683858575034276E-2</v>
      </c>
      <c r="H499" s="50">
        <f t="shared" si="435"/>
        <v>2.7537802139610414E-2</v>
      </c>
      <c r="I499" s="50">
        <f t="shared" si="435"/>
        <v>2.8782539770184416E-2</v>
      </c>
      <c r="J499" s="50">
        <f t="shared" si="435"/>
        <v>3.2241585579716119E-2</v>
      </c>
      <c r="K499" s="50">
        <f t="shared" si="435"/>
        <v>3.645312931015221E-2</v>
      </c>
      <c r="L499" s="50">
        <f t="shared" si="435"/>
        <v>3.9012639181609042E-2</v>
      </c>
      <c r="M499" s="50">
        <f t="shared" si="435"/>
        <v>4.1549207589560662E-2</v>
      </c>
      <c r="N499" s="50">
        <f t="shared" si="435"/>
        <v>4.3042516751632572E-2</v>
      </c>
      <c r="O499" s="50">
        <f t="shared" si="435"/>
        <v>4.4973693586955334E-2</v>
      </c>
      <c r="P499" s="50">
        <f t="shared" si="435"/>
        <v>4.6808021710202923E-2</v>
      </c>
      <c r="Q499" s="50">
        <f t="shared" si="435"/>
        <v>4.6383383047344962E-2</v>
      </c>
      <c r="R499" s="50">
        <f t="shared" si="435"/>
        <v>4.4751654806610461E-2</v>
      </c>
      <c r="S499" s="50">
        <f t="shared" si="435"/>
        <v>4.4013077558728637E-2</v>
      </c>
      <c r="T499" s="50">
        <f t="shared" si="435"/>
        <v>4.428856091631931E-2</v>
      </c>
      <c r="U499" s="50">
        <f t="shared" si="435"/>
        <v>4.49735778579251E-2</v>
      </c>
      <c r="V499" s="50">
        <f t="shared" si="435"/>
        <v>4.6933206789217301E-2</v>
      </c>
      <c r="W499" s="50">
        <f t="shared" si="435"/>
        <v>5.6210586428141023E-2</v>
      </c>
      <c r="X499" s="50">
        <f t="shared" si="435"/>
        <v>6.1205656691958259E-2</v>
      </c>
      <c r="Y499" s="50">
        <f t="shared" si="435"/>
        <v>5.7018442088769522E-2</v>
      </c>
      <c r="Z499" s="50">
        <f t="shared" si="435"/>
        <v>4.9896672365740725E-2</v>
      </c>
      <c r="AA499" s="50">
        <f t="shared" si="435"/>
        <v>4.1622868086918119E-2</v>
      </c>
      <c r="AB499" s="50">
        <f t="shared" si="435"/>
        <v>3.5357844821693719E-2</v>
      </c>
      <c r="AC499" s="8">
        <f t="shared" ref="AC499:AC501" si="436">+SUM(E499:AB499)*D499</f>
        <v>3.9999999999999969</v>
      </c>
    </row>
    <row r="500" spans="2:29">
      <c r="B500" s="16"/>
      <c r="C500" s="8" t="s">
        <v>47</v>
      </c>
      <c r="D500" s="8">
        <v>4</v>
      </c>
      <c r="E500" s="50">
        <f t="shared" ref="E500:AB500" si="437">+E440</f>
        <v>3.3281514565353124E-2</v>
      </c>
      <c r="F500" s="50">
        <f t="shared" si="437"/>
        <v>3.1140043873712407E-2</v>
      </c>
      <c r="G500" s="50">
        <f t="shared" si="437"/>
        <v>2.984335106750436E-2</v>
      </c>
      <c r="H500" s="50">
        <f t="shared" si="437"/>
        <v>2.9286927979133532E-2</v>
      </c>
      <c r="I500" s="50">
        <f t="shared" si="437"/>
        <v>2.9138028999542646E-2</v>
      </c>
      <c r="J500" s="50">
        <f t="shared" si="437"/>
        <v>3.0942883559119717E-2</v>
      </c>
      <c r="K500" s="50">
        <f t="shared" si="437"/>
        <v>3.4432484834348992E-2</v>
      </c>
      <c r="L500" s="50">
        <f t="shared" si="437"/>
        <v>3.8305304424032266E-2</v>
      </c>
      <c r="M500" s="50">
        <f t="shared" si="437"/>
        <v>4.1103790742913066E-2</v>
      </c>
      <c r="N500" s="50">
        <f t="shared" si="437"/>
        <v>4.2608444243851212E-2</v>
      </c>
      <c r="O500" s="50">
        <f t="shared" si="437"/>
        <v>4.3914681848814308E-2</v>
      </c>
      <c r="P500" s="50">
        <f t="shared" si="437"/>
        <v>4.5729867165388009E-2</v>
      </c>
      <c r="Q500" s="50">
        <f t="shared" si="437"/>
        <v>4.5741487779353565E-2</v>
      </c>
      <c r="R500" s="50">
        <f t="shared" si="437"/>
        <v>4.4277060725657284E-2</v>
      </c>
      <c r="S500" s="50">
        <f t="shared" si="437"/>
        <v>4.3144199391556254E-2</v>
      </c>
      <c r="T500" s="50">
        <f t="shared" si="437"/>
        <v>4.3279567369281124E-2</v>
      </c>
      <c r="U500" s="50">
        <f t="shared" si="437"/>
        <v>4.4109954506885138E-2</v>
      </c>
      <c r="V500" s="50">
        <f t="shared" si="437"/>
        <v>4.6298728840315946E-2</v>
      </c>
      <c r="W500" s="50">
        <f t="shared" si="437"/>
        <v>5.6176649878816001E-2</v>
      </c>
      <c r="X500" s="50">
        <f t="shared" si="437"/>
        <v>6.2194705000087863E-2</v>
      </c>
      <c r="Y500" s="50">
        <f t="shared" si="437"/>
        <v>5.7928891294023718E-2</v>
      </c>
      <c r="Z500" s="50">
        <f t="shared" si="437"/>
        <v>5.019499221712586E-2</v>
      </c>
      <c r="AA500" s="50">
        <f t="shared" si="437"/>
        <v>4.1853093029906328E-2</v>
      </c>
      <c r="AB500" s="50">
        <f t="shared" si="437"/>
        <v>3.507334666327714E-2</v>
      </c>
      <c r="AC500" s="8">
        <f t="shared" si="436"/>
        <v>3.9999999999999991</v>
      </c>
    </row>
    <row r="501" spans="2:29">
      <c r="B501" s="16"/>
      <c r="C501" s="8" t="s">
        <v>48</v>
      </c>
      <c r="D501" s="8">
        <v>0</v>
      </c>
      <c r="E501" s="50">
        <f t="shared" ref="E501:AB501" si="438">+E441</f>
        <v>3.367503361886829E-2</v>
      </c>
      <c r="F501" s="50">
        <f t="shared" si="438"/>
        <v>3.1245692535415936E-2</v>
      </c>
      <c r="G501" s="50">
        <f t="shared" si="438"/>
        <v>2.9861746203171599E-2</v>
      </c>
      <c r="H501" s="50">
        <f t="shared" si="438"/>
        <v>2.9235019370742008E-2</v>
      </c>
      <c r="I501" s="50">
        <f t="shared" si="438"/>
        <v>3.0186379118294998E-2</v>
      </c>
      <c r="J501" s="50">
        <f t="shared" si="438"/>
        <v>3.3123682717801174E-2</v>
      </c>
      <c r="K501" s="50">
        <f t="shared" si="438"/>
        <v>3.5563630818173868E-2</v>
      </c>
      <c r="L501" s="50">
        <f t="shared" si="438"/>
        <v>3.7375437025807548E-2</v>
      </c>
      <c r="M501" s="50">
        <f t="shared" si="438"/>
        <v>3.9557895894381336E-2</v>
      </c>
      <c r="N501" s="50">
        <f t="shared" si="438"/>
        <v>4.1330002492198488E-2</v>
      </c>
      <c r="O501" s="50">
        <f t="shared" si="438"/>
        <v>4.3273465010057272E-2</v>
      </c>
      <c r="P501" s="50">
        <f t="shared" si="438"/>
        <v>4.5278417057592932E-2</v>
      </c>
      <c r="Q501" s="50">
        <f t="shared" si="438"/>
        <v>4.5765189585786785E-2</v>
      </c>
      <c r="R501" s="50">
        <f t="shared" si="438"/>
        <v>4.421428774797561E-2</v>
      </c>
      <c r="S501" s="50">
        <f t="shared" si="438"/>
        <v>4.3245429527174986E-2</v>
      </c>
      <c r="T501" s="50">
        <f t="shared" si="438"/>
        <v>4.3554999005074702E-2</v>
      </c>
      <c r="U501" s="50">
        <f t="shared" si="438"/>
        <v>4.4435510161992771E-2</v>
      </c>
      <c r="V501" s="50">
        <f t="shared" si="438"/>
        <v>4.717219114348542E-2</v>
      </c>
      <c r="W501" s="50">
        <f t="shared" si="438"/>
        <v>5.6899741232983039E-2</v>
      </c>
      <c r="X501" s="50">
        <f t="shared" si="438"/>
        <v>6.1986738769463187E-2</v>
      </c>
      <c r="Y501" s="50">
        <f t="shared" si="438"/>
        <v>5.7208700429979269E-2</v>
      </c>
      <c r="Z501" s="50">
        <f t="shared" si="438"/>
        <v>4.9339560702577757E-2</v>
      </c>
      <c r="AA501" s="50">
        <f t="shared" si="438"/>
        <v>4.1368944501432053E-2</v>
      </c>
      <c r="AB501" s="50">
        <f t="shared" si="438"/>
        <v>3.5102305329568817E-2</v>
      </c>
      <c r="AC501" s="8">
        <f t="shared" si="436"/>
        <v>0</v>
      </c>
    </row>
    <row r="502" spans="2:29">
      <c r="B502" s="12"/>
      <c r="C502" s="12" t="s">
        <v>15</v>
      </c>
      <c r="D502" s="12">
        <f>+SUM(D498:D501)</f>
        <v>28</v>
      </c>
      <c r="E502" s="19">
        <f>+SUMPRODUCT(E498:E501,$D498:$D501)</f>
        <v>0.84298909357860086</v>
      </c>
      <c r="F502" s="19">
        <f>+SUMPRODUCT(F498:F501,$D498:$D501)</f>
        <v>0.79281438670292037</v>
      </c>
      <c r="G502" s="19">
        <f t="shared" ref="G502:AB502" si="439">+SUMPRODUCT(G498:G501,$D498:$D501)</f>
        <v>0.76581206652408507</v>
      </c>
      <c r="H502" s="19">
        <f t="shared" si="439"/>
        <v>0.76303870785377348</v>
      </c>
      <c r="I502" s="19">
        <f t="shared" si="439"/>
        <v>0.81439777862913776</v>
      </c>
      <c r="J502" s="19">
        <f t="shared" si="439"/>
        <v>0.94354675368965668</v>
      </c>
      <c r="K502" s="19">
        <f t="shared" si="439"/>
        <v>1.0593231616245178</v>
      </c>
      <c r="L502" s="19">
        <f t="shared" si="439"/>
        <v>1.1008449422916837</v>
      </c>
      <c r="M502" s="19">
        <f t="shared" si="439"/>
        <v>1.1497627587655228</v>
      </c>
      <c r="N502" s="19">
        <f t="shared" si="439"/>
        <v>1.1859422448792118</v>
      </c>
      <c r="O502" s="19">
        <f t="shared" si="439"/>
        <v>1.238561000535743</v>
      </c>
      <c r="P502" s="19">
        <f t="shared" si="439"/>
        <v>1.2960478848317458</v>
      </c>
      <c r="Q502" s="19">
        <f t="shared" si="439"/>
        <v>1.2771370024898361</v>
      </c>
      <c r="R502" s="19">
        <f t="shared" si="439"/>
        <v>1.2337094321959929</v>
      </c>
      <c r="S502" s="19">
        <f t="shared" si="439"/>
        <v>1.2309992402939449</v>
      </c>
      <c r="T502" s="19">
        <f t="shared" si="439"/>
        <v>1.2540411662494362</v>
      </c>
      <c r="U502" s="19">
        <f t="shared" si="439"/>
        <v>1.2811946411516368</v>
      </c>
      <c r="V502" s="19">
        <f t="shared" si="439"/>
        <v>1.3378725217772365</v>
      </c>
      <c r="W502" s="19">
        <f t="shared" si="439"/>
        <v>1.5914866517896862</v>
      </c>
      <c r="X502" s="19">
        <f t="shared" si="439"/>
        <v>1.7284002076751892</v>
      </c>
      <c r="Y502" s="19">
        <f t="shared" si="439"/>
        <v>1.6044269638757178</v>
      </c>
      <c r="Z502" s="19">
        <f t="shared" si="439"/>
        <v>1.4029517671001666</v>
      </c>
      <c r="AA502" s="19">
        <f t="shared" si="439"/>
        <v>1.1541136089016288</v>
      </c>
      <c r="AB502" s="19">
        <f t="shared" si="439"/>
        <v>0.95058601659292941</v>
      </c>
      <c r="AC502" s="12">
        <f>+SUM(E502:AB502)</f>
        <v>27.999999999999996</v>
      </c>
    </row>
    <row r="503" spans="2:29">
      <c r="B503" s="15">
        <f>+EDATE(B498,1)</f>
        <v>47908</v>
      </c>
      <c r="C503" s="8" t="s">
        <v>45</v>
      </c>
      <c r="D503" s="8">
        <v>20</v>
      </c>
      <c r="E503" s="50">
        <f t="shared" ref="E503:AB503" si="440">+E443</f>
        <v>2.9361257124838391E-2</v>
      </c>
      <c r="F503" s="50">
        <f t="shared" si="440"/>
        <v>2.7692710332229715E-2</v>
      </c>
      <c r="G503" s="50">
        <f t="shared" si="440"/>
        <v>2.6785161397696527E-2</v>
      </c>
      <c r="H503" s="50">
        <f t="shared" si="440"/>
        <v>2.6786989368939883E-2</v>
      </c>
      <c r="I503" s="50">
        <f t="shared" si="440"/>
        <v>2.9135775177511477E-2</v>
      </c>
      <c r="J503" s="50">
        <f t="shared" si="440"/>
        <v>3.4540443856715661E-2</v>
      </c>
      <c r="K503" s="50">
        <f t="shared" si="440"/>
        <v>3.8789035252325646E-2</v>
      </c>
      <c r="L503" s="50">
        <f t="shared" si="440"/>
        <v>3.957865839345593E-2</v>
      </c>
      <c r="M503" s="50">
        <f t="shared" si="440"/>
        <v>4.0957538271781398E-2</v>
      </c>
      <c r="N503" s="50">
        <f t="shared" si="440"/>
        <v>4.2166920044863825E-2</v>
      </c>
      <c r="O503" s="50">
        <f t="shared" si="440"/>
        <v>4.4150374939633218E-2</v>
      </c>
      <c r="P503" s="50">
        <f t="shared" si="440"/>
        <v>4.6294816466469102E-2</v>
      </c>
      <c r="Q503" s="50">
        <f t="shared" si="440"/>
        <v>4.5431875959152102E-2</v>
      </c>
      <c r="R503" s="50">
        <f t="shared" si="440"/>
        <v>4.3879728503346101E-2</v>
      </c>
      <c r="S503" s="50">
        <f t="shared" si="440"/>
        <v>4.4118506624640258E-2</v>
      </c>
      <c r="T503" s="50">
        <f t="shared" si="440"/>
        <v>4.5188432655351718E-2</v>
      </c>
      <c r="U503" s="50">
        <f t="shared" si="440"/>
        <v>4.624302558461979E-2</v>
      </c>
      <c r="V503" s="50">
        <f t="shared" si="440"/>
        <v>4.8247238962955179E-2</v>
      </c>
      <c r="W503" s="50">
        <f t="shared" si="440"/>
        <v>5.7096885328092907E-2</v>
      </c>
      <c r="X503" s="50">
        <f t="shared" si="440"/>
        <v>6.1739938045350239E-2</v>
      </c>
      <c r="Y503" s="50">
        <f t="shared" si="440"/>
        <v>5.7231881517227232E-2</v>
      </c>
      <c r="Z503" s="50">
        <f t="shared" si="440"/>
        <v>5.0129255438435008E-2</v>
      </c>
      <c r="AA503" s="50">
        <f t="shared" si="440"/>
        <v>4.1010488221716553E-2</v>
      </c>
      <c r="AB503" s="50">
        <f t="shared" si="440"/>
        <v>3.34430625326523E-2</v>
      </c>
      <c r="AC503" s="8">
        <f>+SUM(E503:AB503)*D503</f>
        <v>20.000000000000004</v>
      </c>
    </row>
    <row r="504" spans="2:29">
      <c r="B504" s="16"/>
      <c r="C504" s="8" t="s">
        <v>46</v>
      </c>
      <c r="D504" s="8">
        <v>5</v>
      </c>
      <c r="E504" s="50">
        <f t="shared" ref="E504:AB504" si="441">+E444</f>
        <v>3.0659473205105158E-2</v>
      </c>
      <c r="F504" s="50">
        <f t="shared" si="441"/>
        <v>2.8600001140869122E-2</v>
      </c>
      <c r="G504" s="50">
        <f t="shared" si="441"/>
        <v>2.7683858575034276E-2</v>
      </c>
      <c r="H504" s="50">
        <f t="shared" si="441"/>
        <v>2.7537802139610414E-2</v>
      </c>
      <c r="I504" s="50">
        <f t="shared" si="441"/>
        <v>2.8782539770184416E-2</v>
      </c>
      <c r="J504" s="50">
        <f t="shared" si="441"/>
        <v>3.2241585579716119E-2</v>
      </c>
      <c r="K504" s="50">
        <f t="shared" si="441"/>
        <v>3.645312931015221E-2</v>
      </c>
      <c r="L504" s="50">
        <f t="shared" si="441"/>
        <v>3.9012639181609042E-2</v>
      </c>
      <c r="M504" s="50">
        <f t="shared" si="441"/>
        <v>4.1549207589560662E-2</v>
      </c>
      <c r="N504" s="50">
        <f t="shared" si="441"/>
        <v>4.3042516751632572E-2</v>
      </c>
      <c r="O504" s="50">
        <f t="shared" si="441"/>
        <v>4.4973693586955334E-2</v>
      </c>
      <c r="P504" s="50">
        <f t="shared" si="441"/>
        <v>4.6808021710202923E-2</v>
      </c>
      <c r="Q504" s="50">
        <f t="shared" si="441"/>
        <v>4.6383383047344962E-2</v>
      </c>
      <c r="R504" s="50">
        <f t="shared" si="441"/>
        <v>4.4751654806610461E-2</v>
      </c>
      <c r="S504" s="50">
        <f t="shared" si="441"/>
        <v>4.4013077558728637E-2</v>
      </c>
      <c r="T504" s="50">
        <f t="shared" si="441"/>
        <v>4.428856091631931E-2</v>
      </c>
      <c r="U504" s="50">
        <f t="shared" si="441"/>
        <v>4.49735778579251E-2</v>
      </c>
      <c r="V504" s="50">
        <f t="shared" si="441"/>
        <v>4.6933206789217301E-2</v>
      </c>
      <c r="W504" s="50">
        <f t="shared" si="441"/>
        <v>5.6210586428141023E-2</v>
      </c>
      <c r="X504" s="50">
        <f t="shared" si="441"/>
        <v>6.1205656691958259E-2</v>
      </c>
      <c r="Y504" s="50">
        <f t="shared" si="441"/>
        <v>5.7018442088769522E-2</v>
      </c>
      <c r="Z504" s="50">
        <f t="shared" si="441"/>
        <v>4.9896672365740725E-2</v>
      </c>
      <c r="AA504" s="50">
        <f t="shared" si="441"/>
        <v>4.1622868086918119E-2</v>
      </c>
      <c r="AB504" s="50">
        <f t="shared" si="441"/>
        <v>3.5357844821693719E-2</v>
      </c>
      <c r="AC504" s="8">
        <f t="shared" ref="AC504:AC506" si="442">+SUM(E504:AB504)*D504</f>
        <v>4.9999999999999964</v>
      </c>
    </row>
    <row r="505" spans="2:29">
      <c r="B505" s="16"/>
      <c r="C505" s="8" t="s">
        <v>47</v>
      </c>
      <c r="D505" s="8">
        <v>5</v>
      </c>
      <c r="E505" s="50">
        <f t="shared" ref="E505:AB505" si="443">+E445</f>
        <v>3.3281514565353124E-2</v>
      </c>
      <c r="F505" s="50">
        <f t="shared" si="443"/>
        <v>3.1140043873712407E-2</v>
      </c>
      <c r="G505" s="50">
        <f t="shared" si="443"/>
        <v>2.984335106750436E-2</v>
      </c>
      <c r="H505" s="50">
        <f t="shared" si="443"/>
        <v>2.9286927979133532E-2</v>
      </c>
      <c r="I505" s="50">
        <f t="shared" si="443"/>
        <v>2.9138028999542646E-2</v>
      </c>
      <c r="J505" s="50">
        <f t="shared" si="443"/>
        <v>3.0942883559119717E-2</v>
      </c>
      <c r="K505" s="50">
        <f t="shared" si="443"/>
        <v>3.4432484834348992E-2</v>
      </c>
      <c r="L505" s="50">
        <f t="shared" si="443"/>
        <v>3.8305304424032266E-2</v>
      </c>
      <c r="M505" s="50">
        <f t="shared" si="443"/>
        <v>4.1103790742913066E-2</v>
      </c>
      <c r="N505" s="50">
        <f t="shared" si="443"/>
        <v>4.2608444243851212E-2</v>
      </c>
      <c r="O505" s="50">
        <f t="shared" si="443"/>
        <v>4.3914681848814308E-2</v>
      </c>
      <c r="P505" s="50">
        <f t="shared" si="443"/>
        <v>4.5729867165388009E-2</v>
      </c>
      <c r="Q505" s="50">
        <f t="shared" si="443"/>
        <v>4.5741487779353565E-2</v>
      </c>
      <c r="R505" s="50">
        <f t="shared" si="443"/>
        <v>4.4277060725657284E-2</v>
      </c>
      <c r="S505" s="50">
        <f t="shared" si="443"/>
        <v>4.3144199391556254E-2</v>
      </c>
      <c r="T505" s="50">
        <f t="shared" si="443"/>
        <v>4.3279567369281124E-2</v>
      </c>
      <c r="U505" s="50">
        <f t="shared" si="443"/>
        <v>4.4109954506885138E-2</v>
      </c>
      <c r="V505" s="50">
        <f t="shared" si="443"/>
        <v>4.6298728840315946E-2</v>
      </c>
      <c r="W505" s="50">
        <f t="shared" si="443"/>
        <v>5.6176649878816001E-2</v>
      </c>
      <c r="X505" s="50">
        <f t="shared" si="443"/>
        <v>6.2194705000087863E-2</v>
      </c>
      <c r="Y505" s="50">
        <f t="shared" si="443"/>
        <v>5.7928891294023718E-2</v>
      </c>
      <c r="Z505" s="50">
        <f t="shared" si="443"/>
        <v>5.019499221712586E-2</v>
      </c>
      <c r="AA505" s="50">
        <f t="shared" si="443"/>
        <v>4.1853093029906328E-2</v>
      </c>
      <c r="AB505" s="50">
        <f t="shared" si="443"/>
        <v>3.507334666327714E-2</v>
      </c>
      <c r="AC505" s="8">
        <f t="shared" si="442"/>
        <v>4.9999999999999991</v>
      </c>
    </row>
    <row r="506" spans="2:29">
      <c r="B506" s="16"/>
      <c r="C506" s="8" t="s">
        <v>48</v>
      </c>
      <c r="D506" s="8">
        <v>1</v>
      </c>
      <c r="E506" s="50">
        <f t="shared" ref="E506:AB506" si="444">+E446</f>
        <v>3.367503361886829E-2</v>
      </c>
      <c r="F506" s="50">
        <f t="shared" si="444"/>
        <v>3.1245692535415936E-2</v>
      </c>
      <c r="G506" s="50">
        <f t="shared" si="444"/>
        <v>2.9861746203171599E-2</v>
      </c>
      <c r="H506" s="50">
        <f t="shared" si="444"/>
        <v>2.9235019370742008E-2</v>
      </c>
      <c r="I506" s="50">
        <f t="shared" si="444"/>
        <v>3.0186379118294998E-2</v>
      </c>
      <c r="J506" s="50">
        <f t="shared" si="444"/>
        <v>3.3123682717801174E-2</v>
      </c>
      <c r="K506" s="50">
        <f t="shared" si="444"/>
        <v>3.5563630818173868E-2</v>
      </c>
      <c r="L506" s="50">
        <f t="shared" si="444"/>
        <v>3.7375437025807548E-2</v>
      </c>
      <c r="M506" s="50">
        <f t="shared" si="444"/>
        <v>3.9557895894381336E-2</v>
      </c>
      <c r="N506" s="50">
        <f t="shared" si="444"/>
        <v>4.1330002492198488E-2</v>
      </c>
      <c r="O506" s="50">
        <f t="shared" si="444"/>
        <v>4.3273465010057272E-2</v>
      </c>
      <c r="P506" s="50">
        <f t="shared" si="444"/>
        <v>4.5278417057592932E-2</v>
      </c>
      <c r="Q506" s="50">
        <f t="shared" si="444"/>
        <v>4.5765189585786785E-2</v>
      </c>
      <c r="R506" s="50">
        <f t="shared" si="444"/>
        <v>4.421428774797561E-2</v>
      </c>
      <c r="S506" s="50">
        <f t="shared" si="444"/>
        <v>4.3245429527174986E-2</v>
      </c>
      <c r="T506" s="50">
        <f t="shared" si="444"/>
        <v>4.3554999005074702E-2</v>
      </c>
      <c r="U506" s="50">
        <f t="shared" si="444"/>
        <v>4.4435510161992771E-2</v>
      </c>
      <c r="V506" s="50">
        <f t="shared" si="444"/>
        <v>4.717219114348542E-2</v>
      </c>
      <c r="W506" s="50">
        <f t="shared" si="444"/>
        <v>5.6899741232983039E-2</v>
      </c>
      <c r="X506" s="50">
        <f t="shared" si="444"/>
        <v>6.1986738769463187E-2</v>
      </c>
      <c r="Y506" s="50">
        <f t="shared" si="444"/>
        <v>5.7208700429979269E-2</v>
      </c>
      <c r="Z506" s="50">
        <f t="shared" si="444"/>
        <v>4.9339560702577757E-2</v>
      </c>
      <c r="AA506" s="50">
        <f t="shared" si="444"/>
        <v>4.1368944501432053E-2</v>
      </c>
      <c r="AB506" s="50">
        <f t="shared" si="444"/>
        <v>3.5102305329568817E-2</v>
      </c>
      <c r="AC506" s="8">
        <f t="shared" si="442"/>
        <v>0.99999999999999978</v>
      </c>
    </row>
    <row r="507" spans="2:29">
      <c r="B507" s="12"/>
      <c r="C507" s="12" t="s">
        <v>15</v>
      </c>
      <c r="D507" s="12">
        <f>+SUM(D503:D506)</f>
        <v>31</v>
      </c>
      <c r="E507" s="19">
        <f>+SUMPRODUCT(E503:E506,$D503:$D506)</f>
        <v>0.94060511496792754</v>
      </c>
      <c r="F507" s="19">
        <f>+SUMPRODUCT(F503:F506,$D503:$D506)</f>
        <v>0.88380012425291787</v>
      </c>
      <c r="G507" s="19">
        <f t="shared" ref="G507:AB507" si="445">+SUMPRODUCT(G503:G506,$D503:$D506)</f>
        <v>0.85320102236979534</v>
      </c>
      <c r="H507" s="19">
        <f t="shared" si="445"/>
        <v>0.84909845734325939</v>
      </c>
      <c r="I507" s="19">
        <f t="shared" si="445"/>
        <v>0.90250472651715985</v>
      </c>
      <c r="J507" s="19">
        <f t="shared" si="445"/>
        <v>1.0398549055462936</v>
      </c>
      <c r="K507" s="19">
        <f t="shared" si="445"/>
        <v>1.1657724065871928</v>
      </c>
      <c r="L507" s="19">
        <f t="shared" si="445"/>
        <v>1.2155383229231327</v>
      </c>
      <c r="M507" s="19">
        <f t="shared" si="445"/>
        <v>1.271973652992378</v>
      </c>
      <c r="N507" s="19">
        <f t="shared" si="445"/>
        <v>1.3129232083668938</v>
      </c>
      <c r="O507" s="19">
        <f t="shared" si="445"/>
        <v>1.3707228409815699</v>
      </c>
      <c r="P507" s="19">
        <f t="shared" si="445"/>
        <v>1.4338641907649297</v>
      </c>
      <c r="Q507" s="19">
        <f t="shared" si="445"/>
        <v>1.4150270629023214</v>
      </c>
      <c r="R507" s="19">
        <f t="shared" si="445"/>
        <v>1.3669524354762363</v>
      </c>
      <c r="S507" s="19">
        <f t="shared" si="445"/>
        <v>1.3614019467714047</v>
      </c>
      <c r="T507" s="19">
        <f t="shared" si="445"/>
        <v>1.3851642935401114</v>
      </c>
      <c r="U507" s="19">
        <f t="shared" si="445"/>
        <v>1.4147136836784397</v>
      </c>
      <c r="V507" s="19">
        <f t="shared" si="445"/>
        <v>1.4782766485502554</v>
      </c>
      <c r="W507" s="19">
        <f t="shared" si="445"/>
        <v>1.7607736293296263</v>
      </c>
      <c r="X507" s="19">
        <f t="shared" si="445"/>
        <v>1.9137873081366987</v>
      </c>
      <c r="Y507" s="19">
        <f t="shared" si="445"/>
        <v>1.7765829976884902</v>
      </c>
      <c r="Z507" s="19">
        <f t="shared" si="445"/>
        <v>1.5523829923856107</v>
      </c>
      <c r="AA507" s="19">
        <f t="shared" si="445"/>
        <v>1.2789585145198852</v>
      </c>
      <c r="AB507" s="19">
        <f t="shared" si="445"/>
        <v>1.0561195134074692</v>
      </c>
      <c r="AC507" s="12">
        <f>+SUM(E507:AB507)</f>
        <v>30.999999999999996</v>
      </c>
    </row>
    <row r="508" spans="2:29">
      <c r="B508" s="15">
        <f>+EDATE(B503,1)</f>
        <v>47939</v>
      </c>
      <c r="C508" s="8" t="s">
        <v>45</v>
      </c>
      <c r="D508" s="8">
        <v>20</v>
      </c>
      <c r="E508" s="50">
        <f t="shared" ref="E508:AB508" si="446">+E448</f>
        <v>2.9361257124838391E-2</v>
      </c>
      <c r="F508" s="50">
        <f t="shared" si="446"/>
        <v>2.7692710332229715E-2</v>
      </c>
      <c r="G508" s="50">
        <f t="shared" si="446"/>
        <v>2.6785161397696527E-2</v>
      </c>
      <c r="H508" s="50">
        <f t="shared" si="446"/>
        <v>2.6786989368939883E-2</v>
      </c>
      <c r="I508" s="50">
        <f t="shared" si="446"/>
        <v>2.9135775177511477E-2</v>
      </c>
      <c r="J508" s="50">
        <f t="shared" si="446"/>
        <v>3.4540443856715661E-2</v>
      </c>
      <c r="K508" s="50">
        <f t="shared" si="446"/>
        <v>3.8789035252325646E-2</v>
      </c>
      <c r="L508" s="50">
        <f t="shared" si="446"/>
        <v>3.957865839345593E-2</v>
      </c>
      <c r="M508" s="50">
        <f t="shared" si="446"/>
        <v>4.0957538271781398E-2</v>
      </c>
      <c r="N508" s="50">
        <f t="shared" si="446"/>
        <v>4.2166920044863825E-2</v>
      </c>
      <c r="O508" s="50">
        <f t="shared" si="446"/>
        <v>4.4150374939633218E-2</v>
      </c>
      <c r="P508" s="50">
        <f t="shared" si="446"/>
        <v>4.6294816466469102E-2</v>
      </c>
      <c r="Q508" s="50">
        <f t="shared" si="446"/>
        <v>4.5431875959152102E-2</v>
      </c>
      <c r="R508" s="50">
        <f t="shared" si="446"/>
        <v>4.3879728503346101E-2</v>
      </c>
      <c r="S508" s="50">
        <f t="shared" si="446"/>
        <v>4.4118506624640258E-2</v>
      </c>
      <c r="T508" s="50">
        <f t="shared" si="446"/>
        <v>4.5188432655351718E-2</v>
      </c>
      <c r="U508" s="50">
        <f t="shared" si="446"/>
        <v>4.624302558461979E-2</v>
      </c>
      <c r="V508" s="50">
        <f t="shared" si="446"/>
        <v>4.8247238962955179E-2</v>
      </c>
      <c r="W508" s="50">
        <f t="shared" si="446"/>
        <v>5.7096885328092907E-2</v>
      </c>
      <c r="X508" s="50">
        <f t="shared" si="446"/>
        <v>6.1739938045350239E-2</v>
      </c>
      <c r="Y508" s="50">
        <f t="shared" si="446"/>
        <v>5.7231881517227232E-2</v>
      </c>
      <c r="Z508" s="50">
        <f t="shared" si="446"/>
        <v>5.0129255438435008E-2</v>
      </c>
      <c r="AA508" s="50">
        <f t="shared" si="446"/>
        <v>4.1010488221716553E-2</v>
      </c>
      <c r="AB508" s="50">
        <f t="shared" si="446"/>
        <v>3.34430625326523E-2</v>
      </c>
      <c r="AC508" s="8">
        <f>+SUM(E508:AB508)*D508</f>
        <v>20.000000000000004</v>
      </c>
    </row>
    <row r="509" spans="2:29">
      <c r="B509" s="16"/>
      <c r="C509" s="8" t="s">
        <v>46</v>
      </c>
      <c r="D509" s="8">
        <v>4</v>
      </c>
      <c r="E509" s="50">
        <f t="shared" ref="E509:AB509" si="447">+E449</f>
        <v>3.0659473205105158E-2</v>
      </c>
      <c r="F509" s="50">
        <f t="shared" si="447"/>
        <v>2.8600001140869122E-2</v>
      </c>
      <c r="G509" s="50">
        <f t="shared" si="447"/>
        <v>2.7683858575034276E-2</v>
      </c>
      <c r="H509" s="50">
        <f t="shared" si="447"/>
        <v>2.7537802139610414E-2</v>
      </c>
      <c r="I509" s="50">
        <f t="shared" si="447"/>
        <v>2.8782539770184416E-2</v>
      </c>
      <c r="J509" s="50">
        <f t="shared" si="447"/>
        <v>3.2241585579716119E-2</v>
      </c>
      <c r="K509" s="50">
        <f t="shared" si="447"/>
        <v>3.645312931015221E-2</v>
      </c>
      <c r="L509" s="50">
        <f t="shared" si="447"/>
        <v>3.9012639181609042E-2</v>
      </c>
      <c r="M509" s="50">
        <f t="shared" si="447"/>
        <v>4.1549207589560662E-2</v>
      </c>
      <c r="N509" s="50">
        <f t="shared" si="447"/>
        <v>4.3042516751632572E-2</v>
      </c>
      <c r="O509" s="50">
        <f t="shared" si="447"/>
        <v>4.4973693586955334E-2</v>
      </c>
      <c r="P509" s="50">
        <f t="shared" si="447"/>
        <v>4.6808021710202923E-2</v>
      </c>
      <c r="Q509" s="50">
        <f t="shared" si="447"/>
        <v>4.6383383047344962E-2</v>
      </c>
      <c r="R509" s="50">
        <f t="shared" si="447"/>
        <v>4.4751654806610461E-2</v>
      </c>
      <c r="S509" s="50">
        <f t="shared" si="447"/>
        <v>4.4013077558728637E-2</v>
      </c>
      <c r="T509" s="50">
        <f t="shared" si="447"/>
        <v>4.428856091631931E-2</v>
      </c>
      <c r="U509" s="50">
        <f t="shared" si="447"/>
        <v>4.49735778579251E-2</v>
      </c>
      <c r="V509" s="50">
        <f t="shared" si="447"/>
        <v>4.6933206789217301E-2</v>
      </c>
      <c r="W509" s="50">
        <f t="shared" si="447"/>
        <v>5.6210586428141023E-2</v>
      </c>
      <c r="X509" s="50">
        <f t="shared" si="447"/>
        <v>6.1205656691958259E-2</v>
      </c>
      <c r="Y509" s="50">
        <f t="shared" si="447"/>
        <v>5.7018442088769522E-2</v>
      </c>
      <c r="Z509" s="50">
        <f t="shared" si="447"/>
        <v>4.9896672365740725E-2</v>
      </c>
      <c r="AA509" s="50">
        <f t="shared" si="447"/>
        <v>4.1622868086918119E-2</v>
      </c>
      <c r="AB509" s="50">
        <f t="shared" si="447"/>
        <v>3.5357844821693719E-2</v>
      </c>
      <c r="AC509" s="8">
        <f t="shared" ref="AC509:AC511" si="448">+SUM(E509:AB509)*D509</f>
        <v>3.9999999999999969</v>
      </c>
    </row>
    <row r="510" spans="2:29">
      <c r="B510" s="16"/>
      <c r="C510" s="8" t="s">
        <v>47</v>
      </c>
      <c r="D510" s="8">
        <v>4</v>
      </c>
      <c r="E510" s="50">
        <f t="shared" ref="E510:AB510" si="449">+E450</f>
        <v>3.3281514565353124E-2</v>
      </c>
      <c r="F510" s="50">
        <f t="shared" si="449"/>
        <v>3.1140043873712407E-2</v>
      </c>
      <c r="G510" s="50">
        <f t="shared" si="449"/>
        <v>2.984335106750436E-2</v>
      </c>
      <c r="H510" s="50">
        <f t="shared" si="449"/>
        <v>2.9286927979133532E-2</v>
      </c>
      <c r="I510" s="50">
        <f t="shared" si="449"/>
        <v>2.9138028999542646E-2</v>
      </c>
      <c r="J510" s="50">
        <f t="shared" si="449"/>
        <v>3.0942883559119717E-2</v>
      </c>
      <c r="K510" s="50">
        <f t="shared" si="449"/>
        <v>3.4432484834348992E-2</v>
      </c>
      <c r="L510" s="50">
        <f t="shared" si="449"/>
        <v>3.8305304424032266E-2</v>
      </c>
      <c r="M510" s="50">
        <f t="shared" si="449"/>
        <v>4.1103790742913066E-2</v>
      </c>
      <c r="N510" s="50">
        <f t="shared" si="449"/>
        <v>4.2608444243851212E-2</v>
      </c>
      <c r="O510" s="50">
        <f t="shared" si="449"/>
        <v>4.3914681848814308E-2</v>
      </c>
      <c r="P510" s="50">
        <f t="shared" si="449"/>
        <v>4.5729867165388009E-2</v>
      </c>
      <c r="Q510" s="50">
        <f t="shared" si="449"/>
        <v>4.5741487779353565E-2</v>
      </c>
      <c r="R510" s="50">
        <f t="shared" si="449"/>
        <v>4.4277060725657284E-2</v>
      </c>
      <c r="S510" s="50">
        <f t="shared" si="449"/>
        <v>4.3144199391556254E-2</v>
      </c>
      <c r="T510" s="50">
        <f t="shared" si="449"/>
        <v>4.3279567369281124E-2</v>
      </c>
      <c r="U510" s="50">
        <f t="shared" si="449"/>
        <v>4.4109954506885138E-2</v>
      </c>
      <c r="V510" s="50">
        <f t="shared" si="449"/>
        <v>4.6298728840315946E-2</v>
      </c>
      <c r="W510" s="50">
        <f t="shared" si="449"/>
        <v>5.6176649878816001E-2</v>
      </c>
      <c r="X510" s="50">
        <f t="shared" si="449"/>
        <v>6.2194705000087863E-2</v>
      </c>
      <c r="Y510" s="50">
        <f t="shared" si="449"/>
        <v>5.7928891294023718E-2</v>
      </c>
      <c r="Z510" s="50">
        <f t="shared" si="449"/>
        <v>5.019499221712586E-2</v>
      </c>
      <c r="AA510" s="50">
        <f t="shared" si="449"/>
        <v>4.1853093029906328E-2</v>
      </c>
      <c r="AB510" s="50">
        <f t="shared" si="449"/>
        <v>3.507334666327714E-2</v>
      </c>
      <c r="AC510" s="8">
        <f t="shared" si="448"/>
        <v>3.9999999999999991</v>
      </c>
    </row>
    <row r="511" spans="2:29">
      <c r="B511" s="16"/>
      <c r="C511" s="8" t="s">
        <v>48</v>
      </c>
      <c r="D511" s="8">
        <v>2</v>
      </c>
      <c r="E511" s="50">
        <f t="shared" ref="E511:AB511" si="450">+E451</f>
        <v>3.367503361886829E-2</v>
      </c>
      <c r="F511" s="50">
        <f t="shared" si="450"/>
        <v>3.1245692535415936E-2</v>
      </c>
      <c r="G511" s="50">
        <f t="shared" si="450"/>
        <v>2.9861746203171599E-2</v>
      </c>
      <c r="H511" s="50">
        <f t="shared" si="450"/>
        <v>2.9235019370742008E-2</v>
      </c>
      <c r="I511" s="50">
        <f t="shared" si="450"/>
        <v>3.0186379118294998E-2</v>
      </c>
      <c r="J511" s="50">
        <f t="shared" si="450"/>
        <v>3.3123682717801174E-2</v>
      </c>
      <c r="K511" s="50">
        <f t="shared" si="450"/>
        <v>3.5563630818173868E-2</v>
      </c>
      <c r="L511" s="50">
        <f t="shared" si="450"/>
        <v>3.7375437025807548E-2</v>
      </c>
      <c r="M511" s="50">
        <f t="shared" si="450"/>
        <v>3.9557895894381336E-2</v>
      </c>
      <c r="N511" s="50">
        <f t="shared" si="450"/>
        <v>4.1330002492198488E-2</v>
      </c>
      <c r="O511" s="50">
        <f t="shared" si="450"/>
        <v>4.3273465010057272E-2</v>
      </c>
      <c r="P511" s="50">
        <f t="shared" si="450"/>
        <v>4.5278417057592932E-2</v>
      </c>
      <c r="Q511" s="50">
        <f t="shared" si="450"/>
        <v>4.5765189585786785E-2</v>
      </c>
      <c r="R511" s="50">
        <f t="shared" si="450"/>
        <v>4.421428774797561E-2</v>
      </c>
      <c r="S511" s="50">
        <f t="shared" si="450"/>
        <v>4.3245429527174986E-2</v>
      </c>
      <c r="T511" s="50">
        <f t="shared" si="450"/>
        <v>4.3554999005074702E-2</v>
      </c>
      <c r="U511" s="50">
        <f t="shared" si="450"/>
        <v>4.4435510161992771E-2</v>
      </c>
      <c r="V511" s="50">
        <f t="shared" si="450"/>
        <v>4.717219114348542E-2</v>
      </c>
      <c r="W511" s="50">
        <f t="shared" si="450"/>
        <v>5.6899741232983039E-2</v>
      </c>
      <c r="X511" s="50">
        <f t="shared" si="450"/>
        <v>6.1986738769463187E-2</v>
      </c>
      <c r="Y511" s="50">
        <f t="shared" si="450"/>
        <v>5.7208700429979269E-2</v>
      </c>
      <c r="Z511" s="50">
        <f t="shared" si="450"/>
        <v>4.9339560702577757E-2</v>
      </c>
      <c r="AA511" s="50">
        <f t="shared" si="450"/>
        <v>4.1368944501432053E-2</v>
      </c>
      <c r="AB511" s="50">
        <f t="shared" si="450"/>
        <v>3.5102305329568817E-2</v>
      </c>
      <c r="AC511" s="8">
        <f t="shared" si="448"/>
        <v>1.9999999999999996</v>
      </c>
    </row>
    <row r="512" spans="2:29">
      <c r="B512" s="12"/>
      <c r="C512" s="12" t="s">
        <v>15</v>
      </c>
      <c r="D512" s="12">
        <f>+SUM(D508:D511)</f>
        <v>30</v>
      </c>
      <c r="E512" s="19">
        <f>+SUMPRODUCT(E508:E511,$D508:$D511)</f>
        <v>0.91033916081633748</v>
      </c>
      <c r="F512" s="19">
        <f>+SUMPRODUCT(F508:F511,$D508:$D511)</f>
        <v>0.85530577177375222</v>
      </c>
      <c r="G512" s="19">
        <f t="shared" ref="G512:AB512" si="451">+SUMPRODUCT(G508:G511,$D508:$D511)</f>
        <v>0.82553555893042829</v>
      </c>
      <c r="H512" s="19">
        <f t="shared" si="451"/>
        <v>0.82150874659525752</v>
      </c>
      <c r="I512" s="19">
        <f t="shared" si="451"/>
        <v>0.8747705368657277</v>
      </c>
      <c r="J512" s="19">
        <f t="shared" si="451"/>
        <v>1.0097941191252591</v>
      </c>
      <c r="K512" s="19">
        <f t="shared" si="451"/>
        <v>1.1304504232608654</v>
      </c>
      <c r="L512" s="19">
        <f t="shared" si="451"/>
        <v>1.1755958163432989</v>
      </c>
      <c r="M512" s="19">
        <f t="shared" si="451"/>
        <v>1.2288785505542854</v>
      </c>
      <c r="N512" s="19">
        <f t="shared" si="451"/>
        <v>1.2686022498636089</v>
      </c>
      <c r="O512" s="19">
        <f t="shared" si="451"/>
        <v>1.3251079305558575</v>
      </c>
      <c r="P512" s="19">
        <f t="shared" si="451"/>
        <v>1.3866047189469317</v>
      </c>
      <c r="Q512" s="19">
        <f t="shared" si="451"/>
        <v>1.3686673816614097</v>
      </c>
      <c r="R512" s="19">
        <f t="shared" si="451"/>
        <v>1.3221380076919442</v>
      </c>
      <c r="S512" s="19">
        <f t="shared" si="451"/>
        <v>1.317490099348295</v>
      </c>
      <c r="T512" s="19">
        <f t="shared" si="451"/>
        <v>1.3411511642595855</v>
      </c>
      <c r="U512" s="19">
        <f t="shared" si="451"/>
        <v>1.3700656614756224</v>
      </c>
      <c r="V512" s="19">
        <f t="shared" si="451"/>
        <v>1.4322169040642074</v>
      </c>
      <c r="W512" s="19">
        <f t="shared" si="451"/>
        <v>1.7052861342556522</v>
      </c>
      <c r="X512" s="19">
        <f t="shared" si="451"/>
        <v>1.8523736852141155</v>
      </c>
      <c r="Y512" s="19">
        <f t="shared" si="451"/>
        <v>1.7188443647356764</v>
      </c>
      <c r="Z512" s="19">
        <f t="shared" si="451"/>
        <v>1.501630888505322</v>
      </c>
      <c r="AA512" s="19">
        <f t="shared" si="451"/>
        <v>1.2368514979044929</v>
      </c>
      <c r="AB512" s="19">
        <f t="shared" si="451"/>
        <v>1.020790627252067</v>
      </c>
      <c r="AC512" s="12">
        <f>+SUM(E512:AB512)</f>
        <v>30</v>
      </c>
    </row>
    <row r="513" spans="2:29">
      <c r="B513" s="15">
        <f>+EDATE(B508,1)</f>
        <v>47969</v>
      </c>
      <c r="C513" s="8" t="s">
        <v>45</v>
      </c>
      <c r="D513" s="8">
        <v>20</v>
      </c>
      <c r="E513" s="50">
        <f t="shared" ref="E513:AB513" si="452">+E453</f>
        <v>2.9361257124838391E-2</v>
      </c>
      <c r="F513" s="50">
        <f t="shared" si="452"/>
        <v>2.7692710332229715E-2</v>
      </c>
      <c r="G513" s="50">
        <f t="shared" si="452"/>
        <v>2.6785161397696527E-2</v>
      </c>
      <c r="H513" s="50">
        <f t="shared" si="452"/>
        <v>2.6786989368939883E-2</v>
      </c>
      <c r="I513" s="50">
        <f t="shared" si="452"/>
        <v>2.9135775177511477E-2</v>
      </c>
      <c r="J513" s="50">
        <f t="shared" si="452"/>
        <v>3.4540443856715661E-2</v>
      </c>
      <c r="K513" s="50">
        <f t="shared" si="452"/>
        <v>3.8789035252325646E-2</v>
      </c>
      <c r="L513" s="50">
        <f t="shared" si="452"/>
        <v>3.957865839345593E-2</v>
      </c>
      <c r="M513" s="50">
        <f t="shared" si="452"/>
        <v>4.0957538271781398E-2</v>
      </c>
      <c r="N513" s="50">
        <f t="shared" si="452"/>
        <v>4.2166920044863825E-2</v>
      </c>
      <c r="O513" s="50">
        <f t="shared" si="452"/>
        <v>4.4150374939633218E-2</v>
      </c>
      <c r="P513" s="50">
        <f t="shared" si="452"/>
        <v>4.6294816466469102E-2</v>
      </c>
      <c r="Q513" s="50">
        <f t="shared" si="452"/>
        <v>4.5431875959152102E-2</v>
      </c>
      <c r="R513" s="50">
        <f t="shared" si="452"/>
        <v>4.3879728503346101E-2</v>
      </c>
      <c r="S513" s="50">
        <f t="shared" si="452"/>
        <v>4.4118506624640258E-2</v>
      </c>
      <c r="T513" s="50">
        <f t="shared" si="452"/>
        <v>4.5188432655351718E-2</v>
      </c>
      <c r="U513" s="50">
        <f t="shared" si="452"/>
        <v>4.624302558461979E-2</v>
      </c>
      <c r="V513" s="50">
        <f t="shared" si="452"/>
        <v>4.8247238962955179E-2</v>
      </c>
      <c r="W513" s="50">
        <f t="shared" si="452"/>
        <v>5.7096885328092907E-2</v>
      </c>
      <c r="X513" s="50">
        <f t="shared" si="452"/>
        <v>6.1739938045350239E-2</v>
      </c>
      <c r="Y513" s="50">
        <f t="shared" si="452"/>
        <v>5.7231881517227232E-2</v>
      </c>
      <c r="Z513" s="50">
        <f t="shared" si="452"/>
        <v>5.0129255438435008E-2</v>
      </c>
      <c r="AA513" s="50">
        <f t="shared" si="452"/>
        <v>4.1010488221716553E-2</v>
      </c>
      <c r="AB513" s="50">
        <f t="shared" si="452"/>
        <v>3.34430625326523E-2</v>
      </c>
      <c r="AC513" s="8">
        <f>+SUM(E513:AB513)*D513</f>
        <v>20.000000000000004</v>
      </c>
    </row>
    <row r="514" spans="2:29">
      <c r="B514" s="16"/>
      <c r="C514" s="8" t="s">
        <v>46</v>
      </c>
      <c r="D514" s="8">
        <v>5</v>
      </c>
      <c r="E514" s="50">
        <f t="shared" ref="E514:AB514" si="453">+E454</f>
        <v>3.0659473205105158E-2</v>
      </c>
      <c r="F514" s="50">
        <f t="shared" si="453"/>
        <v>2.8600001140869122E-2</v>
      </c>
      <c r="G514" s="50">
        <f t="shared" si="453"/>
        <v>2.7683858575034276E-2</v>
      </c>
      <c r="H514" s="50">
        <f t="shared" si="453"/>
        <v>2.7537802139610414E-2</v>
      </c>
      <c r="I514" s="50">
        <f t="shared" si="453"/>
        <v>2.8782539770184416E-2</v>
      </c>
      <c r="J514" s="50">
        <f t="shared" si="453"/>
        <v>3.2241585579716119E-2</v>
      </c>
      <c r="K514" s="50">
        <f t="shared" si="453"/>
        <v>3.645312931015221E-2</v>
      </c>
      <c r="L514" s="50">
        <f t="shared" si="453"/>
        <v>3.9012639181609042E-2</v>
      </c>
      <c r="M514" s="50">
        <f t="shared" si="453"/>
        <v>4.1549207589560662E-2</v>
      </c>
      <c r="N514" s="50">
        <f t="shared" si="453"/>
        <v>4.3042516751632572E-2</v>
      </c>
      <c r="O514" s="50">
        <f t="shared" si="453"/>
        <v>4.4973693586955334E-2</v>
      </c>
      <c r="P514" s="50">
        <f t="shared" si="453"/>
        <v>4.6808021710202923E-2</v>
      </c>
      <c r="Q514" s="50">
        <f t="shared" si="453"/>
        <v>4.6383383047344962E-2</v>
      </c>
      <c r="R514" s="50">
        <f t="shared" si="453"/>
        <v>4.4751654806610461E-2</v>
      </c>
      <c r="S514" s="50">
        <f t="shared" si="453"/>
        <v>4.4013077558728637E-2</v>
      </c>
      <c r="T514" s="50">
        <f t="shared" si="453"/>
        <v>4.428856091631931E-2</v>
      </c>
      <c r="U514" s="50">
        <f t="shared" si="453"/>
        <v>4.49735778579251E-2</v>
      </c>
      <c r="V514" s="50">
        <f t="shared" si="453"/>
        <v>4.6933206789217301E-2</v>
      </c>
      <c r="W514" s="50">
        <f t="shared" si="453"/>
        <v>5.6210586428141023E-2</v>
      </c>
      <c r="X514" s="50">
        <f t="shared" si="453"/>
        <v>6.1205656691958259E-2</v>
      </c>
      <c r="Y514" s="50">
        <f t="shared" si="453"/>
        <v>5.7018442088769522E-2</v>
      </c>
      <c r="Z514" s="50">
        <f t="shared" si="453"/>
        <v>4.9896672365740725E-2</v>
      </c>
      <c r="AA514" s="50">
        <f t="shared" si="453"/>
        <v>4.1622868086918119E-2</v>
      </c>
      <c r="AB514" s="50">
        <f t="shared" si="453"/>
        <v>3.5357844821693719E-2</v>
      </c>
      <c r="AC514" s="8">
        <f t="shared" ref="AC514:AC515" si="454">+SUM(E514:AB514)*D514</f>
        <v>4.9999999999999964</v>
      </c>
    </row>
    <row r="515" spans="2:29">
      <c r="B515" s="16"/>
      <c r="C515" s="8" t="s">
        <v>47</v>
      </c>
      <c r="D515" s="8">
        <v>4</v>
      </c>
      <c r="E515" s="50">
        <f t="shared" ref="E515:AB515" si="455">+E455</f>
        <v>3.3281514565353124E-2</v>
      </c>
      <c r="F515" s="50">
        <f t="shared" si="455"/>
        <v>3.1140043873712407E-2</v>
      </c>
      <c r="G515" s="50">
        <f t="shared" si="455"/>
        <v>2.984335106750436E-2</v>
      </c>
      <c r="H515" s="50">
        <f t="shared" si="455"/>
        <v>2.9286927979133532E-2</v>
      </c>
      <c r="I515" s="50">
        <f t="shared" si="455"/>
        <v>2.9138028999542646E-2</v>
      </c>
      <c r="J515" s="50">
        <f t="shared" si="455"/>
        <v>3.0942883559119717E-2</v>
      </c>
      <c r="K515" s="50">
        <f t="shared" si="455"/>
        <v>3.4432484834348992E-2</v>
      </c>
      <c r="L515" s="50">
        <f t="shared" si="455"/>
        <v>3.8305304424032266E-2</v>
      </c>
      <c r="M515" s="50">
        <f t="shared" si="455"/>
        <v>4.1103790742913066E-2</v>
      </c>
      <c r="N515" s="50">
        <f t="shared" si="455"/>
        <v>4.2608444243851212E-2</v>
      </c>
      <c r="O515" s="50">
        <f t="shared" si="455"/>
        <v>4.3914681848814308E-2</v>
      </c>
      <c r="P515" s="50">
        <f t="shared" si="455"/>
        <v>4.5729867165388009E-2</v>
      </c>
      <c r="Q515" s="50">
        <f t="shared" si="455"/>
        <v>4.5741487779353565E-2</v>
      </c>
      <c r="R515" s="50">
        <f t="shared" si="455"/>
        <v>4.4277060725657284E-2</v>
      </c>
      <c r="S515" s="50">
        <f t="shared" si="455"/>
        <v>4.3144199391556254E-2</v>
      </c>
      <c r="T515" s="50">
        <f t="shared" si="455"/>
        <v>4.3279567369281124E-2</v>
      </c>
      <c r="U515" s="50">
        <f t="shared" si="455"/>
        <v>4.4109954506885138E-2</v>
      </c>
      <c r="V515" s="50">
        <f t="shared" si="455"/>
        <v>4.6298728840315946E-2</v>
      </c>
      <c r="W515" s="50">
        <f t="shared" si="455"/>
        <v>5.6176649878816001E-2</v>
      </c>
      <c r="X515" s="50">
        <f t="shared" si="455"/>
        <v>6.2194705000087863E-2</v>
      </c>
      <c r="Y515" s="50">
        <f t="shared" si="455"/>
        <v>5.7928891294023718E-2</v>
      </c>
      <c r="Z515" s="50">
        <f t="shared" si="455"/>
        <v>5.019499221712586E-2</v>
      </c>
      <c r="AA515" s="50">
        <f t="shared" si="455"/>
        <v>4.1853093029906328E-2</v>
      </c>
      <c r="AB515" s="50">
        <f t="shared" si="455"/>
        <v>3.507334666327714E-2</v>
      </c>
      <c r="AC515" s="8">
        <f t="shared" si="454"/>
        <v>3.9999999999999991</v>
      </c>
    </row>
    <row r="516" spans="2:29">
      <c r="B516" s="16"/>
      <c r="C516" s="8" t="s">
        <v>48</v>
      </c>
      <c r="D516" s="8">
        <v>2</v>
      </c>
      <c r="E516" s="50">
        <f t="shared" ref="E516:AB516" si="456">+E456</f>
        <v>3.367503361886829E-2</v>
      </c>
      <c r="F516" s="50">
        <f t="shared" si="456"/>
        <v>3.1245692535415936E-2</v>
      </c>
      <c r="G516" s="50">
        <f t="shared" si="456"/>
        <v>2.9861746203171599E-2</v>
      </c>
      <c r="H516" s="50">
        <f t="shared" si="456"/>
        <v>2.9235019370742008E-2</v>
      </c>
      <c r="I516" s="50">
        <f t="shared" si="456"/>
        <v>3.0186379118294998E-2</v>
      </c>
      <c r="J516" s="50">
        <f t="shared" si="456"/>
        <v>3.3123682717801174E-2</v>
      </c>
      <c r="K516" s="50">
        <f t="shared" si="456"/>
        <v>3.5563630818173868E-2</v>
      </c>
      <c r="L516" s="50">
        <f t="shared" si="456"/>
        <v>3.7375437025807548E-2</v>
      </c>
      <c r="M516" s="50">
        <f t="shared" si="456"/>
        <v>3.9557895894381336E-2</v>
      </c>
      <c r="N516" s="50">
        <f t="shared" si="456"/>
        <v>4.1330002492198488E-2</v>
      </c>
      <c r="O516" s="50">
        <f t="shared" si="456"/>
        <v>4.3273465010057272E-2</v>
      </c>
      <c r="P516" s="50">
        <f t="shared" si="456"/>
        <v>4.5278417057592932E-2</v>
      </c>
      <c r="Q516" s="50">
        <f t="shared" si="456"/>
        <v>4.5765189585786785E-2</v>
      </c>
      <c r="R516" s="50">
        <f t="shared" si="456"/>
        <v>4.421428774797561E-2</v>
      </c>
      <c r="S516" s="50">
        <f t="shared" si="456"/>
        <v>4.3245429527174986E-2</v>
      </c>
      <c r="T516" s="50">
        <f t="shared" si="456"/>
        <v>4.3554999005074702E-2</v>
      </c>
      <c r="U516" s="50">
        <f t="shared" si="456"/>
        <v>4.4435510161992771E-2</v>
      </c>
      <c r="V516" s="50">
        <f t="shared" si="456"/>
        <v>4.717219114348542E-2</v>
      </c>
      <c r="W516" s="50">
        <f t="shared" si="456"/>
        <v>5.6899741232983039E-2</v>
      </c>
      <c r="X516" s="50">
        <f t="shared" si="456"/>
        <v>6.1986738769463187E-2</v>
      </c>
      <c r="Y516" s="50">
        <f t="shared" si="456"/>
        <v>5.7208700429979269E-2</v>
      </c>
      <c r="Z516" s="50">
        <f t="shared" si="456"/>
        <v>4.9339560702577757E-2</v>
      </c>
      <c r="AA516" s="50">
        <f t="shared" si="456"/>
        <v>4.1368944501432053E-2</v>
      </c>
      <c r="AB516" s="50">
        <f t="shared" si="456"/>
        <v>3.5102305329568817E-2</v>
      </c>
      <c r="AC516" s="8">
        <f>+SUM(E516:AB516)*D516</f>
        <v>1.9999999999999996</v>
      </c>
    </row>
    <row r="517" spans="2:29">
      <c r="B517" s="12"/>
      <c r="C517" s="12" t="s">
        <v>15</v>
      </c>
      <c r="D517" s="12">
        <f>+SUM(D513:D516)</f>
        <v>31</v>
      </c>
      <c r="E517" s="19">
        <f>+SUMPRODUCT(E513:E516,$D513:$D516)</f>
        <v>0.94099863402144279</v>
      </c>
      <c r="F517" s="19">
        <f>+SUMPRODUCT(F513:F516,$D513:$D516)</f>
        <v>0.88390577291462136</v>
      </c>
      <c r="G517" s="19">
        <f t="shared" ref="G517:AB517" si="457">+SUMPRODUCT(G513:G516,$D513:$D516)</f>
        <v>0.8532194175054626</v>
      </c>
      <c r="H517" s="19">
        <f t="shared" si="457"/>
        <v>0.84904654873486796</v>
      </c>
      <c r="I517" s="19">
        <f t="shared" si="457"/>
        <v>0.90355307663591211</v>
      </c>
      <c r="J517" s="19">
        <f t="shared" si="457"/>
        <v>1.0420357047049751</v>
      </c>
      <c r="K517" s="19">
        <f t="shared" si="457"/>
        <v>1.1669035525710176</v>
      </c>
      <c r="L517" s="19">
        <f t="shared" si="457"/>
        <v>1.2146084555249079</v>
      </c>
      <c r="M517" s="19">
        <f t="shared" si="457"/>
        <v>1.2704277581438459</v>
      </c>
      <c r="N517" s="19">
        <f t="shared" si="457"/>
        <v>1.3116447666152413</v>
      </c>
      <c r="O517" s="19">
        <f t="shared" si="457"/>
        <v>1.3700816241428129</v>
      </c>
      <c r="P517" s="19">
        <f t="shared" si="457"/>
        <v>1.4334127406571346</v>
      </c>
      <c r="Q517" s="19">
        <f t="shared" si="457"/>
        <v>1.4150507647087547</v>
      </c>
      <c r="R517" s="19">
        <f t="shared" si="457"/>
        <v>1.3668896624985547</v>
      </c>
      <c r="S517" s="19">
        <f t="shared" si="457"/>
        <v>1.3615031769070234</v>
      </c>
      <c r="T517" s="19">
        <f t="shared" si="457"/>
        <v>1.385439725175905</v>
      </c>
      <c r="U517" s="19">
        <f t="shared" si="457"/>
        <v>1.4150392393335474</v>
      </c>
      <c r="V517" s="19">
        <f t="shared" si="457"/>
        <v>1.4791501108534248</v>
      </c>
      <c r="W517" s="19">
        <f t="shared" si="457"/>
        <v>1.7614967206837933</v>
      </c>
      <c r="X517" s="19">
        <f t="shared" si="457"/>
        <v>1.9135793419060738</v>
      </c>
      <c r="Y517" s="19">
        <f t="shared" si="457"/>
        <v>1.7758628068244457</v>
      </c>
      <c r="Z517" s="19">
        <f t="shared" si="457"/>
        <v>1.5515275608710626</v>
      </c>
      <c r="AA517" s="19">
        <f t="shared" si="457"/>
        <v>1.2784743659914108</v>
      </c>
      <c r="AB517" s="19">
        <f t="shared" si="457"/>
        <v>1.0561484720737608</v>
      </c>
      <c r="AC517" s="12">
        <f>+SUM(E517:AB517)</f>
        <v>31.000000000000007</v>
      </c>
    </row>
    <row r="518" spans="2:29">
      <c r="B518" s="15">
        <f>+EDATE(B513,1)</f>
        <v>48000</v>
      </c>
      <c r="C518" s="8" t="s">
        <v>45</v>
      </c>
      <c r="D518" s="8">
        <v>18</v>
      </c>
      <c r="E518" s="50">
        <f t="shared" ref="E518:AB518" si="458">+E458</f>
        <v>2.9361257124838391E-2</v>
      </c>
      <c r="F518" s="50">
        <f t="shared" si="458"/>
        <v>2.7692710332229715E-2</v>
      </c>
      <c r="G518" s="50">
        <f t="shared" si="458"/>
        <v>2.6785161397696527E-2</v>
      </c>
      <c r="H518" s="50">
        <f t="shared" si="458"/>
        <v>2.6786989368939883E-2</v>
      </c>
      <c r="I518" s="50">
        <f t="shared" si="458"/>
        <v>2.9135775177511477E-2</v>
      </c>
      <c r="J518" s="50">
        <f t="shared" si="458"/>
        <v>3.4540443856715661E-2</v>
      </c>
      <c r="K518" s="50">
        <f t="shared" si="458"/>
        <v>3.8789035252325646E-2</v>
      </c>
      <c r="L518" s="50">
        <f t="shared" si="458"/>
        <v>3.957865839345593E-2</v>
      </c>
      <c r="M518" s="50">
        <f t="shared" si="458"/>
        <v>4.0957538271781398E-2</v>
      </c>
      <c r="N518" s="50">
        <f t="shared" si="458"/>
        <v>4.2166920044863825E-2</v>
      </c>
      <c r="O518" s="50">
        <f t="shared" si="458"/>
        <v>4.4150374939633218E-2</v>
      </c>
      <c r="P518" s="50">
        <f t="shared" si="458"/>
        <v>4.6294816466469102E-2</v>
      </c>
      <c r="Q518" s="50">
        <f t="shared" si="458"/>
        <v>4.5431875959152102E-2</v>
      </c>
      <c r="R518" s="50">
        <f t="shared" si="458"/>
        <v>4.3879728503346101E-2</v>
      </c>
      <c r="S518" s="50">
        <f t="shared" si="458"/>
        <v>4.4118506624640258E-2</v>
      </c>
      <c r="T518" s="50">
        <f t="shared" si="458"/>
        <v>4.5188432655351718E-2</v>
      </c>
      <c r="U518" s="50">
        <f t="shared" si="458"/>
        <v>4.624302558461979E-2</v>
      </c>
      <c r="V518" s="50">
        <f t="shared" si="458"/>
        <v>4.8247238962955179E-2</v>
      </c>
      <c r="W518" s="50">
        <f t="shared" si="458"/>
        <v>5.7096885328092907E-2</v>
      </c>
      <c r="X518" s="50">
        <f t="shared" si="458"/>
        <v>6.1739938045350239E-2</v>
      </c>
      <c r="Y518" s="50">
        <f t="shared" si="458"/>
        <v>5.7231881517227232E-2</v>
      </c>
      <c r="Z518" s="50">
        <f t="shared" si="458"/>
        <v>5.0129255438435008E-2</v>
      </c>
      <c r="AA518" s="50">
        <f t="shared" si="458"/>
        <v>4.1010488221716553E-2</v>
      </c>
      <c r="AB518" s="50">
        <f t="shared" si="458"/>
        <v>3.34430625326523E-2</v>
      </c>
      <c r="AC518" s="8">
        <f>+SUM(E518:AB518)*D518</f>
        <v>18.000000000000004</v>
      </c>
    </row>
    <row r="519" spans="2:29">
      <c r="B519" s="16"/>
      <c r="C519" s="8" t="s">
        <v>46</v>
      </c>
      <c r="D519" s="8">
        <v>4</v>
      </c>
      <c r="E519" s="50">
        <f t="shared" ref="E519:AB519" si="459">+E459</f>
        <v>3.0659473205105158E-2</v>
      </c>
      <c r="F519" s="50">
        <f t="shared" si="459"/>
        <v>2.8600001140869122E-2</v>
      </c>
      <c r="G519" s="50">
        <f t="shared" si="459"/>
        <v>2.7683858575034276E-2</v>
      </c>
      <c r="H519" s="50">
        <f t="shared" si="459"/>
        <v>2.7537802139610414E-2</v>
      </c>
      <c r="I519" s="50">
        <f t="shared" si="459"/>
        <v>2.8782539770184416E-2</v>
      </c>
      <c r="J519" s="50">
        <f t="shared" si="459"/>
        <v>3.2241585579716119E-2</v>
      </c>
      <c r="K519" s="50">
        <f t="shared" si="459"/>
        <v>3.645312931015221E-2</v>
      </c>
      <c r="L519" s="50">
        <f t="shared" si="459"/>
        <v>3.9012639181609042E-2</v>
      </c>
      <c r="M519" s="50">
        <f t="shared" si="459"/>
        <v>4.1549207589560662E-2</v>
      </c>
      <c r="N519" s="50">
        <f t="shared" si="459"/>
        <v>4.3042516751632572E-2</v>
      </c>
      <c r="O519" s="50">
        <f t="shared" si="459"/>
        <v>4.4973693586955334E-2</v>
      </c>
      <c r="P519" s="50">
        <f t="shared" si="459"/>
        <v>4.6808021710202923E-2</v>
      </c>
      <c r="Q519" s="50">
        <f t="shared" si="459"/>
        <v>4.6383383047344962E-2</v>
      </c>
      <c r="R519" s="50">
        <f t="shared" si="459"/>
        <v>4.4751654806610461E-2</v>
      </c>
      <c r="S519" s="50">
        <f t="shared" si="459"/>
        <v>4.4013077558728637E-2</v>
      </c>
      <c r="T519" s="50">
        <f t="shared" si="459"/>
        <v>4.428856091631931E-2</v>
      </c>
      <c r="U519" s="50">
        <f t="shared" si="459"/>
        <v>4.49735778579251E-2</v>
      </c>
      <c r="V519" s="50">
        <f t="shared" si="459"/>
        <v>4.6933206789217301E-2</v>
      </c>
      <c r="W519" s="50">
        <f t="shared" si="459"/>
        <v>5.6210586428141023E-2</v>
      </c>
      <c r="X519" s="50">
        <f t="shared" si="459"/>
        <v>6.1205656691958259E-2</v>
      </c>
      <c r="Y519" s="50">
        <f t="shared" si="459"/>
        <v>5.7018442088769522E-2</v>
      </c>
      <c r="Z519" s="50">
        <f t="shared" si="459"/>
        <v>4.9896672365740725E-2</v>
      </c>
      <c r="AA519" s="50">
        <f t="shared" si="459"/>
        <v>4.1622868086918119E-2</v>
      </c>
      <c r="AB519" s="50">
        <f t="shared" si="459"/>
        <v>3.5357844821693719E-2</v>
      </c>
      <c r="AC519" s="8">
        <f t="shared" ref="AC519:AC521" si="460">+SUM(E519:AB519)*D519</f>
        <v>3.9999999999999969</v>
      </c>
    </row>
    <row r="520" spans="2:29">
      <c r="B520" s="16"/>
      <c r="C520" s="8" t="s">
        <v>47</v>
      </c>
      <c r="D520" s="8">
        <v>5</v>
      </c>
      <c r="E520" s="50">
        <f t="shared" ref="E520:AB520" si="461">+E460</f>
        <v>3.3281514565353124E-2</v>
      </c>
      <c r="F520" s="50">
        <f t="shared" si="461"/>
        <v>3.1140043873712407E-2</v>
      </c>
      <c r="G520" s="50">
        <f t="shared" si="461"/>
        <v>2.984335106750436E-2</v>
      </c>
      <c r="H520" s="50">
        <f t="shared" si="461"/>
        <v>2.9286927979133532E-2</v>
      </c>
      <c r="I520" s="50">
        <f t="shared" si="461"/>
        <v>2.9138028999542646E-2</v>
      </c>
      <c r="J520" s="50">
        <f t="shared" si="461"/>
        <v>3.0942883559119717E-2</v>
      </c>
      <c r="K520" s="50">
        <f t="shared" si="461"/>
        <v>3.4432484834348992E-2</v>
      </c>
      <c r="L520" s="50">
        <f t="shared" si="461"/>
        <v>3.8305304424032266E-2</v>
      </c>
      <c r="M520" s="50">
        <f t="shared" si="461"/>
        <v>4.1103790742913066E-2</v>
      </c>
      <c r="N520" s="50">
        <f t="shared" si="461"/>
        <v>4.2608444243851212E-2</v>
      </c>
      <c r="O520" s="50">
        <f t="shared" si="461"/>
        <v>4.3914681848814308E-2</v>
      </c>
      <c r="P520" s="50">
        <f t="shared" si="461"/>
        <v>4.5729867165388009E-2</v>
      </c>
      <c r="Q520" s="50">
        <f t="shared" si="461"/>
        <v>4.5741487779353565E-2</v>
      </c>
      <c r="R520" s="50">
        <f t="shared" si="461"/>
        <v>4.4277060725657284E-2</v>
      </c>
      <c r="S520" s="50">
        <f t="shared" si="461"/>
        <v>4.3144199391556254E-2</v>
      </c>
      <c r="T520" s="50">
        <f t="shared" si="461"/>
        <v>4.3279567369281124E-2</v>
      </c>
      <c r="U520" s="50">
        <f t="shared" si="461"/>
        <v>4.4109954506885138E-2</v>
      </c>
      <c r="V520" s="50">
        <f t="shared" si="461"/>
        <v>4.6298728840315946E-2</v>
      </c>
      <c r="W520" s="50">
        <f t="shared" si="461"/>
        <v>5.6176649878816001E-2</v>
      </c>
      <c r="X520" s="50">
        <f t="shared" si="461"/>
        <v>6.2194705000087863E-2</v>
      </c>
      <c r="Y520" s="50">
        <f t="shared" si="461"/>
        <v>5.7928891294023718E-2</v>
      </c>
      <c r="Z520" s="50">
        <f t="shared" si="461"/>
        <v>5.019499221712586E-2</v>
      </c>
      <c r="AA520" s="50">
        <f t="shared" si="461"/>
        <v>4.1853093029906328E-2</v>
      </c>
      <c r="AB520" s="50">
        <f t="shared" si="461"/>
        <v>3.507334666327714E-2</v>
      </c>
      <c r="AC520" s="8">
        <f t="shared" si="460"/>
        <v>4.9999999999999991</v>
      </c>
    </row>
    <row r="521" spans="2:29">
      <c r="B521" s="16"/>
      <c r="C521" s="8" t="s">
        <v>48</v>
      </c>
      <c r="D521" s="8">
        <v>3</v>
      </c>
      <c r="E521" s="50">
        <f t="shared" ref="E521:AB521" si="462">+E461</f>
        <v>3.367503361886829E-2</v>
      </c>
      <c r="F521" s="50">
        <f t="shared" si="462"/>
        <v>3.1245692535415936E-2</v>
      </c>
      <c r="G521" s="50">
        <f t="shared" si="462"/>
        <v>2.9861746203171599E-2</v>
      </c>
      <c r="H521" s="50">
        <f t="shared" si="462"/>
        <v>2.9235019370742008E-2</v>
      </c>
      <c r="I521" s="50">
        <f t="shared" si="462"/>
        <v>3.0186379118294998E-2</v>
      </c>
      <c r="J521" s="50">
        <f t="shared" si="462"/>
        <v>3.3123682717801174E-2</v>
      </c>
      <c r="K521" s="50">
        <f t="shared" si="462"/>
        <v>3.5563630818173868E-2</v>
      </c>
      <c r="L521" s="50">
        <f t="shared" si="462"/>
        <v>3.7375437025807548E-2</v>
      </c>
      <c r="M521" s="50">
        <f t="shared" si="462"/>
        <v>3.9557895894381336E-2</v>
      </c>
      <c r="N521" s="50">
        <f t="shared" si="462"/>
        <v>4.1330002492198488E-2</v>
      </c>
      <c r="O521" s="50">
        <f t="shared" si="462"/>
        <v>4.3273465010057272E-2</v>
      </c>
      <c r="P521" s="50">
        <f t="shared" si="462"/>
        <v>4.5278417057592932E-2</v>
      </c>
      <c r="Q521" s="50">
        <f t="shared" si="462"/>
        <v>4.5765189585786785E-2</v>
      </c>
      <c r="R521" s="50">
        <f t="shared" si="462"/>
        <v>4.421428774797561E-2</v>
      </c>
      <c r="S521" s="50">
        <f t="shared" si="462"/>
        <v>4.3245429527174986E-2</v>
      </c>
      <c r="T521" s="50">
        <f t="shared" si="462"/>
        <v>4.3554999005074702E-2</v>
      </c>
      <c r="U521" s="50">
        <f t="shared" si="462"/>
        <v>4.4435510161992771E-2</v>
      </c>
      <c r="V521" s="50">
        <f t="shared" si="462"/>
        <v>4.717219114348542E-2</v>
      </c>
      <c r="W521" s="50">
        <f t="shared" si="462"/>
        <v>5.6899741232983039E-2</v>
      </c>
      <c r="X521" s="50">
        <f t="shared" si="462"/>
        <v>6.1986738769463187E-2</v>
      </c>
      <c r="Y521" s="50">
        <f t="shared" si="462"/>
        <v>5.7208700429979269E-2</v>
      </c>
      <c r="Z521" s="50">
        <f t="shared" si="462"/>
        <v>4.9339560702577757E-2</v>
      </c>
      <c r="AA521" s="50">
        <f t="shared" si="462"/>
        <v>4.1368944501432053E-2</v>
      </c>
      <c r="AB521" s="50">
        <f t="shared" si="462"/>
        <v>3.5102305329568817E-2</v>
      </c>
      <c r="AC521" s="8">
        <f t="shared" si="460"/>
        <v>2.9999999999999991</v>
      </c>
    </row>
    <row r="522" spans="2:29">
      <c r="B522" s="12"/>
      <c r="C522" s="12" t="s">
        <v>15</v>
      </c>
      <c r="D522" s="12">
        <f>+SUM(D518:D521)</f>
        <v>30</v>
      </c>
      <c r="E522" s="19">
        <f>+SUMPRODUCT(E518:E521,$D518:$D521)</f>
        <v>0.91857319475088206</v>
      </c>
      <c r="F522" s="19">
        <f>+SUMPRODUCT(F518:F521,$D518:$D521)</f>
        <v>0.8623060875184213</v>
      </c>
      <c r="G522" s="19">
        <f t="shared" ref="G522:AB522" si="463">+SUMPRODUCT(G518:G521,$D518:$D521)</f>
        <v>0.83167033340571117</v>
      </c>
      <c r="H522" s="19">
        <f t="shared" si="463"/>
        <v>0.82645671520725328</v>
      </c>
      <c r="I522" s="19">
        <f t="shared" si="463"/>
        <v>0.87582339462854242</v>
      </c>
      <c r="J522" s="19">
        <f t="shared" si="463"/>
        <v>1.0047797976887485</v>
      </c>
      <c r="K522" s="19">
        <f t="shared" si="463"/>
        <v>1.1228684684087369</v>
      </c>
      <c r="L522" s="19">
        <f t="shared" si="463"/>
        <v>1.1721192410062269</v>
      </c>
      <c r="M522" s="19">
        <f t="shared" si="463"/>
        <v>1.2276251606480171</v>
      </c>
      <c r="N522" s="19">
        <f t="shared" si="463"/>
        <v>1.2682068565099305</v>
      </c>
      <c r="O522" s="19">
        <f t="shared" si="463"/>
        <v>1.3239953275354623</v>
      </c>
      <c r="P522" s="19">
        <f t="shared" si="463"/>
        <v>1.3850233702369743</v>
      </c>
      <c r="Q522" s="19">
        <f t="shared" si="463"/>
        <v>1.3693103071082458</v>
      </c>
      <c r="R522" s="19">
        <f t="shared" si="463"/>
        <v>1.322869899158885</v>
      </c>
      <c r="S522" s="19">
        <f t="shared" si="463"/>
        <v>1.3156427150177454</v>
      </c>
      <c r="T522" s="19">
        <f t="shared" si="463"/>
        <v>1.3376088653232379</v>
      </c>
      <c r="U522" s="19">
        <f t="shared" si="463"/>
        <v>1.3661250749752607</v>
      </c>
      <c r="V522" s="19">
        <f t="shared" si="463"/>
        <v>1.4291933461220985</v>
      </c>
      <c r="W522" s="19">
        <f t="shared" si="463"/>
        <v>1.7041687547112656</v>
      </c>
      <c r="X522" s="19">
        <f t="shared" si="463"/>
        <v>1.8530752528929662</v>
      </c>
      <c r="Y522" s="19">
        <f t="shared" si="463"/>
        <v>1.7195181934252248</v>
      </c>
      <c r="Z522" s="19">
        <f t="shared" si="463"/>
        <v>1.5009069305481555</v>
      </c>
      <c r="AA522" s="19">
        <f t="shared" si="463"/>
        <v>1.2380525589923981</v>
      </c>
      <c r="AB522" s="19">
        <f t="shared" si="463"/>
        <v>1.0240801541796083</v>
      </c>
      <c r="AC522" s="12">
        <f>+SUM(E522:AB522)</f>
        <v>29.999999999999993</v>
      </c>
    </row>
    <row r="523" spans="2:29">
      <c r="B523" s="15">
        <f>+EDATE(B518,1)</f>
        <v>48030</v>
      </c>
      <c r="C523" s="8" t="s">
        <v>45</v>
      </c>
      <c r="D523" s="8">
        <v>23</v>
      </c>
      <c r="E523" s="50">
        <f t="shared" ref="E523:AB523" si="464">+E463</f>
        <v>2.9361257124838391E-2</v>
      </c>
      <c r="F523" s="50">
        <f t="shared" si="464"/>
        <v>2.7692710332229715E-2</v>
      </c>
      <c r="G523" s="50">
        <f t="shared" si="464"/>
        <v>2.6785161397696527E-2</v>
      </c>
      <c r="H523" s="50">
        <f t="shared" si="464"/>
        <v>2.6786989368939883E-2</v>
      </c>
      <c r="I523" s="50">
        <f t="shared" si="464"/>
        <v>2.9135775177511477E-2</v>
      </c>
      <c r="J523" s="50">
        <f t="shared" si="464"/>
        <v>3.4540443856715661E-2</v>
      </c>
      <c r="K523" s="50">
        <f t="shared" si="464"/>
        <v>3.8789035252325646E-2</v>
      </c>
      <c r="L523" s="50">
        <f t="shared" si="464"/>
        <v>3.957865839345593E-2</v>
      </c>
      <c r="M523" s="50">
        <f t="shared" si="464"/>
        <v>4.0957538271781398E-2</v>
      </c>
      <c r="N523" s="50">
        <f t="shared" si="464"/>
        <v>4.2166920044863825E-2</v>
      </c>
      <c r="O523" s="50">
        <f t="shared" si="464"/>
        <v>4.4150374939633218E-2</v>
      </c>
      <c r="P523" s="50">
        <f t="shared" si="464"/>
        <v>4.6294816466469102E-2</v>
      </c>
      <c r="Q523" s="50">
        <f t="shared" si="464"/>
        <v>4.5431875959152102E-2</v>
      </c>
      <c r="R523" s="50">
        <f t="shared" si="464"/>
        <v>4.3879728503346101E-2</v>
      </c>
      <c r="S523" s="50">
        <f t="shared" si="464"/>
        <v>4.4118506624640258E-2</v>
      </c>
      <c r="T523" s="50">
        <f t="shared" si="464"/>
        <v>4.5188432655351718E-2</v>
      </c>
      <c r="U523" s="50">
        <f t="shared" si="464"/>
        <v>4.624302558461979E-2</v>
      </c>
      <c r="V523" s="50">
        <f t="shared" si="464"/>
        <v>4.8247238962955179E-2</v>
      </c>
      <c r="W523" s="50">
        <f t="shared" si="464"/>
        <v>5.7096885328092907E-2</v>
      </c>
      <c r="X523" s="50">
        <f t="shared" si="464"/>
        <v>6.1739938045350239E-2</v>
      </c>
      <c r="Y523" s="50">
        <f t="shared" si="464"/>
        <v>5.7231881517227232E-2</v>
      </c>
      <c r="Z523" s="50">
        <f t="shared" si="464"/>
        <v>5.0129255438435008E-2</v>
      </c>
      <c r="AA523" s="50">
        <f t="shared" si="464"/>
        <v>4.1010488221716553E-2</v>
      </c>
      <c r="AB523" s="50">
        <f t="shared" si="464"/>
        <v>3.34430625326523E-2</v>
      </c>
      <c r="AC523" s="8">
        <f>+SUM(E523:AB523)*D523</f>
        <v>23.000000000000004</v>
      </c>
    </row>
    <row r="524" spans="2:29">
      <c r="B524" s="16"/>
      <c r="C524" s="8" t="s">
        <v>46</v>
      </c>
      <c r="D524" s="8">
        <v>4</v>
      </c>
      <c r="E524" s="50">
        <f t="shared" ref="E524:AB524" si="465">+E464</f>
        <v>3.0659473205105158E-2</v>
      </c>
      <c r="F524" s="50">
        <f t="shared" si="465"/>
        <v>2.8600001140869122E-2</v>
      </c>
      <c r="G524" s="50">
        <f t="shared" si="465"/>
        <v>2.7683858575034276E-2</v>
      </c>
      <c r="H524" s="50">
        <f t="shared" si="465"/>
        <v>2.7537802139610414E-2</v>
      </c>
      <c r="I524" s="50">
        <f t="shared" si="465"/>
        <v>2.8782539770184416E-2</v>
      </c>
      <c r="J524" s="50">
        <f t="shared" si="465"/>
        <v>3.2241585579716119E-2</v>
      </c>
      <c r="K524" s="50">
        <f t="shared" si="465"/>
        <v>3.645312931015221E-2</v>
      </c>
      <c r="L524" s="50">
        <f t="shared" si="465"/>
        <v>3.9012639181609042E-2</v>
      </c>
      <c r="M524" s="50">
        <f t="shared" si="465"/>
        <v>4.1549207589560662E-2</v>
      </c>
      <c r="N524" s="50">
        <f t="shared" si="465"/>
        <v>4.3042516751632572E-2</v>
      </c>
      <c r="O524" s="50">
        <f t="shared" si="465"/>
        <v>4.4973693586955334E-2</v>
      </c>
      <c r="P524" s="50">
        <f t="shared" si="465"/>
        <v>4.6808021710202923E-2</v>
      </c>
      <c r="Q524" s="50">
        <f t="shared" si="465"/>
        <v>4.6383383047344962E-2</v>
      </c>
      <c r="R524" s="50">
        <f t="shared" si="465"/>
        <v>4.4751654806610461E-2</v>
      </c>
      <c r="S524" s="50">
        <f t="shared" si="465"/>
        <v>4.4013077558728637E-2</v>
      </c>
      <c r="T524" s="50">
        <f t="shared" si="465"/>
        <v>4.428856091631931E-2</v>
      </c>
      <c r="U524" s="50">
        <f t="shared" si="465"/>
        <v>4.49735778579251E-2</v>
      </c>
      <c r="V524" s="50">
        <f t="shared" si="465"/>
        <v>4.6933206789217301E-2</v>
      </c>
      <c r="W524" s="50">
        <f t="shared" si="465"/>
        <v>5.6210586428141023E-2</v>
      </c>
      <c r="X524" s="50">
        <f t="shared" si="465"/>
        <v>6.1205656691958259E-2</v>
      </c>
      <c r="Y524" s="50">
        <f t="shared" si="465"/>
        <v>5.7018442088769522E-2</v>
      </c>
      <c r="Z524" s="50">
        <f t="shared" si="465"/>
        <v>4.9896672365740725E-2</v>
      </c>
      <c r="AA524" s="50">
        <f t="shared" si="465"/>
        <v>4.1622868086918119E-2</v>
      </c>
      <c r="AB524" s="50">
        <f t="shared" si="465"/>
        <v>3.5357844821693719E-2</v>
      </c>
      <c r="AC524" s="8">
        <f t="shared" ref="AC524:AC526" si="466">+SUM(E524:AB524)*D524</f>
        <v>3.9999999999999969</v>
      </c>
    </row>
    <row r="525" spans="2:29">
      <c r="B525" s="16"/>
      <c r="C525" s="8" t="s">
        <v>47</v>
      </c>
      <c r="D525" s="8">
        <v>4</v>
      </c>
      <c r="E525" s="50">
        <f t="shared" ref="E525:AB525" si="467">+E465</f>
        <v>3.3281514565353124E-2</v>
      </c>
      <c r="F525" s="50">
        <f t="shared" si="467"/>
        <v>3.1140043873712407E-2</v>
      </c>
      <c r="G525" s="50">
        <f t="shared" si="467"/>
        <v>2.984335106750436E-2</v>
      </c>
      <c r="H525" s="50">
        <f t="shared" si="467"/>
        <v>2.9286927979133532E-2</v>
      </c>
      <c r="I525" s="50">
        <f t="shared" si="467"/>
        <v>2.9138028999542646E-2</v>
      </c>
      <c r="J525" s="50">
        <f t="shared" si="467"/>
        <v>3.0942883559119717E-2</v>
      </c>
      <c r="K525" s="50">
        <f t="shared" si="467"/>
        <v>3.4432484834348992E-2</v>
      </c>
      <c r="L525" s="50">
        <f t="shared" si="467"/>
        <v>3.8305304424032266E-2</v>
      </c>
      <c r="M525" s="50">
        <f t="shared" si="467"/>
        <v>4.1103790742913066E-2</v>
      </c>
      <c r="N525" s="50">
        <f t="shared" si="467"/>
        <v>4.2608444243851212E-2</v>
      </c>
      <c r="O525" s="50">
        <f t="shared" si="467"/>
        <v>4.3914681848814308E-2</v>
      </c>
      <c r="P525" s="50">
        <f t="shared" si="467"/>
        <v>4.5729867165388009E-2</v>
      </c>
      <c r="Q525" s="50">
        <f t="shared" si="467"/>
        <v>4.5741487779353565E-2</v>
      </c>
      <c r="R525" s="50">
        <f t="shared" si="467"/>
        <v>4.4277060725657284E-2</v>
      </c>
      <c r="S525" s="50">
        <f t="shared" si="467"/>
        <v>4.3144199391556254E-2</v>
      </c>
      <c r="T525" s="50">
        <f t="shared" si="467"/>
        <v>4.3279567369281124E-2</v>
      </c>
      <c r="U525" s="50">
        <f t="shared" si="467"/>
        <v>4.4109954506885138E-2</v>
      </c>
      <c r="V525" s="50">
        <f t="shared" si="467"/>
        <v>4.6298728840315946E-2</v>
      </c>
      <c r="W525" s="50">
        <f t="shared" si="467"/>
        <v>5.6176649878816001E-2</v>
      </c>
      <c r="X525" s="50">
        <f t="shared" si="467"/>
        <v>6.2194705000087863E-2</v>
      </c>
      <c r="Y525" s="50">
        <f t="shared" si="467"/>
        <v>5.7928891294023718E-2</v>
      </c>
      <c r="Z525" s="50">
        <f t="shared" si="467"/>
        <v>5.019499221712586E-2</v>
      </c>
      <c r="AA525" s="50">
        <f t="shared" si="467"/>
        <v>4.1853093029906328E-2</v>
      </c>
      <c r="AB525" s="50">
        <f t="shared" si="467"/>
        <v>3.507334666327714E-2</v>
      </c>
      <c r="AC525" s="8">
        <f t="shared" si="466"/>
        <v>3.9999999999999991</v>
      </c>
    </row>
    <row r="526" spans="2:29">
      <c r="B526" s="16"/>
      <c r="C526" s="8" t="s">
        <v>48</v>
      </c>
      <c r="D526" s="8">
        <v>0</v>
      </c>
      <c r="E526" s="50">
        <f t="shared" ref="E526:AB526" si="468">+E466</f>
        <v>3.367503361886829E-2</v>
      </c>
      <c r="F526" s="50">
        <f t="shared" si="468"/>
        <v>3.1245692535415936E-2</v>
      </c>
      <c r="G526" s="50">
        <f t="shared" si="468"/>
        <v>2.9861746203171599E-2</v>
      </c>
      <c r="H526" s="50">
        <f t="shared" si="468"/>
        <v>2.9235019370742008E-2</v>
      </c>
      <c r="I526" s="50">
        <f t="shared" si="468"/>
        <v>3.0186379118294998E-2</v>
      </c>
      <c r="J526" s="50">
        <f t="shared" si="468"/>
        <v>3.3123682717801174E-2</v>
      </c>
      <c r="K526" s="50">
        <f t="shared" si="468"/>
        <v>3.5563630818173868E-2</v>
      </c>
      <c r="L526" s="50">
        <f t="shared" si="468"/>
        <v>3.7375437025807548E-2</v>
      </c>
      <c r="M526" s="50">
        <f t="shared" si="468"/>
        <v>3.9557895894381336E-2</v>
      </c>
      <c r="N526" s="50">
        <f t="shared" si="468"/>
        <v>4.1330002492198488E-2</v>
      </c>
      <c r="O526" s="50">
        <f t="shared" si="468"/>
        <v>4.3273465010057272E-2</v>
      </c>
      <c r="P526" s="50">
        <f t="shared" si="468"/>
        <v>4.5278417057592932E-2</v>
      </c>
      <c r="Q526" s="50">
        <f t="shared" si="468"/>
        <v>4.5765189585786785E-2</v>
      </c>
      <c r="R526" s="50">
        <f t="shared" si="468"/>
        <v>4.421428774797561E-2</v>
      </c>
      <c r="S526" s="50">
        <f t="shared" si="468"/>
        <v>4.3245429527174986E-2</v>
      </c>
      <c r="T526" s="50">
        <f t="shared" si="468"/>
        <v>4.3554999005074702E-2</v>
      </c>
      <c r="U526" s="50">
        <f t="shared" si="468"/>
        <v>4.4435510161992771E-2</v>
      </c>
      <c r="V526" s="50">
        <f t="shared" si="468"/>
        <v>4.717219114348542E-2</v>
      </c>
      <c r="W526" s="50">
        <f t="shared" si="468"/>
        <v>5.6899741232983039E-2</v>
      </c>
      <c r="X526" s="50">
        <f t="shared" si="468"/>
        <v>6.1986738769463187E-2</v>
      </c>
      <c r="Y526" s="50">
        <f t="shared" si="468"/>
        <v>5.7208700429979269E-2</v>
      </c>
      <c r="Z526" s="50">
        <f t="shared" si="468"/>
        <v>4.9339560702577757E-2</v>
      </c>
      <c r="AA526" s="50">
        <f t="shared" si="468"/>
        <v>4.1368944501432053E-2</v>
      </c>
      <c r="AB526" s="50">
        <f t="shared" si="468"/>
        <v>3.5102305329568817E-2</v>
      </c>
      <c r="AC526" s="8">
        <f t="shared" si="466"/>
        <v>0</v>
      </c>
    </row>
    <row r="527" spans="2:29">
      <c r="B527" s="12"/>
      <c r="C527" s="12" t="s">
        <v>15</v>
      </c>
      <c r="D527" s="12">
        <f>+SUM(D523:D526)</f>
        <v>31</v>
      </c>
      <c r="E527" s="19">
        <f>+SUMPRODUCT(E523:E526,$D523:$D526)</f>
        <v>0.93107286495311614</v>
      </c>
      <c r="F527" s="19">
        <f>+SUMPRODUCT(F523:F526,$D523:$D526)</f>
        <v>0.87589251769960963</v>
      </c>
      <c r="G527" s="19">
        <f t="shared" ref="G527:AB527" si="469">+SUMPRODUCT(G523:G526,$D523:$D526)</f>
        <v>0.84616755071717464</v>
      </c>
      <c r="H527" s="19">
        <f t="shared" si="469"/>
        <v>0.84339967596059306</v>
      </c>
      <c r="I527" s="19">
        <f t="shared" si="469"/>
        <v>0.90180510416167226</v>
      </c>
      <c r="J527" s="19">
        <f t="shared" si="469"/>
        <v>1.0471680852598035</v>
      </c>
      <c r="K527" s="19">
        <f t="shared" si="469"/>
        <v>1.1756902673814946</v>
      </c>
      <c r="L527" s="19">
        <f t="shared" si="469"/>
        <v>1.2195809174720518</v>
      </c>
      <c r="M527" s="19">
        <f t="shared" si="469"/>
        <v>1.2726353735808669</v>
      </c>
      <c r="N527" s="19">
        <f t="shared" si="469"/>
        <v>1.3124430050138032</v>
      </c>
      <c r="O527" s="19">
        <f t="shared" si="469"/>
        <v>1.3710121253546426</v>
      </c>
      <c r="P527" s="19">
        <f t="shared" si="469"/>
        <v>1.4349323342311531</v>
      </c>
      <c r="Q527" s="19">
        <f t="shared" si="469"/>
        <v>1.4134326303672924</v>
      </c>
      <c r="R527" s="19">
        <f t="shared" si="469"/>
        <v>1.3653486177060314</v>
      </c>
      <c r="S527" s="19">
        <f t="shared" si="469"/>
        <v>1.3633547601678653</v>
      </c>
      <c r="T527" s="19">
        <f t="shared" si="469"/>
        <v>1.3896064642154913</v>
      </c>
      <c r="U527" s="19">
        <f t="shared" si="469"/>
        <v>1.4199237179054962</v>
      </c>
      <c r="V527" s="19">
        <f t="shared" si="469"/>
        <v>1.4826142386661021</v>
      </c>
      <c r="W527" s="19">
        <f t="shared" si="469"/>
        <v>1.762777307773965</v>
      </c>
      <c r="X527" s="19">
        <f t="shared" si="469"/>
        <v>1.9136200218112398</v>
      </c>
      <c r="Y527" s="19">
        <f t="shared" si="469"/>
        <v>1.7761226084273993</v>
      </c>
      <c r="Z527" s="19">
        <f t="shared" si="469"/>
        <v>1.5533395334154716</v>
      </c>
      <c r="AA527" s="19">
        <f t="shared" si="469"/>
        <v>1.2771450735667784</v>
      </c>
      <c r="AB527" s="19">
        <f t="shared" si="469"/>
        <v>1.0509152041908862</v>
      </c>
      <c r="AC527" s="12">
        <f>+SUM(E527:AB527)</f>
        <v>31.000000000000004</v>
      </c>
    </row>
    <row r="528" spans="2:29">
      <c r="B528" s="15">
        <f>+EDATE(B523,1)</f>
        <v>48061</v>
      </c>
      <c r="C528" s="8" t="s">
        <v>45</v>
      </c>
      <c r="D528" s="8">
        <v>19</v>
      </c>
      <c r="E528" s="50">
        <f t="shared" ref="E528:AB528" si="470">+E468</f>
        <v>2.9361257124838391E-2</v>
      </c>
      <c r="F528" s="50">
        <f t="shared" si="470"/>
        <v>2.7692710332229715E-2</v>
      </c>
      <c r="G528" s="50">
        <f t="shared" si="470"/>
        <v>2.6785161397696527E-2</v>
      </c>
      <c r="H528" s="50">
        <f t="shared" si="470"/>
        <v>2.6786989368939883E-2</v>
      </c>
      <c r="I528" s="50">
        <f t="shared" si="470"/>
        <v>2.9135775177511477E-2</v>
      </c>
      <c r="J528" s="50">
        <f t="shared" si="470"/>
        <v>3.4540443856715661E-2</v>
      </c>
      <c r="K528" s="50">
        <f t="shared" si="470"/>
        <v>3.8789035252325646E-2</v>
      </c>
      <c r="L528" s="50">
        <f t="shared" si="470"/>
        <v>3.957865839345593E-2</v>
      </c>
      <c r="M528" s="50">
        <f t="shared" si="470"/>
        <v>4.0957538271781398E-2</v>
      </c>
      <c r="N528" s="50">
        <f t="shared" si="470"/>
        <v>4.2166920044863825E-2</v>
      </c>
      <c r="O528" s="50">
        <f t="shared" si="470"/>
        <v>4.4150374939633218E-2</v>
      </c>
      <c r="P528" s="50">
        <f t="shared" si="470"/>
        <v>4.6294816466469102E-2</v>
      </c>
      <c r="Q528" s="50">
        <f t="shared" si="470"/>
        <v>4.5431875959152102E-2</v>
      </c>
      <c r="R528" s="50">
        <f t="shared" si="470"/>
        <v>4.3879728503346101E-2</v>
      </c>
      <c r="S528" s="50">
        <f t="shared" si="470"/>
        <v>4.4118506624640258E-2</v>
      </c>
      <c r="T528" s="50">
        <f t="shared" si="470"/>
        <v>4.5188432655351718E-2</v>
      </c>
      <c r="U528" s="50">
        <f t="shared" si="470"/>
        <v>4.624302558461979E-2</v>
      </c>
      <c r="V528" s="50">
        <f t="shared" si="470"/>
        <v>4.8247238962955179E-2</v>
      </c>
      <c r="W528" s="50">
        <f t="shared" si="470"/>
        <v>5.7096885328092907E-2</v>
      </c>
      <c r="X528" s="50">
        <f t="shared" si="470"/>
        <v>6.1739938045350239E-2</v>
      </c>
      <c r="Y528" s="50">
        <f t="shared" si="470"/>
        <v>5.7231881517227232E-2</v>
      </c>
      <c r="Z528" s="50">
        <f t="shared" si="470"/>
        <v>5.0129255438435008E-2</v>
      </c>
      <c r="AA528" s="50">
        <f t="shared" si="470"/>
        <v>4.1010488221716553E-2</v>
      </c>
      <c r="AB528" s="50">
        <f t="shared" si="470"/>
        <v>3.34430625326523E-2</v>
      </c>
      <c r="AC528" s="8">
        <f>+SUM(E528:AB528)*D528</f>
        <v>19.000000000000004</v>
      </c>
    </row>
    <row r="529" spans="2:29">
      <c r="B529" s="16"/>
      <c r="C529" s="8" t="s">
        <v>46</v>
      </c>
      <c r="D529" s="8">
        <v>5</v>
      </c>
      <c r="E529" s="50">
        <f t="shared" ref="E529:AB529" si="471">+E469</f>
        <v>3.0659473205105158E-2</v>
      </c>
      <c r="F529" s="50">
        <f t="shared" si="471"/>
        <v>2.8600001140869122E-2</v>
      </c>
      <c r="G529" s="50">
        <f t="shared" si="471"/>
        <v>2.7683858575034276E-2</v>
      </c>
      <c r="H529" s="50">
        <f t="shared" si="471"/>
        <v>2.7537802139610414E-2</v>
      </c>
      <c r="I529" s="50">
        <f t="shared" si="471"/>
        <v>2.8782539770184416E-2</v>
      </c>
      <c r="J529" s="50">
        <f t="shared" si="471"/>
        <v>3.2241585579716119E-2</v>
      </c>
      <c r="K529" s="50">
        <f t="shared" si="471"/>
        <v>3.645312931015221E-2</v>
      </c>
      <c r="L529" s="50">
        <f t="shared" si="471"/>
        <v>3.9012639181609042E-2</v>
      </c>
      <c r="M529" s="50">
        <f t="shared" si="471"/>
        <v>4.1549207589560662E-2</v>
      </c>
      <c r="N529" s="50">
        <f t="shared" si="471"/>
        <v>4.3042516751632572E-2</v>
      </c>
      <c r="O529" s="50">
        <f t="shared" si="471"/>
        <v>4.4973693586955334E-2</v>
      </c>
      <c r="P529" s="50">
        <f t="shared" si="471"/>
        <v>4.6808021710202923E-2</v>
      </c>
      <c r="Q529" s="50">
        <f t="shared" si="471"/>
        <v>4.6383383047344962E-2</v>
      </c>
      <c r="R529" s="50">
        <f t="shared" si="471"/>
        <v>4.4751654806610461E-2</v>
      </c>
      <c r="S529" s="50">
        <f t="shared" si="471"/>
        <v>4.4013077558728637E-2</v>
      </c>
      <c r="T529" s="50">
        <f t="shared" si="471"/>
        <v>4.428856091631931E-2</v>
      </c>
      <c r="U529" s="50">
        <f t="shared" si="471"/>
        <v>4.49735778579251E-2</v>
      </c>
      <c r="V529" s="50">
        <f t="shared" si="471"/>
        <v>4.6933206789217301E-2</v>
      </c>
      <c r="W529" s="50">
        <f t="shared" si="471"/>
        <v>5.6210586428141023E-2</v>
      </c>
      <c r="X529" s="50">
        <f t="shared" si="471"/>
        <v>6.1205656691958259E-2</v>
      </c>
      <c r="Y529" s="50">
        <f t="shared" si="471"/>
        <v>5.7018442088769522E-2</v>
      </c>
      <c r="Z529" s="50">
        <f t="shared" si="471"/>
        <v>4.9896672365740725E-2</v>
      </c>
      <c r="AA529" s="50">
        <f t="shared" si="471"/>
        <v>4.1622868086918119E-2</v>
      </c>
      <c r="AB529" s="50">
        <f t="shared" si="471"/>
        <v>3.5357844821693719E-2</v>
      </c>
      <c r="AC529" s="8">
        <f t="shared" ref="AC529:AC531" si="472">+SUM(E529:AB529)*D529</f>
        <v>4.9999999999999964</v>
      </c>
    </row>
    <row r="530" spans="2:29">
      <c r="B530" s="16"/>
      <c r="C530" s="8" t="s">
        <v>47</v>
      </c>
      <c r="D530" s="8">
        <v>5</v>
      </c>
      <c r="E530" s="50">
        <f t="shared" ref="E530:AB530" si="473">+E470</f>
        <v>3.3281514565353124E-2</v>
      </c>
      <c r="F530" s="50">
        <f t="shared" si="473"/>
        <v>3.1140043873712407E-2</v>
      </c>
      <c r="G530" s="50">
        <f t="shared" si="473"/>
        <v>2.984335106750436E-2</v>
      </c>
      <c r="H530" s="50">
        <f t="shared" si="473"/>
        <v>2.9286927979133532E-2</v>
      </c>
      <c r="I530" s="50">
        <f t="shared" si="473"/>
        <v>2.9138028999542646E-2</v>
      </c>
      <c r="J530" s="50">
        <f t="shared" si="473"/>
        <v>3.0942883559119717E-2</v>
      </c>
      <c r="K530" s="50">
        <f t="shared" si="473"/>
        <v>3.4432484834348992E-2</v>
      </c>
      <c r="L530" s="50">
        <f t="shared" si="473"/>
        <v>3.8305304424032266E-2</v>
      </c>
      <c r="M530" s="50">
        <f t="shared" si="473"/>
        <v>4.1103790742913066E-2</v>
      </c>
      <c r="N530" s="50">
        <f t="shared" si="473"/>
        <v>4.2608444243851212E-2</v>
      </c>
      <c r="O530" s="50">
        <f t="shared" si="473"/>
        <v>4.3914681848814308E-2</v>
      </c>
      <c r="P530" s="50">
        <f t="shared" si="473"/>
        <v>4.5729867165388009E-2</v>
      </c>
      <c r="Q530" s="50">
        <f t="shared" si="473"/>
        <v>4.5741487779353565E-2</v>
      </c>
      <c r="R530" s="50">
        <f t="shared" si="473"/>
        <v>4.4277060725657284E-2</v>
      </c>
      <c r="S530" s="50">
        <f t="shared" si="473"/>
        <v>4.3144199391556254E-2</v>
      </c>
      <c r="T530" s="50">
        <f t="shared" si="473"/>
        <v>4.3279567369281124E-2</v>
      </c>
      <c r="U530" s="50">
        <f t="shared" si="473"/>
        <v>4.4109954506885138E-2</v>
      </c>
      <c r="V530" s="50">
        <f t="shared" si="473"/>
        <v>4.6298728840315946E-2</v>
      </c>
      <c r="W530" s="50">
        <f t="shared" si="473"/>
        <v>5.6176649878816001E-2</v>
      </c>
      <c r="X530" s="50">
        <f t="shared" si="473"/>
        <v>6.2194705000087863E-2</v>
      </c>
      <c r="Y530" s="50">
        <f t="shared" si="473"/>
        <v>5.7928891294023718E-2</v>
      </c>
      <c r="Z530" s="50">
        <f t="shared" si="473"/>
        <v>5.019499221712586E-2</v>
      </c>
      <c r="AA530" s="50">
        <f t="shared" si="473"/>
        <v>4.1853093029906328E-2</v>
      </c>
      <c r="AB530" s="50">
        <f t="shared" si="473"/>
        <v>3.507334666327714E-2</v>
      </c>
      <c r="AC530" s="8">
        <f t="shared" si="472"/>
        <v>4.9999999999999991</v>
      </c>
    </row>
    <row r="531" spans="2:29">
      <c r="B531" s="16"/>
      <c r="C531" s="8" t="s">
        <v>48</v>
      </c>
      <c r="D531" s="8">
        <v>2</v>
      </c>
      <c r="E531" s="50">
        <f t="shared" ref="E531:AB531" si="474">+E471</f>
        <v>3.367503361886829E-2</v>
      </c>
      <c r="F531" s="50">
        <f t="shared" si="474"/>
        <v>3.1245692535415936E-2</v>
      </c>
      <c r="G531" s="50">
        <f t="shared" si="474"/>
        <v>2.9861746203171599E-2</v>
      </c>
      <c r="H531" s="50">
        <f t="shared" si="474"/>
        <v>2.9235019370742008E-2</v>
      </c>
      <c r="I531" s="50">
        <f t="shared" si="474"/>
        <v>3.0186379118294998E-2</v>
      </c>
      <c r="J531" s="50">
        <f t="shared" si="474"/>
        <v>3.3123682717801174E-2</v>
      </c>
      <c r="K531" s="50">
        <f t="shared" si="474"/>
        <v>3.5563630818173868E-2</v>
      </c>
      <c r="L531" s="50">
        <f t="shared" si="474"/>
        <v>3.7375437025807548E-2</v>
      </c>
      <c r="M531" s="50">
        <f t="shared" si="474"/>
        <v>3.9557895894381336E-2</v>
      </c>
      <c r="N531" s="50">
        <f t="shared" si="474"/>
        <v>4.1330002492198488E-2</v>
      </c>
      <c r="O531" s="50">
        <f t="shared" si="474"/>
        <v>4.3273465010057272E-2</v>
      </c>
      <c r="P531" s="50">
        <f t="shared" si="474"/>
        <v>4.5278417057592932E-2</v>
      </c>
      <c r="Q531" s="50">
        <f t="shared" si="474"/>
        <v>4.5765189585786785E-2</v>
      </c>
      <c r="R531" s="50">
        <f t="shared" si="474"/>
        <v>4.421428774797561E-2</v>
      </c>
      <c r="S531" s="50">
        <f t="shared" si="474"/>
        <v>4.3245429527174986E-2</v>
      </c>
      <c r="T531" s="50">
        <f t="shared" si="474"/>
        <v>4.3554999005074702E-2</v>
      </c>
      <c r="U531" s="50">
        <f t="shared" si="474"/>
        <v>4.4435510161992771E-2</v>
      </c>
      <c r="V531" s="50">
        <f t="shared" si="474"/>
        <v>4.717219114348542E-2</v>
      </c>
      <c r="W531" s="50">
        <f t="shared" si="474"/>
        <v>5.6899741232983039E-2</v>
      </c>
      <c r="X531" s="50">
        <f t="shared" si="474"/>
        <v>6.1986738769463187E-2</v>
      </c>
      <c r="Y531" s="50">
        <f t="shared" si="474"/>
        <v>5.7208700429979269E-2</v>
      </c>
      <c r="Z531" s="50">
        <f t="shared" si="474"/>
        <v>4.9339560702577757E-2</v>
      </c>
      <c r="AA531" s="50">
        <f t="shared" si="474"/>
        <v>4.1368944501432053E-2</v>
      </c>
      <c r="AB531" s="50">
        <f t="shared" si="474"/>
        <v>3.5102305329568817E-2</v>
      </c>
      <c r="AC531" s="8">
        <f t="shared" si="472"/>
        <v>1.9999999999999996</v>
      </c>
    </row>
    <row r="532" spans="2:29">
      <c r="B532" s="12"/>
      <c r="C532" s="12" t="s">
        <v>15</v>
      </c>
      <c r="D532" s="12">
        <f>+SUM(D528:D531)</f>
        <v>31</v>
      </c>
      <c r="E532" s="19">
        <f>+SUMPRODUCT(E528:E531,$D528:$D531)</f>
        <v>0.9449188914619574</v>
      </c>
      <c r="F532" s="19">
        <f>+SUMPRODUCT(F528:F531,$D528:$D531)</f>
        <v>0.88735310645610399</v>
      </c>
      <c r="G532" s="19">
        <f t="shared" ref="G532:AB532" si="475">+SUMPRODUCT(G528:G531,$D528:$D531)</f>
        <v>0.85627760717527046</v>
      </c>
      <c r="H532" s="19">
        <f t="shared" si="475"/>
        <v>0.85154648734506155</v>
      </c>
      <c r="I532" s="19">
        <f t="shared" si="475"/>
        <v>0.90355533045794334</v>
      </c>
      <c r="J532" s="19">
        <f t="shared" si="475"/>
        <v>1.0384381444073791</v>
      </c>
      <c r="K532" s="19">
        <f t="shared" si="475"/>
        <v>1.1625470021530409</v>
      </c>
      <c r="L532" s="19">
        <f t="shared" si="475"/>
        <v>1.2133351015554845</v>
      </c>
      <c r="M532" s="19">
        <f t="shared" si="475"/>
        <v>1.2705740106149779</v>
      </c>
      <c r="N532" s="19">
        <f t="shared" si="475"/>
        <v>1.3120862908142286</v>
      </c>
      <c r="O532" s="19">
        <f t="shared" si="475"/>
        <v>1.3698459310519939</v>
      </c>
      <c r="P532" s="19">
        <f t="shared" si="475"/>
        <v>1.4328477913560536</v>
      </c>
      <c r="Q532" s="19">
        <f t="shared" si="475"/>
        <v>1.4153603765289562</v>
      </c>
      <c r="R532" s="19">
        <f t="shared" si="475"/>
        <v>1.3672869947208659</v>
      </c>
      <c r="S532" s="19">
        <f t="shared" si="475"/>
        <v>1.3605288696739395</v>
      </c>
      <c r="T532" s="19">
        <f t="shared" si="475"/>
        <v>1.3835308598898344</v>
      </c>
      <c r="U532" s="19">
        <f t="shared" si="475"/>
        <v>1.4129061682558126</v>
      </c>
      <c r="V532" s="19">
        <f t="shared" si="475"/>
        <v>1.4772016007307855</v>
      </c>
      <c r="W532" s="19">
        <f t="shared" si="475"/>
        <v>1.7605764852345165</v>
      </c>
      <c r="X532" s="19">
        <f t="shared" si="475"/>
        <v>1.9140341088608113</v>
      </c>
      <c r="Y532" s="19">
        <f t="shared" si="475"/>
        <v>1.7765598166012422</v>
      </c>
      <c r="Z532" s="19">
        <f t="shared" si="475"/>
        <v>1.5515932976497535</v>
      </c>
      <c r="AA532" s="19">
        <f t="shared" si="475"/>
        <v>1.2793169707996008</v>
      </c>
      <c r="AB532" s="19">
        <f t="shared" si="475"/>
        <v>1.0577787562043857</v>
      </c>
      <c r="AC532" s="12">
        <f>+SUM(E532:AB532)</f>
        <v>31</v>
      </c>
    </row>
    <row r="533" spans="2:29">
      <c r="B533" s="15">
        <f>+EDATE(B528,1)</f>
        <v>48092</v>
      </c>
      <c r="C533" s="8" t="s">
        <v>45</v>
      </c>
      <c r="D533" s="8">
        <v>22</v>
      </c>
      <c r="E533" s="50">
        <f t="shared" ref="E533:AB533" si="476">+E473</f>
        <v>2.9361257124838391E-2</v>
      </c>
      <c r="F533" s="50">
        <f t="shared" si="476"/>
        <v>2.7692710332229715E-2</v>
      </c>
      <c r="G533" s="50">
        <f t="shared" si="476"/>
        <v>2.6785161397696527E-2</v>
      </c>
      <c r="H533" s="50">
        <f t="shared" si="476"/>
        <v>2.6786989368939883E-2</v>
      </c>
      <c r="I533" s="50">
        <f t="shared" si="476"/>
        <v>2.9135775177511477E-2</v>
      </c>
      <c r="J533" s="50">
        <f t="shared" si="476"/>
        <v>3.4540443856715661E-2</v>
      </c>
      <c r="K533" s="50">
        <f t="shared" si="476"/>
        <v>3.8789035252325646E-2</v>
      </c>
      <c r="L533" s="50">
        <f t="shared" si="476"/>
        <v>3.957865839345593E-2</v>
      </c>
      <c r="M533" s="50">
        <f t="shared" si="476"/>
        <v>4.0957538271781398E-2</v>
      </c>
      <c r="N533" s="50">
        <f t="shared" si="476"/>
        <v>4.2166920044863825E-2</v>
      </c>
      <c r="O533" s="50">
        <f t="shared" si="476"/>
        <v>4.4150374939633218E-2</v>
      </c>
      <c r="P533" s="50">
        <f t="shared" si="476"/>
        <v>4.6294816466469102E-2</v>
      </c>
      <c r="Q533" s="50">
        <f t="shared" si="476"/>
        <v>4.5431875959152102E-2</v>
      </c>
      <c r="R533" s="50">
        <f t="shared" si="476"/>
        <v>4.3879728503346101E-2</v>
      </c>
      <c r="S533" s="50">
        <f t="shared" si="476"/>
        <v>4.4118506624640258E-2</v>
      </c>
      <c r="T533" s="50">
        <f t="shared" si="476"/>
        <v>4.5188432655351718E-2</v>
      </c>
      <c r="U533" s="50">
        <f t="shared" si="476"/>
        <v>4.624302558461979E-2</v>
      </c>
      <c r="V533" s="50">
        <f t="shared" si="476"/>
        <v>4.8247238962955179E-2</v>
      </c>
      <c r="W533" s="50">
        <f t="shared" si="476"/>
        <v>5.7096885328092907E-2</v>
      </c>
      <c r="X533" s="50">
        <f t="shared" si="476"/>
        <v>6.1739938045350239E-2</v>
      </c>
      <c r="Y533" s="50">
        <f t="shared" si="476"/>
        <v>5.7231881517227232E-2</v>
      </c>
      <c r="Z533" s="50">
        <f t="shared" si="476"/>
        <v>5.0129255438435008E-2</v>
      </c>
      <c r="AA533" s="50">
        <f t="shared" si="476"/>
        <v>4.1010488221716553E-2</v>
      </c>
      <c r="AB533" s="50">
        <f t="shared" si="476"/>
        <v>3.34430625326523E-2</v>
      </c>
      <c r="AC533" s="8">
        <f>+SUM(E533:AB533)*D533</f>
        <v>22.000000000000004</v>
      </c>
    </row>
    <row r="534" spans="2:29">
      <c r="B534" s="16"/>
      <c r="C534" s="8" t="s">
        <v>46</v>
      </c>
      <c r="D534" s="8">
        <v>4</v>
      </c>
      <c r="E534" s="50">
        <f t="shared" ref="E534:AB534" si="477">+E474</f>
        <v>3.0659473205105158E-2</v>
      </c>
      <c r="F534" s="50">
        <f t="shared" si="477"/>
        <v>2.8600001140869122E-2</v>
      </c>
      <c r="G534" s="50">
        <f t="shared" si="477"/>
        <v>2.7683858575034276E-2</v>
      </c>
      <c r="H534" s="50">
        <f t="shared" si="477"/>
        <v>2.7537802139610414E-2</v>
      </c>
      <c r="I534" s="50">
        <f t="shared" si="477"/>
        <v>2.8782539770184416E-2</v>
      </c>
      <c r="J534" s="50">
        <f t="shared" si="477"/>
        <v>3.2241585579716119E-2</v>
      </c>
      <c r="K534" s="50">
        <f t="shared" si="477"/>
        <v>3.645312931015221E-2</v>
      </c>
      <c r="L534" s="50">
        <f t="shared" si="477"/>
        <v>3.9012639181609042E-2</v>
      </c>
      <c r="M534" s="50">
        <f t="shared" si="477"/>
        <v>4.1549207589560662E-2</v>
      </c>
      <c r="N534" s="50">
        <f t="shared" si="477"/>
        <v>4.3042516751632572E-2</v>
      </c>
      <c r="O534" s="50">
        <f t="shared" si="477"/>
        <v>4.4973693586955334E-2</v>
      </c>
      <c r="P534" s="50">
        <f t="shared" si="477"/>
        <v>4.6808021710202923E-2</v>
      </c>
      <c r="Q534" s="50">
        <f t="shared" si="477"/>
        <v>4.6383383047344962E-2</v>
      </c>
      <c r="R534" s="50">
        <f t="shared" si="477"/>
        <v>4.4751654806610461E-2</v>
      </c>
      <c r="S534" s="50">
        <f t="shared" si="477"/>
        <v>4.4013077558728637E-2</v>
      </c>
      <c r="T534" s="50">
        <f t="shared" si="477"/>
        <v>4.428856091631931E-2</v>
      </c>
      <c r="U534" s="50">
        <f t="shared" si="477"/>
        <v>4.49735778579251E-2</v>
      </c>
      <c r="V534" s="50">
        <f t="shared" si="477"/>
        <v>4.6933206789217301E-2</v>
      </c>
      <c r="W534" s="50">
        <f t="shared" si="477"/>
        <v>5.6210586428141023E-2</v>
      </c>
      <c r="X534" s="50">
        <f t="shared" si="477"/>
        <v>6.1205656691958259E-2</v>
      </c>
      <c r="Y534" s="50">
        <f t="shared" si="477"/>
        <v>5.7018442088769522E-2</v>
      </c>
      <c r="Z534" s="50">
        <f t="shared" si="477"/>
        <v>4.9896672365740725E-2</v>
      </c>
      <c r="AA534" s="50">
        <f t="shared" si="477"/>
        <v>4.1622868086918119E-2</v>
      </c>
      <c r="AB534" s="50">
        <f t="shared" si="477"/>
        <v>3.5357844821693719E-2</v>
      </c>
      <c r="AC534" s="8">
        <f t="shared" ref="AC534:AC536" si="478">+SUM(E534:AB534)*D534</f>
        <v>3.9999999999999969</v>
      </c>
    </row>
    <row r="535" spans="2:29">
      <c r="B535" s="16"/>
      <c r="C535" s="8" t="s">
        <v>47</v>
      </c>
      <c r="D535" s="8">
        <v>4</v>
      </c>
      <c r="E535" s="50">
        <f t="shared" ref="E535:AB535" si="479">+E475</f>
        <v>3.3281514565353124E-2</v>
      </c>
      <c r="F535" s="50">
        <f t="shared" si="479"/>
        <v>3.1140043873712407E-2</v>
      </c>
      <c r="G535" s="50">
        <f t="shared" si="479"/>
        <v>2.984335106750436E-2</v>
      </c>
      <c r="H535" s="50">
        <f t="shared" si="479"/>
        <v>2.9286927979133532E-2</v>
      </c>
      <c r="I535" s="50">
        <f t="shared" si="479"/>
        <v>2.9138028999542646E-2</v>
      </c>
      <c r="J535" s="50">
        <f t="shared" si="479"/>
        <v>3.0942883559119717E-2</v>
      </c>
      <c r="K535" s="50">
        <f t="shared" si="479"/>
        <v>3.4432484834348992E-2</v>
      </c>
      <c r="L535" s="50">
        <f t="shared" si="479"/>
        <v>3.8305304424032266E-2</v>
      </c>
      <c r="M535" s="50">
        <f t="shared" si="479"/>
        <v>4.1103790742913066E-2</v>
      </c>
      <c r="N535" s="50">
        <f t="shared" si="479"/>
        <v>4.2608444243851212E-2</v>
      </c>
      <c r="O535" s="50">
        <f t="shared" si="479"/>
        <v>4.3914681848814308E-2</v>
      </c>
      <c r="P535" s="50">
        <f t="shared" si="479"/>
        <v>4.5729867165388009E-2</v>
      </c>
      <c r="Q535" s="50">
        <f t="shared" si="479"/>
        <v>4.5741487779353565E-2</v>
      </c>
      <c r="R535" s="50">
        <f t="shared" si="479"/>
        <v>4.4277060725657284E-2</v>
      </c>
      <c r="S535" s="50">
        <f t="shared" si="479"/>
        <v>4.3144199391556254E-2</v>
      </c>
      <c r="T535" s="50">
        <f t="shared" si="479"/>
        <v>4.3279567369281124E-2</v>
      </c>
      <c r="U535" s="50">
        <f t="shared" si="479"/>
        <v>4.4109954506885138E-2</v>
      </c>
      <c r="V535" s="50">
        <f t="shared" si="479"/>
        <v>4.6298728840315946E-2</v>
      </c>
      <c r="W535" s="50">
        <f t="shared" si="479"/>
        <v>5.6176649878816001E-2</v>
      </c>
      <c r="X535" s="50">
        <f t="shared" si="479"/>
        <v>6.2194705000087863E-2</v>
      </c>
      <c r="Y535" s="50">
        <f t="shared" si="479"/>
        <v>5.7928891294023718E-2</v>
      </c>
      <c r="Z535" s="50">
        <f t="shared" si="479"/>
        <v>5.019499221712586E-2</v>
      </c>
      <c r="AA535" s="50">
        <f t="shared" si="479"/>
        <v>4.1853093029906328E-2</v>
      </c>
      <c r="AB535" s="50">
        <f t="shared" si="479"/>
        <v>3.507334666327714E-2</v>
      </c>
      <c r="AC535" s="8">
        <f t="shared" si="478"/>
        <v>3.9999999999999991</v>
      </c>
    </row>
    <row r="536" spans="2:29">
      <c r="B536" s="16"/>
      <c r="C536" s="8" t="s">
        <v>48</v>
      </c>
      <c r="D536" s="8">
        <v>0</v>
      </c>
      <c r="E536" s="50">
        <f t="shared" ref="E536:AB536" si="480">+E476</f>
        <v>3.367503361886829E-2</v>
      </c>
      <c r="F536" s="50">
        <f t="shared" si="480"/>
        <v>3.1245692535415936E-2</v>
      </c>
      <c r="G536" s="50">
        <f t="shared" si="480"/>
        <v>2.9861746203171599E-2</v>
      </c>
      <c r="H536" s="50">
        <f t="shared" si="480"/>
        <v>2.9235019370742008E-2</v>
      </c>
      <c r="I536" s="50">
        <f t="shared" si="480"/>
        <v>3.0186379118294998E-2</v>
      </c>
      <c r="J536" s="50">
        <f t="shared" si="480"/>
        <v>3.3123682717801174E-2</v>
      </c>
      <c r="K536" s="50">
        <f t="shared" si="480"/>
        <v>3.5563630818173868E-2</v>
      </c>
      <c r="L536" s="50">
        <f t="shared" si="480"/>
        <v>3.7375437025807548E-2</v>
      </c>
      <c r="M536" s="50">
        <f t="shared" si="480"/>
        <v>3.9557895894381336E-2</v>
      </c>
      <c r="N536" s="50">
        <f t="shared" si="480"/>
        <v>4.1330002492198488E-2</v>
      </c>
      <c r="O536" s="50">
        <f t="shared" si="480"/>
        <v>4.3273465010057272E-2</v>
      </c>
      <c r="P536" s="50">
        <f t="shared" si="480"/>
        <v>4.5278417057592932E-2</v>
      </c>
      <c r="Q536" s="50">
        <f t="shared" si="480"/>
        <v>4.5765189585786785E-2</v>
      </c>
      <c r="R536" s="50">
        <f t="shared" si="480"/>
        <v>4.421428774797561E-2</v>
      </c>
      <c r="S536" s="50">
        <f t="shared" si="480"/>
        <v>4.3245429527174986E-2</v>
      </c>
      <c r="T536" s="50">
        <f t="shared" si="480"/>
        <v>4.3554999005074702E-2</v>
      </c>
      <c r="U536" s="50">
        <f t="shared" si="480"/>
        <v>4.4435510161992771E-2</v>
      </c>
      <c r="V536" s="50">
        <f t="shared" si="480"/>
        <v>4.717219114348542E-2</v>
      </c>
      <c r="W536" s="50">
        <f t="shared" si="480"/>
        <v>5.6899741232983039E-2</v>
      </c>
      <c r="X536" s="50">
        <f t="shared" si="480"/>
        <v>6.1986738769463187E-2</v>
      </c>
      <c r="Y536" s="50">
        <f t="shared" si="480"/>
        <v>5.7208700429979269E-2</v>
      </c>
      <c r="Z536" s="50">
        <f t="shared" si="480"/>
        <v>4.9339560702577757E-2</v>
      </c>
      <c r="AA536" s="50">
        <f t="shared" si="480"/>
        <v>4.1368944501432053E-2</v>
      </c>
      <c r="AB536" s="50">
        <f t="shared" si="480"/>
        <v>3.5102305329568817E-2</v>
      </c>
      <c r="AC536" s="8">
        <f t="shared" si="478"/>
        <v>0</v>
      </c>
    </row>
    <row r="537" spans="2:29">
      <c r="B537" s="12"/>
      <c r="C537" s="12" t="s">
        <v>15</v>
      </c>
      <c r="D537" s="12">
        <f>+SUM(D533:D536)</f>
        <v>30</v>
      </c>
      <c r="E537" s="19">
        <f>+SUMPRODUCT(E533:E536,$D533:$D536)</f>
        <v>0.90171160782827764</v>
      </c>
      <c r="F537" s="19">
        <f>+SUMPRODUCT(F533:F536,$D533:$D536)</f>
        <v>0.84819980736737988</v>
      </c>
      <c r="G537" s="19">
        <f t="shared" ref="G537:AB537" si="481">+SUMPRODUCT(G533:G536,$D533:$D536)</f>
        <v>0.81938238931947815</v>
      </c>
      <c r="H537" s="19">
        <f t="shared" si="481"/>
        <v>0.8166126865916532</v>
      </c>
      <c r="I537" s="19">
        <f t="shared" si="481"/>
        <v>0.87266932898416072</v>
      </c>
      <c r="J537" s="19">
        <f t="shared" si="481"/>
        <v>1.0126276414030879</v>
      </c>
      <c r="K537" s="19">
        <f t="shared" si="481"/>
        <v>1.1369012321291692</v>
      </c>
      <c r="L537" s="19">
        <f t="shared" si="481"/>
        <v>1.1800022590785955</v>
      </c>
      <c r="M537" s="19">
        <f t="shared" si="481"/>
        <v>1.2316778353090858</v>
      </c>
      <c r="N537" s="19">
        <f t="shared" si="481"/>
        <v>1.2702760849689394</v>
      </c>
      <c r="O537" s="19">
        <f t="shared" si="481"/>
        <v>1.3268617504150093</v>
      </c>
      <c r="P537" s="19">
        <f t="shared" si="481"/>
        <v>1.3886375177646839</v>
      </c>
      <c r="Q537" s="19">
        <f t="shared" si="481"/>
        <v>1.3680007544081403</v>
      </c>
      <c r="R537" s="19">
        <f t="shared" si="481"/>
        <v>1.3214688892026851</v>
      </c>
      <c r="S537" s="19">
        <f t="shared" si="481"/>
        <v>1.3192362535432252</v>
      </c>
      <c r="T537" s="19">
        <f t="shared" si="481"/>
        <v>1.3444180315601395</v>
      </c>
      <c r="U537" s="19">
        <f t="shared" si="481"/>
        <v>1.3736806923208764</v>
      </c>
      <c r="V537" s="19">
        <f t="shared" si="481"/>
        <v>1.434366999703147</v>
      </c>
      <c r="W537" s="19">
        <f t="shared" si="481"/>
        <v>1.7056804224458719</v>
      </c>
      <c r="X537" s="19">
        <f t="shared" si="481"/>
        <v>1.8518800837658898</v>
      </c>
      <c r="Y537" s="19">
        <f t="shared" si="481"/>
        <v>1.7188907269101723</v>
      </c>
      <c r="Z537" s="19">
        <f t="shared" si="481"/>
        <v>1.5032102779770367</v>
      </c>
      <c r="AA537" s="19">
        <f t="shared" si="481"/>
        <v>1.2361345853450618</v>
      </c>
      <c r="AB537" s="19">
        <f t="shared" si="481"/>
        <v>1.017472141658234</v>
      </c>
      <c r="AC537" s="12">
        <f>+SUM(E537:AB537)</f>
        <v>29.999999999999996</v>
      </c>
    </row>
    <row r="538" spans="2:29">
      <c r="B538" s="15">
        <f>+EDATE(B533,1)</f>
        <v>48122</v>
      </c>
      <c r="C538" s="8" t="s">
        <v>45</v>
      </c>
      <c r="D538" s="8">
        <v>22</v>
      </c>
      <c r="E538" s="50">
        <f t="shared" ref="E538:AB538" si="482">+E478</f>
        <v>2.9361257124838391E-2</v>
      </c>
      <c r="F538" s="50">
        <f t="shared" si="482"/>
        <v>2.7692710332229715E-2</v>
      </c>
      <c r="G538" s="50">
        <f t="shared" si="482"/>
        <v>2.6785161397696527E-2</v>
      </c>
      <c r="H538" s="50">
        <f t="shared" si="482"/>
        <v>2.6786989368939883E-2</v>
      </c>
      <c r="I538" s="50">
        <f t="shared" si="482"/>
        <v>2.9135775177511477E-2</v>
      </c>
      <c r="J538" s="50">
        <f t="shared" si="482"/>
        <v>3.4540443856715661E-2</v>
      </c>
      <c r="K538" s="50">
        <f t="shared" si="482"/>
        <v>3.8789035252325646E-2</v>
      </c>
      <c r="L538" s="50">
        <f t="shared" si="482"/>
        <v>3.957865839345593E-2</v>
      </c>
      <c r="M538" s="50">
        <f t="shared" si="482"/>
        <v>4.0957538271781398E-2</v>
      </c>
      <c r="N538" s="50">
        <f t="shared" si="482"/>
        <v>4.2166920044863825E-2</v>
      </c>
      <c r="O538" s="50">
        <f t="shared" si="482"/>
        <v>4.4150374939633218E-2</v>
      </c>
      <c r="P538" s="50">
        <f t="shared" si="482"/>
        <v>4.6294816466469102E-2</v>
      </c>
      <c r="Q538" s="50">
        <f t="shared" si="482"/>
        <v>4.5431875959152102E-2</v>
      </c>
      <c r="R538" s="50">
        <f t="shared" si="482"/>
        <v>4.3879728503346101E-2</v>
      </c>
      <c r="S538" s="50">
        <f t="shared" si="482"/>
        <v>4.4118506624640258E-2</v>
      </c>
      <c r="T538" s="50">
        <f t="shared" si="482"/>
        <v>4.5188432655351718E-2</v>
      </c>
      <c r="U538" s="50">
        <f t="shared" si="482"/>
        <v>4.624302558461979E-2</v>
      </c>
      <c r="V538" s="50">
        <f t="shared" si="482"/>
        <v>4.8247238962955179E-2</v>
      </c>
      <c r="W538" s="50">
        <f t="shared" si="482"/>
        <v>5.7096885328092907E-2</v>
      </c>
      <c r="X538" s="50">
        <f t="shared" si="482"/>
        <v>6.1739938045350239E-2</v>
      </c>
      <c r="Y538" s="50">
        <f t="shared" si="482"/>
        <v>5.7231881517227232E-2</v>
      </c>
      <c r="Z538" s="50">
        <f t="shared" si="482"/>
        <v>5.0129255438435008E-2</v>
      </c>
      <c r="AA538" s="50">
        <f t="shared" si="482"/>
        <v>4.1010488221716553E-2</v>
      </c>
      <c r="AB538" s="50">
        <f t="shared" si="482"/>
        <v>3.34430625326523E-2</v>
      </c>
      <c r="AC538" s="8">
        <f>+SUM(E538:AB538)*D538</f>
        <v>22.000000000000004</v>
      </c>
    </row>
    <row r="539" spans="2:29">
      <c r="B539" s="16"/>
      <c r="C539" s="8" t="s">
        <v>46</v>
      </c>
      <c r="D539" s="8">
        <v>4</v>
      </c>
      <c r="E539" s="50">
        <f t="shared" ref="E539:AB539" si="483">+E479</f>
        <v>3.0659473205105158E-2</v>
      </c>
      <c r="F539" s="50">
        <f t="shared" si="483"/>
        <v>2.8600001140869122E-2</v>
      </c>
      <c r="G539" s="50">
        <f t="shared" si="483"/>
        <v>2.7683858575034276E-2</v>
      </c>
      <c r="H539" s="50">
        <f t="shared" si="483"/>
        <v>2.7537802139610414E-2</v>
      </c>
      <c r="I539" s="50">
        <f t="shared" si="483"/>
        <v>2.8782539770184416E-2</v>
      </c>
      <c r="J539" s="50">
        <f t="shared" si="483"/>
        <v>3.2241585579716119E-2</v>
      </c>
      <c r="K539" s="50">
        <f t="shared" si="483"/>
        <v>3.645312931015221E-2</v>
      </c>
      <c r="L539" s="50">
        <f t="shared" si="483"/>
        <v>3.9012639181609042E-2</v>
      </c>
      <c r="M539" s="50">
        <f t="shared" si="483"/>
        <v>4.1549207589560662E-2</v>
      </c>
      <c r="N539" s="50">
        <f t="shared" si="483"/>
        <v>4.3042516751632572E-2</v>
      </c>
      <c r="O539" s="50">
        <f t="shared" si="483"/>
        <v>4.4973693586955334E-2</v>
      </c>
      <c r="P539" s="50">
        <f t="shared" si="483"/>
        <v>4.6808021710202923E-2</v>
      </c>
      <c r="Q539" s="50">
        <f t="shared" si="483"/>
        <v>4.6383383047344962E-2</v>
      </c>
      <c r="R539" s="50">
        <f t="shared" si="483"/>
        <v>4.4751654806610461E-2</v>
      </c>
      <c r="S539" s="50">
        <f t="shared" si="483"/>
        <v>4.4013077558728637E-2</v>
      </c>
      <c r="T539" s="50">
        <f t="shared" si="483"/>
        <v>4.428856091631931E-2</v>
      </c>
      <c r="U539" s="50">
        <f t="shared" si="483"/>
        <v>4.49735778579251E-2</v>
      </c>
      <c r="V539" s="50">
        <f t="shared" si="483"/>
        <v>4.6933206789217301E-2</v>
      </c>
      <c r="W539" s="50">
        <f t="shared" si="483"/>
        <v>5.6210586428141023E-2</v>
      </c>
      <c r="X539" s="50">
        <f t="shared" si="483"/>
        <v>6.1205656691958259E-2</v>
      </c>
      <c r="Y539" s="50">
        <f t="shared" si="483"/>
        <v>5.7018442088769522E-2</v>
      </c>
      <c r="Z539" s="50">
        <f t="shared" si="483"/>
        <v>4.9896672365740725E-2</v>
      </c>
      <c r="AA539" s="50">
        <f t="shared" si="483"/>
        <v>4.1622868086918119E-2</v>
      </c>
      <c r="AB539" s="50">
        <f t="shared" si="483"/>
        <v>3.5357844821693719E-2</v>
      </c>
      <c r="AC539" s="8">
        <f t="shared" ref="AC539:AC541" si="484">+SUM(E539:AB539)*D539</f>
        <v>3.9999999999999969</v>
      </c>
    </row>
    <row r="540" spans="2:29">
      <c r="B540" s="16"/>
      <c r="C540" s="8" t="s">
        <v>47</v>
      </c>
      <c r="D540" s="8">
        <v>4</v>
      </c>
      <c r="E540" s="50">
        <f t="shared" ref="E540:AB540" si="485">+E480</f>
        <v>3.3281514565353124E-2</v>
      </c>
      <c r="F540" s="50">
        <f t="shared" si="485"/>
        <v>3.1140043873712407E-2</v>
      </c>
      <c r="G540" s="50">
        <f t="shared" si="485"/>
        <v>2.984335106750436E-2</v>
      </c>
      <c r="H540" s="50">
        <f t="shared" si="485"/>
        <v>2.9286927979133532E-2</v>
      </c>
      <c r="I540" s="50">
        <f t="shared" si="485"/>
        <v>2.9138028999542646E-2</v>
      </c>
      <c r="J540" s="50">
        <f t="shared" si="485"/>
        <v>3.0942883559119717E-2</v>
      </c>
      <c r="K540" s="50">
        <f t="shared" si="485"/>
        <v>3.4432484834348992E-2</v>
      </c>
      <c r="L540" s="50">
        <f t="shared" si="485"/>
        <v>3.8305304424032266E-2</v>
      </c>
      <c r="M540" s="50">
        <f t="shared" si="485"/>
        <v>4.1103790742913066E-2</v>
      </c>
      <c r="N540" s="50">
        <f t="shared" si="485"/>
        <v>4.2608444243851212E-2</v>
      </c>
      <c r="O540" s="50">
        <f t="shared" si="485"/>
        <v>4.3914681848814308E-2</v>
      </c>
      <c r="P540" s="50">
        <f t="shared" si="485"/>
        <v>4.5729867165388009E-2</v>
      </c>
      <c r="Q540" s="50">
        <f t="shared" si="485"/>
        <v>4.5741487779353565E-2</v>
      </c>
      <c r="R540" s="50">
        <f t="shared" si="485"/>
        <v>4.4277060725657284E-2</v>
      </c>
      <c r="S540" s="50">
        <f t="shared" si="485"/>
        <v>4.3144199391556254E-2</v>
      </c>
      <c r="T540" s="50">
        <f t="shared" si="485"/>
        <v>4.3279567369281124E-2</v>
      </c>
      <c r="U540" s="50">
        <f t="shared" si="485"/>
        <v>4.4109954506885138E-2</v>
      </c>
      <c r="V540" s="50">
        <f t="shared" si="485"/>
        <v>4.6298728840315946E-2</v>
      </c>
      <c r="W540" s="50">
        <f t="shared" si="485"/>
        <v>5.6176649878816001E-2</v>
      </c>
      <c r="X540" s="50">
        <f t="shared" si="485"/>
        <v>6.2194705000087863E-2</v>
      </c>
      <c r="Y540" s="50">
        <f t="shared" si="485"/>
        <v>5.7928891294023718E-2</v>
      </c>
      <c r="Z540" s="50">
        <f t="shared" si="485"/>
        <v>5.019499221712586E-2</v>
      </c>
      <c r="AA540" s="50">
        <f t="shared" si="485"/>
        <v>4.1853093029906328E-2</v>
      </c>
      <c r="AB540" s="50">
        <f t="shared" si="485"/>
        <v>3.507334666327714E-2</v>
      </c>
      <c r="AC540" s="8">
        <f t="shared" si="484"/>
        <v>3.9999999999999991</v>
      </c>
    </row>
    <row r="541" spans="2:29">
      <c r="B541" s="16"/>
      <c r="C541" s="8" t="s">
        <v>48</v>
      </c>
      <c r="D541" s="8">
        <v>1</v>
      </c>
      <c r="E541" s="50">
        <f t="shared" ref="E541:AB541" si="486">+E481</f>
        <v>3.367503361886829E-2</v>
      </c>
      <c r="F541" s="50">
        <f t="shared" si="486"/>
        <v>3.1245692535415936E-2</v>
      </c>
      <c r="G541" s="50">
        <f t="shared" si="486"/>
        <v>2.9861746203171599E-2</v>
      </c>
      <c r="H541" s="50">
        <f t="shared" si="486"/>
        <v>2.9235019370742008E-2</v>
      </c>
      <c r="I541" s="50">
        <f t="shared" si="486"/>
        <v>3.0186379118294998E-2</v>
      </c>
      <c r="J541" s="50">
        <f t="shared" si="486"/>
        <v>3.3123682717801174E-2</v>
      </c>
      <c r="K541" s="50">
        <f t="shared" si="486"/>
        <v>3.5563630818173868E-2</v>
      </c>
      <c r="L541" s="50">
        <f t="shared" si="486"/>
        <v>3.7375437025807548E-2</v>
      </c>
      <c r="M541" s="50">
        <f t="shared" si="486"/>
        <v>3.9557895894381336E-2</v>
      </c>
      <c r="N541" s="50">
        <f t="shared" si="486"/>
        <v>4.1330002492198488E-2</v>
      </c>
      <c r="O541" s="50">
        <f t="shared" si="486"/>
        <v>4.3273465010057272E-2</v>
      </c>
      <c r="P541" s="50">
        <f t="shared" si="486"/>
        <v>4.5278417057592932E-2</v>
      </c>
      <c r="Q541" s="50">
        <f t="shared" si="486"/>
        <v>4.5765189585786785E-2</v>
      </c>
      <c r="R541" s="50">
        <f t="shared" si="486"/>
        <v>4.421428774797561E-2</v>
      </c>
      <c r="S541" s="50">
        <f t="shared" si="486"/>
        <v>4.3245429527174986E-2</v>
      </c>
      <c r="T541" s="50">
        <f t="shared" si="486"/>
        <v>4.3554999005074702E-2</v>
      </c>
      <c r="U541" s="50">
        <f t="shared" si="486"/>
        <v>4.4435510161992771E-2</v>
      </c>
      <c r="V541" s="50">
        <f t="shared" si="486"/>
        <v>4.717219114348542E-2</v>
      </c>
      <c r="W541" s="50">
        <f t="shared" si="486"/>
        <v>5.6899741232983039E-2</v>
      </c>
      <c r="X541" s="50">
        <f t="shared" si="486"/>
        <v>6.1986738769463187E-2</v>
      </c>
      <c r="Y541" s="50">
        <f t="shared" si="486"/>
        <v>5.7208700429979269E-2</v>
      </c>
      <c r="Z541" s="50">
        <f t="shared" si="486"/>
        <v>4.9339560702577757E-2</v>
      </c>
      <c r="AA541" s="50">
        <f t="shared" si="486"/>
        <v>4.1368944501432053E-2</v>
      </c>
      <c r="AB541" s="50">
        <f t="shared" si="486"/>
        <v>3.5102305329568817E-2</v>
      </c>
      <c r="AC541" s="8">
        <f t="shared" si="484"/>
        <v>0.99999999999999978</v>
      </c>
    </row>
    <row r="542" spans="2:29">
      <c r="B542" s="12"/>
      <c r="C542" s="12" t="s">
        <v>15</v>
      </c>
      <c r="D542" s="12">
        <f>+SUM(D538:D541)</f>
        <v>31</v>
      </c>
      <c r="E542" s="19">
        <f>+SUMPRODUCT(E538:E541,$D538:$D541)</f>
        <v>0.93538664144714589</v>
      </c>
      <c r="F542" s="19">
        <f>+SUMPRODUCT(F538:F541,$D538:$D541)</f>
        <v>0.87944549990279586</v>
      </c>
      <c r="G542" s="19">
        <f t="shared" ref="G542:AB542" si="487">+SUMPRODUCT(G538:G541,$D538:$D541)</f>
        <v>0.84924413552264977</v>
      </c>
      <c r="H542" s="19">
        <f t="shared" si="487"/>
        <v>0.84584770596239522</v>
      </c>
      <c r="I542" s="19">
        <f t="shared" si="487"/>
        <v>0.90285570810245575</v>
      </c>
      <c r="J542" s="19">
        <f t="shared" si="487"/>
        <v>1.0457513241208891</v>
      </c>
      <c r="K542" s="19">
        <f t="shared" si="487"/>
        <v>1.1724648629473431</v>
      </c>
      <c r="L542" s="19">
        <f t="shared" si="487"/>
        <v>1.2173776961044029</v>
      </c>
      <c r="M542" s="19">
        <f t="shared" si="487"/>
        <v>1.2712357312034672</v>
      </c>
      <c r="N542" s="19">
        <f t="shared" si="487"/>
        <v>1.3116060874611379</v>
      </c>
      <c r="O542" s="19">
        <f t="shared" si="487"/>
        <v>1.3701352154250666</v>
      </c>
      <c r="P542" s="19">
        <f t="shared" si="487"/>
        <v>1.4339159348222767</v>
      </c>
      <c r="Q542" s="19">
        <f t="shared" si="487"/>
        <v>1.413765943993927</v>
      </c>
      <c r="R542" s="19">
        <f t="shared" si="487"/>
        <v>1.3656831769506608</v>
      </c>
      <c r="S542" s="19">
        <f t="shared" si="487"/>
        <v>1.3624816830704001</v>
      </c>
      <c r="T542" s="19">
        <f t="shared" si="487"/>
        <v>1.3879730305652143</v>
      </c>
      <c r="U542" s="19">
        <f t="shared" si="487"/>
        <v>1.4181162024828693</v>
      </c>
      <c r="V542" s="19">
        <f t="shared" si="487"/>
        <v>1.4815391908466324</v>
      </c>
      <c r="W542" s="19">
        <f t="shared" si="487"/>
        <v>1.7625801636788549</v>
      </c>
      <c r="X542" s="19">
        <f t="shared" si="487"/>
        <v>1.913866822535353</v>
      </c>
      <c r="Y542" s="19">
        <f t="shared" si="487"/>
        <v>1.7760994273401516</v>
      </c>
      <c r="Z542" s="19">
        <f t="shared" si="487"/>
        <v>1.5525498386796144</v>
      </c>
      <c r="AA542" s="19">
        <f t="shared" si="487"/>
        <v>1.2775035298464938</v>
      </c>
      <c r="AB542" s="19">
        <f t="shared" si="487"/>
        <v>1.0525744469878027</v>
      </c>
      <c r="AC542" s="12">
        <f>+SUM(E542:AB542)</f>
        <v>31.000000000000004</v>
      </c>
    </row>
    <row r="543" spans="2:29">
      <c r="B543" s="15">
        <f>+EDATE(B538,1)</f>
        <v>48153</v>
      </c>
      <c r="C543" s="8" t="s">
        <v>45</v>
      </c>
      <c r="D543" s="8">
        <v>18</v>
      </c>
      <c r="E543" s="50">
        <f t="shared" ref="E543:AB543" si="488">+E483</f>
        <v>2.9361257124838391E-2</v>
      </c>
      <c r="F543" s="50">
        <f t="shared" si="488"/>
        <v>2.7692710332229715E-2</v>
      </c>
      <c r="G543" s="50">
        <f t="shared" si="488"/>
        <v>2.6785161397696527E-2</v>
      </c>
      <c r="H543" s="50">
        <f t="shared" si="488"/>
        <v>2.6786989368939883E-2</v>
      </c>
      <c r="I543" s="50">
        <f t="shared" si="488"/>
        <v>2.9135775177511477E-2</v>
      </c>
      <c r="J543" s="50">
        <f t="shared" si="488"/>
        <v>3.4540443856715661E-2</v>
      </c>
      <c r="K543" s="50">
        <f t="shared" si="488"/>
        <v>3.8789035252325646E-2</v>
      </c>
      <c r="L543" s="50">
        <f t="shared" si="488"/>
        <v>3.957865839345593E-2</v>
      </c>
      <c r="M543" s="50">
        <f t="shared" si="488"/>
        <v>4.0957538271781398E-2</v>
      </c>
      <c r="N543" s="50">
        <f t="shared" si="488"/>
        <v>4.2166920044863825E-2</v>
      </c>
      <c r="O543" s="50">
        <f t="shared" si="488"/>
        <v>4.4150374939633218E-2</v>
      </c>
      <c r="P543" s="50">
        <f t="shared" si="488"/>
        <v>4.6294816466469102E-2</v>
      </c>
      <c r="Q543" s="50">
        <f t="shared" si="488"/>
        <v>4.5431875959152102E-2</v>
      </c>
      <c r="R543" s="50">
        <f t="shared" si="488"/>
        <v>4.3879728503346101E-2</v>
      </c>
      <c r="S543" s="50">
        <f t="shared" si="488"/>
        <v>4.4118506624640258E-2</v>
      </c>
      <c r="T543" s="50">
        <f t="shared" si="488"/>
        <v>4.5188432655351718E-2</v>
      </c>
      <c r="U543" s="50">
        <f t="shared" si="488"/>
        <v>4.624302558461979E-2</v>
      </c>
      <c r="V543" s="50">
        <f t="shared" si="488"/>
        <v>4.8247238962955179E-2</v>
      </c>
      <c r="W543" s="50">
        <f t="shared" si="488"/>
        <v>5.7096885328092907E-2</v>
      </c>
      <c r="X543" s="50">
        <f t="shared" si="488"/>
        <v>6.1739938045350239E-2</v>
      </c>
      <c r="Y543" s="50">
        <f t="shared" si="488"/>
        <v>5.7231881517227232E-2</v>
      </c>
      <c r="Z543" s="50">
        <f t="shared" si="488"/>
        <v>5.0129255438435008E-2</v>
      </c>
      <c r="AA543" s="50">
        <f t="shared" si="488"/>
        <v>4.1010488221716553E-2</v>
      </c>
      <c r="AB543" s="50">
        <f t="shared" si="488"/>
        <v>3.34430625326523E-2</v>
      </c>
      <c r="AC543" s="8">
        <f>+SUM(E543:AB543)*D543</f>
        <v>18.000000000000004</v>
      </c>
    </row>
    <row r="544" spans="2:29">
      <c r="B544" s="16"/>
      <c r="C544" s="8" t="s">
        <v>46</v>
      </c>
      <c r="D544" s="8">
        <v>5</v>
      </c>
      <c r="E544" s="50">
        <f t="shared" ref="E544:AB544" si="489">+E484</f>
        <v>3.0659473205105158E-2</v>
      </c>
      <c r="F544" s="50">
        <f t="shared" si="489"/>
        <v>2.8600001140869122E-2</v>
      </c>
      <c r="G544" s="50">
        <f t="shared" si="489"/>
        <v>2.7683858575034276E-2</v>
      </c>
      <c r="H544" s="50">
        <f t="shared" si="489"/>
        <v>2.7537802139610414E-2</v>
      </c>
      <c r="I544" s="50">
        <f t="shared" si="489"/>
        <v>2.8782539770184416E-2</v>
      </c>
      <c r="J544" s="50">
        <f t="shared" si="489"/>
        <v>3.2241585579716119E-2</v>
      </c>
      <c r="K544" s="50">
        <f t="shared" si="489"/>
        <v>3.645312931015221E-2</v>
      </c>
      <c r="L544" s="50">
        <f t="shared" si="489"/>
        <v>3.9012639181609042E-2</v>
      </c>
      <c r="M544" s="50">
        <f t="shared" si="489"/>
        <v>4.1549207589560662E-2</v>
      </c>
      <c r="N544" s="50">
        <f t="shared" si="489"/>
        <v>4.3042516751632572E-2</v>
      </c>
      <c r="O544" s="50">
        <f t="shared" si="489"/>
        <v>4.4973693586955334E-2</v>
      </c>
      <c r="P544" s="50">
        <f t="shared" si="489"/>
        <v>4.6808021710202923E-2</v>
      </c>
      <c r="Q544" s="50">
        <f t="shared" si="489"/>
        <v>4.6383383047344962E-2</v>
      </c>
      <c r="R544" s="50">
        <f t="shared" si="489"/>
        <v>4.4751654806610461E-2</v>
      </c>
      <c r="S544" s="50">
        <f t="shared" si="489"/>
        <v>4.4013077558728637E-2</v>
      </c>
      <c r="T544" s="50">
        <f t="shared" si="489"/>
        <v>4.428856091631931E-2</v>
      </c>
      <c r="U544" s="50">
        <f t="shared" si="489"/>
        <v>4.49735778579251E-2</v>
      </c>
      <c r="V544" s="50">
        <f t="shared" si="489"/>
        <v>4.6933206789217301E-2</v>
      </c>
      <c r="W544" s="50">
        <f t="shared" si="489"/>
        <v>5.6210586428141023E-2</v>
      </c>
      <c r="X544" s="50">
        <f t="shared" si="489"/>
        <v>6.1205656691958259E-2</v>
      </c>
      <c r="Y544" s="50">
        <f t="shared" si="489"/>
        <v>5.7018442088769522E-2</v>
      </c>
      <c r="Z544" s="50">
        <f t="shared" si="489"/>
        <v>4.9896672365740725E-2</v>
      </c>
      <c r="AA544" s="50">
        <f t="shared" si="489"/>
        <v>4.1622868086918119E-2</v>
      </c>
      <c r="AB544" s="50">
        <f t="shared" si="489"/>
        <v>3.5357844821693719E-2</v>
      </c>
      <c r="AC544" s="8">
        <f t="shared" ref="AC544:AC546" si="490">+SUM(E544:AB544)*D544</f>
        <v>4.9999999999999964</v>
      </c>
    </row>
    <row r="545" spans="2:29">
      <c r="B545" s="16"/>
      <c r="C545" s="8" t="s">
        <v>47</v>
      </c>
      <c r="D545" s="8">
        <v>5</v>
      </c>
      <c r="E545" s="50">
        <f t="shared" ref="E545:AB545" si="491">+E485</f>
        <v>3.3281514565353124E-2</v>
      </c>
      <c r="F545" s="50">
        <f t="shared" si="491"/>
        <v>3.1140043873712407E-2</v>
      </c>
      <c r="G545" s="50">
        <f t="shared" si="491"/>
        <v>2.984335106750436E-2</v>
      </c>
      <c r="H545" s="50">
        <f t="shared" si="491"/>
        <v>2.9286927979133532E-2</v>
      </c>
      <c r="I545" s="50">
        <f t="shared" si="491"/>
        <v>2.9138028999542646E-2</v>
      </c>
      <c r="J545" s="50">
        <f t="shared" si="491"/>
        <v>3.0942883559119717E-2</v>
      </c>
      <c r="K545" s="50">
        <f t="shared" si="491"/>
        <v>3.4432484834348992E-2</v>
      </c>
      <c r="L545" s="50">
        <f t="shared" si="491"/>
        <v>3.8305304424032266E-2</v>
      </c>
      <c r="M545" s="50">
        <f t="shared" si="491"/>
        <v>4.1103790742913066E-2</v>
      </c>
      <c r="N545" s="50">
        <f t="shared" si="491"/>
        <v>4.2608444243851212E-2</v>
      </c>
      <c r="O545" s="50">
        <f t="shared" si="491"/>
        <v>4.3914681848814308E-2</v>
      </c>
      <c r="P545" s="50">
        <f t="shared" si="491"/>
        <v>4.5729867165388009E-2</v>
      </c>
      <c r="Q545" s="50">
        <f t="shared" si="491"/>
        <v>4.5741487779353565E-2</v>
      </c>
      <c r="R545" s="50">
        <f t="shared" si="491"/>
        <v>4.4277060725657284E-2</v>
      </c>
      <c r="S545" s="50">
        <f t="shared" si="491"/>
        <v>4.3144199391556254E-2</v>
      </c>
      <c r="T545" s="50">
        <f t="shared" si="491"/>
        <v>4.3279567369281124E-2</v>
      </c>
      <c r="U545" s="50">
        <f t="shared" si="491"/>
        <v>4.4109954506885138E-2</v>
      </c>
      <c r="V545" s="50">
        <f t="shared" si="491"/>
        <v>4.6298728840315946E-2</v>
      </c>
      <c r="W545" s="50">
        <f t="shared" si="491"/>
        <v>5.6176649878816001E-2</v>
      </c>
      <c r="X545" s="50">
        <f t="shared" si="491"/>
        <v>6.2194705000087863E-2</v>
      </c>
      <c r="Y545" s="50">
        <f t="shared" si="491"/>
        <v>5.7928891294023718E-2</v>
      </c>
      <c r="Z545" s="50">
        <f t="shared" si="491"/>
        <v>5.019499221712586E-2</v>
      </c>
      <c r="AA545" s="50">
        <f t="shared" si="491"/>
        <v>4.1853093029906328E-2</v>
      </c>
      <c r="AB545" s="50">
        <f t="shared" si="491"/>
        <v>3.507334666327714E-2</v>
      </c>
      <c r="AC545" s="8">
        <f t="shared" si="490"/>
        <v>4.9999999999999991</v>
      </c>
    </row>
    <row r="546" spans="2:29">
      <c r="B546" s="16"/>
      <c r="C546" s="8" t="s">
        <v>48</v>
      </c>
      <c r="D546" s="8">
        <v>2</v>
      </c>
      <c r="E546" s="50">
        <f t="shared" ref="E546:AB546" si="492">+E486</f>
        <v>3.367503361886829E-2</v>
      </c>
      <c r="F546" s="50">
        <f t="shared" si="492"/>
        <v>3.1245692535415936E-2</v>
      </c>
      <c r="G546" s="50">
        <f t="shared" si="492"/>
        <v>2.9861746203171599E-2</v>
      </c>
      <c r="H546" s="50">
        <f t="shared" si="492"/>
        <v>2.9235019370742008E-2</v>
      </c>
      <c r="I546" s="50">
        <f t="shared" si="492"/>
        <v>3.0186379118294998E-2</v>
      </c>
      <c r="J546" s="50">
        <f t="shared" si="492"/>
        <v>3.3123682717801174E-2</v>
      </c>
      <c r="K546" s="50">
        <f t="shared" si="492"/>
        <v>3.5563630818173868E-2</v>
      </c>
      <c r="L546" s="50">
        <f t="shared" si="492"/>
        <v>3.7375437025807548E-2</v>
      </c>
      <c r="M546" s="50">
        <f t="shared" si="492"/>
        <v>3.9557895894381336E-2</v>
      </c>
      <c r="N546" s="50">
        <f t="shared" si="492"/>
        <v>4.1330002492198488E-2</v>
      </c>
      <c r="O546" s="50">
        <f t="shared" si="492"/>
        <v>4.3273465010057272E-2</v>
      </c>
      <c r="P546" s="50">
        <f t="shared" si="492"/>
        <v>4.5278417057592932E-2</v>
      </c>
      <c r="Q546" s="50">
        <f t="shared" si="492"/>
        <v>4.5765189585786785E-2</v>
      </c>
      <c r="R546" s="50">
        <f t="shared" si="492"/>
        <v>4.421428774797561E-2</v>
      </c>
      <c r="S546" s="50">
        <f t="shared" si="492"/>
        <v>4.3245429527174986E-2</v>
      </c>
      <c r="T546" s="50">
        <f t="shared" si="492"/>
        <v>4.3554999005074702E-2</v>
      </c>
      <c r="U546" s="50">
        <f t="shared" si="492"/>
        <v>4.4435510161992771E-2</v>
      </c>
      <c r="V546" s="50">
        <f t="shared" si="492"/>
        <v>4.717219114348542E-2</v>
      </c>
      <c r="W546" s="50">
        <f t="shared" si="492"/>
        <v>5.6899741232983039E-2</v>
      </c>
      <c r="X546" s="50">
        <f t="shared" si="492"/>
        <v>6.1986738769463187E-2</v>
      </c>
      <c r="Y546" s="50">
        <f t="shared" si="492"/>
        <v>5.7208700429979269E-2</v>
      </c>
      <c r="Z546" s="50">
        <f t="shared" si="492"/>
        <v>4.9339560702577757E-2</v>
      </c>
      <c r="AA546" s="50">
        <f t="shared" si="492"/>
        <v>4.1368944501432053E-2</v>
      </c>
      <c r="AB546" s="50">
        <f t="shared" si="492"/>
        <v>3.5102305329568817E-2</v>
      </c>
      <c r="AC546" s="8">
        <f t="shared" si="490"/>
        <v>1.9999999999999996</v>
      </c>
    </row>
    <row r="547" spans="2:29">
      <c r="B547" s="12"/>
      <c r="C547" s="12" t="s">
        <v>15</v>
      </c>
      <c r="D547" s="12">
        <f>+SUM(D543:D546)</f>
        <v>30</v>
      </c>
      <c r="E547" s="19">
        <f>+SUMPRODUCT(E543:E546,$D543:$D546)</f>
        <v>0.91555763433711912</v>
      </c>
      <c r="F547" s="19">
        <f>+SUMPRODUCT(F543:F546,$D543:$D546)</f>
        <v>0.85966039612387446</v>
      </c>
      <c r="G547" s="19">
        <f t="shared" ref="G547:AB547" si="493">+SUMPRODUCT(G543:G546,$D543:$D546)</f>
        <v>0.82949244577757386</v>
      </c>
      <c r="H547" s="19">
        <f t="shared" si="493"/>
        <v>0.82475949797612158</v>
      </c>
      <c r="I547" s="19">
        <f t="shared" si="493"/>
        <v>0.87441955528043191</v>
      </c>
      <c r="J547" s="19">
        <f t="shared" si="493"/>
        <v>1.0038977005506635</v>
      </c>
      <c r="K547" s="19">
        <f t="shared" si="493"/>
        <v>1.1237579669007152</v>
      </c>
      <c r="L547" s="19">
        <f t="shared" si="493"/>
        <v>1.1737564431620284</v>
      </c>
      <c r="M547" s="19">
        <f t="shared" si="493"/>
        <v>1.2296164723431964</v>
      </c>
      <c r="N547" s="19">
        <f t="shared" si="493"/>
        <v>1.2699193707693648</v>
      </c>
      <c r="O547" s="19">
        <f t="shared" si="493"/>
        <v>1.3256955561123607</v>
      </c>
      <c r="P547" s="19">
        <f t="shared" si="493"/>
        <v>1.3865529748895844</v>
      </c>
      <c r="Q547" s="19">
        <f t="shared" si="493"/>
        <v>1.3699285005698041</v>
      </c>
      <c r="R547" s="19">
        <f t="shared" si="493"/>
        <v>1.3234072662175198</v>
      </c>
      <c r="S547" s="19">
        <f t="shared" si="493"/>
        <v>1.3164103630492991</v>
      </c>
      <c r="T547" s="19">
        <f t="shared" si="493"/>
        <v>1.3383424272344824</v>
      </c>
      <c r="U547" s="19">
        <f t="shared" si="493"/>
        <v>1.3666631426711928</v>
      </c>
      <c r="V547" s="19">
        <f t="shared" si="493"/>
        <v>1.4289543617678304</v>
      </c>
      <c r="W547" s="19">
        <f t="shared" si="493"/>
        <v>1.7034795999064236</v>
      </c>
      <c r="X547" s="19">
        <f t="shared" si="493"/>
        <v>1.8522941708154612</v>
      </c>
      <c r="Y547" s="19">
        <f t="shared" si="493"/>
        <v>1.7193279350840149</v>
      </c>
      <c r="Z547" s="19">
        <f t="shared" si="493"/>
        <v>1.5014640422113186</v>
      </c>
      <c r="AA547" s="19">
        <f t="shared" si="493"/>
        <v>1.2383064825778842</v>
      </c>
      <c r="AB547" s="19">
        <f t="shared" si="493"/>
        <v>1.0243356936717334</v>
      </c>
      <c r="AC547" s="12">
        <f>+SUM(E547:AB547)</f>
        <v>29.999999999999996</v>
      </c>
    </row>
    <row r="548" spans="2:29">
      <c r="B548" s="15">
        <f>+EDATE(B543,1)</f>
        <v>48183</v>
      </c>
      <c r="C548" s="8" t="s">
        <v>45</v>
      </c>
      <c r="D548" s="8">
        <v>21</v>
      </c>
      <c r="E548" s="50">
        <f t="shared" ref="E548:AB548" si="494">+E488</f>
        <v>2.9361257124838391E-2</v>
      </c>
      <c r="F548" s="50">
        <f t="shared" si="494"/>
        <v>2.7692710332229715E-2</v>
      </c>
      <c r="G548" s="50">
        <f t="shared" si="494"/>
        <v>2.6785161397696527E-2</v>
      </c>
      <c r="H548" s="50">
        <f t="shared" si="494"/>
        <v>2.6786989368939883E-2</v>
      </c>
      <c r="I548" s="50">
        <f t="shared" si="494"/>
        <v>2.9135775177511477E-2</v>
      </c>
      <c r="J548" s="50">
        <f t="shared" si="494"/>
        <v>3.4540443856715661E-2</v>
      </c>
      <c r="K548" s="50">
        <f t="shared" si="494"/>
        <v>3.8789035252325646E-2</v>
      </c>
      <c r="L548" s="50">
        <f t="shared" si="494"/>
        <v>3.957865839345593E-2</v>
      </c>
      <c r="M548" s="50">
        <f t="shared" si="494"/>
        <v>4.0957538271781398E-2</v>
      </c>
      <c r="N548" s="50">
        <f t="shared" si="494"/>
        <v>4.2166920044863825E-2</v>
      </c>
      <c r="O548" s="50">
        <f t="shared" si="494"/>
        <v>4.4150374939633218E-2</v>
      </c>
      <c r="P548" s="50">
        <f t="shared" si="494"/>
        <v>4.6294816466469102E-2</v>
      </c>
      <c r="Q548" s="50">
        <f t="shared" si="494"/>
        <v>4.5431875959152102E-2</v>
      </c>
      <c r="R548" s="50">
        <f t="shared" si="494"/>
        <v>4.3879728503346101E-2</v>
      </c>
      <c r="S548" s="50">
        <f t="shared" si="494"/>
        <v>4.4118506624640258E-2</v>
      </c>
      <c r="T548" s="50">
        <f t="shared" si="494"/>
        <v>4.5188432655351718E-2</v>
      </c>
      <c r="U548" s="50">
        <f t="shared" si="494"/>
        <v>4.624302558461979E-2</v>
      </c>
      <c r="V548" s="50">
        <f t="shared" si="494"/>
        <v>4.8247238962955179E-2</v>
      </c>
      <c r="W548" s="50">
        <f t="shared" si="494"/>
        <v>5.7096885328092907E-2</v>
      </c>
      <c r="X548" s="50">
        <f t="shared" si="494"/>
        <v>6.1739938045350239E-2</v>
      </c>
      <c r="Y548" s="50">
        <f t="shared" si="494"/>
        <v>5.7231881517227232E-2</v>
      </c>
      <c r="Z548" s="50">
        <f t="shared" si="494"/>
        <v>5.0129255438435008E-2</v>
      </c>
      <c r="AA548" s="50">
        <f t="shared" si="494"/>
        <v>4.1010488221716553E-2</v>
      </c>
      <c r="AB548" s="50">
        <f t="shared" si="494"/>
        <v>3.34430625326523E-2</v>
      </c>
      <c r="AC548" s="8">
        <f>+SUM(E548:AB548)*D548</f>
        <v>21.000000000000004</v>
      </c>
    </row>
    <row r="549" spans="2:29">
      <c r="B549" s="16"/>
      <c r="C549" s="8" t="s">
        <v>46</v>
      </c>
      <c r="D549" s="8">
        <v>4</v>
      </c>
      <c r="E549" s="50">
        <f t="shared" ref="E549:AB549" si="495">+E489</f>
        <v>3.0659473205105158E-2</v>
      </c>
      <c r="F549" s="50">
        <f t="shared" si="495"/>
        <v>2.8600001140869122E-2</v>
      </c>
      <c r="G549" s="50">
        <f t="shared" si="495"/>
        <v>2.7683858575034276E-2</v>
      </c>
      <c r="H549" s="50">
        <f t="shared" si="495"/>
        <v>2.7537802139610414E-2</v>
      </c>
      <c r="I549" s="50">
        <f t="shared" si="495"/>
        <v>2.8782539770184416E-2</v>
      </c>
      <c r="J549" s="50">
        <f t="shared" si="495"/>
        <v>3.2241585579716119E-2</v>
      </c>
      <c r="K549" s="50">
        <f t="shared" si="495"/>
        <v>3.645312931015221E-2</v>
      </c>
      <c r="L549" s="50">
        <f t="shared" si="495"/>
        <v>3.9012639181609042E-2</v>
      </c>
      <c r="M549" s="50">
        <f t="shared" si="495"/>
        <v>4.1549207589560662E-2</v>
      </c>
      <c r="N549" s="50">
        <f t="shared" si="495"/>
        <v>4.3042516751632572E-2</v>
      </c>
      <c r="O549" s="50">
        <f t="shared" si="495"/>
        <v>4.4973693586955334E-2</v>
      </c>
      <c r="P549" s="50">
        <f t="shared" si="495"/>
        <v>4.6808021710202923E-2</v>
      </c>
      <c r="Q549" s="50">
        <f t="shared" si="495"/>
        <v>4.6383383047344962E-2</v>
      </c>
      <c r="R549" s="50">
        <f t="shared" si="495"/>
        <v>4.4751654806610461E-2</v>
      </c>
      <c r="S549" s="50">
        <f t="shared" si="495"/>
        <v>4.4013077558728637E-2</v>
      </c>
      <c r="T549" s="50">
        <f t="shared" si="495"/>
        <v>4.428856091631931E-2</v>
      </c>
      <c r="U549" s="50">
        <f t="shared" si="495"/>
        <v>4.49735778579251E-2</v>
      </c>
      <c r="V549" s="50">
        <f t="shared" si="495"/>
        <v>4.6933206789217301E-2</v>
      </c>
      <c r="W549" s="50">
        <f t="shared" si="495"/>
        <v>5.6210586428141023E-2</v>
      </c>
      <c r="X549" s="50">
        <f t="shared" si="495"/>
        <v>6.1205656691958259E-2</v>
      </c>
      <c r="Y549" s="50">
        <f t="shared" si="495"/>
        <v>5.7018442088769522E-2</v>
      </c>
      <c r="Z549" s="50">
        <f t="shared" si="495"/>
        <v>4.9896672365740725E-2</v>
      </c>
      <c r="AA549" s="50">
        <f t="shared" si="495"/>
        <v>4.1622868086918119E-2</v>
      </c>
      <c r="AB549" s="50">
        <f t="shared" si="495"/>
        <v>3.5357844821693719E-2</v>
      </c>
      <c r="AC549" s="8">
        <f t="shared" ref="AC549:AC551" si="496">+SUM(E549:AB549)*D549</f>
        <v>3.9999999999999969</v>
      </c>
    </row>
    <row r="550" spans="2:29">
      <c r="B550" s="16"/>
      <c r="C550" s="8" t="s">
        <v>47</v>
      </c>
      <c r="D550" s="8">
        <v>4</v>
      </c>
      <c r="E550" s="50">
        <f t="shared" ref="E550:AB550" si="497">+E490</f>
        <v>3.3281514565353124E-2</v>
      </c>
      <c r="F550" s="50">
        <f t="shared" si="497"/>
        <v>3.1140043873712407E-2</v>
      </c>
      <c r="G550" s="50">
        <f t="shared" si="497"/>
        <v>2.984335106750436E-2</v>
      </c>
      <c r="H550" s="50">
        <f t="shared" si="497"/>
        <v>2.9286927979133532E-2</v>
      </c>
      <c r="I550" s="50">
        <f t="shared" si="497"/>
        <v>2.9138028999542646E-2</v>
      </c>
      <c r="J550" s="50">
        <f t="shared" si="497"/>
        <v>3.0942883559119717E-2</v>
      </c>
      <c r="K550" s="50">
        <f t="shared" si="497"/>
        <v>3.4432484834348992E-2</v>
      </c>
      <c r="L550" s="50">
        <f t="shared" si="497"/>
        <v>3.8305304424032266E-2</v>
      </c>
      <c r="M550" s="50">
        <f t="shared" si="497"/>
        <v>4.1103790742913066E-2</v>
      </c>
      <c r="N550" s="50">
        <f t="shared" si="497"/>
        <v>4.2608444243851212E-2</v>
      </c>
      <c r="O550" s="50">
        <f t="shared" si="497"/>
        <v>4.3914681848814308E-2</v>
      </c>
      <c r="P550" s="50">
        <f t="shared" si="497"/>
        <v>4.5729867165388009E-2</v>
      </c>
      <c r="Q550" s="50">
        <f t="shared" si="497"/>
        <v>4.5741487779353565E-2</v>
      </c>
      <c r="R550" s="50">
        <f t="shared" si="497"/>
        <v>4.4277060725657284E-2</v>
      </c>
      <c r="S550" s="50">
        <f t="shared" si="497"/>
        <v>4.3144199391556254E-2</v>
      </c>
      <c r="T550" s="50">
        <f t="shared" si="497"/>
        <v>4.3279567369281124E-2</v>
      </c>
      <c r="U550" s="50">
        <f t="shared" si="497"/>
        <v>4.4109954506885138E-2</v>
      </c>
      <c r="V550" s="50">
        <f t="shared" si="497"/>
        <v>4.6298728840315946E-2</v>
      </c>
      <c r="W550" s="50">
        <f t="shared" si="497"/>
        <v>5.6176649878816001E-2</v>
      </c>
      <c r="X550" s="50">
        <f t="shared" si="497"/>
        <v>6.2194705000087863E-2</v>
      </c>
      <c r="Y550" s="50">
        <f t="shared" si="497"/>
        <v>5.7928891294023718E-2</v>
      </c>
      <c r="Z550" s="50">
        <f t="shared" si="497"/>
        <v>5.019499221712586E-2</v>
      </c>
      <c r="AA550" s="50">
        <f t="shared" si="497"/>
        <v>4.1853093029906328E-2</v>
      </c>
      <c r="AB550" s="50">
        <f t="shared" si="497"/>
        <v>3.507334666327714E-2</v>
      </c>
      <c r="AC550" s="8">
        <f t="shared" si="496"/>
        <v>3.9999999999999991</v>
      </c>
    </row>
    <row r="551" spans="2:29">
      <c r="B551" s="16"/>
      <c r="C551" s="8" t="s">
        <v>48</v>
      </c>
      <c r="D551" s="8">
        <v>2</v>
      </c>
      <c r="E551" s="50">
        <f t="shared" ref="E551:AB551" si="498">+E491</f>
        <v>3.367503361886829E-2</v>
      </c>
      <c r="F551" s="50">
        <f t="shared" si="498"/>
        <v>3.1245692535415936E-2</v>
      </c>
      <c r="G551" s="50">
        <f t="shared" si="498"/>
        <v>2.9861746203171599E-2</v>
      </c>
      <c r="H551" s="50">
        <f t="shared" si="498"/>
        <v>2.9235019370742008E-2</v>
      </c>
      <c r="I551" s="50">
        <f t="shared" si="498"/>
        <v>3.0186379118294998E-2</v>
      </c>
      <c r="J551" s="50">
        <f t="shared" si="498"/>
        <v>3.3123682717801174E-2</v>
      </c>
      <c r="K551" s="50">
        <f t="shared" si="498"/>
        <v>3.5563630818173868E-2</v>
      </c>
      <c r="L551" s="50">
        <f t="shared" si="498"/>
        <v>3.7375437025807548E-2</v>
      </c>
      <c r="M551" s="50">
        <f t="shared" si="498"/>
        <v>3.9557895894381336E-2</v>
      </c>
      <c r="N551" s="50">
        <f t="shared" si="498"/>
        <v>4.1330002492198488E-2</v>
      </c>
      <c r="O551" s="50">
        <f t="shared" si="498"/>
        <v>4.3273465010057272E-2</v>
      </c>
      <c r="P551" s="50">
        <f t="shared" si="498"/>
        <v>4.5278417057592932E-2</v>
      </c>
      <c r="Q551" s="50">
        <f t="shared" si="498"/>
        <v>4.5765189585786785E-2</v>
      </c>
      <c r="R551" s="50">
        <f t="shared" si="498"/>
        <v>4.421428774797561E-2</v>
      </c>
      <c r="S551" s="50">
        <f t="shared" si="498"/>
        <v>4.3245429527174986E-2</v>
      </c>
      <c r="T551" s="50">
        <f t="shared" si="498"/>
        <v>4.3554999005074702E-2</v>
      </c>
      <c r="U551" s="50">
        <f t="shared" si="498"/>
        <v>4.4435510161992771E-2</v>
      </c>
      <c r="V551" s="50">
        <f t="shared" si="498"/>
        <v>4.717219114348542E-2</v>
      </c>
      <c r="W551" s="50">
        <f t="shared" si="498"/>
        <v>5.6899741232983039E-2</v>
      </c>
      <c r="X551" s="50">
        <f t="shared" si="498"/>
        <v>6.1986738769463187E-2</v>
      </c>
      <c r="Y551" s="50">
        <f t="shared" si="498"/>
        <v>5.7208700429979269E-2</v>
      </c>
      <c r="Z551" s="50">
        <f t="shared" si="498"/>
        <v>4.9339560702577757E-2</v>
      </c>
      <c r="AA551" s="50">
        <f t="shared" si="498"/>
        <v>4.1368944501432053E-2</v>
      </c>
      <c r="AB551" s="50">
        <f t="shared" si="498"/>
        <v>3.5102305329568817E-2</v>
      </c>
      <c r="AC551" s="8">
        <f t="shared" si="496"/>
        <v>1.9999999999999996</v>
      </c>
    </row>
    <row r="552" spans="2:29">
      <c r="B552" s="12"/>
      <c r="C552" s="12" t="s">
        <v>15</v>
      </c>
      <c r="D552" s="12">
        <f>+SUM(D548:D551)</f>
        <v>31</v>
      </c>
      <c r="E552" s="19">
        <f>+SUMPRODUCT(E548:E551,$D548:$D551)</f>
        <v>0.93970041794117598</v>
      </c>
      <c r="F552" s="19">
        <f>+SUMPRODUCT(F548:F551,$D548:$D551)</f>
        <v>0.88299848210598197</v>
      </c>
      <c r="G552" s="19">
        <f t="shared" ref="G552:AB552" si="499">+SUMPRODUCT(G548:G551,$D548:$D551)</f>
        <v>0.85232072032812478</v>
      </c>
      <c r="H552" s="19">
        <f t="shared" si="499"/>
        <v>0.84829573596419738</v>
      </c>
      <c r="I552" s="19">
        <f t="shared" si="499"/>
        <v>0.90390631204323935</v>
      </c>
      <c r="J552" s="19">
        <f t="shared" si="499"/>
        <v>1.0443345629819747</v>
      </c>
      <c r="K552" s="19">
        <f t="shared" si="499"/>
        <v>1.1692394585131909</v>
      </c>
      <c r="L552" s="19">
        <f t="shared" si="499"/>
        <v>1.215174474736755</v>
      </c>
      <c r="M552" s="19">
        <f t="shared" si="499"/>
        <v>1.2698360888260669</v>
      </c>
      <c r="N552" s="19">
        <f t="shared" si="499"/>
        <v>1.3107691699084727</v>
      </c>
      <c r="O552" s="19">
        <f t="shared" si="499"/>
        <v>1.3692583054954905</v>
      </c>
      <c r="P552" s="19">
        <f t="shared" si="499"/>
        <v>1.4328995354134009</v>
      </c>
      <c r="Q552" s="19">
        <f t="shared" si="499"/>
        <v>1.4140992576205618</v>
      </c>
      <c r="R552" s="19">
        <f t="shared" si="499"/>
        <v>1.3660177361952903</v>
      </c>
      <c r="S552" s="19">
        <f t="shared" si="499"/>
        <v>1.3616086059729351</v>
      </c>
      <c r="T552" s="19">
        <f t="shared" si="499"/>
        <v>1.3863395969149375</v>
      </c>
      <c r="U552" s="19">
        <f t="shared" si="499"/>
        <v>1.4163086870602422</v>
      </c>
      <c r="V552" s="19">
        <f t="shared" si="499"/>
        <v>1.4804641430271626</v>
      </c>
      <c r="W552" s="19">
        <f t="shared" si="499"/>
        <v>1.7623830195837451</v>
      </c>
      <c r="X552" s="19">
        <f t="shared" si="499"/>
        <v>1.914113623259466</v>
      </c>
      <c r="Y552" s="19">
        <f t="shared" si="499"/>
        <v>1.7760762462529034</v>
      </c>
      <c r="Z552" s="19">
        <f t="shared" si="499"/>
        <v>1.5517601439437572</v>
      </c>
      <c r="AA552" s="19">
        <f t="shared" si="499"/>
        <v>1.2778619861262095</v>
      </c>
      <c r="AB552" s="19">
        <f t="shared" si="499"/>
        <v>1.0542336897847193</v>
      </c>
      <c r="AC552" s="12">
        <f>+SUM(E552:AB552)</f>
        <v>30.999999999999996</v>
      </c>
    </row>
    <row r="553" spans="2:29">
      <c r="B553" s="15">
        <f>+EDATE(B548,1)</f>
        <v>48214</v>
      </c>
      <c r="C553" s="8" t="s">
        <v>45</v>
      </c>
      <c r="D553" s="8">
        <v>20</v>
      </c>
      <c r="E553" s="50">
        <f t="shared" ref="E553:AB553" si="500">+E493</f>
        <v>2.9361257124838391E-2</v>
      </c>
      <c r="F553" s="50">
        <f t="shared" si="500"/>
        <v>2.7692710332229715E-2</v>
      </c>
      <c r="G553" s="50">
        <f t="shared" si="500"/>
        <v>2.6785161397696527E-2</v>
      </c>
      <c r="H553" s="50">
        <f t="shared" si="500"/>
        <v>2.6786989368939883E-2</v>
      </c>
      <c r="I553" s="50">
        <f t="shared" si="500"/>
        <v>2.9135775177511477E-2</v>
      </c>
      <c r="J553" s="50">
        <f t="shared" si="500"/>
        <v>3.4540443856715661E-2</v>
      </c>
      <c r="K553" s="50">
        <f t="shared" si="500"/>
        <v>3.8789035252325646E-2</v>
      </c>
      <c r="L553" s="50">
        <f t="shared" si="500"/>
        <v>3.957865839345593E-2</v>
      </c>
      <c r="M553" s="50">
        <f t="shared" si="500"/>
        <v>4.0957538271781398E-2</v>
      </c>
      <c r="N553" s="50">
        <f t="shared" si="500"/>
        <v>4.2166920044863825E-2</v>
      </c>
      <c r="O553" s="50">
        <f t="shared" si="500"/>
        <v>4.4150374939633218E-2</v>
      </c>
      <c r="P553" s="50">
        <f t="shared" si="500"/>
        <v>4.6294816466469102E-2</v>
      </c>
      <c r="Q553" s="50">
        <f t="shared" si="500"/>
        <v>4.5431875959152102E-2</v>
      </c>
      <c r="R553" s="50">
        <f t="shared" si="500"/>
        <v>4.3879728503346101E-2</v>
      </c>
      <c r="S553" s="50">
        <f t="shared" si="500"/>
        <v>4.4118506624640258E-2</v>
      </c>
      <c r="T553" s="50">
        <f t="shared" si="500"/>
        <v>4.5188432655351718E-2</v>
      </c>
      <c r="U553" s="50">
        <f t="shared" si="500"/>
        <v>4.624302558461979E-2</v>
      </c>
      <c r="V553" s="50">
        <f t="shared" si="500"/>
        <v>4.8247238962955179E-2</v>
      </c>
      <c r="W553" s="50">
        <f t="shared" si="500"/>
        <v>5.7096885328092907E-2</v>
      </c>
      <c r="X553" s="50">
        <f t="shared" si="500"/>
        <v>6.1739938045350239E-2</v>
      </c>
      <c r="Y553" s="50">
        <f t="shared" si="500"/>
        <v>5.7231881517227232E-2</v>
      </c>
      <c r="Z553" s="50">
        <f t="shared" si="500"/>
        <v>5.0129255438435008E-2</v>
      </c>
      <c r="AA553" s="50">
        <f t="shared" si="500"/>
        <v>4.1010488221716553E-2</v>
      </c>
      <c r="AB553" s="50">
        <f t="shared" si="500"/>
        <v>3.34430625326523E-2</v>
      </c>
      <c r="AC553" s="8">
        <f>+SUM(E553:AB553)*D553</f>
        <v>20.000000000000004</v>
      </c>
    </row>
    <row r="554" spans="2:29">
      <c r="B554" s="16"/>
      <c r="C554" s="8" t="s">
        <v>46</v>
      </c>
      <c r="D554" s="8">
        <v>5</v>
      </c>
      <c r="E554" s="50">
        <f t="shared" ref="E554:AB554" si="501">+E494</f>
        <v>3.0659473205105158E-2</v>
      </c>
      <c r="F554" s="50">
        <f t="shared" si="501"/>
        <v>2.8600001140869122E-2</v>
      </c>
      <c r="G554" s="50">
        <f t="shared" si="501"/>
        <v>2.7683858575034276E-2</v>
      </c>
      <c r="H554" s="50">
        <f t="shared" si="501"/>
        <v>2.7537802139610414E-2</v>
      </c>
      <c r="I554" s="50">
        <f t="shared" si="501"/>
        <v>2.8782539770184416E-2</v>
      </c>
      <c r="J554" s="50">
        <f t="shared" si="501"/>
        <v>3.2241585579716119E-2</v>
      </c>
      <c r="K554" s="50">
        <f t="shared" si="501"/>
        <v>3.645312931015221E-2</v>
      </c>
      <c r="L554" s="50">
        <f t="shared" si="501"/>
        <v>3.9012639181609042E-2</v>
      </c>
      <c r="M554" s="50">
        <f t="shared" si="501"/>
        <v>4.1549207589560662E-2</v>
      </c>
      <c r="N554" s="50">
        <f t="shared" si="501"/>
        <v>4.3042516751632572E-2</v>
      </c>
      <c r="O554" s="50">
        <f t="shared" si="501"/>
        <v>4.4973693586955334E-2</v>
      </c>
      <c r="P554" s="50">
        <f t="shared" si="501"/>
        <v>4.6808021710202923E-2</v>
      </c>
      <c r="Q554" s="50">
        <f t="shared" si="501"/>
        <v>4.6383383047344962E-2</v>
      </c>
      <c r="R554" s="50">
        <f t="shared" si="501"/>
        <v>4.4751654806610461E-2</v>
      </c>
      <c r="S554" s="50">
        <f t="shared" si="501"/>
        <v>4.4013077558728637E-2</v>
      </c>
      <c r="T554" s="50">
        <f t="shared" si="501"/>
        <v>4.428856091631931E-2</v>
      </c>
      <c r="U554" s="50">
        <f t="shared" si="501"/>
        <v>4.49735778579251E-2</v>
      </c>
      <c r="V554" s="50">
        <f t="shared" si="501"/>
        <v>4.6933206789217301E-2</v>
      </c>
      <c r="W554" s="50">
        <f t="shared" si="501"/>
        <v>5.6210586428141023E-2</v>
      </c>
      <c r="X554" s="50">
        <f t="shared" si="501"/>
        <v>6.1205656691958259E-2</v>
      </c>
      <c r="Y554" s="50">
        <f t="shared" si="501"/>
        <v>5.7018442088769522E-2</v>
      </c>
      <c r="Z554" s="50">
        <f t="shared" si="501"/>
        <v>4.9896672365740725E-2</v>
      </c>
      <c r="AA554" s="50">
        <f t="shared" si="501"/>
        <v>4.1622868086918119E-2</v>
      </c>
      <c r="AB554" s="50">
        <f t="shared" si="501"/>
        <v>3.5357844821693719E-2</v>
      </c>
      <c r="AC554" s="8">
        <f t="shared" ref="AC554:AC556" si="502">+SUM(E554:AB554)*D554</f>
        <v>4.9999999999999964</v>
      </c>
    </row>
    <row r="555" spans="2:29">
      <c r="B555" s="16"/>
      <c r="C555" s="8" t="s">
        <v>47</v>
      </c>
      <c r="D555" s="8">
        <v>4</v>
      </c>
      <c r="E555" s="50">
        <f t="shared" ref="E555:AB555" si="503">+E495</f>
        <v>3.3281514565353124E-2</v>
      </c>
      <c r="F555" s="50">
        <f t="shared" si="503"/>
        <v>3.1140043873712407E-2</v>
      </c>
      <c r="G555" s="50">
        <f t="shared" si="503"/>
        <v>2.984335106750436E-2</v>
      </c>
      <c r="H555" s="50">
        <f t="shared" si="503"/>
        <v>2.9286927979133532E-2</v>
      </c>
      <c r="I555" s="50">
        <f t="shared" si="503"/>
        <v>2.9138028999542646E-2</v>
      </c>
      <c r="J555" s="50">
        <f t="shared" si="503"/>
        <v>3.0942883559119717E-2</v>
      </c>
      <c r="K555" s="50">
        <f t="shared" si="503"/>
        <v>3.4432484834348992E-2</v>
      </c>
      <c r="L555" s="50">
        <f t="shared" si="503"/>
        <v>3.8305304424032266E-2</v>
      </c>
      <c r="M555" s="50">
        <f t="shared" si="503"/>
        <v>4.1103790742913066E-2</v>
      </c>
      <c r="N555" s="50">
        <f t="shared" si="503"/>
        <v>4.2608444243851212E-2</v>
      </c>
      <c r="O555" s="50">
        <f t="shared" si="503"/>
        <v>4.3914681848814308E-2</v>
      </c>
      <c r="P555" s="50">
        <f t="shared" si="503"/>
        <v>4.5729867165388009E-2</v>
      </c>
      <c r="Q555" s="50">
        <f t="shared" si="503"/>
        <v>4.5741487779353565E-2</v>
      </c>
      <c r="R555" s="50">
        <f t="shared" si="503"/>
        <v>4.4277060725657284E-2</v>
      </c>
      <c r="S555" s="50">
        <f t="shared" si="503"/>
        <v>4.3144199391556254E-2</v>
      </c>
      <c r="T555" s="50">
        <f t="shared" si="503"/>
        <v>4.3279567369281124E-2</v>
      </c>
      <c r="U555" s="50">
        <f t="shared" si="503"/>
        <v>4.4109954506885138E-2</v>
      </c>
      <c r="V555" s="50">
        <f t="shared" si="503"/>
        <v>4.6298728840315946E-2</v>
      </c>
      <c r="W555" s="50">
        <f t="shared" si="503"/>
        <v>5.6176649878816001E-2</v>
      </c>
      <c r="X555" s="50">
        <f t="shared" si="503"/>
        <v>6.2194705000087863E-2</v>
      </c>
      <c r="Y555" s="50">
        <f t="shared" si="503"/>
        <v>5.7928891294023718E-2</v>
      </c>
      <c r="Z555" s="50">
        <f t="shared" si="503"/>
        <v>5.019499221712586E-2</v>
      </c>
      <c r="AA555" s="50">
        <f t="shared" si="503"/>
        <v>4.1853093029906328E-2</v>
      </c>
      <c r="AB555" s="50">
        <f t="shared" si="503"/>
        <v>3.507334666327714E-2</v>
      </c>
      <c r="AC555" s="8">
        <f t="shared" si="502"/>
        <v>3.9999999999999991</v>
      </c>
    </row>
    <row r="556" spans="2:29">
      <c r="B556" s="16"/>
      <c r="C556" s="8" t="s">
        <v>48</v>
      </c>
      <c r="D556" s="8">
        <v>2</v>
      </c>
      <c r="E556" s="50">
        <f t="shared" ref="E556:AB556" si="504">+E496</f>
        <v>3.367503361886829E-2</v>
      </c>
      <c r="F556" s="50">
        <f t="shared" si="504"/>
        <v>3.1245692535415936E-2</v>
      </c>
      <c r="G556" s="50">
        <f t="shared" si="504"/>
        <v>2.9861746203171599E-2</v>
      </c>
      <c r="H556" s="50">
        <f t="shared" si="504"/>
        <v>2.9235019370742008E-2</v>
      </c>
      <c r="I556" s="50">
        <f t="shared" si="504"/>
        <v>3.0186379118294998E-2</v>
      </c>
      <c r="J556" s="50">
        <f t="shared" si="504"/>
        <v>3.3123682717801174E-2</v>
      </c>
      <c r="K556" s="50">
        <f t="shared" si="504"/>
        <v>3.5563630818173868E-2</v>
      </c>
      <c r="L556" s="50">
        <f t="shared" si="504"/>
        <v>3.7375437025807548E-2</v>
      </c>
      <c r="M556" s="50">
        <f t="shared" si="504"/>
        <v>3.9557895894381336E-2</v>
      </c>
      <c r="N556" s="50">
        <f t="shared" si="504"/>
        <v>4.1330002492198488E-2</v>
      </c>
      <c r="O556" s="50">
        <f t="shared" si="504"/>
        <v>4.3273465010057272E-2</v>
      </c>
      <c r="P556" s="50">
        <f t="shared" si="504"/>
        <v>4.5278417057592932E-2</v>
      </c>
      <c r="Q556" s="50">
        <f t="shared" si="504"/>
        <v>4.5765189585786785E-2</v>
      </c>
      <c r="R556" s="50">
        <f t="shared" si="504"/>
        <v>4.421428774797561E-2</v>
      </c>
      <c r="S556" s="50">
        <f t="shared" si="504"/>
        <v>4.3245429527174986E-2</v>
      </c>
      <c r="T556" s="50">
        <f t="shared" si="504"/>
        <v>4.3554999005074702E-2</v>
      </c>
      <c r="U556" s="50">
        <f t="shared" si="504"/>
        <v>4.4435510161992771E-2</v>
      </c>
      <c r="V556" s="50">
        <f t="shared" si="504"/>
        <v>4.717219114348542E-2</v>
      </c>
      <c r="W556" s="50">
        <f t="shared" si="504"/>
        <v>5.6899741232983039E-2</v>
      </c>
      <c r="X556" s="50">
        <f t="shared" si="504"/>
        <v>6.1986738769463187E-2</v>
      </c>
      <c r="Y556" s="50">
        <f t="shared" si="504"/>
        <v>5.7208700429979269E-2</v>
      </c>
      <c r="Z556" s="50">
        <f t="shared" si="504"/>
        <v>4.9339560702577757E-2</v>
      </c>
      <c r="AA556" s="50">
        <f t="shared" si="504"/>
        <v>4.1368944501432053E-2</v>
      </c>
      <c r="AB556" s="50">
        <f t="shared" si="504"/>
        <v>3.5102305329568817E-2</v>
      </c>
      <c r="AC556" s="8">
        <f t="shared" si="502"/>
        <v>1.9999999999999996</v>
      </c>
    </row>
    <row r="557" spans="2:29">
      <c r="B557" s="12"/>
      <c r="C557" s="12" t="s">
        <v>15</v>
      </c>
      <c r="D557" s="12">
        <f>+SUM(D553:D556)</f>
        <v>31</v>
      </c>
      <c r="E557" s="19">
        <f>+SUMPRODUCT(E553:E556,$D553:$D556)</f>
        <v>0.94099863402144279</v>
      </c>
      <c r="F557" s="19">
        <f>+SUMPRODUCT(F553:F556,$D553:$D556)</f>
        <v>0.88390577291462136</v>
      </c>
      <c r="G557" s="19">
        <f t="shared" ref="G557:AB557" si="505">+SUMPRODUCT(G553:G556,$D553:$D556)</f>
        <v>0.8532194175054626</v>
      </c>
      <c r="H557" s="19">
        <f t="shared" si="505"/>
        <v>0.84904654873486796</v>
      </c>
      <c r="I557" s="19">
        <f t="shared" si="505"/>
        <v>0.90355307663591211</v>
      </c>
      <c r="J557" s="19">
        <f t="shared" si="505"/>
        <v>1.0420357047049751</v>
      </c>
      <c r="K557" s="19">
        <f t="shared" si="505"/>
        <v>1.1669035525710176</v>
      </c>
      <c r="L557" s="19">
        <f t="shared" si="505"/>
        <v>1.2146084555249079</v>
      </c>
      <c r="M557" s="19">
        <f t="shared" si="505"/>
        <v>1.2704277581438459</v>
      </c>
      <c r="N557" s="19">
        <f t="shared" si="505"/>
        <v>1.3116447666152413</v>
      </c>
      <c r="O557" s="19">
        <f t="shared" si="505"/>
        <v>1.3700816241428129</v>
      </c>
      <c r="P557" s="19">
        <f t="shared" si="505"/>
        <v>1.4334127406571346</v>
      </c>
      <c r="Q557" s="19">
        <f t="shared" si="505"/>
        <v>1.4150507647087547</v>
      </c>
      <c r="R557" s="19">
        <f t="shared" si="505"/>
        <v>1.3668896624985547</v>
      </c>
      <c r="S557" s="19">
        <f t="shared" si="505"/>
        <v>1.3615031769070234</v>
      </c>
      <c r="T557" s="19">
        <f t="shared" si="505"/>
        <v>1.385439725175905</v>
      </c>
      <c r="U557" s="19">
        <f t="shared" si="505"/>
        <v>1.4150392393335474</v>
      </c>
      <c r="V557" s="19">
        <f t="shared" si="505"/>
        <v>1.4791501108534248</v>
      </c>
      <c r="W557" s="19">
        <f t="shared" si="505"/>
        <v>1.7614967206837933</v>
      </c>
      <c r="X557" s="19">
        <f t="shared" si="505"/>
        <v>1.9135793419060738</v>
      </c>
      <c r="Y557" s="19">
        <f t="shared" si="505"/>
        <v>1.7758628068244457</v>
      </c>
      <c r="Z557" s="19">
        <f t="shared" si="505"/>
        <v>1.5515275608710626</v>
      </c>
      <c r="AA557" s="19">
        <f t="shared" si="505"/>
        <v>1.2784743659914108</v>
      </c>
      <c r="AB557" s="19">
        <f t="shared" si="505"/>
        <v>1.0561484720737608</v>
      </c>
      <c r="AC557" s="12">
        <f>+SUM(E557:AB557)</f>
        <v>31.000000000000007</v>
      </c>
    </row>
    <row r="558" spans="2:29">
      <c r="B558" s="15">
        <f>+EDATE(B553,1)</f>
        <v>48245</v>
      </c>
      <c r="C558" s="8" t="s">
        <v>45</v>
      </c>
      <c r="D558" s="8">
        <v>20</v>
      </c>
      <c r="E558" s="50">
        <f t="shared" ref="E558:AB558" si="506">+E498</f>
        <v>2.9361257124838391E-2</v>
      </c>
      <c r="F558" s="50">
        <f t="shared" si="506"/>
        <v>2.7692710332229715E-2</v>
      </c>
      <c r="G558" s="50">
        <f t="shared" si="506"/>
        <v>2.6785161397696527E-2</v>
      </c>
      <c r="H558" s="50">
        <f t="shared" si="506"/>
        <v>2.6786989368939883E-2</v>
      </c>
      <c r="I558" s="50">
        <f t="shared" si="506"/>
        <v>2.9135775177511477E-2</v>
      </c>
      <c r="J558" s="50">
        <f t="shared" si="506"/>
        <v>3.4540443856715661E-2</v>
      </c>
      <c r="K558" s="50">
        <f t="shared" si="506"/>
        <v>3.8789035252325646E-2</v>
      </c>
      <c r="L558" s="50">
        <f t="shared" si="506"/>
        <v>3.957865839345593E-2</v>
      </c>
      <c r="M558" s="50">
        <f t="shared" si="506"/>
        <v>4.0957538271781398E-2</v>
      </c>
      <c r="N558" s="50">
        <f t="shared" si="506"/>
        <v>4.2166920044863825E-2</v>
      </c>
      <c r="O558" s="50">
        <f t="shared" si="506"/>
        <v>4.4150374939633218E-2</v>
      </c>
      <c r="P558" s="50">
        <f t="shared" si="506"/>
        <v>4.6294816466469102E-2</v>
      </c>
      <c r="Q558" s="50">
        <f t="shared" si="506"/>
        <v>4.5431875959152102E-2</v>
      </c>
      <c r="R558" s="50">
        <f t="shared" si="506"/>
        <v>4.3879728503346101E-2</v>
      </c>
      <c r="S558" s="50">
        <f t="shared" si="506"/>
        <v>4.4118506624640258E-2</v>
      </c>
      <c r="T558" s="50">
        <f t="shared" si="506"/>
        <v>4.5188432655351718E-2</v>
      </c>
      <c r="U558" s="50">
        <f t="shared" si="506"/>
        <v>4.624302558461979E-2</v>
      </c>
      <c r="V558" s="50">
        <f t="shared" si="506"/>
        <v>4.8247238962955179E-2</v>
      </c>
      <c r="W558" s="50">
        <f t="shared" si="506"/>
        <v>5.7096885328092907E-2</v>
      </c>
      <c r="X558" s="50">
        <f t="shared" si="506"/>
        <v>6.1739938045350239E-2</v>
      </c>
      <c r="Y558" s="50">
        <f t="shared" si="506"/>
        <v>5.7231881517227232E-2</v>
      </c>
      <c r="Z558" s="50">
        <f t="shared" si="506"/>
        <v>5.0129255438435008E-2</v>
      </c>
      <c r="AA558" s="50">
        <f t="shared" si="506"/>
        <v>4.1010488221716553E-2</v>
      </c>
      <c r="AB558" s="50">
        <f t="shared" si="506"/>
        <v>3.34430625326523E-2</v>
      </c>
      <c r="AC558" s="8">
        <f>+SUM(E558:AB558)*D558</f>
        <v>20.000000000000004</v>
      </c>
    </row>
    <row r="559" spans="2:29">
      <c r="B559" s="16"/>
      <c r="C559" s="8" t="s">
        <v>46</v>
      </c>
      <c r="D559" s="8">
        <v>4</v>
      </c>
      <c r="E559" s="50">
        <f t="shared" ref="E559:AB559" si="507">+E499</f>
        <v>3.0659473205105158E-2</v>
      </c>
      <c r="F559" s="50">
        <f t="shared" si="507"/>
        <v>2.8600001140869122E-2</v>
      </c>
      <c r="G559" s="50">
        <f t="shared" si="507"/>
        <v>2.7683858575034276E-2</v>
      </c>
      <c r="H559" s="50">
        <f t="shared" si="507"/>
        <v>2.7537802139610414E-2</v>
      </c>
      <c r="I559" s="50">
        <f t="shared" si="507"/>
        <v>2.8782539770184416E-2</v>
      </c>
      <c r="J559" s="50">
        <f t="shared" si="507"/>
        <v>3.2241585579716119E-2</v>
      </c>
      <c r="K559" s="50">
        <f t="shared" si="507"/>
        <v>3.645312931015221E-2</v>
      </c>
      <c r="L559" s="50">
        <f t="shared" si="507"/>
        <v>3.9012639181609042E-2</v>
      </c>
      <c r="M559" s="50">
        <f t="shared" si="507"/>
        <v>4.1549207589560662E-2</v>
      </c>
      <c r="N559" s="50">
        <f t="shared" si="507"/>
        <v>4.3042516751632572E-2</v>
      </c>
      <c r="O559" s="50">
        <f t="shared" si="507"/>
        <v>4.4973693586955334E-2</v>
      </c>
      <c r="P559" s="50">
        <f t="shared" si="507"/>
        <v>4.6808021710202923E-2</v>
      </c>
      <c r="Q559" s="50">
        <f t="shared" si="507"/>
        <v>4.6383383047344962E-2</v>
      </c>
      <c r="R559" s="50">
        <f t="shared" si="507"/>
        <v>4.4751654806610461E-2</v>
      </c>
      <c r="S559" s="50">
        <f t="shared" si="507"/>
        <v>4.4013077558728637E-2</v>
      </c>
      <c r="T559" s="50">
        <f t="shared" si="507"/>
        <v>4.428856091631931E-2</v>
      </c>
      <c r="U559" s="50">
        <f t="shared" si="507"/>
        <v>4.49735778579251E-2</v>
      </c>
      <c r="V559" s="50">
        <f t="shared" si="507"/>
        <v>4.6933206789217301E-2</v>
      </c>
      <c r="W559" s="50">
        <f t="shared" si="507"/>
        <v>5.6210586428141023E-2</v>
      </c>
      <c r="X559" s="50">
        <f t="shared" si="507"/>
        <v>6.1205656691958259E-2</v>
      </c>
      <c r="Y559" s="50">
        <f t="shared" si="507"/>
        <v>5.7018442088769522E-2</v>
      </c>
      <c r="Z559" s="50">
        <f t="shared" si="507"/>
        <v>4.9896672365740725E-2</v>
      </c>
      <c r="AA559" s="50">
        <f t="shared" si="507"/>
        <v>4.1622868086918119E-2</v>
      </c>
      <c r="AB559" s="50">
        <f t="shared" si="507"/>
        <v>3.5357844821693719E-2</v>
      </c>
      <c r="AC559" s="8">
        <f t="shared" ref="AC559:AC561" si="508">+SUM(E559:AB559)*D559</f>
        <v>3.9999999999999969</v>
      </c>
    </row>
    <row r="560" spans="2:29">
      <c r="B560" s="16"/>
      <c r="C560" s="8" t="s">
        <v>47</v>
      </c>
      <c r="D560" s="8">
        <v>5</v>
      </c>
      <c r="E560" s="50">
        <f t="shared" ref="E560:AB560" si="509">+E500</f>
        <v>3.3281514565353124E-2</v>
      </c>
      <c r="F560" s="50">
        <f t="shared" si="509"/>
        <v>3.1140043873712407E-2</v>
      </c>
      <c r="G560" s="50">
        <f t="shared" si="509"/>
        <v>2.984335106750436E-2</v>
      </c>
      <c r="H560" s="50">
        <f t="shared" si="509"/>
        <v>2.9286927979133532E-2</v>
      </c>
      <c r="I560" s="50">
        <f t="shared" si="509"/>
        <v>2.9138028999542646E-2</v>
      </c>
      <c r="J560" s="50">
        <f t="shared" si="509"/>
        <v>3.0942883559119717E-2</v>
      </c>
      <c r="K560" s="50">
        <f t="shared" si="509"/>
        <v>3.4432484834348992E-2</v>
      </c>
      <c r="L560" s="50">
        <f t="shared" si="509"/>
        <v>3.8305304424032266E-2</v>
      </c>
      <c r="M560" s="50">
        <f t="shared" si="509"/>
        <v>4.1103790742913066E-2</v>
      </c>
      <c r="N560" s="50">
        <f t="shared" si="509"/>
        <v>4.2608444243851212E-2</v>
      </c>
      <c r="O560" s="50">
        <f t="shared" si="509"/>
        <v>4.3914681848814308E-2</v>
      </c>
      <c r="P560" s="50">
        <f t="shared" si="509"/>
        <v>4.5729867165388009E-2</v>
      </c>
      <c r="Q560" s="50">
        <f t="shared" si="509"/>
        <v>4.5741487779353565E-2</v>
      </c>
      <c r="R560" s="50">
        <f t="shared" si="509"/>
        <v>4.4277060725657284E-2</v>
      </c>
      <c r="S560" s="50">
        <f t="shared" si="509"/>
        <v>4.3144199391556254E-2</v>
      </c>
      <c r="T560" s="50">
        <f t="shared" si="509"/>
        <v>4.3279567369281124E-2</v>
      </c>
      <c r="U560" s="50">
        <f t="shared" si="509"/>
        <v>4.4109954506885138E-2</v>
      </c>
      <c r="V560" s="50">
        <f t="shared" si="509"/>
        <v>4.6298728840315946E-2</v>
      </c>
      <c r="W560" s="50">
        <f t="shared" si="509"/>
        <v>5.6176649878816001E-2</v>
      </c>
      <c r="X560" s="50">
        <f t="shared" si="509"/>
        <v>6.2194705000087863E-2</v>
      </c>
      <c r="Y560" s="50">
        <f t="shared" si="509"/>
        <v>5.7928891294023718E-2</v>
      </c>
      <c r="Z560" s="50">
        <f t="shared" si="509"/>
        <v>5.019499221712586E-2</v>
      </c>
      <c r="AA560" s="50">
        <f t="shared" si="509"/>
        <v>4.1853093029906328E-2</v>
      </c>
      <c r="AB560" s="50">
        <f t="shared" si="509"/>
        <v>3.507334666327714E-2</v>
      </c>
      <c r="AC560" s="8">
        <f t="shared" si="508"/>
        <v>4.9999999999999991</v>
      </c>
    </row>
    <row r="561" spans="2:29">
      <c r="B561" s="16"/>
      <c r="C561" s="8" t="s">
        <v>48</v>
      </c>
      <c r="D561" s="8">
        <v>0</v>
      </c>
      <c r="E561" s="50">
        <f t="shared" ref="E561:AB561" si="510">+E501</f>
        <v>3.367503361886829E-2</v>
      </c>
      <c r="F561" s="50">
        <f t="shared" si="510"/>
        <v>3.1245692535415936E-2</v>
      </c>
      <c r="G561" s="50">
        <f t="shared" si="510"/>
        <v>2.9861746203171599E-2</v>
      </c>
      <c r="H561" s="50">
        <f t="shared" si="510"/>
        <v>2.9235019370742008E-2</v>
      </c>
      <c r="I561" s="50">
        <f t="shared" si="510"/>
        <v>3.0186379118294998E-2</v>
      </c>
      <c r="J561" s="50">
        <f t="shared" si="510"/>
        <v>3.3123682717801174E-2</v>
      </c>
      <c r="K561" s="50">
        <f t="shared" si="510"/>
        <v>3.5563630818173868E-2</v>
      </c>
      <c r="L561" s="50">
        <f t="shared" si="510"/>
        <v>3.7375437025807548E-2</v>
      </c>
      <c r="M561" s="50">
        <f t="shared" si="510"/>
        <v>3.9557895894381336E-2</v>
      </c>
      <c r="N561" s="50">
        <f t="shared" si="510"/>
        <v>4.1330002492198488E-2</v>
      </c>
      <c r="O561" s="50">
        <f t="shared" si="510"/>
        <v>4.3273465010057272E-2</v>
      </c>
      <c r="P561" s="50">
        <f t="shared" si="510"/>
        <v>4.5278417057592932E-2</v>
      </c>
      <c r="Q561" s="50">
        <f t="shared" si="510"/>
        <v>4.5765189585786785E-2</v>
      </c>
      <c r="R561" s="50">
        <f t="shared" si="510"/>
        <v>4.421428774797561E-2</v>
      </c>
      <c r="S561" s="50">
        <f t="shared" si="510"/>
        <v>4.3245429527174986E-2</v>
      </c>
      <c r="T561" s="50">
        <f t="shared" si="510"/>
        <v>4.3554999005074702E-2</v>
      </c>
      <c r="U561" s="50">
        <f t="shared" si="510"/>
        <v>4.4435510161992771E-2</v>
      </c>
      <c r="V561" s="50">
        <f t="shared" si="510"/>
        <v>4.717219114348542E-2</v>
      </c>
      <c r="W561" s="50">
        <f t="shared" si="510"/>
        <v>5.6899741232983039E-2</v>
      </c>
      <c r="X561" s="50">
        <f t="shared" si="510"/>
        <v>6.1986738769463187E-2</v>
      </c>
      <c r="Y561" s="50">
        <f t="shared" si="510"/>
        <v>5.7208700429979269E-2</v>
      </c>
      <c r="Z561" s="50">
        <f t="shared" si="510"/>
        <v>4.9339560702577757E-2</v>
      </c>
      <c r="AA561" s="50">
        <f t="shared" si="510"/>
        <v>4.1368944501432053E-2</v>
      </c>
      <c r="AB561" s="50">
        <f t="shared" si="510"/>
        <v>3.5102305329568817E-2</v>
      </c>
      <c r="AC561" s="8">
        <f t="shared" si="508"/>
        <v>0</v>
      </c>
    </row>
    <row r="562" spans="2:29">
      <c r="B562" s="12"/>
      <c r="C562" s="12" t="s">
        <v>15</v>
      </c>
      <c r="D562" s="12">
        <f>+SUM(D558:D561)</f>
        <v>29</v>
      </c>
      <c r="E562" s="19">
        <f>+SUMPRODUCT(E558:E561,$D558:$D561)</f>
        <v>0.87627060814395397</v>
      </c>
      <c r="F562" s="19">
        <f>+SUMPRODUCT(F558:F561,$D558:$D561)</f>
        <v>0.82395443057663276</v>
      </c>
      <c r="G562" s="19">
        <f t="shared" ref="G562:AB562" si="511">+SUMPRODUCT(G558:G561,$D558:$D561)</f>
        <v>0.79565541759158942</v>
      </c>
      <c r="H562" s="19">
        <f t="shared" si="511"/>
        <v>0.79232563583290694</v>
      </c>
      <c r="I562" s="19">
        <f t="shared" si="511"/>
        <v>0.84353580762868041</v>
      </c>
      <c r="J562" s="19">
        <f t="shared" si="511"/>
        <v>0.97448963724877635</v>
      </c>
      <c r="K562" s="19">
        <f t="shared" si="511"/>
        <v>1.0937556464588667</v>
      </c>
      <c r="L562" s="19">
        <f t="shared" si="511"/>
        <v>1.1391502467157162</v>
      </c>
      <c r="M562" s="19">
        <f t="shared" si="511"/>
        <v>1.1908665495084358</v>
      </c>
      <c r="N562" s="19">
        <f t="shared" si="511"/>
        <v>1.2285506891230629</v>
      </c>
      <c r="O562" s="19">
        <f t="shared" si="511"/>
        <v>1.2824756823845573</v>
      </c>
      <c r="P562" s="19">
        <f t="shared" si="511"/>
        <v>1.3417777519971339</v>
      </c>
      <c r="Q562" s="19">
        <f t="shared" si="511"/>
        <v>1.3228784902691897</v>
      </c>
      <c r="R562" s="19">
        <f t="shared" si="511"/>
        <v>1.2779864929216502</v>
      </c>
      <c r="S562" s="19">
        <f t="shared" si="511"/>
        <v>1.2741434396855011</v>
      </c>
      <c r="T562" s="19">
        <f t="shared" si="511"/>
        <v>1.2973207336187174</v>
      </c>
      <c r="U562" s="19">
        <f t="shared" si="511"/>
        <v>1.3253045956585219</v>
      </c>
      <c r="V562" s="19">
        <f t="shared" si="511"/>
        <v>1.3841712506175525</v>
      </c>
      <c r="W562" s="19">
        <f t="shared" si="511"/>
        <v>1.6476633016685023</v>
      </c>
      <c r="X562" s="19">
        <f t="shared" si="511"/>
        <v>1.7905949126752772</v>
      </c>
      <c r="Y562" s="19">
        <f t="shared" si="511"/>
        <v>1.6623558551697415</v>
      </c>
      <c r="Z562" s="19">
        <f t="shared" si="511"/>
        <v>1.4531467593172924</v>
      </c>
      <c r="AA562" s="19">
        <f t="shared" si="511"/>
        <v>1.1959667019315352</v>
      </c>
      <c r="AB562" s="19">
        <f t="shared" si="511"/>
        <v>0.98565936325620651</v>
      </c>
      <c r="AC562" s="12">
        <f>+SUM(E562:AB562)</f>
        <v>29.000000000000004</v>
      </c>
    </row>
    <row r="563" spans="2:29">
      <c r="B563" s="15">
        <f>+EDATE(B558,1)</f>
        <v>48274</v>
      </c>
      <c r="C563" s="8" t="s">
        <v>45</v>
      </c>
      <c r="D563" s="8">
        <v>20</v>
      </c>
      <c r="E563" s="50">
        <f t="shared" ref="E563:AB563" si="512">+E503</f>
        <v>2.9361257124838391E-2</v>
      </c>
      <c r="F563" s="50">
        <f t="shared" si="512"/>
        <v>2.7692710332229715E-2</v>
      </c>
      <c r="G563" s="50">
        <f t="shared" si="512"/>
        <v>2.6785161397696527E-2</v>
      </c>
      <c r="H563" s="50">
        <f t="shared" si="512"/>
        <v>2.6786989368939883E-2</v>
      </c>
      <c r="I563" s="50">
        <f t="shared" si="512"/>
        <v>2.9135775177511477E-2</v>
      </c>
      <c r="J563" s="50">
        <f t="shared" si="512"/>
        <v>3.4540443856715661E-2</v>
      </c>
      <c r="K563" s="50">
        <f t="shared" si="512"/>
        <v>3.8789035252325646E-2</v>
      </c>
      <c r="L563" s="50">
        <f t="shared" si="512"/>
        <v>3.957865839345593E-2</v>
      </c>
      <c r="M563" s="50">
        <f t="shared" si="512"/>
        <v>4.0957538271781398E-2</v>
      </c>
      <c r="N563" s="50">
        <f t="shared" si="512"/>
        <v>4.2166920044863825E-2</v>
      </c>
      <c r="O563" s="50">
        <f t="shared" si="512"/>
        <v>4.4150374939633218E-2</v>
      </c>
      <c r="P563" s="50">
        <f t="shared" si="512"/>
        <v>4.6294816466469102E-2</v>
      </c>
      <c r="Q563" s="50">
        <f t="shared" si="512"/>
        <v>4.5431875959152102E-2</v>
      </c>
      <c r="R563" s="50">
        <f t="shared" si="512"/>
        <v>4.3879728503346101E-2</v>
      </c>
      <c r="S563" s="50">
        <f t="shared" si="512"/>
        <v>4.4118506624640258E-2</v>
      </c>
      <c r="T563" s="50">
        <f t="shared" si="512"/>
        <v>4.5188432655351718E-2</v>
      </c>
      <c r="U563" s="50">
        <f t="shared" si="512"/>
        <v>4.624302558461979E-2</v>
      </c>
      <c r="V563" s="50">
        <f t="shared" si="512"/>
        <v>4.8247238962955179E-2</v>
      </c>
      <c r="W563" s="50">
        <f t="shared" si="512"/>
        <v>5.7096885328092907E-2</v>
      </c>
      <c r="X563" s="50">
        <f t="shared" si="512"/>
        <v>6.1739938045350239E-2</v>
      </c>
      <c r="Y563" s="50">
        <f t="shared" si="512"/>
        <v>5.7231881517227232E-2</v>
      </c>
      <c r="Z563" s="50">
        <f t="shared" si="512"/>
        <v>5.0129255438435008E-2</v>
      </c>
      <c r="AA563" s="50">
        <f t="shared" si="512"/>
        <v>4.1010488221716553E-2</v>
      </c>
      <c r="AB563" s="50">
        <f t="shared" si="512"/>
        <v>3.34430625326523E-2</v>
      </c>
      <c r="AC563" s="8">
        <f>+SUM(E563:AB563)*D563</f>
        <v>20.000000000000004</v>
      </c>
    </row>
    <row r="564" spans="2:29">
      <c r="B564" s="16"/>
      <c r="C564" s="8" t="s">
        <v>46</v>
      </c>
      <c r="D564" s="8">
        <v>5</v>
      </c>
      <c r="E564" s="50">
        <f t="shared" ref="E564:AB564" si="513">+E504</f>
        <v>3.0659473205105158E-2</v>
      </c>
      <c r="F564" s="50">
        <f t="shared" si="513"/>
        <v>2.8600001140869122E-2</v>
      </c>
      <c r="G564" s="50">
        <f t="shared" si="513"/>
        <v>2.7683858575034276E-2</v>
      </c>
      <c r="H564" s="50">
        <f t="shared" si="513"/>
        <v>2.7537802139610414E-2</v>
      </c>
      <c r="I564" s="50">
        <f t="shared" si="513"/>
        <v>2.8782539770184416E-2</v>
      </c>
      <c r="J564" s="50">
        <f t="shared" si="513"/>
        <v>3.2241585579716119E-2</v>
      </c>
      <c r="K564" s="50">
        <f t="shared" si="513"/>
        <v>3.645312931015221E-2</v>
      </c>
      <c r="L564" s="50">
        <f t="shared" si="513"/>
        <v>3.9012639181609042E-2</v>
      </c>
      <c r="M564" s="50">
        <f t="shared" si="513"/>
        <v>4.1549207589560662E-2</v>
      </c>
      <c r="N564" s="50">
        <f t="shared" si="513"/>
        <v>4.3042516751632572E-2</v>
      </c>
      <c r="O564" s="50">
        <f t="shared" si="513"/>
        <v>4.4973693586955334E-2</v>
      </c>
      <c r="P564" s="50">
        <f t="shared" si="513"/>
        <v>4.6808021710202923E-2</v>
      </c>
      <c r="Q564" s="50">
        <f t="shared" si="513"/>
        <v>4.6383383047344962E-2</v>
      </c>
      <c r="R564" s="50">
        <f t="shared" si="513"/>
        <v>4.4751654806610461E-2</v>
      </c>
      <c r="S564" s="50">
        <f t="shared" si="513"/>
        <v>4.4013077558728637E-2</v>
      </c>
      <c r="T564" s="50">
        <f t="shared" si="513"/>
        <v>4.428856091631931E-2</v>
      </c>
      <c r="U564" s="50">
        <f t="shared" si="513"/>
        <v>4.49735778579251E-2</v>
      </c>
      <c r="V564" s="50">
        <f t="shared" si="513"/>
        <v>4.6933206789217301E-2</v>
      </c>
      <c r="W564" s="50">
        <f t="shared" si="513"/>
        <v>5.6210586428141023E-2</v>
      </c>
      <c r="X564" s="50">
        <f t="shared" si="513"/>
        <v>6.1205656691958259E-2</v>
      </c>
      <c r="Y564" s="50">
        <f t="shared" si="513"/>
        <v>5.7018442088769522E-2</v>
      </c>
      <c r="Z564" s="50">
        <f t="shared" si="513"/>
        <v>4.9896672365740725E-2</v>
      </c>
      <c r="AA564" s="50">
        <f t="shared" si="513"/>
        <v>4.1622868086918119E-2</v>
      </c>
      <c r="AB564" s="50">
        <f t="shared" si="513"/>
        <v>3.5357844821693719E-2</v>
      </c>
      <c r="AC564" s="8">
        <f t="shared" ref="AC564:AC566" si="514">+SUM(E564:AB564)*D564</f>
        <v>4.9999999999999964</v>
      </c>
    </row>
    <row r="565" spans="2:29">
      <c r="B565" s="16"/>
      <c r="C565" s="8" t="s">
        <v>47</v>
      </c>
      <c r="D565" s="8">
        <v>5</v>
      </c>
      <c r="E565" s="50">
        <f t="shared" ref="E565:AB565" si="515">+E505</f>
        <v>3.3281514565353124E-2</v>
      </c>
      <c r="F565" s="50">
        <f t="shared" si="515"/>
        <v>3.1140043873712407E-2</v>
      </c>
      <c r="G565" s="50">
        <f t="shared" si="515"/>
        <v>2.984335106750436E-2</v>
      </c>
      <c r="H565" s="50">
        <f t="shared" si="515"/>
        <v>2.9286927979133532E-2</v>
      </c>
      <c r="I565" s="50">
        <f t="shared" si="515"/>
        <v>2.9138028999542646E-2</v>
      </c>
      <c r="J565" s="50">
        <f t="shared" si="515"/>
        <v>3.0942883559119717E-2</v>
      </c>
      <c r="K565" s="50">
        <f t="shared" si="515"/>
        <v>3.4432484834348992E-2</v>
      </c>
      <c r="L565" s="50">
        <f t="shared" si="515"/>
        <v>3.8305304424032266E-2</v>
      </c>
      <c r="M565" s="50">
        <f t="shared" si="515"/>
        <v>4.1103790742913066E-2</v>
      </c>
      <c r="N565" s="50">
        <f t="shared" si="515"/>
        <v>4.2608444243851212E-2</v>
      </c>
      <c r="O565" s="50">
        <f t="shared" si="515"/>
        <v>4.3914681848814308E-2</v>
      </c>
      <c r="P565" s="50">
        <f t="shared" si="515"/>
        <v>4.5729867165388009E-2</v>
      </c>
      <c r="Q565" s="50">
        <f t="shared" si="515"/>
        <v>4.5741487779353565E-2</v>
      </c>
      <c r="R565" s="50">
        <f t="shared" si="515"/>
        <v>4.4277060725657284E-2</v>
      </c>
      <c r="S565" s="50">
        <f t="shared" si="515"/>
        <v>4.3144199391556254E-2</v>
      </c>
      <c r="T565" s="50">
        <f t="shared" si="515"/>
        <v>4.3279567369281124E-2</v>
      </c>
      <c r="U565" s="50">
        <f t="shared" si="515"/>
        <v>4.4109954506885138E-2</v>
      </c>
      <c r="V565" s="50">
        <f t="shared" si="515"/>
        <v>4.6298728840315946E-2</v>
      </c>
      <c r="W565" s="50">
        <f t="shared" si="515"/>
        <v>5.6176649878816001E-2</v>
      </c>
      <c r="X565" s="50">
        <f t="shared" si="515"/>
        <v>6.2194705000087863E-2</v>
      </c>
      <c r="Y565" s="50">
        <f t="shared" si="515"/>
        <v>5.7928891294023718E-2</v>
      </c>
      <c r="Z565" s="50">
        <f t="shared" si="515"/>
        <v>5.019499221712586E-2</v>
      </c>
      <c r="AA565" s="50">
        <f t="shared" si="515"/>
        <v>4.1853093029906328E-2</v>
      </c>
      <c r="AB565" s="50">
        <f t="shared" si="515"/>
        <v>3.507334666327714E-2</v>
      </c>
      <c r="AC565" s="8">
        <f t="shared" si="514"/>
        <v>4.9999999999999991</v>
      </c>
    </row>
    <row r="566" spans="2:29">
      <c r="B566" s="16"/>
      <c r="C566" s="8" t="s">
        <v>48</v>
      </c>
      <c r="D566" s="8">
        <v>1</v>
      </c>
      <c r="E566" s="50">
        <f t="shared" ref="E566:AB566" si="516">+E506</f>
        <v>3.367503361886829E-2</v>
      </c>
      <c r="F566" s="50">
        <f t="shared" si="516"/>
        <v>3.1245692535415936E-2</v>
      </c>
      <c r="G566" s="50">
        <f t="shared" si="516"/>
        <v>2.9861746203171599E-2</v>
      </c>
      <c r="H566" s="50">
        <f t="shared" si="516"/>
        <v>2.9235019370742008E-2</v>
      </c>
      <c r="I566" s="50">
        <f t="shared" si="516"/>
        <v>3.0186379118294998E-2</v>
      </c>
      <c r="J566" s="50">
        <f t="shared" si="516"/>
        <v>3.3123682717801174E-2</v>
      </c>
      <c r="K566" s="50">
        <f t="shared" si="516"/>
        <v>3.5563630818173868E-2</v>
      </c>
      <c r="L566" s="50">
        <f t="shared" si="516"/>
        <v>3.7375437025807548E-2</v>
      </c>
      <c r="M566" s="50">
        <f t="shared" si="516"/>
        <v>3.9557895894381336E-2</v>
      </c>
      <c r="N566" s="50">
        <f t="shared" si="516"/>
        <v>4.1330002492198488E-2</v>
      </c>
      <c r="O566" s="50">
        <f t="shared" si="516"/>
        <v>4.3273465010057272E-2</v>
      </c>
      <c r="P566" s="50">
        <f t="shared" si="516"/>
        <v>4.5278417057592932E-2</v>
      </c>
      <c r="Q566" s="50">
        <f t="shared" si="516"/>
        <v>4.5765189585786785E-2</v>
      </c>
      <c r="R566" s="50">
        <f t="shared" si="516"/>
        <v>4.421428774797561E-2</v>
      </c>
      <c r="S566" s="50">
        <f t="shared" si="516"/>
        <v>4.3245429527174986E-2</v>
      </c>
      <c r="T566" s="50">
        <f t="shared" si="516"/>
        <v>4.3554999005074702E-2</v>
      </c>
      <c r="U566" s="50">
        <f t="shared" si="516"/>
        <v>4.4435510161992771E-2</v>
      </c>
      <c r="V566" s="50">
        <f t="shared" si="516"/>
        <v>4.717219114348542E-2</v>
      </c>
      <c r="W566" s="50">
        <f t="shared" si="516"/>
        <v>5.6899741232983039E-2</v>
      </c>
      <c r="X566" s="50">
        <f t="shared" si="516"/>
        <v>6.1986738769463187E-2</v>
      </c>
      <c r="Y566" s="50">
        <f t="shared" si="516"/>
        <v>5.7208700429979269E-2</v>
      </c>
      <c r="Z566" s="50">
        <f t="shared" si="516"/>
        <v>4.9339560702577757E-2</v>
      </c>
      <c r="AA566" s="50">
        <f t="shared" si="516"/>
        <v>4.1368944501432053E-2</v>
      </c>
      <c r="AB566" s="50">
        <f t="shared" si="516"/>
        <v>3.5102305329568817E-2</v>
      </c>
      <c r="AC566" s="8">
        <f t="shared" si="514"/>
        <v>0.99999999999999978</v>
      </c>
    </row>
    <row r="567" spans="2:29">
      <c r="B567" s="12"/>
      <c r="C567" s="12" t="s">
        <v>15</v>
      </c>
      <c r="D567" s="12">
        <f>+SUM(D563:D566)</f>
        <v>31</v>
      </c>
      <c r="E567" s="19">
        <f>+SUMPRODUCT(E563:E566,$D563:$D566)</f>
        <v>0.94060511496792754</v>
      </c>
      <c r="F567" s="19">
        <f>+SUMPRODUCT(F563:F566,$D563:$D566)</f>
        <v>0.88380012425291787</v>
      </c>
      <c r="G567" s="19">
        <f t="shared" ref="G567:AB567" si="517">+SUMPRODUCT(G563:G566,$D563:$D566)</f>
        <v>0.85320102236979534</v>
      </c>
      <c r="H567" s="19">
        <f t="shared" si="517"/>
        <v>0.84909845734325939</v>
      </c>
      <c r="I567" s="19">
        <f t="shared" si="517"/>
        <v>0.90250472651715985</v>
      </c>
      <c r="J567" s="19">
        <f t="shared" si="517"/>
        <v>1.0398549055462936</v>
      </c>
      <c r="K567" s="19">
        <f t="shared" si="517"/>
        <v>1.1657724065871928</v>
      </c>
      <c r="L567" s="19">
        <f t="shared" si="517"/>
        <v>1.2155383229231327</v>
      </c>
      <c r="M567" s="19">
        <f t="shared" si="517"/>
        <v>1.271973652992378</v>
      </c>
      <c r="N567" s="19">
        <f t="shared" si="517"/>
        <v>1.3129232083668938</v>
      </c>
      <c r="O567" s="19">
        <f t="shared" si="517"/>
        <v>1.3707228409815699</v>
      </c>
      <c r="P567" s="19">
        <f t="shared" si="517"/>
        <v>1.4338641907649297</v>
      </c>
      <c r="Q567" s="19">
        <f t="shared" si="517"/>
        <v>1.4150270629023214</v>
      </c>
      <c r="R567" s="19">
        <f t="shared" si="517"/>
        <v>1.3669524354762363</v>
      </c>
      <c r="S567" s="19">
        <f t="shared" si="517"/>
        <v>1.3614019467714047</v>
      </c>
      <c r="T567" s="19">
        <f t="shared" si="517"/>
        <v>1.3851642935401114</v>
      </c>
      <c r="U567" s="19">
        <f t="shared" si="517"/>
        <v>1.4147136836784397</v>
      </c>
      <c r="V567" s="19">
        <f t="shared" si="517"/>
        <v>1.4782766485502554</v>
      </c>
      <c r="W567" s="19">
        <f t="shared" si="517"/>
        <v>1.7607736293296263</v>
      </c>
      <c r="X567" s="19">
        <f t="shared" si="517"/>
        <v>1.9137873081366987</v>
      </c>
      <c r="Y567" s="19">
        <f t="shared" si="517"/>
        <v>1.7765829976884902</v>
      </c>
      <c r="Z567" s="19">
        <f t="shared" si="517"/>
        <v>1.5523829923856107</v>
      </c>
      <c r="AA567" s="19">
        <f t="shared" si="517"/>
        <v>1.2789585145198852</v>
      </c>
      <c r="AB567" s="19">
        <f t="shared" si="517"/>
        <v>1.0561195134074692</v>
      </c>
      <c r="AC567" s="12">
        <f>+SUM(E567:AB567)</f>
        <v>30.999999999999996</v>
      </c>
    </row>
    <row r="568" spans="2:29">
      <c r="B568" s="15">
        <f>+EDATE(B563,1)</f>
        <v>48305</v>
      </c>
      <c r="C568" s="8" t="s">
        <v>45</v>
      </c>
      <c r="D568" s="8">
        <v>22</v>
      </c>
      <c r="E568" s="50">
        <f t="shared" ref="E568:AB568" si="518">+E508</f>
        <v>2.9361257124838391E-2</v>
      </c>
      <c r="F568" s="50">
        <f t="shared" si="518"/>
        <v>2.7692710332229715E-2</v>
      </c>
      <c r="G568" s="50">
        <f t="shared" si="518"/>
        <v>2.6785161397696527E-2</v>
      </c>
      <c r="H568" s="50">
        <f t="shared" si="518"/>
        <v>2.6786989368939883E-2</v>
      </c>
      <c r="I568" s="50">
        <f t="shared" si="518"/>
        <v>2.9135775177511477E-2</v>
      </c>
      <c r="J568" s="50">
        <f t="shared" si="518"/>
        <v>3.4540443856715661E-2</v>
      </c>
      <c r="K568" s="50">
        <f t="shared" si="518"/>
        <v>3.8789035252325646E-2</v>
      </c>
      <c r="L568" s="50">
        <f t="shared" si="518"/>
        <v>3.957865839345593E-2</v>
      </c>
      <c r="M568" s="50">
        <f t="shared" si="518"/>
        <v>4.0957538271781398E-2</v>
      </c>
      <c r="N568" s="50">
        <f t="shared" si="518"/>
        <v>4.2166920044863825E-2</v>
      </c>
      <c r="O568" s="50">
        <f t="shared" si="518"/>
        <v>4.4150374939633218E-2</v>
      </c>
      <c r="P568" s="50">
        <f t="shared" si="518"/>
        <v>4.6294816466469102E-2</v>
      </c>
      <c r="Q568" s="50">
        <f t="shared" si="518"/>
        <v>4.5431875959152102E-2</v>
      </c>
      <c r="R568" s="50">
        <f t="shared" si="518"/>
        <v>4.3879728503346101E-2</v>
      </c>
      <c r="S568" s="50">
        <f t="shared" si="518"/>
        <v>4.4118506624640258E-2</v>
      </c>
      <c r="T568" s="50">
        <f t="shared" si="518"/>
        <v>4.5188432655351718E-2</v>
      </c>
      <c r="U568" s="50">
        <f t="shared" si="518"/>
        <v>4.624302558461979E-2</v>
      </c>
      <c r="V568" s="50">
        <f t="shared" si="518"/>
        <v>4.8247238962955179E-2</v>
      </c>
      <c r="W568" s="50">
        <f t="shared" si="518"/>
        <v>5.7096885328092907E-2</v>
      </c>
      <c r="X568" s="50">
        <f t="shared" si="518"/>
        <v>6.1739938045350239E-2</v>
      </c>
      <c r="Y568" s="50">
        <f t="shared" si="518"/>
        <v>5.7231881517227232E-2</v>
      </c>
      <c r="Z568" s="50">
        <f t="shared" si="518"/>
        <v>5.0129255438435008E-2</v>
      </c>
      <c r="AA568" s="50">
        <f t="shared" si="518"/>
        <v>4.1010488221716553E-2</v>
      </c>
      <c r="AB568" s="50">
        <f t="shared" si="518"/>
        <v>3.34430625326523E-2</v>
      </c>
      <c r="AC568" s="8">
        <f>+SUM(E568:AB568)*D568</f>
        <v>22.000000000000004</v>
      </c>
    </row>
    <row r="569" spans="2:29">
      <c r="B569" s="16"/>
      <c r="C569" s="8" t="s">
        <v>46</v>
      </c>
      <c r="D569" s="8">
        <v>4</v>
      </c>
      <c r="E569" s="50">
        <f t="shared" ref="E569:AB569" si="519">+E509</f>
        <v>3.0659473205105158E-2</v>
      </c>
      <c r="F569" s="50">
        <f t="shared" si="519"/>
        <v>2.8600001140869122E-2</v>
      </c>
      <c r="G569" s="50">
        <f t="shared" si="519"/>
        <v>2.7683858575034276E-2</v>
      </c>
      <c r="H569" s="50">
        <f t="shared" si="519"/>
        <v>2.7537802139610414E-2</v>
      </c>
      <c r="I569" s="50">
        <f t="shared" si="519"/>
        <v>2.8782539770184416E-2</v>
      </c>
      <c r="J569" s="50">
        <f t="shared" si="519"/>
        <v>3.2241585579716119E-2</v>
      </c>
      <c r="K569" s="50">
        <f t="shared" si="519"/>
        <v>3.645312931015221E-2</v>
      </c>
      <c r="L569" s="50">
        <f t="shared" si="519"/>
        <v>3.9012639181609042E-2</v>
      </c>
      <c r="M569" s="50">
        <f t="shared" si="519"/>
        <v>4.1549207589560662E-2</v>
      </c>
      <c r="N569" s="50">
        <f t="shared" si="519"/>
        <v>4.3042516751632572E-2</v>
      </c>
      <c r="O569" s="50">
        <f t="shared" si="519"/>
        <v>4.4973693586955334E-2</v>
      </c>
      <c r="P569" s="50">
        <f t="shared" si="519"/>
        <v>4.6808021710202923E-2</v>
      </c>
      <c r="Q569" s="50">
        <f t="shared" si="519"/>
        <v>4.6383383047344962E-2</v>
      </c>
      <c r="R569" s="50">
        <f t="shared" si="519"/>
        <v>4.4751654806610461E-2</v>
      </c>
      <c r="S569" s="50">
        <f t="shared" si="519"/>
        <v>4.4013077558728637E-2</v>
      </c>
      <c r="T569" s="50">
        <f t="shared" si="519"/>
        <v>4.428856091631931E-2</v>
      </c>
      <c r="U569" s="50">
        <f t="shared" si="519"/>
        <v>4.49735778579251E-2</v>
      </c>
      <c r="V569" s="50">
        <f t="shared" si="519"/>
        <v>4.6933206789217301E-2</v>
      </c>
      <c r="W569" s="50">
        <f t="shared" si="519"/>
        <v>5.6210586428141023E-2</v>
      </c>
      <c r="X569" s="50">
        <f t="shared" si="519"/>
        <v>6.1205656691958259E-2</v>
      </c>
      <c r="Y569" s="50">
        <f t="shared" si="519"/>
        <v>5.7018442088769522E-2</v>
      </c>
      <c r="Z569" s="50">
        <f t="shared" si="519"/>
        <v>4.9896672365740725E-2</v>
      </c>
      <c r="AA569" s="50">
        <f t="shared" si="519"/>
        <v>4.1622868086918119E-2</v>
      </c>
      <c r="AB569" s="50">
        <f t="shared" si="519"/>
        <v>3.5357844821693719E-2</v>
      </c>
      <c r="AC569" s="8">
        <f t="shared" ref="AC569:AC571" si="520">+SUM(E569:AB569)*D569</f>
        <v>3.9999999999999969</v>
      </c>
    </row>
    <row r="570" spans="2:29">
      <c r="B570" s="16"/>
      <c r="C570" s="8" t="s">
        <v>47</v>
      </c>
      <c r="D570" s="8">
        <v>4</v>
      </c>
      <c r="E570" s="50">
        <f t="shared" ref="E570:AB570" si="521">+E510</f>
        <v>3.3281514565353124E-2</v>
      </c>
      <c r="F570" s="50">
        <f t="shared" si="521"/>
        <v>3.1140043873712407E-2</v>
      </c>
      <c r="G570" s="50">
        <f t="shared" si="521"/>
        <v>2.984335106750436E-2</v>
      </c>
      <c r="H570" s="50">
        <f t="shared" si="521"/>
        <v>2.9286927979133532E-2</v>
      </c>
      <c r="I570" s="50">
        <f t="shared" si="521"/>
        <v>2.9138028999542646E-2</v>
      </c>
      <c r="J570" s="50">
        <f t="shared" si="521"/>
        <v>3.0942883559119717E-2</v>
      </c>
      <c r="K570" s="50">
        <f t="shared" si="521"/>
        <v>3.4432484834348992E-2</v>
      </c>
      <c r="L570" s="50">
        <f t="shared" si="521"/>
        <v>3.8305304424032266E-2</v>
      </c>
      <c r="M570" s="50">
        <f t="shared" si="521"/>
        <v>4.1103790742913066E-2</v>
      </c>
      <c r="N570" s="50">
        <f t="shared" si="521"/>
        <v>4.2608444243851212E-2</v>
      </c>
      <c r="O570" s="50">
        <f t="shared" si="521"/>
        <v>4.3914681848814308E-2</v>
      </c>
      <c r="P570" s="50">
        <f t="shared" si="521"/>
        <v>4.5729867165388009E-2</v>
      </c>
      <c r="Q570" s="50">
        <f t="shared" si="521"/>
        <v>4.5741487779353565E-2</v>
      </c>
      <c r="R570" s="50">
        <f t="shared" si="521"/>
        <v>4.4277060725657284E-2</v>
      </c>
      <c r="S570" s="50">
        <f t="shared" si="521"/>
        <v>4.3144199391556254E-2</v>
      </c>
      <c r="T570" s="50">
        <f t="shared" si="521"/>
        <v>4.3279567369281124E-2</v>
      </c>
      <c r="U570" s="50">
        <f t="shared" si="521"/>
        <v>4.4109954506885138E-2</v>
      </c>
      <c r="V570" s="50">
        <f t="shared" si="521"/>
        <v>4.6298728840315946E-2</v>
      </c>
      <c r="W570" s="50">
        <f t="shared" si="521"/>
        <v>5.6176649878816001E-2</v>
      </c>
      <c r="X570" s="50">
        <f t="shared" si="521"/>
        <v>6.2194705000087863E-2</v>
      </c>
      <c r="Y570" s="50">
        <f t="shared" si="521"/>
        <v>5.7928891294023718E-2</v>
      </c>
      <c r="Z570" s="50">
        <f t="shared" si="521"/>
        <v>5.019499221712586E-2</v>
      </c>
      <c r="AA570" s="50">
        <f t="shared" si="521"/>
        <v>4.1853093029906328E-2</v>
      </c>
      <c r="AB570" s="50">
        <f t="shared" si="521"/>
        <v>3.507334666327714E-2</v>
      </c>
      <c r="AC570" s="8">
        <f t="shared" si="520"/>
        <v>3.9999999999999991</v>
      </c>
    </row>
    <row r="571" spans="2:29">
      <c r="B571" s="16"/>
      <c r="C571" s="8" t="s">
        <v>48</v>
      </c>
      <c r="D571" s="8">
        <v>0</v>
      </c>
      <c r="E571" s="50">
        <f t="shared" ref="E571:AB571" si="522">+E511</f>
        <v>3.367503361886829E-2</v>
      </c>
      <c r="F571" s="50">
        <f t="shared" si="522"/>
        <v>3.1245692535415936E-2</v>
      </c>
      <c r="G571" s="50">
        <f t="shared" si="522"/>
        <v>2.9861746203171599E-2</v>
      </c>
      <c r="H571" s="50">
        <f t="shared" si="522"/>
        <v>2.9235019370742008E-2</v>
      </c>
      <c r="I571" s="50">
        <f t="shared" si="522"/>
        <v>3.0186379118294998E-2</v>
      </c>
      <c r="J571" s="50">
        <f t="shared" si="522"/>
        <v>3.3123682717801174E-2</v>
      </c>
      <c r="K571" s="50">
        <f t="shared" si="522"/>
        <v>3.5563630818173868E-2</v>
      </c>
      <c r="L571" s="50">
        <f t="shared" si="522"/>
        <v>3.7375437025807548E-2</v>
      </c>
      <c r="M571" s="50">
        <f t="shared" si="522"/>
        <v>3.9557895894381336E-2</v>
      </c>
      <c r="N571" s="50">
        <f t="shared" si="522"/>
        <v>4.1330002492198488E-2</v>
      </c>
      <c r="O571" s="50">
        <f t="shared" si="522"/>
        <v>4.3273465010057272E-2</v>
      </c>
      <c r="P571" s="50">
        <f t="shared" si="522"/>
        <v>4.5278417057592932E-2</v>
      </c>
      <c r="Q571" s="50">
        <f t="shared" si="522"/>
        <v>4.5765189585786785E-2</v>
      </c>
      <c r="R571" s="50">
        <f t="shared" si="522"/>
        <v>4.421428774797561E-2</v>
      </c>
      <c r="S571" s="50">
        <f t="shared" si="522"/>
        <v>4.3245429527174986E-2</v>
      </c>
      <c r="T571" s="50">
        <f t="shared" si="522"/>
        <v>4.3554999005074702E-2</v>
      </c>
      <c r="U571" s="50">
        <f t="shared" si="522"/>
        <v>4.4435510161992771E-2</v>
      </c>
      <c r="V571" s="50">
        <f t="shared" si="522"/>
        <v>4.717219114348542E-2</v>
      </c>
      <c r="W571" s="50">
        <f t="shared" si="522"/>
        <v>5.6899741232983039E-2</v>
      </c>
      <c r="X571" s="50">
        <f t="shared" si="522"/>
        <v>6.1986738769463187E-2</v>
      </c>
      <c r="Y571" s="50">
        <f t="shared" si="522"/>
        <v>5.7208700429979269E-2</v>
      </c>
      <c r="Z571" s="50">
        <f t="shared" si="522"/>
        <v>4.9339560702577757E-2</v>
      </c>
      <c r="AA571" s="50">
        <f t="shared" si="522"/>
        <v>4.1368944501432053E-2</v>
      </c>
      <c r="AB571" s="50">
        <f t="shared" si="522"/>
        <v>3.5102305329568817E-2</v>
      </c>
      <c r="AC571" s="8">
        <f t="shared" si="520"/>
        <v>0</v>
      </c>
    </row>
    <row r="572" spans="2:29">
      <c r="B572" s="12"/>
      <c r="C572" s="12" t="s">
        <v>15</v>
      </c>
      <c r="D572" s="12">
        <f>+SUM(D568:D571)</f>
        <v>30</v>
      </c>
      <c r="E572" s="19">
        <f>+SUMPRODUCT(E568:E571,$D568:$D571)</f>
        <v>0.90171160782827764</v>
      </c>
      <c r="F572" s="19">
        <f>+SUMPRODUCT(F568:F571,$D568:$D571)</f>
        <v>0.84819980736737988</v>
      </c>
      <c r="G572" s="19">
        <f t="shared" ref="G572:AB572" si="523">+SUMPRODUCT(G568:G571,$D568:$D571)</f>
        <v>0.81938238931947815</v>
      </c>
      <c r="H572" s="19">
        <f t="shared" si="523"/>
        <v>0.8166126865916532</v>
      </c>
      <c r="I572" s="19">
        <f t="shared" si="523"/>
        <v>0.87266932898416072</v>
      </c>
      <c r="J572" s="19">
        <f t="shared" si="523"/>
        <v>1.0126276414030879</v>
      </c>
      <c r="K572" s="19">
        <f t="shared" si="523"/>
        <v>1.1369012321291692</v>
      </c>
      <c r="L572" s="19">
        <f t="shared" si="523"/>
        <v>1.1800022590785955</v>
      </c>
      <c r="M572" s="19">
        <f t="shared" si="523"/>
        <v>1.2316778353090858</v>
      </c>
      <c r="N572" s="19">
        <f t="shared" si="523"/>
        <v>1.2702760849689394</v>
      </c>
      <c r="O572" s="19">
        <f t="shared" si="523"/>
        <v>1.3268617504150093</v>
      </c>
      <c r="P572" s="19">
        <f t="shared" si="523"/>
        <v>1.3886375177646839</v>
      </c>
      <c r="Q572" s="19">
        <f t="shared" si="523"/>
        <v>1.3680007544081403</v>
      </c>
      <c r="R572" s="19">
        <f t="shared" si="523"/>
        <v>1.3214688892026851</v>
      </c>
      <c r="S572" s="19">
        <f t="shared" si="523"/>
        <v>1.3192362535432252</v>
      </c>
      <c r="T572" s="19">
        <f t="shared" si="523"/>
        <v>1.3444180315601395</v>
      </c>
      <c r="U572" s="19">
        <f t="shared" si="523"/>
        <v>1.3736806923208764</v>
      </c>
      <c r="V572" s="19">
        <f t="shared" si="523"/>
        <v>1.434366999703147</v>
      </c>
      <c r="W572" s="19">
        <f t="shared" si="523"/>
        <v>1.7056804224458719</v>
      </c>
      <c r="X572" s="19">
        <f t="shared" si="523"/>
        <v>1.8518800837658898</v>
      </c>
      <c r="Y572" s="19">
        <f t="shared" si="523"/>
        <v>1.7188907269101723</v>
      </c>
      <c r="Z572" s="19">
        <f t="shared" si="523"/>
        <v>1.5032102779770367</v>
      </c>
      <c r="AA572" s="19">
        <f t="shared" si="523"/>
        <v>1.2361345853450618</v>
      </c>
      <c r="AB572" s="19">
        <f t="shared" si="523"/>
        <v>1.017472141658234</v>
      </c>
      <c r="AC572" s="12">
        <f>+SUM(E572:AB572)</f>
        <v>29.999999999999996</v>
      </c>
    </row>
    <row r="573" spans="2:29">
      <c r="B573" s="15">
        <f>+EDATE(B568,1)</f>
        <v>48335</v>
      </c>
      <c r="C573" s="8" t="s">
        <v>45</v>
      </c>
      <c r="D573" s="8">
        <v>19</v>
      </c>
      <c r="E573" s="50">
        <f t="shared" ref="E573:AB573" si="524">+E513</f>
        <v>2.9361257124838391E-2</v>
      </c>
      <c r="F573" s="50">
        <f t="shared" si="524"/>
        <v>2.7692710332229715E-2</v>
      </c>
      <c r="G573" s="50">
        <f t="shared" si="524"/>
        <v>2.6785161397696527E-2</v>
      </c>
      <c r="H573" s="50">
        <f t="shared" si="524"/>
        <v>2.6786989368939883E-2</v>
      </c>
      <c r="I573" s="50">
        <f t="shared" si="524"/>
        <v>2.9135775177511477E-2</v>
      </c>
      <c r="J573" s="50">
        <f t="shared" si="524"/>
        <v>3.4540443856715661E-2</v>
      </c>
      <c r="K573" s="50">
        <f t="shared" si="524"/>
        <v>3.8789035252325646E-2</v>
      </c>
      <c r="L573" s="50">
        <f t="shared" si="524"/>
        <v>3.957865839345593E-2</v>
      </c>
      <c r="M573" s="50">
        <f t="shared" si="524"/>
        <v>4.0957538271781398E-2</v>
      </c>
      <c r="N573" s="50">
        <f t="shared" si="524"/>
        <v>4.2166920044863825E-2</v>
      </c>
      <c r="O573" s="50">
        <f t="shared" si="524"/>
        <v>4.4150374939633218E-2</v>
      </c>
      <c r="P573" s="50">
        <f t="shared" si="524"/>
        <v>4.6294816466469102E-2</v>
      </c>
      <c r="Q573" s="50">
        <f t="shared" si="524"/>
        <v>4.5431875959152102E-2</v>
      </c>
      <c r="R573" s="50">
        <f t="shared" si="524"/>
        <v>4.3879728503346101E-2</v>
      </c>
      <c r="S573" s="50">
        <f t="shared" si="524"/>
        <v>4.4118506624640258E-2</v>
      </c>
      <c r="T573" s="50">
        <f t="shared" si="524"/>
        <v>4.5188432655351718E-2</v>
      </c>
      <c r="U573" s="50">
        <f t="shared" si="524"/>
        <v>4.624302558461979E-2</v>
      </c>
      <c r="V573" s="50">
        <f t="shared" si="524"/>
        <v>4.8247238962955179E-2</v>
      </c>
      <c r="W573" s="50">
        <f t="shared" si="524"/>
        <v>5.7096885328092907E-2</v>
      </c>
      <c r="X573" s="50">
        <f t="shared" si="524"/>
        <v>6.1739938045350239E-2</v>
      </c>
      <c r="Y573" s="50">
        <f t="shared" si="524"/>
        <v>5.7231881517227232E-2</v>
      </c>
      <c r="Z573" s="50">
        <f t="shared" si="524"/>
        <v>5.0129255438435008E-2</v>
      </c>
      <c r="AA573" s="50">
        <f t="shared" si="524"/>
        <v>4.1010488221716553E-2</v>
      </c>
      <c r="AB573" s="50">
        <f t="shared" si="524"/>
        <v>3.34430625326523E-2</v>
      </c>
      <c r="AC573" s="8">
        <f>+SUM(E573:AB573)*D573</f>
        <v>19.000000000000004</v>
      </c>
    </row>
    <row r="574" spans="2:29">
      <c r="B574" s="16"/>
      <c r="C574" s="8" t="s">
        <v>46</v>
      </c>
      <c r="D574" s="8">
        <v>4</v>
      </c>
      <c r="E574" s="50">
        <f t="shared" ref="E574:AB574" si="525">+E514</f>
        <v>3.0659473205105158E-2</v>
      </c>
      <c r="F574" s="50">
        <f t="shared" si="525"/>
        <v>2.8600001140869122E-2</v>
      </c>
      <c r="G574" s="50">
        <f t="shared" si="525"/>
        <v>2.7683858575034276E-2</v>
      </c>
      <c r="H574" s="50">
        <f t="shared" si="525"/>
        <v>2.7537802139610414E-2</v>
      </c>
      <c r="I574" s="50">
        <f t="shared" si="525"/>
        <v>2.8782539770184416E-2</v>
      </c>
      <c r="J574" s="50">
        <f t="shared" si="525"/>
        <v>3.2241585579716119E-2</v>
      </c>
      <c r="K574" s="50">
        <f t="shared" si="525"/>
        <v>3.645312931015221E-2</v>
      </c>
      <c r="L574" s="50">
        <f t="shared" si="525"/>
        <v>3.9012639181609042E-2</v>
      </c>
      <c r="M574" s="50">
        <f t="shared" si="525"/>
        <v>4.1549207589560662E-2</v>
      </c>
      <c r="N574" s="50">
        <f t="shared" si="525"/>
        <v>4.3042516751632572E-2</v>
      </c>
      <c r="O574" s="50">
        <f t="shared" si="525"/>
        <v>4.4973693586955334E-2</v>
      </c>
      <c r="P574" s="50">
        <f t="shared" si="525"/>
        <v>4.6808021710202923E-2</v>
      </c>
      <c r="Q574" s="50">
        <f t="shared" si="525"/>
        <v>4.6383383047344962E-2</v>
      </c>
      <c r="R574" s="50">
        <f t="shared" si="525"/>
        <v>4.4751654806610461E-2</v>
      </c>
      <c r="S574" s="50">
        <f t="shared" si="525"/>
        <v>4.4013077558728637E-2</v>
      </c>
      <c r="T574" s="50">
        <f t="shared" si="525"/>
        <v>4.428856091631931E-2</v>
      </c>
      <c r="U574" s="50">
        <f t="shared" si="525"/>
        <v>4.49735778579251E-2</v>
      </c>
      <c r="V574" s="50">
        <f t="shared" si="525"/>
        <v>4.6933206789217301E-2</v>
      </c>
      <c r="W574" s="50">
        <f t="shared" si="525"/>
        <v>5.6210586428141023E-2</v>
      </c>
      <c r="X574" s="50">
        <f t="shared" si="525"/>
        <v>6.1205656691958259E-2</v>
      </c>
      <c r="Y574" s="50">
        <f t="shared" si="525"/>
        <v>5.7018442088769522E-2</v>
      </c>
      <c r="Z574" s="50">
        <f t="shared" si="525"/>
        <v>4.9896672365740725E-2</v>
      </c>
      <c r="AA574" s="50">
        <f t="shared" si="525"/>
        <v>4.1622868086918119E-2</v>
      </c>
      <c r="AB574" s="50">
        <f t="shared" si="525"/>
        <v>3.5357844821693719E-2</v>
      </c>
      <c r="AC574" s="8">
        <f t="shared" ref="AC574:AC575" si="526">+SUM(E574:AB574)*D574</f>
        <v>3.9999999999999969</v>
      </c>
    </row>
    <row r="575" spans="2:29">
      <c r="B575" s="16"/>
      <c r="C575" s="8" t="s">
        <v>47</v>
      </c>
      <c r="D575" s="8">
        <v>5</v>
      </c>
      <c r="E575" s="50">
        <f t="shared" ref="E575:AB575" si="527">+E515</f>
        <v>3.3281514565353124E-2</v>
      </c>
      <c r="F575" s="50">
        <f t="shared" si="527"/>
        <v>3.1140043873712407E-2</v>
      </c>
      <c r="G575" s="50">
        <f t="shared" si="527"/>
        <v>2.984335106750436E-2</v>
      </c>
      <c r="H575" s="50">
        <f t="shared" si="527"/>
        <v>2.9286927979133532E-2</v>
      </c>
      <c r="I575" s="50">
        <f t="shared" si="527"/>
        <v>2.9138028999542646E-2</v>
      </c>
      <c r="J575" s="50">
        <f t="shared" si="527"/>
        <v>3.0942883559119717E-2</v>
      </c>
      <c r="K575" s="50">
        <f t="shared" si="527"/>
        <v>3.4432484834348992E-2</v>
      </c>
      <c r="L575" s="50">
        <f t="shared" si="527"/>
        <v>3.8305304424032266E-2</v>
      </c>
      <c r="M575" s="50">
        <f t="shared" si="527"/>
        <v>4.1103790742913066E-2</v>
      </c>
      <c r="N575" s="50">
        <f t="shared" si="527"/>
        <v>4.2608444243851212E-2</v>
      </c>
      <c r="O575" s="50">
        <f t="shared" si="527"/>
        <v>4.3914681848814308E-2</v>
      </c>
      <c r="P575" s="50">
        <f t="shared" si="527"/>
        <v>4.5729867165388009E-2</v>
      </c>
      <c r="Q575" s="50">
        <f t="shared" si="527"/>
        <v>4.5741487779353565E-2</v>
      </c>
      <c r="R575" s="50">
        <f t="shared" si="527"/>
        <v>4.4277060725657284E-2</v>
      </c>
      <c r="S575" s="50">
        <f t="shared" si="527"/>
        <v>4.3144199391556254E-2</v>
      </c>
      <c r="T575" s="50">
        <f t="shared" si="527"/>
        <v>4.3279567369281124E-2</v>
      </c>
      <c r="U575" s="50">
        <f t="shared" si="527"/>
        <v>4.4109954506885138E-2</v>
      </c>
      <c r="V575" s="50">
        <f t="shared" si="527"/>
        <v>4.6298728840315946E-2</v>
      </c>
      <c r="W575" s="50">
        <f t="shared" si="527"/>
        <v>5.6176649878816001E-2</v>
      </c>
      <c r="X575" s="50">
        <f t="shared" si="527"/>
        <v>6.2194705000087863E-2</v>
      </c>
      <c r="Y575" s="50">
        <f t="shared" si="527"/>
        <v>5.7928891294023718E-2</v>
      </c>
      <c r="Z575" s="50">
        <f t="shared" si="527"/>
        <v>5.019499221712586E-2</v>
      </c>
      <c r="AA575" s="50">
        <f t="shared" si="527"/>
        <v>4.1853093029906328E-2</v>
      </c>
      <c r="AB575" s="50">
        <f t="shared" si="527"/>
        <v>3.507334666327714E-2</v>
      </c>
      <c r="AC575" s="8">
        <f t="shared" si="526"/>
        <v>4.9999999999999991</v>
      </c>
    </row>
    <row r="576" spans="2:29">
      <c r="B576" s="16"/>
      <c r="C576" s="8" t="s">
        <v>48</v>
      </c>
      <c r="D576" s="8">
        <v>3</v>
      </c>
      <c r="E576" s="50">
        <f t="shared" ref="E576:AB576" si="528">+E516</f>
        <v>3.367503361886829E-2</v>
      </c>
      <c r="F576" s="50">
        <f t="shared" si="528"/>
        <v>3.1245692535415936E-2</v>
      </c>
      <c r="G576" s="50">
        <f t="shared" si="528"/>
        <v>2.9861746203171599E-2</v>
      </c>
      <c r="H576" s="50">
        <f t="shared" si="528"/>
        <v>2.9235019370742008E-2</v>
      </c>
      <c r="I576" s="50">
        <f t="shared" si="528"/>
        <v>3.0186379118294998E-2</v>
      </c>
      <c r="J576" s="50">
        <f t="shared" si="528"/>
        <v>3.3123682717801174E-2</v>
      </c>
      <c r="K576" s="50">
        <f t="shared" si="528"/>
        <v>3.5563630818173868E-2</v>
      </c>
      <c r="L576" s="50">
        <f t="shared" si="528"/>
        <v>3.7375437025807548E-2</v>
      </c>
      <c r="M576" s="50">
        <f t="shared" si="528"/>
        <v>3.9557895894381336E-2</v>
      </c>
      <c r="N576" s="50">
        <f t="shared" si="528"/>
        <v>4.1330002492198488E-2</v>
      </c>
      <c r="O576" s="50">
        <f t="shared" si="528"/>
        <v>4.3273465010057272E-2</v>
      </c>
      <c r="P576" s="50">
        <f t="shared" si="528"/>
        <v>4.5278417057592932E-2</v>
      </c>
      <c r="Q576" s="50">
        <f t="shared" si="528"/>
        <v>4.5765189585786785E-2</v>
      </c>
      <c r="R576" s="50">
        <f t="shared" si="528"/>
        <v>4.421428774797561E-2</v>
      </c>
      <c r="S576" s="50">
        <f t="shared" si="528"/>
        <v>4.3245429527174986E-2</v>
      </c>
      <c r="T576" s="50">
        <f t="shared" si="528"/>
        <v>4.3554999005074702E-2</v>
      </c>
      <c r="U576" s="50">
        <f t="shared" si="528"/>
        <v>4.4435510161992771E-2</v>
      </c>
      <c r="V576" s="50">
        <f t="shared" si="528"/>
        <v>4.717219114348542E-2</v>
      </c>
      <c r="W576" s="50">
        <f t="shared" si="528"/>
        <v>5.6899741232983039E-2</v>
      </c>
      <c r="X576" s="50">
        <f t="shared" si="528"/>
        <v>6.1986738769463187E-2</v>
      </c>
      <c r="Y576" s="50">
        <f t="shared" si="528"/>
        <v>5.7208700429979269E-2</v>
      </c>
      <c r="Z576" s="50">
        <f t="shared" si="528"/>
        <v>4.9339560702577757E-2</v>
      </c>
      <c r="AA576" s="50">
        <f t="shared" si="528"/>
        <v>4.1368944501432053E-2</v>
      </c>
      <c r="AB576" s="50">
        <f t="shared" si="528"/>
        <v>3.5102305329568817E-2</v>
      </c>
      <c r="AC576" s="8">
        <f>+SUM(E576:AB576)*D576</f>
        <v>2.9999999999999991</v>
      </c>
    </row>
    <row r="577" spans="2:29">
      <c r="B577" s="12"/>
      <c r="C577" s="12" t="s">
        <v>15</v>
      </c>
      <c r="D577" s="12">
        <f>+SUM(D573:D576)</f>
        <v>31</v>
      </c>
      <c r="E577" s="19">
        <f>+SUMPRODUCT(E573:E576,$D573:$D576)</f>
        <v>0.94793445187572056</v>
      </c>
      <c r="F577" s="19">
        <f>+SUMPRODUCT(F573:F576,$D573:$D576)</f>
        <v>0.88999879785065084</v>
      </c>
      <c r="G577" s="19">
        <f t="shared" ref="G577:AB577" si="529">+SUMPRODUCT(G573:G576,$D573:$D576)</f>
        <v>0.85845549480340777</v>
      </c>
      <c r="H577" s="19">
        <f t="shared" si="529"/>
        <v>0.85324370457619314</v>
      </c>
      <c r="I577" s="19">
        <f t="shared" si="529"/>
        <v>0.90495916980605395</v>
      </c>
      <c r="J577" s="19">
        <f t="shared" si="529"/>
        <v>1.0393202415454641</v>
      </c>
      <c r="K577" s="19">
        <f t="shared" si="529"/>
        <v>1.1616575036610626</v>
      </c>
      <c r="L577" s="19">
        <f t="shared" si="529"/>
        <v>1.211697899399683</v>
      </c>
      <c r="M577" s="19">
        <f t="shared" si="529"/>
        <v>1.2685826989197986</v>
      </c>
      <c r="N577" s="19">
        <f t="shared" si="529"/>
        <v>1.3103737765547943</v>
      </c>
      <c r="O577" s="19">
        <f t="shared" si="529"/>
        <v>1.3681457024750958</v>
      </c>
      <c r="P577" s="19">
        <f t="shared" si="529"/>
        <v>1.4313181867034435</v>
      </c>
      <c r="Q577" s="19">
        <f t="shared" si="529"/>
        <v>1.4147421830673979</v>
      </c>
      <c r="R577" s="19">
        <f t="shared" si="529"/>
        <v>1.3667496276622311</v>
      </c>
      <c r="S577" s="19">
        <f t="shared" si="529"/>
        <v>1.3597612216423858</v>
      </c>
      <c r="T577" s="19">
        <f t="shared" si="529"/>
        <v>1.3827972979785896</v>
      </c>
      <c r="U577" s="19">
        <f t="shared" si="529"/>
        <v>1.4123681005598805</v>
      </c>
      <c r="V577" s="19">
        <f t="shared" si="529"/>
        <v>1.4774405850850536</v>
      </c>
      <c r="W577" s="19">
        <f t="shared" si="529"/>
        <v>1.7612656400393585</v>
      </c>
      <c r="X577" s="19">
        <f t="shared" si="529"/>
        <v>1.9148151909383164</v>
      </c>
      <c r="Y577" s="19">
        <f t="shared" si="529"/>
        <v>1.7767500749424519</v>
      </c>
      <c r="Z577" s="19">
        <f t="shared" si="529"/>
        <v>1.5510361859865909</v>
      </c>
      <c r="AA577" s="19">
        <f t="shared" si="529"/>
        <v>1.2790630472141147</v>
      </c>
      <c r="AB577" s="19">
        <f t="shared" si="529"/>
        <v>1.0575232167122608</v>
      </c>
      <c r="AC577" s="12">
        <f>+SUM(E577:AB577)</f>
        <v>31.000000000000004</v>
      </c>
    </row>
    <row r="578" spans="2:29">
      <c r="B578" s="15">
        <f>+EDATE(B573,1)</f>
        <v>48366</v>
      </c>
      <c r="C578" s="8" t="s">
        <v>45</v>
      </c>
      <c r="D578" s="8">
        <v>21</v>
      </c>
      <c r="E578" s="50">
        <f t="shared" ref="E578:AB578" si="530">+E518</f>
        <v>2.9361257124838391E-2</v>
      </c>
      <c r="F578" s="50">
        <f t="shared" si="530"/>
        <v>2.7692710332229715E-2</v>
      </c>
      <c r="G578" s="50">
        <f t="shared" si="530"/>
        <v>2.6785161397696527E-2</v>
      </c>
      <c r="H578" s="50">
        <f t="shared" si="530"/>
        <v>2.6786989368939883E-2</v>
      </c>
      <c r="I578" s="50">
        <f t="shared" si="530"/>
        <v>2.9135775177511477E-2</v>
      </c>
      <c r="J578" s="50">
        <f t="shared" si="530"/>
        <v>3.4540443856715661E-2</v>
      </c>
      <c r="K578" s="50">
        <f t="shared" si="530"/>
        <v>3.8789035252325646E-2</v>
      </c>
      <c r="L578" s="50">
        <f t="shared" si="530"/>
        <v>3.957865839345593E-2</v>
      </c>
      <c r="M578" s="50">
        <f t="shared" si="530"/>
        <v>4.0957538271781398E-2</v>
      </c>
      <c r="N578" s="50">
        <f t="shared" si="530"/>
        <v>4.2166920044863825E-2</v>
      </c>
      <c r="O578" s="50">
        <f t="shared" si="530"/>
        <v>4.4150374939633218E-2</v>
      </c>
      <c r="P578" s="50">
        <f t="shared" si="530"/>
        <v>4.6294816466469102E-2</v>
      </c>
      <c r="Q578" s="50">
        <f t="shared" si="530"/>
        <v>4.5431875959152102E-2</v>
      </c>
      <c r="R578" s="50">
        <f t="shared" si="530"/>
        <v>4.3879728503346101E-2</v>
      </c>
      <c r="S578" s="50">
        <f t="shared" si="530"/>
        <v>4.4118506624640258E-2</v>
      </c>
      <c r="T578" s="50">
        <f t="shared" si="530"/>
        <v>4.5188432655351718E-2</v>
      </c>
      <c r="U578" s="50">
        <f t="shared" si="530"/>
        <v>4.624302558461979E-2</v>
      </c>
      <c r="V578" s="50">
        <f t="shared" si="530"/>
        <v>4.8247238962955179E-2</v>
      </c>
      <c r="W578" s="50">
        <f t="shared" si="530"/>
        <v>5.7096885328092907E-2</v>
      </c>
      <c r="X578" s="50">
        <f t="shared" si="530"/>
        <v>6.1739938045350239E-2</v>
      </c>
      <c r="Y578" s="50">
        <f t="shared" si="530"/>
        <v>5.7231881517227232E-2</v>
      </c>
      <c r="Z578" s="50">
        <f t="shared" si="530"/>
        <v>5.0129255438435008E-2</v>
      </c>
      <c r="AA578" s="50">
        <f t="shared" si="530"/>
        <v>4.1010488221716553E-2</v>
      </c>
      <c r="AB578" s="50">
        <f t="shared" si="530"/>
        <v>3.34430625326523E-2</v>
      </c>
      <c r="AC578" s="8">
        <f>+SUM(E578:AB578)*D578</f>
        <v>21.000000000000004</v>
      </c>
    </row>
    <row r="579" spans="2:29">
      <c r="B579" s="16"/>
      <c r="C579" s="8" t="s">
        <v>46</v>
      </c>
      <c r="D579" s="8">
        <v>4</v>
      </c>
      <c r="E579" s="50">
        <f t="shared" ref="E579:AB579" si="531">+E519</f>
        <v>3.0659473205105158E-2</v>
      </c>
      <c r="F579" s="50">
        <f t="shared" si="531"/>
        <v>2.8600001140869122E-2</v>
      </c>
      <c r="G579" s="50">
        <f t="shared" si="531"/>
        <v>2.7683858575034276E-2</v>
      </c>
      <c r="H579" s="50">
        <f t="shared" si="531"/>
        <v>2.7537802139610414E-2</v>
      </c>
      <c r="I579" s="50">
        <f t="shared" si="531"/>
        <v>2.8782539770184416E-2</v>
      </c>
      <c r="J579" s="50">
        <f t="shared" si="531"/>
        <v>3.2241585579716119E-2</v>
      </c>
      <c r="K579" s="50">
        <f t="shared" si="531"/>
        <v>3.645312931015221E-2</v>
      </c>
      <c r="L579" s="50">
        <f t="shared" si="531"/>
        <v>3.9012639181609042E-2</v>
      </c>
      <c r="M579" s="50">
        <f t="shared" si="531"/>
        <v>4.1549207589560662E-2</v>
      </c>
      <c r="N579" s="50">
        <f t="shared" si="531"/>
        <v>4.3042516751632572E-2</v>
      </c>
      <c r="O579" s="50">
        <f t="shared" si="531"/>
        <v>4.4973693586955334E-2</v>
      </c>
      <c r="P579" s="50">
        <f t="shared" si="531"/>
        <v>4.6808021710202923E-2</v>
      </c>
      <c r="Q579" s="50">
        <f t="shared" si="531"/>
        <v>4.6383383047344962E-2</v>
      </c>
      <c r="R579" s="50">
        <f t="shared" si="531"/>
        <v>4.4751654806610461E-2</v>
      </c>
      <c r="S579" s="50">
        <f t="shared" si="531"/>
        <v>4.4013077558728637E-2</v>
      </c>
      <c r="T579" s="50">
        <f t="shared" si="531"/>
        <v>4.428856091631931E-2</v>
      </c>
      <c r="U579" s="50">
        <f t="shared" si="531"/>
        <v>4.49735778579251E-2</v>
      </c>
      <c r="V579" s="50">
        <f t="shared" si="531"/>
        <v>4.6933206789217301E-2</v>
      </c>
      <c r="W579" s="50">
        <f t="shared" si="531"/>
        <v>5.6210586428141023E-2</v>
      </c>
      <c r="X579" s="50">
        <f t="shared" si="531"/>
        <v>6.1205656691958259E-2</v>
      </c>
      <c r="Y579" s="50">
        <f t="shared" si="531"/>
        <v>5.7018442088769522E-2</v>
      </c>
      <c r="Z579" s="50">
        <f t="shared" si="531"/>
        <v>4.9896672365740725E-2</v>
      </c>
      <c r="AA579" s="50">
        <f t="shared" si="531"/>
        <v>4.1622868086918119E-2</v>
      </c>
      <c r="AB579" s="50">
        <f t="shared" si="531"/>
        <v>3.5357844821693719E-2</v>
      </c>
      <c r="AC579" s="8">
        <f t="shared" ref="AC579:AC581" si="532">+SUM(E579:AB579)*D579</f>
        <v>3.9999999999999969</v>
      </c>
    </row>
    <row r="580" spans="2:29">
      <c r="B580" s="16"/>
      <c r="C580" s="8" t="s">
        <v>47</v>
      </c>
      <c r="D580" s="8">
        <v>4</v>
      </c>
      <c r="E580" s="50">
        <f t="shared" ref="E580:AB580" si="533">+E520</f>
        <v>3.3281514565353124E-2</v>
      </c>
      <c r="F580" s="50">
        <f t="shared" si="533"/>
        <v>3.1140043873712407E-2</v>
      </c>
      <c r="G580" s="50">
        <f t="shared" si="533"/>
        <v>2.984335106750436E-2</v>
      </c>
      <c r="H580" s="50">
        <f t="shared" si="533"/>
        <v>2.9286927979133532E-2</v>
      </c>
      <c r="I580" s="50">
        <f t="shared" si="533"/>
        <v>2.9138028999542646E-2</v>
      </c>
      <c r="J580" s="50">
        <f t="shared" si="533"/>
        <v>3.0942883559119717E-2</v>
      </c>
      <c r="K580" s="50">
        <f t="shared" si="533"/>
        <v>3.4432484834348992E-2</v>
      </c>
      <c r="L580" s="50">
        <f t="shared" si="533"/>
        <v>3.8305304424032266E-2</v>
      </c>
      <c r="M580" s="50">
        <f t="shared" si="533"/>
        <v>4.1103790742913066E-2</v>
      </c>
      <c r="N580" s="50">
        <f t="shared" si="533"/>
        <v>4.2608444243851212E-2</v>
      </c>
      <c r="O580" s="50">
        <f t="shared" si="533"/>
        <v>4.3914681848814308E-2</v>
      </c>
      <c r="P580" s="50">
        <f t="shared" si="533"/>
        <v>4.5729867165388009E-2</v>
      </c>
      <c r="Q580" s="50">
        <f t="shared" si="533"/>
        <v>4.5741487779353565E-2</v>
      </c>
      <c r="R580" s="50">
        <f t="shared" si="533"/>
        <v>4.4277060725657284E-2</v>
      </c>
      <c r="S580" s="50">
        <f t="shared" si="533"/>
        <v>4.3144199391556254E-2</v>
      </c>
      <c r="T580" s="50">
        <f t="shared" si="533"/>
        <v>4.3279567369281124E-2</v>
      </c>
      <c r="U580" s="50">
        <f t="shared" si="533"/>
        <v>4.4109954506885138E-2</v>
      </c>
      <c r="V580" s="50">
        <f t="shared" si="533"/>
        <v>4.6298728840315946E-2</v>
      </c>
      <c r="W580" s="50">
        <f t="shared" si="533"/>
        <v>5.6176649878816001E-2</v>
      </c>
      <c r="X580" s="50">
        <f t="shared" si="533"/>
        <v>6.2194705000087863E-2</v>
      </c>
      <c r="Y580" s="50">
        <f t="shared" si="533"/>
        <v>5.7928891294023718E-2</v>
      </c>
      <c r="Z580" s="50">
        <f t="shared" si="533"/>
        <v>5.019499221712586E-2</v>
      </c>
      <c r="AA580" s="50">
        <f t="shared" si="533"/>
        <v>4.1853093029906328E-2</v>
      </c>
      <c r="AB580" s="50">
        <f t="shared" si="533"/>
        <v>3.507334666327714E-2</v>
      </c>
      <c r="AC580" s="8">
        <f t="shared" si="532"/>
        <v>3.9999999999999991</v>
      </c>
    </row>
    <row r="581" spans="2:29">
      <c r="B581" s="16"/>
      <c r="C581" s="8" t="s">
        <v>48</v>
      </c>
      <c r="D581" s="8">
        <v>1</v>
      </c>
      <c r="E581" s="50">
        <f t="shared" ref="E581:AB581" si="534">+E521</f>
        <v>3.367503361886829E-2</v>
      </c>
      <c r="F581" s="50">
        <f t="shared" si="534"/>
        <v>3.1245692535415936E-2</v>
      </c>
      <c r="G581" s="50">
        <f t="shared" si="534"/>
        <v>2.9861746203171599E-2</v>
      </c>
      <c r="H581" s="50">
        <f t="shared" si="534"/>
        <v>2.9235019370742008E-2</v>
      </c>
      <c r="I581" s="50">
        <f t="shared" si="534"/>
        <v>3.0186379118294998E-2</v>
      </c>
      <c r="J581" s="50">
        <f t="shared" si="534"/>
        <v>3.3123682717801174E-2</v>
      </c>
      <c r="K581" s="50">
        <f t="shared" si="534"/>
        <v>3.5563630818173868E-2</v>
      </c>
      <c r="L581" s="50">
        <f t="shared" si="534"/>
        <v>3.7375437025807548E-2</v>
      </c>
      <c r="M581" s="50">
        <f t="shared" si="534"/>
        <v>3.9557895894381336E-2</v>
      </c>
      <c r="N581" s="50">
        <f t="shared" si="534"/>
        <v>4.1330002492198488E-2</v>
      </c>
      <c r="O581" s="50">
        <f t="shared" si="534"/>
        <v>4.3273465010057272E-2</v>
      </c>
      <c r="P581" s="50">
        <f t="shared" si="534"/>
        <v>4.5278417057592932E-2</v>
      </c>
      <c r="Q581" s="50">
        <f t="shared" si="534"/>
        <v>4.5765189585786785E-2</v>
      </c>
      <c r="R581" s="50">
        <f t="shared" si="534"/>
        <v>4.421428774797561E-2</v>
      </c>
      <c r="S581" s="50">
        <f t="shared" si="534"/>
        <v>4.3245429527174986E-2</v>
      </c>
      <c r="T581" s="50">
        <f t="shared" si="534"/>
        <v>4.3554999005074702E-2</v>
      </c>
      <c r="U581" s="50">
        <f t="shared" si="534"/>
        <v>4.4435510161992771E-2</v>
      </c>
      <c r="V581" s="50">
        <f t="shared" si="534"/>
        <v>4.717219114348542E-2</v>
      </c>
      <c r="W581" s="50">
        <f t="shared" si="534"/>
        <v>5.6899741232983039E-2</v>
      </c>
      <c r="X581" s="50">
        <f t="shared" si="534"/>
        <v>6.1986738769463187E-2</v>
      </c>
      <c r="Y581" s="50">
        <f t="shared" si="534"/>
        <v>5.7208700429979269E-2</v>
      </c>
      <c r="Z581" s="50">
        <f t="shared" si="534"/>
        <v>4.9339560702577757E-2</v>
      </c>
      <c r="AA581" s="50">
        <f t="shared" si="534"/>
        <v>4.1368944501432053E-2</v>
      </c>
      <c r="AB581" s="50">
        <f t="shared" si="534"/>
        <v>3.5102305329568817E-2</v>
      </c>
      <c r="AC581" s="8">
        <f t="shared" si="532"/>
        <v>0.99999999999999978</v>
      </c>
    </row>
    <row r="582" spans="2:29">
      <c r="B582" s="12"/>
      <c r="C582" s="12" t="s">
        <v>15</v>
      </c>
      <c r="D582" s="12">
        <f>+SUM(D578:D581)</f>
        <v>30</v>
      </c>
      <c r="E582" s="19">
        <f>+SUMPRODUCT(E578:E581,$D578:$D581)</f>
        <v>0.90602538432230761</v>
      </c>
      <c r="F582" s="19">
        <f>+SUMPRODUCT(F578:F581,$D578:$D581)</f>
        <v>0.8517527895705661</v>
      </c>
      <c r="G582" s="19">
        <f t="shared" ref="G582:AB582" si="535">+SUMPRODUCT(G578:G581,$D578:$D581)</f>
        <v>0.82245897412495317</v>
      </c>
      <c r="H582" s="19">
        <f t="shared" si="535"/>
        <v>0.81906071659345536</v>
      </c>
      <c r="I582" s="19">
        <f t="shared" si="535"/>
        <v>0.87371993292494432</v>
      </c>
      <c r="J582" s="19">
        <f t="shared" si="535"/>
        <v>1.0112108802641735</v>
      </c>
      <c r="K582" s="19">
        <f t="shared" si="535"/>
        <v>1.1336758276950172</v>
      </c>
      <c r="L582" s="19">
        <f t="shared" si="535"/>
        <v>1.1777990377109473</v>
      </c>
      <c r="M582" s="19">
        <f t="shared" si="535"/>
        <v>1.2302781929316857</v>
      </c>
      <c r="N582" s="19">
        <f t="shared" si="535"/>
        <v>1.2694391674162742</v>
      </c>
      <c r="O582" s="19">
        <f t="shared" si="535"/>
        <v>1.3259848404854333</v>
      </c>
      <c r="P582" s="19">
        <f t="shared" si="535"/>
        <v>1.3876211183558078</v>
      </c>
      <c r="Q582" s="19">
        <f t="shared" si="535"/>
        <v>1.3683340680347749</v>
      </c>
      <c r="R582" s="19">
        <f t="shared" si="535"/>
        <v>1.3218034484473147</v>
      </c>
      <c r="S582" s="19">
        <f t="shared" si="535"/>
        <v>1.31836317644576</v>
      </c>
      <c r="T582" s="19">
        <f t="shared" si="535"/>
        <v>1.3427845979098627</v>
      </c>
      <c r="U582" s="19">
        <f t="shared" si="535"/>
        <v>1.3718731768982495</v>
      </c>
      <c r="V582" s="19">
        <f t="shared" si="535"/>
        <v>1.4332919518836773</v>
      </c>
      <c r="W582" s="19">
        <f t="shared" si="535"/>
        <v>1.7054832783507621</v>
      </c>
      <c r="X582" s="19">
        <f t="shared" si="535"/>
        <v>1.852126884490003</v>
      </c>
      <c r="Y582" s="19">
        <f t="shared" si="535"/>
        <v>1.7188675458229241</v>
      </c>
      <c r="Z582" s="19">
        <f t="shared" si="535"/>
        <v>1.5024205832411794</v>
      </c>
      <c r="AA582" s="19">
        <f t="shared" si="535"/>
        <v>1.2364930416247775</v>
      </c>
      <c r="AB582" s="19">
        <f t="shared" si="535"/>
        <v>1.0191313844551506</v>
      </c>
      <c r="AC582" s="12">
        <f>+SUM(E582:AB582)</f>
        <v>29.999999999999996</v>
      </c>
    </row>
    <row r="583" spans="2:29">
      <c r="B583" s="15">
        <f>+EDATE(B578,1)</f>
        <v>48396</v>
      </c>
      <c r="C583" s="8" t="s">
        <v>45</v>
      </c>
      <c r="D583" s="8">
        <v>20</v>
      </c>
      <c r="E583" s="50">
        <f t="shared" ref="E583:AB583" si="536">+E523</f>
        <v>2.9361257124838391E-2</v>
      </c>
      <c r="F583" s="50">
        <f t="shared" si="536"/>
        <v>2.7692710332229715E-2</v>
      </c>
      <c r="G583" s="50">
        <f t="shared" si="536"/>
        <v>2.6785161397696527E-2</v>
      </c>
      <c r="H583" s="50">
        <f t="shared" si="536"/>
        <v>2.6786989368939883E-2</v>
      </c>
      <c r="I583" s="50">
        <f t="shared" si="536"/>
        <v>2.9135775177511477E-2</v>
      </c>
      <c r="J583" s="50">
        <f t="shared" si="536"/>
        <v>3.4540443856715661E-2</v>
      </c>
      <c r="K583" s="50">
        <f t="shared" si="536"/>
        <v>3.8789035252325646E-2</v>
      </c>
      <c r="L583" s="50">
        <f t="shared" si="536"/>
        <v>3.957865839345593E-2</v>
      </c>
      <c r="M583" s="50">
        <f t="shared" si="536"/>
        <v>4.0957538271781398E-2</v>
      </c>
      <c r="N583" s="50">
        <f t="shared" si="536"/>
        <v>4.2166920044863825E-2</v>
      </c>
      <c r="O583" s="50">
        <f t="shared" si="536"/>
        <v>4.4150374939633218E-2</v>
      </c>
      <c r="P583" s="50">
        <f t="shared" si="536"/>
        <v>4.6294816466469102E-2</v>
      </c>
      <c r="Q583" s="50">
        <f t="shared" si="536"/>
        <v>4.5431875959152102E-2</v>
      </c>
      <c r="R583" s="50">
        <f t="shared" si="536"/>
        <v>4.3879728503346101E-2</v>
      </c>
      <c r="S583" s="50">
        <f t="shared" si="536"/>
        <v>4.4118506624640258E-2</v>
      </c>
      <c r="T583" s="50">
        <f t="shared" si="536"/>
        <v>4.5188432655351718E-2</v>
      </c>
      <c r="U583" s="50">
        <f t="shared" si="536"/>
        <v>4.624302558461979E-2</v>
      </c>
      <c r="V583" s="50">
        <f t="shared" si="536"/>
        <v>4.8247238962955179E-2</v>
      </c>
      <c r="W583" s="50">
        <f t="shared" si="536"/>
        <v>5.7096885328092907E-2</v>
      </c>
      <c r="X583" s="50">
        <f t="shared" si="536"/>
        <v>6.1739938045350239E-2</v>
      </c>
      <c r="Y583" s="50">
        <f t="shared" si="536"/>
        <v>5.7231881517227232E-2</v>
      </c>
      <c r="Z583" s="50">
        <f t="shared" si="536"/>
        <v>5.0129255438435008E-2</v>
      </c>
      <c r="AA583" s="50">
        <f t="shared" si="536"/>
        <v>4.1010488221716553E-2</v>
      </c>
      <c r="AB583" s="50">
        <f t="shared" si="536"/>
        <v>3.34430625326523E-2</v>
      </c>
      <c r="AC583" s="8">
        <f>+SUM(E583:AB583)*D583</f>
        <v>20.000000000000004</v>
      </c>
    </row>
    <row r="584" spans="2:29">
      <c r="B584" s="16"/>
      <c r="C584" s="8" t="s">
        <v>46</v>
      </c>
      <c r="D584" s="8">
        <v>5</v>
      </c>
      <c r="E584" s="50">
        <f t="shared" ref="E584:AB584" si="537">+E524</f>
        <v>3.0659473205105158E-2</v>
      </c>
      <c r="F584" s="50">
        <f t="shared" si="537"/>
        <v>2.8600001140869122E-2</v>
      </c>
      <c r="G584" s="50">
        <f t="shared" si="537"/>
        <v>2.7683858575034276E-2</v>
      </c>
      <c r="H584" s="50">
        <f t="shared" si="537"/>
        <v>2.7537802139610414E-2</v>
      </c>
      <c r="I584" s="50">
        <f t="shared" si="537"/>
        <v>2.8782539770184416E-2</v>
      </c>
      <c r="J584" s="50">
        <f t="shared" si="537"/>
        <v>3.2241585579716119E-2</v>
      </c>
      <c r="K584" s="50">
        <f t="shared" si="537"/>
        <v>3.645312931015221E-2</v>
      </c>
      <c r="L584" s="50">
        <f t="shared" si="537"/>
        <v>3.9012639181609042E-2</v>
      </c>
      <c r="M584" s="50">
        <f t="shared" si="537"/>
        <v>4.1549207589560662E-2</v>
      </c>
      <c r="N584" s="50">
        <f t="shared" si="537"/>
        <v>4.3042516751632572E-2</v>
      </c>
      <c r="O584" s="50">
        <f t="shared" si="537"/>
        <v>4.4973693586955334E-2</v>
      </c>
      <c r="P584" s="50">
        <f t="shared" si="537"/>
        <v>4.6808021710202923E-2</v>
      </c>
      <c r="Q584" s="50">
        <f t="shared" si="537"/>
        <v>4.6383383047344962E-2</v>
      </c>
      <c r="R584" s="50">
        <f t="shared" si="537"/>
        <v>4.4751654806610461E-2</v>
      </c>
      <c r="S584" s="50">
        <f t="shared" si="537"/>
        <v>4.4013077558728637E-2</v>
      </c>
      <c r="T584" s="50">
        <f t="shared" si="537"/>
        <v>4.428856091631931E-2</v>
      </c>
      <c r="U584" s="50">
        <f t="shared" si="537"/>
        <v>4.49735778579251E-2</v>
      </c>
      <c r="V584" s="50">
        <f t="shared" si="537"/>
        <v>4.6933206789217301E-2</v>
      </c>
      <c r="W584" s="50">
        <f t="shared" si="537"/>
        <v>5.6210586428141023E-2</v>
      </c>
      <c r="X584" s="50">
        <f t="shared" si="537"/>
        <v>6.1205656691958259E-2</v>
      </c>
      <c r="Y584" s="50">
        <f t="shared" si="537"/>
        <v>5.7018442088769522E-2</v>
      </c>
      <c r="Z584" s="50">
        <f t="shared" si="537"/>
        <v>4.9896672365740725E-2</v>
      </c>
      <c r="AA584" s="50">
        <f t="shared" si="537"/>
        <v>4.1622868086918119E-2</v>
      </c>
      <c r="AB584" s="50">
        <f t="shared" si="537"/>
        <v>3.5357844821693719E-2</v>
      </c>
      <c r="AC584" s="8">
        <f t="shared" ref="AC584:AC586" si="538">+SUM(E584:AB584)*D584</f>
        <v>4.9999999999999964</v>
      </c>
    </row>
    <row r="585" spans="2:29">
      <c r="B585" s="16"/>
      <c r="C585" s="8" t="s">
        <v>47</v>
      </c>
      <c r="D585" s="8">
        <v>4</v>
      </c>
      <c r="E585" s="50">
        <f t="shared" ref="E585:AB585" si="539">+E525</f>
        <v>3.3281514565353124E-2</v>
      </c>
      <c r="F585" s="50">
        <f t="shared" si="539"/>
        <v>3.1140043873712407E-2</v>
      </c>
      <c r="G585" s="50">
        <f t="shared" si="539"/>
        <v>2.984335106750436E-2</v>
      </c>
      <c r="H585" s="50">
        <f t="shared" si="539"/>
        <v>2.9286927979133532E-2</v>
      </c>
      <c r="I585" s="50">
        <f t="shared" si="539"/>
        <v>2.9138028999542646E-2</v>
      </c>
      <c r="J585" s="50">
        <f t="shared" si="539"/>
        <v>3.0942883559119717E-2</v>
      </c>
      <c r="K585" s="50">
        <f t="shared" si="539"/>
        <v>3.4432484834348992E-2</v>
      </c>
      <c r="L585" s="50">
        <f t="shared" si="539"/>
        <v>3.8305304424032266E-2</v>
      </c>
      <c r="M585" s="50">
        <f t="shared" si="539"/>
        <v>4.1103790742913066E-2</v>
      </c>
      <c r="N585" s="50">
        <f t="shared" si="539"/>
        <v>4.2608444243851212E-2</v>
      </c>
      <c r="O585" s="50">
        <f t="shared" si="539"/>
        <v>4.3914681848814308E-2</v>
      </c>
      <c r="P585" s="50">
        <f t="shared" si="539"/>
        <v>4.5729867165388009E-2</v>
      </c>
      <c r="Q585" s="50">
        <f t="shared" si="539"/>
        <v>4.5741487779353565E-2</v>
      </c>
      <c r="R585" s="50">
        <f t="shared" si="539"/>
        <v>4.4277060725657284E-2</v>
      </c>
      <c r="S585" s="50">
        <f t="shared" si="539"/>
        <v>4.3144199391556254E-2</v>
      </c>
      <c r="T585" s="50">
        <f t="shared" si="539"/>
        <v>4.3279567369281124E-2</v>
      </c>
      <c r="U585" s="50">
        <f t="shared" si="539"/>
        <v>4.4109954506885138E-2</v>
      </c>
      <c r="V585" s="50">
        <f t="shared" si="539"/>
        <v>4.6298728840315946E-2</v>
      </c>
      <c r="W585" s="50">
        <f t="shared" si="539"/>
        <v>5.6176649878816001E-2</v>
      </c>
      <c r="X585" s="50">
        <f t="shared" si="539"/>
        <v>6.2194705000087863E-2</v>
      </c>
      <c r="Y585" s="50">
        <f t="shared" si="539"/>
        <v>5.7928891294023718E-2</v>
      </c>
      <c r="Z585" s="50">
        <f t="shared" si="539"/>
        <v>5.019499221712586E-2</v>
      </c>
      <c r="AA585" s="50">
        <f t="shared" si="539"/>
        <v>4.1853093029906328E-2</v>
      </c>
      <c r="AB585" s="50">
        <f t="shared" si="539"/>
        <v>3.507334666327714E-2</v>
      </c>
      <c r="AC585" s="8">
        <f t="shared" si="538"/>
        <v>3.9999999999999991</v>
      </c>
    </row>
    <row r="586" spans="2:29">
      <c r="B586" s="16"/>
      <c r="C586" s="8" t="s">
        <v>48</v>
      </c>
      <c r="D586" s="8">
        <v>2</v>
      </c>
      <c r="E586" s="50">
        <f t="shared" ref="E586:AB586" si="540">+E526</f>
        <v>3.367503361886829E-2</v>
      </c>
      <c r="F586" s="50">
        <f t="shared" si="540"/>
        <v>3.1245692535415936E-2</v>
      </c>
      <c r="G586" s="50">
        <f t="shared" si="540"/>
        <v>2.9861746203171599E-2</v>
      </c>
      <c r="H586" s="50">
        <f t="shared" si="540"/>
        <v>2.9235019370742008E-2</v>
      </c>
      <c r="I586" s="50">
        <f t="shared" si="540"/>
        <v>3.0186379118294998E-2</v>
      </c>
      <c r="J586" s="50">
        <f t="shared" si="540"/>
        <v>3.3123682717801174E-2</v>
      </c>
      <c r="K586" s="50">
        <f t="shared" si="540"/>
        <v>3.5563630818173868E-2</v>
      </c>
      <c r="L586" s="50">
        <f t="shared" si="540"/>
        <v>3.7375437025807548E-2</v>
      </c>
      <c r="M586" s="50">
        <f t="shared" si="540"/>
        <v>3.9557895894381336E-2</v>
      </c>
      <c r="N586" s="50">
        <f t="shared" si="540"/>
        <v>4.1330002492198488E-2</v>
      </c>
      <c r="O586" s="50">
        <f t="shared" si="540"/>
        <v>4.3273465010057272E-2</v>
      </c>
      <c r="P586" s="50">
        <f t="shared" si="540"/>
        <v>4.5278417057592932E-2</v>
      </c>
      <c r="Q586" s="50">
        <f t="shared" si="540"/>
        <v>4.5765189585786785E-2</v>
      </c>
      <c r="R586" s="50">
        <f t="shared" si="540"/>
        <v>4.421428774797561E-2</v>
      </c>
      <c r="S586" s="50">
        <f t="shared" si="540"/>
        <v>4.3245429527174986E-2</v>
      </c>
      <c r="T586" s="50">
        <f t="shared" si="540"/>
        <v>4.3554999005074702E-2</v>
      </c>
      <c r="U586" s="50">
        <f t="shared" si="540"/>
        <v>4.4435510161992771E-2</v>
      </c>
      <c r="V586" s="50">
        <f t="shared" si="540"/>
        <v>4.717219114348542E-2</v>
      </c>
      <c r="W586" s="50">
        <f t="shared" si="540"/>
        <v>5.6899741232983039E-2</v>
      </c>
      <c r="X586" s="50">
        <f t="shared" si="540"/>
        <v>6.1986738769463187E-2</v>
      </c>
      <c r="Y586" s="50">
        <f t="shared" si="540"/>
        <v>5.7208700429979269E-2</v>
      </c>
      <c r="Z586" s="50">
        <f t="shared" si="540"/>
        <v>4.9339560702577757E-2</v>
      </c>
      <c r="AA586" s="50">
        <f t="shared" si="540"/>
        <v>4.1368944501432053E-2</v>
      </c>
      <c r="AB586" s="50">
        <f t="shared" si="540"/>
        <v>3.5102305329568817E-2</v>
      </c>
      <c r="AC586" s="8">
        <f t="shared" si="538"/>
        <v>1.9999999999999996</v>
      </c>
    </row>
    <row r="587" spans="2:29">
      <c r="B587" s="12"/>
      <c r="C587" s="12" t="s">
        <v>15</v>
      </c>
      <c r="D587" s="12">
        <f>+SUM(D583:D586)</f>
        <v>31</v>
      </c>
      <c r="E587" s="19">
        <f>+SUMPRODUCT(E583:E586,$D583:$D586)</f>
        <v>0.94099863402144279</v>
      </c>
      <c r="F587" s="19">
        <f>+SUMPRODUCT(F583:F586,$D583:$D586)</f>
        <v>0.88390577291462136</v>
      </c>
      <c r="G587" s="19">
        <f t="shared" ref="G587:AB587" si="541">+SUMPRODUCT(G583:G586,$D583:$D586)</f>
        <v>0.8532194175054626</v>
      </c>
      <c r="H587" s="19">
        <f t="shared" si="541"/>
        <v>0.84904654873486796</v>
      </c>
      <c r="I587" s="19">
        <f t="shared" si="541"/>
        <v>0.90355307663591211</v>
      </c>
      <c r="J587" s="19">
        <f t="shared" si="541"/>
        <v>1.0420357047049751</v>
      </c>
      <c r="K587" s="19">
        <f t="shared" si="541"/>
        <v>1.1669035525710176</v>
      </c>
      <c r="L587" s="19">
        <f t="shared" si="541"/>
        <v>1.2146084555249079</v>
      </c>
      <c r="M587" s="19">
        <f t="shared" si="541"/>
        <v>1.2704277581438459</v>
      </c>
      <c r="N587" s="19">
        <f t="shared" si="541"/>
        <v>1.3116447666152413</v>
      </c>
      <c r="O587" s="19">
        <f t="shared" si="541"/>
        <v>1.3700816241428129</v>
      </c>
      <c r="P587" s="19">
        <f t="shared" si="541"/>
        <v>1.4334127406571346</v>
      </c>
      <c r="Q587" s="19">
        <f t="shared" si="541"/>
        <v>1.4150507647087547</v>
      </c>
      <c r="R587" s="19">
        <f t="shared" si="541"/>
        <v>1.3668896624985547</v>
      </c>
      <c r="S587" s="19">
        <f t="shared" si="541"/>
        <v>1.3615031769070234</v>
      </c>
      <c r="T587" s="19">
        <f t="shared" si="541"/>
        <v>1.385439725175905</v>
      </c>
      <c r="U587" s="19">
        <f t="shared" si="541"/>
        <v>1.4150392393335474</v>
      </c>
      <c r="V587" s="19">
        <f t="shared" si="541"/>
        <v>1.4791501108534248</v>
      </c>
      <c r="W587" s="19">
        <f t="shared" si="541"/>
        <v>1.7614967206837933</v>
      </c>
      <c r="X587" s="19">
        <f t="shared" si="541"/>
        <v>1.9135793419060738</v>
      </c>
      <c r="Y587" s="19">
        <f t="shared" si="541"/>
        <v>1.7758628068244457</v>
      </c>
      <c r="Z587" s="19">
        <f t="shared" si="541"/>
        <v>1.5515275608710626</v>
      </c>
      <c r="AA587" s="19">
        <f t="shared" si="541"/>
        <v>1.2784743659914108</v>
      </c>
      <c r="AB587" s="19">
        <f t="shared" si="541"/>
        <v>1.0561484720737608</v>
      </c>
      <c r="AC587" s="12">
        <f>+SUM(E587:AB587)</f>
        <v>31.000000000000007</v>
      </c>
    </row>
    <row r="588" spans="2:29">
      <c r="B588" s="15">
        <f>+EDATE(B583,1)</f>
        <v>48427</v>
      </c>
      <c r="C588" s="8" t="s">
        <v>45</v>
      </c>
      <c r="D588" s="8">
        <v>21</v>
      </c>
      <c r="E588" s="50">
        <f t="shared" ref="E588:AB588" si="542">+E528</f>
        <v>2.9361257124838391E-2</v>
      </c>
      <c r="F588" s="50">
        <f t="shared" si="542"/>
        <v>2.7692710332229715E-2</v>
      </c>
      <c r="G588" s="50">
        <f t="shared" si="542"/>
        <v>2.6785161397696527E-2</v>
      </c>
      <c r="H588" s="50">
        <f t="shared" si="542"/>
        <v>2.6786989368939883E-2</v>
      </c>
      <c r="I588" s="50">
        <f t="shared" si="542"/>
        <v>2.9135775177511477E-2</v>
      </c>
      <c r="J588" s="50">
        <f t="shared" si="542"/>
        <v>3.4540443856715661E-2</v>
      </c>
      <c r="K588" s="50">
        <f t="shared" si="542"/>
        <v>3.8789035252325646E-2</v>
      </c>
      <c r="L588" s="50">
        <f t="shared" si="542"/>
        <v>3.957865839345593E-2</v>
      </c>
      <c r="M588" s="50">
        <f t="shared" si="542"/>
        <v>4.0957538271781398E-2</v>
      </c>
      <c r="N588" s="50">
        <f t="shared" si="542"/>
        <v>4.2166920044863825E-2</v>
      </c>
      <c r="O588" s="50">
        <f t="shared" si="542"/>
        <v>4.4150374939633218E-2</v>
      </c>
      <c r="P588" s="50">
        <f t="shared" si="542"/>
        <v>4.6294816466469102E-2</v>
      </c>
      <c r="Q588" s="50">
        <f t="shared" si="542"/>
        <v>4.5431875959152102E-2</v>
      </c>
      <c r="R588" s="50">
        <f t="shared" si="542"/>
        <v>4.3879728503346101E-2</v>
      </c>
      <c r="S588" s="50">
        <f t="shared" si="542"/>
        <v>4.4118506624640258E-2</v>
      </c>
      <c r="T588" s="50">
        <f t="shared" si="542"/>
        <v>4.5188432655351718E-2</v>
      </c>
      <c r="U588" s="50">
        <f t="shared" si="542"/>
        <v>4.624302558461979E-2</v>
      </c>
      <c r="V588" s="50">
        <f t="shared" si="542"/>
        <v>4.8247238962955179E-2</v>
      </c>
      <c r="W588" s="50">
        <f t="shared" si="542"/>
        <v>5.7096885328092907E-2</v>
      </c>
      <c r="X588" s="50">
        <f t="shared" si="542"/>
        <v>6.1739938045350239E-2</v>
      </c>
      <c r="Y588" s="50">
        <f t="shared" si="542"/>
        <v>5.7231881517227232E-2</v>
      </c>
      <c r="Z588" s="50">
        <f t="shared" si="542"/>
        <v>5.0129255438435008E-2</v>
      </c>
      <c r="AA588" s="50">
        <f t="shared" si="542"/>
        <v>4.1010488221716553E-2</v>
      </c>
      <c r="AB588" s="50">
        <f t="shared" si="542"/>
        <v>3.34430625326523E-2</v>
      </c>
      <c r="AC588" s="8">
        <f>+SUM(E588:AB588)*D588</f>
        <v>21.000000000000004</v>
      </c>
    </row>
    <row r="589" spans="2:29">
      <c r="B589" s="16"/>
      <c r="C589" s="8" t="s">
        <v>46</v>
      </c>
      <c r="D589" s="8">
        <v>3</v>
      </c>
      <c r="E589" s="50">
        <f t="shared" ref="E589:AB589" si="543">+E529</f>
        <v>3.0659473205105158E-2</v>
      </c>
      <c r="F589" s="50">
        <f t="shared" si="543"/>
        <v>2.8600001140869122E-2</v>
      </c>
      <c r="G589" s="50">
        <f t="shared" si="543"/>
        <v>2.7683858575034276E-2</v>
      </c>
      <c r="H589" s="50">
        <f t="shared" si="543"/>
        <v>2.7537802139610414E-2</v>
      </c>
      <c r="I589" s="50">
        <f t="shared" si="543"/>
        <v>2.8782539770184416E-2</v>
      </c>
      <c r="J589" s="50">
        <f t="shared" si="543"/>
        <v>3.2241585579716119E-2</v>
      </c>
      <c r="K589" s="50">
        <f t="shared" si="543"/>
        <v>3.645312931015221E-2</v>
      </c>
      <c r="L589" s="50">
        <f t="shared" si="543"/>
        <v>3.9012639181609042E-2</v>
      </c>
      <c r="M589" s="50">
        <f t="shared" si="543"/>
        <v>4.1549207589560662E-2</v>
      </c>
      <c r="N589" s="50">
        <f t="shared" si="543"/>
        <v>4.3042516751632572E-2</v>
      </c>
      <c r="O589" s="50">
        <f t="shared" si="543"/>
        <v>4.4973693586955334E-2</v>
      </c>
      <c r="P589" s="50">
        <f t="shared" si="543"/>
        <v>4.6808021710202923E-2</v>
      </c>
      <c r="Q589" s="50">
        <f t="shared" si="543"/>
        <v>4.6383383047344962E-2</v>
      </c>
      <c r="R589" s="50">
        <f t="shared" si="543"/>
        <v>4.4751654806610461E-2</v>
      </c>
      <c r="S589" s="50">
        <f t="shared" si="543"/>
        <v>4.4013077558728637E-2</v>
      </c>
      <c r="T589" s="50">
        <f t="shared" si="543"/>
        <v>4.428856091631931E-2</v>
      </c>
      <c r="U589" s="50">
        <f t="shared" si="543"/>
        <v>4.49735778579251E-2</v>
      </c>
      <c r="V589" s="50">
        <f t="shared" si="543"/>
        <v>4.6933206789217301E-2</v>
      </c>
      <c r="W589" s="50">
        <f t="shared" si="543"/>
        <v>5.6210586428141023E-2</v>
      </c>
      <c r="X589" s="50">
        <f t="shared" si="543"/>
        <v>6.1205656691958259E-2</v>
      </c>
      <c r="Y589" s="50">
        <f t="shared" si="543"/>
        <v>5.7018442088769522E-2</v>
      </c>
      <c r="Z589" s="50">
        <f t="shared" si="543"/>
        <v>4.9896672365740725E-2</v>
      </c>
      <c r="AA589" s="50">
        <f t="shared" si="543"/>
        <v>4.1622868086918119E-2</v>
      </c>
      <c r="AB589" s="50">
        <f t="shared" si="543"/>
        <v>3.5357844821693719E-2</v>
      </c>
      <c r="AC589" s="8">
        <f t="shared" ref="AC589:AC591" si="544">+SUM(E589:AB589)*D589</f>
        <v>2.9999999999999978</v>
      </c>
    </row>
    <row r="590" spans="2:29">
      <c r="B590" s="16"/>
      <c r="C590" s="8" t="s">
        <v>47</v>
      </c>
      <c r="D590" s="8">
        <v>5</v>
      </c>
      <c r="E590" s="50">
        <f t="shared" ref="E590:AB590" si="545">+E530</f>
        <v>3.3281514565353124E-2</v>
      </c>
      <c r="F590" s="50">
        <f t="shared" si="545"/>
        <v>3.1140043873712407E-2</v>
      </c>
      <c r="G590" s="50">
        <f t="shared" si="545"/>
        <v>2.984335106750436E-2</v>
      </c>
      <c r="H590" s="50">
        <f t="shared" si="545"/>
        <v>2.9286927979133532E-2</v>
      </c>
      <c r="I590" s="50">
        <f t="shared" si="545"/>
        <v>2.9138028999542646E-2</v>
      </c>
      <c r="J590" s="50">
        <f t="shared" si="545"/>
        <v>3.0942883559119717E-2</v>
      </c>
      <c r="K590" s="50">
        <f t="shared" si="545"/>
        <v>3.4432484834348992E-2</v>
      </c>
      <c r="L590" s="50">
        <f t="shared" si="545"/>
        <v>3.8305304424032266E-2</v>
      </c>
      <c r="M590" s="50">
        <f t="shared" si="545"/>
        <v>4.1103790742913066E-2</v>
      </c>
      <c r="N590" s="50">
        <f t="shared" si="545"/>
        <v>4.2608444243851212E-2</v>
      </c>
      <c r="O590" s="50">
        <f t="shared" si="545"/>
        <v>4.3914681848814308E-2</v>
      </c>
      <c r="P590" s="50">
        <f t="shared" si="545"/>
        <v>4.5729867165388009E-2</v>
      </c>
      <c r="Q590" s="50">
        <f t="shared" si="545"/>
        <v>4.5741487779353565E-2</v>
      </c>
      <c r="R590" s="50">
        <f t="shared" si="545"/>
        <v>4.4277060725657284E-2</v>
      </c>
      <c r="S590" s="50">
        <f t="shared" si="545"/>
        <v>4.3144199391556254E-2</v>
      </c>
      <c r="T590" s="50">
        <f t="shared" si="545"/>
        <v>4.3279567369281124E-2</v>
      </c>
      <c r="U590" s="50">
        <f t="shared" si="545"/>
        <v>4.4109954506885138E-2</v>
      </c>
      <c r="V590" s="50">
        <f t="shared" si="545"/>
        <v>4.6298728840315946E-2</v>
      </c>
      <c r="W590" s="50">
        <f t="shared" si="545"/>
        <v>5.6176649878816001E-2</v>
      </c>
      <c r="X590" s="50">
        <f t="shared" si="545"/>
        <v>6.2194705000087863E-2</v>
      </c>
      <c r="Y590" s="50">
        <f t="shared" si="545"/>
        <v>5.7928891294023718E-2</v>
      </c>
      <c r="Z590" s="50">
        <f t="shared" si="545"/>
        <v>5.019499221712586E-2</v>
      </c>
      <c r="AA590" s="50">
        <f t="shared" si="545"/>
        <v>4.1853093029906328E-2</v>
      </c>
      <c r="AB590" s="50">
        <f t="shared" si="545"/>
        <v>3.507334666327714E-2</v>
      </c>
      <c r="AC590" s="8">
        <f t="shared" si="544"/>
        <v>4.9999999999999991</v>
      </c>
    </row>
    <row r="591" spans="2:29">
      <c r="B591" s="16"/>
      <c r="C591" s="8" t="s">
        <v>48</v>
      </c>
      <c r="D591" s="8">
        <v>2</v>
      </c>
      <c r="E591" s="50">
        <f t="shared" ref="E591:AB591" si="546">+E531</f>
        <v>3.367503361886829E-2</v>
      </c>
      <c r="F591" s="50">
        <f t="shared" si="546"/>
        <v>3.1245692535415936E-2</v>
      </c>
      <c r="G591" s="50">
        <f t="shared" si="546"/>
        <v>2.9861746203171599E-2</v>
      </c>
      <c r="H591" s="50">
        <f t="shared" si="546"/>
        <v>2.9235019370742008E-2</v>
      </c>
      <c r="I591" s="50">
        <f t="shared" si="546"/>
        <v>3.0186379118294998E-2</v>
      </c>
      <c r="J591" s="50">
        <f t="shared" si="546"/>
        <v>3.3123682717801174E-2</v>
      </c>
      <c r="K591" s="50">
        <f t="shared" si="546"/>
        <v>3.5563630818173868E-2</v>
      </c>
      <c r="L591" s="50">
        <f t="shared" si="546"/>
        <v>3.7375437025807548E-2</v>
      </c>
      <c r="M591" s="50">
        <f t="shared" si="546"/>
        <v>3.9557895894381336E-2</v>
      </c>
      <c r="N591" s="50">
        <f t="shared" si="546"/>
        <v>4.1330002492198488E-2</v>
      </c>
      <c r="O591" s="50">
        <f t="shared" si="546"/>
        <v>4.3273465010057272E-2</v>
      </c>
      <c r="P591" s="50">
        <f t="shared" si="546"/>
        <v>4.5278417057592932E-2</v>
      </c>
      <c r="Q591" s="50">
        <f t="shared" si="546"/>
        <v>4.5765189585786785E-2</v>
      </c>
      <c r="R591" s="50">
        <f t="shared" si="546"/>
        <v>4.421428774797561E-2</v>
      </c>
      <c r="S591" s="50">
        <f t="shared" si="546"/>
        <v>4.3245429527174986E-2</v>
      </c>
      <c r="T591" s="50">
        <f t="shared" si="546"/>
        <v>4.3554999005074702E-2</v>
      </c>
      <c r="U591" s="50">
        <f t="shared" si="546"/>
        <v>4.4435510161992771E-2</v>
      </c>
      <c r="V591" s="50">
        <f t="shared" si="546"/>
        <v>4.717219114348542E-2</v>
      </c>
      <c r="W591" s="50">
        <f t="shared" si="546"/>
        <v>5.6899741232983039E-2</v>
      </c>
      <c r="X591" s="50">
        <f t="shared" si="546"/>
        <v>6.1986738769463187E-2</v>
      </c>
      <c r="Y591" s="50">
        <f t="shared" si="546"/>
        <v>5.7208700429979269E-2</v>
      </c>
      <c r="Z591" s="50">
        <f t="shared" si="546"/>
        <v>4.9339560702577757E-2</v>
      </c>
      <c r="AA591" s="50">
        <f t="shared" si="546"/>
        <v>4.1368944501432053E-2</v>
      </c>
      <c r="AB591" s="50">
        <f t="shared" si="546"/>
        <v>3.5102305329568817E-2</v>
      </c>
      <c r="AC591" s="8">
        <f t="shared" si="544"/>
        <v>1.9999999999999996</v>
      </c>
    </row>
    <row r="592" spans="2:29">
      <c r="B592" s="12"/>
      <c r="C592" s="12" t="s">
        <v>15</v>
      </c>
      <c r="D592" s="12">
        <f>+SUM(D588:D591)</f>
        <v>31</v>
      </c>
      <c r="E592" s="19">
        <f>+SUMPRODUCT(E588:E591,$D588:$D591)</f>
        <v>0.942322459301424</v>
      </c>
      <c r="F592" s="19">
        <f>+SUMPRODUCT(F588:F591,$D588:$D591)</f>
        <v>0.88553852483882534</v>
      </c>
      <c r="G592" s="19">
        <f t="shared" ref="G592:AB592" si="547">+SUMPRODUCT(G588:G591,$D588:$D591)</f>
        <v>0.85448021282059483</v>
      </c>
      <c r="H592" s="19">
        <f t="shared" si="547"/>
        <v>0.85004486180372052</v>
      </c>
      <c r="I592" s="19">
        <f t="shared" si="547"/>
        <v>0.90426180127259759</v>
      </c>
      <c r="J592" s="19">
        <f t="shared" si="547"/>
        <v>1.0430358609613781</v>
      </c>
      <c r="K592" s="19">
        <f t="shared" si="547"/>
        <v>1.1672188140373878</v>
      </c>
      <c r="L592" s="19">
        <f t="shared" si="547"/>
        <v>1.2144671399791782</v>
      </c>
      <c r="M592" s="19">
        <f t="shared" si="547"/>
        <v>1.2693906719794192</v>
      </c>
      <c r="N592" s="19">
        <f t="shared" si="547"/>
        <v>1.3103350974006911</v>
      </c>
      <c r="O592" s="19">
        <f t="shared" si="547"/>
        <v>1.3681992937573495</v>
      </c>
      <c r="P592" s="19">
        <f t="shared" si="547"/>
        <v>1.431821380868586</v>
      </c>
      <c r="Q592" s="19">
        <f t="shared" si="547"/>
        <v>1.4134573623525704</v>
      </c>
      <c r="R592" s="19">
        <f t="shared" si="547"/>
        <v>1.3655431421143371</v>
      </c>
      <c r="S592" s="19">
        <f t="shared" si="547"/>
        <v>1.3607397278057627</v>
      </c>
      <c r="T592" s="19">
        <f t="shared" si="547"/>
        <v>1.3853306033678994</v>
      </c>
      <c r="U592" s="19">
        <f t="shared" si="547"/>
        <v>1.415445063709202</v>
      </c>
      <c r="V592" s="19">
        <f t="shared" si="547"/>
        <v>1.4798296650782614</v>
      </c>
      <c r="W592" s="19">
        <f t="shared" si="547"/>
        <v>1.7623490830344202</v>
      </c>
      <c r="X592" s="19">
        <f t="shared" si="547"/>
        <v>1.9151026715675954</v>
      </c>
      <c r="Y592" s="19">
        <f t="shared" si="547"/>
        <v>1.7769866954581577</v>
      </c>
      <c r="Z592" s="19">
        <f t="shared" si="547"/>
        <v>1.5520584637951422</v>
      </c>
      <c r="AA592" s="19">
        <f t="shared" si="547"/>
        <v>1.2780922110691977</v>
      </c>
      <c r="AB592" s="19">
        <f t="shared" si="547"/>
        <v>1.0539491916263029</v>
      </c>
      <c r="AC592" s="12">
        <f>+SUM(E592:AB592)</f>
        <v>30.999999999999996</v>
      </c>
    </row>
    <row r="593" spans="2:29">
      <c r="B593" s="15">
        <f>+EDATE(B588,1)</f>
        <v>48458</v>
      </c>
      <c r="C593" s="8" t="s">
        <v>45</v>
      </c>
      <c r="D593" s="8">
        <v>22</v>
      </c>
      <c r="E593" s="50">
        <f t="shared" ref="E593:AB593" si="548">+E533</f>
        <v>2.9361257124838391E-2</v>
      </c>
      <c r="F593" s="50">
        <f t="shared" si="548"/>
        <v>2.7692710332229715E-2</v>
      </c>
      <c r="G593" s="50">
        <f t="shared" si="548"/>
        <v>2.6785161397696527E-2</v>
      </c>
      <c r="H593" s="50">
        <f t="shared" si="548"/>
        <v>2.6786989368939883E-2</v>
      </c>
      <c r="I593" s="50">
        <f t="shared" si="548"/>
        <v>2.9135775177511477E-2</v>
      </c>
      <c r="J593" s="50">
        <f t="shared" si="548"/>
        <v>3.4540443856715661E-2</v>
      </c>
      <c r="K593" s="50">
        <f t="shared" si="548"/>
        <v>3.8789035252325646E-2</v>
      </c>
      <c r="L593" s="50">
        <f t="shared" si="548"/>
        <v>3.957865839345593E-2</v>
      </c>
      <c r="M593" s="50">
        <f t="shared" si="548"/>
        <v>4.0957538271781398E-2</v>
      </c>
      <c r="N593" s="50">
        <f t="shared" si="548"/>
        <v>4.2166920044863825E-2</v>
      </c>
      <c r="O593" s="50">
        <f t="shared" si="548"/>
        <v>4.4150374939633218E-2</v>
      </c>
      <c r="P593" s="50">
        <f t="shared" si="548"/>
        <v>4.6294816466469102E-2</v>
      </c>
      <c r="Q593" s="50">
        <f t="shared" si="548"/>
        <v>4.5431875959152102E-2</v>
      </c>
      <c r="R593" s="50">
        <f t="shared" si="548"/>
        <v>4.3879728503346101E-2</v>
      </c>
      <c r="S593" s="50">
        <f t="shared" si="548"/>
        <v>4.4118506624640258E-2</v>
      </c>
      <c r="T593" s="50">
        <f t="shared" si="548"/>
        <v>4.5188432655351718E-2</v>
      </c>
      <c r="U593" s="50">
        <f t="shared" si="548"/>
        <v>4.624302558461979E-2</v>
      </c>
      <c r="V593" s="50">
        <f t="shared" si="548"/>
        <v>4.8247238962955179E-2</v>
      </c>
      <c r="W593" s="50">
        <f t="shared" si="548"/>
        <v>5.7096885328092907E-2</v>
      </c>
      <c r="X593" s="50">
        <f t="shared" si="548"/>
        <v>6.1739938045350239E-2</v>
      </c>
      <c r="Y593" s="50">
        <f t="shared" si="548"/>
        <v>5.7231881517227232E-2</v>
      </c>
      <c r="Z593" s="50">
        <f t="shared" si="548"/>
        <v>5.0129255438435008E-2</v>
      </c>
      <c r="AA593" s="50">
        <f t="shared" si="548"/>
        <v>4.1010488221716553E-2</v>
      </c>
      <c r="AB593" s="50">
        <f t="shared" si="548"/>
        <v>3.34430625326523E-2</v>
      </c>
      <c r="AC593" s="8">
        <f>+SUM(E593:AB593)*D593</f>
        <v>22.000000000000004</v>
      </c>
    </row>
    <row r="594" spans="2:29">
      <c r="B594" s="16"/>
      <c r="C594" s="8" t="s">
        <v>46</v>
      </c>
      <c r="D594" s="8">
        <v>4</v>
      </c>
      <c r="E594" s="50">
        <f t="shared" ref="E594:AB594" si="549">+E534</f>
        <v>3.0659473205105158E-2</v>
      </c>
      <c r="F594" s="50">
        <f t="shared" si="549"/>
        <v>2.8600001140869122E-2</v>
      </c>
      <c r="G594" s="50">
        <f t="shared" si="549"/>
        <v>2.7683858575034276E-2</v>
      </c>
      <c r="H594" s="50">
        <f t="shared" si="549"/>
        <v>2.7537802139610414E-2</v>
      </c>
      <c r="I594" s="50">
        <f t="shared" si="549"/>
        <v>2.8782539770184416E-2</v>
      </c>
      <c r="J594" s="50">
        <f t="shared" si="549"/>
        <v>3.2241585579716119E-2</v>
      </c>
      <c r="K594" s="50">
        <f t="shared" si="549"/>
        <v>3.645312931015221E-2</v>
      </c>
      <c r="L594" s="50">
        <f t="shared" si="549"/>
        <v>3.9012639181609042E-2</v>
      </c>
      <c r="M594" s="50">
        <f t="shared" si="549"/>
        <v>4.1549207589560662E-2</v>
      </c>
      <c r="N594" s="50">
        <f t="shared" si="549"/>
        <v>4.3042516751632572E-2</v>
      </c>
      <c r="O594" s="50">
        <f t="shared" si="549"/>
        <v>4.4973693586955334E-2</v>
      </c>
      <c r="P594" s="50">
        <f t="shared" si="549"/>
        <v>4.6808021710202923E-2</v>
      </c>
      <c r="Q594" s="50">
        <f t="shared" si="549"/>
        <v>4.6383383047344962E-2</v>
      </c>
      <c r="R594" s="50">
        <f t="shared" si="549"/>
        <v>4.4751654806610461E-2</v>
      </c>
      <c r="S594" s="50">
        <f t="shared" si="549"/>
        <v>4.4013077558728637E-2</v>
      </c>
      <c r="T594" s="50">
        <f t="shared" si="549"/>
        <v>4.428856091631931E-2</v>
      </c>
      <c r="U594" s="50">
        <f t="shared" si="549"/>
        <v>4.49735778579251E-2</v>
      </c>
      <c r="V594" s="50">
        <f t="shared" si="549"/>
        <v>4.6933206789217301E-2</v>
      </c>
      <c r="W594" s="50">
        <f t="shared" si="549"/>
        <v>5.6210586428141023E-2</v>
      </c>
      <c r="X594" s="50">
        <f t="shared" si="549"/>
        <v>6.1205656691958259E-2</v>
      </c>
      <c r="Y594" s="50">
        <f t="shared" si="549"/>
        <v>5.7018442088769522E-2</v>
      </c>
      <c r="Z594" s="50">
        <f t="shared" si="549"/>
        <v>4.9896672365740725E-2</v>
      </c>
      <c r="AA594" s="50">
        <f t="shared" si="549"/>
        <v>4.1622868086918119E-2</v>
      </c>
      <c r="AB594" s="50">
        <f t="shared" si="549"/>
        <v>3.5357844821693719E-2</v>
      </c>
      <c r="AC594" s="8">
        <f t="shared" ref="AC594:AC596" si="550">+SUM(E594:AB594)*D594</f>
        <v>3.9999999999999969</v>
      </c>
    </row>
    <row r="595" spans="2:29">
      <c r="B595" s="16"/>
      <c r="C595" s="8" t="s">
        <v>47</v>
      </c>
      <c r="D595" s="8">
        <v>4</v>
      </c>
      <c r="E595" s="50">
        <f t="shared" ref="E595:AB595" si="551">+E535</f>
        <v>3.3281514565353124E-2</v>
      </c>
      <c r="F595" s="50">
        <f t="shared" si="551"/>
        <v>3.1140043873712407E-2</v>
      </c>
      <c r="G595" s="50">
        <f t="shared" si="551"/>
        <v>2.984335106750436E-2</v>
      </c>
      <c r="H595" s="50">
        <f t="shared" si="551"/>
        <v>2.9286927979133532E-2</v>
      </c>
      <c r="I595" s="50">
        <f t="shared" si="551"/>
        <v>2.9138028999542646E-2</v>
      </c>
      <c r="J595" s="50">
        <f t="shared" si="551"/>
        <v>3.0942883559119717E-2</v>
      </c>
      <c r="K595" s="50">
        <f t="shared" si="551"/>
        <v>3.4432484834348992E-2</v>
      </c>
      <c r="L595" s="50">
        <f t="shared" si="551"/>
        <v>3.8305304424032266E-2</v>
      </c>
      <c r="M595" s="50">
        <f t="shared" si="551"/>
        <v>4.1103790742913066E-2</v>
      </c>
      <c r="N595" s="50">
        <f t="shared" si="551"/>
        <v>4.2608444243851212E-2</v>
      </c>
      <c r="O595" s="50">
        <f t="shared" si="551"/>
        <v>4.3914681848814308E-2</v>
      </c>
      <c r="P595" s="50">
        <f t="shared" si="551"/>
        <v>4.5729867165388009E-2</v>
      </c>
      <c r="Q595" s="50">
        <f t="shared" si="551"/>
        <v>4.5741487779353565E-2</v>
      </c>
      <c r="R595" s="50">
        <f t="shared" si="551"/>
        <v>4.4277060725657284E-2</v>
      </c>
      <c r="S595" s="50">
        <f t="shared" si="551"/>
        <v>4.3144199391556254E-2</v>
      </c>
      <c r="T595" s="50">
        <f t="shared" si="551"/>
        <v>4.3279567369281124E-2</v>
      </c>
      <c r="U595" s="50">
        <f t="shared" si="551"/>
        <v>4.4109954506885138E-2</v>
      </c>
      <c r="V595" s="50">
        <f t="shared" si="551"/>
        <v>4.6298728840315946E-2</v>
      </c>
      <c r="W595" s="50">
        <f t="shared" si="551"/>
        <v>5.6176649878816001E-2</v>
      </c>
      <c r="X595" s="50">
        <f t="shared" si="551"/>
        <v>6.2194705000087863E-2</v>
      </c>
      <c r="Y595" s="50">
        <f t="shared" si="551"/>
        <v>5.7928891294023718E-2</v>
      </c>
      <c r="Z595" s="50">
        <f t="shared" si="551"/>
        <v>5.019499221712586E-2</v>
      </c>
      <c r="AA595" s="50">
        <f t="shared" si="551"/>
        <v>4.1853093029906328E-2</v>
      </c>
      <c r="AB595" s="50">
        <f t="shared" si="551"/>
        <v>3.507334666327714E-2</v>
      </c>
      <c r="AC595" s="8">
        <f t="shared" si="550"/>
        <v>3.9999999999999991</v>
      </c>
    </row>
    <row r="596" spans="2:29">
      <c r="B596" s="16"/>
      <c r="C596" s="8" t="s">
        <v>48</v>
      </c>
      <c r="D596" s="8">
        <v>0</v>
      </c>
      <c r="E596" s="50">
        <f t="shared" ref="E596:AB596" si="552">+E536</f>
        <v>3.367503361886829E-2</v>
      </c>
      <c r="F596" s="50">
        <f t="shared" si="552"/>
        <v>3.1245692535415936E-2</v>
      </c>
      <c r="G596" s="50">
        <f t="shared" si="552"/>
        <v>2.9861746203171599E-2</v>
      </c>
      <c r="H596" s="50">
        <f t="shared" si="552"/>
        <v>2.9235019370742008E-2</v>
      </c>
      <c r="I596" s="50">
        <f t="shared" si="552"/>
        <v>3.0186379118294998E-2</v>
      </c>
      <c r="J596" s="50">
        <f t="shared" si="552"/>
        <v>3.3123682717801174E-2</v>
      </c>
      <c r="K596" s="50">
        <f t="shared" si="552"/>
        <v>3.5563630818173868E-2</v>
      </c>
      <c r="L596" s="50">
        <f t="shared" si="552"/>
        <v>3.7375437025807548E-2</v>
      </c>
      <c r="M596" s="50">
        <f t="shared" si="552"/>
        <v>3.9557895894381336E-2</v>
      </c>
      <c r="N596" s="50">
        <f t="shared" si="552"/>
        <v>4.1330002492198488E-2</v>
      </c>
      <c r="O596" s="50">
        <f t="shared" si="552"/>
        <v>4.3273465010057272E-2</v>
      </c>
      <c r="P596" s="50">
        <f t="shared" si="552"/>
        <v>4.5278417057592932E-2</v>
      </c>
      <c r="Q596" s="50">
        <f t="shared" si="552"/>
        <v>4.5765189585786785E-2</v>
      </c>
      <c r="R596" s="50">
        <f t="shared" si="552"/>
        <v>4.421428774797561E-2</v>
      </c>
      <c r="S596" s="50">
        <f t="shared" si="552"/>
        <v>4.3245429527174986E-2</v>
      </c>
      <c r="T596" s="50">
        <f t="shared" si="552"/>
        <v>4.3554999005074702E-2</v>
      </c>
      <c r="U596" s="50">
        <f t="shared" si="552"/>
        <v>4.4435510161992771E-2</v>
      </c>
      <c r="V596" s="50">
        <f t="shared" si="552"/>
        <v>4.717219114348542E-2</v>
      </c>
      <c r="W596" s="50">
        <f t="shared" si="552"/>
        <v>5.6899741232983039E-2</v>
      </c>
      <c r="X596" s="50">
        <f t="shared" si="552"/>
        <v>6.1986738769463187E-2</v>
      </c>
      <c r="Y596" s="50">
        <f t="shared" si="552"/>
        <v>5.7208700429979269E-2</v>
      </c>
      <c r="Z596" s="50">
        <f t="shared" si="552"/>
        <v>4.9339560702577757E-2</v>
      </c>
      <c r="AA596" s="50">
        <f t="shared" si="552"/>
        <v>4.1368944501432053E-2</v>
      </c>
      <c r="AB596" s="50">
        <f t="shared" si="552"/>
        <v>3.5102305329568817E-2</v>
      </c>
      <c r="AC596" s="8">
        <f t="shared" si="550"/>
        <v>0</v>
      </c>
    </row>
    <row r="597" spans="2:29">
      <c r="B597" s="12"/>
      <c r="C597" s="12" t="s">
        <v>15</v>
      </c>
      <c r="D597" s="12">
        <f>+SUM(D593:D596)</f>
        <v>30</v>
      </c>
      <c r="E597" s="19">
        <f>+SUMPRODUCT(E593:E596,$D593:$D596)</f>
        <v>0.90171160782827764</v>
      </c>
      <c r="F597" s="19">
        <f>+SUMPRODUCT(F593:F596,$D593:$D596)</f>
        <v>0.84819980736737988</v>
      </c>
      <c r="G597" s="19">
        <f t="shared" ref="G597:AB597" si="553">+SUMPRODUCT(G593:G596,$D593:$D596)</f>
        <v>0.81938238931947815</v>
      </c>
      <c r="H597" s="19">
        <f t="shared" si="553"/>
        <v>0.8166126865916532</v>
      </c>
      <c r="I597" s="19">
        <f t="shared" si="553"/>
        <v>0.87266932898416072</v>
      </c>
      <c r="J597" s="19">
        <f t="shared" si="553"/>
        <v>1.0126276414030879</v>
      </c>
      <c r="K597" s="19">
        <f t="shared" si="553"/>
        <v>1.1369012321291692</v>
      </c>
      <c r="L597" s="19">
        <f t="shared" si="553"/>
        <v>1.1800022590785955</v>
      </c>
      <c r="M597" s="19">
        <f t="shared" si="553"/>
        <v>1.2316778353090858</v>
      </c>
      <c r="N597" s="19">
        <f t="shared" si="553"/>
        <v>1.2702760849689394</v>
      </c>
      <c r="O597" s="19">
        <f t="shared" si="553"/>
        <v>1.3268617504150093</v>
      </c>
      <c r="P597" s="19">
        <f t="shared" si="553"/>
        <v>1.3886375177646839</v>
      </c>
      <c r="Q597" s="19">
        <f t="shared" si="553"/>
        <v>1.3680007544081403</v>
      </c>
      <c r="R597" s="19">
        <f t="shared" si="553"/>
        <v>1.3214688892026851</v>
      </c>
      <c r="S597" s="19">
        <f t="shared" si="553"/>
        <v>1.3192362535432252</v>
      </c>
      <c r="T597" s="19">
        <f t="shared" si="553"/>
        <v>1.3444180315601395</v>
      </c>
      <c r="U597" s="19">
        <f t="shared" si="553"/>
        <v>1.3736806923208764</v>
      </c>
      <c r="V597" s="19">
        <f t="shared" si="553"/>
        <v>1.434366999703147</v>
      </c>
      <c r="W597" s="19">
        <f t="shared" si="553"/>
        <v>1.7056804224458719</v>
      </c>
      <c r="X597" s="19">
        <f t="shared" si="553"/>
        <v>1.8518800837658898</v>
      </c>
      <c r="Y597" s="19">
        <f t="shared" si="553"/>
        <v>1.7188907269101723</v>
      </c>
      <c r="Z597" s="19">
        <f t="shared" si="553"/>
        <v>1.5032102779770367</v>
      </c>
      <c r="AA597" s="19">
        <f t="shared" si="553"/>
        <v>1.2361345853450618</v>
      </c>
      <c r="AB597" s="19">
        <f t="shared" si="553"/>
        <v>1.017472141658234</v>
      </c>
      <c r="AC597" s="12">
        <f>+SUM(E597:AB597)</f>
        <v>29.999999999999996</v>
      </c>
    </row>
    <row r="598" spans="2:29">
      <c r="B598" s="15">
        <f>+EDATE(B593,1)</f>
        <v>48488</v>
      </c>
      <c r="C598" s="8" t="s">
        <v>45</v>
      </c>
      <c r="D598" s="8">
        <v>20</v>
      </c>
      <c r="E598" s="50">
        <f t="shared" ref="E598:AB598" si="554">+E538</f>
        <v>2.9361257124838391E-2</v>
      </c>
      <c r="F598" s="50">
        <f t="shared" si="554"/>
        <v>2.7692710332229715E-2</v>
      </c>
      <c r="G598" s="50">
        <f t="shared" si="554"/>
        <v>2.6785161397696527E-2</v>
      </c>
      <c r="H598" s="50">
        <f t="shared" si="554"/>
        <v>2.6786989368939883E-2</v>
      </c>
      <c r="I598" s="50">
        <f t="shared" si="554"/>
        <v>2.9135775177511477E-2</v>
      </c>
      <c r="J598" s="50">
        <f t="shared" si="554"/>
        <v>3.4540443856715661E-2</v>
      </c>
      <c r="K598" s="50">
        <f t="shared" si="554"/>
        <v>3.8789035252325646E-2</v>
      </c>
      <c r="L598" s="50">
        <f t="shared" si="554"/>
        <v>3.957865839345593E-2</v>
      </c>
      <c r="M598" s="50">
        <f t="shared" si="554"/>
        <v>4.0957538271781398E-2</v>
      </c>
      <c r="N598" s="50">
        <f t="shared" si="554"/>
        <v>4.2166920044863825E-2</v>
      </c>
      <c r="O598" s="50">
        <f t="shared" si="554"/>
        <v>4.4150374939633218E-2</v>
      </c>
      <c r="P598" s="50">
        <f t="shared" si="554"/>
        <v>4.6294816466469102E-2</v>
      </c>
      <c r="Q598" s="50">
        <f t="shared" si="554"/>
        <v>4.5431875959152102E-2</v>
      </c>
      <c r="R598" s="50">
        <f t="shared" si="554"/>
        <v>4.3879728503346101E-2</v>
      </c>
      <c r="S598" s="50">
        <f t="shared" si="554"/>
        <v>4.4118506624640258E-2</v>
      </c>
      <c r="T598" s="50">
        <f t="shared" si="554"/>
        <v>4.5188432655351718E-2</v>
      </c>
      <c r="U598" s="50">
        <f t="shared" si="554"/>
        <v>4.624302558461979E-2</v>
      </c>
      <c r="V598" s="50">
        <f t="shared" si="554"/>
        <v>4.8247238962955179E-2</v>
      </c>
      <c r="W598" s="50">
        <f t="shared" si="554"/>
        <v>5.7096885328092907E-2</v>
      </c>
      <c r="X598" s="50">
        <f t="shared" si="554"/>
        <v>6.1739938045350239E-2</v>
      </c>
      <c r="Y598" s="50">
        <f t="shared" si="554"/>
        <v>5.7231881517227232E-2</v>
      </c>
      <c r="Z598" s="50">
        <f t="shared" si="554"/>
        <v>5.0129255438435008E-2</v>
      </c>
      <c r="AA598" s="50">
        <f t="shared" si="554"/>
        <v>4.1010488221716553E-2</v>
      </c>
      <c r="AB598" s="50">
        <f t="shared" si="554"/>
        <v>3.34430625326523E-2</v>
      </c>
      <c r="AC598" s="8">
        <f>+SUM(E598:AB598)*D598</f>
        <v>20.000000000000004</v>
      </c>
    </row>
    <row r="599" spans="2:29">
      <c r="B599" s="16"/>
      <c r="C599" s="8" t="s">
        <v>46</v>
      </c>
      <c r="D599" s="8">
        <v>5</v>
      </c>
      <c r="E599" s="50">
        <f t="shared" ref="E599:AB599" si="555">+E539</f>
        <v>3.0659473205105158E-2</v>
      </c>
      <c r="F599" s="50">
        <f t="shared" si="555"/>
        <v>2.8600001140869122E-2</v>
      </c>
      <c r="G599" s="50">
        <f t="shared" si="555"/>
        <v>2.7683858575034276E-2</v>
      </c>
      <c r="H599" s="50">
        <f t="shared" si="555"/>
        <v>2.7537802139610414E-2</v>
      </c>
      <c r="I599" s="50">
        <f t="shared" si="555"/>
        <v>2.8782539770184416E-2</v>
      </c>
      <c r="J599" s="50">
        <f t="shared" si="555"/>
        <v>3.2241585579716119E-2</v>
      </c>
      <c r="K599" s="50">
        <f t="shared" si="555"/>
        <v>3.645312931015221E-2</v>
      </c>
      <c r="L599" s="50">
        <f t="shared" si="555"/>
        <v>3.9012639181609042E-2</v>
      </c>
      <c r="M599" s="50">
        <f t="shared" si="555"/>
        <v>4.1549207589560662E-2</v>
      </c>
      <c r="N599" s="50">
        <f t="shared" si="555"/>
        <v>4.3042516751632572E-2</v>
      </c>
      <c r="O599" s="50">
        <f t="shared" si="555"/>
        <v>4.4973693586955334E-2</v>
      </c>
      <c r="P599" s="50">
        <f t="shared" si="555"/>
        <v>4.6808021710202923E-2</v>
      </c>
      <c r="Q599" s="50">
        <f t="shared" si="555"/>
        <v>4.6383383047344962E-2</v>
      </c>
      <c r="R599" s="50">
        <f t="shared" si="555"/>
        <v>4.4751654806610461E-2</v>
      </c>
      <c r="S599" s="50">
        <f t="shared" si="555"/>
        <v>4.4013077558728637E-2</v>
      </c>
      <c r="T599" s="50">
        <f t="shared" si="555"/>
        <v>4.428856091631931E-2</v>
      </c>
      <c r="U599" s="50">
        <f t="shared" si="555"/>
        <v>4.49735778579251E-2</v>
      </c>
      <c r="V599" s="50">
        <f t="shared" si="555"/>
        <v>4.6933206789217301E-2</v>
      </c>
      <c r="W599" s="50">
        <f t="shared" si="555"/>
        <v>5.6210586428141023E-2</v>
      </c>
      <c r="X599" s="50">
        <f t="shared" si="555"/>
        <v>6.1205656691958259E-2</v>
      </c>
      <c r="Y599" s="50">
        <f t="shared" si="555"/>
        <v>5.7018442088769522E-2</v>
      </c>
      <c r="Z599" s="50">
        <f t="shared" si="555"/>
        <v>4.9896672365740725E-2</v>
      </c>
      <c r="AA599" s="50">
        <f t="shared" si="555"/>
        <v>4.1622868086918119E-2</v>
      </c>
      <c r="AB599" s="50">
        <f t="shared" si="555"/>
        <v>3.5357844821693719E-2</v>
      </c>
      <c r="AC599" s="8">
        <f t="shared" ref="AC599:AC601" si="556">+SUM(E599:AB599)*D599</f>
        <v>4.9999999999999964</v>
      </c>
    </row>
    <row r="600" spans="2:29">
      <c r="B600" s="16"/>
      <c r="C600" s="8" t="s">
        <v>47</v>
      </c>
      <c r="D600" s="8">
        <v>5</v>
      </c>
      <c r="E600" s="50">
        <f t="shared" ref="E600:AB600" si="557">+E540</f>
        <v>3.3281514565353124E-2</v>
      </c>
      <c r="F600" s="50">
        <f t="shared" si="557"/>
        <v>3.1140043873712407E-2</v>
      </c>
      <c r="G600" s="50">
        <f t="shared" si="557"/>
        <v>2.984335106750436E-2</v>
      </c>
      <c r="H600" s="50">
        <f t="shared" si="557"/>
        <v>2.9286927979133532E-2</v>
      </c>
      <c r="I600" s="50">
        <f t="shared" si="557"/>
        <v>2.9138028999542646E-2</v>
      </c>
      <c r="J600" s="50">
        <f t="shared" si="557"/>
        <v>3.0942883559119717E-2</v>
      </c>
      <c r="K600" s="50">
        <f t="shared" si="557"/>
        <v>3.4432484834348992E-2</v>
      </c>
      <c r="L600" s="50">
        <f t="shared" si="557"/>
        <v>3.8305304424032266E-2</v>
      </c>
      <c r="M600" s="50">
        <f t="shared" si="557"/>
        <v>4.1103790742913066E-2</v>
      </c>
      <c r="N600" s="50">
        <f t="shared" si="557"/>
        <v>4.2608444243851212E-2</v>
      </c>
      <c r="O600" s="50">
        <f t="shared" si="557"/>
        <v>4.3914681848814308E-2</v>
      </c>
      <c r="P600" s="50">
        <f t="shared" si="557"/>
        <v>4.5729867165388009E-2</v>
      </c>
      <c r="Q600" s="50">
        <f t="shared" si="557"/>
        <v>4.5741487779353565E-2</v>
      </c>
      <c r="R600" s="50">
        <f t="shared" si="557"/>
        <v>4.4277060725657284E-2</v>
      </c>
      <c r="S600" s="50">
        <f t="shared" si="557"/>
        <v>4.3144199391556254E-2</v>
      </c>
      <c r="T600" s="50">
        <f t="shared" si="557"/>
        <v>4.3279567369281124E-2</v>
      </c>
      <c r="U600" s="50">
        <f t="shared" si="557"/>
        <v>4.4109954506885138E-2</v>
      </c>
      <c r="V600" s="50">
        <f t="shared" si="557"/>
        <v>4.6298728840315946E-2</v>
      </c>
      <c r="W600" s="50">
        <f t="shared" si="557"/>
        <v>5.6176649878816001E-2</v>
      </c>
      <c r="X600" s="50">
        <f t="shared" si="557"/>
        <v>6.2194705000087863E-2</v>
      </c>
      <c r="Y600" s="50">
        <f t="shared" si="557"/>
        <v>5.7928891294023718E-2</v>
      </c>
      <c r="Z600" s="50">
        <f t="shared" si="557"/>
        <v>5.019499221712586E-2</v>
      </c>
      <c r="AA600" s="50">
        <f t="shared" si="557"/>
        <v>4.1853093029906328E-2</v>
      </c>
      <c r="AB600" s="50">
        <f t="shared" si="557"/>
        <v>3.507334666327714E-2</v>
      </c>
      <c r="AC600" s="8">
        <f t="shared" si="556"/>
        <v>4.9999999999999991</v>
      </c>
    </row>
    <row r="601" spans="2:29">
      <c r="B601" s="16"/>
      <c r="C601" s="8" t="s">
        <v>48</v>
      </c>
      <c r="D601" s="8">
        <v>1</v>
      </c>
      <c r="E601" s="50">
        <f t="shared" ref="E601:AB601" si="558">+E541</f>
        <v>3.367503361886829E-2</v>
      </c>
      <c r="F601" s="50">
        <f t="shared" si="558"/>
        <v>3.1245692535415936E-2</v>
      </c>
      <c r="G601" s="50">
        <f t="shared" si="558"/>
        <v>2.9861746203171599E-2</v>
      </c>
      <c r="H601" s="50">
        <f t="shared" si="558"/>
        <v>2.9235019370742008E-2</v>
      </c>
      <c r="I601" s="50">
        <f t="shared" si="558"/>
        <v>3.0186379118294998E-2</v>
      </c>
      <c r="J601" s="50">
        <f t="shared" si="558"/>
        <v>3.3123682717801174E-2</v>
      </c>
      <c r="K601" s="50">
        <f t="shared" si="558"/>
        <v>3.5563630818173868E-2</v>
      </c>
      <c r="L601" s="50">
        <f t="shared" si="558"/>
        <v>3.7375437025807548E-2</v>
      </c>
      <c r="M601" s="50">
        <f t="shared" si="558"/>
        <v>3.9557895894381336E-2</v>
      </c>
      <c r="N601" s="50">
        <f t="shared" si="558"/>
        <v>4.1330002492198488E-2</v>
      </c>
      <c r="O601" s="50">
        <f t="shared" si="558"/>
        <v>4.3273465010057272E-2</v>
      </c>
      <c r="P601" s="50">
        <f t="shared" si="558"/>
        <v>4.5278417057592932E-2</v>
      </c>
      <c r="Q601" s="50">
        <f t="shared" si="558"/>
        <v>4.5765189585786785E-2</v>
      </c>
      <c r="R601" s="50">
        <f t="shared" si="558"/>
        <v>4.421428774797561E-2</v>
      </c>
      <c r="S601" s="50">
        <f t="shared" si="558"/>
        <v>4.3245429527174986E-2</v>
      </c>
      <c r="T601" s="50">
        <f t="shared" si="558"/>
        <v>4.3554999005074702E-2</v>
      </c>
      <c r="U601" s="50">
        <f t="shared" si="558"/>
        <v>4.4435510161992771E-2</v>
      </c>
      <c r="V601" s="50">
        <f t="shared" si="558"/>
        <v>4.717219114348542E-2</v>
      </c>
      <c r="W601" s="50">
        <f t="shared" si="558"/>
        <v>5.6899741232983039E-2</v>
      </c>
      <c r="X601" s="50">
        <f t="shared" si="558"/>
        <v>6.1986738769463187E-2</v>
      </c>
      <c r="Y601" s="50">
        <f t="shared" si="558"/>
        <v>5.7208700429979269E-2</v>
      </c>
      <c r="Z601" s="50">
        <f t="shared" si="558"/>
        <v>4.9339560702577757E-2</v>
      </c>
      <c r="AA601" s="50">
        <f t="shared" si="558"/>
        <v>4.1368944501432053E-2</v>
      </c>
      <c r="AB601" s="50">
        <f t="shared" si="558"/>
        <v>3.5102305329568817E-2</v>
      </c>
      <c r="AC601" s="8">
        <f t="shared" si="556"/>
        <v>0.99999999999999978</v>
      </c>
    </row>
    <row r="602" spans="2:29">
      <c r="B602" s="12"/>
      <c r="C602" s="12" t="s">
        <v>15</v>
      </c>
      <c r="D602" s="12">
        <f>+SUM(D598:D601)</f>
        <v>31</v>
      </c>
      <c r="E602" s="19">
        <f>+SUMPRODUCT(E598:E601,$D598:$D601)</f>
        <v>0.94060511496792754</v>
      </c>
      <c r="F602" s="19">
        <f>+SUMPRODUCT(F598:F601,$D598:$D601)</f>
        <v>0.88380012425291787</v>
      </c>
      <c r="G602" s="19">
        <f t="shared" ref="G602:AB602" si="559">+SUMPRODUCT(G598:G601,$D598:$D601)</f>
        <v>0.85320102236979534</v>
      </c>
      <c r="H602" s="19">
        <f t="shared" si="559"/>
        <v>0.84909845734325939</v>
      </c>
      <c r="I602" s="19">
        <f t="shared" si="559"/>
        <v>0.90250472651715985</v>
      </c>
      <c r="J602" s="19">
        <f t="shared" si="559"/>
        <v>1.0398549055462936</v>
      </c>
      <c r="K602" s="19">
        <f t="shared" si="559"/>
        <v>1.1657724065871928</v>
      </c>
      <c r="L602" s="19">
        <f t="shared" si="559"/>
        <v>1.2155383229231327</v>
      </c>
      <c r="M602" s="19">
        <f t="shared" si="559"/>
        <v>1.271973652992378</v>
      </c>
      <c r="N602" s="19">
        <f t="shared" si="559"/>
        <v>1.3129232083668938</v>
      </c>
      <c r="O602" s="19">
        <f t="shared" si="559"/>
        <v>1.3707228409815699</v>
      </c>
      <c r="P602" s="19">
        <f t="shared" si="559"/>
        <v>1.4338641907649297</v>
      </c>
      <c r="Q602" s="19">
        <f t="shared" si="559"/>
        <v>1.4150270629023214</v>
      </c>
      <c r="R602" s="19">
        <f t="shared" si="559"/>
        <v>1.3669524354762363</v>
      </c>
      <c r="S602" s="19">
        <f t="shared" si="559"/>
        <v>1.3614019467714047</v>
      </c>
      <c r="T602" s="19">
        <f t="shared" si="559"/>
        <v>1.3851642935401114</v>
      </c>
      <c r="U602" s="19">
        <f t="shared" si="559"/>
        <v>1.4147136836784397</v>
      </c>
      <c r="V602" s="19">
        <f t="shared" si="559"/>
        <v>1.4782766485502554</v>
      </c>
      <c r="W602" s="19">
        <f t="shared" si="559"/>
        <v>1.7607736293296263</v>
      </c>
      <c r="X602" s="19">
        <f t="shared" si="559"/>
        <v>1.9137873081366987</v>
      </c>
      <c r="Y602" s="19">
        <f t="shared" si="559"/>
        <v>1.7765829976884902</v>
      </c>
      <c r="Z602" s="19">
        <f t="shared" si="559"/>
        <v>1.5523829923856107</v>
      </c>
      <c r="AA602" s="19">
        <f t="shared" si="559"/>
        <v>1.2789585145198852</v>
      </c>
      <c r="AB602" s="19">
        <f t="shared" si="559"/>
        <v>1.0561195134074692</v>
      </c>
      <c r="AC602" s="12">
        <f>+SUM(E602:AB602)</f>
        <v>30.999999999999996</v>
      </c>
    </row>
    <row r="603" spans="2:29">
      <c r="B603" s="15">
        <f>+EDATE(B598,1)</f>
        <v>48519</v>
      </c>
      <c r="C603" s="8" t="s">
        <v>45</v>
      </c>
      <c r="D603" s="8">
        <v>20</v>
      </c>
      <c r="E603" s="50">
        <f t="shared" ref="E603:AB603" si="560">+E543</f>
        <v>2.9361257124838391E-2</v>
      </c>
      <c r="F603" s="50">
        <f t="shared" si="560"/>
        <v>2.7692710332229715E-2</v>
      </c>
      <c r="G603" s="50">
        <f t="shared" si="560"/>
        <v>2.6785161397696527E-2</v>
      </c>
      <c r="H603" s="50">
        <f t="shared" si="560"/>
        <v>2.6786989368939883E-2</v>
      </c>
      <c r="I603" s="50">
        <f t="shared" si="560"/>
        <v>2.9135775177511477E-2</v>
      </c>
      <c r="J603" s="50">
        <f t="shared" si="560"/>
        <v>3.4540443856715661E-2</v>
      </c>
      <c r="K603" s="50">
        <f t="shared" si="560"/>
        <v>3.8789035252325646E-2</v>
      </c>
      <c r="L603" s="50">
        <f t="shared" si="560"/>
        <v>3.957865839345593E-2</v>
      </c>
      <c r="M603" s="50">
        <f t="shared" si="560"/>
        <v>4.0957538271781398E-2</v>
      </c>
      <c r="N603" s="50">
        <f t="shared" si="560"/>
        <v>4.2166920044863825E-2</v>
      </c>
      <c r="O603" s="50">
        <f t="shared" si="560"/>
        <v>4.4150374939633218E-2</v>
      </c>
      <c r="P603" s="50">
        <f t="shared" si="560"/>
        <v>4.6294816466469102E-2</v>
      </c>
      <c r="Q603" s="50">
        <f t="shared" si="560"/>
        <v>4.5431875959152102E-2</v>
      </c>
      <c r="R603" s="50">
        <f t="shared" si="560"/>
        <v>4.3879728503346101E-2</v>
      </c>
      <c r="S603" s="50">
        <f t="shared" si="560"/>
        <v>4.4118506624640258E-2</v>
      </c>
      <c r="T603" s="50">
        <f t="shared" si="560"/>
        <v>4.5188432655351718E-2</v>
      </c>
      <c r="U603" s="50">
        <f t="shared" si="560"/>
        <v>4.624302558461979E-2</v>
      </c>
      <c r="V603" s="50">
        <f t="shared" si="560"/>
        <v>4.8247238962955179E-2</v>
      </c>
      <c r="W603" s="50">
        <f t="shared" si="560"/>
        <v>5.7096885328092907E-2</v>
      </c>
      <c r="X603" s="50">
        <f t="shared" si="560"/>
        <v>6.1739938045350239E-2</v>
      </c>
      <c r="Y603" s="50">
        <f t="shared" si="560"/>
        <v>5.7231881517227232E-2</v>
      </c>
      <c r="Z603" s="50">
        <f t="shared" si="560"/>
        <v>5.0129255438435008E-2</v>
      </c>
      <c r="AA603" s="50">
        <f t="shared" si="560"/>
        <v>4.1010488221716553E-2</v>
      </c>
      <c r="AB603" s="50">
        <f t="shared" si="560"/>
        <v>3.34430625326523E-2</v>
      </c>
      <c r="AC603" s="8">
        <f>+SUM(E603:AB603)*D603</f>
        <v>20.000000000000004</v>
      </c>
    </row>
    <row r="604" spans="2:29">
      <c r="B604" s="16"/>
      <c r="C604" s="8" t="s">
        <v>46</v>
      </c>
      <c r="D604" s="8">
        <v>4</v>
      </c>
      <c r="E604" s="50">
        <f t="shared" ref="E604:AB604" si="561">+E544</f>
        <v>3.0659473205105158E-2</v>
      </c>
      <c r="F604" s="50">
        <f t="shared" si="561"/>
        <v>2.8600001140869122E-2</v>
      </c>
      <c r="G604" s="50">
        <f t="shared" si="561"/>
        <v>2.7683858575034276E-2</v>
      </c>
      <c r="H604" s="50">
        <f t="shared" si="561"/>
        <v>2.7537802139610414E-2</v>
      </c>
      <c r="I604" s="50">
        <f t="shared" si="561"/>
        <v>2.8782539770184416E-2</v>
      </c>
      <c r="J604" s="50">
        <f t="shared" si="561"/>
        <v>3.2241585579716119E-2</v>
      </c>
      <c r="K604" s="50">
        <f t="shared" si="561"/>
        <v>3.645312931015221E-2</v>
      </c>
      <c r="L604" s="50">
        <f t="shared" si="561"/>
        <v>3.9012639181609042E-2</v>
      </c>
      <c r="M604" s="50">
        <f t="shared" si="561"/>
        <v>4.1549207589560662E-2</v>
      </c>
      <c r="N604" s="50">
        <f t="shared" si="561"/>
        <v>4.3042516751632572E-2</v>
      </c>
      <c r="O604" s="50">
        <f t="shared" si="561"/>
        <v>4.4973693586955334E-2</v>
      </c>
      <c r="P604" s="50">
        <f t="shared" si="561"/>
        <v>4.6808021710202923E-2</v>
      </c>
      <c r="Q604" s="50">
        <f t="shared" si="561"/>
        <v>4.6383383047344962E-2</v>
      </c>
      <c r="R604" s="50">
        <f t="shared" si="561"/>
        <v>4.4751654806610461E-2</v>
      </c>
      <c r="S604" s="50">
        <f t="shared" si="561"/>
        <v>4.4013077558728637E-2</v>
      </c>
      <c r="T604" s="50">
        <f t="shared" si="561"/>
        <v>4.428856091631931E-2</v>
      </c>
      <c r="U604" s="50">
        <f t="shared" si="561"/>
        <v>4.49735778579251E-2</v>
      </c>
      <c r="V604" s="50">
        <f t="shared" si="561"/>
        <v>4.6933206789217301E-2</v>
      </c>
      <c r="W604" s="50">
        <f t="shared" si="561"/>
        <v>5.6210586428141023E-2</v>
      </c>
      <c r="X604" s="50">
        <f t="shared" si="561"/>
        <v>6.1205656691958259E-2</v>
      </c>
      <c r="Y604" s="50">
        <f t="shared" si="561"/>
        <v>5.7018442088769522E-2</v>
      </c>
      <c r="Z604" s="50">
        <f t="shared" si="561"/>
        <v>4.9896672365740725E-2</v>
      </c>
      <c r="AA604" s="50">
        <f t="shared" si="561"/>
        <v>4.1622868086918119E-2</v>
      </c>
      <c r="AB604" s="50">
        <f t="shared" si="561"/>
        <v>3.5357844821693719E-2</v>
      </c>
      <c r="AC604" s="8">
        <f t="shared" ref="AC604:AC606" si="562">+SUM(E604:AB604)*D604</f>
        <v>3.9999999999999969</v>
      </c>
    </row>
    <row r="605" spans="2:29">
      <c r="B605" s="16"/>
      <c r="C605" s="8" t="s">
        <v>47</v>
      </c>
      <c r="D605" s="8">
        <v>4</v>
      </c>
      <c r="E605" s="50">
        <f t="shared" ref="E605:AB605" si="563">+E545</f>
        <v>3.3281514565353124E-2</v>
      </c>
      <c r="F605" s="50">
        <f t="shared" si="563"/>
        <v>3.1140043873712407E-2</v>
      </c>
      <c r="G605" s="50">
        <f t="shared" si="563"/>
        <v>2.984335106750436E-2</v>
      </c>
      <c r="H605" s="50">
        <f t="shared" si="563"/>
        <v>2.9286927979133532E-2</v>
      </c>
      <c r="I605" s="50">
        <f t="shared" si="563"/>
        <v>2.9138028999542646E-2</v>
      </c>
      <c r="J605" s="50">
        <f t="shared" si="563"/>
        <v>3.0942883559119717E-2</v>
      </c>
      <c r="K605" s="50">
        <f t="shared" si="563"/>
        <v>3.4432484834348992E-2</v>
      </c>
      <c r="L605" s="50">
        <f t="shared" si="563"/>
        <v>3.8305304424032266E-2</v>
      </c>
      <c r="M605" s="50">
        <f t="shared" si="563"/>
        <v>4.1103790742913066E-2</v>
      </c>
      <c r="N605" s="50">
        <f t="shared" si="563"/>
        <v>4.2608444243851212E-2</v>
      </c>
      <c r="O605" s="50">
        <f t="shared" si="563"/>
        <v>4.3914681848814308E-2</v>
      </c>
      <c r="P605" s="50">
        <f t="shared" si="563"/>
        <v>4.5729867165388009E-2</v>
      </c>
      <c r="Q605" s="50">
        <f t="shared" si="563"/>
        <v>4.5741487779353565E-2</v>
      </c>
      <c r="R605" s="50">
        <f t="shared" si="563"/>
        <v>4.4277060725657284E-2</v>
      </c>
      <c r="S605" s="50">
        <f t="shared" si="563"/>
        <v>4.3144199391556254E-2</v>
      </c>
      <c r="T605" s="50">
        <f t="shared" si="563"/>
        <v>4.3279567369281124E-2</v>
      </c>
      <c r="U605" s="50">
        <f t="shared" si="563"/>
        <v>4.4109954506885138E-2</v>
      </c>
      <c r="V605" s="50">
        <f t="shared" si="563"/>
        <v>4.6298728840315946E-2</v>
      </c>
      <c r="W605" s="50">
        <f t="shared" si="563"/>
        <v>5.6176649878816001E-2</v>
      </c>
      <c r="X605" s="50">
        <f t="shared" si="563"/>
        <v>6.2194705000087863E-2</v>
      </c>
      <c r="Y605" s="50">
        <f t="shared" si="563"/>
        <v>5.7928891294023718E-2</v>
      </c>
      <c r="Z605" s="50">
        <f t="shared" si="563"/>
        <v>5.019499221712586E-2</v>
      </c>
      <c r="AA605" s="50">
        <f t="shared" si="563"/>
        <v>4.1853093029906328E-2</v>
      </c>
      <c r="AB605" s="50">
        <f t="shared" si="563"/>
        <v>3.507334666327714E-2</v>
      </c>
      <c r="AC605" s="8">
        <f t="shared" si="562"/>
        <v>3.9999999999999991</v>
      </c>
    </row>
    <row r="606" spans="2:29">
      <c r="B606" s="16"/>
      <c r="C606" s="8" t="s">
        <v>48</v>
      </c>
      <c r="D606" s="8">
        <v>2</v>
      </c>
      <c r="E606" s="50">
        <f t="shared" ref="E606:AB606" si="564">+E546</f>
        <v>3.367503361886829E-2</v>
      </c>
      <c r="F606" s="50">
        <f t="shared" si="564"/>
        <v>3.1245692535415936E-2</v>
      </c>
      <c r="G606" s="50">
        <f t="shared" si="564"/>
        <v>2.9861746203171599E-2</v>
      </c>
      <c r="H606" s="50">
        <f t="shared" si="564"/>
        <v>2.9235019370742008E-2</v>
      </c>
      <c r="I606" s="50">
        <f t="shared" si="564"/>
        <v>3.0186379118294998E-2</v>
      </c>
      <c r="J606" s="50">
        <f t="shared" si="564"/>
        <v>3.3123682717801174E-2</v>
      </c>
      <c r="K606" s="50">
        <f t="shared" si="564"/>
        <v>3.5563630818173868E-2</v>
      </c>
      <c r="L606" s="50">
        <f t="shared" si="564"/>
        <v>3.7375437025807548E-2</v>
      </c>
      <c r="M606" s="50">
        <f t="shared" si="564"/>
        <v>3.9557895894381336E-2</v>
      </c>
      <c r="N606" s="50">
        <f t="shared" si="564"/>
        <v>4.1330002492198488E-2</v>
      </c>
      <c r="O606" s="50">
        <f t="shared" si="564"/>
        <v>4.3273465010057272E-2</v>
      </c>
      <c r="P606" s="50">
        <f t="shared" si="564"/>
        <v>4.5278417057592932E-2</v>
      </c>
      <c r="Q606" s="50">
        <f t="shared" si="564"/>
        <v>4.5765189585786785E-2</v>
      </c>
      <c r="R606" s="50">
        <f t="shared" si="564"/>
        <v>4.421428774797561E-2</v>
      </c>
      <c r="S606" s="50">
        <f t="shared" si="564"/>
        <v>4.3245429527174986E-2</v>
      </c>
      <c r="T606" s="50">
        <f t="shared" si="564"/>
        <v>4.3554999005074702E-2</v>
      </c>
      <c r="U606" s="50">
        <f t="shared" si="564"/>
        <v>4.4435510161992771E-2</v>
      </c>
      <c r="V606" s="50">
        <f t="shared" si="564"/>
        <v>4.717219114348542E-2</v>
      </c>
      <c r="W606" s="50">
        <f t="shared" si="564"/>
        <v>5.6899741232983039E-2</v>
      </c>
      <c r="X606" s="50">
        <f t="shared" si="564"/>
        <v>6.1986738769463187E-2</v>
      </c>
      <c r="Y606" s="50">
        <f t="shared" si="564"/>
        <v>5.7208700429979269E-2</v>
      </c>
      <c r="Z606" s="50">
        <f t="shared" si="564"/>
        <v>4.9339560702577757E-2</v>
      </c>
      <c r="AA606" s="50">
        <f t="shared" si="564"/>
        <v>4.1368944501432053E-2</v>
      </c>
      <c r="AB606" s="50">
        <f t="shared" si="564"/>
        <v>3.5102305329568817E-2</v>
      </c>
      <c r="AC606" s="8">
        <f t="shared" si="562"/>
        <v>1.9999999999999996</v>
      </c>
    </row>
    <row r="607" spans="2:29">
      <c r="B607" s="12"/>
      <c r="C607" s="12" t="s">
        <v>15</v>
      </c>
      <c r="D607" s="12">
        <f>+SUM(D603:D606)</f>
        <v>30</v>
      </c>
      <c r="E607" s="19">
        <f>+SUMPRODUCT(E603:E606,$D603:$D606)</f>
        <v>0.91033916081633748</v>
      </c>
      <c r="F607" s="19">
        <f>+SUMPRODUCT(F603:F606,$D603:$D606)</f>
        <v>0.85530577177375222</v>
      </c>
      <c r="G607" s="19">
        <f t="shared" ref="G607:AB607" si="565">+SUMPRODUCT(G603:G606,$D603:$D606)</f>
        <v>0.82553555893042829</v>
      </c>
      <c r="H607" s="19">
        <f t="shared" si="565"/>
        <v>0.82150874659525752</v>
      </c>
      <c r="I607" s="19">
        <f t="shared" si="565"/>
        <v>0.8747705368657277</v>
      </c>
      <c r="J607" s="19">
        <f t="shared" si="565"/>
        <v>1.0097941191252591</v>
      </c>
      <c r="K607" s="19">
        <f t="shared" si="565"/>
        <v>1.1304504232608654</v>
      </c>
      <c r="L607" s="19">
        <f t="shared" si="565"/>
        <v>1.1755958163432989</v>
      </c>
      <c r="M607" s="19">
        <f t="shared" si="565"/>
        <v>1.2288785505542854</v>
      </c>
      <c r="N607" s="19">
        <f t="shared" si="565"/>
        <v>1.2686022498636089</v>
      </c>
      <c r="O607" s="19">
        <f t="shared" si="565"/>
        <v>1.3251079305558575</v>
      </c>
      <c r="P607" s="19">
        <f t="shared" si="565"/>
        <v>1.3866047189469317</v>
      </c>
      <c r="Q607" s="19">
        <f t="shared" si="565"/>
        <v>1.3686673816614097</v>
      </c>
      <c r="R607" s="19">
        <f t="shared" si="565"/>
        <v>1.3221380076919442</v>
      </c>
      <c r="S607" s="19">
        <f t="shared" si="565"/>
        <v>1.317490099348295</v>
      </c>
      <c r="T607" s="19">
        <f t="shared" si="565"/>
        <v>1.3411511642595855</v>
      </c>
      <c r="U607" s="19">
        <f t="shared" si="565"/>
        <v>1.3700656614756224</v>
      </c>
      <c r="V607" s="19">
        <f t="shared" si="565"/>
        <v>1.4322169040642074</v>
      </c>
      <c r="W607" s="19">
        <f t="shared" si="565"/>
        <v>1.7052861342556522</v>
      </c>
      <c r="X607" s="19">
        <f t="shared" si="565"/>
        <v>1.8523736852141155</v>
      </c>
      <c r="Y607" s="19">
        <f t="shared" si="565"/>
        <v>1.7188443647356764</v>
      </c>
      <c r="Z607" s="19">
        <f t="shared" si="565"/>
        <v>1.501630888505322</v>
      </c>
      <c r="AA607" s="19">
        <f t="shared" si="565"/>
        <v>1.2368514979044929</v>
      </c>
      <c r="AB607" s="19">
        <f t="shared" si="565"/>
        <v>1.020790627252067</v>
      </c>
      <c r="AC607" s="12">
        <f>+SUM(E607:AB607)</f>
        <v>30</v>
      </c>
    </row>
    <row r="608" spans="2:29">
      <c r="B608" s="15">
        <f>+EDATE(B603,1)</f>
        <v>48549</v>
      </c>
      <c r="C608" s="8" t="s">
        <v>45</v>
      </c>
      <c r="D608" s="8">
        <v>22</v>
      </c>
      <c r="E608" s="50">
        <f t="shared" ref="E608:AB608" si="566">+E548</f>
        <v>2.9361257124838391E-2</v>
      </c>
      <c r="F608" s="50">
        <f t="shared" si="566"/>
        <v>2.7692710332229715E-2</v>
      </c>
      <c r="G608" s="50">
        <f t="shared" si="566"/>
        <v>2.6785161397696527E-2</v>
      </c>
      <c r="H608" s="50">
        <f t="shared" si="566"/>
        <v>2.6786989368939883E-2</v>
      </c>
      <c r="I608" s="50">
        <f t="shared" si="566"/>
        <v>2.9135775177511477E-2</v>
      </c>
      <c r="J608" s="50">
        <f t="shared" si="566"/>
        <v>3.4540443856715661E-2</v>
      </c>
      <c r="K608" s="50">
        <f t="shared" si="566"/>
        <v>3.8789035252325646E-2</v>
      </c>
      <c r="L608" s="50">
        <f t="shared" si="566"/>
        <v>3.957865839345593E-2</v>
      </c>
      <c r="M608" s="50">
        <f t="shared" si="566"/>
        <v>4.0957538271781398E-2</v>
      </c>
      <c r="N608" s="50">
        <f t="shared" si="566"/>
        <v>4.2166920044863825E-2</v>
      </c>
      <c r="O608" s="50">
        <f t="shared" si="566"/>
        <v>4.4150374939633218E-2</v>
      </c>
      <c r="P608" s="50">
        <f t="shared" si="566"/>
        <v>4.6294816466469102E-2</v>
      </c>
      <c r="Q608" s="50">
        <f t="shared" si="566"/>
        <v>4.5431875959152102E-2</v>
      </c>
      <c r="R608" s="50">
        <f t="shared" si="566"/>
        <v>4.3879728503346101E-2</v>
      </c>
      <c r="S608" s="50">
        <f t="shared" si="566"/>
        <v>4.4118506624640258E-2</v>
      </c>
      <c r="T608" s="50">
        <f t="shared" si="566"/>
        <v>4.5188432655351718E-2</v>
      </c>
      <c r="U608" s="50">
        <f t="shared" si="566"/>
        <v>4.624302558461979E-2</v>
      </c>
      <c r="V608" s="50">
        <f t="shared" si="566"/>
        <v>4.8247238962955179E-2</v>
      </c>
      <c r="W608" s="50">
        <f t="shared" si="566"/>
        <v>5.7096885328092907E-2</v>
      </c>
      <c r="X608" s="50">
        <f t="shared" si="566"/>
        <v>6.1739938045350239E-2</v>
      </c>
      <c r="Y608" s="50">
        <f t="shared" si="566"/>
        <v>5.7231881517227232E-2</v>
      </c>
      <c r="Z608" s="50">
        <f t="shared" si="566"/>
        <v>5.0129255438435008E-2</v>
      </c>
      <c r="AA608" s="50">
        <f t="shared" si="566"/>
        <v>4.1010488221716553E-2</v>
      </c>
      <c r="AB608" s="50">
        <f t="shared" si="566"/>
        <v>3.34430625326523E-2</v>
      </c>
      <c r="AC608" s="8">
        <f>+SUM(E608:AB608)*D608</f>
        <v>22.000000000000004</v>
      </c>
    </row>
    <row r="609" spans="2:29">
      <c r="B609" s="16"/>
      <c r="C609" s="8" t="s">
        <v>46</v>
      </c>
      <c r="D609" s="8">
        <v>3</v>
      </c>
      <c r="E609" s="50">
        <f t="shared" ref="E609:AB609" si="567">+E549</f>
        <v>3.0659473205105158E-2</v>
      </c>
      <c r="F609" s="50">
        <f t="shared" si="567"/>
        <v>2.8600001140869122E-2</v>
      </c>
      <c r="G609" s="50">
        <f t="shared" si="567"/>
        <v>2.7683858575034276E-2</v>
      </c>
      <c r="H609" s="50">
        <f t="shared" si="567"/>
        <v>2.7537802139610414E-2</v>
      </c>
      <c r="I609" s="50">
        <f t="shared" si="567"/>
        <v>2.8782539770184416E-2</v>
      </c>
      <c r="J609" s="50">
        <f t="shared" si="567"/>
        <v>3.2241585579716119E-2</v>
      </c>
      <c r="K609" s="50">
        <f t="shared" si="567"/>
        <v>3.645312931015221E-2</v>
      </c>
      <c r="L609" s="50">
        <f t="shared" si="567"/>
        <v>3.9012639181609042E-2</v>
      </c>
      <c r="M609" s="50">
        <f t="shared" si="567"/>
        <v>4.1549207589560662E-2</v>
      </c>
      <c r="N609" s="50">
        <f t="shared" si="567"/>
        <v>4.3042516751632572E-2</v>
      </c>
      <c r="O609" s="50">
        <f t="shared" si="567"/>
        <v>4.4973693586955334E-2</v>
      </c>
      <c r="P609" s="50">
        <f t="shared" si="567"/>
        <v>4.6808021710202923E-2</v>
      </c>
      <c r="Q609" s="50">
        <f t="shared" si="567"/>
        <v>4.6383383047344962E-2</v>
      </c>
      <c r="R609" s="50">
        <f t="shared" si="567"/>
        <v>4.4751654806610461E-2</v>
      </c>
      <c r="S609" s="50">
        <f t="shared" si="567"/>
        <v>4.4013077558728637E-2</v>
      </c>
      <c r="T609" s="50">
        <f t="shared" si="567"/>
        <v>4.428856091631931E-2</v>
      </c>
      <c r="U609" s="50">
        <f t="shared" si="567"/>
        <v>4.49735778579251E-2</v>
      </c>
      <c r="V609" s="50">
        <f t="shared" si="567"/>
        <v>4.6933206789217301E-2</v>
      </c>
      <c r="W609" s="50">
        <f t="shared" si="567"/>
        <v>5.6210586428141023E-2</v>
      </c>
      <c r="X609" s="50">
        <f t="shared" si="567"/>
        <v>6.1205656691958259E-2</v>
      </c>
      <c r="Y609" s="50">
        <f t="shared" si="567"/>
        <v>5.7018442088769522E-2</v>
      </c>
      <c r="Z609" s="50">
        <f t="shared" si="567"/>
        <v>4.9896672365740725E-2</v>
      </c>
      <c r="AA609" s="50">
        <f t="shared" si="567"/>
        <v>4.1622868086918119E-2</v>
      </c>
      <c r="AB609" s="50">
        <f t="shared" si="567"/>
        <v>3.5357844821693719E-2</v>
      </c>
      <c r="AC609" s="8">
        <f t="shared" ref="AC609:AC611" si="568">+SUM(E609:AB609)*D609</f>
        <v>2.9999999999999978</v>
      </c>
    </row>
    <row r="610" spans="2:29">
      <c r="B610" s="16"/>
      <c r="C610" s="8" t="s">
        <v>47</v>
      </c>
      <c r="D610" s="8">
        <v>4</v>
      </c>
      <c r="E610" s="50">
        <f t="shared" ref="E610:AB610" si="569">+E550</f>
        <v>3.3281514565353124E-2</v>
      </c>
      <c r="F610" s="50">
        <f t="shared" si="569"/>
        <v>3.1140043873712407E-2</v>
      </c>
      <c r="G610" s="50">
        <f t="shared" si="569"/>
        <v>2.984335106750436E-2</v>
      </c>
      <c r="H610" s="50">
        <f t="shared" si="569"/>
        <v>2.9286927979133532E-2</v>
      </c>
      <c r="I610" s="50">
        <f t="shared" si="569"/>
        <v>2.9138028999542646E-2</v>
      </c>
      <c r="J610" s="50">
        <f t="shared" si="569"/>
        <v>3.0942883559119717E-2</v>
      </c>
      <c r="K610" s="50">
        <f t="shared" si="569"/>
        <v>3.4432484834348992E-2</v>
      </c>
      <c r="L610" s="50">
        <f t="shared" si="569"/>
        <v>3.8305304424032266E-2</v>
      </c>
      <c r="M610" s="50">
        <f t="shared" si="569"/>
        <v>4.1103790742913066E-2</v>
      </c>
      <c r="N610" s="50">
        <f t="shared" si="569"/>
        <v>4.2608444243851212E-2</v>
      </c>
      <c r="O610" s="50">
        <f t="shared" si="569"/>
        <v>4.3914681848814308E-2</v>
      </c>
      <c r="P610" s="50">
        <f t="shared" si="569"/>
        <v>4.5729867165388009E-2</v>
      </c>
      <c r="Q610" s="50">
        <f t="shared" si="569"/>
        <v>4.5741487779353565E-2</v>
      </c>
      <c r="R610" s="50">
        <f t="shared" si="569"/>
        <v>4.4277060725657284E-2</v>
      </c>
      <c r="S610" s="50">
        <f t="shared" si="569"/>
        <v>4.3144199391556254E-2</v>
      </c>
      <c r="T610" s="50">
        <f t="shared" si="569"/>
        <v>4.3279567369281124E-2</v>
      </c>
      <c r="U610" s="50">
        <f t="shared" si="569"/>
        <v>4.4109954506885138E-2</v>
      </c>
      <c r="V610" s="50">
        <f t="shared" si="569"/>
        <v>4.6298728840315946E-2</v>
      </c>
      <c r="W610" s="50">
        <f t="shared" si="569"/>
        <v>5.6176649878816001E-2</v>
      </c>
      <c r="X610" s="50">
        <f t="shared" si="569"/>
        <v>6.2194705000087863E-2</v>
      </c>
      <c r="Y610" s="50">
        <f t="shared" si="569"/>
        <v>5.7928891294023718E-2</v>
      </c>
      <c r="Z610" s="50">
        <f t="shared" si="569"/>
        <v>5.019499221712586E-2</v>
      </c>
      <c r="AA610" s="50">
        <f t="shared" si="569"/>
        <v>4.1853093029906328E-2</v>
      </c>
      <c r="AB610" s="50">
        <f t="shared" si="569"/>
        <v>3.507334666327714E-2</v>
      </c>
      <c r="AC610" s="8">
        <f t="shared" si="568"/>
        <v>3.9999999999999991</v>
      </c>
    </row>
    <row r="611" spans="2:29">
      <c r="B611" s="16"/>
      <c r="C611" s="8" t="s">
        <v>48</v>
      </c>
      <c r="D611" s="8">
        <v>2</v>
      </c>
      <c r="E611" s="50">
        <f t="shared" ref="E611:AB611" si="570">+E551</f>
        <v>3.367503361886829E-2</v>
      </c>
      <c r="F611" s="50">
        <f t="shared" si="570"/>
        <v>3.1245692535415936E-2</v>
      </c>
      <c r="G611" s="50">
        <f t="shared" si="570"/>
        <v>2.9861746203171599E-2</v>
      </c>
      <c r="H611" s="50">
        <f t="shared" si="570"/>
        <v>2.9235019370742008E-2</v>
      </c>
      <c r="I611" s="50">
        <f t="shared" si="570"/>
        <v>3.0186379118294998E-2</v>
      </c>
      <c r="J611" s="50">
        <f t="shared" si="570"/>
        <v>3.3123682717801174E-2</v>
      </c>
      <c r="K611" s="50">
        <f t="shared" si="570"/>
        <v>3.5563630818173868E-2</v>
      </c>
      <c r="L611" s="50">
        <f t="shared" si="570"/>
        <v>3.7375437025807548E-2</v>
      </c>
      <c r="M611" s="50">
        <f t="shared" si="570"/>
        <v>3.9557895894381336E-2</v>
      </c>
      <c r="N611" s="50">
        <f t="shared" si="570"/>
        <v>4.1330002492198488E-2</v>
      </c>
      <c r="O611" s="50">
        <f t="shared" si="570"/>
        <v>4.3273465010057272E-2</v>
      </c>
      <c r="P611" s="50">
        <f t="shared" si="570"/>
        <v>4.5278417057592932E-2</v>
      </c>
      <c r="Q611" s="50">
        <f t="shared" si="570"/>
        <v>4.5765189585786785E-2</v>
      </c>
      <c r="R611" s="50">
        <f t="shared" si="570"/>
        <v>4.421428774797561E-2</v>
      </c>
      <c r="S611" s="50">
        <f t="shared" si="570"/>
        <v>4.3245429527174986E-2</v>
      </c>
      <c r="T611" s="50">
        <f t="shared" si="570"/>
        <v>4.3554999005074702E-2</v>
      </c>
      <c r="U611" s="50">
        <f t="shared" si="570"/>
        <v>4.4435510161992771E-2</v>
      </c>
      <c r="V611" s="50">
        <f t="shared" si="570"/>
        <v>4.717219114348542E-2</v>
      </c>
      <c r="W611" s="50">
        <f t="shared" si="570"/>
        <v>5.6899741232983039E-2</v>
      </c>
      <c r="X611" s="50">
        <f t="shared" si="570"/>
        <v>6.1986738769463187E-2</v>
      </c>
      <c r="Y611" s="50">
        <f t="shared" si="570"/>
        <v>5.7208700429979269E-2</v>
      </c>
      <c r="Z611" s="50">
        <f t="shared" si="570"/>
        <v>4.9339560702577757E-2</v>
      </c>
      <c r="AA611" s="50">
        <f t="shared" si="570"/>
        <v>4.1368944501432053E-2</v>
      </c>
      <c r="AB611" s="50">
        <f t="shared" si="570"/>
        <v>3.5102305329568817E-2</v>
      </c>
      <c r="AC611" s="8">
        <f t="shared" si="568"/>
        <v>1.9999999999999996</v>
      </c>
    </row>
    <row r="612" spans="2:29">
      <c r="B612" s="12"/>
      <c r="C612" s="12" t="s">
        <v>15</v>
      </c>
      <c r="D612" s="12">
        <f>+SUM(D608:D611)</f>
        <v>31</v>
      </c>
      <c r="E612" s="19">
        <f>+SUMPRODUCT(E608:E611,$D608:$D611)</f>
        <v>0.93840220186090917</v>
      </c>
      <c r="F612" s="19">
        <f>+SUMPRODUCT(F608:F611,$D608:$D611)</f>
        <v>0.88209119129734259</v>
      </c>
      <c r="G612" s="19">
        <f t="shared" ref="G612:AB612" si="571">+SUMPRODUCT(G608:G611,$D608:$D611)</f>
        <v>0.85142202315078708</v>
      </c>
      <c r="H612" s="19">
        <f t="shared" si="571"/>
        <v>0.84754492319352692</v>
      </c>
      <c r="I612" s="19">
        <f t="shared" si="571"/>
        <v>0.90425954745056636</v>
      </c>
      <c r="J612" s="19">
        <f t="shared" si="571"/>
        <v>1.0466334212589741</v>
      </c>
      <c r="K612" s="19">
        <f t="shared" si="571"/>
        <v>1.1715753644553646</v>
      </c>
      <c r="L612" s="19">
        <f t="shared" si="571"/>
        <v>1.2157404939486016</v>
      </c>
      <c r="M612" s="19">
        <f t="shared" si="571"/>
        <v>1.2692444195082875</v>
      </c>
      <c r="N612" s="19">
        <f t="shared" si="571"/>
        <v>1.3098935732017036</v>
      </c>
      <c r="O612" s="19">
        <f t="shared" si="571"/>
        <v>1.3684349868481684</v>
      </c>
      <c r="P612" s="19">
        <f t="shared" si="571"/>
        <v>1.4323863301696669</v>
      </c>
      <c r="Q612" s="19">
        <f t="shared" si="571"/>
        <v>1.4131477505323689</v>
      </c>
      <c r="R612" s="19">
        <f t="shared" si="571"/>
        <v>1.3651458098920259</v>
      </c>
      <c r="S612" s="19">
        <f t="shared" si="571"/>
        <v>1.3617140350388468</v>
      </c>
      <c r="T612" s="19">
        <f t="shared" si="571"/>
        <v>1.3872394686539695</v>
      </c>
      <c r="U612" s="19">
        <f t="shared" si="571"/>
        <v>1.4175781347869367</v>
      </c>
      <c r="V612" s="19">
        <f t="shared" si="571"/>
        <v>1.4817781752009003</v>
      </c>
      <c r="W612" s="19">
        <f t="shared" si="571"/>
        <v>1.7632693184836969</v>
      </c>
      <c r="X612" s="19">
        <f t="shared" si="571"/>
        <v>1.9146479046128577</v>
      </c>
      <c r="Y612" s="19">
        <f t="shared" si="571"/>
        <v>1.7762896856813613</v>
      </c>
      <c r="Z612" s="19">
        <f t="shared" si="571"/>
        <v>1.5519927270164513</v>
      </c>
      <c r="AA612" s="19">
        <f t="shared" si="571"/>
        <v>1.2772496062610077</v>
      </c>
      <c r="AB612" s="19">
        <f t="shared" si="571"/>
        <v>1.0523189074956778</v>
      </c>
      <c r="AC612" s="12">
        <f>+SUM(E612:AB612)</f>
        <v>31.000000000000004</v>
      </c>
    </row>
    <row r="613" spans="2:29">
      <c r="B613" s="15">
        <f>+EDATE(B608,1)</f>
        <v>48580</v>
      </c>
      <c r="C613" s="8" t="s">
        <v>45</v>
      </c>
      <c r="D613" s="8">
        <v>20</v>
      </c>
      <c r="E613" s="50">
        <f t="shared" ref="E613:AB613" si="572">+E553</f>
        <v>2.9361257124838391E-2</v>
      </c>
      <c r="F613" s="50">
        <f t="shared" si="572"/>
        <v>2.7692710332229715E-2</v>
      </c>
      <c r="G613" s="50">
        <f t="shared" si="572"/>
        <v>2.6785161397696527E-2</v>
      </c>
      <c r="H613" s="50">
        <f t="shared" si="572"/>
        <v>2.6786989368939883E-2</v>
      </c>
      <c r="I613" s="50">
        <f t="shared" si="572"/>
        <v>2.9135775177511477E-2</v>
      </c>
      <c r="J613" s="50">
        <f t="shared" si="572"/>
        <v>3.4540443856715661E-2</v>
      </c>
      <c r="K613" s="50">
        <f t="shared" si="572"/>
        <v>3.8789035252325646E-2</v>
      </c>
      <c r="L613" s="50">
        <f t="shared" si="572"/>
        <v>3.957865839345593E-2</v>
      </c>
      <c r="M613" s="50">
        <f t="shared" si="572"/>
        <v>4.0957538271781398E-2</v>
      </c>
      <c r="N613" s="50">
        <f t="shared" si="572"/>
        <v>4.2166920044863825E-2</v>
      </c>
      <c r="O613" s="50">
        <f t="shared" si="572"/>
        <v>4.4150374939633218E-2</v>
      </c>
      <c r="P613" s="50">
        <f t="shared" si="572"/>
        <v>4.6294816466469102E-2</v>
      </c>
      <c r="Q613" s="50">
        <f t="shared" si="572"/>
        <v>4.5431875959152102E-2</v>
      </c>
      <c r="R613" s="50">
        <f t="shared" si="572"/>
        <v>4.3879728503346101E-2</v>
      </c>
      <c r="S613" s="50">
        <f t="shared" si="572"/>
        <v>4.4118506624640258E-2</v>
      </c>
      <c r="T613" s="50">
        <f t="shared" si="572"/>
        <v>4.5188432655351718E-2</v>
      </c>
      <c r="U613" s="50">
        <f t="shared" si="572"/>
        <v>4.624302558461979E-2</v>
      </c>
      <c r="V613" s="50">
        <f t="shared" si="572"/>
        <v>4.8247238962955179E-2</v>
      </c>
      <c r="W613" s="50">
        <f t="shared" si="572"/>
        <v>5.7096885328092907E-2</v>
      </c>
      <c r="X613" s="50">
        <f t="shared" si="572"/>
        <v>6.1739938045350239E-2</v>
      </c>
      <c r="Y613" s="50">
        <f t="shared" si="572"/>
        <v>5.7231881517227232E-2</v>
      </c>
      <c r="Z613" s="50">
        <f t="shared" si="572"/>
        <v>5.0129255438435008E-2</v>
      </c>
      <c r="AA613" s="50">
        <f t="shared" si="572"/>
        <v>4.1010488221716553E-2</v>
      </c>
      <c r="AB613" s="50">
        <f t="shared" si="572"/>
        <v>3.34430625326523E-2</v>
      </c>
      <c r="AC613" s="8">
        <f>+SUM(E613:AB613)*D613</f>
        <v>20.000000000000004</v>
      </c>
    </row>
    <row r="614" spans="2:29">
      <c r="B614" s="16"/>
      <c r="C614" s="8" t="s">
        <v>46</v>
      </c>
      <c r="D614" s="8">
        <v>4</v>
      </c>
      <c r="E614" s="50">
        <f t="shared" ref="E614:AB614" si="573">+E554</f>
        <v>3.0659473205105158E-2</v>
      </c>
      <c r="F614" s="50">
        <f t="shared" si="573"/>
        <v>2.8600001140869122E-2</v>
      </c>
      <c r="G614" s="50">
        <f t="shared" si="573"/>
        <v>2.7683858575034276E-2</v>
      </c>
      <c r="H614" s="50">
        <f t="shared" si="573"/>
        <v>2.7537802139610414E-2</v>
      </c>
      <c r="I614" s="50">
        <f t="shared" si="573"/>
        <v>2.8782539770184416E-2</v>
      </c>
      <c r="J614" s="50">
        <f t="shared" si="573"/>
        <v>3.2241585579716119E-2</v>
      </c>
      <c r="K614" s="50">
        <f t="shared" si="573"/>
        <v>3.645312931015221E-2</v>
      </c>
      <c r="L614" s="50">
        <f t="shared" si="573"/>
        <v>3.9012639181609042E-2</v>
      </c>
      <c r="M614" s="50">
        <f t="shared" si="573"/>
        <v>4.1549207589560662E-2</v>
      </c>
      <c r="N614" s="50">
        <f t="shared" si="573"/>
        <v>4.3042516751632572E-2</v>
      </c>
      <c r="O614" s="50">
        <f t="shared" si="573"/>
        <v>4.4973693586955334E-2</v>
      </c>
      <c r="P614" s="50">
        <f t="shared" si="573"/>
        <v>4.6808021710202923E-2</v>
      </c>
      <c r="Q614" s="50">
        <f t="shared" si="573"/>
        <v>4.6383383047344962E-2</v>
      </c>
      <c r="R614" s="50">
        <f t="shared" si="573"/>
        <v>4.4751654806610461E-2</v>
      </c>
      <c r="S614" s="50">
        <f t="shared" si="573"/>
        <v>4.4013077558728637E-2</v>
      </c>
      <c r="T614" s="50">
        <f t="shared" si="573"/>
        <v>4.428856091631931E-2</v>
      </c>
      <c r="U614" s="50">
        <f t="shared" si="573"/>
        <v>4.49735778579251E-2</v>
      </c>
      <c r="V614" s="50">
        <f t="shared" si="573"/>
        <v>4.6933206789217301E-2</v>
      </c>
      <c r="W614" s="50">
        <f t="shared" si="573"/>
        <v>5.6210586428141023E-2</v>
      </c>
      <c r="X614" s="50">
        <f t="shared" si="573"/>
        <v>6.1205656691958259E-2</v>
      </c>
      <c r="Y614" s="50">
        <f t="shared" si="573"/>
        <v>5.7018442088769522E-2</v>
      </c>
      <c r="Z614" s="50">
        <f t="shared" si="573"/>
        <v>4.9896672365740725E-2</v>
      </c>
      <c r="AA614" s="50">
        <f t="shared" si="573"/>
        <v>4.1622868086918119E-2</v>
      </c>
      <c r="AB614" s="50">
        <f t="shared" si="573"/>
        <v>3.5357844821693719E-2</v>
      </c>
      <c r="AC614" s="8">
        <f t="shared" ref="AC614:AC616" si="574">+SUM(E614:AB614)*D614</f>
        <v>3.9999999999999969</v>
      </c>
    </row>
    <row r="615" spans="2:29">
      <c r="B615" s="16"/>
      <c r="C615" s="8" t="s">
        <v>47</v>
      </c>
      <c r="D615" s="8">
        <v>5</v>
      </c>
      <c r="E615" s="50">
        <f t="shared" ref="E615:AB615" si="575">+E555</f>
        <v>3.3281514565353124E-2</v>
      </c>
      <c r="F615" s="50">
        <f t="shared" si="575"/>
        <v>3.1140043873712407E-2</v>
      </c>
      <c r="G615" s="50">
        <f t="shared" si="575"/>
        <v>2.984335106750436E-2</v>
      </c>
      <c r="H615" s="50">
        <f t="shared" si="575"/>
        <v>2.9286927979133532E-2</v>
      </c>
      <c r="I615" s="50">
        <f t="shared" si="575"/>
        <v>2.9138028999542646E-2</v>
      </c>
      <c r="J615" s="50">
        <f t="shared" si="575"/>
        <v>3.0942883559119717E-2</v>
      </c>
      <c r="K615" s="50">
        <f t="shared" si="575"/>
        <v>3.4432484834348992E-2</v>
      </c>
      <c r="L615" s="50">
        <f t="shared" si="575"/>
        <v>3.8305304424032266E-2</v>
      </c>
      <c r="M615" s="50">
        <f t="shared" si="575"/>
        <v>4.1103790742913066E-2</v>
      </c>
      <c r="N615" s="50">
        <f t="shared" si="575"/>
        <v>4.2608444243851212E-2</v>
      </c>
      <c r="O615" s="50">
        <f t="shared" si="575"/>
        <v>4.3914681848814308E-2</v>
      </c>
      <c r="P615" s="50">
        <f t="shared" si="575"/>
        <v>4.5729867165388009E-2</v>
      </c>
      <c r="Q615" s="50">
        <f t="shared" si="575"/>
        <v>4.5741487779353565E-2</v>
      </c>
      <c r="R615" s="50">
        <f t="shared" si="575"/>
        <v>4.4277060725657284E-2</v>
      </c>
      <c r="S615" s="50">
        <f t="shared" si="575"/>
        <v>4.3144199391556254E-2</v>
      </c>
      <c r="T615" s="50">
        <f t="shared" si="575"/>
        <v>4.3279567369281124E-2</v>
      </c>
      <c r="U615" s="50">
        <f t="shared" si="575"/>
        <v>4.4109954506885138E-2</v>
      </c>
      <c r="V615" s="50">
        <f t="shared" si="575"/>
        <v>4.6298728840315946E-2</v>
      </c>
      <c r="W615" s="50">
        <f t="shared" si="575"/>
        <v>5.6176649878816001E-2</v>
      </c>
      <c r="X615" s="50">
        <f t="shared" si="575"/>
        <v>6.2194705000087863E-2</v>
      </c>
      <c r="Y615" s="50">
        <f t="shared" si="575"/>
        <v>5.7928891294023718E-2</v>
      </c>
      <c r="Z615" s="50">
        <f t="shared" si="575"/>
        <v>5.019499221712586E-2</v>
      </c>
      <c r="AA615" s="50">
        <f t="shared" si="575"/>
        <v>4.1853093029906328E-2</v>
      </c>
      <c r="AB615" s="50">
        <f t="shared" si="575"/>
        <v>3.507334666327714E-2</v>
      </c>
      <c r="AC615" s="8">
        <f t="shared" si="574"/>
        <v>4.9999999999999991</v>
      </c>
    </row>
    <row r="616" spans="2:29">
      <c r="B616" s="16"/>
      <c r="C616" s="8" t="s">
        <v>48</v>
      </c>
      <c r="D616" s="8">
        <v>2</v>
      </c>
      <c r="E616" s="50">
        <f t="shared" ref="E616:AB616" si="576">+E556</f>
        <v>3.367503361886829E-2</v>
      </c>
      <c r="F616" s="50">
        <f t="shared" si="576"/>
        <v>3.1245692535415936E-2</v>
      </c>
      <c r="G616" s="50">
        <f t="shared" si="576"/>
        <v>2.9861746203171599E-2</v>
      </c>
      <c r="H616" s="50">
        <f t="shared" si="576"/>
        <v>2.9235019370742008E-2</v>
      </c>
      <c r="I616" s="50">
        <f t="shared" si="576"/>
        <v>3.0186379118294998E-2</v>
      </c>
      <c r="J616" s="50">
        <f t="shared" si="576"/>
        <v>3.3123682717801174E-2</v>
      </c>
      <c r="K616" s="50">
        <f t="shared" si="576"/>
        <v>3.5563630818173868E-2</v>
      </c>
      <c r="L616" s="50">
        <f t="shared" si="576"/>
        <v>3.7375437025807548E-2</v>
      </c>
      <c r="M616" s="50">
        <f t="shared" si="576"/>
        <v>3.9557895894381336E-2</v>
      </c>
      <c r="N616" s="50">
        <f t="shared" si="576"/>
        <v>4.1330002492198488E-2</v>
      </c>
      <c r="O616" s="50">
        <f t="shared" si="576"/>
        <v>4.3273465010057272E-2</v>
      </c>
      <c r="P616" s="50">
        <f t="shared" si="576"/>
        <v>4.5278417057592932E-2</v>
      </c>
      <c r="Q616" s="50">
        <f t="shared" si="576"/>
        <v>4.5765189585786785E-2</v>
      </c>
      <c r="R616" s="50">
        <f t="shared" si="576"/>
        <v>4.421428774797561E-2</v>
      </c>
      <c r="S616" s="50">
        <f t="shared" si="576"/>
        <v>4.3245429527174986E-2</v>
      </c>
      <c r="T616" s="50">
        <f t="shared" si="576"/>
        <v>4.3554999005074702E-2</v>
      </c>
      <c r="U616" s="50">
        <f t="shared" si="576"/>
        <v>4.4435510161992771E-2</v>
      </c>
      <c r="V616" s="50">
        <f t="shared" si="576"/>
        <v>4.717219114348542E-2</v>
      </c>
      <c r="W616" s="50">
        <f t="shared" si="576"/>
        <v>5.6899741232983039E-2</v>
      </c>
      <c r="X616" s="50">
        <f t="shared" si="576"/>
        <v>6.1986738769463187E-2</v>
      </c>
      <c r="Y616" s="50">
        <f t="shared" si="576"/>
        <v>5.7208700429979269E-2</v>
      </c>
      <c r="Z616" s="50">
        <f t="shared" si="576"/>
        <v>4.9339560702577757E-2</v>
      </c>
      <c r="AA616" s="50">
        <f t="shared" si="576"/>
        <v>4.1368944501432053E-2</v>
      </c>
      <c r="AB616" s="50">
        <f t="shared" si="576"/>
        <v>3.5102305329568817E-2</v>
      </c>
      <c r="AC616" s="8">
        <f t="shared" si="574"/>
        <v>1.9999999999999996</v>
      </c>
    </row>
    <row r="617" spans="2:29">
      <c r="B617" s="12"/>
      <c r="C617" s="12" t="s">
        <v>15</v>
      </c>
      <c r="D617" s="12">
        <f>+SUM(D613:D616)</f>
        <v>31</v>
      </c>
      <c r="E617" s="19">
        <f>+SUMPRODUCT(E613:E616,$D613:$D616)</f>
        <v>0.94362067538169059</v>
      </c>
      <c r="F617" s="19">
        <f>+SUMPRODUCT(F613:F616,$D613:$D616)</f>
        <v>0.88644581564746461</v>
      </c>
      <c r="G617" s="19">
        <f t="shared" ref="G617:AB617" si="577">+SUMPRODUCT(G613:G616,$D613:$D616)</f>
        <v>0.85537890999793265</v>
      </c>
      <c r="H617" s="19">
        <f t="shared" si="577"/>
        <v>0.85079567457439098</v>
      </c>
      <c r="I617" s="19">
        <f t="shared" si="577"/>
        <v>0.90390856586527035</v>
      </c>
      <c r="J617" s="19">
        <f t="shared" si="577"/>
        <v>1.0407370026843787</v>
      </c>
      <c r="K617" s="19">
        <f t="shared" si="577"/>
        <v>1.1648829080952143</v>
      </c>
      <c r="L617" s="19">
        <f t="shared" si="577"/>
        <v>1.2139011207673314</v>
      </c>
      <c r="M617" s="19">
        <f t="shared" si="577"/>
        <v>1.2699823412971984</v>
      </c>
      <c r="N617" s="19">
        <f t="shared" si="577"/>
        <v>1.3112106941074599</v>
      </c>
      <c r="O617" s="19">
        <f t="shared" si="577"/>
        <v>1.3690226124046718</v>
      </c>
      <c r="P617" s="19">
        <f t="shared" si="577"/>
        <v>1.4323345861123198</v>
      </c>
      <c r="Q617" s="19">
        <f t="shared" si="577"/>
        <v>1.4144088694407633</v>
      </c>
      <c r="R617" s="19">
        <f t="shared" si="577"/>
        <v>1.3664150684176015</v>
      </c>
      <c r="S617" s="19">
        <f t="shared" si="577"/>
        <v>1.3606342987398512</v>
      </c>
      <c r="T617" s="19">
        <f t="shared" si="577"/>
        <v>1.3844307316288669</v>
      </c>
      <c r="U617" s="19">
        <f t="shared" si="577"/>
        <v>1.4141756159825074</v>
      </c>
      <c r="V617" s="19">
        <f t="shared" si="577"/>
        <v>1.4785156329045233</v>
      </c>
      <c r="W617" s="19">
        <f t="shared" si="577"/>
        <v>1.7614627841344683</v>
      </c>
      <c r="X617" s="19">
        <f t="shared" si="577"/>
        <v>1.9145683902142034</v>
      </c>
      <c r="Y617" s="19">
        <f t="shared" si="577"/>
        <v>1.7767732560297</v>
      </c>
      <c r="Z617" s="19">
        <f t="shared" si="577"/>
        <v>1.5518258807224479</v>
      </c>
      <c r="AA617" s="19">
        <f t="shared" si="577"/>
        <v>1.2787045909343993</v>
      </c>
      <c r="AB617" s="19">
        <f t="shared" si="577"/>
        <v>1.0558639739153441</v>
      </c>
      <c r="AC617" s="12">
        <f>+SUM(E617:AB617)</f>
        <v>30.999999999999996</v>
      </c>
    </row>
    <row r="618" spans="2:29">
      <c r="B618" s="15">
        <f>+EDATE(B613,1)</f>
        <v>48611</v>
      </c>
      <c r="C618" s="8" t="s">
        <v>45</v>
      </c>
      <c r="D618" s="8">
        <v>20</v>
      </c>
      <c r="E618" s="50">
        <f t="shared" ref="E618:AB618" si="578">+E558</f>
        <v>2.9361257124838391E-2</v>
      </c>
      <c r="F618" s="50">
        <f t="shared" si="578"/>
        <v>2.7692710332229715E-2</v>
      </c>
      <c r="G618" s="50">
        <f t="shared" si="578"/>
        <v>2.6785161397696527E-2</v>
      </c>
      <c r="H618" s="50">
        <f t="shared" si="578"/>
        <v>2.6786989368939883E-2</v>
      </c>
      <c r="I618" s="50">
        <f t="shared" si="578"/>
        <v>2.9135775177511477E-2</v>
      </c>
      <c r="J618" s="50">
        <f t="shared" si="578"/>
        <v>3.4540443856715661E-2</v>
      </c>
      <c r="K618" s="50">
        <f t="shared" si="578"/>
        <v>3.8789035252325646E-2</v>
      </c>
      <c r="L618" s="50">
        <f t="shared" si="578"/>
        <v>3.957865839345593E-2</v>
      </c>
      <c r="M618" s="50">
        <f t="shared" si="578"/>
        <v>4.0957538271781398E-2</v>
      </c>
      <c r="N618" s="50">
        <f t="shared" si="578"/>
        <v>4.2166920044863825E-2</v>
      </c>
      <c r="O618" s="50">
        <f t="shared" si="578"/>
        <v>4.4150374939633218E-2</v>
      </c>
      <c r="P618" s="50">
        <f t="shared" si="578"/>
        <v>4.6294816466469102E-2</v>
      </c>
      <c r="Q618" s="50">
        <f t="shared" si="578"/>
        <v>4.5431875959152102E-2</v>
      </c>
      <c r="R618" s="50">
        <f t="shared" si="578"/>
        <v>4.3879728503346101E-2</v>
      </c>
      <c r="S618" s="50">
        <f t="shared" si="578"/>
        <v>4.4118506624640258E-2</v>
      </c>
      <c r="T618" s="50">
        <f t="shared" si="578"/>
        <v>4.5188432655351718E-2</v>
      </c>
      <c r="U618" s="50">
        <f t="shared" si="578"/>
        <v>4.624302558461979E-2</v>
      </c>
      <c r="V618" s="50">
        <f t="shared" si="578"/>
        <v>4.8247238962955179E-2</v>
      </c>
      <c r="W618" s="50">
        <f t="shared" si="578"/>
        <v>5.7096885328092907E-2</v>
      </c>
      <c r="X618" s="50">
        <f t="shared" si="578"/>
        <v>6.1739938045350239E-2</v>
      </c>
      <c r="Y618" s="50">
        <f t="shared" si="578"/>
        <v>5.7231881517227232E-2</v>
      </c>
      <c r="Z618" s="50">
        <f t="shared" si="578"/>
        <v>5.0129255438435008E-2</v>
      </c>
      <c r="AA618" s="50">
        <f t="shared" si="578"/>
        <v>4.1010488221716553E-2</v>
      </c>
      <c r="AB618" s="50">
        <f t="shared" si="578"/>
        <v>3.34430625326523E-2</v>
      </c>
      <c r="AC618" s="8">
        <f>+SUM(E618:AB618)*D618</f>
        <v>20.000000000000004</v>
      </c>
    </row>
    <row r="619" spans="2:29">
      <c r="B619" s="16"/>
      <c r="C619" s="8" t="s">
        <v>46</v>
      </c>
      <c r="D619" s="8">
        <v>4</v>
      </c>
      <c r="E619" s="50">
        <f t="shared" ref="E619:AB619" si="579">+E559</f>
        <v>3.0659473205105158E-2</v>
      </c>
      <c r="F619" s="50">
        <f t="shared" si="579"/>
        <v>2.8600001140869122E-2</v>
      </c>
      <c r="G619" s="50">
        <f t="shared" si="579"/>
        <v>2.7683858575034276E-2</v>
      </c>
      <c r="H619" s="50">
        <f t="shared" si="579"/>
        <v>2.7537802139610414E-2</v>
      </c>
      <c r="I619" s="50">
        <f t="shared" si="579"/>
        <v>2.8782539770184416E-2</v>
      </c>
      <c r="J619" s="50">
        <f t="shared" si="579"/>
        <v>3.2241585579716119E-2</v>
      </c>
      <c r="K619" s="50">
        <f t="shared" si="579"/>
        <v>3.645312931015221E-2</v>
      </c>
      <c r="L619" s="50">
        <f t="shared" si="579"/>
        <v>3.9012639181609042E-2</v>
      </c>
      <c r="M619" s="50">
        <f t="shared" si="579"/>
        <v>4.1549207589560662E-2</v>
      </c>
      <c r="N619" s="50">
        <f t="shared" si="579"/>
        <v>4.3042516751632572E-2</v>
      </c>
      <c r="O619" s="50">
        <f t="shared" si="579"/>
        <v>4.4973693586955334E-2</v>
      </c>
      <c r="P619" s="50">
        <f t="shared" si="579"/>
        <v>4.6808021710202923E-2</v>
      </c>
      <c r="Q619" s="50">
        <f t="shared" si="579"/>
        <v>4.6383383047344962E-2</v>
      </c>
      <c r="R619" s="50">
        <f t="shared" si="579"/>
        <v>4.4751654806610461E-2</v>
      </c>
      <c r="S619" s="50">
        <f t="shared" si="579"/>
        <v>4.4013077558728637E-2</v>
      </c>
      <c r="T619" s="50">
        <f t="shared" si="579"/>
        <v>4.428856091631931E-2</v>
      </c>
      <c r="U619" s="50">
        <f t="shared" si="579"/>
        <v>4.49735778579251E-2</v>
      </c>
      <c r="V619" s="50">
        <f t="shared" si="579"/>
        <v>4.6933206789217301E-2</v>
      </c>
      <c r="W619" s="50">
        <f t="shared" si="579"/>
        <v>5.6210586428141023E-2</v>
      </c>
      <c r="X619" s="50">
        <f t="shared" si="579"/>
        <v>6.1205656691958259E-2</v>
      </c>
      <c r="Y619" s="50">
        <f t="shared" si="579"/>
        <v>5.7018442088769522E-2</v>
      </c>
      <c r="Z619" s="50">
        <f t="shared" si="579"/>
        <v>4.9896672365740725E-2</v>
      </c>
      <c r="AA619" s="50">
        <f t="shared" si="579"/>
        <v>4.1622868086918119E-2</v>
      </c>
      <c r="AB619" s="50">
        <f t="shared" si="579"/>
        <v>3.5357844821693719E-2</v>
      </c>
      <c r="AC619" s="8">
        <f t="shared" ref="AC619:AC621" si="580">+SUM(E619:AB619)*D619</f>
        <v>3.9999999999999969</v>
      </c>
    </row>
    <row r="620" spans="2:29">
      <c r="B620" s="16"/>
      <c r="C620" s="8" t="s">
        <v>47</v>
      </c>
      <c r="D620" s="8">
        <v>4</v>
      </c>
      <c r="E620" s="50">
        <f t="shared" ref="E620:AB620" si="581">+E560</f>
        <v>3.3281514565353124E-2</v>
      </c>
      <c r="F620" s="50">
        <f t="shared" si="581"/>
        <v>3.1140043873712407E-2</v>
      </c>
      <c r="G620" s="50">
        <f t="shared" si="581"/>
        <v>2.984335106750436E-2</v>
      </c>
      <c r="H620" s="50">
        <f t="shared" si="581"/>
        <v>2.9286927979133532E-2</v>
      </c>
      <c r="I620" s="50">
        <f t="shared" si="581"/>
        <v>2.9138028999542646E-2</v>
      </c>
      <c r="J620" s="50">
        <f t="shared" si="581"/>
        <v>3.0942883559119717E-2</v>
      </c>
      <c r="K620" s="50">
        <f t="shared" si="581"/>
        <v>3.4432484834348992E-2</v>
      </c>
      <c r="L620" s="50">
        <f t="shared" si="581"/>
        <v>3.8305304424032266E-2</v>
      </c>
      <c r="M620" s="50">
        <f t="shared" si="581"/>
        <v>4.1103790742913066E-2</v>
      </c>
      <c r="N620" s="50">
        <f t="shared" si="581"/>
        <v>4.2608444243851212E-2</v>
      </c>
      <c r="O620" s="50">
        <f t="shared" si="581"/>
        <v>4.3914681848814308E-2</v>
      </c>
      <c r="P620" s="50">
        <f t="shared" si="581"/>
        <v>4.5729867165388009E-2</v>
      </c>
      <c r="Q620" s="50">
        <f t="shared" si="581"/>
        <v>4.5741487779353565E-2</v>
      </c>
      <c r="R620" s="50">
        <f t="shared" si="581"/>
        <v>4.4277060725657284E-2</v>
      </c>
      <c r="S620" s="50">
        <f t="shared" si="581"/>
        <v>4.3144199391556254E-2</v>
      </c>
      <c r="T620" s="50">
        <f t="shared" si="581"/>
        <v>4.3279567369281124E-2</v>
      </c>
      <c r="U620" s="50">
        <f t="shared" si="581"/>
        <v>4.4109954506885138E-2</v>
      </c>
      <c r="V620" s="50">
        <f t="shared" si="581"/>
        <v>4.6298728840315946E-2</v>
      </c>
      <c r="W620" s="50">
        <f t="shared" si="581"/>
        <v>5.6176649878816001E-2</v>
      </c>
      <c r="X620" s="50">
        <f t="shared" si="581"/>
        <v>6.2194705000087863E-2</v>
      </c>
      <c r="Y620" s="50">
        <f t="shared" si="581"/>
        <v>5.7928891294023718E-2</v>
      </c>
      <c r="Z620" s="50">
        <f t="shared" si="581"/>
        <v>5.019499221712586E-2</v>
      </c>
      <c r="AA620" s="50">
        <f t="shared" si="581"/>
        <v>4.1853093029906328E-2</v>
      </c>
      <c r="AB620" s="50">
        <f t="shared" si="581"/>
        <v>3.507334666327714E-2</v>
      </c>
      <c r="AC620" s="8">
        <f t="shared" si="580"/>
        <v>3.9999999999999991</v>
      </c>
    </row>
    <row r="621" spans="2:29">
      <c r="B621" s="16"/>
      <c r="C621" s="8" t="s">
        <v>48</v>
      </c>
      <c r="D621" s="8">
        <v>0</v>
      </c>
      <c r="E621" s="50">
        <f t="shared" ref="E621:AB621" si="582">+E561</f>
        <v>3.367503361886829E-2</v>
      </c>
      <c r="F621" s="50">
        <f t="shared" si="582"/>
        <v>3.1245692535415936E-2</v>
      </c>
      <c r="G621" s="50">
        <f t="shared" si="582"/>
        <v>2.9861746203171599E-2</v>
      </c>
      <c r="H621" s="50">
        <f t="shared" si="582"/>
        <v>2.9235019370742008E-2</v>
      </c>
      <c r="I621" s="50">
        <f t="shared" si="582"/>
        <v>3.0186379118294998E-2</v>
      </c>
      <c r="J621" s="50">
        <f t="shared" si="582"/>
        <v>3.3123682717801174E-2</v>
      </c>
      <c r="K621" s="50">
        <f t="shared" si="582"/>
        <v>3.5563630818173868E-2</v>
      </c>
      <c r="L621" s="50">
        <f t="shared" si="582"/>
        <v>3.7375437025807548E-2</v>
      </c>
      <c r="M621" s="50">
        <f t="shared" si="582"/>
        <v>3.9557895894381336E-2</v>
      </c>
      <c r="N621" s="50">
        <f t="shared" si="582"/>
        <v>4.1330002492198488E-2</v>
      </c>
      <c r="O621" s="50">
        <f t="shared" si="582"/>
        <v>4.3273465010057272E-2</v>
      </c>
      <c r="P621" s="50">
        <f t="shared" si="582"/>
        <v>4.5278417057592932E-2</v>
      </c>
      <c r="Q621" s="50">
        <f t="shared" si="582"/>
        <v>4.5765189585786785E-2</v>
      </c>
      <c r="R621" s="50">
        <f t="shared" si="582"/>
        <v>4.421428774797561E-2</v>
      </c>
      <c r="S621" s="50">
        <f t="shared" si="582"/>
        <v>4.3245429527174986E-2</v>
      </c>
      <c r="T621" s="50">
        <f t="shared" si="582"/>
        <v>4.3554999005074702E-2</v>
      </c>
      <c r="U621" s="50">
        <f t="shared" si="582"/>
        <v>4.4435510161992771E-2</v>
      </c>
      <c r="V621" s="50">
        <f t="shared" si="582"/>
        <v>4.717219114348542E-2</v>
      </c>
      <c r="W621" s="50">
        <f t="shared" si="582"/>
        <v>5.6899741232983039E-2</v>
      </c>
      <c r="X621" s="50">
        <f t="shared" si="582"/>
        <v>6.1986738769463187E-2</v>
      </c>
      <c r="Y621" s="50">
        <f t="shared" si="582"/>
        <v>5.7208700429979269E-2</v>
      </c>
      <c r="Z621" s="50">
        <f t="shared" si="582"/>
        <v>4.9339560702577757E-2</v>
      </c>
      <c r="AA621" s="50">
        <f t="shared" si="582"/>
        <v>4.1368944501432053E-2</v>
      </c>
      <c r="AB621" s="50">
        <f t="shared" si="582"/>
        <v>3.5102305329568817E-2</v>
      </c>
      <c r="AC621" s="8">
        <f t="shared" si="580"/>
        <v>0</v>
      </c>
    </row>
    <row r="622" spans="2:29">
      <c r="B622" s="12"/>
      <c r="C622" s="12" t="s">
        <v>15</v>
      </c>
      <c r="D622" s="12">
        <f>+SUM(D618:D621)</f>
        <v>28</v>
      </c>
      <c r="E622" s="19">
        <f>+SUMPRODUCT(E618:E621,$D618:$D621)</f>
        <v>0.84298909357860086</v>
      </c>
      <c r="F622" s="19">
        <f>+SUMPRODUCT(F618:F621,$D618:$D621)</f>
        <v>0.79281438670292037</v>
      </c>
      <c r="G622" s="19">
        <f t="shared" ref="G622:AB622" si="583">+SUMPRODUCT(G618:G621,$D618:$D621)</f>
        <v>0.76581206652408507</v>
      </c>
      <c r="H622" s="19">
        <f t="shared" si="583"/>
        <v>0.76303870785377348</v>
      </c>
      <c r="I622" s="19">
        <f t="shared" si="583"/>
        <v>0.81439777862913776</v>
      </c>
      <c r="J622" s="19">
        <f t="shared" si="583"/>
        <v>0.94354675368965668</v>
      </c>
      <c r="K622" s="19">
        <f t="shared" si="583"/>
        <v>1.0593231616245178</v>
      </c>
      <c r="L622" s="19">
        <f t="shared" si="583"/>
        <v>1.1008449422916837</v>
      </c>
      <c r="M622" s="19">
        <f t="shared" si="583"/>
        <v>1.1497627587655228</v>
      </c>
      <c r="N622" s="19">
        <f t="shared" si="583"/>
        <v>1.1859422448792118</v>
      </c>
      <c r="O622" s="19">
        <f t="shared" si="583"/>
        <v>1.238561000535743</v>
      </c>
      <c r="P622" s="19">
        <f t="shared" si="583"/>
        <v>1.2960478848317458</v>
      </c>
      <c r="Q622" s="19">
        <f t="shared" si="583"/>
        <v>1.2771370024898361</v>
      </c>
      <c r="R622" s="19">
        <f t="shared" si="583"/>
        <v>1.2337094321959929</v>
      </c>
      <c r="S622" s="19">
        <f t="shared" si="583"/>
        <v>1.2309992402939449</v>
      </c>
      <c r="T622" s="19">
        <f t="shared" si="583"/>
        <v>1.2540411662494362</v>
      </c>
      <c r="U622" s="19">
        <f t="shared" si="583"/>
        <v>1.2811946411516368</v>
      </c>
      <c r="V622" s="19">
        <f t="shared" si="583"/>
        <v>1.3378725217772365</v>
      </c>
      <c r="W622" s="19">
        <f t="shared" si="583"/>
        <v>1.5914866517896862</v>
      </c>
      <c r="X622" s="19">
        <f t="shared" si="583"/>
        <v>1.7284002076751892</v>
      </c>
      <c r="Y622" s="19">
        <f t="shared" si="583"/>
        <v>1.6044269638757178</v>
      </c>
      <c r="Z622" s="19">
        <f t="shared" si="583"/>
        <v>1.4029517671001666</v>
      </c>
      <c r="AA622" s="19">
        <f t="shared" si="583"/>
        <v>1.1541136089016288</v>
      </c>
      <c r="AB622" s="19">
        <f t="shared" si="583"/>
        <v>0.95058601659292941</v>
      </c>
      <c r="AC622" s="12">
        <f>+SUM(E622:AB622)</f>
        <v>27.999999999999996</v>
      </c>
    </row>
    <row r="623" spans="2:29">
      <c r="B623" s="15">
        <f>+EDATE(B618,1)</f>
        <v>48639</v>
      </c>
      <c r="C623" s="8" t="s">
        <v>45</v>
      </c>
      <c r="D623" s="8">
        <v>22</v>
      </c>
      <c r="E623" s="50">
        <f t="shared" ref="E623:AB623" si="584">+E563</f>
        <v>2.9361257124838391E-2</v>
      </c>
      <c r="F623" s="50">
        <f t="shared" si="584"/>
        <v>2.7692710332229715E-2</v>
      </c>
      <c r="G623" s="50">
        <f t="shared" si="584"/>
        <v>2.6785161397696527E-2</v>
      </c>
      <c r="H623" s="50">
        <f t="shared" si="584"/>
        <v>2.6786989368939883E-2</v>
      </c>
      <c r="I623" s="50">
        <f t="shared" si="584"/>
        <v>2.9135775177511477E-2</v>
      </c>
      <c r="J623" s="50">
        <f t="shared" si="584"/>
        <v>3.4540443856715661E-2</v>
      </c>
      <c r="K623" s="50">
        <f t="shared" si="584"/>
        <v>3.8789035252325646E-2</v>
      </c>
      <c r="L623" s="50">
        <f t="shared" si="584"/>
        <v>3.957865839345593E-2</v>
      </c>
      <c r="M623" s="50">
        <f t="shared" si="584"/>
        <v>4.0957538271781398E-2</v>
      </c>
      <c r="N623" s="50">
        <f t="shared" si="584"/>
        <v>4.2166920044863825E-2</v>
      </c>
      <c r="O623" s="50">
        <f t="shared" si="584"/>
        <v>4.4150374939633218E-2</v>
      </c>
      <c r="P623" s="50">
        <f t="shared" si="584"/>
        <v>4.6294816466469102E-2</v>
      </c>
      <c r="Q623" s="50">
        <f t="shared" si="584"/>
        <v>4.5431875959152102E-2</v>
      </c>
      <c r="R623" s="50">
        <f t="shared" si="584"/>
        <v>4.3879728503346101E-2</v>
      </c>
      <c r="S623" s="50">
        <f t="shared" si="584"/>
        <v>4.4118506624640258E-2</v>
      </c>
      <c r="T623" s="50">
        <f t="shared" si="584"/>
        <v>4.5188432655351718E-2</v>
      </c>
      <c r="U623" s="50">
        <f t="shared" si="584"/>
        <v>4.624302558461979E-2</v>
      </c>
      <c r="V623" s="50">
        <f t="shared" si="584"/>
        <v>4.8247238962955179E-2</v>
      </c>
      <c r="W623" s="50">
        <f t="shared" si="584"/>
        <v>5.7096885328092907E-2</v>
      </c>
      <c r="X623" s="50">
        <f t="shared" si="584"/>
        <v>6.1739938045350239E-2</v>
      </c>
      <c r="Y623" s="50">
        <f t="shared" si="584"/>
        <v>5.7231881517227232E-2</v>
      </c>
      <c r="Z623" s="50">
        <f t="shared" si="584"/>
        <v>5.0129255438435008E-2</v>
      </c>
      <c r="AA623" s="50">
        <f t="shared" si="584"/>
        <v>4.1010488221716553E-2</v>
      </c>
      <c r="AB623" s="50">
        <f t="shared" si="584"/>
        <v>3.34430625326523E-2</v>
      </c>
      <c r="AC623" s="8">
        <f>+SUM(E623:AB623)*D623</f>
        <v>22.000000000000004</v>
      </c>
    </row>
    <row r="624" spans="2:29">
      <c r="B624" s="16"/>
      <c r="C624" s="8" t="s">
        <v>46</v>
      </c>
      <c r="D624" s="8">
        <v>4</v>
      </c>
      <c r="E624" s="50">
        <f t="shared" ref="E624:AB624" si="585">+E564</f>
        <v>3.0659473205105158E-2</v>
      </c>
      <c r="F624" s="50">
        <f t="shared" si="585"/>
        <v>2.8600001140869122E-2</v>
      </c>
      <c r="G624" s="50">
        <f t="shared" si="585"/>
        <v>2.7683858575034276E-2</v>
      </c>
      <c r="H624" s="50">
        <f t="shared" si="585"/>
        <v>2.7537802139610414E-2</v>
      </c>
      <c r="I624" s="50">
        <f t="shared" si="585"/>
        <v>2.8782539770184416E-2</v>
      </c>
      <c r="J624" s="50">
        <f t="shared" si="585"/>
        <v>3.2241585579716119E-2</v>
      </c>
      <c r="K624" s="50">
        <f t="shared" si="585"/>
        <v>3.645312931015221E-2</v>
      </c>
      <c r="L624" s="50">
        <f t="shared" si="585"/>
        <v>3.9012639181609042E-2</v>
      </c>
      <c r="M624" s="50">
        <f t="shared" si="585"/>
        <v>4.1549207589560662E-2</v>
      </c>
      <c r="N624" s="50">
        <f t="shared" si="585"/>
        <v>4.3042516751632572E-2</v>
      </c>
      <c r="O624" s="50">
        <f t="shared" si="585"/>
        <v>4.4973693586955334E-2</v>
      </c>
      <c r="P624" s="50">
        <f t="shared" si="585"/>
        <v>4.6808021710202923E-2</v>
      </c>
      <c r="Q624" s="50">
        <f t="shared" si="585"/>
        <v>4.6383383047344962E-2</v>
      </c>
      <c r="R624" s="50">
        <f t="shared" si="585"/>
        <v>4.4751654806610461E-2</v>
      </c>
      <c r="S624" s="50">
        <f t="shared" si="585"/>
        <v>4.4013077558728637E-2</v>
      </c>
      <c r="T624" s="50">
        <f t="shared" si="585"/>
        <v>4.428856091631931E-2</v>
      </c>
      <c r="U624" s="50">
        <f t="shared" si="585"/>
        <v>4.49735778579251E-2</v>
      </c>
      <c r="V624" s="50">
        <f t="shared" si="585"/>
        <v>4.6933206789217301E-2</v>
      </c>
      <c r="W624" s="50">
        <f t="shared" si="585"/>
        <v>5.6210586428141023E-2</v>
      </c>
      <c r="X624" s="50">
        <f t="shared" si="585"/>
        <v>6.1205656691958259E-2</v>
      </c>
      <c r="Y624" s="50">
        <f t="shared" si="585"/>
        <v>5.7018442088769522E-2</v>
      </c>
      <c r="Z624" s="50">
        <f t="shared" si="585"/>
        <v>4.9896672365740725E-2</v>
      </c>
      <c r="AA624" s="50">
        <f t="shared" si="585"/>
        <v>4.1622868086918119E-2</v>
      </c>
      <c r="AB624" s="50">
        <f t="shared" si="585"/>
        <v>3.5357844821693719E-2</v>
      </c>
      <c r="AC624" s="8">
        <f t="shared" ref="AC624:AC626" si="586">+SUM(E624:AB624)*D624</f>
        <v>3.9999999999999969</v>
      </c>
    </row>
    <row r="625" spans="2:29">
      <c r="B625" s="16"/>
      <c r="C625" s="8" t="s">
        <v>47</v>
      </c>
      <c r="D625" s="8">
        <v>4</v>
      </c>
      <c r="E625" s="50">
        <f t="shared" ref="E625:AB625" si="587">+E565</f>
        <v>3.3281514565353124E-2</v>
      </c>
      <c r="F625" s="50">
        <f t="shared" si="587"/>
        <v>3.1140043873712407E-2</v>
      </c>
      <c r="G625" s="50">
        <f t="shared" si="587"/>
        <v>2.984335106750436E-2</v>
      </c>
      <c r="H625" s="50">
        <f t="shared" si="587"/>
        <v>2.9286927979133532E-2</v>
      </c>
      <c r="I625" s="50">
        <f t="shared" si="587"/>
        <v>2.9138028999542646E-2</v>
      </c>
      <c r="J625" s="50">
        <f t="shared" si="587"/>
        <v>3.0942883559119717E-2</v>
      </c>
      <c r="K625" s="50">
        <f t="shared" si="587"/>
        <v>3.4432484834348992E-2</v>
      </c>
      <c r="L625" s="50">
        <f t="shared" si="587"/>
        <v>3.8305304424032266E-2</v>
      </c>
      <c r="M625" s="50">
        <f t="shared" si="587"/>
        <v>4.1103790742913066E-2</v>
      </c>
      <c r="N625" s="50">
        <f t="shared" si="587"/>
        <v>4.2608444243851212E-2</v>
      </c>
      <c r="O625" s="50">
        <f t="shared" si="587"/>
        <v>4.3914681848814308E-2</v>
      </c>
      <c r="P625" s="50">
        <f t="shared" si="587"/>
        <v>4.5729867165388009E-2</v>
      </c>
      <c r="Q625" s="50">
        <f t="shared" si="587"/>
        <v>4.5741487779353565E-2</v>
      </c>
      <c r="R625" s="50">
        <f t="shared" si="587"/>
        <v>4.4277060725657284E-2</v>
      </c>
      <c r="S625" s="50">
        <f t="shared" si="587"/>
        <v>4.3144199391556254E-2</v>
      </c>
      <c r="T625" s="50">
        <f t="shared" si="587"/>
        <v>4.3279567369281124E-2</v>
      </c>
      <c r="U625" s="50">
        <f t="shared" si="587"/>
        <v>4.4109954506885138E-2</v>
      </c>
      <c r="V625" s="50">
        <f t="shared" si="587"/>
        <v>4.6298728840315946E-2</v>
      </c>
      <c r="W625" s="50">
        <f t="shared" si="587"/>
        <v>5.6176649878816001E-2</v>
      </c>
      <c r="X625" s="50">
        <f t="shared" si="587"/>
        <v>6.2194705000087863E-2</v>
      </c>
      <c r="Y625" s="50">
        <f t="shared" si="587"/>
        <v>5.7928891294023718E-2</v>
      </c>
      <c r="Z625" s="50">
        <f t="shared" si="587"/>
        <v>5.019499221712586E-2</v>
      </c>
      <c r="AA625" s="50">
        <f t="shared" si="587"/>
        <v>4.1853093029906328E-2</v>
      </c>
      <c r="AB625" s="50">
        <f t="shared" si="587"/>
        <v>3.507334666327714E-2</v>
      </c>
      <c r="AC625" s="8">
        <f t="shared" si="586"/>
        <v>3.9999999999999991</v>
      </c>
    </row>
    <row r="626" spans="2:29">
      <c r="B626" s="16"/>
      <c r="C626" s="8" t="s">
        <v>48</v>
      </c>
      <c r="D626" s="8">
        <v>1</v>
      </c>
      <c r="E626" s="50">
        <f t="shared" ref="E626:AB626" si="588">+E566</f>
        <v>3.367503361886829E-2</v>
      </c>
      <c r="F626" s="50">
        <f t="shared" si="588"/>
        <v>3.1245692535415936E-2</v>
      </c>
      <c r="G626" s="50">
        <f t="shared" si="588"/>
        <v>2.9861746203171599E-2</v>
      </c>
      <c r="H626" s="50">
        <f t="shared" si="588"/>
        <v>2.9235019370742008E-2</v>
      </c>
      <c r="I626" s="50">
        <f t="shared" si="588"/>
        <v>3.0186379118294998E-2</v>
      </c>
      <c r="J626" s="50">
        <f t="shared" si="588"/>
        <v>3.3123682717801174E-2</v>
      </c>
      <c r="K626" s="50">
        <f t="shared" si="588"/>
        <v>3.5563630818173868E-2</v>
      </c>
      <c r="L626" s="50">
        <f t="shared" si="588"/>
        <v>3.7375437025807548E-2</v>
      </c>
      <c r="M626" s="50">
        <f t="shared" si="588"/>
        <v>3.9557895894381336E-2</v>
      </c>
      <c r="N626" s="50">
        <f t="shared" si="588"/>
        <v>4.1330002492198488E-2</v>
      </c>
      <c r="O626" s="50">
        <f t="shared" si="588"/>
        <v>4.3273465010057272E-2</v>
      </c>
      <c r="P626" s="50">
        <f t="shared" si="588"/>
        <v>4.5278417057592932E-2</v>
      </c>
      <c r="Q626" s="50">
        <f t="shared" si="588"/>
        <v>4.5765189585786785E-2</v>
      </c>
      <c r="R626" s="50">
        <f t="shared" si="588"/>
        <v>4.421428774797561E-2</v>
      </c>
      <c r="S626" s="50">
        <f t="shared" si="588"/>
        <v>4.3245429527174986E-2</v>
      </c>
      <c r="T626" s="50">
        <f t="shared" si="588"/>
        <v>4.3554999005074702E-2</v>
      </c>
      <c r="U626" s="50">
        <f t="shared" si="588"/>
        <v>4.4435510161992771E-2</v>
      </c>
      <c r="V626" s="50">
        <f t="shared" si="588"/>
        <v>4.717219114348542E-2</v>
      </c>
      <c r="W626" s="50">
        <f t="shared" si="588"/>
        <v>5.6899741232983039E-2</v>
      </c>
      <c r="X626" s="50">
        <f t="shared" si="588"/>
        <v>6.1986738769463187E-2</v>
      </c>
      <c r="Y626" s="50">
        <f t="shared" si="588"/>
        <v>5.7208700429979269E-2</v>
      </c>
      <c r="Z626" s="50">
        <f t="shared" si="588"/>
        <v>4.9339560702577757E-2</v>
      </c>
      <c r="AA626" s="50">
        <f t="shared" si="588"/>
        <v>4.1368944501432053E-2</v>
      </c>
      <c r="AB626" s="50">
        <f t="shared" si="588"/>
        <v>3.5102305329568817E-2</v>
      </c>
      <c r="AC626" s="8">
        <f t="shared" si="586"/>
        <v>0.99999999999999978</v>
      </c>
    </row>
    <row r="627" spans="2:29">
      <c r="B627" s="12"/>
      <c r="C627" s="12" t="s">
        <v>15</v>
      </c>
      <c r="D627" s="12">
        <f>+SUM(D623:D626)</f>
        <v>31</v>
      </c>
      <c r="E627" s="19">
        <f>+SUMPRODUCT(E623:E626,$D623:$D626)</f>
        <v>0.93538664144714589</v>
      </c>
      <c r="F627" s="19">
        <f>+SUMPRODUCT(F623:F626,$D623:$D626)</f>
        <v>0.87944549990279586</v>
      </c>
      <c r="G627" s="19">
        <f t="shared" ref="G627:AB627" si="589">+SUMPRODUCT(G623:G626,$D623:$D626)</f>
        <v>0.84924413552264977</v>
      </c>
      <c r="H627" s="19">
        <f t="shared" si="589"/>
        <v>0.84584770596239522</v>
      </c>
      <c r="I627" s="19">
        <f t="shared" si="589"/>
        <v>0.90285570810245575</v>
      </c>
      <c r="J627" s="19">
        <f t="shared" si="589"/>
        <v>1.0457513241208891</v>
      </c>
      <c r="K627" s="19">
        <f t="shared" si="589"/>
        <v>1.1724648629473431</v>
      </c>
      <c r="L627" s="19">
        <f t="shared" si="589"/>
        <v>1.2173776961044029</v>
      </c>
      <c r="M627" s="19">
        <f t="shared" si="589"/>
        <v>1.2712357312034672</v>
      </c>
      <c r="N627" s="19">
        <f t="shared" si="589"/>
        <v>1.3116060874611379</v>
      </c>
      <c r="O627" s="19">
        <f t="shared" si="589"/>
        <v>1.3701352154250666</v>
      </c>
      <c r="P627" s="19">
        <f t="shared" si="589"/>
        <v>1.4339159348222767</v>
      </c>
      <c r="Q627" s="19">
        <f t="shared" si="589"/>
        <v>1.413765943993927</v>
      </c>
      <c r="R627" s="19">
        <f t="shared" si="589"/>
        <v>1.3656831769506608</v>
      </c>
      <c r="S627" s="19">
        <f t="shared" si="589"/>
        <v>1.3624816830704001</v>
      </c>
      <c r="T627" s="19">
        <f t="shared" si="589"/>
        <v>1.3879730305652143</v>
      </c>
      <c r="U627" s="19">
        <f t="shared" si="589"/>
        <v>1.4181162024828693</v>
      </c>
      <c r="V627" s="19">
        <f t="shared" si="589"/>
        <v>1.4815391908466324</v>
      </c>
      <c r="W627" s="19">
        <f t="shared" si="589"/>
        <v>1.7625801636788549</v>
      </c>
      <c r="X627" s="19">
        <f t="shared" si="589"/>
        <v>1.913866822535353</v>
      </c>
      <c r="Y627" s="19">
        <f t="shared" si="589"/>
        <v>1.7760994273401516</v>
      </c>
      <c r="Z627" s="19">
        <f t="shared" si="589"/>
        <v>1.5525498386796144</v>
      </c>
      <c r="AA627" s="19">
        <f t="shared" si="589"/>
        <v>1.2775035298464938</v>
      </c>
      <c r="AB627" s="19">
        <f t="shared" si="589"/>
        <v>1.0525744469878027</v>
      </c>
      <c r="AC627" s="12">
        <f>+SUM(E627:AB627)</f>
        <v>31.000000000000004</v>
      </c>
    </row>
    <row r="628" spans="2:29">
      <c r="B628" s="15">
        <f>+EDATE(B623,1)</f>
        <v>48670</v>
      </c>
      <c r="C628" s="8" t="s">
        <v>45</v>
      </c>
      <c r="D628" s="8">
        <v>19</v>
      </c>
      <c r="E628" s="50">
        <f t="shared" ref="E628:AB628" si="590">+E568</f>
        <v>2.9361257124838391E-2</v>
      </c>
      <c r="F628" s="50">
        <f t="shared" si="590"/>
        <v>2.7692710332229715E-2</v>
      </c>
      <c r="G628" s="50">
        <f t="shared" si="590"/>
        <v>2.6785161397696527E-2</v>
      </c>
      <c r="H628" s="50">
        <f t="shared" si="590"/>
        <v>2.6786989368939883E-2</v>
      </c>
      <c r="I628" s="50">
        <f t="shared" si="590"/>
        <v>2.9135775177511477E-2</v>
      </c>
      <c r="J628" s="50">
        <f t="shared" si="590"/>
        <v>3.4540443856715661E-2</v>
      </c>
      <c r="K628" s="50">
        <f t="shared" si="590"/>
        <v>3.8789035252325646E-2</v>
      </c>
      <c r="L628" s="50">
        <f t="shared" si="590"/>
        <v>3.957865839345593E-2</v>
      </c>
      <c r="M628" s="50">
        <f t="shared" si="590"/>
        <v>4.0957538271781398E-2</v>
      </c>
      <c r="N628" s="50">
        <f t="shared" si="590"/>
        <v>4.2166920044863825E-2</v>
      </c>
      <c r="O628" s="50">
        <f t="shared" si="590"/>
        <v>4.4150374939633218E-2</v>
      </c>
      <c r="P628" s="50">
        <f t="shared" si="590"/>
        <v>4.6294816466469102E-2</v>
      </c>
      <c r="Q628" s="50">
        <f t="shared" si="590"/>
        <v>4.5431875959152102E-2</v>
      </c>
      <c r="R628" s="50">
        <f t="shared" si="590"/>
        <v>4.3879728503346101E-2</v>
      </c>
      <c r="S628" s="50">
        <f t="shared" si="590"/>
        <v>4.4118506624640258E-2</v>
      </c>
      <c r="T628" s="50">
        <f t="shared" si="590"/>
        <v>4.5188432655351718E-2</v>
      </c>
      <c r="U628" s="50">
        <f t="shared" si="590"/>
        <v>4.624302558461979E-2</v>
      </c>
      <c r="V628" s="50">
        <f t="shared" si="590"/>
        <v>4.8247238962955179E-2</v>
      </c>
      <c r="W628" s="50">
        <f t="shared" si="590"/>
        <v>5.7096885328092907E-2</v>
      </c>
      <c r="X628" s="50">
        <f t="shared" si="590"/>
        <v>6.1739938045350239E-2</v>
      </c>
      <c r="Y628" s="50">
        <f t="shared" si="590"/>
        <v>5.7231881517227232E-2</v>
      </c>
      <c r="Z628" s="50">
        <f t="shared" si="590"/>
        <v>5.0129255438435008E-2</v>
      </c>
      <c r="AA628" s="50">
        <f t="shared" si="590"/>
        <v>4.1010488221716553E-2</v>
      </c>
      <c r="AB628" s="50">
        <f t="shared" si="590"/>
        <v>3.34430625326523E-2</v>
      </c>
      <c r="AC628" s="8">
        <f>+SUM(E628:AB628)*D628</f>
        <v>19.000000000000004</v>
      </c>
    </row>
    <row r="629" spans="2:29">
      <c r="B629" s="16"/>
      <c r="C629" s="8" t="s">
        <v>46</v>
      </c>
      <c r="D629" s="8">
        <v>5</v>
      </c>
      <c r="E629" s="50">
        <f t="shared" ref="E629:AB629" si="591">+E569</f>
        <v>3.0659473205105158E-2</v>
      </c>
      <c r="F629" s="50">
        <f t="shared" si="591"/>
        <v>2.8600001140869122E-2</v>
      </c>
      <c r="G629" s="50">
        <f t="shared" si="591"/>
        <v>2.7683858575034276E-2</v>
      </c>
      <c r="H629" s="50">
        <f t="shared" si="591"/>
        <v>2.7537802139610414E-2</v>
      </c>
      <c r="I629" s="50">
        <f t="shared" si="591"/>
        <v>2.8782539770184416E-2</v>
      </c>
      <c r="J629" s="50">
        <f t="shared" si="591"/>
        <v>3.2241585579716119E-2</v>
      </c>
      <c r="K629" s="50">
        <f t="shared" si="591"/>
        <v>3.645312931015221E-2</v>
      </c>
      <c r="L629" s="50">
        <f t="shared" si="591"/>
        <v>3.9012639181609042E-2</v>
      </c>
      <c r="M629" s="50">
        <f t="shared" si="591"/>
        <v>4.1549207589560662E-2</v>
      </c>
      <c r="N629" s="50">
        <f t="shared" si="591"/>
        <v>4.3042516751632572E-2</v>
      </c>
      <c r="O629" s="50">
        <f t="shared" si="591"/>
        <v>4.4973693586955334E-2</v>
      </c>
      <c r="P629" s="50">
        <f t="shared" si="591"/>
        <v>4.6808021710202923E-2</v>
      </c>
      <c r="Q629" s="50">
        <f t="shared" si="591"/>
        <v>4.6383383047344962E-2</v>
      </c>
      <c r="R629" s="50">
        <f t="shared" si="591"/>
        <v>4.4751654806610461E-2</v>
      </c>
      <c r="S629" s="50">
        <f t="shared" si="591"/>
        <v>4.4013077558728637E-2</v>
      </c>
      <c r="T629" s="50">
        <f t="shared" si="591"/>
        <v>4.428856091631931E-2</v>
      </c>
      <c r="U629" s="50">
        <f t="shared" si="591"/>
        <v>4.49735778579251E-2</v>
      </c>
      <c r="V629" s="50">
        <f t="shared" si="591"/>
        <v>4.6933206789217301E-2</v>
      </c>
      <c r="W629" s="50">
        <f t="shared" si="591"/>
        <v>5.6210586428141023E-2</v>
      </c>
      <c r="X629" s="50">
        <f t="shared" si="591"/>
        <v>6.1205656691958259E-2</v>
      </c>
      <c r="Y629" s="50">
        <f t="shared" si="591"/>
        <v>5.7018442088769522E-2</v>
      </c>
      <c r="Z629" s="50">
        <f t="shared" si="591"/>
        <v>4.9896672365740725E-2</v>
      </c>
      <c r="AA629" s="50">
        <f t="shared" si="591"/>
        <v>4.1622868086918119E-2</v>
      </c>
      <c r="AB629" s="50">
        <f t="shared" si="591"/>
        <v>3.5357844821693719E-2</v>
      </c>
      <c r="AC629" s="8">
        <f t="shared" ref="AC629:AC631" si="592">+SUM(E629:AB629)*D629</f>
        <v>4.9999999999999964</v>
      </c>
    </row>
    <row r="630" spans="2:29">
      <c r="B630" s="16"/>
      <c r="C630" s="8" t="s">
        <v>47</v>
      </c>
      <c r="D630" s="8">
        <v>4</v>
      </c>
      <c r="E630" s="50">
        <f t="shared" ref="E630:AB630" si="593">+E570</f>
        <v>3.3281514565353124E-2</v>
      </c>
      <c r="F630" s="50">
        <f t="shared" si="593"/>
        <v>3.1140043873712407E-2</v>
      </c>
      <c r="G630" s="50">
        <f t="shared" si="593"/>
        <v>2.984335106750436E-2</v>
      </c>
      <c r="H630" s="50">
        <f t="shared" si="593"/>
        <v>2.9286927979133532E-2</v>
      </c>
      <c r="I630" s="50">
        <f t="shared" si="593"/>
        <v>2.9138028999542646E-2</v>
      </c>
      <c r="J630" s="50">
        <f t="shared" si="593"/>
        <v>3.0942883559119717E-2</v>
      </c>
      <c r="K630" s="50">
        <f t="shared" si="593"/>
        <v>3.4432484834348992E-2</v>
      </c>
      <c r="L630" s="50">
        <f t="shared" si="593"/>
        <v>3.8305304424032266E-2</v>
      </c>
      <c r="M630" s="50">
        <f t="shared" si="593"/>
        <v>4.1103790742913066E-2</v>
      </c>
      <c r="N630" s="50">
        <f t="shared" si="593"/>
        <v>4.2608444243851212E-2</v>
      </c>
      <c r="O630" s="50">
        <f t="shared" si="593"/>
        <v>4.3914681848814308E-2</v>
      </c>
      <c r="P630" s="50">
        <f t="shared" si="593"/>
        <v>4.5729867165388009E-2</v>
      </c>
      <c r="Q630" s="50">
        <f t="shared" si="593"/>
        <v>4.5741487779353565E-2</v>
      </c>
      <c r="R630" s="50">
        <f t="shared" si="593"/>
        <v>4.4277060725657284E-2</v>
      </c>
      <c r="S630" s="50">
        <f t="shared" si="593"/>
        <v>4.3144199391556254E-2</v>
      </c>
      <c r="T630" s="50">
        <f t="shared" si="593"/>
        <v>4.3279567369281124E-2</v>
      </c>
      <c r="U630" s="50">
        <f t="shared" si="593"/>
        <v>4.4109954506885138E-2</v>
      </c>
      <c r="V630" s="50">
        <f t="shared" si="593"/>
        <v>4.6298728840315946E-2</v>
      </c>
      <c r="W630" s="50">
        <f t="shared" si="593"/>
        <v>5.6176649878816001E-2</v>
      </c>
      <c r="X630" s="50">
        <f t="shared" si="593"/>
        <v>6.2194705000087863E-2</v>
      </c>
      <c r="Y630" s="50">
        <f t="shared" si="593"/>
        <v>5.7928891294023718E-2</v>
      </c>
      <c r="Z630" s="50">
        <f t="shared" si="593"/>
        <v>5.019499221712586E-2</v>
      </c>
      <c r="AA630" s="50">
        <f t="shared" si="593"/>
        <v>4.1853093029906328E-2</v>
      </c>
      <c r="AB630" s="50">
        <f t="shared" si="593"/>
        <v>3.507334666327714E-2</v>
      </c>
      <c r="AC630" s="8">
        <f t="shared" si="592"/>
        <v>3.9999999999999991</v>
      </c>
    </row>
    <row r="631" spans="2:29">
      <c r="B631" s="16"/>
      <c r="C631" s="8" t="s">
        <v>48</v>
      </c>
      <c r="D631" s="8">
        <v>2</v>
      </c>
      <c r="E631" s="50">
        <f t="shared" ref="E631:AB631" si="594">+E571</f>
        <v>3.367503361886829E-2</v>
      </c>
      <c r="F631" s="50">
        <f t="shared" si="594"/>
        <v>3.1245692535415936E-2</v>
      </c>
      <c r="G631" s="50">
        <f t="shared" si="594"/>
        <v>2.9861746203171599E-2</v>
      </c>
      <c r="H631" s="50">
        <f t="shared" si="594"/>
        <v>2.9235019370742008E-2</v>
      </c>
      <c r="I631" s="50">
        <f t="shared" si="594"/>
        <v>3.0186379118294998E-2</v>
      </c>
      <c r="J631" s="50">
        <f t="shared" si="594"/>
        <v>3.3123682717801174E-2</v>
      </c>
      <c r="K631" s="50">
        <f t="shared" si="594"/>
        <v>3.5563630818173868E-2</v>
      </c>
      <c r="L631" s="50">
        <f t="shared" si="594"/>
        <v>3.7375437025807548E-2</v>
      </c>
      <c r="M631" s="50">
        <f t="shared" si="594"/>
        <v>3.9557895894381336E-2</v>
      </c>
      <c r="N631" s="50">
        <f t="shared" si="594"/>
        <v>4.1330002492198488E-2</v>
      </c>
      <c r="O631" s="50">
        <f t="shared" si="594"/>
        <v>4.3273465010057272E-2</v>
      </c>
      <c r="P631" s="50">
        <f t="shared" si="594"/>
        <v>4.5278417057592932E-2</v>
      </c>
      <c r="Q631" s="50">
        <f t="shared" si="594"/>
        <v>4.5765189585786785E-2</v>
      </c>
      <c r="R631" s="50">
        <f t="shared" si="594"/>
        <v>4.421428774797561E-2</v>
      </c>
      <c r="S631" s="50">
        <f t="shared" si="594"/>
        <v>4.3245429527174986E-2</v>
      </c>
      <c r="T631" s="50">
        <f t="shared" si="594"/>
        <v>4.3554999005074702E-2</v>
      </c>
      <c r="U631" s="50">
        <f t="shared" si="594"/>
        <v>4.4435510161992771E-2</v>
      </c>
      <c r="V631" s="50">
        <f t="shared" si="594"/>
        <v>4.717219114348542E-2</v>
      </c>
      <c r="W631" s="50">
        <f t="shared" si="594"/>
        <v>5.6899741232983039E-2</v>
      </c>
      <c r="X631" s="50">
        <f t="shared" si="594"/>
        <v>6.1986738769463187E-2</v>
      </c>
      <c r="Y631" s="50">
        <f t="shared" si="594"/>
        <v>5.7208700429979269E-2</v>
      </c>
      <c r="Z631" s="50">
        <f t="shared" si="594"/>
        <v>4.9339560702577757E-2</v>
      </c>
      <c r="AA631" s="50">
        <f t="shared" si="594"/>
        <v>4.1368944501432053E-2</v>
      </c>
      <c r="AB631" s="50">
        <f t="shared" si="594"/>
        <v>3.5102305329568817E-2</v>
      </c>
      <c r="AC631" s="8">
        <f t="shared" si="592"/>
        <v>1.9999999999999996</v>
      </c>
    </row>
    <row r="632" spans="2:29">
      <c r="B632" s="12"/>
      <c r="C632" s="12" t="s">
        <v>15</v>
      </c>
      <c r="D632" s="12">
        <f>+SUM(D628:D631)</f>
        <v>30</v>
      </c>
      <c r="E632" s="19">
        <f>+SUMPRODUCT(E628:E631,$D628:$D631)</f>
        <v>0.91163737689660429</v>
      </c>
      <c r="F632" s="19">
        <f>+SUMPRODUCT(F628:F631,$D628:$D631)</f>
        <v>0.8562130625823916</v>
      </c>
      <c r="G632" s="19">
        <f t="shared" ref="G632:AB632" si="595">+SUMPRODUCT(G628:G631,$D628:$D631)</f>
        <v>0.82643425610776611</v>
      </c>
      <c r="H632" s="19">
        <f t="shared" si="595"/>
        <v>0.82225955936592809</v>
      </c>
      <c r="I632" s="19">
        <f t="shared" si="595"/>
        <v>0.87441730145840069</v>
      </c>
      <c r="J632" s="19">
        <f t="shared" si="595"/>
        <v>1.0074952608482595</v>
      </c>
      <c r="K632" s="19">
        <f t="shared" si="595"/>
        <v>1.1281145173186919</v>
      </c>
      <c r="L632" s="19">
        <f t="shared" si="595"/>
        <v>1.1750297971314521</v>
      </c>
      <c r="M632" s="19">
        <f t="shared" si="595"/>
        <v>1.2294702198720648</v>
      </c>
      <c r="N632" s="19">
        <f t="shared" si="595"/>
        <v>1.2694778465703775</v>
      </c>
      <c r="O632" s="19">
        <f t="shared" si="595"/>
        <v>1.3259312492031796</v>
      </c>
      <c r="P632" s="19">
        <f t="shared" si="595"/>
        <v>1.3871179241906655</v>
      </c>
      <c r="Q632" s="19">
        <f t="shared" si="595"/>
        <v>1.3696188887496026</v>
      </c>
      <c r="R632" s="19">
        <f t="shared" si="595"/>
        <v>1.3230099339952086</v>
      </c>
      <c r="S632" s="19">
        <f t="shared" si="595"/>
        <v>1.3173846702823833</v>
      </c>
      <c r="T632" s="19">
        <f t="shared" si="595"/>
        <v>1.340251292520553</v>
      </c>
      <c r="U632" s="19">
        <f t="shared" si="595"/>
        <v>1.3687962137489276</v>
      </c>
      <c r="V632" s="19">
        <f t="shared" si="595"/>
        <v>1.4309028718904693</v>
      </c>
      <c r="W632" s="19">
        <f t="shared" si="595"/>
        <v>1.7043998353557004</v>
      </c>
      <c r="X632" s="19">
        <f t="shared" si="595"/>
        <v>1.8518394038607233</v>
      </c>
      <c r="Y632" s="19">
        <f t="shared" si="595"/>
        <v>1.7186309253072185</v>
      </c>
      <c r="Z632" s="19">
        <f t="shared" si="595"/>
        <v>1.5013983054326276</v>
      </c>
      <c r="AA632" s="19">
        <f t="shared" si="595"/>
        <v>1.2374638777696945</v>
      </c>
      <c r="AB632" s="19">
        <f t="shared" si="595"/>
        <v>1.0227054095411083</v>
      </c>
      <c r="AC632" s="12">
        <f>+SUM(E632:AB632)</f>
        <v>29.999999999999996</v>
      </c>
    </row>
    <row r="633" spans="2:29">
      <c r="B633" s="15">
        <f>+EDATE(B628,1)</f>
        <v>48700</v>
      </c>
      <c r="C633" s="8" t="s">
        <v>45</v>
      </c>
      <c r="D633" s="8">
        <v>21</v>
      </c>
      <c r="E633" s="50">
        <f t="shared" ref="E633:AB633" si="596">+E573</f>
        <v>2.9361257124838391E-2</v>
      </c>
      <c r="F633" s="50">
        <f t="shared" si="596"/>
        <v>2.7692710332229715E-2</v>
      </c>
      <c r="G633" s="50">
        <f t="shared" si="596"/>
        <v>2.6785161397696527E-2</v>
      </c>
      <c r="H633" s="50">
        <f t="shared" si="596"/>
        <v>2.6786989368939883E-2</v>
      </c>
      <c r="I633" s="50">
        <f t="shared" si="596"/>
        <v>2.9135775177511477E-2</v>
      </c>
      <c r="J633" s="50">
        <f t="shared" si="596"/>
        <v>3.4540443856715661E-2</v>
      </c>
      <c r="K633" s="50">
        <f t="shared" si="596"/>
        <v>3.8789035252325646E-2</v>
      </c>
      <c r="L633" s="50">
        <f t="shared" si="596"/>
        <v>3.957865839345593E-2</v>
      </c>
      <c r="M633" s="50">
        <f t="shared" si="596"/>
        <v>4.0957538271781398E-2</v>
      </c>
      <c r="N633" s="50">
        <f t="shared" si="596"/>
        <v>4.2166920044863825E-2</v>
      </c>
      <c r="O633" s="50">
        <f t="shared" si="596"/>
        <v>4.4150374939633218E-2</v>
      </c>
      <c r="P633" s="50">
        <f t="shared" si="596"/>
        <v>4.6294816466469102E-2</v>
      </c>
      <c r="Q633" s="50">
        <f t="shared" si="596"/>
        <v>4.5431875959152102E-2</v>
      </c>
      <c r="R633" s="50">
        <f t="shared" si="596"/>
        <v>4.3879728503346101E-2</v>
      </c>
      <c r="S633" s="50">
        <f t="shared" si="596"/>
        <v>4.4118506624640258E-2</v>
      </c>
      <c r="T633" s="50">
        <f t="shared" si="596"/>
        <v>4.5188432655351718E-2</v>
      </c>
      <c r="U633" s="50">
        <f t="shared" si="596"/>
        <v>4.624302558461979E-2</v>
      </c>
      <c r="V633" s="50">
        <f t="shared" si="596"/>
        <v>4.8247238962955179E-2</v>
      </c>
      <c r="W633" s="50">
        <f t="shared" si="596"/>
        <v>5.7096885328092907E-2</v>
      </c>
      <c r="X633" s="50">
        <f t="shared" si="596"/>
        <v>6.1739938045350239E-2</v>
      </c>
      <c r="Y633" s="50">
        <f t="shared" si="596"/>
        <v>5.7231881517227232E-2</v>
      </c>
      <c r="Z633" s="50">
        <f t="shared" si="596"/>
        <v>5.0129255438435008E-2</v>
      </c>
      <c r="AA633" s="50">
        <f t="shared" si="596"/>
        <v>4.1010488221716553E-2</v>
      </c>
      <c r="AB633" s="50">
        <f t="shared" si="596"/>
        <v>3.34430625326523E-2</v>
      </c>
      <c r="AC633" s="8">
        <f>+SUM(E633:AB633)*D633</f>
        <v>21.000000000000004</v>
      </c>
    </row>
    <row r="634" spans="2:29">
      <c r="B634" s="16"/>
      <c r="C634" s="8" t="s">
        <v>46</v>
      </c>
      <c r="D634" s="8">
        <v>4</v>
      </c>
      <c r="E634" s="50">
        <f t="shared" ref="E634:AB634" si="597">+E574</f>
        <v>3.0659473205105158E-2</v>
      </c>
      <c r="F634" s="50">
        <f t="shared" si="597"/>
        <v>2.8600001140869122E-2</v>
      </c>
      <c r="G634" s="50">
        <f t="shared" si="597"/>
        <v>2.7683858575034276E-2</v>
      </c>
      <c r="H634" s="50">
        <f t="shared" si="597"/>
        <v>2.7537802139610414E-2</v>
      </c>
      <c r="I634" s="50">
        <f t="shared" si="597"/>
        <v>2.8782539770184416E-2</v>
      </c>
      <c r="J634" s="50">
        <f t="shared" si="597"/>
        <v>3.2241585579716119E-2</v>
      </c>
      <c r="K634" s="50">
        <f t="shared" si="597"/>
        <v>3.645312931015221E-2</v>
      </c>
      <c r="L634" s="50">
        <f t="shared" si="597"/>
        <v>3.9012639181609042E-2</v>
      </c>
      <c r="M634" s="50">
        <f t="shared" si="597"/>
        <v>4.1549207589560662E-2</v>
      </c>
      <c r="N634" s="50">
        <f t="shared" si="597"/>
        <v>4.3042516751632572E-2</v>
      </c>
      <c r="O634" s="50">
        <f t="shared" si="597"/>
        <v>4.4973693586955334E-2</v>
      </c>
      <c r="P634" s="50">
        <f t="shared" si="597"/>
        <v>4.6808021710202923E-2</v>
      </c>
      <c r="Q634" s="50">
        <f t="shared" si="597"/>
        <v>4.6383383047344962E-2</v>
      </c>
      <c r="R634" s="50">
        <f t="shared" si="597"/>
        <v>4.4751654806610461E-2</v>
      </c>
      <c r="S634" s="50">
        <f t="shared" si="597"/>
        <v>4.4013077558728637E-2</v>
      </c>
      <c r="T634" s="50">
        <f t="shared" si="597"/>
        <v>4.428856091631931E-2</v>
      </c>
      <c r="U634" s="50">
        <f t="shared" si="597"/>
        <v>4.49735778579251E-2</v>
      </c>
      <c r="V634" s="50">
        <f t="shared" si="597"/>
        <v>4.6933206789217301E-2</v>
      </c>
      <c r="W634" s="50">
        <f t="shared" si="597"/>
        <v>5.6210586428141023E-2</v>
      </c>
      <c r="X634" s="50">
        <f t="shared" si="597"/>
        <v>6.1205656691958259E-2</v>
      </c>
      <c r="Y634" s="50">
        <f t="shared" si="597"/>
        <v>5.7018442088769522E-2</v>
      </c>
      <c r="Z634" s="50">
        <f t="shared" si="597"/>
        <v>4.9896672365740725E-2</v>
      </c>
      <c r="AA634" s="50">
        <f t="shared" si="597"/>
        <v>4.1622868086918119E-2</v>
      </c>
      <c r="AB634" s="50">
        <f t="shared" si="597"/>
        <v>3.5357844821693719E-2</v>
      </c>
      <c r="AC634" s="8">
        <f t="shared" ref="AC634:AC635" si="598">+SUM(E634:AB634)*D634</f>
        <v>3.9999999999999969</v>
      </c>
    </row>
    <row r="635" spans="2:29">
      <c r="B635" s="16"/>
      <c r="C635" s="8" t="s">
        <v>47</v>
      </c>
      <c r="D635" s="8">
        <v>4</v>
      </c>
      <c r="E635" s="50">
        <f t="shared" ref="E635:AB635" si="599">+E575</f>
        <v>3.3281514565353124E-2</v>
      </c>
      <c r="F635" s="50">
        <f t="shared" si="599"/>
        <v>3.1140043873712407E-2</v>
      </c>
      <c r="G635" s="50">
        <f t="shared" si="599"/>
        <v>2.984335106750436E-2</v>
      </c>
      <c r="H635" s="50">
        <f t="shared" si="599"/>
        <v>2.9286927979133532E-2</v>
      </c>
      <c r="I635" s="50">
        <f t="shared" si="599"/>
        <v>2.9138028999542646E-2</v>
      </c>
      <c r="J635" s="50">
        <f t="shared" si="599"/>
        <v>3.0942883559119717E-2</v>
      </c>
      <c r="K635" s="50">
        <f t="shared" si="599"/>
        <v>3.4432484834348992E-2</v>
      </c>
      <c r="L635" s="50">
        <f t="shared" si="599"/>
        <v>3.8305304424032266E-2</v>
      </c>
      <c r="M635" s="50">
        <f t="shared" si="599"/>
        <v>4.1103790742913066E-2</v>
      </c>
      <c r="N635" s="50">
        <f t="shared" si="599"/>
        <v>4.2608444243851212E-2</v>
      </c>
      <c r="O635" s="50">
        <f t="shared" si="599"/>
        <v>4.3914681848814308E-2</v>
      </c>
      <c r="P635" s="50">
        <f t="shared" si="599"/>
        <v>4.5729867165388009E-2</v>
      </c>
      <c r="Q635" s="50">
        <f t="shared" si="599"/>
        <v>4.5741487779353565E-2</v>
      </c>
      <c r="R635" s="50">
        <f t="shared" si="599"/>
        <v>4.4277060725657284E-2</v>
      </c>
      <c r="S635" s="50">
        <f t="shared" si="599"/>
        <v>4.3144199391556254E-2</v>
      </c>
      <c r="T635" s="50">
        <f t="shared" si="599"/>
        <v>4.3279567369281124E-2</v>
      </c>
      <c r="U635" s="50">
        <f t="shared" si="599"/>
        <v>4.4109954506885138E-2</v>
      </c>
      <c r="V635" s="50">
        <f t="shared" si="599"/>
        <v>4.6298728840315946E-2</v>
      </c>
      <c r="W635" s="50">
        <f t="shared" si="599"/>
        <v>5.6176649878816001E-2</v>
      </c>
      <c r="X635" s="50">
        <f t="shared" si="599"/>
        <v>6.2194705000087863E-2</v>
      </c>
      <c r="Y635" s="50">
        <f t="shared" si="599"/>
        <v>5.7928891294023718E-2</v>
      </c>
      <c r="Z635" s="50">
        <f t="shared" si="599"/>
        <v>5.019499221712586E-2</v>
      </c>
      <c r="AA635" s="50">
        <f t="shared" si="599"/>
        <v>4.1853093029906328E-2</v>
      </c>
      <c r="AB635" s="50">
        <f t="shared" si="599"/>
        <v>3.507334666327714E-2</v>
      </c>
      <c r="AC635" s="8">
        <f t="shared" si="598"/>
        <v>3.9999999999999991</v>
      </c>
    </row>
    <row r="636" spans="2:29">
      <c r="B636" s="16"/>
      <c r="C636" s="8" t="s">
        <v>48</v>
      </c>
      <c r="D636" s="8">
        <v>2</v>
      </c>
      <c r="E636" s="50">
        <f t="shared" ref="E636:AB636" si="600">+E576</f>
        <v>3.367503361886829E-2</v>
      </c>
      <c r="F636" s="50">
        <f t="shared" si="600"/>
        <v>3.1245692535415936E-2</v>
      </c>
      <c r="G636" s="50">
        <f t="shared" si="600"/>
        <v>2.9861746203171599E-2</v>
      </c>
      <c r="H636" s="50">
        <f t="shared" si="600"/>
        <v>2.9235019370742008E-2</v>
      </c>
      <c r="I636" s="50">
        <f t="shared" si="600"/>
        <v>3.0186379118294998E-2</v>
      </c>
      <c r="J636" s="50">
        <f t="shared" si="600"/>
        <v>3.3123682717801174E-2</v>
      </c>
      <c r="K636" s="50">
        <f t="shared" si="600"/>
        <v>3.5563630818173868E-2</v>
      </c>
      <c r="L636" s="50">
        <f t="shared" si="600"/>
        <v>3.7375437025807548E-2</v>
      </c>
      <c r="M636" s="50">
        <f t="shared" si="600"/>
        <v>3.9557895894381336E-2</v>
      </c>
      <c r="N636" s="50">
        <f t="shared" si="600"/>
        <v>4.1330002492198488E-2</v>
      </c>
      <c r="O636" s="50">
        <f t="shared" si="600"/>
        <v>4.3273465010057272E-2</v>
      </c>
      <c r="P636" s="50">
        <f t="shared" si="600"/>
        <v>4.5278417057592932E-2</v>
      </c>
      <c r="Q636" s="50">
        <f t="shared" si="600"/>
        <v>4.5765189585786785E-2</v>
      </c>
      <c r="R636" s="50">
        <f t="shared" si="600"/>
        <v>4.421428774797561E-2</v>
      </c>
      <c r="S636" s="50">
        <f t="shared" si="600"/>
        <v>4.3245429527174986E-2</v>
      </c>
      <c r="T636" s="50">
        <f t="shared" si="600"/>
        <v>4.3554999005074702E-2</v>
      </c>
      <c r="U636" s="50">
        <f t="shared" si="600"/>
        <v>4.4435510161992771E-2</v>
      </c>
      <c r="V636" s="50">
        <f t="shared" si="600"/>
        <v>4.717219114348542E-2</v>
      </c>
      <c r="W636" s="50">
        <f t="shared" si="600"/>
        <v>5.6899741232983039E-2</v>
      </c>
      <c r="X636" s="50">
        <f t="shared" si="600"/>
        <v>6.1986738769463187E-2</v>
      </c>
      <c r="Y636" s="50">
        <f t="shared" si="600"/>
        <v>5.7208700429979269E-2</v>
      </c>
      <c r="Z636" s="50">
        <f t="shared" si="600"/>
        <v>4.9339560702577757E-2</v>
      </c>
      <c r="AA636" s="50">
        <f t="shared" si="600"/>
        <v>4.1368944501432053E-2</v>
      </c>
      <c r="AB636" s="50">
        <f t="shared" si="600"/>
        <v>3.5102305329568817E-2</v>
      </c>
      <c r="AC636" s="8">
        <f>+SUM(E636:AB636)*D636</f>
        <v>1.9999999999999996</v>
      </c>
    </row>
    <row r="637" spans="2:29">
      <c r="B637" s="12"/>
      <c r="C637" s="12" t="s">
        <v>15</v>
      </c>
      <c r="D637" s="12">
        <f>+SUM(D633:D636)</f>
        <v>31</v>
      </c>
      <c r="E637" s="19">
        <f>+SUMPRODUCT(E633:E636,$D633:$D636)</f>
        <v>0.93970041794117598</v>
      </c>
      <c r="F637" s="19">
        <f>+SUMPRODUCT(F633:F636,$D633:$D636)</f>
        <v>0.88299848210598197</v>
      </c>
      <c r="G637" s="19">
        <f t="shared" ref="G637:AB637" si="601">+SUMPRODUCT(G633:G636,$D633:$D636)</f>
        <v>0.85232072032812478</v>
      </c>
      <c r="H637" s="19">
        <f t="shared" si="601"/>
        <v>0.84829573596419738</v>
      </c>
      <c r="I637" s="19">
        <f t="shared" si="601"/>
        <v>0.90390631204323935</v>
      </c>
      <c r="J637" s="19">
        <f t="shared" si="601"/>
        <v>1.0443345629819747</v>
      </c>
      <c r="K637" s="19">
        <f t="shared" si="601"/>
        <v>1.1692394585131909</v>
      </c>
      <c r="L637" s="19">
        <f t="shared" si="601"/>
        <v>1.215174474736755</v>
      </c>
      <c r="M637" s="19">
        <f t="shared" si="601"/>
        <v>1.2698360888260669</v>
      </c>
      <c r="N637" s="19">
        <f t="shared" si="601"/>
        <v>1.3107691699084727</v>
      </c>
      <c r="O637" s="19">
        <f t="shared" si="601"/>
        <v>1.3692583054954905</v>
      </c>
      <c r="P637" s="19">
        <f t="shared" si="601"/>
        <v>1.4328995354134009</v>
      </c>
      <c r="Q637" s="19">
        <f t="shared" si="601"/>
        <v>1.4140992576205618</v>
      </c>
      <c r="R637" s="19">
        <f t="shared" si="601"/>
        <v>1.3660177361952903</v>
      </c>
      <c r="S637" s="19">
        <f t="shared" si="601"/>
        <v>1.3616086059729351</v>
      </c>
      <c r="T637" s="19">
        <f t="shared" si="601"/>
        <v>1.3863395969149375</v>
      </c>
      <c r="U637" s="19">
        <f t="shared" si="601"/>
        <v>1.4163086870602422</v>
      </c>
      <c r="V637" s="19">
        <f t="shared" si="601"/>
        <v>1.4804641430271626</v>
      </c>
      <c r="W637" s="19">
        <f t="shared" si="601"/>
        <v>1.7623830195837451</v>
      </c>
      <c r="X637" s="19">
        <f t="shared" si="601"/>
        <v>1.914113623259466</v>
      </c>
      <c r="Y637" s="19">
        <f t="shared" si="601"/>
        <v>1.7760762462529034</v>
      </c>
      <c r="Z637" s="19">
        <f t="shared" si="601"/>
        <v>1.5517601439437572</v>
      </c>
      <c r="AA637" s="19">
        <f t="shared" si="601"/>
        <v>1.2778619861262095</v>
      </c>
      <c r="AB637" s="19">
        <f t="shared" si="601"/>
        <v>1.0542336897847193</v>
      </c>
      <c r="AC637" s="12">
        <f>+SUM(E637:AB637)</f>
        <v>30.999999999999996</v>
      </c>
    </row>
    <row r="638" spans="2:29">
      <c r="B638" s="15">
        <f>+EDATE(B633,1)</f>
        <v>48731</v>
      </c>
      <c r="C638" s="8" t="s">
        <v>45</v>
      </c>
      <c r="D638" s="8">
        <v>20</v>
      </c>
      <c r="E638" s="50">
        <f t="shared" ref="E638:AB638" si="602">+E578</f>
        <v>2.9361257124838391E-2</v>
      </c>
      <c r="F638" s="50">
        <f t="shared" si="602"/>
        <v>2.7692710332229715E-2</v>
      </c>
      <c r="G638" s="50">
        <f t="shared" si="602"/>
        <v>2.6785161397696527E-2</v>
      </c>
      <c r="H638" s="50">
        <f t="shared" si="602"/>
        <v>2.6786989368939883E-2</v>
      </c>
      <c r="I638" s="50">
        <f t="shared" si="602"/>
        <v>2.9135775177511477E-2</v>
      </c>
      <c r="J638" s="50">
        <f t="shared" si="602"/>
        <v>3.4540443856715661E-2</v>
      </c>
      <c r="K638" s="50">
        <f t="shared" si="602"/>
        <v>3.8789035252325646E-2</v>
      </c>
      <c r="L638" s="50">
        <f t="shared" si="602"/>
        <v>3.957865839345593E-2</v>
      </c>
      <c r="M638" s="50">
        <f t="shared" si="602"/>
        <v>4.0957538271781398E-2</v>
      </c>
      <c r="N638" s="50">
        <f t="shared" si="602"/>
        <v>4.2166920044863825E-2</v>
      </c>
      <c r="O638" s="50">
        <f t="shared" si="602"/>
        <v>4.4150374939633218E-2</v>
      </c>
      <c r="P638" s="50">
        <f t="shared" si="602"/>
        <v>4.6294816466469102E-2</v>
      </c>
      <c r="Q638" s="50">
        <f t="shared" si="602"/>
        <v>4.5431875959152102E-2</v>
      </c>
      <c r="R638" s="50">
        <f t="shared" si="602"/>
        <v>4.3879728503346101E-2</v>
      </c>
      <c r="S638" s="50">
        <f t="shared" si="602"/>
        <v>4.4118506624640258E-2</v>
      </c>
      <c r="T638" s="50">
        <f t="shared" si="602"/>
        <v>4.5188432655351718E-2</v>
      </c>
      <c r="U638" s="50">
        <f t="shared" si="602"/>
        <v>4.624302558461979E-2</v>
      </c>
      <c r="V638" s="50">
        <f t="shared" si="602"/>
        <v>4.8247238962955179E-2</v>
      </c>
      <c r="W638" s="50">
        <f t="shared" si="602"/>
        <v>5.7096885328092907E-2</v>
      </c>
      <c r="X638" s="50">
        <f t="shared" si="602"/>
        <v>6.1739938045350239E-2</v>
      </c>
      <c r="Y638" s="50">
        <f t="shared" si="602"/>
        <v>5.7231881517227232E-2</v>
      </c>
      <c r="Z638" s="50">
        <f t="shared" si="602"/>
        <v>5.0129255438435008E-2</v>
      </c>
      <c r="AA638" s="50">
        <f t="shared" si="602"/>
        <v>4.1010488221716553E-2</v>
      </c>
      <c r="AB638" s="50">
        <f t="shared" si="602"/>
        <v>3.34430625326523E-2</v>
      </c>
      <c r="AC638" s="8">
        <f>+SUM(E638:AB638)*D638</f>
        <v>20.000000000000004</v>
      </c>
    </row>
    <row r="639" spans="2:29">
      <c r="B639" s="16"/>
      <c r="C639" s="8" t="s">
        <v>46</v>
      </c>
      <c r="D639" s="8">
        <v>4</v>
      </c>
      <c r="E639" s="50">
        <f t="shared" ref="E639:AB639" si="603">+E579</f>
        <v>3.0659473205105158E-2</v>
      </c>
      <c r="F639" s="50">
        <f t="shared" si="603"/>
        <v>2.8600001140869122E-2</v>
      </c>
      <c r="G639" s="50">
        <f t="shared" si="603"/>
        <v>2.7683858575034276E-2</v>
      </c>
      <c r="H639" s="50">
        <f t="shared" si="603"/>
        <v>2.7537802139610414E-2</v>
      </c>
      <c r="I639" s="50">
        <f t="shared" si="603"/>
        <v>2.8782539770184416E-2</v>
      </c>
      <c r="J639" s="50">
        <f t="shared" si="603"/>
        <v>3.2241585579716119E-2</v>
      </c>
      <c r="K639" s="50">
        <f t="shared" si="603"/>
        <v>3.645312931015221E-2</v>
      </c>
      <c r="L639" s="50">
        <f t="shared" si="603"/>
        <v>3.9012639181609042E-2</v>
      </c>
      <c r="M639" s="50">
        <f t="shared" si="603"/>
        <v>4.1549207589560662E-2</v>
      </c>
      <c r="N639" s="50">
        <f t="shared" si="603"/>
        <v>4.3042516751632572E-2</v>
      </c>
      <c r="O639" s="50">
        <f t="shared" si="603"/>
        <v>4.4973693586955334E-2</v>
      </c>
      <c r="P639" s="50">
        <f t="shared" si="603"/>
        <v>4.6808021710202923E-2</v>
      </c>
      <c r="Q639" s="50">
        <f t="shared" si="603"/>
        <v>4.6383383047344962E-2</v>
      </c>
      <c r="R639" s="50">
        <f t="shared" si="603"/>
        <v>4.4751654806610461E-2</v>
      </c>
      <c r="S639" s="50">
        <f t="shared" si="603"/>
        <v>4.4013077558728637E-2</v>
      </c>
      <c r="T639" s="50">
        <f t="shared" si="603"/>
        <v>4.428856091631931E-2</v>
      </c>
      <c r="U639" s="50">
        <f t="shared" si="603"/>
        <v>4.49735778579251E-2</v>
      </c>
      <c r="V639" s="50">
        <f t="shared" si="603"/>
        <v>4.6933206789217301E-2</v>
      </c>
      <c r="W639" s="50">
        <f t="shared" si="603"/>
        <v>5.6210586428141023E-2</v>
      </c>
      <c r="X639" s="50">
        <f t="shared" si="603"/>
        <v>6.1205656691958259E-2</v>
      </c>
      <c r="Y639" s="50">
        <f t="shared" si="603"/>
        <v>5.7018442088769522E-2</v>
      </c>
      <c r="Z639" s="50">
        <f t="shared" si="603"/>
        <v>4.9896672365740725E-2</v>
      </c>
      <c r="AA639" s="50">
        <f t="shared" si="603"/>
        <v>4.1622868086918119E-2</v>
      </c>
      <c r="AB639" s="50">
        <f t="shared" si="603"/>
        <v>3.5357844821693719E-2</v>
      </c>
      <c r="AC639" s="8">
        <f t="shared" ref="AC639:AC641" si="604">+SUM(E639:AB639)*D639</f>
        <v>3.9999999999999969</v>
      </c>
    </row>
    <row r="640" spans="2:29">
      <c r="B640" s="16"/>
      <c r="C640" s="8" t="s">
        <v>47</v>
      </c>
      <c r="D640" s="8">
        <v>4</v>
      </c>
      <c r="E640" s="50">
        <f t="shared" ref="E640:AB640" si="605">+E580</f>
        <v>3.3281514565353124E-2</v>
      </c>
      <c r="F640" s="50">
        <f t="shared" si="605"/>
        <v>3.1140043873712407E-2</v>
      </c>
      <c r="G640" s="50">
        <f t="shared" si="605"/>
        <v>2.984335106750436E-2</v>
      </c>
      <c r="H640" s="50">
        <f t="shared" si="605"/>
        <v>2.9286927979133532E-2</v>
      </c>
      <c r="I640" s="50">
        <f t="shared" si="605"/>
        <v>2.9138028999542646E-2</v>
      </c>
      <c r="J640" s="50">
        <f t="shared" si="605"/>
        <v>3.0942883559119717E-2</v>
      </c>
      <c r="K640" s="50">
        <f t="shared" si="605"/>
        <v>3.4432484834348992E-2</v>
      </c>
      <c r="L640" s="50">
        <f t="shared" si="605"/>
        <v>3.8305304424032266E-2</v>
      </c>
      <c r="M640" s="50">
        <f t="shared" si="605"/>
        <v>4.1103790742913066E-2</v>
      </c>
      <c r="N640" s="50">
        <f t="shared" si="605"/>
        <v>4.2608444243851212E-2</v>
      </c>
      <c r="O640" s="50">
        <f t="shared" si="605"/>
        <v>4.3914681848814308E-2</v>
      </c>
      <c r="P640" s="50">
        <f t="shared" si="605"/>
        <v>4.5729867165388009E-2</v>
      </c>
      <c r="Q640" s="50">
        <f t="shared" si="605"/>
        <v>4.5741487779353565E-2</v>
      </c>
      <c r="R640" s="50">
        <f t="shared" si="605"/>
        <v>4.4277060725657284E-2</v>
      </c>
      <c r="S640" s="50">
        <f t="shared" si="605"/>
        <v>4.3144199391556254E-2</v>
      </c>
      <c r="T640" s="50">
        <f t="shared" si="605"/>
        <v>4.3279567369281124E-2</v>
      </c>
      <c r="U640" s="50">
        <f t="shared" si="605"/>
        <v>4.4109954506885138E-2</v>
      </c>
      <c r="V640" s="50">
        <f t="shared" si="605"/>
        <v>4.6298728840315946E-2</v>
      </c>
      <c r="W640" s="50">
        <f t="shared" si="605"/>
        <v>5.6176649878816001E-2</v>
      </c>
      <c r="X640" s="50">
        <f t="shared" si="605"/>
        <v>6.2194705000087863E-2</v>
      </c>
      <c r="Y640" s="50">
        <f t="shared" si="605"/>
        <v>5.7928891294023718E-2</v>
      </c>
      <c r="Z640" s="50">
        <f t="shared" si="605"/>
        <v>5.019499221712586E-2</v>
      </c>
      <c r="AA640" s="50">
        <f t="shared" si="605"/>
        <v>4.1853093029906328E-2</v>
      </c>
      <c r="AB640" s="50">
        <f t="shared" si="605"/>
        <v>3.507334666327714E-2</v>
      </c>
      <c r="AC640" s="8">
        <f t="shared" si="604"/>
        <v>3.9999999999999991</v>
      </c>
    </row>
    <row r="641" spans="2:29">
      <c r="B641" s="16"/>
      <c r="C641" s="8" t="s">
        <v>48</v>
      </c>
      <c r="D641" s="8">
        <v>2</v>
      </c>
      <c r="E641" s="50">
        <f t="shared" ref="E641:AB641" si="606">+E581</f>
        <v>3.367503361886829E-2</v>
      </c>
      <c r="F641" s="50">
        <f t="shared" si="606"/>
        <v>3.1245692535415936E-2</v>
      </c>
      <c r="G641" s="50">
        <f t="shared" si="606"/>
        <v>2.9861746203171599E-2</v>
      </c>
      <c r="H641" s="50">
        <f t="shared" si="606"/>
        <v>2.9235019370742008E-2</v>
      </c>
      <c r="I641" s="50">
        <f t="shared" si="606"/>
        <v>3.0186379118294998E-2</v>
      </c>
      <c r="J641" s="50">
        <f t="shared" si="606"/>
        <v>3.3123682717801174E-2</v>
      </c>
      <c r="K641" s="50">
        <f t="shared" si="606"/>
        <v>3.5563630818173868E-2</v>
      </c>
      <c r="L641" s="50">
        <f t="shared" si="606"/>
        <v>3.7375437025807548E-2</v>
      </c>
      <c r="M641" s="50">
        <f t="shared" si="606"/>
        <v>3.9557895894381336E-2</v>
      </c>
      <c r="N641" s="50">
        <f t="shared" si="606"/>
        <v>4.1330002492198488E-2</v>
      </c>
      <c r="O641" s="50">
        <f t="shared" si="606"/>
        <v>4.3273465010057272E-2</v>
      </c>
      <c r="P641" s="50">
        <f t="shared" si="606"/>
        <v>4.5278417057592932E-2</v>
      </c>
      <c r="Q641" s="50">
        <f t="shared" si="606"/>
        <v>4.5765189585786785E-2</v>
      </c>
      <c r="R641" s="50">
        <f t="shared" si="606"/>
        <v>4.421428774797561E-2</v>
      </c>
      <c r="S641" s="50">
        <f t="shared" si="606"/>
        <v>4.3245429527174986E-2</v>
      </c>
      <c r="T641" s="50">
        <f t="shared" si="606"/>
        <v>4.3554999005074702E-2</v>
      </c>
      <c r="U641" s="50">
        <f t="shared" si="606"/>
        <v>4.4435510161992771E-2</v>
      </c>
      <c r="V641" s="50">
        <f t="shared" si="606"/>
        <v>4.717219114348542E-2</v>
      </c>
      <c r="W641" s="50">
        <f t="shared" si="606"/>
        <v>5.6899741232983039E-2</v>
      </c>
      <c r="X641" s="50">
        <f t="shared" si="606"/>
        <v>6.1986738769463187E-2</v>
      </c>
      <c r="Y641" s="50">
        <f t="shared" si="606"/>
        <v>5.7208700429979269E-2</v>
      </c>
      <c r="Z641" s="50">
        <f t="shared" si="606"/>
        <v>4.9339560702577757E-2</v>
      </c>
      <c r="AA641" s="50">
        <f t="shared" si="606"/>
        <v>4.1368944501432053E-2</v>
      </c>
      <c r="AB641" s="50">
        <f t="shared" si="606"/>
        <v>3.5102305329568817E-2</v>
      </c>
      <c r="AC641" s="8">
        <f t="shared" si="604"/>
        <v>1.9999999999999996</v>
      </c>
    </row>
    <row r="642" spans="2:29">
      <c r="B642" s="12"/>
      <c r="C642" s="12" t="s">
        <v>15</v>
      </c>
      <c r="D642" s="12">
        <f>+SUM(D638:D641)</f>
        <v>30</v>
      </c>
      <c r="E642" s="19">
        <f>+SUMPRODUCT(E638:E641,$D638:$D641)</f>
        <v>0.91033916081633748</v>
      </c>
      <c r="F642" s="19">
        <f>+SUMPRODUCT(F638:F641,$D638:$D641)</f>
        <v>0.85530577177375222</v>
      </c>
      <c r="G642" s="19">
        <f t="shared" ref="G642:AB642" si="607">+SUMPRODUCT(G638:G641,$D638:$D641)</f>
        <v>0.82553555893042829</v>
      </c>
      <c r="H642" s="19">
        <f t="shared" si="607"/>
        <v>0.82150874659525752</v>
      </c>
      <c r="I642" s="19">
        <f t="shared" si="607"/>
        <v>0.8747705368657277</v>
      </c>
      <c r="J642" s="19">
        <f t="shared" si="607"/>
        <v>1.0097941191252591</v>
      </c>
      <c r="K642" s="19">
        <f t="shared" si="607"/>
        <v>1.1304504232608654</v>
      </c>
      <c r="L642" s="19">
        <f t="shared" si="607"/>
        <v>1.1755958163432989</v>
      </c>
      <c r="M642" s="19">
        <f t="shared" si="607"/>
        <v>1.2288785505542854</v>
      </c>
      <c r="N642" s="19">
        <f t="shared" si="607"/>
        <v>1.2686022498636089</v>
      </c>
      <c r="O642" s="19">
        <f t="shared" si="607"/>
        <v>1.3251079305558575</v>
      </c>
      <c r="P642" s="19">
        <f t="shared" si="607"/>
        <v>1.3866047189469317</v>
      </c>
      <c r="Q642" s="19">
        <f t="shared" si="607"/>
        <v>1.3686673816614097</v>
      </c>
      <c r="R642" s="19">
        <f t="shared" si="607"/>
        <v>1.3221380076919442</v>
      </c>
      <c r="S642" s="19">
        <f t="shared" si="607"/>
        <v>1.317490099348295</v>
      </c>
      <c r="T642" s="19">
        <f t="shared" si="607"/>
        <v>1.3411511642595855</v>
      </c>
      <c r="U642" s="19">
        <f t="shared" si="607"/>
        <v>1.3700656614756224</v>
      </c>
      <c r="V642" s="19">
        <f t="shared" si="607"/>
        <v>1.4322169040642074</v>
      </c>
      <c r="W642" s="19">
        <f t="shared" si="607"/>
        <v>1.7052861342556522</v>
      </c>
      <c r="X642" s="19">
        <f t="shared" si="607"/>
        <v>1.8523736852141155</v>
      </c>
      <c r="Y642" s="19">
        <f t="shared" si="607"/>
        <v>1.7188443647356764</v>
      </c>
      <c r="Z642" s="19">
        <f t="shared" si="607"/>
        <v>1.501630888505322</v>
      </c>
      <c r="AA642" s="19">
        <f t="shared" si="607"/>
        <v>1.2368514979044929</v>
      </c>
      <c r="AB642" s="19">
        <f t="shared" si="607"/>
        <v>1.020790627252067</v>
      </c>
      <c r="AC642" s="12">
        <f>+SUM(E642:AB642)</f>
        <v>30</v>
      </c>
    </row>
    <row r="643" spans="2:29">
      <c r="B643" s="15">
        <f>+EDATE(B638,1)</f>
        <v>48761</v>
      </c>
      <c r="C643" s="8" t="s">
        <v>45</v>
      </c>
      <c r="D643" s="8">
        <v>19</v>
      </c>
      <c r="E643" s="50">
        <f t="shared" ref="E643:AB643" si="608">+E583</f>
        <v>2.9361257124838391E-2</v>
      </c>
      <c r="F643" s="50">
        <f t="shared" si="608"/>
        <v>2.7692710332229715E-2</v>
      </c>
      <c r="G643" s="50">
        <f t="shared" si="608"/>
        <v>2.6785161397696527E-2</v>
      </c>
      <c r="H643" s="50">
        <f t="shared" si="608"/>
        <v>2.6786989368939883E-2</v>
      </c>
      <c r="I643" s="50">
        <f t="shared" si="608"/>
        <v>2.9135775177511477E-2</v>
      </c>
      <c r="J643" s="50">
        <f t="shared" si="608"/>
        <v>3.4540443856715661E-2</v>
      </c>
      <c r="K643" s="50">
        <f t="shared" si="608"/>
        <v>3.8789035252325646E-2</v>
      </c>
      <c r="L643" s="50">
        <f t="shared" si="608"/>
        <v>3.957865839345593E-2</v>
      </c>
      <c r="M643" s="50">
        <f t="shared" si="608"/>
        <v>4.0957538271781398E-2</v>
      </c>
      <c r="N643" s="50">
        <f t="shared" si="608"/>
        <v>4.2166920044863825E-2</v>
      </c>
      <c r="O643" s="50">
        <f t="shared" si="608"/>
        <v>4.4150374939633218E-2</v>
      </c>
      <c r="P643" s="50">
        <f t="shared" si="608"/>
        <v>4.6294816466469102E-2</v>
      </c>
      <c r="Q643" s="50">
        <f t="shared" si="608"/>
        <v>4.5431875959152102E-2</v>
      </c>
      <c r="R643" s="50">
        <f t="shared" si="608"/>
        <v>4.3879728503346101E-2</v>
      </c>
      <c r="S643" s="50">
        <f t="shared" si="608"/>
        <v>4.4118506624640258E-2</v>
      </c>
      <c r="T643" s="50">
        <f t="shared" si="608"/>
        <v>4.5188432655351718E-2</v>
      </c>
      <c r="U643" s="50">
        <f t="shared" si="608"/>
        <v>4.624302558461979E-2</v>
      </c>
      <c r="V643" s="50">
        <f t="shared" si="608"/>
        <v>4.8247238962955179E-2</v>
      </c>
      <c r="W643" s="50">
        <f t="shared" si="608"/>
        <v>5.7096885328092907E-2</v>
      </c>
      <c r="X643" s="50">
        <f t="shared" si="608"/>
        <v>6.1739938045350239E-2</v>
      </c>
      <c r="Y643" s="50">
        <f t="shared" si="608"/>
        <v>5.7231881517227232E-2</v>
      </c>
      <c r="Z643" s="50">
        <f t="shared" si="608"/>
        <v>5.0129255438435008E-2</v>
      </c>
      <c r="AA643" s="50">
        <f t="shared" si="608"/>
        <v>4.1010488221716553E-2</v>
      </c>
      <c r="AB643" s="50">
        <f t="shared" si="608"/>
        <v>3.34430625326523E-2</v>
      </c>
      <c r="AC643" s="8">
        <f>+SUM(E643:AB643)*D643</f>
        <v>19.000000000000004</v>
      </c>
    </row>
    <row r="644" spans="2:29">
      <c r="B644" s="16"/>
      <c r="C644" s="8" t="s">
        <v>46</v>
      </c>
      <c r="D644" s="8">
        <v>5</v>
      </c>
      <c r="E644" s="50">
        <f t="shared" ref="E644:AB644" si="609">+E584</f>
        <v>3.0659473205105158E-2</v>
      </c>
      <c r="F644" s="50">
        <f t="shared" si="609"/>
        <v>2.8600001140869122E-2</v>
      </c>
      <c r="G644" s="50">
        <f t="shared" si="609"/>
        <v>2.7683858575034276E-2</v>
      </c>
      <c r="H644" s="50">
        <f t="shared" si="609"/>
        <v>2.7537802139610414E-2</v>
      </c>
      <c r="I644" s="50">
        <f t="shared" si="609"/>
        <v>2.8782539770184416E-2</v>
      </c>
      <c r="J644" s="50">
        <f t="shared" si="609"/>
        <v>3.2241585579716119E-2</v>
      </c>
      <c r="K644" s="50">
        <f t="shared" si="609"/>
        <v>3.645312931015221E-2</v>
      </c>
      <c r="L644" s="50">
        <f t="shared" si="609"/>
        <v>3.9012639181609042E-2</v>
      </c>
      <c r="M644" s="50">
        <f t="shared" si="609"/>
        <v>4.1549207589560662E-2</v>
      </c>
      <c r="N644" s="50">
        <f t="shared" si="609"/>
        <v>4.3042516751632572E-2</v>
      </c>
      <c r="O644" s="50">
        <f t="shared" si="609"/>
        <v>4.4973693586955334E-2</v>
      </c>
      <c r="P644" s="50">
        <f t="shared" si="609"/>
        <v>4.6808021710202923E-2</v>
      </c>
      <c r="Q644" s="50">
        <f t="shared" si="609"/>
        <v>4.6383383047344962E-2</v>
      </c>
      <c r="R644" s="50">
        <f t="shared" si="609"/>
        <v>4.4751654806610461E-2</v>
      </c>
      <c r="S644" s="50">
        <f t="shared" si="609"/>
        <v>4.4013077558728637E-2</v>
      </c>
      <c r="T644" s="50">
        <f t="shared" si="609"/>
        <v>4.428856091631931E-2</v>
      </c>
      <c r="U644" s="50">
        <f t="shared" si="609"/>
        <v>4.49735778579251E-2</v>
      </c>
      <c r="V644" s="50">
        <f t="shared" si="609"/>
        <v>4.6933206789217301E-2</v>
      </c>
      <c r="W644" s="50">
        <f t="shared" si="609"/>
        <v>5.6210586428141023E-2</v>
      </c>
      <c r="X644" s="50">
        <f t="shared" si="609"/>
        <v>6.1205656691958259E-2</v>
      </c>
      <c r="Y644" s="50">
        <f t="shared" si="609"/>
        <v>5.7018442088769522E-2</v>
      </c>
      <c r="Z644" s="50">
        <f t="shared" si="609"/>
        <v>4.9896672365740725E-2</v>
      </c>
      <c r="AA644" s="50">
        <f t="shared" si="609"/>
        <v>4.1622868086918119E-2</v>
      </c>
      <c r="AB644" s="50">
        <f t="shared" si="609"/>
        <v>3.5357844821693719E-2</v>
      </c>
      <c r="AC644" s="8">
        <f t="shared" ref="AC644:AC646" si="610">+SUM(E644:AB644)*D644</f>
        <v>4.9999999999999964</v>
      </c>
    </row>
    <row r="645" spans="2:29">
      <c r="B645" s="16"/>
      <c r="C645" s="8" t="s">
        <v>47</v>
      </c>
      <c r="D645" s="8">
        <v>5</v>
      </c>
      <c r="E645" s="50">
        <f t="shared" ref="E645:AB645" si="611">+E585</f>
        <v>3.3281514565353124E-2</v>
      </c>
      <c r="F645" s="50">
        <f t="shared" si="611"/>
        <v>3.1140043873712407E-2</v>
      </c>
      <c r="G645" s="50">
        <f t="shared" si="611"/>
        <v>2.984335106750436E-2</v>
      </c>
      <c r="H645" s="50">
        <f t="shared" si="611"/>
        <v>2.9286927979133532E-2</v>
      </c>
      <c r="I645" s="50">
        <f t="shared" si="611"/>
        <v>2.9138028999542646E-2</v>
      </c>
      <c r="J645" s="50">
        <f t="shared" si="611"/>
        <v>3.0942883559119717E-2</v>
      </c>
      <c r="K645" s="50">
        <f t="shared" si="611"/>
        <v>3.4432484834348992E-2</v>
      </c>
      <c r="L645" s="50">
        <f t="shared" si="611"/>
        <v>3.8305304424032266E-2</v>
      </c>
      <c r="M645" s="50">
        <f t="shared" si="611"/>
        <v>4.1103790742913066E-2</v>
      </c>
      <c r="N645" s="50">
        <f t="shared" si="611"/>
        <v>4.2608444243851212E-2</v>
      </c>
      <c r="O645" s="50">
        <f t="shared" si="611"/>
        <v>4.3914681848814308E-2</v>
      </c>
      <c r="P645" s="50">
        <f t="shared" si="611"/>
        <v>4.5729867165388009E-2</v>
      </c>
      <c r="Q645" s="50">
        <f t="shared" si="611"/>
        <v>4.5741487779353565E-2</v>
      </c>
      <c r="R645" s="50">
        <f t="shared" si="611"/>
        <v>4.4277060725657284E-2</v>
      </c>
      <c r="S645" s="50">
        <f t="shared" si="611"/>
        <v>4.3144199391556254E-2</v>
      </c>
      <c r="T645" s="50">
        <f t="shared" si="611"/>
        <v>4.3279567369281124E-2</v>
      </c>
      <c r="U645" s="50">
        <f t="shared" si="611"/>
        <v>4.4109954506885138E-2</v>
      </c>
      <c r="V645" s="50">
        <f t="shared" si="611"/>
        <v>4.6298728840315946E-2</v>
      </c>
      <c r="W645" s="50">
        <f t="shared" si="611"/>
        <v>5.6176649878816001E-2</v>
      </c>
      <c r="X645" s="50">
        <f t="shared" si="611"/>
        <v>6.2194705000087863E-2</v>
      </c>
      <c r="Y645" s="50">
        <f t="shared" si="611"/>
        <v>5.7928891294023718E-2</v>
      </c>
      <c r="Z645" s="50">
        <f t="shared" si="611"/>
        <v>5.019499221712586E-2</v>
      </c>
      <c r="AA645" s="50">
        <f t="shared" si="611"/>
        <v>4.1853093029906328E-2</v>
      </c>
      <c r="AB645" s="50">
        <f t="shared" si="611"/>
        <v>3.507334666327714E-2</v>
      </c>
      <c r="AC645" s="8">
        <f t="shared" si="610"/>
        <v>4.9999999999999991</v>
      </c>
    </row>
    <row r="646" spans="2:29">
      <c r="B646" s="16"/>
      <c r="C646" s="8" t="s">
        <v>48</v>
      </c>
      <c r="D646" s="8">
        <v>2</v>
      </c>
      <c r="E646" s="50">
        <f t="shared" ref="E646:AB646" si="612">+E586</f>
        <v>3.367503361886829E-2</v>
      </c>
      <c r="F646" s="50">
        <f t="shared" si="612"/>
        <v>3.1245692535415936E-2</v>
      </c>
      <c r="G646" s="50">
        <f t="shared" si="612"/>
        <v>2.9861746203171599E-2</v>
      </c>
      <c r="H646" s="50">
        <f t="shared" si="612"/>
        <v>2.9235019370742008E-2</v>
      </c>
      <c r="I646" s="50">
        <f t="shared" si="612"/>
        <v>3.0186379118294998E-2</v>
      </c>
      <c r="J646" s="50">
        <f t="shared" si="612"/>
        <v>3.3123682717801174E-2</v>
      </c>
      <c r="K646" s="50">
        <f t="shared" si="612"/>
        <v>3.5563630818173868E-2</v>
      </c>
      <c r="L646" s="50">
        <f t="shared" si="612"/>
        <v>3.7375437025807548E-2</v>
      </c>
      <c r="M646" s="50">
        <f t="shared" si="612"/>
        <v>3.9557895894381336E-2</v>
      </c>
      <c r="N646" s="50">
        <f t="shared" si="612"/>
        <v>4.1330002492198488E-2</v>
      </c>
      <c r="O646" s="50">
        <f t="shared" si="612"/>
        <v>4.3273465010057272E-2</v>
      </c>
      <c r="P646" s="50">
        <f t="shared" si="612"/>
        <v>4.5278417057592932E-2</v>
      </c>
      <c r="Q646" s="50">
        <f t="shared" si="612"/>
        <v>4.5765189585786785E-2</v>
      </c>
      <c r="R646" s="50">
        <f t="shared" si="612"/>
        <v>4.421428774797561E-2</v>
      </c>
      <c r="S646" s="50">
        <f t="shared" si="612"/>
        <v>4.3245429527174986E-2</v>
      </c>
      <c r="T646" s="50">
        <f t="shared" si="612"/>
        <v>4.3554999005074702E-2</v>
      </c>
      <c r="U646" s="50">
        <f t="shared" si="612"/>
        <v>4.4435510161992771E-2</v>
      </c>
      <c r="V646" s="50">
        <f t="shared" si="612"/>
        <v>4.717219114348542E-2</v>
      </c>
      <c r="W646" s="50">
        <f t="shared" si="612"/>
        <v>5.6899741232983039E-2</v>
      </c>
      <c r="X646" s="50">
        <f t="shared" si="612"/>
        <v>6.1986738769463187E-2</v>
      </c>
      <c r="Y646" s="50">
        <f t="shared" si="612"/>
        <v>5.7208700429979269E-2</v>
      </c>
      <c r="Z646" s="50">
        <f t="shared" si="612"/>
        <v>4.9339560702577757E-2</v>
      </c>
      <c r="AA646" s="50">
        <f t="shared" si="612"/>
        <v>4.1368944501432053E-2</v>
      </c>
      <c r="AB646" s="50">
        <f t="shared" si="612"/>
        <v>3.5102305329568817E-2</v>
      </c>
      <c r="AC646" s="8">
        <f t="shared" si="610"/>
        <v>1.9999999999999996</v>
      </c>
    </row>
    <row r="647" spans="2:29">
      <c r="B647" s="12"/>
      <c r="C647" s="12" t="s">
        <v>15</v>
      </c>
      <c r="D647" s="12">
        <f>+SUM(D643:D646)</f>
        <v>31</v>
      </c>
      <c r="E647" s="19">
        <f>+SUMPRODUCT(E643:E646,$D643:$D646)</f>
        <v>0.9449188914619574</v>
      </c>
      <c r="F647" s="19">
        <f>+SUMPRODUCT(F643:F646,$D643:$D646)</f>
        <v>0.88735310645610399</v>
      </c>
      <c r="G647" s="19">
        <f t="shared" ref="G647:AB647" si="613">+SUMPRODUCT(G643:G646,$D643:$D646)</f>
        <v>0.85627760717527046</v>
      </c>
      <c r="H647" s="19">
        <f t="shared" si="613"/>
        <v>0.85154648734506155</v>
      </c>
      <c r="I647" s="19">
        <f t="shared" si="613"/>
        <v>0.90355533045794334</v>
      </c>
      <c r="J647" s="19">
        <f t="shared" si="613"/>
        <v>1.0384381444073791</v>
      </c>
      <c r="K647" s="19">
        <f t="shared" si="613"/>
        <v>1.1625470021530409</v>
      </c>
      <c r="L647" s="19">
        <f t="shared" si="613"/>
        <v>1.2133351015554845</v>
      </c>
      <c r="M647" s="19">
        <f t="shared" si="613"/>
        <v>1.2705740106149779</v>
      </c>
      <c r="N647" s="19">
        <f t="shared" si="613"/>
        <v>1.3120862908142286</v>
      </c>
      <c r="O647" s="19">
        <f t="shared" si="613"/>
        <v>1.3698459310519939</v>
      </c>
      <c r="P647" s="19">
        <f t="shared" si="613"/>
        <v>1.4328477913560536</v>
      </c>
      <c r="Q647" s="19">
        <f t="shared" si="613"/>
        <v>1.4153603765289562</v>
      </c>
      <c r="R647" s="19">
        <f t="shared" si="613"/>
        <v>1.3672869947208659</v>
      </c>
      <c r="S647" s="19">
        <f t="shared" si="613"/>
        <v>1.3605288696739395</v>
      </c>
      <c r="T647" s="19">
        <f t="shared" si="613"/>
        <v>1.3835308598898344</v>
      </c>
      <c r="U647" s="19">
        <f t="shared" si="613"/>
        <v>1.4129061682558126</v>
      </c>
      <c r="V647" s="19">
        <f t="shared" si="613"/>
        <v>1.4772016007307855</v>
      </c>
      <c r="W647" s="19">
        <f t="shared" si="613"/>
        <v>1.7605764852345165</v>
      </c>
      <c r="X647" s="19">
        <f t="shared" si="613"/>
        <v>1.9140341088608113</v>
      </c>
      <c r="Y647" s="19">
        <f t="shared" si="613"/>
        <v>1.7765598166012422</v>
      </c>
      <c r="Z647" s="19">
        <f t="shared" si="613"/>
        <v>1.5515932976497535</v>
      </c>
      <c r="AA647" s="19">
        <f t="shared" si="613"/>
        <v>1.2793169707996008</v>
      </c>
      <c r="AB647" s="19">
        <f t="shared" si="613"/>
        <v>1.0577787562043857</v>
      </c>
      <c r="AC647" s="12">
        <f>+SUM(E647:AB647)</f>
        <v>31</v>
      </c>
    </row>
    <row r="648" spans="2:29">
      <c r="B648" s="15">
        <f>+EDATE(B643,1)</f>
        <v>48792</v>
      </c>
      <c r="C648" s="8" t="s">
        <v>45</v>
      </c>
      <c r="D648" s="8">
        <v>22</v>
      </c>
      <c r="E648" s="50">
        <f t="shared" ref="E648:AB648" si="614">+E588</f>
        <v>2.9361257124838391E-2</v>
      </c>
      <c r="F648" s="50">
        <f t="shared" si="614"/>
        <v>2.7692710332229715E-2</v>
      </c>
      <c r="G648" s="50">
        <f t="shared" si="614"/>
        <v>2.6785161397696527E-2</v>
      </c>
      <c r="H648" s="50">
        <f t="shared" si="614"/>
        <v>2.6786989368939883E-2</v>
      </c>
      <c r="I648" s="50">
        <f t="shared" si="614"/>
        <v>2.9135775177511477E-2</v>
      </c>
      <c r="J648" s="50">
        <f t="shared" si="614"/>
        <v>3.4540443856715661E-2</v>
      </c>
      <c r="K648" s="50">
        <f t="shared" si="614"/>
        <v>3.8789035252325646E-2</v>
      </c>
      <c r="L648" s="50">
        <f t="shared" si="614"/>
        <v>3.957865839345593E-2</v>
      </c>
      <c r="M648" s="50">
        <f t="shared" si="614"/>
        <v>4.0957538271781398E-2</v>
      </c>
      <c r="N648" s="50">
        <f t="shared" si="614"/>
        <v>4.2166920044863825E-2</v>
      </c>
      <c r="O648" s="50">
        <f t="shared" si="614"/>
        <v>4.4150374939633218E-2</v>
      </c>
      <c r="P648" s="50">
        <f t="shared" si="614"/>
        <v>4.6294816466469102E-2</v>
      </c>
      <c r="Q648" s="50">
        <f t="shared" si="614"/>
        <v>4.5431875959152102E-2</v>
      </c>
      <c r="R648" s="50">
        <f t="shared" si="614"/>
        <v>4.3879728503346101E-2</v>
      </c>
      <c r="S648" s="50">
        <f t="shared" si="614"/>
        <v>4.4118506624640258E-2</v>
      </c>
      <c r="T648" s="50">
        <f t="shared" si="614"/>
        <v>4.5188432655351718E-2</v>
      </c>
      <c r="U648" s="50">
        <f t="shared" si="614"/>
        <v>4.624302558461979E-2</v>
      </c>
      <c r="V648" s="50">
        <f t="shared" si="614"/>
        <v>4.8247238962955179E-2</v>
      </c>
      <c r="W648" s="50">
        <f t="shared" si="614"/>
        <v>5.7096885328092907E-2</v>
      </c>
      <c r="X648" s="50">
        <f t="shared" si="614"/>
        <v>6.1739938045350239E-2</v>
      </c>
      <c r="Y648" s="50">
        <f t="shared" si="614"/>
        <v>5.7231881517227232E-2</v>
      </c>
      <c r="Z648" s="50">
        <f t="shared" si="614"/>
        <v>5.0129255438435008E-2</v>
      </c>
      <c r="AA648" s="50">
        <f t="shared" si="614"/>
        <v>4.1010488221716553E-2</v>
      </c>
      <c r="AB648" s="50">
        <f t="shared" si="614"/>
        <v>3.34430625326523E-2</v>
      </c>
      <c r="AC648" s="8">
        <f>+SUM(E648:AB648)*D648</f>
        <v>22.000000000000004</v>
      </c>
    </row>
    <row r="649" spans="2:29">
      <c r="B649" s="16"/>
      <c r="C649" s="8" t="s">
        <v>46</v>
      </c>
      <c r="D649" s="8">
        <v>4</v>
      </c>
      <c r="E649" s="50">
        <f t="shared" ref="E649:AB649" si="615">+E589</f>
        <v>3.0659473205105158E-2</v>
      </c>
      <c r="F649" s="50">
        <f t="shared" si="615"/>
        <v>2.8600001140869122E-2</v>
      </c>
      <c r="G649" s="50">
        <f t="shared" si="615"/>
        <v>2.7683858575034276E-2</v>
      </c>
      <c r="H649" s="50">
        <f t="shared" si="615"/>
        <v>2.7537802139610414E-2</v>
      </c>
      <c r="I649" s="50">
        <f t="shared" si="615"/>
        <v>2.8782539770184416E-2</v>
      </c>
      <c r="J649" s="50">
        <f t="shared" si="615"/>
        <v>3.2241585579716119E-2</v>
      </c>
      <c r="K649" s="50">
        <f t="shared" si="615"/>
        <v>3.645312931015221E-2</v>
      </c>
      <c r="L649" s="50">
        <f t="shared" si="615"/>
        <v>3.9012639181609042E-2</v>
      </c>
      <c r="M649" s="50">
        <f t="shared" si="615"/>
        <v>4.1549207589560662E-2</v>
      </c>
      <c r="N649" s="50">
        <f t="shared" si="615"/>
        <v>4.3042516751632572E-2</v>
      </c>
      <c r="O649" s="50">
        <f t="shared" si="615"/>
        <v>4.4973693586955334E-2</v>
      </c>
      <c r="P649" s="50">
        <f t="shared" si="615"/>
        <v>4.6808021710202923E-2</v>
      </c>
      <c r="Q649" s="50">
        <f t="shared" si="615"/>
        <v>4.6383383047344962E-2</v>
      </c>
      <c r="R649" s="50">
        <f t="shared" si="615"/>
        <v>4.4751654806610461E-2</v>
      </c>
      <c r="S649" s="50">
        <f t="shared" si="615"/>
        <v>4.4013077558728637E-2</v>
      </c>
      <c r="T649" s="50">
        <f t="shared" si="615"/>
        <v>4.428856091631931E-2</v>
      </c>
      <c r="U649" s="50">
        <f t="shared" si="615"/>
        <v>4.49735778579251E-2</v>
      </c>
      <c r="V649" s="50">
        <f t="shared" si="615"/>
        <v>4.6933206789217301E-2</v>
      </c>
      <c r="W649" s="50">
        <f t="shared" si="615"/>
        <v>5.6210586428141023E-2</v>
      </c>
      <c r="X649" s="50">
        <f t="shared" si="615"/>
        <v>6.1205656691958259E-2</v>
      </c>
      <c r="Y649" s="50">
        <f t="shared" si="615"/>
        <v>5.7018442088769522E-2</v>
      </c>
      <c r="Z649" s="50">
        <f t="shared" si="615"/>
        <v>4.9896672365740725E-2</v>
      </c>
      <c r="AA649" s="50">
        <f t="shared" si="615"/>
        <v>4.1622868086918119E-2</v>
      </c>
      <c r="AB649" s="50">
        <f t="shared" si="615"/>
        <v>3.5357844821693719E-2</v>
      </c>
      <c r="AC649" s="8">
        <f t="shared" ref="AC649:AC651" si="616">+SUM(E649:AB649)*D649</f>
        <v>3.9999999999999969</v>
      </c>
    </row>
    <row r="650" spans="2:29">
      <c r="B650" s="16"/>
      <c r="C650" s="8" t="s">
        <v>47</v>
      </c>
      <c r="D650" s="8">
        <v>3</v>
      </c>
      <c r="E650" s="50">
        <f t="shared" ref="E650:AB650" si="617">+E590</f>
        <v>3.3281514565353124E-2</v>
      </c>
      <c r="F650" s="50">
        <f t="shared" si="617"/>
        <v>3.1140043873712407E-2</v>
      </c>
      <c r="G650" s="50">
        <f t="shared" si="617"/>
        <v>2.984335106750436E-2</v>
      </c>
      <c r="H650" s="50">
        <f t="shared" si="617"/>
        <v>2.9286927979133532E-2</v>
      </c>
      <c r="I650" s="50">
        <f t="shared" si="617"/>
        <v>2.9138028999542646E-2</v>
      </c>
      <c r="J650" s="50">
        <f t="shared" si="617"/>
        <v>3.0942883559119717E-2</v>
      </c>
      <c r="K650" s="50">
        <f t="shared" si="617"/>
        <v>3.4432484834348992E-2</v>
      </c>
      <c r="L650" s="50">
        <f t="shared" si="617"/>
        <v>3.8305304424032266E-2</v>
      </c>
      <c r="M650" s="50">
        <f t="shared" si="617"/>
        <v>4.1103790742913066E-2</v>
      </c>
      <c r="N650" s="50">
        <f t="shared" si="617"/>
        <v>4.2608444243851212E-2</v>
      </c>
      <c r="O650" s="50">
        <f t="shared" si="617"/>
        <v>4.3914681848814308E-2</v>
      </c>
      <c r="P650" s="50">
        <f t="shared" si="617"/>
        <v>4.5729867165388009E-2</v>
      </c>
      <c r="Q650" s="50">
        <f t="shared" si="617"/>
        <v>4.5741487779353565E-2</v>
      </c>
      <c r="R650" s="50">
        <f t="shared" si="617"/>
        <v>4.4277060725657284E-2</v>
      </c>
      <c r="S650" s="50">
        <f t="shared" si="617"/>
        <v>4.3144199391556254E-2</v>
      </c>
      <c r="T650" s="50">
        <f t="shared" si="617"/>
        <v>4.3279567369281124E-2</v>
      </c>
      <c r="U650" s="50">
        <f t="shared" si="617"/>
        <v>4.4109954506885138E-2</v>
      </c>
      <c r="V650" s="50">
        <f t="shared" si="617"/>
        <v>4.6298728840315946E-2</v>
      </c>
      <c r="W650" s="50">
        <f t="shared" si="617"/>
        <v>5.6176649878816001E-2</v>
      </c>
      <c r="X650" s="50">
        <f t="shared" si="617"/>
        <v>6.2194705000087863E-2</v>
      </c>
      <c r="Y650" s="50">
        <f t="shared" si="617"/>
        <v>5.7928891294023718E-2</v>
      </c>
      <c r="Z650" s="50">
        <f t="shared" si="617"/>
        <v>5.019499221712586E-2</v>
      </c>
      <c r="AA650" s="50">
        <f t="shared" si="617"/>
        <v>4.1853093029906328E-2</v>
      </c>
      <c r="AB650" s="50">
        <f t="shared" si="617"/>
        <v>3.507334666327714E-2</v>
      </c>
      <c r="AC650" s="8">
        <f t="shared" si="616"/>
        <v>2.9999999999999991</v>
      </c>
    </row>
    <row r="651" spans="2:29">
      <c r="B651" s="16"/>
      <c r="C651" s="8" t="s">
        <v>48</v>
      </c>
      <c r="D651" s="8">
        <v>2</v>
      </c>
      <c r="E651" s="50">
        <f t="shared" ref="E651:AB651" si="618">+E591</f>
        <v>3.367503361886829E-2</v>
      </c>
      <c r="F651" s="50">
        <f t="shared" si="618"/>
        <v>3.1245692535415936E-2</v>
      </c>
      <c r="G651" s="50">
        <f t="shared" si="618"/>
        <v>2.9861746203171599E-2</v>
      </c>
      <c r="H651" s="50">
        <f t="shared" si="618"/>
        <v>2.9235019370742008E-2</v>
      </c>
      <c r="I651" s="50">
        <f t="shared" si="618"/>
        <v>3.0186379118294998E-2</v>
      </c>
      <c r="J651" s="50">
        <f t="shared" si="618"/>
        <v>3.3123682717801174E-2</v>
      </c>
      <c r="K651" s="50">
        <f t="shared" si="618"/>
        <v>3.5563630818173868E-2</v>
      </c>
      <c r="L651" s="50">
        <f t="shared" si="618"/>
        <v>3.7375437025807548E-2</v>
      </c>
      <c r="M651" s="50">
        <f t="shared" si="618"/>
        <v>3.9557895894381336E-2</v>
      </c>
      <c r="N651" s="50">
        <f t="shared" si="618"/>
        <v>4.1330002492198488E-2</v>
      </c>
      <c r="O651" s="50">
        <f t="shared" si="618"/>
        <v>4.3273465010057272E-2</v>
      </c>
      <c r="P651" s="50">
        <f t="shared" si="618"/>
        <v>4.5278417057592932E-2</v>
      </c>
      <c r="Q651" s="50">
        <f t="shared" si="618"/>
        <v>4.5765189585786785E-2</v>
      </c>
      <c r="R651" s="50">
        <f t="shared" si="618"/>
        <v>4.421428774797561E-2</v>
      </c>
      <c r="S651" s="50">
        <f t="shared" si="618"/>
        <v>4.3245429527174986E-2</v>
      </c>
      <c r="T651" s="50">
        <f t="shared" si="618"/>
        <v>4.3554999005074702E-2</v>
      </c>
      <c r="U651" s="50">
        <f t="shared" si="618"/>
        <v>4.4435510161992771E-2</v>
      </c>
      <c r="V651" s="50">
        <f t="shared" si="618"/>
        <v>4.717219114348542E-2</v>
      </c>
      <c r="W651" s="50">
        <f t="shared" si="618"/>
        <v>5.6899741232983039E-2</v>
      </c>
      <c r="X651" s="50">
        <f t="shared" si="618"/>
        <v>6.1986738769463187E-2</v>
      </c>
      <c r="Y651" s="50">
        <f t="shared" si="618"/>
        <v>5.7208700429979269E-2</v>
      </c>
      <c r="Z651" s="50">
        <f t="shared" si="618"/>
        <v>4.9339560702577757E-2</v>
      </c>
      <c r="AA651" s="50">
        <f t="shared" si="618"/>
        <v>4.1368944501432053E-2</v>
      </c>
      <c r="AB651" s="50">
        <f t="shared" si="618"/>
        <v>3.5102305329568817E-2</v>
      </c>
      <c r="AC651" s="8">
        <f t="shared" si="616"/>
        <v>1.9999999999999996</v>
      </c>
    </row>
    <row r="652" spans="2:29">
      <c r="B652" s="12"/>
      <c r="C652" s="12" t="s">
        <v>15</v>
      </c>
      <c r="D652" s="12">
        <f>+SUM(D648:D651)</f>
        <v>31</v>
      </c>
      <c r="E652" s="19">
        <f>+SUMPRODUCT(E648:E651,$D648:$D651)</f>
        <v>0.93578016050066115</v>
      </c>
      <c r="F652" s="19">
        <f>+SUMPRODUCT(F648:F651,$D648:$D651)</f>
        <v>0.87955114856449923</v>
      </c>
      <c r="G652" s="19">
        <f t="shared" ref="G652:AB652" si="619">+SUMPRODUCT(G648:G651,$D648:$D651)</f>
        <v>0.84926253065831703</v>
      </c>
      <c r="H652" s="19">
        <f t="shared" si="619"/>
        <v>0.84579579735400368</v>
      </c>
      <c r="I652" s="19">
        <f t="shared" si="619"/>
        <v>0.90390405822120812</v>
      </c>
      <c r="J652" s="19">
        <f t="shared" si="619"/>
        <v>1.0479321232795704</v>
      </c>
      <c r="K652" s="19">
        <f t="shared" si="619"/>
        <v>1.1735960089311677</v>
      </c>
      <c r="L652" s="19">
        <f t="shared" si="619"/>
        <v>1.2164478287061784</v>
      </c>
      <c r="M652" s="19">
        <f t="shared" si="619"/>
        <v>1.2696898363549352</v>
      </c>
      <c r="N652" s="19">
        <f t="shared" si="619"/>
        <v>1.3103276457094852</v>
      </c>
      <c r="O652" s="19">
        <f t="shared" si="619"/>
        <v>1.3694939985863095</v>
      </c>
      <c r="P652" s="19">
        <f t="shared" si="619"/>
        <v>1.4334644847144817</v>
      </c>
      <c r="Q652" s="19">
        <f t="shared" si="619"/>
        <v>1.4137896458003605</v>
      </c>
      <c r="R652" s="19">
        <f t="shared" si="619"/>
        <v>1.3656204039729791</v>
      </c>
      <c r="S652" s="19">
        <f t="shared" si="619"/>
        <v>1.362582913206019</v>
      </c>
      <c r="T652" s="19">
        <f t="shared" si="619"/>
        <v>1.3882484622010076</v>
      </c>
      <c r="U652" s="19">
        <f t="shared" si="619"/>
        <v>1.4184417581379767</v>
      </c>
      <c r="V652" s="19">
        <f t="shared" si="619"/>
        <v>1.4824126531498019</v>
      </c>
      <c r="W652" s="19">
        <f t="shared" si="619"/>
        <v>1.7633032550330221</v>
      </c>
      <c r="X652" s="19">
        <f t="shared" si="619"/>
        <v>1.9136588563047283</v>
      </c>
      <c r="Y652" s="19">
        <f t="shared" si="619"/>
        <v>1.7753792364761072</v>
      </c>
      <c r="Z652" s="19">
        <f t="shared" si="619"/>
        <v>1.5516944071650662</v>
      </c>
      <c r="AA652" s="19">
        <f t="shared" si="619"/>
        <v>1.2770193813180195</v>
      </c>
      <c r="AB652" s="19">
        <f t="shared" si="619"/>
        <v>1.0526034056540945</v>
      </c>
      <c r="AC652" s="12">
        <f>+SUM(E652:AB652)</f>
        <v>30.999999999999996</v>
      </c>
    </row>
    <row r="653" spans="2:29">
      <c r="B653" s="15">
        <f>+EDATE(B648,1)</f>
        <v>48823</v>
      </c>
      <c r="C653" s="8" t="s">
        <v>45</v>
      </c>
      <c r="D653" s="8">
        <v>22</v>
      </c>
      <c r="E653" s="50">
        <f t="shared" ref="E653:AB653" si="620">+E593</f>
        <v>2.9361257124838391E-2</v>
      </c>
      <c r="F653" s="50">
        <f t="shared" si="620"/>
        <v>2.7692710332229715E-2</v>
      </c>
      <c r="G653" s="50">
        <f t="shared" si="620"/>
        <v>2.6785161397696527E-2</v>
      </c>
      <c r="H653" s="50">
        <f t="shared" si="620"/>
        <v>2.6786989368939883E-2</v>
      </c>
      <c r="I653" s="50">
        <f t="shared" si="620"/>
        <v>2.9135775177511477E-2</v>
      </c>
      <c r="J653" s="50">
        <f t="shared" si="620"/>
        <v>3.4540443856715661E-2</v>
      </c>
      <c r="K653" s="50">
        <f t="shared" si="620"/>
        <v>3.8789035252325646E-2</v>
      </c>
      <c r="L653" s="50">
        <f t="shared" si="620"/>
        <v>3.957865839345593E-2</v>
      </c>
      <c r="M653" s="50">
        <f t="shared" si="620"/>
        <v>4.0957538271781398E-2</v>
      </c>
      <c r="N653" s="50">
        <f t="shared" si="620"/>
        <v>4.2166920044863825E-2</v>
      </c>
      <c r="O653" s="50">
        <f t="shared" si="620"/>
        <v>4.4150374939633218E-2</v>
      </c>
      <c r="P653" s="50">
        <f t="shared" si="620"/>
        <v>4.6294816466469102E-2</v>
      </c>
      <c r="Q653" s="50">
        <f t="shared" si="620"/>
        <v>4.5431875959152102E-2</v>
      </c>
      <c r="R653" s="50">
        <f t="shared" si="620"/>
        <v>4.3879728503346101E-2</v>
      </c>
      <c r="S653" s="50">
        <f t="shared" si="620"/>
        <v>4.4118506624640258E-2</v>
      </c>
      <c r="T653" s="50">
        <f t="shared" si="620"/>
        <v>4.5188432655351718E-2</v>
      </c>
      <c r="U653" s="50">
        <f t="shared" si="620"/>
        <v>4.624302558461979E-2</v>
      </c>
      <c r="V653" s="50">
        <f t="shared" si="620"/>
        <v>4.8247238962955179E-2</v>
      </c>
      <c r="W653" s="50">
        <f t="shared" si="620"/>
        <v>5.7096885328092907E-2</v>
      </c>
      <c r="X653" s="50">
        <f t="shared" si="620"/>
        <v>6.1739938045350239E-2</v>
      </c>
      <c r="Y653" s="50">
        <f t="shared" si="620"/>
        <v>5.7231881517227232E-2</v>
      </c>
      <c r="Z653" s="50">
        <f t="shared" si="620"/>
        <v>5.0129255438435008E-2</v>
      </c>
      <c r="AA653" s="50">
        <f t="shared" si="620"/>
        <v>4.1010488221716553E-2</v>
      </c>
      <c r="AB653" s="50">
        <f t="shared" si="620"/>
        <v>3.34430625326523E-2</v>
      </c>
      <c r="AC653" s="8">
        <f>+SUM(E653:AB653)*D653</f>
        <v>22.000000000000004</v>
      </c>
    </row>
    <row r="654" spans="2:29">
      <c r="B654" s="16"/>
      <c r="C654" s="8" t="s">
        <v>46</v>
      </c>
      <c r="D654" s="8">
        <v>4</v>
      </c>
      <c r="E654" s="50">
        <f t="shared" ref="E654:AB654" si="621">+E594</f>
        <v>3.0659473205105158E-2</v>
      </c>
      <c r="F654" s="50">
        <f t="shared" si="621"/>
        <v>2.8600001140869122E-2</v>
      </c>
      <c r="G654" s="50">
        <f t="shared" si="621"/>
        <v>2.7683858575034276E-2</v>
      </c>
      <c r="H654" s="50">
        <f t="shared" si="621"/>
        <v>2.7537802139610414E-2</v>
      </c>
      <c r="I654" s="50">
        <f t="shared" si="621"/>
        <v>2.8782539770184416E-2</v>
      </c>
      <c r="J654" s="50">
        <f t="shared" si="621"/>
        <v>3.2241585579716119E-2</v>
      </c>
      <c r="K654" s="50">
        <f t="shared" si="621"/>
        <v>3.645312931015221E-2</v>
      </c>
      <c r="L654" s="50">
        <f t="shared" si="621"/>
        <v>3.9012639181609042E-2</v>
      </c>
      <c r="M654" s="50">
        <f t="shared" si="621"/>
        <v>4.1549207589560662E-2</v>
      </c>
      <c r="N654" s="50">
        <f t="shared" si="621"/>
        <v>4.3042516751632572E-2</v>
      </c>
      <c r="O654" s="50">
        <f t="shared" si="621"/>
        <v>4.4973693586955334E-2</v>
      </c>
      <c r="P654" s="50">
        <f t="shared" si="621"/>
        <v>4.6808021710202923E-2</v>
      </c>
      <c r="Q654" s="50">
        <f t="shared" si="621"/>
        <v>4.6383383047344962E-2</v>
      </c>
      <c r="R654" s="50">
        <f t="shared" si="621"/>
        <v>4.4751654806610461E-2</v>
      </c>
      <c r="S654" s="50">
        <f t="shared" si="621"/>
        <v>4.4013077558728637E-2</v>
      </c>
      <c r="T654" s="50">
        <f t="shared" si="621"/>
        <v>4.428856091631931E-2</v>
      </c>
      <c r="U654" s="50">
        <f t="shared" si="621"/>
        <v>4.49735778579251E-2</v>
      </c>
      <c r="V654" s="50">
        <f t="shared" si="621"/>
        <v>4.6933206789217301E-2</v>
      </c>
      <c r="W654" s="50">
        <f t="shared" si="621"/>
        <v>5.6210586428141023E-2</v>
      </c>
      <c r="X654" s="50">
        <f t="shared" si="621"/>
        <v>6.1205656691958259E-2</v>
      </c>
      <c r="Y654" s="50">
        <f t="shared" si="621"/>
        <v>5.7018442088769522E-2</v>
      </c>
      <c r="Z654" s="50">
        <f t="shared" si="621"/>
        <v>4.9896672365740725E-2</v>
      </c>
      <c r="AA654" s="50">
        <f t="shared" si="621"/>
        <v>4.1622868086918119E-2</v>
      </c>
      <c r="AB654" s="50">
        <f t="shared" si="621"/>
        <v>3.5357844821693719E-2</v>
      </c>
      <c r="AC654" s="8">
        <f t="shared" ref="AC654:AC656" si="622">+SUM(E654:AB654)*D654</f>
        <v>3.9999999999999969</v>
      </c>
    </row>
    <row r="655" spans="2:29">
      <c r="B655" s="16"/>
      <c r="C655" s="8" t="s">
        <v>47</v>
      </c>
      <c r="D655" s="8">
        <v>4</v>
      </c>
      <c r="E655" s="50">
        <f t="shared" ref="E655:AB655" si="623">+E595</f>
        <v>3.3281514565353124E-2</v>
      </c>
      <c r="F655" s="50">
        <f t="shared" si="623"/>
        <v>3.1140043873712407E-2</v>
      </c>
      <c r="G655" s="50">
        <f t="shared" si="623"/>
        <v>2.984335106750436E-2</v>
      </c>
      <c r="H655" s="50">
        <f t="shared" si="623"/>
        <v>2.9286927979133532E-2</v>
      </c>
      <c r="I655" s="50">
        <f t="shared" si="623"/>
        <v>2.9138028999542646E-2</v>
      </c>
      <c r="J655" s="50">
        <f t="shared" si="623"/>
        <v>3.0942883559119717E-2</v>
      </c>
      <c r="K655" s="50">
        <f t="shared" si="623"/>
        <v>3.4432484834348992E-2</v>
      </c>
      <c r="L655" s="50">
        <f t="shared" si="623"/>
        <v>3.8305304424032266E-2</v>
      </c>
      <c r="M655" s="50">
        <f t="shared" si="623"/>
        <v>4.1103790742913066E-2</v>
      </c>
      <c r="N655" s="50">
        <f t="shared" si="623"/>
        <v>4.2608444243851212E-2</v>
      </c>
      <c r="O655" s="50">
        <f t="shared" si="623"/>
        <v>4.3914681848814308E-2</v>
      </c>
      <c r="P655" s="50">
        <f t="shared" si="623"/>
        <v>4.5729867165388009E-2</v>
      </c>
      <c r="Q655" s="50">
        <f t="shared" si="623"/>
        <v>4.5741487779353565E-2</v>
      </c>
      <c r="R655" s="50">
        <f t="shared" si="623"/>
        <v>4.4277060725657284E-2</v>
      </c>
      <c r="S655" s="50">
        <f t="shared" si="623"/>
        <v>4.3144199391556254E-2</v>
      </c>
      <c r="T655" s="50">
        <f t="shared" si="623"/>
        <v>4.3279567369281124E-2</v>
      </c>
      <c r="U655" s="50">
        <f t="shared" si="623"/>
        <v>4.4109954506885138E-2</v>
      </c>
      <c r="V655" s="50">
        <f t="shared" si="623"/>
        <v>4.6298728840315946E-2</v>
      </c>
      <c r="W655" s="50">
        <f t="shared" si="623"/>
        <v>5.6176649878816001E-2</v>
      </c>
      <c r="X655" s="50">
        <f t="shared" si="623"/>
        <v>6.2194705000087863E-2</v>
      </c>
      <c r="Y655" s="50">
        <f t="shared" si="623"/>
        <v>5.7928891294023718E-2</v>
      </c>
      <c r="Z655" s="50">
        <f t="shared" si="623"/>
        <v>5.019499221712586E-2</v>
      </c>
      <c r="AA655" s="50">
        <f t="shared" si="623"/>
        <v>4.1853093029906328E-2</v>
      </c>
      <c r="AB655" s="50">
        <f t="shared" si="623"/>
        <v>3.507334666327714E-2</v>
      </c>
      <c r="AC655" s="8">
        <f t="shared" si="622"/>
        <v>3.9999999999999991</v>
      </c>
    </row>
    <row r="656" spans="2:29">
      <c r="B656" s="16"/>
      <c r="C656" s="8" t="s">
        <v>48</v>
      </c>
      <c r="D656" s="8">
        <v>0</v>
      </c>
      <c r="E656" s="50">
        <f t="shared" ref="E656:AB656" si="624">+E596</f>
        <v>3.367503361886829E-2</v>
      </c>
      <c r="F656" s="50">
        <f t="shared" si="624"/>
        <v>3.1245692535415936E-2</v>
      </c>
      <c r="G656" s="50">
        <f t="shared" si="624"/>
        <v>2.9861746203171599E-2</v>
      </c>
      <c r="H656" s="50">
        <f t="shared" si="624"/>
        <v>2.9235019370742008E-2</v>
      </c>
      <c r="I656" s="50">
        <f t="shared" si="624"/>
        <v>3.0186379118294998E-2</v>
      </c>
      <c r="J656" s="50">
        <f t="shared" si="624"/>
        <v>3.3123682717801174E-2</v>
      </c>
      <c r="K656" s="50">
        <f t="shared" si="624"/>
        <v>3.5563630818173868E-2</v>
      </c>
      <c r="L656" s="50">
        <f t="shared" si="624"/>
        <v>3.7375437025807548E-2</v>
      </c>
      <c r="M656" s="50">
        <f t="shared" si="624"/>
        <v>3.9557895894381336E-2</v>
      </c>
      <c r="N656" s="50">
        <f t="shared" si="624"/>
        <v>4.1330002492198488E-2</v>
      </c>
      <c r="O656" s="50">
        <f t="shared" si="624"/>
        <v>4.3273465010057272E-2</v>
      </c>
      <c r="P656" s="50">
        <f t="shared" si="624"/>
        <v>4.5278417057592932E-2</v>
      </c>
      <c r="Q656" s="50">
        <f t="shared" si="624"/>
        <v>4.5765189585786785E-2</v>
      </c>
      <c r="R656" s="50">
        <f t="shared" si="624"/>
        <v>4.421428774797561E-2</v>
      </c>
      <c r="S656" s="50">
        <f t="shared" si="624"/>
        <v>4.3245429527174986E-2</v>
      </c>
      <c r="T656" s="50">
        <f t="shared" si="624"/>
        <v>4.3554999005074702E-2</v>
      </c>
      <c r="U656" s="50">
        <f t="shared" si="624"/>
        <v>4.4435510161992771E-2</v>
      </c>
      <c r="V656" s="50">
        <f t="shared" si="624"/>
        <v>4.717219114348542E-2</v>
      </c>
      <c r="W656" s="50">
        <f t="shared" si="624"/>
        <v>5.6899741232983039E-2</v>
      </c>
      <c r="X656" s="50">
        <f t="shared" si="624"/>
        <v>6.1986738769463187E-2</v>
      </c>
      <c r="Y656" s="50">
        <f t="shared" si="624"/>
        <v>5.7208700429979269E-2</v>
      </c>
      <c r="Z656" s="50">
        <f t="shared" si="624"/>
        <v>4.9339560702577757E-2</v>
      </c>
      <c r="AA656" s="50">
        <f t="shared" si="624"/>
        <v>4.1368944501432053E-2</v>
      </c>
      <c r="AB656" s="50">
        <f t="shared" si="624"/>
        <v>3.5102305329568817E-2</v>
      </c>
      <c r="AC656" s="8">
        <f t="shared" si="622"/>
        <v>0</v>
      </c>
    </row>
    <row r="657" spans="2:29">
      <c r="B657" s="12"/>
      <c r="C657" s="12" t="s">
        <v>15</v>
      </c>
      <c r="D657" s="12">
        <f>+SUM(D653:D656)</f>
        <v>30</v>
      </c>
      <c r="E657" s="19">
        <f>+SUMPRODUCT(E653:E656,$D653:$D656)</f>
        <v>0.90171160782827764</v>
      </c>
      <c r="F657" s="19">
        <f>+SUMPRODUCT(F653:F656,$D653:$D656)</f>
        <v>0.84819980736737988</v>
      </c>
      <c r="G657" s="19">
        <f t="shared" ref="G657:AB657" si="625">+SUMPRODUCT(G653:G656,$D653:$D656)</f>
        <v>0.81938238931947815</v>
      </c>
      <c r="H657" s="19">
        <f t="shared" si="625"/>
        <v>0.8166126865916532</v>
      </c>
      <c r="I657" s="19">
        <f t="shared" si="625"/>
        <v>0.87266932898416072</v>
      </c>
      <c r="J657" s="19">
        <f t="shared" si="625"/>
        <v>1.0126276414030879</v>
      </c>
      <c r="K657" s="19">
        <f t="shared" si="625"/>
        <v>1.1369012321291692</v>
      </c>
      <c r="L657" s="19">
        <f t="shared" si="625"/>
        <v>1.1800022590785955</v>
      </c>
      <c r="M657" s="19">
        <f t="shared" si="625"/>
        <v>1.2316778353090858</v>
      </c>
      <c r="N657" s="19">
        <f t="shared" si="625"/>
        <v>1.2702760849689394</v>
      </c>
      <c r="O657" s="19">
        <f t="shared" si="625"/>
        <v>1.3268617504150093</v>
      </c>
      <c r="P657" s="19">
        <f t="shared" si="625"/>
        <v>1.3886375177646839</v>
      </c>
      <c r="Q657" s="19">
        <f t="shared" si="625"/>
        <v>1.3680007544081403</v>
      </c>
      <c r="R657" s="19">
        <f t="shared" si="625"/>
        <v>1.3214688892026851</v>
      </c>
      <c r="S657" s="19">
        <f t="shared" si="625"/>
        <v>1.3192362535432252</v>
      </c>
      <c r="T657" s="19">
        <f t="shared" si="625"/>
        <v>1.3444180315601395</v>
      </c>
      <c r="U657" s="19">
        <f t="shared" si="625"/>
        <v>1.3736806923208764</v>
      </c>
      <c r="V657" s="19">
        <f t="shared" si="625"/>
        <v>1.434366999703147</v>
      </c>
      <c r="W657" s="19">
        <f t="shared" si="625"/>
        <v>1.7056804224458719</v>
      </c>
      <c r="X657" s="19">
        <f t="shared" si="625"/>
        <v>1.8518800837658898</v>
      </c>
      <c r="Y657" s="19">
        <f t="shared" si="625"/>
        <v>1.7188907269101723</v>
      </c>
      <c r="Z657" s="19">
        <f t="shared" si="625"/>
        <v>1.5032102779770367</v>
      </c>
      <c r="AA657" s="19">
        <f t="shared" si="625"/>
        <v>1.2361345853450618</v>
      </c>
      <c r="AB657" s="19">
        <f t="shared" si="625"/>
        <v>1.017472141658234</v>
      </c>
      <c r="AC657" s="12">
        <f>+SUM(E657:AB657)</f>
        <v>29.999999999999996</v>
      </c>
    </row>
    <row r="658" spans="2:29">
      <c r="B658" s="15">
        <f>+EDATE(B653,1)</f>
        <v>48853</v>
      </c>
      <c r="C658" s="8" t="s">
        <v>45</v>
      </c>
      <c r="D658" s="8">
        <v>20</v>
      </c>
      <c r="E658" s="50">
        <f t="shared" ref="E658:AB658" si="626">+E598</f>
        <v>2.9361257124838391E-2</v>
      </c>
      <c r="F658" s="50">
        <f t="shared" si="626"/>
        <v>2.7692710332229715E-2</v>
      </c>
      <c r="G658" s="50">
        <f t="shared" si="626"/>
        <v>2.6785161397696527E-2</v>
      </c>
      <c r="H658" s="50">
        <f t="shared" si="626"/>
        <v>2.6786989368939883E-2</v>
      </c>
      <c r="I658" s="50">
        <f t="shared" si="626"/>
        <v>2.9135775177511477E-2</v>
      </c>
      <c r="J658" s="50">
        <f t="shared" si="626"/>
        <v>3.4540443856715661E-2</v>
      </c>
      <c r="K658" s="50">
        <f t="shared" si="626"/>
        <v>3.8789035252325646E-2</v>
      </c>
      <c r="L658" s="50">
        <f t="shared" si="626"/>
        <v>3.957865839345593E-2</v>
      </c>
      <c r="M658" s="50">
        <f t="shared" si="626"/>
        <v>4.0957538271781398E-2</v>
      </c>
      <c r="N658" s="50">
        <f t="shared" si="626"/>
        <v>4.2166920044863825E-2</v>
      </c>
      <c r="O658" s="50">
        <f t="shared" si="626"/>
        <v>4.4150374939633218E-2</v>
      </c>
      <c r="P658" s="50">
        <f t="shared" si="626"/>
        <v>4.6294816466469102E-2</v>
      </c>
      <c r="Q658" s="50">
        <f t="shared" si="626"/>
        <v>4.5431875959152102E-2</v>
      </c>
      <c r="R658" s="50">
        <f t="shared" si="626"/>
        <v>4.3879728503346101E-2</v>
      </c>
      <c r="S658" s="50">
        <f t="shared" si="626"/>
        <v>4.4118506624640258E-2</v>
      </c>
      <c r="T658" s="50">
        <f t="shared" si="626"/>
        <v>4.5188432655351718E-2</v>
      </c>
      <c r="U658" s="50">
        <f t="shared" si="626"/>
        <v>4.624302558461979E-2</v>
      </c>
      <c r="V658" s="50">
        <f t="shared" si="626"/>
        <v>4.8247238962955179E-2</v>
      </c>
      <c r="W658" s="50">
        <f t="shared" si="626"/>
        <v>5.7096885328092907E-2</v>
      </c>
      <c r="X658" s="50">
        <f t="shared" si="626"/>
        <v>6.1739938045350239E-2</v>
      </c>
      <c r="Y658" s="50">
        <f t="shared" si="626"/>
        <v>5.7231881517227232E-2</v>
      </c>
      <c r="Z658" s="50">
        <f t="shared" si="626"/>
        <v>5.0129255438435008E-2</v>
      </c>
      <c r="AA658" s="50">
        <f t="shared" si="626"/>
        <v>4.1010488221716553E-2</v>
      </c>
      <c r="AB658" s="50">
        <f t="shared" si="626"/>
        <v>3.34430625326523E-2</v>
      </c>
      <c r="AC658" s="8">
        <f>+SUM(E658:AB658)*D658</f>
        <v>20.000000000000004</v>
      </c>
    </row>
    <row r="659" spans="2:29">
      <c r="B659" s="16"/>
      <c r="C659" s="8" t="s">
        <v>46</v>
      </c>
      <c r="D659" s="8">
        <v>5</v>
      </c>
      <c r="E659" s="50">
        <f t="shared" ref="E659:AB659" si="627">+E599</f>
        <v>3.0659473205105158E-2</v>
      </c>
      <c r="F659" s="50">
        <f t="shared" si="627"/>
        <v>2.8600001140869122E-2</v>
      </c>
      <c r="G659" s="50">
        <f t="shared" si="627"/>
        <v>2.7683858575034276E-2</v>
      </c>
      <c r="H659" s="50">
        <f t="shared" si="627"/>
        <v>2.7537802139610414E-2</v>
      </c>
      <c r="I659" s="50">
        <f t="shared" si="627"/>
        <v>2.8782539770184416E-2</v>
      </c>
      <c r="J659" s="50">
        <f t="shared" si="627"/>
        <v>3.2241585579716119E-2</v>
      </c>
      <c r="K659" s="50">
        <f t="shared" si="627"/>
        <v>3.645312931015221E-2</v>
      </c>
      <c r="L659" s="50">
        <f t="shared" si="627"/>
        <v>3.9012639181609042E-2</v>
      </c>
      <c r="M659" s="50">
        <f t="shared" si="627"/>
        <v>4.1549207589560662E-2</v>
      </c>
      <c r="N659" s="50">
        <f t="shared" si="627"/>
        <v>4.3042516751632572E-2</v>
      </c>
      <c r="O659" s="50">
        <f t="shared" si="627"/>
        <v>4.4973693586955334E-2</v>
      </c>
      <c r="P659" s="50">
        <f t="shared" si="627"/>
        <v>4.6808021710202923E-2</v>
      </c>
      <c r="Q659" s="50">
        <f t="shared" si="627"/>
        <v>4.6383383047344962E-2</v>
      </c>
      <c r="R659" s="50">
        <f t="shared" si="627"/>
        <v>4.4751654806610461E-2</v>
      </c>
      <c r="S659" s="50">
        <f t="shared" si="627"/>
        <v>4.4013077558728637E-2</v>
      </c>
      <c r="T659" s="50">
        <f t="shared" si="627"/>
        <v>4.428856091631931E-2</v>
      </c>
      <c r="U659" s="50">
        <f t="shared" si="627"/>
        <v>4.49735778579251E-2</v>
      </c>
      <c r="V659" s="50">
        <f t="shared" si="627"/>
        <v>4.6933206789217301E-2</v>
      </c>
      <c r="W659" s="50">
        <f t="shared" si="627"/>
        <v>5.6210586428141023E-2</v>
      </c>
      <c r="X659" s="50">
        <f t="shared" si="627"/>
        <v>6.1205656691958259E-2</v>
      </c>
      <c r="Y659" s="50">
        <f t="shared" si="627"/>
        <v>5.7018442088769522E-2</v>
      </c>
      <c r="Z659" s="50">
        <f t="shared" si="627"/>
        <v>4.9896672365740725E-2</v>
      </c>
      <c r="AA659" s="50">
        <f t="shared" si="627"/>
        <v>4.1622868086918119E-2</v>
      </c>
      <c r="AB659" s="50">
        <f t="shared" si="627"/>
        <v>3.5357844821693719E-2</v>
      </c>
      <c r="AC659" s="8">
        <f t="shared" ref="AC659:AC661" si="628">+SUM(E659:AB659)*D659</f>
        <v>4.9999999999999964</v>
      </c>
    </row>
    <row r="660" spans="2:29">
      <c r="B660" s="16"/>
      <c r="C660" s="8" t="s">
        <v>47</v>
      </c>
      <c r="D660" s="8">
        <v>5</v>
      </c>
      <c r="E660" s="50">
        <f t="shared" ref="E660:AB660" si="629">+E600</f>
        <v>3.3281514565353124E-2</v>
      </c>
      <c r="F660" s="50">
        <f t="shared" si="629"/>
        <v>3.1140043873712407E-2</v>
      </c>
      <c r="G660" s="50">
        <f t="shared" si="629"/>
        <v>2.984335106750436E-2</v>
      </c>
      <c r="H660" s="50">
        <f t="shared" si="629"/>
        <v>2.9286927979133532E-2</v>
      </c>
      <c r="I660" s="50">
        <f t="shared" si="629"/>
        <v>2.9138028999542646E-2</v>
      </c>
      <c r="J660" s="50">
        <f t="shared" si="629"/>
        <v>3.0942883559119717E-2</v>
      </c>
      <c r="K660" s="50">
        <f t="shared" si="629"/>
        <v>3.4432484834348992E-2</v>
      </c>
      <c r="L660" s="50">
        <f t="shared" si="629"/>
        <v>3.8305304424032266E-2</v>
      </c>
      <c r="M660" s="50">
        <f t="shared" si="629"/>
        <v>4.1103790742913066E-2</v>
      </c>
      <c r="N660" s="50">
        <f t="shared" si="629"/>
        <v>4.2608444243851212E-2</v>
      </c>
      <c r="O660" s="50">
        <f t="shared" si="629"/>
        <v>4.3914681848814308E-2</v>
      </c>
      <c r="P660" s="50">
        <f t="shared" si="629"/>
        <v>4.5729867165388009E-2</v>
      </c>
      <c r="Q660" s="50">
        <f t="shared" si="629"/>
        <v>4.5741487779353565E-2</v>
      </c>
      <c r="R660" s="50">
        <f t="shared" si="629"/>
        <v>4.4277060725657284E-2</v>
      </c>
      <c r="S660" s="50">
        <f t="shared" si="629"/>
        <v>4.3144199391556254E-2</v>
      </c>
      <c r="T660" s="50">
        <f t="shared" si="629"/>
        <v>4.3279567369281124E-2</v>
      </c>
      <c r="U660" s="50">
        <f t="shared" si="629"/>
        <v>4.4109954506885138E-2</v>
      </c>
      <c r="V660" s="50">
        <f t="shared" si="629"/>
        <v>4.6298728840315946E-2</v>
      </c>
      <c r="W660" s="50">
        <f t="shared" si="629"/>
        <v>5.6176649878816001E-2</v>
      </c>
      <c r="X660" s="50">
        <f t="shared" si="629"/>
        <v>6.2194705000087863E-2</v>
      </c>
      <c r="Y660" s="50">
        <f t="shared" si="629"/>
        <v>5.7928891294023718E-2</v>
      </c>
      <c r="Z660" s="50">
        <f t="shared" si="629"/>
        <v>5.019499221712586E-2</v>
      </c>
      <c r="AA660" s="50">
        <f t="shared" si="629"/>
        <v>4.1853093029906328E-2</v>
      </c>
      <c r="AB660" s="50">
        <f t="shared" si="629"/>
        <v>3.507334666327714E-2</v>
      </c>
      <c r="AC660" s="8">
        <f t="shared" si="628"/>
        <v>4.9999999999999991</v>
      </c>
    </row>
    <row r="661" spans="2:29">
      <c r="B661" s="16"/>
      <c r="C661" s="8" t="s">
        <v>48</v>
      </c>
      <c r="D661" s="8">
        <v>1</v>
      </c>
      <c r="E661" s="50">
        <f t="shared" ref="E661:AB661" si="630">+E601</f>
        <v>3.367503361886829E-2</v>
      </c>
      <c r="F661" s="50">
        <f t="shared" si="630"/>
        <v>3.1245692535415936E-2</v>
      </c>
      <c r="G661" s="50">
        <f t="shared" si="630"/>
        <v>2.9861746203171599E-2</v>
      </c>
      <c r="H661" s="50">
        <f t="shared" si="630"/>
        <v>2.9235019370742008E-2</v>
      </c>
      <c r="I661" s="50">
        <f t="shared" si="630"/>
        <v>3.0186379118294998E-2</v>
      </c>
      <c r="J661" s="50">
        <f t="shared" si="630"/>
        <v>3.3123682717801174E-2</v>
      </c>
      <c r="K661" s="50">
        <f t="shared" si="630"/>
        <v>3.5563630818173868E-2</v>
      </c>
      <c r="L661" s="50">
        <f t="shared" si="630"/>
        <v>3.7375437025807548E-2</v>
      </c>
      <c r="M661" s="50">
        <f t="shared" si="630"/>
        <v>3.9557895894381336E-2</v>
      </c>
      <c r="N661" s="50">
        <f t="shared" si="630"/>
        <v>4.1330002492198488E-2</v>
      </c>
      <c r="O661" s="50">
        <f t="shared" si="630"/>
        <v>4.3273465010057272E-2</v>
      </c>
      <c r="P661" s="50">
        <f t="shared" si="630"/>
        <v>4.5278417057592932E-2</v>
      </c>
      <c r="Q661" s="50">
        <f t="shared" si="630"/>
        <v>4.5765189585786785E-2</v>
      </c>
      <c r="R661" s="50">
        <f t="shared" si="630"/>
        <v>4.421428774797561E-2</v>
      </c>
      <c r="S661" s="50">
        <f t="shared" si="630"/>
        <v>4.3245429527174986E-2</v>
      </c>
      <c r="T661" s="50">
        <f t="shared" si="630"/>
        <v>4.3554999005074702E-2</v>
      </c>
      <c r="U661" s="50">
        <f t="shared" si="630"/>
        <v>4.4435510161992771E-2</v>
      </c>
      <c r="V661" s="50">
        <f t="shared" si="630"/>
        <v>4.717219114348542E-2</v>
      </c>
      <c r="W661" s="50">
        <f t="shared" si="630"/>
        <v>5.6899741232983039E-2</v>
      </c>
      <c r="X661" s="50">
        <f t="shared" si="630"/>
        <v>6.1986738769463187E-2</v>
      </c>
      <c r="Y661" s="50">
        <f t="shared" si="630"/>
        <v>5.7208700429979269E-2</v>
      </c>
      <c r="Z661" s="50">
        <f t="shared" si="630"/>
        <v>4.9339560702577757E-2</v>
      </c>
      <c r="AA661" s="50">
        <f t="shared" si="630"/>
        <v>4.1368944501432053E-2</v>
      </c>
      <c r="AB661" s="50">
        <f t="shared" si="630"/>
        <v>3.5102305329568817E-2</v>
      </c>
      <c r="AC661" s="8">
        <f t="shared" si="628"/>
        <v>0.99999999999999978</v>
      </c>
    </row>
    <row r="662" spans="2:29">
      <c r="B662" s="12"/>
      <c r="C662" s="12" t="s">
        <v>15</v>
      </c>
      <c r="D662" s="12">
        <f>+SUM(D658:D661)</f>
        <v>31</v>
      </c>
      <c r="E662" s="19">
        <f>+SUMPRODUCT(E658:E661,$D658:$D661)</f>
        <v>0.94060511496792754</v>
      </c>
      <c r="F662" s="19">
        <f>+SUMPRODUCT(F658:F661,$D658:$D661)</f>
        <v>0.88380012425291787</v>
      </c>
      <c r="G662" s="19">
        <f t="shared" ref="G662:AB662" si="631">+SUMPRODUCT(G658:G661,$D658:$D661)</f>
        <v>0.85320102236979534</v>
      </c>
      <c r="H662" s="19">
        <f t="shared" si="631"/>
        <v>0.84909845734325939</v>
      </c>
      <c r="I662" s="19">
        <f t="shared" si="631"/>
        <v>0.90250472651715985</v>
      </c>
      <c r="J662" s="19">
        <f t="shared" si="631"/>
        <v>1.0398549055462936</v>
      </c>
      <c r="K662" s="19">
        <f t="shared" si="631"/>
        <v>1.1657724065871928</v>
      </c>
      <c r="L662" s="19">
        <f t="shared" si="631"/>
        <v>1.2155383229231327</v>
      </c>
      <c r="M662" s="19">
        <f t="shared" si="631"/>
        <v>1.271973652992378</v>
      </c>
      <c r="N662" s="19">
        <f t="shared" si="631"/>
        <v>1.3129232083668938</v>
      </c>
      <c r="O662" s="19">
        <f t="shared" si="631"/>
        <v>1.3707228409815699</v>
      </c>
      <c r="P662" s="19">
        <f t="shared" si="631"/>
        <v>1.4338641907649297</v>
      </c>
      <c r="Q662" s="19">
        <f t="shared" si="631"/>
        <v>1.4150270629023214</v>
      </c>
      <c r="R662" s="19">
        <f t="shared" si="631"/>
        <v>1.3669524354762363</v>
      </c>
      <c r="S662" s="19">
        <f t="shared" si="631"/>
        <v>1.3614019467714047</v>
      </c>
      <c r="T662" s="19">
        <f t="shared" si="631"/>
        <v>1.3851642935401114</v>
      </c>
      <c r="U662" s="19">
        <f t="shared" si="631"/>
        <v>1.4147136836784397</v>
      </c>
      <c r="V662" s="19">
        <f t="shared" si="631"/>
        <v>1.4782766485502554</v>
      </c>
      <c r="W662" s="19">
        <f t="shared" si="631"/>
        <v>1.7607736293296263</v>
      </c>
      <c r="X662" s="19">
        <f t="shared" si="631"/>
        <v>1.9137873081366987</v>
      </c>
      <c r="Y662" s="19">
        <f t="shared" si="631"/>
        <v>1.7765829976884902</v>
      </c>
      <c r="Z662" s="19">
        <f t="shared" si="631"/>
        <v>1.5523829923856107</v>
      </c>
      <c r="AA662" s="19">
        <f t="shared" si="631"/>
        <v>1.2789585145198852</v>
      </c>
      <c r="AB662" s="19">
        <f t="shared" si="631"/>
        <v>1.0561195134074692</v>
      </c>
      <c r="AC662" s="12">
        <f>+SUM(E662:AB662)</f>
        <v>30.999999999999996</v>
      </c>
    </row>
    <row r="663" spans="2:29">
      <c r="B663" s="15">
        <f>+EDATE(B658,1)</f>
        <v>48884</v>
      </c>
      <c r="C663" s="8" t="s">
        <v>45</v>
      </c>
      <c r="D663" s="8">
        <v>20</v>
      </c>
      <c r="E663" s="50">
        <f t="shared" ref="E663:AB663" si="632">+E603</f>
        <v>2.9361257124838391E-2</v>
      </c>
      <c r="F663" s="50">
        <f t="shared" si="632"/>
        <v>2.7692710332229715E-2</v>
      </c>
      <c r="G663" s="50">
        <f t="shared" si="632"/>
        <v>2.6785161397696527E-2</v>
      </c>
      <c r="H663" s="50">
        <f t="shared" si="632"/>
        <v>2.6786989368939883E-2</v>
      </c>
      <c r="I663" s="50">
        <f t="shared" si="632"/>
        <v>2.9135775177511477E-2</v>
      </c>
      <c r="J663" s="50">
        <f t="shared" si="632"/>
        <v>3.4540443856715661E-2</v>
      </c>
      <c r="K663" s="50">
        <f t="shared" si="632"/>
        <v>3.8789035252325646E-2</v>
      </c>
      <c r="L663" s="50">
        <f t="shared" si="632"/>
        <v>3.957865839345593E-2</v>
      </c>
      <c r="M663" s="50">
        <f t="shared" si="632"/>
        <v>4.0957538271781398E-2</v>
      </c>
      <c r="N663" s="50">
        <f t="shared" si="632"/>
        <v>4.2166920044863825E-2</v>
      </c>
      <c r="O663" s="50">
        <f t="shared" si="632"/>
        <v>4.4150374939633218E-2</v>
      </c>
      <c r="P663" s="50">
        <f t="shared" si="632"/>
        <v>4.6294816466469102E-2</v>
      </c>
      <c r="Q663" s="50">
        <f t="shared" si="632"/>
        <v>4.5431875959152102E-2</v>
      </c>
      <c r="R663" s="50">
        <f t="shared" si="632"/>
        <v>4.3879728503346101E-2</v>
      </c>
      <c r="S663" s="50">
        <f t="shared" si="632"/>
        <v>4.4118506624640258E-2</v>
      </c>
      <c r="T663" s="50">
        <f t="shared" si="632"/>
        <v>4.5188432655351718E-2</v>
      </c>
      <c r="U663" s="50">
        <f t="shared" si="632"/>
        <v>4.624302558461979E-2</v>
      </c>
      <c r="V663" s="50">
        <f t="shared" si="632"/>
        <v>4.8247238962955179E-2</v>
      </c>
      <c r="W663" s="50">
        <f t="shared" si="632"/>
        <v>5.7096885328092907E-2</v>
      </c>
      <c r="X663" s="50">
        <f t="shared" si="632"/>
        <v>6.1739938045350239E-2</v>
      </c>
      <c r="Y663" s="50">
        <f t="shared" si="632"/>
        <v>5.7231881517227232E-2</v>
      </c>
      <c r="Z663" s="50">
        <f t="shared" si="632"/>
        <v>5.0129255438435008E-2</v>
      </c>
      <c r="AA663" s="50">
        <f t="shared" si="632"/>
        <v>4.1010488221716553E-2</v>
      </c>
      <c r="AB663" s="50">
        <f t="shared" si="632"/>
        <v>3.34430625326523E-2</v>
      </c>
      <c r="AC663" s="8">
        <f>+SUM(E663:AB663)*D663</f>
        <v>20.000000000000004</v>
      </c>
    </row>
    <row r="664" spans="2:29">
      <c r="B664" s="16"/>
      <c r="C664" s="8" t="s">
        <v>46</v>
      </c>
      <c r="D664" s="8">
        <v>4</v>
      </c>
      <c r="E664" s="50">
        <f t="shared" ref="E664:AB664" si="633">+E604</f>
        <v>3.0659473205105158E-2</v>
      </c>
      <c r="F664" s="50">
        <f t="shared" si="633"/>
        <v>2.8600001140869122E-2</v>
      </c>
      <c r="G664" s="50">
        <f t="shared" si="633"/>
        <v>2.7683858575034276E-2</v>
      </c>
      <c r="H664" s="50">
        <f t="shared" si="633"/>
        <v>2.7537802139610414E-2</v>
      </c>
      <c r="I664" s="50">
        <f t="shared" si="633"/>
        <v>2.8782539770184416E-2</v>
      </c>
      <c r="J664" s="50">
        <f t="shared" si="633"/>
        <v>3.2241585579716119E-2</v>
      </c>
      <c r="K664" s="50">
        <f t="shared" si="633"/>
        <v>3.645312931015221E-2</v>
      </c>
      <c r="L664" s="50">
        <f t="shared" si="633"/>
        <v>3.9012639181609042E-2</v>
      </c>
      <c r="M664" s="50">
        <f t="shared" si="633"/>
        <v>4.1549207589560662E-2</v>
      </c>
      <c r="N664" s="50">
        <f t="shared" si="633"/>
        <v>4.3042516751632572E-2</v>
      </c>
      <c r="O664" s="50">
        <f t="shared" si="633"/>
        <v>4.4973693586955334E-2</v>
      </c>
      <c r="P664" s="50">
        <f t="shared" si="633"/>
        <v>4.6808021710202923E-2</v>
      </c>
      <c r="Q664" s="50">
        <f t="shared" si="633"/>
        <v>4.6383383047344962E-2</v>
      </c>
      <c r="R664" s="50">
        <f t="shared" si="633"/>
        <v>4.4751654806610461E-2</v>
      </c>
      <c r="S664" s="50">
        <f t="shared" si="633"/>
        <v>4.4013077558728637E-2</v>
      </c>
      <c r="T664" s="50">
        <f t="shared" si="633"/>
        <v>4.428856091631931E-2</v>
      </c>
      <c r="U664" s="50">
        <f t="shared" si="633"/>
        <v>4.49735778579251E-2</v>
      </c>
      <c r="V664" s="50">
        <f t="shared" si="633"/>
        <v>4.6933206789217301E-2</v>
      </c>
      <c r="W664" s="50">
        <f t="shared" si="633"/>
        <v>5.6210586428141023E-2</v>
      </c>
      <c r="X664" s="50">
        <f t="shared" si="633"/>
        <v>6.1205656691958259E-2</v>
      </c>
      <c r="Y664" s="50">
        <f t="shared" si="633"/>
        <v>5.7018442088769522E-2</v>
      </c>
      <c r="Z664" s="50">
        <f t="shared" si="633"/>
        <v>4.9896672365740725E-2</v>
      </c>
      <c r="AA664" s="50">
        <f t="shared" si="633"/>
        <v>4.1622868086918119E-2</v>
      </c>
      <c r="AB664" s="50">
        <f t="shared" si="633"/>
        <v>3.5357844821693719E-2</v>
      </c>
      <c r="AC664" s="8">
        <f t="shared" ref="AC664:AC666" si="634">+SUM(E664:AB664)*D664</f>
        <v>3.9999999999999969</v>
      </c>
    </row>
    <row r="665" spans="2:29">
      <c r="B665" s="16"/>
      <c r="C665" s="8" t="s">
        <v>47</v>
      </c>
      <c r="D665" s="8">
        <v>4</v>
      </c>
      <c r="E665" s="50">
        <f t="shared" ref="E665:AB665" si="635">+E605</f>
        <v>3.3281514565353124E-2</v>
      </c>
      <c r="F665" s="50">
        <f t="shared" si="635"/>
        <v>3.1140043873712407E-2</v>
      </c>
      <c r="G665" s="50">
        <f t="shared" si="635"/>
        <v>2.984335106750436E-2</v>
      </c>
      <c r="H665" s="50">
        <f t="shared" si="635"/>
        <v>2.9286927979133532E-2</v>
      </c>
      <c r="I665" s="50">
        <f t="shared" si="635"/>
        <v>2.9138028999542646E-2</v>
      </c>
      <c r="J665" s="50">
        <f t="shared" si="635"/>
        <v>3.0942883559119717E-2</v>
      </c>
      <c r="K665" s="50">
        <f t="shared" si="635"/>
        <v>3.4432484834348992E-2</v>
      </c>
      <c r="L665" s="50">
        <f t="shared" si="635"/>
        <v>3.8305304424032266E-2</v>
      </c>
      <c r="M665" s="50">
        <f t="shared" si="635"/>
        <v>4.1103790742913066E-2</v>
      </c>
      <c r="N665" s="50">
        <f t="shared" si="635"/>
        <v>4.2608444243851212E-2</v>
      </c>
      <c r="O665" s="50">
        <f t="shared" si="635"/>
        <v>4.3914681848814308E-2</v>
      </c>
      <c r="P665" s="50">
        <f t="shared" si="635"/>
        <v>4.5729867165388009E-2</v>
      </c>
      <c r="Q665" s="50">
        <f t="shared" si="635"/>
        <v>4.5741487779353565E-2</v>
      </c>
      <c r="R665" s="50">
        <f t="shared" si="635"/>
        <v>4.4277060725657284E-2</v>
      </c>
      <c r="S665" s="50">
        <f t="shared" si="635"/>
        <v>4.3144199391556254E-2</v>
      </c>
      <c r="T665" s="50">
        <f t="shared" si="635"/>
        <v>4.3279567369281124E-2</v>
      </c>
      <c r="U665" s="50">
        <f t="shared" si="635"/>
        <v>4.4109954506885138E-2</v>
      </c>
      <c r="V665" s="50">
        <f t="shared" si="635"/>
        <v>4.6298728840315946E-2</v>
      </c>
      <c r="W665" s="50">
        <f t="shared" si="635"/>
        <v>5.6176649878816001E-2</v>
      </c>
      <c r="X665" s="50">
        <f t="shared" si="635"/>
        <v>6.2194705000087863E-2</v>
      </c>
      <c r="Y665" s="50">
        <f t="shared" si="635"/>
        <v>5.7928891294023718E-2</v>
      </c>
      <c r="Z665" s="50">
        <f t="shared" si="635"/>
        <v>5.019499221712586E-2</v>
      </c>
      <c r="AA665" s="50">
        <f t="shared" si="635"/>
        <v>4.1853093029906328E-2</v>
      </c>
      <c r="AB665" s="50">
        <f t="shared" si="635"/>
        <v>3.507334666327714E-2</v>
      </c>
      <c r="AC665" s="8">
        <f t="shared" si="634"/>
        <v>3.9999999999999991</v>
      </c>
    </row>
    <row r="666" spans="2:29">
      <c r="B666" s="16"/>
      <c r="C666" s="8" t="s">
        <v>48</v>
      </c>
      <c r="D666" s="8">
        <v>2</v>
      </c>
      <c r="E666" s="50">
        <f t="shared" ref="E666:AB666" si="636">+E606</f>
        <v>3.367503361886829E-2</v>
      </c>
      <c r="F666" s="50">
        <f t="shared" si="636"/>
        <v>3.1245692535415936E-2</v>
      </c>
      <c r="G666" s="50">
        <f t="shared" si="636"/>
        <v>2.9861746203171599E-2</v>
      </c>
      <c r="H666" s="50">
        <f t="shared" si="636"/>
        <v>2.9235019370742008E-2</v>
      </c>
      <c r="I666" s="50">
        <f t="shared" si="636"/>
        <v>3.0186379118294998E-2</v>
      </c>
      <c r="J666" s="50">
        <f t="shared" si="636"/>
        <v>3.3123682717801174E-2</v>
      </c>
      <c r="K666" s="50">
        <f t="shared" si="636"/>
        <v>3.5563630818173868E-2</v>
      </c>
      <c r="L666" s="50">
        <f t="shared" si="636"/>
        <v>3.7375437025807548E-2</v>
      </c>
      <c r="M666" s="50">
        <f t="shared" si="636"/>
        <v>3.9557895894381336E-2</v>
      </c>
      <c r="N666" s="50">
        <f t="shared" si="636"/>
        <v>4.1330002492198488E-2</v>
      </c>
      <c r="O666" s="50">
        <f t="shared" si="636"/>
        <v>4.3273465010057272E-2</v>
      </c>
      <c r="P666" s="50">
        <f t="shared" si="636"/>
        <v>4.5278417057592932E-2</v>
      </c>
      <c r="Q666" s="50">
        <f t="shared" si="636"/>
        <v>4.5765189585786785E-2</v>
      </c>
      <c r="R666" s="50">
        <f t="shared" si="636"/>
        <v>4.421428774797561E-2</v>
      </c>
      <c r="S666" s="50">
        <f t="shared" si="636"/>
        <v>4.3245429527174986E-2</v>
      </c>
      <c r="T666" s="50">
        <f t="shared" si="636"/>
        <v>4.3554999005074702E-2</v>
      </c>
      <c r="U666" s="50">
        <f t="shared" si="636"/>
        <v>4.4435510161992771E-2</v>
      </c>
      <c r="V666" s="50">
        <f t="shared" si="636"/>
        <v>4.717219114348542E-2</v>
      </c>
      <c r="W666" s="50">
        <f t="shared" si="636"/>
        <v>5.6899741232983039E-2</v>
      </c>
      <c r="X666" s="50">
        <f t="shared" si="636"/>
        <v>6.1986738769463187E-2</v>
      </c>
      <c r="Y666" s="50">
        <f t="shared" si="636"/>
        <v>5.7208700429979269E-2</v>
      </c>
      <c r="Z666" s="50">
        <f t="shared" si="636"/>
        <v>4.9339560702577757E-2</v>
      </c>
      <c r="AA666" s="50">
        <f t="shared" si="636"/>
        <v>4.1368944501432053E-2</v>
      </c>
      <c r="AB666" s="50">
        <f t="shared" si="636"/>
        <v>3.5102305329568817E-2</v>
      </c>
      <c r="AC666" s="8">
        <f t="shared" si="634"/>
        <v>1.9999999999999996</v>
      </c>
    </row>
    <row r="667" spans="2:29">
      <c r="B667" s="12"/>
      <c r="C667" s="12" t="s">
        <v>15</v>
      </c>
      <c r="D667" s="12">
        <f>+SUM(D663:D666)</f>
        <v>30</v>
      </c>
      <c r="E667" s="19">
        <f>+SUMPRODUCT(E663:E666,$D663:$D666)</f>
        <v>0.91033916081633748</v>
      </c>
      <c r="F667" s="19">
        <f>+SUMPRODUCT(F663:F666,$D663:$D666)</f>
        <v>0.85530577177375222</v>
      </c>
      <c r="G667" s="19">
        <f t="shared" ref="G667:AB667" si="637">+SUMPRODUCT(G663:G666,$D663:$D666)</f>
        <v>0.82553555893042829</v>
      </c>
      <c r="H667" s="19">
        <f t="shared" si="637"/>
        <v>0.82150874659525752</v>
      </c>
      <c r="I667" s="19">
        <f t="shared" si="637"/>
        <v>0.8747705368657277</v>
      </c>
      <c r="J667" s="19">
        <f t="shared" si="637"/>
        <v>1.0097941191252591</v>
      </c>
      <c r="K667" s="19">
        <f t="shared" si="637"/>
        <v>1.1304504232608654</v>
      </c>
      <c r="L667" s="19">
        <f t="shared" si="637"/>
        <v>1.1755958163432989</v>
      </c>
      <c r="M667" s="19">
        <f t="shared" si="637"/>
        <v>1.2288785505542854</v>
      </c>
      <c r="N667" s="19">
        <f t="shared" si="637"/>
        <v>1.2686022498636089</v>
      </c>
      <c r="O667" s="19">
        <f t="shared" si="637"/>
        <v>1.3251079305558575</v>
      </c>
      <c r="P667" s="19">
        <f t="shared" si="637"/>
        <v>1.3866047189469317</v>
      </c>
      <c r="Q667" s="19">
        <f t="shared" si="637"/>
        <v>1.3686673816614097</v>
      </c>
      <c r="R667" s="19">
        <f t="shared" si="637"/>
        <v>1.3221380076919442</v>
      </c>
      <c r="S667" s="19">
        <f t="shared" si="637"/>
        <v>1.317490099348295</v>
      </c>
      <c r="T667" s="19">
        <f t="shared" si="637"/>
        <v>1.3411511642595855</v>
      </c>
      <c r="U667" s="19">
        <f t="shared" si="637"/>
        <v>1.3700656614756224</v>
      </c>
      <c r="V667" s="19">
        <f t="shared" si="637"/>
        <v>1.4322169040642074</v>
      </c>
      <c r="W667" s="19">
        <f t="shared" si="637"/>
        <v>1.7052861342556522</v>
      </c>
      <c r="X667" s="19">
        <f t="shared" si="637"/>
        <v>1.8523736852141155</v>
      </c>
      <c r="Y667" s="19">
        <f t="shared" si="637"/>
        <v>1.7188443647356764</v>
      </c>
      <c r="Z667" s="19">
        <f t="shared" si="637"/>
        <v>1.501630888505322</v>
      </c>
      <c r="AA667" s="19">
        <f t="shared" si="637"/>
        <v>1.2368514979044929</v>
      </c>
      <c r="AB667" s="19">
        <f t="shared" si="637"/>
        <v>1.020790627252067</v>
      </c>
      <c r="AC667" s="12">
        <f>+SUM(E667:AB667)</f>
        <v>30</v>
      </c>
    </row>
    <row r="668" spans="2:29">
      <c r="B668" s="15">
        <f>+EDATE(B663,1)</f>
        <v>48914</v>
      </c>
      <c r="C668" s="8" t="s">
        <v>45</v>
      </c>
      <c r="D668" s="8">
        <v>21</v>
      </c>
      <c r="E668" s="50">
        <f t="shared" ref="E668:AB668" si="638">+E608</f>
        <v>2.9361257124838391E-2</v>
      </c>
      <c r="F668" s="50">
        <f t="shared" si="638"/>
        <v>2.7692710332229715E-2</v>
      </c>
      <c r="G668" s="50">
        <f t="shared" si="638"/>
        <v>2.6785161397696527E-2</v>
      </c>
      <c r="H668" s="50">
        <f t="shared" si="638"/>
        <v>2.6786989368939883E-2</v>
      </c>
      <c r="I668" s="50">
        <f t="shared" si="638"/>
        <v>2.9135775177511477E-2</v>
      </c>
      <c r="J668" s="50">
        <f t="shared" si="638"/>
        <v>3.4540443856715661E-2</v>
      </c>
      <c r="K668" s="50">
        <f t="shared" si="638"/>
        <v>3.8789035252325646E-2</v>
      </c>
      <c r="L668" s="50">
        <f t="shared" si="638"/>
        <v>3.957865839345593E-2</v>
      </c>
      <c r="M668" s="50">
        <f t="shared" si="638"/>
        <v>4.0957538271781398E-2</v>
      </c>
      <c r="N668" s="50">
        <f t="shared" si="638"/>
        <v>4.2166920044863825E-2</v>
      </c>
      <c r="O668" s="50">
        <f t="shared" si="638"/>
        <v>4.4150374939633218E-2</v>
      </c>
      <c r="P668" s="50">
        <f t="shared" si="638"/>
        <v>4.6294816466469102E-2</v>
      </c>
      <c r="Q668" s="50">
        <f t="shared" si="638"/>
        <v>4.5431875959152102E-2</v>
      </c>
      <c r="R668" s="50">
        <f t="shared" si="638"/>
        <v>4.3879728503346101E-2</v>
      </c>
      <c r="S668" s="50">
        <f t="shared" si="638"/>
        <v>4.4118506624640258E-2</v>
      </c>
      <c r="T668" s="50">
        <f t="shared" si="638"/>
        <v>4.5188432655351718E-2</v>
      </c>
      <c r="U668" s="50">
        <f t="shared" si="638"/>
        <v>4.624302558461979E-2</v>
      </c>
      <c r="V668" s="50">
        <f t="shared" si="638"/>
        <v>4.8247238962955179E-2</v>
      </c>
      <c r="W668" s="50">
        <f t="shared" si="638"/>
        <v>5.7096885328092907E-2</v>
      </c>
      <c r="X668" s="50">
        <f t="shared" si="638"/>
        <v>6.1739938045350239E-2</v>
      </c>
      <c r="Y668" s="50">
        <f t="shared" si="638"/>
        <v>5.7231881517227232E-2</v>
      </c>
      <c r="Z668" s="50">
        <f t="shared" si="638"/>
        <v>5.0129255438435008E-2</v>
      </c>
      <c r="AA668" s="50">
        <f t="shared" si="638"/>
        <v>4.1010488221716553E-2</v>
      </c>
      <c r="AB668" s="50">
        <f t="shared" si="638"/>
        <v>3.34430625326523E-2</v>
      </c>
      <c r="AC668" s="8">
        <f>+SUM(E668:AB668)*D668</f>
        <v>21.000000000000004</v>
      </c>
    </row>
    <row r="669" spans="2:29">
      <c r="B669" s="16"/>
      <c r="C669" s="8" t="s">
        <v>46</v>
      </c>
      <c r="D669" s="8">
        <v>5</v>
      </c>
      <c r="E669" s="50">
        <f t="shared" ref="E669:AB669" si="639">+E609</f>
        <v>3.0659473205105158E-2</v>
      </c>
      <c r="F669" s="50">
        <f t="shared" si="639"/>
        <v>2.8600001140869122E-2</v>
      </c>
      <c r="G669" s="50">
        <f t="shared" si="639"/>
        <v>2.7683858575034276E-2</v>
      </c>
      <c r="H669" s="50">
        <f t="shared" si="639"/>
        <v>2.7537802139610414E-2</v>
      </c>
      <c r="I669" s="50">
        <f t="shared" si="639"/>
        <v>2.8782539770184416E-2</v>
      </c>
      <c r="J669" s="50">
        <f t="shared" si="639"/>
        <v>3.2241585579716119E-2</v>
      </c>
      <c r="K669" s="50">
        <f t="shared" si="639"/>
        <v>3.645312931015221E-2</v>
      </c>
      <c r="L669" s="50">
        <f t="shared" si="639"/>
        <v>3.9012639181609042E-2</v>
      </c>
      <c r="M669" s="50">
        <f t="shared" si="639"/>
        <v>4.1549207589560662E-2</v>
      </c>
      <c r="N669" s="50">
        <f t="shared" si="639"/>
        <v>4.3042516751632572E-2</v>
      </c>
      <c r="O669" s="50">
        <f t="shared" si="639"/>
        <v>4.4973693586955334E-2</v>
      </c>
      <c r="P669" s="50">
        <f t="shared" si="639"/>
        <v>4.6808021710202923E-2</v>
      </c>
      <c r="Q669" s="50">
        <f t="shared" si="639"/>
        <v>4.6383383047344962E-2</v>
      </c>
      <c r="R669" s="50">
        <f t="shared" si="639"/>
        <v>4.4751654806610461E-2</v>
      </c>
      <c r="S669" s="50">
        <f t="shared" si="639"/>
        <v>4.4013077558728637E-2</v>
      </c>
      <c r="T669" s="50">
        <f t="shared" si="639"/>
        <v>4.428856091631931E-2</v>
      </c>
      <c r="U669" s="50">
        <f t="shared" si="639"/>
        <v>4.49735778579251E-2</v>
      </c>
      <c r="V669" s="50">
        <f t="shared" si="639"/>
        <v>4.6933206789217301E-2</v>
      </c>
      <c r="W669" s="50">
        <f t="shared" si="639"/>
        <v>5.6210586428141023E-2</v>
      </c>
      <c r="X669" s="50">
        <f t="shared" si="639"/>
        <v>6.1205656691958259E-2</v>
      </c>
      <c r="Y669" s="50">
        <f t="shared" si="639"/>
        <v>5.7018442088769522E-2</v>
      </c>
      <c r="Z669" s="50">
        <f t="shared" si="639"/>
        <v>4.9896672365740725E-2</v>
      </c>
      <c r="AA669" s="50">
        <f t="shared" si="639"/>
        <v>4.1622868086918119E-2</v>
      </c>
      <c r="AB669" s="50">
        <f t="shared" si="639"/>
        <v>3.5357844821693719E-2</v>
      </c>
      <c r="AC669" s="8">
        <f t="shared" ref="AC669:AC671" si="640">+SUM(E669:AB669)*D669</f>
        <v>4.9999999999999964</v>
      </c>
    </row>
    <row r="670" spans="2:29">
      <c r="B670" s="16"/>
      <c r="C670" s="8" t="s">
        <v>47</v>
      </c>
      <c r="D670" s="8">
        <v>3</v>
      </c>
      <c r="E670" s="50">
        <f t="shared" ref="E670:AB670" si="641">+E610</f>
        <v>3.3281514565353124E-2</v>
      </c>
      <c r="F670" s="50">
        <f t="shared" si="641"/>
        <v>3.1140043873712407E-2</v>
      </c>
      <c r="G670" s="50">
        <f t="shared" si="641"/>
        <v>2.984335106750436E-2</v>
      </c>
      <c r="H670" s="50">
        <f t="shared" si="641"/>
        <v>2.9286927979133532E-2</v>
      </c>
      <c r="I670" s="50">
        <f t="shared" si="641"/>
        <v>2.9138028999542646E-2</v>
      </c>
      <c r="J670" s="50">
        <f t="shared" si="641"/>
        <v>3.0942883559119717E-2</v>
      </c>
      <c r="K670" s="50">
        <f t="shared" si="641"/>
        <v>3.4432484834348992E-2</v>
      </c>
      <c r="L670" s="50">
        <f t="shared" si="641"/>
        <v>3.8305304424032266E-2</v>
      </c>
      <c r="M670" s="50">
        <f t="shared" si="641"/>
        <v>4.1103790742913066E-2</v>
      </c>
      <c r="N670" s="50">
        <f t="shared" si="641"/>
        <v>4.2608444243851212E-2</v>
      </c>
      <c r="O670" s="50">
        <f t="shared" si="641"/>
        <v>4.3914681848814308E-2</v>
      </c>
      <c r="P670" s="50">
        <f t="shared" si="641"/>
        <v>4.5729867165388009E-2</v>
      </c>
      <c r="Q670" s="50">
        <f t="shared" si="641"/>
        <v>4.5741487779353565E-2</v>
      </c>
      <c r="R670" s="50">
        <f t="shared" si="641"/>
        <v>4.4277060725657284E-2</v>
      </c>
      <c r="S670" s="50">
        <f t="shared" si="641"/>
        <v>4.3144199391556254E-2</v>
      </c>
      <c r="T670" s="50">
        <f t="shared" si="641"/>
        <v>4.3279567369281124E-2</v>
      </c>
      <c r="U670" s="50">
        <f t="shared" si="641"/>
        <v>4.4109954506885138E-2</v>
      </c>
      <c r="V670" s="50">
        <f t="shared" si="641"/>
        <v>4.6298728840315946E-2</v>
      </c>
      <c r="W670" s="50">
        <f t="shared" si="641"/>
        <v>5.6176649878816001E-2</v>
      </c>
      <c r="X670" s="50">
        <f t="shared" si="641"/>
        <v>6.2194705000087863E-2</v>
      </c>
      <c r="Y670" s="50">
        <f t="shared" si="641"/>
        <v>5.7928891294023718E-2</v>
      </c>
      <c r="Z670" s="50">
        <f t="shared" si="641"/>
        <v>5.019499221712586E-2</v>
      </c>
      <c r="AA670" s="50">
        <f t="shared" si="641"/>
        <v>4.1853093029906328E-2</v>
      </c>
      <c r="AB670" s="50">
        <f t="shared" si="641"/>
        <v>3.507334666327714E-2</v>
      </c>
      <c r="AC670" s="8">
        <f t="shared" si="640"/>
        <v>2.9999999999999991</v>
      </c>
    </row>
    <row r="671" spans="2:29">
      <c r="B671" s="16"/>
      <c r="C671" s="8" t="s">
        <v>48</v>
      </c>
      <c r="D671" s="8">
        <v>2</v>
      </c>
      <c r="E671" s="50">
        <f t="shared" ref="E671:AB671" si="642">+E611</f>
        <v>3.367503361886829E-2</v>
      </c>
      <c r="F671" s="50">
        <f t="shared" si="642"/>
        <v>3.1245692535415936E-2</v>
      </c>
      <c r="G671" s="50">
        <f t="shared" si="642"/>
        <v>2.9861746203171599E-2</v>
      </c>
      <c r="H671" s="50">
        <f t="shared" si="642"/>
        <v>2.9235019370742008E-2</v>
      </c>
      <c r="I671" s="50">
        <f t="shared" si="642"/>
        <v>3.0186379118294998E-2</v>
      </c>
      <c r="J671" s="50">
        <f t="shared" si="642"/>
        <v>3.3123682717801174E-2</v>
      </c>
      <c r="K671" s="50">
        <f t="shared" si="642"/>
        <v>3.5563630818173868E-2</v>
      </c>
      <c r="L671" s="50">
        <f t="shared" si="642"/>
        <v>3.7375437025807548E-2</v>
      </c>
      <c r="M671" s="50">
        <f t="shared" si="642"/>
        <v>3.9557895894381336E-2</v>
      </c>
      <c r="N671" s="50">
        <f t="shared" si="642"/>
        <v>4.1330002492198488E-2</v>
      </c>
      <c r="O671" s="50">
        <f t="shared" si="642"/>
        <v>4.3273465010057272E-2</v>
      </c>
      <c r="P671" s="50">
        <f t="shared" si="642"/>
        <v>4.5278417057592932E-2</v>
      </c>
      <c r="Q671" s="50">
        <f t="shared" si="642"/>
        <v>4.5765189585786785E-2</v>
      </c>
      <c r="R671" s="50">
        <f t="shared" si="642"/>
        <v>4.421428774797561E-2</v>
      </c>
      <c r="S671" s="50">
        <f t="shared" si="642"/>
        <v>4.3245429527174986E-2</v>
      </c>
      <c r="T671" s="50">
        <f t="shared" si="642"/>
        <v>4.3554999005074702E-2</v>
      </c>
      <c r="U671" s="50">
        <f t="shared" si="642"/>
        <v>4.4435510161992771E-2</v>
      </c>
      <c r="V671" s="50">
        <f t="shared" si="642"/>
        <v>4.717219114348542E-2</v>
      </c>
      <c r="W671" s="50">
        <f t="shared" si="642"/>
        <v>5.6899741232983039E-2</v>
      </c>
      <c r="X671" s="50">
        <f t="shared" si="642"/>
        <v>6.1986738769463187E-2</v>
      </c>
      <c r="Y671" s="50">
        <f t="shared" si="642"/>
        <v>5.7208700429979269E-2</v>
      </c>
      <c r="Z671" s="50">
        <f t="shared" si="642"/>
        <v>4.9339560702577757E-2</v>
      </c>
      <c r="AA671" s="50">
        <f t="shared" si="642"/>
        <v>4.1368944501432053E-2</v>
      </c>
      <c r="AB671" s="50">
        <f t="shared" si="642"/>
        <v>3.5102305329568817E-2</v>
      </c>
      <c r="AC671" s="8">
        <f t="shared" si="640"/>
        <v>1.9999999999999996</v>
      </c>
    </row>
    <row r="672" spans="2:29">
      <c r="B672" s="12"/>
      <c r="C672" s="12" t="s">
        <v>15</v>
      </c>
      <c r="D672" s="12">
        <f>+SUM(D668:D671)</f>
        <v>31</v>
      </c>
      <c r="E672" s="19">
        <f>+SUMPRODUCT(E668:E671,$D668:$D671)</f>
        <v>0.93707837658092796</v>
      </c>
      <c r="F672" s="19">
        <f>+SUMPRODUCT(F668:F671,$D668:$D671)</f>
        <v>0.88045843937313861</v>
      </c>
      <c r="G672" s="19">
        <f t="shared" ref="G672:AB672" si="643">+SUMPRODUCT(G668:G671,$D668:$D671)</f>
        <v>0.85016122783565473</v>
      </c>
      <c r="H672" s="19">
        <f t="shared" si="643"/>
        <v>0.84654661012467425</v>
      </c>
      <c r="I672" s="19">
        <f t="shared" si="643"/>
        <v>0.9035508228138811</v>
      </c>
      <c r="J672" s="19">
        <f t="shared" si="643"/>
        <v>1.045633265002571</v>
      </c>
      <c r="K672" s="19">
        <f t="shared" si="643"/>
        <v>1.1712601029889942</v>
      </c>
      <c r="L672" s="19">
        <f t="shared" si="643"/>
        <v>1.2158818094943316</v>
      </c>
      <c r="M672" s="19">
        <f t="shared" si="643"/>
        <v>1.2702815056727144</v>
      </c>
      <c r="N672" s="19">
        <f t="shared" si="643"/>
        <v>1.3112032424162539</v>
      </c>
      <c r="O672" s="19">
        <f t="shared" si="643"/>
        <v>1.3703173172336316</v>
      </c>
      <c r="P672" s="19">
        <f t="shared" si="643"/>
        <v>1.4339776899582157</v>
      </c>
      <c r="Q672" s="19">
        <f t="shared" si="643"/>
        <v>1.4147411528885534</v>
      </c>
      <c r="R672" s="19">
        <f t="shared" si="643"/>
        <v>1.3664923302762435</v>
      </c>
      <c r="S672" s="19">
        <f t="shared" si="643"/>
        <v>1.3624774841401073</v>
      </c>
      <c r="T672" s="19">
        <f t="shared" si="643"/>
        <v>1.3873485904619756</v>
      </c>
      <c r="U672" s="19">
        <f t="shared" si="643"/>
        <v>1.4171723104112819</v>
      </c>
      <c r="V672" s="19">
        <f t="shared" si="643"/>
        <v>1.4810986209760642</v>
      </c>
      <c r="W672" s="19">
        <f t="shared" si="643"/>
        <v>1.7624169561330703</v>
      </c>
      <c r="X672" s="19">
        <f t="shared" si="643"/>
        <v>1.9131245749513361</v>
      </c>
      <c r="Y672" s="19">
        <f t="shared" si="643"/>
        <v>1.7751657970476491</v>
      </c>
      <c r="Z672" s="19">
        <f t="shared" si="643"/>
        <v>1.5514618240923719</v>
      </c>
      <c r="AA672" s="19">
        <f t="shared" si="643"/>
        <v>1.2776317611832213</v>
      </c>
      <c r="AB672" s="19">
        <f t="shared" si="643"/>
        <v>1.054518187943136</v>
      </c>
      <c r="AC672" s="12">
        <f>+SUM(E672:AB672)</f>
        <v>30.999999999999996</v>
      </c>
    </row>
    <row r="673" spans="2:29">
      <c r="B673" s="15">
        <f>+EDATE(B668,1)</f>
        <v>48945</v>
      </c>
      <c r="C673" s="8" t="s">
        <v>45</v>
      </c>
      <c r="D673" s="8">
        <v>21</v>
      </c>
      <c r="E673" s="50">
        <f>+E613</f>
        <v>2.9361257124838391E-2</v>
      </c>
      <c r="F673" s="50">
        <f t="shared" ref="F673:AB673" si="644">+F613</f>
        <v>2.7692710332229715E-2</v>
      </c>
      <c r="G673" s="50">
        <f t="shared" si="644"/>
        <v>2.6785161397696527E-2</v>
      </c>
      <c r="H673" s="50">
        <f t="shared" si="644"/>
        <v>2.6786989368939883E-2</v>
      </c>
      <c r="I673" s="50">
        <f t="shared" si="644"/>
        <v>2.9135775177511477E-2</v>
      </c>
      <c r="J673" s="50">
        <f t="shared" si="644"/>
        <v>3.4540443856715661E-2</v>
      </c>
      <c r="K673" s="50">
        <f t="shared" si="644"/>
        <v>3.8789035252325646E-2</v>
      </c>
      <c r="L673" s="50">
        <f t="shared" si="644"/>
        <v>3.957865839345593E-2</v>
      </c>
      <c r="M673" s="50">
        <f t="shared" si="644"/>
        <v>4.0957538271781398E-2</v>
      </c>
      <c r="N673" s="50">
        <f t="shared" si="644"/>
        <v>4.2166920044863825E-2</v>
      </c>
      <c r="O673" s="50">
        <f t="shared" si="644"/>
        <v>4.4150374939633218E-2</v>
      </c>
      <c r="P673" s="50">
        <f t="shared" si="644"/>
        <v>4.6294816466469102E-2</v>
      </c>
      <c r="Q673" s="50">
        <f t="shared" si="644"/>
        <v>4.5431875959152102E-2</v>
      </c>
      <c r="R673" s="50">
        <f t="shared" si="644"/>
        <v>4.3879728503346101E-2</v>
      </c>
      <c r="S673" s="50">
        <f t="shared" si="644"/>
        <v>4.4118506624640258E-2</v>
      </c>
      <c r="T673" s="50">
        <f t="shared" si="644"/>
        <v>4.5188432655351718E-2</v>
      </c>
      <c r="U673" s="50">
        <f t="shared" si="644"/>
        <v>4.624302558461979E-2</v>
      </c>
      <c r="V673" s="50">
        <f t="shared" si="644"/>
        <v>4.8247238962955179E-2</v>
      </c>
      <c r="W673" s="50">
        <f t="shared" si="644"/>
        <v>5.7096885328092907E-2</v>
      </c>
      <c r="X673" s="50">
        <f t="shared" si="644"/>
        <v>6.1739938045350239E-2</v>
      </c>
      <c r="Y673" s="50">
        <f t="shared" si="644"/>
        <v>5.7231881517227232E-2</v>
      </c>
      <c r="Z673" s="50">
        <f t="shared" si="644"/>
        <v>5.0129255438435008E-2</v>
      </c>
      <c r="AA673" s="50">
        <f t="shared" si="644"/>
        <v>4.1010488221716553E-2</v>
      </c>
      <c r="AB673" s="50">
        <f t="shared" si="644"/>
        <v>3.34430625326523E-2</v>
      </c>
      <c r="AC673" s="8">
        <f>+SUM(E673:AB673)*D673</f>
        <v>21.000000000000004</v>
      </c>
    </row>
    <row r="674" spans="2:29">
      <c r="B674" s="16"/>
      <c r="C674" s="8" t="s">
        <v>46</v>
      </c>
      <c r="D674" s="8">
        <v>4</v>
      </c>
      <c r="E674" s="50">
        <f t="shared" ref="E674:AB674" si="645">+E614</f>
        <v>3.0659473205105158E-2</v>
      </c>
      <c r="F674" s="50">
        <f t="shared" si="645"/>
        <v>2.8600001140869122E-2</v>
      </c>
      <c r="G674" s="50">
        <f t="shared" si="645"/>
        <v>2.7683858575034276E-2</v>
      </c>
      <c r="H674" s="50">
        <f t="shared" si="645"/>
        <v>2.7537802139610414E-2</v>
      </c>
      <c r="I674" s="50">
        <f t="shared" si="645"/>
        <v>2.8782539770184416E-2</v>
      </c>
      <c r="J674" s="50">
        <f t="shared" si="645"/>
        <v>3.2241585579716119E-2</v>
      </c>
      <c r="K674" s="50">
        <f t="shared" si="645"/>
        <v>3.645312931015221E-2</v>
      </c>
      <c r="L674" s="50">
        <f t="shared" si="645"/>
        <v>3.9012639181609042E-2</v>
      </c>
      <c r="M674" s="50">
        <f t="shared" si="645"/>
        <v>4.1549207589560662E-2</v>
      </c>
      <c r="N674" s="50">
        <f t="shared" si="645"/>
        <v>4.3042516751632572E-2</v>
      </c>
      <c r="O674" s="50">
        <f t="shared" si="645"/>
        <v>4.4973693586955334E-2</v>
      </c>
      <c r="P674" s="50">
        <f t="shared" si="645"/>
        <v>4.6808021710202923E-2</v>
      </c>
      <c r="Q674" s="50">
        <f t="shared" si="645"/>
        <v>4.6383383047344962E-2</v>
      </c>
      <c r="R674" s="50">
        <f t="shared" si="645"/>
        <v>4.4751654806610461E-2</v>
      </c>
      <c r="S674" s="50">
        <f t="shared" si="645"/>
        <v>4.4013077558728637E-2</v>
      </c>
      <c r="T674" s="50">
        <f t="shared" si="645"/>
        <v>4.428856091631931E-2</v>
      </c>
      <c r="U674" s="50">
        <f t="shared" si="645"/>
        <v>4.49735778579251E-2</v>
      </c>
      <c r="V674" s="50">
        <f t="shared" si="645"/>
        <v>4.6933206789217301E-2</v>
      </c>
      <c r="W674" s="50">
        <f t="shared" si="645"/>
        <v>5.6210586428141023E-2</v>
      </c>
      <c r="X674" s="50">
        <f t="shared" si="645"/>
        <v>6.1205656691958259E-2</v>
      </c>
      <c r="Y674" s="50">
        <f t="shared" si="645"/>
        <v>5.7018442088769522E-2</v>
      </c>
      <c r="Z674" s="50">
        <f t="shared" si="645"/>
        <v>4.9896672365740725E-2</v>
      </c>
      <c r="AA674" s="50">
        <f t="shared" si="645"/>
        <v>4.1622868086918119E-2</v>
      </c>
      <c r="AB674" s="50">
        <f t="shared" si="645"/>
        <v>3.5357844821693719E-2</v>
      </c>
      <c r="AC674" s="8">
        <f t="shared" ref="AC674:AC676" si="646">+SUM(E674:AB674)*D674</f>
        <v>3.9999999999999969</v>
      </c>
    </row>
    <row r="675" spans="2:29">
      <c r="B675" s="16"/>
      <c r="C675" s="8" t="s">
        <v>47</v>
      </c>
      <c r="D675" s="8">
        <v>4</v>
      </c>
      <c r="E675" s="50">
        <f t="shared" ref="E675:AB675" si="647">+E615</f>
        <v>3.3281514565353124E-2</v>
      </c>
      <c r="F675" s="50">
        <f t="shared" si="647"/>
        <v>3.1140043873712407E-2</v>
      </c>
      <c r="G675" s="50">
        <f t="shared" si="647"/>
        <v>2.984335106750436E-2</v>
      </c>
      <c r="H675" s="50">
        <f t="shared" si="647"/>
        <v>2.9286927979133532E-2</v>
      </c>
      <c r="I675" s="50">
        <f t="shared" si="647"/>
        <v>2.9138028999542646E-2</v>
      </c>
      <c r="J675" s="50">
        <f t="shared" si="647"/>
        <v>3.0942883559119717E-2</v>
      </c>
      <c r="K675" s="50">
        <f t="shared" si="647"/>
        <v>3.4432484834348992E-2</v>
      </c>
      <c r="L675" s="50">
        <f t="shared" si="647"/>
        <v>3.8305304424032266E-2</v>
      </c>
      <c r="M675" s="50">
        <f t="shared" si="647"/>
        <v>4.1103790742913066E-2</v>
      </c>
      <c r="N675" s="50">
        <f t="shared" si="647"/>
        <v>4.2608444243851212E-2</v>
      </c>
      <c r="O675" s="50">
        <f t="shared" si="647"/>
        <v>4.3914681848814308E-2</v>
      </c>
      <c r="P675" s="50">
        <f t="shared" si="647"/>
        <v>4.5729867165388009E-2</v>
      </c>
      <c r="Q675" s="50">
        <f t="shared" si="647"/>
        <v>4.5741487779353565E-2</v>
      </c>
      <c r="R675" s="50">
        <f t="shared" si="647"/>
        <v>4.4277060725657284E-2</v>
      </c>
      <c r="S675" s="50">
        <f t="shared" si="647"/>
        <v>4.3144199391556254E-2</v>
      </c>
      <c r="T675" s="50">
        <f t="shared" si="647"/>
        <v>4.3279567369281124E-2</v>
      </c>
      <c r="U675" s="50">
        <f t="shared" si="647"/>
        <v>4.4109954506885138E-2</v>
      </c>
      <c r="V675" s="50">
        <f t="shared" si="647"/>
        <v>4.6298728840315946E-2</v>
      </c>
      <c r="W675" s="50">
        <f t="shared" si="647"/>
        <v>5.6176649878816001E-2</v>
      </c>
      <c r="X675" s="50">
        <f t="shared" si="647"/>
        <v>6.2194705000087863E-2</v>
      </c>
      <c r="Y675" s="50">
        <f t="shared" si="647"/>
        <v>5.7928891294023718E-2</v>
      </c>
      <c r="Z675" s="50">
        <f t="shared" si="647"/>
        <v>5.019499221712586E-2</v>
      </c>
      <c r="AA675" s="50">
        <f t="shared" si="647"/>
        <v>4.1853093029906328E-2</v>
      </c>
      <c r="AB675" s="50">
        <f t="shared" si="647"/>
        <v>3.507334666327714E-2</v>
      </c>
      <c r="AC675" s="8">
        <f t="shared" si="646"/>
        <v>3.9999999999999991</v>
      </c>
    </row>
    <row r="676" spans="2:29">
      <c r="B676" s="16"/>
      <c r="C676" s="8" t="s">
        <v>48</v>
      </c>
      <c r="D676" s="8">
        <v>2</v>
      </c>
      <c r="E676" s="50">
        <f t="shared" ref="E676:AB676" si="648">+E616</f>
        <v>3.367503361886829E-2</v>
      </c>
      <c r="F676" s="50">
        <f t="shared" si="648"/>
        <v>3.1245692535415936E-2</v>
      </c>
      <c r="G676" s="50">
        <f t="shared" si="648"/>
        <v>2.9861746203171599E-2</v>
      </c>
      <c r="H676" s="50">
        <f t="shared" si="648"/>
        <v>2.9235019370742008E-2</v>
      </c>
      <c r="I676" s="50">
        <f t="shared" si="648"/>
        <v>3.0186379118294998E-2</v>
      </c>
      <c r="J676" s="50">
        <f t="shared" si="648"/>
        <v>3.3123682717801174E-2</v>
      </c>
      <c r="K676" s="50">
        <f t="shared" si="648"/>
        <v>3.5563630818173868E-2</v>
      </c>
      <c r="L676" s="50">
        <f t="shared" si="648"/>
        <v>3.7375437025807548E-2</v>
      </c>
      <c r="M676" s="50">
        <f t="shared" si="648"/>
        <v>3.9557895894381336E-2</v>
      </c>
      <c r="N676" s="50">
        <f t="shared" si="648"/>
        <v>4.1330002492198488E-2</v>
      </c>
      <c r="O676" s="50">
        <f t="shared" si="648"/>
        <v>4.3273465010057272E-2</v>
      </c>
      <c r="P676" s="50">
        <f t="shared" si="648"/>
        <v>4.5278417057592932E-2</v>
      </c>
      <c r="Q676" s="50">
        <f t="shared" si="648"/>
        <v>4.5765189585786785E-2</v>
      </c>
      <c r="R676" s="50">
        <f t="shared" si="648"/>
        <v>4.421428774797561E-2</v>
      </c>
      <c r="S676" s="50">
        <f t="shared" si="648"/>
        <v>4.3245429527174986E-2</v>
      </c>
      <c r="T676" s="50">
        <f t="shared" si="648"/>
        <v>4.3554999005074702E-2</v>
      </c>
      <c r="U676" s="50">
        <f t="shared" si="648"/>
        <v>4.4435510161992771E-2</v>
      </c>
      <c r="V676" s="50">
        <f t="shared" si="648"/>
        <v>4.717219114348542E-2</v>
      </c>
      <c r="W676" s="50">
        <f t="shared" si="648"/>
        <v>5.6899741232983039E-2</v>
      </c>
      <c r="X676" s="50">
        <f t="shared" si="648"/>
        <v>6.1986738769463187E-2</v>
      </c>
      <c r="Y676" s="50">
        <f t="shared" si="648"/>
        <v>5.7208700429979269E-2</v>
      </c>
      <c r="Z676" s="50">
        <f t="shared" si="648"/>
        <v>4.9339560702577757E-2</v>
      </c>
      <c r="AA676" s="50">
        <f t="shared" si="648"/>
        <v>4.1368944501432053E-2</v>
      </c>
      <c r="AB676" s="50">
        <f t="shared" si="648"/>
        <v>3.5102305329568817E-2</v>
      </c>
      <c r="AC676" s="8">
        <f t="shared" si="646"/>
        <v>1.9999999999999996</v>
      </c>
    </row>
    <row r="677" spans="2:29">
      <c r="B677" s="12"/>
      <c r="C677" s="12" t="s">
        <v>15</v>
      </c>
      <c r="D677" s="12">
        <f>+SUM(D673:D676)</f>
        <v>31</v>
      </c>
      <c r="E677" s="19">
        <f>+SUMPRODUCT(E673:E676,$D673:$D676)</f>
        <v>0.93970041794117598</v>
      </c>
      <c r="F677" s="19">
        <f>+SUMPRODUCT(F673:F676,$D673:$D676)</f>
        <v>0.88299848210598197</v>
      </c>
      <c r="G677" s="19">
        <f t="shared" ref="G677:AB677" si="649">+SUMPRODUCT(G673:G676,$D673:$D676)</f>
        <v>0.85232072032812478</v>
      </c>
      <c r="H677" s="19">
        <f t="shared" si="649"/>
        <v>0.84829573596419738</v>
      </c>
      <c r="I677" s="19">
        <f t="shared" si="649"/>
        <v>0.90390631204323935</v>
      </c>
      <c r="J677" s="19">
        <f t="shared" si="649"/>
        <v>1.0443345629819747</v>
      </c>
      <c r="K677" s="19">
        <f t="shared" si="649"/>
        <v>1.1692394585131909</v>
      </c>
      <c r="L677" s="19">
        <f t="shared" si="649"/>
        <v>1.215174474736755</v>
      </c>
      <c r="M677" s="19">
        <f t="shared" si="649"/>
        <v>1.2698360888260669</v>
      </c>
      <c r="N677" s="19">
        <f t="shared" si="649"/>
        <v>1.3107691699084727</v>
      </c>
      <c r="O677" s="19">
        <f t="shared" si="649"/>
        <v>1.3692583054954905</v>
      </c>
      <c r="P677" s="19">
        <f t="shared" si="649"/>
        <v>1.4328995354134009</v>
      </c>
      <c r="Q677" s="19">
        <f t="shared" si="649"/>
        <v>1.4140992576205618</v>
      </c>
      <c r="R677" s="19">
        <f t="shared" si="649"/>
        <v>1.3660177361952903</v>
      </c>
      <c r="S677" s="19">
        <f t="shared" si="649"/>
        <v>1.3616086059729351</v>
      </c>
      <c r="T677" s="19">
        <f t="shared" si="649"/>
        <v>1.3863395969149375</v>
      </c>
      <c r="U677" s="19">
        <f t="shared" si="649"/>
        <v>1.4163086870602422</v>
      </c>
      <c r="V677" s="19">
        <f t="shared" si="649"/>
        <v>1.4804641430271626</v>
      </c>
      <c r="W677" s="19">
        <f t="shared" si="649"/>
        <v>1.7623830195837451</v>
      </c>
      <c r="X677" s="19">
        <f t="shared" si="649"/>
        <v>1.914113623259466</v>
      </c>
      <c r="Y677" s="19">
        <f t="shared" si="649"/>
        <v>1.7760762462529034</v>
      </c>
      <c r="Z677" s="19">
        <f t="shared" si="649"/>
        <v>1.5517601439437572</v>
      </c>
      <c r="AA677" s="19">
        <f t="shared" si="649"/>
        <v>1.2778619861262095</v>
      </c>
      <c r="AB677" s="19">
        <f t="shared" si="649"/>
        <v>1.0542336897847193</v>
      </c>
      <c r="AC677" s="12">
        <f>+SUM(E677:AB677)</f>
        <v>30.999999999999996</v>
      </c>
    </row>
    <row r="678" spans="2:29">
      <c r="B678" s="15">
        <f>+EDATE(B673,1)</f>
        <v>48976</v>
      </c>
      <c r="C678" s="8" t="s">
        <v>45</v>
      </c>
      <c r="D678" s="8">
        <v>20</v>
      </c>
      <c r="E678" s="50">
        <f t="shared" ref="E678:AB678" si="650">+E618</f>
        <v>2.9361257124838391E-2</v>
      </c>
      <c r="F678" s="50">
        <f t="shared" si="650"/>
        <v>2.7692710332229715E-2</v>
      </c>
      <c r="G678" s="50">
        <f t="shared" si="650"/>
        <v>2.6785161397696527E-2</v>
      </c>
      <c r="H678" s="50">
        <f t="shared" si="650"/>
        <v>2.6786989368939883E-2</v>
      </c>
      <c r="I678" s="50">
        <f t="shared" si="650"/>
        <v>2.9135775177511477E-2</v>
      </c>
      <c r="J678" s="50">
        <f t="shared" si="650"/>
        <v>3.4540443856715661E-2</v>
      </c>
      <c r="K678" s="50">
        <f t="shared" si="650"/>
        <v>3.8789035252325646E-2</v>
      </c>
      <c r="L678" s="50">
        <f t="shared" si="650"/>
        <v>3.957865839345593E-2</v>
      </c>
      <c r="M678" s="50">
        <f t="shared" si="650"/>
        <v>4.0957538271781398E-2</v>
      </c>
      <c r="N678" s="50">
        <f t="shared" si="650"/>
        <v>4.2166920044863825E-2</v>
      </c>
      <c r="O678" s="50">
        <f t="shared" si="650"/>
        <v>4.4150374939633218E-2</v>
      </c>
      <c r="P678" s="50">
        <f t="shared" si="650"/>
        <v>4.6294816466469102E-2</v>
      </c>
      <c r="Q678" s="50">
        <f t="shared" si="650"/>
        <v>4.5431875959152102E-2</v>
      </c>
      <c r="R678" s="50">
        <f t="shared" si="650"/>
        <v>4.3879728503346101E-2</v>
      </c>
      <c r="S678" s="50">
        <f t="shared" si="650"/>
        <v>4.4118506624640258E-2</v>
      </c>
      <c r="T678" s="50">
        <f t="shared" si="650"/>
        <v>4.5188432655351718E-2</v>
      </c>
      <c r="U678" s="50">
        <f t="shared" si="650"/>
        <v>4.624302558461979E-2</v>
      </c>
      <c r="V678" s="50">
        <f t="shared" si="650"/>
        <v>4.8247238962955179E-2</v>
      </c>
      <c r="W678" s="50">
        <f t="shared" si="650"/>
        <v>5.7096885328092907E-2</v>
      </c>
      <c r="X678" s="50">
        <f t="shared" si="650"/>
        <v>6.1739938045350239E-2</v>
      </c>
      <c r="Y678" s="50">
        <f t="shared" si="650"/>
        <v>5.7231881517227232E-2</v>
      </c>
      <c r="Z678" s="50">
        <f t="shared" si="650"/>
        <v>5.0129255438435008E-2</v>
      </c>
      <c r="AA678" s="50">
        <f t="shared" si="650"/>
        <v>4.1010488221716553E-2</v>
      </c>
      <c r="AB678" s="50">
        <f t="shared" si="650"/>
        <v>3.34430625326523E-2</v>
      </c>
      <c r="AC678" s="8">
        <f>+SUM(E678:AB678)*D678</f>
        <v>20.000000000000004</v>
      </c>
    </row>
    <row r="679" spans="2:29">
      <c r="B679" s="16"/>
      <c r="C679" s="8" t="s">
        <v>46</v>
      </c>
      <c r="D679" s="8">
        <v>4</v>
      </c>
      <c r="E679" s="50">
        <f t="shared" ref="E679:AB679" si="651">+E619</f>
        <v>3.0659473205105158E-2</v>
      </c>
      <c r="F679" s="50">
        <f t="shared" si="651"/>
        <v>2.8600001140869122E-2</v>
      </c>
      <c r="G679" s="50">
        <f t="shared" si="651"/>
        <v>2.7683858575034276E-2</v>
      </c>
      <c r="H679" s="50">
        <f t="shared" si="651"/>
        <v>2.7537802139610414E-2</v>
      </c>
      <c r="I679" s="50">
        <f t="shared" si="651"/>
        <v>2.8782539770184416E-2</v>
      </c>
      <c r="J679" s="50">
        <f t="shared" si="651"/>
        <v>3.2241585579716119E-2</v>
      </c>
      <c r="K679" s="50">
        <f t="shared" si="651"/>
        <v>3.645312931015221E-2</v>
      </c>
      <c r="L679" s="50">
        <f t="shared" si="651"/>
        <v>3.9012639181609042E-2</v>
      </c>
      <c r="M679" s="50">
        <f t="shared" si="651"/>
        <v>4.1549207589560662E-2</v>
      </c>
      <c r="N679" s="50">
        <f t="shared" si="651"/>
        <v>4.3042516751632572E-2</v>
      </c>
      <c r="O679" s="50">
        <f t="shared" si="651"/>
        <v>4.4973693586955334E-2</v>
      </c>
      <c r="P679" s="50">
        <f t="shared" si="651"/>
        <v>4.6808021710202923E-2</v>
      </c>
      <c r="Q679" s="50">
        <f t="shared" si="651"/>
        <v>4.6383383047344962E-2</v>
      </c>
      <c r="R679" s="50">
        <f t="shared" si="651"/>
        <v>4.4751654806610461E-2</v>
      </c>
      <c r="S679" s="50">
        <f t="shared" si="651"/>
        <v>4.4013077558728637E-2</v>
      </c>
      <c r="T679" s="50">
        <f t="shared" si="651"/>
        <v>4.428856091631931E-2</v>
      </c>
      <c r="U679" s="50">
        <f t="shared" si="651"/>
        <v>4.49735778579251E-2</v>
      </c>
      <c r="V679" s="50">
        <f t="shared" si="651"/>
        <v>4.6933206789217301E-2</v>
      </c>
      <c r="W679" s="50">
        <f t="shared" si="651"/>
        <v>5.6210586428141023E-2</v>
      </c>
      <c r="X679" s="50">
        <f t="shared" si="651"/>
        <v>6.1205656691958259E-2</v>
      </c>
      <c r="Y679" s="50">
        <f t="shared" si="651"/>
        <v>5.7018442088769522E-2</v>
      </c>
      <c r="Z679" s="50">
        <f t="shared" si="651"/>
        <v>4.9896672365740725E-2</v>
      </c>
      <c r="AA679" s="50">
        <f t="shared" si="651"/>
        <v>4.1622868086918119E-2</v>
      </c>
      <c r="AB679" s="50">
        <f t="shared" si="651"/>
        <v>3.5357844821693719E-2</v>
      </c>
      <c r="AC679" s="8">
        <f t="shared" ref="AC679:AC681" si="652">+SUM(E679:AB679)*D679</f>
        <v>3.9999999999999969</v>
      </c>
    </row>
    <row r="680" spans="2:29">
      <c r="B680" s="16"/>
      <c r="C680" s="8" t="s">
        <v>47</v>
      </c>
      <c r="D680" s="8">
        <v>4</v>
      </c>
      <c r="E680" s="50">
        <f t="shared" ref="E680:AB680" si="653">+E620</f>
        <v>3.3281514565353124E-2</v>
      </c>
      <c r="F680" s="50">
        <f t="shared" si="653"/>
        <v>3.1140043873712407E-2</v>
      </c>
      <c r="G680" s="50">
        <f t="shared" si="653"/>
        <v>2.984335106750436E-2</v>
      </c>
      <c r="H680" s="50">
        <f t="shared" si="653"/>
        <v>2.9286927979133532E-2</v>
      </c>
      <c r="I680" s="50">
        <f t="shared" si="653"/>
        <v>2.9138028999542646E-2</v>
      </c>
      <c r="J680" s="50">
        <f t="shared" si="653"/>
        <v>3.0942883559119717E-2</v>
      </c>
      <c r="K680" s="50">
        <f t="shared" si="653"/>
        <v>3.4432484834348992E-2</v>
      </c>
      <c r="L680" s="50">
        <f t="shared" si="653"/>
        <v>3.8305304424032266E-2</v>
      </c>
      <c r="M680" s="50">
        <f t="shared" si="653"/>
        <v>4.1103790742913066E-2</v>
      </c>
      <c r="N680" s="50">
        <f t="shared" si="653"/>
        <v>4.2608444243851212E-2</v>
      </c>
      <c r="O680" s="50">
        <f t="shared" si="653"/>
        <v>4.3914681848814308E-2</v>
      </c>
      <c r="P680" s="50">
        <f t="shared" si="653"/>
        <v>4.5729867165388009E-2</v>
      </c>
      <c r="Q680" s="50">
        <f t="shared" si="653"/>
        <v>4.5741487779353565E-2</v>
      </c>
      <c r="R680" s="50">
        <f t="shared" si="653"/>
        <v>4.4277060725657284E-2</v>
      </c>
      <c r="S680" s="50">
        <f t="shared" si="653"/>
        <v>4.3144199391556254E-2</v>
      </c>
      <c r="T680" s="50">
        <f t="shared" si="653"/>
        <v>4.3279567369281124E-2</v>
      </c>
      <c r="U680" s="50">
        <f t="shared" si="653"/>
        <v>4.4109954506885138E-2</v>
      </c>
      <c r="V680" s="50">
        <f t="shared" si="653"/>
        <v>4.6298728840315946E-2</v>
      </c>
      <c r="W680" s="50">
        <f t="shared" si="653"/>
        <v>5.6176649878816001E-2</v>
      </c>
      <c r="X680" s="50">
        <f t="shared" si="653"/>
        <v>6.2194705000087863E-2</v>
      </c>
      <c r="Y680" s="50">
        <f t="shared" si="653"/>
        <v>5.7928891294023718E-2</v>
      </c>
      <c r="Z680" s="50">
        <f t="shared" si="653"/>
        <v>5.019499221712586E-2</v>
      </c>
      <c r="AA680" s="50">
        <f t="shared" si="653"/>
        <v>4.1853093029906328E-2</v>
      </c>
      <c r="AB680" s="50">
        <f t="shared" si="653"/>
        <v>3.507334666327714E-2</v>
      </c>
      <c r="AC680" s="8">
        <f t="shared" si="652"/>
        <v>3.9999999999999991</v>
      </c>
    </row>
    <row r="681" spans="2:29">
      <c r="B681" s="16"/>
      <c r="C681" s="8" t="s">
        <v>48</v>
      </c>
      <c r="D681" s="8">
        <v>0</v>
      </c>
      <c r="E681" s="50">
        <f t="shared" ref="E681:AB681" si="654">+E621</f>
        <v>3.367503361886829E-2</v>
      </c>
      <c r="F681" s="50">
        <f t="shared" si="654"/>
        <v>3.1245692535415936E-2</v>
      </c>
      <c r="G681" s="50">
        <f t="shared" si="654"/>
        <v>2.9861746203171599E-2</v>
      </c>
      <c r="H681" s="50">
        <f t="shared" si="654"/>
        <v>2.9235019370742008E-2</v>
      </c>
      <c r="I681" s="50">
        <f t="shared" si="654"/>
        <v>3.0186379118294998E-2</v>
      </c>
      <c r="J681" s="50">
        <f t="shared" si="654"/>
        <v>3.3123682717801174E-2</v>
      </c>
      <c r="K681" s="50">
        <f t="shared" si="654"/>
        <v>3.5563630818173868E-2</v>
      </c>
      <c r="L681" s="50">
        <f t="shared" si="654"/>
        <v>3.7375437025807548E-2</v>
      </c>
      <c r="M681" s="50">
        <f t="shared" si="654"/>
        <v>3.9557895894381336E-2</v>
      </c>
      <c r="N681" s="50">
        <f t="shared" si="654"/>
        <v>4.1330002492198488E-2</v>
      </c>
      <c r="O681" s="50">
        <f t="shared" si="654"/>
        <v>4.3273465010057272E-2</v>
      </c>
      <c r="P681" s="50">
        <f t="shared" si="654"/>
        <v>4.5278417057592932E-2</v>
      </c>
      <c r="Q681" s="50">
        <f t="shared" si="654"/>
        <v>4.5765189585786785E-2</v>
      </c>
      <c r="R681" s="50">
        <f t="shared" si="654"/>
        <v>4.421428774797561E-2</v>
      </c>
      <c r="S681" s="50">
        <f t="shared" si="654"/>
        <v>4.3245429527174986E-2</v>
      </c>
      <c r="T681" s="50">
        <f t="shared" si="654"/>
        <v>4.3554999005074702E-2</v>
      </c>
      <c r="U681" s="50">
        <f t="shared" si="654"/>
        <v>4.4435510161992771E-2</v>
      </c>
      <c r="V681" s="50">
        <f t="shared" si="654"/>
        <v>4.717219114348542E-2</v>
      </c>
      <c r="W681" s="50">
        <f t="shared" si="654"/>
        <v>5.6899741232983039E-2</v>
      </c>
      <c r="X681" s="50">
        <f t="shared" si="654"/>
        <v>6.1986738769463187E-2</v>
      </c>
      <c r="Y681" s="50">
        <f t="shared" si="654"/>
        <v>5.7208700429979269E-2</v>
      </c>
      <c r="Z681" s="50">
        <f t="shared" si="654"/>
        <v>4.9339560702577757E-2</v>
      </c>
      <c r="AA681" s="50">
        <f t="shared" si="654"/>
        <v>4.1368944501432053E-2</v>
      </c>
      <c r="AB681" s="50">
        <f t="shared" si="654"/>
        <v>3.5102305329568817E-2</v>
      </c>
      <c r="AC681" s="8">
        <f t="shared" si="652"/>
        <v>0</v>
      </c>
    </row>
    <row r="682" spans="2:29">
      <c r="B682" s="12"/>
      <c r="C682" s="12" t="s">
        <v>15</v>
      </c>
      <c r="D682" s="12">
        <f>+SUM(D678:D681)</f>
        <v>28</v>
      </c>
      <c r="E682" s="19">
        <f>+SUMPRODUCT(E678:E681,$D678:$D681)</f>
        <v>0.84298909357860086</v>
      </c>
      <c r="F682" s="19">
        <f>+SUMPRODUCT(F678:F681,$D678:$D681)</f>
        <v>0.79281438670292037</v>
      </c>
      <c r="G682" s="19">
        <f t="shared" ref="G682:AB682" si="655">+SUMPRODUCT(G678:G681,$D678:$D681)</f>
        <v>0.76581206652408507</v>
      </c>
      <c r="H682" s="19">
        <f t="shared" si="655"/>
        <v>0.76303870785377348</v>
      </c>
      <c r="I682" s="19">
        <f t="shared" si="655"/>
        <v>0.81439777862913776</v>
      </c>
      <c r="J682" s="19">
        <f t="shared" si="655"/>
        <v>0.94354675368965668</v>
      </c>
      <c r="K682" s="19">
        <f t="shared" si="655"/>
        <v>1.0593231616245178</v>
      </c>
      <c r="L682" s="19">
        <f t="shared" si="655"/>
        <v>1.1008449422916837</v>
      </c>
      <c r="M682" s="19">
        <f t="shared" si="655"/>
        <v>1.1497627587655228</v>
      </c>
      <c r="N682" s="19">
        <f t="shared" si="655"/>
        <v>1.1859422448792118</v>
      </c>
      <c r="O682" s="19">
        <f t="shared" si="655"/>
        <v>1.238561000535743</v>
      </c>
      <c r="P682" s="19">
        <f t="shared" si="655"/>
        <v>1.2960478848317458</v>
      </c>
      <c r="Q682" s="19">
        <f t="shared" si="655"/>
        <v>1.2771370024898361</v>
      </c>
      <c r="R682" s="19">
        <f t="shared" si="655"/>
        <v>1.2337094321959929</v>
      </c>
      <c r="S682" s="19">
        <f t="shared" si="655"/>
        <v>1.2309992402939449</v>
      </c>
      <c r="T682" s="19">
        <f t="shared" si="655"/>
        <v>1.2540411662494362</v>
      </c>
      <c r="U682" s="19">
        <f t="shared" si="655"/>
        <v>1.2811946411516368</v>
      </c>
      <c r="V682" s="19">
        <f t="shared" si="655"/>
        <v>1.3378725217772365</v>
      </c>
      <c r="W682" s="19">
        <f t="shared" si="655"/>
        <v>1.5914866517896862</v>
      </c>
      <c r="X682" s="19">
        <f t="shared" si="655"/>
        <v>1.7284002076751892</v>
      </c>
      <c r="Y682" s="19">
        <f t="shared" si="655"/>
        <v>1.6044269638757178</v>
      </c>
      <c r="Z682" s="19">
        <f t="shared" si="655"/>
        <v>1.4029517671001666</v>
      </c>
      <c r="AA682" s="19">
        <f t="shared" si="655"/>
        <v>1.1541136089016288</v>
      </c>
      <c r="AB682" s="19">
        <f t="shared" si="655"/>
        <v>0.95058601659292941</v>
      </c>
      <c r="AC682" s="12">
        <f>+SUM(E682:AB682)</f>
        <v>27.999999999999996</v>
      </c>
    </row>
    <row r="683" spans="2:29">
      <c r="B683" s="15">
        <f>+EDATE(B678,1)</f>
        <v>49004</v>
      </c>
      <c r="C683" s="8" t="s">
        <v>45</v>
      </c>
      <c r="D683" s="8">
        <v>22</v>
      </c>
      <c r="E683" s="50">
        <f t="shared" ref="E683:AB683" si="656">+E623</f>
        <v>2.9361257124838391E-2</v>
      </c>
      <c r="F683" s="50">
        <f t="shared" si="656"/>
        <v>2.7692710332229715E-2</v>
      </c>
      <c r="G683" s="50">
        <f t="shared" si="656"/>
        <v>2.6785161397696527E-2</v>
      </c>
      <c r="H683" s="50">
        <f t="shared" si="656"/>
        <v>2.6786989368939883E-2</v>
      </c>
      <c r="I683" s="50">
        <f t="shared" si="656"/>
        <v>2.9135775177511477E-2</v>
      </c>
      <c r="J683" s="50">
        <f t="shared" si="656"/>
        <v>3.4540443856715661E-2</v>
      </c>
      <c r="K683" s="50">
        <f t="shared" si="656"/>
        <v>3.8789035252325646E-2</v>
      </c>
      <c r="L683" s="50">
        <f t="shared" si="656"/>
        <v>3.957865839345593E-2</v>
      </c>
      <c r="M683" s="50">
        <f t="shared" si="656"/>
        <v>4.0957538271781398E-2</v>
      </c>
      <c r="N683" s="50">
        <f t="shared" si="656"/>
        <v>4.2166920044863825E-2</v>
      </c>
      <c r="O683" s="50">
        <f t="shared" si="656"/>
        <v>4.4150374939633218E-2</v>
      </c>
      <c r="P683" s="50">
        <f t="shared" si="656"/>
        <v>4.6294816466469102E-2</v>
      </c>
      <c r="Q683" s="50">
        <f t="shared" si="656"/>
        <v>4.5431875959152102E-2</v>
      </c>
      <c r="R683" s="50">
        <f t="shared" si="656"/>
        <v>4.3879728503346101E-2</v>
      </c>
      <c r="S683" s="50">
        <f t="shared" si="656"/>
        <v>4.4118506624640258E-2</v>
      </c>
      <c r="T683" s="50">
        <f t="shared" si="656"/>
        <v>4.5188432655351718E-2</v>
      </c>
      <c r="U683" s="50">
        <f t="shared" si="656"/>
        <v>4.624302558461979E-2</v>
      </c>
      <c r="V683" s="50">
        <f t="shared" si="656"/>
        <v>4.8247238962955179E-2</v>
      </c>
      <c r="W683" s="50">
        <f t="shared" si="656"/>
        <v>5.7096885328092907E-2</v>
      </c>
      <c r="X683" s="50">
        <f t="shared" si="656"/>
        <v>6.1739938045350239E-2</v>
      </c>
      <c r="Y683" s="50">
        <f t="shared" si="656"/>
        <v>5.7231881517227232E-2</v>
      </c>
      <c r="Z683" s="50">
        <f t="shared" si="656"/>
        <v>5.0129255438435008E-2</v>
      </c>
      <c r="AA683" s="50">
        <f t="shared" si="656"/>
        <v>4.1010488221716553E-2</v>
      </c>
      <c r="AB683" s="50">
        <f t="shared" si="656"/>
        <v>3.34430625326523E-2</v>
      </c>
      <c r="AC683" s="8">
        <f>+SUM(E683:AB683)*D683</f>
        <v>22.000000000000004</v>
      </c>
    </row>
    <row r="684" spans="2:29">
      <c r="B684" s="16"/>
      <c r="C684" s="8" t="s">
        <v>46</v>
      </c>
      <c r="D684" s="8">
        <v>4</v>
      </c>
      <c r="E684" s="50">
        <f t="shared" ref="E684:AB684" si="657">+E624</f>
        <v>3.0659473205105158E-2</v>
      </c>
      <c r="F684" s="50">
        <f t="shared" si="657"/>
        <v>2.8600001140869122E-2</v>
      </c>
      <c r="G684" s="50">
        <f t="shared" si="657"/>
        <v>2.7683858575034276E-2</v>
      </c>
      <c r="H684" s="50">
        <f t="shared" si="657"/>
        <v>2.7537802139610414E-2</v>
      </c>
      <c r="I684" s="50">
        <f t="shared" si="657"/>
        <v>2.8782539770184416E-2</v>
      </c>
      <c r="J684" s="50">
        <f t="shared" si="657"/>
        <v>3.2241585579716119E-2</v>
      </c>
      <c r="K684" s="50">
        <f t="shared" si="657"/>
        <v>3.645312931015221E-2</v>
      </c>
      <c r="L684" s="50">
        <f t="shared" si="657"/>
        <v>3.9012639181609042E-2</v>
      </c>
      <c r="M684" s="50">
        <f t="shared" si="657"/>
        <v>4.1549207589560662E-2</v>
      </c>
      <c r="N684" s="50">
        <f t="shared" si="657"/>
        <v>4.3042516751632572E-2</v>
      </c>
      <c r="O684" s="50">
        <f t="shared" si="657"/>
        <v>4.4973693586955334E-2</v>
      </c>
      <c r="P684" s="50">
        <f t="shared" si="657"/>
        <v>4.6808021710202923E-2</v>
      </c>
      <c r="Q684" s="50">
        <f t="shared" si="657"/>
        <v>4.6383383047344962E-2</v>
      </c>
      <c r="R684" s="50">
        <f t="shared" si="657"/>
        <v>4.4751654806610461E-2</v>
      </c>
      <c r="S684" s="50">
        <f t="shared" si="657"/>
        <v>4.4013077558728637E-2</v>
      </c>
      <c r="T684" s="50">
        <f t="shared" si="657"/>
        <v>4.428856091631931E-2</v>
      </c>
      <c r="U684" s="50">
        <f t="shared" si="657"/>
        <v>4.49735778579251E-2</v>
      </c>
      <c r="V684" s="50">
        <f t="shared" si="657"/>
        <v>4.6933206789217301E-2</v>
      </c>
      <c r="W684" s="50">
        <f t="shared" si="657"/>
        <v>5.6210586428141023E-2</v>
      </c>
      <c r="X684" s="50">
        <f t="shared" si="657"/>
        <v>6.1205656691958259E-2</v>
      </c>
      <c r="Y684" s="50">
        <f t="shared" si="657"/>
        <v>5.7018442088769522E-2</v>
      </c>
      <c r="Z684" s="50">
        <f t="shared" si="657"/>
        <v>4.9896672365740725E-2</v>
      </c>
      <c r="AA684" s="50">
        <f t="shared" si="657"/>
        <v>4.1622868086918119E-2</v>
      </c>
      <c r="AB684" s="50">
        <f t="shared" si="657"/>
        <v>3.5357844821693719E-2</v>
      </c>
      <c r="AC684" s="8">
        <f t="shared" ref="AC684:AC686" si="658">+SUM(E684:AB684)*D684</f>
        <v>3.9999999999999969</v>
      </c>
    </row>
    <row r="685" spans="2:29">
      <c r="B685" s="16"/>
      <c r="C685" s="8" t="s">
        <v>47</v>
      </c>
      <c r="D685" s="8">
        <v>4</v>
      </c>
      <c r="E685" s="50">
        <f t="shared" ref="E685:AB686" si="659">+E625</f>
        <v>3.3281514565353124E-2</v>
      </c>
      <c r="F685" s="50">
        <f t="shared" si="659"/>
        <v>3.1140043873712407E-2</v>
      </c>
      <c r="G685" s="50">
        <f t="shared" si="659"/>
        <v>2.984335106750436E-2</v>
      </c>
      <c r="H685" s="50">
        <f t="shared" si="659"/>
        <v>2.9286927979133532E-2</v>
      </c>
      <c r="I685" s="50">
        <f t="shared" si="659"/>
        <v>2.9138028999542646E-2</v>
      </c>
      <c r="J685" s="50">
        <f t="shared" si="659"/>
        <v>3.0942883559119717E-2</v>
      </c>
      <c r="K685" s="50">
        <f t="shared" si="659"/>
        <v>3.4432484834348992E-2</v>
      </c>
      <c r="L685" s="50">
        <f t="shared" si="659"/>
        <v>3.8305304424032266E-2</v>
      </c>
      <c r="M685" s="50">
        <f t="shared" si="659"/>
        <v>4.1103790742913066E-2</v>
      </c>
      <c r="N685" s="50">
        <f t="shared" si="659"/>
        <v>4.2608444243851212E-2</v>
      </c>
      <c r="O685" s="50">
        <f t="shared" si="659"/>
        <v>4.3914681848814308E-2</v>
      </c>
      <c r="P685" s="50">
        <f t="shared" si="659"/>
        <v>4.5729867165388009E-2</v>
      </c>
      <c r="Q685" s="50">
        <f t="shared" si="659"/>
        <v>4.5741487779353565E-2</v>
      </c>
      <c r="R685" s="50">
        <f t="shared" si="659"/>
        <v>4.4277060725657284E-2</v>
      </c>
      <c r="S685" s="50">
        <f t="shared" si="659"/>
        <v>4.3144199391556254E-2</v>
      </c>
      <c r="T685" s="50">
        <f t="shared" si="659"/>
        <v>4.3279567369281124E-2</v>
      </c>
      <c r="U685" s="50">
        <f t="shared" si="659"/>
        <v>4.4109954506885138E-2</v>
      </c>
      <c r="V685" s="50">
        <f t="shared" si="659"/>
        <v>4.6298728840315946E-2</v>
      </c>
      <c r="W685" s="50">
        <f t="shared" si="659"/>
        <v>5.6176649878816001E-2</v>
      </c>
      <c r="X685" s="50">
        <f t="shared" si="659"/>
        <v>6.2194705000087863E-2</v>
      </c>
      <c r="Y685" s="50">
        <f t="shared" si="659"/>
        <v>5.7928891294023718E-2</v>
      </c>
      <c r="Z685" s="50">
        <f t="shared" si="659"/>
        <v>5.019499221712586E-2</v>
      </c>
      <c r="AA685" s="50">
        <f t="shared" si="659"/>
        <v>4.1853093029906328E-2</v>
      </c>
      <c r="AB685" s="50">
        <f t="shared" si="659"/>
        <v>3.507334666327714E-2</v>
      </c>
      <c r="AC685" s="8">
        <f t="shared" si="658"/>
        <v>3.9999999999999991</v>
      </c>
    </row>
    <row r="686" spans="2:29">
      <c r="B686" s="16"/>
      <c r="C686" s="8" t="s">
        <v>48</v>
      </c>
      <c r="D686" s="8">
        <v>1</v>
      </c>
      <c r="E686" s="50">
        <f t="shared" ref="E686:AB686" si="660">+E626</f>
        <v>3.367503361886829E-2</v>
      </c>
      <c r="F686" s="50">
        <f t="shared" si="660"/>
        <v>3.1245692535415936E-2</v>
      </c>
      <c r="G686" s="50">
        <f t="shared" si="660"/>
        <v>2.9861746203171599E-2</v>
      </c>
      <c r="H686" s="50">
        <f t="shared" si="659"/>
        <v>2.9235019370742008E-2</v>
      </c>
      <c r="I686" s="50">
        <f t="shared" si="660"/>
        <v>3.0186379118294998E-2</v>
      </c>
      <c r="J686" s="50">
        <f t="shared" si="660"/>
        <v>3.3123682717801174E-2</v>
      </c>
      <c r="K686" s="50">
        <f t="shared" si="660"/>
        <v>3.5563630818173868E-2</v>
      </c>
      <c r="L686" s="50">
        <f t="shared" si="660"/>
        <v>3.7375437025807548E-2</v>
      </c>
      <c r="M686" s="50">
        <f t="shared" si="660"/>
        <v>3.9557895894381336E-2</v>
      </c>
      <c r="N686" s="50">
        <f t="shared" si="660"/>
        <v>4.1330002492198488E-2</v>
      </c>
      <c r="O686" s="50">
        <f t="shared" si="660"/>
        <v>4.3273465010057272E-2</v>
      </c>
      <c r="P686" s="50">
        <f t="shared" si="660"/>
        <v>4.5278417057592932E-2</v>
      </c>
      <c r="Q686" s="50">
        <f t="shared" si="660"/>
        <v>4.5765189585786785E-2</v>
      </c>
      <c r="R686" s="50">
        <f t="shared" si="660"/>
        <v>4.421428774797561E-2</v>
      </c>
      <c r="S686" s="50">
        <f t="shared" si="660"/>
        <v>4.3245429527174986E-2</v>
      </c>
      <c r="T686" s="50">
        <f t="shared" si="660"/>
        <v>4.3554999005074702E-2</v>
      </c>
      <c r="U686" s="50">
        <f t="shared" si="660"/>
        <v>4.4435510161992771E-2</v>
      </c>
      <c r="V686" s="50">
        <f t="shared" si="660"/>
        <v>4.717219114348542E-2</v>
      </c>
      <c r="W686" s="50">
        <f t="shared" si="660"/>
        <v>5.6899741232983039E-2</v>
      </c>
      <c r="X686" s="50">
        <f t="shared" si="660"/>
        <v>6.1986738769463187E-2</v>
      </c>
      <c r="Y686" s="50">
        <f t="shared" si="660"/>
        <v>5.7208700429979269E-2</v>
      </c>
      <c r="Z686" s="50">
        <f t="shared" si="660"/>
        <v>4.9339560702577757E-2</v>
      </c>
      <c r="AA686" s="50">
        <f t="shared" si="660"/>
        <v>4.1368944501432053E-2</v>
      </c>
      <c r="AB686" s="50">
        <f t="shared" si="660"/>
        <v>3.5102305329568817E-2</v>
      </c>
      <c r="AC686" s="8">
        <f t="shared" si="658"/>
        <v>0.99999999999999978</v>
      </c>
    </row>
    <row r="687" spans="2:29">
      <c r="B687" s="12"/>
      <c r="C687" s="12" t="s">
        <v>15</v>
      </c>
      <c r="D687" s="12">
        <f>+SUM(D683:D686)</f>
        <v>31</v>
      </c>
      <c r="E687" s="19">
        <f>+SUMPRODUCT(E683:E686,$D683:$D686)</f>
        <v>0.93538664144714589</v>
      </c>
      <c r="F687" s="19">
        <f>+SUMPRODUCT(F683:F686,$D683:$D686)</f>
        <v>0.87944549990279586</v>
      </c>
      <c r="G687" s="19">
        <f t="shared" ref="G687:AB687" si="661">+SUMPRODUCT(G683:G686,$D683:$D686)</f>
        <v>0.84924413552264977</v>
      </c>
      <c r="H687" s="19">
        <f t="shared" si="661"/>
        <v>0.84584770596239522</v>
      </c>
      <c r="I687" s="19">
        <f t="shared" si="661"/>
        <v>0.90285570810245575</v>
      </c>
      <c r="J687" s="19">
        <f t="shared" si="661"/>
        <v>1.0457513241208891</v>
      </c>
      <c r="K687" s="19">
        <f t="shared" si="661"/>
        <v>1.1724648629473431</v>
      </c>
      <c r="L687" s="19">
        <f t="shared" si="661"/>
        <v>1.2173776961044029</v>
      </c>
      <c r="M687" s="19">
        <f t="shared" si="661"/>
        <v>1.2712357312034672</v>
      </c>
      <c r="N687" s="19">
        <f t="shared" si="661"/>
        <v>1.3116060874611379</v>
      </c>
      <c r="O687" s="19">
        <f t="shared" si="661"/>
        <v>1.3701352154250666</v>
      </c>
      <c r="P687" s="19">
        <f t="shared" si="661"/>
        <v>1.4339159348222767</v>
      </c>
      <c r="Q687" s="19">
        <f t="shared" si="661"/>
        <v>1.413765943993927</v>
      </c>
      <c r="R687" s="19">
        <f t="shared" si="661"/>
        <v>1.3656831769506608</v>
      </c>
      <c r="S687" s="19">
        <f t="shared" si="661"/>
        <v>1.3624816830704001</v>
      </c>
      <c r="T687" s="19">
        <f t="shared" si="661"/>
        <v>1.3879730305652143</v>
      </c>
      <c r="U687" s="19">
        <f t="shared" si="661"/>
        <v>1.4181162024828693</v>
      </c>
      <c r="V687" s="19">
        <f t="shared" si="661"/>
        <v>1.4815391908466324</v>
      </c>
      <c r="W687" s="19">
        <f t="shared" si="661"/>
        <v>1.7625801636788549</v>
      </c>
      <c r="X687" s="19">
        <f t="shared" si="661"/>
        <v>1.913866822535353</v>
      </c>
      <c r="Y687" s="19">
        <f t="shared" si="661"/>
        <v>1.7760994273401516</v>
      </c>
      <c r="Z687" s="19">
        <f t="shared" si="661"/>
        <v>1.5525498386796144</v>
      </c>
      <c r="AA687" s="19">
        <f t="shared" si="661"/>
        <v>1.2775035298464938</v>
      </c>
      <c r="AB687" s="19">
        <f t="shared" si="661"/>
        <v>1.0525744469878027</v>
      </c>
      <c r="AC687" s="12">
        <f>+SUM(E687:AB687)</f>
        <v>31.000000000000004</v>
      </c>
    </row>
    <row r="688" spans="2:29">
      <c r="B688" s="15">
        <f>+EDATE(B683,1)</f>
        <v>49035</v>
      </c>
      <c r="C688" s="8" t="s">
        <v>45</v>
      </c>
      <c r="D688" s="8">
        <v>18</v>
      </c>
      <c r="E688" s="50">
        <f t="shared" ref="E688:AB688" si="662">+E628</f>
        <v>2.9361257124838391E-2</v>
      </c>
      <c r="F688" s="50">
        <f t="shared" si="662"/>
        <v>2.7692710332229715E-2</v>
      </c>
      <c r="G688" s="50">
        <f t="shared" si="662"/>
        <v>2.6785161397696527E-2</v>
      </c>
      <c r="H688" s="50">
        <f t="shared" si="662"/>
        <v>2.6786989368939883E-2</v>
      </c>
      <c r="I688" s="50">
        <f t="shared" si="662"/>
        <v>2.9135775177511477E-2</v>
      </c>
      <c r="J688" s="50">
        <f t="shared" si="662"/>
        <v>3.4540443856715661E-2</v>
      </c>
      <c r="K688" s="50">
        <f t="shared" si="662"/>
        <v>3.8789035252325646E-2</v>
      </c>
      <c r="L688" s="50">
        <f t="shared" si="662"/>
        <v>3.957865839345593E-2</v>
      </c>
      <c r="M688" s="50">
        <f t="shared" si="662"/>
        <v>4.0957538271781398E-2</v>
      </c>
      <c r="N688" s="50">
        <f t="shared" si="662"/>
        <v>4.2166920044863825E-2</v>
      </c>
      <c r="O688" s="50">
        <f t="shared" si="662"/>
        <v>4.4150374939633218E-2</v>
      </c>
      <c r="P688" s="50">
        <f t="shared" si="662"/>
        <v>4.6294816466469102E-2</v>
      </c>
      <c r="Q688" s="50">
        <f t="shared" si="662"/>
        <v>4.5431875959152102E-2</v>
      </c>
      <c r="R688" s="50">
        <f t="shared" si="662"/>
        <v>4.3879728503346101E-2</v>
      </c>
      <c r="S688" s="50">
        <f t="shared" si="662"/>
        <v>4.4118506624640258E-2</v>
      </c>
      <c r="T688" s="50">
        <f t="shared" si="662"/>
        <v>4.5188432655351718E-2</v>
      </c>
      <c r="U688" s="50">
        <f t="shared" si="662"/>
        <v>4.624302558461979E-2</v>
      </c>
      <c r="V688" s="50">
        <f t="shared" si="662"/>
        <v>4.8247238962955179E-2</v>
      </c>
      <c r="W688" s="50">
        <f t="shared" si="662"/>
        <v>5.7096885328092907E-2</v>
      </c>
      <c r="X688" s="50">
        <f t="shared" si="662"/>
        <v>6.1739938045350239E-2</v>
      </c>
      <c r="Y688" s="50">
        <f t="shared" si="662"/>
        <v>5.7231881517227232E-2</v>
      </c>
      <c r="Z688" s="50">
        <f t="shared" si="662"/>
        <v>5.0129255438435008E-2</v>
      </c>
      <c r="AA688" s="50">
        <f t="shared" si="662"/>
        <v>4.1010488221716553E-2</v>
      </c>
      <c r="AB688" s="50">
        <f t="shared" si="662"/>
        <v>3.34430625326523E-2</v>
      </c>
      <c r="AC688" s="8">
        <f>+SUM(E688:AB688)*D688</f>
        <v>18.000000000000004</v>
      </c>
    </row>
    <row r="689" spans="2:29">
      <c r="B689" s="16"/>
      <c r="C689" s="8" t="s">
        <v>46</v>
      </c>
      <c r="D689" s="8">
        <v>5</v>
      </c>
      <c r="E689" s="50">
        <f t="shared" ref="E689:AB689" si="663">+E629</f>
        <v>3.0659473205105158E-2</v>
      </c>
      <c r="F689" s="50">
        <f t="shared" si="663"/>
        <v>2.8600001140869122E-2</v>
      </c>
      <c r="G689" s="50">
        <f t="shared" si="663"/>
        <v>2.7683858575034276E-2</v>
      </c>
      <c r="H689" s="50">
        <f t="shared" si="663"/>
        <v>2.7537802139610414E-2</v>
      </c>
      <c r="I689" s="50">
        <f t="shared" si="663"/>
        <v>2.8782539770184416E-2</v>
      </c>
      <c r="J689" s="50">
        <f t="shared" si="663"/>
        <v>3.2241585579716119E-2</v>
      </c>
      <c r="K689" s="50">
        <f t="shared" si="663"/>
        <v>3.645312931015221E-2</v>
      </c>
      <c r="L689" s="50">
        <f t="shared" si="663"/>
        <v>3.9012639181609042E-2</v>
      </c>
      <c r="M689" s="50">
        <f t="shared" si="663"/>
        <v>4.1549207589560662E-2</v>
      </c>
      <c r="N689" s="50">
        <f t="shared" si="663"/>
        <v>4.3042516751632572E-2</v>
      </c>
      <c r="O689" s="50">
        <f t="shared" si="663"/>
        <v>4.4973693586955334E-2</v>
      </c>
      <c r="P689" s="50">
        <f t="shared" si="663"/>
        <v>4.6808021710202923E-2</v>
      </c>
      <c r="Q689" s="50">
        <f t="shared" si="663"/>
        <v>4.6383383047344962E-2</v>
      </c>
      <c r="R689" s="50">
        <f t="shared" si="663"/>
        <v>4.4751654806610461E-2</v>
      </c>
      <c r="S689" s="50">
        <f t="shared" si="663"/>
        <v>4.4013077558728637E-2</v>
      </c>
      <c r="T689" s="50">
        <f t="shared" si="663"/>
        <v>4.428856091631931E-2</v>
      </c>
      <c r="U689" s="50">
        <f t="shared" si="663"/>
        <v>4.49735778579251E-2</v>
      </c>
      <c r="V689" s="50">
        <f t="shared" si="663"/>
        <v>4.6933206789217301E-2</v>
      </c>
      <c r="W689" s="50">
        <f t="shared" si="663"/>
        <v>5.6210586428141023E-2</v>
      </c>
      <c r="X689" s="50">
        <f t="shared" si="663"/>
        <v>6.1205656691958259E-2</v>
      </c>
      <c r="Y689" s="50">
        <f t="shared" si="663"/>
        <v>5.7018442088769522E-2</v>
      </c>
      <c r="Z689" s="50">
        <f t="shared" si="663"/>
        <v>4.9896672365740725E-2</v>
      </c>
      <c r="AA689" s="50">
        <f t="shared" si="663"/>
        <v>4.1622868086918119E-2</v>
      </c>
      <c r="AB689" s="50">
        <f t="shared" si="663"/>
        <v>3.5357844821693719E-2</v>
      </c>
      <c r="AC689" s="8">
        <f t="shared" ref="AC689:AC691" si="664">+SUM(E689:AB689)*D689</f>
        <v>4.9999999999999964</v>
      </c>
    </row>
    <row r="690" spans="2:29">
      <c r="B690" s="16"/>
      <c r="C690" s="8" t="s">
        <v>47</v>
      </c>
      <c r="D690" s="8">
        <v>5</v>
      </c>
      <c r="E690" s="50">
        <f t="shared" ref="E690:AB690" si="665">+E630</f>
        <v>3.3281514565353124E-2</v>
      </c>
      <c r="F690" s="50">
        <f t="shared" si="665"/>
        <v>3.1140043873712407E-2</v>
      </c>
      <c r="G690" s="50">
        <f t="shared" si="665"/>
        <v>2.984335106750436E-2</v>
      </c>
      <c r="H690" s="50">
        <f t="shared" si="665"/>
        <v>2.9286927979133532E-2</v>
      </c>
      <c r="I690" s="50">
        <f t="shared" si="665"/>
        <v>2.9138028999542646E-2</v>
      </c>
      <c r="J690" s="50">
        <f t="shared" si="665"/>
        <v>3.0942883559119717E-2</v>
      </c>
      <c r="K690" s="50">
        <f t="shared" si="665"/>
        <v>3.4432484834348992E-2</v>
      </c>
      <c r="L690" s="50">
        <f t="shared" si="665"/>
        <v>3.8305304424032266E-2</v>
      </c>
      <c r="M690" s="50">
        <f t="shared" si="665"/>
        <v>4.1103790742913066E-2</v>
      </c>
      <c r="N690" s="50">
        <f t="shared" si="665"/>
        <v>4.2608444243851212E-2</v>
      </c>
      <c r="O690" s="50">
        <f t="shared" si="665"/>
        <v>4.3914681848814308E-2</v>
      </c>
      <c r="P690" s="50">
        <f t="shared" si="665"/>
        <v>4.5729867165388009E-2</v>
      </c>
      <c r="Q690" s="50">
        <f t="shared" si="665"/>
        <v>4.5741487779353565E-2</v>
      </c>
      <c r="R690" s="50">
        <f t="shared" si="665"/>
        <v>4.4277060725657284E-2</v>
      </c>
      <c r="S690" s="50">
        <f t="shared" si="665"/>
        <v>4.3144199391556254E-2</v>
      </c>
      <c r="T690" s="50">
        <f t="shared" si="665"/>
        <v>4.3279567369281124E-2</v>
      </c>
      <c r="U690" s="50">
        <f t="shared" si="665"/>
        <v>4.4109954506885138E-2</v>
      </c>
      <c r="V690" s="50">
        <f t="shared" si="665"/>
        <v>4.6298728840315946E-2</v>
      </c>
      <c r="W690" s="50">
        <f t="shared" si="665"/>
        <v>5.6176649878816001E-2</v>
      </c>
      <c r="X690" s="50">
        <f t="shared" si="665"/>
        <v>6.2194705000087863E-2</v>
      </c>
      <c r="Y690" s="50">
        <f t="shared" si="665"/>
        <v>5.7928891294023718E-2</v>
      </c>
      <c r="Z690" s="50">
        <f t="shared" si="665"/>
        <v>5.019499221712586E-2</v>
      </c>
      <c r="AA690" s="50">
        <f t="shared" si="665"/>
        <v>4.1853093029906328E-2</v>
      </c>
      <c r="AB690" s="50">
        <f t="shared" si="665"/>
        <v>3.507334666327714E-2</v>
      </c>
      <c r="AC690" s="8">
        <f t="shared" si="664"/>
        <v>4.9999999999999991</v>
      </c>
    </row>
    <row r="691" spans="2:29">
      <c r="B691" s="16"/>
      <c r="C691" s="8" t="s">
        <v>48</v>
      </c>
      <c r="D691" s="8">
        <v>2</v>
      </c>
      <c r="E691" s="50">
        <f t="shared" ref="E691:AB691" si="666">+E631</f>
        <v>3.367503361886829E-2</v>
      </c>
      <c r="F691" s="50">
        <f t="shared" si="666"/>
        <v>3.1245692535415936E-2</v>
      </c>
      <c r="G691" s="50">
        <f t="shared" si="666"/>
        <v>2.9861746203171599E-2</v>
      </c>
      <c r="H691" s="50">
        <f t="shared" si="666"/>
        <v>2.9235019370742008E-2</v>
      </c>
      <c r="I691" s="50">
        <f t="shared" si="666"/>
        <v>3.0186379118294998E-2</v>
      </c>
      <c r="J691" s="50">
        <f t="shared" si="666"/>
        <v>3.3123682717801174E-2</v>
      </c>
      <c r="K691" s="50">
        <f t="shared" si="666"/>
        <v>3.5563630818173868E-2</v>
      </c>
      <c r="L691" s="50">
        <f t="shared" si="666"/>
        <v>3.7375437025807548E-2</v>
      </c>
      <c r="M691" s="50">
        <f t="shared" si="666"/>
        <v>3.9557895894381336E-2</v>
      </c>
      <c r="N691" s="50">
        <f t="shared" si="666"/>
        <v>4.1330002492198488E-2</v>
      </c>
      <c r="O691" s="50">
        <f t="shared" si="666"/>
        <v>4.3273465010057272E-2</v>
      </c>
      <c r="P691" s="50">
        <f t="shared" si="666"/>
        <v>4.5278417057592932E-2</v>
      </c>
      <c r="Q691" s="50">
        <f t="shared" si="666"/>
        <v>4.5765189585786785E-2</v>
      </c>
      <c r="R691" s="50">
        <f t="shared" si="666"/>
        <v>4.421428774797561E-2</v>
      </c>
      <c r="S691" s="50">
        <f t="shared" si="666"/>
        <v>4.3245429527174986E-2</v>
      </c>
      <c r="T691" s="50">
        <f t="shared" si="666"/>
        <v>4.3554999005074702E-2</v>
      </c>
      <c r="U691" s="50">
        <f t="shared" si="666"/>
        <v>4.4435510161992771E-2</v>
      </c>
      <c r="V691" s="50">
        <f t="shared" si="666"/>
        <v>4.717219114348542E-2</v>
      </c>
      <c r="W691" s="50">
        <f t="shared" si="666"/>
        <v>5.6899741232983039E-2</v>
      </c>
      <c r="X691" s="50">
        <f t="shared" si="666"/>
        <v>6.1986738769463187E-2</v>
      </c>
      <c r="Y691" s="50">
        <f t="shared" si="666"/>
        <v>5.7208700429979269E-2</v>
      </c>
      <c r="Z691" s="50">
        <f t="shared" si="666"/>
        <v>4.9339560702577757E-2</v>
      </c>
      <c r="AA691" s="50">
        <f t="shared" si="666"/>
        <v>4.1368944501432053E-2</v>
      </c>
      <c r="AB691" s="50">
        <f t="shared" si="666"/>
        <v>3.5102305329568817E-2</v>
      </c>
      <c r="AC691" s="8">
        <f t="shared" si="664"/>
        <v>1.9999999999999996</v>
      </c>
    </row>
    <row r="692" spans="2:29">
      <c r="B692" s="12"/>
      <c r="C692" s="12" t="s">
        <v>15</v>
      </c>
      <c r="D692" s="12">
        <f>+SUM(D688:D691)</f>
        <v>30</v>
      </c>
      <c r="E692" s="19">
        <f>+SUMPRODUCT(E688:E691,$D688:$D691)</f>
        <v>0.91555763433711912</v>
      </c>
      <c r="F692" s="19">
        <f>+SUMPRODUCT(F688:F691,$D688:$D691)</f>
        <v>0.85966039612387446</v>
      </c>
      <c r="G692" s="19">
        <f t="shared" ref="G692:AB692" si="667">+SUMPRODUCT(G688:G691,$D688:$D691)</f>
        <v>0.82949244577757386</v>
      </c>
      <c r="H692" s="19">
        <f t="shared" si="667"/>
        <v>0.82475949797612158</v>
      </c>
      <c r="I692" s="19">
        <f t="shared" si="667"/>
        <v>0.87441955528043191</v>
      </c>
      <c r="J692" s="19">
        <f t="shared" si="667"/>
        <v>1.0038977005506635</v>
      </c>
      <c r="K692" s="19">
        <f t="shared" si="667"/>
        <v>1.1237579669007152</v>
      </c>
      <c r="L692" s="19">
        <f t="shared" si="667"/>
        <v>1.1737564431620284</v>
      </c>
      <c r="M692" s="19">
        <f t="shared" si="667"/>
        <v>1.2296164723431964</v>
      </c>
      <c r="N692" s="19">
        <f t="shared" si="667"/>
        <v>1.2699193707693648</v>
      </c>
      <c r="O692" s="19">
        <f t="shared" si="667"/>
        <v>1.3256955561123607</v>
      </c>
      <c r="P692" s="19">
        <f t="shared" si="667"/>
        <v>1.3865529748895844</v>
      </c>
      <c r="Q692" s="19">
        <f t="shared" si="667"/>
        <v>1.3699285005698041</v>
      </c>
      <c r="R692" s="19">
        <f t="shared" si="667"/>
        <v>1.3234072662175198</v>
      </c>
      <c r="S692" s="19">
        <f t="shared" si="667"/>
        <v>1.3164103630492991</v>
      </c>
      <c r="T692" s="19">
        <f t="shared" si="667"/>
        <v>1.3383424272344824</v>
      </c>
      <c r="U692" s="19">
        <f t="shared" si="667"/>
        <v>1.3666631426711928</v>
      </c>
      <c r="V692" s="19">
        <f t="shared" si="667"/>
        <v>1.4289543617678304</v>
      </c>
      <c r="W692" s="19">
        <f t="shared" si="667"/>
        <v>1.7034795999064236</v>
      </c>
      <c r="X692" s="19">
        <f t="shared" si="667"/>
        <v>1.8522941708154612</v>
      </c>
      <c r="Y692" s="19">
        <f t="shared" si="667"/>
        <v>1.7193279350840149</v>
      </c>
      <c r="Z692" s="19">
        <f t="shared" si="667"/>
        <v>1.5014640422113186</v>
      </c>
      <c r="AA692" s="19">
        <f t="shared" si="667"/>
        <v>1.2383064825778842</v>
      </c>
      <c r="AB692" s="19">
        <f t="shared" si="667"/>
        <v>1.0243356936717334</v>
      </c>
      <c r="AC692" s="12">
        <f>+SUM(E692:AB692)</f>
        <v>29.999999999999996</v>
      </c>
    </row>
    <row r="693" spans="2:29">
      <c r="B693" s="15">
        <f>+EDATE(B688,1)</f>
        <v>49065</v>
      </c>
      <c r="C693" s="8" t="s">
        <v>45</v>
      </c>
      <c r="D693" s="8">
        <v>21</v>
      </c>
      <c r="E693" s="50">
        <f t="shared" ref="E693:AB693" si="668">+E633</f>
        <v>2.9361257124838391E-2</v>
      </c>
      <c r="F693" s="50">
        <f t="shared" si="668"/>
        <v>2.7692710332229715E-2</v>
      </c>
      <c r="G693" s="50">
        <f t="shared" si="668"/>
        <v>2.6785161397696527E-2</v>
      </c>
      <c r="H693" s="50">
        <f t="shared" si="668"/>
        <v>2.6786989368939883E-2</v>
      </c>
      <c r="I693" s="50">
        <f t="shared" si="668"/>
        <v>2.9135775177511477E-2</v>
      </c>
      <c r="J693" s="50">
        <f t="shared" si="668"/>
        <v>3.4540443856715661E-2</v>
      </c>
      <c r="K693" s="50">
        <f t="shared" si="668"/>
        <v>3.8789035252325646E-2</v>
      </c>
      <c r="L693" s="50">
        <f t="shared" si="668"/>
        <v>3.957865839345593E-2</v>
      </c>
      <c r="M693" s="50">
        <f t="shared" si="668"/>
        <v>4.0957538271781398E-2</v>
      </c>
      <c r="N693" s="50">
        <f t="shared" si="668"/>
        <v>4.2166920044863825E-2</v>
      </c>
      <c r="O693" s="50">
        <f t="shared" si="668"/>
        <v>4.4150374939633218E-2</v>
      </c>
      <c r="P693" s="50">
        <f t="shared" si="668"/>
        <v>4.6294816466469102E-2</v>
      </c>
      <c r="Q693" s="50">
        <f t="shared" si="668"/>
        <v>4.5431875959152102E-2</v>
      </c>
      <c r="R693" s="50">
        <f t="shared" si="668"/>
        <v>4.3879728503346101E-2</v>
      </c>
      <c r="S693" s="50">
        <f t="shared" si="668"/>
        <v>4.4118506624640258E-2</v>
      </c>
      <c r="T693" s="50">
        <f t="shared" si="668"/>
        <v>4.5188432655351718E-2</v>
      </c>
      <c r="U693" s="50">
        <f t="shared" si="668"/>
        <v>4.624302558461979E-2</v>
      </c>
      <c r="V693" s="50">
        <f t="shared" si="668"/>
        <v>4.8247238962955179E-2</v>
      </c>
      <c r="W693" s="50">
        <f t="shared" si="668"/>
        <v>5.7096885328092907E-2</v>
      </c>
      <c r="X693" s="50">
        <f t="shared" si="668"/>
        <v>6.1739938045350239E-2</v>
      </c>
      <c r="Y693" s="50">
        <f t="shared" si="668"/>
        <v>5.7231881517227232E-2</v>
      </c>
      <c r="Z693" s="50">
        <f t="shared" si="668"/>
        <v>5.0129255438435008E-2</v>
      </c>
      <c r="AA693" s="50">
        <f t="shared" si="668"/>
        <v>4.1010488221716553E-2</v>
      </c>
      <c r="AB693" s="50">
        <f t="shared" si="668"/>
        <v>3.34430625326523E-2</v>
      </c>
      <c r="AC693" s="8">
        <f>+SUM(E693:AB693)*D693</f>
        <v>21.000000000000004</v>
      </c>
    </row>
    <row r="694" spans="2:29">
      <c r="B694" s="16"/>
      <c r="C694" s="8" t="s">
        <v>46</v>
      </c>
      <c r="D694" s="8">
        <v>4</v>
      </c>
      <c r="E694" s="50">
        <f t="shared" ref="E694:AB694" si="669">+E634</f>
        <v>3.0659473205105158E-2</v>
      </c>
      <c r="F694" s="50">
        <f t="shared" si="669"/>
        <v>2.8600001140869122E-2</v>
      </c>
      <c r="G694" s="50">
        <f t="shared" si="669"/>
        <v>2.7683858575034276E-2</v>
      </c>
      <c r="H694" s="50">
        <f t="shared" si="669"/>
        <v>2.7537802139610414E-2</v>
      </c>
      <c r="I694" s="50">
        <f t="shared" si="669"/>
        <v>2.8782539770184416E-2</v>
      </c>
      <c r="J694" s="50">
        <f t="shared" si="669"/>
        <v>3.2241585579716119E-2</v>
      </c>
      <c r="K694" s="50">
        <f t="shared" si="669"/>
        <v>3.645312931015221E-2</v>
      </c>
      <c r="L694" s="50">
        <f t="shared" si="669"/>
        <v>3.9012639181609042E-2</v>
      </c>
      <c r="M694" s="50">
        <f t="shared" si="669"/>
        <v>4.1549207589560662E-2</v>
      </c>
      <c r="N694" s="50">
        <f t="shared" si="669"/>
        <v>4.3042516751632572E-2</v>
      </c>
      <c r="O694" s="50">
        <f t="shared" si="669"/>
        <v>4.4973693586955334E-2</v>
      </c>
      <c r="P694" s="50">
        <f t="shared" si="669"/>
        <v>4.6808021710202923E-2</v>
      </c>
      <c r="Q694" s="50">
        <f t="shared" si="669"/>
        <v>4.6383383047344962E-2</v>
      </c>
      <c r="R694" s="50">
        <f t="shared" si="669"/>
        <v>4.4751654806610461E-2</v>
      </c>
      <c r="S694" s="50">
        <f t="shared" si="669"/>
        <v>4.4013077558728637E-2</v>
      </c>
      <c r="T694" s="50">
        <f t="shared" si="669"/>
        <v>4.428856091631931E-2</v>
      </c>
      <c r="U694" s="50">
        <f t="shared" si="669"/>
        <v>4.49735778579251E-2</v>
      </c>
      <c r="V694" s="50">
        <f t="shared" si="669"/>
        <v>4.6933206789217301E-2</v>
      </c>
      <c r="W694" s="50">
        <f t="shared" si="669"/>
        <v>5.6210586428141023E-2</v>
      </c>
      <c r="X694" s="50">
        <f t="shared" si="669"/>
        <v>6.1205656691958259E-2</v>
      </c>
      <c r="Y694" s="50">
        <f t="shared" si="669"/>
        <v>5.7018442088769522E-2</v>
      </c>
      <c r="Z694" s="50">
        <f t="shared" si="669"/>
        <v>4.9896672365740725E-2</v>
      </c>
      <c r="AA694" s="50">
        <f t="shared" si="669"/>
        <v>4.1622868086918119E-2</v>
      </c>
      <c r="AB694" s="50">
        <f t="shared" si="669"/>
        <v>3.5357844821693719E-2</v>
      </c>
      <c r="AC694" s="8">
        <f t="shared" ref="AC694:AC695" si="670">+SUM(E694:AB694)*D694</f>
        <v>3.9999999999999969</v>
      </c>
    </row>
    <row r="695" spans="2:29">
      <c r="B695" s="16"/>
      <c r="C695" s="8" t="s">
        <v>47</v>
      </c>
      <c r="D695" s="8">
        <v>4</v>
      </c>
      <c r="E695" s="50">
        <f t="shared" ref="E695:AB695" si="671">+E635</f>
        <v>3.3281514565353124E-2</v>
      </c>
      <c r="F695" s="50">
        <f t="shared" si="671"/>
        <v>3.1140043873712407E-2</v>
      </c>
      <c r="G695" s="50">
        <f t="shared" si="671"/>
        <v>2.984335106750436E-2</v>
      </c>
      <c r="H695" s="50">
        <f t="shared" si="671"/>
        <v>2.9286927979133532E-2</v>
      </c>
      <c r="I695" s="50">
        <f t="shared" si="671"/>
        <v>2.9138028999542646E-2</v>
      </c>
      <c r="J695" s="50">
        <f t="shared" si="671"/>
        <v>3.0942883559119717E-2</v>
      </c>
      <c r="K695" s="50">
        <f t="shared" si="671"/>
        <v>3.4432484834348992E-2</v>
      </c>
      <c r="L695" s="50">
        <f t="shared" si="671"/>
        <v>3.8305304424032266E-2</v>
      </c>
      <c r="M695" s="50">
        <f t="shared" si="671"/>
        <v>4.1103790742913066E-2</v>
      </c>
      <c r="N695" s="50">
        <f t="shared" si="671"/>
        <v>4.2608444243851212E-2</v>
      </c>
      <c r="O695" s="50">
        <f t="shared" si="671"/>
        <v>4.3914681848814308E-2</v>
      </c>
      <c r="P695" s="50">
        <f t="shared" si="671"/>
        <v>4.5729867165388009E-2</v>
      </c>
      <c r="Q695" s="50">
        <f t="shared" si="671"/>
        <v>4.5741487779353565E-2</v>
      </c>
      <c r="R695" s="50">
        <f t="shared" si="671"/>
        <v>4.4277060725657284E-2</v>
      </c>
      <c r="S695" s="50">
        <f t="shared" si="671"/>
        <v>4.3144199391556254E-2</v>
      </c>
      <c r="T695" s="50">
        <f t="shared" si="671"/>
        <v>4.3279567369281124E-2</v>
      </c>
      <c r="U695" s="50">
        <f t="shared" si="671"/>
        <v>4.4109954506885138E-2</v>
      </c>
      <c r="V695" s="50">
        <f t="shared" si="671"/>
        <v>4.6298728840315946E-2</v>
      </c>
      <c r="W695" s="50">
        <f t="shared" si="671"/>
        <v>5.6176649878816001E-2</v>
      </c>
      <c r="X695" s="50">
        <f t="shared" si="671"/>
        <v>6.2194705000087863E-2</v>
      </c>
      <c r="Y695" s="50">
        <f t="shared" si="671"/>
        <v>5.7928891294023718E-2</v>
      </c>
      <c r="Z695" s="50">
        <f t="shared" si="671"/>
        <v>5.019499221712586E-2</v>
      </c>
      <c r="AA695" s="50">
        <f t="shared" si="671"/>
        <v>4.1853093029906328E-2</v>
      </c>
      <c r="AB695" s="50">
        <f t="shared" si="671"/>
        <v>3.507334666327714E-2</v>
      </c>
      <c r="AC695" s="8">
        <f t="shared" si="670"/>
        <v>3.9999999999999991</v>
      </c>
    </row>
    <row r="696" spans="2:29">
      <c r="B696" s="16"/>
      <c r="C696" s="8" t="s">
        <v>48</v>
      </c>
      <c r="D696" s="8">
        <v>2</v>
      </c>
      <c r="E696" s="50">
        <f t="shared" ref="E696:AB696" si="672">+E636</f>
        <v>3.367503361886829E-2</v>
      </c>
      <c r="F696" s="50">
        <f t="shared" si="672"/>
        <v>3.1245692535415936E-2</v>
      </c>
      <c r="G696" s="50">
        <f t="shared" si="672"/>
        <v>2.9861746203171599E-2</v>
      </c>
      <c r="H696" s="50">
        <f t="shared" si="672"/>
        <v>2.9235019370742008E-2</v>
      </c>
      <c r="I696" s="50">
        <f t="shared" si="672"/>
        <v>3.0186379118294998E-2</v>
      </c>
      <c r="J696" s="50">
        <f t="shared" si="672"/>
        <v>3.3123682717801174E-2</v>
      </c>
      <c r="K696" s="50">
        <f t="shared" si="672"/>
        <v>3.5563630818173868E-2</v>
      </c>
      <c r="L696" s="50">
        <f t="shared" si="672"/>
        <v>3.7375437025807548E-2</v>
      </c>
      <c r="M696" s="50">
        <f t="shared" si="672"/>
        <v>3.9557895894381336E-2</v>
      </c>
      <c r="N696" s="50">
        <f t="shared" si="672"/>
        <v>4.1330002492198488E-2</v>
      </c>
      <c r="O696" s="50">
        <f t="shared" si="672"/>
        <v>4.3273465010057272E-2</v>
      </c>
      <c r="P696" s="50">
        <f t="shared" si="672"/>
        <v>4.5278417057592932E-2</v>
      </c>
      <c r="Q696" s="50">
        <f t="shared" si="672"/>
        <v>4.5765189585786785E-2</v>
      </c>
      <c r="R696" s="50">
        <f t="shared" si="672"/>
        <v>4.421428774797561E-2</v>
      </c>
      <c r="S696" s="50">
        <f t="shared" si="672"/>
        <v>4.3245429527174986E-2</v>
      </c>
      <c r="T696" s="50">
        <f t="shared" si="672"/>
        <v>4.3554999005074702E-2</v>
      </c>
      <c r="U696" s="50">
        <f t="shared" si="672"/>
        <v>4.4435510161992771E-2</v>
      </c>
      <c r="V696" s="50">
        <f t="shared" si="672"/>
        <v>4.717219114348542E-2</v>
      </c>
      <c r="W696" s="50">
        <f t="shared" si="672"/>
        <v>5.6899741232983039E-2</v>
      </c>
      <c r="X696" s="50">
        <f t="shared" si="672"/>
        <v>6.1986738769463187E-2</v>
      </c>
      <c r="Y696" s="50">
        <f t="shared" si="672"/>
        <v>5.7208700429979269E-2</v>
      </c>
      <c r="Z696" s="50">
        <f t="shared" si="672"/>
        <v>4.9339560702577757E-2</v>
      </c>
      <c r="AA696" s="50">
        <f t="shared" si="672"/>
        <v>4.1368944501432053E-2</v>
      </c>
      <c r="AB696" s="50">
        <f t="shared" si="672"/>
        <v>3.5102305329568817E-2</v>
      </c>
      <c r="AC696" s="8">
        <f>+SUM(E696:AB696)*D696</f>
        <v>1.9999999999999996</v>
      </c>
    </row>
    <row r="697" spans="2:29">
      <c r="B697" s="12"/>
      <c r="C697" s="12" t="s">
        <v>15</v>
      </c>
      <c r="D697" s="12">
        <f>+SUM(D693:D696)</f>
        <v>31</v>
      </c>
      <c r="E697" s="19">
        <f>+SUMPRODUCT(E693:E696,$D693:$D696)</f>
        <v>0.93970041794117598</v>
      </c>
      <c r="F697" s="19">
        <f>+SUMPRODUCT(F693:F696,$D693:$D696)</f>
        <v>0.88299848210598197</v>
      </c>
      <c r="G697" s="19">
        <f t="shared" ref="G697:AB697" si="673">+SUMPRODUCT(G693:G696,$D693:$D696)</f>
        <v>0.85232072032812478</v>
      </c>
      <c r="H697" s="19">
        <f t="shared" si="673"/>
        <v>0.84829573596419738</v>
      </c>
      <c r="I697" s="19">
        <f t="shared" si="673"/>
        <v>0.90390631204323935</v>
      </c>
      <c r="J697" s="19">
        <f t="shared" si="673"/>
        <v>1.0443345629819747</v>
      </c>
      <c r="K697" s="19">
        <f t="shared" si="673"/>
        <v>1.1692394585131909</v>
      </c>
      <c r="L697" s="19">
        <f t="shared" si="673"/>
        <v>1.215174474736755</v>
      </c>
      <c r="M697" s="19">
        <f t="shared" si="673"/>
        <v>1.2698360888260669</v>
      </c>
      <c r="N697" s="19">
        <f t="shared" si="673"/>
        <v>1.3107691699084727</v>
      </c>
      <c r="O697" s="19">
        <f t="shared" si="673"/>
        <v>1.3692583054954905</v>
      </c>
      <c r="P697" s="19">
        <f t="shared" si="673"/>
        <v>1.4328995354134009</v>
      </c>
      <c r="Q697" s="19">
        <f t="shared" si="673"/>
        <v>1.4140992576205618</v>
      </c>
      <c r="R697" s="19">
        <f t="shared" si="673"/>
        <v>1.3660177361952903</v>
      </c>
      <c r="S697" s="19">
        <f t="shared" si="673"/>
        <v>1.3616086059729351</v>
      </c>
      <c r="T697" s="19">
        <f t="shared" si="673"/>
        <v>1.3863395969149375</v>
      </c>
      <c r="U697" s="19">
        <f t="shared" si="673"/>
        <v>1.4163086870602422</v>
      </c>
      <c r="V697" s="19">
        <f t="shared" si="673"/>
        <v>1.4804641430271626</v>
      </c>
      <c r="W697" s="19">
        <f t="shared" si="673"/>
        <v>1.7623830195837451</v>
      </c>
      <c r="X697" s="19">
        <f t="shared" si="673"/>
        <v>1.914113623259466</v>
      </c>
      <c r="Y697" s="19">
        <f t="shared" si="673"/>
        <v>1.7760762462529034</v>
      </c>
      <c r="Z697" s="19">
        <f t="shared" si="673"/>
        <v>1.5517601439437572</v>
      </c>
      <c r="AA697" s="19">
        <f t="shared" si="673"/>
        <v>1.2778619861262095</v>
      </c>
      <c r="AB697" s="19">
        <f t="shared" si="673"/>
        <v>1.0542336897847193</v>
      </c>
      <c r="AC697" s="12">
        <f>+SUM(E697:AB697)</f>
        <v>30.999999999999996</v>
      </c>
    </row>
    <row r="698" spans="2:29">
      <c r="B698" s="15">
        <f>+EDATE(B693,1)</f>
        <v>49096</v>
      </c>
      <c r="C698" s="8" t="s">
        <v>45</v>
      </c>
      <c r="D698" s="8">
        <v>20</v>
      </c>
      <c r="E698" s="50">
        <f t="shared" ref="E698:AB698" si="674">+E638</f>
        <v>2.9361257124838391E-2</v>
      </c>
      <c r="F698" s="50">
        <f t="shared" si="674"/>
        <v>2.7692710332229715E-2</v>
      </c>
      <c r="G698" s="50">
        <f t="shared" si="674"/>
        <v>2.6785161397696527E-2</v>
      </c>
      <c r="H698" s="50">
        <f t="shared" si="674"/>
        <v>2.6786989368939883E-2</v>
      </c>
      <c r="I698" s="50">
        <f t="shared" si="674"/>
        <v>2.9135775177511477E-2</v>
      </c>
      <c r="J698" s="50">
        <f t="shared" si="674"/>
        <v>3.4540443856715661E-2</v>
      </c>
      <c r="K698" s="50">
        <f t="shared" si="674"/>
        <v>3.8789035252325646E-2</v>
      </c>
      <c r="L698" s="50">
        <f t="shared" si="674"/>
        <v>3.957865839345593E-2</v>
      </c>
      <c r="M698" s="50">
        <f t="shared" si="674"/>
        <v>4.0957538271781398E-2</v>
      </c>
      <c r="N698" s="50">
        <f t="shared" si="674"/>
        <v>4.2166920044863825E-2</v>
      </c>
      <c r="O698" s="50">
        <f t="shared" si="674"/>
        <v>4.4150374939633218E-2</v>
      </c>
      <c r="P698" s="50">
        <f t="shared" si="674"/>
        <v>4.6294816466469102E-2</v>
      </c>
      <c r="Q698" s="50">
        <f t="shared" si="674"/>
        <v>4.5431875959152102E-2</v>
      </c>
      <c r="R698" s="50">
        <f t="shared" si="674"/>
        <v>4.3879728503346101E-2</v>
      </c>
      <c r="S698" s="50">
        <f t="shared" si="674"/>
        <v>4.4118506624640258E-2</v>
      </c>
      <c r="T698" s="50">
        <f t="shared" si="674"/>
        <v>4.5188432655351718E-2</v>
      </c>
      <c r="U698" s="50">
        <f t="shared" si="674"/>
        <v>4.624302558461979E-2</v>
      </c>
      <c r="V698" s="50">
        <f t="shared" si="674"/>
        <v>4.8247238962955179E-2</v>
      </c>
      <c r="W698" s="50">
        <f t="shared" si="674"/>
        <v>5.7096885328092907E-2</v>
      </c>
      <c r="X698" s="50">
        <f t="shared" si="674"/>
        <v>6.1739938045350239E-2</v>
      </c>
      <c r="Y698" s="50">
        <f t="shared" si="674"/>
        <v>5.7231881517227232E-2</v>
      </c>
      <c r="Z698" s="50">
        <f t="shared" si="674"/>
        <v>5.0129255438435008E-2</v>
      </c>
      <c r="AA698" s="50">
        <f t="shared" si="674"/>
        <v>4.1010488221716553E-2</v>
      </c>
      <c r="AB698" s="50">
        <f t="shared" si="674"/>
        <v>3.34430625326523E-2</v>
      </c>
      <c r="AC698" s="8">
        <f>+SUM(E698:AB698)*D698</f>
        <v>20.000000000000004</v>
      </c>
    </row>
    <row r="699" spans="2:29">
      <c r="B699" s="16"/>
      <c r="C699" s="8" t="s">
        <v>46</v>
      </c>
      <c r="D699" s="8">
        <v>4</v>
      </c>
      <c r="E699" s="50">
        <f t="shared" ref="E699:AB699" si="675">+E639</f>
        <v>3.0659473205105158E-2</v>
      </c>
      <c r="F699" s="50">
        <f t="shared" si="675"/>
        <v>2.8600001140869122E-2</v>
      </c>
      <c r="G699" s="50">
        <f t="shared" si="675"/>
        <v>2.7683858575034276E-2</v>
      </c>
      <c r="H699" s="50">
        <f t="shared" si="675"/>
        <v>2.7537802139610414E-2</v>
      </c>
      <c r="I699" s="50">
        <f t="shared" si="675"/>
        <v>2.8782539770184416E-2</v>
      </c>
      <c r="J699" s="50">
        <f t="shared" si="675"/>
        <v>3.2241585579716119E-2</v>
      </c>
      <c r="K699" s="50">
        <f t="shared" si="675"/>
        <v>3.645312931015221E-2</v>
      </c>
      <c r="L699" s="50">
        <f t="shared" si="675"/>
        <v>3.9012639181609042E-2</v>
      </c>
      <c r="M699" s="50">
        <f t="shared" si="675"/>
        <v>4.1549207589560662E-2</v>
      </c>
      <c r="N699" s="50">
        <f t="shared" si="675"/>
        <v>4.3042516751632572E-2</v>
      </c>
      <c r="O699" s="50">
        <f t="shared" si="675"/>
        <v>4.4973693586955334E-2</v>
      </c>
      <c r="P699" s="50">
        <f t="shared" si="675"/>
        <v>4.6808021710202923E-2</v>
      </c>
      <c r="Q699" s="50">
        <f t="shared" si="675"/>
        <v>4.6383383047344962E-2</v>
      </c>
      <c r="R699" s="50">
        <f t="shared" si="675"/>
        <v>4.4751654806610461E-2</v>
      </c>
      <c r="S699" s="50">
        <f t="shared" si="675"/>
        <v>4.4013077558728637E-2</v>
      </c>
      <c r="T699" s="50">
        <f t="shared" si="675"/>
        <v>4.428856091631931E-2</v>
      </c>
      <c r="U699" s="50">
        <f t="shared" si="675"/>
        <v>4.49735778579251E-2</v>
      </c>
      <c r="V699" s="50">
        <f t="shared" si="675"/>
        <v>4.6933206789217301E-2</v>
      </c>
      <c r="W699" s="50">
        <f t="shared" si="675"/>
        <v>5.6210586428141023E-2</v>
      </c>
      <c r="X699" s="50">
        <f t="shared" si="675"/>
        <v>6.1205656691958259E-2</v>
      </c>
      <c r="Y699" s="50">
        <f t="shared" si="675"/>
        <v>5.7018442088769522E-2</v>
      </c>
      <c r="Z699" s="50">
        <f t="shared" si="675"/>
        <v>4.9896672365740725E-2</v>
      </c>
      <c r="AA699" s="50">
        <f t="shared" si="675"/>
        <v>4.1622868086918119E-2</v>
      </c>
      <c r="AB699" s="50">
        <f t="shared" si="675"/>
        <v>3.5357844821693719E-2</v>
      </c>
      <c r="AC699" s="8">
        <f t="shared" ref="AC699:AC701" si="676">+SUM(E699:AB699)*D699</f>
        <v>3.9999999999999969</v>
      </c>
    </row>
    <row r="700" spans="2:29">
      <c r="B700" s="16"/>
      <c r="C700" s="8" t="s">
        <v>47</v>
      </c>
      <c r="D700" s="8">
        <v>4</v>
      </c>
      <c r="E700" s="50">
        <f t="shared" ref="E700:AB700" si="677">+E640</f>
        <v>3.3281514565353124E-2</v>
      </c>
      <c r="F700" s="50">
        <f t="shared" si="677"/>
        <v>3.1140043873712407E-2</v>
      </c>
      <c r="G700" s="50">
        <f t="shared" si="677"/>
        <v>2.984335106750436E-2</v>
      </c>
      <c r="H700" s="50">
        <f t="shared" si="677"/>
        <v>2.9286927979133532E-2</v>
      </c>
      <c r="I700" s="50">
        <f t="shared" si="677"/>
        <v>2.9138028999542646E-2</v>
      </c>
      <c r="J700" s="50">
        <f t="shared" si="677"/>
        <v>3.0942883559119717E-2</v>
      </c>
      <c r="K700" s="50">
        <f t="shared" si="677"/>
        <v>3.4432484834348992E-2</v>
      </c>
      <c r="L700" s="50">
        <f t="shared" si="677"/>
        <v>3.8305304424032266E-2</v>
      </c>
      <c r="M700" s="50">
        <f t="shared" si="677"/>
        <v>4.1103790742913066E-2</v>
      </c>
      <c r="N700" s="50">
        <f t="shared" si="677"/>
        <v>4.2608444243851212E-2</v>
      </c>
      <c r="O700" s="50">
        <f t="shared" si="677"/>
        <v>4.3914681848814308E-2</v>
      </c>
      <c r="P700" s="50">
        <f t="shared" si="677"/>
        <v>4.5729867165388009E-2</v>
      </c>
      <c r="Q700" s="50">
        <f t="shared" si="677"/>
        <v>4.5741487779353565E-2</v>
      </c>
      <c r="R700" s="50">
        <f t="shared" si="677"/>
        <v>4.4277060725657284E-2</v>
      </c>
      <c r="S700" s="50">
        <f t="shared" si="677"/>
        <v>4.3144199391556254E-2</v>
      </c>
      <c r="T700" s="50">
        <f t="shared" si="677"/>
        <v>4.3279567369281124E-2</v>
      </c>
      <c r="U700" s="50">
        <f t="shared" si="677"/>
        <v>4.4109954506885138E-2</v>
      </c>
      <c r="V700" s="50">
        <f t="shared" si="677"/>
        <v>4.6298728840315946E-2</v>
      </c>
      <c r="W700" s="50">
        <f t="shared" si="677"/>
        <v>5.6176649878816001E-2</v>
      </c>
      <c r="X700" s="50">
        <f t="shared" si="677"/>
        <v>6.2194705000087863E-2</v>
      </c>
      <c r="Y700" s="50">
        <f t="shared" si="677"/>
        <v>5.7928891294023718E-2</v>
      </c>
      <c r="Z700" s="50">
        <f t="shared" si="677"/>
        <v>5.019499221712586E-2</v>
      </c>
      <c r="AA700" s="50">
        <f t="shared" si="677"/>
        <v>4.1853093029906328E-2</v>
      </c>
      <c r="AB700" s="50">
        <f t="shared" si="677"/>
        <v>3.507334666327714E-2</v>
      </c>
      <c r="AC700" s="8">
        <f t="shared" si="676"/>
        <v>3.9999999999999991</v>
      </c>
    </row>
    <row r="701" spans="2:29">
      <c r="B701" s="16"/>
      <c r="C701" s="8" t="s">
        <v>48</v>
      </c>
      <c r="D701" s="8">
        <v>2</v>
      </c>
      <c r="E701" s="50">
        <f t="shared" ref="E701:AB701" si="678">+E641</f>
        <v>3.367503361886829E-2</v>
      </c>
      <c r="F701" s="50">
        <f t="shared" si="678"/>
        <v>3.1245692535415936E-2</v>
      </c>
      <c r="G701" s="50">
        <f t="shared" si="678"/>
        <v>2.9861746203171599E-2</v>
      </c>
      <c r="H701" s="50">
        <f t="shared" si="678"/>
        <v>2.9235019370742008E-2</v>
      </c>
      <c r="I701" s="50">
        <f t="shared" si="678"/>
        <v>3.0186379118294998E-2</v>
      </c>
      <c r="J701" s="50">
        <f t="shared" si="678"/>
        <v>3.3123682717801174E-2</v>
      </c>
      <c r="K701" s="50">
        <f t="shared" si="678"/>
        <v>3.5563630818173868E-2</v>
      </c>
      <c r="L701" s="50">
        <f t="shared" si="678"/>
        <v>3.7375437025807548E-2</v>
      </c>
      <c r="M701" s="50">
        <f t="shared" si="678"/>
        <v>3.9557895894381336E-2</v>
      </c>
      <c r="N701" s="50">
        <f t="shared" si="678"/>
        <v>4.1330002492198488E-2</v>
      </c>
      <c r="O701" s="50">
        <f t="shared" si="678"/>
        <v>4.3273465010057272E-2</v>
      </c>
      <c r="P701" s="50">
        <f t="shared" si="678"/>
        <v>4.5278417057592932E-2</v>
      </c>
      <c r="Q701" s="50">
        <f t="shared" si="678"/>
        <v>4.5765189585786785E-2</v>
      </c>
      <c r="R701" s="50">
        <f t="shared" si="678"/>
        <v>4.421428774797561E-2</v>
      </c>
      <c r="S701" s="50">
        <f t="shared" si="678"/>
        <v>4.3245429527174986E-2</v>
      </c>
      <c r="T701" s="50">
        <f t="shared" si="678"/>
        <v>4.3554999005074702E-2</v>
      </c>
      <c r="U701" s="50">
        <f t="shared" si="678"/>
        <v>4.4435510161992771E-2</v>
      </c>
      <c r="V701" s="50">
        <f t="shared" si="678"/>
        <v>4.717219114348542E-2</v>
      </c>
      <c r="W701" s="50">
        <f t="shared" si="678"/>
        <v>5.6899741232983039E-2</v>
      </c>
      <c r="X701" s="50">
        <f t="shared" si="678"/>
        <v>6.1986738769463187E-2</v>
      </c>
      <c r="Y701" s="50">
        <f t="shared" si="678"/>
        <v>5.7208700429979269E-2</v>
      </c>
      <c r="Z701" s="50">
        <f t="shared" si="678"/>
        <v>4.9339560702577757E-2</v>
      </c>
      <c r="AA701" s="50">
        <f t="shared" si="678"/>
        <v>4.1368944501432053E-2</v>
      </c>
      <c r="AB701" s="50">
        <f t="shared" si="678"/>
        <v>3.5102305329568817E-2</v>
      </c>
      <c r="AC701" s="8">
        <f t="shared" si="676"/>
        <v>1.9999999999999996</v>
      </c>
    </row>
    <row r="702" spans="2:29">
      <c r="B702" s="12"/>
      <c r="C702" s="12" t="s">
        <v>15</v>
      </c>
      <c r="D702" s="12">
        <f>+SUM(D698:D701)</f>
        <v>30</v>
      </c>
      <c r="E702" s="19">
        <f>+SUMPRODUCT(E698:E701,$D698:$D701)</f>
        <v>0.91033916081633748</v>
      </c>
      <c r="F702" s="19">
        <f>+SUMPRODUCT(F698:F701,$D698:$D701)</f>
        <v>0.85530577177375222</v>
      </c>
      <c r="G702" s="19">
        <f t="shared" ref="G702:AB702" si="679">+SUMPRODUCT(G698:G701,$D698:$D701)</f>
        <v>0.82553555893042829</v>
      </c>
      <c r="H702" s="19">
        <f t="shared" si="679"/>
        <v>0.82150874659525752</v>
      </c>
      <c r="I702" s="19">
        <f t="shared" si="679"/>
        <v>0.8747705368657277</v>
      </c>
      <c r="J702" s="19">
        <f t="shared" si="679"/>
        <v>1.0097941191252591</v>
      </c>
      <c r="K702" s="19">
        <f t="shared" si="679"/>
        <v>1.1304504232608654</v>
      </c>
      <c r="L702" s="19">
        <f t="shared" si="679"/>
        <v>1.1755958163432989</v>
      </c>
      <c r="M702" s="19">
        <f t="shared" si="679"/>
        <v>1.2288785505542854</v>
      </c>
      <c r="N702" s="19">
        <f t="shared" si="679"/>
        <v>1.2686022498636089</v>
      </c>
      <c r="O702" s="19">
        <f t="shared" si="679"/>
        <v>1.3251079305558575</v>
      </c>
      <c r="P702" s="19">
        <f t="shared" si="679"/>
        <v>1.3866047189469317</v>
      </c>
      <c r="Q702" s="19">
        <f t="shared" si="679"/>
        <v>1.3686673816614097</v>
      </c>
      <c r="R702" s="19">
        <f t="shared" si="679"/>
        <v>1.3221380076919442</v>
      </c>
      <c r="S702" s="19">
        <f t="shared" si="679"/>
        <v>1.317490099348295</v>
      </c>
      <c r="T702" s="19">
        <f t="shared" si="679"/>
        <v>1.3411511642595855</v>
      </c>
      <c r="U702" s="19">
        <f t="shared" si="679"/>
        <v>1.3700656614756224</v>
      </c>
      <c r="V702" s="19">
        <f t="shared" si="679"/>
        <v>1.4322169040642074</v>
      </c>
      <c r="W702" s="19">
        <f t="shared" si="679"/>
        <v>1.7052861342556522</v>
      </c>
      <c r="X702" s="19">
        <f t="shared" si="679"/>
        <v>1.8523736852141155</v>
      </c>
      <c r="Y702" s="19">
        <f t="shared" si="679"/>
        <v>1.7188443647356764</v>
      </c>
      <c r="Z702" s="19">
        <f t="shared" si="679"/>
        <v>1.501630888505322</v>
      </c>
      <c r="AA702" s="19">
        <f t="shared" si="679"/>
        <v>1.2368514979044929</v>
      </c>
      <c r="AB702" s="19">
        <f t="shared" si="679"/>
        <v>1.020790627252067</v>
      </c>
      <c r="AC702" s="12">
        <f>+SUM(E702:AB702)</f>
        <v>30</v>
      </c>
    </row>
    <row r="703" spans="2:29">
      <c r="B703" s="15">
        <f>+EDATE(B698,1)</f>
        <v>49126</v>
      </c>
      <c r="C703" s="8" t="s">
        <v>45</v>
      </c>
      <c r="D703" s="8">
        <v>19</v>
      </c>
      <c r="E703" s="50">
        <f t="shared" ref="E703:AB703" si="680">+E643</f>
        <v>2.9361257124838391E-2</v>
      </c>
      <c r="F703" s="50">
        <f t="shared" si="680"/>
        <v>2.7692710332229715E-2</v>
      </c>
      <c r="G703" s="50">
        <f t="shared" si="680"/>
        <v>2.6785161397696527E-2</v>
      </c>
      <c r="H703" s="50">
        <f t="shared" si="680"/>
        <v>2.6786989368939883E-2</v>
      </c>
      <c r="I703" s="50">
        <f t="shared" si="680"/>
        <v>2.9135775177511477E-2</v>
      </c>
      <c r="J703" s="50">
        <f t="shared" si="680"/>
        <v>3.4540443856715661E-2</v>
      </c>
      <c r="K703" s="50">
        <f t="shared" si="680"/>
        <v>3.8789035252325646E-2</v>
      </c>
      <c r="L703" s="50">
        <f t="shared" si="680"/>
        <v>3.957865839345593E-2</v>
      </c>
      <c r="M703" s="50">
        <f t="shared" si="680"/>
        <v>4.0957538271781398E-2</v>
      </c>
      <c r="N703" s="50">
        <f t="shared" si="680"/>
        <v>4.2166920044863825E-2</v>
      </c>
      <c r="O703" s="50">
        <f t="shared" si="680"/>
        <v>4.4150374939633218E-2</v>
      </c>
      <c r="P703" s="50">
        <f t="shared" si="680"/>
        <v>4.6294816466469102E-2</v>
      </c>
      <c r="Q703" s="50">
        <f t="shared" si="680"/>
        <v>4.5431875959152102E-2</v>
      </c>
      <c r="R703" s="50">
        <f t="shared" si="680"/>
        <v>4.3879728503346101E-2</v>
      </c>
      <c r="S703" s="50">
        <f t="shared" si="680"/>
        <v>4.4118506624640258E-2</v>
      </c>
      <c r="T703" s="50">
        <f t="shared" si="680"/>
        <v>4.5188432655351718E-2</v>
      </c>
      <c r="U703" s="50">
        <f t="shared" si="680"/>
        <v>4.624302558461979E-2</v>
      </c>
      <c r="V703" s="50">
        <f t="shared" si="680"/>
        <v>4.8247238962955179E-2</v>
      </c>
      <c r="W703" s="50">
        <f t="shared" si="680"/>
        <v>5.7096885328092907E-2</v>
      </c>
      <c r="X703" s="50">
        <f t="shared" si="680"/>
        <v>6.1739938045350239E-2</v>
      </c>
      <c r="Y703" s="50">
        <f t="shared" si="680"/>
        <v>5.7231881517227232E-2</v>
      </c>
      <c r="Z703" s="50">
        <f t="shared" si="680"/>
        <v>5.0129255438435008E-2</v>
      </c>
      <c r="AA703" s="50">
        <f t="shared" si="680"/>
        <v>4.1010488221716553E-2</v>
      </c>
      <c r="AB703" s="50">
        <f t="shared" si="680"/>
        <v>3.34430625326523E-2</v>
      </c>
      <c r="AC703" s="8">
        <f>+SUM(E703:AB703)*D703</f>
        <v>19.000000000000004</v>
      </c>
    </row>
    <row r="704" spans="2:29">
      <c r="B704" s="16"/>
      <c r="C704" s="8" t="s">
        <v>46</v>
      </c>
      <c r="D704" s="8">
        <v>5</v>
      </c>
      <c r="E704" s="50">
        <f t="shared" ref="E704:AB704" si="681">+E644</f>
        <v>3.0659473205105158E-2</v>
      </c>
      <c r="F704" s="50">
        <f t="shared" si="681"/>
        <v>2.8600001140869122E-2</v>
      </c>
      <c r="G704" s="50">
        <f t="shared" si="681"/>
        <v>2.7683858575034276E-2</v>
      </c>
      <c r="H704" s="50">
        <f t="shared" si="681"/>
        <v>2.7537802139610414E-2</v>
      </c>
      <c r="I704" s="50">
        <f t="shared" si="681"/>
        <v>2.8782539770184416E-2</v>
      </c>
      <c r="J704" s="50">
        <f t="shared" si="681"/>
        <v>3.2241585579716119E-2</v>
      </c>
      <c r="K704" s="50">
        <f t="shared" si="681"/>
        <v>3.645312931015221E-2</v>
      </c>
      <c r="L704" s="50">
        <f t="shared" si="681"/>
        <v>3.9012639181609042E-2</v>
      </c>
      <c r="M704" s="50">
        <f t="shared" si="681"/>
        <v>4.1549207589560662E-2</v>
      </c>
      <c r="N704" s="50">
        <f t="shared" si="681"/>
        <v>4.3042516751632572E-2</v>
      </c>
      <c r="O704" s="50">
        <f t="shared" si="681"/>
        <v>4.4973693586955334E-2</v>
      </c>
      <c r="P704" s="50">
        <f t="shared" si="681"/>
        <v>4.6808021710202923E-2</v>
      </c>
      <c r="Q704" s="50">
        <f t="shared" si="681"/>
        <v>4.6383383047344962E-2</v>
      </c>
      <c r="R704" s="50">
        <f t="shared" si="681"/>
        <v>4.4751654806610461E-2</v>
      </c>
      <c r="S704" s="50">
        <f t="shared" si="681"/>
        <v>4.4013077558728637E-2</v>
      </c>
      <c r="T704" s="50">
        <f t="shared" si="681"/>
        <v>4.428856091631931E-2</v>
      </c>
      <c r="U704" s="50">
        <f t="shared" si="681"/>
        <v>4.49735778579251E-2</v>
      </c>
      <c r="V704" s="50">
        <f t="shared" si="681"/>
        <v>4.6933206789217301E-2</v>
      </c>
      <c r="W704" s="50">
        <f t="shared" si="681"/>
        <v>5.6210586428141023E-2</v>
      </c>
      <c r="X704" s="50">
        <f t="shared" si="681"/>
        <v>6.1205656691958259E-2</v>
      </c>
      <c r="Y704" s="50">
        <f t="shared" si="681"/>
        <v>5.7018442088769522E-2</v>
      </c>
      <c r="Z704" s="50">
        <f t="shared" si="681"/>
        <v>4.9896672365740725E-2</v>
      </c>
      <c r="AA704" s="50">
        <f t="shared" si="681"/>
        <v>4.1622868086918119E-2</v>
      </c>
      <c r="AB704" s="50">
        <f t="shared" si="681"/>
        <v>3.5357844821693719E-2</v>
      </c>
      <c r="AC704" s="8">
        <f t="shared" ref="AC704:AC706" si="682">+SUM(E704:AB704)*D704</f>
        <v>4.9999999999999964</v>
      </c>
    </row>
    <row r="705" spans="2:29">
      <c r="B705" s="16"/>
      <c r="C705" s="8" t="s">
        <v>47</v>
      </c>
      <c r="D705" s="8">
        <v>5</v>
      </c>
      <c r="E705" s="50">
        <f t="shared" ref="E705:AB705" si="683">+E645</f>
        <v>3.3281514565353124E-2</v>
      </c>
      <c r="F705" s="50">
        <f t="shared" si="683"/>
        <v>3.1140043873712407E-2</v>
      </c>
      <c r="G705" s="50">
        <f t="shared" si="683"/>
        <v>2.984335106750436E-2</v>
      </c>
      <c r="H705" s="50">
        <f t="shared" si="683"/>
        <v>2.9286927979133532E-2</v>
      </c>
      <c r="I705" s="50">
        <f t="shared" si="683"/>
        <v>2.9138028999542646E-2</v>
      </c>
      <c r="J705" s="50">
        <f t="shared" si="683"/>
        <v>3.0942883559119717E-2</v>
      </c>
      <c r="K705" s="50">
        <f t="shared" si="683"/>
        <v>3.4432484834348992E-2</v>
      </c>
      <c r="L705" s="50">
        <f t="shared" si="683"/>
        <v>3.8305304424032266E-2</v>
      </c>
      <c r="M705" s="50">
        <f t="shared" si="683"/>
        <v>4.1103790742913066E-2</v>
      </c>
      <c r="N705" s="50">
        <f t="shared" si="683"/>
        <v>4.2608444243851212E-2</v>
      </c>
      <c r="O705" s="50">
        <f t="shared" si="683"/>
        <v>4.3914681848814308E-2</v>
      </c>
      <c r="P705" s="50">
        <f t="shared" si="683"/>
        <v>4.5729867165388009E-2</v>
      </c>
      <c r="Q705" s="50">
        <f t="shared" si="683"/>
        <v>4.5741487779353565E-2</v>
      </c>
      <c r="R705" s="50">
        <f t="shared" si="683"/>
        <v>4.4277060725657284E-2</v>
      </c>
      <c r="S705" s="50">
        <f t="shared" si="683"/>
        <v>4.3144199391556254E-2</v>
      </c>
      <c r="T705" s="50">
        <f t="shared" si="683"/>
        <v>4.3279567369281124E-2</v>
      </c>
      <c r="U705" s="50">
        <f t="shared" si="683"/>
        <v>4.4109954506885138E-2</v>
      </c>
      <c r="V705" s="50">
        <f t="shared" si="683"/>
        <v>4.6298728840315946E-2</v>
      </c>
      <c r="W705" s="50">
        <f t="shared" si="683"/>
        <v>5.6176649878816001E-2</v>
      </c>
      <c r="X705" s="50">
        <f t="shared" si="683"/>
        <v>6.2194705000087863E-2</v>
      </c>
      <c r="Y705" s="50">
        <f t="shared" si="683"/>
        <v>5.7928891294023718E-2</v>
      </c>
      <c r="Z705" s="50">
        <f t="shared" si="683"/>
        <v>5.019499221712586E-2</v>
      </c>
      <c r="AA705" s="50">
        <f t="shared" si="683"/>
        <v>4.1853093029906328E-2</v>
      </c>
      <c r="AB705" s="50">
        <f t="shared" si="683"/>
        <v>3.507334666327714E-2</v>
      </c>
      <c r="AC705" s="8">
        <f t="shared" si="682"/>
        <v>4.9999999999999991</v>
      </c>
    </row>
    <row r="706" spans="2:29">
      <c r="B706" s="16"/>
      <c r="C706" s="8" t="s">
        <v>48</v>
      </c>
      <c r="D706" s="8">
        <v>2</v>
      </c>
      <c r="E706" s="50">
        <f t="shared" ref="E706:AB706" si="684">+E646</f>
        <v>3.367503361886829E-2</v>
      </c>
      <c r="F706" s="50">
        <f t="shared" si="684"/>
        <v>3.1245692535415936E-2</v>
      </c>
      <c r="G706" s="50">
        <f t="shared" si="684"/>
        <v>2.9861746203171599E-2</v>
      </c>
      <c r="H706" s="50">
        <f t="shared" si="684"/>
        <v>2.9235019370742008E-2</v>
      </c>
      <c r="I706" s="50">
        <f t="shared" si="684"/>
        <v>3.0186379118294998E-2</v>
      </c>
      <c r="J706" s="50">
        <f t="shared" si="684"/>
        <v>3.3123682717801174E-2</v>
      </c>
      <c r="K706" s="50">
        <f t="shared" si="684"/>
        <v>3.5563630818173868E-2</v>
      </c>
      <c r="L706" s="50">
        <f t="shared" si="684"/>
        <v>3.7375437025807548E-2</v>
      </c>
      <c r="M706" s="50">
        <f t="shared" si="684"/>
        <v>3.9557895894381336E-2</v>
      </c>
      <c r="N706" s="50">
        <f t="shared" si="684"/>
        <v>4.1330002492198488E-2</v>
      </c>
      <c r="O706" s="50">
        <f t="shared" si="684"/>
        <v>4.3273465010057272E-2</v>
      </c>
      <c r="P706" s="50">
        <f t="shared" si="684"/>
        <v>4.5278417057592932E-2</v>
      </c>
      <c r="Q706" s="50">
        <f t="shared" si="684"/>
        <v>4.5765189585786785E-2</v>
      </c>
      <c r="R706" s="50">
        <f t="shared" si="684"/>
        <v>4.421428774797561E-2</v>
      </c>
      <c r="S706" s="50">
        <f t="shared" si="684"/>
        <v>4.3245429527174986E-2</v>
      </c>
      <c r="T706" s="50">
        <f t="shared" si="684"/>
        <v>4.3554999005074702E-2</v>
      </c>
      <c r="U706" s="50">
        <f t="shared" si="684"/>
        <v>4.4435510161992771E-2</v>
      </c>
      <c r="V706" s="50">
        <f t="shared" si="684"/>
        <v>4.717219114348542E-2</v>
      </c>
      <c r="W706" s="50">
        <f t="shared" si="684"/>
        <v>5.6899741232983039E-2</v>
      </c>
      <c r="X706" s="50">
        <f t="shared" si="684"/>
        <v>6.1986738769463187E-2</v>
      </c>
      <c r="Y706" s="50">
        <f t="shared" si="684"/>
        <v>5.7208700429979269E-2</v>
      </c>
      <c r="Z706" s="50">
        <f t="shared" si="684"/>
        <v>4.9339560702577757E-2</v>
      </c>
      <c r="AA706" s="50">
        <f t="shared" si="684"/>
        <v>4.1368944501432053E-2</v>
      </c>
      <c r="AB706" s="50">
        <f t="shared" si="684"/>
        <v>3.5102305329568817E-2</v>
      </c>
      <c r="AC706" s="8">
        <f t="shared" si="682"/>
        <v>1.9999999999999996</v>
      </c>
    </row>
    <row r="707" spans="2:29">
      <c r="B707" s="12"/>
      <c r="C707" s="12" t="s">
        <v>15</v>
      </c>
      <c r="D707" s="12">
        <f>+SUM(D703:D706)</f>
        <v>31</v>
      </c>
      <c r="E707" s="19">
        <f>+SUMPRODUCT(E703:E706,$D703:$D706)</f>
        <v>0.9449188914619574</v>
      </c>
      <c r="F707" s="19">
        <f>+SUMPRODUCT(F703:F706,$D703:$D706)</f>
        <v>0.88735310645610399</v>
      </c>
      <c r="G707" s="19">
        <f t="shared" ref="G707:AB707" si="685">+SUMPRODUCT(G703:G706,$D703:$D706)</f>
        <v>0.85627760717527046</v>
      </c>
      <c r="H707" s="19">
        <f t="shared" si="685"/>
        <v>0.85154648734506155</v>
      </c>
      <c r="I707" s="19">
        <f t="shared" si="685"/>
        <v>0.90355533045794334</v>
      </c>
      <c r="J707" s="19">
        <f t="shared" si="685"/>
        <v>1.0384381444073791</v>
      </c>
      <c r="K707" s="19">
        <f t="shared" si="685"/>
        <v>1.1625470021530409</v>
      </c>
      <c r="L707" s="19">
        <f t="shared" si="685"/>
        <v>1.2133351015554845</v>
      </c>
      <c r="M707" s="19">
        <f t="shared" si="685"/>
        <v>1.2705740106149779</v>
      </c>
      <c r="N707" s="19">
        <f t="shared" si="685"/>
        <v>1.3120862908142286</v>
      </c>
      <c r="O707" s="19">
        <f t="shared" si="685"/>
        <v>1.3698459310519939</v>
      </c>
      <c r="P707" s="19">
        <f t="shared" si="685"/>
        <v>1.4328477913560536</v>
      </c>
      <c r="Q707" s="19">
        <f t="shared" si="685"/>
        <v>1.4153603765289562</v>
      </c>
      <c r="R707" s="19">
        <f t="shared" si="685"/>
        <v>1.3672869947208659</v>
      </c>
      <c r="S707" s="19">
        <f t="shared" si="685"/>
        <v>1.3605288696739395</v>
      </c>
      <c r="T707" s="19">
        <f t="shared" si="685"/>
        <v>1.3835308598898344</v>
      </c>
      <c r="U707" s="19">
        <f t="shared" si="685"/>
        <v>1.4129061682558126</v>
      </c>
      <c r="V707" s="19">
        <f t="shared" si="685"/>
        <v>1.4772016007307855</v>
      </c>
      <c r="W707" s="19">
        <f t="shared" si="685"/>
        <v>1.7605764852345165</v>
      </c>
      <c r="X707" s="19">
        <f t="shared" si="685"/>
        <v>1.9140341088608113</v>
      </c>
      <c r="Y707" s="19">
        <f t="shared" si="685"/>
        <v>1.7765598166012422</v>
      </c>
      <c r="Z707" s="19">
        <f t="shared" si="685"/>
        <v>1.5515932976497535</v>
      </c>
      <c r="AA707" s="19">
        <f t="shared" si="685"/>
        <v>1.2793169707996008</v>
      </c>
      <c r="AB707" s="19">
        <f t="shared" si="685"/>
        <v>1.0577787562043857</v>
      </c>
      <c r="AC707" s="12">
        <f>+SUM(E707:AB707)</f>
        <v>31</v>
      </c>
    </row>
    <row r="708" spans="2:29">
      <c r="B708" s="15">
        <f>+EDATE(B703,1)</f>
        <v>49157</v>
      </c>
      <c r="C708" s="8" t="s">
        <v>45</v>
      </c>
      <c r="D708" s="8">
        <v>21</v>
      </c>
      <c r="E708" s="50">
        <f t="shared" ref="E708:AB708" si="686">+E648</f>
        <v>2.9361257124838391E-2</v>
      </c>
      <c r="F708" s="50">
        <f t="shared" si="686"/>
        <v>2.7692710332229715E-2</v>
      </c>
      <c r="G708" s="50">
        <f t="shared" si="686"/>
        <v>2.6785161397696527E-2</v>
      </c>
      <c r="H708" s="50">
        <f t="shared" si="686"/>
        <v>2.6786989368939883E-2</v>
      </c>
      <c r="I708" s="50">
        <f t="shared" si="686"/>
        <v>2.9135775177511477E-2</v>
      </c>
      <c r="J708" s="50">
        <f t="shared" si="686"/>
        <v>3.4540443856715661E-2</v>
      </c>
      <c r="K708" s="50">
        <f t="shared" si="686"/>
        <v>3.8789035252325646E-2</v>
      </c>
      <c r="L708" s="50">
        <f t="shared" si="686"/>
        <v>3.957865839345593E-2</v>
      </c>
      <c r="M708" s="50">
        <f t="shared" si="686"/>
        <v>4.0957538271781398E-2</v>
      </c>
      <c r="N708" s="50">
        <f t="shared" si="686"/>
        <v>4.2166920044863825E-2</v>
      </c>
      <c r="O708" s="50">
        <f t="shared" si="686"/>
        <v>4.4150374939633218E-2</v>
      </c>
      <c r="P708" s="50">
        <f t="shared" si="686"/>
        <v>4.6294816466469102E-2</v>
      </c>
      <c r="Q708" s="50">
        <f t="shared" si="686"/>
        <v>4.5431875959152102E-2</v>
      </c>
      <c r="R708" s="50">
        <f t="shared" si="686"/>
        <v>4.3879728503346101E-2</v>
      </c>
      <c r="S708" s="50">
        <f t="shared" si="686"/>
        <v>4.4118506624640258E-2</v>
      </c>
      <c r="T708" s="50">
        <f t="shared" si="686"/>
        <v>4.5188432655351718E-2</v>
      </c>
      <c r="U708" s="50">
        <f t="shared" si="686"/>
        <v>4.624302558461979E-2</v>
      </c>
      <c r="V708" s="50">
        <f t="shared" si="686"/>
        <v>4.8247238962955179E-2</v>
      </c>
      <c r="W708" s="50">
        <f t="shared" si="686"/>
        <v>5.7096885328092907E-2</v>
      </c>
      <c r="X708" s="50">
        <f t="shared" si="686"/>
        <v>6.1739938045350239E-2</v>
      </c>
      <c r="Y708" s="50">
        <f t="shared" si="686"/>
        <v>5.7231881517227232E-2</v>
      </c>
      <c r="Z708" s="50">
        <f t="shared" si="686"/>
        <v>5.0129255438435008E-2</v>
      </c>
      <c r="AA708" s="50">
        <f t="shared" si="686"/>
        <v>4.1010488221716553E-2</v>
      </c>
      <c r="AB708" s="50">
        <f t="shared" si="686"/>
        <v>3.34430625326523E-2</v>
      </c>
      <c r="AC708" s="8">
        <f>+SUM(E708:AB708)*D708</f>
        <v>21.000000000000004</v>
      </c>
    </row>
    <row r="709" spans="2:29">
      <c r="B709" s="16"/>
      <c r="C709" s="8" t="s">
        <v>46</v>
      </c>
      <c r="D709" s="8">
        <v>4</v>
      </c>
      <c r="E709" s="50">
        <f t="shared" ref="E709:AB709" si="687">+E649</f>
        <v>3.0659473205105158E-2</v>
      </c>
      <c r="F709" s="50">
        <f t="shared" si="687"/>
        <v>2.8600001140869122E-2</v>
      </c>
      <c r="G709" s="50">
        <f t="shared" si="687"/>
        <v>2.7683858575034276E-2</v>
      </c>
      <c r="H709" s="50">
        <f t="shared" si="687"/>
        <v>2.7537802139610414E-2</v>
      </c>
      <c r="I709" s="50">
        <f t="shared" si="687"/>
        <v>2.8782539770184416E-2</v>
      </c>
      <c r="J709" s="50">
        <f t="shared" si="687"/>
        <v>3.2241585579716119E-2</v>
      </c>
      <c r="K709" s="50">
        <f t="shared" si="687"/>
        <v>3.645312931015221E-2</v>
      </c>
      <c r="L709" s="50">
        <f t="shared" si="687"/>
        <v>3.9012639181609042E-2</v>
      </c>
      <c r="M709" s="50">
        <f t="shared" si="687"/>
        <v>4.1549207589560662E-2</v>
      </c>
      <c r="N709" s="50">
        <f t="shared" si="687"/>
        <v>4.3042516751632572E-2</v>
      </c>
      <c r="O709" s="50">
        <f t="shared" si="687"/>
        <v>4.4973693586955334E-2</v>
      </c>
      <c r="P709" s="50">
        <f t="shared" si="687"/>
        <v>4.6808021710202923E-2</v>
      </c>
      <c r="Q709" s="50">
        <f t="shared" si="687"/>
        <v>4.6383383047344962E-2</v>
      </c>
      <c r="R709" s="50">
        <f t="shared" si="687"/>
        <v>4.4751654806610461E-2</v>
      </c>
      <c r="S709" s="50">
        <f t="shared" si="687"/>
        <v>4.4013077558728637E-2</v>
      </c>
      <c r="T709" s="50">
        <f t="shared" si="687"/>
        <v>4.428856091631931E-2</v>
      </c>
      <c r="U709" s="50">
        <f t="shared" si="687"/>
        <v>4.49735778579251E-2</v>
      </c>
      <c r="V709" s="50">
        <f t="shared" si="687"/>
        <v>4.6933206789217301E-2</v>
      </c>
      <c r="W709" s="50">
        <f t="shared" si="687"/>
        <v>5.6210586428141023E-2</v>
      </c>
      <c r="X709" s="50">
        <f t="shared" si="687"/>
        <v>6.1205656691958259E-2</v>
      </c>
      <c r="Y709" s="50">
        <f t="shared" si="687"/>
        <v>5.7018442088769522E-2</v>
      </c>
      <c r="Z709" s="50">
        <f t="shared" si="687"/>
        <v>4.9896672365740725E-2</v>
      </c>
      <c r="AA709" s="50">
        <f t="shared" si="687"/>
        <v>4.1622868086918119E-2</v>
      </c>
      <c r="AB709" s="50">
        <f t="shared" si="687"/>
        <v>3.5357844821693719E-2</v>
      </c>
      <c r="AC709" s="8">
        <f t="shared" ref="AC709:AC711" si="688">+SUM(E709:AB709)*D709</f>
        <v>3.9999999999999969</v>
      </c>
    </row>
    <row r="710" spans="2:29">
      <c r="B710" s="16"/>
      <c r="C710" s="8" t="s">
        <v>47</v>
      </c>
      <c r="D710" s="8">
        <v>4</v>
      </c>
      <c r="E710" s="50">
        <f t="shared" ref="E710:AB710" si="689">+E650</f>
        <v>3.3281514565353124E-2</v>
      </c>
      <c r="F710" s="50">
        <f t="shared" si="689"/>
        <v>3.1140043873712407E-2</v>
      </c>
      <c r="G710" s="50">
        <f t="shared" si="689"/>
        <v>2.984335106750436E-2</v>
      </c>
      <c r="H710" s="50">
        <f t="shared" si="689"/>
        <v>2.9286927979133532E-2</v>
      </c>
      <c r="I710" s="50">
        <f t="shared" si="689"/>
        <v>2.9138028999542646E-2</v>
      </c>
      <c r="J710" s="50">
        <f t="shared" si="689"/>
        <v>3.0942883559119717E-2</v>
      </c>
      <c r="K710" s="50">
        <f t="shared" si="689"/>
        <v>3.4432484834348992E-2</v>
      </c>
      <c r="L710" s="50">
        <f t="shared" si="689"/>
        <v>3.8305304424032266E-2</v>
      </c>
      <c r="M710" s="50">
        <f t="shared" si="689"/>
        <v>4.1103790742913066E-2</v>
      </c>
      <c r="N710" s="50">
        <f t="shared" si="689"/>
        <v>4.2608444243851212E-2</v>
      </c>
      <c r="O710" s="50">
        <f t="shared" si="689"/>
        <v>4.3914681848814308E-2</v>
      </c>
      <c r="P710" s="50">
        <f t="shared" si="689"/>
        <v>4.5729867165388009E-2</v>
      </c>
      <c r="Q710" s="50">
        <f t="shared" si="689"/>
        <v>4.5741487779353565E-2</v>
      </c>
      <c r="R710" s="50">
        <f t="shared" si="689"/>
        <v>4.4277060725657284E-2</v>
      </c>
      <c r="S710" s="50">
        <f t="shared" si="689"/>
        <v>4.3144199391556254E-2</v>
      </c>
      <c r="T710" s="50">
        <f t="shared" si="689"/>
        <v>4.3279567369281124E-2</v>
      </c>
      <c r="U710" s="50">
        <f t="shared" si="689"/>
        <v>4.4109954506885138E-2</v>
      </c>
      <c r="V710" s="50">
        <f t="shared" si="689"/>
        <v>4.6298728840315946E-2</v>
      </c>
      <c r="W710" s="50">
        <f t="shared" si="689"/>
        <v>5.6176649878816001E-2</v>
      </c>
      <c r="X710" s="50">
        <f t="shared" si="689"/>
        <v>6.2194705000087863E-2</v>
      </c>
      <c r="Y710" s="50">
        <f t="shared" si="689"/>
        <v>5.7928891294023718E-2</v>
      </c>
      <c r="Z710" s="50">
        <f t="shared" si="689"/>
        <v>5.019499221712586E-2</v>
      </c>
      <c r="AA710" s="50">
        <f t="shared" si="689"/>
        <v>4.1853093029906328E-2</v>
      </c>
      <c r="AB710" s="50">
        <f t="shared" si="689"/>
        <v>3.507334666327714E-2</v>
      </c>
      <c r="AC710" s="8">
        <f t="shared" si="688"/>
        <v>3.9999999999999991</v>
      </c>
    </row>
    <row r="711" spans="2:29">
      <c r="B711" s="16"/>
      <c r="C711" s="8" t="s">
        <v>48</v>
      </c>
      <c r="D711" s="8">
        <v>2</v>
      </c>
      <c r="E711" s="50">
        <f t="shared" ref="E711:AB711" si="690">+E651</f>
        <v>3.367503361886829E-2</v>
      </c>
      <c r="F711" s="50">
        <f t="shared" si="690"/>
        <v>3.1245692535415936E-2</v>
      </c>
      <c r="G711" s="50">
        <f t="shared" si="690"/>
        <v>2.9861746203171599E-2</v>
      </c>
      <c r="H711" s="50">
        <f t="shared" si="690"/>
        <v>2.9235019370742008E-2</v>
      </c>
      <c r="I711" s="50">
        <f t="shared" si="690"/>
        <v>3.0186379118294998E-2</v>
      </c>
      <c r="J711" s="50">
        <f t="shared" si="690"/>
        <v>3.3123682717801174E-2</v>
      </c>
      <c r="K711" s="50">
        <f t="shared" si="690"/>
        <v>3.5563630818173868E-2</v>
      </c>
      <c r="L711" s="50">
        <f t="shared" si="690"/>
        <v>3.7375437025807548E-2</v>
      </c>
      <c r="M711" s="50">
        <f t="shared" si="690"/>
        <v>3.9557895894381336E-2</v>
      </c>
      <c r="N711" s="50">
        <f t="shared" si="690"/>
        <v>4.1330002492198488E-2</v>
      </c>
      <c r="O711" s="50">
        <f t="shared" si="690"/>
        <v>4.3273465010057272E-2</v>
      </c>
      <c r="P711" s="50">
        <f t="shared" si="690"/>
        <v>4.5278417057592932E-2</v>
      </c>
      <c r="Q711" s="50">
        <f t="shared" si="690"/>
        <v>4.5765189585786785E-2</v>
      </c>
      <c r="R711" s="50">
        <f t="shared" si="690"/>
        <v>4.421428774797561E-2</v>
      </c>
      <c r="S711" s="50">
        <f t="shared" si="690"/>
        <v>4.3245429527174986E-2</v>
      </c>
      <c r="T711" s="50">
        <f t="shared" si="690"/>
        <v>4.3554999005074702E-2</v>
      </c>
      <c r="U711" s="50">
        <f t="shared" si="690"/>
        <v>4.4435510161992771E-2</v>
      </c>
      <c r="V711" s="50">
        <f t="shared" si="690"/>
        <v>4.717219114348542E-2</v>
      </c>
      <c r="W711" s="50">
        <f t="shared" si="690"/>
        <v>5.6899741232983039E-2</v>
      </c>
      <c r="X711" s="50">
        <f t="shared" si="690"/>
        <v>6.1986738769463187E-2</v>
      </c>
      <c r="Y711" s="50">
        <f t="shared" si="690"/>
        <v>5.7208700429979269E-2</v>
      </c>
      <c r="Z711" s="50">
        <f t="shared" si="690"/>
        <v>4.9339560702577757E-2</v>
      </c>
      <c r="AA711" s="50">
        <f t="shared" si="690"/>
        <v>4.1368944501432053E-2</v>
      </c>
      <c r="AB711" s="50">
        <f t="shared" si="690"/>
        <v>3.5102305329568817E-2</v>
      </c>
      <c r="AC711" s="8">
        <f t="shared" si="688"/>
        <v>1.9999999999999996</v>
      </c>
    </row>
    <row r="712" spans="2:29">
      <c r="B712" s="12"/>
      <c r="C712" s="12" t="s">
        <v>15</v>
      </c>
      <c r="D712" s="12">
        <f>+SUM(D708:D711)</f>
        <v>31</v>
      </c>
      <c r="E712" s="19">
        <f>+SUMPRODUCT(E708:E711,$D708:$D711)</f>
        <v>0.93970041794117598</v>
      </c>
      <c r="F712" s="19">
        <f>+SUMPRODUCT(F708:F711,$D708:$D711)</f>
        <v>0.88299848210598197</v>
      </c>
      <c r="G712" s="19">
        <f t="shared" ref="G712:AB712" si="691">+SUMPRODUCT(G708:G711,$D708:$D711)</f>
        <v>0.85232072032812478</v>
      </c>
      <c r="H712" s="19">
        <f t="shared" si="691"/>
        <v>0.84829573596419738</v>
      </c>
      <c r="I712" s="19">
        <f t="shared" si="691"/>
        <v>0.90390631204323935</v>
      </c>
      <c r="J712" s="19">
        <f t="shared" si="691"/>
        <v>1.0443345629819747</v>
      </c>
      <c r="K712" s="19">
        <f t="shared" si="691"/>
        <v>1.1692394585131909</v>
      </c>
      <c r="L712" s="19">
        <f t="shared" si="691"/>
        <v>1.215174474736755</v>
      </c>
      <c r="M712" s="19">
        <f t="shared" si="691"/>
        <v>1.2698360888260669</v>
      </c>
      <c r="N712" s="19">
        <f t="shared" si="691"/>
        <v>1.3107691699084727</v>
      </c>
      <c r="O712" s="19">
        <f t="shared" si="691"/>
        <v>1.3692583054954905</v>
      </c>
      <c r="P712" s="19">
        <f t="shared" si="691"/>
        <v>1.4328995354134009</v>
      </c>
      <c r="Q712" s="19">
        <f t="shared" si="691"/>
        <v>1.4140992576205618</v>
      </c>
      <c r="R712" s="19">
        <f t="shared" si="691"/>
        <v>1.3660177361952903</v>
      </c>
      <c r="S712" s="19">
        <f t="shared" si="691"/>
        <v>1.3616086059729351</v>
      </c>
      <c r="T712" s="19">
        <f t="shared" si="691"/>
        <v>1.3863395969149375</v>
      </c>
      <c r="U712" s="19">
        <f t="shared" si="691"/>
        <v>1.4163086870602422</v>
      </c>
      <c r="V712" s="19">
        <f t="shared" si="691"/>
        <v>1.4804641430271626</v>
      </c>
      <c r="W712" s="19">
        <f t="shared" si="691"/>
        <v>1.7623830195837451</v>
      </c>
      <c r="X712" s="19">
        <f t="shared" si="691"/>
        <v>1.914113623259466</v>
      </c>
      <c r="Y712" s="19">
        <f t="shared" si="691"/>
        <v>1.7760762462529034</v>
      </c>
      <c r="Z712" s="19">
        <f t="shared" si="691"/>
        <v>1.5517601439437572</v>
      </c>
      <c r="AA712" s="19">
        <f t="shared" si="691"/>
        <v>1.2778619861262095</v>
      </c>
      <c r="AB712" s="19">
        <f t="shared" si="691"/>
        <v>1.0542336897847193</v>
      </c>
      <c r="AC712" s="12">
        <f>+SUM(E712:AB712)</f>
        <v>30.999999999999996</v>
      </c>
    </row>
    <row r="713" spans="2:29">
      <c r="B713" s="15">
        <f>+EDATE(B708,1)</f>
        <v>49188</v>
      </c>
      <c r="C713" s="8" t="s">
        <v>45</v>
      </c>
      <c r="D713" s="8">
        <v>21</v>
      </c>
      <c r="E713" s="50">
        <f t="shared" ref="E713:AB713" si="692">+E653</f>
        <v>2.9361257124838391E-2</v>
      </c>
      <c r="F713" s="50">
        <f t="shared" si="692"/>
        <v>2.7692710332229715E-2</v>
      </c>
      <c r="G713" s="50">
        <f t="shared" si="692"/>
        <v>2.6785161397696527E-2</v>
      </c>
      <c r="H713" s="50">
        <f t="shared" si="692"/>
        <v>2.6786989368939883E-2</v>
      </c>
      <c r="I713" s="50">
        <f t="shared" si="692"/>
        <v>2.9135775177511477E-2</v>
      </c>
      <c r="J713" s="50">
        <f t="shared" si="692"/>
        <v>3.4540443856715661E-2</v>
      </c>
      <c r="K713" s="50">
        <f t="shared" si="692"/>
        <v>3.8789035252325646E-2</v>
      </c>
      <c r="L713" s="50">
        <f t="shared" si="692"/>
        <v>3.957865839345593E-2</v>
      </c>
      <c r="M713" s="50">
        <f t="shared" si="692"/>
        <v>4.0957538271781398E-2</v>
      </c>
      <c r="N713" s="50">
        <f t="shared" si="692"/>
        <v>4.2166920044863825E-2</v>
      </c>
      <c r="O713" s="50">
        <f t="shared" si="692"/>
        <v>4.4150374939633218E-2</v>
      </c>
      <c r="P713" s="50">
        <f t="shared" si="692"/>
        <v>4.6294816466469102E-2</v>
      </c>
      <c r="Q713" s="50">
        <f t="shared" si="692"/>
        <v>4.5431875959152102E-2</v>
      </c>
      <c r="R713" s="50">
        <f t="shared" si="692"/>
        <v>4.3879728503346101E-2</v>
      </c>
      <c r="S713" s="50">
        <f t="shared" si="692"/>
        <v>4.4118506624640258E-2</v>
      </c>
      <c r="T713" s="50">
        <f t="shared" si="692"/>
        <v>4.5188432655351718E-2</v>
      </c>
      <c r="U713" s="50">
        <f t="shared" si="692"/>
        <v>4.624302558461979E-2</v>
      </c>
      <c r="V713" s="50">
        <f t="shared" si="692"/>
        <v>4.8247238962955179E-2</v>
      </c>
      <c r="W713" s="50">
        <f t="shared" si="692"/>
        <v>5.7096885328092907E-2</v>
      </c>
      <c r="X713" s="50">
        <f t="shared" si="692"/>
        <v>6.1739938045350239E-2</v>
      </c>
      <c r="Y713" s="50">
        <f t="shared" si="692"/>
        <v>5.7231881517227232E-2</v>
      </c>
      <c r="Z713" s="50">
        <f t="shared" si="692"/>
        <v>5.0129255438435008E-2</v>
      </c>
      <c r="AA713" s="50">
        <f t="shared" si="692"/>
        <v>4.1010488221716553E-2</v>
      </c>
      <c r="AB713" s="50">
        <f t="shared" si="692"/>
        <v>3.34430625326523E-2</v>
      </c>
      <c r="AC713" s="8">
        <f>+SUM(E713:AB713)*D713</f>
        <v>21.000000000000004</v>
      </c>
    </row>
    <row r="714" spans="2:29">
      <c r="B714" s="16"/>
      <c r="C714" s="8" t="s">
        <v>46</v>
      </c>
      <c r="D714" s="8">
        <v>5</v>
      </c>
      <c r="E714" s="50">
        <f t="shared" ref="E714:AB714" si="693">+E654</f>
        <v>3.0659473205105158E-2</v>
      </c>
      <c r="F714" s="50">
        <f t="shared" si="693"/>
        <v>2.8600001140869122E-2</v>
      </c>
      <c r="G714" s="50">
        <f t="shared" si="693"/>
        <v>2.7683858575034276E-2</v>
      </c>
      <c r="H714" s="50">
        <f t="shared" si="693"/>
        <v>2.7537802139610414E-2</v>
      </c>
      <c r="I714" s="50">
        <f t="shared" si="693"/>
        <v>2.8782539770184416E-2</v>
      </c>
      <c r="J714" s="50">
        <f t="shared" si="693"/>
        <v>3.2241585579716119E-2</v>
      </c>
      <c r="K714" s="50">
        <f t="shared" si="693"/>
        <v>3.645312931015221E-2</v>
      </c>
      <c r="L714" s="50">
        <f t="shared" si="693"/>
        <v>3.9012639181609042E-2</v>
      </c>
      <c r="M714" s="50">
        <f t="shared" si="693"/>
        <v>4.1549207589560662E-2</v>
      </c>
      <c r="N714" s="50">
        <f t="shared" si="693"/>
        <v>4.3042516751632572E-2</v>
      </c>
      <c r="O714" s="50">
        <f t="shared" si="693"/>
        <v>4.4973693586955334E-2</v>
      </c>
      <c r="P714" s="50">
        <f t="shared" si="693"/>
        <v>4.6808021710202923E-2</v>
      </c>
      <c r="Q714" s="50">
        <f t="shared" si="693"/>
        <v>4.6383383047344962E-2</v>
      </c>
      <c r="R714" s="50">
        <f t="shared" si="693"/>
        <v>4.4751654806610461E-2</v>
      </c>
      <c r="S714" s="50">
        <f t="shared" si="693"/>
        <v>4.4013077558728637E-2</v>
      </c>
      <c r="T714" s="50">
        <f t="shared" si="693"/>
        <v>4.428856091631931E-2</v>
      </c>
      <c r="U714" s="50">
        <f t="shared" si="693"/>
        <v>4.49735778579251E-2</v>
      </c>
      <c r="V714" s="50">
        <f t="shared" si="693"/>
        <v>4.6933206789217301E-2</v>
      </c>
      <c r="W714" s="50">
        <f t="shared" si="693"/>
        <v>5.6210586428141023E-2</v>
      </c>
      <c r="X714" s="50">
        <f t="shared" si="693"/>
        <v>6.1205656691958259E-2</v>
      </c>
      <c r="Y714" s="50">
        <f t="shared" si="693"/>
        <v>5.7018442088769522E-2</v>
      </c>
      <c r="Z714" s="50">
        <f t="shared" si="693"/>
        <v>4.9896672365740725E-2</v>
      </c>
      <c r="AA714" s="50">
        <f t="shared" si="693"/>
        <v>4.1622868086918119E-2</v>
      </c>
      <c r="AB714" s="50">
        <f t="shared" si="693"/>
        <v>3.5357844821693719E-2</v>
      </c>
      <c r="AC714" s="8">
        <f t="shared" ref="AC714:AC716" si="694">+SUM(E714:AB714)*D714</f>
        <v>4.9999999999999964</v>
      </c>
    </row>
    <row r="715" spans="2:29">
      <c r="B715" s="16"/>
      <c r="C715" s="8" t="s">
        <v>47</v>
      </c>
      <c r="D715" s="8">
        <v>4</v>
      </c>
      <c r="E715" s="50">
        <f t="shared" ref="E715:AB715" si="695">+E655</f>
        <v>3.3281514565353124E-2</v>
      </c>
      <c r="F715" s="50">
        <f t="shared" si="695"/>
        <v>3.1140043873712407E-2</v>
      </c>
      <c r="G715" s="50">
        <f t="shared" si="695"/>
        <v>2.984335106750436E-2</v>
      </c>
      <c r="H715" s="50">
        <f t="shared" si="695"/>
        <v>2.9286927979133532E-2</v>
      </c>
      <c r="I715" s="50">
        <f t="shared" si="695"/>
        <v>2.9138028999542646E-2</v>
      </c>
      <c r="J715" s="50">
        <f t="shared" si="695"/>
        <v>3.0942883559119717E-2</v>
      </c>
      <c r="K715" s="50">
        <f t="shared" si="695"/>
        <v>3.4432484834348992E-2</v>
      </c>
      <c r="L715" s="50">
        <f t="shared" si="695"/>
        <v>3.8305304424032266E-2</v>
      </c>
      <c r="M715" s="50">
        <f t="shared" si="695"/>
        <v>4.1103790742913066E-2</v>
      </c>
      <c r="N715" s="50">
        <f t="shared" si="695"/>
        <v>4.2608444243851212E-2</v>
      </c>
      <c r="O715" s="50">
        <f t="shared" si="695"/>
        <v>4.3914681848814308E-2</v>
      </c>
      <c r="P715" s="50">
        <f t="shared" si="695"/>
        <v>4.5729867165388009E-2</v>
      </c>
      <c r="Q715" s="50">
        <f t="shared" si="695"/>
        <v>4.5741487779353565E-2</v>
      </c>
      <c r="R715" s="50">
        <f t="shared" si="695"/>
        <v>4.4277060725657284E-2</v>
      </c>
      <c r="S715" s="50">
        <f t="shared" si="695"/>
        <v>4.3144199391556254E-2</v>
      </c>
      <c r="T715" s="50">
        <f t="shared" si="695"/>
        <v>4.3279567369281124E-2</v>
      </c>
      <c r="U715" s="50">
        <f t="shared" si="695"/>
        <v>4.4109954506885138E-2</v>
      </c>
      <c r="V715" s="50">
        <f t="shared" si="695"/>
        <v>4.6298728840315946E-2</v>
      </c>
      <c r="W715" s="50">
        <f t="shared" si="695"/>
        <v>5.6176649878816001E-2</v>
      </c>
      <c r="X715" s="50">
        <f t="shared" si="695"/>
        <v>6.2194705000087863E-2</v>
      </c>
      <c r="Y715" s="50">
        <f t="shared" si="695"/>
        <v>5.7928891294023718E-2</v>
      </c>
      <c r="Z715" s="50">
        <f t="shared" si="695"/>
        <v>5.019499221712586E-2</v>
      </c>
      <c r="AA715" s="50">
        <f t="shared" si="695"/>
        <v>4.1853093029906328E-2</v>
      </c>
      <c r="AB715" s="50">
        <f t="shared" si="695"/>
        <v>3.507334666327714E-2</v>
      </c>
      <c r="AC715" s="8">
        <f t="shared" si="694"/>
        <v>3.9999999999999991</v>
      </c>
    </row>
    <row r="716" spans="2:29">
      <c r="B716" s="16"/>
      <c r="C716" s="8" t="s">
        <v>48</v>
      </c>
      <c r="D716" s="8">
        <v>0</v>
      </c>
      <c r="E716" s="50">
        <f t="shared" ref="E716:AB716" si="696">+E656</f>
        <v>3.367503361886829E-2</v>
      </c>
      <c r="F716" s="50">
        <f t="shared" si="696"/>
        <v>3.1245692535415936E-2</v>
      </c>
      <c r="G716" s="50">
        <f t="shared" si="696"/>
        <v>2.9861746203171599E-2</v>
      </c>
      <c r="H716" s="50">
        <f t="shared" si="696"/>
        <v>2.9235019370742008E-2</v>
      </c>
      <c r="I716" s="50">
        <f t="shared" si="696"/>
        <v>3.0186379118294998E-2</v>
      </c>
      <c r="J716" s="50">
        <f t="shared" si="696"/>
        <v>3.3123682717801174E-2</v>
      </c>
      <c r="K716" s="50">
        <f t="shared" si="696"/>
        <v>3.5563630818173868E-2</v>
      </c>
      <c r="L716" s="50">
        <f t="shared" si="696"/>
        <v>3.7375437025807548E-2</v>
      </c>
      <c r="M716" s="50">
        <f t="shared" si="696"/>
        <v>3.9557895894381336E-2</v>
      </c>
      <c r="N716" s="50">
        <f t="shared" si="696"/>
        <v>4.1330002492198488E-2</v>
      </c>
      <c r="O716" s="50">
        <f t="shared" si="696"/>
        <v>4.3273465010057272E-2</v>
      </c>
      <c r="P716" s="50">
        <f t="shared" si="696"/>
        <v>4.5278417057592932E-2</v>
      </c>
      <c r="Q716" s="50">
        <f t="shared" si="696"/>
        <v>4.5765189585786785E-2</v>
      </c>
      <c r="R716" s="50">
        <f t="shared" si="696"/>
        <v>4.421428774797561E-2</v>
      </c>
      <c r="S716" s="50">
        <f t="shared" si="696"/>
        <v>4.3245429527174986E-2</v>
      </c>
      <c r="T716" s="50">
        <f t="shared" si="696"/>
        <v>4.3554999005074702E-2</v>
      </c>
      <c r="U716" s="50">
        <f t="shared" si="696"/>
        <v>4.4435510161992771E-2</v>
      </c>
      <c r="V716" s="50">
        <f t="shared" si="696"/>
        <v>4.717219114348542E-2</v>
      </c>
      <c r="W716" s="50">
        <f t="shared" si="696"/>
        <v>5.6899741232983039E-2</v>
      </c>
      <c r="X716" s="50">
        <f t="shared" si="696"/>
        <v>6.1986738769463187E-2</v>
      </c>
      <c r="Y716" s="50">
        <f t="shared" si="696"/>
        <v>5.7208700429979269E-2</v>
      </c>
      <c r="Z716" s="50">
        <f t="shared" si="696"/>
        <v>4.9339560702577757E-2</v>
      </c>
      <c r="AA716" s="50">
        <f t="shared" si="696"/>
        <v>4.1368944501432053E-2</v>
      </c>
      <c r="AB716" s="50">
        <f t="shared" si="696"/>
        <v>3.5102305329568817E-2</v>
      </c>
      <c r="AC716" s="8">
        <f t="shared" si="694"/>
        <v>0</v>
      </c>
    </row>
    <row r="717" spans="2:29">
      <c r="B717" s="12"/>
      <c r="C717" s="12" t="s">
        <v>15</v>
      </c>
      <c r="D717" s="12">
        <f>+SUM(D713:D716)</f>
        <v>30</v>
      </c>
      <c r="E717" s="19">
        <f>+SUMPRODUCT(E713:E716,$D713:$D716)</f>
        <v>0.90300982390854445</v>
      </c>
      <c r="F717" s="19">
        <f>+SUMPRODUCT(F713:F716,$D713:$D716)</f>
        <v>0.84910709817601926</v>
      </c>
      <c r="G717" s="19">
        <f t="shared" ref="G717:AB717" si="697">+SUMPRODUCT(G713:G716,$D713:$D716)</f>
        <v>0.82028108649681586</v>
      </c>
      <c r="H717" s="19">
        <f t="shared" si="697"/>
        <v>0.81736349936232378</v>
      </c>
      <c r="I717" s="19">
        <f t="shared" si="697"/>
        <v>0.87231609357683371</v>
      </c>
      <c r="J717" s="19">
        <f t="shared" si="697"/>
        <v>1.0103287831260883</v>
      </c>
      <c r="K717" s="19">
        <f t="shared" si="697"/>
        <v>1.1345653261869955</v>
      </c>
      <c r="L717" s="19">
        <f t="shared" si="697"/>
        <v>1.1794362398667486</v>
      </c>
      <c r="M717" s="19">
        <f t="shared" si="697"/>
        <v>1.2322695046268648</v>
      </c>
      <c r="N717" s="19">
        <f t="shared" si="697"/>
        <v>1.271151681675708</v>
      </c>
      <c r="O717" s="19">
        <f t="shared" si="697"/>
        <v>1.3276850690623314</v>
      </c>
      <c r="P717" s="19">
        <f t="shared" si="697"/>
        <v>1.3891507230084179</v>
      </c>
      <c r="Q717" s="19">
        <f t="shared" si="697"/>
        <v>1.3689522614963332</v>
      </c>
      <c r="R717" s="19">
        <f t="shared" si="697"/>
        <v>1.3223408155059495</v>
      </c>
      <c r="S717" s="19">
        <f t="shared" si="697"/>
        <v>1.3191308244773134</v>
      </c>
      <c r="T717" s="19">
        <f t="shared" si="697"/>
        <v>1.3435181598211072</v>
      </c>
      <c r="U717" s="19">
        <f t="shared" si="697"/>
        <v>1.3724112445941816</v>
      </c>
      <c r="V717" s="19">
        <f t="shared" si="697"/>
        <v>1.433052967529409</v>
      </c>
      <c r="W717" s="19">
        <f t="shared" si="697"/>
        <v>1.7047941235459201</v>
      </c>
      <c r="X717" s="19">
        <f t="shared" si="697"/>
        <v>1.8513458024124976</v>
      </c>
      <c r="Y717" s="19">
        <f t="shared" si="697"/>
        <v>1.7186772874817144</v>
      </c>
      <c r="Z717" s="19">
        <f t="shared" si="697"/>
        <v>1.5029776949043423</v>
      </c>
      <c r="AA717" s="19">
        <f t="shared" si="697"/>
        <v>1.2367469652102634</v>
      </c>
      <c r="AB717" s="19">
        <f t="shared" si="697"/>
        <v>1.0193869239472755</v>
      </c>
      <c r="AC717" s="12">
        <f>+SUM(E717:AB717)</f>
        <v>30</v>
      </c>
    </row>
    <row r="718" spans="2:29">
      <c r="B718" s="15">
        <f>+EDATE(B713,1)</f>
        <v>49218</v>
      </c>
      <c r="C718" s="8" t="s">
        <v>45</v>
      </c>
      <c r="D718" s="8">
        <v>21</v>
      </c>
      <c r="E718" s="50">
        <f t="shared" ref="E718:AB718" si="698">+E658</f>
        <v>2.9361257124838391E-2</v>
      </c>
      <c r="F718" s="50">
        <f t="shared" si="698"/>
        <v>2.7692710332229715E-2</v>
      </c>
      <c r="G718" s="50">
        <f t="shared" si="698"/>
        <v>2.6785161397696527E-2</v>
      </c>
      <c r="H718" s="50">
        <f t="shared" si="698"/>
        <v>2.6786989368939883E-2</v>
      </c>
      <c r="I718" s="50">
        <f t="shared" si="698"/>
        <v>2.9135775177511477E-2</v>
      </c>
      <c r="J718" s="50">
        <f t="shared" si="698"/>
        <v>3.4540443856715661E-2</v>
      </c>
      <c r="K718" s="50">
        <f t="shared" si="698"/>
        <v>3.8789035252325646E-2</v>
      </c>
      <c r="L718" s="50">
        <f t="shared" si="698"/>
        <v>3.957865839345593E-2</v>
      </c>
      <c r="M718" s="50">
        <f t="shared" si="698"/>
        <v>4.0957538271781398E-2</v>
      </c>
      <c r="N718" s="50">
        <f t="shared" si="698"/>
        <v>4.2166920044863825E-2</v>
      </c>
      <c r="O718" s="50">
        <f t="shared" si="698"/>
        <v>4.4150374939633218E-2</v>
      </c>
      <c r="P718" s="50">
        <f t="shared" si="698"/>
        <v>4.6294816466469102E-2</v>
      </c>
      <c r="Q718" s="50">
        <f t="shared" si="698"/>
        <v>4.5431875959152102E-2</v>
      </c>
      <c r="R718" s="50">
        <f t="shared" si="698"/>
        <v>4.3879728503346101E-2</v>
      </c>
      <c r="S718" s="50">
        <f t="shared" si="698"/>
        <v>4.4118506624640258E-2</v>
      </c>
      <c r="T718" s="50">
        <f t="shared" si="698"/>
        <v>4.5188432655351718E-2</v>
      </c>
      <c r="U718" s="50">
        <f t="shared" si="698"/>
        <v>4.624302558461979E-2</v>
      </c>
      <c r="V718" s="50">
        <f t="shared" si="698"/>
        <v>4.8247238962955179E-2</v>
      </c>
      <c r="W718" s="50">
        <f t="shared" si="698"/>
        <v>5.7096885328092907E-2</v>
      </c>
      <c r="X718" s="50">
        <f t="shared" si="698"/>
        <v>6.1739938045350239E-2</v>
      </c>
      <c r="Y718" s="50">
        <f t="shared" si="698"/>
        <v>5.7231881517227232E-2</v>
      </c>
      <c r="Z718" s="50">
        <f t="shared" si="698"/>
        <v>5.0129255438435008E-2</v>
      </c>
      <c r="AA718" s="50">
        <f t="shared" si="698"/>
        <v>4.1010488221716553E-2</v>
      </c>
      <c r="AB718" s="50">
        <f t="shared" si="698"/>
        <v>3.34430625326523E-2</v>
      </c>
      <c r="AC718" s="8">
        <f>+SUM(E718:AB718)*D718</f>
        <v>21.000000000000004</v>
      </c>
    </row>
    <row r="719" spans="2:29">
      <c r="B719" s="16"/>
      <c r="C719" s="8" t="s">
        <v>46</v>
      </c>
      <c r="D719" s="8">
        <v>4</v>
      </c>
      <c r="E719" s="50">
        <f t="shared" ref="E719:AB719" si="699">+E659</f>
        <v>3.0659473205105158E-2</v>
      </c>
      <c r="F719" s="50">
        <f t="shared" si="699"/>
        <v>2.8600001140869122E-2</v>
      </c>
      <c r="G719" s="50">
        <f t="shared" si="699"/>
        <v>2.7683858575034276E-2</v>
      </c>
      <c r="H719" s="50">
        <f t="shared" si="699"/>
        <v>2.7537802139610414E-2</v>
      </c>
      <c r="I719" s="50">
        <f t="shared" si="699"/>
        <v>2.8782539770184416E-2</v>
      </c>
      <c r="J719" s="50">
        <f t="shared" si="699"/>
        <v>3.2241585579716119E-2</v>
      </c>
      <c r="K719" s="50">
        <f t="shared" si="699"/>
        <v>3.645312931015221E-2</v>
      </c>
      <c r="L719" s="50">
        <f t="shared" si="699"/>
        <v>3.9012639181609042E-2</v>
      </c>
      <c r="M719" s="50">
        <f t="shared" si="699"/>
        <v>4.1549207589560662E-2</v>
      </c>
      <c r="N719" s="50">
        <f t="shared" si="699"/>
        <v>4.3042516751632572E-2</v>
      </c>
      <c r="O719" s="50">
        <f t="shared" si="699"/>
        <v>4.4973693586955334E-2</v>
      </c>
      <c r="P719" s="50">
        <f t="shared" si="699"/>
        <v>4.6808021710202923E-2</v>
      </c>
      <c r="Q719" s="50">
        <f t="shared" si="699"/>
        <v>4.6383383047344962E-2</v>
      </c>
      <c r="R719" s="50">
        <f t="shared" si="699"/>
        <v>4.4751654806610461E-2</v>
      </c>
      <c r="S719" s="50">
        <f t="shared" si="699"/>
        <v>4.4013077558728637E-2</v>
      </c>
      <c r="T719" s="50">
        <f t="shared" si="699"/>
        <v>4.428856091631931E-2</v>
      </c>
      <c r="U719" s="50">
        <f t="shared" si="699"/>
        <v>4.49735778579251E-2</v>
      </c>
      <c r="V719" s="50">
        <f t="shared" si="699"/>
        <v>4.6933206789217301E-2</v>
      </c>
      <c r="W719" s="50">
        <f t="shared" si="699"/>
        <v>5.6210586428141023E-2</v>
      </c>
      <c r="X719" s="50">
        <f t="shared" si="699"/>
        <v>6.1205656691958259E-2</v>
      </c>
      <c r="Y719" s="50">
        <f t="shared" si="699"/>
        <v>5.7018442088769522E-2</v>
      </c>
      <c r="Z719" s="50">
        <f t="shared" si="699"/>
        <v>4.9896672365740725E-2</v>
      </c>
      <c r="AA719" s="50">
        <f t="shared" si="699"/>
        <v>4.1622868086918119E-2</v>
      </c>
      <c r="AB719" s="50">
        <f t="shared" si="699"/>
        <v>3.5357844821693719E-2</v>
      </c>
      <c r="AC719" s="8">
        <f t="shared" ref="AC719:AC721" si="700">+SUM(E719:AB719)*D719</f>
        <v>3.9999999999999969</v>
      </c>
    </row>
    <row r="720" spans="2:29">
      <c r="B720" s="16"/>
      <c r="C720" s="8" t="s">
        <v>47</v>
      </c>
      <c r="D720" s="8">
        <v>5</v>
      </c>
      <c r="E720" s="50">
        <f t="shared" ref="E720:AB720" si="701">+E660</f>
        <v>3.3281514565353124E-2</v>
      </c>
      <c r="F720" s="50">
        <f t="shared" si="701"/>
        <v>3.1140043873712407E-2</v>
      </c>
      <c r="G720" s="50">
        <f t="shared" si="701"/>
        <v>2.984335106750436E-2</v>
      </c>
      <c r="H720" s="50">
        <f t="shared" si="701"/>
        <v>2.9286927979133532E-2</v>
      </c>
      <c r="I720" s="50">
        <f t="shared" si="701"/>
        <v>2.9138028999542646E-2</v>
      </c>
      <c r="J720" s="50">
        <f t="shared" si="701"/>
        <v>3.0942883559119717E-2</v>
      </c>
      <c r="K720" s="50">
        <f t="shared" si="701"/>
        <v>3.4432484834348992E-2</v>
      </c>
      <c r="L720" s="50">
        <f t="shared" si="701"/>
        <v>3.8305304424032266E-2</v>
      </c>
      <c r="M720" s="50">
        <f t="shared" si="701"/>
        <v>4.1103790742913066E-2</v>
      </c>
      <c r="N720" s="50">
        <f t="shared" si="701"/>
        <v>4.2608444243851212E-2</v>
      </c>
      <c r="O720" s="50">
        <f t="shared" si="701"/>
        <v>4.3914681848814308E-2</v>
      </c>
      <c r="P720" s="50">
        <f t="shared" si="701"/>
        <v>4.5729867165388009E-2</v>
      </c>
      <c r="Q720" s="50">
        <f t="shared" si="701"/>
        <v>4.5741487779353565E-2</v>
      </c>
      <c r="R720" s="50">
        <f t="shared" si="701"/>
        <v>4.4277060725657284E-2</v>
      </c>
      <c r="S720" s="50">
        <f t="shared" si="701"/>
        <v>4.3144199391556254E-2</v>
      </c>
      <c r="T720" s="50">
        <f t="shared" si="701"/>
        <v>4.3279567369281124E-2</v>
      </c>
      <c r="U720" s="50">
        <f t="shared" si="701"/>
        <v>4.4109954506885138E-2</v>
      </c>
      <c r="V720" s="50">
        <f t="shared" si="701"/>
        <v>4.6298728840315946E-2</v>
      </c>
      <c r="W720" s="50">
        <f t="shared" si="701"/>
        <v>5.6176649878816001E-2</v>
      </c>
      <c r="X720" s="50">
        <f t="shared" si="701"/>
        <v>6.2194705000087863E-2</v>
      </c>
      <c r="Y720" s="50">
        <f t="shared" si="701"/>
        <v>5.7928891294023718E-2</v>
      </c>
      <c r="Z720" s="50">
        <f t="shared" si="701"/>
        <v>5.019499221712586E-2</v>
      </c>
      <c r="AA720" s="50">
        <f t="shared" si="701"/>
        <v>4.1853093029906328E-2</v>
      </c>
      <c r="AB720" s="50">
        <f t="shared" si="701"/>
        <v>3.507334666327714E-2</v>
      </c>
      <c r="AC720" s="8">
        <f t="shared" si="700"/>
        <v>4.9999999999999991</v>
      </c>
    </row>
    <row r="721" spans="2:29">
      <c r="B721" s="16"/>
      <c r="C721" s="8" t="s">
        <v>48</v>
      </c>
      <c r="D721" s="8">
        <v>1</v>
      </c>
      <c r="E721" s="50">
        <f t="shared" ref="E721:AB721" si="702">+E661</f>
        <v>3.367503361886829E-2</v>
      </c>
      <c r="F721" s="50">
        <f t="shared" si="702"/>
        <v>3.1245692535415936E-2</v>
      </c>
      <c r="G721" s="50">
        <f t="shared" si="702"/>
        <v>2.9861746203171599E-2</v>
      </c>
      <c r="H721" s="50">
        <f t="shared" si="702"/>
        <v>2.9235019370742008E-2</v>
      </c>
      <c r="I721" s="50">
        <f t="shared" si="702"/>
        <v>3.0186379118294998E-2</v>
      </c>
      <c r="J721" s="50">
        <f t="shared" si="702"/>
        <v>3.3123682717801174E-2</v>
      </c>
      <c r="K721" s="50">
        <f t="shared" si="702"/>
        <v>3.5563630818173868E-2</v>
      </c>
      <c r="L721" s="50">
        <f t="shared" si="702"/>
        <v>3.7375437025807548E-2</v>
      </c>
      <c r="M721" s="50">
        <f t="shared" si="702"/>
        <v>3.9557895894381336E-2</v>
      </c>
      <c r="N721" s="50">
        <f t="shared" si="702"/>
        <v>4.1330002492198488E-2</v>
      </c>
      <c r="O721" s="50">
        <f t="shared" si="702"/>
        <v>4.3273465010057272E-2</v>
      </c>
      <c r="P721" s="50">
        <f t="shared" si="702"/>
        <v>4.5278417057592932E-2</v>
      </c>
      <c r="Q721" s="50">
        <f t="shared" si="702"/>
        <v>4.5765189585786785E-2</v>
      </c>
      <c r="R721" s="50">
        <f t="shared" si="702"/>
        <v>4.421428774797561E-2</v>
      </c>
      <c r="S721" s="50">
        <f t="shared" si="702"/>
        <v>4.3245429527174986E-2</v>
      </c>
      <c r="T721" s="50">
        <f t="shared" si="702"/>
        <v>4.3554999005074702E-2</v>
      </c>
      <c r="U721" s="50">
        <f t="shared" si="702"/>
        <v>4.4435510161992771E-2</v>
      </c>
      <c r="V721" s="50">
        <f t="shared" si="702"/>
        <v>4.717219114348542E-2</v>
      </c>
      <c r="W721" s="50">
        <f t="shared" si="702"/>
        <v>5.6899741232983039E-2</v>
      </c>
      <c r="X721" s="50">
        <f t="shared" si="702"/>
        <v>6.1986738769463187E-2</v>
      </c>
      <c r="Y721" s="50">
        <f t="shared" si="702"/>
        <v>5.7208700429979269E-2</v>
      </c>
      <c r="Z721" s="50">
        <f t="shared" si="702"/>
        <v>4.9339560702577757E-2</v>
      </c>
      <c r="AA721" s="50">
        <f t="shared" si="702"/>
        <v>4.1368944501432053E-2</v>
      </c>
      <c r="AB721" s="50">
        <f t="shared" si="702"/>
        <v>3.5102305329568817E-2</v>
      </c>
      <c r="AC721" s="8">
        <f t="shared" si="700"/>
        <v>0.99999999999999978</v>
      </c>
    </row>
    <row r="722" spans="2:29">
      <c r="B722" s="12"/>
      <c r="C722" s="12" t="s">
        <v>15</v>
      </c>
      <c r="D722" s="12">
        <f>+SUM(D718:D721)</f>
        <v>31</v>
      </c>
      <c r="E722" s="19">
        <f>+SUMPRODUCT(E718:E721,$D718:$D721)</f>
        <v>0.93930689888766072</v>
      </c>
      <c r="F722" s="19">
        <f>+SUMPRODUCT(F718:F721,$D718:$D721)</f>
        <v>0.88289283344427849</v>
      </c>
      <c r="G722" s="19">
        <f t="shared" ref="G722:AB722" si="703">+SUMPRODUCT(G718:G721,$D718:$D721)</f>
        <v>0.85230232519245752</v>
      </c>
      <c r="H722" s="19">
        <f t="shared" si="703"/>
        <v>0.84834764457258882</v>
      </c>
      <c r="I722" s="19">
        <f t="shared" si="703"/>
        <v>0.90285796192448697</v>
      </c>
      <c r="J722" s="19">
        <f t="shared" si="703"/>
        <v>1.0421537638232932</v>
      </c>
      <c r="K722" s="19">
        <f t="shared" si="703"/>
        <v>1.1681083125293663</v>
      </c>
      <c r="L722" s="19">
        <f t="shared" si="703"/>
        <v>1.2161043421349795</v>
      </c>
      <c r="M722" s="19">
        <f t="shared" si="703"/>
        <v>1.2713819836745988</v>
      </c>
      <c r="N722" s="19">
        <f t="shared" si="703"/>
        <v>1.3120476116601252</v>
      </c>
      <c r="O722" s="19">
        <f t="shared" si="703"/>
        <v>1.3698995223342476</v>
      </c>
      <c r="P722" s="19">
        <f t="shared" si="703"/>
        <v>1.4333509855211959</v>
      </c>
      <c r="Q722" s="19">
        <f t="shared" si="703"/>
        <v>1.4140755558141285</v>
      </c>
      <c r="R722" s="19">
        <f t="shared" si="703"/>
        <v>1.366080509172972</v>
      </c>
      <c r="S722" s="19">
        <f t="shared" si="703"/>
        <v>1.3615073758373162</v>
      </c>
      <c r="T722" s="19">
        <f t="shared" si="703"/>
        <v>1.3860641652791439</v>
      </c>
      <c r="U722" s="19">
        <f t="shared" si="703"/>
        <v>1.4159831314051345</v>
      </c>
      <c r="V722" s="19">
        <f t="shared" si="703"/>
        <v>1.4795906807239934</v>
      </c>
      <c r="W722" s="19">
        <f t="shared" si="703"/>
        <v>1.7616599282295782</v>
      </c>
      <c r="X722" s="19">
        <f t="shared" si="703"/>
        <v>1.9143215894900907</v>
      </c>
      <c r="Y722" s="19">
        <f t="shared" si="703"/>
        <v>1.7767964371169478</v>
      </c>
      <c r="Z722" s="19">
        <f t="shared" si="703"/>
        <v>1.5526155754583053</v>
      </c>
      <c r="AA722" s="19">
        <f t="shared" si="703"/>
        <v>1.2783461346546838</v>
      </c>
      <c r="AB722" s="19">
        <f t="shared" si="703"/>
        <v>1.0542047311184275</v>
      </c>
      <c r="AC722" s="12">
        <f>+SUM(E722:AB722)</f>
        <v>30.999999999999996</v>
      </c>
    </row>
    <row r="723" spans="2:29">
      <c r="B723" s="15">
        <f>+EDATE(B718,1)</f>
        <v>49249</v>
      </c>
      <c r="C723" s="8" t="s">
        <v>45</v>
      </c>
      <c r="D723" s="8">
        <v>20</v>
      </c>
      <c r="E723" s="50">
        <f t="shared" ref="E723:AB723" si="704">+E663</f>
        <v>2.9361257124838391E-2</v>
      </c>
      <c r="F723" s="50">
        <f t="shared" si="704"/>
        <v>2.7692710332229715E-2</v>
      </c>
      <c r="G723" s="50">
        <f t="shared" si="704"/>
        <v>2.6785161397696527E-2</v>
      </c>
      <c r="H723" s="50">
        <f t="shared" si="704"/>
        <v>2.6786989368939883E-2</v>
      </c>
      <c r="I723" s="50">
        <f t="shared" si="704"/>
        <v>2.9135775177511477E-2</v>
      </c>
      <c r="J723" s="50">
        <f t="shared" si="704"/>
        <v>3.4540443856715661E-2</v>
      </c>
      <c r="K723" s="50">
        <f t="shared" si="704"/>
        <v>3.8789035252325646E-2</v>
      </c>
      <c r="L723" s="50">
        <f t="shared" si="704"/>
        <v>3.957865839345593E-2</v>
      </c>
      <c r="M723" s="50">
        <f t="shared" si="704"/>
        <v>4.0957538271781398E-2</v>
      </c>
      <c r="N723" s="50">
        <f t="shared" si="704"/>
        <v>4.2166920044863825E-2</v>
      </c>
      <c r="O723" s="50">
        <f t="shared" si="704"/>
        <v>4.4150374939633218E-2</v>
      </c>
      <c r="P723" s="50">
        <f t="shared" si="704"/>
        <v>4.6294816466469102E-2</v>
      </c>
      <c r="Q723" s="50">
        <f t="shared" si="704"/>
        <v>4.5431875959152102E-2</v>
      </c>
      <c r="R723" s="50">
        <f t="shared" si="704"/>
        <v>4.3879728503346101E-2</v>
      </c>
      <c r="S723" s="50">
        <f t="shared" si="704"/>
        <v>4.4118506624640258E-2</v>
      </c>
      <c r="T723" s="50">
        <f t="shared" si="704"/>
        <v>4.5188432655351718E-2</v>
      </c>
      <c r="U723" s="50">
        <f t="shared" si="704"/>
        <v>4.624302558461979E-2</v>
      </c>
      <c r="V723" s="50">
        <f t="shared" si="704"/>
        <v>4.8247238962955179E-2</v>
      </c>
      <c r="W723" s="50">
        <f t="shared" si="704"/>
        <v>5.7096885328092907E-2</v>
      </c>
      <c r="X723" s="50">
        <f t="shared" si="704"/>
        <v>6.1739938045350239E-2</v>
      </c>
      <c r="Y723" s="50">
        <f t="shared" si="704"/>
        <v>5.7231881517227232E-2</v>
      </c>
      <c r="Z723" s="50">
        <f t="shared" si="704"/>
        <v>5.0129255438435008E-2</v>
      </c>
      <c r="AA723" s="50">
        <f t="shared" si="704"/>
        <v>4.1010488221716553E-2</v>
      </c>
      <c r="AB723" s="50">
        <f t="shared" si="704"/>
        <v>3.34430625326523E-2</v>
      </c>
      <c r="AC723" s="8">
        <f>+SUM(E723:AB723)*D723</f>
        <v>20.000000000000004</v>
      </c>
    </row>
    <row r="724" spans="2:29">
      <c r="B724" s="16"/>
      <c r="C724" s="8" t="s">
        <v>46</v>
      </c>
      <c r="D724" s="8">
        <v>4</v>
      </c>
      <c r="E724" s="50">
        <f t="shared" ref="E724:AB724" si="705">+E664</f>
        <v>3.0659473205105158E-2</v>
      </c>
      <c r="F724" s="50">
        <f t="shared" si="705"/>
        <v>2.8600001140869122E-2</v>
      </c>
      <c r="G724" s="50">
        <f t="shared" si="705"/>
        <v>2.7683858575034276E-2</v>
      </c>
      <c r="H724" s="50">
        <f t="shared" si="705"/>
        <v>2.7537802139610414E-2</v>
      </c>
      <c r="I724" s="50">
        <f t="shared" si="705"/>
        <v>2.8782539770184416E-2</v>
      </c>
      <c r="J724" s="50">
        <f t="shared" si="705"/>
        <v>3.2241585579716119E-2</v>
      </c>
      <c r="K724" s="50">
        <f t="shared" si="705"/>
        <v>3.645312931015221E-2</v>
      </c>
      <c r="L724" s="50">
        <f t="shared" si="705"/>
        <v>3.9012639181609042E-2</v>
      </c>
      <c r="M724" s="50">
        <f t="shared" si="705"/>
        <v>4.1549207589560662E-2</v>
      </c>
      <c r="N724" s="50">
        <f t="shared" si="705"/>
        <v>4.3042516751632572E-2</v>
      </c>
      <c r="O724" s="50">
        <f t="shared" si="705"/>
        <v>4.4973693586955334E-2</v>
      </c>
      <c r="P724" s="50">
        <f t="shared" si="705"/>
        <v>4.6808021710202923E-2</v>
      </c>
      <c r="Q724" s="50">
        <f t="shared" si="705"/>
        <v>4.6383383047344962E-2</v>
      </c>
      <c r="R724" s="50">
        <f t="shared" si="705"/>
        <v>4.4751654806610461E-2</v>
      </c>
      <c r="S724" s="50">
        <f t="shared" si="705"/>
        <v>4.4013077558728637E-2</v>
      </c>
      <c r="T724" s="50">
        <f t="shared" si="705"/>
        <v>4.428856091631931E-2</v>
      </c>
      <c r="U724" s="50">
        <f t="shared" si="705"/>
        <v>4.49735778579251E-2</v>
      </c>
      <c r="V724" s="50">
        <f t="shared" si="705"/>
        <v>4.6933206789217301E-2</v>
      </c>
      <c r="W724" s="50">
        <f t="shared" si="705"/>
        <v>5.6210586428141023E-2</v>
      </c>
      <c r="X724" s="50">
        <f t="shared" si="705"/>
        <v>6.1205656691958259E-2</v>
      </c>
      <c r="Y724" s="50">
        <f t="shared" si="705"/>
        <v>5.7018442088769522E-2</v>
      </c>
      <c r="Z724" s="50">
        <f t="shared" si="705"/>
        <v>4.9896672365740725E-2</v>
      </c>
      <c r="AA724" s="50">
        <f t="shared" si="705"/>
        <v>4.1622868086918119E-2</v>
      </c>
      <c r="AB724" s="50">
        <f t="shared" si="705"/>
        <v>3.5357844821693719E-2</v>
      </c>
      <c r="AC724" s="8">
        <f t="shared" ref="AC724:AC726" si="706">+SUM(E724:AB724)*D724</f>
        <v>3.9999999999999969</v>
      </c>
    </row>
    <row r="725" spans="2:29">
      <c r="B725" s="16"/>
      <c r="C725" s="8" t="s">
        <v>47</v>
      </c>
      <c r="D725" s="8">
        <v>4</v>
      </c>
      <c r="E725" s="50">
        <f t="shared" ref="E725:AB725" si="707">+E665</f>
        <v>3.3281514565353124E-2</v>
      </c>
      <c r="F725" s="50">
        <f t="shared" si="707"/>
        <v>3.1140043873712407E-2</v>
      </c>
      <c r="G725" s="50">
        <f t="shared" si="707"/>
        <v>2.984335106750436E-2</v>
      </c>
      <c r="H725" s="50">
        <f t="shared" si="707"/>
        <v>2.9286927979133532E-2</v>
      </c>
      <c r="I725" s="50">
        <f t="shared" si="707"/>
        <v>2.9138028999542646E-2</v>
      </c>
      <c r="J725" s="50">
        <f t="shared" si="707"/>
        <v>3.0942883559119717E-2</v>
      </c>
      <c r="K725" s="50">
        <f t="shared" si="707"/>
        <v>3.4432484834348992E-2</v>
      </c>
      <c r="L725" s="50">
        <f t="shared" si="707"/>
        <v>3.8305304424032266E-2</v>
      </c>
      <c r="M725" s="50">
        <f t="shared" si="707"/>
        <v>4.1103790742913066E-2</v>
      </c>
      <c r="N725" s="50">
        <f t="shared" si="707"/>
        <v>4.2608444243851212E-2</v>
      </c>
      <c r="O725" s="50">
        <f t="shared" si="707"/>
        <v>4.3914681848814308E-2</v>
      </c>
      <c r="P725" s="50">
        <f t="shared" si="707"/>
        <v>4.5729867165388009E-2</v>
      </c>
      <c r="Q725" s="50">
        <f t="shared" si="707"/>
        <v>4.5741487779353565E-2</v>
      </c>
      <c r="R725" s="50">
        <f t="shared" si="707"/>
        <v>4.4277060725657284E-2</v>
      </c>
      <c r="S725" s="50">
        <f t="shared" si="707"/>
        <v>4.3144199391556254E-2</v>
      </c>
      <c r="T725" s="50">
        <f t="shared" si="707"/>
        <v>4.3279567369281124E-2</v>
      </c>
      <c r="U725" s="50">
        <f t="shared" si="707"/>
        <v>4.4109954506885138E-2</v>
      </c>
      <c r="V725" s="50">
        <f t="shared" si="707"/>
        <v>4.6298728840315946E-2</v>
      </c>
      <c r="W725" s="50">
        <f t="shared" si="707"/>
        <v>5.6176649878816001E-2</v>
      </c>
      <c r="X725" s="50">
        <f t="shared" si="707"/>
        <v>6.2194705000087863E-2</v>
      </c>
      <c r="Y725" s="50">
        <f t="shared" si="707"/>
        <v>5.7928891294023718E-2</v>
      </c>
      <c r="Z725" s="50">
        <f t="shared" si="707"/>
        <v>5.019499221712586E-2</v>
      </c>
      <c r="AA725" s="50">
        <f t="shared" si="707"/>
        <v>4.1853093029906328E-2</v>
      </c>
      <c r="AB725" s="50">
        <f t="shared" si="707"/>
        <v>3.507334666327714E-2</v>
      </c>
      <c r="AC725" s="8">
        <f t="shared" si="706"/>
        <v>3.9999999999999991</v>
      </c>
    </row>
    <row r="726" spans="2:29">
      <c r="B726" s="16"/>
      <c r="C726" s="8" t="s">
        <v>48</v>
      </c>
      <c r="D726" s="8">
        <v>2</v>
      </c>
      <c r="E726" s="50">
        <f t="shared" ref="E726:AB726" si="708">+E666</f>
        <v>3.367503361886829E-2</v>
      </c>
      <c r="F726" s="50">
        <f t="shared" si="708"/>
        <v>3.1245692535415936E-2</v>
      </c>
      <c r="G726" s="50">
        <f t="shared" si="708"/>
        <v>2.9861746203171599E-2</v>
      </c>
      <c r="H726" s="50">
        <f t="shared" si="708"/>
        <v>2.9235019370742008E-2</v>
      </c>
      <c r="I726" s="50">
        <f t="shared" si="708"/>
        <v>3.0186379118294998E-2</v>
      </c>
      <c r="J726" s="50">
        <f t="shared" si="708"/>
        <v>3.3123682717801174E-2</v>
      </c>
      <c r="K726" s="50">
        <f t="shared" si="708"/>
        <v>3.5563630818173868E-2</v>
      </c>
      <c r="L726" s="50">
        <f t="shared" si="708"/>
        <v>3.7375437025807548E-2</v>
      </c>
      <c r="M726" s="50">
        <f t="shared" si="708"/>
        <v>3.9557895894381336E-2</v>
      </c>
      <c r="N726" s="50">
        <f t="shared" si="708"/>
        <v>4.1330002492198488E-2</v>
      </c>
      <c r="O726" s="50">
        <f t="shared" si="708"/>
        <v>4.3273465010057272E-2</v>
      </c>
      <c r="P726" s="50">
        <f t="shared" si="708"/>
        <v>4.5278417057592932E-2</v>
      </c>
      <c r="Q726" s="50">
        <f t="shared" si="708"/>
        <v>4.5765189585786785E-2</v>
      </c>
      <c r="R726" s="50">
        <f t="shared" si="708"/>
        <v>4.421428774797561E-2</v>
      </c>
      <c r="S726" s="50">
        <f t="shared" si="708"/>
        <v>4.3245429527174986E-2</v>
      </c>
      <c r="T726" s="50">
        <f t="shared" si="708"/>
        <v>4.3554999005074702E-2</v>
      </c>
      <c r="U726" s="50">
        <f t="shared" si="708"/>
        <v>4.4435510161992771E-2</v>
      </c>
      <c r="V726" s="50">
        <f t="shared" si="708"/>
        <v>4.717219114348542E-2</v>
      </c>
      <c r="W726" s="50">
        <f t="shared" si="708"/>
        <v>5.6899741232983039E-2</v>
      </c>
      <c r="X726" s="50">
        <f t="shared" si="708"/>
        <v>6.1986738769463187E-2</v>
      </c>
      <c r="Y726" s="50">
        <f t="shared" si="708"/>
        <v>5.7208700429979269E-2</v>
      </c>
      <c r="Z726" s="50">
        <f t="shared" si="708"/>
        <v>4.9339560702577757E-2</v>
      </c>
      <c r="AA726" s="50">
        <f t="shared" si="708"/>
        <v>4.1368944501432053E-2</v>
      </c>
      <c r="AB726" s="50">
        <f t="shared" si="708"/>
        <v>3.5102305329568817E-2</v>
      </c>
      <c r="AC726" s="8">
        <f t="shared" si="706"/>
        <v>1.9999999999999996</v>
      </c>
    </row>
    <row r="727" spans="2:29">
      <c r="B727" s="12"/>
      <c r="C727" s="12" t="s">
        <v>15</v>
      </c>
      <c r="D727" s="12">
        <f>+SUM(D723:D726)</f>
        <v>30</v>
      </c>
      <c r="E727" s="19">
        <f>+SUMPRODUCT(E723:E726,$D723:$D726)</f>
        <v>0.91033916081633748</v>
      </c>
      <c r="F727" s="19">
        <f>+SUMPRODUCT(F723:F726,$D723:$D726)</f>
        <v>0.85530577177375222</v>
      </c>
      <c r="G727" s="19">
        <f t="shared" ref="G727:AB727" si="709">+SUMPRODUCT(G723:G726,$D723:$D726)</f>
        <v>0.82553555893042829</v>
      </c>
      <c r="H727" s="19">
        <f t="shared" si="709"/>
        <v>0.82150874659525752</v>
      </c>
      <c r="I727" s="19">
        <f t="shared" si="709"/>
        <v>0.8747705368657277</v>
      </c>
      <c r="J727" s="19">
        <f t="shared" si="709"/>
        <v>1.0097941191252591</v>
      </c>
      <c r="K727" s="19">
        <f t="shared" si="709"/>
        <v>1.1304504232608654</v>
      </c>
      <c r="L727" s="19">
        <f t="shared" si="709"/>
        <v>1.1755958163432989</v>
      </c>
      <c r="M727" s="19">
        <f t="shared" si="709"/>
        <v>1.2288785505542854</v>
      </c>
      <c r="N727" s="19">
        <f t="shared" si="709"/>
        <v>1.2686022498636089</v>
      </c>
      <c r="O727" s="19">
        <f t="shared" si="709"/>
        <v>1.3251079305558575</v>
      </c>
      <c r="P727" s="19">
        <f t="shared" si="709"/>
        <v>1.3866047189469317</v>
      </c>
      <c r="Q727" s="19">
        <f t="shared" si="709"/>
        <v>1.3686673816614097</v>
      </c>
      <c r="R727" s="19">
        <f t="shared" si="709"/>
        <v>1.3221380076919442</v>
      </c>
      <c r="S727" s="19">
        <f t="shared" si="709"/>
        <v>1.317490099348295</v>
      </c>
      <c r="T727" s="19">
        <f t="shared" si="709"/>
        <v>1.3411511642595855</v>
      </c>
      <c r="U727" s="19">
        <f t="shared" si="709"/>
        <v>1.3700656614756224</v>
      </c>
      <c r="V727" s="19">
        <f t="shared" si="709"/>
        <v>1.4322169040642074</v>
      </c>
      <c r="W727" s="19">
        <f t="shared" si="709"/>
        <v>1.7052861342556522</v>
      </c>
      <c r="X727" s="19">
        <f t="shared" si="709"/>
        <v>1.8523736852141155</v>
      </c>
      <c r="Y727" s="19">
        <f t="shared" si="709"/>
        <v>1.7188443647356764</v>
      </c>
      <c r="Z727" s="19">
        <f t="shared" si="709"/>
        <v>1.501630888505322</v>
      </c>
      <c r="AA727" s="19">
        <f t="shared" si="709"/>
        <v>1.2368514979044929</v>
      </c>
      <c r="AB727" s="19">
        <f t="shared" si="709"/>
        <v>1.020790627252067</v>
      </c>
      <c r="AC727" s="12">
        <f>+SUM(E727:AB727)</f>
        <v>30</v>
      </c>
    </row>
    <row r="728" spans="2:29">
      <c r="B728" s="15">
        <f>+EDATE(B723,1)</f>
        <v>49279</v>
      </c>
      <c r="C728" s="8" t="s">
        <v>45</v>
      </c>
      <c r="D728" s="8">
        <v>19</v>
      </c>
      <c r="E728" s="50">
        <f t="shared" ref="E728:AB728" si="710">+E668</f>
        <v>2.9361257124838391E-2</v>
      </c>
      <c r="F728" s="50">
        <f t="shared" si="710"/>
        <v>2.7692710332229715E-2</v>
      </c>
      <c r="G728" s="50">
        <f t="shared" si="710"/>
        <v>2.6785161397696527E-2</v>
      </c>
      <c r="H728" s="50">
        <f t="shared" si="710"/>
        <v>2.6786989368939883E-2</v>
      </c>
      <c r="I728" s="50">
        <f t="shared" si="710"/>
        <v>2.9135775177511477E-2</v>
      </c>
      <c r="J728" s="50">
        <f t="shared" si="710"/>
        <v>3.4540443856715661E-2</v>
      </c>
      <c r="K728" s="50">
        <f t="shared" si="710"/>
        <v>3.8789035252325646E-2</v>
      </c>
      <c r="L728" s="50">
        <f t="shared" si="710"/>
        <v>3.957865839345593E-2</v>
      </c>
      <c r="M728" s="50">
        <f t="shared" si="710"/>
        <v>4.0957538271781398E-2</v>
      </c>
      <c r="N728" s="50">
        <f t="shared" si="710"/>
        <v>4.2166920044863825E-2</v>
      </c>
      <c r="O728" s="50">
        <f t="shared" si="710"/>
        <v>4.4150374939633218E-2</v>
      </c>
      <c r="P728" s="50">
        <f t="shared" si="710"/>
        <v>4.6294816466469102E-2</v>
      </c>
      <c r="Q728" s="50">
        <f t="shared" si="710"/>
        <v>4.5431875959152102E-2</v>
      </c>
      <c r="R728" s="50">
        <f t="shared" si="710"/>
        <v>4.3879728503346101E-2</v>
      </c>
      <c r="S728" s="50">
        <f t="shared" si="710"/>
        <v>4.4118506624640258E-2</v>
      </c>
      <c r="T728" s="50">
        <f t="shared" si="710"/>
        <v>4.5188432655351718E-2</v>
      </c>
      <c r="U728" s="50">
        <f t="shared" si="710"/>
        <v>4.624302558461979E-2</v>
      </c>
      <c r="V728" s="50">
        <f t="shared" si="710"/>
        <v>4.8247238962955179E-2</v>
      </c>
      <c r="W728" s="50">
        <f t="shared" si="710"/>
        <v>5.7096885328092907E-2</v>
      </c>
      <c r="X728" s="50">
        <f t="shared" si="710"/>
        <v>6.1739938045350239E-2</v>
      </c>
      <c r="Y728" s="50">
        <f t="shared" si="710"/>
        <v>5.7231881517227232E-2</v>
      </c>
      <c r="Z728" s="50">
        <f t="shared" si="710"/>
        <v>5.0129255438435008E-2</v>
      </c>
      <c r="AA728" s="50">
        <f t="shared" si="710"/>
        <v>4.1010488221716553E-2</v>
      </c>
      <c r="AB728" s="50">
        <f t="shared" si="710"/>
        <v>3.34430625326523E-2</v>
      </c>
      <c r="AC728" s="8">
        <f>+SUM(E728:AB728)*D728</f>
        <v>19.000000000000004</v>
      </c>
    </row>
    <row r="729" spans="2:29">
      <c r="B729" s="16"/>
      <c r="C729" s="8" t="s">
        <v>46</v>
      </c>
      <c r="D729" s="8">
        <v>5</v>
      </c>
      <c r="E729" s="50">
        <f t="shared" ref="E729:AB729" si="711">+E669</f>
        <v>3.0659473205105158E-2</v>
      </c>
      <c r="F729" s="50">
        <f t="shared" si="711"/>
        <v>2.8600001140869122E-2</v>
      </c>
      <c r="G729" s="50">
        <f t="shared" si="711"/>
        <v>2.7683858575034276E-2</v>
      </c>
      <c r="H729" s="50">
        <f t="shared" si="711"/>
        <v>2.7537802139610414E-2</v>
      </c>
      <c r="I729" s="50">
        <f t="shared" si="711"/>
        <v>2.8782539770184416E-2</v>
      </c>
      <c r="J729" s="50">
        <f t="shared" si="711"/>
        <v>3.2241585579716119E-2</v>
      </c>
      <c r="K729" s="50">
        <f t="shared" si="711"/>
        <v>3.645312931015221E-2</v>
      </c>
      <c r="L729" s="50">
        <f t="shared" si="711"/>
        <v>3.9012639181609042E-2</v>
      </c>
      <c r="M729" s="50">
        <f t="shared" si="711"/>
        <v>4.1549207589560662E-2</v>
      </c>
      <c r="N729" s="50">
        <f t="shared" si="711"/>
        <v>4.3042516751632572E-2</v>
      </c>
      <c r="O729" s="50">
        <f t="shared" si="711"/>
        <v>4.4973693586955334E-2</v>
      </c>
      <c r="P729" s="50">
        <f t="shared" si="711"/>
        <v>4.6808021710202923E-2</v>
      </c>
      <c r="Q729" s="50">
        <f t="shared" si="711"/>
        <v>4.6383383047344962E-2</v>
      </c>
      <c r="R729" s="50">
        <f t="shared" si="711"/>
        <v>4.4751654806610461E-2</v>
      </c>
      <c r="S729" s="50">
        <f t="shared" si="711"/>
        <v>4.4013077558728637E-2</v>
      </c>
      <c r="T729" s="50">
        <f t="shared" si="711"/>
        <v>4.428856091631931E-2</v>
      </c>
      <c r="U729" s="50">
        <f t="shared" si="711"/>
        <v>4.49735778579251E-2</v>
      </c>
      <c r="V729" s="50">
        <f t="shared" si="711"/>
        <v>4.6933206789217301E-2</v>
      </c>
      <c r="W729" s="50">
        <f t="shared" si="711"/>
        <v>5.6210586428141023E-2</v>
      </c>
      <c r="X729" s="50">
        <f t="shared" si="711"/>
        <v>6.1205656691958259E-2</v>
      </c>
      <c r="Y729" s="50">
        <f t="shared" si="711"/>
        <v>5.7018442088769522E-2</v>
      </c>
      <c r="Z729" s="50">
        <f t="shared" si="711"/>
        <v>4.9896672365740725E-2</v>
      </c>
      <c r="AA729" s="50">
        <f t="shared" si="711"/>
        <v>4.1622868086918119E-2</v>
      </c>
      <c r="AB729" s="50">
        <f t="shared" si="711"/>
        <v>3.5357844821693719E-2</v>
      </c>
      <c r="AC729" s="8">
        <f t="shared" ref="AC729:AC731" si="712">+SUM(E729:AB729)*D729</f>
        <v>4.9999999999999964</v>
      </c>
    </row>
    <row r="730" spans="2:29">
      <c r="B730" s="16"/>
      <c r="C730" s="8" t="s">
        <v>47</v>
      </c>
      <c r="D730" s="8">
        <v>5</v>
      </c>
      <c r="E730" s="50">
        <f t="shared" ref="E730:AB730" si="713">+E670</f>
        <v>3.3281514565353124E-2</v>
      </c>
      <c r="F730" s="50">
        <f t="shared" si="713"/>
        <v>3.1140043873712407E-2</v>
      </c>
      <c r="G730" s="50">
        <f t="shared" si="713"/>
        <v>2.984335106750436E-2</v>
      </c>
      <c r="H730" s="50">
        <f t="shared" si="713"/>
        <v>2.9286927979133532E-2</v>
      </c>
      <c r="I730" s="50">
        <f t="shared" si="713"/>
        <v>2.9138028999542646E-2</v>
      </c>
      <c r="J730" s="50">
        <f t="shared" si="713"/>
        <v>3.0942883559119717E-2</v>
      </c>
      <c r="K730" s="50">
        <f t="shared" si="713"/>
        <v>3.4432484834348992E-2</v>
      </c>
      <c r="L730" s="50">
        <f t="shared" si="713"/>
        <v>3.8305304424032266E-2</v>
      </c>
      <c r="M730" s="50">
        <f t="shared" si="713"/>
        <v>4.1103790742913066E-2</v>
      </c>
      <c r="N730" s="50">
        <f t="shared" si="713"/>
        <v>4.2608444243851212E-2</v>
      </c>
      <c r="O730" s="50">
        <f t="shared" si="713"/>
        <v>4.3914681848814308E-2</v>
      </c>
      <c r="P730" s="50">
        <f t="shared" si="713"/>
        <v>4.5729867165388009E-2</v>
      </c>
      <c r="Q730" s="50">
        <f t="shared" si="713"/>
        <v>4.5741487779353565E-2</v>
      </c>
      <c r="R730" s="50">
        <f t="shared" si="713"/>
        <v>4.4277060725657284E-2</v>
      </c>
      <c r="S730" s="50">
        <f t="shared" si="713"/>
        <v>4.3144199391556254E-2</v>
      </c>
      <c r="T730" s="50">
        <f t="shared" si="713"/>
        <v>4.3279567369281124E-2</v>
      </c>
      <c r="U730" s="50">
        <f t="shared" si="713"/>
        <v>4.4109954506885138E-2</v>
      </c>
      <c r="V730" s="50">
        <f t="shared" si="713"/>
        <v>4.6298728840315946E-2</v>
      </c>
      <c r="W730" s="50">
        <f t="shared" si="713"/>
        <v>5.6176649878816001E-2</v>
      </c>
      <c r="X730" s="50">
        <f t="shared" si="713"/>
        <v>6.2194705000087863E-2</v>
      </c>
      <c r="Y730" s="50">
        <f t="shared" si="713"/>
        <v>5.7928891294023718E-2</v>
      </c>
      <c r="Z730" s="50">
        <f t="shared" si="713"/>
        <v>5.019499221712586E-2</v>
      </c>
      <c r="AA730" s="50">
        <f t="shared" si="713"/>
        <v>4.1853093029906328E-2</v>
      </c>
      <c r="AB730" s="50">
        <f t="shared" si="713"/>
        <v>3.507334666327714E-2</v>
      </c>
      <c r="AC730" s="8">
        <f t="shared" si="712"/>
        <v>4.9999999999999991</v>
      </c>
    </row>
    <row r="731" spans="2:29">
      <c r="B731" s="16"/>
      <c r="C731" s="8" t="s">
        <v>48</v>
      </c>
      <c r="D731" s="8">
        <v>2</v>
      </c>
      <c r="E731" s="50">
        <f t="shared" ref="E731:AB731" si="714">+E671</f>
        <v>3.367503361886829E-2</v>
      </c>
      <c r="F731" s="50">
        <f t="shared" si="714"/>
        <v>3.1245692535415936E-2</v>
      </c>
      <c r="G731" s="50">
        <f t="shared" si="714"/>
        <v>2.9861746203171599E-2</v>
      </c>
      <c r="H731" s="50">
        <f t="shared" si="714"/>
        <v>2.9235019370742008E-2</v>
      </c>
      <c r="I731" s="50">
        <f t="shared" si="714"/>
        <v>3.0186379118294998E-2</v>
      </c>
      <c r="J731" s="50">
        <f t="shared" si="714"/>
        <v>3.3123682717801174E-2</v>
      </c>
      <c r="K731" s="50">
        <f t="shared" si="714"/>
        <v>3.5563630818173868E-2</v>
      </c>
      <c r="L731" s="50">
        <f t="shared" si="714"/>
        <v>3.7375437025807548E-2</v>
      </c>
      <c r="M731" s="50">
        <f t="shared" si="714"/>
        <v>3.9557895894381336E-2</v>
      </c>
      <c r="N731" s="50">
        <f t="shared" si="714"/>
        <v>4.1330002492198488E-2</v>
      </c>
      <c r="O731" s="50">
        <f t="shared" si="714"/>
        <v>4.3273465010057272E-2</v>
      </c>
      <c r="P731" s="50">
        <f t="shared" si="714"/>
        <v>4.5278417057592932E-2</v>
      </c>
      <c r="Q731" s="50">
        <f t="shared" si="714"/>
        <v>4.5765189585786785E-2</v>
      </c>
      <c r="R731" s="50">
        <f t="shared" si="714"/>
        <v>4.421428774797561E-2</v>
      </c>
      <c r="S731" s="50">
        <f t="shared" si="714"/>
        <v>4.3245429527174986E-2</v>
      </c>
      <c r="T731" s="50">
        <f t="shared" si="714"/>
        <v>4.3554999005074702E-2</v>
      </c>
      <c r="U731" s="50">
        <f t="shared" si="714"/>
        <v>4.4435510161992771E-2</v>
      </c>
      <c r="V731" s="50">
        <f t="shared" si="714"/>
        <v>4.717219114348542E-2</v>
      </c>
      <c r="W731" s="50">
        <f t="shared" si="714"/>
        <v>5.6899741232983039E-2</v>
      </c>
      <c r="X731" s="50">
        <f t="shared" si="714"/>
        <v>6.1986738769463187E-2</v>
      </c>
      <c r="Y731" s="50">
        <f t="shared" si="714"/>
        <v>5.7208700429979269E-2</v>
      </c>
      <c r="Z731" s="50">
        <f t="shared" si="714"/>
        <v>4.9339560702577757E-2</v>
      </c>
      <c r="AA731" s="50">
        <f t="shared" si="714"/>
        <v>4.1368944501432053E-2</v>
      </c>
      <c r="AB731" s="50">
        <f t="shared" si="714"/>
        <v>3.5102305329568817E-2</v>
      </c>
      <c r="AC731" s="8">
        <f t="shared" si="712"/>
        <v>1.9999999999999996</v>
      </c>
    </row>
    <row r="732" spans="2:29">
      <c r="B732" s="12"/>
      <c r="C732" s="12" t="s">
        <v>15</v>
      </c>
      <c r="D732" s="12">
        <f>+SUM(D728:D731)</f>
        <v>31</v>
      </c>
      <c r="E732" s="19">
        <f>+SUMPRODUCT(E728:E731,$D728:$D731)</f>
        <v>0.9449188914619574</v>
      </c>
      <c r="F732" s="19">
        <f>+SUMPRODUCT(F728:F731,$D728:$D731)</f>
        <v>0.88735310645610399</v>
      </c>
      <c r="G732" s="19">
        <f t="shared" ref="G732:AB732" si="715">+SUMPRODUCT(G728:G731,$D728:$D731)</f>
        <v>0.85627760717527046</v>
      </c>
      <c r="H732" s="19">
        <f t="shared" si="715"/>
        <v>0.85154648734506155</v>
      </c>
      <c r="I732" s="19">
        <f t="shared" si="715"/>
        <v>0.90355533045794334</v>
      </c>
      <c r="J732" s="19">
        <f t="shared" si="715"/>
        <v>1.0384381444073791</v>
      </c>
      <c r="K732" s="19">
        <f t="shared" si="715"/>
        <v>1.1625470021530409</v>
      </c>
      <c r="L732" s="19">
        <f t="shared" si="715"/>
        <v>1.2133351015554845</v>
      </c>
      <c r="M732" s="19">
        <f t="shared" si="715"/>
        <v>1.2705740106149779</v>
      </c>
      <c r="N732" s="19">
        <f t="shared" si="715"/>
        <v>1.3120862908142286</v>
      </c>
      <c r="O732" s="19">
        <f t="shared" si="715"/>
        <v>1.3698459310519939</v>
      </c>
      <c r="P732" s="19">
        <f t="shared" si="715"/>
        <v>1.4328477913560536</v>
      </c>
      <c r="Q732" s="19">
        <f t="shared" si="715"/>
        <v>1.4153603765289562</v>
      </c>
      <c r="R732" s="19">
        <f t="shared" si="715"/>
        <v>1.3672869947208659</v>
      </c>
      <c r="S732" s="19">
        <f t="shared" si="715"/>
        <v>1.3605288696739395</v>
      </c>
      <c r="T732" s="19">
        <f t="shared" si="715"/>
        <v>1.3835308598898344</v>
      </c>
      <c r="U732" s="19">
        <f t="shared" si="715"/>
        <v>1.4129061682558126</v>
      </c>
      <c r="V732" s="19">
        <f t="shared" si="715"/>
        <v>1.4772016007307855</v>
      </c>
      <c r="W732" s="19">
        <f t="shared" si="715"/>
        <v>1.7605764852345165</v>
      </c>
      <c r="X732" s="19">
        <f t="shared" si="715"/>
        <v>1.9140341088608113</v>
      </c>
      <c r="Y732" s="19">
        <f t="shared" si="715"/>
        <v>1.7765598166012422</v>
      </c>
      <c r="Z732" s="19">
        <f t="shared" si="715"/>
        <v>1.5515932976497535</v>
      </c>
      <c r="AA732" s="19">
        <f t="shared" si="715"/>
        <v>1.2793169707996008</v>
      </c>
      <c r="AB732" s="19">
        <f t="shared" si="715"/>
        <v>1.0577787562043857</v>
      </c>
      <c r="AC732" s="12">
        <f>+SUM(E732:AB732)</f>
        <v>31</v>
      </c>
    </row>
    <row r="733" spans="2:29">
      <c r="B733" s="15">
        <f>+EDATE(B728,1)</f>
        <v>49310</v>
      </c>
      <c r="C733" s="8" t="s">
        <v>45</v>
      </c>
      <c r="D733" s="8">
        <v>21</v>
      </c>
      <c r="E733" s="50">
        <f>+E673</f>
        <v>2.9361257124838391E-2</v>
      </c>
      <c r="F733" s="50">
        <f t="shared" ref="F733:AB733" si="716">+F673</f>
        <v>2.7692710332229715E-2</v>
      </c>
      <c r="G733" s="50">
        <f t="shared" si="716"/>
        <v>2.6785161397696527E-2</v>
      </c>
      <c r="H733" s="50">
        <f t="shared" si="716"/>
        <v>2.6786989368939883E-2</v>
      </c>
      <c r="I733" s="50">
        <f t="shared" si="716"/>
        <v>2.9135775177511477E-2</v>
      </c>
      <c r="J733" s="50">
        <f t="shared" si="716"/>
        <v>3.4540443856715661E-2</v>
      </c>
      <c r="K733" s="50">
        <f t="shared" si="716"/>
        <v>3.8789035252325646E-2</v>
      </c>
      <c r="L733" s="50">
        <f t="shared" si="716"/>
        <v>3.957865839345593E-2</v>
      </c>
      <c r="M733" s="50">
        <f t="shared" si="716"/>
        <v>4.0957538271781398E-2</v>
      </c>
      <c r="N733" s="50">
        <f t="shared" si="716"/>
        <v>4.2166920044863825E-2</v>
      </c>
      <c r="O733" s="50">
        <f t="shared" si="716"/>
        <v>4.4150374939633218E-2</v>
      </c>
      <c r="P733" s="50">
        <f t="shared" si="716"/>
        <v>4.6294816466469102E-2</v>
      </c>
      <c r="Q733" s="50">
        <f t="shared" si="716"/>
        <v>4.5431875959152102E-2</v>
      </c>
      <c r="R733" s="50">
        <f t="shared" si="716"/>
        <v>4.3879728503346101E-2</v>
      </c>
      <c r="S733" s="50">
        <f t="shared" si="716"/>
        <v>4.4118506624640258E-2</v>
      </c>
      <c r="T733" s="50">
        <f t="shared" si="716"/>
        <v>4.5188432655351718E-2</v>
      </c>
      <c r="U733" s="50">
        <f t="shared" si="716"/>
        <v>4.624302558461979E-2</v>
      </c>
      <c r="V733" s="50">
        <f t="shared" si="716"/>
        <v>4.8247238962955179E-2</v>
      </c>
      <c r="W733" s="50">
        <f t="shared" si="716"/>
        <v>5.7096885328092907E-2</v>
      </c>
      <c r="X733" s="50">
        <f t="shared" si="716"/>
        <v>6.1739938045350239E-2</v>
      </c>
      <c r="Y733" s="50">
        <f t="shared" si="716"/>
        <v>5.7231881517227232E-2</v>
      </c>
      <c r="Z733" s="50">
        <f t="shared" si="716"/>
        <v>5.0129255438435008E-2</v>
      </c>
      <c r="AA733" s="50">
        <f t="shared" si="716"/>
        <v>4.1010488221716553E-2</v>
      </c>
      <c r="AB733" s="50">
        <f t="shared" si="716"/>
        <v>3.34430625326523E-2</v>
      </c>
      <c r="AC733" s="8">
        <f>+SUM(E733:AB733)*D733</f>
        <v>21.000000000000004</v>
      </c>
    </row>
    <row r="734" spans="2:29">
      <c r="B734" s="16"/>
      <c r="C734" s="8" t="s">
        <v>46</v>
      </c>
      <c r="D734" s="8">
        <v>4</v>
      </c>
      <c r="E734" s="50">
        <f t="shared" ref="E734:AB734" si="717">+E674</f>
        <v>3.0659473205105158E-2</v>
      </c>
      <c r="F734" s="50">
        <f t="shared" si="717"/>
        <v>2.8600001140869122E-2</v>
      </c>
      <c r="G734" s="50">
        <f t="shared" si="717"/>
        <v>2.7683858575034276E-2</v>
      </c>
      <c r="H734" s="50">
        <f t="shared" si="717"/>
        <v>2.7537802139610414E-2</v>
      </c>
      <c r="I734" s="50">
        <f t="shared" si="717"/>
        <v>2.8782539770184416E-2</v>
      </c>
      <c r="J734" s="50">
        <f t="shared" si="717"/>
        <v>3.2241585579716119E-2</v>
      </c>
      <c r="K734" s="50">
        <f t="shared" si="717"/>
        <v>3.645312931015221E-2</v>
      </c>
      <c r="L734" s="50">
        <f t="shared" si="717"/>
        <v>3.9012639181609042E-2</v>
      </c>
      <c r="M734" s="50">
        <f t="shared" si="717"/>
        <v>4.1549207589560662E-2</v>
      </c>
      <c r="N734" s="50">
        <f t="shared" si="717"/>
        <v>4.3042516751632572E-2</v>
      </c>
      <c r="O734" s="50">
        <f t="shared" si="717"/>
        <v>4.4973693586955334E-2</v>
      </c>
      <c r="P734" s="50">
        <f t="shared" si="717"/>
        <v>4.6808021710202923E-2</v>
      </c>
      <c r="Q734" s="50">
        <f t="shared" si="717"/>
        <v>4.6383383047344962E-2</v>
      </c>
      <c r="R734" s="50">
        <f t="shared" si="717"/>
        <v>4.4751654806610461E-2</v>
      </c>
      <c r="S734" s="50">
        <f t="shared" si="717"/>
        <v>4.4013077558728637E-2</v>
      </c>
      <c r="T734" s="50">
        <f t="shared" si="717"/>
        <v>4.428856091631931E-2</v>
      </c>
      <c r="U734" s="50">
        <f t="shared" si="717"/>
        <v>4.49735778579251E-2</v>
      </c>
      <c r="V734" s="50">
        <f t="shared" si="717"/>
        <v>4.6933206789217301E-2</v>
      </c>
      <c r="W734" s="50">
        <f t="shared" si="717"/>
        <v>5.6210586428141023E-2</v>
      </c>
      <c r="X734" s="50">
        <f t="shared" si="717"/>
        <v>6.1205656691958259E-2</v>
      </c>
      <c r="Y734" s="50">
        <f t="shared" si="717"/>
        <v>5.7018442088769522E-2</v>
      </c>
      <c r="Z734" s="50">
        <f t="shared" si="717"/>
        <v>4.9896672365740725E-2</v>
      </c>
      <c r="AA734" s="50">
        <f t="shared" si="717"/>
        <v>4.1622868086918119E-2</v>
      </c>
      <c r="AB734" s="50">
        <f t="shared" si="717"/>
        <v>3.5357844821693719E-2</v>
      </c>
      <c r="AC734" s="8">
        <f t="shared" ref="AC734:AC736" si="718">+SUM(E734:AB734)*D734</f>
        <v>3.9999999999999969</v>
      </c>
    </row>
    <row r="735" spans="2:29">
      <c r="B735" s="16"/>
      <c r="C735" s="8" t="s">
        <v>47</v>
      </c>
      <c r="D735" s="8">
        <v>4</v>
      </c>
      <c r="E735" s="50">
        <f t="shared" ref="E735:AB735" si="719">+E675</f>
        <v>3.3281514565353124E-2</v>
      </c>
      <c r="F735" s="50">
        <f t="shared" si="719"/>
        <v>3.1140043873712407E-2</v>
      </c>
      <c r="G735" s="50">
        <f t="shared" si="719"/>
        <v>2.984335106750436E-2</v>
      </c>
      <c r="H735" s="50">
        <f t="shared" si="719"/>
        <v>2.9286927979133532E-2</v>
      </c>
      <c r="I735" s="50">
        <f t="shared" si="719"/>
        <v>2.9138028999542646E-2</v>
      </c>
      <c r="J735" s="50">
        <f t="shared" si="719"/>
        <v>3.0942883559119717E-2</v>
      </c>
      <c r="K735" s="50">
        <f t="shared" si="719"/>
        <v>3.4432484834348992E-2</v>
      </c>
      <c r="L735" s="50">
        <f t="shared" si="719"/>
        <v>3.8305304424032266E-2</v>
      </c>
      <c r="M735" s="50">
        <f t="shared" si="719"/>
        <v>4.1103790742913066E-2</v>
      </c>
      <c r="N735" s="50">
        <f t="shared" si="719"/>
        <v>4.2608444243851212E-2</v>
      </c>
      <c r="O735" s="50">
        <f t="shared" si="719"/>
        <v>4.3914681848814308E-2</v>
      </c>
      <c r="P735" s="50">
        <f t="shared" si="719"/>
        <v>4.5729867165388009E-2</v>
      </c>
      <c r="Q735" s="50">
        <f t="shared" si="719"/>
        <v>4.5741487779353565E-2</v>
      </c>
      <c r="R735" s="50">
        <f t="shared" si="719"/>
        <v>4.4277060725657284E-2</v>
      </c>
      <c r="S735" s="50">
        <f t="shared" si="719"/>
        <v>4.3144199391556254E-2</v>
      </c>
      <c r="T735" s="50">
        <f t="shared" si="719"/>
        <v>4.3279567369281124E-2</v>
      </c>
      <c r="U735" s="50">
        <f t="shared" si="719"/>
        <v>4.4109954506885138E-2</v>
      </c>
      <c r="V735" s="50">
        <f t="shared" si="719"/>
        <v>4.6298728840315946E-2</v>
      </c>
      <c r="W735" s="50">
        <f t="shared" si="719"/>
        <v>5.6176649878816001E-2</v>
      </c>
      <c r="X735" s="50">
        <f t="shared" si="719"/>
        <v>6.2194705000087863E-2</v>
      </c>
      <c r="Y735" s="50">
        <f t="shared" si="719"/>
        <v>5.7928891294023718E-2</v>
      </c>
      <c r="Z735" s="50">
        <f t="shared" si="719"/>
        <v>5.019499221712586E-2</v>
      </c>
      <c r="AA735" s="50">
        <f t="shared" si="719"/>
        <v>4.1853093029906328E-2</v>
      </c>
      <c r="AB735" s="50">
        <f t="shared" si="719"/>
        <v>3.507334666327714E-2</v>
      </c>
      <c r="AC735" s="8">
        <f t="shared" si="718"/>
        <v>3.9999999999999991</v>
      </c>
    </row>
    <row r="736" spans="2:29">
      <c r="B736" s="16"/>
      <c r="C736" s="8" t="s">
        <v>48</v>
      </c>
      <c r="D736" s="8">
        <v>2</v>
      </c>
      <c r="E736" s="50">
        <f t="shared" ref="E736:AB736" si="720">+E676</f>
        <v>3.367503361886829E-2</v>
      </c>
      <c r="F736" s="50">
        <f t="shared" si="720"/>
        <v>3.1245692535415936E-2</v>
      </c>
      <c r="G736" s="50">
        <f t="shared" si="720"/>
        <v>2.9861746203171599E-2</v>
      </c>
      <c r="H736" s="50">
        <f t="shared" si="720"/>
        <v>2.9235019370742008E-2</v>
      </c>
      <c r="I736" s="50">
        <f t="shared" si="720"/>
        <v>3.0186379118294998E-2</v>
      </c>
      <c r="J736" s="50">
        <f t="shared" si="720"/>
        <v>3.3123682717801174E-2</v>
      </c>
      <c r="K736" s="50">
        <f t="shared" si="720"/>
        <v>3.5563630818173868E-2</v>
      </c>
      <c r="L736" s="50">
        <f t="shared" si="720"/>
        <v>3.7375437025807548E-2</v>
      </c>
      <c r="M736" s="50">
        <f t="shared" si="720"/>
        <v>3.9557895894381336E-2</v>
      </c>
      <c r="N736" s="50">
        <f t="shared" si="720"/>
        <v>4.1330002492198488E-2</v>
      </c>
      <c r="O736" s="50">
        <f t="shared" si="720"/>
        <v>4.3273465010057272E-2</v>
      </c>
      <c r="P736" s="50">
        <f t="shared" si="720"/>
        <v>4.5278417057592932E-2</v>
      </c>
      <c r="Q736" s="50">
        <f t="shared" si="720"/>
        <v>4.5765189585786785E-2</v>
      </c>
      <c r="R736" s="50">
        <f t="shared" si="720"/>
        <v>4.421428774797561E-2</v>
      </c>
      <c r="S736" s="50">
        <f t="shared" si="720"/>
        <v>4.3245429527174986E-2</v>
      </c>
      <c r="T736" s="50">
        <f t="shared" si="720"/>
        <v>4.3554999005074702E-2</v>
      </c>
      <c r="U736" s="50">
        <f t="shared" si="720"/>
        <v>4.4435510161992771E-2</v>
      </c>
      <c r="V736" s="50">
        <f t="shared" si="720"/>
        <v>4.717219114348542E-2</v>
      </c>
      <c r="W736" s="50">
        <f t="shared" si="720"/>
        <v>5.6899741232983039E-2</v>
      </c>
      <c r="X736" s="50">
        <f t="shared" si="720"/>
        <v>6.1986738769463187E-2</v>
      </c>
      <c r="Y736" s="50">
        <f t="shared" si="720"/>
        <v>5.7208700429979269E-2</v>
      </c>
      <c r="Z736" s="50">
        <f t="shared" si="720"/>
        <v>4.9339560702577757E-2</v>
      </c>
      <c r="AA736" s="50">
        <f t="shared" si="720"/>
        <v>4.1368944501432053E-2</v>
      </c>
      <c r="AB736" s="50">
        <f t="shared" si="720"/>
        <v>3.5102305329568817E-2</v>
      </c>
      <c r="AC736" s="8">
        <f t="shared" si="718"/>
        <v>1.9999999999999996</v>
      </c>
    </row>
    <row r="737" spans="2:29">
      <c r="B737" s="12"/>
      <c r="C737" s="12" t="s">
        <v>15</v>
      </c>
      <c r="D737" s="12">
        <f>+SUM(D733:D736)</f>
        <v>31</v>
      </c>
      <c r="E737" s="19">
        <f>+SUMPRODUCT(E733:E736,$D733:$D736)</f>
        <v>0.93970041794117598</v>
      </c>
      <c r="F737" s="19">
        <f>+SUMPRODUCT(F733:F736,$D733:$D736)</f>
        <v>0.88299848210598197</v>
      </c>
      <c r="G737" s="19">
        <f t="shared" ref="G737:AB737" si="721">+SUMPRODUCT(G733:G736,$D733:$D736)</f>
        <v>0.85232072032812478</v>
      </c>
      <c r="H737" s="19">
        <f t="shared" si="721"/>
        <v>0.84829573596419738</v>
      </c>
      <c r="I737" s="19">
        <f t="shared" si="721"/>
        <v>0.90390631204323935</v>
      </c>
      <c r="J737" s="19">
        <f t="shared" si="721"/>
        <v>1.0443345629819747</v>
      </c>
      <c r="K737" s="19">
        <f t="shared" si="721"/>
        <v>1.1692394585131909</v>
      </c>
      <c r="L737" s="19">
        <f t="shared" si="721"/>
        <v>1.215174474736755</v>
      </c>
      <c r="M737" s="19">
        <f t="shared" si="721"/>
        <v>1.2698360888260669</v>
      </c>
      <c r="N737" s="19">
        <f t="shared" si="721"/>
        <v>1.3107691699084727</v>
      </c>
      <c r="O737" s="19">
        <f t="shared" si="721"/>
        <v>1.3692583054954905</v>
      </c>
      <c r="P737" s="19">
        <f t="shared" si="721"/>
        <v>1.4328995354134009</v>
      </c>
      <c r="Q737" s="19">
        <f t="shared" si="721"/>
        <v>1.4140992576205618</v>
      </c>
      <c r="R737" s="19">
        <f t="shared" si="721"/>
        <v>1.3660177361952903</v>
      </c>
      <c r="S737" s="19">
        <f t="shared" si="721"/>
        <v>1.3616086059729351</v>
      </c>
      <c r="T737" s="19">
        <f t="shared" si="721"/>
        <v>1.3863395969149375</v>
      </c>
      <c r="U737" s="19">
        <f t="shared" si="721"/>
        <v>1.4163086870602422</v>
      </c>
      <c r="V737" s="19">
        <f t="shared" si="721"/>
        <v>1.4804641430271626</v>
      </c>
      <c r="W737" s="19">
        <f t="shared" si="721"/>
        <v>1.7623830195837451</v>
      </c>
      <c r="X737" s="19">
        <f t="shared" si="721"/>
        <v>1.914113623259466</v>
      </c>
      <c r="Y737" s="19">
        <f t="shared" si="721"/>
        <v>1.7760762462529034</v>
      </c>
      <c r="Z737" s="19">
        <f t="shared" si="721"/>
        <v>1.5517601439437572</v>
      </c>
      <c r="AA737" s="19">
        <f t="shared" si="721"/>
        <v>1.2778619861262095</v>
      </c>
      <c r="AB737" s="19">
        <f t="shared" si="721"/>
        <v>1.0542336897847193</v>
      </c>
      <c r="AC737" s="12">
        <f>+SUM(E737:AB737)</f>
        <v>30.999999999999996</v>
      </c>
    </row>
    <row r="738" spans="2:29">
      <c r="B738" s="15">
        <f>+EDATE(B733,1)</f>
        <v>49341</v>
      </c>
      <c r="C738" s="8" t="s">
        <v>45</v>
      </c>
      <c r="D738" s="8">
        <v>20</v>
      </c>
      <c r="E738" s="50">
        <f t="shared" ref="E738:AB738" si="722">+E678</f>
        <v>2.9361257124838391E-2</v>
      </c>
      <c r="F738" s="50">
        <f t="shared" si="722"/>
        <v>2.7692710332229715E-2</v>
      </c>
      <c r="G738" s="50">
        <f t="shared" si="722"/>
        <v>2.6785161397696527E-2</v>
      </c>
      <c r="H738" s="50">
        <f t="shared" si="722"/>
        <v>2.6786989368939883E-2</v>
      </c>
      <c r="I738" s="50">
        <f t="shared" si="722"/>
        <v>2.9135775177511477E-2</v>
      </c>
      <c r="J738" s="50">
        <f t="shared" si="722"/>
        <v>3.4540443856715661E-2</v>
      </c>
      <c r="K738" s="50">
        <f t="shared" si="722"/>
        <v>3.8789035252325646E-2</v>
      </c>
      <c r="L738" s="50">
        <f t="shared" si="722"/>
        <v>3.957865839345593E-2</v>
      </c>
      <c r="M738" s="50">
        <f t="shared" si="722"/>
        <v>4.0957538271781398E-2</v>
      </c>
      <c r="N738" s="50">
        <f t="shared" si="722"/>
        <v>4.2166920044863825E-2</v>
      </c>
      <c r="O738" s="50">
        <f t="shared" si="722"/>
        <v>4.4150374939633218E-2</v>
      </c>
      <c r="P738" s="50">
        <f t="shared" si="722"/>
        <v>4.6294816466469102E-2</v>
      </c>
      <c r="Q738" s="50">
        <f t="shared" si="722"/>
        <v>4.5431875959152102E-2</v>
      </c>
      <c r="R738" s="50">
        <f t="shared" si="722"/>
        <v>4.3879728503346101E-2</v>
      </c>
      <c r="S738" s="50">
        <f t="shared" si="722"/>
        <v>4.4118506624640258E-2</v>
      </c>
      <c r="T738" s="50">
        <f t="shared" si="722"/>
        <v>4.5188432655351718E-2</v>
      </c>
      <c r="U738" s="50">
        <f t="shared" si="722"/>
        <v>4.624302558461979E-2</v>
      </c>
      <c r="V738" s="50">
        <f t="shared" si="722"/>
        <v>4.8247238962955179E-2</v>
      </c>
      <c r="W738" s="50">
        <f t="shared" si="722"/>
        <v>5.7096885328092907E-2</v>
      </c>
      <c r="X738" s="50">
        <f t="shared" si="722"/>
        <v>6.1739938045350239E-2</v>
      </c>
      <c r="Y738" s="50">
        <f t="shared" si="722"/>
        <v>5.7231881517227232E-2</v>
      </c>
      <c r="Z738" s="50">
        <f t="shared" si="722"/>
        <v>5.0129255438435008E-2</v>
      </c>
      <c r="AA738" s="50">
        <f t="shared" si="722"/>
        <v>4.1010488221716553E-2</v>
      </c>
      <c r="AB738" s="50">
        <f t="shared" si="722"/>
        <v>3.34430625326523E-2</v>
      </c>
      <c r="AC738" s="8">
        <f>+SUM(E738:AB738)*D738</f>
        <v>20.000000000000004</v>
      </c>
    </row>
    <row r="739" spans="2:29">
      <c r="B739" s="16"/>
      <c r="C739" s="8" t="s">
        <v>46</v>
      </c>
      <c r="D739" s="8">
        <v>4</v>
      </c>
      <c r="E739" s="50">
        <f t="shared" ref="E739:AB739" si="723">+E679</f>
        <v>3.0659473205105158E-2</v>
      </c>
      <c r="F739" s="50">
        <f t="shared" si="723"/>
        <v>2.8600001140869122E-2</v>
      </c>
      <c r="G739" s="50">
        <f t="shared" si="723"/>
        <v>2.7683858575034276E-2</v>
      </c>
      <c r="H739" s="50">
        <f t="shared" si="723"/>
        <v>2.7537802139610414E-2</v>
      </c>
      <c r="I739" s="50">
        <f t="shared" si="723"/>
        <v>2.8782539770184416E-2</v>
      </c>
      <c r="J739" s="50">
        <f t="shared" si="723"/>
        <v>3.2241585579716119E-2</v>
      </c>
      <c r="K739" s="50">
        <f t="shared" si="723"/>
        <v>3.645312931015221E-2</v>
      </c>
      <c r="L739" s="50">
        <f t="shared" si="723"/>
        <v>3.9012639181609042E-2</v>
      </c>
      <c r="M739" s="50">
        <f t="shared" si="723"/>
        <v>4.1549207589560662E-2</v>
      </c>
      <c r="N739" s="50">
        <f t="shared" si="723"/>
        <v>4.3042516751632572E-2</v>
      </c>
      <c r="O739" s="50">
        <f t="shared" si="723"/>
        <v>4.4973693586955334E-2</v>
      </c>
      <c r="P739" s="50">
        <f t="shared" si="723"/>
        <v>4.6808021710202923E-2</v>
      </c>
      <c r="Q739" s="50">
        <f t="shared" si="723"/>
        <v>4.6383383047344962E-2</v>
      </c>
      <c r="R739" s="50">
        <f t="shared" si="723"/>
        <v>4.4751654806610461E-2</v>
      </c>
      <c r="S739" s="50">
        <f t="shared" si="723"/>
        <v>4.4013077558728637E-2</v>
      </c>
      <c r="T739" s="50">
        <f t="shared" si="723"/>
        <v>4.428856091631931E-2</v>
      </c>
      <c r="U739" s="50">
        <f t="shared" si="723"/>
        <v>4.49735778579251E-2</v>
      </c>
      <c r="V739" s="50">
        <f t="shared" si="723"/>
        <v>4.6933206789217301E-2</v>
      </c>
      <c r="W739" s="50">
        <f t="shared" si="723"/>
        <v>5.6210586428141023E-2</v>
      </c>
      <c r="X739" s="50">
        <f t="shared" si="723"/>
        <v>6.1205656691958259E-2</v>
      </c>
      <c r="Y739" s="50">
        <f t="shared" si="723"/>
        <v>5.7018442088769522E-2</v>
      </c>
      <c r="Z739" s="50">
        <f t="shared" si="723"/>
        <v>4.9896672365740725E-2</v>
      </c>
      <c r="AA739" s="50">
        <f t="shared" si="723"/>
        <v>4.1622868086918119E-2</v>
      </c>
      <c r="AB739" s="50">
        <f t="shared" si="723"/>
        <v>3.5357844821693719E-2</v>
      </c>
      <c r="AC739" s="8">
        <f t="shared" ref="AC739:AC741" si="724">+SUM(E739:AB739)*D739</f>
        <v>3.9999999999999969</v>
      </c>
    </row>
    <row r="740" spans="2:29">
      <c r="B740" s="16"/>
      <c r="C740" s="8" t="s">
        <v>47</v>
      </c>
      <c r="D740" s="8">
        <v>4</v>
      </c>
      <c r="E740" s="50">
        <f t="shared" ref="E740:AB740" si="725">+E680</f>
        <v>3.3281514565353124E-2</v>
      </c>
      <c r="F740" s="50">
        <f t="shared" si="725"/>
        <v>3.1140043873712407E-2</v>
      </c>
      <c r="G740" s="50">
        <f t="shared" si="725"/>
        <v>2.984335106750436E-2</v>
      </c>
      <c r="H740" s="50">
        <f t="shared" si="725"/>
        <v>2.9286927979133532E-2</v>
      </c>
      <c r="I740" s="50">
        <f t="shared" si="725"/>
        <v>2.9138028999542646E-2</v>
      </c>
      <c r="J740" s="50">
        <f t="shared" si="725"/>
        <v>3.0942883559119717E-2</v>
      </c>
      <c r="K740" s="50">
        <f t="shared" si="725"/>
        <v>3.4432484834348992E-2</v>
      </c>
      <c r="L740" s="50">
        <f t="shared" si="725"/>
        <v>3.8305304424032266E-2</v>
      </c>
      <c r="M740" s="50">
        <f t="shared" si="725"/>
        <v>4.1103790742913066E-2</v>
      </c>
      <c r="N740" s="50">
        <f t="shared" si="725"/>
        <v>4.2608444243851212E-2</v>
      </c>
      <c r="O740" s="50">
        <f t="shared" si="725"/>
        <v>4.3914681848814308E-2</v>
      </c>
      <c r="P740" s="50">
        <f t="shared" si="725"/>
        <v>4.5729867165388009E-2</v>
      </c>
      <c r="Q740" s="50">
        <f t="shared" si="725"/>
        <v>4.5741487779353565E-2</v>
      </c>
      <c r="R740" s="50">
        <f t="shared" si="725"/>
        <v>4.4277060725657284E-2</v>
      </c>
      <c r="S740" s="50">
        <f t="shared" si="725"/>
        <v>4.3144199391556254E-2</v>
      </c>
      <c r="T740" s="50">
        <f t="shared" si="725"/>
        <v>4.3279567369281124E-2</v>
      </c>
      <c r="U740" s="50">
        <f t="shared" si="725"/>
        <v>4.4109954506885138E-2</v>
      </c>
      <c r="V740" s="50">
        <f t="shared" si="725"/>
        <v>4.6298728840315946E-2</v>
      </c>
      <c r="W740" s="50">
        <f t="shared" si="725"/>
        <v>5.6176649878816001E-2</v>
      </c>
      <c r="X740" s="50">
        <f t="shared" si="725"/>
        <v>6.2194705000087863E-2</v>
      </c>
      <c r="Y740" s="50">
        <f t="shared" si="725"/>
        <v>5.7928891294023718E-2</v>
      </c>
      <c r="Z740" s="50">
        <f t="shared" si="725"/>
        <v>5.019499221712586E-2</v>
      </c>
      <c r="AA740" s="50">
        <f t="shared" si="725"/>
        <v>4.1853093029906328E-2</v>
      </c>
      <c r="AB740" s="50">
        <f t="shared" si="725"/>
        <v>3.507334666327714E-2</v>
      </c>
      <c r="AC740" s="8">
        <f t="shared" si="724"/>
        <v>3.9999999999999991</v>
      </c>
    </row>
    <row r="741" spans="2:29">
      <c r="B741" s="16"/>
      <c r="C741" s="8" t="s">
        <v>48</v>
      </c>
      <c r="D741" s="8">
        <v>0</v>
      </c>
      <c r="E741" s="50">
        <f t="shared" ref="E741:AB741" si="726">+E681</f>
        <v>3.367503361886829E-2</v>
      </c>
      <c r="F741" s="50">
        <f t="shared" si="726"/>
        <v>3.1245692535415936E-2</v>
      </c>
      <c r="G741" s="50">
        <f t="shared" si="726"/>
        <v>2.9861746203171599E-2</v>
      </c>
      <c r="H741" s="50">
        <f t="shared" si="726"/>
        <v>2.9235019370742008E-2</v>
      </c>
      <c r="I741" s="50">
        <f t="shared" si="726"/>
        <v>3.0186379118294998E-2</v>
      </c>
      <c r="J741" s="50">
        <f t="shared" si="726"/>
        <v>3.3123682717801174E-2</v>
      </c>
      <c r="K741" s="50">
        <f t="shared" si="726"/>
        <v>3.5563630818173868E-2</v>
      </c>
      <c r="L741" s="50">
        <f t="shared" si="726"/>
        <v>3.7375437025807548E-2</v>
      </c>
      <c r="M741" s="50">
        <f t="shared" si="726"/>
        <v>3.9557895894381336E-2</v>
      </c>
      <c r="N741" s="50">
        <f t="shared" si="726"/>
        <v>4.1330002492198488E-2</v>
      </c>
      <c r="O741" s="50">
        <f t="shared" si="726"/>
        <v>4.3273465010057272E-2</v>
      </c>
      <c r="P741" s="50">
        <f t="shared" si="726"/>
        <v>4.5278417057592932E-2</v>
      </c>
      <c r="Q741" s="50">
        <f t="shared" si="726"/>
        <v>4.5765189585786785E-2</v>
      </c>
      <c r="R741" s="50">
        <f t="shared" si="726"/>
        <v>4.421428774797561E-2</v>
      </c>
      <c r="S741" s="50">
        <f t="shared" si="726"/>
        <v>4.3245429527174986E-2</v>
      </c>
      <c r="T741" s="50">
        <f t="shared" si="726"/>
        <v>4.3554999005074702E-2</v>
      </c>
      <c r="U741" s="50">
        <f t="shared" si="726"/>
        <v>4.4435510161992771E-2</v>
      </c>
      <c r="V741" s="50">
        <f t="shared" si="726"/>
        <v>4.717219114348542E-2</v>
      </c>
      <c r="W741" s="50">
        <f t="shared" si="726"/>
        <v>5.6899741232983039E-2</v>
      </c>
      <c r="X741" s="50">
        <f t="shared" si="726"/>
        <v>6.1986738769463187E-2</v>
      </c>
      <c r="Y741" s="50">
        <f t="shared" si="726"/>
        <v>5.7208700429979269E-2</v>
      </c>
      <c r="Z741" s="50">
        <f t="shared" si="726"/>
        <v>4.9339560702577757E-2</v>
      </c>
      <c r="AA741" s="50">
        <f t="shared" si="726"/>
        <v>4.1368944501432053E-2</v>
      </c>
      <c r="AB741" s="50">
        <f t="shared" si="726"/>
        <v>3.5102305329568817E-2</v>
      </c>
      <c r="AC741" s="8">
        <f t="shared" si="724"/>
        <v>0</v>
      </c>
    </row>
    <row r="742" spans="2:29">
      <c r="B742" s="12"/>
      <c r="C742" s="12" t="s">
        <v>15</v>
      </c>
      <c r="D742" s="12">
        <f>+SUM(D738:D741)</f>
        <v>28</v>
      </c>
      <c r="E742" s="19">
        <f>+SUMPRODUCT(E738:E741,$D738:$D741)</f>
        <v>0.84298909357860086</v>
      </c>
      <c r="F742" s="19">
        <f>+SUMPRODUCT(F738:F741,$D738:$D741)</f>
        <v>0.79281438670292037</v>
      </c>
      <c r="G742" s="19">
        <f t="shared" ref="G742:AB742" si="727">+SUMPRODUCT(G738:G741,$D738:$D741)</f>
        <v>0.76581206652408507</v>
      </c>
      <c r="H742" s="19">
        <f t="shared" si="727"/>
        <v>0.76303870785377348</v>
      </c>
      <c r="I742" s="19">
        <f t="shared" si="727"/>
        <v>0.81439777862913776</v>
      </c>
      <c r="J742" s="19">
        <f t="shared" si="727"/>
        <v>0.94354675368965668</v>
      </c>
      <c r="K742" s="19">
        <f t="shared" si="727"/>
        <v>1.0593231616245178</v>
      </c>
      <c r="L742" s="19">
        <f t="shared" si="727"/>
        <v>1.1008449422916837</v>
      </c>
      <c r="M742" s="19">
        <f t="shared" si="727"/>
        <v>1.1497627587655228</v>
      </c>
      <c r="N742" s="19">
        <f t="shared" si="727"/>
        <v>1.1859422448792118</v>
      </c>
      <c r="O742" s="19">
        <f t="shared" si="727"/>
        <v>1.238561000535743</v>
      </c>
      <c r="P742" s="19">
        <f t="shared" si="727"/>
        <v>1.2960478848317458</v>
      </c>
      <c r="Q742" s="19">
        <f t="shared" si="727"/>
        <v>1.2771370024898361</v>
      </c>
      <c r="R742" s="19">
        <f t="shared" si="727"/>
        <v>1.2337094321959929</v>
      </c>
      <c r="S742" s="19">
        <f t="shared" si="727"/>
        <v>1.2309992402939449</v>
      </c>
      <c r="T742" s="19">
        <f t="shared" si="727"/>
        <v>1.2540411662494362</v>
      </c>
      <c r="U742" s="19">
        <f t="shared" si="727"/>
        <v>1.2811946411516368</v>
      </c>
      <c r="V742" s="19">
        <f t="shared" si="727"/>
        <v>1.3378725217772365</v>
      </c>
      <c r="W742" s="19">
        <f t="shared" si="727"/>
        <v>1.5914866517896862</v>
      </c>
      <c r="X742" s="19">
        <f t="shared" si="727"/>
        <v>1.7284002076751892</v>
      </c>
      <c r="Y742" s="19">
        <f t="shared" si="727"/>
        <v>1.6044269638757178</v>
      </c>
      <c r="Z742" s="19">
        <f t="shared" si="727"/>
        <v>1.4029517671001666</v>
      </c>
      <c r="AA742" s="19">
        <f t="shared" si="727"/>
        <v>1.1541136089016288</v>
      </c>
      <c r="AB742" s="19">
        <f t="shared" si="727"/>
        <v>0.95058601659292941</v>
      </c>
      <c r="AC742" s="12">
        <f>+SUM(E742:AB742)</f>
        <v>27.999999999999996</v>
      </c>
    </row>
    <row r="743" spans="2:29">
      <c r="B743" s="15">
        <f>+EDATE(B738,1)</f>
        <v>49369</v>
      </c>
      <c r="C743" s="8" t="s">
        <v>45</v>
      </c>
      <c r="D743" s="8">
        <v>21</v>
      </c>
      <c r="E743" s="50">
        <f t="shared" ref="E743:AB743" si="728">+E683</f>
        <v>2.9361257124838391E-2</v>
      </c>
      <c r="F743" s="50">
        <f t="shared" si="728"/>
        <v>2.7692710332229715E-2</v>
      </c>
      <c r="G743" s="50">
        <f t="shared" si="728"/>
        <v>2.6785161397696527E-2</v>
      </c>
      <c r="H743" s="50">
        <f t="shared" si="728"/>
        <v>2.6786989368939883E-2</v>
      </c>
      <c r="I743" s="50">
        <f t="shared" si="728"/>
        <v>2.9135775177511477E-2</v>
      </c>
      <c r="J743" s="50">
        <f t="shared" si="728"/>
        <v>3.4540443856715661E-2</v>
      </c>
      <c r="K743" s="50">
        <f t="shared" si="728"/>
        <v>3.8789035252325646E-2</v>
      </c>
      <c r="L743" s="50">
        <f t="shared" si="728"/>
        <v>3.957865839345593E-2</v>
      </c>
      <c r="M743" s="50">
        <f t="shared" si="728"/>
        <v>4.0957538271781398E-2</v>
      </c>
      <c r="N743" s="50">
        <f t="shared" si="728"/>
        <v>4.2166920044863825E-2</v>
      </c>
      <c r="O743" s="50">
        <f t="shared" si="728"/>
        <v>4.4150374939633218E-2</v>
      </c>
      <c r="P743" s="50">
        <f t="shared" si="728"/>
        <v>4.6294816466469102E-2</v>
      </c>
      <c r="Q743" s="50">
        <f t="shared" si="728"/>
        <v>4.5431875959152102E-2</v>
      </c>
      <c r="R743" s="50">
        <f t="shared" si="728"/>
        <v>4.3879728503346101E-2</v>
      </c>
      <c r="S743" s="50">
        <f t="shared" si="728"/>
        <v>4.4118506624640258E-2</v>
      </c>
      <c r="T743" s="50">
        <f t="shared" si="728"/>
        <v>4.5188432655351718E-2</v>
      </c>
      <c r="U743" s="50">
        <f t="shared" si="728"/>
        <v>4.624302558461979E-2</v>
      </c>
      <c r="V743" s="50">
        <f t="shared" si="728"/>
        <v>4.8247238962955179E-2</v>
      </c>
      <c r="W743" s="50">
        <f t="shared" si="728"/>
        <v>5.7096885328092907E-2</v>
      </c>
      <c r="X743" s="50">
        <f t="shared" si="728"/>
        <v>6.1739938045350239E-2</v>
      </c>
      <c r="Y743" s="50">
        <f t="shared" si="728"/>
        <v>5.7231881517227232E-2</v>
      </c>
      <c r="Z743" s="50">
        <f t="shared" si="728"/>
        <v>5.0129255438435008E-2</v>
      </c>
      <c r="AA743" s="50">
        <f t="shared" si="728"/>
        <v>4.1010488221716553E-2</v>
      </c>
      <c r="AB743" s="50">
        <f t="shared" si="728"/>
        <v>3.34430625326523E-2</v>
      </c>
      <c r="AC743" s="8">
        <f>+SUM(E743:AB743)*D743</f>
        <v>21.000000000000004</v>
      </c>
    </row>
    <row r="744" spans="2:29">
      <c r="B744" s="16"/>
      <c r="C744" s="8" t="s">
        <v>46</v>
      </c>
      <c r="D744" s="8">
        <v>5</v>
      </c>
      <c r="E744" s="50">
        <f t="shared" ref="E744:AB744" si="729">+E684</f>
        <v>3.0659473205105158E-2</v>
      </c>
      <c r="F744" s="50">
        <f t="shared" si="729"/>
        <v>2.8600001140869122E-2</v>
      </c>
      <c r="G744" s="50">
        <f t="shared" si="729"/>
        <v>2.7683858575034276E-2</v>
      </c>
      <c r="H744" s="50">
        <f t="shared" si="729"/>
        <v>2.7537802139610414E-2</v>
      </c>
      <c r="I744" s="50">
        <f t="shared" si="729"/>
        <v>2.8782539770184416E-2</v>
      </c>
      <c r="J744" s="50">
        <f t="shared" si="729"/>
        <v>3.2241585579716119E-2</v>
      </c>
      <c r="K744" s="50">
        <f t="shared" si="729"/>
        <v>3.645312931015221E-2</v>
      </c>
      <c r="L744" s="50">
        <f t="shared" si="729"/>
        <v>3.9012639181609042E-2</v>
      </c>
      <c r="M744" s="50">
        <f t="shared" si="729"/>
        <v>4.1549207589560662E-2</v>
      </c>
      <c r="N744" s="50">
        <f t="shared" si="729"/>
        <v>4.3042516751632572E-2</v>
      </c>
      <c r="O744" s="50">
        <f t="shared" si="729"/>
        <v>4.4973693586955334E-2</v>
      </c>
      <c r="P744" s="50">
        <f t="shared" si="729"/>
        <v>4.6808021710202923E-2</v>
      </c>
      <c r="Q744" s="50">
        <f t="shared" si="729"/>
        <v>4.6383383047344962E-2</v>
      </c>
      <c r="R744" s="50">
        <f t="shared" si="729"/>
        <v>4.4751654806610461E-2</v>
      </c>
      <c r="S744" s="50">
        <f t="shared" si="729"/>
        <v>4.4013077558728637E-2</v>
      </c>
      <c r="T744" s="50">
        <f t="shared" si="729"/>
        <v>4.428856091631931E-2</v>
      </c>
      <c r="U744" s="50">
        <f t="shared" si="729"/>
        <v>4.49735778579251E-2</v>
      </c>
      <c r="V744" s="50">
        <f t="shared" si="729"/>
        <v>4.6933206789217301E-2</v>
      </c>
      <c r="W744" s="50">
        <f t="shared" si="729"/>
        <v>5.6210586428141023E-2</v>
      </c>
      <c r="X744" s="50">
        <f t="shared" si="729"/>
        <v>6.1205656691958259E-2</v>
      </c>
      <c r="Y744" s="50">
        <f t="shared" si="729"/>
        <v>5.7018442088769522E-2</v>
      </c>
      <c r="Z744" s="50">
        <f t="shared" si="729"/>
        <v>4.9896672365740725E-2</v>
      </c>
      <c r="AA744" s="50">
        <f t="shared" si="729"/>
        <v>4.1622868086918119E-2</v>
      </c>
      <c r="AB744" s="50">
        <f t="shared" si="729"/>
        <v>3.5357844821693719E-2</v>
      </c>
      <c r="AC744" s="8">
        <f t="shared" ref="AC744:AC746" si="730">+SUM(E744:AB744)*D744</f>
        <v>4.9999999999999964</v>
      </c>
    </row>
    <row r="745" spans="2:29">
      <c r="B745" s="16"/>
      <c r="C745" s="8" t="s">
        <v>47</v>
      </c>
      <c r="D745" s="8">
        <v>4</v>
      </c>
      <c r="E745" s="50">
        <f t="shared" ref="E745:AB746" si="731">+E685</f>
        <v>3.3281514565353124E-2</v>
      </c>
      <c r="F745" s="50">
        <f t="shared" si="731"/>
        <v>3.1140043873712407E-2</v>
      </c>
      <c r="G745" s="50">
        <f t="shared" si="731"/>
        <v>2.984335106750436E-2</v>
      </c>
      <c r="H745" s="50">
        <f t="shared" si="731"/>
        <v>2.9286927979133532E-2</v>
      </c>
      <c r="I745" s="50">
        <f t="shared" si="731"/>
        <v>2.9138028999542646E-2</v>
      </c>
      <c r="J745" s="50">
        <f t="shared" si="731"/>
        <v>3.0942883559119717E-2</v>
      </c>
      <c r="K745" s="50">
        <f t="shared" si="731"/>
        <v>3.4432484834348992E-2</v>
      </c>
      <c r="L745" s="50">
        <f t="shared" si="731"/>
        <v>3.8305304424032266E-2</v>
      </c>
      <c r="M745" s="50">
        <f t="shared" si="731"/>
        <v>4.1103790742913066E-2</v>
      </c>
      <c r="N745" s="50">
        <f t="shared" si="731"/>
        <v>4.2608444243851212E-2</v>
      </c>
      <c r="O745" s="50">
        <f t="shared" si="731"/>
        <v>4.3914681848814308E-2</v>
      </c>
      <c r="P745" s="50">
        <f t="shared" si="731"/>
        <v>4.5729867165388009E-2</v>
      </c>
      <c r="Q745" s="50">
        <f t="shared" si="731"/>
        <v>4.5741487779353565E-2</v>
      </c>
      <c r="R745" s="50">
        <f t="shared" si="731"/>
        <v>4.4277060725657284E-2</v>
      </c>
      <c r="S745" s="50">
        <f t="shared" si="731"/>
        <v>4.3144199391556254E-2</v>
      </c>
      <c r="T745" s="50">
        <f t="shared" si="731"/>
        <v>4.3279567369281124E-2</v>
      </c>
      <c r="U745" s="50">
        <f t="shared" si="731"/>
        <v>4.4109954506885138E-2</v>
      </c>
      <c r="V745" s="50">
        <f t="shared" si="731"/>
        <v>4.6298728840315946E-2</v>
      </c>
      <c r="W745" s="50">
        <f t="shared" si="731"/>
        <v>5.6176649878816001E-2</v>
      </c>
      <c r="X745" s="50">
        <f t="shared" si="731"/>
        <v>6.2194705000087863E-2</v>
      </c>
      <c r="Y745" s="50">
        <f t="shared" si="731"/>
        <v>5.7928891294023718E-2</v>
      </c>
      <c r="Z745" s="50">
        <f t="shared" si="731"/>
        <v>5.019499221712586E-2</v>
      </c>
      <c r="AA745" s="50">
        <f t="shared" si="731"/>
        <v>4.1853093029906328E-2</v>
      </c>
      <c r="AB745" s="50">
        <f t="shared" si="731"/>
        <v>3.507334666327714E-2</v>
      </c>
      <c r="AC745" s="8">
        <f t="shared" si="730"/>
        <v>3.9999999999999991</v>
      </c>
    </row>
    <row r="746" spans="2:29">
      <c r="B746" s="16"/>
      <c r="C746" s="8" t="s">
        <v>48</v>
      </c>
      <c r="D746" s="8">
        <v>1</v>
      </c>
      <c r="E746" s="50">
        <f t="shared" ref="E746:G746" si="732">+E686</f>
        <v>3.367503361886829E-2</v>
      </c>
      <c r="F746" s="50">
        <f t="shared" si="732"/>
        <v>3.1245692535415936E-2</v>
      </c>
      <c r="G746" s="50">
        <f t="shared" si="732"/>
        <v>2.9861746203171599E-2</v>
      </c>
      <c r="H746" s="50">
        <f t="shared" si="731"/>
        <v>2.9235019370742008E-2</v>
      </c>
      <c r="I746" s="50">
        <f t="shared" ref="I746:AB746" si="733">+I686</f>
        <v>3.0186379118294998E-2</v>
      </c>
      <c r="J746" s="50">
        <f t="shared" si="733"/>
        <v>3.3123682717801174E-2</v>
      </c>
      <c r="K746" s="50">
        <f t="shared" si="733"/>
        <v>3.5563630818173868E-2</v>
      </c>
      <c r="L746" s="50">
        <f t="shared" si="733"/>
        <v>3.7375437025807548E-2</v>
      </c>
      <c r="M746" s="50">
        <f t="shared" si="733"/>
        <v>3.9557895894381336E-2</v>
      </c>
      <c r="N746" s="50">
        <f t="shared" si="733"/>
        <v>4.1330002492198488E-2</v>
      </c>
      <c r="O746" s="50">
        <f t="shared" si="733"/>
        <v>4.3273465010057272E-2</v>
      </c>
      <c r="P746" s="50">
        <f t="shared" si="733"/>
        <v>4.5278417057592932E-2</v>
      </c>
      <c r="Q746" s="50">
        <f t="shared" si="733"/>
        <v>4.5765189585786785E-2</v>
      </c>
      <c r="R746" s="50">
        <f t="shared" si="733"/>
        <v>4.421428774797561E-2</v>
      </c>
      <c r="S746" s="50">
        <f t="shared" si="733"/>
        <v>4.3245429527174986E-2</v>
      </c>
      <c r="T746" s="50">
        <f t="shared" si="733"/>
        <v>4.3554999005074702E-2</v>
      </c>
      <c r="U746" s="50">
        <f t="shared" si="733"/>
        <v>4.4435510161992771E-2</v>
      </c>
      <c r="V746" s="50">
        <f t="shared" si="733"/>
        <v>4.717219114348542E-2</v>
      </c>
      <c r="W746" s="50">
        <f t="shared" si="733"/>
        <v>5.6899741232983039E-2</v>
      </c>
      <c r="X746" s="50">
        <f t="shared" si="733"/>
        <v>6.1986738769463187E-2</v>
      </c>
      <c r="Y746" s="50">
        <f t="shared" si="733"/>
        <v>5.7208700429979269E-2</v>
      </c>
      <c r="Z746" s="50">
        <f t="shared" si="733"/>
        <v>4.9339560702577757E-2</v>
      </c>
      <c r="AA746" s="50">
        <f t="shared" si="733"/>
        <v>4.1368944501432053E-2</v>
      </c>
      <c r="AB746" s="50">
        <f t="shared" si="733"/>
        <v>3.5102305329568817E-2</v>
      </c>
      <c r="AC746" s="8">
        <f t="shared" si="730"/>
        <v>0.99999999999999978</v>
      </c>
    </row>
    <row r="747" spans="2:29">
      <c r="B747" s="12"/>
      <c r="C747" s="12" t="s">
        <v>15</v>
      </c>
      <c r="D747" s="12">
        <f>+SUM(D743:D746)</f>
        <v>31</v>
      </c>
      <c r="E747" s="19">
        <f>+SUMPRODUCT(E743:E746,$D743:$D746)</f>
        <v>0.93668485752741271</v>
      </c>
      <c r="F747" s="19">
        <f>+SUMPRODUCT(F743:F746,$D743:$D746)</f>
        <v>0.88035279071143524</v>
      </c>
      <c r="G747" s="19">
        <f t="shared" ref="G747:AB747" si="734">+SUMPRODUCT(G743:G746,$D743:$D746)</f>
        <v>0.85014283269998747</v>
      </c>
      <c r="H747" s="19">
        <f t="shared" si="734"/>
        <v>0.8465985187330658</v>
      </c>
      <c r="I747" s="19">
        <f t="shared" si="734"/>
        <v>0.90250247269512873</v>
      </c>
      <c r="J747" s="19">
        <f t="shared" si="734"/>
        <v>1.0434524658438895</v>
      </c>
      <c r="K747" s="19">
        <f t="shared" si="734"/>
        <v>1.1701289570051694</v>
      </c>
      <c r="L747" s="19">
        <f t="shared" si="734"/>
        <v>1.2168116768925561</v>
      </c>
      <c r="M747" s="19">
        <f t="shared" si="734"/>
        <v>1.2718274005212462</v>
      </c>
      <c r="N747" s="19">
        <f t="shared" si="734"/>
        <v>1.3124816841679066</v>
      </c>
      <c r="O747" s="19">
        <f t="shared" si="734"/>
        <v>1.3709585340723887</v>
      </c>
      <c r="P747" s="19">
        <f t="shared" si="734"/>
        <v>1.4344291400660107</v>
      </c>
      <c r="Q747" s="19">
        <f t="shared" si="734"/>
        <v>1.4147174510821199</v>
      </c>
      <c r="R747" s="19">
        <f t="shared" si="734"/>
        <v>1.3665551032539252</v>
      </c>
      <c r="S747" s="19">
        <f t="shared" si="734"/>
        <v>1.3623762540044884</v>
      </c>
      <c r="T747" s="19">
        <f t="shared" si="734"/>
        <v>1.387073158826182</v>
      </c>
      <c r="U747" s="19">
        <f t="shared" si="734"/>
        <v>1.4168467547561745</v>
      </c>
      <c r="V747" s="19">
        <f t="shared" si="734"/>
        <v>1.4802251586728945</v>
      </c>
      <c r="W747" s="19">
        <f t="shared" si="734"/>
        <v>1.7616938647789031</v>
      </c>
      <c r="X747" s="19">
        <f t="shared" si="734"/>
        <v>1.9133325411819608</v>
      </c>
      <c r="Y747" s="19">
        <f t="shared" si="734"/>
        <v>1.7758859879116937</v>
      </c>
      <c r="Z747" s="19">
        <f t="shared" si="734"/>
        <v>1.55231725560692</v>
      </c>
      <c r="AA747" s="19">
        <f t="shared" si="734"/>
        <v>1.2781159097116954</v>
      </c>
      <c r="AB747" s="19">
        <f t="shared" si="734"/>
        <v>1.0544892292768444</v>
      </c>
      <c r="AC747" s="12">
        <f>+SUM(E747:AB747)</f>
        <v>30.999999999999993</v>
      </c>
    </row>
    <row r="748" spans="2:29">
      <c r="B748" s="15">
        <f>+EDATE(B743,1)</f>
        <v>49400</v>
      </c>
      <c r="C748" s="8" t="s">
        <v>45</v>
      </c>
      <c r="D748" s="8">
        <v>21</v>
      </c>
      <c r="E748" s="50">
        <f t="shared" ref="E748:AB748" si="735">+E688</f>
        <v>2.9361257124838391E-2</v>
      </c>
      <c r="F748" s="50">
        <f t="shared" si="735"/>
        <v>2.7692710332229715E-2</v>
      </c>
      <c r="G748" s="50">
        <f t="shared" si="735"/>
        <v>2.6785161397696527E-2</v>
      </c>
      <c r="H748" s="50">
        <f t="shared" si="735"/>
        <v>2.6786989368939883E-2</v>
      </c>
      <c r="I748" s="50">
        <f t="shared" si="735"/>
        <v>2.9135775177511477E-2</v>
      </c>
      <c r="J748" s="50">
        <f t="shared" si="735"/>
        <v>3.4540443856715661E-2</v>
      </c>
      <c r="K748" s="50">
        <f t="shared" si="735"/>
        <v>3.8789035252325646E-2</v>
      </c>
      <c r="L748" s="50">
        <f t="shared" si="735"/>
        <v>3.957865839345593E-2</v>
      </c>
      <c r="M748" s="50">
        <f t="shared" si="735"/>
        <v>4.0957538271781398E-2</v>
      </c>
      <c r="N748" s="50">
        <f t="shared" si="735"/>
        <v>4.2166920044863825E-2</v>
      </c>
      <c r="O748" s="50">
        <f t="shared" si="735"/>
        <v>4.4150374939633218E-2</v>
      </c>
      <c r="P748" s="50">
        <f t="shared" si="735"/>
        <v>4.6294816466469102E-2</v>
      </c>
      <c r="Q748" s="50">
        <f t="shared" si="735"/>
        <v>4.5431875959152102E-2</v>
      </c>
      <c r="R748" s="50">
        <f t="shared" si="735"/>
        <v>4.3879728503346101E-2</v>
      </c>
      <c r="S748" s="50">
        <f t="shared" si="735"/>
        <v>4.4118506624640258E-2</v>
      </c>
      <c r="T748" s="50">
        <f t="shared" si="735"/>
        <v>4.5188432655351718E-2</v>
      </c>
      <c r="U748" s="50">
        <f t="shared" si="735"/>
        <v>4.624302558461979E-2</v>
      </c>
      <c r="V748" s="50">
        <f t="shared" si="735"/>
        <v>4.8247238962955179E-2</v>
      </c>
      <c r="W748" s="50">
        <f t="shared" si="735"/>
        <v>5.7096885328092907E-2</v>
      </c>
      <c r="X748" s="50">
        <f t="shared" si="735"/>
        <v>6.1739938045350239E-2</v>
      </c>
      <c r="Y748" s="50">
        <f t="shared" si="735"/>
        <v>5.7231881517227232E-2</v>
      </c>
      <c r="Z748" s="50">
        <f t="shared" si="735"/>
        <v>5.0129255438435008E-2</v>
      </c>
      <c r="AA748" s="50">
        <f t="shared" si="735"/>
        <v>4.1010488221716553E-2</v>
      </c>
      <c r="AB748" s="50">
        <f t="shared" si="735"/>
        <v>3.34430625326523E-2</v>
      </c>
      <c r="AC748" s="8">
        <f>+SUM(E748:AB748)*D748</f>
        <v>21.000000000000004</v>
      </c>
    </row>
    <row r="749" spans="2:29">
      <c r="B749" s="16"/>
      <c r="C749" s="8" t="s">
        <v>46</v>
      </c>
      <c r="D749" s="8">
        <v>4</v>
      </c>
      <c r="E749" s="50">
        <f t="shared" ref="E749:AB749" si="736">+E689</f>
        <v>3.0659473205105158E-2</v>
      </c>
      <c r="F749" s="50">
        <f t="shared" si="736"/>
        <v>2.8600001140869122E-2</v>
      </c>
      <c r="G749" s="50">
        <f t="shared" si="736"/>
        <v>2.7683858575034276E-2</v>
      </c>
      <c r="H749" s="50">
        <f t="shared" si="736"/>
        <v>2.7537802139610414E-2</v>
      </c>
      <c r="I749" s="50">
        <f t="shared" si="736"/>
        <v>2.8782539770184416E-2</v>
      </c>
      <c r="J749" s="50">
        <f t="shared" si="736"/>
        <v>3.2241585579716119E-2</v>
      </c>
      <c r="K749" s="50">
        <f t="shared" si="736"/>
        <v>3.645312931015221E-2</v>
      </c>
      <c r="L749" s="50">
        <f t="shared" si="736"/>
        <v>3.9012639181609042E-2</v>
      </c>
      <c r="M749" s="50">
        <f t="shared" si="736"/>
        <v>4.1549207589560662E-2</v>
      </c>
      <c r="N749" s="50">
        <f t="shared" si="736"/>
        <v>4.3042516751632572E-2</v>
      </c>
      <c r="O749" s="50">
        <f t="shared" si="736"/>
        <v>4.4973693586955334E-2</v>
      </c>
      <c r="P749" s="50">
        <f t="shared" si="736"/>
        <v>4.6808021710202923E-2</v>
      </c>
      <c r="Q749" s="50">
        <f t="shared" si="736"/>
        <v>4.6383383047344962E-2</v>
      </c>
      <c r="R749" s="50">
        <f t="shared" si="736"/>
        <v>4.4751654806610461E-2</v>
      </c>
      <c r="S749" s="50">
        <f t="shared" si="736"/>
        <v>4.4013077558728637E-2</v>
      </c>
      <c r="T749" s="50">
        <f t="shared" si="736"/>
        <v>4.428856091631931E-2</v>
      </c>
      <c r="U749" s="50">
        <f t="shared" si="736"/>
        <v>4.49735778579251E-2</v>
      </c>
      <c r="V749" s="50">
        <f t="shared" si="736"/>
        <v>4.6933206789217301E-2</v>
      </c>
      <c r="W749" s="50">
        <f t="shared" si="736"/>
        <v>5.6210586428141023E-2</v>
      </c>
      <c r="X749" s="50">
        <f t="shared" si="736"/>
        <v>6.1205656691958259E-2</v>
      </c>
      <c r="Y749" s="50">
        <f t="shared" si="736"/>
        <v>5.7018442088769522E-2</v>
      </c>
      <c r="Z749" s="50">
        <f t="shared" si="736"/>
        <v>4.9896672365740725E-2</v>
      </c>
      <c r="AA749" s="50">
        <f t="shared" si="736"/>
        <v>4.1622868086918119E-2</v>
      </c>
      <c r="AB749" s="50">
        <f t="shared" si="736"/>
        <v>3.5357844821693719E-2</v>
      </c>
      <c r="AC749" s="8">
        <f t="shared" ref="AC749:AC751" si="737">+SUM(E749:AB749)*D749</f>
        <v>3.9999999999999969</v>
      </c>
    </row>
    <row r="750" spans="2:29">
      <c r="B750" s="16"/>
      <c r="C750" s="8" t="s">
        <v>47</v>
      </c>
      <c r="D750" s="8">
        <v>5</v>
      </c>
      <c r="E750" s="50">
        <f t="shared" ref="E750:AB750" si="738">+E690</f>
        <v>3.3281514565353124E-2</v>
      </c>
      <c r="F750" s="50">
        <f t="shared" si="738"/>
        <v>3.1140043873712407E-2</v>
      </c>
      <c r="G750" s="50">
        <f t="shared" si="738"/>
        <v>2.984335106750436E-2</v>
      </c>
      <c r="H750" s="50">
        <f t="shared" si="738"/>
        <v>2.9286927979133532E-2</v>
      </c>
      <c r="I750" s="50">
        <f t="shared" si="738"/>
        <v>2.9138028999542646E-2</v>
      </c>
      <c r="J750" s="50">
        <f t="shared" si="738"/>
        <v>3.0942883559119717E-2</v>
      </c>
      <c r="K750" s="50">
        <f t="shared" si="738"/>
        <v>3.4432484834348992E-2</v>
      </c>
      <c r="L750" s="50">
        <f t="shared" si="738"/>
        <v>3.8305304424032266E-2</v>
      </c>
      <c r="M750" s="50">
        <f t="shared" si="738"/>
        <v>4.1103790742913066E-2</v>
      </c>
      <c r="N750" s="50">
        <f t="shared" si="738"/>
        <v>4.2608444243851212E-2</v>
      </c>
      <c r="O750" s="50">
        <f t="shared" si="738"/>
        <v>4.3914681848814308E-2</v>
      </c>
      <c r="P750" s="50">
        <f t="shared" si="738"/>
        <v>4.5729867165388009E-2</v>
      </c>
      <c r="Q750" s="50">
        <f t="shared" si="738"/>
        <v>4.5741487779353565E-2</v>
      </c>
      <c r="R750" s="50">
        <f t="shared" si="738"/>
        <v>4.4277060725657284E-2</v>
      </c>
      <c r="S750" s="50">
        <f t="shared" si="738"/>
        <v>4.3144199391556254E-2</v>
      </c>
      <c r="T750" s="50">
        <f t="shared" si="738"/>
        <v>4.3279567369281124E-2</v>
      </c>
      <c r="U750" s="50">
        <f t="shared" si="738"/>
        <v>4.4109954506885138E-2</v>
      </c>
      <c r="V750" s="50">
        <f t="shared" si="738"/>
        <v>4.6298728840315946E-2</v>
      </c>
      <c r="W750" s="50">
        <f t="shared" si="738"/>
        <v>5.6176649878816001E-2</v>
      </c>
      <c r="X750" s="50">
        <f t="shared" si="738"/>
        <v>6.2194705000087863E-2</v>
      </c>
      <c r="Y750" s="50">
        <f t="shared" si="738"/>
        <v>5.7928891294023718E-2</v>
      </c>
      <c r="Z750" s="50">
        <f t="shared" si="738"/>
        <v>5.019499221712586E-2</v>
      </c>
      <c r="AA750" s="50">
        <f t="shared" si="738"/>
        <v>4.1853093029906328E-2</v>
      </c>
      <c r="AB750" s="50">
        <f t="shared" si="738"/>
        <v>3.507334666327714E-2</v>
      </c>
      <c r="AC750" s="8">
        <f t="shared" si="737"/>
        <v>4.9999999999999991</v>
      </c>
    </row>
    <row r="751" spans="2:29">
      <c r="B751" s="16"/>
      <c r="C751" s="8" t="s">
        <v>48</v>
      </c>
      <c r="D751" s="8">
        <v>0</v>
      </c>
      <c r="E751" s="50">
        <f t="shared" ref="E751:AB751" si="739">+E691</f>
        <v>3.367503361886829E-2</v>
      </c>
      <c r="F751" s="50">
        <f t="shared" si="739"/>
        <v>3.1245692535415936E-2</v>
      </c>
      <c r="G751" s="50">
        <f t="shared" si="739"/>
        <v>2.9861746203171599E-2</v>
      </c>
      <c r="H751" s="50">
        <f t="shared" si="739"/>
        <v>2.9235019370742008E-2</v>
      </c>
      <c r="I751" s="50">
        <f t="shared" si="739"/>
        <v>3.0186379118294998E-2</v>
      </c>
      <c r="J751" s="50">
        <f t="shared" si="739"/>
        <v>3.3123682717801174E-2</v>
      </c>
      <c r="K751" s="50">
        <f t="shared" si="739"/>
        <v>3.5563630818173868E-2</v>
      </c>
      <c r="L751" s="50">
        <f t="shared" si="739"/>
        <v>3.7375437025807548E-2</v>
      </c>
      <c r="M751" s="50">
        <f t="shared" si="739"/>
        <v>3.9557895894381336E-2</v>
      </c>
      <c r="N751" s="50">
        <f t="shared" si="739"/>
        <v>4.1330002492198488E-2</v>
      </c>
      <c r="O751" s="50">
        <f t="shared" si="739"/>
        <v>4.3273465010057272E-2</v>
      </c>
      <c r="P751" s="50">
        <f t="shared" si="739"/>
        <v>4.5278417057592932E-2</v>
      </c>
      <c r="Q751" s="50">
        <f t="shared" si="739"/>
        <v>4.5765189585786785E-2</v>
      </c>
      <c r="R751" s="50">
        <f t="shared" si="739"/>
        <v>4.421428774797561E-2</v>
      </c>
      <c r="S751" s="50">
        <f t="shared" si="739"/>
        <v>4.3245429527174986E-2</v>
      </c>
      <c r="T751" s="50">
        <f t="shared" si="739"/>
        <v>4.3554999005074702E-2</v>
      </c>
      <c r="U751" s="50">
        <f t="shared" si="739"/>
        <v>4.4435510161992771E-2</v>
      </c>
      <c r="V751" s="50">
        <f t="shared" si="739"/>
        <v>4.717219114348542E-2</v>
      </c>
      <c r="W751" s="50">
        <f t="shared" si="739"/>
        <v>5.6899741232983039E-2</v>
      </c>
      <c r="X751" s="50">
        <f t="shared" si="739"/>
        <v>6.1986738769463187E-2</v>
      </c>
      <c r="Y751" s="50">
        <f t="shared" si="739"/>
        <v>5.7208700429979269E-2</v>
      </c>
      <c r="Z751" s="50">
        <f t="shared" si="739"/>
        <v>4.9339560702577757E-2</v>
      </c>
      <c r="AA751" s="50">
        <f t="shared" si="739"/>
        <v>4.1368944501432053E-2</v>
      </c>
      <c r="AB751" s="50">
        <f t="shared" si="739"/>
        <v>3.5102305329568817E-2</v>
      </c>
      <c r="AC751" s="8">
        <f t="shared" si="737"/>
        <v>0</v>
      </c>
    </row>
    <row r="752" spans="2:29">
      <c r="B752" s="12"/>
      <c r="C752" s="12" t="s">
        <v>15</v>
      </c>
      <c r="D752" s="12">
        <f>+SUM(D748:D751)</f>
        <v>30</v>
      </c>
      <c r="E752" s="19">
        <f>+SUMPRODUCT(E748:E751,$D748:$D751)</f>
        <v>0.90563186526879247</v>
      </c>
      <c r="F752" s="19">
        <f>+SUMPRODUCT(F748:F751,$D748:$D751)</f>
        <v>0.85164714090886251</v>
      </c>
      <c r="G752" s="19">
        <f t="shared" ref="G752:AB752" si="740">+SUMPRODUCT(G748:G751,$D748:$D751)</f>
        <v>0.82244057898928591</v>
      </c>
      <c r="H752" s="19">
        <f t="shared" si="740"/>
        <v>0.8191126252018468</v>
      </c>
      <c r="I752" s="19">
        <f t="shared" si="740"/>
        <v>0.87267158280619195</v>
      </c>
      <c r="J752" s="19">
        <f t="shared" si="740"/>
        <v>1.009030081105492</v>
      </c>
      <c r="K752" s="19">
        <f t="shared" si="740"/>
        <v>1.1325446817111924</v>
      </c>
      <c r="L752" s="19">
        <f t="shared" si="740"/>
        <v>1.1787289051091721</v>
      </c>
      <c r="M752" s="19">
        <f t="shared" si="740"/>
        <v>1.2318240877802173</v>
      </c>
      <c r="N752" s="19">
        <f t="shared" si="740"/>
        <v>1.2707176091679266</v>
      </c>
      <c r="O752" s="19">
        <f t="shared" si="740"/>
        <v>1.3266260573241904</v>
      </c>
      <c r="P752" s="19">
        <f t="shared" si="740"/>
        <v>1.3880725684636031</v>
      </c>
      <c r="Q752" s="19">
        <f t="shared" si="740"/>
        <v>1.3683103662283418</v>
      </c>
      <c r="R752" s="19">
        <f t="shared" si="740"/>
        <v>1.3218662214249963</v>
      </c>
      <c r="S752" s="19">
        <f t="shared" si="740"/>
        <v>1.3182619463101413</v>
      </c>
      <c r="T752" s="19">
        <f t="shared" si="740"/>
        <v>1.3425091662740691</v>
      </c>
      <c r="U752" s="19">
        <f t="shared" si="740"/>
        <v>1.3715476212431417</v>
      </c>
      <c r="V752" s="19">
        <f t="shared" si="740"/>
        <v>1.4324184895805079</v>
      </c>
      <c r="W752" s="19">
        <f t="shared" si="740"/>
        <v>1.7047601869965952</v>
      </c>
      <c r="X752" s="19">
        <f t="shared" si="740"/>
        <v>1.8523348507206274</v>
      </c>
      <c r="Y752" s="19">
        <f t="shared" si="740"/>
        <v>1.7195877366869685</v>
      </c>
      <c r="Z752" s="19">
        <f t="shared" si="740"/>
        <v>1.5032760147557276</v>
      </c>
      <c r="AA752" s="19">
        <f t="shared" si="740"/>
        <v>1.2369771901532518</v>
      </c>
      <c r="AB752" s="19">
        <f t="shared" si="740"/>
        <v>1.0191024257888588</v>
      </c>
      <c r="AC752" s="12">
        <f>+SUM(E752:AB752)</f>
        <v>30</v>
      </c>
    </row>
    <row r="753" spans="2:29">
      <c r="B753" s="15">
        <f>+EDATE(B748,1)</f>
        <v>49430</v>
      </c>
      <c r="C753" s="8" t="s">
        <v>45</v>
      </c>
      <c r="D753" s="8">
        <v>22</v>
      </c>
      <c r="E753" s="50">
        <f t="shared" ref="E753:AB753" si="741">+E693</f>
        <v>2.9361257124838391E-2</v>
      </c>
      <c r="F753" s="50">
        <f t="shared" si="741"/>
        <v>2.7692710332229715E-2</v>
      </c>
      <c r="G753" s="50">
        <f t="shared" si="741"/>
        <v>2.6785161397696527E-2</v>
      </c>
      <c r="H753" s="50">
        <f t="shared" si="741"/>
        <v>2.6786989368939883E-2</v>
      </c>
      <c r="I753" s="50">
        <f t="shared" si="741"/>
        <v>2.9135775177511477E-2</v>
      </c>
      <c r="J753" s="50">
        <f t="shared" si="741"/>
        <v>3.4540443856715661E-2</v>
      </c>
      <c r="K753" s="50">
        <f t="shared" si="741"/>
        <v>3.8789035252325646E-2</v>
      </c>
      <c r="L753" s="50">
        <f t="shared" si="741"/>
        <v>3.957865839345593E-2</v>
      </c>
      <c r="M753" s="50">
        <f t="shared" si="741"/>
        <v>4.0957538271781398E-2</v>
      </c>
      <c r="N753" s="50">
        <f t="shared" si="741"/>
        <v>4.2166920044863825E-2</v>
      </c>
      <c r="O753" s="50">
        <f t="shared" si="741"/>
        <v>4.4150374939633218E-2</v>
      </c>
      <c r="P753" s="50">
        <f t="shared" si="741"/>
        <v>4.6294816466469102E-2</v>
      </c>
      <c r="Q753" s="50">
        <f t="shared" si="741"/>
        <v>4.5431875959152102E-2</v>
      </c>
      <c r="R753" s="50">
        <f t="shared" si="741"/>
        <v>4.3879728503346101E-2</v>
      </c>
      <c r="S753" s="50">
        <f t="shared" si="741"/>
        <v>4.4118506624640258E-2</v>
      </c>
      <c r="T753" s="50">
        <f t="shared" si="741"/>
        <v>4.5188432655351718E-2</v>
      </c>
      <c r="U753" s="50">
        <f t="shared" si="741"/>
        <v>4.624302558461979E-2</v>
      </c>
      <c r="V753" s="50">
        <f t="shared" si="741"/>
        <v>4.8247238962955179E-2</v>
      </c>
      <c r="W753" s="50">
        <f t="shared" si="741"/>
        <v>5.7096885328092907E-2</v>
      </c>
      <c r="X753" s="50">
        <f t="shared" si="741"/>
        <v>6.1739938045350239E-2</v>
      </c>
      <c r="Y753" s="50">
        <f t="shared" si="741"/>
        <v>5.7231881517227232E-2</v>
      </c>
      <c r="Z753" s="50">
        <f t="shared" si="741"/>
        <v>5.0129255438435008E-2</v>
      </c>
      <c r="AA753" s="50">
        <f t="shared" si="741"/>
        <v>4.1010488221716553E-2</v>
      </c>
      <c r="AB753" s="50">
        <f t="shared" si="741"/>
        <v>3.34430625326523E-2</v>
      </c>
      <c r="AC753" s="8">
        <f>+SUM(E753:AB753)*D753</f>
        <v>22.000000000000004</v>
      </c>
    </row>
    <row r="754" spans="2:29">
      <c r="B754" s="16"/>
      <c r="C754" s="8" t="s">
        <v>46</v>
      </c>
      <c r="D754" s="8">
        <v>4</v>
      </c>
      <c r="E754" s="50">
        <f t="shared" ref="E754:AB754" si="742">+E694</f>
        <v>3.0659473205105158E-2</v>
      </c>
      <c r="F754" s="50">
        <f t="shared" si="742"/>
        <v>2.8600001140869122E-2</v>
      </c>
      <c r="G754" s="50">
        <f t="shared" si="742"/>
        <v>2.7683858575034276E-2</v>
      </c>
      <c r="H754" s="50">
        <f t="shared" si="742"/>
        <v>2.7537802139610414E-2</v>
      </c>
      <c r="I754" s="50">
        <f t="shared" si="742"/>
        <v>2.8782539770184416E-2</v>
      </c>
      <c r="J754" s="50">
        <f t="shared" si="742"/>
        <v>3.2241585579716119E-2</v>
      </c>
      <c r="K754" s="50">
        <f t="shared" si="742"/>
        <v>3.645312931015221E-2</v>
      </c>
      <c r="L754" s="50">
        <f t="shared" si="742"/>
        <v>3.9012639181609042E-2</v>
      </c>
      <c r="M754" s="50">
        <f t="shared" si="742"/>
        <v>4.1549207589560662E-2</v>
      </c>
      <c r="N754" s="50">
        <f t="shared" si="742"/>
        <v>4.3042516751632572E-2</v>
      </c>
      <c r="O754" s="50">
        <f t="shared" si="742"/>
        <v>4.4973693586955334E-2</v>
      </c>
      <c r="P754" s="50">
        <f t="shared" si="742"/>
        <v>4.6808021710202923E-2</v>
      </c>
      <c r="Q754" s="50">
        <f t="shared" si="742"/>
        <v>4.6383383047344962E-2</v>
      </c>
      <c r="R754" s="50">
        <f t="shared" si="742"/>
        <v>4.4751654806610461E-2</v>
      </c>
      <c r="S754" s="50">
        <f t="shared" si="742"/>
        <v>4.4013077558728637E-2</v>
      </c>
      <c r="T754" s="50">
        <f t="shared" si="742"/>
        <v>4.428856091631931E-2</v>
      </c>
      <c r="U754" s="50">
        <f t="shared" si="742"/>
        <v>4.49735778579251E-2</v>
      </c>
      <c r="V754" s="50">
        <f t="shared" si="742"/>
        <v>4.6933206789217301E-2</v>
      </c>
      <c r="W754" s="50">
        <f t="shared" si="742"/>
        <v>5.6210586428141023E-2</v>
      </c>
      <c r="X754" s="50">
        <f t="shared" si="742"/>
        <v>6.1205656691958259E-2</v>
      </c>
      <c r="Y754" s="50">
        <f t="shared" si="742"/>
        <v>5.7018442088769522E-2</v>
      </c>
      <c r="Z754" s="50">
        <f t="shared" si="742"/>
        <v>4.9896672365740725E-2</v>
      </c>
      <c r="AA754" s="50">
        <f t="shared" si="742"/>
        <v>4.1622868086918119E-2</v>
      </c>
      <c r="AB754" s="50">
        <f t="shared" si="742"/>
        <v>3.5357844821693719E-2</v>
      </c>
      <c r="AC754" s="8">
        <f t="shared" ref="AC754:AC755" si="743">+SUM(E754:AB754)*D754</f>
        <v>3.9999999999999969</v>
      </c>
    </row>
    <row r="755" spans="2:29">
      <c r="B755" s="16"/>
      <c r="C755" s="8" t="s">
        <v>47</v>
      </c>
      <c r="D755" s="8">
        <v>4</v>
      </c>
      <c r="E755" s="50">
        <f t="shared" ref="E755:AB755" si="744">+E695</f>
        <v>3.3281514565353124E-2</v>
      </c>
      <c r="F755" s="50">
        <f t="shared" si="744"/>
        <v>3.1140043873712407E-2</v>
      </c>
      <c r="G755" s="50">
        <f t="shared" si="744"/>
        <v>2.984335106750436E-2</v>
      </c>
      <c r="H755" s="50">
        <f t="shared" si="744"/>
        <v>2.9286927979133532E-2</v>
      </c>
      <c r="I755" s="50">
        <f t="shared" si="744"/>
        <v>2.9138028999542646E-2</v>
      </c>
      <c r="J755" s="50">
        <f t="shared" si="744"/>
        <v>3.0942883559119717E-2</v>
      </c>
      <c r="K755" s="50">
        <f t="shared" si="744"/>
        <v>3.4432484834348992E-2</v>
      </c>
      <c r="L755" s="50">
        <f t="shared" si="744"/>
        <v>3.8305304424032266E-2</v>
      </c>
      <c r="M755" s="50">
        <f t="shared" si="744"/>
        <v>4.1103790742913066E-2</v>
      </c>
      <c r="N755" s="50">
        <f t="shared" si="744"/>
        <v>4.2608444243851212E-2</v>
      </c>
      <c r="O755" s="50">
        <f t="shared" si="744"/>
        <v>4.3914681848814308E-2</v>
      </c>
      <c r="P755" s="50">
        <f t="shared" si="744"/>
        <v>4.5729867165388009E-2</v>
      </c>
      <c r="Q755" s="50">
        <f t="shared" si="744"/>
        <v>4.5741487779353565E-2</v>
      </c>
      <c r="R755" s="50">
        <f t="shared" si="744"/>
        <v>4.4277060725657284E-2</v>
      </c>
      <c r="S755" s="50">
        <f t="shared" si="744"/>
        <v>4.3144199391556254E-2</v>
      </c>
      <c r="T755" s="50">
        <f t="shared" si="744"/>
        <v>4.3279567369281124E-2</v>
      </c>
      <c r="U755" s="50">
        <f t="shared" si="744"/>
        <v>4.4109954506885138E-2</v>
      </c>
      <c r="V755" s="50">
        <f t="shared" si="744"/>
        <v>4.6298728840315946E-2</v>
      </c>
      <c r="W755" s="50">
        <f t="shared" si="744"/>
        <v>5.6176649878816001E-2</v>
      </c>
      <c r="X755" s="50">
        <f t="shared" si="744"/>
        <v>6.2194705000087863E-2</v>
      </c>
      <c r="Y755" s="50">
        <f t="shared" si="744"/>
        <v>5.7928891294023718E-2</v>
      </c>
      <c r="Z755" s="50">
        <f t="shared" si="744"/>
        <v>5.019499221712586E-2</v>
      </c>
      <c r="AA755" s="50">
        <f t="shared" si="744"/>
        <v>4.1853093029906328E-2</v>
      </c>
      <c r="AB755" s="50">
        <f t="shared" si="744"/>
        <v>3.507334666327714E-2</v>
      </c>
      <c r="AC755" s="8">
        <f t="shared" si="743"/>
        <v>3.9999999999999991</v>
      </c>
    </row>
    <row r="756" spans="2:29">
      <c r="B756" s="16"/>
      <c r="C756" s="8" t="s">
        <v>48</v>
      </c>
      <c r="D756" s="8">
        <v>1</v>
      </c>
      <c r="E756" s="50">
        <f t="shared" ref="E756:AB756" si="745">+E696</f>
        <v>3.367503361886829E-2</v>
      </c>
      <c r="F756" s="50">
        <f t="shared" si="745"/>
        <v>3.1245692535415936E-2</v>
      </c>
      <c r="G756" s="50">
        <f t="shared" si="745"/>
        <v>2.9861746203171599E-2</v>
      </c>
      <c r="H756" s="50">
        <f t="shared" si="745"/>
        <v>2.9235019370742008E-2</v>
      </c>
      <c r="I756" s="50">
        <f t="shared" si="745"/>
        <v>3.0186379118294998E-2</v>
      </c>
      <c r="J756" s="50">
        <f t="shared" si="745"/>
        <v>3.3123682717801174E-2</v>
      </c>
      <c r="K756" s="50">
        <f t="shared" si="745"/>
        <v>3.5563630818173868E-2</v>
      </c>
      <c r="L756" s="50">
        <f t="shared" si="745"/>
        <v>3.7375437025807548E-2</v>
      </c>
      <c r="M756" s="50">
        <f t="shared" si="745"/>
        <v>3.9557895894381336E-2</v>
      </c>
      <c r="N756" s="50">
        <f t="shared" si="745"/>
        <v>4.1330002492198488E-2</v>
      </c>
      <c r="O756" s="50">
        <f t="shared" si="745"/>
        <v>4.3273465010057272E-2</v>
      </c>
      <c r="P756" s="50">
        <f t="shared" si="745"/>
        <v>4.5278417057592932E-2</v>
      </c>
      <c r="Q756" s="50">
        <f t="shared" si="745"/>
        <v>4.5765189585786785E-2</v>
      </c>
      <c r="R756" s="50">
        <f t="shared" si="745"/>
        <v>4.421428774797561E-2</v>
      </c>
      <c r="S756" s="50">
        <f t="shared" si="745"/>
        <v>4.3245429527174986E-2</v>
      </c>
      <c r="T756" s="50">
        <f t="shared" si="745"/>
        <v>4.3554999005074702E-2</v>
      </c>
      <c r="U756" s="50">
        <f t="shared" si="745"/>
        <v>4.4435510161992771E-2</v>
      </c>
      <c r="V756" s="50">
        <f t="shared" si="745"/>
        <v>4.717219114348542E-2</v>
      </c>
      <c r="W756" s="50">
        <f t="shared" si="745"/>
        <v>5.6899741232983039E-2</v>
      </c>
      <c r="X756" s="50">
        <f t="shared" si="745"/>
        <v>6.1986738769463187E-2</v>
      </c>
      <c r="Y756" s="50">
        <f t="shared" si="745"/>
        <v>5.7208700429979269E-2</v>
      </c>
      <c r="Z756" s="50">
        <f t="shared" si="745"/>
        <v>4.9339560702577757E-2</v>
      </c>
      <c r="AA756" s="50">
        <f t="shared" si="745"/>
        <v>4.1368944501432053E-2</v>
      </c>
      <c r="AB756" s="50">
        <f t="shared" si="745"/>
        <v>3.5102305329568817E-2</v>
      </c>
      <c r="AC756" s="8">
        <f>+SUM(E756:AB756)*D756</f>
        <v>0.99999999999999978</v>
      </c>
    </row>
    <row r="757" spans="2:29">
      <c r="B757" s="12"/>
      <c r="C757" s="12" t="s">
        <v>15</v>
      </c>
      <c r="D757" s="12">
        <f>+SUM(D753:D756)</f>
        <v>31</v>
      </c>
      <c r="E757" s="19">
        <f>+SUMPRODUCT(E753:E756,$D753:$D756)</f>
        <v>0.93538664144714589</v>
      </c>
      <c r="F757" s="19">
        <f>+SUMPRODUCT(F753:F756,$D753:$D756)</f>
        <v>0.87944549990279586</v>
      </c>
      <c r="G757" s="19">
        <f t="shared" ref="G757:AB757" si="746">+SUMPRODUCT(G753:G756,$D753:$D756)</f>
        <v>0.84924413552264977</v>
      </c>
      <c r="H757" s="19">
        <f t="shared" si="746"/>
        <v>0.84584770596239522</v>
      </c>
      <c r="I757" s="19">
        <f t="shared" si="746"/>
        <v>0.90285570810245575</v>
      </c>
      <c r="J757" s="19">
        <f t="shared" si="746"/>
        <v>1.0457513241208891</v>
      </c>
      <c r="K757" s="19">
        <f t="shared" si="746"/>
        <v>1.1724648629473431</v>
      </c>
      <c r="L757" s="19">
        <f t="shared" si="746"/>
        <v>1.2173776961044029</v>
      </c>
      <c r="M757" s="19">
        <f t="shared" si="746"/>
        <v>1.2712357312034672</v>
      </c>
      <c r="N757" s="19">
        <f t="shared" si="746"/>
        <v>1.3116060874611379</v>
      </c>
      <c r="O757" s="19">
        <f t="shared" si="746"/>
        <v>1.3701352154250666</v>
      </c>
      <c r="P757" s="19">
        <f t="shared" si="746"/>
        <v>1.4339159348222767</v>
      </c>
      <c r="Q757" s="19">
        <f t="shared" si="746"/>
        <v>1.413765943993927</v>
      </c>
      <c r="R757" s="19">
        <f t="shared" si="746"/>
        <v>1.3656831769506608</v>
      </c>
      <c r="S757" s="19">
        <f t="shared" si="746"/>
        <v>1.3624816830704001</v>
      </c>
      <c r="T757" s="19">
        <f t="shared" si="746"/>
        <v>1.3879730305652143</v>
      </c>
      <c r="U757" s="19">
        <f t="shared" si="746"/>
        <v>1.4181162024828693</v>
      </c>
      <c r="V757" s="19">
        <f t="shared" si="746"/>
        <v>1.4815391908466324</v>
      </c>
      <c r="W757" s="19">
        <f t="shared" si="746"/>
        <v>1.7625801636788549</v>
      </c>
      <c r="X757" s="19">
        <f t="shared" si="746"/>
        <v>1.913866822535353</v>
      </c>
      <c r="Y757" s="19">
        <f t="shared" si="746"/>
        <v>1.7760994273401516</v>
      </c>
      <c r="Z757" s="19">
        <f t="shared" si="746"/>
        <v>1.5525498386796144</v>
      </c>
      <c r="AA757" s="19">
        <f t="shared" si="746"/>
        <v>1.2775035298464938</v>
      </c>
      <c r="AB757" s="19">
        <f t="shared" si="746"/>
        <v>1.0525744469878027</v>
      </c>
      <c r="AC757" s="12">
        <f>+SUM(E757:AB757)</f>
        <v>31.000000000000004</v>
      </c>
    </row>
    <row r="758" spans="2:29">
      <c r="B758" s="15">
        <f>+EDATE(B753,1)</f>
        <v>49461</v>
      </c>
      <c r="C758" s="8" t="s">
        <v>45</v>
      </c>
      <c r="D758" s="8">
        <v>20</v>
      </c>
      <c r="E758" s="50">
        <f t="shared" ref="E758:AB758" si="747">+E698</f>
        <v>2.9361257124838391E-2</v>
      </c>
      <c r="F758" s="50">
        <f t="shared" si="747"/>
        <v>2.7692710332229715E-2</v>
      </c>
      <c r="G758" s="50">
        <f t="shared" si="747"/>
        <v>2.6785161397696527E-2</v>
      </c>
      <c r="H758" s="50">
        <f t="shared" si="747"/>
        <v>2.6786989368939883E-2</v>
      </c>
      <c r="I758" s="50">
        <f t="shared" si="747"/>
        <v>2.9135775177511477E-2</v>
      </c>
      <c r="J758" s="50">
        <f t="shared" si="747"/>
        <v>3.4540443856715661E-2</v>
      </c>
      <c r="K758" s="50">
        <f t="shared" si="747"/>
        <v>3.8789035252325646E-2</v>
      </c>
      <c r="L758" s="50">
        <f t="shared" si="747"/>
        <v>3.957865839345593E-2</v>
      </c>
      <c r="M758" s="50">
        <f t="shared" si="747"/>
        <v>4.0957538271781398E-2</v>
      </c>
      <c r="N758" s="50">
        <f t="shared" si="747"/>
        <v>4.2166920044863825E-2</v>
      </c>
      <c r="O758" s="50">
        <f t="shared" si="747"/>
        <v>4.4150374939633218E-2</v>
      </c>
      <c r="P758" s="50">
        <f t="shared" si="747"/>
        <v>4.6294816466469102E-2</v>
      </c>
      <c r="Q758" s="50">
        <f t="shared" si="747"/>
        <v>4.5431875959152102E-2</v>
      </c>
      <c r="R758" s="50">
        <f t="shared" si="747"/>
        <v>4.3879728503346101E-2</v>
      </c>
      <c r="S758" s="50">
        <f t="shared" si="747"/>
        <v>4.4118506624640258E-2</v>
      </c>
      <c r="T758" s="50">
        <f t="shared" si="747"/>
        <v>4.5188432655351718E-2</v>
      </c>
      <c r="U758" s="50">
        <f t="shared" si="747"/>
        <v>4.624302558461979E-2</v>
      </c>
      <c r="V758" s="50">
        <f t="shared" si="747"/>
        <v>4.8247238962955179E-2</v>
      </c>
      <c r="W758" s="50">
        <f t="shared" si="747"/>
        <v>5.7096885328092907E-2</v>
      </c>
      <c r="X758" s="50">
        <f t="shared" si="747"/>
        <v>6.1739938045350239E-2</v>
      </c>
      <c r="Y758" s="50">
        <f t="shared" si="747"/>
        <v>5.7231881517227232E-2</v>
      </c>
      <c r="Z758" s="50">
        <f t="shared" si="747"/>
        <v>5.0129255438435008E-2</v>
      </c>
      <c r="AA758" s="50">
        <f t="shared" si="747"/>
        <v>4.1010488221716553E-2</v>
      </c>
      <c r="AB758" s="50">
        <f t="shared" si="747"/>
        <v>3.34430625326523E-2</v>
      </c>
      <c r="AC758" s="8">
        <f>+SUM(E758:AB758)*D758</f>
        <v>20.000000000000004</v>
      </c>
    </row>
    <row r="759" spans="2:29">
      <c r="B759" s="16"/>
      <c r="C759" s="8" t="s">
        <v>46</v>
      </c>
      <c r="D759" s="8">
        <v>5</v>
      </c>
      <c r="E759" s="50">
        <f t="shared" ref="E759:AB759" si="748">+E699</f>
        <v>3.0659473205105158E-2</v>
      </c>
      <c r="F759" s="50">
        <f t="shared" si="748"/>
        <v>2.8600001140869122E-2</v>
      </c>
      <c r="G759" s="50">
        <f t="shared" si="748"/>
        <v>2.7683858575034276E-2</v>
      </c>
      <c r="H759" s="50">
        <f t="shared" si="748"/>
        <v>2.7537802139610414E-2</v>
      </c>
      <c r="I759" s="50">
        <f t="shared" si="748"/>
        <v>2.8782539770184416E-2</v>
      </c>
      <c r="J759" s="50">
        <f t="shared" si="748"/>
        <v>3.2241585579716119E-2</v>
      </c>
      <c r="K759" s="50">
        <f t="shared" si="748"/>
        <v>3.645312931015221E-2</v>
      </c>
      <c r="L759" s="50">
        <f t="shared" si="748"/>
        <v>3.9012639181609042E-2</v>
      </c>
      <c r="M759" s="50">
        <f t="shared" si="748"/>
        <v>4.1549207589560662E-2</v>
      </c>
      <c r="N759" s="50">
        <f t="shared" si="748"/>
        <v>4.3042516751632572E-2</v>
      </c>
      <c r="O759" s="50">
        <f t="shared" si="748"/>
        <v>4.4973693586955334E-2</v>
      </c>
      <c r="P759" s="50">
        <f t="shared" si="748"/>
        <v>4.6808021710202923E-2</v>
      </c>
      <c r="Q759" s="50">
        <f t="shared" si="748"/>
        <v>4.6383383047344962E-2</v>
      </c>
      <c r="R759" s="50">
        <f t="shared" si="748"/>
        <v>4.4751654806610461E-2</v>
      </c>
      <c r="S759" s="50">
        <f t="shared" si="748"/>
        <v>4.4013077558728637E-2</v>
      </c>
      <c r="T759" s="50">
        <f t="shared" si="748"/>
        <v>4.428856091631931E-2</v>
      </c>
      <c r="U759" s="50">
        <f t="shared" si="748"/>
        <v>4.49735778579251E-2</v>
      </c>
      <c r="V759" s="50">
        <f t="shared" si="748"/>
        <v>4.6933206789217301E-2</v>
      </c>
      <c r="W759" s="50">
        <f t="shared" si="748"/>
        <v>5.6210586428141023E-2</v>
      </c>
      <c r="X759" s="50">
        <f t="shared" si="748"/>
        <v>6.1205656691958259E-2</v>
      </c>
      <c r="Y759" s="50">
        <f t="shared" si="748"/>
        <v>5.7018442088769522E-2</v>
      </c>
      <c r="Z759" s="50">
        <f t="shared" si="748"/>
        <v>4.9896672365740725E-2</v>
      </c>
      <c r="AA759" s="50">
        <f t="shared" si="748"/>
        <v>4.1622868086918119E-2</v>
      </c>
      <c r="AB759" s="50">
        <f t="shared" si="748"/>
        <v>3.5357844821693719E-2</v>
      </c>
      <c r="AC759" s="8">
        <f t="shared" ref="AC759:AC761" si="749">+SUM(E759:AB759)*D759</f>
        <v>4.9999999999999964</v>
      </c>
    </row>
    <row r="760" spans="2:29">
      <c r="B760" s="16"/>
      <c r="C760" s="8" t="s">
        <v>47</v>
      </c>
      <c r="D760" s="8">
        <v>4</v>
      </c>
      <c r="E760" s="50">
        <f t="shared" ref="E760:AB760" si="750">+E700</f>
        <v>3.3281514565353124E-2</v>
      </c>
      <c r="F760" s="50">
        <f t="shared" si="750"/>
        <v>3.1140043873712407E-2</v>
      </c>
      <c r="G760" s="50">
        <f t="shared" si="750"/>
        <v>2.984335106750436E-2</v>
      </c>
      <c r="H760" s="50">
        <f t="shared" si="750"/>
        <v>2.9286927979133532E-2</v>
      </c>
      <c r="I760" s="50">
        <f t="shared" si="750"/>
        <v>2.9138028999542646E-2</v>
      </c>
      <c r="J760" s="50">
        <f t="shared" si="750"/>
        <v>3.0942883559119717E-2</v>
      </c>
      <c r="K760" s="50">
        <f t="shared" si="750"/>
        <v>3.4432484834348992E-2</v>
      </c>
      <c r="L760" s="50">
        <f t="shared" si="750"/>
        <v>3.8305304424032266E-2</v>
      </c>
      <c r="M760" s="50">
        <f t="shared" si="750"/>
        <v>4.1103790742913066E-2</v>
      </c>
      <c r="N760" s="50">
        <f t="shared" si="750"/>
        <v>4.2608444243851212E-2</v>
      </c>
      <c r="O760" s="50">
        <f t="shared" si="750"/>
        <v>4.3914681848814308E-2</v>
      </c>
      <c r="P760" s="50">
        <f t="shared" si="750"/>
        <v>4.5729867165388009E-2</v>
      </c>
      <c r="Q760" s="50">
        <f t="shared" si="750"/>
        <v>4.5741487779353565E-2</v>
      </c>
      <c r="R760" s="50">
        <f t="shared" si="750"/>
        <v>4.4277060725657284E-2</v>
      </c>
      <c r="S760" s="50">
        <f t="shared" si="750"/>
        <v>4.3144199391556254E-2</v>
      </c>
      <c r="T760" s="50">
        <f t="shared" si="750"/>
        <v>4.3279567369281124E-2</v>
      </c>
      <c r="U760" s="50">
        <f t="shared" si="750"/>
        <v>4.4109954506885138E-2</v>
      </c>
      <c r="V760" s="50">
        <f t="shared" si="750"/>
        <v>4.6298728840315946E-2</v>
      </c>
      <c r="W760" s="50">
        <f t="shared" si="750"/>
        <v>5.6176649878816001E-2</v>
      </c>
      <c r="X760" s="50">
        <f t="shared" si="750"/>
        <v>6.2194705000087863E-2</v>
      </c>
      <c r="Y760" s="50">
        <f t="shared" si="750"/>
        <v>5.7928891294023718E-2</v>
      </c>
      <c r="Z760" s="50">
        <f t="shared" si="750"/>
        <v>5.019499221712586E-2</v>
      </c>
      <c r="AA760" s="50">
        <f t="shared" si="750"/>
        <v>4.1853093029906328E-2</v>
      </c>
      <c r="AB760" s="50">
        <f t="shared" si="750"/>
        <v>3.507334666327714E-2</v>
      </c>
      <c r="AC760" s="8">
        <f t="shared" si="749"/>
        <v>3.9999999999999991</v>
      </c>
    </row>
    <row r="761" spans="2:29">
      <c r="B761" s="16"/>
      <c r="C761" s="8" t="s">
        <v>48</v>
      </c>
      <c r="D761" s="8">
        <v>1</v>
      </c>
      <c r="E761" s="50">
        <f t="shared" ref="E761:AB761" si="751">+E701</f>
        <v>3.367503361886829E-2</v>
      </c>
      <c r="F761" s="50">
        <f t="shared" si="751"/>
        <v>3.1245692535415936E-2</v>
      </c>
      <c r="G761" s="50">
        <f t="shared" si="751"/>
        <v>2.9861746203171599E-2</v>
      </c>
      <c r="H761" s="50">
        <f t="shared" si="751"/>
        <v>2.9235019370742008E-2</v>
      </c>
      <c r="I761" s="50">
        <f t="shared" si="751"/>
        <v>3.0186379118294998E-2</v>
      </c>
      <c r="J761" s="50">
        <f t="shared" si="751"/>
        <v>3.3123682717801174E-2</v>
      </c>
      <c r="K761" s="50">
        <f t="shared" si="751"/>
        <v>3.5563630818173868E-2</v>
      </c>
      <c r="L761" s="50">
        <f t="shared" si="751"/>
        <v>3.7375437025807548E-2</v>
      </c>
      <c r="M761" s="50">
        <f t="shared" si="751"/>
        <v>3.9557895894381336E-2</v>
      </c>
      <c r="N761" s="50">
        <f t="shared" si="751"/>
        <v>4.1330002492198488E-2</v>
      </c>
      <c r="O761" s="50">
        <f t="shared" si="751"/>
        <v>4.3273465010057272E-2</v>
      </c>
      <c r="P761" s="50">
        <f t="shared" si="751"/>
        <v>4.5278417057592932E-2</v>
      </c>
      <c r="Q761" s="50">
        <f t="shared" si="751"/>
        <v>4.5765189585786785E-2</v>
      </c>
      <c r="R761" s="50">
        <f t="shared" si="751"/>
        <v>4.421428774797561E-2</v>
      </c>
      <c r="S761" s="50">
        <f t="shared" si="751"/>
        <v>4.3245429527174986E-2</v>
      </c>
      <c r="T761" s="50">
        <f t="shared" si="751"/>
        <v>4.3554999005074702E-2</v>
      </c>
      <c r="U761" s="50">
        <f t="shared" si="751"/>
        <v>4.4435510161992771E-2</v>
      </c>
      <c r="V761" s="50">
        <f t="shared" si="751"/>
        <v>4.717219114348542E-2</v>
      </c>
      <c r="W761" s="50">
        <f t="shared" si="751"/>
        <v>5.6899741232983039E-2</v>
      </c>
      <c r="X761" s="50">
        <f t="shared" si="751"/>
        <v>6.1986738769463187E-2</v>
      </c>
      <c r="Y761" s="50">
        <f t="shared" si="751"/>
        <v>5.7208700429979269E-2</v>
      </c>
      <c r="Z761" s="50">
        <f t="shared" si="751"/>
        <v>4.9339560702577757E-2</v>
      </c>
      <c r="AA761" s="50">
        <f t="shared" si="751"/>
        <v>4.1368944501432053E-2</v>
      </c>
      <c r="AB761" s="50">
        <f t="shared" si="751"/>
        <v>3.5102305329568817E-2</v>
      </c>
      <c r="AC761" s="8">
        <f t="shared" si="749"/>
        <v>0.99999999999999978</v>
      </c>
    </row>
    <row r="762" spans="2:29">
      <c r="B762" s="12"/>
      <c r="C762" s="12" t="s">
        <v>15</v>
      </c>
      <c r="D762" s="12">
        <f>+SUM(D758:D761)</f>
        <v>30</v>
      </c>
      <c r="E762" s="19">
        <f>+SUMPRODUCT(E758:E761,$D758:$D761)</f>
        <v>0.90732360040257443</v>
      </c>
      <c r="F762" s="19">
        <f>+SUMPRODUCT(F758:F761,$D758:$D761)</f>
        <v>0.85266008037920549</v>
      </c>
      <c r="G762" s="19">
        <f t="shared" ref="G762:AB762" si="752">+SUMPRODUCT(G758:G761,$D758:$D761)</f>
        <v>0.82335767130229098</v>
      </c>
      <c r="H762" s="19">
        <f t="shared" si="752"/>
        <v>0.81981152936412593</v>
      </c>
      <c r="I762" s="19">
        <f t="shared" si="752"/>
        <v>0.8733666975176172</v>
      </c>
      <c r="J762" s="19">
        <f t="shared" si="752"/>
        <v>1.0089120219871739</v>
      </c>
      <c r="K762" s="19">
        <f t="shared" si="752"/>
        <v>1.1313399217528439</v>
      </c>
      <c r="L762" s="19">
        <f t="shared" si="752"/>
        <v>1.1772330184991002</v>
      </c>
      <c r="M762" s="19">
        <f t="shared" si="752"/>
        <v>1.2308698622494647</v>
      </c>
      <c r="N762" s="19">
        <f t="shared" si="752"/>
        <v>1.2703147641230428</v>
      </c>
      <c r="O762" s="19">
        <f t="shared" si="752"/>
        <v>1.3268081591327556</v>
      </c>
      <c r="P762" s="19">
        <f t="shared" si="752"/>
        <v>1.3881343235995416</v>
      </c>
      <c r="Q762" s="19">
        <f t="shared" si="752"/>
        <v>1.3692855751229678</v>
      </c>
      <c r="R762" s="19">
        <f t="shared" si="752"/>
        <v>1.3226753747505791</v>
      </c>
      <c r="S762" s="19">
        <f t="shared" si="752"/>
        <v>1.3182577473798482</v>
      </c>
      <c r="T762" s="19">
        <f t="shared" si="752"/>
        <v>1.3418847261708302</v>
      </c>
      <c r="U762" s="19">
        <f t="shared" si="752"/>
        <v>1.3706037291715547</v>
      </c>
      <c r="V762" s="19">
        <f t="shared" si="752"/>
        <v>1.4319779197099394</v>
      </c>
      <c r="W762" s="19">
        <f t="shared" si="752"/>
        <v>1.7045969794508102</v>
      </c>
      <c r="X762" s="19">
        <f t="shared" si="752"/>
        <v>1.8515926031366108</v>
      </c>
      <c r="Y762" s="19">
        <f t="shared" si="752"/>
        <v>1.7186541063944665</v>
      </c>
      <c r="Z762" s="19">
        <f t="shared" si="752"/>
        <v>1.5021880001684849</v>
      </c>
      <c r="AA762" s="19">
        <f t="shared" si="752"/>
        <v>1.2371054214899788</v>
      </c>
      <c r="AB762" s="19">
        <f t="shared" si="752"/>
        <v>1.0210461667441919</v>
      </c>
      <c r="AC762" s="12">
        <f>+SUM(E762:AB762)</f>
        <v>29.999999999999996</v>
      </c>
    </row>
    <row r="763" spans="2:29">
      <c r="B763" s="15">
        <f>+EDATE(B758,1)</f>
        <v>49491</v>
      </c>
      <c r="C763" s="8" t="s">
        <v>45</v>
      </c>
      <c r="D763" s="8">
        <v>21</v>
      </c>
      <c r="E763" s="50">
        <f t="shared" ref="E763:AB763" si="753">+E703</f>
        <v>2.9361257124838391E-2</v>
      </c>
      <c r="F763" s="50">
        <f t="shared" si="753"/>
        <v>2.7692710332229715E-2</v>
      </c>
      <c r="G763" s="50">
        <f t="shared" si="753"/>
        <v>2.6785161397696527E-2</v>
      </c>
      <c r="H763" s="50">
        <f t="shared" si="753"/>
        <v>2.6786989368939883E-2</v>
      </c>
      <c r="I763" s="50">
        <f t="shared" si="753"/>
        <v>2.9135775177511477E-2</v>
      </c>
      <c r="J763" s="50">
        <f t="shared" si="753"/>
        <v>3.4540443856715661E-2</v>
      </c>
      <c r="K763" s="50">
        <f t="shared" si="753"/>
        <v>3.8789035252325646E-2</v>
      </c>
      <c r="L763" s="50">
        <f t="shared" si="753"/>
        <v>3.957865839345593E-2</v>
      </c>
      <c r="M763" s="50">
        <f t="shared" si="753"/>
        <v>4.0957538271781398E-2</v>
      </c>
      <c r="N763" s="50">
        <f t="shared" si="753"/>
        <v>4.2166920044863825E-2</v>
      </c>
      <c r="O763" s="50">
        <f t="shared" si="753"/>
        <v>4.4150374939633218E-2</v>
      </c>
      <c r="P763" s="50">
        <f t="shared" si="753"/>
        <v>4.6294816466469102E-2</v>
      </c>
      <c r="Q763" s="50">
        <f t="shared" si="753"/>
        <v>4.5431875959152102E-2</v>
      </c>
      <c r="R763" s="50">
        <f t="shared" si="753"/>
        <v>4.3879728503346101E-2</v>
      </c>
      <c r="S763" s="50">
        <f t="shared" si="753"/>
        <v>4.4118506624640258E-2</v>
      </c>
      <c r="T763" s="50">
        <f t="shared" si="753"/>
        <v>4.5188432655351718E-2</v>
      </c>
      <c r="U763" s="50">
        <f t="shared" si="753"/>
        <v>4.624302558461979E-2</v>
      </c>
      <c r="V763" s="50">
        <f t="shared" si="753"/>
        <v>4.8247238962955179E-2</v>
      </c>
      <c r="W763" s="50">
        <f t="shared" si="753"/>
        <v>5.7096885328092907E-2</v>
      </c>
      <c r="X763" s="50">
        <f t="shared" si="753"/>
        <v>6.1739938045350239E-2</v>
      </c>
      <c r="Y763" s="50">
        <f t="shared" si="753"/>
        <v>5.7231881517227232E-2</v>
      </c>
      <c r="Z763" s="50">
        <f t="shared" si="753"/>
        <v>5.0129255438435008E-2</v>
      </c>
      <c r="AA763" s="50">
        <f t="shared" si="753"/>
        <v>4.1010488221716553E-2</v>
      </c>
      <c r="AB763" s="50">
        <f t="shared" si="753"/>
        <v>3.34430625326523E-2</v>
      </c>
      <c r="AC763" s="8">
        <f>+SUM(E763:AB763)*D763</f>
        <v>21.000000000000004</v>
      </c>
    </row>
    <row r="764" spans="2:29">
      <c r="B764" s="16"/>
      <c r="C764" s="8" t="s">
        <v>46</v>
      </c>
      <c r="D764" s="8">
        <v>4</v>
      </c>
      <c r="E764" s="50">
        <f t="shared" ref="E764:AB764" si="754">+E704</f>
        <v>3.0659473205105158E-2</v>
      </c>
      <c r="F764" s="50">
        <f t="shared" si="754"/>
        <v>2.8600001140869122E-2</v>
      </c>
      <c r="G764" s="50">
        <f t="shared" si="754"/>
        <v>2.7683858575034276E-2</v>
      </c>
      <c r="H764" s="50">
        <f t="shared" si="754"/>
        <v>2.7537802139610414E-2</v>
      </c>
      <c r="I764" s="50">
        <f t="shared" si="754"/>
        <v>2.8782539770184416E-2</v>
      </c>
      <c r="J764" s="50">
        <f t="shared" si="754"/>
        <v>3.2241585579716119E-2</v>
      </c>
      <c r="K764" s="50">
        <f t="shared" si="754"/>
        <v>3.645312931015221E-2</v>
      </c>
      <c r="L764" s="50">
        <f t="shared" si="754"/>
        <v>3.9012639181609042E-2</v>
      </c>
      <c r="M764" s="50">
        <f t="shared" si="754"/>
        <v>4.1549207589560662E-2</v>
      </c>
      <c r="N764" s="50">
        <f t="shared" si="754"/>
        <v>4.3042516751632572E-2</v>
      </c>
      <c r="O764" s="50">
        <f t="shared" si="754"/>
        <v>4.4973693586955334E-2</v>
      </c>
      <c r="P764" s="50">
        <f t="shared" si="754"/>
        <v>4.6808021710202923E-2</v>
      </c>
      <c r="Q764" s="50">
        <f t="shared" si="754"/>
        <v>4.6383383047344962E-2</v>
      </c>
      <c r="R764" s="50">
        <f t="shared" si="754"/>
        <v>4.4751654806610461E-2</v>
      </c>
      <c r="S764" s="50">
        <f t="shared" si="754"/>
        <v>4.4013077558728637E-2</v>
      </c>
      <c r="T764" s="50">
        <f t="shared" si="754"/>
        <v>4.428856091631931E-2</v>
      </c>
      <c r="U764" s="50">
        <f t="shared" si="754"/>
        <v>4.49735778579251E-2</v>
      </c>
      <c r="V764" s="50">
        <f t="shared" si="754"/>
        <v>4.6933206789217301E-2</v>
      </c>
      <c r="W764" s="50">
        <f t="shared" si="754"/>
        <v>5.6210586428141023E-2</v>
      </c>
      <c r="X764" s="50">
        <f t="shared" si="754"/>
        <v>6.1205656691958259E-2</v>
      </c>
      <c r="Y764" s="50">
        <f t="shared" si="754"/>
        <v>5.7018442088769522E-2</v>
      </c>
      <c r="Z764" s="50">
        <f t="shared" si="754"/>
        <v>4.9896672365740725E-2</v>
      </c>
      <c r="AA764" s="50">
        <f t="shared" si="754"/>
        <v>4.1622868086918119E-2</v>
      </c>
      <c r="AB764" s="50">
        <f t="shared" si="754"/>
        <v>3.5357844821693719E-2</v>
      </c>
      <c r="AC764" s="8">
        <f t="shared" ref="AC764:AC766" si="755">+SUM(E764:AB764)*D764</f>
        <v>3.9999999999999969</v>
      </c>
    </row>
    <row r="765" spans="2:29">
      <c r="B765" s="16"/>
      <c r="C765" s="8" t="s">
        <v>47</v>
      </c>
      <c r="D765" s="8">
        <v>5</v>
      </c>
      <c r="E765" s="50">
        <f t="shared" ref="E765:AB765" si="756">+E705</f>
        <v>3.3281514565353124E-2</v>
      </c>
      <c r="F765" s="50">
        <f t="shared" si="756"/>
        <v>3.1140043873712407E-2</v>
      </c>
      <c r="G765" s="50">
        <f t="shared" si="756"/>
        <v>2.984335106750436E-2</v>
      </c>
      <c r="H765" s="50">
        <f t="shared" si="756"/>
        <v>2.9286927979133532E-2</v>
      </c>
      <c r="I765" s="50">
        <f t="shared" si="756"/>
        <v>2.9138028999542646E-2</v>
      </c>
      <c r="J765" s="50">
        <f t="shared" si="756"/>
        <v>3.0942883559119717E-2</v>
      </c>
      <c r="K765" s="50">
        <f t="shared" si="756"/>
        <v>3.4432484834348992E-2</v>
      </c>
      <c r="L765" s="50">
        <f t="shared" si="756"/>
        <v>3.8305304424032266E-2</v>
      </c>
      <c r="M765" s="50">
        <f t="shared" si="756"/>
        <v>4.1103790742913066E-2</v>
      </c>
      <c r="N765" s="50">
        <f t="shared" si="756"/>
        <v>4.2608444243851212E-2</v>
      </c>
      <c r="O765" s="50">
        <f t="shared" si="756"/>
        <v>4.3914681848814308E-2</v>
      </c>
      <c r="P765" s="50">
        <f t="shared" si="756"/>
        <v>4.5729867165388009E-2</v>
      </c>
      <c r="Q765" s="50">
        <f t="shared" si="756"/>
        <v>4.5741487779353565E-2</v>
      </c>
      <c r="R765" s="50">
        <f t="shared" si="756"/>
        <v>4.4277060725657284E-2</v>
      </c>
      <c r="S765" s="50">
        <f t="shared" si="756"/>
        <v>4.3144199391556254E-2</v>
      </c>
      <c r="T765" s="50">
        <f t="shared" si="756"/>
        <v>4.3279567369281124E-2</v>
      </c>
      <c r="U765" s="50">
        <f t="shared" si="756"/>
        <v>4.4109954506885138E-2</v>
      </c>
      <c r="V765" s="50">
        <f t="shared" si="756"/>
        <v>4.6298728840315946E-2</v>
      </c>
      <c r="W765" s="50">
        <f t="shared" si="756"/>
        <v>5.6176649878816001E-2</v>
      </c>
      <c r="X765" s="50">
        <f t="shared" si="756"/>
        <v>6.2194705000087863E-2</v>
      </c>
      <c r="Y765" s="50">
        <f t="shared" si="756"/>
        <v>5.7928891294023718E-2</v>
      </c>
      <c r="Z765" s="50">
        <f t="shared" si="756"/>
        <v>5.019499221712586E-2</v>
      </c>
      <c r="AA765" s="50">
        <f t="shared" si="756"/>
        <v>4.1853093029906328E-2</v>
      </c>
      <c r="AB765" s="50">
        <f t="shared" si="756"/>
        <v>3.507334666327714E-2</v>
      </c>
      <c r="AC765" s="8">
        <f t="shared" si="755"/>
        <v>4.9999999999999991</v>
      </c>
    </row>
    <row r="766" spans="2:29">
      <c r="B766" s="16"/>
      <c r="C766" s="8" t="s">
        <v>48</v>
      </c>
      <c r="D766" s="8">
        <v>1</v>
      </c>
      <c r="E766" s="50">
        <f t="shared" ref="E766:AB766" si="757">+E706</f>
        <v>3.367503361886829E-2</v>
      </c>
      <c r="F766" s="50">
        <f t="shared" si="757"/>
        <v>3.1245692535415936E-2</v>
      </c>
      <c r="G766" s="50">
        <f t="shared" si="757"/>
        <v>2.9861746203171599E-2</v>
      </c>
      <c r="H766" s="50">
        <f t="shared" si="757"/>
        <v>2.9235019370742008E-2</v>
      </c>
      <c r="I766" s="50">
        <f t="shared" si="757"/>
        <v>3.0186379118294998E-2</v>
      </c>
      <c r="J766" s="50">
        <f t="shared" si="757"/>
        <v>3.3123682717801174E-2</v>
      </c>
      <c r="K766" s="50">
        <f t="shared" si="757"/>
        <v>3.5563630818173868E-2</v>
      </c>
      <c r="L766" s="50">
        <f t="shared" si="757"/>
        <v>3.7375437025807548E-2</v>
      </c>
      <c r="M766" s="50">
        <f t="shared" si="757"/>
        <v>3.9557895894381336E-2</v>
      </c>
      <c r="N766" s="50">
        <f t="shared" si="757"/>
        <v>4.1330002492198488E-2</v>
      </c>
      <c r="O766" s="50">
        <f t="shared" si="757"/>
        <v>4.3273465010057272E-2</v>
      </c>
      <c r="P766" s="50">
        <f t="shared" si="757"/>
        <v>4.5278417057592932E-2</v>
      </c>
      <c r="Q766" s="50">
        <f t="shared" si="757"/>
        <v>4.5765189585786785E-2</v>
      </c>
      <c r="R766" s="50">
        <f t="shared" si="757"/>
        <v>4.421428774797561E-2</v>
      </c>
      <c r="S766" s="50">
        <f t="shared" si="757"/>
        <v>4.3245429527174986E-2</v>
      </c>
      <c r="T766" s="50">
        <f t="shared" si="757"/>
        <v>4.3554999005074702E-2</v>
      </c>
      <c r="U766" s="50">
        <f t="shared" si="757"/>
        <v>4.4435510161992771E-2</v>
      </c>
      <c r="V766" s="50">
        <f t="shared" si="757"/>
        <v>4.717219114348542E-2</v>
      </c>
      <c r="W766" s="50">
        <f t="shared" si="757"/>
        <v>5.6899741232983039E-2</v>
      </c>
      <c r="X766" s="50">
        <f t="shared" si="757"/>
        <v>6.1986738769463187E-2</v>
      </c>
      <c r="Y766" s="50">
        <f t="shared" si="757"/>
        <v>5.7208700429979269E-2</v>
      </c>
      <c r="Z766" s="50">
        <f t="shared" si="757"/>
        <v>4.9339560702577757E-2</v>
      </c>
      <c r="AA766" s="50">
        <f t="shared" si="757"/>
        <v>4.1368944501432053E-2</v>
      </c>
      <c r="AB766" s="50">
        <f t="shared" si="757"/>
        <v>3.5102305329568817E-2</v>
      </c>
      <c r="AC766" s="8">
        <f t="shared" si="755"/>
        <v>0.99999999999999978</v>
      </c>
    </row>
    <row r="767" spans="2:29">
      <c r="B767" s="12"/>
      <c r="C767" s="12" t="s">
        <v>15</v>
      </c>
      <c r="D767" s="12">
        <f>+SUM(D763:D766)</f>
        <v>31</v>
      </c>
      <c r="E767" s="19">
        <f>+SUMPRODUCT(E763:E766,$D763:$D766)</f>
        <v>0.93930689888766072</v>
      </c>
      <c r="F767" s="19">
        <f>+SUMPRODUCT(F763:F766,$D763:$D766)</f>
        <v>0.88289283344427849</v>
      </c>
      <c r="G767" s="19">
        <f t="shared" ref="G767:AB767" si="758">+SUMPRODUCT(G763:G766,$D763:$D766)</f>
        <v>0.85230232519245752</v>
      </c>
      <c r="H767" s="19">
        <f t="shared" si="758"/>
        <v>0.84834764457258882</v>
      </c>
      <c r="I767" s="19">
        <f t="shared" si="758"/>
        <v>0.90285796192448697</v>
      </c>
      <c r="J767" s="19">
        <f t="shared" si="758"/>
        <v>1.0421537638232932</v>
      </c>
      <c r="K767" s="19">
        <f t="shared" si="758"/>
        <v>1.1681083125293663</v>
      </c>
      <c r="L767" s="19">
        <f t="shared" si="758"/>
        <v>1.2161043421349795</v>
      </c>
      <c r="M767" s="19">
        <f t="shared" si="758"/>
        <v>1.2713819836745988</v>
      </c>
      <c r="N767" s="19">
        <f t="shared" si="758"/>
        <v>1.3120476116601252</v>
      </c>
      <c r="O767" s="19">
        <f t="shared" si="758"/>
        <v>1.3698995223342476</v>
      </c>
      <c r="P767" s="19">
        <f t="shared" si="758"/>
        <v>1.4333509855211959</v>
      </c>
      <c r="Q767" s="19">
        <f t="shared" si="758"/>
        <v>1.4140755558141285</v>
      </c>
      <c r="R767" s="19">
        <f t="shared" si="758"/>
        <v>1.366080509172972</v>
      </c>
      <c r="S767" s="19">
        <f t="shared" si="758"/>
        <v>1.3615073758373162</v>
      </c>
      <c r="T767" s="19">
        <f t="shared" si="758"/>
        <v>1.3860641652791439</v>
      </c>
      <c r="U767" s="19">
        <f t="shared" si="758"/>
        <v>1.4159831314051345</v>
      </c>
      <c r="V767" s="19">
        <f t="shared" si="758"/>
        <v>1.4795906807239934</v>
      </c>
      <c r="W767" s="19">
        <f t="shared" si="758"/>
        <v>1.7616599282295782</v>
      </c>
      <c r="X767" s="19">
        <f t="shared" si="758"/>
        <v>1.9143215894900907</v>
      </c>
      <c r="Y767" s="19">
        <f t="shared" si="758"/>
        <v>1.7767964371169478</v>
      </c>
      <c r="Z767" s="19">
        <f t="shared" si="758"/>
        <v>1.5526155754583053</v>
      </c>
      <c r="AA767" s="19">
        <f t="shared" si="758"/>
        <v>1.2783461346546838</v>
      </c>
      <c r="AB767" s="19">
        <f t="shared" si="758"/>
        <v>1.0542047311184275</v>
      </c>
      <c r="AC767" s="12">
        <f>+SUM(E767:AB767)</f>
        <v>30.999999999999996</v>
      </c>
    </row>
    <row r="768" spans="2:29">
      <c r="B768" s="15">
        <f>+EDATE(B763,1)</f>
        <v>49522</v>
      </c>
      <c r="C768" s="8" t="s">
        <v>45</v>
      </c>
      <c r="D768" s="8">
        <v>21</v>
      </c>
      <c r="E768" s="50">
        <f t="shared" ref="E768:AB768" si="759">+E708</f>
        <v>2.9361257124838391E-2</v>
      </c>
      <c r="F768" s="50">
        <f t="shared" si="759"/>
        <v>2.7692710332229715E-2</v>
      </c>
      <c r="G768" s="50">
        <f t="shared" si="759"/>
        <v>2.6785161397696527E-2</v>
      </c>
      <c r="H768" s="50">
        <f t="shared" si="759"/>
        <v>2.6786989368939883E-2</v>
      </c>
      <c r="I768" s="50">
        <f t="shared" si="759"/>
        <v>2.9135775177511477E-2</v>
      </c>
      <c r="J768" s="50">
        <f t="shared" si="759"/>
        <v>3.4540443856715661E-2</v>
      </c>
      <c r="K768" s="50">
        <f t="shared" si="759"/>
        <v>3.8789035252325646E-2</v>
      </c>
      <c r="L768" s="50">
        <f t="shared" si="759"/>
        <v>3.957865839345593E-2</v>
      </c>
      <c r="M768" s="50">
        <f t="shared" si="759"/>
        <v>4.0957538271781398E-2</v>
      </c>
      <c r="N768" s="50">
        <f t="shared" si="759"/>
        <v>4.2166920044863825E-2</v>
      </c>
      <c r="O768" s="50">
        <f t="shared" si="759"/>
        <v>4.4150374939633218E-2</v>
      </c>
      <c r="P768" s="50">
        <f t="shared" si="759"/>
        <v>4.6294816466469102E-2</v>
      </c>
      <c r="Q768" s="50">
        <f t="shared" si="759"/>
        <v>4.5431875959152102E-2</v>
      </c>
      <c r="R768" s="50">
        <f t="shared" si="759"/>
        <v>4.3879728503346101E-2</v>
      </c>
      <c r="S768" s="50">
        <f t="shared" si="759"/>
        <v>4.4118506624640258E-2</v>
      </c>
      <c r="T768" s="50">
        <f t="shared" si="759"/>
        <v>4.5188432655351718E-2</v>
      </c>
      <c r="U768" s="50">
        <f t="shared" si="759"/>
        <v>4.624302558461979E-2</v>
      </c>
      <c r="V768" s="50">
        <f t="shared" si="759"/>
        <v>4.8247238962955179E-2</v>
      </c>
      <c r="W768" s="50">
        <f t="shared" si="759"/>
        <v>5.7096885328092907E-2</v>
      </c>
      <c r="X768" s="50">
        <f t="shared" si="759"/>
        <v>6.1739938045350239E-2</v>
      </c>
      <c r="Y768" s="50">
        <f t="shared" si="759"/>
        <v>5.7231881517227232E-2</v>
      </c>
      <c r="Z768" s="50">
        <f t="shared" si="759"/>
        <v>5.0129255438435008E-2</v>
      </c>
      <c r="AA768" s="50">
        <f t="shared" si="759"/>
        <v>4.1010488221716553E-2</v>
      </c>
      <c r="AB768" s="50">
        <f t="shared" si="759"/>
        <v>3.34430625326523E-2</v>
      </c>
      <c r="AC768" s="8">
        <f>+SUM(E768:AB768)*D768</f>
        <v>21.000000000000004</v>
      </c>
    </row>
    <row r="769" spans="2:29">
      <c r="B769" s="16"/>
      <c r="C769" s="8" t="s">
        <v>46</v>
      </c>
      <c r="D769" s="8">
        <v>4</v>
      </c>
      <c r="E769" s="50">
        <f t="shared" ref="E769:AB769" si="760">+E709</f>
        <v>3.0659473205105158E-2</v>
      </c>
      <c r="F769" s="50">
        <f t="shared" si="760"/>
        <v>2.8600001140869122E-2</v>
      </c>
      <c r="G769" s="50">
        <f t="shared" si="760"/>
        <v>2.7683858575034276E-2</v>
      </c>
      <c r="H769" s="50">
        <f t="shared" si="760"/>
        <v>2.7537802139610414E-2</v>
      </c>
      <c r="I769" s="50">
        <f t="shared" si="760"/>
        <v>2.8782539770184416E-2</v>
      </c>
      <c r="J769" s="50">
        <f t="shared" si="760"/>
        <v>3.2241585579716119E-2</v>
      </c>
      <c r="K769" s="50">
        <f t="shared" si="760"/>
        <v>3.645312931015221E-2</v>
      </c>
      <c r="L769" s="50">
        <f t="shared" si="760"/>
        <v>3.9012639181609042E-2</v>
      </c>
      <c r="M769" s="50">
        <f t="shared" si="760"/>
        <v>4.1549207589560662E-2</v>
      </c>
      <c r="N769" s="50">
        <f t="shared" si="760"/>
        <v>4.3042516751632572E-2</v>
      </c>
      <c r="O769" s="50">
        <f t="shared" si="760"/>
        <v>4.4973693586955334E-2</v>
      </c>
      <c r="P769" s="50">
        <f t="shared" si="760"/>
        <v>4.6808021710202923E-2</v>
      </c>
      <c r="Q769" s="50">
        <f t="shared" si="760"/>
        <v>4.6383383047344962E-2</v>
      </c>
      <c r="R769" s="50">
        <f t="shared" si="760"/>
        <v>4.4751654806610461E-2</v>
      </c>
      <c r="S769" s="50">
        <f t="shared" si="760"/>
        <v>4.4013077558728637E-2</v>
      </c>
      <c r="T769" s="50">
        <f t="shared" si="760"/>
        <v>4.428856091631931E-2</v>
      </c>
      <c r="U769" s="50">
        <f t="shared" si="760"/>
        <v>4.49735778579251E-2</v>
      </c>
      <c r="V769" s="50">
        <f t="shared" si="760"/>
        <v>4.6933206789217301E-2</v>
      </c>
      <c r="W769" s="50">
        <f t="shared" si="760"/>
        <v>5.6210586428141023E-2</v>
      </c>
      <c r="X769" s="50">
        <f t="shared" si="760"/>
        <v>6.1205656691958259E-2</v>
      </c>
      <c r="Y769" s="50">
        <f t="shared" si="760"/>
        <v>5.7018442088769522E-2</v>
      </c>
      <c r="Z769" s="50">
        <f t="shared" si="760"/>
        <v>4.9896672365740725E-2</v>
      </c>
      <c r="AA769" s="50">
        <f t="shared" si="760"/>
        <v>4.1622868086918119E-2</v>
      </c>
      <c r="AB769" s="50">
        <f t="shared" si="760"/>
        <v>3.5357844821693719E-2</v>
      </c>
      <c r="AC769" s="8">
        <f t="shared" ref="AC769:AC771" si="761">+SUM(E769:AB769)*D769</f>
        <v>3.9999999999999969</v>
      </c>
    </row>
    <row r="770" spans="2:29">
      <c r="B770" s="16"/>
      <c r="C770" s="8" t="s">
        <v>47</v>
      </c>
      <c r="D770" s="8">
        <v>4</v>
      </c>
      <c r="E770" s="50">
        <f t="shared" ref="E770:AB770" si="762">+E710</f>
        <v>3.3281514565353124E-2</v>
      </c>
      <c r="F770" s="50">
        <f t="shared" si="762"/>
        <v>3.1140043873712407E-2</v>
      </c>
      <c r="G770" s="50">
        <f t="shared" si="762"/>
        <v>2.984335106750436E-2</v>
      </c>
      <c r="H770" s="50">
        <f t="shared" si="762"/>
        <v>2.9286927979133532E-2</v>
      </c>
      <c r="I770" s="50">
        <f t="shared" si="762"/>
        <v>2.9138028999542646E-2</v>
      </c>
      <c r="J770" s="50">
        <f t="shared" si="762"/>
        <v>3.0942883559119717E-2</v>
      </c>
      <c r="K770" s="50">
        <f t="shared" si="762"/>
        <v>3.4432484834348992E-2</v>
      </c>
      <c r="L770" s="50">
        <f t="shared" si="762"/>
        <v>3.8305304424032266E-2</v>
      </c>
      <c r="M770" s="50">
        <f t="shared" si="762"/>
        <v>4.1103790742913066E-2</v>
      </c>
      <c r="N770" s="50">
        <f t="shared" si="762"/>
        <v>4.2608444243851212E-2</v>
      </c>
      <c r="O770" s="50">
        <f t="shared" si="762"/>
        <v>4.3914681848814308E-2</v>
      </c>
      <c r="P770" s="50">
        <f t="shared" si="762"/>
        <v>4.5729867165388009E-2</v>
      </c>
      <c r="Q770" s="50">
        <f t="shared" si="762"/>
        <v>4.5741487779353565E-2</v>
      </c>
      <c r="R770" s="50">
        <f t="shared" si="762"/>
        <v>4.4277060725657284E-2</v>
      </c>
      <c r="S770" s="50">
        <f t="shared" si="762"/>
        <v>4.3144199391556254E-2</v>
      </c>
      <c r="T770" s="50">
        <f t="shared" si="762"/>
        <v>4.3279567369281124E-2</v>
      </c>
      <c r="U770" s="50">
        <f t="shared" si="762"/>
        <v>4.4109954506885138E-2</v>
      </c>
      <c r="V770" s="50">
        <f t="shared" si="762"/>
        <v>4.6298728840315946E-2</v>
      </c>
      <c r="W770" s="50">
        <f t="shared" si="762"/>
        <v>5.6176649878816001E-2</v>
      </c>
      <c r="X770" s="50">
        <f t="shared" si="762"/>
        <v>6.2194705000087863E-2</v>
      </c>
      <c r="Y770" s="50">
        <f t="shared" si="762"/>
        <v>5.7928891294023718E-2</v>
      </c>
      <c r="Z770" s="50">
        <f t="shared" si="762"/>
        <v>5.019499221712586E-2</v>
      </c>
      <c r="AA770" s="50">
        <f t="shared" si="762"/>
        <v>4.1853093029906328E-2</v>
      </c>
      <c r="AB770" s="50">
        <f t="shared" si="762"/>
        <v>3.507334666327714E-2</v>
      </c>
      <c r="AC770" s="8">
        <f t="shared" si="761"/>
        <v>3.9999999999999991</v>
      </c>
    </row>
    <row r="771" spans="2:29">
      <c r="B771" s="16"/>
      <c r="C771" s="8" t="s">
        <v>48</v>
      </c>
      <c r="D771" s="8">
        <v>2</v>
      </c>
      <c r="E771" s="50">
        <f t="shared" ref="E771:AB771" si="763">+E711</f>
        <v>3.367503361886829E-2</v>
      </c>
      <c r="F771" s="50">
        <f t="shared" si="763"/>
        <v>3.1245692535415936E-2</v>
      </c>
      <c r="G771" s="50">
        <f t="shared" si="763"/>
        <v>2.9861746203171599E-2</v>
      </c>
      <c r="H771" s="50">
        <f t="shared" si="763"/>
        <v>2.9235019370742008E-2</v>
      </c>
      <c r="I771" s="50">
        <f t="shared" si="763"/>
        <v>3.0186379118294998E-2</v>
      </c>
      <c r="J771" s="50">
        <f t="shared" si="763"/>
        <v>3.3123682717801174E-2</v>
      </c>
      <c r="K771" s="50">
        <f t="shared" si="763"/>
        <v>3.5563630818173868E-2</v>
      </c>
      <c r="L771" s="50">
        <f t="shared" si="763"/>
        <v>3.7375437025807548E-2</v>
      </c>
      <c r="M771" s="50">
        <f t="shared" si="763"/>
        <v>3.9557895894381336E-2</v>
      </c>
      <c r="N771" s="50">
        <f t="shared" si="763"/>
        <v>4.1330002492198488E-2</v>
      </c>
      <c r="O771" s="50">
        <f t="shared" si="763"/>
        <v>4.3273465010057272E-2</v>
      </c>
      <c r="P771" s="50">
        <f t="shared" si="763"/>
        <v>4.5278417057592932E-2</v>
      </c>
      <c r="Q771" s="50">
        <f t="shared" si="763"/>
        <v>4.5765189585786785E-2</v>
      </c>
      <c r="R771" s="50">
        <f t="shared" si="763"/>
        <v>4.421428774797561E-2</v>
      </c>
      <c r="S771" s="50">
        <f t="shared" si="763"/>
        <v>4.3245429527174986E-2</v>
      </c>
      <c r="T771" s="50">
        <f t="shared" si="763"/>
        <v>4.3554999005074702E-2</v>
      </c>
      <c r="U771" s="50">
        <f t="shared" si="763"/>
        <v>4.4435510161992771E-2</v>
      </c>
      <c r="V771" s="50">
        <f t="shared" si="763"/>
        <v>4.717219114348542E-2</v>
      </c>
      <c r="W771" s="50">
        <f t="shared" si="763"/>
        <v>5.6899741232983039E-2</v>
      </c>
      <c r="X771" s="50">
        <f t="shared" si="763"/>
        <v>6.1986738769463187E-2</v>
      </c>
      <c r="Y771" s="50">
        <f t="shared" si="763"/>
        <v>5.7208700429979269E-2</v>
      </c>
      <c r="Z771" s="50">
        <f t="shared" si="763"/>
        <v>4.9339560702577757E-2</v>
      </c>
      <c r="AA771" s="50">
        <f t="shared" si="763"/>
        <v>4.1368944501432053E-2</v>
      </c>
      <c r="AB771" s="50">
        <f t="shared" si="763"/>
        <v>3.5102305329568817E-2</v>
      </c>
      <c r="AC771" s="8">
        <f t="shared" si="761"/>
        <v>1.9999999999999996</v>
      </c>
    </row>
    <row r="772" spans="2:29">
      <c r="B772" s="12"/>
      <c r="C772" s="12" t="s">
        <v>15</v>
      </c>
      <c r="D772" s="12">
        <f>+SUM(D768:D771)</f>
        <v>31</v>
      </c>
      <c r="E772" s="19">
        <f>+SUMPRODUCT(E768:E771,$D768:$D771)</f>
        <v>0.93970041794117598</v>
      </c>
      <c r="F772" s="19">
        <f>+SUMPRODUCT(F768:F771,$D768:$D771)</f>
        <v>0.88299848210598197</v>
      </c>
      <c r="G772" s="19">
        <f t="shared" ref="G772:AB772" si="764">+SUMPRODUCT(G768:G771,$D768:$D771)</f>
        <v>0.85232072032812478</v>
      </c>
      <c r="H772" s="19">
        <f t="shared" si="764"/>
        <v>0.84829573596419738</v>
      </c>
      <c r="I772" s="19">
        <f t="shared" si="764"/>
        <v>0.90390631204323935</v>
      </c>
      <c r="J772" s="19">
        <f t="shared" si="764"/>
        <v>1.0443345629819747</v>
      </c>
      <c r="K772" s="19">
        <f t="shared" si="764"/>
        <v>1.1692394585131909</v>
      </c>
      <c r="L772" s="19">
        <f t="shared" si="764"/>
        <v>1.215174474736755</v>
      </c>
      <c r="M772" s="19">
        <f t="shared" si="764"/>
        <v>1.2698360888260669</v>
      </c>
      <c r="N772" s="19">
        <f t="shared" si="764"/>
        <v>1.3107691699084727</v>
      </c>
      <c r="O772" s="19">
        <f t="shared" si="764"/>
        <v>1.3692583054954905</v>
      </c>
      <c r="P772" s="19">
        <f t="shared" si="764"/>
        <v>1.4328995354134009</v>
      </c>
      <c r="Q772" s="19">
        <f t="shared" si="764"/>
        <v>1.4140992576205618</v>
      </c>
      <c r="R772" s="19">
        <f t="shared" si="764"/>
        <v>1.3660177361952903</v>
      </c>
      <c r="S772" s="19">
        <f t="shared" si="764"/>
        <v>1.3616086059729351</v>
      </c>
      <c r="T772" s="19">
        <f t="shared" si="764"/>
        <v>1.3863395969149375</v>
      </c>
      <c r="U772" s="19">
        <f t="shared" si="764"/>
        <v>1.4163086870602422</v>
      </c>
      <c r="V772" s="19">
        <f t="shared" si="764"/>
        <v>1.4804641430271626</v>
      </c>
      <c r="W772" s="19">
        <f t="shared" si="764"/>
        <v>1.7623830195837451</v>
      </c>
      <c r="X772" s="19">
        <f t="shared" si="764"/>
        <v>1.914113623259466</v>
      </c>
      <c r="Y772" s="19">
        <f t="shared" si="764"/>
        <v>1.7760762462529034</v>
      </c>
      <c r="Z772" s="19">
        <f t="shared" si="764"/>
        <v>1.5517601439437572</v>
      </c>
      <c r="AA772" s="19">
        <f t="shared" si="764"/>
        <v>1.2778619861262095</v>
      </c>
      <c r="AB772" s="19">
        <f t="shared" si="764"/>
        <v>1.0542336897847193</v>
      </c>
      <c r="AC772" s="12">
        <f>+SUM(E772:AB772)</f>
        <v>30.999999999999996</v>
      </c>
    </row>
    <row r="773" spans="2:29">
      <c r="B773" s="15">
        <f>+EDATE(B768,1)</f>
        <v>49553</v>
      </c>
      <c r="C773" s="8" t="s">
        <v>45</v>
      </c>
      <c r="D773" s="8">
        <v>20</v>
      </c>
      <c r="E773" s="50">
        <f t="shared" ref="E773:AB773" si="765">+E713</f>
        <v>2.9361257124838391E-2</v>
      </c>
      <c r="F773" s="50">
        <f t="shared" si="765"/>
        <v>2.7692710332229715E-2</v>
      </c>
      <c r="G773" s="50">
        <f t="shared" si="765"/>
        <v>2.6785161397696527E-2</v>
      </c>
      <c r="H773" s="50">
        <f t="shared" si="765"/>
        <v>2.6786989368939883E-2</v>
      </c>
      <c r="I773" s="50">
        <f t="shared" si="765"/>
        <v>2.9135775177511477E-2</v>
      </c>
      <c r="J773" s="50">
        <f t="shared" si="765"/>
        <v>3.4540443856715661E-2</v>
      </c>
      <c r="K773" s="50">
        <f t="shared" si="765"/>
        <v>3.8789035252325646E-2</v>
      </c>
      <c r="L773" s="50">
        <f t="shared" si="765"/>
        <v>3.957865839345593E-2</v>
      </c>
      <c r="M773" s="50">
        <f t="shared" si="765"/>
        <v>4.0957538271781398E-2</v>
      </c>
      <c r="N773" s="50">
        <f t="shared" si="765"/>
        <v>4.2166920044863825E-2</v>
      </c>
      <c r="O773" s="50">
        <f t="shared" si="765"/>
        <v>4.4150374939633218E-2</v>
      </c>
      <c r="P773" s="50">
        <f t="shared" si="765"/>
        <v>4.6294816466469102E-2</v>
      </c>
      <c r="Q773" s="50">
        <f t="shared" si="765"/>
        <v>4.5431875959152102E-2</v>
      </c>
      <c r="R773" s="50">
        <f t="shared" si="765"/>
        <v>4.3879728503346101E-2</v>
      </c>
      <c r="S773" s="50">
        <f t="shared" si="765"/>
        <v>4.4118506624640258E-2</v>
      </c>
      <c r="T773" s="50">
        <f t="shared" si="765"/>
        <v>4.5188432655351718E-2</v>
      </c>
      <c r="U773" s="50">
        <f t="shared" si="765"/>
        <v>4.624302558461979E-2</v>
      </c>
      <c r="V773" s="50">
        <f t="shared" si="765"/>
        <v>4.8247238962955179E-2</v>
      </c>
      <c r="W773" s="50">
        <f t="shared" si="765"/>
        <v>5.7096885328092907E-2</v>
      </c>
      <c r="X773" s="50">
        <f t="shared" si="765"/>
        <v>6.1739938045350239E-2</v>
      </c>
      <c r="Y773" s="50">
        <f t="shared" si="765"/>
        <v>5.7231881517227232E-2</v>
      </c>
      <c r="Z773" s="50">
        <f t="shared" si="765"/>
        <v>5.0129255438435008E-2</v>
      </c>
      <c r="AA773" s="50">
        <f t="shared" si="765"/>
        <v>4.1010488221716553E-2</v>
      </c>
      <c r="AB773" s="50">
        <f t="shared" si="765"/>
        <v>3.34430625326523E-2</v>
      </c>
      <c r="AC773" s="8">
        <f>+SUM(E773:AB773)*D773</f>
        <v>20.000000000000004</v>
      </c>
    </row>
    <row r="774" spans="2:29">
      <c r="B774" s="16"/>
      <c r="C774" s="8" t="s">
        <v>46</v>
      </c>
      <c r="D774" s="8">
        <v>5</v>
      </c>
      <c r="E774" s="50">
        <f t="shared" ref="E774:AB774" si="766">+E714</f>
        <v>3.0659473205105158E-2</v>
      </c>
      <c r="F774" s="50">
        <f t="shared" si="766"/>
        <v>2.8600001140869122E-2</v>
      </c>
      <c r="G774" s="50">
        <f t="shared" si="766"/>
        <v>2.7683858575034276E-2</v>
      </c>
      <c r="H774" s="50">
        <f t="shared" si="766"/>
        <v>2.7537802139610414E-2</v>
      </c>
      <c r="I774" s="50">
        <f t="shared" si="766"/>
        <v>2.8782539770184416E-2</v>
      </c>
      <c r="J774" s="50">
        <f t="shared" si="766"/>
        <v>3.2241585579716119E-2</v>
      </c>
      <c r="K774" s="50">
        <f t="shared" si="766"/>
        <v>3.645312931015221E-2</v>
      </c>
      <c r="L774" s="50">
        <f t="shared" si="766"/>
        <v>3.9012639181609042E-2</v>
      </c>
      <c r="M774" s="50">
        <f t="shared" si="766"/>
        <v>4.1549207589560662E-2</v>
      </c>
      <c r="N774" s="50">
        <f t="shared" si="766"/>
        <v>4.3042516751632572E-2</v>
      </c>
      <c r="O774" s="50">
        <f t="shared" si="766"/>
        <v>4.4973693586955334E-2</v>
      </c>
      <c r="P774" s="50">
        <f t="shared" si="766"/>
        <v>4.6808021710202923E-2</v>
      </c>
      <c r="Q774" s="50">
        <f t="shared" si="766"/>
        <v>4.6383383047344962E-2</v>
      </c>
      <c r="R774" s="50">
        <f t="shared" si="766"/>
        <v>4.4751654806610461E-2</v>
      </c>
      <c r="S774" s="50">
        <f t="shared" si="766"/>
        <v>4.4013077558728637E-2</v>
      </c>
      <c r="T774" s="50">
        <f t="shared" si="766"/>
        <v>4.428856091631931E-2</v>
      </c>
      <c r="U774" s="50">
        <f t="shared" si="766"/>
        <v>4.49735778579251E-2</v>
      </c>
      <c r="V774" s="50">
        <f t="shared" si="766"/>
        <v>4.6933206789217301E-2</v>
      </c>
      <c r="W774" s="50">
        <f t="shared" si="766"/>
        <v>5.6210586428141023E-2</v>
      </c>
      <c r="X774" s="50">
        <f t="shared" si="766"/>
        <v>6.1205656691958259E-2</v>
      </c>
      <c r="Y774" s="50">
        <f t="shared" si="766"/>
        <v>5.7018442088769522E-2</v>
      </c>
      <c r="Z774" s="50">
        <f t="shared" si="766"/>
        <v>4.9896672365740725E-2</v>
      </c>
      <c r="AA774" s="50">
        <f t="shared" si="766"/>
        <v>4.1622868086918119E-2</v>
      </c>
      <c r="AB774" s="50">
        <f t="shared" si="766"/>
        <v>3.5357844821693719E-2</v>
      </c>
      <c r="AC774" s="8">
        <f t="shared" ref="AC774:AC776" si="767">+SUM(E774:AB774)*D774</f>
        <v>4.9999999999999964</v>
      </c>
    </row>
    <row r="775" spans="2:29">
      <c r="B775" s="16"/>
      <c r="C775" s="8" t="s">
        <v>47</v>
      </c>
      <c r="D775" s="8">
        <v>5</v>
      </c>
      <c r="E775" s="50">
        <f t="shared" ref="E775:AB775" si="768">+E715</f>
        <v>3.3281514565353124E-2</v>
      </c>
      <c r="F775" s="50">
        <f t="shared" si="768"/>
        <v>3.1140043873712407E-2</v>
      </c>
      <c r="G775" s="50">
        <f t="shared" si="768"/>
        <v>2.984335106750436E-2</v>
      </c>
      <c r="H775" s="50">
        <f t="shared" si="768"/>
        <v>2.9286927979133532E-2</v>
      </c>
      <c r="I775" s="50">
        <f t="shared" si="768"/>
        <v>2.9138028999542646E-2</v>
      </c>
      <c r="J775" s="50">
        <f t="shared" si="768"/>
        <v>3.0942883559119717E-2</v>
      </c>
      <c r="K775" s="50">
        <f t="shared" si="768"/>
        <v>3.4432484834348992E-2</v>
      </c>
      <c r="L775" s="50">
        <f t="shared" si="768"/>
        <v>3.8305304424032266E-2</v>
      </c>
      <c r="M775" s="50">
        <f t="shared" si="768"/>
        <v>4.1103790742913066E-2</v>
      </c>
      <c r="N775" s="50">
        <f t="shared" si="768"/>
        <v>4.2608444243851212E-2</v>
      </c>
      <c r="O775" s="50">
        <f t="shared" si="768"/>
        <v>4.3914681848814308E-2</v>
      </c>
      <c r="P775" s="50">
        <f t="shared" si="768"/>
        <v>4.5729867165388009E-2</v>
      </c>
      <c r="Q775" s="50">
        <f t="shared" si="768"/>
        <v>4.5741487779353565E-2</v>
      </c>
      <c r="R775" s="50">
        <f t="shared" si="768"/>
        <v>4.4277060725657284E-2</v>
      </c>
      <c r="S775" s="50">
        <f t="shared" si="768"/>
        <v>4.3144199391556254E-2</v>
      </c>
      <c r="T775" s="50">
        <f t="shared" si="768"/>
        <v>4.3279567369281124E-2</v>
      </c>
      <c r="U775" s="50">
        <f t="shared" si="768"/>
        <v>4.4109954506885138E-2</v>
      </c>
      <c r="V775" s="50">
        <f t="shared" si="768"/>
        <v>4.6298728840315946E-2</v>
      </c>
      <c r="W775" s="50">
        <f t="shared" si="768"/>
        <v>5.6176649878816001E-2</v>
      </c>
      <c r="X775" s="50">
        <f t="shared" si="768"/>
        <v>6.2194705000087863E-2</v>
      </c>
      <c r="Y775" s="50">
        <f t="shared" si="768"/>
        <v>5.7928891294023718E-2</v>
      </c>
      <c r="Z775" s="50">
        <f t="shared" si="768"/>
        <v>5.019499221712586E-2</v>
      </c>
      <c r="AA775" s="50">
        <f t="shared" si="768"/>
        <v>4.1853093029906328E-2</v>
      </c>
      <c r="AB775" s="50">
        <f t="shared" si="768"/>
        <v>3.507334666327714E-2</v>
      </c>
      <c r="AC775" s="8">
        <f t="shared" si="767"/>
        <v>4.9999999999999991</v>
      </c>
    </row>
    <row r="776" spans="2:29">
      <c r="B776" s="16"/>
      <c r="C776" s="8" t="s">
        <v>48</v>
      </c>
      <c r="D776" s="8">
        <v>0</v>
      </c>
      <c r="E776" s="50">
        <f t="shared" ref="E776:AB776" si="769">+E716</f>
        <v>3.367503361886829E-2</v>
      </c>
      <c r="F776" s="50">
        <f t="shared" si="769"/>
        <v>3.1245692535415936E-2</v>
      </c>
      <c r="G776" s="50">
        <f t="shared" si="769"/>
        <v>2.9861746203171599E-2</v>
      </c>
      <c r="H776" s="50">
        <f t="shared" si="769"/>
        <v>2.9235019370742008E-2</v>
      </c>
      <c r="I776" s="50">
        <f t="shared" si="769"/>
        <v>3.0186379118294998E-2</v>
      </c>
      <c r="J776" s="50">
        <f t="shared" si="769"/>
        <v>3.3123682717801174E-2</v>
      </c>
      <c r="K776" s="50">
        <f t="shared" si="769"/>
        <v>3.5563630818173868E-2</v>
      </c>
      <c r="L776" s="50">
        <f t="shared" si="769"/>
        <v>3.7375437025807548E-2</v>
      </c>
      <c r="M776" s="50">
        <f t="shared" si="769"/>
        <v>3.9557895894381336E-2</v>
      </c>
      <c r="N776" s="50">
        <f t="shared" si="769"/>
        <v>4.1330002492198488E-2</v>
      </c>
      <c r="O776" s="50">
        <f t="shared" si="769"/>
        <v>4.3273465010057272E-2</v>
      </c>
      <c r="P776" s="50">
        <f t="shared" si="769"/>
        <v>4.5278417057592932E-2</v>
      </c>
      <c r="Q776" s="50">
        <f t="shared" si="769"/>
        <v>4.5765189585786785E-2</v>
      </c>
      <c r="R776" s="50">
        <f t="shared" si="769"/>
        <v>4.421428774797561E-2</v>
      </c>
      <c r="S776" s="50">
        <f t="shared" si="769"/>
        <v>4.3245429527174986E-2</v>
      </c>
      <c r="T776" s="50">
        <f t="shared" si="769"/>
        <v>4.3554999005074702E-2</v>
      </c>
      <c r="U776" s="50">
        <f t="shared" si="769"/>
        <v>4.4435510161992771E-2</v>
      </c>
      <c r="V776" s="50">
        <f t="shared" si="769"/>
        <v>4.717219114348542E-2</v>
      </c>
      <c r="W776" s="50">
        <f t="shared" si="769"/>
        <v>5.6899741232983039E-2</v>
      </c>
      <c r="X776" s="50">
        <f t="shared" si="769"/>
        <v>6.1986738769463187E-2</v>
      </c>
      <c r="Y776" s="50">
        <f t="shared" si="769"/>
        <v>5.7208700429979269E-2</v>
      </c>
      <c r="Z776" s="50">
        <f t="shared" si="769"/>
        <v>4.9339560702577757E-2</v>
      </c>
      <c r="AA776" s="50">
        <f t="shared" si="769"/>
        <v>4.1368944501432053E-2</v>
      </c>
      <c r="AB776" s="50">
        <f t="shared" si="769"/>
        <v>3.5102305329568817E-2</v>
      </c>
      <c r="AC776" s="8">
        <f t="shared" si="767"/>
        <v>0</v>
      </c>
    </row>
    <row r="777" spans="2:29">
      <c r="B777" s="12"/>
      <c r="C777" s="12" t="s">
        <v>15</v>
      </c>
      <c r="D777" s="12">
        <f>+SUM(D773:D776)</f>
        <v>30</v>
      </c>
      <c r="E777" s="19">
        <f>+SUMPRODUCT(E773:E776,$D773:$D776)</f>
        <v>0.90693008134905928</v>
      </c>
      <c r="F777" s="19">
        <f>+SUMPRODUCT(F773:F776,$D773:$D776)</f>
        <v>0.85255443171750189</v>
      </c>
      <c r="G777" s="19">
        <f t="shared" ref="G777:AB777" si="770">+SUMPRODUCT(G773:G776,$D773:$D776)</f>
        <v>0.82333927616662372</v>
      </c>
      <c r="H777" s="19">
        <f t="shared" si="770"/>
        <v>0.81986343797251737</v>
      </c>
      <c r="I777" s="19">
        <f t="shared" si="770"/>
        <v>0.87231834739886482</v>
      </c>
      <c r="J777" s="19">
        <f t="shared" si="770"/>
        <v>1.0067312228284924</v>
      </c>
      <c r="K777" s="19">
        <f t="shared" si="770"/>
        <v>1.1302087757690189</v>
      </c>
      <c r="L777" s="19">
        <f t="shared" si="770"/>
        <v>1.1781628858973252</v>
      </c>
      <c r="M777" s="19">
        <f t="shared" si="770"/>
        <v>1.2324157570979966</v>
      </c>
      <c r="N777" s="19">
        <f t="shared" si="770"/>
        <v>1.2715932058746953</v>
      </c>
      <c r="O777" s="19">
        <f t="shared" si="770"/>
        <v>1.3274493759715127</v>
      </c>
      <c r="P777" s="19">
        <f t="shared" si="770"/>
        <v>1.3885857737073368</v>
      </c>
      <c r="Q777" s="19">
        <f t="shared" si="770"/>
        <v>1.3692618733165347</v>
      </c>
      <c r="R777" s="19">
        <f t="shared" si="770"/>
        <v>1.3227381477282607</v>
      </c>
      <c r="S777" s="19">
        <f t="shared" si="770"/>
        <v>1.3181565172442298</v>
      </c>
      <c r="T777" s="19">
        <f t="shared" si="770"/>
        <v>1.3416092945350366</v>
      </c>
      <c r="U777" s="19">
        <f t="shared" si="770"/>
        <v>1.3702781735164469</v>
      </c>
      <c r="V777" s="19">
        <f t="shared" si="770"/>
        <v>1.4311044574067699</v>
      </c>
      <c r="W777" s="19">
        <f t="shared" si="770"/>
        <v>1.7038738880966433</v>
      </c>
      <c r="X777" s="19">
        <f t="shared" si="770"/>
        <v>1.8518005693672355</v>
      </c>
      <c r="Y777" s="19">
        <f t="shared" si="770"/>
        <v>1.7193742972585109</v>
      </c>
      <c r="Z777" s="19">
        <f t="shared" si="770"/>
        <v>1.503043431683033</v>
      </c>
      <c r="AA777" s="19">
        <f t="shared" si="770"/>
        <v>1.2375895700184532</v>
      </c>
      <c r="AB777" s="19">
        <f t="shared" si="770"/>
        <v>1.0210172080779003</v>
      </c>
      <c r="AC777" s="12">
        <f>+SUM(E777:AB777)</f>
        <v>30.000000000000004</v>
      </c>
    </row>
    <row r="778" spans="2:29">
      <c r="B778" s="15">
        <f>+EDATE(B773,1)</f>
        <v>49583</v>
      </c>
      <c r="C778" s="8" t="s">
        <v>45</v>
      </c>
      <c r="D778" s="8">
        <v>22</v>
      </c>
      <c r="E778" s="50">
        <f t="shared" ref="E778:AB778" si="771">+E718</f>
        <v>2.9361257124838391E-2</v>
      </c>
      <c r="F778" s="50">
        <f t="shared" si="771"/>
        <v>2.7692710332229715E-2</v>
      </c>
      <c r="G778" s="50">
        <f t="shared" si="771"/>
        <v>2.6785161397696527E-2</v>
      </c>
      <c r="H778" s="50">
        <f t="shared" si="771"/>
        <v>2.6786989368939883E-2</v>
      </c>
      <c r="I778" s="50">
        <f t="shared" si="771"/>
        <v>2.9135775177511477E-2</v>
      </c>
      <c r="J778" s="50">
        <f t="shared" si="771"/>
        <v>3.4540443856715661E-2</v>
      </c>
      <c r="K778" s="50">
        <f t="shared" si="771"/>
        <v>3.8789035252325646E-2</v>
      </c>
      <c r="L778" s="50">
        <f t="shared" si="771"/>
        <v>3.957865839345593E-2</v>
      </c>
      <c r="M778" s="50">
        <f t="shared" si="771"/>
        <v>4.0957538271781398E-2</v>
      </c>
      <c r="N778" s="50">
        <f t="shared" si="771"/>
        <v>4.2166920044863825E-2</v>
      </c>
      <c r="O778" s="50">
        <f t="shared" si="771"/>
        <v>4.4150374939633218E-2</v>
      </c>
      <c r="P778" s="50">
        <f t="shared" si="771"/>
        <v>4.6294816466469102E-2</v>
      </c>
      <c r="Q778" s="50">
        <f t="shared" si="771"/>
        <v>4.5431875959152102E-2</v>
      </c>
      <c r="R778" s="50">
        <f t="shared" si="771"/>
        <v>4.3879728503346101E-2</v>
      </c>
      <c r="S778" s="50">
        <f t="shared" si="771"/>
        <v>4.4118506624640258E-2</v>
      </c>
      <c r="T778" s="50">
        <f t="shared" si="771"/>
        <v>4.5188432655351718E-2</v>
      </c>
      <c r="U778" s="50">
        <f t="shared" si="771"/>
        <v>4.624302558461979E-2</v>
      </c>
      <c r="V778" s="50">
        <f t="shared" si="771"/>
        <v>4.8247238962955179E-2</v>
      </c>
      <c r="W778" s="50">
        <f t="shared" si="771"/>
        <v>5.7096885328092907E-2</v>
      </c>
      <c r="X778" s="50">
        <f t="shared" si="771"/>
        <v>6.1739938045350239E-2</v>
      </c>
      <c r="Y778" s="50">
        <f t="shared" si="771"/>
        <v>5.7231881517227232E-2</v>
      </c>
      <c r="Z778" s="50">
        <f t="shared" si="771"/>
        <v>5.0129255438435008E-2</v>
      </c>
      <c r="AA778" s="50">
        <f t="shared" si="771"/>
        <v>4.1010488221716553E-2</v>
      </c>
      <c r="AB778" s="50">
        <f t="shared" si="771"/>
        <v>3.34430625326523E-2</v>
      </c>
      <c r="AC778" s="8">
        <f>+SUM(E778:AB778)*D778</f>
        <v>22.000000000000004</v>
      </c>
    </row>
    <row r="779" spans="2:29">
      <c r="B779" s="16"/>
      <c r="C779" s="8" t="s">
        <v>46</v>
      </c>
      <c r="D779" s="8">
        <v>4</v>
      </c>
      <c r="E779" s="50">
        <f t="shared" ref="E779:AB779" si="772">+E719</f>
        <v>3.0659473205105158E-2</v>
      </c>
      <c r="F779" s="50">
        <f t="shared" si="772"/>
        <v>2.8600001140869122E-2</v>
      </c>
      <c r="G779" s="50">
        <f t="shared" si="772"/>
        <v>2.7683858575034276E-2</v>
      </c>
      <c r="H779" s="50">
        <f t="shared" si="772"/>
        <v>2.7537802139610414E-2</v>
      </c>
      <c r="I779" s="50">
        <f t="shared" si="772"/>
        <v>2.8782539770184416E-2</v>
      </c>
      <c r="J779" s="50">
        <f t="shared" si="772"/>
        <v>3.2241585579716119E-2</v>
      </c>
      <c r="K779" s="50">
        <f t="shared" si="772"/>
        <v>3.645312931015221E-2</v>
      </c>
      <c r="L779" s="50">
        <f t="shared" si="772"/>
        <v>3.9012639181609042E-2</v>
      </c>
      <c r="M779" s="50">
        <f t="shared" si="772"/>
        <v>4.1549207589560662E-2</v>
      </c>
      <c r="N779" s="50">
        <f t="shared" si="772"/>
        <v>4.3042516751632572E-2</v>
      </c>
      <c r="O779" s="50">
        <f t="shared" si="772"/>
        <v>4.4973693586955334E-2</v>
      </c>
      <c r="P779" s="50">
        <f t="shared" si="772"/>
        <v>4.6808021710202923E-2</v>
      </c>
      <c r="Q779" s="50">
        <f t="shared" si="772"/>
        <v>4.6383383047344962E-2</v>
      </c>
      <c r="R779" s="50">
        <f t="shared" si="772"/>
        <v>4.4751654806610461E-2</v>
      </c>
      <c r="S779" s="50">
        <f t="shared" si="772"/>
        <v>4.4013077558728637E-2</v>
      </c>
      <c r="T779" s="50">
        <f t="shared" si="772"/>
        <v>4.428856091631931E-2</v>
      </c>
      <c r="U779" s="50">
        <f t="shared" si="772"/>
        <v>4.49735778579251E-2</v>
      </c>
      <c r="V779" s="50">
        <f t="shared" si="772"/>
        <v>4.6933206789217301E-2</v>
      </c>
      <c r="W779" s="50">
        <f t="shared" si="772"/>
        <v>5.6210586428141023E-2</v>
      </c>
      <c r="X779" s="50">
        <f t="shared" si="772"/>
        <v>6.1205656691958259E-2</v>
      </c>
      <c r="Y779" s="50">
        <f t="shared" si="772"/>
        <v>5.7018442088769522E-2</v>
      </c>
      <c r="Z779" s="50">
        <f t="shared" si="772"/>
        <v>4.9896672365740725E-2</v>
      </c>
      <c r="AA779" s="50">
        <f t="shared" si="772"/>
        <v>4.1622868086918119E-2</v>
      </c>
      <c r="AB779" s="50">
        <f t="shared" si="772"/>
        <v>3.5357844821693719E-2</v>
      </c>
      <c r="AC779" s="8">
        <f t="shared" ref="AC779:AC781" si="773">+SUM(E779:AB779)*D779</f>
        <v>3.9999999999999969</v>
      </c>
    </row>
    <row r="780" spans="2:29">
      <c r="B780" s="16"/>
      <c r="C780" s="8" t="s">
        <v>47</v>
      </c>
      <c r="D780" s="8">
        <v>4</v>
      </c>
      <c r="E780" s="50">
        <f t="shared" ref="E780:AB780" si="774">+E720</f>
        <v>3.3281514565353124E-2</v>
      </c>
      <c r="F780" s="50">
        <f t="shared" si="774"/>
        <v>3.1140043873712407E-2</v>
      </c>
      <c r="G780" s="50">
        <f t="shared" si="774"/>
        <v>2.984335106750436E-2</v>
      </c>
      <c r="H780" s="50">
        <f t="shared" si="774"/>
        <v>2.9286927979133532E-2</v>
      </c>
      <c r="I780" s="50">
        <f t="shared" si="774"/>
        <v>2.9138028999542646E-2</v>
      </c>
      <c r="J780" s="50">
        <f t="shared" si="774"/>
        <v>3.0942883559119717E-2</v>
      </c>
      <c r="K780" s="50">
        <f t="shared" si="774"/>
        <v>3.4432484834348992E-2</v>
      </c>
      <c r="L780" s="50">
        <f t="shared" si="774"/>
        <v>3.8305304424032266E-2</v>
      </c>
      <c r="M780" s="50">
        <f t="shared" si="774"/>
        <v>4.1103790742913066E-2</v>
      </c>
      <c r="N780" s="50">
        <f t="shared" si="774"/>
        <v>4.2608444243851212E-2</v>
      </c>
      <c r="O780" s="50">
        <f t="shared" si="774"/>
        <v>4.3914681848814308E-2</v>
      </c>
      <c r="P780" s="50">
        <f t="shared" si="774"/>
        <v>4.5729867165388009E-2</v>
      </c>
      <c r="Q780" s="50">
        <f t="shared" si="774"/>
        <v>4.5741487779353565E-2</v>
      </c>
      <c r="R780" s="50">
        <f t="shared" si="774"/>
        <v>4.4277060725657284E-2</v>
      </c>
      <c r="S780" s="50">
        <f t="shared" si="774"/>
        <v>4.3144199391556254E-2</v>
      </c>
      <c r="T780" s="50">
        <f t="shared" si="774"/>
        <v>4.3279567369281124E-2</v>
      </c>
      <c r="U780" s="50">
        <f t="shared" si="774"/>
        <v>4.4109954506885138E-2</v>
      </c>
      <c r="V780" s="50">
        <f t="shared" si="774"/>
        <v>4.6298728840315946E-2</v>
      </c>
      <c r="W780" s="50">
        <f t="shared" si="774"/>
        <v>5.6176649878816001E-2</v>
      </c>
      <c r="X780" s="50">
        <f t="shared" si="774"/>
        <v>6.2194705000087863E-2</v>
      </c>
      <c r="Y780" s="50">
        <f t="shared" si="774"/>
        <v>5.7928891294023718E-2</v>
      </c>
      <c r="Z780" s="50">
        <f t="shared" si="774"/>
        <v>5.019499221712586E-2</v>
      </c>
      <c r="AA780" s="50">
        <f t="shared" si="774"/>
        <v>4.1853093029906328E-2</v>
      </c>
      <c r="AB780" s="50">
        <f t="shared" si="774"/>
        <v>3.507334666327714E-2</v>
      </c>
      <c r="AC780" s="8">
        <f t="shared" si="773"/>
        <v>3.9999999999999991</v>
      </c>
    </row>
    <row r="781" spans="2:29">
      <c r="B781" s="16"/>
      <c r="C781" s="8" t="s">
        <v>48</v>
      </c>
      <c r="D781" s="8">
        <v>1</v>
      </c>
      <c r="E781" s="50">
        <f t="shared" ref="E781:AB781" si="775">+E721</f>
        <v>3.367503361886829E-2</v>
      </c>
      <c r="F781" s="50">
        <f t="shared" si="775"/>
        <v>3.1245692535415936E-2</v>
      </c>
      <c r="G781" s="50">
        <f t="shared" si="775"/>
        <v>2.9861746203171599E-2</v>
      </c>
      <c r="H781" s="50">
        <f t="shared" si="775"/>
        <v>2.9235019370742008E-2</v>
      </c>
      <c r="I781" s="50">
        <f t="shared" si="775"/>
        <v>3.0186379118294998E-2</v>
      </c>
      <c r="J781" s="50">
        <f t="shared" si="775"/>
        <v>3.3123682717801174E-2</v>
      </c>
      <c r="K781" s="50">
        <f t="shared" si="775"/>
        <v>3.5563630818173868E-2</v>
      </c>
      <c r="L781" s="50">
        <f t="shared" si="775"/>
        <v>3.7375437025807548E-2</v>
      </c>
      <c r="M781" s="50">
        <f t="shared" si="775"/>
        <v>3.9557895894381336E-2</v>
      </c>
      <c r="N781" s="50">
        <f t="shared" si="775"/>
        <v>4.1330002492198488E-2</v>
      </c>
      <c r="O781" s="50">
        <f t="shared" si="775"/>
        <v>4.3273465010057272E-2</v>
      </c>
      <c r="P781" s="50">
        <f t="shared" si="775"/>
        <v>4.5278417057592932E-2</v>
      </c>
      <c r="Q781" s="50">
        <f t="shared" si="775"/>
        <v>4.5765189585786785E-2</v>
      </c>
      <c r="R781" s="50">
        <f t="shared" si="775"/>
        <v>4.421428774797561E-2</v>
      </c>
      <c r="S781" s="50">
        <f t="shared" si="775"/>
        <v>4.3245429527174986E-2</v>
      </c>
      <c r="T781" s="50">
        <f t="shared" si="775"/>
        <v>4.3554999005074702E-2</v>
      </c>
      <c r="U781" s="50">
        <f t="shared" si="775"/>
        <v>4.4435510161992771E-2</v>
      </c>
      <c r="V781" s="50">
        <f t="shared" si="775"/>
        <v>4.717219114348542E-2</v>
      </c>
      <c r="W781" s="50">
        <f t="shared" si="775"/>
        <v>5.6899741232983039E-2</v>
      </c>
      <c r="X781" s="50">
        <f t="shared" si="775"/>
        <v>6.1986738769463187E-2</v>
      </c>
      <c r="Y781" s="50">
        <f t="shared" si="775"/>
        <v>5.7208700429979269E-2</v>
      </c>
      <c r="Z781" s="50">
        <f t="shared" si="775"/>
        <v>4.9339560702577757E-2</v>
      </c>
      <c r="AA781" s="50">
        <f t="shared" si="775"/>
        <v>4.1368944501432053E-2</v>
      </c>
      <c r="AB781" s="50">
        <f t="shared" si="775"/>
        <v>3.5102305329568817E-2</v>
      </c>
      <c r="AC781" s="8">
        <f t="shared" si="773"/>
        <v>0.99999999999999978</v>
      </c>
    </row>
    <row r="782" spans="2:29">
      <c r="B782" s="12"/>
      <c r="C782" s="12" t="s">
        <v>15</v>
      </c>
      <c r="D782" s="12">
        <f>+SUM(D778:D781)</f>
        <v>31</v>
      </c>
      <c r="E782" s="19">
        <f>+SUMPRODUCT(E778:E781,$D778:$D781)</f>
        <v>0.93538664144714589</v>
      </c>
      <c r="F782" s="19">
        <f>+SUMPRODUCT(F778:F781,$D778:$D781)</f>
        <v>0.87944549990279586</v>
      </c>
      <c r="G782" s="19">
        <f t="shared" ref="G782:AB782" si="776">+SUMPRODUCT(G778:G781,$D778:$D781)</f>
        <v>0.84924413552264977</v>
      </c>
      <c r="H782" s="19">
        <f t="shared" si="776"/>
        <v>0.84584770596239522</v>
      </c>
      <c r="I782" s="19">
        <f t="shared" si="776"/>
        <v>0.90285570810245575</v>
      </c>
      <c r="J782" s="19">
        <f t="shared" si="776"/>
        <v>1.0457513241208891</v>
      </c>
      <c r="K782" s="19">
        <f t="shared" si="776"/>
        <v>1.1724648629473431</v>
      </c>
      <c r="L782" s="19">
        <f t="shared" si="776"/>
        <v>1.2173776961044029</v>
      </c>
      <c r="M782" s="19">
        <f t="shared" si="776"/>
        <v>1.2712357312034672</v>
      </c>
      <c r="N782" s="19">
        <f t="shared" si="776"/>
        <v>1.3116060874611379</v>
      </c>
      <c r="O782" s="19">
        <f t="shared" si="776"/>
        <v>1.3701352154250666</v>
      </c>
      <c r="P782" s="19">
        <f t="shared" si="776"/>
        <v>1.4339159348222767</v>
      </c>
      <c r="Q782" s="19">
        <f t="shared" si="776"/>
        <v>1.413765943993927</v>
      </c>
      <c r="R782" s="19">
        <f t="shared" si="776"/>
        <v>1.3656831769506608</v>
      </c>
      <c r="S782" s="19">
        <f t="shared" si="776"/>
        <v>1.3624816830704001</v>
      </c>
      <c r="T782" s="19">
        <f t="shared" si="776"/>
        <v>1.3879730305652143</v>
      </c>
      <c r="U782" s="19">
        <f t="shared" si="776"/>
        <v>1.4181162024828693</v>
      </c>
      <c r="V782" s="19">
        <f t="shared" si="776"/>
        <v>1.4815391908466324</v>
      </c>
      <c r="W782" s="19">
        <f t="shared" si="776"/>
        <v>1.7625801636788549</v>
      </c>
      <c r="X782" s="19">
        <f t="shared" si="776"/>
        <v>1.913866822535353</v>
      </c>
      <c r="Y782" s="19">
        <f t="shared" si="776"/>
        <v>1.7760994273401516</v>
      </c>
      <c r="Z782" s="19">
        <f t="shared" si="776"/>
        <v>1.5525498386796144</v>
      </c>
      <c r="AA782" s="19">
        <f t="shared" si="776"/>
        <v>1.2775035298464938</v>
      </c>
      <c r="AB782" s="19">
        <f t="shared" si="776"/>
        <v>1.0525744469878027</v>
      </c>
      <c r="AC782" s="12">
        <f>+SUM(E782:AB782)</f>
        <v>31.000000000000004</v>
      </c>
    </row>
    <row r="783" spans="2:29">
      <c r="B783" s="15">
        <f>+EDATE(B778,1)</f>
        <v>49614</v>
      </c>
      <c r="C783" s="8" t="s">
        <v>45</v>
      </c>
      <c r="D783" s="8">
        <v>22</v>
      </c>
      <c r="E783" s="50">
        <f t="shared" ref="E783:AB783" si="777">+E723</f>
        <v>2.9361257124838391E-2</v>
      </c>
      <c r="F783" s="50">
        <f t="shared" si="777"/>
        <v>2.7692710332229715E-2</v>
      </c>
      <c r="G783" s="50">
        <f t="shared" si="777"/>
        <v>2.6785161397696527E-2</v>
      </c>
      <c r="H783" s="50">
        <f t="shared" si="777"/>
        <v>2.6786989368939883E-2</v>
      </c>
      <c r="I783" s="50">
        <f t="shared" si="777"/>
        <v>2.9135775177511477E-2</v>
      </c>
      <c r="J783" s="50">
        <f t="shared" si="777"/>
        <v>3.4540443856715661E-2</v>
      </c>
      <c r="K783" s="50">
        <f t="shared" si="777"/>
        <v>3.8789035252325646E-2</v>
      </c>
      <c r="L783" s="50">
        <f t="shared" si="777"/>
        <v>3.957865839345593E-2</v>
      </c>
      <c r="M783" s="50">
        <f t="shared" si="777"/>
        <v>4.0957538271781398E-2</v>
      </c>
      <c r="N783" s="50">
        <f t="shared" si="777"/>
        <v>4.2166920044863825E-2</v>
      </c>
      <c r="O783" s="50">
        <f t="shared" si="777"/>
        <v>4.4150374939633218E-2</v>
      </c>
      <c r="P783" s="50">
        <f t="shared" si="777"/>
        <v>4.6294816466469102E-2</v>
      </c>
      <c r="Q783" s="50">
        <f t="shared" si="777"/>
        <v>4.5431875959152102E-2</v>
      </c>
      <c r="R783" s="50">
        <f t="shared" si="777"/>
        <v>4.3879728503346101E-2</v>
      </c>
      <c r="S783" s="50">
        <f t="shared" si="777"/>
        <v>4.4118506624640258E-2</v>
      </c>
      <c r="T783" s="50">
        <f t="shared" si="777"/>
        <v>4.5188432655351718E-2</v>
      </c>
      <c r="U783" s="50">
        <f t="shared" si="777"/>
        <v>4.624302558461979E-2</v>
      </c>
      <c r="V783" s="50">
        <f t="shared" si="777"/>
        <v>4.8247238962955179E-2</v>
      </c>
      <c r="W783" s="50">
        <f t="shared" si="777"/>
        <v>5.7096885328092907E-2</v>
      </c>
      <c r="X783" s="50">
        <f t="shared" si="777"/>
        <v>6.1739938045350239E-2</v>
      </c>
      <c r="Y783" s="50">
        <f t="shared" si="777"/>
        <v>5.7231881517227232E-2</v>
      </c>
      <c r="Z783" s="50">
        <f t="shared" si="777"/>
        <v>5.0129255438435008E-2</v>
      </c>
      <c r="AA783" s="50">
        <f t="shared" si="777"/>
        <v>4.1010488221716553E-2</v>
      </c>
      <c r="AB783" s="50">
        <f t="shared" si="777"/>
        <v>3.34430625326523E-2</v>
      </c>
      <c r="AC783" s="8">
        <f>+SUM(E783:AB783)*D783</f>
        <v>22.000000000000004</v>
      </c>
    </row>
    <row r="784" spans="2:29">
      <c r="B784" s="16"/>
      <c r="C784" s="8" t="s">
        <v>46</v>
      </c>
      <c r="D784" s="8">
        <v>4</v>
      </c>
      <c r="E784" s="50">
        <f t="shared" ref="E784:AB784" si="778">+E724</f>
        <v>3.0659473205105158E-2</v>
      </c>
      <c r="F784" s="50">
        <f t="shared" si="778"/>
        <v>2.8600001140869122E-2</v>
      </c>
      <c r="G784" s="50">
        <f t="shared" si="778"/>
        <v>2.7683858575034276E-2</v>
      </c>
      <c r="H784" s="50">
        <f t="shared" si="778"/>
        <v>2.7537802139610414E-2</v>
      </c>
      <c r="I784" s="50">
        <f t="shared" si="778"/>
        <v>2.8782539770184416E-2</v>
      </c>
      <c r="J784" s="50">
        <f t="shared" si="778"/>
        <v>3.2241585579716119E-2</v>
      </c>
      <c r="K784" s="50">
        <f t="shared" si="778"/>
        <v>3.645312931015221E-2</v>
      </c>
      <c r="L784" s="50">
        <f t="shared" si="778"/>
        <v>3.9012639181609042E-2</v>
      </c>
      <c r="M784" s="50">
        <f t="shared" si="778"/>
        <v>4.1549207589560662E-2</v>
      </c>
      <c r="N784" s="50">
        <f t="shared" si="778"/>
        <v>4.3042516751632572E-2</v>
      </c>
      <c r="O784" s="50">
        <f t="shared" si="778"/>
        <v>4.4973693586955334E-2</v>
      </c>
      <c r="P784" s="50">
        <f t="shared" si="778"/>
        <v>4.6808021710202923E-2</v>
      </c>
      <c r="Q784" s="50">
        <f t="shared" si="778"/>
        <v>4.6383383047344962E-2</v>
      </c>
      <c r="R784" s="50">
        <f t="shared" si="778"/>
        <v>4.4751654806610461E-2</v>
      </c>
      <c r="S784" s="50">
        <f t="shared" si="778"/>
        <v>4.4013077558728637E-2</v>
      </c>
      <c r="T784" s="50">
        <f t="shared" si="778"/>
        <v>4.428856091631931E-2</v>
      </c>
      <c r="U784" s="50">
        <f t="shared" si="778"/>
        <v>4.49735778579251E-2</v>
      </c>
      <c r="V784" s="50">
        <f t="shared" si="778"/>
        <v>4.6933206789217301E-2</v>
      </c>
      <c r="W784" s="50">
        <f t="shared" si="778"/>
        <v>5.6210586428141023E-2</v>
      </c>
      <c r="X784" s="50">
        <f t="shared" si="778"/>
        <v>6.1205656691958259E-2</v>
      </c>
      <c r="Y784" s="50">
        <f t="shared" si="778"/>
        <v>5.7018442088769522E-2</v>
      </c>
      <c r="Z784" s="50">
        <f t="shared" si="778"/>
        <v>4.9896672365740725E-2</v>
      </c>
      <c r="AA784" s="50">
        <f t="shared" si="778"/>
        <v>4.1622868086918119E-2</v>
      </c>
      <c r="AB784" s="50">
        <f t="shared" si="778"/>
        <v>3.5357844821693719E-2</v>
      </c>
      <c r="AC784" s="8">
        <f t="shared" ref="AC784:AC786" si="779">+SUM(E784:AB784)*D784</f>
        <v>3.9999999999999969</v>
      </c>
    </row>
    <row r="785" spans="2:29">
      <c r="B785" s="16"/>
      <c r="C785" s="8" t="s">
        <v>47</v>
      </c>
      <c r="D785" s="8">
        <v>4</v>
      </c>
      <c r="E785" s="50">
        <f t="shared" ref="E785:AB785" si="780">+E725</f>
        <v>3.3281514565353124E-2</v>
      </c>
      <c r="F785" s="50">
        <f t="shared" si="780"/>
        <v>3.1140043873712407E-2</v>
      </c>
      <c r="G785" s="50">
        <f t="shared" si="780"/>
        <v>2.984335106750436E-2</v>
      </c>
      <c r="H785" s="50">
        <f t="shared" si="780"/>
        <v>2.9286927979133532E-2</v>
      </c>
      <c r="I785" s="50">
        <f t="shared" si="780"/>
        <v>2.9138028999542646E-2</v>
      </c>
      <c r="J785" s="50">
        <f t="shared" si="780"/>
        <v>3.0942883559119717E-2</v>
      </c>
      <c r="K785" s="50">
        <f t="shared" si="780"/>
        <v>3.4432484834348992E-2</v>
      </c>
      <c r="L785" s="50">
        <f t="shared" si="780"/>
        <v>3.8305304424032266E-2</v>
      </c>
      <c r="M785" s="50">
        <f t="shared" si="780"/>
        <v>4.1103790742913066E-2</v>
      </c>
      <c r="N785" s="50">
        <f t="shared" si="780"/>
        <v>4.2608444243851212E-2</v>
      </c>
      <c r="O785" s="50">
        <f t="shared" si="780"/>
        <v>4.3914681848814308E-2</v>
      </c>
      <c r="P785" s="50">
        <f t="shared" si="780"/>
        <v>4.5729867165388009E-2</v>
      </c>
      <c r="Q785" s="50">
        <f t="shared" si="780"/>
        <v>4.5741487779353565E-2</v>
      </c>
      <c r="R785" s="50">
        <f t="shared" si="780"/>
        <v>4.4277060725657284E-2</v>
      </c>
      <c r="S785" s="50">
        <f t="shared" si="780"/>
        <v>4.3144199391556254E-2</v>
      </c>
      <c r="T785" s="50">
        <f t="shared" si="780"/>
        <v>4.3279567369281124E-2</v>
      </c>
      <c r="U785" s="50">
        <f t="shared" si="780"/>
        <v>4.4109954506885138E-2</v>
      </c>
      <c r="V785" s="50">
        <f t="shared" si="780"/>
        <v>4.6298728840315946E-2</v>
      </c>
      <c r="W785" s="50">
        <f t="shared" si="780"/>
        <v>5.6176649878816001E-2</v>
      </c>
      <c r="X785" s="50">
        <f t="shared" si="780"/>
        <v>6.2194705000087863E-2</v>
      </c>
      <c r="Y785" s="50">
        <f t="shared" si="780"/>
        <v>5.7928891294023718E-2</v>
      </c>
      <c r="Z785" s="50">
        <f t="shared" si="780"/>
        <v>5.019499221712586E-2</v>
      </c>
      <c r="AA785" s="50">
        <f t="shared" si="780"/>
        <v>4.1853093029906328E-2</v>
      </c>
      <c r="AB785" s="50">
        <f t="shared" si="780"/>
        <v>3.507334666327714E-2</v>
      </c>
      <c r="AC785" s="8">
        <f t="shared" si="779"/>
        <v>3.9999999999999991</v>
      </c>
    </row>
    <row r="786" spans="2:29">
      <c r="B786" s="16"/>
      <c r="C786" s="8" t="s">
        <v>48</v>
      </c>
      <c r="D786" s="8">
        <v>0</v>
      </c>
      <c r="E786" s="50">
        <f t="shared" ref="E786:AB786" si="781">+E726</f>
        <v>3.367503361886829E-2</v>
      </c>
      <c r="F786" s="50">
        <f t="shared" si="781"/>
        <v>3.1245692535415936E-2</v>
      </c>
      <c r="G786" s="50">
        <f t="shared" si="781"/>
        <v>2.9861746203171599E-2</v>
      </c>
      <c r="H786" s="50">
        <f t="shared" si="781"/>
        <v>2.9235019370742008E-2</v>
      </c>
      <c r="I786" s="50">
        <f t="shared" si="781"/>
        <v>3.0186379118294998E-2</v>
      </c>
      <c r="J786" s="50">
        <f t="shared" si="781"/>
        <v>3.3123682717801174E-2</v>
      </c>
      <c r="K786" s="50">
        <f t="shared" si="781"/>
        <v>3.5563630818173868E-2</v>
      </c>
      <c r="L786" s="50">
        <f t="shared" si="781"/>
        <v>3.7375437025807548E-2</v>
      </c>
      <c r="M786" s="50">
        <f t="shared" si="781"/>
        <v>3.9557895894381336E-2</v>
      </c>
      <c r="N786" s="50">
        <f t="shared" si="781"/>
        <v>4.1330002492198488E-2</v>
      </c>
      <c r="O786" s="50">
        <f t="shared" si="781"/>
        <v>4.3273465010057272E-2</v>
      </c>
      <c r="P786" s="50">
        <f t="shared" si="781"/>
        <v>4.5278417057592932E-2</v>
      </c>
      <c r="Q786" s="50">
        <f t="shared" si="781"/>
        <v>4.5765189585786785E-2</v>
      </c>
      <c r="R786" s="50">
        <f t="shared" si="781"/>
        <v>4.421428774797561E-2</v>
      </c>
      <c r="S786" s="50">
        <f t="shared" si="781"/>
        <v>4.3245429527174986E-2</v>
      </c>
      <c r="T786" s="50">
        <f t="shared" si="781"/>
        <v>4.3554999005074702E-2</v>
      </c>
      <c r="U786" s="50">
        <f t="shared" si="781"/>
        <v>4.4435510161992771E-2</v>
      </c>
      <c r="V786" s="50">
        <f t="shared" si="781"/>
        <v>4.717219114348542E-2</v>
      </c>
      <c r="W786" s="50">
        <f t="shared" si="781"/>
        <v>5.6899741232983039E-2</v>
      </c>
      <c r="X786" s="50">
        <f t="shared" si="781"/>
        <v>6.1986738769463187E-2</v>
      </c>
      <c r="Y786" s="50">
        <f t="shared" si="781"/>
        <v>5.7208700429979269E-2</v>
      </c>
      <c r="Z786" s="50">
        <f t="shared" si="781"/>
        <v>4.9339560702577757E-2</v>
      </c>
      <c r="AA786" s="50">
        <f t="shared" si="781"/>
        <v>4.1368944501432053E-2</v>
      </c>
      <c r="AB786" s="50">
        <f t="shared" si="781"/>
        <v>3.5102305329568817E-2</v>
      </c>
      <c r="AC786" s="8">
        <f t="shared" si="779"/>
        <v>0</v>
      </c>
    </row>
    <row r="787" spans="2:29">
      <c r="B787" s="12"/>
      <c r="C787" s="12" t="s">
        <v>15</v>
      </c>
      <c r="D787" s="12">
        <f>+SUM(D783:D786)</f>
        <v>30</v>
      </c>
      <c r="E787" s="19">
        <f>+SUMPRODUCT(E783:E786,$D783:$D786)</f>
        <v>0.90171160782827764</v>
      </c>
      <c r="F787" s="19">
        <f>+SUMPRODUCT(F783:F786,$D783:$D786)</f>
        <v>0.84819980736737988</v>
      </c>
      <c r="G787" s="19">
        <f t="shared" ref="G787:AB787" si="782">+SUMPRODUCT(G783:G786,$D783:$D786)</f>
        <v>0.81938238931947815</v>
      </c>
      <c r="H787" s="19">
        <f t="shared" si="782"/>
        <v>0.8166126865916532</v>
      </c>
      <c r="I787" s="19">
        <f t="shared" si="782"/>
        <v>0.87266932898416072</v>
      </c>
      <c r="J787" s="19">
        <f t="shared" si="782"/>
        <v>1.0126276414030879</v>
      </c>
      <c r="K787" s="19">
        <f t="shared" si="782"/>
        <v>1.1369012321291692</v>
      </c>
      <c r="L787" s="19">
        <f t="shared" si="782"/>
        <v>1.1800022590785955</v>
      </c>
      <c r="M787" s="19">
        <f t="shared" si="782"/>
        <v>1.2316778353090858</v>
      </c>
      <c r="N787" s="19">
        <f t="shared" si="782"/>
        <v>1.2702760849689394</v>
      </c>
      <c r="O787" s="19">
        <f t="shared" si="782"/>
        <v>1.3268617504150093</v>
      </c>
      <c r="P787" s="19">
        <f t="shared" si="782"/>
        <v>1.3886375177646839</v>
      </c>
      <c r="Q787" s="19">
        <f t="shared" si="782"/>
        <v>1.3680007544081403</v>
      </c>
      <c r="R787" s="19">
        <f t="shared" si="782"/>
        <v>1.3214688892026851</v>
      </c>
      <c r="S787" s="19">
        <f t="shared" si="782"/>
        <v>1.3192362535432252</v>
      </c>
      <c r="T787" s="19">
        <f t="shared" si="782"/>
        <v>1.3444180315601395</v>
      </c>
      <c r="U787" s="19">
        <f t="shared" si="782"/>
        <v>1.3736806923208764</v>
      </c>
      <c r="V787" s="19">
        <f t="shared" si="782"/>
        <v>1.434366999703147</v>
      </c>
      <c r="W787" s="19">
        <f t="shared" si="782"/>
        <v>1.7056804224458719</v>
      </c>
      <c r="X787" s="19">
        <f t="shared" si="782"/>
        <v>1.8518800837658898</v>
      </c>
      <c r="Y787" s="19">
        <f t="shared" si="782"/>
        <v>1.7188907269101723</v>
      </c>
      <c r="Z787" s="19">
        <f t="shared" si="782"/>
        <v>1.5032102779770367</v>
      </c>
      <c r="AA787" s="19">
        <f t="shared" si="782"/>
        <v>1.2361345853450618</v>
      </c>
      <c r="AB787" s="19">
        <f t="shared" si="782"/>
        <v>1.017472141658234</v>
      </c>
      <c r="AC787" s="12">
        <f>+SUM(E787:AB787)</f>
        <v>29.999999999999996</v>
      </c>
    </row>
    <row r="788" spans="2:29">
      <c r="B788" s="15">
        <f>+EDATE(B783,1)</f>
        <v>49644</v>
      </c>
      <c r="C788" s="8" t="s">
        <v>45</v>
      </c>
      <c r="D788" s="8">
        <v>20</v>
      </c>
      <c r="E788" s="50">
        <f t="shared" ref="E788:AB788" si="783">+E728</f>
        <v>2.9361257124838391E-2</v>
      </c>
      <c r="F788" s="50">
        <f t="shared" si="783"/>
        <v>2.7692710332229715E-2</v>
      </c>
      <c r="G788" s="50">
        <f t="shared" si="783"/>
        <v>2.6785161397696527E-2</v>
      </c>
      <c r="H788" s="50">
        <f t="shared" si="783"/>
        <v>2.6786989368939883E-2</v>
      </c>
      <c r="I788" s="50">
        <f t="shared" si="783"/>
        <v>2.9135775177511477E-2</v>
      </c>
      <c r="J788" s="50">
        <f t="shared" si="783"/>
        <v>3.4540443856715661E-2</v>
      </c>
      <c r="K788" s="50">
        <f t="shared" si="783"/>
        <v>3.8789035252325646E-2</v>
      </c>
      <c r="L788" s="50">
        <f t="shared" si="783"/>
        <v>3.957865839345593E-2</v>
      </c>
      <c r="M788" s="50">
        <f t="shared" si="783"/>
        <v>4.0957538271781398E-2</v>
      </c>
      <c r="N788" s="50">
        <f t="shared" si="783"/>
        <v>4.2166920044863825E-2</v>
      </c>
      <c r="O788" s="50">
        <f t="shared" si="783"/>
        <v>4.4150374939633218E-2</v>
      </c>
      <c r="P788" s="50">
        <f t="shared" si="783"/>
        <v>4.6294816466469102E-2</v>
      </c>
      <c r="Q788" s="50">
        <f t="shared" si="783"/>
        <v>4.5431875959152102E-2</v>
      </c>
      <c r="R788" s="50">
        <f t="shared" si="783"/>
        <v>4.3879728503346101E-2</v>
      </c>
      <c r="S788" s="50">
        <f t="shared" si="783"/>
        <v>4.4118506624640258E-2</v>
      </c>
      <c r="T788" s="50">
        <f t="shared" si="783"/>
        <v>4.5188432655351718E-2</v>
      </c>
      <c r="U788" s="50">
        <f t="shared" si="783"/>
        <v>4.624302558461979E-2</v>
      </c>
      <c r="V788" s="50">
        <f t="shared" si="783"/>
        <v>4.8247238962955179E-2</v>
      </c>
      <c r="W788" s="50">
        <f t="shared" si="783"/>
        <v>5.7096885328092907E-2</v>
      </c>
      <c r="X788" s="50">
        <f t="shared" si="783"/>
        <v>6.1739938045350239E-2</v>
      </c>
      <c r="Y788" s="50">
        <f t="shared" si="783"/>
        <v>5.7231881517227232E-2</v>
      </c>
      <c r="Z788" s="50">
        <f t="shared" si="783"/>
        <v>5.0129255438435008E-2</v>
      </c>
      <c r="AA788" s="50">
        <f t="shared" si="783"/>
        <v>4.1010488221716553E-2</v>
      </c>
      <c r="AB788" s="50">
        <f t="shared" si="783"/>
        <v>3.34430625326523E-2</v>
      </c>
      <c r="AC788" s="8">
        <f>+SUM(E788:AB788)*D788</f>
        <v>20.000000000000004</v>
      </c>
    </row>
    <row r="789" spans="2:29">
      <c r="B789" s="16"/>
      <c r="C789" s="8" t="s">
        <v>46</v>
      </c>
      <c r="D789" s="8">
        <v>4</v>
      </c>
      <c r="E789" s="50">
        <f t="shared" ref="E789:AB789" si="784">+E729</f>
        <v>3.0659473205105158E-2</v>
      </c>
      <c r="F789" s="50">
        <f t="shared" si="784"/>
        <v>2.8600001140869122E-2</v>
      </c>
      <c r="G789" s="50">
        <f t="shared" si="784"/>
        <v>2.7683858575034276E-2</v>
      </c>
      <c r="H789" s="50">
        <f t="shared" si="784"/>
        <v>2.7537802139610414E-2</v>
      </c>
      <c r="I789" s="50">
        <f t="shared" si="784"/>
        <v>2.8782539770184416E-2</v>
      </c>
      <c r="J789" s="50">
        <f t="shared" si="784"/>
        <v>3.2241585579716119E-2</v>
      </c>
      <c r="K789" s="50">
        <f t="shared" si="784"/>
        <v>3.645312931015221E-2</v>
      </c>
      <c r="L789" s="50">
        <f t="shared" si="784"/>
        <v>3.9012639181609042E-2</v>
      </c>
      <c r="M789" s="50">
        <f t="shared" si="784"/>
        <v>4.1549207589560662E-2</v>
      </c>
      <c r="N789" s="50">
        <f t="shared" si="784"/>
        <v>4.3042516751632572E-2</v>
      </c>
      <c r="O789" s="50">
        <f t="shared" si="784"/>
        <v>4.4973693586955334E-2</v>
      </c>
      <c r="P789" s="50">
        <f t="shared" si="784"/>
        <v>4.6808021710202923E-2</v>
      </c>
      <c r="Q789" s="50">
        <f t="shared" si="784"/>
        <v>4.6383383047344962E-2</v>
      </c>
      <c r="R789" s="50">
        <f t="shared" si="784"/>
        <v>4.4751654806610461E-2</v>
      </c>
      <c r="S789" s="50">
        <f t="shared" si="784"/>
        <v>4.4013077558728637E-2</v>
      </c>
      <c r="T789" s="50">
        <f t="shared" si="784"/>
        <v>4.428856091631931E-2</v>
      </c>
      <c r="U789" s="50">
        <f t="shared" si="784"/>
        <v>4.49735778579251E-2</v>
      </c>
      <c r="V789" s="50">
        <f t="shared" si="784"/>
        <v>4.6933206789217301E-2</v>
      </c>
      <c r="W789" s="50">
        <f t="shared" si="784"/>
        <v>5.6210586428141023E-2</v>
      </c>
      <c r="X789" s="50">
        <f t="shared" si="784"/>
        <v>6.1205656691958259E-2</v>
      </c>
      <c r="Y789" s="50">
        <f t="shared" si="784"/>
        <v>5.7018442088769522E-2</v>
      </c>
      <c r="Z789" s="50">
        <f t="shared" si="784"/>
        <v>4.9896672365740725E-2</v>
      </c>
      <c r="AA789" s="50">
        <f t="shared" si="784"/>
        <v>4.1622868086918119E-2</v>
      </c>
      <c r="AB789" s="50">
        <f t="shared" si="784"/>
        <v>3.5357844821693719E-2</v>
      </c>
      <c r="AC789" s="8">
        <f t="shared" ref="AC789:AC791" si="785">+SUM(E789:AB789)*D789</f>
        <v>3.9999999999999969</v>
      </c>
    </row>
    <row r="790" spans="2:29">
      <c r="B790" s="16"/>
      <c r="C790" s="8" t="s">
        <v>47</v>
      </c>
      <c r="D790" s="8">
        <v>5</v>
      </c>
      <c r="E790" s="50">
        <f t="shared" ref="E790:AB790" si="786">+E730</f>
        <v>3.3281514565353124E-2</v>
      </c>
      <c r="F790" s="50">
        <f t="shared" si="786"/>
        <v>3.1140043873712407E-2</v>
      </c>
      <c r="G790" s="50">
        <f t="shared" si="786"/>
        <v>2.984335106750436E-2</v>
      </c>
      <c r="H790" s="50">
        <f t="shared" si="786"/>
        <v>2.9286927979133532E-2</v>
      </c>
      <c r="I790" s="50">
        <f t="shared" si="786"/>
        <v>2.9138028999542646E-2</v>
      </c>
      <c r="J790" s="50">
        <f t="shared" si="786"/>
        <v>3.0942883559119717E-2</v>
      </c>
      <c r="K790" s="50">
        <f t="shared" si="786"/>
        <v>3.4432484834348992E-2</v>
      </c>
      <c r="L790" s="50">
        <f t="shared" si="786"/>
        <v>3.8305304424032266E-2</v>
      </c>
      <c r="M790" s="50">
        <f t="shared" si="786"/>
        <v>4.1103790742913066E-2</v>
      </c>
      <c r="N790" s="50">
        <f t="shared" si="786"/>
        <v>4.2608444243851212E-2</v>
      </c>
      <c r="O790" s="50">
        <f t="shared" si="786"/>
        <v>4.3914681848814308E-2</v>
      </c>
      <c r="P790" s="50">
        <f t="shared" si="786"/>
        <v>4.5729867165388009E-2</v>
      </c>
      <c r="Q790" s="50">
        <f t="shared" si="786"/>
        <v>4.5741487779353565E-2</v>
      </c>
      <c r="R790" s="50">
        <f t="shared" si="786"/>
        <v>4.4277060725657284E-2</v>
      </c>
      <c r="S790" s="50">
        <f t="shared" si="786"/>
        <v>4.3144199391556254E-2</v>
      </c>
      <c r="T790" s="50">
        <f t="shared" si="786"/>
        <v>4.3279567369281124E-2</v>
      </c>
      <c r="U790" s="50">
        <f t="shared" si="786"/>
        <v>4.4109954506885138E-2</v>
      </c>
      <c r="V790" s="50">
        <f t="shared" si="786"/>
        <v>4.6298728840315946E-2</v>
      </c>
      <c r="W790" s="50">
        <f t="shared" si="786"/>
        <v>5.6176649878816001E-2</v>
      </c>
      <c r="X790" s="50">
        <f t="shared" si="786"/>
        <v>6.2194705000087863E-2</v>
      </c>
      <c r="Y790" s="50">
        <f t="shared" si="786"/>
        <v>5.7928891294023718E-2</v>
      </c>
      <c r="Z790" s="50">
        <f t="shared" si="786"/>
        <v>5.019499221712586E-2</v>
      </c>
      <c r="AA790" s="50">
        <f t="shared" si="786"/>
        <v>4.1853093029906328E-2</v>
      </c>
      <c r="AB790" s="50">
        <f t="shared" si="786"/>
        <v>3.507334666327714E-2</v>
      </c>
      <c r="AC790" s="8">
        <f t="shared" si="785"/>
        <v>4.9999999999999991</v>
      </c>
    </row>
    <row r="791" spans="2:29">
      <c r="B791" s="16"/>
      <c r="C791" s="8" t="s">
        <v>48</v>
      </c>
      <c r="D791" s="8">
        <v>2</v>
      </c>
      <c r="E791" s="50">
        <f t="shared" ref="E791:AB791" si="787">+E731</f>
        <v>3.367503361886829E-2</v>
      </c>
      <c r="F791" s="50">
        <f t="shared" si="787"/>
        <v>3.1245692535415936E-2</v>
      </c>
      <c r="G791" s="50">
        <f t="shared" si="787"/>
        <v>2.9861746203171599E-2</v>
      </c>
      <c r="H791" s="50">
        <f t="shared" si="787"/>
        <v>2.9235019370742008E-2</v>
      </c>
      <c r="I791" s="50">
        <f t="shared" si="787"/>
        <v>3.0186379118294998E-2</v>
      </c>
      <c r="J791" s="50">
        <f t="shared" si="787"/>
        <v>3.3123682717801174E-2</v>
      </c>
      <c r="K791" s="50">
        <f t="shared" si="787"/>
        <v>3.5563630818173868E-2</v>
      </c>
      <c r="L791" s="50">
        <f t="shared" si="787"/>
        <v>3.7375437025807548E-2</v>
      </c>
      <c r="M791" s="50">
        <f t="shared" si="787"/>
        <v>3.9557895894381336E-2</v>
      </c>
      <c r="N791" s="50">
        <f t="shared" si="787"/>
        <v>4.1330002492198488E-2</v>
      </c>
      <c r="O791" s="50">
        <f t="shared" si="787"/>
        <v>4.3273465010057272E-2</v>
      </c>
      <c r="P791" s="50">
        <f t="shared" si="787"/>
        <v>4.5278417057592932E-2</v>
      </c>
      <c r="Q791" s="50">
        <f t="shared" si="787"/>
        <v>4.5765189585786785E-2</v>
      </c>
      <c r="R791" s="50">
        <f t="shared" si="787"/>
        <v>4.421428774797561E-2</v>
      </c>
      <c r="S791" s="50">
        <f t="shared" si="787"/>
        <v>4.3245429527174986E-2</v>
      </c>
      <c r="T791" s="50">
        <f t="shared" si="787"/>
        <v>4.3554999005074702E-2</v>
      </c>
      <c r="U791" s="50">
        <f t="shared" si="787"/>
        <v>4.4435510161992771E-2</v>
      </c>
      <c r="V791" s="50">
        <f t="shared" si="787"/>
        <v>4.717219114348542E-2</v>
      </c>
      <c r="W791" s="50">
        <f t="shared" si="787"/>
        <v>5.6899741232983039E-2</v>
      </c>
      <c r="X791" s="50">
        <f t="shared" si="787"/>
        <v>6.1986738769463187E-2</v>
      </c>
      <c r="Y791" s="50">
        <f t="shared" si="787"/>
        <v>5.7208700429979269E-2</v>
      </c>
      <c r="Z791" s="50">
        <f t="shared" si="787"/>
        <v>4.9339560702577757E-2</v>
      </c>
      <c r="AA791" s="50">
        <f t="shared" si="787"/>
        <v>4.1368944501432053E-2</v>
      </c>
      <c r="AB791" s="50">
        <f t="shared" si="787"/>
        <v>3.5102305329568817E-2</v>
      </c>
      <c r="AC791" s="8">
        <f t="shared" si="785"/>
        <v>1.9999999999999996</v>
      </c>
    </row>
    <row r="792" spans="2:29">
      <c r="B792" s="12"/>
      <c r="C792" s="12" t="s">
        <v>15</v>
      </c>
      <c r="D792" s="12">
        <f>+SUM(D788:D791)</f>
        <v>31</v>
      </c>
      <c r="E792" s="19">
        <f>+SUMPRODUCT(E788:E791,$D788:$D791)</f>
        <v>0.94362067538169059</v>
      </c>
      <c r="F792" s="19">
        <f>+SUMPRODUCT(F788:F791,$D788:$D791)</f>
        <v>0.88644581564746461</v>
      </c>
      <c r="G792" s="19">
        <f t="shared" ref="G792:AB792" si="788">+SUMPRODUCT(G788:G791,$D788:$D791)</f>
        <v>0.85537890999793265</v>
      </c>
      <c r="H792" s="19">
        <f t="shared" si="788"/>
        <v>0.85079567457439098</v>
      </c>
      <c r="I792" s="19">
        <f t="shared" si="788"/>
        <v>0.90390856586527035</v>
      </c>
      <c r="J792" s="19">
        <f t="shared" si="788"/>
        <v>1.0407370026843787</v>
      </c>
      <c r="K792" s="19">
        <f t="shared" si="788"/>
        <v>1.1648829080952143</v>
      </c>
      <c r="L792" s="19">
        <f t="shared" si="788"/>
        <v>1.2139011207673314</v>
      </c>
      <c r="M792" s="19">
        <f t="shared" si="788"/>
        <v>1.2699823412971984</v>
      </c>
      <c r="N792" s="19">
        <f t="shared" si="788"/>
        <v>1.3112106941074599</v>
      </c>
      <c r="O792" s="19">
        <f t="shared" si="788"/>
        <v>1.3690226124046718</v>
      </c>
      <c r="P792" s="19">
        <f t="shared" si="788"/>
        <v>1.4323345861123198</v>
      </c>
      <c r="Q792" s="19">
        <f t="shared" si="788"/>
        <v>1.4144088694407633</v>
      </c>
      <c r="R792" s="19">
        <f t="shared" si="788"/>
        <v>1.3664150684176015</v>
      </c>
      <c r="S792" s="19">
        <f t="shared" si="788"/>
        <v>1.3606342987398512</v>
      </c>
      <c r="T792" s="19">
        <f t="shared" si="788"/>
        <v>1.3844307316288669</v>
      </c>
      <c r="U792" s="19">
        <f t="shared" si="788"/>
        <v>1.4141756159825074</v>
      </c>
      <c r="V792" s="19">
        <f t="shared" si="788"/>
        <v>1.4785156329045233</v>
      </c>
      <c r="W792" s="19">
        <f t="shared" si="788"/>
        <v>1.7614627841344683</v>
      </c>
      <c r="X792" s="19">
        <f t="shared" si="788"/>
        <v>1.9145683902142034</v>
      </c>
      <c r="Y792" s="19">
        <f t="shared" si="788"/>
        <v>1.7767732560297</v>
      </c>
      <c r="Z792" s="19">
        <f t="shared" si="788"/>
        <v>1.5518258807224479</v>
      </c>
      <c r="AA792" s="19">
        <f t="shared" si="788"/>
        <v>1.2787045909343993</v>
      </c>
      <c r="AB792" s="19">
        <f t="shared" si="788"/>
        <v>1.0558639739153441</v>
      </c>
      <c r="AC792" s="12">
        <f>+SUM(E792:AB792)</f>
        <v>30.999999999999996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599-B3F2-4C8C-A5B5-834ACCF46F25}">
  <dimension ref="B2:L116"/>
  <sheetViews>
    <sheetView showGridLines="0" tabSelected="1" workbookViewId="0">
      <selection activeCell="D7" sqref="D7"/>
    </sheetView>
  </sheetViews>
  <sheetFormatPr baseColWidth="10" defaultRowHeight="14.5"/>
  <cols>
    <col min="2" max="2" width="14.08984375" customWidth="1"/>
    <col min="3" max="3" width="16" customWidth="1"/>
    <col min="4" max="4" width="15.90625" customWidth="1"/>
    <col min="5" max="5" width="15.6328125" customWidth="1"/>
    <col min="6" max="6" width="17.08984375" customWidth="1"/>
    <col min="7" max="7" width="7.6328125" customWidth="1"/>
    <col min="8" max="8" width="10.54296875" bestFit="1" customWidth="1"/>
    <col min="9" max="9" width="13.08984375" bestFit="1" customWidth="1"/>
    <col min="10" max="10" width="9.54296875" bestFit="1" customWidth="1"/>
    <col min="11" max="11" width="9.90625" bestFit="1" customWidth="1"/>
  </cols>
  <sheetData>
    <row r="2" spans="2:12">
      <c r="B2" s="56" t="s">
        <v>3</v>
      </c>
      <c r="C2" s="4"/>
      <c r="D2" s="4" t="str">
        <f>Basis!D3</f>
        <v>CP-CEOC-2026-003</v>
      </c>
      <c r="E2" s="4"/>
      <c r="F2" s="5"/>
    </row>
    <row r="3" spans="2:12">
      <c r="B3" s="11" t="s">
        <v>4</v>
      </c>
      <c r="C3" s="6"/>
      <c r="D3" s="51" t="s">
        <v>55</v>
      </c>
      <c r="E3" s="6"/>
      <c r="F3" s="52"/>
    </row>
    <row r="5" spans="2:12">
      <c r="B5" s="56" t="s">
        <v>0</v>
      </c>
      <c r="C5" s="4"/>
      <c r="D5" s="4" t="str">
        <f>+Basis!D4</f>
        <v>kWh</v>
      </c>
      <c r="E5" s="4"/>
      <c r="F5" s="5"/>
    </row>
    <row r="6" spans="2:12">
      <c r="B6" s="9" t="s">
        <v>1</v>
      </c>
      <c r="D6" t="str">
        <f>+Basis!D5</f>
        <v>PLC - Pague Lo Contratado</v>
      </c>
      <c r="F6" s="13"/>
    </row>
    <row r="7" spans="2:12">
      <c r="B7" s="11" t="s">
        <v>2</v>
      </c>
      <c r="C7" s="6"/>
      <c r="D7" s="6"/>
      <c r="E7" s="6"/>
      <c r="F7" s="52"/>
    </row>
    <row r="9" spans="2:12" ht="43.5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>
      <c r="B10" s="57">
        <v>46388</v>
      </c>
      <c r="C10" s="58">
        <v>5244820.5600000974</v>
      </c>
      <c r="D10" s="59">
        <v>1</v>
      </c>
      <c r="E10" s="58">
        <f>+C10*D10</f>
        <v>5244820.5600000974</v>
      </c>
      <c r="F10" s="94"/>
    </row>
    <row r="11" spans="2:12">
      <c r="B11" s="61">
        <f>+EDATE(B10,1)</f>
        <v>46419</v>
      </c>
      <c r="C11" s="62">
        <v>6143027.5200000573</v>
      </c>
      <c r="D11" s="63">
        <f>+D10</f>
        <v>1</v>
      </c>
      <c r="E11" s="62">
        <f t="shared" ref="E11:E62" si="0">+C11*D11</f>
        <v>6143027.5200000573</v>
      </c>
      <c r="F11" s="95"/>
    </row>
    <row r="12" spans="2:12">
      <c r="B12" s="61">
        <f t="shared" ref="B12:B63" si="1">+EDATE(B11,1)</f>
        <v>46447</v>
      </c>
      <c r="C12" s="62">
        <v>5760479.5200000424</v>
      </c>
      <c r="D12" s="63">
        <f t="shared" ref="D12:D63" si="2">+D11</f>
        <v>1</v>
      </c>
      <c r="E12" s="62">
        <f t="shared" si="0"/>
        <v>5760479.5200000424</v>
      </c>
      <c r="F12" s="95"/>
      <c r="I12" s="91"/>
      <c r="J12" s="49"/>
    </row>
    <row r="13" spans="2:12">
      <c r="B13" s="61">
        <f t="shared" si="1"/>
        <v>46478</v>
      </c>
      <c r="C13" s="62">
        <v>3057415.2000000156</v>
      </c>
      <c r="D13" s="63">
        <f t="shared" si="2"/>
        <v>1</v>
      </c>
      <c r="E13" s="62">
        <f t="shared" si="0"/>
        <v>3057415.2000000156</v>
      </c>
      <c r="F13" s="95"/>
      <c r="I13" s="91"/>
      <c r="J13" s="49"/>
    </row>
    <row r="14" spans="2:12">
      <c r="B14" s="61">
        <f t="shared" si="1"/>
        <v>46508</v>
      </c>
      <c r="C14" s="62">
        <v>3048897.1199999875</v>
      </c>
      <c r="D14" s="63">
        <f t="shared" si="2"/>
        <v>1</v>
      </c>
      <c r="E14" s="62">
        <f t="shared" si="0"/>
        <v>3048897.1199999875</v>
      </c>
      <c r="F14" s="95"/>
      <c r="H14" s="92"/>
      <c r="I14" s="91"/>
      <c r="J14" s="49"/>
      <c r="L14" s="65"/>
    </row>
    <row r="15" spans="2:12">
      <c r="B15" s="61">
        <f t="shared" si="1"/>
        <v>46539</v>
      </c>
      <c r="C15" s="62">
        <v>3055708.8000000208</v>
      </c>
      <c r="D15" s="63">
        <f t="shared" si="2"/>
        <v>1</v>
      </c>
      <c r="E15" s="62">
        <f t="shared" si="0"/>
        <v>3055708.8000000208</v>
      </c>
      <c r="F15" s="95"/>
      <c r="H15" s="92"/>
      <c r="I15" s="91"/>
      <c r="J15" s="49"/>
      <c r="L15" s="65"/>
    </row>
    <row r="16" spans="2:12">
      <c r="B16" s="61">
        <f t="shared" si="1"/>
        <v>46569</v>
      </c>
      <c r="C16" s="62">
        <v>3049313.7600000217</v>
      </c>
      <c r="D16" s="63">
        <f t="shared" si="2"/>
        <v>1</v>
      </c>
      <c r="E16" s="62">
        <f t="shared" si="0"/>
        <v>3049313.7600000217</v>
      </c>
      <c r="F16" s="95"/>
      <c r="H16" s="92"/>
      <c r="I16" s="91"/>
      <c r="J16" s="49"/>
      <c r="L16" s="65"/>
    </row>
    <row r="17" spans="2:12">
      <c r="B17" s="61">
        <f t="shared" si="1"/>
        <v>46600</v>
      </c>
      <c r="C17" s="62">
        <v>3049581.5999999586</v>
      </c>
      <c r="D17" s="63">
        <f t="shared" si="2"/>
        <v>1</v>
      </c>
      <c r="E17" s="62">
        <f t="shared" si="0"/>
        <v>3049581.5999999586</v>
      </c>
      <c r="F17" s="95"/>
      <c r="H17" s="92"/>
      <c r="I17" s="91"/>
      <c r="J17" s="49"/>
      <c r="L17" s="65"/>
    </row>
    <row r="18" spans="2:12">
      <c r="B18" s="61">
        <f t="shared" si="1"/>
        <v>46631</v>
      </c>
      <c r="C18" s="62">
        <v>3057760.8000000073</v>
      </c>
      <c r="D18" s="63">
        <f t="shared" si="2"/>
        <v>1</v>
      </c>
      <c r="E18" s="62">
        <f t="shared" si="0"/>
        <v>3057760.8000000073</v>
      </c>
      <c r="F18" s="95"/>
      <c r="I18" s="91"/>
      <c r="J18" s="49"/>
    </row>
    <row r="19" spans="2:12">
      <c r="B19" s="61">
        <f t="shared" si="1"/>
        <v>46661</v>
      </c>
      <c r="C19" s="62">
        <v>3049842</v>
      </c>
      <c r="D19" s="63">
        <f t="shared" si="2"/>
        <v>1</v>
      </c>
      <c r="E19" s="62">
        <f t="shared" si="0"/>
        <v>3049842</v>
      </c>
      <c r="F19" s="95"/>
      <c r="I19" s="91"/>
      <c r="J19" s="49"/>
    </row>
    <row r="20" spans="2:12">
      <c r="B20" s="61">
        <f>+EDATE(B19,1)</f>
        <v>46692</v>
      </c>
      <c r="C20" s="62">
        <v>3057638.4000000344</v>
      </c>
      <c r="D20" s="63">
        <f t="shared" si="2"/>
        <v>1</v>
      </c>
      <c r="E20" s="62">
        <f t="shared" si="0"/>
        <v>3057638.4000000344</v>
      </c>
      <c r="F20" s="95"/>
      <c r="I20" s="91"/>
      <c r="J20" s="49"/>
    </row>
    <row r="21" spans="2:12">
      <c r="B21" s="70">
        <f t="shared" si="1"/>
        <v>46722</v>
      </c>
      <c r="C21" s="71">
        <v>5049847.9200000074</v>
      </c>
      <c r="D21" s="72">
        <f t="shared" si="2"/>
        <v>1</v>
      </c>
      <c r="E21" s="71">
        <f t="shared" si="0"/>
        <v>5049847.9200000074</v>
      </c>
      <c r="F21" s="96"/>
      <c r="H21" s="65"/>
      <c r="I21" s="91"/>
      <c r="J21" s="49"/>
    </row>
    <row r="22" spans="2:12" hidden="1">
      <c r="B22" s="57" t="e">
        <f>+EDATE(#REF!,1)</f>
        <v>#REF!</v>
      </c>
      <c r="C22" s="58"/>
      <c r="D22" s="59" t="e">
        <f>+#REF!</f>
        <v>#REF!</v>
      </c>
      <c r="E22" s="58" t="e">
        <f t="shared" si="0"/>
        <v>#REF!</v>
      </c>
      <c r="F22" s="82"/>
      <c r="I22" s="65">
        <f t="shared" ref="I22:I33" si="3">+ROUND(J22,2)</f>
        <v>0</v>
      </c>
      <c r="K22" s="86"/>
    </row>
    <row r="23" spans="2:12" hidden="1">
      <c r="B23" s="61" t="e">
        <f t="shared" si="1"/>
        <v>#REF!</v>
      </c>
      <c r="C23" s="62"/>
      <c r="D23" s="63" t="e">
        <f t="shared" si="2"/>
        <v>#REF!</v>
      </c>
      <c r="E23" s="62" t="e">
        <f t="shared" si="0"/>
        <v>#REF!</v>
      </c>
      <c r="F23" s="83"/>
      <c r="I23" s="65">
        <f t="shared" si="3"/>
        <v>0</v>
      </c>
    </row>
    <row r="24" spans="2:12" hidden="1">
      <c r="B24" s="61" t="e">
        <f t="shared" si="1"/>
        <v>#REF!</v>
      </c>
      <c r="C24" s="62"/>
      <c r="D24" s="63" t="e">
        <f t="shared" si="2"/>
        <v>#REF!</v>
      </c>
      <c r="E24" s="62" t="e">
        <f t="shared" si="0"/>
        <v>#REF!</v>
      </c>
      <c r="F24" s="83"/>
      <c r="I24" s="65">
        <f t="shared" si="3"/>
        <v>0</v>
      </c>
    </row>
    <row r="25" spans="2:12" hidden="1">
      <c r="B25" s="61" t="e">
        <f t="shared" si="1"/>
        <v>#REF!</v>
      </c>
      <c r="C25" s="62"/>
      <c r="D25" s="63" t="e">
        <f t="shared" si="2"/>
        <v>#REF!</v>
      </c>
      <c r="E25" s="62" t="e">
        <f t="shared" si="0"/>
        <v>#REF!</v>
      </c>
      <c r="F25" s="83"/>
      <c r="I25" s="65">
        <f t="shared" si="3"/>
        <v>0</v>
      </c>
    </row>
    <row r="26" spans="2:12" hidden="1">
      <c r="B26" s="61" t="e">
        <f t="shared" si="1"/>
        <v>#REF!</v>
      </c>
      <c r="C26" s="62"/>
      <c r="D26" s="63" t="e">
        <f t="shared" si="2"/>
        <v>#REF!</v>
      </c>
      <c r="E26" s="62" t="e">
        <f t="shared" si="0"/>
        <v>#REF!</v>
      </c>
      <c r="F26" s="83"/>
      <c r="I26" s="65">
        <f t="shared" si="3"/>
        <v>0</v>
      </c>
    </row>
    <row r="27" spans="2:12" hidden="1">
      <c r="B27" s="61" t="e">
        <f t="shared" si="1"/>
        <v>#REF!</v>
      </c>
      <c r="C27" s="62"/>
      <c r="D27" s="63" t="e">
        <f t="shared" si="2"/>
        <v>#REF!</v>
      </c>
      <c r="E27" s="62" t="e">
        <f t="shared" si="0"/>
        <v>#REF!</v>
      </c>
      <c r="F27" s="83"/>
      <c r="I27" s="65">
        <f t="shared" si="3"/>
        <v>0</v>
      </c>
    </row>
    <row r="28" spans="2:12" hidden="1">
      <c r="B28" s="61" t="e">
        <f t="shared" si="1"/>
        <v>#REF!</v>
      </c>
      <c r="C28" s="62"/>
      <c r="D28" s="63" t="e">
        <f t="shared" si="2"/>
        <v>#REF!</v>
      </c>
      <c r="E28" s="62" t="e">
        <f t="shared" si="0"/>
        <v>#REF!</v>
      </c>
      <c r="F28" s="83"/>
      <c r="I28" s="65">
        <f t="shared" si="3"/>
        <v>0</v>
      </c>
    </row>
    <row r="29" spans="2:12" hidden="1">
      <c r="B29" s="61" t="e">
        <f t="shared" si="1"/>
        <v>#REF!</v>
      </c>
      <c r="C29" s="62"/>
      <c r="D29" s="63" t="e">
        <f t="shared" si="2"/>
        <v>#REF!</v>
      </c>
      <c r="E29" s="62" t="e">
        <f t="shared" si="0"/>
        <v>#REF!</v>
      </c>
      <c r="F29" s="83"/>
      <c r="I29" s="65">
        <f t="shared" si="3"/>
        <v>0</v>
      </c>
    </row>
    <row r="30" spans="2:12" hidden="1">
      <c r="B30" s="61" t="e">
        <f t="shared" si="1"/>
        <v>#REF!</v>
      </c>
      <c r="C30" s="62"/>
      <c r="D30" s="63" t="e">
        <f t="shared" si="2"/>
        <v>#REF!</v>
      </c>
      <c r="E30" s="62" t="e">
        <f t="shared" si="0"/>
        <v>#REF!</v>
      </c>
      <c r="F30" s="83"/>
      <c r="I30" s="65">
        <f t="shared" si="3"/>
        <v>0</v>
      </c>
    </row>
    <row r="31" spans="2:12" hidden="1">
      <c r="B31" s="61" t="e">
        <f t="shared" si="1"/>
        <v>#REF!</v>
      </c>
      <c r="C31" s="62"/>
      <c r="D31" s="63" t="e">
        <f t="shared" si="2"/>
        <v>#REF!</v>
      </c>
      <c r="E31" s="62" t="e">
        <f t="shared" si="0"/>
        <v>#REF!</v>
      </c>
      <c r="F31" s="83"/>
      <c r="I31" s="65">
        <f t="shared" si="3"/>
        <v>0</v>
      </c>
    </row>
    <row r="32" spans="2:12" hidden="1">
      <c r="B32" s="61" t="e">
        <f t="shared" si="1"/>
        <v>#REF!</v>
      </c>
      <c r="C32" s="62"/>
      <c r="D32" s="63" t="e">
        <f t="shared" si="2"/>
        <v>#REF!</v>
      </c>
      <c r="E32" s="62" t="e">
        <f t="shared" si="0"/>
        <v>#REF!</v>
      </c>
      <c r="F32" s="83"/>
      <c r="I32" s="65">
        <f t="shared" si="3"/>
        <v>0</v>
      </c>
    </row>
    <row r="33" spans="2:11" hidden="1">
      <c r="B33" s="70" t="e">
        <f t="shared" si="1"/>
        <v>#REF!</v>
      </c>
      <c r="C33" s="71"/>
      <c r="D33" s="72" t="e">
        <f t="shared" si="2"/>
        <v>#REF!</v>
      </c>
      <c r="E33" s="71" t="e">
        <f t="shared" si="0"/>
        <v>#REF!</v>
      </c>
      <c r="F33" s="84"/>
      <c r="H33" s="65" t="e">
        <f>+SUM(E22:E33)-'Cant. P01'!AF188</f>
        <v>#REF!</v>
      </c>
      <c r="I33" s="65">
        <f t="shared" si="3"/>
        <v>0</v>
      </c>
    </row>
    <row r="34" spans="2:11" hidden="1">
      <c r="B34" s="57" t="e">
        <f t="shared" si="1"/>
        <v>#REF!</v>
      </c>
      <c r="C34" s="58"/>
      <c r="D34" s="59" t="e">
        <f t="shared" si="2"/>
        <v>#REF!</v>
      </c>
      <c r="E34" s="58" t="e">
        <f t="shared" si="0"/>
        <v>#REF!</v>
      </c>
      <c r="F34" s="82"/>
      <c r="I34" s="65">
        <f>+ROUND(J34,2)</f>
        <v>0</v>
      </c>
      <c r="K34" s="86"/>
    </row>
    <row r="35" spans="2:11" hidden="1">
      <c r="B35" s="61" t="e">
        <f t="shared" si="1"/>
        <v>#REF!</v>
      </c>
      <c r="C35" s="62"/>
      <c r="D35" s="63" t="e">
        <f t="shared" si="2"/>
        <v>#REF!</v>
      </c>
      <c r="E35" s="62" t="e">
        <f t="shared" si="0"/>
        <v>#REF!</v>
      </c>
      <c r="F35" s="83"/>
      <c r="I35" s="65">
        <f t="shared" ref="I35:I98" si="4">+ROUND(J35,2)</f>
        <v>0</v>
      </c>
    </row>
    <row r="36" spans="2:11" hidden="1">
      <c r="B36" s="61" t="e">
        <f t="shared" si="1"/>
        <v>#REF!</v>
      </c>
      <c r="C36" s="62"/>
      <c r="D36" s="63" t="e">
        <f t="shared" si="2"/>
        <v>#REF!</v>
      </c>
      <c r="E36" s="62" t="e">
        <f t="shared" si="0"/>
        <v>#REF!</v>
      </c>
      <c r="F36" s="83"/>
      <c r="I36" s="65">
        <f t="shared" si="4"/>
        <v>0</v>
      </c>
    </row>
    <row r="37" spans="2:11" hidden="1">
      <c r="B37" s="61" t="e">
        <f t="shared" si="1"/>
        <v>#REF!</v>
      </c>
      <c r="C37" s="62"/>
      <c r="D37" s="63" t="e">
        <f t="shared" si="2"/>
        <v>#REF!</v>
      </c>
      <c r="E37" s="62" t="e">
        <f t="shared" si="0"/>
        <v>#REF!</v>
      </c>
      <c r="F37" s="83"/>
      <c r="I37" s="65">
        <f t="shared" si="4"/>
        <v>0</v>
      </c>
    </row>
    <row r="38" spans="2:11" hidden="1">
      <c r="B38" s="61" t="e">
        <f t="shared" si="1"/>
        <v>#REF!</v>
      </c>
      <c r="C38" s="62"/>
      <c r="D38" s="63" t="e">
        <f t="shared" si="2"/>
        <v>#REF!</v>
      </c>
      <c r="E38" s="62" t="e">
        <f t="shared" si="0"/>
        <v>#REF!</v>
      </c>
      <c r="F38" s="83"/>
      <c r="I38" s="65">
        <f t="shared" si="4"/>
        <v>0</v>
      </c>
    </row>
    <row r="39" spans="2:11" hidden="1">
      <c r="B39" s="61" t="e">
        <f t="shared" si="1"/>
        <v>#REF!</v>
      </c>
      <c r="C39" s="62"/>
      <c r="D39" s="63" t="e">
        <f t="shared" si="2"/>
        <v>#REF!</v>
      </c>
      <c r="E39" s="62" t="e">
        <f t="shared" si="0"/>
        <v>#REF!</v>
      </c>
      <c r="F39" s="83"/>
      <c r="I39" s="65">
        <f t="shared" si="4"/>
        <v>0</v>
      </c>
    </row>
    <row r="40" spans="2:11" hidden="1">
      <c r="B40" s="61" t="e">
        <f t="shared" si="1"/>
        <v>#REF!</v>
      </c>
      <c r="C40" s="62"/>
      <c r="D40" s="63" t="e">
        <f t="shared" si="2"/>
        <v>#REF!</v>
      </c>
      <c r="E40" s="62" t="e">
        <f t="shared" si="0"/>
        <v>#REF!</v>
      </c>
      <c r="F40" s="83"/>
      <c r="I40" s="65">
        <f t="shared" si="4"/>
        <v>0</v>
      </c>
    </row>
    <row r="41" spans="2:11" hidden="1">
      <c r="B41" s="61" t="e">
        <f t="shared" si="1"/>
        <v>#REF!</v>
      </c>
      <c r="C41" s="62"/>
      <c r="D41" s="63" t="e">
        <f t="shared" si="2"/>
        <v>#REF!</v>
      </c>
      <c r="E41" s="62" t="e">
        <f t="shared" si="0"/>
        <v>#REF!</v>
      </c>
      <c r="F41" s="83"/>
      <c r="I41" s="65">
        <f t="shared" si="4"/>
        <v>0</v>
      </c>
    </row>
    <row r="42" spans="2:11" hidden="1">
      <c r="B42" s="61" t="e">
        <f t="shared" si="1"/>
        <v>#REF!</v>
      </c>
      <c r="C42" s="62"/>
      <c r="D42" s="63" t="e">
        <f t="shared" si="2"/>
        <v>#REF!</v>
      </c>
      <c r="E42" s="62" t="e">
        <f t="shared" si="0"/>
        <v>#REF!</v>
      </c>
      <c r="F42" s="83"/>
      <c r="I42" s="65">
        <f t="shared" si="4"/>
        <v>0</v>
      </c>
    </row>
    <row r="43" spans="2:11" hidden="1">
      <c r="B43" s="61" t="e">
        <f t="shared" si="1"/>
        <v>#REF!</v>
      </c>
      <c r="C43" s="62"/>
      <c r="D43" s="63" t="e">
        <f t="shared" si="2"/>
        <v>#REF!</v>
      </c>
      <c r="E43" s="62" t="e">
        <f t="shared" si="0"/>
        <v>#REF!</v>
      </c>
      <c r="F43" s="83"/>
      <c r="I43" s="65">
        <f t="shared" si="4"/>
        <v>0</v>
      </c>
    </row>
    <row r="44" spans="2:11" hidden="1">
      <c r="B44" s="61" t="e">
        <f t="shared" si="1"/>
        <v>#REF!</v>
      </c>
      <c r="C44" s="62"/>
      <c r="D44" s="63" t="e">
        <f t="shared" si="2"/>
        <v>#REF!</v>
      </c>
      <c r="E44" s="62" t="e">
        <f t="shared" si="0"/>
        <v>#REF!</v>
      </c>
      <c r="F44" s="83"/>
      <c r="I44" s="65">
        <f t="shared" si="4"/>
        <v>0</v>
      </c>
    </row>
    <row r="45" spans="2:11" hidden="1">
      <c r="B45" s="70" t="e">
        <f t="shared" si="1"/>
        <v>#REF!</v>
      </c>
      <c r="C45" s="71"/>
      <c r="D45" s="72" t="e">
        <f t="shared" si="2"/>
        <v>#REF!</v>
      </c>
      <c r="E45" s="71" t="e">
        <f t="shared" si="0"/>
        <v>#REF!</v>
      </c>
      <c r="F45" s="84"/>
      <c r="H45" s="65" t="e">
        <f>+SUM(E34:E45)-'Cant. P01'!AF248</f>
        <v>#REF!</v>
      </c>
      <c r="I45" s="65">
        <f t="shared" si="4"/>
        <v>0</v>
      </c>
    </row>
    <row r="46" spans="2:11" hidden="1">
      <c r="B46" s="67" t="e">
        <f t="shared" si="1"/>
        <v>#REF!</v>
      </c>
      <c r="C46" s="68"/>
      <c r="D46" s="69" t="e">
        <f t="shared" si="2"/>
        <v>#REF!</v>
      </c>
      <c r="E46" s="68" t="e">
        <f t="shared" si="0"/>
        <v>#REF!</v>
      </c>
      <c r="F46" s="73"/>
      <c r="I46" s="65">
        <f t="shared" si="4"/>
        <v>0</v>
      </c>
      <c r="K46" s="86"/>
    </row>
    <row r="47" spans="2:11" hidden="1">
      <c r="B47" s="61" t="e">
        <f t="shared" si="1"/>
        <v>#REF!</v>
      </c>
      <c r="C47" s="62"/>
      <c r="D47" s="63" t="e">
        <f t="shared" si="2"/>
        <v>#REF!</v>
      </c>
      <c r="E47" s="62" t="e">
        <f t="shared" si="0"/>
        <v>#REF!</v>
      </c>
      <c r="F47" s="83"/>
      <c r="I47" s="65">
        <f t="shared" si="4"/>
        <v>0</v>
      </c>
    </row>
    <row r="48" spans="2:11" hidden="1">
      <c r="B48" s="61" t="e">
        <f t="shared" si="1"/>
        <v>#REF!</v>
      </c>
      <c r="C48" s="62"/>
      <c r="D48" s="63" t="e">
        <f t="shared" si="2"/>
        <v>#REF!</v>
      </c>
      <c r="E48" s="62" t="e">
        <f t="shared" si="0"/>
        <v>#REF!</v>
      </c>
      <c r="F48" s="83"/>
      <c r="I48" s="65">
        <f t="shared" si="4"/>
        <v>0</v>
      </c>
    </row>
    <row r="49" spans="2:11" hidden="1">
      <c r="B49" s="61" t="e">
        <f t="shared" si="1"/>
        <v>#REF!</v>
      </c>
      <c r="C49" s="62"/>
      <c r="D49" s="63" t="e">
        <f t="shared" si="2"/>
        <v>#REF!</v>
      </c>
      <c r="E49" s="62" t="e">
        <f t="shared" si="0"/>
        <v>#REF!</v>
      </c>
      <c r="F49" s="83"/>
      <c r="I49" s="65">
        <f t="shared" si="4"/>
        <v>0</v>
      </c>
    </row>
    <row r="50" spans="2:11" hidden="1">
      <c r="B50" s="61" t="e">
        <f t="shared" si="1"/>
        <v>#REF!</v>
      </c>
      <c r="C50" s="62"/>
      <c r="D50" s="63" t="e">
        <f t="shared" si="2"/>
        <v>#REF!</v>
      </c>
      <c r="E50" s="62" t="e">
        <f t="shared" si="0"/>
        <v>#REF!</v>
      </c>
      <c r="F50" s="83"/>
      <c r="I50" s="65">
        <f t="shared" si="4"/>
        <v>0</v>
      </c>
    </row>
    <row r="51" spans="2:11" hidden="1">
      <c r="B51" s="61" t="e">
        <f t="shared" si="1"/>
        <v>#REF!</v>
      </c>
      <c r="C51" s="62"/>
      <c r="D51" s="63" t="e">
        <f t="shared" si="2"/>
        <v>#REF!</v>
      </c>
      <c r="E51" s="62" t="e">
        <f t="shared" si="0"/>
        <v>#REF!</v>
      </c>
      <c r="F51" s="83"/>
      <c r="I51" s="65">
        <f t="shared" si="4"/>
        <v>0</v>
      </c>
    </row>
    <row r="52" spans="2:11" hidden="1">
      <c r="B52" s="61" t="e">
        <f t="shared" si="1"/>
        <v>#REF!</v>
      </c>
      <c r="C52" s="62"/>
      <c r="D52" s="63" t="e">
        <f t="shared" si="2"/>
        <v>#REF!</v>
      </c>
      <c r="E52" s="62" t="e">
        <f t="shared" si="0"/>
        <v>#REF!</v>
      </c>
      <c r="F52" s="83"/>
      <c r="I52" s="65">
        <f t="shared" si="4"/>
        <v>0</v>
      </c>
    </row>
    <row r="53" spans="2:11" hidden="1">
      <c r="B53" s="61" t="e">
        <f t="shared" si="1"/>
        <v>#REF!</v>
      </c>
      <c r="C53" s="62"/>
      <c r="D53" s="63" t="e">
        <f t="shared" si="2"/>
        <v>#REF!</v>
      </c>
      <c r="E53" s="62" t="e">
        <f t="shared" si="0"/>
        <v>#REF!</v>
      </c>
      <c r="F53" s="83"/>
      <c r="I53" s="65">
        <f t="shared" si="4"/>
        <v>0</v>
      </c>
    </row>
    <row r="54" spans="2:11" hidden="1">
      <c r="B54" s="61" t="e">
        <f t="shared" si="1"/>
        <v>#REF!</v>
      </c>
      <c r="C54" s="62"/>
      <c r="D54" s="63" t="e">
        <f t="shared" si="2"/>
        <v>#REF!</v>
      </c>
      <c r="E54" s="62" t="e">
        <f t="shared" si="0"/>
        <v>#REF!</v>
      </c>
      <c r="F54" s="83"/>
      <c r="I54" s="65">
        <f t="shared" si="4"/>
        <v>0</v>
      </c>
    </row>
    <row r="55" spans="2:11" hidden="1">
      <c r="B55" s="61" t="e">
        <f t="shared" si="1"/>
        <v>#REF!</v>
      </c>
      <c r="C55" s="62"/>
      <c r="D55" s="63" t="e">
        <f t="shared" si="2"/>
        <v>#REF!</v>
      </c>
      <c r="E55" s="62" t="e">
        <f t="shared" si="0"/>
        <v>#REF!</v>
      </c>
      <c r="F55" s="83"/>
      <c r="I55" s="65">
        <f t="shared" si="4"/>
        <v>0</v>
      </c>
    </row>
    <row r="56" spans="2:11" hidden="1">
      <c r="B56" s="61" t="e">
        <f t="shared" si="1"/>
        <v>#REF!</v>
      </c>
      <c r="C56" s="62"/>
      <c r="D56" s="63" t="e">
        <f t="shared" si="2"/>
        <v>#REF!</v>
      </c>
      <c r="E56" s="62" t="e">
        <f t="shared" si="0"/>
        <v>#REF!</v>
      </c>
      <c r="F56" s="83"/>
      <c r="I56" s="65">
        <f t="shared" si="4"/>
        <v>0</v>
      </c>
    </row>
    <row r="57" spans="2:11" hidden="1">
      <c r="B57" s="76" t="e">
        <f t="shared" si="1"/>
        <v>#REF!</v>
      </c>
      <c r="C57" s="77"/>
      <c r="D57" s="78" t="e">
        <f t="shared" si="2"/>
        <v>#REF!</v>
      </c>
      <c r="E57" s="77" t="e">
        <f t="shared" si="0"/>
        <v>#REF!</v>
      </c>
      <c r="F57" s="85"/>
      <c r="H57" s="65" t="e">
        <f>+SUM(E46:E57)-'Cant. P01'!AF308</f>
        <v>#REF!</v>
      </c>
      <c r="I57" s="65">
        <f t="shared" si="4"/>
        <v>0</v>
      </c>
    </row>
    <row r="58" spans="2:11" hidden="1">
      <c r="B58" s="57" t="e">
        <f t="shared" si="1"/>
        <v>#REF!</v>
      </c>
      <c r="C58" s="58"/>
      <c r="D58" s="59" t="e">
        <f t="shared" si="2"/>
        <v>#REF!</v>
      </c>
      <c r="E58" s="58" t="e">
        <f t="shared" si="0"/>
        <v>#REF!</v>
      </c>
      <c r="F58" s="60"/>
      <c r="I58" s="65">
        <f t="shared" si="4"/>
        <v>0</v>
      </c>
      <c r="K58" s="86"/>
    </row>
    <row r="59" spans="2:11" hidden="1">
      <c r="B59" s="61" t="e">
        <f t="shared" si="1"/>
        <v>#REF!</v>
      </c>
      <c r="C59" s="62"/>
      <c r="D59" s="63" t="e">
        <f t="shared" si="2"/>
        <v>#REF!</v>
      </c>
      <c r="E59" s="62" t="e">
        <f t="shared" si="0"/>
        <v>#REF!</v>
      </c>
      <c r="F59" s="64"/>
      <c r="I59" s="65">
        <f t="shared" si="4"/>
        <v>0</v>
      </c>
    </row>
    <row r="60" spans="2:11" hidden="1">
      <c r="B60" s="61" t="e">
        <f t="shared" si="1"/>
        <v>#REF!</v>
      </c>
      <c r="C60" s="62"/>
      <c r="D60" s="63" t="e">
        <f t="shared" si="2"/>
        <v>#REF!</v>
      </c>
      <c r="E60" s="62" t="e">
        <f t="shared" si="0"/>
        <v>#REF!</v>
      </c>
      <c r="F60" s="64"/>
      <c r="I60" s="65">
        <f t="shared" si="4"/>
        <v>0</v>
      </c>
    </row>
    <row r="61" spans="2:11" hidden="1">
      <c r="B61" s="61" t="e">
        <f t="shared" si="1"/>
        <v>#REF!</v>
      </c>
      <c r="C61" s="62"/>
      <c r="D61" s="63" t="e">
        <f t="shared" si="2"/>
        <v>#REF!</v>
      </c>
      <c r="E61" s="62" t="e">
        <f t="shared" si="0"/>
        <v>#REF!</v>
      </c>
      <c r="F61" s="64"/>
      <c r="I61" s="65">
        <f t="shared" si="4"/>
        <v>0</v>
      </c>
    </row>
    <row r="62" spans="2:11" hidden="1">
      <c r="B62" s="61" t="e">
        <f t="shared" si="1"/>
        <v>#REF!</v>
      </c>
      <c r="C62" s="62"/>
      <c r="D62" s="63" t="e">
        <f t="shared" si="2"/>
        <v>#REF!</v>
      </c>
      <c r="E62" s="62" t="e">
        <f t="shared" si="0"/>
        <v>#REF!</v>
      </c>
      <c r="F62" s="64"/>
      <c r="I62" s="65">
        <f t="shared" si="4"/>
        <v>0</v>
      </c>
    </row>
    <row r="63" spans="2:11" hidden="1">
      <c r="B63" s="61" t="e">
        <f t="shared" si="1"/>
        <v>#REF!</v>
      </c>
      <c r="C63" s="62"/>
      <c r="D63" s="63" t="e">
        <f t="shared" si="2"/>
        <v>#REF!</v>
      </c>
      <c r="E63" s="62" t="e">
        <f t="shared" ref="E63:E69" si="5">+C63*D63</f>
        <v>#REF!</v>
      </c>
      <c r="F63" s="64"/>
      <c r="I63" s="65">
        <f t="shared" si="4"/>
        <v>0</v>
      </c>
    </row>
    <row r="64" spans="2:11" hidden="1">
      <c r="B64" s="61" t="e">
        <f t="shared" ref="B64:B105" si="6">+EDATE(B63,1)</f>
        <v>#REF!</v>
      </c>
      <c r="C64" s="62"/>
      <c r="D64" s="63" t="e">
        <f t="shared" ref="D64:D105" si="7">+D63</f>
        <v>#REF!</v>
      </c>
      <c r="E64" s="62" t="e">
        <f t="shared" si="5"/>
        <v>#REF!</v>
      </c>
      <c r="F64" s="64"/>
      <c r="I64" s="65">
        <f t="shared" si="4"/>
        <v>0</v>
      </c>
    </row>
    <row r="65" spans="2:11" hidden="1">
      <c r="B65" s="61" t="e">
        <f t="shared" si="6"/>
        <v>#REF!</v>
      </c>
      <c r="C65" s="62"/>
      <c r="D65" s="63" t="e">
        <f t="shared" si="7"/>
        <v>#REF!</v>
      </c>
      <c r="E65" s="62" t="e">
        <f t="shared" si="5"/>
        <v>#REF!</v>
      </c>
      <c r="F65" s="64"/>
      <c r="I65" s="65">
        <f t="shared" si="4"/>
        <v>0</v>
      </c>
    </row>
    <row r="66" spans="2:11" hidden="1">
      <c r="B66" s="61" t="e">
        <f t="shared" si="6"/>
        <v>#REF!</v>
      </c>
      <c r="C66" s="62"/>
      <c r="D66" s="63" t="e">
        <f t="shared" si="7"/>
        <v>#REF!</v>
      </c>
      <c r="E66" s="62" t="e">
        <f t="shared" si="5"/>
        <v>#REF!</v>
      </c>
      <c r="F66" s="64"/>
      <c r="I66" s="65">
        <f t="shared" si="4"/>
        <v>0</v>
      </c>
    </row>
    <row r="67" spans="2:11" hidden="1">
      <c r="B67" s="61" t="e">
        <f t="shared" si="6"/>
        <v>#REF!</v>
      </c>
      <c r="C67" s="62"/>
      <c r="D67" s="63" t="e">
        <f t="shared" si="7"/>
        <v>#REF!</v>
      </c>
      <c r="E67" s="62" t="e">
        <f t="shared" si="5"/>
        <v>#REF!</v>
      </c>
      <c r="F67" s="64"/>
      <c r="I67" s="65">
        <f t="shared" si="4"/>
        <v>0</v>
      </c>
    </row>
    <row r="68" spans="2:11" hidden="1">
      <c r="B68" s="61" t="e">
        <f t="shared" si="6"/>
        <v>#REF!</v>
      </c>
      <c r="C68" s="62"/>
      <c r="D68" s="63" t="e">
        <f t="shared" si="7"/>
        <v>#REF!</v>
      </c>
      <c r="E68" s="62" t="e">
        <f t="shared" si="5"/>
        <v>#REF!</v>
      </c>
      <c r="F68" s="64"/>
      <c r="I68" s="65">
        <f t="shared" si="4"/>
        <v>0</v>
      </c>
    </row>
    <row r="69" spans="2:11" hidden="1">
      <c r="B69" s="70" t="e">
        <f t="shared" si="6"/>
        <v>#REF!</v>
      </c>
      <c r="C69" s="71"/>
      <c r="D69" s="72" t="e">
        <f t="shared" si="7"/>
        <v>#REF!</v>
      </c>
      <c r="E69" s="71" t="e">
        <f t="shared" si="5"/>
        <v>#REF!</v>
      </c>
      <c r="F69" s="79"/>
      <c r="H69" s="65" t="e">
        <f>+SUM(E58:E69)-'Cant. P01'!AF368</f>
        <v>#REF!</v>
      </c>
      <c r="I69" s="65">
        <f t="shared" si="4"/>
        <v>0</v>
      </c>
    </row>
    <row r="70" spans="2:11" hidden="1">
      <c r="B70" s="57" t="e">
        <f t="shared" si="6"/>
        <v>#REF!</v>
      </c>
      <c r="C70" s="58"/>
      <c r="D70" s="59" t="e">
        <f t="shared" si="7"/>
        <v>#REF!</v>
      </c>
      <c r="E70" s="58" t="e">
        <f t="shared" ref="E70:E104" si="8">+C70*D70</f>
        <v>#REF!</v>
      </c>
      <c r="F70" s="60"/>
      <c r="I70" s="65">
        <f t="shared" si="4"/>
        <v>0</v>
      </c>
      <c r="K70" s="86"/>
    </row>
    <row r="71" spans="2:11" hidden="1">
      <c r="B71" s="61" t="e">
        <f t="shared" si="6"/>
        <v>#REF!</v>
      </c>
      <c r="C71" s="62"/>
      <c r="D71" s="63" t="e">
        <f t="shared" si="7"/>
        <v>#REF!</v>
      </c>
      <c r="E71" s="62" t="e">
        <f t="shared" si="8"/>
        <v>#REF!</v>
      </c>
      <c r="F71" s="64"/>
      <c r="I71" s="65">
        <f t="shared" si="4"/>
        <v>0</v>
      </c>
    </row>
    <row r="72" spans="2:11" hidden="1">
      <c r="B72" s="61" t="e">
        <f t="shared" si="6"/>
        <v>#REF!</v>
      </c>
      <c r="C72" s="62"/>
      <c r="D72" s="63" t="e">
        <f t="shared" si="7"/>
        <v>#REF!</v>
      </c>
      <c r="E72" s="62" t="e">
        <f t="shared" si="8"/>
        <v>#REF!</v>
      </c>
      <c r="F72" s="64"/>
      <c r="I72" s="65">
        <f t="shared" si="4"/>
        <v>0</v>
      </c>
    </row>
    <row r="73" spans="2:11" hidden="1">
      <c r="B73" s="61" t="e">
        <f t="shared" si="6"/>
        <v>#REF!</v>
      </c>
      <c r="C73" s="62"/>
      <c r="D73" s="63" t="e">
        <f t="shared" si="7"/>
        <v>#REF!</v>
      </c>
      <c r="E73" s="62" t="e">
        <f t="shared" si="8"/>
        <v>#REF!</v>
      </c>
      <c r="F73" s="64"/>
      <c r="I73" s="65">
        <f t="shared" si="4"/>
        <v>0</v>
      </c>
    </row>
    <row r="74" spans="2:11" hidden="1">
      <c r="B74" s="61" t="e">
        <f t="shared" si="6"/>
        <v>#REF!</v>
      </c>
      <c r="C74" s="62"/>
      <c r="D74" s="63" t="e">
        <f t="shared" si="7"/>
        <v>#REF!</v>
      </c>
      <c r="E74" s="62" t="e">
        <f t="shared" si="8"/>
        <v>#REF!</v>
      </c>
      <c r="F74" s="64"/>
      <c r="I74" s="65">
        <f t="shared" si="4"/>
        <v>0</v>
      </c>
    </row>
    <row r="75" spans="2:11" hidden="1">
      <c r="B75" s="61" t="e">
        <f t="shared" si="6"/>
        <v>#REF!</v>
      </c>
      <c r="C75" s="62"/>
      <c r="D75" s="63" t="e">
        <f t="shared" si="7"/>
        <v>#REF!</v>
      </c>
      <c r="E75" s="62" t="e">
        <f t="shared" si="8"/>
        <v>#REF!</v>
      </c>
      <c r="F75" s="64"/>
      <c r="I75" s="65">
        <f t="shared" si="4"/>
        <v>0</v>
      </c>
    </row>
    <row r="76" spans="2:11" hidden="1">
      <c r="B76" s="61" t="e">
        <f t="shared" si="6"/>
        <v>#REF!</v>
      </c>
      <c r="C76" s="62"/>
      <c r="D76" s="63" t="e">
        <f t="shared" si="7"/>
        <v>#REF!</v>
      </c>
      <c r="E76" s="62" t="e">
        <f t="shared" si="8"/>
        <v>#REF!</v>
      </c>
      <c r="F76" s="64"/>
      <c r="I76" s="65">
        <f t="shared" si="4"/>
        <v>0</v>
      </c>
    </row>
    <row r="77" spans="2:11" hidden="1">
      <c r="B77" s="61" t="e">
        <f t="shared" si="6"/>
        <v>#REF!</v>
      </c>
      <c r="C77" s="62"/>
      <c r="D77" s="63" t="e">
        <f t="shared" si="7"/>
        <v>#REF!</v>
      </c>
      <c r="E77" s="62" t="e">
        <f t="shared" si="8"/>
        <v>#REF!</v>
      </c>
      <c r="F77" s="64"/>
      <c r="I77" s="65">
        <f t="shared" si="4"/>
        <v>0</v>
      </c>
    </row>
    <row r="78" spans="2:11" hidden="1">
      <c r="B78" s="61" t="e">
        <f t="shared" si="6"/>
        <v>#REF!</v>
      </c>
      <c r="C78" s="62"/>
      <c r="D78" s="63" t="e">
        <f t="shared" si="7"/>
        <v>#REF!</v>
      </c>
      <c r="E78" s="62" t="e">
        <f t="shared" si="8"/>
        <v>#REF!</v>
      </c>
      <c r="F78" s="64"/>
      <c r="I78" s="65">
        <f t="shared" si="4"/>
        <v>0</v>
      </c>
    </row>
    <row r="79" spans="2:11" hidden="1">
      <c r="B79" s="61" t="e">
        <f t="shared" si="6"/>
        <v>#REF!</v>
      </c>
      <c r="C79" s="62"/>
      <c r="D79" s="63" t="e">
        <f t="shared" si="7"/>
        <v>#REF!</v>
      </c>
      <c r="E79" s="62" t="e">
        <f t="shared" si="8"/>
        <v>#REF!</v>
      </c>
      <c r="F79" s="64"/>
      <c r="I79" s="65">
        <f t="shared" si="4"/>
        <v>0</v>
      </c>
    </row>
    <row r="80" spans="2:11" hidden="1">
      <c r="B80" s="61" t="e">
        <f t="shared" si="6"/>
        <v>#REF!</v>
      </c>
      <c r="C80" s="62"/>
      <c r="D80" s="63" t="e">
        <f t="shared" si="7"/>
        <v>#REF!</v>
      </c>
      <c r="E80" s="62" t="e">
        <f t="shared" si="8"/>
        <v>#REF!</v>
      </c>
      <c r="F80" s="64"/>
      <c r="I80" s="65">
        <f t="shared" si="4"/>
        <v>0</v>
      </c>
    </row>
    <row r="81" spans="2:11" hidden="1">
      <c r="B81" s="70" t="e">
        <f t="shared" si="6"/>
        <v>#REF!</v>
      </c>
      <c r="C81" s="71"/>
      <c r="D81" s="72" t="e">
        <f t="shared" si="7"/>
        <v>#REF!</v>
      </c>
      <c r="E81" s="71" t="e">
        <f t="shared" si="8"/>
        <v>#REF!</v>
      </c>
      <c r="F81" s="79"/>
      <c r="H81" s="65" t="e">
        <f>+SUM(E70:E81)-'Cant. P01'!AF428</f>
        <v>#REF!</v>
      </c>
      <c r="I81" s="65">
        <f t="shared" si="4"/>
        <v>0</v>
      </c>
    </row>
    <row r="82" spans="2:11" hidden="1">
      <c r="B82" s="67" t="e">
        <f t="shared" si="6"/>
        <v>#REF!</v>
      </c>
      <c r="C82" s="68"/>
      <c r="D82" s="69" t="e">
        <f t="shared" si="7"/>
        <v>#REF!</v>
      </c>
      <c r="E82" s="68" t="e">
        <f t="shared" si="8"/>
        <v>#REF!</v>
      </c>
      <c r="F82" s="75"/>
      <c r="I82" s="65">
        <f t="shared" si="4"/>
        <v>0</v>
      </c>
      <c r="K82" s="86"/>
    </row>
    <row r="83" spans="2:11" hidden="1">
      <c r="B83" s="61" t="e">
        <f t="shared" si="6"/>
        <v>#REF!</v>
      </c>
      <c r="C83" s="62"/>
      <c r="D83" s="63" t="e">
        <f t="shared" si="7"/>
        <v>#REF!</v>
      </c>
      <c r="E83" s="62" t="e">
        <f t="shared" si="8"/>
        <v>#REF!</v>
      </c>
      <c r="F83" s="64"/>
      <c r="I83" s="65">
        <f t="shared" si="4"/>
        <v>0</v>
      </c>
    </row>
    <row r="84" spans="2:11" hidden="1">
      <c r="B84" s="61" t="e">
        <f t="shared" si="6"/>
        <v>#REF!</v>
      </c>
      <c r="C84" s="62"/>
      <c r="D84" s="63" t="e">
        <f t="shared" si="7"/>
        <v>#REF!</v>
      </c>
      <c r="E84" s="62" t="e">
        <f t="shared" si="8"/>
        <v>#REF!</v>
      </c>
      <c r="F84" s="64"/>
      <c r="I84" s="65">
        <f t="shared" si="4"/>
        <v>0</v>
      </c>
    </row>
    <row r="85" spans="2:11" hidden="1">
      <c r="B85" s="61" t="e">
        <f t="shared" si="6"/>
        <v>#REF!</v>
      </c>
      <c r="C85" s="62"/>
      <c r="D85" s="63" t="e">
        <f t="shared" si="7"/>
        <v>#REF!</v>
      </c>
      <c r="E85" s="62" t="e">
        <f t="shared" si="8"/>
        <v>#REF!</v>
      </c>
      <c r="F85" s="64"/>
      <c r="I85" s="65">
        <f t="shared" si="4"/>
        <v>0</v>
      </c>
    </row>
    <row r="86" spans="2:11" hidden="1">
      <c r="B86" s="61" t="e">
        <f t="shared" si="6"/>
        <v>#REF!</v>
      </c>
      <c r="C86" s="62"/>
      <c r="D86" s="63" t="e">
        <f t="shared" si="7"/>
        <v>#REF!</v>
      </c>
      <c r="E86" s="62" t="e">
        <f t="shared" si="8"/>
        <v>#REF!</v>
      </c>
      <c r="F86" s="64"/>
      <c r="I86" s="65">
        <f t="shared" si="4"/>
        <v>0</v>
      </c>
    </row>
    <row r="87" spans="2:11" hidden="1">
      <c r="B87" s="61" t="e">
        <f t="shared" si="6"/>
        <v>#REF!</v>
      </c>
      <c r="C87" s="62"/>
      <c r="D87" s="63" t="e">
        <f t="shared" si="7"/>
        <v>#REF!</v>
      </c>
      <c r="E87" s="62" t="e">
        <f t="shared" si="8"/>
        <v>#REF!</v>
      </c>
      <c r="F87" s="64"/>
      <c r="I87" s="65">
        <f t="shared" si="4"/>
        <v>0</v>
      </c>
    </row>
    <row r="88" spans="2:11" hidden="1">
      <c r="B88" s="61" t="e">
        <f t="shared" si="6"/>
        <v>#REF!</v>
      </c>
      <c r="C88" s="62"/>
      <c r="D88" s="63" t="e">
        <f t="shared" si="7"/>
        <v>#REF!</v>
      </c>
      <c r="E88" s="62" t="e">
        <f t="shared" si="8"/>
        <v>#REF!</v>
      </c>
      <c r="F88" s="64"/>
      <c r="I88" s="65">
        <f t="shared" si="4"/>
        <v>0</v>
      </c>
    </row>
    <row r="89" spans="2:11" hidden="1">
      <c r="B89" s="61" t="e">
        <f t="shared" si="6"/>
        <v>#REF!</v>
      </c>
      <c r="C89" s="62"/>
      <c r="D89" s="63" t="e">
        <f t="shared" si="7"/>
        <v>#REF!</v>
      </c>
      <c r="E89" s="62" t="e">
        <f t="shared" si="8"/>
        <v>#REF!</v>
      </c>
      <c r="F89" s="64"/>
      <c r="I89" s="65">
        <f t="shared" si="4"/>
        <v>0</v>
      </c>
    </row>
    <row r="90" spans="2:11" hidden="1">
      <c r="B90" s="61" t="e">
        <f t="shared" si="6"/>
        <v>#REF!</v>
      </c>
      <c r="C90" s="62"/>
      <c r="D90" s="63" t="e">
        <f t="shared" si="7"/>
        <v>#REF!</v>
      </c>
      <c r="E90" s="62" t="e">
        <f t="shared" si="8"/>
        <v>#REF!</v>
      </c>
      <c r="F90" s="64"/>
      <c r="I90" s="65">
        <f t="shared" si="4"/>
        <v>0</v>
      </c>
    </row>
    <row r="91" spans="2:11" hidden="1">
      <c r="B91" s="61" t="e">
        <f t="shared" si="6"/>
        <v>#REF!</v>
      </c>
      <c r="C91" s="62"/>
      <c r="D91" s="63" t="e">
        <f t="shared" si="7"/>
        <v>#REF!</v>
      </c>
      <c r="E91" s="62" t="e">
        <f t="shared" si="8"/>
        <v>#REF!</v>
      </c>
      <c r="F91" s="64"/>
      <c r="I91" s="65">
        <f t="shared" si="4"/>
        <v>0</v>
      </c>
    </row>
    <row r="92" spans="2:11" hidden="1">
      <c r="B92" s="61" t="e">
        <f t="shared" si="6"/>
        <v>#REF!</v>
      </c>
      <c r="C92" s="62"/>
      <c r="D92" s="63" t="e">
        <f t="shared" si="7"/>
        <v>#REF!</v>
      </c>
      <c r="E92" s="62" t="e">
        <f t="shared" si="8"/>
        <v>#REF!</v>
      </c>
      <c r="F92" s="64"/>
      <c r="I92" s="65">
        <f t="shared" si="4"/>
        <v>0</v>
      </c>
    </row>
    <row r="93" spans="2:11" hidden="1">
      <c r="B93" s="76" t="e">
        <f t="shared" si="6"/>
        <v>#REF!</v>
      </c>
      <c r="C93" s="77"/>
      <c r="D93" s="78" t="e">
        <f t="shared" si="7"/>
        <v>#REF!</v>
      </c>
      <c r="E93" s="77" t="e">
        <f t="shared" si="8"/>
        <v>#REF!</v>
      </c>
      <c r="F93" s="74"/>
      <c r="H93" s="65" t="e">
        <f>+SUM(E82:E93)-'Cant. P01'!AF488</f>
        <v>#REF!</v>
      </c>
      <c r="I93" s="65">
        <f t="shared" si="4"/>
        <v>0</v>
      </c>
    </row>
    <row r="94" spans="2:11" hidden="1">
      <c r="B94" s="57" t="e">
        <f t="shared" si="6"/>
        <v>#REF!</v>
      </c>
      <c r="C94" s="58"/>
      <c r="D94" s="59" t="e">
        <f t="shared" si="7"/>
        <v>#REF!</v>
      </c>
      <c r="E94" s="58" t="e">
        <f t="shared" si="8"/>
        <v>#REF!</v>
      </c>
      <c r="F94" s="60"/>
      <c r="I94" s="65">
        <f t="shared" si="4"/>
        <v>0</v>
      </c>
      <c r="K94" s="86"/>
    </row>
    <row r="95" spans="2:11" hidden="1">
      <c r="B95" s="61" t="e">
        <f t="shared" si="6"/>
        <v>#REF!</v>
      </c>
      <c r="C95" s="62"/>
      <c r="D95" s="63" t="e">
        <f t="shared" si="7"/>
        <v>#REF!</v>
      </c>
      <c r="E95" s="62" t="e">
        <f t="shared" si="8"/>
        <v>#REF!</v>
      </c>
      <c r="F95" s="64"/>
      <c r="I95" s="65">
        <f t="shared" si="4"/>
        <v>0</v>
      </c>
    </row>
    <row r="96" spans="2:11" hidden="1">
      <c r="B96" s="61" t="e">
        <f t="shared" si="6"/>
        <v>#REF!</v>
      </c>
      <c r="C96" s="62"/>
      <c r="D96" s="63" t="e">
        <f t="shared" si="7"/>
        <v>#REF!</v>
      </c>
      <c r="E96" s="62" t="e">
        <f t="shared" si="8"/>
        <v>#REF!</v>
      </c>
      <c r="F96" s="64"/>
      <c r="I96" s="65">
        <f t="shared" si="4"/>
        <v>0</v>
      </c>
    </row>
    <row r="97" spans="2:9" hidden="1">
      <c r="B97" s="61" t="e">
        <f t="shared" si="6"/>
        <v>#REF!</v>
      </c>
      <c r="C97" s="62"/>
      <c r="D97" s="63" t="e">
        <f t="shared" si="7"/>
        <v>#REF!</v>
      </c>
      <c r="E97" s="62" t="e">
        <f t="shared" si="8"/>
        <v>#REF!</v>
      </c>
      <c r="F97" s="64"/>
      <c r="I97" s="65">
        <f t="shared" si="4"/>
        <v>0</v>
      </c>
    </row>
    <row r="98" spans="2:9" hidden="1">
      <c r="B98" s="61" t="e">
        <f t="shared" si="6"/>
        <v>#REF!</v>
      </c>
      <c r="C98" s="62"/>
      <c r="D98" s="63" t="e">
        <f t="shared" si="7"/>
        <v>#REF!</v>
      </c>
      <c r="E98" s="62" t="e">
        <f t="shared" si="8"/>
        <v>#REF!</v>
      </c>
      <c r="F98" s="64"/>
      <c r="I98" s="65">
        <f t="shared" si="4"/>
        <v>0</v>
      </c>
    </row>
    <row r="99" spans="2:9" hidden="1">
      <c r="B99" s="61" t="e">
        <f t="shared" si="6"/>
        <v>#REF!</v>
      </c>
      <c r="C99" s="62"/>
      <c r="D99" s="63" t="e">
        <f t="shared" si="7"/>
        <v>#REF!</v>
      </c>
      <c r="E99" s="62" t="e">
        <f t="shared" si="8"/>
        <v>#REF!</v>
      </c>
      <c r="F99" s="64"/>
      <c r="I99" s="65">
        <f t="shared" ref="I99:I105" si="9">+ROUND(J99,2)</f>
        <v>0</v>
      </c>
    </row>
    <row r="100" spans="2:9" hidden="1">
      <c r="B100" s="61" t="e">
        <f t="shared" si="6"/>
        <v>#REF!</v>
      </c>
      <c r="C100" s="62"/>
      <c r="D100" s="63" t="e">
        <f t="shared" si="7"/>
        <v>#REF!</v>
      </c>
      <c r="E100" s="62" t="e">
        <f t="shared" si="8"/>
        <v>#REF!</v>
      </c>
      <c r="F100" s="64"/>
      <c r="I100" s="65">
        <f t="shared" si="9"/>
        <v>0</v>
      </c>
    </row>
    <row r="101" spans="2:9" hidden="1">
      <c r="B101" s="61" t="e">
        <f t="shared" si="6"/>
        <v>#REF!</v>
      </c>
      <c r="C101" s="62"/>
      <c r="D101" s="63" t="e">
        <f t="shared" si="7"/>
        <v>#REF!</v>
      </c>
      <c r="E101" s="62" t="e">
        <f t="shared" si="8"/>
        <v>#REF!</v>
      </c>
      <c r="F101" s="64"/>
      <c r="I101" s="65">
        <f t="shared" si="9"/>
        <v>0</v>
      </c>
    </row>
    <row r="102" spans="2:9" hidden="1">
      <c r="B102" s="61" t="e">
        <f t="shared" si="6"/>
        <v>#REF!</v>
      </c>
      <c r="C102" s="62"/>
      <c r="D102" s="63" t="e">
        <f t="shared" si="7"/>
        <v>#REF!</v>
      </c>
      <c r="E102" s="62" t="e">
        <f t="shared" si="8"/>
        <v>#REF!</v>
      </c>
      <c r="F102" s="64"/>
      <c r="I102" s="65">
        <f t="shared" si="9"/>
        <v>0</v>
      </c>
    </row>
    <row r="103" spans="2:9" hidden="1">
      <c r="B103" s="61" t="e">
        <f t="shared" si="6"/>
        <v>#REF!</v>
      </c>
      <c r="C103" s="62"/>
      <c r="D103" s="63" t="e">
        <f t="shared" si="7"/>
        <v>#REF!</v>
      </c>
      <c r="E103" s="62" t="e">
        <f t="shared" si="8"/>
        <v>#REF!</v>
      </c>
      <c r="F103" s="64"/>
      <c r="I103" s="65">
        <f t="shared" si="9"/>
        <v>0</v>
      </c>
    </row>
    <row r="104" spans="2:9" hidden="1">
      <c r="B104" s="61" t="e">
        <f t="shared" si="6"/>
        <v>#REF!</v>
      </c>
      <c r="C104" s="62"/>
      <c r="D104" s="63" t="e">
        <f t="shared" si="7"/>
        <v>#REF!</v>
      </c>
      <c r="E104" s="62" t="e">
        <f t="shared" si="8"/>
        <v>#REF!</v>
      </c>
      <c r="F104" s="64"/>
      <c r="I104" s="65">
        <f t="shared" si="9"/>
        <v>0</v>
      </c>
    </row>
    <row r="105" spans="2:9" hidden="1">
      <c r="B105" s="70" t="e">
        <f t="shared" si="6"/>
        <v>#REF!</v>
      </c>
      <c r="C105" s="71"/>
      <c r="D105" s="72" t="e">
        <f t="shared" si="7"/>
        <v>#REF!</v>
      </c>
      <c r="E105" s="71" t="e">
        <f t="shared" ref="E105" si="10">+C105*D105</f>
        <v>#REF!</v>
      </c>
      <c r="F105" s="79"/>
      <c r="H105" s="65" t="e">
        <f>+SUM(E94:E105)-'Cant. P01'!AF548</f>
        <v>#REF!</v>
      </c>
      <c r="I105" s="65">
        <f t="shared" si="9"/>
        <v>0</v>
      </c>
    </row>
    <row r="106" spans="2:9">
      <c r="B106" s="12" t="s">
        <v>15</v>
      </c>
      <c r="C106" s="88">
        <f>SUM(C10:C21)</f>
        <v>46624333.200000241</v>
      </c>
      <c r="D106" s="89"/>
      <c r="E106" s="88">
        <f>SUM(E10:E21)</f>
        <v>46624333.200000241</v>
      </c>
      <c r="F106" s="12">
        <f>IFERROR(AVERAGE(F10:F21),0)</f>
        <v>0</v>
      </c>
      <c r="H106" s="65"/>
    </row>
    <row r="107" spans="2:9">
      <c r="E107" s="87"/>
    </row>
    <row r="109" spans="2:9">
      <c r="B109" t="s">
        <v>12</v>
      </c>
    </row>
    <row r="110" spans="2:9">
      <c r="B110" t="s">
        <v>53</v>
      </c>
      <c r="E110" s="93">
        <f>Basis!D6</f>
        <v>46143</v>
      </c>
    </row>
    <row r="111" spans="2:9">
      <c r="B111" t="s">
        <v>13</v>
      </c>
    </row>
    <row r="115" spans="2:4">
      <c r="B115" s="6"/>
      <c r="C115" s="6"/>
      <c r="D115" s="6"/>
    </row>
    <row r="116" spans="2:4">
      <c r="B116" s="3" t="s">
        <v>14</v>
      </c>
    </row>
  </sheetData>
  <mergeCells count="1">
    <mergeCell ref="F10:F2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2363-9975-4D7B-A9DB-FB9A78AD02EA}">
  <dimension ref="A2:AG550"/>
  <sheetViews>
    <sheetView showGridLines="0" zoomScale="70" zoomScaleNormal="70" workbookViewId="0">
      <pane xSplit="5" ySplit="8" topLeftCell="T9" activePane="bottomRight" state="frozen"/>
      <selection activeCell="F16" sqref="F16"/>
      <selection pane="topRight" activeCell="F16" sqref="F16"/>
      <selection pane="bottomLeft" activeCell="F16" sqref="F16"/>
      <selection pane="bottomRight" activeCell="AF19" sqref="AF19"/>
    </sheetView>
  </sheetViews>
  <sheetFormatPr baseColWidth="10" defaultRowHeight="14.5"/>
  <cols>
    <col min="3" max="3" width="15.54296875" customWidth="1"/>
    <col min="6" max="29" width="12.54296875" bestFit="1" customWidth="1"/>
    <col min="30" max="30" width="18.08984375" bestFit="1" customWidth="1"/>
    <col min="31" max="31" width="6.08984375" customWidth="1"/>
    <col min="32" max="32" width="12.54296875" bestFit="1" customWidth="1"/>
  </cols>
  <sheetData>
    <row r="2" spans="1:33">
      <c r="B2" s="3" t="str">
        <f>+"CUADRO DE CANTIDADES HORARIAS OFRECIDAS "&amp;'Prod- 1'!D3</f>
        <v>CUADRO DE CANTIDADES HORARIAS OFRECIDAS Producto 01 - Curva Horaria / Plana</v>
      </c>
    </row>
    <row r="3" spans="1:33">
      <c r="B3" s="3" t="s">
        <v>16</v>
      </c>
    </row>
    <row r="4" spans="1:33">
      <c r="B4" s="3" t="str">
        <f>+'Prod- 1'!D6</f>
        <v>PLC - Pague Lo Contratado</v>
      </c>
      <c r="F4" s="66"/>
      <c r="G4" s="66"/>
    </row>
    <row r="5" spans="1:33">
      <c r="B5" s="3"/>
    </row>
    <row r="6" spans="1:33">
      <c r="B6" s="3" t="s">
        <v>2</v>
      </c>
      <c r="C6">
        <f>+'Prod- 1'!D7</f>
        <v>0</v>
      </c>
    </row>
    <row r="7" spans="1:33" ht="15" thickBot="1"/>
    <row r="8" spans="1:33" ht="28.5" thickBot="1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>
      <c r="A9" s="1"/>
      <c r="B9" s="45">
        <f>+'Prod- 1'!B10</f>
        <v>46388</v>
      </c>
      <c r="C9" s="43">
        <f>IFERROR(VLOOKUP(B9,'Prod- 1'!$B$10:$E$69,4,0),0)</f>
        <v>5244820.5600000974</v>
      </c>
      <c r="D9" s="34" t="s">
        <v>45</v>
      </c>
      <c r="E9" s="34">
        <f>+Basis!D133</f>
        <v>21</v>
      </c>
      <c r="F9" s="28">
        <f>+(Basis!E133/(EOMONTH($B9,0)-$B9+1)*$C9)</f>
        <v>4967.56532373554</v>
      </c>
      <c r="G9" s="28">
        <f>+(Basis!F133/(EOMONTH($B9,0)-$B9+1)*$C9)</f>
        <v>4685.2676294388884</v>
      </c>
      <c r="H9" s="28">
        <f>+(Basis!G133/(EOMONTH($B9,0)-$B9+1)*$C9)</f>
        <v>4531.7214581148282</v>
      </c>
      <c r="I9" s="28">
        <f>+(Basis!H133/(EOMONTH($B9,0)-$B9+1)*$C9)</f>
        <v>4532.0307284748369</v>
      </c>
      <c r="J9" s="28">
        <f>+(Basis!I133/(EOMONTH($B9,0)-$B9+1)*$C9)</f>
        <v>4929.4165381468611</v>
      </c>
      <c r="K9" s="28">
        <f>+(Basis!J133/(EOMONTH($B9,0)-$B9+1)*$C9)</f>
        <v>5843.8203255235921</v>
      </c>
      <c r="L9" s="28">
        <f>+(Basis!K133/(EOMONTH($B9,0)-$B9+1)*$C9)</f>
        <v>6562.6299869021323</v>
      </c>
      <c r="M9" s="28">
        <f>+(Basis!L133/(EOMONTH($B9,0)-$B9+1)*$C9)</f>
        <v>6696.2245573941318</v>
      </c>
      <c r="N9" s="28">
        <f>+(Basis!M133/(EOMONTH($B9,0)-$B9+1)*$C9)</f>
        <v>6929.5141553170952</v>
      </c>
      <c r="O9" s="28">
        <f>+(Basis!N133/(EOMONTH($B9,0)-$B9+1)*$C9)</f>
        <v>7134.1267484897426</v>
      </c>
      <c r="P9" s="28">
        <f>+(Basis!O133/(EOMONTH($B9,0)-$B9+1)*$C9)</f>
        <v>7469.7030391968174</v>
      </c>
      <c r="Q9" s="28">
        <f>+(Basis!P133/(EOMONTH($B9,0)-$B9+1)*$C9)</f>
        <v>7832.5162975731673</v>
      </c>
      <c r="R9" s="28">
        <f>+(Basis!Q133/(EOMONTH($B9,0)-$B9+1)*$C9)</f>
        <v>7686.5173261269383</v>
      </c>
      <c r="S9" s="28">
        <f>+(Basis!R133/(EOMONTH($B9,0)-$B9+1)*$C9)</f>
        <v>7423.9129748894165</v>
      </c>
      <c r="T9" s="28">
        <f>+(Basis!S133/(EOMONTH($B9,0)-$B9+1)*$C9)</f>
        <v>7464.3113103681853</v>
      </c>
      <c r="U9" s="28">
        <f>+(Basis!T133/(EOMONTH($B9,0)-$B9+1)*$C9)</f>
        <v>7645.3296988699503</v>
      </c>
      <c r="V9" s="28">
        <f>+(Basis!U133/(EOMONTH($B9,0)-$B9+1)*$C9)</f>
        <v>7823.7539142846581</v>
      </c>
      <c r="W9" s="28">
        <f>+(Basis!V133/(EOMONTH($B9,0)-$B9+1)*$C9)</f>
        <v>8162.8422863272608</v>
      </c>
      <c r="X9" s="28">
        <f>+(Basis!W133/(EOMONTH($B9,0)-$B9+1)*$C9)</f>
        <v>9660.0941316370845</v>
      </c>
      <c r="Y9" s="28">
        <f>+(Basis!X133/(EOMONTH($B9,0)-$B9+1)*$C9)</f>
        <v>10445.641820431778</v>
      </c>
      <c r="Z9" s="28">
        <f>+(Basis!Y133/(EOMONTH($B9,0)-$B9+1)*$C9)</f>
        <v>9682.9338344852567</v>
      </c>
      <c r="AA9" s="28">
        <f>+(Basis!Z133/(EOMONTH($B9,0)-$B9+1)*$C9)</f>
        <v>8481.2564380967942</v>
      </c>
      <c r="AB9" s="28">
        <f>+(Basis!AA133/(EOMONTH($B9,0)-$B9+1)*$C9)</f>
        <v>6938.4726387387354</v>
      </c>
      <c r="AC9" s="28">
        <f>+(Basis!AB133/(EOMONTH($B9,0)-$B9+1)*$C9)</f>
        <v>5658.1568374394737</v>
      </c>
      <c r="AD9" s="29">
        <f>+SUM(F9:AC9)*E9</f>
        <v>3552942.9600000661</v>
      </c>
    </row>
    <row r="10" spans="1:33">
      <c r="A10" s="1"/>
      <c r="B10" s="46">
        <f>+B9</f>
        <v>46388</v>
      </c>
      <c r="C10" s="44">
        <f>IFERROR(VLOOKUP(B10,'Prod- 1'!$B$10:$E$69,4,0),0)</f>
        <v>5244820.5600000974</v>
      </c>
      <c r="D10" s="35" t="s">
        <v>46</v>
      </c>
      <c r="E10" s="35">
        <f>+Basis!D134</f>
        <v>4</v>
      </c>
      <c r="F10" s="28">
        <f>+(Basis!E134/(EOMONTH($B10,0)-$B10+1)*$C10)</f>
        <v>5187.2075943518585</v>
      </c>
      <c r="G10" s="28">
        <f>+(Basis!F134/(EOMONTH($B10,0)-$B10+1)*$C10)</f>
        <v>4838.7701290211808</v>
      </c>
      <c r="H10" s="28">
        <f>+(Basis!G134/(EOMONTH($B10,0)-$B10+1)*$C10)</f>
        <v>4683.7700204669281</v>
      </c>
      <c r="I10" s="28">
        <f>+(Basis!H134/(EOMONTH($B10,0)-$B10+1)*$C10)</f>
        <v>4659.0590593239795</v>
      </c>
      <c r="J10" s="28">
        <f>+(Basis!I134/(EOMONTH($B10,0)-$B10+1)*$C10)</f>
        <v>4869.6534308285063</v>
      </c>
      <c r="K10" s="28">
        <f>+(Basis!J134/(EOMONTH($B10,0)-$B10+1)*$C10)</f>
        <v>5454.8816430805728</v>
      </c>
      <c r="L10" s="28">
        <f>+(Basis!K134/(EOMONTH($B10,0)-$B10+1)*$C10)</f>
        <v>6167.4232929751115</v>
      </c>
      <c r="M10" s="28">
        <f>+(Basis!L134/(EOMONTH($B10,0)-$B10+1)*$C10)</f>
        <v>6600.4610348247897</v>
      </c>
      <c r="N10" s="28">
        <f>+(Basis!M134/(EOMONTH($B10,0)-$B10+1)*$C10)</f>
        <v>7029.6173618528974</v>
      </c>
      <c r="O10" s="28">
        <f>+(Basis!N134/(EOMONTH($B10,0)-$B10+1)*$C10)</f>
        <v>7282.266993971326</v>
      </c>
      <c r="P10" s="28">
        <f>+(Basis!O134/(EOMONTH($B10,0)-$B10+1)*$C10)</f>
        <v>7608.9984769034791</v>
      </c>
      <c r="Q10" s="28">
        <f>+(Basis!P134/(EOMONTH($B10,0)-$B10+1)*$C10)</f>
        <v>7919.3443431807491</v>
      </c>
      <c r="R10" s="28">
        <f>+(Basis!Q134/(EOMONTH($B10,0)-$B10+1)*$C10)</f>
        <v>7847.5006790024145</v>
      </c>
      <c r="S10" s="28">
        <f>+(Basis!R134/(EOMONTH($B10,0)-$B10+1)*$C10)</f>
        <v>7571.4322330237974</v>
      </c>
      <c r="T10" s="28">
        <f>+(Basis!S134/(EOMONTH($B10,0)-$B10+1)*$C10)</f>
        <v>7446.4740028677052</v>
      </c>
      <c r="U10" s="28">
        <f>+(Basis!T134/(EOMONTH($B10,0)-$B10+1)*$C10)</f>
        <v>7493.082415055751</v>
      </c>
      <c r="V10" s="28">
        <f>+(Basis!U134/(EOMONTH($B10,0)-$B10+1)*$C10)</f>
        <v>7608.9788969680876</v>
      </c>
      <c r="W10" s="28">
        <f>+(Basis!V134/(EOMONTH($B10,0)-$B10+1)*$C10)</f>
        <v>7940.5241262846139</v>
      </c>
      <c r="X10" s="28">
        <f>+(Basis!W134/(EOMONTH($B10,0)-$B10+1)*$C10)</f>
        <v>9510.143206063758</v>
      </c>
      <c r="Y10" s="28">
        <f>+(Basis!X134/(EOMONTH($B10,0)-$B10+1)*$C10)</f>
        <v>10355.247955041621</v>
      </c>
      <c r="Z10" s="28">
        <f>+(Basis!Y134/(EOMONTH($B10,0)-$B10+1)*$C10)</f>
        <v>9646.8224956888153</v>
      </c>
      <c r="AA10" s="28">
        <f>+(Basis!Z134/(EOMONTH($B10,0)-$B10+1)*$C10)</f>
        <v>8441.9062290137299</v>
      </c>
      <c r="AB10" s="28">
        <f>+(Basis!AA134/(EOMONTH($B10,0)-$B10+1)*$C10)</f>
        <v>7042.0798164012922</v>
      </c>
      <c r="AC10" s="28">
        <f>+(Basis!AB134/(EOMONTH($B10,0)-$B10+1)*$C10)</f>
        <v>5982.1145638100706</v>
      </c>
      <c r="AD10" s="30">
        <f>+SUM(F10:AC10)*E10</f>
        <v>676751.04000001203</v>
      </c>
    </row>
    <row r="11" spans="1:33">
      <c r="A11" s="1"/>
      <c r="B11" s="41">
        <f t="shared" ref="B11:B12" si="0">+B10</f>
        <v>46388</v>
      </c>
      <c r="C11" s="39">
        <f>IFERROR(VLOOKUP(B11,'Prod- 1'!$B$10:$E$69,4,0),0)</f>
        <v>5244820.5600000974</v>
      </c>
      <c r="D11" s="36" t="s">
        <v>47</v>
      </c>
      <c r="E11" s="36">
        <f>+Basis!D135</f>
        <v>4</v>
      </c>
      <c r="F11" s="28">
        <f>+(Basis!E135/(EOMONTH($B11,0)-$B11+1)*$C11)</f>
        <v>5630.824898719573</v>
      </c>
      <c r="G11" s="28">
        <f>+(Basis!F135/(EOMONTH($B11,0)-$B11+1)*$C11)</f>
        <v>5268.5142692952231</v>
      </c>
      <c r="H11" s="28">
        <f>+(Basis!G135/(EOMONTH($B11,0)-$B11+1)*$C11)</f>
        <v>5049.1297180047659</v>
      </c>
      <c r="I11" s="28">
        <f>+(Basis!H135/(EOMONTH($B11,0)-$B11+1)*$C11)</f>
        <v>4954.9897420710213</v>
      </c>
      <c r="J11" s="28">
        <f>+(Basis!I135/(EOMONTH($B11,0)-$B11+1)*$C11)</f>
        <v>4929.7978572477532</v>
      </c>
      <c r="K11" s="28">
        <f>+(Basis!J135/(EOMONTH($B11,0)-$B11+1)*$C11)</f>
        <v>5235.1571573083893</v>
      </c>
      <c r="L11" s="28">
        <f>+(Basis!K135/(EOMONTH($B11,0)-$B11+1)*$C11)</f>
        <v>5825.554980357585</v>
      </c>
      <c r="M11" s="28">
        <f>+(Basis!L135/(EOMONTH($B11,0)-$B11+1)*$C11)</f>
        <v>6480.7886516202298</v>
      </c>
      <c r="N11" s="28">
        <f>+(Basis!M135/(EOMONTH($B11,0)-$B11+1)*$C11)</f>
        <v>6954.2582833023271</v>
      </c>
      <c r="O11" s="28">
        <f>+(Basis!N135/(EOMONTH($B11,0)-$B11+1)*$C11)</f>
        <v>7208.8272387022143</v>
      </c>
      <c r="P11" s="28">
        <f>+(Basis!O135/(EOMONTH($B11,0)-$B11+1)*$C11)</f>
        <v>7429.8266531136896</v>
      </c>
      <c r="Q11" s="28">
        <f>+(Basis!P135/(EOMONTH($B11,0)-$B11+1)*$C11)</f>
        <v>7736.9337908096904</v>
      </c>
      <c r="R11" s="28">
        <f>+(Basis!Q135/(EOMONTH($B11,0)-$B11+1)*$C11)</f>
        <v>7738.8998564563472</v>
      </c>
      <c r="S11" s="28">
        <f>+(Basis!R135/(EOMONTH($B11,0)-$B11+1)*$C11)</f>
        <v>7491.1367235580692</v>
      </c>
      <c r="T11" s="28">
        <f>+(Basis!S135/(EOMONTH($B11,0)-$B11+1)*$C11)</f>
        <v>7299.4704520509013</v>
      </c>
      <c r="U11" s="28">
        <f>+(Basis!T135/(EOMONTH($B11,0)-$B11+1)*$C11)</f>
        <v>7322.3730569779018</v>
      </c>
      <c r="V11" s="28">
        <f>+(Basis!U135/(EOMONTH($B11,0)-$B11+1)*$C11)</f>
        <v>7462.8643967219396</v>
      </c>
      <c r="W11" s="28">
        <f>+(Basis!V135/(EOMONTH($B11,0)-$B11+1)*$C11)</f>
        <v>7833.1782233405975</v>
      </c>
      <c r="X11" s="28">
        <f>+(Basis!W135/(EOMONTH($B11,0)-$B11+1)*$C11)</f>
        <v>9504.4015573013276</v>
      </c>
      <c r="Y11" s="28">
        <f>+(Basis!X135/(EOMONTH($B11,0)-$B11+1)*$C11)</f>
        <v>10522.58282282586</v>
      </c>
      <c r="Z11" s="28">
        <f>+(Basis!Y135/(EOMONTH($B11,0)-$B11+1)*$C11)</f>
        <v>9800.8593573195558</v>
      </c>
      <c r="AA11" s="28">
        <f>+(Basis!Z135/(EOMONTH($B11,0)-$B11+1)*$C11)</f>
        <v>8492.3782964331149</v>
      </c>
      <c r="AB11" s="28">
        <f>+(Basis!AA135/(EOMONTH($B11,0)-$B11+1)*$C11)</f>
        <v>7081.0310588015964</v>
      </c>
      <c r="AC11" s="28">
        <f>+(Basis!AB135/(EOMONTH($B11,0)-$B11+1)*$C11)</f>
        <v>5933.9809576634434</v>
      </c>
      <c r="AD11" s="30">
        <f>+SUM(F11:AC11)*E11</f>
        <v>676751.04000001249</v>
      </c>
    </row>
    <row r="12" spans="1:33">
      <c r="A12" s="1"/>
      <c r="B12" s="46">
        <f t="shared" si="0"/>
        <v>46388</v>
      </c>
      <c r="C12" s="44">
        <f>IFERROR(VLOOKUP(B12,'Prod- 1'!$B$10:$E$69,4,0),0)</f>
        <v>5244820.5600000974</v>
      </c>
      <c r="D12" s="37" t="s">
        <v>48</v>
      </c>
      <c r="E12" s="37">
        <f>+Basis!D136</f>
        <v>2</v>
      </c>
      <c r="F12" s="28">
        <f>+(Basis!E136/(EOMONTH($B12,0)-$B12+1)*$C12)</f>
        <v>5697.4035059011258</v>
      </c>
      <c r="G12" s="28">
        <f>+(Basis!F136/(EOMONTH($B12,0)-$B12+1)*$C12)</f>
        <v>5286.3887297158408</v>
      </c>
      <c r="H12" s="28">
        <f>+(Basis!G136/(EOMONTH($B12,0)-$B12+1)*$C12)</f>
        <v>5052.2419498032014</v>
      </c>
      <c r="I12" s="28">
        <f>+(Basis!H136/(EOMONTH($B12,0)-$B12+1)*$C12)</f>
        <v>4946.2074408925419</v>
      </c>
      <c r="J12" s="28">
        <f>+(Basis!I136/(EOMONTH($B12,0)-$B12+1)*$C12)</f>
        <v>5107.1658655352003</v>
      </c>
      <c r="K12" s="28">
        <f>+(Basis!J136/(EOMONTH($B12,0)-$B12+1)*$C12)</f>
        <v>5604.1216819755973</v>
      </c>
      <c r="L12" s="28">
        <f>+(Basis!K136/(EOMONTH($B12,0)-$B12+1)*$C12)</f>
        <v>6016.9310355939151</v>
      </c>
      <c r="M12" s="28">
        <f>+(Basis!L136/(EOMONTH($B12,0)-$B12+1)*$C12)</f>
        <v>6323.466469417559</v>
      </c>
      <c r="N12" s="28">
        <f>+(Basis!M136/(EOMONTH($B12,0)-$B12+1)*$C12)</f>
        <v>6692.7117966836995</v>
      </c>
      <c r="O12" s="28">
        <f>+(Basis!N136/(EOMONTH($B12,0)-$B12+1)*$C12)</f>
        <v>6992.5305424496091</v>
      </c>
      <c r="P12" s="28">
        <f>+(Basis!O136/(EOMONTH($B12,0)-$B12+1)*$C12)</f>
        <v>7321.340612490103</v>
      </c>
      <c r="Q12" s="28">
        <f>+(Basis!P136/(EOMONTH($B12,0)-$B12+1)*$C12)</f>
        <v>7660.5539583200807</v>
      </c>
      <c r="R12" s="28">
        <f>+(Basis!Q136/(EOMONTH($B12,0)-$B12+1)*$C12)</f>
        <v>7742.9099119947377</v>
      </c>
      <c r="S12" s="28">
        <f>+(Basis!R136/(EOMONTH($B12,0)-$B12+1)*$C12)</f>
        <v>7480.516304075577</v>
      </c>
      <c r="T12" s="28">
        <f>+(Basis!S136/(EOMONTH($B12,0)-$B12+1)*$C12)</f>
        <v>7316.5973519407316</v>
      </c>
      <c r="U12" s="28">
        <f>+(Basis!T136/(EOMONTH($B12,0)-$B12+1)*$C12)</f>
        <v>7368.9727184709536</v>
      </c>
      <c r="V12" s="28">
        <f>+(Basis!U136/(EOMONTH($B12,0)-$B12+1)*$C12)</f>
        <v>7517.9444287649339</v>
      </c>
      <c r="W12" s="28">
        <f>+(Basis!V136/(EOMONTH($B12,0)-$B12+1)*$C12)</f>
        <v>7980.9573538582845</v>
      </c>
      <c r="X12" s="28">
        <f>+(Basis!W136/(EOMONTH($B12,0)-$B12+1)*$C12)</f>
        <v>9626.7397637882186</v>
      </c>
      <c r="Y12" s="28">
        <f>+(Basis!X136/(EOMONTH($B12,0)-$B12+1)*$C12)</f>
        <v>10487.39748211083</v>
      </c>
      <c r="Z12" s="28">
        <f>+(Basis!Y136/(EOMONTH($B12,0)-$B12+1)*$C12)</f>
        <v>9679.0118782594091</v>
      </c>
      <c r="AA12" s="28">
        <f>+(Basis!Z136/(EOMONTH($B12,0)-$B12+1)*$C12)</f>
        <v>8347.6497546533119</v>
      </c>
      <c r="AB12" s="28">
        <f>+(Basis!AA136/(EOMONTH($B12,0)-$B12+1)*$C12)</f>
        <v>6999.1190537617358</v>
      </c>
      <c r="AC12" s="28">
        <f>+(Basis!AB136/(EOMONTH($B12,0)-$B12+1)*$C12)</f>
        <v>5938.88040954592</v>
      </c>
      <c r="AD12" s="31">
        <f>+SUM(F12:AC12)*E12</f>
        <v>338375.52000000619</v>
      </c>
    </row>
    <row r="13" spans="1:33" ht="15" thickBot="1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158985.8087825343</v>
      </c>
      <c r="G13" s="32">
        <f t="shared" si="1"/>
        <v>149392.53527091394</v>
      </c>
      <c r="H13" s="32">
        <f t="shared" si="1"/>
        <v>144202.23347390455</v>
      </c>
      <c r="I13" s="32">
        <f t="shared" si="1"/>
        <v>143521.25538533664</v>
      </c>
      <c r="J13" s="32">
        <f t="shared" si="1"/>
        <v>152929.88418445952</v>
      </c>
      <c r="K13" s="32">
        <f t="shared" si="1"/>
        <v>176688.62540150245</v>
      </c>
      <c r="L13" s="32">
        <f t="shared" si="1"/>
        <v>197821.00488946337</v>
      </c>
      <c r="M13" s="32">
        <f t="shared" si="1"/>
        <v>205592.64738989194</v>
      </c>
      <c r="N13" s="32">
        <f t="shared" si="1"/>
        <v>214840.72343564729</v>
      </c>
      <c r="O13" s="32">
        <f t="shared" si="1"/>
        <v>221766.09973387796</v>
      </c>
      <c r="P13" s="32">
        <f t="shared" si="1"/>
        <v>231661.74556818206</v>
      </c>
      <c r="Q13" s="32">
        <f t="shared" si="1"/>
        <v>242429.06270163844</v>
      </c>
      <c r="R13" s="32">
        <f t="shared" si="1"/>
        <v>239248.2858144902</v>
      </c>
      <c r="S13" s="32">
        <f t="shared" si="1"/>
        <v>231113.48090715636</v>
      </c>
      <c r="T13" s="32">
        <f t="shared" si="1"/>
        <v>230367.51004128778</v>
      </c>
      <c r="U13" s="32">
        <f t="shared" si="1"/>
        <v>234551.69100134546</v>
      </c>
      <c r="V13" s="32">
        <f t="shared" si="1"/>
        <v>239622.09423226782</v>
      </c>
      <c r="W13" s="32">
        <f t="shared" si="1"/>
        <v>250476.41211908986</v>
      </c>
      <c r="X13" s="32">
        <f t="shared" si="1"/>
        <v>298173.63534541556</v>
      </c>
      <c r="Y13" s="32">
        <f t="shared" si="1"/>
        <v>323844.59630475892</v>
      </c>
      <c r="Z13" s="32">
        <f t="shared" si="1"/>
        <v>300490.36169274274</v>
      </c>
      <c r="AA13" s="32">
        <f t="shared" si="1"/>
        <v>262538.82281112665</v>
      </c>
      <c r="AB13" s="32">
        <f t="shared" si="1"/>
        <v>216198.6070218485</v>
      </c>
      <c r="AC13" s="32">
        <f t="shared" si="1"/>
        <v>178363.43649121484</v>
      </c>
      <c r="AD13" s="33">
        <f>+SUM(AD9:AD12)</f>
        <v>5244820.5600000964</v>
      </c>
      <c r="AE13" s="2">
        <f>+AD13-C9</f>
        <v>0</v>
      </c>
      <c r="AG13" s="90"/>
    </row>
    <row r="14" spans="1:33">
      <c r="B14" s="45">
        <f>+EDATE(B9,1)</f>
        <v>46419</v>
      </c>
      <c r="C14" s="43">
        <f>IFERROR(VLOOKUP(B14,'Prod- 1'!$B$10:$E$69,4,0),0)</f>
        <v>6143027.5200000573</v>
      </c>
      <c r="D14" s="34" t="s">
        <v>45</v>
      </c>
      <c r="E14" s="34">
        <f>+Basis!D138</f>
        <v>20</v>
      </c>
      <c r="F14" s="28">
        <f>+(Basis!E138/(EOMONTH($B14,0)-$B14+1)*$C14)</f>
        <v>6441.678947845714</v>
      </c>
      <c r="G14" s="28">
        <f>+(Basis!F138/(EOMONTH($B14,0)-$B14+1)*$C14)</f>
        <v>6075.6100597956101</v>
      </c>
      <c r="H14" s="28">
        <f>+(Basis!G138/(EOMONTH($B14,0)-$B14+1)*$C14)</f>
        <v>5876.4994140604631</v>
      </c>
      <c r="I14" s="28">
        <f>+(Basis!H138/(EOMONTH($B14,0)-$B14+1)*$C14)</f>
        <v>5876.9004596909526</v>
      </c>
      <c r="J14" s="28">
        <f>+(Basis!I138/(EOMONTH($B14,0)-$B14+1)*$C14)</f>
        <v>6392.2095975709844</v>
      </c>
      <c r="K14" s="28">
        <f>+(Basis!J138/(EOMONTH($B14,0)-$B14+1)*$C14)</f>
        <v>7577.9606130293296</v>
      </c>
      <c r="L14" s="28">
        <f>+(Basis!K138/(EOMONTH($B14,0)-$B14+1)*$C14)</f>
        <v>8510.0753939031729</v>
      </c>
      <c r="M14" s="28">
        <f>+(Basis!L138/(EOMONTH($B14,0)-$B14+1)*$C14)</f>
        <v>8683.3138469886071</v>
      </c>
      <c r="N14" s="28">
        <f>+(Basis!M138/(EOMONTH($B14,0)-$B14+1)*$C14)</f>
        <v>8985.831598393168</v>
      </c>
      <c r="O14" s="28">
        <f>+(Basis!N138/(EOMONTH($B14,0)-$B14+1)*$C14)</f>
        <v>9251.1625096157331</v>
      </c>
      <c r="P14" s="28">
        <f>+(Basis!O138/(EOMONTH($B14,0)-$B14+1)*$C14)</f>
        <v>9686.3202954459903</v>
      </c>
      <c r="Q14" s="28">
        <f>+(Basis!P138/(EOMONTH($B14,0)-$B14+1)*$C14)</f>
        <v>10156.797556673982</v>
      </c>
      <c r="R14" s="28">
        <f>+(Basis!Q138/(EOMONTH($B14,0)-$B14+1)*$C14)</f>
        <v>9967.4737250821563</v>
      </c>
      <c r="S14" s="28">
        <f>+(Basis!R138/(EOMONTH($B14,0)-$B14+1)*$C14)</f>
        <v>9626.9421345066439</v>
      </c>
      <c r="T14" s="28">
        <f>+(Basis!S138/(EOMONTH($B14,0)-$B14+1)*$C14)</f>
        <v>9679.3285834453563</v>
      </c>
      <c r="U14" s="28">
        <f>+(Basis!T138/(EOMONTH($B14,0)-$B14+1)*$C14)</f>
        <v>9914.0637638391017</v>
      </c>
      <c r="V14" s="28">
        <f>+(Basis!U138/(EOMONTH($B14,0)-$B14+1)*$C14)</f>
        <v>10145.434956228075</v>
      </c>
      <c r="W14" s="28">
        <f>+(Basis!V138/(EOMONTH($B14,0)-$B14+1)*$C14)</f>
        <v>10585.147025480454</v>
      </c>
      <c r="X14" s="28">
        <f>+(Basis!W138/(EOMONTH($B14,0)-$B14+1)*$C14)</f>
        <v>12526.704924170081</v>
      </c>
      <c r="Y14" s="28">
        <f>+(Basis!X138/(EOMONTH($B14,0)-$B14+1)*$C14)</f>
        <v>13545.362089131608</v>
      </c>
      <c r="Z14" s="28">
        <f>+(Basis!Y138/(EOMONTH($B14,0)-$B14+1)*$C14)</f>
        <v>12556.322256489624</v>
      </c>
      <c r="AA14" s="28">
        <f>+(Basis!Z138/(EOMONTH($B14,0)-$B14+1)*$C14)</f>
        <v>10998.049846979242</v>
      </c>
      <c r="AB14" s="28">
        <f>+(Basis!AA138/(EOMONTH($B14,0)-$B14+1)*$C14)</f>
        <v>8997.44849123725</v>
      </c>
      <c r="AC14" s="28">
        <f>+(Basis!AB138/(EOMONTH($B14,0)-$B14+1)*$C14)</f>
        <v>7337.2019103987814</v>
      </c>
      <c r="AD14" s="29">
        <f>+SUM(F14:AC14)*E14</f>
        <v>4387876.8000000417</v>
      </c>
    </row>
    <row r="15" spans="1:33">
      <c r="B15" s="46">
        <f>+B14</f>
        <v>46419</v>
      </c>
      <c r="C15" s="44">
        <f>IFERROR(VLOOKUP(B15,'Prod- 1'!$B$10:$E$69,4,0),0)</f>
        <v>6143027.5200000573</v>
      </c>
      <c r="D15" s="35" t="s">
        <v>46</v>
      </c>
      <c r="E15" s="35">
        <f>+Basis!D139</f>
        <v>4</v>
      </c>
      <c r="F15" s="28">
        <f>+(Basis!E139/(EOMONTH($B15,0)-$B15+1)*$C15)</f>
        <v>6726.4995588451911</v>
      </c>
      <c r="G15" s="28">
        <f>+(Basis!F139/(EOMONTH($B15,0)-$B15+1)*$C15)</f>
        <v>6274.664074299717</v>
      </c>
      <c r="H15" s="28">
        <f>+(Basis!G139/(EOMONTH($B15,0)-$B15+1)*$C15)</f>
        <v>6073.6680387937549</v>
      </c>
      <c r="I15" s="28">
        <f>+(Basis!H139/(EOMONTH($B15,0)-$B15+1)*$C15)</f>
        <v>6041.6241565694008</v>
      </c>
      <c r="J15" s="28">
        <f>+(Basis!I139/(EOMONTH($B15,0)-$B15+1)*$C15)</f>
        <v>6314.7119251335344</v>
      </c>
      <c r="K15" s="28">
        <f>+(Basis!J139/(EOMONTH($B15,0)-$B15+1)*$C15)</f>
        <v>7073.6052680226112</v>
      </c>
      <c r="L15" s="28">
        <f>+(Basis!K139/(EOMONTH($B15,0)-$B15+1)*$C15)</f>
        <v>7997.5920193709189</v>
      </c>
      <c r="M15" s="28">
        <f>+(Basis!L139/(EOMONTH($B15,0)-$B15+1)*$C15)</f>
        <v>8559.1327185877435</v>
      </c>
      <c r="N15" s="28">
        <f>+(Basis!M139/(EOMONTH($B15,0)-$B15+1)*$C15)</f>
        <v>9115.6402020309433</v>
      </c>
      <c r="O15" s="28">
        <f>+(Basis!N139/(EOMONTH($B15,0)-$B15+1)*$C15)</f>
        <v>9443.2630334050846</v>
      </c>
      <c r="P15" s="28">
        <f>+(Basis!O139/(EOMONTH($B15,0)-$B15+1)*$C15)</f>
        <v>9866.9513350255966</v>
      </c>
      <c r="Q15" s="28">
        <f>+(Basis!P139/(EOMONTH($B15,0)-$B15+1)*$C15)</f>
        <v>10269.391625804883</v>
      </c>
      <c r="R15" s="28">
        <f>+(Basis!Q139/(EOMONTH($B15,0)-$B15+1)*$C15)</f>
        <v>10176.228518948008</v>
      </c>
      <c r="S15" s="28">
        <f>+(Basis!R139/(EOMONTH($B15,0)-$B15+1)*$C15)</f>
        <v>9818.237394376818</v>
      </c>
      <c r="T15" s="28">
        <f>+(Basis!S139/(EOMONTH($B15,0)-$B15+1)*$C15)</f>
        <v>9656.1980958273907</v>
      </c>
      <c r="U15" s="28">
        <f>+(Basis!T139/(EOMONTH($B15,0)-$B15+1)*$C15)</f>
        <v>9716.6374475053035</v>
      </c>
      <c r="V15" s="28">
        <f>+(Basis!U139/(EOMONTH($B15,0)-$B15+1)*$C15)</f>
        <v>9866.9259447892546</v>
      </c>
      <c r="W15" s="28">
        <f>+(Basis!V139/(EOMONTH($B15,0)-$B15+1)*$C15)</f>
        <v>10296.856461000551</v>
      </c>
      <c r="X15" s="28">
        <f>+(Basis!W139/(EOMONTH($B15,0)-$B15+1)*$C15)</f>
        <v>12332.256405121858</v>
      </c>
      <c r="Y15" s="28">
        <f>+(Basis!X139/(EOMONTH($B15,0)-$B15+1)*$C15)</f>
        <v>13428.144051370546</v>
      </c>
      <c r="Z15" s="28">
        <f>+(Basis!Y139/(EOMONTH($B15,0)-$B15+1)*$C15)</f>
        <v>12509.494960672882</v>
      </c>
      <c r="AA15" s="28">
        <f>+(Basis!Z139/(EOMONTH($B15,0)-$B15+1)*$C15)</f>
        <v>10947.022553541845</v>
      </c>
      <c r="AB15" s="28">
        <f>+(Basis!AA139/(EOMONTH($B15,0)-$B15+1)*$C15)</f>
        <v>9131.8008614025057</v>
      </c>
      <c r="AC15" s="28">
        <f>+(Basis!AB139/(EOMONTH($B15,0)-$B15+1)*$C15)</f>
        <v>7757.2933495555726</v>
      </c>
      <c r="AD15" s="30">
        <f>+SUM(F15:AC15)*E15</f>
        <v>877575.36000000767</v>
      </c>
    </row>
    <row r="16" spans="1:33">
      <c r="B16" s="41">
        <f t="shared" ref="B16:B17" si="2">+B15</f>
        <v>46419</v>
      </c>
      <c r="C16" s="39">
        <f>IFERROR(VLOOKUP(B16,'Prod- 1'!$B$10:$E$69,4,0),0)</f>
        <v>6143027.5200000573</v>
      </c>
      <c r="D16" s="36" t="s">
        <v>47</v>
      </c>
      <c r="E16" s="36">
        <f>+Basis!D140</f>
        <v>4</v>
      </c>
      <c r="F16" s="28">
        <f>+(Basis!E140/(EOMONTH($B16,0)-$B16+1)*$C16)</f>
        <v>7301.7592815088201</v>
      </c>
      <c r="G16" s="28">
        <f>+(Basis!F140/(EOMONTH($B16,0)-$B16+1)*$C16)</f>
        <v>6831.9338032223031</v>
      </c>
      <c r="H16" s="28">
        <f>+(Basis!G140/(EOMONTH($B16,0)-$B16+1)*$C16)</f>
        <v>6547.4473891679418</v>
      </c>
      <c r="I16" s="28">
        <f>+(Basis!H140/(EOMONTH($B16,0)-$B16+1)*$C16)</f>
        <v>6425.3715911456047</v>
      </c>
      <c r="J16" s="28">
        <f>+(Basis!I140/(EOMONTH($B16,0)-$B16+1)*$C16)</f>
        <v>6392.7040722410793</v>
      </c>
      <c r="K16" s="28">
        <f>+(Basis!J140/(EOMONTH($B16,0)-$B16+1)*$C16)</f>
        <v>6788.6780447082056</v>
      </c>
      <c r="L16" s="28">
        <f>+(Basis!K140/(EOMONTH($B16,0)-$B16+1)*$C16)</f>
        <v>7554.2750685496603</v>
      </c>
      <c r="M16" s="28">
        <f>+(Basis!L140/(EOMONTH($B16,0)-$B16+1)*$C16)</f>
        <v>8403.9478299575057</v>
      </c>
      <c r="N16" s="28">
        <f>+(Basis!M140/(EOMONTH($B16,0)-$B16+1)*$C16)</f>
        <v>9017.918489644233</v>
      </c>
      <c r="O16" s="28">
        <f>+(Basis!N140/(EOMONTH($B16,0)-$B16+1)*$C16)</f>
        <v>9348.0301990845001</v>
      </c>
      <c r="P16" s="28">
        <f>+(Basis!O140/(EOMONTH($B16,0)-$B16+1)*$C16)</f>
        <v>9634.6106831897596</v>
      </c>
      <c r="Q16" s="28">
        <f>+(Basis!P140/(EOMONTH($B16,0)-$B16+1)*$C16)</f>
        <v>10032.851160104483</v>
      </c>
      <c r="R16" s="28">
        <f>+(Basis!Q140/(EOMONTH($B16,0)-$B16+1)*$C16)</f>
        <v>10035.400651225546</v>
      </c>
      <c r="S16" s="28">
        <f>+(Basis!R140/(EOMONTH($B16,0)-$B16+1)*$C16)</f>
        <v>9714.1143765152283</v>
      </c>
      <c r="T16" s="28">
        <f>+(Basis!S140/(EOMONTH($B16,0)-$B16+1)*$C16)</f>
        <v>9465.5715782392781</v>
      </c>
      <c r="U16" s="28">
        <f>+(Basis!T140/(EOMONTH($B16,0)-$B16+1)*$C16)</f>
        <v>9495.2704786853719</v>
      </c>
      <c r="V16" s="28">
        <f>+(Basis!U140/(EOMONTH($B16,0)-$B16+1)*$C16)</f>
        <v>9677.4523014909264</v>
      </c>
      <c r="W16" s="28">
        <f>+(Basis!V140/(EOMONTH($B16,0)-$B16+1)*$C16)</f>
        <v>10157.655907395758</v>
      </c>
      <c r="X16" s="28">
        <f>+(Basis!W140/(EOMONTH($B16,0)-$B16+1)*$C16)</f>
        <v>12324.810935249094</v>
      </c>
      <c r="Y16" s="28">
        <f>+(Basis!X140/(EOMONTH($B16,0)-$B16+1)*$C16)</f>
        <v>13645.135157636605</v>
      </c>
      <c r="Z16" s="28">
        <f>+(Basis!Y140/(EOMONTH($B16,0)-$B16+1)*$C16)</f>
        <v>12709.241907938551</v>
      </c>
      <c r="AA16" s="28">
        <f>+(Basis!Z140/(EOMONTH($B16,0)-$B16+1)*$C16)</f>
        <v>11012.472091285459</v>
      </c>
      <c r="AB16" s="28">
        <f>+(Basis!AA140/(EOMONTH($B16,0)-$B16+1)*$C16)</f>
        <v>9182.3107957084703</v>
      </c>
      <c r="AC16" s="28">
        <f>+(Basis!AB140/(EOMONTH($B16,0)-$B16+1)*$C16)</f>
        <v>7694.8762061076304</v>
      </c>
      <c r="AD16" s="30">
        <f>+SUM(F16:AC16)*E16</f>
        <v>877575.36000000814</v>
      </c>
    </row>
    <row r="17" spans="2:33">
      <c r="B17" s="46">
        <f t="shared" si="2"/>
        <v>46419</v>
      </c>
      <c r="C17" s="44">
        <f>IFERROR(VLOOKUP(B17,'Prod- 1'!$B$10:$E$69,4,0),0)</f>
        <v>6143027.5200000573</v>
      </c>
      <c r="D17" s="37" t="s">
        <v>48</v>
      </c>
      <c r="E17" s="37">
        <f>+Basis!D141</f>
        <v>0</v>
      </c>
      <c r="F17" s="28">
        <f>+(Basis!E141/(EOMONTH($B17,0)-$B17+1)*$C17)</f>
        <v>7388.0949377726793</v>
      </c>
      <c r="G17" s="28">
        <f>+(Basis!F141/(EOMONTH($B17,0)-$B17+1)*$C17)</f>
        <v>6855.1124688043019</v>
      </c>
      <c r="H17" s="28">
        <f>+(Basis!G141/(EOMONTH($B17,0)-$B17+1)*$C17)</f>
        <v>6551.4831686192983</v>
      </c>
      <c r="I17" s="28">
        <f>+(Basis!H141/(EOMONTH($B17,0)-$B17+1)*$C17)</f>
        <v>6413.9831622215324</v>
      </c>
      <c r="J17" s="28">
        <f>+(Basis!I141/(EOMONTH($B17,0)-$B17+1)*$C17)</f>
        <v>6622.7056304586158</v>
      </c>
      <c r="K17" s="28">
        <f>+(Basis!J141/(EOMONTH($B17,0)-$B17+1)*$C17)</f>
        <v>7267.1319464001035</v>
      </c>
      <c r="L17" s="28">
        <f>+(Basis!K141/(EOMONTH($B17,0)-$B17+1)*$C17)</f>
        <v>7802.4415295415793</v>
      </c>
      <c r="M17" s="28">
        <f>+(Basis!L141/(EOMONTH($B17,0)-$B17+1)*$C17)</f>
        <v>8199.9406507701733</v>
      </c>
      <c r="N17" s="28">
        <f>+(Basis!M141/(EOMONTH($B17,0)-$B17+1)*$C17)</f>
        <v>8678.7586825886356</v>
      </c>
      <c r="O17" s="28">
        <f>+(Basis!N141/(EOMONTH($B17,0)-$B17+1)*$C17)</f>
        <v>9067.5479539730804</v>
      </c>
      <c r="P17" s="28">
        <f>+(Basis!O141/(EOMONTH($B17,0)-$B17+1)*$C17)</f>
        <v>9493.9316586621917</v>
      </c>
      <c r="Q17" s="28">
        <f>+(Basis!P141/(EOMONTH($B17,0)-$B17+1)*$C17)</f>
        <v>9933.8057873869075</v>
      </c>
      <c r="R17" s="28">
        <f>+(Basis!Q141/(EOMONTH($B17,0)-$B17+1)*$C17)</f>
        <v>10040.600681553866</v>
      </c>
      <c r="S17" s="28">
        <f>+(Basis!R141/(EOMONTH($B17,0)-$B17+1)*$C17)</f>
        <v>9700.3423718934118</v>
      </c>
      <c r="T17" s="28">
        <f>+(Basis!S141/(EOMONTH($B17,0)-$B17+1)*$C17)</f>
        <v>9487.7808464163936</v>
      </c>
      <c r="U17" s="28">
        <f>+(Basis!T141/(EOMONTH($B17,0)-$B17+1)*$C17)</f>
        <v>9555.6984829196062</v>
      </c>
      <c r="V17" s="28">
        <f>+(Basis!U141/(EOMONTH($B17,0)-$B17+1)*$C17)</f>
        <v>9748.8772067987065</v>
      </c>
      <c r="W17" s="28">
        <f>+(Basis!V141/(EOMONTH($B17,0)-$B17+1)*$C17)</f>
        <v>10349.288156183353</v>
      </c>
      <c r="X17" s="28">
        <f>+(Basis!W141/(EOMONTH($B17,0)-$B17+1)*$C17)</f>
        <v>12483.452724110599</v>
      </c>
      <c r="Y17" s="28">
        <f>+(Basis!X141/(EOMONTH($B17,0)-$B17+1)*$C17)</f>
        <v>13599.50864770953</v>
      </c>
      <c r="Z17" s="28">
        <f>+(Basis!Y141/(EOMONTH($B17,0)-$B17+1)*$C17)</f>
        <v>12551.23646874292</v>
      </c>
      <c r="AA17" s="28">
        <f>+(Basis!Z141/(EOMONTH($B17,0)-$B17+1)*$C17)</f>
        <v>10824.795686451733</v>
      </c>
      <c r="AB17" s="28">
        <f>+(Basis!AA141/(EOMONTH($B17,0)-$B17+1)*$C17)</f>
        <v>9076.0915909161486</v>
      </c>
      <c r="AC17" s="28">
        <f>+(Basis!AB141/(EOMONTH($B17,0)-$B17+1)*$C17)</f>
        <v>7701.2295591066404</v>
      </c>
      <c r="AD17" s="31">
        <f>+SUM(F17:AC17)*E17</f>
        <v>0</v>
      </c>
    </row>
    <row r="18" spans="2:33" ht="15" thickBot="1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184946.61431833034</v>
      </c>
      <c r="G18" s="32">
        <f t="shared" si="3"/>
        <v>173938.59270600029</v>
      </c>
      <c r="H18" s="32">
        <f t="shared" si="3"/>
        <v>168014.44999305604</v>
      </c>
      <c r="I18" s="32">
        <f t="shared" si="3"/>
        <v>167405.99218467905</v>
      </c>
      <c r="J18" s="32">
        <f t="shared" si="3"/>
        <v>178673.85594091815</v>
      </c>
      <c r="K18" s="32">
        <f t="shared" si="3"/>
        <v>207008.34551150986</v>
      </c>
      <c r="L18" s="32">
        <f t="shared" si="3"/>
        <v>232408.97622974575</v>
      </c>
      <c r="M18" s="32">
        <f t="shared" si="3"/>
        <v>241518.59913395313</v>
      </c>
      <c r="N18" s="32">
        <f t="shared" si="3"/>
        <v>252250.86673456407</v>
      </c>
      <c r="O18" s="32">
        <f t="shared" si="3"/>
        <v>260188.423122273</v>
      </c>
      <c r="P18" s="32">
        <f t="shared" si="3"/>
        <v>271732.65398178122</v>
      </c>
      <c r="Q18" s="32">
        <f t="shared" si="3"/>
        <v>284344.92227711715</v>
      </c>
      <c r="R18" s="32">
        <f t="shared" si="3"/>
        <v>280195.99118233734</v>
      </c>
      <c r="S18" s="32">
        <f t="shared" si="3"/>
        <v>270668.24977370107</v>
      </c>
      <c r="T18" s="32">
        <f t="shared" si="3"/>
        <v>270073.65036517382</v>
      </c>
      <c r="U18" s="32">
        <f t="shared" si="3"/>
        <v>275128.90698154474</v>
      </c>
      <c r="V18" s="32">
        <f t="shared" si="3"/>
        <v>281086.21210968221</v>
      </c>
      <c r="W18" s="32">
        <f t="shared" si="3"/>
        <v>293520.98998319427</v>
      </c>
      <c r="X18" s="32">
        <f t="shared" si="3"/>
        <v>349162.36784488545</v>
      </c>
      <c r="Y18" s="32">
        <f t="shared" si="3"/>
        <v>379200.35861866071</v>
      </c>
      <c r="Z18" s="32">
        <f t="shared" si="3"/>
        <v>352001.39260423824</v>
      </c>
      <c r="AA18" s="32">
        <f t="shared" si="3"/>
        <v>307798.97551889403</v>
      </c>
      <c r="AB18" s="32">
        <f t="shared" si="3"/>
        <v>253205.41645318893</v>
      </c>
      <c r="AC18" s="32">
        <f t="shared" si="3"/>
        <v>208552.71643062844</v>
      </c>
      <c r="AD18" s="33">
        <f>+SUM(AD14:AD17)</f>
        <v>6143027.5200000573</v>
      </c>
      <c r="AE18" s="2">
        <f>+AD18-C14</f>
        <v>0</v>
      </c>
      <c r="AG18" s="90"/>
    </row>
    <row r="19" spans="2:33">
      <c r="B19" s="45">
        <f>+EDATE(B14,1)</f>
        <v>46447</v>
      </c>
      <c r="C19" s="43">
        <f>IFERROR(VLOOKUP(B19,'Prod- 1'!$B$10:$E$69,4,0),0)</f>
        <v>5760479.5200000424</v>
      </c>
      <c r="D19" s="34" t="s">
        <v>45</v>
      </c>
      <c r="E19" s="34">
        <f>+Basis!D143</f>
        <v>20</v>
      </c>
      <c r="F19" s="28">
        <f>+(Basis!E143/(EOMONTH($B19,0)-$B19+1)*$C19)</f>
        <v>5455.9651725511894</v>
      </c>
      <c r="G19" s="28">
        <f>+(Basis!F143/(EOMONTH($B19,0)-$B19+1)*$C19)</f>
        <v>5145.9126039388011</v>
      </c>
      <c r="H19" s="28">
        <f>+(Basis!G143/(EOMONTH($B19,0)-$B19+1)*$C19)</f>
        <v>4977.2701184298885</v>
      </c>
      <c r="I19" s="28">
        <f>+(Basis!H143/(EOMONTH($B19,0)-$B19+1)*$C19)</f>
        <v>4977.6097955560344</v>
      </c>
      <c r="J19" s="28">
        <f>+(Basis!I143/(EOMONTH($B19,0)-$B19+1)*$C19)</f>
        <v>5414.0656841735636</v>
      </c>
      <c r="K19" s="28">
        <f>+(Basis!J143/(EOMONTH($B19,0)-$B19+1)*$C19)</f>
        <v>6418.3715951071563</v>
      </c>
      <c r="L19" s="28">
        <f>+(Basis!K143/(EOMONTH($B19,0)-$B19+1)*$C19)</f>
        <v>7207.8530055348883</v>
      </c>
      <c r="M19" s="28">
        <f>+(Basis!L143/(EOMONTH($B19,0)-$B19+1)*$C19)</f>
        <v>7354.5822936961513</v>
      </c>
      <c r="N19" s="28">
        <f>+(Basis!M143/(EOMONTH($B19,0)-$B19+1)*$C19)</f>
        <v>7610.8084001359575</v>
      </c>
      <c r="O19" s="28">
        <f>+(Basis!N143/(EOMONTH($B19,0)-$B19+1)*$C19)</f>
        <v>7835.5380432231404</v>
      </c>
      <c r="P19" s="28">
        <f>+(Basis!O143/(EOMONTH($B19,0)-$B19+1)*$C19)</f>
        <v>8204.1074400025882</v>
      </c>
      <c r="Q19" s="28">
        <f>+(Basis!P143/(EOMONTH($B19,0)-$B19+1)*$C19)</f>
        <v>8602.5916818469668</v>
      </c>
      <c r="R19" s="28">
        <f>+(Basis!Q143/(EOMONTH($B19,0)-$B19+1)*$C19)</f>
        <v>8442.2384199315475</v>
      </c>
      <c r="S19" s="28">
        <f>+(Basis!R143/(EOMONTH($B19,0)-$B19+1)*$C19)</f>
        <v>8153.8153995705588</v>
      </c>
      <c r="T19" s="28">
        <f>+(Basis!S143/(EOMONTH($B19,0)-$B19+1)*$C19)</f>
        <v>8198.1856085234322</v>
      </c>
      <c r="U19" s="28">
        <f>+(Basis!T143/(EOMONTH($B19,0)-$B19+1)*$C19)</f>
        <v>8397.0013178082154</v>
      </c>
      <c r="V19" s="28">
        <f>+(Basis!U143/(EOMONTH($B19,0)-$B19+1)*$C19)</f>
        <v>8592.9678007432358</v>
      </c>
      <c r="W19" s="28">
        <f>+(Basis!V143/(EOMONTH($B19,0)-$B19+1)*$C19)</f>
        <v>8965.3945787952071</v>
      </c>
      <c r="X19" s="28">
        <f>+(Basis!W143/(EOMONTH($B19,0)-$B19+1)*$C19)</f>
        <v>10609.852857686132</v>
      </c>
      <c r="Y19" s="28">
        <f>+(Basis!X143/(EOMONTH($B19,0)-$B19+1)*$C19)</f>
        <v>11472.633828268112</v>
      </c>
      <c r="Z19" s="28">
        <f>+(Basis!Y143/(EOMONTH($B19,0)-$B19+1)*$C19)</f>
        <v>10634.938108743756</v>
      </c>
      <c r="AA19" s="28">
        <f>+(Basis!Z143/(EOMONTH($B19,0)-$B19+1)*$C19)</f>
        <v>9315.1144937405043</v>
      </c>
      <c r="AB19" s="28">
        <f>+(Basis!AA143/(EOMONTH($B19,0)-$B19+1)*$C19)</f>
        <v>7620.6476614968115</v>
      </c>
      <c r="AC19" s="28">
        <f>+(Basis!AB143/(EOMONTH($B19,0)-$B19+1)*$C19)</f>
        <v>6214.4540904975584</v>
      </c>
      <c r="AD19" s="29">
        <f>+SUM(F19:AC19)*E19</f>
        <v>3716438.4000000274</v>
      </c>
    </row>
    <row r="20" spans="2:33">
      <c r="B20" s="46">
        <f>+B19</f>
        <v>46447</v>
      </c>
      <c r="C20" s="44">
        <f>IFERROR(VLOOKUP(B20,'Prod- 1'!$B$10:$E$69,4,0),0)</f>
        <v>5760479.5200000424</v>
      </c>
      <c r="D20" s="35" t="s">
        <v>46</v>
      </c>
      <c r="E20" s="35">
        <f>+Basis!D144</f>
        <v>5</v>
      </c>
      <c r="F20" s="28">
        <f>+(Basis!E144/(EOMONTH($B20,0)-$B20+1)*$C20)</f>
        <v>5697.2021771612362</v>
      </c>
      <c r="G20" s="28">
        <f>+(Basis!F144/(EOMONTH($B20,0)-$B20+1)*$C20)</f>
        <v>5314.50712399853</v>
      </c>
      <c r="H20" s="28">
        <f>+(Basis!G144/(EOMONTH($B20,0)-$B20+1)*$C20)</f>
        <v>5144.2677534213708</v>
      </c>
      <c r="I20" s="28">
        <f>+(Basis!H144/(EOMONTH($B20,0)-$B20+1)*$C20)</f>
        <v>5117.1272661625526</v>
      </c>
      <c r="J20" s="28">
        <f>+(Basis!I144/(EOMONTH($B20,0)-$B20+1)*$C20)</f>
        <v>5348.4268025720667</v>
      </c>
      <c r="K20" s="28">
        <f>+(Basis!J144/(EOMONTH($B20,0)-$B20+1)*$C20)</f>
        <v>5991.1933362672062</v>
      </c>
      <c r="L20" s="28">
        <f>+(Basis!K144/(EOMONTH($B20,0)-$B20+1)*$C20)</f>
        <v>6773.7904784208085</v>
      </c>
      <c r="M20" s="28">
        <f>+(Basis!L144/(EOMONTH($B20,0)-$B20+1)*$C20)</f>
        <v>7249.4035169938743</v>
      </c>
      <c r="N20" s="28">
        <f>+(Basis!M144/(EOMONTH($B20,0)-$B20+1)*$C20)</f>
        <v>7720.7535287707906</v>
      </c>
      <c r="O20" s="28">
        <f>+(Basis!N144/(EOMONTH($B20,0)-$B20+1)*$C20)</f>
        <v>7998.243104420586</v>
      </c>
      <c r="P20" s="28">
        <f>+(Basis!O144/(EOMONTH($B20,0)-$B20+1)*$C20)</f>
        <v>8357.0980918197874</v>
      </c>
      <c r="Q20" s="28">
        <f>+(Basis!P144/(EOMONTH($B20,0)-$B20+1)*$C20)</f>
        <v>8697.9564655916547</v>
      </c>
      <c r="R20" s="28">
        <f>+(Basis!Q144/(EOMONTH($B20,0)-$B20+1)*$C20)</f>
        <v>8619.0492939531559</v>
      </c>
      <c r="S20" s="28">
        <f>+(Basis!R144/(EOMONTH($B20,0)-$B20+1)*$C20)</f>
        <v>8315.8384193416459</v>
      </c>
      <c r="T20" s="28">
        <f>+(Basis!S144/(EOMONTH($B20,0)-$B20+1)*$C20)</f>
        <v>8178.5945770719281</v>
      </c>
      <c r="U20" s="28">
        <f>+(Basis!T144/(EOMONTH($B20,0)-$B20+1)*$C20)</f>
        <v>8229.7854235074738</v>
      </c>
      <c r="V20" s="28">
        <f>+(Basis!U144/(EOMONTH($B20,0)-$B20+1)*$C20)</f>
        <v>8357.076586829191</v>
      </c>
      <c r="W20" s="28">
        <f>+(Basis!V144/(EOMONTH($B20,0)-$B20+1)*$C20)</f>
        <v>8721.2185973294581</v>
      </c>
      <c r="X20" s="28">
        <f>+(Basis!W144/(EOMONTH($B20,0)-$B20+1)*$C20)</f>
        <v>10445.159094403183</v>
      </c>
      <c r="Y20" s="28">
        <f>+(Basis!X144/(EOMONTH($B20,0)-$B20+1)*$C20)</f>
        <v>11373.352641360616</v>
      </c>
      <c r="Z20" s="28">
        <f>+(Basis!Y144/(EOMONTH($B20,0)-$B20+1)*$C20)</f>
        <v>10595.276384344041</v>
      </c>
      <c r="AA20" s="28">
        <f>+(Basis!Z144/(EOMONTH($B20,0)-$B20+1)*$C20)</f>
        <v>9271.8954606129519</v>
      </c>
      <c r="AB20" s="28">
        <f>+(Basis!AA144/(EOMONTH($B20,0)-$B20+1)*$C20)</f>
        <v>7734.4412638179083</v>
      </c>
      <c r="AC20" s="28">
        <f>+(Basis!AB144/(EOMONTH($B20,0)-$B20+1)*$C20)</f>
        <v>6570.2626118292328</v>
      </c>
      <c r="AD20" s="30">
        <f>+SUM(F20:AC20)*E20</f>
        <v>929109.60000000638</v>
      </c>
    </row>
    <row r="21" spans="2:33">
      <c r="B21" s="41">
        <f t="shared" ref="B21:B22" si="4">+B20</f>
        <v>46447</v>
      </c>
      <c r="C21" s="39">
        <f>IFERROR(VLOOKUP(B21,'Prod- 1'!$B$10:$E$69,4,0),0)</f>
        <v>5760479.5200000424</v>
      </c>
      <c r="D21" s="36" t="s">
        <v>47</v>
      </c>
      <c r="E21" s="36">
        <f>+Basis!D145</f>
        <v>5</v>
      </c>
      <c r="F21" s="28">
        <f>+(Basis!E145/(EOMONTH($B21,0)-$B21+1)*$C21)</f>
        <v>6184.4349370419286</v>
      </c>
      <c r="G21" s="28">
        <f>+(Basis!F145/(EOMONTH($B21,0)-$B21+1)*$C21)</f>
        <v>5786.5027414975202</v>
      </c>
      <c r="H21" s="28">
        <f>+(Basis!G145/(EOMONTH($B21,0)-$B21+1)*$C21)</f>
        <v>5545.5487945977511</v>
      </c>
      <c r="I21" s="28">
        <f>+(Basis!H145/(EOMONTH($B21,0)-$B21+1)*$C21)</f>
        <v>5442.1531879843533</v>
      </c>
      <c r="J21" s="28">
        <f>+(Basis!I145/(EOMONTH($B21,0)-$B21+1)*$C21)</f>
        <v>5414.4844937107337</v>
      </c>
      <c r="K21" s="28">
        <f>+(Basis!J145/(EOMONTH($B21,0)-$B21+1)*$C21)</f>
        <v>5749.8660332921017</v>
      </c>
      <c r="L21" s="28">
        <f>+(Basis!K145/(EOMONTH($B21,0)-$B21+1)*$C21)</f>
        <v>6398.3104422896586</v>
      </c>
      <c r="M21" s="28">
        <f>+(Basis!L145/(EOMONTH($B21,0)-$B21+1)*$C21)</f>
        <v>7117.9652142582227</v>
      </c>
      <c r="N21" s="28">
        <f>+(Basis!M145/(EOMONTH($B21,0)-$B21+1)*$C21)</f>
        <v>7637.9853151263887</v>
      </c>
      <c r="O21" s="28">
        <f>+(Basis!N145/(EOMONTH($B21,0)-$B21+1)*$C21)</f>
        <v>7917.5829176054394</v>
      </c>
      <c r="P21" s="28">
        <f>+(Basis!O145/(EOMONTH($B21,0)-$B21+1)*$C21)</f>
        <v>8160.310497335885</v>
      </c>
      <c r="Q21" s="28">
        <f>+(Basis!P145/(EOMONTH($B21,0)-$B21+1)*$C21)</f>
        <v>8497.6117180174206</v>
      </c>
      <c r="R21" s="28">
        <f>+(Basis!Q145/(EOMONTH($B21,0)-$B21+1)*$C21)</f>
        <v>8499.771082816078</v>
      </c>
      <c r="S21" s="28">
        <f>+(Basis!R145/(EOMONTH($B21,0)-$B21+1)*$C21)</f>
        <v>8227.6484359982896</v>
      </c>
      <c r="T21" s="28">
        <f>+(Basis!S145/(EOMONTH($B21,0)-$B21+1)*$C21)</f>
        <v>8017.1379678018748</v>
      </c>
      <c r="U21" s="28">
        <f>+(Basis!T145/(EOMONTH($B21,0)-$B21+1)*$C21)</f>
        <v>8042.292305329227</v>
      </c>
      <c r="V21" s="28">
        <f>+(Basis!U145/(EOMONTH($B21,0)-$B21+1)*$C21)</f>
        <v>8196.5964375821095</v>
      </c>
      <c r="W21" s="28">
        <f>+(Basis!V145/(EOMONTH($B21,0)-$B21+1)*$C21)</f>
        <v>8603.3186866669457</v>
      </c>
      <c r="X21" s="28">
        <f>+(Basis!W145/(EOMONTH($B21,0)-$B21+1)*$C21)</f>
        <v>10438.852939649434</v>
      </c>
      <c r="Y21" s="28">
        <f>+(Basis!X145/(EOMONTH($B21,0)-$B21+1)*$C21)</f>
        <v>11557.139496950011</v>
      </c>
      <c r="Z21" s="28">
        <f>+(Basis!Y145/(EOMONTH($B21,0)-$B21+1)*$C21)</f>
        <v>10764.457803726851</v>
      </c>
      <c r="AA21" s="28">
        <f>+(Basis!Z145/(EOMONTH($B21,0)-$B21+1)*$C21)</f>
        <v>9327.3298281714524</v>
      </c>
      <c r="AB21" s="28">
        <f>+(Basis!AA145/(EOMONTH($B21,0)-$B21+1)*$C21)</f>
        <v>7777.2221047558687</v>
      </c>
      <c r="AC21" s="28">
        <f>+(Basis!AB145/(EOMONTH($B21,0)-$B21+1)*$C21)</f>
        <v>6517.3966177957991</v>
      </c>
      <c r="AD21" s="30">
        <f>+SUM(F21:AC21)*E21</f>
        <v>929109.60000000661</v>
      </c>
    </row>
    <row r="22" spans="2:33">
      <c r="B22" s="46">
        <f t="shared" si="4"/>
        <v>46447</v>
      </c>
      <c r="C22" s="44">
        <f>IFERROR(VLOOKUP(B22,'Prod- 1'!$B$10:$E$69,4,0),0)</f>
        <v>5760479.5200000424</v>
      </c>
      <c r="D22" s="37" t="s">
        <v>48</v>
      </c>
      <c r="E22" s="37">
        <f>+Basis!D146</f>
        <v>1</v>
      </c>
      <c r="F22" s="28">
        <f>+(Basis!E146/(EOMONTH($B22,0)-$B22+1)*$C22)</f>
        <v>6257.5594031227001</v>
      </c>
      <c r="G22" s="28">
        <f>+(Basis!F146/(EOMONTH($B22,0)-$B22+1)*$C22)</f>
        <v>5806.1345786606998</v>
      </c>
      <c r="H22" s="28">
        <f>+(Basis!G146/(EOMONTH($B22,0)-$B22+1)*$C22)</f>
        <v>5548.9670140260978</v>
      </c>
      <c r="I22" s="28">
        <f>+(Basis!H146/(EOMONTH($B22,0)-$B22+1)*$C22)</f>
        <v>5432.5074307085115</v>
      </c>
      <c r="J22" s="28">
        <f>+(Basis!I146/(EOMONTH($B22,0)-$B22+1)*$C22)</f>
        <v>5609.2909256095245</v>
      </c>
      <c r="K22" s="28">
        <f>+(Basis!J146/(EOMONTH($B22,0)-$B22+1)*$C22)</f>
        <v>6155.1063200926783</v>
      </c>
      <c r="L22" s="28">
        <f>+(Basis!K146/(EOMONTH($B22,0)-$B22+1)*$C22)</f>
        <v>6608.5021608042871</v>
      </c>
      <c r="M22" s="28">
        <f>+(Basis!L146/(EOMONTH($B22,0)-$B22+1)*$C22)</f>
        <v>6945.1754689746995</v>
      </c>
      <c r="N22" s="28">
        <f>+(Basis!M146/(EOMONTH($B22,0)-$B22+1)*$C22)</f>
        <v>7350.7241662541119</v>
      </c>
      <c r="O22" s="28">
        <f>+(Basis!N146/(EOMONTH($B22,0)-$B22+1)*$C22)</f>
        <v>7680.0204167051643</v>
      </c>
      <c r="P22" s="28">
        <f>+(Basis!O146/(EOMONTH($B22,0)-$B22+1)*$C22)</f>
        <v>8041.158353221721</v>
      </c>
      <c r="Q22" s="28">
        <f>+(Basis!P146/(EOMONTH($B22,0)-$B22+1)*$C22)</f>
        <v>8413.7223922027315</v>
      </c>
      <c r="R22" s="28">
        <f>+(Basis!Q146/(EOMONTH($B22,0)-$B22+1)*$C22)</f>
        <v>8504.1753979949681</v>
      </c>
      <c r="S22" s="28">
        <f>+(Basis!R146/(EOMONTH($B22,0)-$B22+1)*$C22)</f>
        <v>8215.9838407613643</v>
      </c>
      <c r="T22" s="28">
        <f>+(Basis!S146/(EOMONTH($B22,0)-$B22+1)*$C22)</f>
        <v>8035.9487459644079</v>
      </c>
      <c r="U22" s="28">
        <f>+(Basis!T146/(EOMONTH($B22,0)-$B22+1)*$C22)</f>
        <v>8093.4735407211301</v>
      </c>
      <c r="V22" s="28">
        <f>+(Basis!U146/(EOMONTH($B22,0)-$B22+1)*$C22)</f>
        <v>8257.0918144810676</v>
      </c>
      <c r="W22" s="28">
        <f>+(Basis!V146/(EOMONTH($B22,0)-$B22+1)*$C22)</f>
        <v>8765.6271288895205</v>
      </c>
      <c r="X22" s="28">
        <f>+(Basis!W146/(EOMONTH($B22,0)-$B22+1)*$C22)</f>
        <v>10573.219163416154</v>
      </c>
      <c r="Y22" s="28">
        <f>+(Basis!X146/(EOMONTH($B22,0)-$B22+1)*$C22)</f>
        <v>11518.494812680172</v>
      </c>
      <c r="Z22" s="28">
        <f>+(Basis!Y146/(EOMONTH($B22,0)-$B22+1)*$C22)</f>
        <v>10630.630554603651</v>
      </c>
      <c r="AA22" s="28">
        <f>+(Basis!Z146/(EOMONTH($B22,0)-$B22+1)*$C22)</f>
        <v>9168.3719017096155</v>
      </c>
      <c r="AB22" s="28">
        <f>+(Basis!AA146/(EOMONTH($B22,0)-$B22+1)*$C22)</f>
        <v>7687.2566956296032</v>
      </c>
      <c r="AC22" s="28">
        <f>+(Basis!AB146/(EOMONTH($B22,0)-$B22+1)*$C22)</f>
        <v>6522.7777727667581</v>
      </c>
      <c r="AD22" s="31">
        <f>+SUM(F22:AC22)*E22</f>
        <v>185821.92000000135</v>
      </c>
    </row>
    <row r="23" spans="2:33" ht="15" thickBot="1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174785.0484251623</v>
      </c>
      <c r="G23" s="32">
        <f t="shared" si="5"/>
        <v>164229.43598491699</v>
      </c>
      <c r="H23" s="32">
        <f t="shared" si="5"/>
        <v>158543.45212271946</v>
      </c>
      <c r="I23" s="32">
        <f t="shared" si="5"/>
        <v>157781.10561256373</v>
      </c>
      <c r="J23" s="32">
        <f t="shared" si="5"/>
        <v>167705.1610904948</v>
      </c>
      <c r="K23" s="32">
        <f t="shared" si="5"/>
        <v>193227.83507003236</v>
      </c>
      <c r="L23" s="32">
        <f t="shared" si="5"/>
        <v>216626.06687505438</v>
      </c>
      <c r="M23" s="32">
        <f t="shared" si="5"/>
        <v>225873.66499915821</v>
      </c>
      <c r="N23" s="32">
        <f t="shared" si="5"/>
        <v>236360.58638845914</v>
      </c>
      <c r="O23" s="32">
        <f t="shared" si="5"/>
        <v>243969.91139129811</v>
      </c>
      <c r="P23" s="32">
        <f t="shared" si="5"/>
        <v>254710.35009905187</v>
      </c>
      <c r="Q23" s="32">
        <f t="shared" si="5"/>
        <v>266443.39694718743</v>
      </c>
      <c r="R23" s="32">
        <f t="shared" si="5"/>
        <v>262943.0456804721</v>
      </c>
      <c r="S23" s="32">
        <f t="shared" si="5"/>
        <v>254009.72610887222</v>
      </c>
      <c r="T23" s="32">
        <f t="shared" si="5"/>
        <v>252978.32364080206</v>
      </c>
      <c r="U23" s="32">
        <f t="shared" si="5"/>
        <v>257393.88854106894</v>
      </c>
      <c r="V23" s="32">
        <f t="shared" si="5"/>
        <v>262884.81295140227</v>
      </c>
      <c r="W23" s="32">
        <f t="shared" si="5"/>
        <v>274696.20512477565</v>
      </c>
      <c r="X23" s="32">
        <f t="shared" si="5"/>
        <v>327190.33648740186</v>
      </c>
      <c r="Y23" s="32">
        <f t="shared" si="5"/>
        <v>355623.63206959557</v>
      </c>
      <c r="Z23" s="32">
        <f t="shared" si="5"/>
        <v>330128.06366983324</v>
      </c>
      <c r="AA23" s="32">
        <f t="shared" si="5"/>
        <v>288466.78822044178</v>
      </c>
      <c r="AB23" s="32">
        <f t="shared" si="5"/>
        <v>237658.52676843471</v>
      </c>
      <c r="AC23" s="32">
        <f t="shared" si="5"/>
        <v>196250.15573084311</v>
      </c>
      <c r="AD23" s="33">
        <f>+SUM(AD19:AD22)</f>
        <v>5760479.5200000424</v>
      </c>
      <c r="AE23" s="2">
        <f>+AD23-C19</f>
        <v>0</v>
      </c>
      <c r="AG23" s="90"/>
    </row>
    <row r="24" spans="2:33">
      <c r="B24" s="45">
        <f>+EDATE(B19,1)</f>
        <v>46478</v>
      </c>
      <c r="C24" s="43">
        <f>IFERROR(VLOOKUP(B24,'Prod- 1'!$B$10:$E$69,4,0),0)</f>
        <v>3057415.2000000156</v>
      </c>
      <c r="D24" s="34" t="s">
        <v>45</v>
      </c>
      <c r="E24" s="34">
        <f>+Basis!D148</f>
        <v>20</v>
      </c>
      <c r="F24" s="28">
        <f>+(Basis!E148/(EOMONTH($B24,0)-$B24+1)*$C24)</f>
        <v>2992.3184608196548</v>
      </c>
      <c r="G24" s="28">
        <f>+(Basis!F148/(EOMONTH($B24,0)-$B24+1)*$C24)</f>
        <v>2822.2704499652205</v>
      </c>
      <c r="H24" s="28">
        <f>+(Basis!G148/(EOMONTH($B24,0)-$B24+1)*$C24)</f>
        <v>2729.7786530590342</v>
      </c>
      <c r="I24" s="28">
        <f>+(Basis!H148/(EOMONTH($B24,0)-$B24+1)*$C24)</f>
        <v>2729.964948627854</v>
      </c>
      <c r="J24" s="28">
        <f>+(Basis!I148/(EOMONTH($B24,0)-$B24+1)*$C24)</f>
        <v>2969.3387297168911</v>
      </c>
      <c r="K24" s="28">
        <f>+(Basis!J148/(EOMONTH($B24,0)-$B24+1)*$C24)</f>
        <v>3520.1492687423206</v>
      </c>
      <c r="L24" s="28">
        <f>+(Basis!K148/(EOMONTH($B24,0)-$B24+1)*$C24)</f>
        <v>3953.1395324598952</v>
      </c>
      <c r="M24" s="28">
        <f>+(Basis!L148/(EOMONTH($B24,0)-$B24+1)*$C24)</f>
        <v>4033.6130589253457</v>
      </c>
      <c r="N24" s="28">
        <f>+(Basis!M148/(EOMONTH($B24,0)-$B24+1)*$C24)</f>
        <v>4174.1400022242269</v>
      </c>
      <c r="O24" s="28">
        <f>+(Basis!N148/(EOMONTH($B24,0)-$B24+1)*$C24)</f>
        <v>4297.3927427450662</v>
      </c>
      <c r="P24" s="28">
        <f>+(Basis!O148/(EOMONTH($B24,0)-$B24+1)*$C24)</f>
        <v>4499.534247537812</v>
      </c>
      <c r="Q24" s="28">
        <f>+(Basis!P148/(EOMONTH($B24,0)-$B24+1)*$C24)</f>
        <v>4718.0825181931214</v>
      </c>
      <c r="R24" s="28">
        <f>+(Basis!Q148/(EOMONTH($B24,0)-$B24+1)*$C24)</f>
        <v>4630.1369374008973</v>
      </c>
      <c r="S24" s="28">
        <f>+(Basis!R148/(EOMONTH($B24,0)-$B24+1)*$C24)</f>
        <v>4471.9516299334773</v>
      </c>
      <c r="T24" s="28">
        <f>+(Basis!S148/(EOMONTH($B24,0)-$B24+1)*$C24)</f>
        <v>4496.2864251825504</v>
      </c>
      <c r="U24" s="28">
        <f>+(Basis!T148/(EOMONTH($B24,0)-$B24+1)*$C24)</f>
        <v>4605.3266954883138</v>
      </c>
      <c r="V24" s="28">
        <f>+(Basis!U148/(EOMONTH($B24,0)-$B24+1)*$C24)</f>
        <v>4712.8043105468714</v>
      </c>
      <c r="W24" s="28">
        <f>+(Basis!V148/(EOMONTH($B24,0)-$B24+1)*$C24)</f>
        <v>4917.061392112405</v>
      </c>
      <c r="X24" s="28">
        <f>+(Basis!W148/(EOMONTH($B24,0)-$B24+1)*$C24)</f>
        <v>5818.9628358256377</v>
      </c>
      <c r="Y24" s="28">
        <f>+(Basis!X148/(EOMONTH($B24,0)-$B24+1)*$C24)</f>
        <v>6292.1541675637691</v>
      </c>
      <c r="Z24" s="28">
        <f>+(Basis!Y148/(EOMONTH($B24,0)-$B24+1)*$C24)</f>
        <v>5832.7208158456824</v>
      </c>
      <c r="AA24" s="28">
        <f>+(Basis!Z148/(EOMONTH($B24,0)-$B24+1)*$C24)</f>
        <v>5108.8649180718212</v>
      </c>
      <c r="AB24" s="28">
        <f>+(Basis!AA148/(EOMONTH($B24,0)-$B24+1)*$C24)</f>
        <v>4179.5363349499266</v>
      </c>
      <c r="AC24" s="28">
        <f>+(Basis!AB148/(EOMONTH($B24,0)-$B24+1)*$C24)</f>
        <v>3408.3109240627382</v>
      </c>
      <c r="AD24" s="29">
        <f>+SUM(F24:AC24)*E24</f>
        <v>2038276.8000000108</v>
      </c>
    </row>
    <row r="25" spans="2:33">
      <c r="B25" s="46">
        <f>+B24</f>
        <v>46478</v>
      </c>
      <c r="C25" s="44">
        <f>IFERROR(VLOOKUP(B25,'Prod- 1'!$B$10:$E$69,4,0),0)</f>
        <v>3057415.2000000156</v>
      </c>
      <c r="D25" s="35" t="s">
        <v>46</v>
      </c>
      <c r="E25" s="35">
        <f>+Basis!D149</f>
        <v>4</v>
      </c>
      <c r="F25" s="28">
        <f>+(Basis!E149/(EOMONTH($B25,0)-$B25+1)*$C25)</f>
        <v>3124.6246467093897</v>
      </c>
      <c r="G25" s="28">
        <f>+(Basis!F149/(EOMONTH($B25,0)-$B25+1)*$C25)</f>
        <v>2914.7359402703682</v>
      </c>
      <c r="H25" s="28">
        <f>+(Basis!G149/(EOMONTH($B25,0)-$B25+1)*$C25)</f>
        <v>2821.3683333986855</v>
      </c>
      <c r="I25" s="28">
        <f>+(Basis!H149/(EOMONTH($B25,0)-$B25+1)*$C25)</f>
        <v>2806.4831612079274</v>
      </c>
      <c r="J25" s="28">
        <f>+(Basis!I149/(EOMONTH($B25,0)-$B25+1)*$C25)</f>
        <v>2933.3391529322262</v>
      </c>
      <c r="K25" s="28">
        <f>+(Basis!J149/(EOMONTH($B25,0)-$B25+1)*$C25)</f>
        <v>3285.8637941175125</v>
      </c>
      <c r="L25" s="28">
        <f>+(Basis!K149/(EOMONTH($B25,0)-$B25+1)*$C25)</f>
        <v>3715.0783880141812</v>
      </c>
      <c r="M25" s="28">
        <f>+(Basis!L149/(EOMONTH($B25,0)-$B25+1)*$C25)</f>
        <v>3975.9278675322548</v>
      </c>
      <c r="N25" s="28">
        <f>+(Basis!M149/(EOMONTH($B25,0)-$B25+1)*$C25)</f>
        <v>4234.4392944092924</v>
      </c>
      <c r="O25" s="28">
        <f>+(Basis!N149/(EOMONTH($B25,0)-$B25+1)*$C25)</f>
        <v>4386.6281654232234</v>
      </c>
      <c r="P25" s="28">
        <f>+(Basis!O149/(EOMONTH($B25,0)-$B25+1)*$C25)</f>
        <v>4583.4418124300155</v>
      </c>
      <c r="Q25" s="28">
        <f>+(Basis!P149/(EOMONTH($B25,0)-$B25+1)*$C25)</f>
        <v>4770.3852352901713</v>
      </c>
      <c r="R25" s="28">
        <f>+(Basis!Q149/(EOMONTH($B25,0)-$B25+1)*$C25)</f>
        <v>4727.108678545851</v>
      </c>
      <c r="S25" s="28">
        <f>+(Basis!R149/(EOMONTH($B25,0)-$B25+1)*$C25)</f>
        <v>4560.812987696153</v>
      </c>
      <c r="T25" s="28">
        <f>+(Basis!S149/(EOMONTH($B25,0)-$B25+1)*$C25)</f>
        <v>4485.541744227884</v>
      </c>
      <c r="U25" s="28">
        <f>+(Basis!T149/(EOMONTH($B25,0)-$B25+1)*$C25)</f>
        <v>4513.617311056043</v>
      </c>
      <c r="V25" s="28">
        <f>+(Basis!U149/(EOMONTH($B25,0)-$B25+1)*$C25)</f>
        <v>4583.4300180401451</v>
      </c>
      <c r="W25" s="28">
        <f>+(Basis!V149/(EOMONTH($B25,0)-$B25+1)*$C25)</f>
        <v>4783.1433274032306</v>
      </c>
      <c r="X25" s="28">
        <f>+(Basis!W149/(EOMONTH($B25,0)-$B25+1)*$C25)</f>
        <v>5728.6367115437652</v>
      </c>
      <c r="Y25" s="28">
        <f>+(Basis!X149/(EOMONTH($B25,0)-$B25+1)*$C25)</f>
        <v>6237.7035031991954</v>
      </c>
      <c r="Z25" s="28">
        <f>+(Basis!Y149/(EOMONTH($B25,0)-$B25+1)*$C25)</f>
        <v>5810.9683840841526</v>
      </c>
      <c r="AA25" s="28">
        <f>+(Basis!Z149/(EOMONTH($B25,0)-$B25+1)*$C25)</f>
        <v>5085.1614840145476</v>
      </c>
      <c r="AB25" s="28">
        <f>+(Basis!AA149/(EOMONTH($B25,0)-$B25+1)*$C25)</f>
        <v>4241.9463185513005</v>
      </c>
      <c r="AC25" s="28">
        <f>+(Basis!AB149/(EOMONTH($B25,0)-$B25+1)*$C25)</f>
        <v>3603.4537399029405</v>
      </c>
      <c r="AD25" s="30">
        <f>+SUM(F25:AC25)*E25</f>
        <v>407655.36000000179</v>
      </c>
    </row>
    <row r="26" spans="2:33">
      <c r="B26" s="41">
        <f t="shared" ref="B26:B27" si="6">+B25</f>
        <v>46478</v>
      </c>
      <c r="C26" s="39">
        <f>IFERROR(VLOOKUP(B26,'Prod- 1'!$B$10:$E$69,4,0),0)</f>
        <v>3057415.2000000156</v>
      </c>
      <c r="D26" s="36" t="s">
        <v>47</v>
      </c>
      <c r="E26" s="36">
        <f>+Basis!D150</f>
        <v>4</v>
      </c>
      <c r="F26" s="28">
        <f>+(Basis!E150/(EOMONTH($B26,0)-$B26+1)*$C26)</f>
        <v>3391.8469503710853</v>
      </c>
      <c r="G26" s="28">
        <f>+(Basis!F150/(EOMONTH($B26,0)-$B26+1)*$C26)</f>
        <v>3173.6014489385225</v>
      </c>
      <c r="H26" s="28">
        <f>+(Basis!G150/(EOMONTH($B26,0)-$B26+1)*$C26)</f>
        <v>3041.4505057574838</v>
      </c>
      <c r="I26" s="28">
        <f>+(Basis!H150/(EOMONTH($B26,0)-$B26+1)*$C26)</f>
        <v>2984.7432921569534</v>
      </c>
      <c r="J26" s="28">
        <f>+(Basis!I150/(EOMONTH($B26,0)-$B26+1)*$C26)</f>
        <v>2969.5684253747645</v>
      </c>
      <c r="K26" s="28">
        <f>+(Basis!J150/(EOMONTH($B26,0)-$B26+1)*$C26)</f>
        <v>3153.5080841827735</v>
      </c>
      <c r="L26" s="28">
        <f>+(Basis!K150/(EOMONTH($B26,0)-$B26+1)*$C26)</f>
        <v>3509.1467502102873</v>
      </c>
      <c r="M26" s="28">
        <f>+(Basis!L150/(EOMONTH($B26,0)-$B26+1)*$C26)</f>
        <v>3903.8406662221364</v>
      </c>
      <c r="N26" s="28">
        <f>+(Basis!M150/(EOMONTH($B26,0)-$B26+1)*$C26)</f>
        <v>4189.045153166745</v>
      </c>
      <c r="O26" s="28">
        <f>+(Basis!N150/(EOMONTH($B26,0)-$B26+1)*$C26)</f>
        <v>4342.3901693167954</v>
      </c>
      <c r="P26" s="28">
        <f>+(Basis!O150/(EOMONTH($B26,0)-$B26+1)*$C26)</f>
        <v>4475.5138595909884</v>
      </c>
      <c r="Q26" s="28">
        <f>+(Basis!P150/(EOMONTH($B26,0)-$B26+1)*$C26)</f>
        <v>4660.5063655146305</v>
      </c>
      <c r="R26" s="28">
        <f>+(Basis!Q150/(EOMONTH($B26,0)-$B26+1)*$C26)</f>
        <v>4661.6906669070186</v>
      </c>
      <c r="S26" s="28">
        <f>+(Basis!R150/(EOMONTH($B26,0)-$B26+1)*$C26)</f>
        <v>4512.4452824649434</v>
      </c>
      <c r="T26" s="28">
        <f>+(Basis!S150/(EOMONTH($B26,0)-$B26+1)*$C26)</f>
        <v>4396.9910337191832</v>
      </c>
      <c r="U26" s="28">
        <f>+(Basis!T150/(EOMONTH($B26,0)-$B26+1)*$C26)</f>
        <v>4410.78690414216</v>
      </c>
      <c r="V26" s="28">
        <f>+(Basis!U150/(EOMONTH($B26,0)-$B26+1)*$C26)</f>
        <v>4495.414846021994</v>
      </c>
      <c r="W26" s="28">
        <f>+(Basis!V150/(EOMONTH($B26,0)-$B26+1)*$C26)</f>
        <v>4718.4812432353692</v>
      </c>
      <c r="X26" s="28">
        <f>+(Basis!W150/(EOMONTH($B26,0)-$B26+1)*$C26)</f>
        <v>5725.1781074857026</v>
      </c>
      <c r="Y26" s="28">
        <f>+(Basis!X150/(EOMONTH($B26,0)-$B26+1)*$C26)</f>
        <v>6338.5012142261867</v>
      </c>
      <c r="Z26" s="28">
        <f>+(Basis!Y150/(EOMONTH($B26,0)-$B26+1)*$C26)</f>
        <v>5903.7557587165566</v>
      </c>
      <c r="AA26" s="28">
        <f>+(Basis!Z150/(EOMONTH($B26,0)-$B26+1)*$C26)</f>
        <v>5115.564405617436</v>
      </c>
      <c r="AB26" s="28">
        <f>+(Basis!AA150/(EOMONTH($B26,0)-$B26+1)*$C26)</f>
        <v>4265.4094265550111</v>
      </c>
      <c r="AC26" s="28">
        <f>+(Basis!AB150/(EOMONTH($B26,0)-$B26+1)*$C26)</f>
        <v>3574.4594401057784</v>
      </c>
      <c r="AD26" s="30">
        <f>+SUM(F26:AC26)*E26</f>
        <v>407655.36000000191</v>
      </c>
    </row>
    <row r="27" spans="2:33">
      <c r="B27" s="46">
        <f t="shared" si="6"/>
        <v>46478</v>
      </c>
      <c r="C27" s="44">
        <f>IFERROR(VLOOKUP(B27,'Prod- 1'!$B$10:$E$69,4,0),0)</f>
        <v>3057415.2000000156</v>
      </c>
      <c r="D27" s="37" t="s">
        <v>48</v>
      </c>
      <c r="E27" s="37">
        <f>+Basis!D151</f>
        <v>2</v>
      </c>
      <c r="F27" s="28">
        <f>+(Basis!E151/(EOMONTH($B27,0)-$B27+1)*$C27)</f>
        <v>3431.951988227981</v>
      </c>
      <c r="G27" s="28">
        <f>+(Basis!F151/(EOMONTH($B27,0)-$B27+1)*$C27)</f>
        <v>3184.3685097435905</v>
      </c>
      <c r="H27" s="28">
        <f>+(Basis!G151/(EOMONTH($B27,0)-$B27+1)*$C27)</f>
        <v>3043.3252246706529</v>
      </c>
      <c r="I27" s="28">
        <f>+(Basis!H151/(EOMONTH($B27,0)-$B27+1)*$C27)</f>
        <v>2979.4530865467168</v>
      </c>
      <c r="J27" s="28">
        <f>+(Basis!I151/(EOMONTH($B27,0)-$B27+1)*$C27)</f>
        <v>3076.4098116412729</v>
      </c>
      <c r="K27" s="28">
        <f>+(Basis!J151/(EOMONTH($B27,0)-$B27+1)*$C27)</f>
        <v>3375.761700712771</v>
      </c>
      <c r="L27" s="28">
        <f>+(Basis!K151/(EOMONTH($B27,0)-$B27+1)*$C27)</f>
        <v>3624.4261810224589</v>
      </c>
      <c r="M27" s="28">
        <f>+(Basis!L151/(EOMONTH($B27,0)-$B27+1)*$C27)</f>
        <v>3809.0743089782459</v>
      </c>
      <c r="N27" s="28">
        <f>+(Basis!M151/(EOMONTH($B27,0)-$B27+1)*$C27)</f>
        <v>4031.4970729166571</v>
      </c>
      <c r="O27" s="28">
        <f>+(Basis!N151/(EOMONTH($B27,0)-$B27+1)*$C27)</f>
        <v>4212.0992611895399</v>
      </c>
      <c r="P27" s="28">
        <f>+(Basis!O151/(EOMONTH($B27,0)-$B27+1)*$C27)</f>
        <v>4410.1649892805972</v>
      </c>
      <c r="Q27" s="28">
        <f>+(Basis!P151/(EOMONTH($B27,0)-$B27+1)*$C27)</f>
        <v>4614.49735146082</v>
      </c>
      <c r="R27" s="28">
        <f>+(Basis!Q151/(EOMONTH($B27,0)-$B27+1)*$C27)</f>
        <v>4664.1062090155647</v>
      </c>
      <c r="S27" s="28">
        <f>+(Basis!R151/(EOMONTH($B27,0)-$B27+1)*$C27)</f>
        <v>4506.0478472611694</v>
      </c>
      <c r="T27" s="28">
        <f>+(Basis!S151/(EOMONTH($B27,0)-$B27+1)*$C27)</f>
        <v>4407.3077855638103</v>
      </c>
      <c r="U27" s="28">
        <f>+(Basis!T151/(EOMONTH($B27,0)-$B27+1)*$C27)</f>
        <v>4438.8571998033649</v>
      </c>
      <c r="V27" s="28">
        <f>+(Basis!U151/(EOMONTH($B27,0)-$B27+1)*$C27)</f>
        <v>4528.5934729677283</v>
      </c>
      <c r="W27" s="28">
        <f>+(Basis!V151/(EOMONTH($B27,0)-$B27+1)*$C27)</f>
        <v>4807.4991406466152</v>
      </c>
      <c r="X27" s="28">
        <f>+(Basis!W151/(EOMONTH($B27,0)-$B27+1)*$C27)</f>
        <v>5798.8711240596658</v>
      </c>
      <c r="Y27" s="28">
        <f>+(Basis!X151/(EOMONTH($B27,0)-$B27+1)*$C27)</f>
        <v>6317.3065770729008</v>
      </c>
      <c r="Z27" s="28">
        <f>+(Basis!Y151/(EOMONTH($B27,0)-$B27+1)*$C27)</f>
        <v>5830.3583422288684</v>
      </c>
      <c r="AA27" s="28">
        <f>+(Basis!Z151/(EOMONTH($B27,0)-$B27+1)*$C27)</f>
        <v>5028.3840951128232</v>
      </c>
      <c r="AB27" s="28">
        <f>+(Basis!AA151/(EOMONTH($B27,0)-$B27+1)*$C27)</f>
        <v>4216.0679908878474</v>
      </c>
      <c r="AC27" s="28">
        <f>+(Basis!AB151/(EOMONTH($B27,0)-$B27+1)*$C27)</f>
        <v>3577.410728988842</v>
      </c>
      <c r="AD27" s="31">
        <f>+SUM(F27:AC27)*E27</f>
        <v>203827.68000000101</v>
      </c>
    </row>
    <row r="28" spans="2:33" ht="15" thickBot="1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92776.159581170941</v>
      </c>
      <c r="G28" s="32">
        <f t="shared" si="7"/>
        <v>87167.495575627152</v>
      </c>
      <c r="H28" s="32">
        <f t="shared" si="7"/>
        <v>84133.498867146671</v>
      </c>
      <c r="I28" s="32">
        <f t="shared" si="7"/>
        <v>83723.110959110039</v>
      </c>
      <c r="J28" s="32">
        <f t="shared" si="7"/>
        <v>89151.224530848325</v>
      </c>
      <c r="K28" s="32">
        <f t="shared" si="7"/>
        <v>102911.99628947309</v>
      </c>
      <c r="L28" s="32">
        <f t="shared" si="7"/>
        <v>115208.54356414069</v>
      </c>
      <c r="M28" s="32">
        <f t="shared" si="7"/>
        <v>119809.48393148098</v>
      </c>
      <c r="N28" s="32">
        <f t="shared" si="7"/>
        <v>125239.73198062202</v>
      </c>
      <c r="O28" s="32">
        <f t="shared" si="7"/>
        <v>129288.12671624047</v>
      </c>
      <c r="P28" s="32">
        <f t="shared" si="7"/>
        <v>135046.83761740147</v>
      </c>
      <c r="Q28" s="32">
        <f t="shared" si="7"/>
        <v>141314.21147000327</v>
      </c>
      <c r="R28" s="32">
        <f t="shared" si="7"/>
        <v>139486.14854786056</v>
      </c>
      <c r="S28" s="32">
        <f t="shared" si="7"/>
        <v>134744.16137383628</v>
      </c>
      <c r="T28" s="32">
        <f t="shared" si="7"/>
        <v>134270.47518656691</v>
      </c>
      <c r="U28" s="32">
        <f t="shared" si="7"/>
        <v>136681.86517016581</v>
      </c>
      <c r="V28" s="32">
        <f t="shared" si="7"/>
        <v>139628.65261312143</v>
      </c>
      <c r="W28" s="32">
        <f t="shared" si="7"/>
        <v>145962.72440609575</v>
      </c>
      <c r="X28" s="32">
        <f t="shared" si="7"/>
        <v>173792.25824074994</v>
      </c>
      <c r="Y28" s="32">
        <f t="shared" si="7"/>
        <v>188782.51537512272</v>
      </c>
      <c r="Z28" s="32">
        <f t="shared" si="7"/>
        <v>175174.02957257422</v>
      </c>
      <c r="AA28" s="32">
        <f t="shared" si="7"/>
        <v>153036.97011019001</v>
      </c>
      <c r="AB28" s="32">
        <f t="shared" si="7"/>
        <v>126052.28566119948</v>
      </c>
      <c r="AC28" s="32">
        <f t="shared" si="7"/>
        <v>104032.69265926733</v>
      </c>
      <c r="AD28" s="33">
        <f>+SUM(AD24:AD27)</f>
        <v>3057415.2000000156</v>
      </c>
      <c r="AE28" s="2">
        <f>+AD28-C24</f>
        <v>0</v>
      </c>
      <c r="AG28" s="90"/>
    </row>
    <row r="29" spans="2:33">
      <c r="B29" s="45">
        <f>+EDATE(B24,1)</f>
        <v>46508</v>
      </c>
      <c r="C29" s="43">
        <f>IFERROR(VLOOKUP(B29,'Prod- 1'!$B$10:$E$69,4,0),0)</f>
        <v>3048897.1199999875</v>
      </c>
      <c r="D29" s="34" t="s">
        <v>45</v>
      </c>
      <c r="E29" s="34">
        <f>+Basis!D153</f>
        <v>21</v>
      </c>
      <c r="F29" s="28">
        <f>+(Basis!E153/(EOMONTH($B29,0)-$B29+1)*$C29)</f>
        <v>2887.7242673386736</v>
      </c>
      <c r="G29" s="28">
        <f>+(Basis!F153/(EOMONTH($B29,0)-$B29+1)*$C29)</f>
        <v>2723.6201540944862</v>
      </c>
      <c r="H29" s="28">
        <f>+(Basis!G153/(EOMONTH($B29,0)-$B29+1)*$C29)</f>
        <v>2634.361336908767</v>
      </c>
      <c r="I29" s="28">
        <f>+(Basis!H153/(EOMONTH($B29,0)-$B29+1)*$C29)</f>
        <v>2634.5411206590675</v>
      </c>
      <c r="J29" s="28">
        <f>+(Basis!I153/(EOMONTH($B29,0)-$B29+1)*$C29)</f>
        <v>2865.547775086512</v>
      </c>
      <c r="K29" s="28">
        <f>+(Basis!J153/(EOMONTH($B29,0)-$B29+1)*$C29)</f>
        <v>3397.1051547826337</v>
      </c>
      <c r="L29" s="28">
        <f>+(Basis!K153/(EOMONTH($B29,0)-$B29+1)*$C29)</f>
        <v>3814.9605763997947</v>
      </c>
      <c r="M29" s="28">
        <f>+(Basis!L153/(EOMONTH($B29,0)-$B29+1)*$C29)</f>
        <v>3892.6212125571333</v>
      </c>
      <c r="N29" s="28">
        <f>+(Basis!M153/(EOMONTH($B29,0)-$B29+1)*$C29)</f>
        <v>4028.236144487857</v>
      </c>
      <c r="O29" s="28">
        <f>+(Basis!N153/(EOMONTH($B29,0)-$B29+1)*$C29)</f>
        <v>4147.1806801308085</v>
      </c>
      <c r="P29" s="28">
        <f>+(Basis!O153/(EOMONTH($B29,0)-$B29+1)*$C29)</f>
        <v>4342.2564838828175</v>
      </c>
      <c r="Q29" s="28">
        <f>+(Basis!P153/(EOMONTH($B29,0)-$B29+1)*$C29)</f>
        <v>4553.1655675982465</v>
      </c>
      <c r="R29" s="28">
        <f>+(Basis!Q153/(EOMONTH($B29,0)-$B29+1)*$C29)</f>
        <v>4468.2940570340488</v>
      </c>
      <c r="S29" s="28">
        <f>+(Basis!R153/(EOMONTH($B29,0)-$B29+1)*$C29)</f>
        <v>4315.6379954913964</v>
      </c>
      <c r="T29" s="28">
        <f>+(Basis!S153/(EOMONTH($B29,0)-$B29+1)*$C29)</f>
        <v>4339.1221866634214</v>
      </c>
      <c r="U29" s="28">
        <f>+(Basis!T153/(EOMONTH($B29,0)-$B29+1)*$C29)</f>
        <v>4444.3510380714588</v>
      </c>
      <c r="V29" s="28">
        <f>+(Basis!U153/(EOMONTH($B29,0)-$B29+1)*$C29)</f>
        <v>4548.0718556462261</v>
      </c>
      <c r="W29" s="28">
        <f>+(Basis!V153/(EOMONTH($B29,0)-$B29+1)*$C29)</f>
        <v>4745.1892878098461</v>
      </c>
      <c r="X29" s="28">
        <f>+(Basis!W153/(EOMONTH($B29,0)-$B29+1)*$C29)</f>
        <v>5615.5654592836136</v>
      </c>
      <c r="Y29" s="28">
        <f>+(Basis!X153/(EOMONTH($B29,0)-$B29+1)*$C29)</f>
        <v>6072.2167514659996</v>
      </c>
      <c r="Z29" s="28">
        <f>+(Basis!Y153/(EOMONTH($B29,0)-$B29+1)*$C29)</f>
        <v>5628.8425396791818</v>
      </c>
      <c r="AA29" s="28">
        <f>+(Basis!Z153/(EOMONTH($B29,0)-$B29+1)*$C29)</f>
        <v>4930.2884688383292</v>
      </c>
      <c r="AB29" s="28">
        <f>+(Basis!AA153/(EOMONTH($B29,0)-$B29+1)*$C29)</f>
        <v>4033.4438525479036</v>
      </c>
      <c r="AC29" s="28">
        <f>+(Basis!AB153/(EOMONTH($B29,0)-$B29+1)*$C29)</f>
        <v>3289.1760335413896</v>
      </c>
      <c r="AD29" s="29">
        <f>+SUM(F29:AC29)*E29</f>
        <v>2065381.9199999918</v>
      </c>
    </row>
    <row r="30" spans="2:33">
      <c r="B30" s="46">
        <f>+B29</f>
        <v>46508</v>
      </c>
      <c r="C30" s="44">
        <f>IFERROR(VLOOKUP(B30,'Prod- 1'!$B$10:$E$69,4,0),0)</f>
        <v>3048897.1199999875</v>
      </c>
      <c r="D30" s="35" t="s">
        <v>46</v>
      </c>
      <c r="E30" s="35">
        <f>+Basis!D154</f>
        <v>5</v>
      </c>
      <c r="F30" s="28">
        <f>+(Basis!E154/(EOMONTH($B30,0)-$B30+1)*$C30)</f>
        <v>3015.4057921213516</v>
      </c>
      <c r="G30" s="28">
        <f>+(Basis!F154/(EOMONTH($B30,0)-$B30+1)*$C30)</f>
        <v>2812.8535842062006</v>
      </c>
      <c r="H30" s="28">
        <f>+(Basis!G154/(EOMONTH($B30,0)-$B30+1)*$C30)</f>
        <v>2722.7495703196437</v>
      </c>
      <c r="I30" s="28">
        <f>+(Basis!H154/(EOMONTH($B30,0)-$B30+1)*$C30)</f>
        <v>2708.3846978899255</v>
      </c>
      <c r="J30" s="28">
        <f>+(Basis!I154/(EOMONTH($B30,0)-$B30+1)*$C30)</f>
        <v>2830.8065358580766</v>
      </c>
      <c r="K30" s="28">
        <f>+(Basis!J154/(EOMONTH($B30,0)-$B30+1)*$C30)</f>
        <v>3171.0089489751485</v>
      </c>
      <c r="L30" s="28">
        <f>+(Basis!K154/(EOMONTH($B30,0)-$B30+1)*$C30)</f>
        <v>3585.2206764100065</v>
      </c>
      <c r="M30" s="28">
        <f>+(Basis!L154/(EOMONTH($B30,0)-$B30+1)*$C30)</f>
        <v>3836.9523627227895</v>
      </c>
      <c r="N30" s="28">
        <f>+(Basis!M154/(EOMONTH($B30,0)-$B30+1)*$C30)</f>
        <v>4086.4277212288102</v>
      </c>
      <c r="O30" s="28">
        <f>+(Basis!N154/(EOMONTH($B30,0)-$B30+1)*$C30)</f>
        <v>4233.2969471485085</v>
      </c>
      <c r="P30" s="28">
        <f>+(Basis!O154/(EOMONTH($B30,0)-$B30+1)*$C30)</f>
        <v>4423.2311242912911</v>
      </c>
      <c r="Q30" s="28">
        <f>+(Basis!P154/(EOMONTH($B30,0)-$B30+1)*$C30)</f>
        <v>4603.6400833914386</v>
      </c>
      <c r="R30" s="28">
        <f>+(Basis!Q154/(EOMONTH($B30,0)-$B30+1)*$C30)</f>
        <v>4561.876225448591</v>
      </c>
      <c r="S30" s="28">
        <f>+(Basis!R154/(EOMONTH($B30,0)-$B30+1)*$C30)</f>
        <v>4401.3932727454267</v>
      </c>
      <c r="T30" s="28">
        <f>+(Basis!S154/(EOMONTH($B30,0)-$B30+1)*$C30)</f>
        <v>4328.7530777788334</v>
      </c>
      <c r="U30" s="28">
        <f>+(Basis!T154/(EOMONTH($B30,0)-$B30+1)*$C30)</f>
        <v>4355.8472847325793</v>
      </c>
      <c r="V30" s="28">
        <f>+(Basis!U154/(EOMONTH($B30,0)-$B30+1)*$C30)</f>
        <v>4423.21974216526</v>
      </c>
      <c r="W30" s="28">
        <f>+(Basis!V154/(EOMONTH($B30,0)-$B30+1)*$C30)</f>
        <v>4615.9522261938218</v>
      </c>
      <c r="X30" s="28">
        <f>+(Basis!W154/(EOMONTH($B30,0)-$B30+1)*$C30)</f>
        <v>5528.3966152990179</v>
      </c>
      <c r="Y30" s="28">
        <f>+(Basis!X154/(EOMONTH($B30,0)-$B30+1)*$C30)</f>
        <v>6019.6693682522418</v>
      </c>
      <c r="Z30" s="28">
        <f>+(Basis!Y154/(EOMONTH($B30,0)-$B30+1)*$C30)</f>
        <v>5607.8504474624342</v>
      </c>
      <c r="AA30" s="28">
        <f>+(Basis!Z154/(EOMONTH($B30,0)-$B30+1)*$C30)</f>
        <v>4907.4135701125761</v>
      </c>
      <c r="AB30" s="28">
        <f>+(Basis!AA154/(EOMONTH($B30,0)-$B30+1)*$C30)</f>
        <v>4093.6723431078722</v>
      </c>
      <c r="AC30" s="28">
        <f>+(Basis!AB154/(EOMONTH($B30,0)-$B30+1)*$C30)</f>
        <v>3477.497782137692</v>
      </c>
      <c r="AD30" s="30">
        <f>+SUM(F30:AC30)*E30</f>
        <v>491757.59999999771</v>
      </c>
    </row>
    <row r="31" spans="2:33">
      <c r="B31" s="41">
        <f t="shared" ref="B31:B32" si="8">+B30</f>
        <v>46508</v>
      </c>
      <c r="C31" s="39">
        <f>IFERROR(VLOOKUP(B31,'Prod- 1'!$B$10:$E$69,4,0),0)</f>
        <v>3048897.1199999875</v>
      </c>
      <c r="D31" s="36" t="s">
        <v>47</v>
      </c>
      <c r="E31" s="36">
        <f>+Basis!D155</f>
        <v>4</v>
      </c>
      <c r="F31" s="28">
        <f>+(Basis!E155/(EOMONTH($B31,0)-$B31+1)*$C31)</f>
        <v>3273.2875454046057</v>
      </c>
      <c r="G31" s="28">
        <f>+(Basis!F155/(EOMONTH($B31,0)-$B31+1)*$C31)</f>
        <v>3062.6706478462911</v>
      </c>
      <c r="H31" s="28">
        <f>+(Basis!G155/(EOMONTH($B31,0)-$B31+1)*$C31)</f>
        <v>2935.1389393826644</v>
      </c>
      <c r="I31" s="28">
        <f>+(Basis!H155/(EOMONTH($B31,0)-$B31+1)*$C31)</f>
        <v>2880.4138828782993</v>
      </c>
      <c r="J31" s="28">
        <f>+(Basis!I155/(EOMONTH($B31,0)-$B31+1)*$C31)</f>
        <v>2865.7694419090867</v>
      </c>
      <c r="K31" s="28">
        <f>+(Basis!J155/(EOMONTH($B31,0)-$B31+1)*$C31)</f>
        <v>3043.2796312224218</v>
      </c>
      <c r="L31" s="28">
        <f>+(Basis!K155/(EOMONTH($B31,0)-$B31+1)*$C31)</f>
        <v>3386.4872208351576</v>
      </c>
      <c r="M31" s="28">
        <f>+(Basis!L155/(EOMONTH($B31,0)-$B31+1)*$C31)</f>
        <v>3767.3849141662827</v>
      </c>
      <c r="N31" s="28">
        <f>+(Basis!M155/(EOMONTH($B31,0)-$B31+1)*$C31)</f>
        <v>4042.620297327413</v>
      </c>
      <c r="O31" s="28">
        <f>+(Basis!N155/(EOMONTH($B31,0)-$B31+1)*$C31)</f>
        <v>4190.6052562180002</v>
      </c>
      <c r="P31" s="28">
        <f>+(Basis!O155/(EOMONTH($B31,0)-$B31+1)*$C31)</f>
        <v>4319.07571014728</v>
      </c>
      <c r="Q31" s="28">
        <f>+(Basis!P155/(EOMONTH($B31,0)-$B31+1)*$C31)</f>
        <v>4497.6019451139837</v>
      </c>
      <c r="R31" s="28">
        <f>+(Basis!Q155/(EOMONTH($B31,0)-$B31+1)*$C31)</f>
        <v>4498.7448501608287</v>
      </c>
      <c r="S31" s="28">
        <f>+(Basis!R155/(EOMONTH($B31,0)-$B31+1)*$C31)</f>
        <v>4354.716223500679</v>
      </c>
      <c r="T31" s="28">
        <f>+(Basis!S155/(EOMONTH($B31,0)-$B31+1)*$C31)</f>
        <v>4243.2975893426155</v>
      </c>
      <c r="U31" s="28">
        <f>+(Basis!T155/(EOMONTH($B31,0)-$B31+1)*$C31)</f>
        <v>4256.6112357111824</v>
      </c>
      <c r="V31" s="28">
        <f>+(Basis!U155/(EOMONTH($B31,0)-$B31+1)*$C31)</f>
        <v>4338.2810728829863</v>
      </c>
      <c r="W31" s="28">
        <f>+(Basis!V155/(EOMONTH($B31,0)-$B31+1)*$C31)</f>
        <v>4553.5503555128917</v>
      </c>
      <c r="X31" s="28">
        <f>+(Basis!W155/(EOMONTH($B31,0)-$B31+1)*$C31)</f>
        <v>5525.0589040893474</v>
      </c>
      <c r="Y31" s="28">
        <f>+(Basis!X155/(EOMONTH($B31,0)-$B31+1)*$C31)</f>
        <v>6116.9437727102159</v>
      </c>
      <c r="Z31" s="28">
        <f>+(Basis!Y155/(EOMONTH($B31,0)-$B31+1)*$C31)</f>
        <v>5697.3945106819765</v>
      </c>
      <c r="AA31" s="28">
        <f>+(Basis!Z155/(EOMONTH($B31,0)-$B31+1)*$C31)</f>
        <v>4936.7537809424784</v>
      </c>
      <c r="AB31" s="28">
        <f>+(Basis!AA155/(EOMONTH($B31,0)-$B31+1)*$C31)</f>
        <v>4116.3153161926766</v>
      </c>
      <c r="AC31" s="28">
        <f>+(Basis!AB155/(EOMONTH($B31,0)-$B31+1)*$C31)</f>
        <v>3449.5169558202206</v>
      </c>
      <c r="AD31" s="30">
        <f>+SUM(F31:AC31)*E31</f>
        <v>393406.07999999833</v>
      </c>
    </row>
    <row r="32" spans="2:33">
      <c r="B32" s="46">
        <f t="shared" si="8"/>
        <v>46508</v>
      </c>
      <c r="C32" s="44">
        <f>IFERROR(VLOOKUP(B32,'Prod- 1'!$B$10:$E$69,4,0),0)</f>
        <v>3048897.1199999875</v>
      </c>
      <c r="D32" s="37" t="s">
        <v>48</v>
      </c>
      <c r="E32" s="37">
        <f>+Basis!D156</f>
        <v>1</v>
      </c>
      <c r="F32" s="28">
        <f>+(Basis!E156/(EOMONTH($B32,0)-$B32+1)*$C32)</f>
        <v>3311.9907424667836</v>
      </c>
      <c r="G32" s="28">
        <f>+(Basis!F156/(EOMONTH($B32,0)-$B32+1)*$C32)</f>
        <v>3073.0613543107984</v>
      </c>
      <c r="H32" s="28">
        <f>+(Basis!G156/(EOMONTH($B32,0)-$B32+1)*$C32)</f>
        <v>2936.9481289361438</v>
      </c>
      <c r="I32" s="28">
        <f>+(Basis!H156/(EOMONTH($B32,0)-$B32+1)*$C32)</f>
        <v>2875.308592341908</v>
      </c>
      <c r="J32" s="28">
        <f>+(Basis!I156/(EOMONTH($B32,0)-$B32+1)*$C32)</f>
        <v>2968.8762695805608</v>
      </c>
      <c r="K32" s="28">
        <f>+(Basis!J156/(EOMONTH($B32,0)-$B32+1)*$C32)</f>
        <v>3257.7645432934632</v>
      </c>
      <c r="L32" s="28">
        <f>+(Basis!K156/(EOMONTH($B32,0)-$B32+1)*$C32)</f>
        <v>3497.737147686229</v>
      </c>
      <c r="M32" s="28">
        <f>+(Basis!L156/(EOMONTH($B32,0)-$B32+1)*$C32)</f>
        <v>3675.9310421524369</v>
      </c>
      <c r="N32" s="28">
        <f>+(Basis!M156/(EOMONTH($B32,0)-$B32+1)*$C32)</f>
        <v>3890.5791892141483</v>
      </c>
      <c r="O32" s="28">
        <f>+(Basis!N156/(EOMONTH($B32,0)-$B32+1)*$C32)</f>
        <v>4064.8685667114928</v>
      </c>
      <c r="P32" s="28">
        <f>+(Basis!O156/(EOMONTH($B32,0)-$B32+1)*$C32)</f>
        <v>4256.0110594059306</v>
      </c>
      <c r="Q32" s="28">
        <f>+(Basis!P156/(EOMONTH($B32,0)-$B32+1)*$C32)</f>
        <v>4453.2011408081744</v>
      </c>
      <c r="R32" s="28">
        <f>+(Basis!Q156/(EOMONTH($B32,0)-$B32+1)*$C32)</f>
        <v>4501.0759588502824</v>
      </c>
      <c r="S32" s="28">
        <f>+(Basis!R156/(EOMONTH($B32,0)-$B32+1)*$C32)</f>
        <v>4348.5424057307609</v>
      </c>
      <c r="T32" s="28">
        <f>+(Basis!S156/(EOMONTH($B32,0)-$B32+1)*$C32)</f>
        <v>4253.2537270505245</v>
      </c>
      <c r="U32" s="28">
        <f>+(Basis!T156/(EOMONTH($B32,0)-$B32+1)*$C32)</f>
        <v>4283.7003557475673</v>
      </c>
      <c r="V32" s="28">
        <f>+(Basis!U156/(EOMONTH($B32,0)-$B32+1)*$C32)</f>
        <v>4370.2999664074177</v>
      </c>
      <c r="W32" s="28">
        <f>+(Basis!V156/(EOMONTH($B32,0)-$B32+1)*$C32)</f>
        <v>4639.4567006923098</v>
      </c>
      <c r="X32" s="28">
        <f>+(Basis!W156/(EOMONTH($B32,0)-$B32+1)*$C32)</f>
        <v>5596.176037870533</v>
      </c>
      <c r="Y32" s="28">
        <f>+(Basis!X156/(EOMONTH($B32,0)-$B32+1)*$C32)</f>
        <v>6096.4899778196095</v>
      </c>
      <c r="Z32" s="28">
        <f>+(Basis!Y156/(EOMONTH($B32,0)-$B32+1)*$C32)</f>
        <v>5626.5626445130911</v>
      </c>
      <c r="AA32" s="28">
        <f>+(Basis!Z156/(EOMONTH($B32,0)-$B32+1)*$C32)</f>
        <v>4852.62079123077</v>
      </c>
      <c r="AB32" s="28">
        <f>+(Basis!AA156/(EOMONTH($B32,0)-$B32+1)*$C32)</f>
        <v>4068.6985725114678</v>
      </c>
      <c r="AC32" s="28">
        <f>+(Basis!AB156/(EOMONTH($B32,0)-$B32+1)*$C32)</f>
        <v>3452.3650846671799</v>
      </c>
      <c r="AD32" s="31">
        <f>+SUM(F32:AC32)*E32</f>
        <v>98351.519999999597</v>
      </c>
    </row>
    <row r="33" spans="2:33" ht="15" thickBot="1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92124.379498804105</v>
      </c>
      <c r="G33" s="32">
        <f t="shared" si="9"/>
        <v>86584.03510271119</v>
      </c>
      <c r="H33" s="32">
        <f t="shared" si="9"/>
        <v>83612.839813149127</v>
      </c>
      <c r="I33" s="32">
        <f t="shared" si="9"/>
        <v>83264.251147145158</v>
      </c>
      <c r="J33" s="32">
        <f t="shared" si="9"/>
        <v>88762.489993324052</v>
      </c>
      <c r="K33" s="32">
        <f t="shared" si="9"/>
        <v>102625.13606349421</v>
      </c>
      <c r="L33" s="32">
        <f t="shared" si="9"/>
        <v>115083.96151747259</v>
      </c>
      <c r="M33" s="32">
        <f t="shared" si="9"/>
        <v>119675.27797613133</v>
      </c>
      <c r="N33" s="32">
        <f t="shared" si="9"/>
        <v>125086.15801891284</v>
      </c>
      <c r="O33" s="32">
        <f t="shared" si="9"/>
        <v>129084.56861007302</v>
      </c>
      <c r="P33" s="32">
        <f t="shared" si="9"/>
        <v>134835.85568299069</v>
      </c>
      <c r="Q33" s="32">
        <f t="shared" si="9"/>
        <v>141078.28625778446</v>
      </c>
      <c r="R33" s="32">
        <f t="shared" si="9"/>
        <v>139139.61168445158</v>
      </c>
      <c r="S33" s="32">
        <f t="shared" si="9"/>
        <v>134402.77156877992</v>
      </c>
      <c r="T33" s="32">
        <f t="shared" si="9"/>
        <v>133991.77539324699</v>
      </c>
      <c r="U33" s="32">
        <f t="shared" si="9"/>
        <v>136420.75352175583</v>
      </c>
      <c r="V33" s="32">
        <f t="shared" si="9"/>
        <v>139349.0319373364</v>
      </c>
      <c r="W33" s="32">
        <f t="shared" si="9"/>
        <v>145582.39429771976</v>
      </c>
      <c r="X33" s="32">
        <f t="shared" si="9"/>
        <v>173265.26937567888</v>
      </c>
      <c r="Y33" s="32">
        <f t="shared" si="9"/>
        <v>188179.16369070765</v>
      </c>
      <c r="Z33" s="32">
        <f t="shared" si="9"/>
        <v>174661.08625781597</v>
      </c>
      <c r="AA33" s="32">
        <f t="shared" si="9"/>
        <v>152672.76161116845</v>
      </c>
      <c r="AB33" s="32">
        <f t="shared" si="9"/>
        <v>125704.64245632751</v>
      </c>
      <c r="AC33" s="32">
        <f t="shared" si="9"/>
        <v>103710.61852300572</v>
      </c>
      <c r="AD33" s="33">
        <f>+SUM(AD29:AD32)</f>
        <v>3048897.1199999871</v>
      </c>
      <c r="AE33" s="2">
        <f>+AD33-C29</f>
        <v>0</v>
      </c>
      <c r="AG33" s="90"/>
    </row>
    <row r="34" spans="2:33">
      <c r="B34" s="45">
        <f>+EDATE(B29,1)</f>
        <v>46539</v>
      </c>
      <c r="C34" s="43">
        <f>IFERROR(VLOOKUP(B34,'Prod- 1'!$B$10:$E$69,4,0),0)</f>
        <v>3055708.8000000208</v>
      </c>
      <c r="D34" s="34" t="s">
        <v>45</v>
      </c>
      <c r="E34" s="34">
        <f>+Basis!D158</f>
        <v>18</v>
      </c>
      <c r="F34" s="28">
        <f>+(Basis!E158/(EOMONTH($B34,0)-$B34+1)*$C34)</f>
        <v>2990.6483925143993</v>
      </c>
      <c r="G34" s="28">
        <f>+(Basis!F158/(EOMONTH($B34,0)-$B34+1)*$C34)</f>
        <v>2820.6952886015279</v>
      </c>
      <c r="H34" s="28">
        <f>+(Basis!G158/(EOMONTH($B34,0)-$B34+1)*$C34)</f>
        <v>2728.2551130787378</v>
      </c>
      <c r="I34" s="28">
        <f>+(Basis!H158/(EOMONTH($B34,0)-$B34+1)*$C34)</f>
        <v>2728.4413046725531</v>
      </c>
      <c r="J34" s="28">
        <f>+(Basis!I158/(EOMONTH($B34,0)-$B34+1)*$C34)</f>
        <v>2967.6814868247993</v>
      </c>
      <c r="K34" s="28">
        <f>+(Basis!J158/(EOMONTH($B34,0)-$B34+1)*$C34)</f>
        <v>3518.1846082957568</v>
      </c>
      <c r="L34" s="28">
        <f>+(Basis!K158/(EOMONTH($B34,0)-$B34+1)*$C34)</f>
        <v>3950.9332121347497</v>
      </c>
      <c r="M34" s="28">
        <f>+(Basis!L158/(EOMONTH($B34,0)-$B34+1)*$C34)</f>
        <v>4031.3618248359326</v>
      </c>
      <c r="N34" s="28">
        <f>+(Basis!M158/(EOMONTH($B34,0)-$B34+1)*$C34)</f>
        <v>4171.8103374473358</v>
      </c>
      <c r="O34" s="28">
        <f>+(Basis!N158/(EOMONTH($B34,0)-$B34+1)*$C34)</f>
        <v>4294.9942883329222</v>
      </c>
      <c r="P34" s="28">
        <f>+(Basis!O158/(EOMONTH($B34,0)-$B34+1)*$C34)</f>
        <v>4497.0229742112533</v>
      </c>
      <c r="Q34" s="28">
        <f>+(Basis!P158/(EOMONTH($B34,0)-$B34+1)*$C34)</f>
        <v>4715.4492690325169</v>
      </c>
      <c r="R34" s="28">
        <f>+(Basis!Q158/(EOMONTH($B34,0)-$B34+1)*$C34)</f>
        <v>4627.5527722963488</v>
      </c>
      <c r="S34" s="28">
        <f>+(Basis!R158/(EOMONTH($B34,0)-$B34+1)*$C34)</f>
        <v>4469.4557509762144</v>
      </c>
      <c r="T34" s="28">
        <f>+(Basis!S158/(EOMONTH($B34,0)-$B34+1)*$C34)</f>
        <v>4493.7769645257486</v>
      </c>
      <c r="U34" s="28">
        <f>+(Basis!T158/(EOMONTH($B34,0)-$B34+1)*$C34)</f>
        <v>4602.7563774388846</v>
      </c>
      <c r="V34" s="28">
        <f>+(Basis!U158/(EOMONTH($B34,0)-$B34+1)*$C34)</f>
        <v>4710.1740072516268</v>
      </c>
      <c r="W34" s="28">
        <f>+(Basis!V158/(EOMONTH($B34,0)-$B34+1)*$C34)</f>
        <v>4914.3170891602003</v>
      </c>
      <c r="X34" s="28">
        <f>+(Basis!W158/(EOMONTH($B34,0)-$B34+1)*$C34)</f>
        <v>5815.7151649881862</v>
      </c>
      <c r="Y34" s="28">
        <f>+(Basis!X158/(EOMONTH($B34,0)-$B34+1)*$C34)</f>
        <v>6288.6423998877608</v>
      </c>
      <c r="Z34" s="28">
        <f>+(Basis!Y158/(EOMONTH($B34,0)-$B34+1)*$C34)</f>
        <v>5829.4654664249929</v>
      </c>
      <c r="AA34" s="28">
        <f>+(Basis!Z158/(EOMONTH($B34,0)-$B34+1)*$C34)</f>
        <v>5106.0135660224914</v>
      </c>
      <c r="AB34" s="28">
        <f>+(Basis!AA158/(EOMONTH($B34,0)-$B34+1)*$C34)</f>
        <v>4177.2036583798827</v>
      </c>
      <c r="AC34" s="28">
        <f>+(Basis!AB158/(EOMONTH($B34,0)-$B34+1)*$C34)</f>
        <v>3406.4086826658868</v>
      </c>
      <c r="AD34" s="29">
        <f>+SUM(F34:AC34)*E34</f>
        <v>1833425.2800000128</v>
      </c>
    </row>
    <row r="35" spans="2:33">
      <c r="B35" s="46">
        <f>+B34</f>
        <v>46539</v>
      </c>
      <c r="C35" s="44">
        <f>IFERROR(VLOOKUP(B35,'Prod- 1'!$B$10:$E$69,4,0),0)</f>
        <v>3055708.8000000208</v>
      </c>
      <c r="D35" s="35" t="s">
        <v>46</v>
      </c>
      <c r="E35" s="35">
        <f>+Basis!D159</f>
        <v>4</v>
      </c>
      <c r="F35" s="28">
        <f>+(Basis!E159/(EOMONTH($B35,0)-$B35+1)*$C35)</f>
        <v>3122.8807358734889</v>
      </c>
      <c r="G35" s="28">
        <f>+(Basis!F159/(EOMONTH($B35,0)-$B35+1)*$C35)</f>
        <v>2913.1091722054803</v>
      </c>
      <c r="H35" s="28">
        <f>+(Basis!G159/(EOMONTH($B35,0)-$B35+1)*$C35)</f>
        <v>2819.7936755229425</v>
      </c>
      <c r="I35" s="28">
        <f>+(Basis!H159/(EOMONTH($B35,0)-$B35+1)*$C35)</f>
        <v>2804.9168110222313</v>
      </c>
      <c r="J35" s="28">
        <f>+(Basis!I159/(EOMONTH($B35,0)-$B35+1)*$C35)</f>
        <v>2931.7020020701029</v>
      </c>
      <c r="K35" s="28">
        <f>+(Basis!J159/(EOMONTH($B35,0)-$B35+1)*$C35)</f>
        <v>3284.0298927297436</v>
      </c>
      <c r="L35" s="28">
        <f>+(Basis!K159/(EOMONTH($B35,0)-$B35+1)*$C35)</f>
        <v>3713.0049340190262</v>
      </c>
      <c r="M35" s="28">
        <f>+(Basis!L159/(EOMONTH($B35,0)-$B35+1)*$C35)</f>
        <v>3973.7088286156118</v>
      </c>
      <c r="N35" s="28">
        <f>+(Basis!M159/(EOMONTH($B35,0)-$B35+1)*$C35)</f>
        <v>4232.0759754816054</v>
      </c>
      <c r="O35" s="28">
        <f>+(Basis!N159/(EOMONTH($B35,0)-$B35+1)*$C35)</f>
        <v>4384.1799070703983</v>
      </c>
      <c r="P35" s="28">
        <f>+(Basis!O159/(EOMONTH($B35,0)-$B35+1)*$C35)</f>
        <v>4580.8837087387974</v>
      </c>
      <c r="Q35" s="28">
        <f>+(Basis!P159/(EOMONTH($B35,0)-$B35+1)*$C35)</f>
        <v>4767.7227950153028</v>
      </c>
      <c r="R35" s="28">
        <f>+(Basis!Q159/(EOMONTH($B35,0)-$B35+1)*$C35)</f>
        <v>4724.4703917181259</v>
      </c>
      <c r="S35" s="28">
        <f>+(Basis!R159/(EOMONTH($B35,0)-$B35+1)*$C35)</f>
        <v>4558.2675135707605</v>
      </c>
      <c r="T35" s="28">
        <f>+(Basis!S159/(EOMONTH($B35,0)-$B35+1)*$C35)</f>
        <v>4483.0382803763514</v>
      </c>
      <c r="U35" s="28">
        <f>+(Basis!T159/(EOMONTH($B35,0)-$B35+1)*$C35)</f>
        <v>4511.0981777111301</v>
      </c>
      <c r="V35" s="28">
        <f>+(Basis!U159/(EOMONTH($B35,0)-$B35+1)*$C35)</f>
        <v>4580.8719209315941</v>
      </c>
      <c r="W35" s="28">
        <f>+(Basis!V159/(EOMONTH($B35,0)-$B35+1)*$C35)</f>
        <v>4780.4737666010678</v>
      </c>
      <c r="X35" s="28">
        <f>+(Basis!W159/(EOMONTH($B35,0)-$B35+1)*$C35)</f>
        <v>5725.4394533877421</v>
      </c>
      <c r="Y35" s="28">
        <f>+(Basis!X159/(EOMONTH($B35,0)-$B35+1)*$C35)</f>
        <v>6234.2221254465676</v>
      </c>
      <c r="Z35" s="28">
        <f>+(Basis!Y159/(EOMONTH($B35,0)-$B35+1)*$C35)</f>
        <v>5807.7251750981532</v>
      </c>
      <c r="AA35" s="28">
        <f>+(Basis!Z159/(EOMONTH($B35,0)-$B35+1)*$C35)</f>
        <v>5082.3233612903923</v>
      </c>
      <c r="AB35" s="28">
        <f>+(Basis!AA159/(EOMONTH($B35,0)-$B35+1)*$C35)</f>
        <v>4239.578809814524</v>
      </c>
      <c r="AC35" s="28">
        <f>+(Basis!AB159/(EOMONTH($B35,0)-$B35+1)*$C35)</f>
        <v>3601.4425856894886</v>
      </c>
      <c r="AD35" s="30">
        <f>+SUM(F35:AC35)*E35</f>
        <v>407427.84000000253</v>
      </c>
    </row>
    <row r="36" spans="2:33">
      <c r="B36" s="41">
        <f t="shared" ref="B36:B37" si="10">+B35</f>
        <v>46539</v>
      </c>
      <c r="C36" s="39">
        <f>IFERROR(VLOOKUP(B36,'Prod- 1'!$B$10:$E$69,4,0),0)</f>
        <v>3055708.8000000208</v>
      </c>
      <c r="D36" s="36" t="s">
        <v>47</v>
      </c>
      <c r="E36" s="36">
        <f>+Basis!D160</f>
        <v>5</v>
      </c>
      <c r="F36" s="28">
        <f>+(Basis!E160/(EOMONTH($B36,0)-$B36+1)*$C36)</f>
        <v>3389.9538978226137</v>
      </c>
      <c r="G36" s="28">
        <f>+(Basis!F160/(EOMONTH($B36,0)-$B36+1)*$C36)</f>
        <v>3171.830203242991</v>
      </c>
      <c r="H36" s="28">
        <f>+(Basis!G160/(EOMONTH($B36,0)-$B36+1)*$C36)</f>
        <v>3039.7530159487696</v>
      </c>
      <c r="I36" s="28">
        <f>+(Basis!H160/(EOMONTH($B36,0)-$B36+1)*$C36)</f>
        <v>2983.0774516935053</v>
      </c>
      <c r="J36" s="28">
        <f>+(Basis!I160/(EOMONTH($B36,0)-$B36+1)*$C36)</f>
        <v>2967.9110542852754</v>
      </c>
      <c r="K36" s="28">
        <f>+(Basis!J160/(EOMONTH($B36,0)-$B36+1)*$C36)</f>
        <v>3151.748052965936</v>
      </c>
      <c r="L36" s="28">
        <f>+(Basis!K160/(EOMONTH($B36,0)-$B36+1)*$C36)</f>
        <v>3507.1882304729156</v>
      </c>
      <c r="M36" s="28">
        <f>+(Basis!L160/(EOMONTH($B36,0)-$B36+1)*$C36)</f>
        <v>3901.6618605065041</v>
      </c>
      <c r="N36" s="28">
        <f>+(Basis!M160/(EOMONTH($B36,0)-$B36+1)*$C36)</f>
        <v>4186.707169549295</v>
      </c>
      <c r="O36" s="28">
        <f>+(Basis!N160/(EOMONTH($B36,0)-$B36+1)*$C36)</f>
        <v>4339.9666010082128</v>
      </c>
      <c r="P36" s="28">
        <f>+(Basis!O160/(EOMONTH($B36,0)-$B36+1)*$C36)</f>
        <v>4473.0159924874351</v>
      </c>
      <c r="Q36" s="28">
        <f>+(Basis!P160/(EOMONTH($B36,0)-$B36+1)*$C36)</f>
        <v>4657.9052506702719</v>
      </c>
      <c r="R36" s="28">
        <f>+(Basis!Q160/(EOMONTH($B36,0)-$B36+1)*$C36)</f>
        <v>4659.0888910821368</v>
      </c>
      <c r="S36" s="28">
        <f>+(Basis!R160/(EOMONTH($B36,0)-$B36+1)*$C36)</f>
        <v>4509.9268032508753</v>
      </c>
      <c r="T36" s="28">
        <f>+(Basis!S160/(EOMONTH($B36,0)-$B36+1)*$C36)</f>
        <v>4394.5369916577993</v>
      </c>
      <c r="U36" s="28">
        <f>+(Basis!T160/(EOMONTH($B36,0)-$B36+1)*$C36)</f>
        <v>4408.3251623502028</v>
      </c>
      <c r="V36" s="28">
        <f>+(Basis!U160/(EOMONTH($B36,0)-$B36+1)*$C36)</f>
        <v>4492.9058718096494</v>
      </c>
      <c r="W36" s="28">
        <f>+(Basis!V160/(EOMONTH($B36,0)-$B36+1)*$C36)</f>
        <v>4715.8477715389399</v>
      </c>
      <c r="X36" s="28">
        <f>+(Basis!W160/(EOMONTH($B36,0)-$B36+1)*$C36)</f>
        <v>5721.9827796406053</v>
      </c>
      <c r="Y36" s="28">
        <f>+(Basis!X160/(EOMONTH($B36,0)-$B36+1)*$C36)</f>
        <v>6334.9635794057922</v>
      </c>
      <c r="Z36" s="28">
        <f>+(Basis!Y160/(EOMONTH($B36,0)-$B36+1)*$C36)</f>
        <v>5900.4607633797623</v>
      </c>
      <c r="AA36" s="28">
        <f>+(Basis!Z160/(EOMONTH($B36,0)-$B36+1)*$C36)</f>
        <v>5112.7093144601349</v>
      </c>
      <c r="AB36" s="28">
        <f>+(Basis!AA160/(EOMONTH($B36,0)-$B36+1)*$C36)</f>
        <v>4263.028822623477</v>
      </c>
      <c r="AC36" s="28">
        <f>+(Basis!AB160/(EOMONTH($B36,0)-$B36+1)*$C36)</f>
        <v>3572.4644681475775</v>
      </c>
      <c r="AD36" s="30">
        <f>+SUM(F36:AC36)*E36</f>
        <v>509284.80000000342</v>
      </c>
    </row>
    <row r="37" spans="2:33">
      <c r="B37" s="46">
        <f t="shared" si="10"/>
        <v>46539</v>
      </c>
      <c r="C37" s="44">
        <f>IFERROR(VLOOKUP(B37,'Prod- 1'!$B$10:$E$69,4,0),0)</f>
        <v>3055708.8000000208</v>
      </c>
      <c r="D37" s="37" t="s">
        <v>48</v>
      </c>
      <c r="E37" s="37">
        <f>+Basis!D161</f>
        <v>3</v>
      </c>
      <c r="F37" s="28">
        <f>+(Basis!E161/(EOMONTH($B37,0)-$B37+1)*$C37)</f>
        <v>3430.0365523157457</v>
      </c>
      <c r="G37" s="28">
        <f>+(Basis!F161/(EOMONTH($B37,0)-$B37+1)*$C37)</f>
        <v>3182.5912547521812</v>
      </c>
      <c r="H37" s="28">
        <f>+(Basis!G161/(EOMONTH($B37,0)-$B37+1)*$C37)</f>
        <v>3041.6266885466221</v>
      </c>
      <c r="I37" s="28">
        <f>+(Basis!H161/(EOMONTH($B37,0)-$B37+1)*$C37)</f>
        <v>2977.7901986449142</v>
      </c>
      <c r="J37" s="28">
        <f>+(Basis!I161/(EOMONTH($B37,0)-$B37+1)*$C37)</f>
        <v>3074.6928103970295</v>
      </c>
      <c r="K37" s="28">
        <f>+(Basis!J161/(EOMONTH($B37,0)-$B37+1)*$C37)</f>
        <v>3373.8776256397882</v>
      </c>
      <c r="L37" s="28">
        <f>+(Basis!K161/(EOMONTH($B37,0)-$B37+1)*$C37)</f>
        <v>3622.4033217015271</v>
      </c>
      <c r="M37" s="28">
        <f>+(Basis!L161/(EOMONTH($B37,0)-$B37+1)*$C37)</f>
        <v>3806.9483941202243</v>
      </c>
      <c r="N37" s="28">
        <f>+(Basis!M161/(EOMONTH($B37,0)-$B37+1)*$C37)</f>
        <v>4029.2470197981916</v>
      </c>
      <c r="O37" s="28">
        <f>+(Basis!N161/(EOMONTH($B37,0)-$B37+1)*$C37)</f>
        <v>4209.7484106477905</v>
      </c>
      <c r="P37" s="28">
        <f>+(Basis!O161/(EOMONTH($B37,0)-$B37+1)*$C37)</f>
        <v>4407.7035945908328</v>
      </c>
      <c r="Q37" s="28">
        <f>+(Basis!P161/(EOMONTH($B37,0)-$B37+1)*$C37)</f>
        <v>4611.9219150985919</v>
      </c>
      <c r="R37" s="28">
        <f>+(Basis!Q161/(EOMONTH($B37,0)-$B37+1)*$C37)</f>
        <v>4661.5030850319336</v>
      </c>
      <c r="S37" s="28">
        <f>+(Basis!R161/(EOMONTH($B37,0)-$B37+1)*$C37)</f>
        <v>4503.5329385740724</v>
      </c>
      <c r="T37" s="28">
        <f>+(Basis!S161/(EOMONTH($B37,0)-$B37+1)*$C37)</f>
        <v>4404.8479855323121</v>
      </c>
      <c r="U37" s="28">
        <f>+(Basis!T161/(EOMONTH($B37,0)-$B37+1)*$C37)</f>
        <v>4436.3797914599636</v>
      </c>
      <c r="V37" s="28">
        <f>+(Basis!U161/(EOMONTH($B37,0)-$B37+1)*$C37)</f>
        <v>4526.0659811497226</v>
      </c>
      <c r="W37" s="28">
        <f>+(Basis!V161/(EOMONTH($B37,0)-$B37+1)*$C37)</f>
        <v>4804.8159864143818</v>
      </c>
      <c r="X37" s="28">
        <f>+(Basis!W161/(EOMONTH($B37,0)-$B37+1)*$C37)</f>
        <v>5795.6346667783437</v>
      </c>
      <c r="Y37" s="28">
        <f>+(Basis!X161/(EOMONTH($B37,0)-$B37+1)*$C37)</f>
        <v>6313.7807713717038</v>
      </c>
      <c r="Z37" s="28">
        <f>+(Basis!Y161/(EOMONTH($B37,0)-$B37+1)*$C37)</f>
        <v>5827.1043113484211</v>
      </c>
      <c r="AA37" s="28">
        <f>+(Basis!Z161/(EOMONTH($B37,0)-$B37+1)*$C37)</f>
        <v>5025.5776609000686</v>
      </c>
      <c r="AB37" s="28">
        <f>+(Basis!AA161/(EOMONTH($B37,0)-$B37+1)*$C37)</f>
        <v>4213.7149253246134</v>
      </c>
      <c r="AC37" s="28">
        <f>+(Basis!AB161/(EOMONTH($B37,0)-$B37+1)*$C37)</f>
        <v>3575.4141098617024</v>
      </c>
      <c r="AD37" s="31">
        <f>+SUM(F37:AC37)*E37</f>
        <v>305570.88000000204</v>
      </c>
    </row>
    <row r="38" spans="2:33" ht="15" thickBot="1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93563.07315481345</v>
      </c>
      <c r="G38" s="32">
        <f t="shared" si="11"/>
        <v>87831.876664120922</v>
      </c>
      <c r="H38" s="32">
        <f t="shared" si="11"/>
        <v>84711.41188289276</v>
      </c>
      <c r="I38" s="32">
        <f t="shared" si="11"/>
        <v>84180.368582597148</v>
      </c>
      <c r="J38" s="32">
        <f t="shared" si="11"/>
        <v>89208.708473744264</v>
      </c>
      <c r="K38" s="32">
        <f t="shared" si="11"/>
        <v>102343.81566199164</v>
      </c>
      <c r="L38" s="32">
        <f t="shared" si="11"/>
        <v>114371.96867197077</v>
      </c>
      <c r="M38" s="32">
        <f t="shared" si="11"/>
        <v>119388.50264640243</v>
      </c>
      <c r="N38" s="32">
        <f t="shared" si="11"/>
        <v>125042.16688311953</v>
      </c>
      <c r="O38" s="32">
        <f t="shared" si="11"/>
        <v>129175.69505525863</v>
      </c>
      <c r="P38" s="32">
        <f t="shared" si="11"/>
        <v>134858.13911696745</v>
      </c>
      <c r="Q38" s="32">
        <f t="shared" si="11"/>
        <v>141074.27002129363</v>
      </c>
      <c r="R38" s="32">
        <f t="shared" si="11"/>
        <v>139473.78517871327</v>
      </c>
      <c r="S38" s="32">
        <f t="shared" si="11"/>
        <v>134743.5064038315</v>
      </c>
      <c r="T38" s="32">
        <f t="shared" si="11"/>
        <v>134007.3673978548</v>
      </c>
      <c r="U38" s="32">
        <f t="shared" si="11"/>
        <v>136244.77269087534</v>
      </c>
      <c r="V38" s="32">
        <f t="shared" si="11"/>
        <v>139149.34711675308</v>
      </c>
      <c r="W38" s="32">
        <f t="shared" si="11"/>
        <v>145573.28948822571</v>
      </c>
      <c r="X38" s="32">
        <f t="shared" si="11"/>
        <v>173581.44868187635</v>
      </c>
      <c r="Y38" s="32">
        <f t="shared" si="11"/>
        <v>188748.61191091003</v>
      </c>
      <c r="Z38" s="32">
        <f t="shared" si="11"/>
        <v>175144.89584698656</v>
      </c>
      <c r="AA38" s="32">
        <f t="shared" si="11"/>
        <v>152877.81718856728</v>
      </c>
      <c r="AB38" s="32">
        <f t="shared" si="11"/>
        <v>126104.2699791872</v>
      </c>
      <c r="AC38" s="32">
        <f t="shared" si="11"/>
        <v>104309.69130106689</v>
      </c>
      <c r="AD38" s="33">
        <f>+SUM(AD34:AD37)</f>
        <v>3055708.8000000212</v>
      </c>
      <c r="AE38" s="2">
        <f>+AD38-C34</f>
        <v>0</v>
      </c>
      <c r="AG38" s="90"/>
    </row>
    <row r="39" spans="2:33">
      <c r="B39" s="45">
        <f>+EDATE(B34,1)</f>
        <v>46569</v>
      </c>
      <c r="C39" s="43">
        <f>IFERROR(VLOOKUP(B39,'Prod- 1'!$B$10:$E$69,4,0),0)</f>
        <v>3049313.7600000217</v>
      </c>
      <c r="D39" s="34" t="s">
        <v>45</v>
      </c>
      <c r="E39" s="34">
        <f>+Basis!D163</f>
        <v>23</v>
      </c>
      <c r="F39" s="28">
        <f>+(Basis!E163/(EOMONTH($B39,0)-$B39+1)*$C39)</f>
        <v>2888.1188826344637</v>
      </c>
      <c r="G39" s="28">
        <f>+(Basis!F163/(EOMONTH($B39,0)-$B39+1)*$C39)</f>
        <v>2723.9923441213818</v>
      </c>
      <c r="H39" s="28">
        <f>+(Basis!G163/(EOMONTH($B39,0)-$B39+1)*$C39)</f>
        <v>2634.7213294779817</v>
      </c>
      <c r="I39" s="28">
        <f>+(Basis!H163/(EOMONTH($B39,0)-$B39+1)*$C39)</f>
        <v>2634.9011377962156</v>
      </c>
      <c r="J39" s="28">
        <f>+(Basis!I163/(EOMONTH($B39,0)-$B39+1)*$C39)</f>
        <v>2865.9393599049299</v>
      </c>
      <c r="K39" s="28">
        <f>+(Basis!J163/(EOMONTH($B39,0)-$B39+1)*$C39)</f>
        <v>3397.5693783481061</v>
      </c>
      <c r="L39" s="28">
        <f>+(Basis!K163/(EOMONTH($B39,0)-$B39+1)*$C39)</f>
        <v>3815.4819010336287</v>
      </c>
      <c r="M39" s="28">
        <f>+(Basis!L163/(EOMONTH($B39,0)-$B39+1)*$C39)</f>
        <v>3893.1531497259848</v>
      </c>
      <c r="N39" s="28">
        <f>+(Basis!M163/(EOMONTH($B39,0)-$B39+1)*$C39)</f>
        <v>4028.786613802275</v>
      </c>
      <c r="O39" s="28">
        <f>+(Basis!N163/(EOMONTH($B39,0)-$B39+1)*$C39)</f>
        <v>4147.7474035362584</v>
      </c>
      <c r="P39" s="28">
        <f>+(Basis!O163/(EOMONTH($B39,0)-$B39+1)*$C39)</f>
        <v>4342.8498649220546</v>
      </c>
      <c r="Q39" s="28">
        <f>+(Basis!P163/(EOMONTH($B39,0)-$B39+1)*$C39)</f>
        <v>4553.7877699316068</v>
      </c>
      <c r="R39" s="28">
        <f>+(Basis!Q163/(EOMONTH($B39,0)-$B39+1)*$C39)</f>
        <v>4468.9046614469898</v>
      </c>
      <c r="S39" s="28">
        <f>+(Basis!R163/(EOMONTH($B39,0)-$B39+1)*$C39)</f>
        <v>4316.2277390425297</v>
      </c>
      <c r="T39" s="28">
        <f>+(Basis!S163/(EOMONTH($B39,0)-$B39+1)*$C39)</f>
        <v>4339.7151393925051</v>
      </c>
      <c r="U39" s="28">
        <f>+(Basis!T163/(EOMONTH($B39,0)-$B39+1)*$C39)</f>
        <v>4444.9583706063968</v>
      </c>
      <c r="V39" s="28">
        <f>+(Basis!U163/(EOMONTH($B39,0)-$B39+1)*$C39)</f>
        <v>4548.6933619101346</v>
      </c>
      <c r="W39" s="28">
        <f>+(Basis!V163/(EOMONTH($B39,0)-$B39+1)*$C39)</f>
        <v>4745.8377307015617</v>
      </c>
      <c r="X39" s="28">
        <f>+(Basis!W163/(EOMONTH($B39,0)-$B39+1)*$C39)</f>
        <v>5616.3328414224861</v>
      </c>
      <c r="Y39" s="28">
        <f>+(Basis!X163/(EOMONTH($B39,0)-$B39+1)*$C39)</f>
        <v>6073.0465362333971</v>
      </c>
      <c r="Z39" s="28">
        <f>+(Basis!Y163/(EOMONTH($B39,0)-$B39+1)*$C39)</f>
        <v>5629.6117361668357</v>
      </c>
      <c r="AA39" s="28">
        <f>+(Basis!Z163/(EOMONTH($B39,0)-$B39+1)*$C39)</f>
        <v>4930.9622060314769</v>
      </c>
      <c r="AB39" s="28">
        <f>+(Basis!AA163/(EOMONTH($B39,0)-$B39+1)*$C39)</f>
        <v>4033.9950335096482</v>
      </c>
      <c r="AC39" s="28">
        <f>+(Basis!AB163/(EOMONTH($B39,0)-$B39+1)*$C39)</f>
        <v>3289.625508301865</v>
      </c>
      <c r="AD39" s="29">
        <f>+SUM(F39:AC39)*E39</f>
        <v>2262394.0800000164</v>
      </c>
    </row>
    <row r="40" spans="2:33">
      <c r="B40" s="46">
        <f>+B39</f>
        <v>46569</v>
      </c>
      <c r="C40" s="44">
        <f>IFERROR(VLOOKUP(B40,'Prod- 1'!$B$10:$E$69,4,0),0)</f>
        <v>3049313.7600000217</v>
      </c>
      <c r="D40" s="35" t="s">
        <v>46</v>
      </c>
      <c r="E40" s="35">
        <f>+Basis!D164</f>
        <v>4</v>
      </c>
      <c r="F40" s="28">
        <f>+(Basis!E164/(EOMONTH($B40,0)-$B40+1)*$C40)</f>
        <v>3015.8178554412621</v>
      </c>
      <c r="G40" s="28">
        <f>+(Basis!F164/(EOMONTH($B40,0)-$B40+1)*$C40)</f>
        <v>2813.2379682215656</v>
      </c>
      <c r="H40" s="28">
        <f>+(Basis!G164/(EOMONTH($B40,0)-$B40+1)*$C40)</f>
        <v>2723.121641378923</v>
      </c>
      <c r="I40" s="28">
        <f>+(Basis!H164/(EOMONTH($B40,0)-$B40+1)*$C40)</f>
        <v>2708.7548059507121</v>
      </c>
      <c r="J40" s="28">
        <f>+(Basis!I164/(EOMONTH($B40,0)-$B40+1)*$C40)</f>
        <v>2831.1933731926192</v>
      </c>
      <c r="K40" s="28">
        <f>+(Basis!J164/(EOMONTH($B40,0)-$B40+1)*$C40)</f>
        <v>3171.4422758853752</v>
      </c>
      <c r="L40" s="28">
        <f>+(Basis!K164/(EOMONTH($B40,0)-$B40+1)*$C40)</f>
        <v>3585.7106064679751</v>
      </c>
      <c r="M40" s="28">
        <f>+(Basis!L164/(EOMONTH($B40,0)-$B40+1)*$C40)</f>
        <v>3837.4766925934337</v>
      </c>
      <c r="N40" s="28">
        <f>+(Basis!M164/(EOMONTH($B40,0)-$B40+1)*$C40)</f>
        <v>4086.9861425788595</v>
      </c>
      <c r="O40" s="28">
        <f>+(Basis!N164/(EOMONTH($B40,0)-$B40+1)*$C40)</f>
        <v>4233.8754385736975</v>
      </c>
      <c r="P40" s="28">
        <f>+(Basis!O164/(EOMONTH($B40,0)-$B40+1)*$C40)</f>
        <v>4423.8355707331493</v>
      </c>
      <c r="Q40" s="28">
        <f>+(Basis!P164/(EOMONTH($B40,0)-$B40+1)*$C40)</f>
        <v>4604.2691832032751</v>
      </c>
      <c r="R40" s="28">
        <f>+(Basis!Q164/(EOMONTH($B40,0)-$B40+1)*$C40)</f>
        <v>4562.499618116798</v>
      </c>
      <c r="S40" s="28">
        <f>+(Basis!R164/(EOMONTH($B40,0)-$B40+1)*$C40)</f>
        <v>4401.9947349860768</v>
      </c>
      <c r="T40" s="28">
        <f>+(Basis!S164/(EOMONTH($B40,0)-$B40+1)*$C40)</f>
        <v>4329.3446135412705</v>
      </c>
      <c r="U40" s="28">
        <f>+(Basis!T164/(EOMONTH($B40,0)-$B40+1)*$C40)</f>
        <v>4356.4425229913431</v>
      </c>
      <c r="V40" s="28">
        <f>+(Basis!U164/(EOMONTH($B40,0)-$B40+1)*$C40)</f>
        <v>4423.8241870517195</v>
      </c>
      <c r="W40" s="28">
        <f>+(Basis!V164/(EOMONTH($B40,0)-$B40+1)*$C40)</f>
        <v>4616.5830084931204</v>
      </c>
      <c r="X40" s="28">
        <f>+(Basis!W164/(EOMONTH($B40,0)-$B40+1)*$C40)</f>
        <v>5529.1520855806739</v>
      </c>
      <c r="Y40" s="28">
        <f>+(Basis!X164/(EOMONTH($B40,0)-$B40+1)*$C40)</f>
        <v>6020.4919722782497</v>
      </c>
      <c r="Z40" s="28">
        <f>+(Basis!Y164/(EOMONTH($B40,0)-$B40+1)*$C40)</f>
        <v>5608.6167753241698</v>
      </c>
      <c r="AA40" s="28">
        <f>+(Basis!Z164/(EOMONTH($B40,0)-$B40+1)*$C40)</f>
        <v>4908.0841813892266</v>
      </c>
      <c r="AB40" s="28">
        <f>+(Basis!AA164/(EOMONTH($B40,0)-$B40+1)*$C40)</f>
        <v>4094.231754455006</v>
      </c>
      <c r="AC40" s="28">
        <f>+(Basis!AB164/(EOMONTH($B40,0)-$B40+1)*$C40)</f>
        <v>3477.9729915721346</v>
      </c>
      <c r="AD40" s="30">
        <f>+SUM(F40:AC40)*E40</f>
        <v>393459.84000000259</v>
      </c>
    </row>
    <row r="41" spans="2:33">
      <c r="B41" s="41">
        <f t="shared" ref="B41:B42" si="12">+B40</f>
        <v>46569</v>
      </c>
      <c r="C41" s="39">
        <f>IFERROR(VLOOKUP(B41,'Prod- 1'!$B$10:$E$69,4,0),0)</f>
        <v>3049313.7600000217</v>
      </c>
      <c r="D41" s="36" t="s">
        <v>47</v>
      </c>
      <c r="E41" s="36">
        <f>+Basis!D165</f>
        <v>4</v>
      </c>
      <c r="F41" s="28">
        <f>+(Basis!E165/(EOMONTH($B41,0)-$B41+1)*$C41)</f>
        <v>3273.7348489604005</v>
      </c>
      <c r="G41" s="28">
        <f>+(Basis!F165/(EOMONTH($B41,0)-$B41+1)*$C41)</f>
        <v>3063.089170035988</v>
      </c>
      <c r="H41" s="28">
        <f>+(Basis!G165/(EOMONTH($B41,0)-$B41+1)*$C41)</f>
        <v>2935.5400340210449</v>
      </c>
      <c r="I41" s="28">
        <f>+(Basis!H165/(EOMONTH($B41,0)-$B41+1)*$C41)</f>
        <v>2880.8074991903713</v>
      </c>
      <c r="J41" s="28">
        <f>+(Basis!I165/(EOMONTH($B41,0)-$B41+1)*$C41)</f>
        <v>2866.1610570188727</v>
      </c>
      <c r="K41" s="28">
        <f>+(Basis!J165/(EOMONTH($B41,0)-$B41+1)*$C41)</f>
        <v>3043.6955035774904</v>
      </c>
      <c r="L41" s="28">
        <f>+(Basis!K165/(EOMONTH($B41,0)-$B41+1)*$C41)</f>
        <v>3386.949993431369</v>
      </c>
      <c r="M41" s="28">
        <f>+(Basis!L165/(EOMONTH($B41,0)-$B41+1)*$C41)</f>
        <v>3767.8997374577839</v>
      </c>
      <c r="N41" s="28">
        <f>+(Basis!M165/(EOMONTH($B41,0)-$B41+1)*$C41)</f>
        <v>4043.172732275043</v>
      </c>
      <c r="O41" s="28">
        <f>+(Basis!N165/(EOMONTH($B41,0)-$B41+1)*$C41)</f>
        <v>4191.1779137086851</v>
      </c>
      <c r="P41" s="28">
        <f>+(Basis!O165/(EOMONTH($B41,0)-$B41+1)*$C41)</f>
        <v>4319.6659234713761</v>
      </c>
      <c r="Q41" s="28">
        <f>+(Basis!P165/(EOMONTH($B41,0)-$B41+1)*$C41)</f>
        <v>4498.2165545287371</v>
      </c>
      <c r="R41" s="28">
        <f>+(Basis!Q165/(EOMONTH($B41,0)-$B41+1)*$C41)</f>
        <v>4499.3596157566335</v>
      </c>
      <c r="S41" s="28">
        <f>+(Basis!R165/(EOMONTH($B41,0)-$B41+1)*$C41)</f>
        <v>4355.311307196881</v>
      </c>
      <c r="T41" s="28">
        <f>+(Basis!S165/(EOMONTH($B41,0)-$B41+1)*$C41)</f>
        <v>4243.877447382486</v>
      </c>
      <c r="U41" s="28">
        <f>+(Basis!T165/(EOMONTH($B41,0)-$B41+1)*$C41)</f>
        <v>4257.1929130966728</v>
      </c>
      <c r="V41" s="28">
        <f>+(Basis!U165/(EOMONTH($B41,0)-$B41+1)*$C41)</f>
        <v>4338.8739106716075</v>
      </c>
      <c r="W41" s="28">
        <f>+(Basis!V165/(EOMONTH($B41,0)-$B41+1)*$C41)</f>
        <v>4554.1726104285563</v>
      </c>
      <c r="X41" s="28">
        <f>+(Basis!W165/(EOMONTH($B41,0)-$B41+1)*$C41)</f>
        <v>5525.8139182637806</v>
      </c>
      <c r="Y41" s="28">
        <f>+(Basis!X165/(EOMONTH($B41,0)-$B41+1)*$C41)</f>
        <v>6117.7796695454854</v>
      </c>
      <c r="Z41" s="28">
        <f>+(Basis!Y165/(EOMONTH($B41,0)-$B41+1)*$C41)</f>
        <v>5698.1730749810322</v>
      </c>
      <c r="AA41" s="28">
        <f>+(Basis!Z165/(EOMONTH($B41,0)-$B41+1)*$C41)</f>
        <v>4937.4284016379315</v>
      </c>
      <c r="AB41" s="28">
        <f>+(Basis!AA165/(EOMONTH($B41,0)-$B41+1)*$C41)</f>
        <v>4116.8778217630443</v>
      </c>
      <c r="AC41" s="28">
        <f>+(Basis!AB165/(EOMONTH($B41,0)-$B41+1)*$C41)</f>
        <v>3449.9883415994136</v>
      </c>
      <c r="AD41" s="30">
        <f>+SUM(F41:AC41)*E41</f>
        <v>393459.84000000288</v>
      </c>
    </row>
    <row r="42" spans="2:33">
      <c r="B42" s="46">
        <f t="shared" si="12"/>
        <v>46569</v>
      </c>
      <c r="C42" s="44">
        <f>IFERROR(VLOOKUP(B42,'Prod- 1'!$B$10:$E$69,4,0),0)</f>
        <v>3049313.7600000217</v>
      </c>
      <c r="D42" s="37" t="s">
        <v>48</v>
      </c>
      <c r="E42" s="37">
        <f>+Basis!D166</f>
        <v>0</v>
      </c>
      <c r="F42" s="28">
        <f>+(Basis!E166/(EOMONTH($B42,0)-$B42+1)*$C42)</f>
        <v>3312.4433349186584</v>
      </c>
      <c r="G42" s="28">
        <f>+(Basis!F166/(EOMONTH($B42,0)-$B42+1)*$C42)</f>
        <v>3073.4812964185089</v>
      </c>
      <c r="H42" s="28">
        <f>+(Basis!G166/(EOMONTH($B42,0)-$B42+1)*$C42)</f>
        <v>2937.3494708051471</v>
      </c>
      <c r="I42" s="28">
        <f>+(Basis!H166/(EOMONTH($B42,0)-$B42+1)*$C42)</f>
        <v>2875.701511002283</v>
      </c>
      <c r="J42" s="28">
        <f>+(Basis!I166/(EOMONTH($B42,0)-$B42+1)*$C42)</f>
        <v>2969.2819745159436</v>
      </c>
      <c r="K42" s="28">
        <f>+(Basis!J166/(EOMONTH($B42,0)-$B42+1)*$C42)</f>
        <v>3258.2097255892272</v>
      </c>
      <c r="L42" s="28">
        <f>+(Basis!K166/(EOMONTH($B42,0)-$B42+1)*$C42)</f>
        <v>3498.2151228844641</v>
      </c>
      <c r="M42" s="28">
        <f>+(Basis!L166/(EOMONTH($B42,0)-$B42+1)*$C42)</f>
        <v>3676.4333680261047</v>
      </c>
      <c r="N42" s="28">
        <f>+(Basis!M166/(EOMONTH($B42,0)-$B42+1)*$C42)</f>
        <v>3891.1108473350123</v>
      </c>
      <c r="O42" s="28">
        <f>+(Basis!N166/(EOMONTH($B42,0)-$B42+1)*$C42)</f>
        <v>4065.4240419450334</v>
      </c>
      <c r="P42" s="28">
        <f>+(Basis!O166/(EOMONTH($B42,0)-$B42+1)*$C42)</f>
        <v>4256.5926547757135</v>
      </c>
      <c r="Q42" s="28">
        <f>+(Basis!P166/(EOMONTH($B42,0)-$B42+1)*$C42)</f>
        <v>4453.8096827334775</v>
      </c>
      <c r="R42" s="28">
        <f>+(Basis!Q166/(EOMONTH($B42,0)-$B42+1)*$C42)</f>
        <v>4501.6910429983654</v>
      </c>
      <c r="S42" s="28">
        <f>+(Basis!R166/(EOMONTH($B42,0)-$B42+1)*$C42)</f>
        <v>4349.1366457581416</v>
      </c>
      <c r="T42" s="28">
        <f>+(Basis!S166/(EOMONTH($B42,0)-$B42+1)*$C42)</f>
        <v>4253.8349456234173</v>
      </c>
      <c r="U42" s="28">
        <f>+(Basis!T166/(EOMONTH($B42,0)-$B42+1)*$C42)</f>
        <v>4284.285734934243</v>
      </c>
      <c r="V42" s="28">
        <f>+(Basis!U166/(EOMONTH($B42,0)-$B42+1)*$C42)</f>
        <v>4370.8971796640435</v>
      </c>
      <c r="W42" s="28">
        <f>+(Basis!V166/(EOMONTH($B42,0)-$B42+1)*$C42)</f>
        <v>4640.0906949413302</v>
      </c>
      <c r="X42" s="28">
        <f>+(Basis!W166/(EOMONTH($B42,0)-$B42+1)*$C42)</f>
        <v>5596.9407703927673</v>
      </c>
      <c r="Y42" s="28">
        <f>+(Basis!X166/(EOMONTH($B42,0)-$B42+1)*$C42)</f>
        <v>6097.3230795887393</v>
      </c>
      <c r="Z42" s="28">
        <f>+(Basis!Y166/(EOMONTH($B42,0)-$B42+1)*$C42)</f>
        <v>5627.331529446933</v>
      </c>
      <c r="AA42" s="28">
        <f>+(Basis!Z166/(EOMONTH($B42,0)-$B42+1)*$C42)</f>
        <v>4853.2839149266674</v>
      </c>
      <c r="AB42" s="28">
        <f>+(Basis!AA166/(EOMONTH($B42,0)-$B42+1)*$C42)</f>
        <v>4069.2545711256125</v>
      </c>
      <c r="AC42" s="28">
        <f>+(Basis!AB166/(EOMONTH($B42,0)-$B42+1)*$C42)</f>
        <v>3452.8368596508476</v>
      </c>
      <c r="AD42" s="31">
        <f>+SUM(F42:AC42)*E42</f>
        <v>0</v>
      </c>
    </row>
    <row r="43" spans="2:33" ht="15" thickBot="1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91584.945118199321</v>
      </c>
      <c r="G43" s="32">
        <f t="shared" si="13"/>
        <v>86157.132467821997</v>
      </c>
      <c r="H43" s="32">
        <f t="shared" si="13"/>
        <v>83233.23727959345</v>
      </c>
      <c r="I43" s="32">
        <f t="shared" si="13"/>
        <v>82960.975389877291</v>
      </c>
      <c r="J43" s="32">
        <f t="shared" si="13"/>
        <v>88706.022998659348</v>
      </c>
      <c r="K43" s="32">
        <f t="shared" si="13"/>
        <v>103004.64681985791</v>
      </c>
      <c r="L43" s="32">
        <f t="shared" si="13"/>
        <v>115646.72612337083</v>
      </c>
      <c r="M43" s="32">
        <f t="shared" si="13"/>
        <v>119964.02816390253</v>
      </c>
      <c r="N43" s="32">
        <f t="shared" si="13"/>
        <v>125182.72761686792</v>
      </c>
      <c r="O43" s="32">
        <f t="shared" si="13"/>
        <v>129098.40369046347</v>
      </c>
      <c r="P43" s="32">
        <f t="shared" si="13"/>
        <v>134859.55287002536</v>
      </c>
      <c r="Q43" s="32">
        <f t="shared" si="13"/>
        <v>141147.06165935501</v>
      </c>
      <c r="R43" s="32">
        <f t="shared" si="13"/>
        <v>139032.24414877451</v>
      </c>
      <c r="S43" s="32">
        <f t="shared" si="13"/>
        <v>134302.46216671003</v>
      </c>
      <c r="T43" s="32">
        <f t="shared" si="13"/>
        <v>134106.33644972264</v>
      </c>
      <c r="U43" s="32">
        <f t="shared" si="13"/>
        <v>136688.58426829919</v>
      </c>
      <c r="V43" s="32">
        <f t="shared" si="13"/>
        <v>139670.7397148264</v>
      </c>
      <c r="W43" s="32">
        <f t="shared" si="13"/>
        <v>145837.29028182261</v>
      </c>
      <c r="X43" s="32">
        <f t="shared" si="13"/>
        <v>173395.519368095</v>
      </c>
      <c r="Y43" s="32">
        <f t="shared" si="13"/>
        <v>188233.1569006631</v>
      </c>
      <c r="Z43" s="32">
        <f t="shared" si="13"/>
        <v>174708.22933305803</v>
      </c>
      <c r="AA43" s="32">
        <f t="shared" si="13"/>
        <v>152794.18107083259</v>
      </c>
      <c r="AB43" s="32">
        <f t="shared" si="13"/>
        <v>125626.32407559411</v>
      </c>
      <c r="AC43" s="32">
        <f t="shared" si="13"/>
        <v>103373.23202362907</v>
      </c>
      <c r="AD43" s="33">
        <f>+SUM(AD39:AD42)</f>
        <v>3049313.7600000221</v>
      </c>
      <c r="AE43" s="2">
        <f>+AD43-C39</f>
        <v>0</v>
      </c>
      <c r="AG43" s="90"/>
    </row>
    <row r="44" spans="2:33">
      <c r="B44" s="45">
        <f>+EDATE(B39,1)</f>
        <v>46600</v>
      </c>
      <c r="C44" s="43">
        <f>IFERROR(VLOOKUP(B44,'Prod- 1'!$B$10:$E$69,4,0),0)</f>
        <v>3049581.5999999586</v>
      </c>
      <c r="D44" s="34" t="s">
        <v>45</v>
      </c>
      <c r="E44" s="34">
        <f>+Basis!D168</f>
        <v>19</v>
      </c>
      <c r="F44" s="28">
        <f>+(Basis!E168/(EOMONTH($B44,0)-$B44+1)*$C44)</f>
        <v>2888.3725638959627</v>
      </c>
      <c r="G44" s="28">
        <f>+(Basis!F168/(EOMONTH($B44,0)-$B44+1)*$C44)</f>
        <v>2724.231609138596</v>
      </c>
      <c r="H44" s="28">
        <f>+(Basis!G168/(EOMONTH($B44,0)-$B44+1)*$C44)</f>
        <v>2634.9527532724032</v>
      </c>
      <c r="I44" s="28">
        <f>+(Basis!H168/(EOMONTH($B44,0)-$B44+1)*$C44)</f>
        <v>2635.1325773843087</v>
      </c>
      <c r="J44" s="28">
        <f>+(Basis!I168/(EOMONTH($B44,0)-$B44+1)*$C44)</f>
        <v>2866.1910930024042</v>
      </c>
      <c r="K44" s="28">
        <f>+(Basis!J168/(EOMONTH($B44,0)-$B44+1)*$C44)</f>
        <v>3397.8678077829577</v>
      </c>
      <c r="L44" s="28">
        <f>+(Basis!K168/(EOMONTH($B44,0)-$B44+1)*$C44)</f>
        <v>3815.8170382981302</v>
      </c>
      <c r="M44" s="28">
        <f>+(Basis!L168/(EOMONTH($B44,0)-$B44+1)*$C44)</f>
        <v>3893.4951093344239</v>
      </c>
      <c r="N44" s="28">
        <f>+(Basis!M168/(EOMONTH($B44,0)-$B44+1)*$C44)</f>
        <v>4029.1404869328599</v>
      </c>
      <c r="O44" s="28">
        <f>+(Basis!N168/(EOMONTH($B44,0)-$B44+1)*$C44)</f>
        <v>4148.11172572536</v>
      </c>
      <c r="P44" s="28">
        <f>+(Basis!O168/(EOMONTH($B44,0)-$B44+1)*$C44)</f>
        <v>4343.2313241614429</v>
      </c>
      <c r="Q44" s="28">
        <f>+(Basis!P168/(EOMONTH($B44,0)-$B44+1)*$C44)</f>
        <v>4554.1877571457826</v>
      </c>
      <c r="R44" s="28">
        <f>+(Basis!Q168/(EOMONTH($B44,0)-$B44+1)*$C44)</f>
        <v>4469.2971928551851</v>
      </c>
      <c r="S44" s="28">
        <f>+(Basis!R168/(EOMONTH($B44,0)-$B44+1)*$C44)</f>
        <v>4316.6068598967095</v>
      </c>
      <c r="T44" s="28">
        <f>+(Basis!S168/(EOMONTH($B44,0)-$B44+1)*$C44)</f>
        <v>4340.096323289652</v>
      </c>
      <c r="U44" s="28">
        <f>+(Basis!T168/(EOMONTH($B44,0)-$B44+1)*$C44)</f>
        <v>4445.3487986644468</v>
      </c>
      <c r="V44" s="28">
        <f>+(Basis!U168/(EOMONTH($B44,0)-$B44+1)*$C44)</f>
        <v>4549.0929016510918</v>
      </c>
      <c r="W44" s="28">
        <f>+(Basis!V168/(EOMONTH($B44,0)-$B44+1)*$C44)</f>
        <v>4746.2545868461029</v>
      </c>
      <c r="X44" s="28">
        <f>+(Basis!W168/(EOMONTH($B44,0)-$B44+1)*$C44)</f>
        <v>5616.8261585116043</v>
      </c>
      <c r="Y44" s="28">
        <f>+(Basis!X168/(EOMONTH($B44,0)-$B44+1)*$C44)</f>
        <v>6073.5799692979836</v>
      </c>
      <c r="Z44" s="28">
        <f>+(Basis!Y168/(EOMONTH($B44,0)-$B44+1)*$C44)</f>
        <v>5630.1062196230287</v>
      </c>
      <c r="AA44" s="28">
        <f>+(Basis!Z168/(EOMONTH($B44,0)-$B44+1)*$C44)</f>
        <v>4931.3953227983638</v>
      </c>
      <c r="AB44" s="28">
        <f>+(Basis!AA168/(EOMONTH($B44,0)-$B44+1)*$C44)</f>
        <v>4034.3493641278005</v>
      </c>
      <c r="AC44" s="28">
        <f>+(Basis!AB168/(EOMONTH($B44,0)-$B44+1)*$C44)</f>
        <v>3289.9144563620794</v>
      </c>
      <c r="AD44" s="29">
        <f>+SUM(F44:AC44)*E44</f>
        <v>1869098.3999999748</v>
      </c>
    </row>
    <row r="45" spans="2:33">
      <c r="B45" s="46">
        <f>+B44</f>
        <v>46600</v>
      </c>
      <c r="C45" s="44">
        <f>IFERROR(VLOOKUP(B45,'Prod- 1'!$B$10:$E$69,4,0),0)</f>
        <v>3049581.5999999586</v>
      </c>
      <c r="D45" s="35" t="s">
        <v>46</v>
      </c>
      <c r="E45" s="35">
        <f>+Basis!D169</f>
        <v>5</v>
      </c>
      <c r="F45" s="28">
        <f>+(Basis!E169/(EOMONTH($B45,0)-$B45+1)*$C45)</f>
        <v>3016.0827532896919</v>
      </c>
      <c r="G45" s="28">
        <f>+(Basis!F169/(EOMONTH($B45,0)-$B45+1)*$C45)</f>
        <v>2813.4850722313645</v>
      </c>
      <c r="H45" s="28">
        <f>+(Basis!G169/(EOMONTH($B45,0)-$B45+1)*$C45)</f>
        <v>2723.3608299169546</v>
      </c>
      <c r="I45" s="28">
        <f>+(Basis!H169/(EOMONTH($B45,0)-$B45+1)*$C45)</f>
        <v>2708.9927325611425</v>
      </c>
      <c r="J45" s="28">
        <f>+(Basis!I169/(EOMONTH($B45,0)-$B45+1)*$C45)</f>
        <v>2831.4420543361753</v>
      </c>
      <c r="K45" s="28">
        <f>+(Basis!J169/(EOMONTH($B45,0)-$B45+1)*$C45)</f>
        <v>3171.7208431847184</v>
      </c>
      <c r="L45" s="28">
        <f>+(Basis!K169/(EOMONTH($B45,0)-$B45+1)*$C45)</f>
        <v>3586.0255615051406</v>
      </c>
      <c r="M45" s="28">
        <f>+(Basis!L169/(EOMONTH($B45,0)-$B45+1)*$C45)</f>
        <v>3837.8137617958832</v>
      </c>
      <c r="N45" s="28">
        <f>+(Basis!M169/(EOMONTH($B45,0)-$B45+1)*$C45)</f>
        <v>4087.3451277323488</v>
      </c>
      <c r="O45" s="28">
        <f>+(Basis!N169/(EOMONTH($B45,0)-$B45+1)*$C45)</f>
        <v>4234.2473259183444</v>
      </c>
      <c r="P45" s="28">
        <f>+(Basis!O169/(EOMONTH($B45,0)-$B45+1)*$C45)</f>
        <v>4424.2241434456491</v>
      </c>
      <c r="Q45" s="28">
        <f>+(Basis!P169/(EOMONTH($B45,0)-$B45+1)*$C45)</f>
        <v>4604.6736045107564</v>
      </c>
      <c r="R45" s="28">
        <f>+(Basis!Q169/(EOMONTH($B45,0)-$B45+1)*$C45)</f>
        <v>4562.9003705462328</v>
      </c>
      <c r="S45" s="28">
        <f>+(Basis!R169/(EOMONTH($B45,0)-$B45+1)*$C45)</f>
        <v>4402.3813892835151</v>
      </c>
      <c r="T45" s="28">
        <f>+(Basis!S169/(EOMONTH($B45,0)-$B45+1)*$C45)</f>
        <v>4329.7248865312886</v>
      </c>
      <c r="U45" s="28">
        <f>+(Basis!T169/(EOMONTH($B45,0)-$B45+1)*$C45)</f>
        <v>4356.8251761575702</v>
      </c>
      <c r="V45" s="28">
        <f>+(Basis!U169/(EOMONTH($B45,0)-$B45+1)*$C45)</f>
        <v>4424.2127587643208</v>
      </c>
      <c r="W45" s="28">
        <f>+(Basis!V169/(EOMONTH($B45,0)-$B45+1)*$C45)</f>
        <v>4616.9885113996843</v>
      </c>
      <c r="X45" s="28">
        <f>+(Basis!W169/(EOMONTH($B45,0)-$B45+1)*$C45)</f>
        <v>5529.6377450472992</v>
      </c>
      <c r="Y45" s="28">
        <f>+(Basis!X169/(EOMONTH($B45,0)-$B45+1)*$C45)</f>
        <v>6021.0207891519431</v>
      </c>
      <c r="Z45" s="28">
        <f>+(Basis!Y169/(EOMONTH($B45,0)-$B45+1)*$C45)</f>
        <v>5609.1094146637015</v>
      </c>
      <c r="AA45" s="28">
        <f>+(Basis!Z169/(EOMONTH($B45,0)-$B45+1)*$C45)</f>
        <v>4908.5152886383648</v>
      </c>
      <c r="AB45" s="28">
        <f>+(Basis!AA169/(EOMONTH($B45,0)-$B45+1)*$C45)</f>
        <v>4094.5913760351923</v>
      </c>
      <c r="AC45" s="28">
        <f>+(Basis!AB169/(EOMONTH($B45,0)-$B45+1)*$C45)</f>
        <v>3478.2784833513219</v>
      </c>
      <c r="AD45" s="30">
        <f>+SUM(F45:AC45)*E45</f>
        <v>491867.99999999296</v>
      </c>
    </row>
    <row r="46" spans="2:33">
      <c r="B46" s="41">
        <f t="shared" ref="B46:B47" si="14">+B45</f>
        <v>46600</v>
      </c>
      <c r="C46" s="39">
        <f>IFERROR(VLOOKUP(B46,'Prod- 1'!$B$10:$E$69,4,0),0)</f>
        <v>3049581.5999999586</v>
      </c>
      <c r="D46" s="36" t="s">
        <v>47</v>
      </c>
      <c r="E46" s="36">
        <f>+Basis!D170</f>
        <v>5</v>
      </c>
      <c r="F46" s="28">
        <f>+(Basis!E170/(EOMONTH($B46,0)-$B46+1)*$C46)</f>
        <v>3274.0224012461777</v>
      </c>
      <c r="G46" s="28">
        <f>+(Basis!F170/(EOMONTH($B46,0)-$B46+1)*$C46)</f>
        <v>3063.3582200149935</v>
      </c>
      <c r="H46" s="28">
        <f>+(Basis!G170/(EOMONTH($B46,0)-$B46+1)*$C46)</f>
        <v>2935.7978805742073</v>
      </c>
      <c r="I46" s="28">
        <f>+(Basis!H170/(EOMONTH($B46,0)-$B46+1)*$C46)</f>
        <v>2881.0605382480512</v>
      </c>
      <c r="J46" s="28">
        <f>+(Basis!I170/(EOMONTH($B46,0)-$B46+1)*$C46)</f>
        <v>2866.4128095893698</v>
      </c>
      <c r="K46" s="28">
        <f>+(Basis!J170/(EOMONTH($B46,0)-$B46+1)*$C46)</f>
        <v>3043.9628500913782</v>
      </c>
      <c r="L46" s="28">
        <f>+(Basis!K170/(EOMONTH($B46,0)-$B46+1)*$C46)</f>
        <v>3387.2474901002679</v>
      </c>
      <c r="M46" s="28">
        <f>+(Basis!L170/(EOMONTH($B46,0)-$B46+1)*$C46)</f>
        <v>3768.2306952879298</v>
      </c>
      <c r="N46" s="28">
        <f>+(Basis!M170/(EOMONTH($B46,0)-$B46+1)*$C46)</f>
        <v>4043.5278690269784</v>
      </c>
      <c r="O46" s="28">
        <f>+(Basis!N170/(EOMONTH($B46,0)-$B46+1)*$C46)</f>
        <v>4191.5460506668651</v>
      </c>
      <c r="P46" s="28">
        <f>+(Basis!O170/(EOMONTH($B46,0)-$B46+1)*$C46)</f>
        <v>4320.0453463224612</v>
      </c>
      <c r="Q46" s="28">
        <f>+(Basis!P170/(EOMONTH($B46,0)-$B46+1)*$C46)</f>
        <v>4498.611660580953</v>
      </c>
      <c r="R46" s="28">
        <f>+(Basis!Q170/(EOMONTH($B46,0)-$B46+1)*$C46)</f>
        <v>4499.7548222109544</v>
      </c>
      <c r="S46" s="28">
        <f>+(Basis!R170/(EOMONTH($B46,0)-$B46+1)*$C46)</f>
        <v>4355.6938610014604</v>
      </c>
      <c r="T46" s="28">
        <f>+(Basis!S170/(EOMONTH($B46,0)-$B46+1)*$C46)</f>
        <v>4244.2502132651407</v>
      </c>
      <c r="U46" s="28">
        <f>+(Basis!T170/(EOMONTH($B46,0)-$B46+1)*$C46)</f>
        <v>4257.5668485586557</v>
      </c>
      <c r="V46" s="28">
        <f>+(Basis!U170/(EOMONTH($B46,0)-$B46+1)*$C46)</f>
        <v>4339.2550206784572</v>
      </c>
      <c r="W46" s="28">
        <f>+(Basis!V170/(EOMONTH($B46,0)-$B46+1)*$C46)</f>
        <v>4554.5726314456433</v>
      </c>
      <c r="X46" s="28">
        <f>+(Basis!W170/(EOMONTH($B46,0)-$B46+1)*$C46)</f>
        <v>5526.2992845186191</v>
      </c>
      <c r="Y46" s="28">
        <f>+(Basis!X170/(EOMONTH($B46,0)-$B46+1)*$C46)</f>
        <v>6118.3170317965605</v>
      </c>
      <c r="Z46" s="28">
        <f>+(Basis!Y170/(EOMONTH($B46,0)-$B46+1)*$C46)</f>
        <v>5698.6735806016941</v>
      </c>
      <c r="AA46" s="28">
        <f>+(Basis!Z170/(EOMONTH($B46,0)-$B46+1)*$C46)</f>
        <v>4937.8620863705855</v>
      </c>
      <c r="AB46" s="28">
        <f>+(Basis!AA170/(EOMONTH($B46,0)-$B46+1)*$C46)</f>
        <v>4117.2394324867373</v>
      </c>
      <c r="AC46" s="28">
        <f>+(Basis!AB170/(EOMONTH($B46,0)-$B46+1)*$C46)</f>
        <v>3450.2913753145131</v>
      </c>
      <c r="AD46" s="30">
        <f>+SUM(F46:AC46)*E46</f>
        <v>491867.99999999325</v>
      </c>
    </row>
    <row r="47" spans="2:33">
      <c r="B47" s="46">
        <f t="shared" si="14"/>
        <v>46600</v>
      </c>
      <c r="C47" s="44">
        <f>IFERROR(VLOOKUP(B47,'Prod- 1'!$B$10:$E$69,4,0),0)</f>
        <v>3049581.5999999586</v>
      </c>
      <c r="D47" s="37" t="s">
        <v>48</v>
      </c>
      <c r="E47" s="37">
        <f>+Basis!D171</f>
        <v>2</v>
      </c>
      <c r="F47" s="28">
        <f>+(Basis!E171/(EOMONTH($B47,0)-$B47+1)*$C47)</f>
        <v>3312.7342872090571</v>
      </c>
      <c r="G47" s="28">
        <f>+(Basis!F171/(EOMONTH($B47,0)-$B47+1)*$C47)</f>
        <v>3073.7512592019516</v>
      </c>
      <c r="H47" s="28">
        <f>+(Basis!G171/(EOMONTH($B47,0)-$B47+1)*$C47)</f>
        <v>2937.6074762922817</v>
      </c>
      <c r="I47" s="28">
        <f>+(Basis!H171/(EOMONTH($B47,0)-$B47+1)*$C47)</f>
        <v>2875.9541015695868</v>
      </c>
      <c r="J47" s="28">
        <f>+(Basis!I171/(EOMONTH($B47,0)-$B47+1)*$C47)</f>
        <v>2969.5427848314644</v>
      </c>
      <c r="K47" s="28">
        <f>+(Basis!J171/(EOMONTH($B47,0)-$B47+1)*$C47)</f>
        <v>3258.4959142078415</v>
      </c>
      <c r="L47" s="28">
        <f>+(Basis!K171/(EOMONTH($B47,0)-$B47+1)*$C47)</f>
        <v>3498.522392654661</v>
      </c>
      <c r="M47" s="28">
        <f>+(Basis!L171/(EOMONTH($B47,0)-$B47+1)*$C47)</f>
        <v>3676.7562918019316</v>
      </c>
      <c r="N47" s="28">
        <f>+(Basis!M171/(EOMONTH($B47,0)-$B47+1)*$C47)</f>
        <v>3891.452627555459</v>
      </c>
      <c r="O47" s="28">
        <f>+(Basis!N171/(EOMONTH($B47,0)-$B47+1)*$C47)</f>
        <v>4065.7811331664821</v>
      </c>
      <c r="P47" s="28">
        <f>+(Basis!O171/(EOMONTH($B47,0)-$B47+1)*$C47)</f>
        <v>4256.9665375133127</v>
      </c>
      <c r="Q47" s="28">
        <f>+(Basis!P171/(EOMONTH($B47,0)-$B47+1)*$C47)</f>
        <v>4454.2008882567634</v>
      </c>
      <c r="R47" s="28">
        <f>+(Basis!Q171/(EOMONTH($B47,0)-$B47+1)*$C47)</f>
        <v>4502.0864542362942</v>
      </c>
      <c r="S47" s="28">
        <f>+(Basis!R171/(EOMONTH($B47,0)-$B47+1)*$C47)</f>
        <v>4349.5186572041948</v>
      </c>
      <c r="T47" s="28">
        <f>+(Basis!S171/(EOMONTH($B47,0)-$B47+1)*$C47)</f>
        <v>4254.208586134444</v>
      </c>
      <c r="U47" s="28">
        <f>+(Basis!T171/(EOMONTH($B47,0)-$B47+1)*$C47)</f>
        <v>4284.6620501255584</v>
      </c>
      <c r="V47" s="28">
        <f>+(Basis!U171/(EOMONTH($B47,0)-$B47+1)*$C47)</f>
        <v>4371.281102471753</v>
      </c>
      <c r="W47" s="28">
        <f>+(Basis!V171/(EOMONTH($B47,0)-$B47+1)*$C47)</f>
        <v>4640.4982626727142</v>
      </c>
      <c r="X47" s="28">
        <f>+(Basis!W171/(EOMONTH($B47,0)-$B47+1)*$C47)</f>
        <v>5597.4323841569048</v>
      </c>
      <c r="Y47" s="28">
        <f>+(Basis!X171/(EOMONTH($B47,0)-$B47+1)*$C47)</f>
        <v>6097.8586450115818</v>
      </c>
      <c r="Z47" s="28">
        <f>+(Basis!Y171/(EOMONTH($B47,0)-$B47+1)*$C47)</f>
        <v>5627.8258126185319</v>
      </c>
      <c r="AA47" s="28">
        <f>+(Basis!Z171/(EOMONTH($B47,0)-$B47+1)*$C47)</f>
        <v>4853.7102087310368</v>
      </c>
      <c r="AB47" s="28">
        <f>+(Basis!AA171/(EOMONTH($B47,0)-$B47+1)*$C47)</f>
        <v>4069.6119988060209</v>
      </c>
      <c r="AC47" s="28">
        <f>+(Basis!AB171/(EOMONTH($B47,0)-$B47+1)*$C47)</f>
        <v>3453.140143568824</v>
      </c>
      <c r="AD47" s="31">
        <f>+SUM(F47:AC47)*E47</f>
        <v>196747.19999999728</v>
      </c>
    </row>
    <row r="48" spans="2:33" ht="15" thickBot="1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92955.073061120769</v>
      </c>
      <c r="G48" s="32">
        <f t="shared" si="15"/>
        <v>87292.119553269018</v>
      </c>
      <c r="H48" s="32">
        <f t="shared" si="15"/>
        <v>84235.110817216031</v>
      </c>
      <c r="I48" s="32">
        <f t="shared" si="15"/>
        <v>83769.693527487005</v>
      </c>
      <c r="J48" s="32">
        <f t="shared" si="15"/>
        <v>88885.990656336347</v>
      </c>
      <c r="K48" s="32">
        <f t="shared" si="15"/>
        <v>102154.89864267237</v>
      </c>
      <c r="L48" s="32">
        <f t="shared" si="15"/>
        <v>114363.93377100084</v>
      </c>
      <c r="M48" s="32">
        <f t="shared" si="15"/>
        <v>119360.14194637699</v>
      </c>
      <c r="N48" s="32">
        <f t="shared" si="15"/>
        <v>124990.93949063191</v>
      </c>
      <c r="O48" s="32">
        <f t="shared" si="15"/>
        <v>129074.65193804086</v>
      </c>
      <c r="P48" s="32">
        <f t="shared" si="15"/>
        <v>134756.67568293458</v>
      </c>
      <c r="Q48" s="32">
        <f t="shared" si="15"/>
        <v>140954.39548774195</v>
      </c>
      <c r="R48" s="32">
        <f t="shared" si="15"/>
        <v>139234.09553650705</v>
      </c>
      <c r="S48" s="32">
        <f t="shared" si="15"/>
        <v>134504.94390387076</v>
      </c>
      <c r="T48" s="32">
        <f t="shared" si="15"/>
        <v>133840.12281375439</v>
      </c>
      <c r="U48" s="32">
        <f t="shared" si="15"/>
        <v>136102.91139845672</v>
      </c>
      <c r="V48" s="32">
        <f t="shared" si="15"/>
        <v>138992.66623352814</v>
      </c>
      <c r="W48" s="32">
        <f t="shared" si="15"/>
        <v>145317.63938964801</v>
      </c>
      <c r="X48" s="32">
        <f t="shared" si="15"/>
        <v>173194.24692786386</v>
      </c>
      <c r="Y48" s="32">
        <f t="shared" si="15"/>
        <v>188290.42581142738</v>
      </c>
      <c r="Z48" s="32">
        <f t="shared" si="15"/>
        <v>174766.58477440162</v>
      </c>
      <c r="AA48" s="32">
        <f t="shared" si="15"/>
        <v>152635.81842567574</v>
      </c>
      <c r="AB48" s="32">
        <f t="shared" si="15"/>
        <v>125851.01595864991</v>
      </c>
      <c r="AC48" s="32">
        <f t="shared" si="15"/>
        <v>104057.50425134633</v>
      </c>
      <c r="AD48" s="33">
        <f>+SUM(AD44:AD47)</f>
        <v>3049581.5999999586</v>
      </c>
      <c r="AE48" s="2">
        <f>+AD48-C44</f>
        <v>0</v>
      </c>
    </row>
    <row r="49" spans="2:31">
      <c r="B49" s="45">
        <f>+EDATE(B44,1)</f>
        <v>46631</v>
      </c>
      <c r="C49" s="43">
        <f>IFERROR(VLOOKUP(B49,'Prod- 1'!$B$10:$E$69,4,0),0)</f>
        <v>3057760.8000000073</v>
      </c>
      <c r="D49" s="34" t="s">
        <v>45</v>
      </c>
      <c r="E49" s="34">
        <f>+Basis!D173</f>
        <v>22</v>
      </c>
      <c r="F49" s="28">
        <f>+(Basis!E173/(EOMONTH($B49,0)-$B49+1)*$C49)</f>
        <v>2992.6567025017248</v>
      </c>
      <c r="G49" s="28">
        <f>+(Basis!F173/(EOMONTH($B49,0)-$B49+1)*$C49)</f>
        <v>2822.5894699882397</v>
      </c>
      <c r="H49" s="28">
        <f>+(Basis!G173/(EOMONTH($B49,0)-$B49+1)*$C49)</f>
        <v>2730.0872181183281</v>
      </c>
      <c r="I49" s="28">
        <f>+(Basis!H173/(EOMONTH($B49,0)-$B49+1)*$C49)</f>
        <v>2730.2735347453768</v>
      </c>
      <c r="J49" s="28">
        <f>+(Basis!I173/(EOMONTH($B49,0)-$B49+1)*$C49)</f>
        <v>2969.6743738469281</v>
      </c>
      <c r="K49" s="28">
        <f>+(Basis!J173/(EOMONTH($B49,0)-$B49+1)*$C49)</f>
        <v>3520.5471746555404</v>
      </c>
      <c r="L49" s="28">
        <f>+(Basis!K173/(EOMONTH($B49,0)-$B49+1)*$C49)</f>
        <v>3953.5863821459916</v>
      </c>
      <c r="M49" s="28">
        <f>+(Basis!L173/(EOMONTH($B49,0)-$B49+1)*$C49)</f>
        <v>4034.0690050700273</v>
      </c>
      <c r="N49" s="28">
        <f>+(Basis!M173/(EOMONTH($B49,0)-$B49+1)*$C49)</f>
        <v>4174.611833065107</v>
      </c>
      <c r="O49" s="28">
        <f>+(Basis!N173/(EOMONTH($B49,0)-$B49+1)*$C49)</f>
        <v>4297.8785056639717</v>
      </c>
      <c r="P49" s="28">
        <f>+(Basis!O173/(EOMONTH($B49,0)-$B49+1)*$C49)</f>
        <v>4500.0428598571043</v>
      </c>
      <c r="Q49" s="28">
        <f>+(Basis!P173/(EOMONTH($B49,0)-$B49+1)*$C49)</f>
        <v>4718.6158344788018</v>
      </c>
      <c r="R49" s="28">
        <f>+(Basis!Q173/(EOMONTH($B49,0)-$B49+1)*$C49)</f>
        <v>4630.6603126119344</v>
      </c>
      <c r="S49" s="28">
        <f>+(Basis!R173/(EOMONTH($B49,0)-$B49+1)*$C49)</f>
        <v>4472.4571244058234</v>
      </c>
      <c r="T49" s="28">
        <f>+(Basis!S173/(EOMONTH($B49,0)-$B49+1)*$C49)</f>
        <v>4496.7946703788539</v>
      </c>
      <c r="U49" s="28">
        <f>+(Basis!T173/(EOMONTH($B49,0)-$B49+1)*$C49)</f>
        <v>4605.8472662324912</v>
      </c>
      <c r="V49" s="28">
        <f>+(Basis!U173/(EOMONTH($B49,0)-$B49+1)*$C49)</f>
        <v>4713.3370302015937</v>
      </c>
      <c r="W49" s="28">
        <f>+(Basis!V173/(EOMONTH($B49,0)-$B49+1)*$C49)</f>
        <v>4917.6172003052452</v>
      </c>
      <c r="X49" s="28">
        <f>+(Basis!W173/(EOMONTH($B49,0)-$B49+1)*$C49)</f>
        <v>5819.620591944602</v>
      </c>
      <c r="Y49" s="28">
        <f>+(Basis!X173/(EOMONTH($B49,0)-$B49+1)*$C49)</f>
        <v>6292.8654116500347</v>
      </c>
      <c r="Z49" s="28">
        <f>+(Basis!Y173/(EOMONTH($B49,0)-$B49+1)*$C49)</f>
        <v>5833.3801271207458</v>
      </c>
      <c r="AA49" s="28">
        <f>+(Basis!Z173/(EOMONTH($B49,0)-$B49+1)*$C49)</f>
        <v>5109.4424070944578</v>
      </c>
      <c r="AB49" s="28">
        <f>+(Basis!AA173/(EOMONTH($B49,0)-$B49+1)*$C49)</f>
        <v>4180.0087757742294</v>
      </c>
      <c r="AC49" s="28">
        <f>+(Basis!AB173/(EOMONTH($B49,0)-$B49+1)*$C49)</f>
        <v>3408.6961881431052</v>
      </c>
      <c r="AD49" s="29">
        <f>+SUM(F49:AC49)*E49</f>
        <v>2242357.920000006</v>
      </c>
    </row>
    <row r="50" spans="2:31">
      <c r="B50" s="46">
        <f>+B49</f>
        <v>46631</v>
      </c>
      <c r="C50" s="44">
        <f>IFERROR(VLOOKUP(B50,'Prod- 1'!$B$10:$E$69,4,0),0)</f>
        <v>3057760.8000000073</v>
      </c>
      <c r="D50" s="35" t="s">
        <v>46</v>
      </c>
      <c r="E50" s="35">
        <f>+Basis!D174</f>
        <v>4</v>
      </c>
      <c r="F50" s="28">
        <f>+(Basis!E174/(EOMONTH($B50,0)-$B50+1)*$C50)</f>
        <v>3124.9778438407043</v>
      </c>
      <c r="G50" s="28">
        <f>+(Basis!F174/(EOMONTH($B50,0)-$B50+1)*$C50)</f>
        <v>2915.0654122835031</v>
      </c>
      <c r="H50" s="28">
        <f>+(Basis!G174/(EOMONTH($B50,0)-$B50+1)*$C50)</f>
        <v>2821.6872514494626</v>
      </c>
      <c r="I50" s="28">
        <f>+(Basis!H174/(EOMONTH($B50,0)-$B50+1)*$C50)</f>
        <v>2806.8003966885681</v>
      </c>
      <c r="J50" s="28">
        <f>+(Basis!I174/(EOMONTH($B50,0)-$B50+1)*$C50)</f>
        <v>2933.6707277903706</v>
      </c>
      <c r="K50" s="28">
        <f>+(Basis!J174/(EOMONTH($B50,0)-$B50+1)*$C50)</f>
        <v>3286.2352171833818</v>
      </c>
      <c r="L50" s="28">
        <f>+(Basis!K174/(EOMONTH($B50,0)-$B50+1)*$C50)</f>
        <v>3715.4983280638244</v>
      </c>
      <c r="M50" s="28">
        <f>+(Basis!L174/(EOMONTH($B50,0)-$B50+1)*$C50)</f>
        <v>3976.3772931356161</v>
      </c>
      <c r="N50" s="28">
        <f>+(Basis!M174/(EOMONTH($B50,0)-$B50+1)*$C50)</f>
        <v>4234.9179412807125</v>
      </c>
      <c r="O50" s="28">
        <f>+(Basis!N174/(EOMONTH($B50,0)-$B50+1)*$C50)</f>
        <v>4387.1240152161909</v>
      </c>
      <c r="P50" s="28">
        <f>+(Basis!O174/(EOMONTH($B50,0)-$B50+1)*$C50)</f>
        <v>4583.9599093801244</v>
      </c>
      <c r="Q50" s="28">
        <f>+(Basis!P174/(EOMONTH($B50,0)-$B50+1)*$C50)</f>
        <v>4770.9244637002603</v>
      </c>
      <c r="R50" s="28">
        <f>+(Basis!Q174/(EOMONTH($B50,0)-$B50+1)*$C50)</f>
        <v>4727.6430151185432</v>
      </c>
      <c r="S50" s="28">
        <f>+(Basis!R174/(EOMONTH($B50,0)-$B50+1)*$C50)</f>
        <v>4561.328526759512</v>
      </c>
      <c r="T50" s="28">
        <f>+(Basis!S174/(EOMONTH($B50,0)-$B50+1)*$C50)</f>
        <v>4486.0487748813484</v>
      </c>
      <c r="U50" s="28">
        <f>+(Basis!T174/(EOMONTH($B50,0)-$B50+1)*$C50)</f>
        <v>4514.1275152777862</v>
      </c>
      <c r="V50" s="28">
        <f>+(Basis!U174/(EOMONTH($B50,0)-$B50+1)*$C50)</f>
        <v>4583.9481136570557</v>
      </c>
      <c r="W50" s="28">
        <f>+(Basis!V174/(EOMONTH($B50,0)-$B50+1)*$C50)</f>
        <v>4783.6839979454289</v>
      </c>
      <c r="X50" s="28">
        <f>+(Basis!W174/(EOMONTH($B50,0)-$B50+1)*$C50)</f>
        <v>5729.2842574994011</v>
      </c>
      <c r="Y50" s="28">
        <f>+(Basis!X174/(EOMONTH($B50,0)-$B50+1)*$C50)</f>
        <v>6238.4085923642697</v>
      </c>
      <c r="Z50" s="28">
        <f>+(Basis!Y174/(EOMONTH($B50,0)-$B50+1)*$C50)</f>
        <v>5811.6252365369992</v>
      </c>
      <c r="AA50" s="28">
        <f>+(Basis!Z174/(EOMONTH($B50,0)-$B50+1)*$C50)</f>
        <v>5085.7362936801874</v>
      </c>
      <c r="AB50" s="28">
        <f>+(Basis!AA174/(EOMONTH($B50,0)-$B50+1)*$C50)</f>
        <v>4242.4258139916501</v>
      </c>
      <c r="AC50" s="28">
        <f>+(Basis!AB174/(EOMONTH($B50,0)-$B50+1)*$C50)</f>
        <v>3603.8610622752767</v>
      </c>
      <c r="AD50" s="30">
        <f>+SUM(F50:AC50)*E50</f>
        <v>407701.4400000007</v>
      </c>
    </row>
    <row r="51" spans="2:31">
      <c r="B51" s="41">
        <f t="shared" ref="B51:B52" si="16">+B50</f>
        <v>46631</v>
      </c>
      <c r="C51" s="39">
        <f>IFERROR(VLOOKUP(B51,'Prod- 1'!$B$10:$E$69,4,0),0)</f>
        <v>3057760.8000000073</v>
      </c>
      <c r="D51" s="36" t="s">
        <v>47</v>
      </c>
      <c r="E51" s="36">
        <f>+Basis!D175</f>
        <v>4</v>
      </c>
      <c r="F51" s="28">
        <f>+(Basis!E175/(EOMONTH($B51,0)-$B51+1)*$C51)</f>
        <v>3392.2303534188686</v>
      </c>
      <c r="G51" s="28">
        <f>+(Basis!F175/(EOMONTH($B51,0)-$B51+1)*$C51)</f>
        <v>3173.960182243939</v>
      </c>
      <c r="H51" s="28">
        <f>+(Basis!G175/(EOMONTH($B51,0)-$B51+1)*$C51)</f>
        <v>3041.7943011617735</v>
      </c>
      <c r="I51" s="28">
        <f>+(Basis!H175/(EOMONTH($B51,0)-$B51+1)*$C51)</f>
        <v>2985.080677567265</v>
      </c>
      <c r="J51" s="28">
        <f>+(Basis!I175/(EOMONTH($B51,0)-$B51+1)*$C51)</f>
        <v>2969.9040954688312</v>
      </c>
      <c r="K51" s="28">
        <f>+(Basis!J175/(EOMONTH($B51,0)-$B51+1)*$C51)</f>
        <v>3153.864546201366</v>
      </c>
      <c r="L51" s="28">
        <f>+(Basis!K175/(EOMONTH($B51,0)-$B51+1)*$C51)</f>
        <v>3509.5434124355693</v>
      </c>
      <c r="M51" s="28">
        <f>+(Basis!L175/(EOMONTH($B51,0)-$B51+1)*$C51)</f>
        <v>3904.2819433290906</v>
      </c>
      <c r="N51" s="28">
        <f>+(Basis!M175/(EOMONTH($B51,0)-$B51+1)*$C51)</f>
        <v>4189.5186688360918</v>
      </c>
      <c r="O51" s="28">
        <f>+(Basis!N175/(EOMONTH($B51,0)-$B51+1)*$C51)</f>
        <v>4342.8810185944731</v>
      </c>
      <c r="P51" s="28">
        <f>+(Basis!O175/(EOMONTH($B51,0)-$B51+1)*$C51)</f>
        <v>4476.0197567258747</v>
      </c>
      <c r="Q51" s="28">
        <f>+(Basis!P175/(EOMONTH($B51,0)-$B51+1)*$C51)</f>
        <v>4661.0331735843638</v>
      </c>
      <c r="R51" s="28">
        <f>+(Basis!Q175/(EOMONTH($B51,0)-$B51+1)*$C51)</f>
        <v>4662.2176088462238</v>
      </c>
      <c r="S51" s="28">
        <f>+(Basis!R175/(EOMONTH($B51,0)-$B51+1)*$C51)</f>
        <v>4512.9553542044905</v>
      </c>
      <c r="T51" s="28">
        <f>+(Basis!S175/(EOMONTH($B51,0)-$B51+1)*$C51)</f>
        <v>4397.4880548961619</v>
      </c>
      <c r="U51" s="28">
        <f>+(Basis!T175/(EOMONTH($B51,0)-$B51+1)*$C51)</f>
        <v>4411.2854847582421</v>
      </c>
      <c r="V51" s="28">
        <f>+(Basis!U175/(EOMONTH($B51,0)-$B51+1)*$C51)</f>
        <v>4495.9229926979006</v>
      </c>
      <c r="W51" s="28">
        <f>+(Basis!V175/(EOMONTH($B51,0)-$B51+1)*$C51)</f>
        <v>4719.0146045915963</v>
      </c>
      <c r="X51" s="28">
        <f>+(Basis!W175/(EOMONTH($B51,0)-$B51+1)*$C51)</f>
        <v>5725.8252624922916</v>
      </c>
      <c r="Y51" s="28">
        <f>+(Basis!X175/(EOMONTH($B51,0)-$B51+1)*$C51)</f>
        <v>6339.2176972277703</v>
      </c>
      <c r="Z51" s="28">
        <f>+(Basis!Y175/(EOMONTH($B51,0)-$B51+1)*$C51)</f>
        <v>5904.4230995442476</v>
      </c>
      <c r="AA51" s="28">
        <f>+(Basis!Z175/(EOMONTH($B51,0)-$B51+1)*$C51)</f>
        <v>5116.1426519277638</v>
      </c>
      <c r="AB51" s="28">
        <f>+(Basis!AA175/(EOMONTH($B51,0)-$B51+1)*$C51)</f>
        <v>4265.891574186704</v>
      </c>
      <c r="AC51" s="28">
        <f>+(Basis!AB175/(EOMONTH($B51,0)-$B51+1)*$C51)</f>
        <v>3574.8634850593298</v>
      </c>
      <c r="AD51" s="30">
        <f>+SUM(F51:AC51)*E51</f>
        <v>407701.44000000088</v>
      </c>
    </row>
    <row r="52" spans="2:31">
      <c r="B52" s="46">
        <f t="shared" si="16"/>
        <v>46631</v>
      </c>
      <c r="C52" s="44">
        <f>IFERROR(VLOOKUP(B52,'Prod- 1'!$B$10:$E$69,4,0),0)</f>
        <v>3057760.8000000073</v>
      </c>
      <c r="D52" s="37" t="s">
        <v>48</v>
      </c>
      <c r="E52" s="37">
        <f>+Basis!D176</f>
        <v>0</v>
      </c>
      <c r="F52" s="28">
        <f>+(Basis!E176/(EOMONTH($B52,0)-$B52+1)*$C52)</f>
        <v>3432.3399246152612</v>
      </c>
      <c r="G52" s="28">
        <f>+(Basis!F176/(EOMONTH($B52,0)-$B52+1)*$C52)</f>
        <v>3184.7284601215897</v>
      </c>
      <c r="H52" s="28">
        <f>+(Basis!G176/(EOMONTH($B52,0)-$B52+1)*$C52)</f>
        <v>3043.6692319869053</v>
      </c>
      <c r="I52" s="28">
        <f>+(Basis!H176/(EOMONTH($B52,0)-$B52+1)*$C52)</f>
        <v>2979.7898739698599</v>
      </c>
      <c r="J52" s="28">
        <f>+(Basis!I176/(EOMONTH($B52,0)-$B52+1)*$C52)</f>
        <v>3076.7575587287074</v>
      </c>
      <c r="K52" s="28">
        <f>+(Basis!J176/(EOMONTH($B52,0)-$B52+1)*$C52)</f>
        <v>3376.1432855376711</v>
      </c>
      <c r="L52" s="28">
        <f>+(Basis!K176/(EOMONTH($B52,0)-$B52+1)*$C52)</f>
        <v>3624.8358740494746</v>
      </c>
      <c r="M52" s="28">
        <f>+(Basis!L176/(EOMONTH($B52,0)-$B52+1)*$C52)</f>
        <v>3809.5048740127727</v>
      </c>
      <c r="N52" s="28">
        <f>+(Basis!M176/(EOMONTH($B52,0)-$B52+1)*$C52)</f>
        <v>4031.9527798773497</v>
      </c>
      <c r="O52" s="28">
        <f>+(Basis!N176/(EOMONTH($B52,0)-$B52+1)*$C52)</f>
        <v>4212.5753828182378</v>
      </c>
      <c r="P52" s="28">
        <f>+(Basis!O176/(EOMONTH($B52,0)-$B52+1)*$C52)</f>
        <v>4410.663499597501</v>
      </c>
      <c r="Q52" s="28">
        <f>+(Basis!P176/(EOMONTH($B52,0)-$B52+1)*$C52)</f>
        <v>4615.0189588253106</v>
      </c>
      <c r="R52" s="28">
        <f>+(Basis!Q176/(EOMONTH($B52,0)-$B52+1)*$C52)</f>
        <v>4664.6334239995804</v>
      </c>
      <c r="S52" s="28">
        <f>+(Basis!R176/(EOMONTH($B52,0)-$B52+1)*$C52)</f>
        <v>4506.557195856014</v>
      </c>
      <c r="T52" s="28">
        <f>+(Basis!S176/(EOMONTH($B52,0)-$B52+1)*$C52)</f>
        <v>4407.8059729119514</v>
      </c>
      <c r="U52" s="28">
        <f>+(Basis!T176/(EOMONTH($B52,0)-$B52+1)*$C52)</f>
        <v>4439.3589533918912</v>
      </c>
      <c r="V52" s="28">
        <f>+(Basis!U176/(EOMONTH($B52,0)-$B52+1)*$C52)</f>
        <v>4529.1053700447828</v>
      </c>
      <c r="W52" s="28">
        <f>+(Basis!V176/(EOMONTH($B52,0)-$B52+1)*$C52)</f>
        <v>4808.0425642885748</v>
      </c>
      <c r="X52" s="28">
        <f>+(Basis!W176/(EOMONTH($B52,0)-$B52+1)*$C52)</f>
        <v>5799.5266090786545</v>
      </c>
      <c r="Y52" s="28">
        <f>+(Basis!X176/(EOMONTH($B52,0)-$B52+1)*$C52)</f>
        <v>6318.0206643035081</v>
      </c>
      <c r="Z52" s="28">
        <f>+(Basis!Y176/(EOMONTH($B52,0)-$B52+1)*$C52)</f>
        <v>5831.0173864578055</v>
      </c>
      <c r="AA52" s="28">
        <f>+(Basis!Z176/(EOMONTH($B52,0)-$B52+1)*$C52)</f>
        <v>5028.952486852103</v>
      </c>
      <c r="AB52" s="28">
        <f>+(Basis!AA176/(EOMONTH($B52,0)-$B52+1)*$C52)</f>
        <v>4216.5445611284922</v>
      </c>
      <c r="AC52" s="28">
        <f>+(Basis!AB176/(EOMONTH($B52,0)-$B52+1)*$C52)</f>
        <v>3577.8151075462288</v>
      </c>
      <c r="AD52" s="31">
        <f>+SUM(F52:AC52)*E52</f>
        <v>0</v>
      </c>
    </row>
    <row r="53" spans="2:31" ht="15" thickBot="1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91907.280244076232</v>
      </c>
      <c r="G53" s="32">
        <f t="shared" si="17"/>
        <v>86453.070717851049</v>
      </c>
      <c r="H53" s="32">
        <f t="shared" si="17"/>
        <v>83515.845009048178</v>
      </c>
      <c r="I53" s="32">
        <f t="shared" si="17"/>
        <v>83233.542061421627</v>
      </c>
      <c r="J53" s="32">
        <f t="shared" si="17"/>
        <v>88947.13551766923</v>
      </c>
      <c r="K53" s="32">
        <f t="shared" si="17"/>
        <v>103212.43689596088</v>
      </c>
      <c r="L53" s="32">
        <f t="shared" si="17"/>
        <v>115879.06736920938</v>
      </c>
      <c r="M53" s="32">
        <f t="shared" si="17"/>
        <v>120272.15505739943</v>
      </c>
      <c r="N53" s="32">
        <f t="shared" si="17"/>
        <v>125539.20676789958</v>
      </c>
      <c r="O53" s="32">
        <f t="shared" si="17"/>
        <v>129473.34725985004</v>
      </c>
      <c r="P53" s="32">
        <f t="shared" si="17"/>
        <v>135240.86158128027</v>
      </c>
      <c r="Q53" s="32">
        <f t="shared" si="17"/>
        <v>141537.37890767213</v>
      </c>
      <c r="R53" s="32">
        <f t="shared" si="17"/>
        <v>139433.96937332163</v>
      </c>
      <c r="S53" s="32">
        <f t="shared" si="17"/>
        <v>134691.19226078413</v>
      </c>
      <c r="T53" s="32">
        <f t="shared" si="17"/>
        <v>134463.63006744481</v>
      </c>
      <c r="U53" s="32">
        <f t="shared" si="17"/>
        <v>137030.29185725891</v>
      </c>
      <c r="V53" s="32">
        <f t="shared" si="17"/>
        <v>140012.89908985488</v>
      </c>
      <c r="W53" s="32">
        <f t="shared" si="17"/>
        <v>146198.3728168635</v>
      </c>
      <c r="X53" s="32">
        <f t="shared" si="17"/>
        <v>173852.091102748</v>
      </c>
      <c r="Y53" s="32">
        <f t="shared" si="17"/>
        <v>188753.54421466892</v>
      </c>
      <c r="Z53" s="32">
        <f t="shared" si="17"/>
        <v>175198.55614098141</v>
      </c>
      <c r="AA53" s="32">
        <f t="shared" si="17"/>
        <v>153215.24873850989</v>
      </c>
      <c r="AB53" s="32">
        <f t="shared" si="17"/>
        <v>125993.46261974645</v>
      </c>
      <c r="AC53" s="32">
        <f t="shared" si="17"/>
        <v>103706.21432848673</v>
      </c>
      <c r="AD53" s="33">
        <f>+SUM(AD49:AD52)</f>
        <v>3057760.8000000077</v>
      </c>
      <c r="AE53" s="2">
        <f>+AD53-C49</f>
        <v>0</v>
      </c>
    </row>
    <row r="54" spans="2:31">
      <c r="B54" s="45">
        <f>+EDATE(B49,1)</f>
        <v>46661</v>
      </c>
      <c r="C54" s="43">
        <f>IFERROR(VLOOKUP(B54,'Prod- 1'!$B$10:$E$69,4,0),0)</f>
        <v>3049842</v>
      </c>
      <c r="D54" s="34" t="s">
        <v>45</v>
      </c>
      <c r="E54" s="34">
        <f>+Basis!D178</f>
        <v>22</v>
      </c>
      <c r="F54" s="28">
        <f>+(Basis!E178/(EOMONTH($B54,0)-$B54+1)*$C54)</f>
        <v>2888.6191984558504</v>
      </c>
      <c r="G54" s="28">
        <f>+(Basis!F178/(EOMONTH($B54,0)-$B54+1)*$C54)</f>
        <v>2724.4642279054237</v>
      </c>
      <c r="H54" s="28">
        <f>+(Basis!G178/(EOMONTH($B54,0)-$B54+1)*$C54)</f>
        <v>2635.1777486281799</v>
      </c>
      <c r="I54" s="28">
        <f>+(Basis!H178/(EOMONTH($B54,0)-$B54+1)*$C54)</f>
        <v>2635.3575880950439</v>
      </c>
      <c r="J54" s="28">
        <f>+(Basis!I178/(EOMONTH($B54,0)-$B54+1)*$C54)</f>
        <v>2866.4358335139341</v>
      </c>
      <c r="K54" s="28">
        <f>+(Basis!J178/(EOMONTH($B54,0)-$B54+1)*$C54)</f>
        <v>3398.1579475114004</v>
      </c>
      <c r="L54" s="28">
        <f>+(Basis!K178/(EOMONTH($B54,0)-$B54+1)*$C54)</f>
        <v>3816.1428661943014</v>
      </c>
      <c r="M54" s="28">
        <f>+(Basis!L178/(EOMONTH($B54,0)-$B54+1)*$C54)</f>
        <v>3893.8275700649815</v>
      </c>
      <c r="N54" s="28">
        <f>+(Basis!M178/(EOMONTH($B54,0)-$B54+1)*$C54)</f>
        <v>4029.4845302543977</v>
      </c>
      <c r="O54" s="28">
        <f>+(Basis!N178/(EOMONTH($B54,0)-$B54+1)*$C54)</f>
        <v>4148.4659278537929</v>
      </c>
      <c r="P54" s="28">
        <f>+(Basis!O178/(EOMONTH($B54,0)-$B54+1)*$C54)</f>
        <v>4343.6021873109949</v>
      </c>
      <c r="Q54" s="28">
        <f>+(Basis!P178/(EOMONTH($B54,0)-$B54+1)*$C54)</f>
        <v>4554.5766336041634</v>
      </c>
      <c r="R54" s="28">
        <f>+(Basis!Q178/(EOMONTH($B54,0)-$B54+1)*$C54)</f>
        <v>4469.6788206133024</v>
      </c>
      <c r="S54" s="28">
        <f>+(Basis!R178/(EOMONTH($B54,0)-$B54+1)*$C54)</f>
        <v>4316.9754496161959</v>
      </c>
      <c r="T54" s="28">
        <f>+(Basis!S178/(EOMONTH($B54,0)-$B54+1)*$C54)</f>
        <v>4340.4669187453583</v>
      </c>
      <c r="U54" s="28">
        <f>+(Basis!T178/(EOMONTH($B54,0)-$B54+1)*$C54)</f>
        <v>4445.7283814988123</v>
      </c>
      <c r="V54" s="28">
        <f>+(Basis!U178/(EOMONTH($B54,0)-$B54+1)*$C54)</f>
        <v>4549.4813430660643</v>
      </c>
      <c r="W54" s="28">
        <f>+(Basis!V178/(EOMONTH($B54,0)-$B54+1)*$C54)</f>
        <v>4746.6598636534563</v>
      </c>
      <c r="X54" s="28">
        <f>+(Basis!W178/(EOMONTH($B54,0)-$B54+1)*$C54)</f>
        <v>5617.3057723484362</v>
      </c>
      <c r="Y54" s="28">
        <f>+(Basis!X178/(EOMONTH($B54,0)-$B54+1)*$C54)</f>
        <v>6074.0985847776465</v>
      </c>
      <c r="Z54" s="28">
        <f>+(Basis!Y178/(EOMONTH($B54,0)-$B54+1)*$C54)</f>
        <v>5630.5869674278492</v>
      </c>
      <c r="AA54" s="28">
        <f>+(Basis!Z178/(EOMONTH($B54,0)-$B54+1)*$C54)</f>
        <v>4931.8164085441131</v>
      </c>
      <c r="AB54" s="28">
        <f>+(Basis!AA178/(EOMONTH($B54,0)-$B54+1)*$C54)</f>
        <v>4034.6938522289179</v>
      </c>
      <c r="AC54" s="28">
        <f>+(Basis!AB178/(EOMONTH($B54,0)-$B54+1)*$C54)</f>
        <v>3290.1953780873982</v>
      </c>
      <c r="AD54" s="29">
        <f>+SUM(F54:AC54)*E54</f>
        <v>2164404.0000000005</v>
      </c>
    </row>
    <row r="55" spans="2:31">
      <c r="B55" s="46">
        <f>+B54</f>
        <v>46661</v>
      </c>
      <c r="C55" s="44">
        <f>IFERROR(VLOOKUP(B55,'Prod- 1'!$B$10:$E$69,4,0),0)</f>
        <v>3049842</v>
      </c>
      <c r="D55" s="35" t="s">
        <v>46</v>
      </c>
      <c r="E55" s="35">
        <f>+Basis!D179</f>
        <v>4</v>
      </c>
      <c r="F55" s="28">
        <f>+(Basis!E179/(EOMONTH($B55,0)-$B55+1)*$C55)</f>
        <v>3016.3402928646556</v>
      </c>
      <c r="G55" s="28">
        <f>+(Basis!F179/(EOMONTH($B55,0)-$B55+1)*$C55)</f>
        <v>2813.7253122409861</v>
      </c>
      <c r="H55" s="28">
        <f>+(Basis!G179/(EOMONTH($B55,0)-$B55+1)*$C55)</f>
        <v>2723.593374329022</v>
      </c>
      <c r="I55" s="28">
        <f>+(Basis!H179/(EOMONTH($B55,0)-$B55+1)*$C55)</f>
        <v>2709.224050099152</v>
      </c>
      <c r="J55" s="28">
        <f>+(Basis!I179/(EOMONTH($B55,0)-$B55+1)*$C55)</f>
        <v>2831.6838276702833</v>
      </c>
      <c r="K55" s="28">
        <f>+(Basis!J179/(EOMONTH($B55,0)-$B55+1)*$C55)</f>
        <v>3171.991672503631</v>
      </c>
      <c r="L55" s="28">
        <f>+(Basis!K179/(EOMONTH($B55,0)-$B55+1)*$C55)</f>
        <v>3586.3317677913947</v>
      </c>
      <c r="M55" s="28">
        <f>+(Basis!L179/(EOMONTH($B55,0)-$B55+1)*$C55)</f>
        <v>3838.1414679650607</v>
      </c>
      <c r="N55" s="28">
        <f>+(Basis!M179/(EOMONTH($B55,0)-$B55+1)*$C55)</f>
        <v>4087.6941410761569</v>
      </c>
      <c r="O55" s="28">
        <f>+(Basis!N179/(EOMONTH($B55,0)-$B55+1)*$C55)</f>
        <v>4234.6088830591152</v>
      </c>
      <c r="P55" s="28">
        <f>+(Basis!O179/(EOMONTH($B55,0)-$B55+1)*$C55)</f>
        <v>4424.6019224718393</v>
      </c>
      <c r="Q55" s="28">
        <f>+(Basis!P179/(EOMONTH($B55,0)-$B55+1)*$C55)</f>
        <v>4605.066791893184</v>
      </c>
      <c r="R55" s="28">
        <f>+(Basis!Q179/(EOMONTH($B55,0)-$B55+1)*$C55)</f>
        <v>4563.2899909638927</v>
      </c>
      <c r="S55" s="28">
        <f>+(Basis!R179/(EOMONTH($B55,0)-$B55+1)*$C55)</f>
        <v>4402.7573031839502</v>
      </c>
      <c r="T55" s="28">
        <f>+(Basis!S179/(EOMONTH($B55,0)-$B55+1)*$C55)</f>
        <v>4330.0945963828408</v>
      </c>
      <c r="U55" s="28">
        <f>+(Basis!T179/(EOMONTH($B55,0)-$B55+1)*$C55)</f>
        <v>4357.1972000693268</v>
      </c>
      <c r="V55" s="28">
        <f>+(Basis!U179/(EOMONTH($B55,0)-$B55+1)*$C55)</f>
        <v>4424.5905368183876</v>
      </c>
      <c r="W55" s="28">
        <f>+(Basis!V179/(EOMONTH($B55,0)-$B55+1)*$C55)</f>
        <v>4617.3827503367766</v>
      </c>
      <c r="X55" s="28">
        <f>+(Basis!W179/(EOMONTH($B55,0)-$B55+1)*$C55)</f>
        <v>5530.1099139733706</v>
      </c>
      <c r="Y55" s="28">
        <f>+(Basis!X179/(EOMONTH($B55,0)-$B55+1)*$C55)</f>
        <v>6021.5349166682372</v>
      </c>
      <c r="Z55" s="28">
        <f>+(Basis!Y179/(EOMONTH($B55,0)-$B55+1)*$C55)</f>
        <v>5609.5883695773227</v>
      </c>
      <c r="AA55" s="28">
        <f>+(Basis!Z179/(EOMONTH($B55,0)-$B55+1)*$C55)</f>
        <v>4908.9344206863043</v>
      </c>
      <c r="AB55" s="28">
        <f>+(Basis!AA179/(EOMONTH($B55,0)-$B55+1)*$C55)</f>
        <v>4094.9410081271781</v>
      </c>
      <c r="AC55" s="28">
        <f>+(Basis!AB179/(EOMONTH($B55,0)-$B55+1)*$C55)</f>
        <v>3478.5754892478717</v>
      </c>
      <c r="AD55" s="30">
        <f>+SUM(F55:AC55)*E55</f>
        <v>393527.99999999983</v>
      </c>
    </row>
    <row r="56" spans="2:31">
      <c r="B56" s="41">
        <f t="shared" ref="B56:B57" si="18">+B55</f>
        <v>46661</v>
      </c>
      <c r="C56" s="39">
        <f>IFERROR(VLOOKUP(B56,'Prod- 1'!$B$10:$E$69,4,0),0)</f>
        <v>3049842</v>
      </c>
      <c r="D56" s="36" t="s">
        <v>47</v>
      </c>
      <c r="E56" s="36">
        <f>+Basis!D180</f>
        <v>4</v>
      </c>
      <c r="F56" s="28">
        <f>+(Basis!E180/(EOMONTH($B56,0)-$B56+1)*$C56)</f>
        <v>3274.301965968571</v>
      </c>
      <c r="G56" s="28">
        <f>+(Basis!F180/(EOMONTH($B56,0)-$B56+1)*$C56)</f>
        <v>3063.6197963835743</v>
      </c>
      <c r="H56" s="28">
        <f>+(Basis!G180/(EOMONTH($B56,0)-$B56+1)*$C56)</f>
        <v>2936.048564723214</v>
      </c>
      <c r="I56" s="28">
        <f>+(Basis!H180/(EOMONTH($B56,0)-$B56+1)*$C56)</f>
        <v>2881.3065484431149</v>
      </c>
      <c r="J56" s="28">
        <f>+(Basis!I180/(EOMONTH($B56,0)-$B56+1)*$C56)</f>
        <v>2866.6575690330046</v>
      </c>
      <c r="K56" s="28">
        <f>+(Basis!J180/(EOMONTH($B56,0)-$B56+1)*$C56)</f>
        <v>3044.2227703133162</v>
      </c>
      <c r="L56" s="28">
        <f>+(Basis!K180/(EOMONTH($B56,0)-$B56+1)*$C56)</f>
        <v>3387.5367229729222</v>
      </c>
      <c r="M56" s="28">
        <f>+(Basis!L180/(EOMONTH($B56,0)-$B56+1)*$C56)</f>
        <v>3768.5524598451425</v>
      </c>
      <c r="N56" s="28">
        <f>+(Basis!M180/(EOMONTH($B56,0)-$B56+1)*$C56)</f>
        <v>4043.8731408692734</v>
      </c>
      <c r="O56" s="28">
        <f>+(Basis!N180/(EOMONTH($B56,0)-$B56+1)*$C56)</f>
        <v>4191.9039615985703</v>
      </c>
      <c r="P56" s="28">
        <f>+(Basis!O180/(EOMONTH($B56,0)-$B56+1)*$C56)</f>
        <v>4320.4142296500495</v>
      </c>
      <c r="Q56" s="28">
        <f>+(Basis!P180/(EOMONTH($B56,0)-$B56+1)*$C56)</f>
        <v>4498.9957914652032</v>
      </c>
      <c r="R56" s="28">
        <f>+(Basis!Q180/(EOMONTH($B56,0)-$B56+1)*$C56)</f>
        <v>4500.1390507083624</v>
      </c>
      <c r="S56" s="28">
        <f>+(Basis!R180/(EOMONTH($B56,0)-$B56+1)*$C56)</f>
        <v>4356.0657883116146</v>
      </c>
      <c r="T56" s="28">
        <f>+(Basis!S180/(EOMONTH($B56,0)-$B56+1)*$C56)</f>
        <v>4244.6126245400874</v>
      </c>
      <c r="U56" s="28">
        <f>+(Basis!T180/(EOMONTH($B56,0)-$B56+1)*$C56)</f>
        <v>4257.9303969246157</v>
      </c>
      <c r="V56" s="28">
        <f>+(Basis!U180/(EOMONTH($B56,0)-$B56+1)*$C56)</f>
        <v>4339.6255442963738</v>
      </c>
      <c r="W56" s="28">
        <f>+(Basis!V180/(EOMONTH($B56,0)-$B56+1)*$C56)</f>
        <v>4554.961540767963</v>
      </c>
      <c r="X56" s="28">
        <f>+(Basis!W180/(EOMONTH($B56,0)-$B56+1)*$C56)</f>
        <v>5526.7711683776761</v>
      </c>
      <c r="Y56" s="28">
        <f>+(Basis!X180/(EOMONTH($B56,0)-$B56+1)*$C56)</f>
        <v>6118.839467318644</v>
      </c>
      <c r="Z56" s="28">
        <f>+(Basis!Y180/(EOMONTH($B56,0)-$B56+1)*$C56)</f>
        <v>5699.1601832886417</v>
      </c>
      <c r="AA56" s="28">
        <f>+(Basis!Z180/(EOMONTH($B56,0)-$B56+1)*$C56)</f>
        <v>4938.2837243052763</v>
      </c>
      <c r="AB56" s="28">
        <f>+(Basis!AA180/(EOMONTH($B56,0)-$B56+1)*$C56)</f>
        <v>4117.5909984682448</v>
      </c>
      <c r="AC56" s="28">
        <f>+(Basis!AB180/(EOMONTH($B56,0)-$B56+1)*$C56)</f>
        <v>3450.5859914265316</v>
      </c>
      <c r="AD56" s="30">
        <f>+SUM(F56:AC56)*E56</f>
        <v>393527.99999999994</v>
      </c>
    </row>
    <row r="57" spans="2:31">
      <c r="B57" s="46">
        <f t="shared" si="18"/>
        <v>46661</v>
      </c>
      <c r="C57" s="44">
        <f>IFERROR(VLOOKUP(B57,'Prod- 1'!$B$10:$E$69,4,0),0)</f>
        <v>3049842</v>
      </c>
      <c r="D57" s="37" t="s">
        <v>48</v>
      </c>
      <c r="E57" s="37">
        <f>+Basis!D181</f>
        <v>1</v>
      </c>
      <c r="F57" s="28">
        <f>+(Basis!E181/(EOMONTH($B57,0)-$B57+1)*$C57)</f>
        <v>3313.0171574915003</v>
      </c>
      <c r="G57" s="28">
        <f>+(Basis!F181/(EOMONTH($B57,0)-$B57+1)*$C57)</f>
        <v>3074.0137230192904</v>
      </c>
      <c r="H57" s="28">
        <f>+(Basis!G181/(EOMONTH($B57,0)-$B57+1)*$C57)</f>
        <v>2937.8583149604283</v>
      </c>
      <c r="I57" s="28">
        <f>+(Basis!H181/(EOMONTH($B57,0)-$B57+1)*$C57)</f>
        <v>2876.19967573234</v>
      </c>
      <c r="J57" s="28">
        <f>+(Basis!I181/(EOMONTH($B57,0)-$B57+1)*$C57)</f>
        <v>2969.7963504160984</v>
      </c>
      <c r="K57" s="28">
        <f>+(Basis!J181/(EOMONTH($B57,0)-$B57+1)*$C57)</f>
        <v>3258.7741531427155</v>
      </c>
      <c r="L57" s="28">
        <f>+(Basis!K181/(EOMONTH($B57,0)-$B57+1)*$C57)</f>
        <v>3498.8211271535811</v>
      </c>
      <c r="M57" s="28">
        <f>+(Basis!L181/(EOMONTH($B57,0)-$B57+1)*$C57)</f>
        <v>3677.0702454729985</v>
      </c>
      <c r="N57" s="28">
        <f>+(Basis!M181/(EOMONTH($B57,0)-$B57+1)*$C57)</f>
        <v>3891.7849138810247</v>
      </c>
      <c r="O57" s="28">
        <f>+(Basis!N181/(EOMONTH($B57,0)-$B57+1)*$C57)</f>
        <v>4066.1283051874716</v>
      </c>
      <c r="P57" s="28">
        <f>+(Basis!O181/(EOMONTH($B57,0)-$B57+1)*$C57)</f>
        <v>4257.3300346194546</v>
      </c>
      <c r="Q57" s="28">
        <f>+(Basis!P181/(EOMONTH($B57,0)-$B57+1)*$C57)</f>
        <v>4454.5812269601074</v>
      </c>
      <c r="R57" s="28">
        <f>+(Basis!Q181/(EOMONTH($B57,0)-$B57+1)*$C57)</f>
        <v>4502.4708818288755</v>
      </c>
      <c r="S57" s="28">
        <f>+(Basis!R181/(EOMONTH($B57,0)-$B57+1)*$C57)</f>
        <v>4349.890057221337</v>
      </c>
      <c r="T57" s="28">
        <f>+(Basis!S181/(EOMONTH($B57,0)-$B57+1)*$C57)</f>
        <v>4254.5718477425298</v>
      </c>
      <c r="U57" s="28">
        <f>+(Basis!T181/(EOMONTH($B57,0)-$B57+1)*$C57)</f>
        <v>4285.0279121172589</v>
      </c>
      <c r="V57" s="28">
        <f>+(Basis!U181/(EOMONTH($B57,0)-$B57+1)*$C57)</f>
        <v>4371.654360757173</v>
      </c>
      <c r="W57" s="28">
        <f>+(Basis!V181/(EOMONTH($B57,0)-$B57+1)*$C57)</f>
        <v>4640.8945090783827</v>
      </c>
      <c r="X57" s="28">
        <f>+(Basis!W181/(EOMONTH($B57,0)-$B57+1)*$C57)</f>
        <v>5597.9103419833373</v>
      </c>
      <c r="Y57" s="28">
        <f>+(Basis!X181/(EOMONTH($B57,0)-$B57+1)*$C57)</f>
        <v>6098.3793336173276</v>
      </c>
      <c r="Z57" s="28">
        <f>+(Basis!Y181/(EOMONTH($B57,0)-$B57+1)*$C57)</f>
        <v>5628.3063657022203</v>
      </c>
      <c r="AA57" s="28">
        <f>+(Basis!Z181/(EOMONTH($B57,0)-$B57+1)*$C57)</f>
        <v>4854.1246610410044</v>
      </c>
      <c r="AB57" s="28">
        <f>+(Basis!AA181/(EOMONTH($B57,0)-$B57+1)*$C57)</f>
        <v>4069.959497939888</v>
      </c>
      <c r="AC57" s="28">
        <f>+(Basis!AB181/(EOMONTH($B57,0)-$B57+1)*$C57)</f>
        <v>3453.4350029336392</v>
      </c>
      <c r="AD57" s="31">
        <f>+SUM(F57:AC57)*E57</f>
        <v>98381.999999999971</v>
      </c>
    </row>
    <row r="58" spans="2:31" ht="15" thickBot="1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92025.208558853119</v>
      </c>
      <c r="G58" s="32">
        <f t="shared" si="19"/>
        <v>86521.607171436859</v>
      </c>
      <c r="H58" s="32">
        <f t="shared" si="19"/>
        <v>83550.336540989316</v>
      </c>
      <c r="I58" s="32">
        <f t="shared" si="19"/>
        <v>83216.189007992361</v>
      </c>
      <c r="J58" s="32">
        <f t="shared" si="19"/>
        <v>88824.750274535807</v>
      </c>
      <c r="K58" s="32">
        <f t="shared" si="19"/>
        <v>102883.10676966132</v>
      </c>
      <c r="L58" s="32">
        <f t="shared" si="19"/>
        <v>115349.43814648548</v>
      </c>
      <c r="M58" s="32">
        <f t="shared" si="19"/>
        <v>119768.05249814341</v>
      </c>
      <c r="N58" s="32">
        <f t="shared" si="19"/>
        <v>125066.71370725949</v>
      </c>
      <c r="O58" s="32">
        <f t="shared" si="19"/>
        <v>129038.43009660166</v>
      </c>
      <c r="P58" s="32">
        <f t="shared" si="19"/>
        <v>134796.64276394891</v>
      </c>
      <c r="Q58" s="32">
        <f t="shared" si="19"/>
        <v>141071.51749968526</v>
      </c>
      <c r="R58" s="32">
        <f t="shared" si="19"/>
        <v>139089.12110201054</v>
      </c>
      <c r="S58" s="32">
        <f t="shared" si="19"/>
        <v>134358.6423147599</v>
      </c>
      <c r="T58" s="32">
        <f t="shared" si="19"/>
        <v>134043.67294383215</v>
      </c>
      <c r="U58" s="32">
        <f t="shared" si="19"/>
        <v>136551.5626930669</v>
      </c>
      <c r="V58" s="32">
        <f t="shared" si="19"/>
        <v>139517.10823266965</v>
      </c>
      <c r="W58" s="32">
        <f t="shared" si="19"/>
        <v>145756.78867387338</v>
      </c>
      <c r="X58" s="32">
        <f t="shared" si="19"/>
        <v>173406.16166305312</v>
      </c>
      <c r="Y58" s="32">
        <f t="shared" si="19"/>
        <v>188290.04573467307</v>
      </c>
      <c r="Z58" s="32">
        <f t="shared" si="19"/>
        <v>174736.21386057878</v>
      </c>
      <c r="AA58" s="32">
        <f t="shared" si="19"/>
        <v>152742.95822897783</v>
      </c>
      <c r="AB58" s="32">
        <f t="shared" si="19"/>
        <v>125683.35227335777</v>
      </c>
      <c r="AC58" s="32">
        <f t="shared" si="19"/>
        <v>103554.37924355401</v>
      </c>
      <c r="AD58" s="33">
        <f>+SUM(AD54:AD57)</f>
        <v>3049842.0000000005</v>
      </c>
      <c r="AE58" s="2">
        <f>+AD58-C54</f>
        <v>0</v>
      </c>
    </row>
    <row r="59" spans="2:31">
      <c r="B59" s="45">
        <f>+EDATE(B54,1)</f>
        <v>46692</v>
      </c>
      <c r="C59" s="43">
        <f>IFERROR(VLOOKUP(B59,'Prod- 1'!$B$10:$E$69,4,0),0)</f>
        <v>3057638.4000000344</v>
      </c>
      <c r="D59" s="34" t="s">
        <v>45</v>
      </c>
      <c r="E59" s="34">
        <f>+Basis!D183</f>
        <v>18</v>
      </c>
      <c r="F59" s="28">
        <f>+(Basis!E183/(EOMONTH($B59,0)-$B59+1)*$C59)</f>
        <v>2992.536908572682</v>
      </c>
      <c r="G59" s="28">
        <f>+(Basis!F183/(EOMONTH($B59,0)-$B59+1)*$C59)</f>
        <v>2822.4764837301095</v>
      </c>
      <c r="H59" s="28">
        <f>+(Basis!G183/(EOMONTH($B59,0)-$B59+1)*$C59)</f>
        <v>2729.9779346598498</v>
      </c>
      <c r="I59" s="28">
        <f>+(Basis!H183/(EOMONTH($B59,0)-$B59+1)*$C59)</f>
        <v>2730.1642438287759</v>
      </c>
      <c r="J59" s="28">
        <f>+(Basis!I183/(EOMONTH($B59,0)-$B59+1)*$C59)</f>
        <v>2969.5554998842304</v>
      </c>
      <c r="K59" s="28">
        <f>+(Basis!J183/(EOMONTH($B59,0)-$B59+1)*$C59)</f>
        <v>3520.4062496446363</v>
      </c>
      <c r="L59" s="28">
        <f>+(Basis!K183/(EOMONTH($B59,0)-$B59+1)*$C59)</f>
        <v>3953.4281228821969</v>
      </c>
      <c r="M59" s="28">
        <f>+(Basis!L183/(EOMONTH($B59,0)-$B59+1)*$C59)</f>
        <v>4033.9075241438177</v>
      </c>
      <c r="N59" s="28">
        <f>+(Basis!M183/(EOMONTH($B59,0)-$B59+1)*$C59)</f>
        <v>4174.4447263089951</v>
      </c>
      <c r="O59" s="28">
        <f>+(Basis!N183/(EOMONTH($B59,0)-$B59+1)*$C59)</f>
        <v>4297.7064646302269</v>
      </c>
      <c r="P59" s="28">
        <f>+(Basis!O183/(EOMONTH($B59,0)-$B59+1)*$C59)</f>
        <v>4499.8627263273902</v>
      </c>
      <c r="Q59" s="28">
        <f>+(Basis!P183/(EOMONTH($B59,0)-$B59+1)*$C59)</f>
        <v>4718.4269516276609</v>
      </c>
      <c r="R59" s="28">
        <f>+(Basis!Q183/(EOMONTH($B59,0)-$B59+1)*$C59)</f>
        <v>4630.4749505580621</v>
      </c>
      <c r="S59" s="28">
        <f>+(Basis!R183/(EOMONTH($B59,0)-$B59+1)*$C59)</f>
        <v>4472.2780951135692</v>
      </c>
      <c r="T59" s="28">
        <f>+(Basis!S183/(EOMONTH($B59,0)-$B59+1)*$C59)</f>
        <v>4496.6146668718648</v>
      </c>
      <c r="U59" s="28">
        <f>+(Basis!T183/(EOMONTH($B59,0)-$B59+1)*$C59)</f>
        <v>4605.662897427298</v>
      </c>
      <c r="V59" s="28">
        <f>+(Basis!U183/(EOMONTH($B59,0)-$B59+1)*$C59)</f>
        <v>4713.1483586572504</v>
      </c>
      <c r="W59" s="28">
        <f>+(Basis!V183/(EOMONTH($B59,0)-$B59+1)*$C59)</f>
        <v>4917.4203515703193</v>
      </c>
      <c r="X59" s="28">
        <f>+(Basis!W183/(EOMONTH($B59,0)-$B59+1)*$C59)</f>
        <v>5819.3876366525146</v>
      </c>
      <c r="Y59" s="28">
        <f>+(Basis!X183/(EOMONTH($B59,0)-$B59+1)*$C59)</f>
        <v>6292.6135127028656</v>
      </c>
      <c r="Z59" s="28">
        <f>+(Basis!Y183/(EOMONTH($B59,0)-$B59+1)*$C59)</f>
        <v>5833.1466210442068</v>
      </c>
      <c r="AA59" s="28">
        <f>+(Basis!Z183/(EOMONTH($B59,0)-$B59+1)*$C59)</f>
        <v>5109.2378797323145</v>
      </c>
      <c r="AB59" s="28">
        <f>+(Basis!AA183/(EOMONTH($B59,0)-$B59+1)*$C59)</f>
        <v>4179.8414529823222</v>
      </c>
      <c r="AC59" s="28">
        <f>+(Basis!AB183/(EOMONTH($B59,0)-$B59+1)*$C59)</f>
        <v>3408.5597404480022</v>
      </c>
      <c r="AD59" s="29">
        <f>+SUM(F59:AC59)*E59</f>
        <v>1834583.0400000208</v>
      </c>
    </row>
    <row r="60" spans="2:31">
      <c r="B60" s="46">
        <f>+B59</f>
        <v>46692</v>
      </c>
      <c r="C60" s="44">
        <f>IFERROR(VLOOKUP(B60,'Prod- 1'!$B$10:$E$69,4,0),0)</f>
        <v>3057638.4000000344</v>
      </c>
      <c r="D60" s="35" t="s">
        <v>46</v>
      </c>
      <c r="E60" s="35">
        <f>+Basis!D184</f>
        <v>5</v>
      </c>
      <c r="F60" s="28">
        <f>+(Basis!E184/(EOMONTH($B60,0)-$B60+1)*$C60)</f>
        <v>3124.852753190055</v>
      </c>
      <c r="G60" s="28">
        <f>+(Basis!F184/(EOMONTH($B60,0)-$B60+1)*$C60)</f>
        <v>2914.9487242788741</v>
      </c>
      <c r="H60" s="28">
        <f>+(Basis!G184/(EOMONTH($B60,0)-$B60+1)*$C60)</f>
        <v>2821.5743013065012</v>
      </c>
      <c r="I60" s="28">
        <f>+(Basis!H184/(EOMONTH($B60,0)-$B60+1)*$C60)</f>
        <v>2806.6880424558635</v>
      </c>
      <c r="J60" s="28">
        <f>+(Basis!I184/(EOMONTH($B60,0)-$B60+1)*$C60)</f>
        <v>2933.5532950281345</v>
      </c>
      <c r="K60" s="28">
        <f>+(Basis!J184/(EOMONTH($B60,0)-$B60+1)*$C60)</f>
        <v>3286.1036715142459</v>
      </c>
      <c r="L60" s="28">
        <f>+(Basis!K184/(EOMONTH($B60,0)-$B60+1)*$C60)</f>
        <v>3715.3495992962717</v>
      </c>
      <c r="M60" s="28">
        <f>+(Basis!L184/(EOMONTH($B60,0)-$B60+1)*$C60)</f>
        <v>3976.2181215677906</v>
      </c>
      <c r="N60" s="28">
        <f>+(Basis!M184/(EOMONTH($B60,0)-$B60+1)*$C60)</f>
        <v>4234.7484205137853</v>
      </c>
      <c r="O60" s="28">
        <f>+(Basis!N184/(EOMONTH($B60,0)-$B60+1)*$C60)</f>
        <v>4386.9484017478826</v>
      </c>
      <c r="P60" s="28">
        <f>+(Basis!O184/(EOMONTH($B60,0)-$B60+1)*$C60)</f>
        <v>4583.7764167103305</v>
      </c>
      <c r="Q60" s="28">
        <f>+(Basis!P184/(EOMONTH($B60,0)-$B60+1)*$C60)</f>
        <v>4770.7334869717242</v>
      </c>
      <c r="R60" s="28">
        <f>+(Basis!Q184/(EOMONTH($B60,0)-$B60+1)*$C60)</f>
        <v>4727.4537709157521</v>
      </c>
      <c r="S60" s="28">
        <f>+(Basis!R184/(EOMONTH($B60,0)-$B60+1)*$C60)</f>
        <v>4561.145940007942</v>
      </c>
      <c r="T60" s="28">
        <f>+(Basis!S184/(EOMONTH($B60,0)-$B60+1)*$C60)</f>
        <v>4485.8692015249489</v>
      </c>
      <c r="U60" s="28">
        <f>+(Basis!T184/(EOMONTH($B60,0)-$B60+1)*$C60)</f>
        <v>4513.9468179492878</v>
      </c>
      <c r="V60" s="28">
        <f>+(Basis!U184/(EOMONTH($B60,0)-$B60+1)*$C60)</f>
        <v>4583.7646214594361</v>
      </c>
      <c r="W60" s="28">
        <f>+(Basis!V184/(EOMONTH($B60,0)-$B60+1)*$C60)</f>
        <v>4783.4925104617714</v>
      </c>
      <c r="X60" s="28">
        <f>+(Basis!W184/(EOMONTH($B60,0)-$B60+1)*$C60)</f>
        <v>5729.0549183068251</v>
      </c>
      <c r="Y60" s="28">
        <f>+(Basis!X184/(EOMONTH($B60,0)-$B60+1)*$C60)</f>
        <v>6238.1588732850214</v>
      </c>
      <c r="Z60" s="28">
        <f>+(Basis!Y184/(EOMONTH($B60,0)-$B60+1)*$C60)</f>
        <v>5811.3926012933289</v>
      </c>
      <c r="AA60" s="28">
        <f>+(Basis!Z184/(EOMONTH($B60,0)-$B60+1)*$C60)</f>
        <v>5085.5327152569798</v>
      </c>
      <c r="AB60" s="28">
        <f>+(Basis!AA184/(EOMONTH($B60,0)-$B60+1)*$C60)</f>
        <v>4242.255992689893</v>
      </c>
      <c r="AC60" s="28">
        <f>+(Basis!AB184/(EOMONTH($B60,0)-$B60+1)*$C60)</f>
        <v>3603.7168022684359</v>
      </c>
      <c r="AD60" s="30">
        <f>+SUM(F60:AC60)*E60</f>
        <v>509606.40000000538</v>
      </c>
    </row>
    <row r="61" spans="2:31">
      <c r="B61" s="41">
        <f t="shared" ref="B61:B62" si="20">+B60</f>
        <v>46692</v>
      </c>
      <c r="C61" s="39">
        <f>IFERROR(VLOOKUP(B61,'Prod- 1'!$B$10:$E$69,4,0),0)</f>
        <v>3057638.4000000344</v>
      </c>
      <c r="D61" s="36" t="s">
        <v>47</v>
      </c>
      <c r="E61" s="36">
        <f>+Basis!D185</f>
        <v>5</v>
      </c>
      <c r="F61" s="28">
        <f>+(Basis!E185/(EOMONTH($B61,0)-$B61+1)*$C61)</f>
        <v>3392.0945648394722</v>
      </c>
      <c r="G61" s="28">
        <f>+(Basis!F185/(EOMONTH($B61,0)-$B61+1)*$C61)</f>
        <v>3173.8331308649626</v>
      </c>
      <c r="H61" s="28">
        <f>+(Basis!G185/(EOMONTH($B61,0)-$B61+1)*$C61)</f>
        <v>3041.6725402894449</v>
      </c>
      <c r="I61" s="28">
        <f>+(Basis!H185/(EOMONTH($B61,0)-$B61+1)*$C61)</f>
        <v>2984.9611869011364</v>
      </c>
      <c r="J61" s="28">
        <f>+(Basis!I185/(EOMONTH($B61,0)-$B61+1)*$C61)</f>
        <v>2969.7852123105395</v>
      </c>
      <c r="K61" s="28">
        <f>+(Basis!J185/(EOMONTH($B61,0)-$B61+1)*$C61)</f>
        <v>3153.7382992364728</v>
      </c>
      <c r="L61" s="28">
        <f>+(Basis!K185/(EOMONTH($B61,0)-$B61+1)*$C61)</f>
        <v>3509.4029278974763</v>
      </c>
      <c r="M61" s="28">
        <f>+(Basis!L185/(EOMONTH($B61,0)-$B61+1)*$C61)</f>
        <v>3904.1256576870751</v>
      </c>
      <c r="N61" s="28">
        <f>+(Basis!M185/(EOMONTH($B61,0)-$B61+1)*$C61)</f>
        <v>4189.3509653698975</v>
      </c>
      <c r="O61" s="28">
        <f>+(Basis!N185/(EOMONTH($B61,0)-$B61+1)*$C61)</f>
        <v>4342.7071761419966</v>
      </c>
      <c r="P61" s="28">
        <f>+(Basis!O185/(EOMONTH($B61,0)-$B61+1)*$C61)</f>
        <v>4475.8405848239709</v>
      </c>
      <c r="Q61" s="28">
        <f>+(Basis!P185/(EOMONTH($B61,0)-$B61+1)*$C61)</f>
        <v>4660.8465957263697</v>
      </c>
      <c r="R61" s="28">
        <f>+(Basis!Q185/(EOMONTH($B61,0)-$B61+1)*$C61)</f>
        <v>4662.0309835761254</v>
      </c>
      <c r="S61" s="28">
        <f>+(Basis!R185/(EOMONTH($B61,0)-$B61+1)*$C61)</f>
        <v>4512.7747037967702</v>
      </c>
      <c r="T61" s="28">
        <f>+(Basis!S185/(EOMONTH($B61,0)-$B61+1)*$C61)</f>
        <v>4397.312026562684</v>
      </c>
      <c r="U61" s="28">
        <f>+(Basis!T185/(EOMONTH($B61,0)-$B61+1)*$C61)</f>
        <v>4411.1089041234145</v>
      </c>
      <c r="V61" s="28">
        <f>+(Basis!U185/(EOMONTH($B61,0)-$B61+1)*$C61)</f>
        <v>4495.7430240835529</v>
      </c>
      <c r="W61" s="28">
        <f>+(Basis!V185/(EOMONTH($B61,0)-$B61+1)*$C61)</f>
        <v>4718.8257057779701</v>
      </c>
      <c r="X61" s="28">
        <f>+(Basis!W185/(EOMONTH($B61,0)-$B61+1)*$C61)</f>
        <v>5725.5960617608362</v>
      </c>
      <c r="Y61" s="28">
        <f>+(Basis!X185/(EOMONTH($B61,0)-$B61+1)*$C61)</f>
        <v>6338.9639428314258</v>
      </c>
      <c r="Z61" s="28">
        <f>+(Basis!Y185/(EOMONTH($B61,0)-$B61+1)*$C61)</f>
        <v>5904.1867496678205</v>
      </c>
      <c r="AA61" s="28">
        <f>+(Basis!Z185/(EOMONTH($B61,0)-$B61+1)*$C61)</f>
        <v>5115.9378563595628</v>
      </c>
      <c r="AB61" s="28">
        <f>+(Basis!AA185/(EOMONTH($B61,0)-$B61+1)*$C61)</f>
        <v>4265.7208135671799</v>
      </c>
      <c r="AC61" s="28">
        <f>+(Basis!AB185/(EOMONTH($B61,0)-$B61+1)*$C61)</f>
        <v>3574.7203858049752</v>
      </c>
      <c r="AD61" s="30">
        <f>+SUM(F61:AC61)*E61</f>
        <v>509606.40000000573</v>
      </c>
    </row>
    <row r="62" spans="2:31">
      <c r="B62" s="46">
        <f t="shared" si="20"/>
        <v>46692</v>
      </c>
      <c r="C62" s="44">
        <f>IFERROR(VLOOKUP(B62,'Prod- 1'!$B$10:$E$69,4,0),0)</f>
        <v>3057638.4000000344</v>
      </c>
      <c r="D62" s="37" t="s">
        <v>48</v>
      </c>
      <c r="E62" s="37">
        <f>+Basis!D186</f>
        <v>2</v>
      </c>
      <c r="F62" s="28">
        <f>+(Basis!E186/(EOMONTH($B62,0)-$B62+1)*$C62)</f>
        <v>3432.2025304781268</v>
      </c>
      <c r="G62" s="28">
        <f>+(Basis!F186/(EOMONTH($B62,0)-$B62+1)*$C62)</f>
        <v>3184.6009776960736</v>
      </c>
      <c r="H62" s="28">
        <f>+(Basis!G186/(EOMONTH($B62,0)-$B62+1)*$C62)</f>
        <v>3043.5473960624236</v>
      </c>
      <c r="I62" s="28">
        <f>+(Basis!H186/(EOMONTH($B62,0)-$B62+1)*$C62)</f>
        <v>2979.6705950908536</v>
      </c>
      <c r="J62" s="28">
        <f>+(Basis!I186/(EOMONTH($B62,0)-$B62+1)*$C62)</f>
        <v>3076.6343983019319</v>
      </c>
      <c r="K62" s="28">
        <f>+(Basis!J186/(EOMONTH($B62,0)-$B62+1)*$C62)</f>
        <v>3376.0081409122122</v>
      </c>
      <c r="L62" s="28">
        <f>+(Basis!K186/(EOMONTH($B62,0)-$B62+1)*$C62)</f>
        <v>3624.6907744357682</v>
      </c>
      <c r="M62" s="28">
        <f>+(Basis!L186/(EOMONTH($B62,0)-$B62+1)*$C62)</f>
        <v>3809.3523822297411</v>
      </c>
      <c r="N62" s="28">
        <f>+(Basis!M186/(EOMONTH($B62,0)-$B62+1)*$C62)</f>
        <v>4031.791383662136</v>
      </c>
      <c r="O62" s="28">
        <f>+(Basis!N186/(EOMONTH($B62,0)-$B62+1)*$C62)</f>
        <v>4212.406756408107</v>
      </c>
      <c r="P62" s="28">
        <f>+(Basis!O186/(EOMONTH($B62,0)-$B62+1)*$C62)</f>
        <v>4410.4869438602991</v>
      </c>
      <c r="Q62" s="28">
        <f>+(Basis!P186/(EOMONTH($B62,0)-$B62+1)*$C62)</f>
        <v>4614.8342228837573</v>
      </c>
      <c r="R62" s="28">
        <f>+(Basis!Q186/(EOMONTH($B62,0)-$B62+1)*$C62)</f>
        <v>4664.4467020261118</v>
      </c>
      <c r="S62" s="28">
        <f>+(Basis!R186/(EOMONTH($B62,0)-$B62+1)*$C62)</f>
        <v>4506.3768015620417</v>
      </c>
      <c r="T62" s="28">
        <f>+(Basis!S186/(EOMONTH($B62,0)-$B62+1)*$C62)</f>
        <v>4407.6295315595189</v>
      </c>
      <c r="U62" s="28">
        <f>+(Basis!T186/(EOMONTH($B62,0)-$B62+1)*$C62)</f>
        <v>4439.1812489959902</v>
      </c>
      <c r="V62" s="28">
        <f>+(Basis!U186/(EOMONTH($B62,0)-$B62+1)*$C62)</f>
        <v>4528.9240731633618</v>
      </c>
      <c r="W62" s="28">
        <f>+(Basis!V186/(EOMONTH($B62,0)-$B62+1)*$C62)</f>
        <v>4807.8501017487524</v>
      </c>
      <c r="X62" s="28">
        <f>+(Basis!W186/(EOMONTH($B62,0)-$B62+1)*$C62)</f>
        <v>5799.2944581344746</v>
      </c>
      <c r="Y62" s="28">
        <f>+(Basis!X186/(EOMONTH($B62,0)-$B62+1)*$C62)</f>
        <v>6317.7677584093844</v>
      </c>
      <c r="Z62" s="28">
        <f>+(Basis!Y186/(EOMONTH($B62,0)-$B62+1)*$C62)</f>
        <v>5830.7839749601035</v>
      </c>
      <c r="AA62" s="28">
        <f>+(Basis!Z186/(EOMONTH($B62,0)-$B62+1)*$C62)</f>
        <v>5028.7511814444806</v>
      </c>
      <c r="AB62" s="28">
        <f>+(Basis!AA186/(EOMONTH($B62,0)-$B62+1)*$C62)</f>
        <v>4216.3757758349639</v>
      </c>
      <c r="AC62" s="28">
        <f>+(Basis!AB186/(EOMONTH($B62,0)-$B62+1)*$C62)</f>
        <v>3577.6718901405161</v>
      </c>
      <c r="AD62" s="31">
        <f>+SUM(F62:AC62)*E62</f>
        <v>203842.5600000023</v>
      </c>
    </row>
    <row r="63" spans="2:31" ht="15" thickBot="1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93314.806005412174</v>
      </c>
      <c r="G63" s="32">
        <f t="shared" si="21"/>
        <v>87617.687938253293</v>
      </c>
      <c r="H63" s="32">
        <f t="shared" si="21"/>
        <v>84542.931823981882</v>
      </c>
      <c r="I63" s="32">
        <f t="shared" si="21"/>
        <v>84060.543725884665</v>
      </c>
      <c r="J63" s="32">
        <f t="shared" si="21"/>
        <v>89121.960331213384</v>
      </c>
      <c r="K63" s="32">
        <f t="shared" si="21"/>
        <v>102318.53862918148</v>
      </c>
      <c r="L63" s="32">
        <f t="shared" si="21"/>
        <v>114534.8503967198</v>
      </c>
      <c r="M63" s="32">
        <f t="shared" si="21"/>
        <v>119630.75909532253</v>
      </c>
      <c r="N63" s="32">
        <f t="shared" si="21"/>
        <v>125324.0847703046</v>
      </c>
      <c r="O63" s="32">
        <f t="shared" si="21"/>
        <v>129431.80776560969</v>
      </c>
      <c r="P63" s="32">
        <f t="shared" si="21"/>
        <v>135116.58796928514</v>
      </c>
      <c r="Q63" s="32">
        <f t="shared" si="21"/>
        <v>141319.25398855589</v>
      </c>
      <c r="R63" s="32">
        <f t="shared" si="21"/>
        <v>139624.86628655673</v>
      </c>
      <c r="S63" s="32">
        <f t="shared" si="21"/>
        <v>134883.3625341919</v>
      </c>
      <c r="T63" s="32">
        <f t="shared" si="21"/>
        <v>134170.22920725076</v>
      </c>
      <c r="U63" s="32">
        <f t="shared" si="21"/>
        <v>136405.57326204685</v>
      </c>
      <c r="V63" s="32">
        <f t="shared" si="21"/>
        <v>139292.05682987219</v>
      </c>
      <c r="W63" s="32">
        <f t="shared" si="21"/>
        <v>145640.85761296199</v>
      </c>
      <c r="X63" s="32">
        <f t="shared" si="21"/>
        <v>173620.82127635251</v>
      </c>
      <c r="Y63" s="32">
        <f t="shared" si="21"/>
        <v>188788.19282605263</v>
      </c>
      <c r="Z63" s="32">
        <f t="shared" si="21"/>
        <v>175236.10388352166</v>
      </c>
      <c r="AA63" s="32">
        <f t="shared" si="21"/>
        <v>153031.13705615333</v>
      </c>
      <c r="AB63" s="32">
        <f t="shared" si="21"/>
        <v>126209.78173663709</v>
      </c>
      <c r="AC63" s="32">
        <f t="shared" si="21"/>
        <v>104401.60504871214</v>
      </c>
      <c r="AD63" s="33">
        <f>+SUM(AD59:AD62)</f>
        <v>3057638.4000000339</v>
      </c>
      <c r="AE63" s="2">
        <f>+AD63-C59</f>
        <v>0</v>
      </c>
    </row>
    <row r="64" spans="2:31">
      <c r="B64" s="45">
        <f>+EDATE(B59,1)</f>
        <v>46722</v>
      </c>
      <c r="C64" s="43">
        <f>IFERROR(VLOOKUP(B64,'Prod- 1'!$B$10:$E$69,4,0),0)</f>
        <v>5049847.9200000074</v>
      </c>
      <c r="D64" s="34" t="s">
        <v>45</v>
      </c>
      <c r="E64" s="34">
        <f>+Basis!D188</f>
        <v>21</v>
      </c>
      <c r="F64" s="28">
        <f>+(Basis!E188/(EOMONTH($B64,0)-$B64+1)*$C64)</f>
        <v>4782.8994587242114</v>
      </c>
      <c r="G64" s="28">
        <f>+(Basis!F188/(EOMONTH($B64,0)-$B64+1)*$C64)</f>
        <v>4511.0959893668687</v>
      </c>
      <c r="H64" s="28">
        <f>+(Basis!G188/(EOMONTH($B64,0)-$B64+1)*$C64)</f>
        <v>4363.2577926136228</v>
      </c>
      <c r="I64" s="28">
        <f>+(Basis!H188/(EOMONTH($B64,0)-$B64+1)*$C64)</f>
        <v>4363.555566058174</v>
      </c>
      <c r="J64" s="28">
        <f>+(Basis!I188/(EOMONTH($B64,0)-$B64+1)*$C64)</f>
        <v>4746.1688283143285</v>
      </c>
      <c r="K64" s="28">
        <f>+(Basis!J188/(EOMONTH($B64,0)-$B64+1)*$C64)</f>
        <v>5626.5802763133106</v>
      </c>
      <c r="L64" s="28">
        <f>+(Basis!K188/(EOMONTH($B64,0)-$B64+1)*$C64)</f>
        <v>6318.6686770246324</v>
      </c>
      <c r="M64" s="28">
        <f>+(Basis!L188/(EOMONTH($B64,0)-$B64+1)*$C64)</f>
        <v>6447.2969601478799</v>
      </c>
      <c r="N64" s="28">
        <f>+(Basis!M188/(EOMONTH($B64,0)-$B64+1)*$C64)</f>
        <v>6671.9141758089027</v>
      </c>
      <c r="O64" s="28">
        <f>+(Basis!N188/(EOMONTH($B64,0)-$B64+1)*$C64)</f>
        <v>6868.9204348826524</v>
      </c>
      <c r="P64" s="28">
        <f>+(Basis!O188/(EOMONTH($B64,0)-$B64+1)*$C64)</f>
        <v>7192.021905036363</v>
      </c>
      <c r="Q64" s="28">
        <f>+(Basis!P188/(EOMONTH($B64,0)-$B64+1)*$C64)</f>
        <v>7541.3478270961632</v>
      </c>
      <c r="R64" s="28">
        <f>+(Basis!Q188/(EOMONTH($B64,0)-$B64+1)*$C64)</f>
        <v>7400.7762681942768</v>
      </c>
      <c r="S64" s="28">
        <f>+(Basis!R188/(EOMONTH($B64,0)-$B64+1)*$C64)</f>
        <v>7147.934055251204</v>
      </c>
      <c r="T64" s="28">
        <f>+(Basis!S188/(EOMONTH($B64,0)-$B64+1)*$C64)</f>
        <v>7186.8306100627797</v>
      </c>
      <c r="U64" s="28">
        <f>+(Basis!T188/(EOMONTH($B64,0)-$B64+1)*$C64)</f>
        <v>7361.1197629899443</v>
      </c>
      <c r="V64" s="28">
        <f>+(Basis!U188/(EOMONTH($B64,0)-$B64+1)*$C64)</f>
        <v>7532.9111794515929</v>
      </c>
      <c r="W64" s="28">
        <f>+(Basis!V188/(EOMONTH($B64,0)-$B64+1)*$C64)</f>
        <v>7859.3941717039525</v>
      </c>
      <c r="X64" s="28">
        <f>+(Basis!W188/(EOMONTH($B64,0)-$B64+1)*$C64)</f>
        <v>9300.9866971789979</v>
      </c>
      <c r="Y64" s="28">
        <f>+(Basis!X188/(EOMONTH($B64,0)-$B64+1)*$C64)</f>
        <v>10057.332184491652</v>
      </c>
      <c r="Z64" s="28">
        <f>+(Basis!Y188/(EOMONTH($B64,0)-$B64+1)*$C64)</f>
        <v>9322.9773495953814</v>
      </c>
      <c r="AA64" s="28">
        <f>+(Basis!Z188/(EOMONTH($B64,0)-$B64+1)*$C64)</f>
        <v>8165.9714937719382</v>
      </c>
      <c r="AB64" s="28">
        <f>+(Basis!AA188/(EOMONTH($B64,0)-$B64+1)*$C64)</f>
        <v>6680.5396336974236</v>
      </c>
      <c r="AC64" s="28">
        <f>+(Basis!AB188/(EOMONTH($B64,0)-$B64+1)*$C64)</f>
        <v>5447.8187022240127</v>
      </c>
      <c r="AD64" s="29">
        <f>+SUM(F64:AC64)*E64</f>
        <v>3420864.7200000049</v>
      </c>
    </row>
    <row r="65" spans="2:32">
      <c r="B65" s="46">
        <f>+B64</f>
        <v>46722</v>
      </c>
      <c r="C65" s="44">
        <f>IFERROR(VLOOKUP(B65,'Prod- 1'!$B$10:$E$69,4,0),0)</f>
        <v>5049847.9200000074</v>
      </c>
      <c r="D65" s="35" t="s">
        <v>46</v>
      </c>
      <c r="E65" s="35">
        <f>+Basis!D189</f>
        <v>4</v>
      </c>
      <c r="F65" s="28">
        <f>+(Basis!E189/(EOMONTH($B65,0)-$B65+1)*$C65)</f>
        <v>4994.376677196653</v>
      </c>
      <c r="G65" s="28">
        <f>+(Basis!F189/(EOMONTH($B65,0)-$B65+1)*$C65)</f>
        <v>4658.8921378456698</v>
      </c>
      <c r="H65" s="28">
        <f>+(Basis!G189/(EOMONTH($B65,0)-$B65+1)*$C65)</f>
        <v>4509.6540529906842</v>
      </c>
      <c r="I65" s="28">
        <f>+(Basis!H189/(EOMONTH($B65,0)-$B65+1)*$C65)</f>
        <v>4485.8617050349485</v>
      </c>
      <c r="J65" s="28">
        <f>+(Basis!I189/(EOMONTH($B65,0)-$B65+1)*$C65)</f>
        <v>4688.6273738962345</v>
      </c>
      <c r="K65" s="28">
        <f>+(Basis!J189/(EOMONTH($B65,0)-$B65+1)*$C65)</f>
        <v>5252.1001250719892</v>
      </c>
      <c r="L65" s="28">
        <f>+(Basis!K189/(EOMONTH($B65,0)-$B65+1)*$C65)</f>
        <v>5938.1535233665627</v>
      </c>
      <c r="M65" s="28">
        <f>+(Basis!L189/(EOMONTH($B65,0)-$B65+1)*$C65)</f>
        <v>6355.0933814502969</v>
      </c>
      <c r="N65" s="28">
        <f>+(Basis!M189/(EOMONTH($B65,0)-$B65+1)*$C65)</f>
        <v>6768.2961136706908</v>
      </c>
      <c r="O65" s="28">
        <f>+(Basis!N189/(EOMONTH($B65,0)-$B65+1)*$C65)</f>
        <v>7011.5536674128134</v>
      </c>
      <c r="P65" s="28">
        <f>+(Basis!O189/(EOMONTH($B65,0)-$B65+1)*$C65)</f>
        <v>7326.1391295098083</v>
      </c>
      <c r="Q65" s="28">
        <f>+(Basis!P189/(EOMONTH($B65,0)-$B65+1)*$C65)</f>
        <v>7624.9480991155942</v>
      </c>
      <c r="R65" s="28">
        <f>+(Basis!Q189/(EOMONTH($B65,0)-$B65+1)*$C65)</f>
        <v>7555.7751743289864</v>
      </c>
      <c r="S65" s="28">
        <f>+(Basis!R189/(EOMONTH($B65,0)-$B65+1)*$C65)</f>
        <v>7289.9693852167793</v>
      </c>
      <c r="T65" s="28">
        <f>+(Basis!S189/(EOMONTH($B65,0)-$B65+1)*$C65)</f>
        <v>7169.6563923466074</v>
      </c>
      <c r="U65" s="28">
        <f>+(Basis!T189/(EOMONTH($B65,0)-$B65+1)*$C65)</f>
        <v>7214.5321684860874</v>
      </c>
      <c r="V65" s="28">
        <f>+(Basis!U189/(EOMONTH($B65,0)-$B65+1)*$C65)</f>
        <v>7326.1202774452086</v>
      </c>
      <c r="W65" s="28">
        <f>+(Basis!V189/(EOMONTH($B65,0)-$B65+1)*$C65)</f>
        <v>7645.3405381761031</v>
      </c>
      <c r="X65" s="28">
        <f>+(Basis!W189/(EOMONTH($B65,0)-$B65+1)*$C65)</f>
        <v>9156.6100953589867</v>
      </c>
      <c r="Y65" s="28">
        <f>+(Basis!X189/(EOMONTH($B65,0)-$B65+1)*$C65)</f>
        <v>9970.2986496167723</v>
      </c>
      <c r="Z65" s="28">
        <f>+(Basis!Y189/(EOMONTH($B65,0)-$B65+1)*$C65)</f>
        <v>9288.2084252778586</v>
      </c>
      <c r="AA65" s="28">
        <f>+(Basis!Z189/(EOMONTH($B65,0)-$B65+1)*$C65)</f>
        <v>8128.0841019696018</v>
      </c>
      <c r="AB65" s="28">
        <f>+(Basis!AA189/(EOMONTH($B65,0)-$B65+1)*$C65)</f>
        <v>6780.2952849405847</v>
      </c>
      <c r="AC65" s="28">
        <f>+(Basis!AB189/(EOMONTH($B65,0)-$B65+1)*$C65)</f>
        <v>5759.7335202746144</v>
      </c>
      <c r="AD65" s="30">
        <f>+SUM(F65:AC65)*E65</f>
        <v>651593.28000000038</v>
      </c>
    </row>
    <row r="66" spans="2:32">
      <c r="B66" s="41">
        <f t="shared" ref="B66:B67" si="22">+B65</f>
        <v>46722</v>
      </c>
      <c r="C66" s="39">
        <f>IFERROR(VLOOKUP(B66,'Prod- 1'!$B$10:$E$69,4,0),0)</f>
        <v>5049847.9200000074</v>
      </c>
      <c r="D66" s="36" t="s">
        <v>47</v>
      </c>
      <c r="E66" s="36">
        <f>+Basis!D190</f>
        <v>4</v>
      </c>
      <c r="F66" s="28">
        <f>+(Basis!E190/(EOMONTH($B66,0)-$B66+1)*$C66)</f>
        <v>5421.5028097515615</v>
      </c>
      <c r="G66" s="28">
        <f>+(Basis!F190/(EOMONTH($B66,0)-$B66+1)*$C66)</f>
        <v>5072.6608317540513</v>
      </c>
      <c r="H66" s="28">
        <f>+(Basis!G190/(EOMONTH($B66,0)-$B66+1)*$C66)</f>
        <v>4861.4317520666746</v>
      </c>
      <c r="I66" s="28">
        <f>+(Basis!H190/(EOMONTH($B66,0)-$B66+1)*$C66)</f>
        <v>4770.7913657618546</v>
      </c>
      <c r="J66" s="28">
        <f>+(Basis!I190/(EOMONTH($B66,0)-$B66+1)*$C66)</f>
        <v>4746.5359721367849</v>
      </c>
      <c r="K66" s="28">
        <f>+(Basis!J190/(EOMONTH($B66,0)-$B66+1)*$C66)</f>
        <v>5040.5437477362302</v>
      </c>
      <c r="L66" s="28">
        <f>+(Basis!K190/(EOMONTH($B66,0)-$B66+1)*$C66)</f>
        <v>5608.9939329409372</v>
      </c>
      <c r="M66" s="28">
        <f>+(Basis!L190/(EOMONTH($B66,0)-$B66+1)*$C66)</f>
        <v>6239.8697377634335</v>
      </c>
      <c r="N66" s="28">
        <f>+(Basis!M190/(EOMONTH($B66,0)-$B66+1)*$C66)</f>
        <v>6695.7384576521008</v>
      </c>
      <c r="O66" s="28">
        <f>+(Basis!N190/(EOMONTH($B66,0)-$B66+1)*$C66)</f>
        <v>6940.8439851370431</v>
      </c>
      <c r="P66" s="28">
        <f>+(Basis!O190/(EOMONTH($B66,0)-$B66+1)*$C66)</f>
        <v>7153.6278965063557</v>
      </c>
      <c r="Q66" s="28">
        <f>+(Basis!P190/(EOMONTH($B66,0)-$B66+1)*$C66)</f>
        <v>7449.3185350648801</v>
      </c>
      <c r="R66" s="28">
        <f>+(Basis!Q190/(EOMONTH($B66,0)-$B66+1)*$C66)</f>
        <v>7451.2115135572367</v>
      </c>
      <c r="S66" s="28">
        <f>+(Basis!R190/(EOMONTH($B66,0)-$B66+1)*$C66)</f>
        <v>7212.6588067475632</v>
      </c>
      <c r="T66" s="28">
        <f>+(Basis!S190/(EOMONTH($B66,0)-$B66+1)*$C66)</f>
        <v>7028.1175986295466</v>
      </c>
      <c r="U66" s="28">
        <f>+(Basis!T190/(EOMONTH($B66,0)-$B66+1)*$C66)</f>
        <v>7050.1688147827253</v>
      </c>
      <c r="V66" s="28">
        <f>+(Basis!U190/(EOMONTH($B66,0)-$B66+1)*$C66)</f>
        <v>7185.437484448028</v>
      </c>
      <c r="W66" s="28">
        <f>+(Basis!V190/(EOMONTH($B66,0)-$B66+1)*$C66)</f>
        <v>7541.9851462230263</v>
      </c>
      <c r="X66" s="28">
        <f>+(Basis!W190/(EOMONTH($B66,0)-$B66+1)*$C66)</f>
        <v>9151.0818884873443</v>
      </c>
      <c r="Y66" s="28">
        <f>+(Basis!X190/(EOMONTH($B66,0)-$B66+1)*$C66)</f>
        <v>10131.412957409928</v>
      </c>
      <c r="Z66" s="28">
        <f>+(Basis!Y190/(EOMONTH($B66,0)-$B66+1)*$C66)</f>
        <v>9436.5190712591029</v>
      </c>
      <c r="AA66" s="28">
        <f>+(Basis!Z190/(EOMONTH($B66,0)-$B66+1)*$C66)</f>
        <v>8176.6799045828893</v>
      </c>
      <c r="AB66" s="28">
        <f>+(Basis!AA190/(EOMONTH($B66,0)-$B66+1)*$C66)</f>
        <v>6817.7985413754614</v>
      </c>
      <c r="AC66" s="28">
        <f>+(Basis!AB190/(EOMONTH($B66,0)-$B66+1)*$C66)</f>
        <v>5713.3892482254596</v>
      </c>
      <c r="AD66" s="30">
        <f>+SUM(F66:AC66)*E66</f>
        <v>651593.28000000084</v>
      </c>
    </row>
    <row r="67" spans="2:32">
      <c r="B67" s="46">
        <f t="shared" si="22"/>
        <v>46722</v>
      </c>
      <c r="C67" s="44">
        <f>IFERROR(VLOOKUP(B67,'Prod- 1'!$B$10:$E$69,4,0),0)</f>
        <v>5049847.9200000074</v>
      </c>
      <c r="D67" s="37" t="s">
        <v>48</v>
      </c>
      <c r="E67" s="37">
        <f>+Basis!D191</f>
        <v>2</v>
      </c>
      <c r="F67" s="28">
        <f>+(Basis!E191/(EOMONTH($B67,0)-$B67+1)*$C67)</f>
        <v>5485.6064024571733</v>
      </c>
      <c r="G67" s="28">
        <f>+(Basis!F191/(EOMONTH($B67,0)-$B67+1)*$C67)</f>
        <v>5089.870821255804</v>
      </c>
      <c r="H67" s="28">
        <f>+(Basis!G191/(EOMONTH($B67,0)-$B67+1)*$C67)</f>
        <v>4864.4282887630388</v>
      </c>
      <c r="I67" s="28">
        <f>+(Basis!H191/(EOMONTH($B67,0)-$B67+1)*$C67)</f>
        <v>4762.3355406613373</v>
      </c>
      <c r="J67" s="28">
        <f>+(Basis!I191/(EOMONTH($B67,0)-$B67+1)*$C67)</f>
        <v>4917.3104452533435</v>
      </c>
      <c r="K67" s="28">
        <f>+(Basis!J191/(EOMONTH($B67,0)-$B67+1)*$C67)</f>
        <v>5395.7922669428535</v>
      </c>
      <c r="L67" s="28">
        <f>+(Basis!K191/(EOMONTH($B67,0)-$B67+1)*$C67)</f>
        <v>5793.2557133807568</v>
      </c>
      <c r="M67" s="28">
        <f>+(Basis!L191/(EOMONTH($B67,0)-$B67+1)*$C67)</f>
        <v>6088.3959007698559</v>
      </c>
      <c r="N67" s="28">
        <f>+(Basis!M191/(EOMONTH($B67,0)-$B67+1)*$C67)</f>
        <v>6443.9147839296265</v>
      </c>
      <c r="O67" s="28">
        <f>+(Basis!N191/(EOMONTH($B67,0)-$B67+1)*$C67)</f>
        <v>6732.5879715749561</v>
      </c>
      <c r="P67" s="28">
        <f>+(Basis!O191/(EOMONTH($B67,0)-$B67+1)*$C67)</f>
        <v>7049.1747507171231</v>
      </c>
      <c r="Q67" s="28">
        <f>+(Basis!P191/(EOMONTH($B67,0)-$B67+1)*$C67)</f>
        <v>7375.7780709412427</v>
      </c>
      <c r="R67" s="28">
        <f>+(Basis!Q191/(EOMONTH($B67,0)-$B67+1)*$C67)</f>
        <v>7455.0724980061741</v>
      </c>
      <c r="S67" s="28">
        <f>+(Basis!R191/(EOMONTH($B67,0)-$B67+1)*$C67)</f>
        <v>7202.4331941418213</v>
      </c>
      <c r="T67" s="28">
        <f>+(Basis!S191/(EOMONTH($B67,0)-$B67+1)*$C67)</f>
        <v>7044.6078176552101</v>
      </c>
      <c r="U67" s="28">
        <f>+(Basis!T191/(EOMONTH($B67,0)-$B67+1)*$C67)</f>
        <v>7095.0361655283505</v>
      </c>
      <c r="V67" s="28">
        <f>+(Basis!U191/(EOMONTH($B67,0)-$B67+1)*$C67)</f>
        <v>7238.469953731561</v>
      </c>
      <c r="W67" s="28">
        <f>+(Basis!V191/(EOMONTH($B67,0)-$B67+1)*$C67)</f>
        <v>7684.2706879926645</v>
      </c>
      <c r="X67" s="28">
        <f>+(Basis!W191/(EOMONTH($B67,0)-$B67+1)*$C67)</f>
        <v>9268.8722552876789</v>
      </c>
      <c r="Y67" s="28">
        <f>+(Basis!X191/(EOMONTH($B67,0)-$B67+1)*$C67)</f>
        <v>10097.535607824437</v>
      </c>
      <c r="Z67" s="28">
        <f>+(Basis!Y191/(EOMONTH($B67,0)-$B67+1)*$C67)</f>
        <v>9319.2011894269144</v>
      </c>
      <c r="AA67" s="28">
        <f>+(Basis!Z191/(EOMONTH($B67,0)-$B67+1)*$C67)</f>
        <v>8037.3315479879475</v>
      </c>
      <c r="AB67" s="28">
        <f>+(Basis!AA191/(EOMONTH($B67,0)-$B67+1)*$C67)</f>
        <v>6738.9315594565287</v>
      </c>
      <c r="AC67" s="28">
        <f>+(Basis!AB191/(EOMONTH($B67,0)-$B67+1)*$C67)</f>
        <v>5718.1065663138143</v>
      </c>
      <c r="AD67" s="31">
        <f>+SUM(F67:AC67)*E67</f>
        <v>325796.64000000048</v>
      </c>
    </row>
    <row r="68" spans="2:32" ht="15" thickBot="1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153075.61938591563</v>
      </c>
      <c r="G68" s="32">
        <f t="shared" si="23"/>
        <v>143838.96929761471</v>
      </c>
      <c r="H68" s="32">
        <f t="shared" si="23"/>
        <v>138841.6134426416</v>
      </c>
      <c r="I68" s="32">
        <f t="shared" si="23"/>
        <v>138185.95025173156</v>
      </c>
      <c r="J68" s="32">
        <f t="shared" si="23"/>
        <v>147244.81966923966</v>
      </c>
      <c r="K68" s="32">
        <f t="shared" si="23"/>
        <v>170120.3458276981</v>
      </c>
      <c r="L68" s="32">
        <f t="shared" si="23"/>
        <v>190467.1434695088</v>
      </c>
      <c r="M68" s="32">
        <f t="shared" si="23"/>
        <v>197949.88044150008</v>
      </c>
      <c r="N68" s="32">
        <f t="shared" si="23"/>
        <v>206854.16554513737</v>
      </c>
      <c r="O68" s="32">
        <f t="shared" si="23"/>
        <v>213522.09568588505</v>
      </c>
      <c r="P68" s="32">
        <f t="shared" si="23"/>
        <v>223049.87761126252</v>
      </c>
      <c r="Q68" s="32">
        <f t="shared" si="23"/>
        <v>233416.92704762382</v>
      </c>
      <c r="R68" s="32">
        <f t="shared" si="23"/>
        <v>230354.39337963707</v>
      </c>
      <c r="S68" s="32">
        <f t="shared" si="23"/>
        <v>222521.99431641627</v>
      </c>
      <c r="T68" s="32">
        <f t="shared" si="23"/>
        <v>221803.75441053344</v>
      </c>
      <c r="U68" s="32">
        <f t="shared" si="23"/>
        <v>225832.39128692079</v>
      </c>
      <c r="V68" s="32">
        <f t="shared" si="23"/>
        <v>230714.30572351953</v>
      </c>
      <c r="W68" s="32">
        <f t="shared" si="23"/>
        <v>241165.12171936486</v>
      </c>
      <c r="X68" s="32">
        <f t="shared" si="23"/>
        <v>287089.23308671964</v>
      </c>
      <c r="Y68" s="32">
        <f t="shared" si="23"/>
        <v>311805.89351808035</v>
      </c>
      <c r="Z68" s="32">
        <f t="shared" si="23"/>
        <v>289319.83670650469</v>
      </c>
      <c r="AA68" s="32">
        <f t="shared" si="23"/>
        <v>252779.12049139658</v>
      </c>
      <c r="AB68" s="32">
        <f t="shared" si="23"/>
        <v>208161.57073182313</v>
      </c>
      <c r="AC68" s="32">
        <f t="shared" si="23"/>
        <v>171732.89695333221</v>
      </c>
      <c r="AD68" s="33">
        <f>+SUM(AD64:AD67)</f>
        <v>5049847.9200000064</v>
      </c>
      <c r="AE68" s="2">
        <f>+AD68-C64</f>
        <v>0</v>
      </c>
      <c r="AF68" s="66"/>
    </row>
    <row r="69" spans="2:32" hidden="1">
      <c r="B69" s="45">
        <f>+EDATE(B64,1)</f>
        <v>46753</v>
      </c>
      <c r="C69" s="43">
        <f>IFERROR(VLOOKUP(B69,'Prod- 1'!$B$10:$E$69,4,0),0)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>
      <c r="B70" s="46">
        <f>+B69</f>
        <v>46753</v>
      </c>
      <c r="C70" s="44">
        <f>IFERROR(VLOOKUP(B70,'Prod- 1'!$B$10:$E$69,4,0),0)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>
      <c r="B71" s="41">
        <f t="shared" ref="B71:B72" si="24">+B70</f>
        <v>46753</v>
      </c>
      <c r="C71" s="39">
        <f>IFERROR(VLOOKUP(B71,'Prod- 1'!$B$10:$E$69,4,0),0)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>
      <c r="B72" s="46">
        <f t="shared" si="24"/>
        <v>46753</v>
      </c>
      <c r="C72" s="44">
        <f>IFERROR(VLOOKUP(B72,'Prod- 1'!$B$10:$E$69,4,0),0)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>
      <c r="B74" s="45">
        <f>+EDATE(B69,1)</f>
        <v>46784</v>
      </c>
      <c r="C74" s="43">
        <f>IFERROR(VLOOKUP(B74,'Prod- 1'!$B$10:$E$69,4,0),0)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>
      <c r="B75" s="46">
        <f>+B74</f>
        <v>46784</v>
      </c>
      <c r="C75" s="44">
        <f>IFERROR(VLOOKUP(B75,'Prod- 1'!$B$10:$E$69,4,0),0)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>
      <c r="B76" s="41">
        <f t="shared" ref="B76:B77" si="26">+B75</f>
        <v>46784</v>
      </c>
      <c r="C76" s="39">
        <f>IFERROR(VLOOKUP(B76,'Prod- 1'!$B$10:$E$69,4,0),0)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>
      <c r="B77" s="46">
        <f t="shared" si="26"/>
        <v>46784</v>
      </c>
      <c r="C77" s="44">
        <f>IFERROR(VLOOKUP(B77,'Prod- 1'!$B$10:$E$69,4,0),0)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>
      <c r="B79" s="45">
        <f>+EDATE(B74,1)</f>
        <v>46813</v>
      </c>
      <c r="C79" s="43">
        <f>IFERROR(VLOOKUP(B79,'Prod- 1'!$B$10:$E$69,4,0),0)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>
      <c r="B80" s="46">
        <f>+B79</f>
        <v>46813</v>
      </c>
      <c r="C80" s="44">
        <f>IFERROR(VLOOKUP(B80,'Prod- 1'!$B$10:$E$69,4,0),0)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>
      <c r="B81" s="41">
        <f t="shared" ref="B81:B82" si="28">+B80</f>
        <v>46813</v>
      </c>
      <c r="C81" s="39">
        <f>IFERROR(VLOOKUP(B81,'Prod- 1'!$B$10:$E$69,4,0),0)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>
      <c r="B82" s="46">
        <f t="shared" si="28"/>
        <v>46813</v>
      </c>
      <c r="C82" s="44">
        <f>IFERROR(VLOOKUP(B82,'Prod- 1'!$B$10:$E$69,4,0),0)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>
      <c r="B84" s="45">
        <f>+EDATE(B79,1)</f>
        <v>46844</v>
      </c>
      <c r="C84" s="43">
        <f>IFERROR(VLOOKUP(B84,'Prod- 1'!$B$10:$E$69,4,0),0)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>
      <c r="B85" s="46">
        <f>+B84</f>
        <v>46844</v>
      </c>
      <c r="C85" s="44">
        <f>IFERROR(VLOOKUP(B85,'Prod- 1'!$B$10:$E$69,4,0),0)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>
      <c r="B86" s="41">
        <f t="shared" ref="B86:B87" si="30">+B85</f>
        <v>46844</v>
      </c>
      <c r="C86" s="39">
        <f>IFERROR(VLOOKUP(B86,'Prod- 1'!$B$10:$E$69,4,0),0)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>
      <c r="B87" s="46">
        <f t="shared" si="30"/>
        <v>46844</v>
      </c>
      <c r="C87" s="44">
        <f>IFERROR(VLOOKUP(B87,'Prod- 1'!$B$10:$E$69,4,0),0)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>
      <c r="B89" s="45">
        <f>+EDATE(B84,1)</f>
        <v>46874</v>
      </c>
      <c r="C89" s="43">
        <f>IFERROR(VLOOKUP(B89,'Prod- 1'!$B$10:$E$69,4,0),0)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>
      <c r="B90" s="46">
        <f>+B89</f>
        <v>46874</v>
      </c>
      <c r="C90" s="44">
        <f>IFERROR(VLOOKUP(B90,'Prod- 1'!$B$10:$E$69,4,0),0)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>
      <c r="B91" s="41">
        <f t="shared" ref="B91:B92" si="32">+B90</f>
        <v>46874</v>
      </c>
      <c r="C91" s="39">
        <f>IFERROR(VLOOKUP(B91,'Prod- 1'!$B$10:$E$69,4,0),0)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>
      <c r="B92" s="46">
        <f t="shared" si="32"/>
        <v>46874</v>
      </c>
      <c r="C92" s="44">
        <f>IFERROR(VLOOKUP(B92,'Prod- 1'!$B$10:$E$69,4,0),0)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>
      <c r="B94" s="45">
        <f>+EDATE(B89,1)</f>
        <v>46905</v>
      </c>
      <c r="C94" s="43">
        <f>IFERROR(VLOOKUP(B94,'Prod- 1'!$B$10:$E$69,4,0),0)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>
      <c r="B95" s="46">
        <f>+B94</f>
        <v>46905</v>
      </c>
      <c r="C95" s="44">
        <f>IFERROR(VLOOKUP(B95,'Prod- 1'!$B$10:$E$69,4,0),0)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>
      <c r="B96" s="41">
        <f t="shared" ref="B96:B97" si="34">+B95</f>
        <v>46905</v>
      </c>
      <c r="C96" s="39">
        <f>IFERROR(VLOOKUP(B96,'Prod- 1'!$B$10:$E$69,4,0),0)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>
      <c r="B97" s="46">
        <f t="shared" si="34"/>
        <v>46905</v>
      </c>
      <c r="C97" s="44">
        <f>IFERROR(VLOOKUP(B97,'Prod- 1'!$B$10:$E$69,4,0),0)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>
      <c r="B99" s="45">
        <f>+EDATE(B94,1)</f>
        <v>46935</v>
      </c>
      <c r="C99" s="43">
        <f>IFERROR(VLOOKUP(B99,'Prod- 1'!$B$10:$E$69,4,0),0)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>
      <c r="B100" s="46">
        <f>+B99</f>
        <v>46935</v>
      </c>
      <c r="C100" s="44">
        <f>IFERROR(VLOOKUP(B100,'Prod- 1'!$B$10:$E$69,4,0),0)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>
      <c r="B101" s="41">
        <f t="shared" ref="B101:B102" si="36">+B100</f>
        <v>46935</v>
      </c>
      <c r="C101" s="39">
        <f>IFERROR(VLOOKUP(B101,'Prod- 1'!$B$10:$E$69,4,0),0)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>
      <c r="B102" s="46">
        <f t="shared" si="36"/>
        <v>46935</v>
      </c>
      <c r="C102" s="44">
        <f>IFERROR(VLOOKUP(B102,'Prod- 1'!$B$10:$E$69,4,0),0)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>
      <c r="B104" s="45">
        <f>+EDATE(B99,1)</f>
        <v>46966</v>
      </c>
      <c r="C104" s="43">
        <f>IFERROR(VLOOKUP(B104,'Prod- 1'!$B$10:$E$69,4,0),0)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>
      <c r="B105" s="46">
        <f>+B104</f>
        <v>46966</v>
      </c>
      <c r="C105" s="44">
        <f>IFERROR(VLOOKUP(B105,'Prod- 1'!$B$10:$E$69,4,0),0)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>
      <c r="B106" s="41">
        <f t="shared" ref="B106:B107" si="38">+B105</f>
        <v>46966</v>
      </c>
      <c r="C106" s="39">
        <f>IFERROR(VLOOKUP(B106,'Prod- 1'!$B$10:$E$69,4,0),0)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>
      <c r="B107" s="46">
        <f t="shared" si="38"/>
        <v>46966</v>
      </c>
      <c r="C107" s="44">
        <f>IFERROR(VLOOKUP(B107,'Prod- 1'!$B$10:$E$69,4,0),0)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>
      <c r="B109" s="45">
        <f>+EDATE(B104,1)</f>
        <v>46997</v>
      </c>
      <c r="C109" s="43">
        <f>IFERROR(VLOOKUP(B109,'Prod- 1'!$B$10:$E$69,4,0),0)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>
      <c r="B110" s="46">
        <f>+B109</f>
        <v>46997</v>
      </c>
      <c r="C110" s="44">
        <f>IFERROR(VLOOKUP(B110,'Prod- 1'!$B$10:$E$69,4,0),0)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>
      <c r="B111" s="41">
        <f t="shared" ref="B111:B112" si="40">+B110</f>
        <v>46997</v>
      </c>
      <c r="C111" s="39">
        <f>IFERROR(VLOOKUP(B111,'Prod- 1'!$B$10:$E$69,4,0),0)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>
      <c r="B112" s="46">
        <f t="shared" si="40"/>
        <v>46997</v>
      </c>
      <c r="C112" s="44">
        <f>IFERROR(VLOOKUP(B112,'Prod- 1'!$B$10:$E$69,4,0),0)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>
      <c r="B114" s="45">
        <f>+EDATE(B109,1)</f>
        <v>47027</v>
      </c>
      <c r="C114" s="43">
        <f>IFERROR(VLOOKUP(B114,'Prod- 1'!$B$10:$E$69,4,0),0)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>
      <c r="B115" s="46">
        <f>+B114</f>
        <v>47027</v>
      </c>
      <c r="C115" s="44">
        <f>IFERROR(VLOOKUP(B115,'Prod- 1'!$B$10:$E$69,4,0),0)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>
      <c r="B116" s="41">
        <f t="shared" ref="B116:B117" si="42">+B115</f>
        <v>47027</v>
      </c>
      <c r="C116" s="39">
        <f>IFERROR(VLOOKUP(B116,'Prod- 1'!$B$10:$E$69,4,0),0)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>
      <c r="B117" s="46">
        <f t="shared" si="42"/>
        <v>47027</v>
      </c>
      <c r="C117" s="44">
        <f>IFERROR(VLOOKUP(B117,'Prod- 1'!$B$10:$E$69,4,0),0)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>
      <c r="B119" s="45">
        <f>+EDATE(B114,1)</f>
        <v>47058</v>
      </c>
      <c r="C119" s="43">
        <f>IFERROR(VLOOKUP(B119,'Prod- 1'!$B$10:$E$69,4,0),0)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>
      <c r="B120" s="46">
        <f>+B119</f>
        <v>47058</v>
      </c>
      <c r="C120" s="44">
        <f>IFERROR(VLOOKUP(B120,'Prod- 1'!$B$10:$E$69,4,0),0)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>
      <c r="B121" s="41">
        <f t="shared" ref="B121:B122" si="44">+B120</f>
        <v>47058</v>
      </c>
      <c r="C121" s="39">
        <f>IFERROR(VLOOKUP(B121,'Prod- 1'!$B$10:$E$69,4,0),0)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>
      <c r="B122" s="46">
        <f t="shared" si="44"/>
        <v>47058</v>
      </c>
      <c r="C122" s="44">
        <f>IFERROR(VLOOKUP(B122,'Prod- 1'!$B$10:$E$69,4,0),0)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>
      <c r="B124" s="45">
        <f>+EDATE(B119,1)</f>
        <v>47088</v>
      </c>
      <c r="C124" s="43">
        <f>IFERROR(VLOOKUP(B124,'Prod- 1'!$B$10:$E$69,4,0),0)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>
      <c r="B125" s="46">
        <f>+B124</f>
        <v>47088</v>
      </c>
      <c r="C125" s="44">
        <f>IFERROR(VLOOKUP(B125,'Prod- 1'!$B$10:$E$69,4,0),0)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>
      <c r="B126" s="41">
        <f t="shared" ref="B126:B127" si="46">+B125</f>
        <v>47088</v>
      </c>
      <c r="C126" s="39">
        <f>IFERROR(VLOOKUP(B126,'Prod- 1'!$B$10:$E$69,4,0),0)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>
      <c r="B127" s="46">
        <f t="shared" si="46"/>
        <v>47088</v>
      </c>
      <c r="C127" s="44">
        <f>IFERROR(VLOOKUP(B127,'Prod- 1'!$B$10:$E$69,4,0),0)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>
      <c r="B129" s="45">
        <f>+EDATE(B124,1)</f>
        <v>47119</v>
      </c>
      <c r="C129" s="43">
        <f>IFERROR(VLOOKUP(B129,'Prod- 1'!$B$10:$E$69,4,0),0)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>
      <c r="B130" s="46">
        <f>+B129</f>
        <v>47119</v>
      </c>
      <c r="C130" s="44">
        <f>IFERROR(VLOOKUP(B130,'Prod- 1'!$B$10:$E$69,4,0),0)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>
      <c r="B131" s="41">
        <f t="shared" ref="B131:B132" si="48">+B130</f>
        <v>47119</v>
      </c>
      <c r="C131" s="39">
        <f>IFERROR(VLOOKUP(B131,'Prod- 1'!$B$10:$E$69,4,0),0)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>
      <c r="B132" s="46">
        <f t="shared" si="48"/>
        <v>47119</v>
      </c>
      <c r="C132" s="44">
        <f>IFERROR(VLOOKUP(B132,'Prod- 1'!$B$10:$E$69,4,0),0)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>
      <c r="B134" s="45">
        <f>+EDATE(B129,1)</f>
        <v>47150</v>
      </c>
      <c r="C134" s="43">
        <f>IFERROR(VLOOKUP(B134,'Prod- 1'!$B$10:$E$69,4,0),0)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>
      <c r="B135" s="46">
        <f>+B134</f>
        <v>47150</v>
      </c>
      <c r="C135" s="44">
        <f>IFERROR(VLOOKUP(B135,'Prod- 1'!$B$10:$E$69,4,0),0)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>
      <c r="B136" s="41">
        <f t="shared" ref="B136:B137" si="50">+B135</f>
        <v>47150</v>
      </c>
      <c r="C136" s="39">
        <f>IFERROR(VLOOKUP(B136,'Prod- 1'!$B$10:$E$69,4,0),0)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>
      <c r="B137" s="46">
        <f t="shared" si="50"/>
        <v>47150</v>
      </c>
      <c r="C137" s="44">
        <f>IFERROR(VLOOKUP(B137,'Prod- 1'!$B$10:$E$69,4,0),0)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>
      <c r="B139" s="45">
        <f>+EDATE(B134,1)</f>
        <v>47178</v>
      </c>
      <c r="C139" s="43">
        <f>IFERROR(VLOOKUP(B139,'Prod- 1'!$B$10:$E$69,4,0),0)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>
      <c r="B140" s="46">
        <f>+B139</f>
        <v>47178</v>
      </c>
      <c r="C140" s="44">
        <f>IFERROR(VLOOKUP(B140,'Prod- 1'!$B$10:$E$69,4,0),0)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>
      <c r="B141" s="41">
        <f t="shared" ref="B141:B142" si="52">+B140</f>
        <v>47178</v>
      </c>
      <c r="C141" s="39">
        <f>IFERROR(VLOOKUP(B141,'Prod- 1'!$B$10:$E$69,4,0),0)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>
      <c r="B142" s="46">
        <f t="shared" si="52"/>
        <v>47178</v>
      </c>
      <c r="C142" s="44">
        <f>IFERROR(VLOOKUP(B142,'Prod- 1'!$B$10:$E$69,4,0),0)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>
      <c r="B144" s="45">
        <f>+EDATE(B139,1)</f>
        <v>47209</v>
      </c>
      <c r="C144" s="43">
        <f>IFERROR(VLOOKUP(B144,'Prod- 1'!$B$10:$E$69,4,0),0)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>
      <c r="B145" s="46">
        <f>+B144</f>
        <v>47209</v>
      </c>
      <c r="C145" s="44">
        <f>IFERROR(VLOOKUP(B145,'Prod- 1'!$B$10:$E$69,4,0),0)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>
      <c r="B146" s="41">
        <f t="shared" ref="B146:B147" si="54">+B145</f>
        <v>47209</v>
      </c>
      <c r="C146" s="39">
        <f>IFERROR(VLOOKUP(B146,'Prod- 1'!$B$10:$E$69,4,0),0)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>
      <c r="B147" s="46">
        <f t="shared" si="54"/>
        <v>47209</v>
      </c>
      <c r="C147" s="44">
        <f>IFERROR(VLOOKUP(B147,'Prod- 1'!$B$10:$E$69,4,0),0)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>
      <c r="B149" s="45">
        <f>+EDATE(B144,1)</f>
        <v>47239</v>
      </c>
      <c r="C149" s="43">
        <f>IFERROR(VLOOKUP(B149,'Prod- 1'!$B$10:$E$69,4,0),0)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>
      <c r="B150" s="46">
        <f>+B149</f>
        <v>47239</v>
      </c>
      <c r="C150" s="44">
        <f>IFERROR(VLOOKUP(B150,'Prod- 1'!$B$10:$E$69,4,0),0)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>
      <c r="B151" s="41">
        <f t="shared" ref="B151:B152" si="56">+B150</f>
        <v>47239</v>
      </c>
      <c r="C151" s="39">
        <f>IFERROR(VLOOKUP(B151,'Prod- 1'!$B$10:$E$69,4,0),0)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>
      <c r="B152" s="46">
        <f t="shared" si="56"/>
        <v>47239</v>
      </c>
      <c r="C152" s="44">
        <f>IFERROR(VLOOKUP(B152,'Prod- 1'!$B$10:$E$69,4,0),0)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>
      <c r="B154" s="45">
        <f>+EDATE(B149,1)</f>
        <v>47270</v>
      </c>
      <c r="C154" s="43">
        <f>IFERROR(VLOOKUP(B154,'Prod- 1'!$B$10:$E$69,4,0),0)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>
      <c r="B155" s="46">
        <f>+B154</f>
        <v>47270</v>
      </c>
      <c r="C155" s="44">
        <f>IFERROR(VLOOKUP(B155,'Prod- 1'!$B$10:$E$69,4,0),0)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>
      <c r="B156" s="41">
        <f t="shared" ref="B156:B157" si="58">+B155</f>
        <v>47270</v>
      </c>
      <c r="C156" s="39">
        <f>IFERROR(VLOOKUP(B156,'Prod- 1'!$B$10:$E$69,4,0),0)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>
      <c r="B157" s="46">
        <f t="shared" si="58"/>
        <v>47270</v>
      </c>
      <c r="C157" s="44">
        <f>IFERROR(VLOOKUP(B157,'Prod- 1'!$B$10:$E$69,4,0),0)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>
      <c r="B159" s="45">
        <f>+EDATE(B154,1)</f>
        <v>47300</v>
      </c>
      <c r="C159" s="43">
        <f>IFERROR(VLOOKUP(B159,'Prod- 1'!$B$10:$E$69,4,0),0)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>
      <c r="B160" s="46">
        <f>+B159</f>
        <v>47300</v>
      </c>
      <c r="C160" s="44">
        <f>IFERROR(VLOOKUP(B160,'Prod- 1'!$B$10:$E$69,4,0),0)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>
      <c r="B161" s="41">
        <f t="shared" ref="B161:B162" si="60">+B160</f>
        <v>47300</v>
      </c>
      <c r="C161" s="39">
        <f>IFERROR(VLOOKUP(B161,'Prod- 1'!$B$10:$E$69,4,0),0)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>
      <c r="B162" s="46">
        <f t="shared" si="60"/>
        <v>47300</v>
      </c>
      <c r="C162" s="44">
        <f>IFERROR(VLOOKUP(B162,'Prod- 1'!$B$10:$E$69,4,0),0)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>
      <c r="B164" s="45">
        <f>+EDATE(B159,1)</f>
        <v>47331</v>
      </c>
      <c r="C164" s="43">
        <f>IFERROR(VLOOKUP(B164,'Prod- 1'!$B$10:$E$69,4,0),0)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>
      <c r="B165" s="46">
        <f>+B164</f>
        <v>47331</v>
      </c>
      <c r="C165" s="44">
        <f>IFERROR(VLOOKUP(B165,'Prod- 1'!$B$10:$E$69,4,0),0)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>
      <c r="B166" s="41">
        <f t="shared" ref="B166:B167" si="62">+B165</f>
        <v>47331</v>
      </c>
      <c r="C166" s="39">
        <f>IFERROR(VLOOKUP(B166,'Prod- 1'!$B$10:$E$69,4,0),0)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>
      <c r="B167" s="46">
        <f t="shared" si="62"/>
        <v>47331</v>
      </c>
      <c r="C167" s="44">
        <f>IFERROR(VLOOKUP(B167,'Prod- 1'!$B$10:$E$69,4,0),0)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>
      <c r="B169" s="45">
        <f>+EDATE(B164,1)</f>
        <v>47362</v>
      </c>
      <c r="C169" s="43">
        <f>IFERROR(VLOOKUP(B169,'Prod- 1'!$B$10:$E$69,4,0),0)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>
      <c r="B170" s="46">
        <f>+B169</f>
        <v>47362</v>
      </c>
      <c r="C170" s="44">
        <f>IFERROR(VLOOKUP(B170,'Prod- 1'!$B$10:$E$69,4,0),0)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>
      <c r="B171" s="41">
        <f t="shared" ref="B171:B172" si="64">+B170</f>
        <v>47362</v>
      </c>
      <c r="C171" s="39">
        <f>IFERROR(VLOOKUP(B171,'Prod- 1'!$B$10:$E$69,4,0),0)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>
      <c r="B172" s="46">
        <f t="shared" si="64"/>
        <v>47362</v>
      </c>
      <c r="C172" s="44">
        <f>IFERROR(VLOOKUP(B172,'Prod- 1'!$B$10:$E$69,4,0),0)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>
      <c r="B174" s="45">
        <f>+EDATE(B169,1)</f>
        <v>47392</v>
      </c>
      <c r="C174" s="43">
        <f>IFERROR(VLOOKUP(B174,'Prod- 1'!$B$10:$E$69,4,0),0)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>
      <c r="B175" s="46">
        <f>+B174</f>
        <v>47392</v>
      </c>
      <c r="C175" s="44">
        <f>IFERROR(VLOOKUP(B175,'Prod- 1'!$B$10:$E$69,4,0),0)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>
      <c r="B176" s="41">
        <f t="shared" ref="B176:B177" si="66">+B175</f>
        <v>47392</v>
      </c>
      <c r="C176" s="39">
        <f>IFERROR(VLOOKUP(B176,'Prod- 1'!$B$10:$E$69,4,0),0)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>
      <c r="B177" s="46">
        <f t="shared" si="66"/>
        <v>47392</v>
      </c>
      <c r="C177" s="44">
        <f>IFERROR(VLOOKUP(B177,'Prod- 1'!$B$10:$E$69,4,0),0)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>
      <c r="B179" s="45">
        <f>+EDATE(B174,1)</f>
        <v>47423</v>
      </c>
      <c r="C179" s="43">
        <f>IFERROR(VLOOKUP(B179,'Prod- 1'!$B$10:$E$69,4,0),0)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>
      <c r="B180" s="46">
        <f>+B179</f>
        <v>47423</v>
      </c>
      <c r="C180" s="44">
        <f>IFERROR(VLOOKUP(B180,'Prod- 1'!$B$10:$E$69,4,0),0)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>
      <c r="B181" s="41">
        <f t="shared" ref="B181:B182" si="68">+B180</f>
        <v>47423</v>
      </c>
      <c r="C181" s="39">
        <f>IFERROR(VLOOKUP(B181,'Prod- 1'!$B$10:$E$69,4,0),0)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>
      <c r="B182" s="46">
        <f t="shared" si="68"/>
        <v>47423</v>
      </c>
      <c r="C182" s="44">
        <f>IFERROR(VLOOKUP(B182,'Prod- 1'!$B$10:$E$69,4,0),0)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>
      <c r="B184" s="45">
        <f>+EDATE(B179,1)</f>
        <v>47453</v>
      </c>
      <c r="C184" s="43">
        <f>IFERROR(VLOOKUP(B184,'Prod- 1'!$B$10:$E$69,4,0),0)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>
      <c r="B185" s="46">
        <f>+B184</f>
        <v>47453</v>
      </c>
      <c r="C185" s="44">
        <f>IFERROR(VLOOKUP(B185,'Prod- 1'!$B$10:$E$69,4,0),0)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>
      <c r="B186" s="41">
        <f t="shared" ref="B186:B187" si="70">+B185</f>
        <v>47453</v>
      </c>
      <c r="C186" s="39">
        <f>IFERROR(VLOOKUP(B186,'Prod- 1'!$B$10:$E$69,4,0),0)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>
      <c r="B187" s="46">
        <f t="shared" si="70"/>
        <v>47453</v>
      </c>
      <c r="C187" s="44">
        <f>IFERROR(VLOOKUP(B187,'Prod- 1'!$B$10:$E$69,4,0),0)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>
      <c r="B189" s="45">
        <f>+EDATE(B184,1)</f>
        <v>47484</v>
      </c>
      <c r="C189" s="43">
        <f>IFERROR(VLOOKUP(B189,'Prod- 1'!$B$10:$E$69,4,0),0)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>
      <c r="B190" s="46">
        <f>+B189</f>
        <v>47484</v>
      </c>
      <c r="C190" s="44">
        <f>IFERROR(VLOOKUP(B190,'Prod- 1'!$B$10:$E$69,4,0),0)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>
      <c r="B191" s="41">
        <f t="shared" ref="B191:B192" si="72">+B190</f>
        <v>47484</v>
      </c>
      <c r="C191" s="39">
        <f>IFERROR(VLOOKUP(B191,'Prod- 1'!$B$10:$E$69,4,0),0)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>
      <c r="B192" s="46">
        <f t="shared" si="72"/>
        <v>47484</v>
      </c>
      <c r="C192" s="44">
        <f>IFERROR(VLOOKUP(B192,'Prod- 1'!$B$10:$E$69,4,0),0)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" hidden="1" thickBot="1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>
      <c r="B194" s="45">
        <f>+EDATE(B189,1)</f>
        <v>47515</v>
      </c>
      <c r="C194" s="43">
        <f>IFERROR(VLOOKUP(B194,'Prod- 1'!$B$10:$E$69,4,0),0)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>
      <c r="B195" s="46">
        <f>+B194</f>
        <v>47515</v>
      </c>
      <c r="C195" s="44">
        <f>IFERROR(VLOOKUP(B195,'Prod- 1'!$B$10:$E$69,4,0),0)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>
      <c r="B196" s="41">
        <f t="shared" ref="B196:B197" si="74">+B195</f>
        <v>47515</v>
      </c>
      <c r="C196" s="39">
        <f>IFERROR(VLOOKUP(B196,'Prod- 1'!$B$10:$E$69,4,0),0)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>
      <c r="B197" s="46">
        <f t="shared" si="74"/>
        <v>47515</v>
      </c>
      <c r="C197" s="44">
        <f>IFERROR(VLOOKUP(B197,'Prod- 1'!$B$10:$E$69,4,0),0)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" hidden="1" thickBot="1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>
      <c r="B199" s="45">
        <f>+EDATE(B194,1)</f>
        <v>47543</v>
      </c>
      <c r="C199" s="43">
        <f>IFERROR(VLOOKUP(B199,'Prod- 1'!$B$10:$E$69,4,0),0)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>
      <c r="B200" s="46">
        <f>+B199</f>
        <v>47543</v>
      </c>
      <c r="C200" s="44">
        <f>IFERROR(VLOOKUP(B200,'Prod- 1'!$B$10:$E$69,4,0),0)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>
      <c r="B201" s="41">
        <f t="shared" ref="B201:B202" si="76">+B200</f>
        <v>47543</v>
      </c>
      <c r="C201" s="39">
        <f>IFERROR(VLOOKUP(B201,'Prod- 1'!$B$10:$E$69,4,0),0)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>
      <c r="B202" s="46">
        <f t="shared" si="76"/>
        <v>47543</v>
      </c>
      <c r="C202" s="44">
        <f>IFERROR(VLOOKUP(B202,'Prod- 1'!$B$10:$E$69,4,0),0)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" hidden="1" thickBot="1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>
      <c r="B204" s="45">
        <f>+EDATE(B199,1)</f>
        <v>47574</v>
      </c>
      <c r="C204" s="43">
        <f>IFERROR(VLOOKUP(B204,'Prod- 1'!$B$10:$E$69,4,0),0)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>
      <c r="B205" s="46">
        <f>+B204</f>
        <v>47574</v>
      </c>
      <c r="C205" s="44">
        <f>IFERROR(VLOOKUP(B205,'Prod- 1'!$B$10:$E$69,4,0),0)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>
      <c r="B206" s="41">
        <f t="shared" ref="B206:B207" si="78">+B205</f>
        <v>47574</v>
      </c>
      <c r="C206" s="39">
        <f>IFERROR(VLOOKUP(B206,'Prod- 1'!$B$10:$E$69,4,0),0)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>
      <c r="B207" s="46">
        <f t="shared" si="78"/>
        <v>47574</v>
      </c>
      <c r="C207" s="44">
        <f>IFERROR(VLOOKUP(B207,'Prod- 1'!$B$10:$E$69,4,0),0)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" hidden="1" thickBot="1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>
      <c r="B209" s="45">
        <f>+EDATE(B204,1)</f>
        <v>47604</v>
      </c>
      <c r="C209" s="43">
        <f>IFERROR(VLOOKUP(B209,'Prod- 1'!$B$10:$E$69,4,0),0)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>
      <c r="B210" s="46">
        <f>+B209</f>
        <v>47604</v>
      </c>
      <c r="C210" s="44">
        <f>IFERROR(VLOOKUP(B210,'Prod- 1'!$B$10:$E$69,4,0),0)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>
      <c r="B211" s="41">
        <f t="shared" ref="B211:B212" si="80">+B210</f>
        <v>47604</v>
      </c>
      <c r="C211" s="39">
        <f>IFERROR(VLOOKUP(B211,'Prod- 1'!$B$10:$E$69,4,0),0)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>
      <c r="B212" s="46">
        <f t="shared" si="80"/>
        <v>47604</v>
      </c>
      <c r="C212" s="44">
        <f>IFERROR(VLOOKUP(B212,'Prod- 1'!$B$10:$E$69,4,0),0)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" hidden="1" thickBot="1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>
      <c r="B214" s="45">
        <f>+EDATE(B209,1)</f>
        <v>47635</v>
      </c>
      <c r="C214" s="43">
        <f>IFERROR(VLOOKUP(B214,'Prod- 1'!$B$10:$E$69,4,0),0)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>
      <c r="B215" s="46">
        <f>+B214</f>
        <v>47635</v>
      </c>
      <c r="C215" s="44">
        <f>IFERROR(VLOOKUP(B215,'Prod- 1'!$B$10:$E$69,4,0),0)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>
      <c r="B216" s="41">
        <f t="shared" ref="B216:B217" si="82">+B215</f>
        <v>47635</v>
      </c>
      <c r="C216" s="39">
        <f>IFERROR(VLOOKUP(B216,'Prod- 1'!$B$10:$E$69,4,0),0)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>
      <c r="B217" s="46">
        <f t="shared" si="82"/>
        <v>47635</v>
      </c>
      <c r="C217" s="44">
        <f>IFERROR(VLOOKUP(B217,'Prod- 1'!$B$10:$E$69,4,0),0)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" hidden="1" thickBot="1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>
      <c r="B219" s="45">
        <f>+EDATE(B214,1)</f>
        <v>47665</v>
      </c>
      <c r="C219" s="43">
        <f>IFERROR(VLOOKUP(B219,'Prod- 1'!$B$10:$E$69,4,0),0)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>
      <c r="B220" s="46">
        <f>+B219</f>
        <v>47665</v>
      </c>
      <c r="C220" s="44">
        <f>IFERROR(VLOOKUP(B220,'Prod- 1'!$B$10:$E$69,4,0),0)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>
      <c r="B221" s="41">
        <f t="shared" ref="B221:B222" si="84">+B220</f>
        <v>47665</v>
      </c>
      <c r="C221" s="39">
        <f>IFERROR(VLOOKUP(B221,'Prod- 1'!$B$10:$E$69,4,0),0)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>
      <c r="B222" s="46">
        <f t="shared" si="84"/>
        <v>47665</v>
      </c>
      <c r="C222" s="44">
        <f>IFERROR(VLOOKUP(B222,'Prod- 1'!$B$10:$E$69,4,0),0)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" hidden="1" thickBot="1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>
      <c r="B224" s="45">
        <f>+EDATE(B219,1)</f>
        <v>47696</v>
      </c>
      <c r="C224" s="43">
        <f>IFERROR(VLOOKUP(B224,'Prod- 1'!$B$10:$E$69,4,0),0)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>
      <c r="B225" s="46">
        <f>+B224</f>
        <v>47696</v>
      </c>
      <c r="C225" s="44">
        <f>IFERROR(VLOOKUP(B225,'Prod- 1'!$B$10:$E$69,4,0),0)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>
      <c r="B226" s="41">
        <f t="shared" ref="B226:B227" si="86">+B225</f>
        <v>47696</v>
      </c>
      <c r="C226" s="39">
        <f>IFERROR(VLOOKUP(B226,'Prod- 1'!$B$10:$E$69,4,0),0)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>
      <c r="B227" s="46">
        <f t="shared" si="86"/>
        <v>47696</v>
      </c>
      <c r="C227" s="44">
        <f>IFERROR(VLOOKUP(B227,'Prod- 1'!$B$10:$E$69,4,0),0)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" hidden="1" thickBot="1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>
      <c r="B229" s="45">
        <f>+EDATE(B224,1)</f>
        <v>47727</v>
      </c>
      <c r="C229" s="43">
        <f>IFERROR(VLOOKUP(B229,'Prod- 1'!$B$10:$E$69,4,0),0)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>
      <c r="B230" s="46">
        <f>+B229</f>
        <v>47727</v>
      </c>
      <c r="C230" s="44">
        <f>IFERROR(VLOOKUP(B230,'Prod- 1'!$B$10:$E$69,4,0),0)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>
      <c r="B231" s="41">
        <f t="shared" ref="B231:B232" si="88">+B230</f>
        <v>47727</v>
      </c>
      <c r="C231" s="39">
        <f>IFERROR(VLOOKUP(B231,'Prod- 1'!$B$10:$E$69,4,0),0)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>
      <c r="B232" s="46">
        <f t="shared" si="88"/>
        <v>47727</v>
      </c>
      <c r="C232" s="44">
        <f>IFERROR(VLOOKUP(B232,'Prod- 1'!$B$10:$E$69,4,0),0)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" hidden="1" thickBot="1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>
      <c r="B234" s="45">
        <f>+EDATE(B229,1)</f>
        <v>47757</v>
      </c>
      <c r="C234" s="43">
        <f>IFERROR(VLOOKUP(B234,'Prod- 1'!$B$10:$E$69,4,0),0)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>
      <c r="B235" s="46">
        <f>+B234</f>
        <v>47757</v>
      </c>
      <c r="C235" s="44">
        <f>IFERROR(VLOOKUP(B235,'Prod- 1'!$B$10:$E$69,4,0),0)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>
      <c r="B236" s="41">
        <f t="shared" ref="B236:B237" si="90">+B235</f>
        <v>47757</v>
      </c>
      <c r="C236" s="39">
        <f>IFERROR(VLOOKUP(B236,'Prod- 1'!$B$10:$E$69,4,0),0)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>
      <c r="B237" s="46">
        <f t="shared" si="90"/>
        <v>47757</v>
      </c>
      <c r="C237" s="44">
        <f>IFERROR(VLOOKUP(B237,'Prod- 1'!$B$10:$E$69,4,0),0)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" hidden="1" thickBot="1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>
      <c r="B239" s="45">
        <f>+EDATE(B234,1)</f>
        <v>47788</v>
      </c>
      <c r="C239" s="43">
        <f>IFERROR(VLOOKUP(B239,'Prod- 1'!$B$10:$E$69,4,0),0)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>
      <c r="B240" s="46">
        <f>+B239</f>
        <v>47788</v>
      </c>
      <c r="C240" s="44">
        <f>IFERROR(VLOOKUP(B240,'Prod- 1'!$B$10:$E$69,4,0),0)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>
      <c r="B241" s="41">
        <f t="shared" ref="B241:B242" si="92">+B240</f>
        <v>47788</v>
      </c>
      <c r="C241" s="39">
        <f>IFERROR(VLOOKUP(B241,'Prod- 1'!$B$10:$E$69,4,0),0)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>
      <c r="B242" s="46">
        <f t="shared" si="92"/>
        <v>47788</v>
      </c>
      <c r="C242" s="44">
        <f>IFERROR(VLOOKUP(B242,'Prod- 1'!$B$10:$E$69,4,0),0)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" hidden="1" thickBot="1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>
      <c r="B244" s="45">
        <f>+EDATE(B239,1)</f>
        <v>47818</v>
      </c>
      <c r="C244" s="43">
        <f>IFERROR(VLOOKUP(B244,'Prod- 1'!$B$10:$E$69,4,0),0)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>
      <c r="B245" s="46">
        <f>+B244</f>
        <v>47818</v>
      </c>
      <c r="C245" s="44">
        <f>IFERROR(VLOOKUP(B245,'Prod- 1'!$B$10:$E$69,4,0),0)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>
      <c r="B246" s="41">
        <f t="shared" ref="B246:B247" si="94">+B245</f>
        <v>47818</v>
      </c>
      <c r="C246" s="39">
        <f>IFERROR(VLOOKUP(B246,'Prod- 1'!$B$10:$E$69,4,0),0)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>
      <c r="B247" s="46">
        <f t="shared" si="94"/>
        <v>47818</v>
      </c>
      <c r="C247" s="44">
        <f>IFERROR(VLOOKUP(B247,'Prod- 1'!$B$10:$E$69,4,0),0)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" hidden="1" thickBot="1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>
      <c r="B249" s="45">
        <f>+EDATE(B244,1)</f>
        <v>47849</v>
      </c>
      <c r="C249" s="43">
        <f>IFERROR(VLOOKUP(B249,'Prod- 1'!$B$10:$E$69,4,0),0)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>
      <c r="B250" s="46">
        <f>+B249</f>
        <v>47849</v>
      </c>
      <c r="C250" s="44">
        <f>IFERROR(VLOOKUP(B250,'Prod- 1'!$B$10:$E$69,4,0),0)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>
      <c r="B251" s="41">
        <f t="shared" ref="B251:B252" si="96">+B250</f>
        <v>47849</v>
      </c>
      <c r="C251" s="39">
        <f>IFERROR(VLOOKUP(B251,'Prod- 1'!$B$10:$E$69,4,0),0)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>
      <c r="B252" s="46">
        <f t="shared" si="96"/>
        <v>47849</v>
      </c>
      <c r="C252" s="44">
        <f>IFERROR(VLOOKUP(B252,'Prod- 1'!$B$10:$E$69,4,0),0)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" hidden="1" thickBot="1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>
      <c r="B254" s="45">
        <f>+EDATE(B249,1)</f>
        <v>47880</v>
      </c>
      <c r="C254" s="43">
        <f>IFERROR(VLOOKUP(B254,'Prod- 1'!$B$10:$E$69,4,0),0)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>
      <c r="B255" s="46">
        <f>+B254</f>
        <v>47880</v>
      </c>
      <c r="C255" s="44">
        <f>IFERROR(VLOOKUP(B255,'Prod- 1'!$B$10:$E$69,4,0),0)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>
      <c r="B256" s="41">
        <f t="shared" ref="B256:B257" si="98">+B255</f>
        <v>47880</v>
      </c>
      <c r="C256" s="39">
        <f>IFERROR(VLOOKUP(B256,'Prod- 1'!$B$10:$E$69,4,0),0)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>
      <c r="B257" s="46">
        <f t="shared" si="98"/>
        <v>47880</v>
      </c>
      <c r="C257" s="44">
        <f>IFERROR(VLOOKUP(B257,'Prod- 1'!$B$10:$E$69,4,0),0)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" hidden="1" thickBot="1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>
      <c r="B259" s="45">
        <f>+EDATE(B254,1)</f>
        <v>47908</v>
      </c>
      <c r="C259" s="43">
        <f>IFERROR(VLOOKUP(B259,'Prod- 1'!$B$10:$E$69,4,0),0)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>
      <c r="B260" s="46">
        <f>+B259</f>
        <v>47908</v>
      </c>
      <c r="C260" s="44">
        <f>IFERROR(VLOOKUP(B260,'Prod- 1'!$B$10:$E$69,4,0),0)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>
      <c r="B261" s="41">
        <f t="shared" ref="B261:B262" si="100">+B260</f>
        <v>47908</v>
      </c>
      <c r="C261" s="39">
        <f>IFERROR(VLOOKUP(B261,'Prod- 1'!$B$10:$E$69,4,0),0)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>
      <c r="B262" s="46">
        <f t="shared" si="100"/>
        <v>47908</v>
      </c>
      <c r="C262" s="44">
        <f>IFERROR(VLOOKUP(B262,'Prod- 1'!$B$10:$E$69,4,0),0)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" hidden="1" thickBot="1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>
      <c r="B264" s="45">
        <f>+EDATE(B259,1)</f>
        <v>47939</v>
      </c>
      <c r="C264" s="43">
        <f>IFERROR(VLOOKUP(B264,'Prod- 1'!$B$10:$E$69,4,0),0)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>
      <c r="B265" s="46">
        <f>+B264</f>
        <v>47939</v>
      </c>
      <c r="C265" s="44">
        <f>IFERROR(VLOOKUP(B265,'Prod- 1'!$B$10:$E$69,4,0),0)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>
      <c r="B266" s="41">
        <f t="shared" ref="B266:B267" si="102">+B265</f>
        <v>47939</v>
      </c>
      <c r="C266" s="39">
        <f>IFERROR(VLOOKUP(B266,'Prod- 1'!$B$10:$E$69,4,0),0)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>
      <c r="B267" s="46">
        <f t="shared" si="102"/>
        <v>47939</v>
      </c>
      <c r="C267" s="44">
        <f>IFERROR(VLOOKUP(B267,'Prod- 1'!$B$10:$E$69,4,0),0)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" hidden="1" thickBot="1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>
      <c r="B269" s="45">
        <f>+EDATE(B264,1)</f>
        <v>47969</v>
      </c>
      <c r="C269" s="43">
        <f>IFERROR(VLOOKUP(B269,'Prod- 1'!$B$10:$E$69,4,0),0)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>
      <c r="B270" s="46">
        <f>+B269</f>
        <v>47969</v>
      </c>
      <c r="C270" s="44">
        <f>IFERROR(VLOOKUP(B270,'Prod- 1'!$B$10:$E$69,4,0),0)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>
      <c r="B271" s="41">
        <f t="shared" ref="B271:B272" si="104">+B270</f>
        <v>47969</v>
      </c>
      <c r="C271" s="39">
        <f>IFERROR(VLOOKUP(B271,'Prod- 1'!$B$10:$E$69,4,0),0)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>
      <c r="B272" s="46">
        <f t="shared" si="104"/>
        <v>47969</v>
      </c>
      <c r="C272" s="44">
        <f>IFERROR(VLOOKUP(B272,'Prod- 1'!$B$10:$E$69,4,0),0)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" hidden="1" thickBot="1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>
      <c r="B274" s="45">
        <f>+EDATE(B269,1)</f>
        <v>48000</v>
      </c>
      <c r="C274" s="43">
        <f>IFERROR(VLOOKUP(B274,'Prod- 1'!$B$10:$E$69,4,0),0)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>
      <c r="B275" s="46">
        <f>+B274</f>
        <v>48000</v>
      </c>
      <c r="C275" s="44">
        <f>IFERROR(VLOOKUP(B275,'Prod- 1'!$B$10:$E$69,4,0),0)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>
      <c r="B276" s="41">
        <f t="shared" ref="B276:B277" si="106">+B275</f>
        <v>48000</v>
      </c>
      <c r="C276" s="39">
        <f>IFERROR(VLOOKUP(B276,'Prod- 1'!$B$10:$E$69,4,0),0)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>
      <c r="B277" s="46">
        <f t="shared" si="106"/>
        <v>48000</v>
      </c>
      <c r="C277" s="44">
        <f>IFERROR(VLOOKUP(B277,'Prod- 1'!$B$10:$E$69,4,0),0)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" hidden="1" thickBot="1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>
      <c r="B279" s="45">
        <f>+EDATE(B274,1)</f>
        <v>48030</v>
      </c>
      <c r="C279" s="43">
        <f>IFERROR(VLOOKUP(B279,'Prod- 1'!$B$10:$E$69,4,0),0)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>
      <c r="B280" s="46">
        <f>+B279</f>
        <v>48030</v>
      </c>
      <c r="C280" s="44">
        <f>IFERROR(VLOOKUP(B280,'Prod- 1'!$B$10:$E$69,4,0),0)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>
      <c r="B281" s="41">
        <f t="shared" ref="B281:B282" si="108">+B280</f>
        <v>48030</v>
      </c>
      <c r="C281" s="39">
        <f>IFERROR(VLOOKUP(B281,'Prod- 1'!$B$10:$E$69,4,0),0)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>
      <c r="B282" s="46">
        <f t="shared" si="108"/>
        <v>48030</v>
      </c>
      <c r="C282" s="44">
        <f>IFERROR(VLOOKUP(B282,'Prod- 1'!$B$10:$E$69,4,0),0)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" hidden="1" thickBot="1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>
      <c r="B284" s="45">
        <f>+EDATE(B279,1)</f>
        <v>48061</v>
      </c>
      <c r="C284" s="43">
        <f>IFERROR(VLOOKUP(B284,'Prod- 1'!$B$10:$E$69,4,0),0)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>
      <c r="B285" s="46">
        <f>+B284</f>
        <v>48061</v>
      </c>
      <c r="C285" s="44">
        <f>IFERROR(VLOOKUP(B285,'Prod- 1'!$B$10:$E$69,4,0),0)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>
      <c r="B286" s="41">
        <f t="shared" ref="B286:B287" si="110">+B285</f>
        <v>48061</v>
      </c>
      <c r="C286" s="39">
        <f>IFERROR(VLOOKUP(B286,'Prod- 1'!$B$10:$E$69,4,0),0)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>
      <c r="B287" s="46">
        <f t="shared" si="110"/>
        <v>48061</v>
      </c>
      <c r="C287" s="44">
        <f>IFERROR(VLOOKUP(B287,'Prod- 1'!$B$10:$E$69,4,0),0)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" hidden="1" thickBot="1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>
      <c r="B289" s="45">
        <f>+EDATE(B284,1)</f>
        <v>48092</v>
      </c>
      <c r="C289" s="43">
        <f>IFERROR(VLOOKUP(B289,'Prod- 1'!$B$10:$E$69,4,0),0)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>
      <c r="B290" s="46">
        <f>+B289</f>
        <v>48092</v>
      </c>
      <c r="C290" s="44">
        <f>IFERROR(VLOOKUP(B290,'Prod- 1'!$B$10:$E$69,4,0),0)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>
      <c r="B291" s="41">
        <f t="shared" ref="B291:B292" si="112">+B290</f>
        <v>48092</v>
      </c>
      <c r="C291" s="39">
        <f>IFERROR(VLOOKUP(B291,'Prod- 1'!$B$10:$E$69,4,0),0)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>
      <c r="B292" s="46">
        <f t="shared" si="112"/>
        <v>48092</v>
      </c>
      <c r="C292" s="44">
        <f>IFERROR(VLOOKUP(B292,'Prod- 1'!$B$10:$E$69,4,0),0)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" hidden="1" thickBot="1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>
      <c r="B294" s="45">
        <f>+EDATE(B289,1)</f>
        <v>48122</v>
      </c>
      <c r="C294" s="43">
        <f>IFERROR(VLOOKUP(B294,'Prod- 1'!$B$10:$E$69,4,0),0)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>
      <c r="B295" s="46">
        <f>+B294</f>
        <v>48122</v>
      </c>
      <c r="C295" s="44">
        <f>IFERROR(VLOOKUP(B295,'Prod- 1'!$B$10:$E$69,4,0),0)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>
      <c r="B296" s="41">
        <f t="shared" ref="B296:B297" si="114">+B295</f>
        <v>48122</v>
      </c>
      <c r="C296" s="39">
        <f>IFERROR(VLOOKUP(B296,'Prod- 1'!$B$10:$E$69,4,0),0)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>
      <c r="B297" s="46">
        <f t="shared" si="114"/>
        <v>48122</v>
      </c>
      <c r="C297" s="44">
        <f>IFERROR(VLOOKUP(B297,'Prod- 1'!$B$10:$E$69,4,0),0)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" hidden="1" thickBot="1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>
      <c r="B299" s="45">
        <f>+EDATE(B294,1)</f>
        <v>48153</v>
      </c>
      <c r="C299" s="43">
        <f>IFERROR(VLOOKUP(B299,'Prod- 1'!$B$10:$E$69,4,0),0)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>
      <c r="B300" s="46">
        <f>+B299</f>
        <v>48153</v>
      </c>
      <c r="C300" s="44">
        <f>IFERROR(VLOOKUP(B300,'Prod- 1'!$B$10:$E$69,4,0),0)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>
      <c r="B301" s="41">
        <f t="shared" ref="B301:B302" si="116">+B300</f>
        <v>48153</v>
      </c>
      <c r="C301" s="39">
        <f>IFERROR(VLOOKUP(B301,'Prod- 1'!$B$10:$E$69,4,0),0)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>
      <c r="B302" s="46">
        <f t="shared" si="116"/>
        <v>48153</v>
      </c>
      <c r="C302" s="44">
        <f>IFERROR(VLOOKUP(B302,'Prod- 1'!$B$10:$E$69,4,0),0)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" hidden="1" thickBot="1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>
      <c r="B304" s="45">
        <f>+EDATE(B299,1)</f>
        <v>48183</v>
      </c>
      <c r="C304" s="43">
        <f>IFERROR(VLOOKUP(B304,'Prod- 1'!$B$10:$E$69,4,0),0)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>
      <c r="B305" s="46">
        <f>+B304</f>
        <v>48183</v>
      </c>
      <c r="C305" s="44">
        <f>IFERROR(VLOOKUP(B305,'Prod- 1'!$B$10:$E$69,4,0),0)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>
      <c r="B306" s="41">
        <f t="shared" ref="B306:B307" si="118">+B305</f>
        <v>48183</v>
      </c>
      <c r="C306" s="39">
        <f>IFERROR(VLOOKUP(B306,'Prod- 1'!$B$10:$E$69,4,0),0)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>
      <c r="B307" s="46">
        <f t="shared" si="118"/>
        <v>48183</v>
      </c>
      <c r="C307" s="44">
        <f>IFERROR(VLOOKUP(B307,'Prod- 1'!$B$10:$E$69,4,0),0)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" hidden="1" thickBot="1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>
      <c r="B309" s="45">
        <f>+EDATE(B304,1)</f>
        <v>48214</v>
      </c>
      <c r="C309" s="43">
        <f>IFERROR(VLOOKUP(B309,'Prod- 1'!$B$10:$E$69,4,0),0)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>
      <c r="B310" s="46">
        <f>+B309</f>
        <v>48214</v>
      </c>
      <c r="C310" s="44">
        <f>IFERROR(VLOOKUP(B310,'Prod- 1'!$B$10:$E$69,4,0),0)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>
      <c r="B311" s="41">
        <f t="shared" ref="B311:B312" si="120">+B310</f>
        <v>48214</v>
      </c>
      <c r="C311" s="39">
        <f>IFERROR(VLOOKUP(B311,'Prod- 1'!$B$10:$E$69,4,0),0)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>
      <c r="B312" s="46">
        <f t="shared" si="120"/>
        <v>48214</v>
      </c>
      <c r="C312" s="44">
        <f>IFERROR(VLOOKUP(B312,'Prod- 1'!$B$10:$E$69,4,0),0)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" hidden="1" thickBot="1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>
      <c r="B314" s="45">
        <f>+EDATE(B309,1)</f>
        <v>48245</v>
      </c>
      <c r="C314" s="43">
        <f>IFERROR(VLOOKUP(B314,'Prod- 1'!$B$10:$E$69,4,0),0)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>
      <c r="B315" s="46">
        <f>+B314</f>
        <v>48245</v>
      </c>
      <c r="C315" s="44">
        <f>IFERROR(VLOOKUP(B315,'Prod- 1'!$B$10:$E$69,4,0),0)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>
      <c r="B316" s="41">
        <f t="shared" ref="B316:B317" si="122">+B315</f>
        <v>48245</v>
      </c>
      <c r="C316" s="39">
        <f>IFERROR(VLOOKUP(B316,'Prod- 1'!$B$10:$E$69,4,0),0)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>
      <c r="B317" s="46">
        <f t="shared" si="122"/>
        <v>48245</v>
      </c>
      <c r="C317" s="44">
        <f>IFERROR(VLOOKUP(B317,'Prod- 1'!$B$10:$E$69,4,0),0)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" hidden="1" thickBot="1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>
      <c r="B319" s="45">
        <f>+EDATE(B314,1)</f>
        <v>48274</v>
      </c>
      <c r="C319" s="43">
        <f>IFERROR(VLOOKUP(B319,'Prod- 1'!$B$10:$E$69,4,0),0)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>
      <c r="B320" s="46">
        <f>+B319</f>
        <v>48274</v>
      </c>
      <c r="C320" s="44">
        <f>IFERROR(VLOOKUP(B320,'Prod- 1'!$B$10:$E$69,4,0),0)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>
      <c r="B321" s="41">
        <f t="shared" ref="B321:B322" si="124">+B320</f>
        <v>48274</v>
      </c>
      <c r="C321" s="39">
        <f>IFERROR(VLOOKUP(B321,'Prod- 1'!$B$10:$E$69,4,0),0)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>
      <c r="B322" s="46">
        <f t="shared" si="124"/>
        <v>48274</v>
      </c>
      <c r="C322" s="44">
        <f>IFERROR(VLOOKUP(B322,'Prod- 1'!$B$10:$E$69,4,0),0)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" hidden="1" thickBot="1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>
      <c r="B324" s="45">
        <f>+EDATE(B319,1)</f>
        <v>48305</v>
      </c>
      <c r="C324" s="43">
        <f>IFERROR(VLOOKUP(B324,'Prod- 1'!$B$10:$E$69,4,0),0)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>
      <c r="B325" s="46">
        <f>+B324</f>
        <v>48305</v>
      </c>
      <c r="C325" s="44">
        <f>IFERROR(VLOOKUP(B325,'Prod- 1'!$B$10:$E$69,4,0),0)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>
      <c r="B326" s="41">
        <f t="shared" ref="B326:B327" si="126">+B325</f>
        <v>48305</v>
      </c>
      <c r="C326" s="39">
        <f>IFERROR(VLOOKUP(B326,'Prod- 1'!$B$10:$E$69,4,0),0)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>
      <c r="B327" s="46">
        <f t="shared" si="126"/>
        <v>48305</v>
      </c>
      <c r="C327" s="44">
        <f>IFERROR(VLOOKUP(B327,'Prod- 1'!$B$10:$E$69,4,0),0)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" hidden="1" thickBot="1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>
      <c r="B329" s="45">
        <f>+EDATE(B324,1)</f>
        <v>48335</v>
      </c>
      <c r="C329" s="43">
        <f>IFERROR(VLOOKUP(B329,'Prod- 1'!$B$10:$E$69,4,0),0)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>
      <c r="B330" s="46">
        <f>+B329</f>
        <v>48335</v>
      </c>
      <c r="C330" s="44">
        <f>IFERROR(VLOOKUP(B330,'Prod- 1'!$B$10:$E$69,4,0),0)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>
      <c r="B331" s="41">
        <f t="shared" ref="B331:B332" si="128">+B330</f>
        <v>48335</v>
      </c>
      <c r="C331" s="39">
        <f>IFERROR(VLOOKUP(B331,'Prod- 1'!$B$10:$E$69,4,0),0)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>
      <c r="B332" s="46">
        <f t="shared" si="128"/>
        <v>48335</v>
      </c>
      <c r="C332" s="44">
        <f>IFERROR(VLOOKUP(B332,'Prod- 1'!$B$10:$E$69,4,0),0)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" hidden="1" thickBot="1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>
      <c r="B334" s="45">
        <f>+EDATE(B329,1)</f>
        <v>48366</v>
      </c>
      <c r="C334" s="43">
        <f>IFERROR(VLOOKUP(B334,'Prod- 1'!$B$10:$E$69,4,0),0)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>
      <c r="B335" s="46">
        <f>+B334</f>
        <v>48366</v>
      </c>
      <c r="C335" s="44">
        <f>IFERROR(VLOOKUP(B335,'Prod- 1'!$B$10:$E$69,4,0),0)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>
      <c r="B336" s="41">
        <f t="shared" ref="B336:B337" si="130">+B335</f>
        <v>48366</v>
      </c>
      <c r="C336" s="39">
        <f>IFERROR(VLOOKUP(B336,'Prod- 1'!$B$10:$E$69,4,0),0)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>
      <c r="B337" s="46">
        <f t="shared" si="130"/>
        <v>48366</v>
      </c>
      <c r="C337" s="44">
        <f>IFERROR(VLOOKUP(B337,'Prod- 1'!$B$10:$E$69,4,0),0)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" hidden="1" thickBot="1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>
      <c r="B339" s="45">
        <f>+EDATE(B334,1)</f>
        <v>48396</v>
      </c>
      <c r="C339" s="43">
        <f>IFERROR(VLOOKUP(B339,'Prod- 1'!$B$10:$E$69,4,0),0)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>
      <c r="B340" s="46">
        <f>+B339</f>
        <v>48396</v>
      </c>
      <c r="C340" s="44">
        <f>IFERROR(VLOOKUP(B340,'Prod- 1'!$B$10:$E$69,4,0),0)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>
      <c r="B341" s="41">
        <f t="shared" ref="B341:B342" si="132">+B340</f>
        <v>48396</v>
      </c>
      <c r="C341" s="39">
        <f>IFERROR(VLOOKUP(B341,'Prod- 1'!$B$10:$E$69,4,0),0)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>
      <c r="B342" s="46">
        <f t="shared" si="132"/>
        <v>48396</v>
      </c>
      <c r="C342" s="44">
        <f>IFERROR(VLOOKUP(B342,'Prod- 1'!$B$10:$E$69,4,0),0)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" hidden="1" thickBot="1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>
      <c r="B344" s="45">
        <f>+EDATE(B339,1)</f>
        <v>48427</v>
      </c>
      <c r="C344" s="43">
        <f>IFERROR(VLOOKUP(B344,'Prod- 1'!$B$10:$E$69,4,0),0)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>
      <c r="B345" s="46">
        <f>+B344</f>
        <v>48427</v>
      </c>
      <c r="C345" s="44">
        <f>IFERROR(VLOOKUP(B345,'Prod- 1'!$B$10:$E$69,4,0),0)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>
      <c r="B346" s="41">
        <f t="shared" ref="B346:B347" si="134">+B345</f>
        <v>48427</v>
      </c>
      <c r="C346" s="39">
        <f>IFERROR(VLOOKUP(B346,'Prod- 1'!$B$10:$E$69,4,0),0)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>
      <c r="B347" s="46">
        <f t="shared" si="134"/>
        <v>48427</v>
      </c>
      <c r="C347" s="44">
        <f>IFERROR(VLOOKUP(B347,'Prod- 1'!$B$10:$E$69,4,0),0)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" hidden="1" thickBot="1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>
      <c r="B349" s="45">
        <f>+EDATE(B344,1)</f>
        <v>48458</v>
      </c>
      <c r="C349" s="43">
        <f>IFERROR(VLOOKUP(B349,'Prod- 1'!$B$10:$E$69,4,0),0)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>
      <c r="B350" s="46">
        <f>+B349</f>
        <v>48458</v>
      </c>
      <c r="C350" s="44">
        <f>IFERROR(VLOOKUP(B350,'Prod- 1'!$B$10:$E$69,4,0),0)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>
      <c r="B351" s="41">
        <f t="shared" ref="B351:B352" si="136">+B350</f>
        <v>48458</v>
      </c>
      <c r="C351" s="39">
        <f>IFERROR(VLOOKUP(B351,'Prod- 1'!$B$10:$E$69,4,0),0)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>
      <c r="B352" s="46">
        <f t="shared" si="136"/>
        <v>48458</v>
      </c>
      <c r="C352" s="44">
        <f>IFERROR(VLOOKUP(B352,'Prod- 1'!$B$10:$E$69,4,0),0)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" hidden="1" thickBot="1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>
      <c r="B354" s="45">
        <f>+EDATE(B349,1)</f>
        <v>48488</v>
      </c>
      <c r="C354" s="43">
        <f>IFERROR(VLOOKUP(B354,'Prod- 1'!$B$10:$E$69,4,0),0)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>
      <c r="B355" s="46">
        <f>+B354</f>
        <v>48488</v>
      </c>
      <c r="C355" s="44">
        <f>IFERROR(VLOOKUP(B355,'Prod- 1'!$B$10:$E$69,4,0),0)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>
      <c r="B356" s="41">
        <f t="shared" ref="B356:B357" si="138">+B355</f>
        <v>48488</v>
      </c>
      <c r="C356" s="39">
        <f>IFERROR(VLOOKUP(B356,'Prod- 1'!$B$10:$E$69,4,0),0)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>
      <c r="B357" s="46">
        <f t="shared" si="138"/>
        <v>48488</v>
      </c>
      <c r="C357" s="44">
        <f>IFERROR(VLOOKUP(B357,'Prod- 1'!$B$10:$E$69,4,0),0)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" hidden="1" thickBot="1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>
      <c r="B359" s="45">
        <f>+EDATE(B354,1)</f>
        <v>48519</v>
      </c>
      <c r="C359" s="43">
        <f>IFERROR(VLOOKUP(B359,'Prod- 1'!$B$10:$E$69,4,0),0)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>
      <c r="B360" s="46">
        <f>+B359</f>
        <v>48519</v>
      </c>
      <c r="C360" s="44">
        <f>IFERROR(VLOOKUP(B360,'Prod- 1'!$B$10:$E$69,4,0),0)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>
      <c r="B361" s="41">
        <f t="shared" ref="B361:B362" si="140">+B360</f>
        <v>48519</v>
      </c>
      <c r="C361" s="39">
        <f>IFERROR(VLOOKUP(B361,'Prod- 1'!$B$10:$E$69,4,0),0)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>
      <c r="B362" s="46">
        <f t="shared" si="140"/>
        <v>48519</v>
      </c>
      <c r="C362" s="44">
        <f>IFERROR(VLOOKUP(B362,'Prod- 1'!$B$10:$E$69,4,0),0)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" hidden="1" thickBot="1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>
      <c r="B364" s="45">
        <f>+EDATE(B359,1)</f>
        <v>48549</v>
      </c>
      <c r="C364" s="43">
        <f>IFERROR(VLOOKUP(B364,'Prod- 1'!$B$10:$E$105,4,0),0)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>
      <c r="B365" s="46">
        <f>+B364</f>
        <v>48549</v>
      </c>
      <c r="C365" s="44">
        <f>IFERROR(VLOOKUP(B365,'Prod- 1'!$B$10:$E$105,4,0),0)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>
      <c r="B366" s="41">
        <f t="shared" ref="B366:B367" si="142">+B365</f>
        <v>48549</v>
      </c>
      <c r="C366" s="39">
        <f>IFERROR(VLOOKUP(B366,'Prod- 1'!$B$10:$E$105,4,0),0)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>
      <c r="B367" s="46">
        <f t="shared" si="142"/>
        <v>48549</v>
      </c>
      <c r="C367" s="44">
        <f>IFERROR(VLOOKUP(B367,'Prod- 1'!$B$10:$E$105,4,0),0)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" hidden="1" thickBot="1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>
      <c r="B369" s="45">
        <f>+EDATE(B364,1)</f>
        <v>48580</v>
      </c>
      <c r="C369" s="43">
        <f>IFERROR(VLOOKUP(B369,'Prod- 1'!$B$10:$E$105,4,0),0)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>
      <c r="B370" s="46">
        <f>+B369</f>
        <v>48580</v>
      </c>
      <c r="C370" s="44">
        <f>IFERROR(VLOOKUP(B370,'Prod- 1'!$B$10:$E$105,4,0),0)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>
      <c r="B371" s="41">
        <f t="shared" ref="B371:B372" si="144">+B370</f>
        <v>48580</v>
      </c>
      <c r="C371" s="39">
        <f>IFERROR(VLOOKUP(B371,'Prod- 1'!$B$10:$E$105,4,0),0)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>
      <c r="B372" s="46">
        <f t="shared" si="144"/>
        <v>48580</v>
      </c>
      <c r="C372" s="44">
        <f>IFERROR(VLOOKUP(B372,'Prod- 1'!$B$10:$E$105,4,0),0)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" hidden="1" thickBot="1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>
      <c r="B374" s="45">
        <f>+EDATE(B369,1)</f>
        <v>48611</v>
      </c>
      <c r="C374" s="43">
        <f>IFERROR(VLOOKUP(B374,'Prod- 1'!$B$10:$E$105,4,0),0)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>
      <c r="B375" s="46">
        <f>+B374</f>
        <v>48611</v>
      </c>
      <c r="C375" s="44">
        <f>IFERROR(VLOOKUP(B375,'Prod- 1'!$B$10:$E$105,4,0),0)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>
      <c r="B376" s="41">
        <f t="shared" ref="B376:B377" si="146">+B375</f>
        <v>48611</v>
      </c>
      <c r="C376" s="39">
        <f>IFERROR(VLOOKUP(B376,'Prod- 1'!$B$10:$E$105,4,0),0)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>
      <c r="B377" s="46">
        <f t="shared" si="146"/>
        <v>48611</v>
      </c>
      <c r="C377" s="44">
        <f>IFERROR(VLOOKUP(B377,'Prod- 1'!$B$10:$E$105,4,0),0)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" hidden="1" thickBot="1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>
      <c r="B379" s="45">
        <f>+EDATE(B374,1)</f>
        <v>48639</v>
      </c>
      <c r="C379" s="43">
        <f>IFERROR(VLOOKUP(B379,'Prod- 1'!$B$10:$E$105,4,0),0)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>
      <c r="B380" s="46">
        <f>+B379</f>
        <v>48639</v>
      </c>
      <c r="C380" s="44">
        <f>IFERROR(VLOOKUP(B380,'Prod- 1'!$B$10:$E$105,4,0),0)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>
      <c r="B381" s="41">
        <f t="shared" ref="B381:B382" si="148">+B380</f>
        <v>48639</v>
      </c>
      <c r="C381" s="39">
        <f>IFERROR(VLOOKUP(B381,'Prod- 1'!$B$10:$E$105,4,0),0)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>
      <c r="B382" s="46">
        <f t="shared" si="148"/>
        <v>48639</v>
      </c>
      <c r="C382" s="44">
        <f>IFERROR(VLOOKUP(B382,'Prod- 1'!$B$10:$E$105,4,0),0)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" hidden="1" thickBot="1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>
      <c r="B384" s="45">
        <f>+EDATE(B379,1)</f>
        <v>48670</v>
      </c>
      <c r="C384" s="43">
        <f>IFERROR(VLOOKUP(B384,'Prod- 1'!$B$10:$E$105,4,0),0)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>
      <c r="B385" s="46">
        <f>+B384</f>
        <v>48670</v>
      </c>
      <c r="C385" s="44">
        <f>IFERROR(VLOOKUP(B385,'Prod- 1'!$B$10:$E$105,4,0),0)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>
      <c r="B386" s="41">
        <f t="shared" ref="B386:B387" si="150">+B385</f>
        <v>48670</v>
      </c>
      <c r="C386" s="39">
        <f>IFERROR(VLOOKUP(B386,'Prod- 1'!$B$10:$E$105,4,0),0)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>
      <c r="B387" s="46">
        <f t="shared" si="150"/>
        <v>48670</v>
      </c>
      <c r="C387" s="44">
        <f>IFERROR(VLOOKUP(B387,'Prod- 1'!$B$10:$E$105,4,0),0)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" hidden="1" thickBot="1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>
      <c r="B389" s="45">
        <f>+EDATE(B384,1)</f>
        <v>48700</v>
      </c>
      <c r="C389" s="43">
        <f>IFERROR(VLOOKUP(B389,'Prod- 1'!$B$10:$E$105,4,0),0)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>
      <c r="B390" s="46">
        <f>+B389</f>
        <v>48700</v>
      </c>
      <c r="C390" s="44">
        <f>IFERROR(VLOOKUP(B390,'Prod- 1'!$B$10:$E$105,4,0),0)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>
      <c r="B391" s="41">
        <f t="shared" ref="B391:B392" si="152">+B390</f>
        <v>48700</v>
      </c>
      <c r="C391" s="39">
        <f>IFERROR(VLOOKUP(B391,'Prod- 1'!$B$10:$E$105,4,0),0)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>
      <c r="B392" s="46">
        <f t="shared" si="152"/>
        <v>48700</v>
      </c>
      <c r="C392" s="44">
        <f>IFERROR(VLOOKUP(B392,'Prod- 1'!$B$10:$E$105,4,0),0)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" hidden="1" thickBot="1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>
      <c r="B394" s="45">
        <f>+EDATE(B389,1)</f>
        <v>48731</v>
      </c>
      <c r="C394" s="43">
        <f>IFERROR(VLOOKUP(B394,'Prod- 1'!$B$10:$E$105,4,0),0)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>
      <c r="B395" s="46">
        <f>+B394</f>
        <v>48731</v>
      </c>
      <c r="C395" s="44">
        <f>IFERROR(VLOOKUP(B395,'Prod- 1'!$B$10:$E$105,4,0),0)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>
      <c r="B396" s="41">
        <f t="shared" ref="B396:B397" si="154">+B395</f>
        <v>48731</v>
      </c>
      <c r="C396" s="39">
        <f>IFERROR(VLOOKUP(B396,'Prod- 1'!$B$10:$E$105,4,0),0)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>
      <c r="B397" s="46">
        <f t="shared" si="154"/>
        <v>48731</v>
      </c>
      <c r="C397" s="44">
        <f>IFERROR(VLOOKUP(B397,'Prod- 1'!$B$10:$E$105,4,0),0)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" hidden="1" thickBot="1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>
      <c r="B399" s="45">
        <f>+EDATE(B394,1)</f>
        <v>48761</v>
      </c>
      <c r="C399" s="43">
        <f>IFERROR(VLOOKUP(B399,'Prod- 1'!$B$10:$E$105,4,0),0)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>
      <c r="B400" s="46">
        <f>+B399</f>
        <v>48761</v>
      </c>
      <c r="C400" s="44">
        <f>IFERROR(VLOOKUP(B400,'Prod- 1'!$B$10:$E$105,4,0),0)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>
      <c r="B401" s="41">
        <f t="shared" ref="B401:B402" si="156">+B400</f>
        <v>48761</v>
      </c>
      <c r="C401" s="39">
        <f>IFERROR(VLOOKUP(B401,'Prod- 1'!$B$10:$E$105,4,0),0)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>
      <c r="B402" s="46">
        <f t="shared" si="156"/>
        <v>48761</v>
      </c>
      <c r="C402" s="44">
        <f>IFERROR(VLOOKUP(B402,'Prod- 1'!$B$10:$E$105,4,0),0)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" hidden="1" thickBot="1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>
      <c r="B404" s="45">
        <f>+EDATE(B399,1)</f>
        <v>48792</v>
      </c>
      <c r="C404" s="43">
        <f>IFERROR(VLOOKUP(B404,'Prod- 1'!$B$10:$E$105,4,0),0)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>
      <c r="B405" s="46">
        <f>+B404</f>
        <v>48792</v>
      </c>
      <c r="C405" s="44">
        <f>IFERROR(VLOOKUP(B405,'Prod- 1'!$B$10:$E$105,4,0),0)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>
      <c r="B406" s="41">
        <f t="shared" ref="B406:B407" si="158">+B405</f>
        <v>48792</v>
      </c>
      <c r="C406" s="39">
        <f>IFERROR(VLOOKUP(B406,'Prod- 1'!$B$10:$E$105,4,0),0)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>
      <c r="B407" s="46">
        <f t="shared" si="158"/>
        <v>48792</v>
      </c>
      <c r="C407" s="44">
        <f>IFERROR(VLOOKUP(B407,'Prod- 1'!$B$10:$E$105,4,0),0)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" hidden="1" thickBot="1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>
      <c r="B409" s="45">
        <f>+EDATE(B404,1)</f>
        <v>48823</v>
      </c>
      <c r="C409" s="43">
        <f>IFERROR(VLOOKUP(B409,'Prod- 1'!$B$10:$E$105,4,0),0)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>
      <c r="B410" s="46">
        <f>+B409</f>
        <v>48823</v>
      </c>
      <c r="C410" s="44">
        <f>IFERROR(VLOOKUP(B410,'Prod- 1'!$B$10:$E$105,4,0),0)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>
      <c r="B411" s="41">
        <f t="shared" ref="B411:B412" si="160">+B410</f>
        <v>48823</v>
      </c>
      <c r="C411" s="39">
        <f>IFERROR(VLOOKUP(B411,'Prod- 1'!$B$10:$E$105,4,0),0)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>
      <c r="B412" s="46">
        <f t="shared" si="160"/>
        <v>48823</v>
      </c>
      <c r="C412" s="44">
        <f>IFERROR(VLOOKUP(B412,'Prod- 1'!$B$10:$E$105,4,0),0)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" hidden="1" thickBot="1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>
      <c r="B414" s="45">
        <f>+EDATE(B409,1)</f>
        <v>48853</v>
      </c>
      <c r="C414" s="43">
        <f>IFERROR(VLOOKUP(B414,'Prod- 1'!$B$10:$E$105,4,0),0)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>
      <c r="B415" s="46">
        <f>+B414</f>
        <v>48853</v>
      </c>
      <c r="C415" s="44">
        <f>IFERROR(VLOOKUP(B415,'Prod- 1'!$B$10:$E$105,4,0),0)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>
      <c r="B416" s="41">
        <f t="shared" ref="B416:B417" si="162">+B415</f>
        <v>48853</v>
      </c>
      <c r="C416" s="39">
        <f>IFERROR(VLOOKUP(B416,'Prod- 1'!$B$10:$E$105,4,0),0)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>
      <c r="B417" s="46">
        <f t="shared" si="162"/>
        <v>48853</v>
      </c>
      <c r="C417" s="44">
        <f>IFERROR(VLOOKUP(B417,'Prod- 1'!$B$10:$E$105,4,0),0)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" hidden="1" thickBot="1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>
      <c r="B419" s="45">
        <f>+EDATE(B414,1)</f>
        <v>48884</v>
      </c>
      <c r="C419" s="43">
        <f>IFERROR(VLOOKUP(B419,'Prod- 1'!$B$10:$E$105,4,0),0)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>
      <c r="B420" s="46">
        <f>+B419</f>
        <v>48884</v>
      </c>
      <c r="C420" s="44">
        <f>IFERROR(VLOOKUP(B420,'Prod- 1'!$B$10:$E$105,4,0),0)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>
      <c r="B421" s="41">
        <f t="shared" ref="B421:B422" si="164">+B420</f>
        <v>48884</v>
      </c>
      <c r="C421" s="39">
        <f>IFERROR(VLOOKUP(B421,'Prod- 1'!$B$10:$E$105,4,0),0)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>
      <c r="B422" s="46">
        <f t="shared" si="164"/>
        <v>48884</v>
      </c>
      <c r="C422" s="44">
        <f>IFERROR(VLOOKUP(B422,'Prod- 1'!$B$10:$E$105,4,0),0)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" hidden="1" thickBot="1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>
      <c r="B424" s="45">
        <f>+EDATE(B419,1)</f>
        <v>48914</v>
      </c>
      <c r="C424" s="43">
        <f>IFERROR(VLOOKUP(B424,'Prod- 1'!$B$10:$E$105,4,0),0)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>
      <c r="B425" s="46">
        <f>+B424</f>
        <v>48914</v>
      </c>
      <c r="C425" s="44">
        <f>IFERROR(VLOOKUP(B425,'Prod- 1'!$B$10:$E$105,4,0),0)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>
      <c r="B426" s="41">
        <f t="shared" ref="B426:B427" si="166">+B425</f>
        <v>48914</v>
      </c>
      <c r="C426" s="39">
        <f>IFERROR(VLOOKUP(B426,'Prod- 1'!$B$10:$E$105,4,0),0)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>
      <c r="B427" s="46">
        <f t="shared" si="166"/>
        <v>48914</v>
      </c>
      <c r="C427" s="44">
        <f>IFERROR(VLOOKUP(B427,'Prod- 1'!$B$10:$E$105,4,0),0)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" hidden="1" thickBot="1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>
      <c r="B429" s="45">
        <f>+EDATE(B424,1)</f>
        <v>48945</v>
      </c>
      <c r="C429" s="43">
        <f>IFERROR(VLOOKUP(B429,'Prod- 1'!$B$10:$E$105,4,0),0)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>
      <c r="B430" s="46">
        <f>+B429</f>
        <v>48945</v>
      </c>
      <c r="C430" s="44">
        <f>IFERROR(VLOOKUP(B430,'Prod- 1'!$B$10:$E$105,4,0),0)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>
      <c r="B431" s="41">
        <f t="shared" ref="B431:B432" si="168">+B430</f>
        <v>48945</v>
      </c>
      <c r="C431" s="39">
        <f>IFERROR(VLOOKUP(B431,'Prod- 1'!$B$10:$E$105,4,0),0)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>
      <c r="B432" s="46">
        <f t="shared" si="168"/>
        <v>48945</v>
      </c>
      <c r="C432" s="44">
        <f>IFERROR(VLOOKUP(B432,'Prod- 1'!$B$10:$E$105,4,0),0)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" hidden="1" thickBot="1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>
      <c r="B434" s="45">
        <f>+EDATE(B429,1)</f>
        <v>48976</v>
      </c>
      <c r="C434" s="43">
        <f>IFERROR(VLOOKUP(B434,'Prod- 1'!$B$10:$E$105,4,0),0)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>
      <c r="B435" s="46">
        <f>+B434</f>
        <v>48976</v>
      </c>
      <c r="C435" s="44">
        <f>IFERROR(VLOOKUP(B435,'Prod- 1'!$B$10:$E$105,4,0),0)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>
      <c r="B436" s="41">
        <f t="shared" ref="B436:B437" si="170">+B435</f>
        <v>48976</v>
      </c>
      <c r="C436" s="39">
        <f>IFERROR(VLOOKUP(B436,'Prod- 1'!$B$10:$E$105,4,0),0)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>
      <c r="B437" s="46">
        <f t="shared" si="170"/>
        <v>48976</v>
      </c>
      <c r="C437" s="44">
        <f>IFERROR(VLOOKUP(B437,'Prod- 1'!$B$10:$E$105,4,0),0)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" hidden="1" thickBot="1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>
      <c r="B439" s="45">
        <f>+EDATE(B434,1)</f>
        <v>49004</v>
      </c>
      <c r="C439" s="43">
        <f>IFERROR(VLOOKUP(B439,'Prod- 1'!$B$10:$E$105,4,0),0)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>
      <c r="B440" s="46">
        <f>+B439</f>
        <v>49004</v>
      </c>
      <c r="C440" s="44">
        <f>IFERROR(VLOOKUP(B440,'Prod- 1'!$B$10:$E$105,4,0),0)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>
      <c r="B441" s="41">
        <f t="shared" ref="B441:B442" si="172">+B440</f>
        <v>49004</v>
      </c>
      <c r="C441" s="39">
        <f>IFERROR(VLOOKUP(B441,'Prod- 1'!$B$10:$E$105,4,0),0)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>
      <c r="B442" s="46">
        <f t="shared" si="172"/>
        <v>49004</v>
      </c>
      <c r="C442" s="44">
        <f>IFERROR(VLOOKUP(B442,'Prod- 1'!$B$10:$E$105,4,0),0)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" hidden="1" thickBot="1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>
      <c r="B444" s="45">
        <f>+EDATE(B439,1)</f>
        <v>49035</v>
      </c>
      <c r="C444" s="43">
        <f>IFERROR(VLOOKUP(B444,'Prod- 1'!$B$10:$E$105,4,0),0)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>
      <c r="B445" s="46">
        <f>+B444</f>
        <v>49035</v>
      </c>
      <c r="C445" s="44">
        <f>IFERROR(VLOOKUP(B445,'Prod- 1'!$B$10:$E$105,4,0),0)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>
      <c r="B446" s="41">
        <f t="shared" ref="B446:B447" si="174">+B445</f>
        <v>49035</v>
      </c>
      <c r="C446" s="39">
        <f>IFERROR(VLOOKUP(B446,'Prod- 1'!$B$10:$E$105,4,0),0)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>
      <c r="B447" s="46">
        <f t="shared" si="174"/>
        <v>49035</v>
      </c>
      <c r="C447" s="44">
        <f>IFERROR(VLOOKUP(B447,'Prod- 1'!$B$10:$E$105,4,0),0)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" hidden="1" thickBot="1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>
      <c r="B449" s="45">
        <f>+EDATE(B444,1)</f>
        <v>49065</v>
      </c>
      <c r="C449" s="43">
        <f>IFERROR(VLOOKUP(B449,'Prod- 1'!$B$10:$E$105,4,0),0)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>
      <c r="B450" s="46">
        <f>+B449</f>
        <v>49065</v>
      </c>
      <c r="C450" s="44">
        <f>IFERROR(VLOOKUP(B450,'Prod- 1'!$B$10:$E$105,4,0),0)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>
      <c r="B451" s="41">
        <f t="shared" ref="B451:B452" si="176">+B450</f>
        <v>49065</v>
      </c>
      <c r="C451" s="39">
        <f>IFERROR(VLOOKUP(B451,'Prod- 1'!$B$10:$E$105,4,0),0)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>
      <c r="B452" s="46">
        <f t="shared" si="176"/>
        <v>49065</v>
      </c>
      <c r="C452" s="44">
        <f>IFERROR(VLOOKUP(B452,'Prod- 1'!$B$10:$E$105,4,0),0)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" hidden="1" thickBot="1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>
      <c r="B454" s="45">
        <f>+EDATE(B449,1)</f>
        <v>49096</v>
      </c>
      <c r="C454" s="43">
        <f>IFERROR(VLOOKUP(B454,'Prod- 1'!$B$10:$E$105,4,0),0)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>
      <c r="B455" s="46">
        <f>+B454</f>
        <v>49096</v>
      </c>
      <c r="C455" s="44">
        <f>IFERROR(VLOOKUP(B455,'Prod- 1'!$B$10:$E$105,4,0),0)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>
      <c r="B456" s="41">
        <f t="shared" ref="B456:B457" si="178">+B455</f>
        <v>49096</v>
      </c>
      <c r="C456" s="39">
        <f>IFERROR(VLOOKUP(B456,'Prod- 1'!$B$10:$E$105,4,0),0)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>
      <c r="B457" s="46">
        <f t="shared" si="178"/>
        <v>49096</v>
      </c>
      <c r="C457" s="44">
        <f>IFERROR(VLOOKUP(B457,'Prod- 1'!$B$10:$E$105,4,0),0)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" hidden="1" thickBot="1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>
      <c r="B459" s="45">
        <f>+EDATE(B454,1)</f>
        <v>49126</v>
      </c>
      <c r="C459" s="43">
        <f>IFERROR(VLOOKUP(B459,'Prod- 1'!$B$10:$E$105,4,0),0)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>
      <c r="B460" s="46">
        <f>+B459</f>
        <v>49126</v>
      </c>
      <c r="C460" s="44">
        <f>IFERROR(VLOOKUP(B460,'Prod- 1'!$B$10:$E$105,4,0),0)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>
      <c r="B461" s="41">
        <f t="shared" ref="B461:B462" si="180">+B460</f>
        <v>49126</v>
      </c>
      <c r="C461" s="39">
        <f>IFERROR(VLOOKUP(B461,'Prod- 1'!$B$10:$E$105,4,0),0)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>
      <c r="B462" s="46">
        <f t="shared" si="180"/>
        <v>49126</v>
      </c>
      <c r="C462" s="44">
        <f>IFERROR(VLOOKUP(B462,'Prod- 1'!$B$10:$E$105,4,0),0)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" hidden="1" thickBot="1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>
      <c r="B464" s="45">
        <f>+EDATE(B459,1)</f>
        <v>49157</v>
      </c>
      <c r="C464" s="43">
        <f>IFERROR(VLOOKUP(B464,'Prod- 1'!$B$10:$E$105,4,0),0)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>
      <c r="B465" s="46">
        <f>+B464</f>
        <v>49157</v>
      </c>
      <c r="C465" s="44">
        <f>IFERROR(VLOOKUP(B465,'Prod- 1'!$B$10:$E$105,4,0),0)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>
      <c r="B466" s="41">
        <f t="shared" ref="B466:B467" si="182">+B465</f>
        <v>49157</v>
      </c>
      <c r="C466" s="39">
        <f>IFERROR(VLOOKUP(B466,'Prod- 1'!$B$10:$E$105,4,0),0)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>
      <c r="B467" s="46">
        <f t="shared" si="182"/>
        <v>49157</v>
      </c>
      <c r="C467" s="44">
        <f>IFERROR(VLOOKUP(B467,'Prod- 1'!$B$10:$E$105,4,0),0)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" hidden="1" thickBot="1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>
      <c r="B469" s="45">
        <f>+EDATE(B464,1)</f>
        <v>49188</v>
      </c>
      <c r="C469" s="43">
        <f>IFERROR(VLOOKUP(B469,'Prod- 1'!$B$10:$E$105,4,0),0)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>
      <c r="B470" s="46">
        <f>+B469</f>
        <v>49188</v>
      </c>
      <c r="C470" s="44">
        <f>IFERROR(VLOOKUP(B470,'Prod- 1'!$B$10:$E$105,4,0),0)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>
      <c r="B471" s="41">
        <f t="shared" ref="B471:B472" si="184">+B470</f>
        <v>49188</v>
      </c>
      <c r="C471" s="39">
        <f>IFERROR(VLOOKUP(B471,'Prod- 1'!$B$10:$E$105,4,0),0)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>
      <c r="B472" s="46">
        <f t="shared" si="184"/>
        <v>49188</v>
      </c>
      <c r="C472" s="44">
        <f>IFERROR(VLOOKUP(B472,'Prod- 1'!$B$10:$E$105,4,0),0)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" hidden="1" thickBot="1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>
      <c r="B474" s="45">
        <f>+EDATE(B469,1)</f>
        <v>49218</v>
      </c>
      <c r="C474" s="43">
        <f>IFERROR(VLOOKUP(B474,'Prod- 1'!$B$10:$E$105,4,0),0)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>
      <c r="B475" s="46">
        <f>+B474</f>
        <v>49218</v>
      </c>
      <c r="C475" s="44">
        <f>IFERROR(VLOOKUP(B475,'Prod- 1'!$B$10:$E$105,4,0),0)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>
      <c r="B476" s="41">
        <f t="shared" ref="B476:B477" si="186">+B475</f>
        <v>49218</v>
      </c>
      <c r="C476" s="39">
        <f>IFERROR(VLOOKUP(B476,'Prod- 1'!$B$10:$E$105,4,0),0)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>
      <c r="B477" s="46">
        <f t="shared" si="186"/>
        <v>49218</v>
      </c>
      <c r="C477" s="44">
        <f>IFERROR(VLOOKUP(B477,'Prod- 1'!$B$10:$E$105,4,0),0)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" hidden="1" thickBot="1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>
      <c r="B479" s="45">
        <f>+EDATE(B474,1)</f>
        <v>49249</v>
      </c>
      <c r="C479" s="43">
        <f>IFERROR(VLOOKUP(B479,'Prod- 1'!$B$10:$E$105,4,0),0)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>
      <c r="B480" s="46">
        <f>+B479</f>
        <v>49249</v>
      </c>
      <c r="C480" s="44">
        <f>IFERROR(VLOOKUP(B480,'Prod- 1'!$B$10:$E$105,4,0),0)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>
      <c r="B481" s="41">
        <f t="shared" ref="B481:B482" si="188">+B480</f>
        <v>49249</v>
      </c>
      <c r="C481" s="39">
        <f>IFERROR(VLOOKUP(B481,'Prod- 1'!$B$10:$E$105,4,0),0)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>
      <c r="B482" s="46">
        <f t="shared" si="188"/>
        <v>49249</v>
      </c>
      <c r="C482" s="44">
        <f>IFERROR(VLOOKUP(B482,'Prod- 1'!$B$10:$E$105,4,0),0)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" hidden="1" thickBot="1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>
      <c r="B484" s="45">
        <f>+EDATE(B479,1)</f>
        <v>49279</v>
      </c>
      <c r="C484" s="43">
        <f>IFERROR(VLOOKUP(B484,'Prod- 1'!$B$10:$E$105,4,0),0)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>
      <c r="B485" s="46">
        <f>+B484</f>
        <v>49279</v>
      </c>
      <c r="C485" s="44">
        <f>IFERROR(VLOOKUP(B485,'Prod- 1'!$B$10:$E$105,4,0),0)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>
      <c r="B486" s="41">
        <f t="shared" ref="B486:B487" si="190">+B485</f>
        <v>49279</v>
      </c>
      <c r="C486" s="39">
        <f>IFERROR(VLOOKUP(B486,'Prod- 1'!$B$10:$E$105,4,0),0)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>
      <c r="B487" s="46">
        <f t="shared" si="190"/>
        <v>49279</v>
      </c>
      <c r="C487" s="44">
        <f>IFERROR(VLOOKUP(B487,'Prod- 1'!$B$10:$E$105,4,0),0)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" hidden="1" thickBot="1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>
      <c r="B489" s="45">
        <f>+EDATE(B484,1)</f>
        <v>49310</v>
      </c>
      <c r="C489" s="43">
        <f>IFERROR(VLOOKUP(B489,'Prod- 1'!$B$10:$E$105,4,0),0)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>
      <c r="B490" s="46">
        <f>+B489</f>
        <v>49310</v>
      </c>
      <c r="C490" s="44">
        <f>IFERROR(VLOOKUP(B490,'Prod- 1'!$B$10:$E$105,4,0),0)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>
      <c r="B491" s="41">
        <f t="shared" ref="B491:B492" si="192">+B490</f>
        <v>49310</v>
      </c>
      <c r="C491" s="39">
        <f>IFERROR(VLOOKUP(B491,'Prod- 1'!$B$10:$E$105,4,0),0)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>
      <c r="B492" s="46">
        <f t="shared" si="192"/>
        <v>49310</v>
      </c>
      <c r="C492" s="44">
        <f>IFERROR(VLOOKUP(B492,'Prod- 1'!$B$10:$E$105,4,0),0)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" hidden="1" thickBot="1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>
      <c r="B494" s="45">
        <f>+EDATE(B489,1)</f>
        <v>49341</v>
      </c>
      <c r="C494" s="43">
        <f>IFERROR(VLOOKUP(B494,'Prod- 1'!$B$10:$E$105,4,0),0)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>
      <c r="B495" s="46">
        <f>+B494</f>
        <v>49341</v>
      </c>
      <c r="C495" s="44">
        <f>IFERROR(VLOOKUP(B495,'Prod- 1'!$B$10:$E$105,4,0),0)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>
      <c r="B496" s="41">
        <f t="shared" ref="B496:B497" si="194">+B495</f>
        <v>49341</v>
      </c>
      <c r="C496" s="39">
        <f>IFERROR(VLOOKUP(B496,'Prod- 1'!$B$10:$E$105,4,0),0)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>
      <c r="B497" s="46">
        <f t="shared" si="194"/>
        <v>49341</v>
      </c>
      <c r="C497" s="44">
        <f>IFERROR(VLOOKUP(B497,'Prod- 1'!$B$10:$E$105,4,0),0)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" hidden="1" thickBot="1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>
      <c r="B499" s="45">
        <f>+EDATE(B494,1)</f>
        <v>49369</v>
      </c>
      <c r="C499" s="43">
        <f>IFERROR(VLOOKUP(B499,'Prod- 1'!$B$10:$E$105,4,0),0)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>
      <c r="B500" s="46">
        <f>+B499</f>
        <v>49369</v>
      </c>
      <c r="C500" s="44">
        <f>IFERROR(VLOOKUP(B500,'Prod- 1'!$B$10:$E$105,4,0),0)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>
      <c r="B501" s="41">
        <f t="shared" ref="B501:B502" si="196">+B500</f>
        <v>49369</v>
      </c>
      <c r="C501" s="39">
        <f>IFERROR(VLOOKUP(B501,'Prod- 1'!$B$10:$E$105,4,0),0)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>
      <c r="B502" s="46">
        <f t="shared" si="196"/>
        <v>49369</v>
      </c>
      <c r="C502" s="44">
        <f>IFERROR(VLOOKUP(B502,'Prod- 1'!$B$10:$E$105,4,0),0)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" hidden="1" thickBot="1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>
      <c r="B504" s="45">
        <f>+EDATE(B499,1)</f>
        <v>49400</v>
      </c>
      <c r="C504" s="43">
        <f>IFERROR(VLOOKUP(B504,'Prod- 1'!$B$10:$E$105,4,0),0)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>
      <c r="B505" s="46">
        <f>+B504</f>
        <v>49400</v>
      </c>
      <c r="C505" s="44">
        <f>IFERROR(VLOOKUP(B505,'Prod- 1'!$B$10:$E$105,4,0),0)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>
      <c r="B506" s="41">
        <f t="shared" ref="B506:B507" si="198">+B505</f>
        <v>49400</v>
      </c>
      <c r="C506" s="39">
        <f>IFERROR(VLOOKUP(B506,'Prod- 1'!$B$10:$E$105,4,0),0)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>
      <c r="B507" s="46">
        <f t="shared" si="198"/>
        <v>49400</v>
      </c>
      <c r="C507" s="44">
        <f>IFERROR(VLOOKUP(B507,'Prod- 1'!$B$10:$E$105,4,0),0)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" hidden="1" thickBot="1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>
      <c r="B509" s="45">
        <f>+EDATE(B504,1)</f>
        <v>49430</v>
      </c>
      <c r="C509" s="43">
        <f>IFERROR(VLOOKUP(B509,'Prod- 1'!$B$10:$E$105,4,0),0)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>
      <c r="B510" s="46">
        <f>+B509</f>
        <v>49430</v>
      </c>
      <c r="C510" s="44">
        <f>IFERROR(VLOOKUP(B510,'Prod- 1'!$B$10:$E$105,4,0),0)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>
      <c r="B511" s="41">
        <f t="shared" ref="B511:B512" si="200">+B510</f>
        <v>49430</v>
      </c>
      <c r="C511" s="39">
        <f>IFERROR(VLOOKUP(B511,'Prod- 1'!$B$10:$E$105,4,0),0)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>
      <c r="B512" s="46">
        <f t="shared" si="200"/>
        <v>49430</v>
      </c>
      <c r="C512" s="44">
        <f>IFERROR(VLOOKUP(B512,'Prod- 1'!$B$10:$E$105,4,0),0)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" hidden="1" thickBot="1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>
      <c r="B514" s="45">
        <f>+EDATE(B509,1)</f>
        <v>49461</v>
      </c>
      <c r="C514" s="43">
        <f>IFERROR(VLOOKUP(B514,'Prod- 1'!$B$10:$E$105,4,0),0)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>
      <c r="B515" s="46">
        <f>+B514</f>
        <v>49461</v>
      </c>
      <c r="C515" s="44">
        <f>IFERROR(VLOOKUP(B515,'Prod- 1'!$B$10:$E$105,4,0),0)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>
      <c r="B516" s="41">
        <f t="shared" ref="B516:B517" si="202">+B515</f>
        <v>49461</v>
      </c>
      <c r="C516" s="39">
        <f>IFERROR(VLOOKUP(B516,'Prod- 1'!$B$10:$E$105,4,0),0)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>
      <c r="B517" s="46">
        <f t="shared" si="202"/>
        <v>49461</v>
      </c>
      <c r="C517" s="44">
        <f>IFERROR(VLOOKUP(B517,'Prod- 1'!$B$10:$E$105,4,0),0)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" hidden="1" thickBot="1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>
      <c r="B519" s="45">
        <f>+EDATE(B514,1)</f>
        <v>49491</v>
      </c>
      <c r="C519" s="43">
        <f>IFERROR(VLOOKUP(B519,'Prod- 1'!$B$10:$E$105,4,0),0)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>
      <c r="B520" s="46">
        <f>+B519</f>
        <v>49491</v>
      </c>
      <c r="C520" s="44">
        <f>IFERROR(VLOOKUP(B520,'Prod- 1'!$B$10:$E$105,4,0),0)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>
      <c r="B521" s="41">
        <f t="shared" ref="B521:B522" si="204">+B520</f>
        <v>49491</v>
      </c>
      <c r="C521" s="39">
        <f>IFERROR(VLOOKUP(B521,'Prod- 1'!$B$10:$E$105,4,0),0)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>
      <c r="B522" s="46">
        <f t="shared" si="204"/>
        <v>49491</v>
      </c>
      <c r="C522" s="44">
        <f>IFERROR(VLOOKUP(B522,'Prod- 1'!$B$10:$E$105,4,0),0)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" hidden="1" thickBot="1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>
      <c r="B524" s="45">
        <f>+EDATE(B519,1)</f>
        <v>49522</v>
      </c>
      <c r="C524" s="43">
        <f>IFERROR(VLOOKUP(B524,'Prod- 1'!$B$10:$E$105,4,0),0)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>
      <c r="B525" s="46">
        <f>+B524</f>
        <v>49522</v>
      </c>
      <c r="C525" s="44">
        <f>IFERROR(VLOOKUP(B525,'Prod- 1'!$B$10:$E$105,4,0),0)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>
      <c r="B526" s="41">
        <f t="shared" ref="B526:B527" si="206">+B525</f>
        <v>49522</v>
      </c>
      <c r="C526" s="39">
        <f>IFERROR(VLOOKUP(B526,'Prod- 1'!$B$10:$E$105,4,0),0)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>
      <c r="B527" s="46">
        <f t="shared" si="206"/>
        <v>49522</v>
      </c>
      <c r="C527" s="44">
        <f>IFERROR(VLOOKUP(B527,'Prod- 1'!$B$10:$E$105,4,0),0)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" hidden="1" thickBot="1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>
      <c r="B529" s="45">
        <f>+EDATE(B524,1)</f>
        <v>49553</v>
      </c>
      <c r="C529" s="43">
        <f>IFERROR(VLOOKUP(B529,'Prod- 1'!$B$10:$E$105,4,0),0)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>
      <c r="B530" s="46">
        <f>+B529</f>
        <v>49553</v>
      </c>
      <c r="C530" s="44">
        <f>IFERROR(VLOOKUP(B530,'Prod- 1'!$B$10:$E$105,4,0),0)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>
      <c r="B531" s="41">
        <f t="shared" ref="B531:B532" si="208">+B530</f>
        <v>49553</v>
      </c>
      <c r="C531" s="39">
        <f>IFERROR(VLOOKUP(B531,'Prod- 1'!$B$10:$E$105,4,0),0)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>
      <c r="B532" s="46">
        <f t="shared" si="208"/>
        <v>49553</v>
      </c>
      <c r="C532" s="44">
        <f>IFERROR(VLOOKUP(B532,'Prod- 1'!$B$10:$E$105,4,0),0)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" hidden="1" thickBot="1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>
      <c r="B534" s="45">
        <f>+EDATE(B529,1)</f>
        <v>49583</v>
      </c>
      <c r="C534" s="43">
        <f>IFERROR(VLOOKUP(B534,'Prod- 1'!$B$10:$E$105,4,0),0)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>
      <c r="B535" s="46">
        <f>+B534</f>
        <v>49583</v>
      </c>
      <c r="C535" s="44">
        <f>IFERROR(VLOOKUP(B535,'Prod- 1'!$B$10:$E$105,4,0),0)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>
      <c r="B536" s="41">
        <f t="shared" ref="B536:B537" si="210">+B535</f>
        <v>49583</v>
      </c>
      <c r="C536" s="39">
        <f>IFERROR(VLOOKUP(B536,'Prod- 1'!$B$10:$E$105,4,0),0)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>
      <c r="B537" s="46">
        <f t="shared" si="210"/>
        <v>49583</v>
      </c>
      <c r="C537" s="44">
        <f>IFERROR(VLOOKUP(B537,'Prod- 1'!$B$10:$E$105,4,0),0)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" hidden="1" thickBot="1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>
      <c r="B539" s="45">
        <f>+EDATE(B534,1)</f>
        <v>49614</v>
      </c>
      <c r="C539" s="43">
        <f>IFERROR(VLOOKUP(B539,'Prod- 1'!$B$10:$E$105,4,0),0)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>
      <c r="B540" s="46">
        <f>+B539</f>
        <v>49614</v>
      </c>
      <c r="C540" s="44">
        <f>IFERROR(VLOOKUP(B540,'Prod- 1'!$B$10:$E$105,4,0),0)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>
      <c r="B541" s="41">
        <f t="shared" ref="B541:B542" si="212">+B540</f>
        <v>49614</v>
      </c>
      <c r="C541" s="39">
        <f>IFERROR(VLOOKUP(B541,'Prod- 1'!$B$10:$E$105,4,0),0)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>
      <c r="B542" s="46">
        <f t="shared" si="212"/>
        <v>49614</v>
      </c>
      <c r="C542" s="44">
        <f>IFERROR(VLOOKUP(B542,'Prod- 1'!$B$10:$E$105,4,0),0)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" hidden="1" thickBot="1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>
      <c r="B544" s="45">
        <f>+EDATE(B539,1)</f>
        <v>49644</v>
      </c>
      <c r="C544" s="43">
        <f>IFERROR(VLOOKUP(B544,'Prod- 1'!$B$10:$E$105,4,0),0)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>
      <c r="B545" s="46">
        <f>+B544</f>
        <v>49644</v>
      </c>
      <c r="C545" s="44">
        <f>IFERROR(VLOOKUP(B545,'Prod- 1'!$B$10:$E$105,4,0),0)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>
      <c r="B546" s="41">
        <f t="shared" ref="B546:B547" si="214">+B545</f>
        <v>49644</v>
      </c>
      <c r="C546" s="39">
        <f>IFERROR(VLOOKUP(B546,'Prod- 1'!$B$10:$E$105,4,0),0)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>
      <c r="B547" s="46">
        <f t="shared" si="214"/>
        <v>49644</v>
      </c>
      <c r="C547" s="44">
        <f>IFERROR(VLOOKUP(B547,'Prod- 1'!$B$10:$E$105,4,0),0)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" hidden="1" thickBot="1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  <row r="550" spans="2:32">
      <c r="AD550" s="66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Basis</vt:lpstr>
      <vt:lpstr>Prod- 1</vt:lpstr>
      <vt:lpstr>Cant. 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Villalobos Muñoz</dc:creator>
  <cp:lastModifiedBy>Karen Dayana Vidal Rivera</cp:lastModifiedBy>
  <dcterms:created xsi:type="dcterms:W3CDTF">2023-04-07T14:42:22Z</dcterms:created>
  <dcterms:modified xsi:type="dcterms:W3CDTF">2026-07-01T21:41:18Z</dcterms:modified>
</cp:coreProperties>
</file>