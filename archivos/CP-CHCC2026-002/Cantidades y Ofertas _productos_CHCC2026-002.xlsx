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omprasEnergia\Convocatorias - General\CP-CHCC2026-02\04_Pliegos definitivos\"/>
    </mc:Choice>
  </mc:AlternateContent>
  <xr:revisionPtr revIDLastSave="0" documentId="13_ncr:1_{D7E1099B-D2A7-4EAF-AD6B-1226DE5FCE09}" xr6:coauthVersionLast="47" xr6:coauthVersionMax="47" xr10:uidLastSave="{00000000-0000-0000-0000-000000000000}"/>
  <bookViews>
    <workbookView xWindow="-110" yWindow="-110" windowWidth="19420" windowHeight="10300" xr2:uid="{DBCF6EBD-C4B3-4CEE-B16A-4B2AC1F0ECF6}"/>
  </bookViews>
  <sheets>
    <sheet name="Oferta Producto 1" sheetId="12" r:id="rId1"/>
    <sheet name="Cantidad Producto 1-2029" sheetId="1" r:id="rId2"/>
    <sheet name="Cantidad Producto 1-2030" sheetId="18" r:id="rId3"/>
    <sheet name="Cantidad Producto 1-2031" sheetId="3" r:id="rId4"/>
    <sheet name="Cantidad Producto 1-2032" sheetId="4" r:id="rId5"/>
    <sheet name="Cantidad Producto 1-2033" sheetId="21" r:id="rId6"/>
    <sheet name="Cantidad Producto 1-2034" sheetId="24" r:id="rId7"/>
    <sheet name="Cantidad Producto 1-2035 " sheetId="25" r:id="rId8"/>
    <sheet name="Cantidad Producto 1-2036" sheetId="26" r:id="rId9"/>
    <sheet name="Cantidad Producto 1-2037" sheetId="27" r:id="rId10"/>
    <sheet name="Cantidad Producto 1-2038" sheetId="28" r:id="rId11"/>
    <sheet name="Cantidad Producto 1-2039" sheetId="29" r:id="rId12"/>
  </sheets>
  <definedNames>
    <definedName name="_xlnm._FilterDatabase" localSheetId="1" hidden="1">'Cantidad Producto 1-2029'!$B$6:$AC$55</definedName>
    <definedName name="_xlnm._FilterDatabase" localSheetId="6" hidden="1">'Cantidad Producto 1-2034'!$B$6:$AC$55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1" l="1"/>
  <c r="E145" i="12"/>
  <c r="E144" i="12"/>
  <c r="E138" i="12"/>
  <c r="E137" i="12"/>
  <c r="E136" i="12"/>
  <c r="E135" i="12"/>
  <c r="E134" i="12"/>
  <c r="E130" i="12"/>
  <c r="E129" i="12"/>
  <c r="E124" i="12"/>
  <c r="E123" i="12"/>
  <c r="E117" i="12"/>
  <c r="E114" i="12"/>
  <c r="E113" i="12"/>
  <c r="E112" i="12"/>
  <c r="E111" i="12"/>
  <c r="E103" i="12"/>
  <c r="E102" i="12"/>
  <c r="E101" i="12"/>
  <c r="E100" i="12"/>
  <c r="E99" i="12"/>
  <c r="E92" i="12"/>
  <c r="E90" i="12"/>
  <c r="E89" i="12"/>
  <c r="E88" i="12"/>
  <c r="E87" i="12"/>
  <c r="E86" i="12"/>
  <c r="E80" i="12"/>
  <c r="E77" i="12"/>
  <c r="E76" i="12"/>
  <c r="E75" i="12"/>
  <c r="E69" i="12"/>
  <c r="E68" i="12"/>
  <c r="E67" i="12"/>
  <c r="E66" i="12"/>
  <c r="E65" i="12"/>
  <c r="E63" i="12"/>
  <c r="E62" i="12"/>
  <c r="E61" i="12"/>
  <c r="E53" i="12"/>
  <c r="E52" i="12"/>
  <c r="E51" i="12"/>
  <c r="E50" i="12"/>
  <c r="E43" i="12"/>
  <c r="E42" i="12"/>
  <c r="E41" i="12"/>
  <c r="E39" i="12"/>
  <c r="E35" i="12"/>
  <c r="E34" i="12"/>
  <c r="E33" i="12"/>
  <c r="E32" i="12"/>
  <c r="E28" i="12"/>
  <c r="E27" i="12"/>
  <c r="E19" i="12"/>
  <c r="E20" i="12"/>
  <c r="E21" i="12"/>
  <c r="E26" i="12"/>
  <c r="E18" i="12"/>
  <c r="E16" i="12"/>
  <c r="E17" i="12"/>
  <c r="AC39" i="18"/>
  <c r="AE15" i="18" s="1"/>
  <c r="AC27" i="18"/>
  <c r="AE12" i="18" s="1"/>
  <c r="AC11" i="18"/>
  <c r="AC7" i="18"/>
  <c r="AC51" i="24"/>
  <c r="AE18" i="24" s="1"/>
  <c r="AC51" i="25"/>
  <c r="AE18" i="25" s="1"/>
  <c r="AC51" i="26"/>
  <c r="AE18" i="26" s="1"/>
  <c r="AC43" i="26"/>
  <c r="AE16" i="26" s="1"/>
  <c r="AC39" i="26"/>
  <c r="AE15" i="26" s="1"/>
  <c r="AC31" i="26"/>
  <c r="AE13" i="26" s="1"/>
  <c r="AC47" i="28"/>
  <c r="AE17" i="28" s="1"/>
  <c r="AC43" i="28"/>
  <c r="AE16" i="28" s="1"/>
  <c r="AC19" i="28"/>
  <c r="AE10" i="28" s="1"/>
  <c r="AC51" i="29"/>
  <c r="AE18" i="29" s="1"/>
  <c r="AC39" i="29"/>
  <c r="AE15" i="29" s="1"/>
  <c r="AC31" i="29"/>
  <c r="AE13" i="29" s="1"/>
  <c r="AC27" i="29"/>
  <c r="AE12" i="29" s="1"/>
  <c r="AC19" i="29"/>
  <c r="AE10" i="29" s="1"/>
  <c r="AC15" i="29"/>
  <c r="AE9" i="29" s="1"/>
  <c r="AC11" i="29"/>
  <c r="AE8" i="29" s="1"/>
  <c r="AC7" i="29"/>
  <c r="AC51" i="1"/>
  <c r="AC43" i="29"/>
  <c r="AE16" i="29" s="1"/>
  <c r="AC11" i="28"/>
  <c r="AC19" i="26"/>
  <c r="AE10" i="26" s="1"/>
  <c r="AC23" i="24"/>
  <c r="AE11" i="24" s="1"/>
  <c r="AC35" i="1"/>
  <c r="AE14" i="1" s="1"/>
  <c r="E24" i="12"/>
  <c r="E25" i="12"/>
  <c r="E36" i="12"/>
  <c r="E37" i="12"/>
  <c r="E38" i="12"/>
  <c r="E44" i="12"/>
  <c r="E45" i="12"/>
  <c r="E46" i="12"/>
  <c r="E48" i="12"/>
  <c r="E49" i="12"/>
  <c r="E58" i="12"/>
  <c r="E59" i="12"/>
  <c r="E60" i="12"/>
  <c r="E74" i="12"/>
  <c r="E81" i="12"/>
  <c r="E82" i="12"/>
  <c r="E84" i="12"/>
  <c r="E85" i="12"/>
  <c r="E93" i="12"/>
  <c r="E94" i="12"/>
  <c r="E96" i="12"/>
  <c r="E97" i="12"/>
  <c r="E98" i="12"/>
  <c r="E105" i="12"/>
  <c r="E106" i="12"/>
  <c r="E107" i="12"/>
  <c r="E108" i="12"/>
  <c r="E109" i="12"/>
  <c r="E110" i="12"/>
  <c r="E118" i="12"/>
  <c r="E121" i="12"/>
  <c r="E122" i="12"/>
  <c r="E132" i="12"/>
  <c r="E133" i="12"/>
  <c r="E142" i="12"/>
  <c r="E71" i="12"/>
  <c r="E72" i="12"/>
  <c r="E73" i="12"/>
  <c r="E141" i="12"/>
  <c r="E146" i="12"/>
  <c r="E125" i="12"/>
  <c r="E126" i="12"/>
  <c r="E119" i="12"/>
  <c r="E120" i="12"/>
  <c r="E95" i="12"/>
  <c r="E56" i="12"/>
  <c r="E57" i="12"/>
  <c r="E22" i="12"/>
  <c r="E29" i="12"/>
  <c r="E30" i="12"/>
  <c r="E31" i="12"/>
  <c r="E40" i="12"/>
  <c r="E47" i="12"/>
  <c r="E54" i="12"/>
  <c r="E55" i="12"/>
  <c r="E64" i="12"/>
  <c r="E70" i="12"/>
  <c r="E78" i="12"/>
  <c r="E79" i="12"/>
  <c r="E83" i="12"/>
  <c r="E91" i="12"/>
  <c r="E104" i="12"/>
  <c r="E115" i="12"/>
  <c r="E116" i="12"/>
  <c r="E127" i="12"/>
  <c r="E128" i="12"/>
  <c r="E131" i="12"/>
  <c r="E139" i="12"/>
  <c r="E140" i="12"/>
  <c r="E143" i="12"/>
  <c r="AC39" i="28"/>
  <c r="AC35" i="28"/>
  <c r="AE14" i="28" s="1"/>
  <c r="C147" i="12" l="1"/>
  <c r="AC7" i="3"/>
  <c r="AC51" i="3"/>
  <c r="AC7" i="4"/>
  <c r="AC39" i="21"/>
  <c r="AE15" i="21" s="1"/>
  <c r="AC7" i="21"/>
  <c r="AC35" i="24"/>
  <c r="AE14" i="24" s="1"/>
  <c r="AC47" i="24"/>
  <c r="AE17" i="24" s="1"/>
  <c r="AC7" i="25"/>
  <c r="AC19" i="25"/>
  <c r="AE10" i="25" s="1"/>
  <c r="AC23" i="25"/>
  <c r="AE11" i="25" s="1"/>
  <c r="AC35" i="26"/>
  <c r="AE14" i="26" s="1"/>
  <c r="AC23" i="26"/>
  <c r="AE11" i="26" s="1"/>
  <c r="AC47" i="26"/>
  <c r="AE17" i="26" s="1"/>
  <c r="AC31" i="27"/>
  <c r="AE13" i="27" s="1"/>
  <c r="AC7" i="27"/>
  <c r="AE7" i="27" s="1"/>
  <c r="AC15" i="27"/>
  <c r="AE9" i="27" s="1"/>
  <c r="AC19" i="27"/>
  <c r="AE10" i="27" s="1"/>
  <c r="AC27" i="27"/>
  <c r="AE12" i="27" s="1"/>
  <c r="AC51" i="27"/>
  <c r="AE18" i="27" s="1"/>
  <c r="AC27" i="28"/>
  <c r="AE12" i="28" s="1"/>
  <c r="AC15" i="28"/>
  <c r="AE9" i="28" s="1"/>
  <c r="AC51" i="28"/>
  <c r="AC23" i="29"/>
  <c r="AE11" i="29" s="1"/>
  <c r="AC31" i="1"/>
  <c r="AE13" i="1" s="1"/>
  <c r="AC7" i="1"/>
  <c r="AC47" i="1"/>
  <c r="AE17" i="1" s="1"/>
  <c r="AC11" i="1"/>
  <c r="AE8" i="1" s="1"/>
  <c r="AC19" i="1"/>
  <c r="AE10" i="1" s="1"/>
  <c r="AC23" i="1"/>
  <c r="AE11" i="1" s="1"/>
  <c r="AC35" i="29"/>
  <c r="AE14" i="29" s="1"/>
  <c r="AC47" i="29"/>
  <c r="AE17" i="29" s="1"/>
  <c r="AE18" i="28"/>
  <c r="AE8" i="28"/>
  <c r="AE15" i="28"/>
  <c r="AC23" i="28"/>
  <c r="AC31" i="28"/>
  <c r="AC7" i="28"/>
  <c r="AC47" i="27"/>
  <c r="AE17" i="27" s="1"/>
  <c r="AC35" i="27"/>
  <c r="AE14" i="27" s="1"/>
  <c r="AC39" i="27"/>
  <c r="AE15" i="27" s="1"/>
  <c r="AC43" i="27"/>
  <c r="AE16" i="27" s="1"/>
  <c r="AC11" i="27"/>
  <c r="AE8" i="27" s="1"/>
  <c r="AC23" i="27"/>
  <c r="AE11" i="27" s="1"/>
  <c r="AC7" i="26"/>
  <c r="AE7" i="26" s="1"/>
  <c r="AC15" i="26"/>
  <c r="AE9" i="26" s="1"/>
  <c r="AC27" i="26"/>
  <c r="AE12" i="26" s="1"/>
  <c r="AC11" i="26"/>
  <c r="AE8" i="26" s="1"/>
  <c r="AC11" i="25"/>
  <c r="AE8" i="25" s="1"/>
  <c r="AC15" i="25"/>
  <c r="AE9" i="25" s="1"/>
  <c r="AC31" i="25"/>
  <c r="AE13" i="25" s="1"/>
  <c r="AC47" i="25"/>
  <c r="AE17" i="25" s="1"/>
  <c r="AC35" i="25"/>
  <c r="AE14" i="25" s="1"/>
  <c r="AC39" i="25"/>
  <c r="AE15" i="25" s="1"/>
  <c r="AC43" i="25"/>
  <c r="AE16" i="25" s="1"/>
  <c r="AC27" i="25"/>
  <c r="AE12" i="25" s="1"/>
  <c r="AC27" i="24"/>
  <c r="AE12" i="24" s="1"/>
  <c r="AC31" i="24"/>
  <c r="AE13" i="24" s="1"/>
  <c r="AC11" i="24"/>
  <c r="AE8" i="24" s="1"/>
  <c r="AC19" i="24"/>
  <c r="AE10" i="24" s="1"/>
  <c r="AC39" i="24"/>
  <c r="AE15" i="24" s="1"/>
  <c r="AC43" i="24"/>
  <c r="AE16" i="24" s="1"/>
  <c r="AC15" i="24"/>
  <c r="AE9" i="24" s="1"/>
  <c r="AC7" i="24"/>
  <c r="AC19" i="21"/>
  <c r="AE10" i="21" s="1"/>
  <c r="AC35" i="21"/>
  <c r="AE14" i="21" s="1"/>
  <c r="AC15" i="21"/>
  <c r="AE9" i="21" s="1"/>
  <c r="AC31" i="21"/>
  <c r="AE13" i="21" s="1"/>
  <c r="AC43" i="21"/>
  <c r="AE16" i="21" s="1"/>
  <c r="AC15" i="1"/>
  <c r="AE9" i="1" s="1"/>
  <c r="AC43" i="1"/>
  <c r="AE16" i="1" s="1"/>
  <c r="AE18" i="1"/>
  <c r="AC39" i="1"/>
  <c r="AE15" i="1" s="1"/>
  <c r="AC27" i="1"/>
  <c r="AE12" i="1" s="1"/>
  <c r="E23" i="12"/>
  <c r="E15" i="12"/>
  <c r="AE7" i="29"/>
  <c r="AE7" i="25"/>
  <c r="AC51" i="21"/>
  <c r="AC27" i="21"/>
  <c r="AC47" i="21"/>
  <c r="AC11" i="21"/>
  <c r="AC23" i="21"/>
  <c r="AE7" i="21"/>
  <c r="AC43" i="18"/>
  <c r="AE16" i="18" s="1"/>
  <c r="AC15" i="18"/>
  <c r="AE9" i="18" s="1"/>
  <c r="AC23" i="18"/>
  <c r="AC51" i="18"/>
  <c r="AE18" i="18" s="1"/>
  <c r="AC31" i="18"/>
  <c r="AE13" i="18" s="1"/>
  <c r="AC35" i="18"/>
  <c r="AE14" i="18" s="1"/>
  <c r="AC47" i="18"/>
  <c r="AE17" i="18" s="1"/>
  <c r="AC19" i="18"/>
  <c r="AE10" i="18" s="1"/>
  <c r="AE7" i="18"/>
  <c r="AC11" i="4"/>
  <c r="AC23" i="4"/>
  <c r="AC51" i="4"/>
  <c r="AC19" i="4"/>
  <c r="AC31" i="4"/>
  <c r="AC43" i="4"/>
  <c r="AC11" i="3"/>
  <c r="AC35" i="3"/>
  <c r="AC19" i="3"/>
  <c r="AC31" i="3"/>
  <c r="AC43" i="3"/>
  <c r="AC55" i="18" l="1"/>
  <c r="AC55" i="24"/>
  <c r="AE19" i="29"/>
  <c r="AC55" i="29"/>
  <c r="AC55" i="28"/>
  <c r="AE7" i="28"/>
  <c r="AE13" i="28"/>
  <c r="AE11" i="28"/>
  <c r="AE19" i="28" s="1"/>
  <c r="AE19" i="27"/>
  <c r="AC55" i="27"/>
  <c r="AC55" i="26"/>
  <c r="AE19" i="26"/>
  <c r="AE19" i="25"/>
  <c r="AC55" i="25"/>
  <c r="AE7" i="24"/>
  <c r="AE19" i="24" s="1"/>
  <c r="AE8" i="21"/>
  <c r="AE12" i="21"/>
  <c r="AE17" i="21"/>
  <c r="AE18" i="21"/>
  <c r="AE11" i="21"/>
  <c r="AE19" i="1"/>
  <c r="AC55" i="1"/>
  <c r="AC55" i="21"/>
  <c r="AE16" i="4"/>
  <c r="AE11" i="4"/>
  <c r="AE13" i="4"/>
  <c r="AE8" i="4"/>
  <c r="AE10" i="4"/>
  <c r="AE18" i="4"/>
  <c r="AE7" i="4"/>
  <c r="AE18" i="3"/>
  <c r="AE13" i="3"/>
  <c r="AE14" i="3"/>
  <c r="AE16" i="3"/>
  <c r="AE10" i="3"/>
  <c r="AE8" i="3"/>
  <c r="AE7" i="3"/>
  <c r="AE11" i="18"/>
  <c r="AE8" i="18"/>
  <c r="AC15" i="4"/>
  <c r="AC39" i="4"/>
  <c r="AC27" i="4"/>
  <c r="AC47" i="4"/>
  <c r="AC35" i="4"/>
  <c r="AC39" i="3"/>
  <c r="AC27" i="3"/>
  <c r="AC15" i="3"/>
  <c r="AC47" i="3"/>
  <c r="AC23" i="3"/>
  <c r="AE19" i="21" l="1"/>
  <c r="AC55" i="3"/>
  <c r="AE17" i="4"/>
  <c r="AE15" i="4"/>
  <c r="AE12" i="4"/>
  <c r="AE9" i="4"/>
  <c r="AE14" i="4"/>
  <c r="AE9" i="3"/>
  <c r="AE11" i="3"/>
  <c r="AE17" i="3"/>
  <c r="AE12" i="3"/>
  <c r="AE15" i="3"/>
  <c r="AE19" i="18"/>
  <c r="AC55" i="4"/>
  <c r="AE19" i="4" l="1"/>
  <c r="AE19" i="3"/>
</calcChain>
</file>

<file path=xl/sharedStrings.xml><?xml version="1.0" encoding="utf-8"?>
<sst xmlns="http://schemas.openxmlformats.org/spreadsheetml/2006/main" count="1431" uniqueCount="81">
  <si>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</si>
  <si>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</si>
  <si>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</si>
  <si>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</si>
  <si>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</si>
  <si>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</si>
  <si>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</si>
  <si>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</si>
  <si>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</si>
  <si>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</si>
  <si>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</si>
  <si>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</si>
  <si>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</si>
  <si>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</si>
  <si>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</si>
  <si>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</si>
  <si>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</si>
  <si>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</si>
  <si>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</si>
  <si>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</si>
  <si>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</si>
  <si>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</si>
  <si>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</si>
  <si>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</si>
  <si>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</si>
  <si>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</si>
  <si>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</si>
  <si>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</si>
  <si>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Ene</t>
  </si>
  <si>
    <t xml:space="preserve"> Ordinario</t>
  </si>
  <si>
    <t xml:space="preserve"> Sábado</t>
  </si>
  <si>
    <t xml:space="preserve"> Domingo</t>
  </si>
  <si>
    <t xml:space="preserve"> Festivo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</si>
  <si>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</si>
  <si>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</si>
  <si>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</si>
  <si>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</si>
  <si>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</si>
  <si>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</si>
  <si>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</si>
  <si>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</si>
  <si>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</si>
  <si>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</si>
  <si>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</si>
  <si>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CENTRAL HIDROELECTRICA DE CALDAS S.A. E.S.P. -BENEFICIO E INTERÉS COLECTIVO</t>
  </si>
  <si>
    <t>CANTIDADES DE ENERGÍA SOLICITADAS (kWh)</t>
  </si>
  <si>
    <t>TOTAL AÑO kWh</t>
  </si>
  <si>
    <t>ANEXO. CANTIDADES DE ENERGÍA Y PRECIO</t>
  </si>
  <si>
    <t>PRODUCTO:</t>
  </si>
  <si>
    <t>OFERENTE:</t>
  </si>
  <si>
    <t>AÑO:</t>
  </si>
  <si>
    <t>CANTIDAD EN:</t>
  </si>
  <si>
    <t>EN PESOS DE</t>
  </si>
  <si>
    <t>INDICADOR:</t>
  </si>
  <si>
    <t>IPP- PROVISIONAL</t>
  </si>
  <si>
    <t>TIPO DE CONTRATO:</t>
  </si>
  <si>
    <t>TIPO DE CARGA:</t>
  </si>
  <si>
    <t>CURVA</t>
  </si>
  <si>
    <t xml:space="preserve">Fecha </t>
  </si>
  <si>
    <t>Energia Solicitada kWh</t>
  </si>
  <si>
    <t>Porcentaje Ofertado %</t>
  </si>
  <si>
    <t>Energia Ofertada kWh</t>
  </si>
  <si>
    <t>Precio $/KWh</t>
  </si>
  <si>
    <t>%</t>
  </si>
  <si>
    <t>Total producto</t>
  </si>
  <si>
    <t>PLC</t>
  </si>
  <si>
    <t>kWh</t>
  </si>
  <si>
    <t>Notas:</t>
  </si>
  <si>
    <t>OFERENTE E.S.P</t>
  </si>
  <si>
    <t>OFERTA MERCANTIL No.</t>
  </si>
  <si>
    <t>INVITACIÓN</t>
  </si>
  <si>
    <t>1) La energía ofertada debe corresponder a lo establecido en el Anexo 8.1.</t>
  </si>
  <si>
    <t>2029</t>
  </si>
  <si>
    <t>CP-CHCC2026-002</t>
  </si>
  <si>
    <t>2029 al 2039</t>
  </si>
  <si>
    <t>4) El precio debe ser presentado en $/kWh, expresado en pesos de mayo de 2026.</t>
  </si>
  <si>
    <t>5) Solo se evaluarán las ofertas que sigan la curva de carga.</t>
  </si>
  <si>
    <t>6) No se tendrán en cuenta ofertas que incluyan condiciones y/o modificaciones adicionales a los Pliegos definitivos.</t>
  </si>
  <si>
    <t>2) El porcentaje de energía a ofertar deber ser el mismo para todos los años que conforman el producto.</t>
  </si>
  <si>
    <t>3) El precio presentado puede ser diferente para los años del producto</t>
  </si>
  <si>
    <t>7) Indicar el Porcentaje Mínimo de Adjudicación si es del caso.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</si>
</sst>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\ _€_-;\-* #,##0\ _€_-;_-* &quot;-&quot;\ _€_-;_-@_-"/>
    <numFmt numFmtId="166" formatCode="_-* #,##0.00\ _€_-;\-* #,##0.00\ _€_-;_-* &quot;-&quot;\ _€_-;_-@_-"/>
    <numFmt numFmtId="167" formatCode="_-* #,##0.00_-;\-* #,##0.00_-;_-* &quot;-&quot;_-;_-@_-"/>
    <numFmt numFmtId="168" formatCode="_-* #,##0_-;\-* #,##0_-;_-* &quot;-&quot;??_-;_-@_-"/>
    <numFmt numFmtId="169" formatCode="_-* #,##0.0_-;\-* #,##0.0_-;_-* &quot;-&quot;??_-;_-@_-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0"/>
      <name val="Aptos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3" fillId="0" borderId="0"/>
    <xf numFmtId="0" fontId="9" fillId="0" borderId="0"/>
    <xf numFmtId="0" fontId="1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7" fillId="0" borderId="0"/>
  </cellStyleXfs>
  <cellXfs count="72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8" fontId="6" fillId="0" borderId="0" xfId="1" applyNumberFormat="1" applyFont="1"/>
    <xf numFmtId="0" fontId="5" fillId="2" borderId="1" xfId="0" applyFont="1" applyFill="1" applyBorder="1" applyAlignment="1">
      <alignment vertical="center" wrapText="1"/>
    </xf>
    <xf numFmtId="43" fontId="3" fillId="0" borderId="0" xfId="1" applyFont="1"/>
    <xf numFmtId="43" fontId="11" fillId="0" borderId="0" xfId="1" applyFont="1"/>
    <xf numFmtId="3" fontId="3" fillId="0" borderId="0" xfId="0" applyNumberFormat="1" applyFont="1"/>
    <xf numFmtId="43" fontId="7" fillId="0" borderId="1" xfId="1" applyFont="1" applyBorder="1" applyAlignment="1">
      <alignment horizontal="center"/>
    </xf>
    <xf numFmtId="169" fontId="3" fillId="0" borderId="0" xfId="1" applyNumberFormat="1" applyFont="1" applyBorder="1" applyAlignment="1">
      <alignment horizontal="center" vertical="center" wrapText="1"/>
    </xf>
    <xf numFmtId="0" fontId="3" fillId="0" borderId="0" xfId="3"/>
    <xf numFmtId="0" fontId="5" fillId="0" borderId="0" xfId="3" applyFont="1" applyAlignment="1">
      <alignment horizontal="left"/>
    </xf>
    <xf numFmtId="17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3" applyFont="1" applyAlignment="1">
      <alignment horizontal="center"/>
    </xf>
    <xf numFmtId="17" fontId="5" fillId="0" borderId="1" xfId="0" applyNumberFormat="1" applyFont="1" applyBorder="1" applyAlignment="1">
      <alignment horizontal="center" vertical="center"/>
    </xf>
    <xf numFmtId="10" fontId="3" fillId="4" borderId="1" xfId="7" applyNumberFormat="1" applyFont="1" applyFill="1" applyBorder="1" applyAlignment="1">
      <alignment horizontal="center" vertical="center"/>
    </xf>
    <xf numFmtId="166" fontId="3" fillId="0" borderId="1" xfId="6" applyNumberFormat="1" applyFont="1" applyFill="1" applyBorder="1" applyAlignment="1">
      <alignment horizontal="center" vertical="center"/>
    </xf>
    <xf numFmtId="164" fontId="3" fillId="4" borderId="1" xfId="8" applyFont="1" applyFill="1" applyBorder="1" applyAlignment="1">
      <alignment vertical="center"/>
    </xf>
    <xf numFmtId="167" fontId="3" fillId="0" borderId="0" xfId="3" applyNumberFormat="1"/>
    <xf numFmtId="9" fontId="3" fillId="4" borderId="1" xfId="7" applyFont="1" applyFill="1" applyBorder="1" applyAlignment="1">
      <alignment horizontal="center" vertical="center"/>
    </xf>
    <xf numFmtId="0" fontId="5" fillId="3" borderId="0" xfId="2" applyFont="1" applyFill="1" applyAlignment="1">
      <alignment horizontal="left" vertical="top"/>
    </xf>
    <xf numFmtId="0" fontId="12" fillId="0" borderId="0" xfId="0" applyFont="1"/>
    <xf numFmtId="0" fontId="5" fillId="0" borderId="0" xfId="4" applyFont="1" applyAlignment="1">
      <alignment horizontal="left"/>
    </xf>
    <xf numFmtId="0" fontId="13" fillId="3" borderId="0" xfId="5" applyFont="1" applyFill="1"/>
    <xf numFmtId="0" fontId="5" fillId="3" borderId="0" xfId="4" applyFont="1" applyFill="1" applyAlignment="1">
      <alignment horizontal="left" wrapText="1"/>
    </xf>
    <xf numFmtId="4" fontId="5" fillId="3" borderId="0" xfId="4" applyNumberFormat="1" applyFont="1" applyFill="1" applyAlignment="1">
      <alignment horizontal="left"/>
    </xf>
    <xf numFmtId="0" fontId="5" fillId="3" borderId="0" xfId="4" applyFont="1" applyFill="1" applyAlignment="1">
      <alignment horizontal="left"/>
    </xf>
    <xf numFmtId="17" fontId="5" fillId="3" borderId="1" xfId="4" applyNumberFormat="1" applyFont="1" applyFill="1" applyBorder="1" applyAlignment="1">
      <alignment horizontal="left" wrapText="1"/>
    </xf>
    <xf numFmtId="17" fontId="5" fillId="0" borderId="1" xfId="4" applyNumberFormat="1" applyFont="1" applyBorder="1" applyAlignment="1">
      <alignment horizontal="left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3" borderId="0" xfId="0" applyFont="1" applyFill="1"/>
    <xf numFmtId="43" fontId="0" fillId="0" borderId="1" xfId="1" applyFont="1" applyBorder="1" applyAlignment="1">
      <alignment horizontal="center" vertical="center"/>
    </xf>
    <xf numFmtId="43" fontId="17" fillId="0" borderId="1" xfId="1" applyFont="1" applyBorder="1" applyAlignment="1">
      <alignment horizontal="center" vertical="center"/>
    </xf>
    <xf numFmtId="43" fontId="16" fillId="0" borderId="1" xfId="1" applyFont="1" applyBorder="1" applyAlignment="1">
      <alignment horizontal="center" vertical="center"/>
    </xf>
    <xf numFmtId="43" fontId="5" fillId="2" borderId="1" xfId="1" applyFont="1" applyFill="1" applyBorder="1" applyAlignment="1">
      <alignment horizontal="center" vertical="center" wrapText="1"/>
    </xf>
    <xf numFmtId="43" fontId="7" fillId="2" borderId="1" xfId="1" applyFont="1" applyFill="1" applyBorder="1" applyAlignment="1">
      <alignment horizontal="center" vertical="center" wrapText="1"/>
    </xf>
    <xf numFmtId="43" fontId="6" fillId="0" borderId="0" xfId="1" applyFont="1"/>
    <xf numFmtId="43" fontId="5" fillId="0" borderId="1" xfId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indent="2"/>
    </xf>
    <xf numFmtId="43" fontId="3" fillId="0" borderId="1" xfId="1" applyFont="1" applyBorder="1" applyAlignment="1">
      <alignment horizontal="center" vertical="center" wrapText="1"/>
    </xf>
    <xf numFmtId="43" fontId="3" fillId="0" borderId="0" xfId="0" applyNumberFormat="1" applyFont="1"/>
    <xf numFmtId="0" fontId="15" fillId="0" borderId="0" xfId="0" applyFont="1" applyAlignment="1">
      <alignment horizontal="center"/>
    </xf>
    <xf numFmtId="43" fontId="3" fillId="0" borderId="2" xfId="1" applyFont="1" applyBorder="1" applyAlignment="1">
      <alignment horizontal="center" vertical="center" wrapText="1"/>
    </xf>
    <xf numFmtId="43" fontId="3" fillId="0" borderId="3" xfId="1" applyFont="1" applyBorder="1" applyAlignment="1">
      <alignment horizontal="center" vertical="center" wrapText="1"/>
    </xf>
    <xf numFmtId="43" fontId="3" fillId="0" borderId="4" xfId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3" fontId="6" fillId="0" borderId="2" xfId="1" applyFont="1" applyBorder="1" applyAlignment="1">
      <alignment horizontal="center" vertical="center" wrapText="1"/>
    </xf>
    <xf numFmtId="43" fontId="6" fillId="0" borderId="3" xfId="1" applyFont="1" applyBorder="1" applyAlignment="1">
      <alignment horizontal="center" vertical="center" wrapText="1"/>
    </xf>
    <xf numFmtId="43" fontId="6" fillId="0" borderId="4" xfId="1" applyFont="1" applyBorder="1" applyAlignment="1">
      <alignment horizontal="center" vertical="center" wrapText="1"/>
    </xf>
    <xf numFmtId="168" fontId="7" fillId="0" borderId="1" xfId="1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1">
    <cellStyle name="Millares" xfId="1" builtinId="3"/>
    <cellStyle name="Millares [0] 2" xfId="6" xr:uid="{0EA07DCC-854A-4F1A-B1E5-0D0296A936D5}"/>
    <cellStyle name="Millares [0] 3" xfId="9" xr:uid="{F0060658-987A-48E1-A5A6-8CCAA327086E}"/>
    <cellStyle name="Moneda 2" xfId="8" xr:uid="{EC3682A8-E881-462C-A8F6-3831E16C7F0E}"/>
    <cellStyle name="Normal" xfId="0" builtinId="0"/>
    <cellStyle name="Normal 2" xfId="10" xr:uid="{217AF54D-BEEF-44BE-99F7-3FCD65B0B683}"/>
    <cellStyle name="Normal 3 2" xfId="3" xr:uid="{9E89C3C0-3B7A-42E3-AE86-D2559E2D33CF}"/>
    <cellStyle name="Normal_ENE99" xfId="4" xr:uid="{4912E6F3-3141-4459-B182-28057013CBDA}"/>
    <cellStyle name="Normal_GC00-001" xfId="2" xr:uid="{12C5EDDB-28C3-4989-90A7-3A05677D6917}"/>
    <cellStyle name="Normal_TABLA DE COMO SE ARMA PRECIOS" xfId="5" xr:uid="{E3DFA84D-E2C3-49CD-AB44-1B60CD32F390}"/>
    <cellStyle name="Porcentaje 2" xfId="7" xr:uid="{A293A1C8-D519-442D-AB85-A3E837E68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37AC-72E1-41DA-96EF-2505A973EFA1}">
  <dimension ref="B2:K160"/>
  <sheetViews>
    <sheetView showGridLines="0" tabSelected="1" topLeftCell="A12" zoomScale="80" zoomScaleNormal="80" workbookViewId="0">
      <selection activeCell="C128" sqref="C128"/>
    </sheetView>
  </sheetViews>
  <sheetFormatPr baseColWidth="10" defaultColWidth="10.81640625" defaultRowHeight="12.5" x14ac:dyDescent="0.25"/>
  <cols>
    <col min="1" max="1" width="2.6328125" style="28" customWidth="1"/>
    <col min="2" max="2" width="19" style="28" customWidth="1"/>
    <col min="3" max="3" width="16.7265625" style="28" customWidth="1"/>
    <col min="4" max="4" width="12.54296875" style="28" customWidth="1"/>
    <col min="5" max="5" width="12.7265625" style="28" customWidth="1"/>
    <col min="6" max="6" width="10.08984375" style="28" customWidth="1"/>
    <col min="7" max="7" width="4.54296875" style="28" customWidth="1"/>
    <col min="8" max="16384" width="10.81640625" style="28"/>
  </cols>
  <sheetData>
    <row r="2" spans="2:11" ht="13" x14ac:dyDescent="0.25">
      <c r="B2" s="27" t="s">
        <v>47</v>
      </c>
      <c r="C2" s="16"/>
      <c r="D2" s="16"/>
      <c r="E2" s="16"/>
      <c r="F2" s="16"/>
      <c r="G2" s="16"/>
      <c r="H2" s="16"/>
      <c r="I2" s="16"/>
      <c r="J2" s="16"/>
      <c r="K2" s="16"/>
    </row>
    <row r="3" spans="2:11" ht="13" x14ac:dyDescent="0.3">
      <c r="B3" s="29" t="s">
        <v>48</v>
      </c>
      <c r="C3" s="17">
        <v>1</v>
      </c>
      <c r="D3" s="16"/>
      <c r="E3" s="16"/>
      <c r="F3" s="16"/>
      <c r="G3" s="16"/>
      <c r="H3" s="16"/>
      <c r="I3" s="16"/>
      <c r="J3" s="16"/>
      <c r="K3" s="16"/>
    </row>
    <row r="4" spans="2:11" ht="13" x14ac:dyDescent="0.3">
      <c r="B4" s="30" t="s">
        <v>69</v>
      </c>
      <c r="C4" s="17"/>
      <c r="D4" s="16"/>
      <c r="E4" s="16"/>
      <c r="F4" s="16"/>
      <c r="G4" s="16"/>
      <c r="H4" s="16"/>
      <c r="I4" s="16"/>
      <c r="J4" s="16"/>
      <c r="K4" s="16"/>
    </row>
    <row r="5" spans="2:11" ht="13" x14ac:dyDescent="0.3">
      <c r="B5" s="31" t="s">
        <v>70</v>
      </c>
      <c r="C5" s="32" t="s">
        <v>73</v>
      </c>
      <c r="D5" s="16"/>
      <c r="E5" s="16"/>
      <c r="F5" s="16"/>
      <c r="G5" s="16"/>
      <c r="H5" s="16"/>
      <c r="I5" s="16"/>
      <c r="J5" s="16"/>
      <c r="K5" s="16"/>
    </row>
    <row r="6" spans="2:11" ht="13" x14ac:dyDescent="0.3">
      <c r="B6" s="33" t="s">
        <v>49</v>
      </c>
      <c r="C6" s="32"/>
      <c r="D6" s="16"/>
      <c r="E6" s="16"/>
      <c r="F6" s="16"/>
      <c r="G6" s="16"/>
      <c r="H6" s="16"/>
      <c r="I6" s="16"/>
      <c r="J6" s="16"/>
      <c r="K6" s="16"/>
    </row>
    <row r="7" spans="2:11" ht="13" x14ac:dyDescent="0.3">
      <c r="B7" s="33" t="s">
        <v>50</v>
      </c>
      <c r="C7" s="33" t="s">
        <v>74</v>
      </c>
      <c r="D7" s="16"/>
      <c r="E7" s="16"/>
      <c r="F7" s="16"/>
      <c r="G7" s="16"/>
      <c r="H7" s="16"/>
      <c r="I7" s="16"/>
      <c r="J7" s="16"/>
      <c r="K7" s="16"/>
    </row>
    <row r="8" spans="2:11" ht="13" x14ac:dyDescent="0.3">
      <c r="B8" s="33" t="s">
        <v>51</v>
      </c>
      <c r="C8" s="32" t="s">
        <v>66</v>
      </c>
      <c r="D8" s="16"/>
      <c r="E8" s="16"/>
      <c r="F8" s="16"/>
      <c r="G8" s="16"/>
      <c r="H8" s="16"/>
      <c r="I8" s="16"/>
      <c r="J8" s="16"/>
      <c r="K8" s="16"/>
    </row>
    <row r="9" spans="2:11" ht="13" x14ac:dyDescent="0.3">
      <c r="B9" s="33" t="s">
        <v>52</v>
      </c>
      <c r="C9" s="18">
        <v>46143</v>
      </c>
      <c r="D9" s="16"/>
      <c r="E9" s="16"/>
      <c r="F9" s="16"/>
      <c r="G9" s="16"/>
      <c r="H9" s="16"/>
      <c r="I9" s="16"/>
      <c r="J9" s="16"/>
      <c r="K9" s="16"/>
    </row>
    <row r="10" spans="2:11" ht="13" x14ac:dyDescent="0.3">
      <c r="B10" s="31" t="s">
        <v>53</v>
      </c>
      <c r="C10" s="19" t="s">
        <v>54</v>
      </c>
      <c r="D10" s="16"/>
      <c r="E10" s="16"/>
      <c r="F10" s="16"/>
      <c r="G10" s="16"/>
      <c r="H10" s="16"/>
      <c r="I10" s="16"/>
      <c r="J10" s="16"/>
      <c r="K10" s="16"/>
    </row>
    <row r="11" spans="2:11" ht="13" x14ac:dyDescent="0.3">
      <c r="B11" s="33" t="s">
        <v>55</v>
      </c>
      <c r="C11" s="19" t="s">
        <v>65</v>
      </c>
      <c r="D11" s="16"/>
      <c r="E11" s="16"/>
      <c r="F11" s="16"/>
      <c r="G11" s="16"/>
      <c r="H11" s="16"/>
      <c r="I11" s="16"/>
      <c r="J11" s="16"/>
      <c r="K11" s="16"/>
    </row>
    <row r="12" spans="2:11" ht="13" x14ac:dyDescent="0.3">
      <c r="B12" s="33" t="s">
        <v>56</v>
      </c>
      <c r="C12" s="19" t="s">
        <v>57</v>
      </c>
      <c r="D12" s="16"/>
      <c r="E12" s="16"/>
      <c r="F12" s="16"/>
      <c r="G12" s="16"/>
      <c r="H12" s="16"/>
      <c r="I12" s="16"/>
      <c r="J12" s="16"/>
      <c r="K12" s="16"/>
    </row>
    <row r="13" spans="2:11" x14ac:dyDescent="0.25"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2:11" ht="26" x14ac:dyDescent="0.3">
      <c r="B14" s="34" t="s">
        <v>58</v>
      </c>
      <c r="C14" s="34" t="s">
        <v>59</v>
      </c>
      <c r="D14" s="35" t="s">
        <v>60</v>
      </c>
      <c r="E14" s="34" t="s">
        <v>61</v>
      </c>
      <c r="F14" s="34" t="s">
        <v>62</v>
      </c>
      <c r="G14" s="20"/>
      <c r="H14" s="20"/>
      <c r="I14" s="20"/>
      <c r="J14" s="16"/>
      <c r="K14" s="16"/>
    </row>
    <row r="15" spans="2:11" ht="14.5" x14ac:dyDescent="0.25">
      <c r="B15" s="21">
        <v>47119</v>
      </c>
      <c r="C15" s="47">
        <v>6739997.3200000003</v>
      </c>
      <c r="D15" s="22"/>
      <c r="E15" s="23">
        <f>+C15*D15</f>
        <v>0</v>
      </c>
      <c r="F15" s="24"/>
      <c r="G15" s="25"/>
      <c r="H15" s="16"/>
      <c r="I15" s="16"/>
      <c r="J15" s="16"/>
      <c r="K15" s="16"/>
    </row>
    <row r="16" spans="2:11" ht="14.5" x14ac:dyDescent="0.25">
      <c r="B16" s="21">
        <v>47150</v>
      </c>
      <c r="C16" s="47">
        <v>6246589.9199999999</v>
      </c>
      <c r="D16" s="22"/>
      <c r="E16" s="23">
        <f t="shared" ref="E16:E79" si="0">+C16*D16</f>
        <v>0</v>
      </c>
      <c r="F16" s="24"/>
      <c r="G16" s="25"/>
      <c r="H16" s="16"/>
      <c r="I16" s="16"/>
      <c r="J16" s="16"/>
      <c r="K16" s="16"/>
    </row>
    <row r="17" spans="2:11" ht="14.5" x14ac:dyDescent="0.25">
      <c r="B17" s="21">
        <v>47178</v>
      </c>
      <c r="C17" s="47">
        <v>6521949.3899999997</v>
      </c>
      <c r="D17" s="22"/>
      <c r="E17" s="23">
        <f t="shared" si="0"/>
        <v>0</v>
      </c>
      <c r="F17" s="24"/>
      <c r="G17" s="25"/>
      <c r="H17" s="16"/>
      <c r="I17" s="16"/>
      <c r="J17" s="16"/>
      <c r="K17" s="16"/>
    </row>
    <row r="18" spans="2:11" ht="14.5" x14ac:dyDescent="0.25">
      <c r="B18" s="21">
        <v>47209</v>
      </c>
      <c r="C18" s="47">
        <v>6567493.6899999995</v>
      </c>
      <c r="D18" s="22"/>
      <c r="E18" s="23">
        <f t="shared" si="0"/>
        <v>0</v>
      </c>
      <c r="F18" s="24"/>
      <c r="G18" s="25"/>
      <c r="H18" s="16"/>
      <c r="I18" s="16"/>
      <c r="J18" s="16"/>
      <c r="K18" s="16"/>
    </row>
    <row r="19" spans="2:11" ht="14.5" x14ac:dyDescent="0.25">
      <c r="B19" s="21">
        <v>47239</v>
      </c>
      <c r="C19" s="47">
        <v>6552443.6300000008</v>
      </c>
      <c r="D19" s="22"/>
      <c r="E19" s="23">
        <f t="shared" si="0"/>
        <v>0</v>
      </c>
      <c r="F19" s="24"/>
      <c r="G19" s="25"/>
      <c r="H19" s="16"/>
      <c r="I19" s="16"/>
      <c r="J19" s="16"/>
      <c r="K19" s="16"/>
    </row>
    <row r="20" spans="2:11" ht="14.5" x14ac:dyDescent="0.25">
      <c r="B20" s="21">
        <v>47270</v>
      </c>
      <c r="C20" s="47">
        <v>6650965.2400000002</v>
      </c>
      <c r="D20" s="22"/>
      <c r="E20" s="23">
        <f t="shared" si="0"/>
        <v>0</v>
      </c>
      <c r="F20" s="24"/>
      <c r="G20" s="25"/>
      <c r="H20" s="16"/>
      <c r="I20" s="16"/>
      <c r="J20" s="16"/>
      <c r="K20" s="16"/>
    </row>
    <row r="21" spans="2:11" ht="14.5" x14ac:dyDescent="0.25">
      <c r="B21" s="21">
        <v>47300</v>
      </c>
      <c r="C21" s="47">
        <v>7033100.120000001</v>
      </c>
      <c r="D21" s="22"/>
      <c r="E21" s="23">
        <f t="shared" si="0"/>
        <v>0</v>
      </c>
      <c r="F21" s="24"/>
      <c r="G21" s="25"/>
      <c r="H21" s="16"/>
      <c r="I21" s="16"/>
      <c r="J21" s="16"/>
      <c r="K21" s="16"/>
    </row>
    <row r="22" spans="2:11" ht="14.5" x14ac:dyDescent="0.25">
      <c r="B22" s="21">
        <v>47331</v>
      </c>
      <c r="C22" s="47">
        <v>6885471.3600000003</v>
      </c>
      <c r="D22" s="22"/>
      <c r="E22" s="23">
        <f t="shared" si="0"/>
        <v>0</v>
      </c>
      <c r="F22" s="24"/>
      <c r="G22" s="25"/>
      <c r="H22" s="16"/>
      <c r="I22" s="16"/>
      <c r="J22" s="16"/>
      <c r="K22" s="16"/>
    </row>
    <row r="23" spans="2:11" ht="14.5" x14ac:dyDescent="0.25">
      <c r="B23" s="21">
        <v>47362</v>
      </c>
      <c r="C23" s="47">
        <v>6554398.75</v>
      </c>
      <c r="D23" s="22"/>
      <c r="E23" s="23">
        <f t="shared" si="0"/>
        <v>0</v>
      </c>
      <c r="F23" s="24"/>
      <c r="G23" s="25"/>
      <c r="H23" s="16"/>
      <c r="I23" s="16"/>
      <c r="J23" s="16"/>
      <c r="K23" s="16"/>
    </row>
    <row r="24" spans="2:11" ht="14.5" x14ac:dyDescent="0.25">
      <c r="B24" s="21">
        <v>47392</v>
      </c>
      <c r="C24" s="47">
        <v>6793962.7200000016</v>
      </c>
      <c r="D24" s="22"/>
      <c r="E24" s="23">
        <f t="shared" si="0"/>
        <v>0</v>
      </c>
      <c r="F24" s="24"/>
      <c r="G24" s="25"/>
      <c r="H24" s="16"/>
      <c r="I24" s="16"/>
      <c r="J24" s="16"/>
      <c r="K24" s="16"/>
    </row>
    <row r="25" spans="2:11" ht="14.5" x14ac:dyDescent="0.25">
      <c r="B25" s="21">
        <v>47423</v>
      </c>
      <c r="C25" s="47">
        <v>6655732.9400000013</v>
      </c>
      <c r="D25" s="22"/>
      <c r="E25" s="23">
        <f t="shared" si="0"/>
        <v>0</v>
      </c>
      <c r="F25" s="24"/>
      <c r="G25" s="25"/>
      <c r="H25" s="16"/>
      <c r="I25" s="16"/>
      <c r="J25" s="16"/>
      <c r="K25" s="16"/>
    </row>
    <row r="26" spans="2:11" ht="14.5" x14ac:dyDescent="0.25">
      <c r="B26" s="21">
        <v>47453</v>
      </c>
      <c r="C26" s="47">
        <v>6940218.0999999996</v>
      </c>
      <c r="D26" s="22"/>
      <c r="E26" s="23">
        <f t="shared" si="0"/>
        <v>0</v>
      </c>
      <c r="F26" s="24"/>
      <c r="G26" s="25"/>
      <c r="H26" s="16"/>
      <c r="I26" s="16"/>
      <c r="J26" s="16"/>
      <c r="K26" s="16"/>
    </row>
    <row r="27" spans="2:11" ht="14.5" x14ac:dyDescent="0.25">
      <c r="B27" s="21">
        <v>47484</v>
      </c>
      <c r="C27" s="48">
        <v>6804443.5999999996</v>
      </c>
      <c r="D27" s="22"/>
      <c r="E27" s="23">
        <f t="shared" si="0"/>
        <v>0</v>
      </c>
      <c r="F27" s="24"/>
      <c r="G27" s="25"/>
      <c r="H27" s="16"/>
      <c r="I27" s="16"/>
      <c r="J27" s="16"/>
      <c r="K27" s="16"/>
    </row>
    <row r="28" spans="2:11" ht="14.5" x14ac:dyDescent="0.25">
      <c r="B28" s="21">
        <v>47515</v>
      </c>
      <c r="C28" s="48">
        <v>6375152.7200000007</v>
      </c>
      <c r="D28" s="22"/>
      <c r="E28" s="23">
        <f t="shared" si="0"/>
        <v>0</v>
      </c>
      <c r="F28" s="24"/>
      <c r="G28" s="25"/>
      <c r="H28" s="16"/>
      <c r="I28" s="16"/>
      <c r="J28" s="16"/>
      <c r="K28" s="16"/>
    </row>
    <row r="29" spans="2:11" ht="14.5" x14ac:dyDescent="0.25">
      <c r="B29" s="21">
        <v>47543</v>
      </c>
      <c r="C29" s="48">
        <v>6649857.8199999994</v>
      </c>
      <c r="D29" s="22"/>
      <c r="E29" s="23">
        <f t="shared" si="0"/>
        <v>0</v>
      </c>
      <c r="F29" s="24"/>
      <c r="G29" s="25"/>
      <c r="H29" s="16"/>
      <c r="I29" s="16"/>
      <c r="J29" s="16"/>
      <c r="K29" s="16"/>
    </row>
    <row r="30" spans="2:11" ht="14.5" x14ac:dyDescent="0.25">
      <c r="B30" s="21">
        <v>47574</v>
      </c>
      <c r="C30" s="48">
        <v>6673237.8800000008</v>
      </c>
      <c r="D30" s="22"/>
      <c r="E30" s="23">
        <f t="shared" si="0"/>
        <v>0</v>
      </c>
      <c r="F30" s="24"/>
      <c r="G30" s="25"/>
      <c r="H30" s="16"/>
      <c r="I30" s="16"/>
      <c r="J30" s="16"/>
      <c r="K30" s="16"/>
    </row>
    <row r="31" spans="2:11" ht="14.5" x14ac:dyDescent="0.25">
      <c r="B31" s="21">
        <v>47604</v>
      </c>
      <c r="C31" s="48">
        <v>6654884.7400000002</v>
      </c>
      <c r="D31" s="22"/>
      <c r="E31" s="23">
        <f t="shared" si="0"/>
        <v>0</v>
      </c>
      <c r="F31" s="24"/>
      <c r="G31" s="25"/>
      <c r="H31" s="16"/>
      <c r="I31" s="16"/>
      <c r="J31" s="16"/>
      <c r="K31" s="16"/>
    </row>
    <row r="32" spans="2:11" ht="14.5" x14ac:dyDescent="0.25">
      <c r="B32" s="21">
        <v>47635</v>
      </c>
      <c r="C32" s="48">
        <v>6702759.29</v>
      </c>
      <c r="D32" s="22"/>
      <c r="E32" s="23">
        <f t="shared" si="0"/>
        <v>0</v>
      </c>
      <c r="F32" s="24"/>
      <c r="G32" s="25"/>
      <c r="H32" s="16"/>
      <c r="I32" s="16"/>
      <c r="J32" s="16"/>
      <c r="K32" s="16"/>
    </row>
    <row r="33" spans="2:11" ht="14.5" x14ac:dyDescent="0.25">
      <c r="B33" s="21">
        <v>47665</v>
      </c>
      <c r="C33" s="48">
        <v>6962958.8199999994</v>
      </c>
      <c r="D33" s="22"/>
      <c r="E33" s="23">
        <f t="shared" si="0"/>
        <v>0</v>
      </c>
      <c r="F33" s="24"/>
      <c r="G33" s="25"/>
      <c r="H33" s="16"/>
      <c r="I33" s="16"/>
      <c r="J33" s="16"/>
      <c r="K33" s="16"/>
    </row>
    <row r="34" spans="2:11" ht="14.5" x14ac:dyDescent="0.25">
      <c r="B34" s="21">
        <v>47696</v>
      </c>
      <c r="C34" s="48">
        <v>6929047.9799999995</v>
      </c>
      <c r="D34" s="22"/>
      <c r="E34" s="23">
        <f t="shared" si="0"/>
        <v>0</v>
      </c>
      <c r="F34" s="24"/>
      <c r="G34" s="25"/>
      <c r="H34" s="16"/>
      <c r="I34" s="16"/>
      <c r="J34" s="16"/>
      <c r="K34" s="16"/>
    </row>
    <row r="35" spans="2:11" ht="14.5" x14ac:dyDescent="0.25">
      <c r="B35" s="21">
        <v>47727</v>
      </c>
      <c r="C35" s="48">
        <v>6641795.75</v>
      </c>
      <c r="D35" s="22"/>
      <c r="E35" s="23">
        <f t="shared" si="0"/>
        <v>0</v>
      </c>
      <c r="F35" s="24"/>
      <c r="G35" s="25"/>
      <c r="H35" s="16"/>
      <c r="I35" s="16"/>
      <c r="J35" s="16"/>
      <c r="K35" s="16"/>
    </row>
    <row r="36" spans="2:11" ht="14.5" x14ac:dyDescent="0.25">
      <c r="B36" s="21">
        <v>47757</v>
      </c>
      <c r="C36" s="48">
        <v>6870260.0499999998</v>
      </c>
      <c r="D36" s="22"/>
      <c r="E36" s="23">
        <f t="shared" si="0"/>
        <v>0</v>
      </c>
      <c r="F36" s="24"/>
      <c r="G36" s="25"/>
      <c r="H36" s="16"/>
      <c r="I36" s="16"/>
      <c r="J36" s="16"/>
      <c r="K36" s="16"/>
    </row>
    <row r="37" spans="2:11" ht="14.5" x14ac:dyDescent="0.25">
      <c r="B37" s="21">
        <v>47788</v>
      </c>
      <c r="C37" s="48">
        <v>6739255.9000000004</v>
      </c>
      <c r="D37" s="22"/>
      <c r="E37" s="23">
        <f t="shared" si="0"/>
        <v>0</v>
      </c>
      <c r="F37" s="24"/>
      <c r="G37" s="25"/>
      <c r="H37" s="16"/>
      <c r="I37" s="16"/>
      <c r="J37" s="16"/>
      <c r="K37" s="16"/>
    </row>
    <row r="38" spans="2:11" ht="14.5" x14ac:dyDescent="0.25">
      <c r="B38" s="21">
        <v>47818</v>
      </c>
      <c r="C38" s="48">
        <v>6968061.8800000008</v>
      </c>
      <c r="D38" s="22"/>
      <c r="E38" s="23">
        <f t="shared" si="0"/>
        <v>0</v>
      </c>
      <c r="F38" s="24"/>
      <c r="G38" s="25"/>
      <c r="H38" s="16"/>
      <c r="I38" s="16"/>
      <c r="J38" s="16"/>
      <c r="K38" s="16"/>
    </row>
    <row r="39" spans="2:11" ht="14.5" x14ac:dyDescent="0.25">
      <c r="B39" s="21">
        <v>47849</v>
      </c>
      <c r="C39" s="48">
        <v>6870227.2199999988</v>
      </c>
      <c r="D39" s="22"/>
      <c r="E39" s="23">
        <f t="shared" si="0"/>
        <v>0</v>
      </c>
      <c r="F39" s="24"/>
      <c r="G39" s="25"/>
      <c r="H39" s="16"/>
      <c r="I39" s="16"/>
      <c r="J39" s="16"/>
      <c r="K39" s="16"/>
    </row>
    <row r="40" spans="2:11" ht="14.5" x14ac:dyDescent="0.25">
      <c r="B40" s="21">
        <v>47880</v>
      </c>
      <c r="C40" s="48">
        <v>6424157.5599999996</v>
      </c>
      <c r="D40" s="22"/>
      <c r="E40" s="23">
        <f t="shared" si="0"/>
        <v>0</v>
      </c>
      <c r="F40" s="24"/>
      <c r="G40" s="25"/>
      <c r="H40" s="16"/>
      <c r="I40" s="16"/>
      <c r="J40" s="16"/>
      <c r="K40" s="16"/>
    </row>
    <row r="41" spans="2:11" ht="14.5" x14ac:dyDescent="0.25">
      <c r="B41" s="21">
        <v>47908</v>
      </c>
      <c r="C41" s="48">
        <v>6758325.4699999997</v>
      </c>
      <c r="D41" s="22"/>
      <c r="E41" s="23">
        <f t="shared" si="0"/>
        <v>0</v>
      </c>
      <c r="F41" s="24"/>
      <c r="G41" s="25"/>
      <c r="H41" s="16"/>
      <c r="I41" s="16"/>
      <c r="J41" s="16"/>
      <c r="K41" s="16"/>
    </row>
    <row r="42" spans="2:11" ht="14.5" x14ac:dyDescent="0.25">
      <c r="B42" s="21">
        <v>47939</v>
      </c>
      <c r="C42" s="48">
        <v>6774802.1800000006</v>
      </c>
      <c r="D42" s="22"/>
      <c r="E42" s="23">
        <f t="shared" si="0"/>
        <v>0</v>
      </c>
      <c r="F42" s="24"/>
      <c r="G42" s="25"/>
      <c r="H42" s="16"/>
      <c r="I42" s="16"/>
      <c r="J42" s="16"/>
      <c r="K42" s="16"/>
    </row>
    <row r="43" spans="2:11" ht="14.5" x14ac:dyDescent="0.25">
      <c r="B43" s="21">
        <v>47969</v>
      </c>
      <c r="C43" s="48">
        <v>6729710.7599999998</v>
      </c>
      <c r="D43" s="22"/>
      <c r="E43" s="23">
        <f t="shared" si="0"/>
        <v>0</v>
      </c>
      <c r="F43" s="24"/>
      <c r="G43" s="25"/>
      <c r="H43" s="16"/>
      <c r="I43" s="16"/>
      <c r="J43" s="16"/>
      <c r="K43" s="16"/>
    </row>
    <row r="44" spans="2:11" ht="14.5" x14ac:dyDescent="0.25">
      <c r="B44" s="21">
        <v>48000</v>
      </c>
      <c r="C44" s="48">
        <v>6728138.0299999993</v>
      </c>
      <c r="D44" s="22"/>
      <c r="E44" s="23">
        <f t="shared" si="0"/>
        <v>0</v>
      </c>
      <c r="F44" s="24"/>
      <c r="G44" s="25"/>
      <c r="H44" s="16"/>
      <c r="I44" s="16"/>
      <c r="J44" s="16"/>
      <c r="K44" s="16"/>
    </row>
    <row r="45" spans="2:11" ht="14.5" x14ac:dyDescent="0.25">
      <c r="B45" s="21">
        <v>48030</v>
      </c>
      <c r="C45" s="48">
        <v>6922243.6699999999</v>
      </c>
      <c r="D45" s="22"/>
      <c r="E45" s="23">
        <f t="shared" si="0"/>
        <v>0</v>
      </c>
      <c r="F45" s="24"/>
      <c r="G45" s="25"/>
      <c r="H45" s="16"/>
      <c r="I45" s="16"/>
      <c r="J45" s="16"/>
      <c r="K45" s="16"/>
    </row>
    <row r="46" spans="2:11" ht="14.5" x14ac:dyDescent="0.25">
      <c r="B46" s="21">
        <v>48061</v>
      </c>
      <c r="C46" s="48">
        <v>7014625.6900000004</v>
      </c>
      <c r="D46" s="22"/>
      <c r="E46" s="23">
        <f t="shared" si="0"/>
        <v>0</v>
      </c>
      <c r="F46" s="24"/>
      <c r="G46" s="25"/>
      <c r="H46" s="16"/>
      <c r="I46" s="16"/>
      <c r="J46" s="16"/>
      <c r="K46" s="16"/>
    </row>
    <row r="47" spans="2:11" ht="14.5" x14ac:dyDescent="0.25">
      <c r="B47" s="21">
        <v>48092</v>
      </c>
      <c r="C47" s="48">
        <v>6699026.9999999991</v>
      </c>
      <c r="D47" s="22"/>
      <c r="E47" s="23">
        <f t="shared" si="0"/>
        <v>0</v>
      </c>
      <c r="F47" s="24"/>
      <c r="G47" s="25"/>
      <c r="H47" s="16"/>
      <c r="I47" s="16"/>
      <c r="J47" s="16"/>
      <c r="K47" s="16"/>
    </row>
    <row r="48" spans="2:11" ht="14.5" x14ac:dyDescent="0.25">
      <c r="B48" s="21">
        <v>48122</v>
      </c>
      <c r="C48" s="48">
        <v>6985836.8899999978</v>
      </c>
      <c r="D48" s="22"/>
      <c r="E48" s="23">
        <f t="shared" si="0"/>
        <v>0</v>
      </c>
      <c r="F48" s="24"/>
      <c r="G48" s="25"/>
      <c r="H48" s="16"/>
      <c r="I48" s="16"/>
      <c r="J48" s="16"/>
      <c r="K48" s="16"/>
    </row>
    <row r="49" spans="2:11" ht="14.5" x14ac:dyDescent="0.25">
      <c r="B49" s="21">
        <v>48153</v>
      </c>
      <c r="C49" s="48">
        <v>6824913.6200000001</v>
      </c>
      <c r="D49" s="22"/>
      <c r="E49" s="23">
        <f t="shared" si="0"/>
        <v>0</v>
      </c>
      <c r="F49" s="24"/>
      <c r="G49" s="25"/>
      <c r="H49" s="16"/>
      <c r="I49" s="16"/>
      <c r="J49" s="16"/>
      <c r="K49" s="16"/>
    </row>
    <row r="50" spans="2:11" ht="14.5" x14ac:dyDescent="0.25">
      <c r="B50" s="21">
        <v>48183</v>
      </c>
      <c r="C50" s="48">
        <v>7055279.1799999978</v>
      </c>
      <c r="D50" s="22"/>
      <c r="E50" s="23">
        <f t="shared" si="0"/>
        <v>0</v>
      </c>
      <c r="F50" s="24"/>
      <c r="G50" s="25"/>
      <c r="H50" s="16"/>
      <c r="I50" s="16"/>
      <c r="J50" s="16"/>
      <c r="K50" s="16"/>
    </row>
    <row r="51" spans="2:11" ht="14.5" x14ac:dyDescent="0.25">
      <c r="B51" s="21">
        <v>48214</v>
      </c>
      <c r="C51" s="48">
        <v>6878092.7600000007</v>
      </c>
      <c r="D51" s="22"/>
      <c r="E51" s="23">
        <f t="shared" si="0"/>
        <v>0</v>
      </c>
      <c r="F51" s="24"/>
      <c r="G51" s="25"/>
      <c r="H51" s="16"/>
      <c r="I51" s="16"/>
      <c r="J51" s="16"/>
      <c r="K51" s="16"/>
    </row>
    <row r="52" spans="2:11" ht="14.5" x14ac:dyDescent="0.25">
      <c r="B52" s="21">
        <v>48245</v>
      </c>
      <c r="C52" s="48">
        <v>6405743.1200000001</v>
      </c>
      <c r="D52" s="22"/>
      <c r="E52" s="23">
        <f t="shared" si="0"/>
        <v>0</v>
      </c>
      <c r="F52" s="24"/>
      <c r="G52" s="25"/>
      <c r="H52" s="16"/>
      <c r="I52" s="16"/>
      <c r="J52" s="16"/>
      <c r="K52" s="16"/>
    </row>
    <row r="53" spans="2:11" ht="14.5" x14ac:dyDescent="0.25">
      <c r="B53" s="21">
        <v>48274</v>
      </c>
      <c r="C53" s="48">
        <v>6770002.2399999984</v>
      </c>
      <c r="D53" s="22"/>
      <c r="E53" s="23">
        <f t="shared" si="0"/>
        <v>0</v>
      </c>
      <c r="F53" s="24"/>
      <c r="G53" s="25"/>
      <c r="H53" s="16"/>
      <c r="I53" s="16"/>
      <c r="J53" s="16"/>
      <c r="K53" s="16"/>
    </row>
    <row r="54" spans="2:11" ht="14.5" x14ac:dyDescent="0.25">
      <c r="B54" s="21">
        <v>48305</v>
      </c>
      <c r="C54" s="48">
        <v>6779931.7200000007</v>
      </c>
      <c r="D54" s="22"/>
      <c r="E54" s="23">
        <f t="shared" si="0"/>
        <v>0</v>
      </c>
      <c r="F54" s="24"/>
      <c r="G54" s="25"/>
      <c r="H54" s="16"/>
      <c r="I54" s="16"/>
      <c r="J54" s="16"/>
      <c r="K54" s="16"/>
    </row>
    <row r="55" spans="2:11" ht="14.5" x14ac:dyDescent="0.25">
      <c r="B55" s="21">
        <v>48335</v>
      </c>
      <c r="C55" s="48">
        <v>6740276.6599999992</v>
      </c>
      <c r="D55" s="22"/>
      <c r="E55" s="23">
        <f t="shared" si="0"/>
        <v>0</v>
      </c>
      <c r="F55" s="24"/>
      <c r="G55" s="25"/>
      <c r="H55" s="16"/>
      <c r="I55" s="16"/>
      <c r="J55" s="16"/>
      <c r="K55" s="16"/>
    </row>
    <row r="56" spans="2:11" ht="14.5" x14ac:dyDescent="0.25">
      <c r="B56" s="21">
        <v>48366</v>
      </c>
      <c r="C56" s="48">
        <v>6734568.3799999999</v>
      </c>
      <c r="D56" s="22"/>
      <c r="E56" s="23">
        <f t="shared" si="0"/>
        <v>0</v>
      </c>
      <c r="F56" s="24"/>
      <c r="G56" s="25"/>
      <c r="H56" s="16"/>
      <c r="I56" s="16"/>
      <c r="J56" s="16"/>
      <c r="K56" s="16"/>
    </row>
    <row r="57" spans="2:11" ht="14.5" x14ac:dyDescent="0.25">
      <c r="B57" s="21">
        <v>48396</v>
      </c>
      <c r="C57" s="48">
        <v>6804904.3200000003</v>
      </c>
      <c r="D57" s="22"/>
      <c r="E57" s="23">
        <f t="shared" si="0"/>
        <v>0</v>
      </c>
      <c r="F57" s="24"/>
      <c r="G57" s="25"/>
      <c r="H57" s="16"/>
      <c r="I57" s="16"/>
      <c r="J57" s="16"/>
      <c r="K57" s="16"/>
    </row>
    <row r="58" spans="2:11" ht="14.5" x14ac:dyDescent="0.25">
      <c r="B58" s="21">
        <v>48427</v>
      </c>
      <c r="C58" s="48">
        <v>7008985.6399999997</v>
      </c>
      <c r="D58" s="22"/>
      <c r="E58" s="23">
        <f t="shared" si="0"/>
        <v>0</v>
      </c>
      <c r="F58" s="24"/>
      <c r="G58" s="25"/>
      <c r="H58" s="16"/>
      <c r="I58" s="16"/>
      <c r="J58" s="16"/>
      <c r="K58" s="16"/>
    </row>
    <row r="59" spans="2:11" ht="14.5" x14ac:dyDescent="0.25">
      <c r="B59" s="21">
        <v>48458</v>
      </c>
      <c r="C59" s="48">
        <v>6703353.5200000005</v>
      </c>
      <c r="D59" s="22"/>
      <c r="E59" s="23">
        <f t="shared" si="0"/>
        <v>0</v>
      </c>
      <c r="F59" s="24"/>
      <c r="G59" s="25"/>
      <c r="H59" s="16"/>
      <c r="I59" s="16"/>
      <c r="J59" s="16"/>
      <c r="K59" s="16"/>
    </row>
    <row r="60" spans="2:11" ht="14.5" x14ac:dyDescent="0.25">
      <c r="B60" s="21">
        <v>48488</v>
      </c>
      <c r="C60" s="48">
        <v>6987365.379999999</v>
      </c>
      <c r="D60" s="22"/>
      <c r="E60" s="23">
        <f t="shared" si="0"/>
        <v>0</v>
      </c>
      <c r="F60" s="24"/>
      <c r="G60" s="25"/>
      <c r="H60" s="16"/>
      <c r="I60" s="16"/>
      <c r="J60" s="16"/>
      <c r="K60" s="16"/>
    </row>
    <row r="61" spans="2:11" ht="14.5" x14ac:dyDescent="0.25">
      <c r="B61" s="21">
        <v>48519</v>
      </c>
      <c r="C61" s="48">
        <v>6826002.9800000004</v>
      </c>
      <c r="D61" s="22"/>
      <c r="E61" s="23">
        <f t="shared" si="0"/>
        <v>0</v>
      </c>
      <c r="F61" s="24"/>
      <c r="G61" s="25"/>
      <c r="H61" s="16"/>
      <c r="I61" s="16"/>
      <c r="J61" s="16"/>
      <c r="K61" s="16"/>
    </row>
    <row r="62" spans="2:11" ht="14.5" x14ac:dyDescent="0.25">
      <c r="B62" s="21">
        <v>48549</v>
      </c>
      <c r="C62" s="48">
        <v>7047978.5299999975</v>
      </c>
      <c r="D62" s="22"/>
      <c r="E62" s="23">
        <f t="shared" si="0"/>
        <v>0</v>
      </c>
      <c r="F62" s="24"/>
      <c r="G62" s="25"/>
      <c r="H62" s="16"/>
      <c r="I62" s="16"/>
      <c r="J62" s="16"/>
      <c r="K62" s="16"/>
    </row>
    <row r="63" spans="2:11" ht="14.5" x14ac:dyDescent="0.25">
      <c r="B63" s="21">
        <v>48580</v>
      </c>
      <c r="C63" s="48">
        <v>6894385.1899999985</v>
      </c>
      <c r="D63" s="22"/>
      <c r="E63" s="23">
        <f t="shared" si="0"/>
        <v>0</v>
      </c>
      <c r="F63" s="24"/>
      <c r="G63" s="25"/>
      <c r="H63" s="16"/>
      <c r="I63" s="16"/>
      <c r="J63" s="16"/>
      <c r="K63" s="16"/>
    </row>
    <row r="64" spans="2:11" ht="14.5" x14ac:dyDescent="0.25">
      <c r="B64" s="21">
        <v>48611</v>
      </c>
      <c r="C64" s="48">
        <v>6438399.8399999989</v>
      </c>
      <c r="D64" s="22"/>
      <c r="E64" s="23">
        <f t="shared" si="0"/>
        <v>0</v>
      </c>
      <c r="F64" s="24"/>
      <c r="G64" s="25"/>
      <c r="H64" s="16"/>
      <c r="I64" s="16"/>
      <c r="J64" s="16"/>
      <c r="K64" s="16"/>
    </row>
    <row r="65" spans="2:11" ht="14.5" x14ac:dyDescent="0.25">
      <c r="B65" s="21">
        <v>48639</v>
      </c>
      <c r="C65" s="48">
        <v>6784636.6900000004</v>
      </c>
      <c r="D65" s="22"/>
      <c r="E65" s="23">
        <f t="shared" si="0"/>
        <v>0</v>
      </c>
      <c r="F65" s="24"/>
      <c r="G65" s="25"/>
      <c r="H65" s="16"/>
      <c r="I65" s="16"/>
      <c r="J65" s="16"/>
      <c r="K65" s="16"/>
    </row>
    <row r="66" spans="2:11" ht="14.5" x14ac:dyDescent="0.25">
      <c r="B66" s="21">
        <v>48670</v>
      </c>
      <c r="C66" s="48">
        <v>6797460.5899999989</v>
      </c>
      <c r="D66" s="22"/>
      <c r="E66" s="23">
        <f t="shared" si="0"/>
        <v>0</v>
      </c>
      <c r="F66" s="24"/>
      <c r="G66" s="25"/>
      <c r="H66" s="16"/>
      <c r="I66" s="16"/>
      <c r="J66" s="16"/>
      <c r="K66" s="16"/>
    </row>
    <row r="67" spans="2:11" ht="14.5" x14ac:dyDescent="0.25">
      <c r="B67" s="21">
        <v>48700</v>
      </c>
      <c r="C67" s="48">
        <v>6763405.8900000006</v>
      </c>
      <c r="D67" s="22"/>
      <c r="E67" s="23">
        <f t="shared" si="0"/>
        <v>0</v>
      </c>
      <c r="F67" s="24"/>
      <c r="G67" s="25"/>
      <c r="H67" s="16"/>
      <c r="I67" s="16"/>
      <c r="J67" s="16"/>
      <c r="K67" s="16"/>
    </row>
    <row r="68" spans="2:11" ht="14.5" x14ac:dyDescent="0.25">
      <c r="B68" s="21">
        <v>48731</v>
      </c>
      <c r="C68" s="48">
        <v>6741801.9200000009</v>
      </c>
      <c r="D68" s="22"/>
      <c r="E68" s="23">
        <f t="shared" si="0"/>
        <v>0</v>
      </c>
      <c r="F68" s="24"/>
      <c r="G68" s="25"/>
      <c r="H68" s="16"/>
      <c r="I68" s="16"/>
      <c r="J68" s="16"/>
      <c r="K68" s="16"/>
    </row>
    <row r="69" spans="2:11" ht="14.5" x14ac:dyDescent="0.25">
      <c r="B69" s="21">
        <v>48761</v>
      </c>
      <c r="C69" s="48">
        <v>6834687.2799999993</v>
      </c>
      <c r="D69" s="22"/>
      <c r="E69" s="23">
        <f t="shared" si="0"/>
        <v>0</v>
      </c>
      <c r="F69" s="24"/>
      <c r="G69" s="25"/>
      <c r="H69" s="16"/>
      <c r="I69" s="16"/>
      <c r="J69" s="16"/>
      <c r="K69" s="16"/>
    </row>
    <row r="70" spans="2:11" ht="14.5" x14ac:dyDescent="0.25">
      <c r="B70" s="21">
        <v>48792</v>
      </c>
      <c r="C70" s="48">
        <v>7037826.0800000001</v>
      </c>
      <c r="D70" s="22"/>
      <c r="E70" s="23">
        <f t="shared" si="0"/>
        <v>0</v>
      </c>
      <c r="F70" s="24"/>
      <c r="G70" s="25"/>
      <c r="H70" s="16"/>
      <c r="I70" s="16"/>
      <c r="J70" s="16"/>
      <c r="K70" s="16"/>
    </row>
    <row r="71" spans="2:11" ht="14.5" x14ac:dyDescent="0.25">
      <c r="B71" s="21">
        <v>48823</v>
      </c>
      <c r="C71" s="48">
        <v>6731304</v>
      </c>
      <c r="D71" s="22"/>
      <c r="E71" s="23">
        <f t="shared" si="0"/>
        <v>0</v>
      </c>
      <c r="F71" s="24"/>
      <c r="G71" s="25"/>
      <c r="H71" s="16"/>
      <c r="I71" s="16"/>
      <c r="J71" s="16"/>
      <c r="K71" s="16"/>
    </row>
    <row r="72" spans="2:11" ht="14.5" x14ac:dyDescent="0.25">
      <c r="B72" s="21">
        <v>48853</v>
      </c>
      <c r="C72" s="48">
        <v>7015453.0199999996</v>
      </c>
      <c r="D72" s="22"/>
      <c r="E72" s="23">
        <f t="shared" si="0"/>
        <v>0</v>
      </c>
      <c r="F72" s="24"/>
      <c r="G72" s="25"/>
      <c r="H72" s="16"/>
      <c r="I72" s="16"/>
      <c r="J72" s="16"/>
      <c r="K72" s="16"/>
    </row>
    <row r="73" spans="2:11" ht="14.5" x14ac:dyDescent="0.25">
      <c r="B73" s="21">
        <v>48884</v>
      </c>
      <c r="C73" s="48">
        <v>6853943.6600000001</v>
      </c>
      <c r="D73" s="22"/>
      <c r="E73" s="23">
        <f t="shared" si="0"/>
        <v>0</v>
      </c>
      <c r="F73" s="24"/>
      <c r="G73" s="25"/>
      <c r="H73" s="16"/>
      <c r="I73" s="16"/>
      <c r="J73" s="16"/>
      <c r="K73" s="16"/>
    </row>
    <row r="74" spans="2:11" ht="14.5" x14ac:dyDescent="0.25">
      <c r="B74" s="21">
        <v>48914</v>
      </c>
      <c r="C74" s="48">
        <v>7076522.2100000009</v>
      </c>
      <c r="D74" s="22"/>
      <c r="E74" s="23">
        <f t="shared" si="0"/>
        <v>0</v>
      </c>
      <c r="F74" s="24"/>
      <c r="G74" s="25"/>
      <c r="H74" s="16"/>
      <c r="I74" s="16"/>
      <c r="J74" s="16"/>
      <c r="K74" s="16"/>
    </row>
    <row r="75" spans="2:11" ht="14.5" x14ac:dyDescent="0.25">
      <c r="B75" s="21">
        <v>48945</v>
      </c>
      <c r="C75" s="48">
        <v>6854463.75</v>
      </c>
      <c r="D75" s="22"/>
      <c r="E75" s="23">
        <f t="shared" si="0"/>
        <v>0</v>
      </c>
      <c r="F75" s="24"/>
      <c r="G75" s="25"/>
      <c r="H75" s="16"/>
      <c r="I75" s="16"/>
      <c r="J75" s="16"/>
      <c r="K75" s="16"/>
    </row>
    <row r="76" spans="2:11" ht="14.5" x14ac:dyDescent="0.25">
      <c r="B76" s="21">
        <v>48976</v>
      </c>
      <c r="C76" s="48">
        <v>6402368.8799999999</v>
      </c>
      <c r="D76" s="22"/>
      <c r="E76" s="23">
        <f t="shared" si="0"/>
        <v>0</v>
      </c>
      <c r="F76" s="24"/>
      <c r="G76" s="25"/>
      <c r="H76" s="16"/>
      <c r="I76" s="16"/>
      <c r="J76" s="16"/>
      <c r="K76" s="16"/>
    </row>
    <row r="77" spans="2:11" ht="14.5" x14ac:dyDescent="0.25">
      <c r="B77" s="21">
        <v>49004</v>
      </c>
      <c r="C77" s="48">
        <v>6747334.9200000009</v>
      </c>
      <c r="D77" s="22"/>
      <c r="E77" s="23">
        <f t="shared" si="0"/>
        <v>0</v>
      </c>
      <c r="F77" s="24"/>
      <c r="G77" s="25"/>
      <c r="H77" s="16"/>
      <c r="I77" s="16"/>
      <c r="J77" s="16"/>
      <c r="K77" s="16"/>
    </row>
    <row r="78" spans="2:11" ht="14.5" x14ac:dyDescent="0.25">
      <c r="B78" s="21">
        <v>49035</v>
      </c>
      <c r="C78" s="48">
        <v>6757001.1000000006</v>
      </c>
      <c r="D78" s="22"/>
      <c r="E78" s="23">
        <f t="shared" si="0"/>
        <v>0</v>
      </c>
      <c r="F78" s="24"/>
      <c r="G78" s="25"/>
      <c r="H78" s="16"/>
      <c r="I78" s="16"/>
      <c r="J78" s="16"/>
      <c r="K78" s="16"/>
    </row>
    <row r="79" spans="2:11" ht="14.5" x14ac:dyDescent="0.25">
      <c r="B79" s="21">
        <v>49065</v>
      </c>
      <c r="C79" s="48">
        <v>6724259.5</v>
      </c>
      <c r="D79" s="22"/>
      <c r="E79" s="23">
        <f t="shared" si="0"/>
        <v>0</v>
      </c>
      <c r="F79" s="24"/>
      <c r="G79" s="25"/>
      <c r="H79" s="16"/>
      <c r="I79" s="16"/>
      <c r="J79" s="16"/>
      <c r="K79" s="16"/>
    </row>
    <row r="80" spans="2:11" ht="14.5" x14ac:dyDescent="0.25">
      <c r="B80" s="21">
        <v>49096</v>
      </c>
      <c r="C80" s="48">
        <v>6702116.6800000006</v>
      </c>
      <c r="D80" s="22"/>
      <c r="E80" s="23">
        <f t="shared" ref="E80:E143" si="1">+C80*D80</f>
        <v>0</v>
      </c>
      <c r="F80" s="24"/>
      <c r="G80" s="25"/>
      <c r="H80" s="16"/>
      <c r="I80" s="16"/>
      <c r="J80" s="16"/>
      <c r="K80" s="16"/>
    </row>
    <row r="81" spans="2:11" ht="14.5" x14ac:dyDescent="0.25">
      <c r="B81" s="21">
        <v>49126</v>
      </c>
      <c r="C81" s="48">
        <v>6793847.3900000006</v>
      </c>
      <c r="D81" s="22"/>
      <c r="E81" s="23">
        <f t="shared" si="1"/>
        <v>0</v>
      </c>
      <c r="F81" s="24"/>
      <c r="G81" s="25"/>
      <c r="H81" s="16"/>
      <c r="I81" s="16"/>
      <c r="J81" s="16"/>
      <c r="K81" s="16"/>
    </row>
    <row r="82" spans="2:11" ht="14.5" x14ac:dyDescent="0.25">
      <c r="B82" s="21">
        <v>49157</v>
      </c>
      <c r="C82" s="48">
        <v>6992971.9800000014</v>
      </c>
      <c r="D82" s="22"/>
      <c r="E82" s="23">
        <f t="shared" si="1"/>
        <v>0</v>
      </c>
      <c r="F82" s="24"/>
      <c r="G82" s="25"/>
      <c r="H82" s="16"/>
      <c r="I82" s="16"/>
      <c r="J82" s="16"/>
      <c r="K82" s="16"/>
    </row>
    <row r="83" spans="2:11" ht="14.5" x14ac:dyDescent="0.25">
      <c r="B83" s="21">
        <v>49188</v>
      </c>
      <c r="C83" s="48">
        <v>6689638.8200000003</v>
      </c>
      <c r="D83" s="22"/>
      <c r="E83" s="23">
        <f t="shared" si="1"/>
        <v>0</v>
      </c>
      <c r="F83" s="24"/>
      <c r="G83" s="25"/>
      <c r="H83" s="16"/>
      <c r="I83" s="16"/>
      <c r="J83" s="16"/>
      <c r="K83" s="16"/>
    </row>
    <row r="84" spans="2:11" ht="14.5" x14ac:dyDescent="0.25">
      <c r="B84" s="21">
        <v>49218</v>
      </c>
      <c r="C84" s="48">
        <v>6970749.6699999999</v>
      </c>
      <c r="D84" s="22"/>
      <c r="E84" s="23">
        <f t="shared" si="1"/>
        <v>0</v>
      </c>
      <c r="F84" s="24"/>
      <c r="G84" s="25"/>
      <c r="H84" s="16"/>
      <c r="I84" s="16"/>
      <c r="J84" s="16"/>
      <c r="K84" s="16"/>
    </row>
    <row r="85" spans="2:11" ht="14.5" x14ac:dyDescent="0.25">
      <c r="B85" s="21">
        <v>49249</v>
      </c>
      <c r="C85" s="48">
        <v>6810864.3000000007</v>
      </c>
      <c r="D85" s="22"/>
      <c r="E85" s="23">
        <f t="shared" si="1"/>
        <v>0</v>
      </c>
      <c r="F85" s="24"/>
      <c r="G85" s="25"/>
      <c r="H85" s="16"/>
      <c r="I85" s="16"/>
      <c r="J85" s="16"/>
      <c r="K85" s="16"/>
    </row>
    <row r="86" spans="2:11" ht="14.5" x14ac:dyDescent="0.25">
      <c r="B86" s="21">
        <v>49279</v>
      </c>
      <c r="C86" s="48">
        <v>7030802.1299999999</v>
      </c>
      <c r="D86" s="22"/>
      <c r="E86" s="23">
        <f t="shared" si="1"/>
        <v>0</v>
      </c>
      <c r="F86" s="24"/>
      <c r="G86" s="25"/>
      <c r="H86" s="16"/>
      <c r="I86" s="16"/>
      <c r="J86" s="16"/>
      <c r="K86" s="16"/>
    </row>
    <row r="87" spans="2:11" ht="14.5" x14ac:dyDescent="0.25">
      <c r="B87" s="21">
        <v>49310</v>
      </c>
      <c r="C87" s="48">
        <v>6877413.629999999</v>
      </c>
      <c r="D87" s="22"/>
      <c r="E87" s="23">
        <f t="shared" si="1"/>
        <v>0</v>
      </c>
      <c r="F87" s="24"/>
      <c r="G87" s="25"/>
      <c r="H87" s="16"/>
      <c r="I87" s="16"/>
      <c r="J87" s="16"/>
      <c r="K87" s="16"/>
    </row>
    <row r="88" spans="2:11" ht="14.5" x14ac:dyDescent="0.25">
      <c r="B88" s="21">
        <v>49341</v>
      </c>
      <c r="C88" s="48">
        <v>6425374.4799999995</v>
      </c>
      <c r="D88" s="22"/>
      <c r="E88" s="23">
        <f t="shared" si="1"/>
        <v>0</v>
      </c>
      <c r="F88" s="24"/>
      <c r="G88" s="25"/>
      <c r="H88" s="16"/>
      <c r="I88" s="16"/>
      <c r="J88" s="16"/>
      <c r="K88" s="16"/>
    </row>
    <row r="89" spans="2:11" ht="14.5" x14ac:dyDescent="0.25">
      <c r="B89" s="21">
        <v>49369</v>
      </c>
      <c r="C89" s="48">
        <v>6771365.9500000011</v>
      </c>
      <c r="D89" s="22"/>
      <c r="E89" s="23">
        <f t="shared" si="1"/>
        <v>0</v>
      </c>
      <c r="F89" s="24"/>
      <c r="G89" s="25"/>
      <c r="H89" s="16"/>
      <c r="I89" s="16"/>
      <c r="J89" s="16"/>
      <c r="K89" s="16"/>
    </row>
    <row r="90" spans="2:11" ht="14.5" x14ac:dyDescent="0.25">
      <c r="B90" s="21">
        <v>49400</v>
      </c>
      <c r="C90" s="48">
        <v>6780064.1500000013</v>
      </c>
      <c r="D90" s="22"/>
      <c r="E90" s="23">
        <f t="shared" si="1"/>
        <v>0</v>
      </c>
      <c r="F90" s="24"/>
      <c r="G90" s="25"/>
      <c r="H90" s="16"/>
      <c r="I90" s="16"/>
      <c r="J90" s="16"/>
      <c r="K90" s="16"/>
    </row>
    <row r="91" spans="2:11" ht="14.5" x14ac:dyDescent="0.25">
      <c r="B91" s="21">
        <v>49430</v>
      </c>
      <c r="C91" s="48">
        <v>6746889.2999999998</v>
      </c>
      <c r="D91" s="22"/>
      <c r="E91" s="23">
        <f t="shared" si="1"/>
        <v>0</v>
      </c>
      <c r="F91" s="24"/>
      <c r="G91" s="25"/>
      <c r="H91" s="16"/>
      <c r="I91" s="16"/>
      <c r="J91" s="16"/>
      <c r="K91" s="16"/>
    </row>
    <row r="92" spans="2:11" ht="14.5" x14ac:dyDescent="0.25">
      <c r="B92" s="21">
        <v>49461</v>
      </c>
      <c r="C92" s="48">
        <v>6724581.4099999992</v>
      </c>
      <c r="D92" s="22"/>
      <c r="E92" s="23">
        <f t="shared" si="1"/>
        <v>0</v>
      </c>
      <c r="F92" s="24"/>
      <c r="G92" s="25"/>
      <c r="H92" s="16"/>
      <c r="I92" s="16"/>
      <c r="J92" s="16"/>
      <c r="K92" s="16"/>
    </row>
    <row r="93" spans="2:11" ht="14.5" x14ac:dyDescent="0.25">
      <c r="B93" s="21">
        <v>49491</v>
      </c>
      <c r="C93" s="48">
        <v>6815504.9000000004</v>
      </c>
      <c r="D93" s="22"/>
      <c r="E93" s="23">
        <f t="shared" si="1"/>
        <v>0</v>
      </c>
      <c r="F93" s="24"/>
      <c r="G93" s="25"/>
      <c r="H93" s="16"/>
      <c r="I93" s="16"/>
      <c r="J93" s="16"/>
      <c r="K93" s="16"/>
    </row>
    <row r="94" spans="2:11" ht="14.5" x14ac:dyDescent="0.25">
      <c r="B94" s="21">
        <v>49522</v>
      </c>
      <c r="C94" s="48">
        <v>7012730.8499999996</v>
      </c>
      <c r="D94" s="22"/>
      <c r="E94" s="23">
        <f t="shared" si="1"/>
        <v>0</v>
      </c>
      <c r="F94" s="24"/>
      <c r="G94" s="25"/>
      <c r="H94" s="16"/>
      <c r="I94" s="16"/>
      <c r="J94" s="16"/>
      <c r="K94" s="16"/>
    </row>
    <row r="95" spans="2:11" ht="14.5" x14ac:dyDescent="0.25">
      <c r="B95" s="21">
        <v>49553</v>
      </c>
      <c r="C95" s="48">
        <v>6709429.6500000013</v>
      </c>
      <c r="D95" s="22"/>
      <c r="E95" s="23">
        <f t="shared" si="1"/>
        <v>0</v>
      </c>
      <c r="F95" s="24"/>
      <c r="G95" s="25"/>
      <c r="H95" s="16"/>
      <c r="I95" s="16"/>
      <c r="J95" s="16"/>
      <c r="K95" s="16"/>
    </row>
    <row r="96" spans="2:11" ht="14.5" x14ac:dyDescent="0.25">
      <c r="B96" s="21">
        <v>49583</v>
      </c>
      <c r="C96" s="48">
        <v>6990612.0499999998</v>
      </c>
      <c r="D96" s="22"/>
      <c r="E96" s="23">
        <f t="shared" si="1"/>
        <v>0</v>
      </c>
      <c r="F96" s="24"/>
      <c r="G96" s="25"/>
      <c r="H96" s="16"/>
      <c r="I96" s="16"/>
      <c r="J96" s="16"/>
      <c r="K96" s="16"/>
    </row>
    <row r="97" spans="2:11" ht="14.5" x14ac:dyDescent="0.25">
      <c r="B97" s="21">
        <v>49614</v>
      </c>
      <c r="C97" s="48">
        <v>6830642.2199999988</v>
      </c>
      <c r="D97" s="22"/>
      <c r="E97" s="23">
        <f t="shared" si="1"/>
        <v>0</v>
      </c>
      <c r="F97" s="24"/>
      <c r="G97" s="25"/>
      <c r="H97" s="16"/>
      <c r="I97" s="16"/>
      <c r="J97" s="16"/>
      <c r="K97" s="16"/>
    </row>
    <row r="98" spans="2:11" ht="14.5" x14ac:dyDescent="0.25">
      <c r="B98" s="21">
        <v>49644</v>
      </c>
      <c r="C98" s="48">
        <v>7050315.3099999996</v>
      </c>
      <c r="D98" s="22"/>
      <c r="E98" s="23">
        <f t="shared" si="1"/>
        <v>0</v>
      </c>
      <c r="F98" s="24"/>
      <c r="G98" s="25"/>
      <c r="H98" s="16"/>
      <c r="I98" s="16"/>
      <c r="J98" s="16"/>
      <c r="K98" s="16"/>
    </row>
    <row r="99" spans="2:11" ht="14.5" x14ac:dyDescent="0.25">
      <c r="B99" s="21">
        <v>49675</v>
      </c>
      <c r="C99" s="48">
        <v>6825793.8599999994</v>
      </c>
      <c r="D99" s="22"/>
      <c r="E99" s="23">
        <f t="shared" si="1"/>
        <v>0</v>
      </c>
      <c r="F99" s="24"/>
      <c r="G99" s="25"/>
      <c r="H99" s="16"/>
      <c r="I99" s="16"/>
      <c r="J99" s="16"/>
      <c r="K99" s="16"/>
    </row>
    <row r="100" spans="2:11" ht="14.5" x14ac:dyDescent="0.25">
      <c r="B100" s="21">
        <v>49706</v>
      </c>
      <c r="C100" s="48">
        <v>6357831.7000000002</v>
      </c>
      <c r="D100" s="22"/>
      <c r="E100" s="23">
        <f t="shared" si="1"/>
        <v>0</v>
      </c>
      <c r="F100" s="24"/>
      <c r="G100" s="25"/>
      <c r="H100" s="16"/>
      <c r="I100" s="16"/>
      <c r="J100" s="16"/>
      <c r="K100" s="16"/>
    </row>
    <row r="101" spans="2:11" ht="14.5" x14ac:dyDescent="0.25">
      <c r="B101" s="21">
        <v>49735</v>
      </c>
      <c r="C101" s="48">
        <v>6723160.5699999994</v>
      </c>
      <c r="D101" s="22"/>
      <c r="E101" s="23">
        <f t="shared" si="1"/>
        <v>0</v>
      </c>
      <c r="F101" s="24"/>
      <c r="G101" s="25"/>
      <c r="H101" s="16"/>
      <c r="I101" s="16"/>
      <c r="J101" s="16"/>
      <c r="K101" s="16"/>
    </row>
    <row r="102" spans="2:11" ht="14.5" x14ac:dyDescent="0.25">
      <c r="B102" s="21">
        <v>49766</v>
      </c>
      <c r="C102" s="48">
        <v>6728583.2800000003</v>
      </c>
      <c r="D102" s="22"/>
      <c r="E102" s="23">
        <f t="shared" si="1"/>
        <v>0</v>
      </c>
      <c r="F102" s="24"/>
      <c r="G102" s="25"/>
      <c r="H102" s="16"/>
      <c r="I102" s="16"/>
      <c r="J102" s="16"/>
      <c r="K102" s="16"/>
    </row>
    <row r="103" spans="2:11" ht="14.5" x14ac:dyDescent="0.25">
      <c r="B103" s="21">
        <v>49796</v>
      </c>
      <c r="C103" s="48">
        <v>6696951.9900000012</v>
      </c>
      <c r="D103" s="22"/>
      <c r="E103" s="23">
        <f t="shared" si="1"/>
        <v>0</v>
      </c>
      <c r="F103" s="24"/>
      <c r="G103" s="25"/>
      <c r="H103" s="16"/>
      <c r="I103" s="16"/>
      <c r="J103" s="16"/>
      <c r="K103" s="16"/>
    </row>
    <row r="104" spans="2:11" ht="14.5" x14ac:dyDescent="0.25">
      <c r="B104" s="21">
        <v>49827</v>
      </c>
      <c r="C104" s="48">
        <v>6672712.2599999998</v>
      </c>
      <c r="D104" s="22"/>
      <c r="E104" s="23">
        <f t="shared" si="1"/>
        <v>0</v>
      </c>
      <c r="F104" s="24"/>
      <c r="G104" s="25"/>
      <c r="H104" s="16"/>
      <c r="I104" s="16"/>
      <c r="J104" s="16"/>
      <c r="K104" s="16"/>
    </row>
    <row r="105" spans="2:11" ht="14.5" x14ac:dyDescent="0.25">
      <c r="B105" s="21">
        <v>49857</v>
      </c>
      <c r="C105" s="48">
        <v>6856159.7700000005</v>
      </c>
      <c r="D105" s="22"/>
      <c r="E105" s="23">
        <f t="shared" si="1"/>
        <v>0</v>
      </c>
      <c r="F105" s="24"/>
      <c r="G105" s="25"/>
      <c r="H105" s="16"/>
      <c r="I105" s="16"/>
      <c r="J105" s="16"/>
      <c r="K105" s="16"/>
    </row>
    <row r="106" spans="2:11" ht="14.5" x14ac:dyDescent="0.25">
      <c r="B106" s="21">
        <v>49888</v>
      </c>
      <c r="C106" s="48">
        <v>6956478.4100000001</v>
      </c>
      <c r="D106" s="22"/>
      <c r="E106" s="23">
        <f t="shared" si="1"/>
        <v>0</v>
      </c>
      <c r="F106" s="24"/>
      <c r="G106" s="25"/>
      <c r="H106" s="16"/>
      <c r="I106" s="16"/>
      <c r="J106" s="16"/>
      <c r="K106" s="16"/>
    </row>
    <row r="107" spans="2:11" ht="14.5" x14ac:dyDescent="0.25">
      <c r="B107" s="21">
        <v>49919</v>
      </c>
      <c r="C107" s="48">
        <v>6656991.04</v>
      </c>
      <c r="D107" s="22"/>
      <c r="E107" s="23">
        <f t="shared" si="1"/>
        <v>0</v>
      </c>
      <c r="F107" s="24"/>
      <c r="G107" s="25"/>
      <c r="H107" s="16"/>
      <c r="I107" s="16"/>
      <c r="J107" s="16"/>
      <c r="K107" s="16"/>
    </row>
    <row r="108" spans="2:11" ht="14.5" x14ac:dyDescent="0.25">
      <c r="B108" s="21">
        <v>49949</v>
      </c>
      <c r="C108" s="48">
        <v>6934712.71</v>
      </c>
      <c r="D108" s="22"/>
      <c r="E108" s="23">
        <f t="shared" si="1"/>
        <v>0</v>
      </c>
      <c r="F108" s="24"/>
      <c r="G108" s="25"/>
      <c r="H108" s="16"/>
      <c r="I108" s="16"/>
      <c r="J108" s="16"/>
      <c r="K108" s="16"/>
    </row>
    <row r="109" spans="2:11" ht="14.5" x14ac:dyDescent="0.25">
      <c r="B109" s="21">
        <v>49980</v>
      </c>
      <c r="C109" s="48">
        <v>6776537.8099999987</v>
      </c>
      <c r="D109" s="22"/>
      <c r="E109" s="23">
        <f t="shared" si="1"/>
        <v>0</v>
      </c>
      <c r="F109" s="24"/>
      <c r="G109" s="25"/>
      <c r="H109" s="16"/>
      <c r="I109" s="16"/>
      <c r="J109" s="16"/>
      <c r="K109" s="16"/>
    </row>
    <row r="110" spans="2:11" ht="14.5" x14ac:dyDescent="0.25">
      <c r="B110" s="21">
        <v>50010</v>
      </c>
      <c r="C110" s="48">
        <v>6993819.4699999997</v>
      </c>
      <c r="D110" s="22"/>
      <c r="E110" s="23">
        <f t="shared" si="1"/>
        <v>0</v>
      </c>
      <c r="F110" s="24"/>
      <c r="G110" s="25"/>
      <c r="H110" s="16"/>
      <c r="I110" s="16"/>
      <c r="J110" s="16"/>
      <c r="K110" s="16"/>
    </row>
    <row r="111" spans="2:11" ht="14.5" x14ac:dyDescent="0.25">
      <c r="B111" s="21">
        <v>50041</v>
      </c>
      <c r="C111" s="48">
        <v>6861890.3100000015</v>
      </c>
      <c r="D111" s="22"/>
      <c r="E111" s="23">
        <f t="shared" si="1"/>
        <v>0</v>
      </c>
      <c r="F111" s="24"/>
      <c r="G111" s="25"/>
      <c r="H111" s="16"/>
      <c r="I111" s="16"/>
      <c r="J111" s="16"/>
      <c r="K111" s="16"/>
    </row>
    <row r="112" spans="2:11" ht="14.5" x14ac:dyDescent="0.25">
      <c r="B112" s="21">
        <v>50072</v>
      </c>
      <c r="C112" s="48">
        <v>6373287.2000000011</v>
      </c>
      <c r="D112" s="22"/>
      <c r="E112" s="23">
        <f t="shared" si="1"/>
        <v>0</v>
      </c>
      <c r="F112" s="24"/>
      <c r="G112" s="25"/>
      <c r="H112" s="16"/>
      <c r="I112" s="16"/>
      <c r="J112" s="16"/>
      <c r="K112" s="16"/>
    </row>
    <row r="113" spans="2:11" ht="14.5" x14ac:dyDescent="0.25">
      <c r="B113" s="21">
        <v>50100</v>
      </c>
      <c r="C113" s="48">
        <v>6773244.4399999985</v>
      </c>
      <c r="D113" s="22"/>
      <c r="E113" s="23">
        <f t="shared" si="1"/>
        <v>0</v>
      </c>
      <c r="F113" s="24"/>
      <c r="G113" s="25"/>
      <c r="H113" s="16"/>
      <c r="I113" s="16"/>
      <c r="J113" s="16"/>
      <c r="K113" s="16"/>
    </row>
    <row r="114" spans="2:11" ht="14.5" x14ac:dyDescent="0.25">
      <c r="B114" s="21">
        <v>50131</v>
      </c>
      <c r="C114" s="48">
        <v>6756871.9200000009</v>
      </c>
      <c r="D114" s="22"/>
      <c r="E114" s="23">
        <f t="shared" si="1"/>
        <v>0</v>
      </c>
      <c r="F114" s="24"/>
      <c r="G114" s="25"/>
      <c r="H114" s="16"/>
      <c r="I114" s="16"/>
      <c r="J114" s="16"/>
      <c r="K114" s="16"/>
    </row>
    <row r="115" spans="2:11" ht="14.5" x14ac:dyDescent="0.25">
      <c r="B115" s="21">
        <v>50161</v>
      </c>
      <c r="C115" s="48">
        <v>6752675.1100000003</v>
      </c>
      <c r="D115" s="22"/>
      <c r="E115" s="23">
        <f t="shared" si="1"/>
        <v>0</v>
      </c>
      <c r="F115" s="24"/>
      <c r="G115" s="25"/>
      <c r="H115" s="16"/>
      <c r="I115" s="16"/>
      <c r="J115" s="16"/>
      <c r="K115" s="16"/>
    </row>
    <row r="116" spans="2:11" ht="14.5" x14ac:dyDescent="0.25">
      <c r="B116" s="21">
        <v>50192</v>
      </c>
      <c r="C116" s="48">
        <v>6716565.9399999995</v>
      </c>
      <c r="D116" s="22"/>
      <c r="E116" s="23">
        <f t="shared" si="1"/>
        <v>0</v>
      </c>
      <c r="F116" s="24"/>
      <c r="G116" s="25"/>
      <c r="H116" s="16"/>
      <c r="I116" s="16"/>
      <c r="J116" s="16"/>
      <c r="K116" s="16"/>
    </row>
    <row r="117" spans="2:11" ht="14.5" x14ac:dyDescent="0.25">
      <c r="B117" s="21">
        <v>50222</v>
      </c>
      <c r="C117" s="48">
        <v>6804600.5499999998</v>
      </c>
      <c r="D117" s="22"/>
      <c r="E117" s="23">
        <f t="shared" si="1"/>
        <v>0</v>
      </c>
      <c r="F117" s="24"/>
      <c r="G117" s="25"/>
      <c r="H117" s="16"/>
      <c r="I117" s="16"/>
      <c r="J117" s="16"/>
      <c r="K117" s="16"/>
    </row>
    <row r="118" spans="2:11" ht="14.5" x14ac:dyDescent="0.25">
      <c r="B118" s="21">
        <v>50253</v>
      </c>
      <c r="C118" s="48">
        <v>6969232.3399999999</v>
      </c>
      <c r="D118" s="22"/>
      <c r="E118" s="23">
        <f t="shared" si="1"/>
        <v>0</v>
      </c>
      <c r="F118" s="24"/>
      <c r="G118" s="25"/>
      <c r="H118" s="16"/>
      <c r="I118" s="16"/>
      <c r="J118" s="16"/>
      <c r="K118" s="16"/>
    </row>
    <row r="119" spans="2:11" ht="14.5" x14ac:dyDescent="0.25">
      <c r="B119" s="21">
        <v>50284</v>
      </c>
      <c r="C119" s="48">
        <v>6661838.1200000001</v>
      </c>
      <c r="D119" s="22"/>
      <c r="E119" s="23">
        <f t="shared" si="1"/>
        <v>0</v>
      </c>
      <c r="F119" s="24"/>
      <c r="G119" s="25"/>
      <c r="H119" s="16"/>
      <c r="I119" s="16"/>
      <c r="J119" s="16"/>
      <c r="K119" s="16"/>
    </row>
    <row r="120" spans="2:11" ht="14.5" x14ac:dyDescent="0.25">
      <c r="B120" s="21">
        <v>50314</v>
      </c>
      <c r="C120" s="48">
        <v>6945542.7599999998</v>
      </c>
      <c r="D120" s="22"/>
      <c r="E120" s="23">
        <f t="shared" si="1"/>
        <v>0</v>
      </c>
      <c r="F120" s="24"/>
      <c r="G120" s="25"/>
      <c r="H120" s="16"/>
      <c r="I120" s="16"/>
      <c r="J120" s="16"/>
      <c r="K120" s="16"/>
    </row>
    <row r="121" spans="2:11" ht="14.5" x14ac:dyDescent="0.25">
      <c r="B121" s="21">
        <v>50345</v>
      </c>
      <c r="C121" s="48">
        <v>6778964.6100000013</v>
      </c>
      <c r="D121" s="22"/>
      <c r="E121" s="23">
        <f t="shared" si="1"/>
        <v>0</v>
      </c>
      <c r="F121" s="24"/>
      <c r="G121" s="25"/>
      <c r="H121" s="16"/>
      <c r="I121" s="16"/>
      <c r="J121" s="16"/>
      <c r="K121" s="16"/>
    </row>
    <row r="122" spans="2:11" ht="14.5" x14ac:dyDescent="0.25">
      <c r="B122" s="21">
        <v>50375</v>
      </c>
      <c r="C122" s="48">
        <v>7005102.9600000009</v>
      </c>
      <c r="D122" s="22"/>
      <c r="E122" s="23">
        <f t="shared" si="1"/>
        <v>0</v>
      </c>
      <c r="F122" s="24"/>
      <c r="G122" s="25"/>
      <c r="H122" s="16"/>
      <c r="I122" s="16"/>
      <c r="J122" s="16"/>
      <c r="K122" s="16"/>
    </row>
    <row r="123" spans="2:11" ht="14.5" x14ac:dyDescent="0.25">
      <c r="B123" s="21">
        <v>50406</v>
      </c>
      <c r="C123" s="48">
        <v>6754779.2599999998</v>
      </c>
      <c r="D123" s="22"/>
      <c r="E123" s="23">
        <f t="shared" si="1"/>
        <v>0</v>
      </c>
      <c r="F123" s="24"/>
      <c r="G123" s="25"/>
      <c r="H123" s="16"/>
      <c r="I123" s="16"/>
      <c r="J123" s="16"/>
      <c r="K123" s="16"/>
    </row>
    <row r="124" spans="2:11" ht="14.5" x14ac:dyDescent="0.25">
      <c r="B124" s="21">
        <v>50437</v>
      </c>
      <c r="C124" s="48">
        <v>6412110.8399999999</v>
      </c>
      <c r="D124" s="22"/>
      <c r="E124" s="23">
        <f t="shared" si="1"/>
        <v>0</v>
      </c>
      <c r="F124" s="24"/>
      <c r="G124" s="25"/>
      <c r="H124" s="16"/>
      <c r="I124" s="16"/>
      <c r="J124" s="16"/>
      <c r="K124" s="16"/>
    </row>
    <row r="125" spans="2:11" ht="14.5" x14ac:dyDescent="0.25">
      <c r="B125" s="21">
        <v>50465</v>
      </c>
      <c r="C125" s="48">
        <v>6660203.2899999991</v>
      </c>
      <c r="D125" s="22"/>
      <c r="E125" s="23">
        <f t="shared" si="1"/>
        <v>0</v>
      </c>
      <c r="F125" s="24"/>
      <c r="G125" s="25"/>
      <c r="H125" s="16"/>
      <c r="I125" s="16"/>
      <c r="J125" s="16"/>
      <c r="K125" s="16"/>
    </row>
    <row r="126" spans="2:11" ht="14.5" x14ac:dyDescent="0.25">
      <c r="B126" s="21">
        <v>50496</v>
      </c>
      <c r="C126" s="48">
        <v>6641786.5399999991</v>
      </c>
      <c r="D126" s="22"/>
      <c r="E126" s="23">
        <f t="shared" si="1"/>
        <v>0</v>
      </c>
      <c r="F126" s="24"/>
      <c r="G126" s="25"/>
      <c r="H126" s="16"/>
      <c r="I126" s="16"/>
      <c r="J126" s="16"/>
      <c r="K126" s="16"/>
    </row>
    <row r="127" spans="2:11" ht="14.5" x14ac:dyDescent="0.25">
      <c r="B127" s="21">
        <v>50526</v>
      </c>
      <c r="C127" s="48">
        <v>6656737.3600000013</v>
      </c>
      <c r="D127" s="22"/>
      <c r="E127" s="23">
        <f t="shared" si="1"/>
        <v>0</v>
      </c>
      <c r="F127" s="24"/>
      <c r="G127" s="25"/>
      <c r="H127" s="16"/>
      <c r="I127" s="16"/>
      <c r="J127" s="16"/>
      <c r="K127" s="16"/>
    </row>
    <row r="128" spans="2:11" ht="14.5" x14ac:dyDescent="0.25">
      <c r="B128" s="21">
        <v>50557</v>
      </c>
      <c r="C128" s="48">
        <v>6620844.0599999996</v>
      </c>
      <c r="D128" s="22"/>
      <c r="E128" s="23">
        <f t="shared" si="1"/>
        <v>0</v>
      </c>
      <c r="F128" s="24"/>
      <c r="G128" s="25"/>
      <c r="H128" s="16"/>
      <c r="I128" s="16"/>
      <c r="J128" s="16"/>
      <c r="K128" s="16"/>
    </row>
    <row r="129" spans="2:11" ht="14.5" x14ac:dyDescent="0.25">
      <c r="B129" s="21">
        <v>50587</v>
      </c>
      <c r="C129" s="48">
        <v>6693310.1299999999</v>
      </c>
      <c r="D129" s="22"/>
      <c r="E129" s="23">
        <f t="shared" si="1"/>
        <v>0</v>
      </c>
      <c r="F129" s="24"/>
      <c r="G129" s="25"/>
      <c r="H129" s="16"/>
      <c r="I129" s="16"/>
      <c r="J129" s="16"/>
      <c r="K129" s="16"/>
    </row>
    <row r="130" spans="2:11" ht="14.5" x14ac:dyDescent="0.25">
      <c r="B130" s="21">
        <v>50618</v>
      </c>
      <c r="C130" s="48">
        <v>6816441.6599999983</v>
      </c>
      <c r="D130" s="22"/>
      <c r="E130" s="23">
        <f t="shared" si="1"/>
        <v>0</v>
      </c>
      <c r="F130" s="24"/>
      <c r="G130" s="25"/>
      <c r="H130" s="16"/>
      <c r="I130" s="16"/>
      <c r="J130" s="16"/>
      <c r="K130" s="16"/>
    </row>
    <row r="131" spans="2:11" ht="14.5" x14ac:dyDescent="0.25">
      <c r="B131" s="21">
        <v>50649</v>
      </c>
      <c r="C131" s="48">
        <v>6642191.120000001</v>
      </c>
      <c r="D131" s="22"/>
      <c r="E131" s="23">
        <f t="shared" si="1"/>
        <v>0</v>
      </c>
      <c r="F131" s="24"/>
      <c r="G131" s="25"/>
      <c r="H131" s="16"/>
      <c r="I131" s="16"/>
      <c r="J131" s="16"/>
      <c r="K131" s="16"/>
    </row>
    <row r="132" spans="2:11" ht="14.5" x14ac:dyDescent="0.25">
      <c r="B132" s="21">
        <v>50679</v>
      </c>
      <c r="C132" s="48">
        <v>6813344.4800000014</v>
      </c>
      <c r="D132" s="22"/>
      <c r="E132" s="23">
        <f t="shared" si="1"/>
        <v>0</v>
      </c>
      <c r="F132" s="24"/>
      <c r="G132" s="25"/>
      <c r="H132" s="16"/>
      <c r="I132" s="16"/>
      <c r="J132" s="16"/>
      <c r="K132" s="16"/>
    </row>
    <row r="133" spans="2:11" ht="14.5" x14ac:dyDescent="0.25">
      <c r="B133" s="21">
        <v>50710</v>
      </c>
      <c r="C133" s="48">
        <v>6725017.080000001</v>
      </c>
      <c r="D133" s="22"/>
      <c r="E133" s="23">
        <f t="shared" si="1"/>
        <v>0</v>
      </c>
      <c r="F133" s="24"/>
      <c r="G133" s="25"/>
      <c r="H133" s="16"/>
      <c r="I133" s="16"/>
      <c r="J133" s="16"/>
      <c r="K133" s="16"/>
    </row>
    <row r="134" spans="2:11" ht="14.5" x14ac:dyDescent="0.25">
      <c r="B134" s="21">
        <v>50740</v>
      </c>
      <c r="C134" s="48">
        <v>6852226.0899999999</v>
      </c>
      <c r="D134" s="22"/>
      <c r="E134" s="23">
        <f t="shared" si="1"/>
        <v>0</v>
      </c>
      <c r="F134" s="24"/>
      <c r="G134" s="25"/>
      <c r="H134" s="16"/>
      <c r="I134" s="16"/>
      <c r="J134" s="16"/>
      <c r="K134" s="16"/>
    </row>
    <row r="135" spans="2:11" ht="14.5" x14ac:dyDescent="0.25">
      <c r="B135" s="21">
        <v>50771</v>
      </c>
      <c r="C135" s="47">
        <v>6881188.5999999996</v>
      </c>
      <c r="D135" s="22"/>
      <c r="E135" s="23">
        <f t="shared" si="1"/>
        <v>0</v>
      </c>
      <c r="F135" s="24"/>
      <c r="G135" s="25"/>
      <c r="H135" s="16"/>
      <c r="I135" s="16"/>
      <c r="J135" s="16"/>
      <c r="K135" s="16"/>
    </row>
    <row r="136" spans="2:11" ht="14.5" x14ac:dyDescent="0.25">
      <c r="B136" s="21">
        <v>50802</v>
      </c>
      <c r="C136" s="47">
        <v>6532790.2399999993</v>
      </c>
      <c r="D136" s="22"/>
      <c r="E136" s="23">
        <f t="shared" si="1"/>
        <v>0</v>
      </c>
      <c r="F136" s="24"/>
      <c r="G136" s="25"/>
      <c r="H136" s="16"/>
      <c r="I136" s="16"/>
      <c r="J136" s="16"/>
      <c r="K136" s="16"/>
    </row>
    <row r="137" spans="2:11" ht="14.5" x14ac:dyDescent="0.25">
      <c r="B137" s="21">
        <v>50830</v>
      </c>
      <c r="C137" s="47">
        <v>6786084.6100000003</v>
      </c>
      <c r="D137" s="22"/>
      <c r="E137" s="23">
        <f t="shared" si="1"/>
        <v>0</v>
      </c>
      <c r="F137" s="24"/>
      <c r="G137" s="25"/>
      <c r="H137" s="16"/>
      <c r="I137" s="16"/>
      <c r="J137" s="16"/>
      <c r="K137" s="16"/>
    </row>
    <row r="138" spans="2:11" ht="14.5" x14ac:dyDescent="0.25">
      <c r="B138" s="21">
        <v>50861</v>
      </c>
      <c r="C138" s="47">
        <v>6766228.4699999988</v>
      </c>
      <c r="D138" s="22"/>
      <c r="E138" s="23">
        <f t="shared" si="1"/>
        <v>0</v>
      </c>
      <c r="F138" s="24"/>
      <c r="G138" s="25"/>
      <c r="H138" s="16"/>
      <c r="I138" s="16"/>
      <c r="J138" s="16"/>
      <c r="K138" s="16"/>
    </row>
    <row r="139" spans="2:11" ht="14.5" x14ac:dyDescent="0.25">
      <c r="B139" s="21">
        <v>50891</v>
      </c>
      <c r="C139" s="47">
        <v>6781357.5600000005</v>
      </c>
      <c r="D139" s="22"/>
      <c r="E139" s="23">
        <f t="shared" si="1"/>
        <v>0</v>
      </c>
      <c r="F139" s="24"/>
      <c r="G139" s="25"/>
      <c r="H139" s="16"/>
      <c r="I139" s="16"/>
      <c r="J139" s="16"/>
      <c r="K139" s="16"/>
    </row>
    <row r="140" spans="2:11" ht="14.5" x14ac:dyDescent="0.25">
      <c r="B140" s="21">
        <v>50922</v>
      </c>
      <c r="C140" s="47">
        <v>6744570.5399999991</v>
      </c>
      <c r="D140" s="22"/>
      <c r="E140" s="23">
        <f t="shared" si="1"/>
        <v>0</v>
      </c>
      <c r="F140" s="24"/>
      <c r="G140" s="25"/>
      <c r="H140" s="16"/>
      <c r="I140" s="16"/>
      <c r="J140" s="16"/>
      <c r="K140" s="16"/>
    </row>
    <row r="141" spans="2:11" ht="14.5" x14ac:dyDescent="0.25">
      <c r="B141" s="21">
        <v>50952</v>
      </c>
      <c r="C141" s="47">
        <v>6817972.2800000003</v>
      </c>
      <c r="D141" s="22"/>
      <c r="E141" s="23">
        <f t="shared" si="1"/>
        <v>0</v>
      </c>
      <c r="F141" s="24"/>
      <c r="G141" s="25"/>
      <c r="H141" s="16"/>
      <c r="I141" s="16"/>
      <c r="J141" s="16"/>
      <c r="K141" s="16"/>
    </row>
    <row r="142" spans="2:11" ht="14.5" x14ac:dyDescent="0.25">
      <c r="B142" s="21">
        <v>50983</v>
      </c>
      <c r="C142" s="47">
        <v>6942448.0599999996</v>
      </c>
      <c r="D142" s="22"/>
      <c r="E142" s="23">
        <f t="shared" si="1"/>
        <v>0</v>
      </c>
      <c r="F142" s="24"/>
      <c r="G142" s="25"/>
      <c r="H142" s="16"/>
      <c r="I142" s="16"/>
      <c r="J142" s="16"/>
      <c r="K142" s="16"/>
    </row>
    <row r="143" spans="2:11" ht="14.5" x14ac:dyDescent="0.25">
      <c r="B143" s="21">
        <v>51014</v>
      </c>
      <c r="C143" s="47">
        <v>6764735.2000000002</v>
      </c>
      <c r="D143" s="22"/>
      <c r="E143" s="23">
        <f t="shared" si="1"/>
        <v>0</v>
      </c>
      <c r="F143" s="24"/>
      <c r="G143" s="25"/>
      <c r="H143" s="16"/>
      <c r="I143" s="16"/>
      <c r="J143" s="16"/>
      <c r="K143" s="16"/>
    </row>
    <row r="144" spans="2:11" ht="14.5" x14ac:dyDescent="0.25">
      <c r="B144" s="21">
        <v>51044</v>
      </c>
      <c r="C144" s="47">
        <v>6939066.5199999986</v>
      </c>
      <c r="D144" s="22"/>
      <c r="E144" s="23">
        <f t="shared" ref="E144:E146" si="2">+C144*D144</f>
        <v>0</v>
      </c>
      <c r="F144" s="24"/>
      <c r="G144" s="25"/>
      <c r="H144" s="16"/>
      <c r="I144" s="16"/>
      <c r="J144" s="16"/>
      <c r="K144" s="16"/>
    </row>
    <row r="145" spans="2:11" ht="14.5" x14ac:dyDescent="0.25">
      <c r="B145" s="21">
        <v>51075</v>
      </c>
      <c r="C145" s="47">
        <v>6848945.5600000005</v>
      </c>
      <c r="D145" s="22"/>
      <c r="E145" s="23">
        <f t="shared" si="2"/>
        <v>0</v>
      </c>
      <c r="F145" s="24"/>
      <c r="G145" s="25"/>
      <c r="H145" s="16"/>
      <c r="I145" s="16"/>
      <c r="J145" s="16"/>
      <c r="K145" s="16"/>
    </row>
    <row r="146" spans="2:11" ht="14.5" x14ac:dyDescent="0.25">
      <c r="B146" s="21">
        <v>51105</v>
      </c>
      <c r="C146" s="47">
        <v>6978631.3499999996</v>
      </c>
      <c r="D146" s="22"/>
      <c r="E146" s="23">
        <f t="shared" si="2"/>
        <v>0</v>
      </c>
      <c r="F146" s="24"/>
      <c r="G146" s="25"/>
      <c r="H146" s="16"/>
      <c r="I146" s="16"/>
      <c r="J146" s="16"/>
      <c r="K146" s="16"/>
    </row>
    <row r="147" spans="2:11" ht="14.5" x14ac:dyDescent="0.25">
      <c r="B147" s="21" t="s">
        <v>64</v>
      </c>
      <c r="C147" s="49">
        <f>SUM(C15:C146)</f>
        <v>894422261.54999971</v>
      </c>
      <c r="D147" s="26" t="s">
        <v>63</v>
      </c>
      <c r="E147" s="23"/>
      <c r="F147" s="24"/>
      <c r="G147" s="16"/>
      <c r="H147" s="16"/>
      <c r="I147" s="16"/>
      <c r="J147" s="16"/>
      <c r="K147" s="16"/>
    </row>
    <row r="148" spans="2:11" ht="13" x14ac:dyDescent="0.25">
      <c r="B148" s="36"/>
      <c r="C148" s="36"/>
      <c r="D148" s="36"/>
      <c r="E148" s="36"/>
      <c r="F148" s="36"/>
      <c r="G148" s="36"/>
      <c r="H148" s="36"/>
      <c r="I148" s="36"/>
      <c r="J148" s="36"/>
      <c r="K148" s="36"/>
    </row>
    <row r="149" spans="2:11" x14ac:dyDescent="0.25">
      <c r="B149" s="46" t="s">
        <v>67</v>
      </c>
      <c r="C149" s="37"/>
      <c r="D149" s="37"/>
      <c r="E149" s="37"/>
      <c r="F149" s="37"/>
      <c r="G149" s="37"/>
      <c r="H149" s="37"/>
      <c r="I149" s="37"/>
      <c r="J149" s="37"/>
      <c r="K149" s="37"/>
    </row>
    <row r="150" spans="2:11" x14ac:dyDescent="0.25">
      <c r="B150" s="38" t="s">
        <v>71</v>
      </c>
      <c r="C150" s="39"/>
      <c r="D150" s="39"/>
      <c r="E150" s="39"/>
      <c r="F150" s="39"/>
      <c r="G150" s="39"/>
      <c r="H150" s="39"/>
      <c r="I150" s="39"/>
      <c r="J150" s="39"/>
      <c r="K150" s="39"/>
    </row>
    <row r="151" spans="2:11" x14ac:dyDescent="0.25">
      <c r="B151" s="38" t="s">
        <v>78</v>
      </c>
      <c r="C151" s="54"/>
      <c r="D151" s="54"/>
      <c r="E151" s="54"/>
      <c r="F151" s="54"/>
      <c r="G151" s="54"/>
      <c r="H151" s="54"/>
      <c r="I151" s="54"/>
      <c r="J151" s="37"/>
      <c r="K151" s="37"/>
    </row>
    <row r="152" spans="2:11" x14ac:dyDescent="0.25">
      <c r="B152" s="38" t="s">
        <v>79</v>
      </c>
      <c r="C152" s="54"/>
      <c r="D152" s="54"/>
      <c r="E152" s="54"/>
      <c r="F152" s="54"/>
      <c r="G152" s="54"/>
      <c r="H152" s="54"/>
      <c r="I152" s="54"/>
      <c r="J152" s="37"/>
      <c r="K152" s="37"/>
    </row>
    <row r="153" spans="2:11" x14ac:dyDescent="0.25">
      <c r="B153" s="38" t="s">
        <v>75</v>
      </c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2:11" x14ac:dyDescent="0.25">
      <c r="B154" s="38" t="s">
        <v>76</v>
      </c>
    </row>
    <row r="155" spans="2:11" ht="13" x14ac:dyDescent="0.25">
      <c r="B155" s="38" t="s">
        <v>77</v>
      </c>
      <c r="C155" s="55"/>
    </row>
    <row r="156" spans="2:11" x14ac:dyDescent="0.25">
      <c r="B156" s="38" t="s">
        <v>80</v>
      </c>
      <c r="E156" s="46"/>
    </row>
    <row r="157" spans="2:11" x14ac:dyDescent="0.25">
      <c r="B157" s="38"/>
    </row>
    <row r="158" spans="2:11" x14ac:dyDescent="0.25">
      <c r="B158" s="38"/>
    </row>
    <row r="159" spans="2:11" ht="13" thickBot="1" x14ac:dyDescent="0.3">
      <c r="B159" s="40"/>
    </row>
    <row r="160" spans="2:11" ht="13" x14ac:dyDescent="0.25">
      <c r="B160" s="41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31E6-6327-4476-8FBA-8E7DDB215757}">
  <dimension ref="B2:AE62"/>
  <sheetViews>
    <sheetView showGridLines="0" zoomScale="50" zoomScaleNormal="50" workbookViewId="0">
      <selection activeCell="AE8" sqref="AE8"/>
    </sheetView>
  </sheetViews>
  <sheetFormatPr baseColWidth="10" defaultColWidth="11.453125" defaultRowHeight="12.5" x14ac:dyDescent="0.25"/>
  <cols>
    <col min="1" max="1" width="3" style="1" customWidth="1"/>
    <col min="2" max="2" width="5.54296875" style="1" bestFit="1" customWidth="1"/>
    <col min="3" max="3" width="9.7265625" style="1" bestFit="1" customWidth="1"/>
    <col min="4" max="4" width="5.90625" style="1" bestFit="1" customWidth="1"/>
    <col min="5" max="6" width="8.6328125" style="1" bestFit="1" customWidth="1"/>
    <col min="7" max="8" width="9" style="1" bestFit="1" customWidth="1"/>
    <col min="9" max="9" width="8.6328125" style="1" bestFit="1" customWidth="1"/>
    <col min="10" max="10" width="9" style="1" bestFit="1" customWidth="1"/>
    <col min="11" max="11" width="8.90625" style="1" bestFit="1" customWidth="1"/>
    <col min="12" max="15" width="9" style="1" bestFit="1" customWidth="1"/>
    <col min="16" max="17" width="9.36328125" style="1" bestFit="1" customWidth="1"/>
    <col min="18" max="18" width="9" style="1" bestFit="1" customWidth="1"/>
    <col min="19" max="20" width="9.36328125" style="1" bestFit="1" customWidth="1"/>
    <col min="21" max="21" width="9" style="1" bestFit="1" customWidth="1"/>
    <col min="22" max="22" width="9.36328125" style="1" bestFit="1" customWidth="1"/>
    <col min="23" max="23" width="9" style="1" bestFit="1" customWidth="1"/>
    <col min="24" max="26" width="9.36328125" style="1" bestFit="1" customWidth="1"/>
    <col min="27" max="27" width="8.6328125" style="1" bestFit="1" customWidth="1"/>
    <col min="28" max="28" width="9" style="1" bestFit="1" customWidth="1"/>
    <col min="29" max="29" width="16.7265625" style="11" bestFit="1" customWidth="1"/>
    <col min="30" max="30" width="3.90625" style="1" customWidth="1"/>
    <col min="31" max="31" width="14.81640625" style="1" bestFit="1" customWidth="1"/>
    <col min="32" max="172" width="11.453125" style="1"/>
    <col min="173" max="173" width="7" style="1" customWidth="1"/>
    <col min="174" max="174" width="10.7265625" style="1" customWidth="1"/>
    <col min="175" max="175" width="9.26953125" style="1" customWidth="1"/>
    <col min="176" max="199" width="7.26953125" style="1" customWidth="1"/>
    <col min="200" max="200" width="11.26953125" style="1" bestFit="1" customWidth="1"/>
    <col min="201" max="428" width="11.453125" style="1"/>
    <col min="429" max="429" width="7" style="1" customWidth="1"/>
    <col min="430" max="430" width="10.7265625" style="1" customWidth="1"/>
    <col min="431" max="431" width="9.26953125" style="1" customWidth="1"/>
    <col min="432" max="455" width="7.26953125" style="1" customWidth="1"/>
    <col min="456" max="456" width="11.26953125" style="1" bestFit="1" customWidth="1"/>
    <col min="457" max="684" width="11.453125" style="1"/>
    <col min="685" max="685" width="7" style="1" customWidth="1"/>
    <col min="686" max="686" width="10.7265625" style="1" customWidth="1"/>
    <col min="687" max="687" width="9.26953125" style="1" customWidth="1"/>
    <col min="688" max="711" width="7.26953125" style="1" customWidth="1"/>
    <col min="712" max="712" width="11.26953125" style="1" bestFit="1" customWidth="1"/>
    <col min="713" max="940" width="11.453125" style="1"/>
    <col min="941" max="941" width="7" style="1" customWidth="1"/>
    <col min="942" max="942" width="10.7265625" style="1" customWidth="1"/>
    <col min="943" max="943" width="9.26953125" style="1" customWidth="1"/>
    <col min="944" max="967" width="7.26953125" style="1" customWidth="1"/>
    <col min="968" max="968" width="11.26953125" style="1" bestFit="1" customWidth="1"/>
    <col min="969" max="1196" width="11.453125" style="1"/>
    <col min="1197" max="1197" width="7" style="1" customWidth="1"/>
    <col min="1198" max="1198" width="10.7265625" style="1" customWidth="1"/>
    <col min="1199" max="1199" width="9.26953125" style="1" customWidth="1"/>
    <col min="1200" max="1223" width="7.26953125" style="1" customWidth="1"/>
    <col min="1224" max="1224" width="11.26953125" style="1" bestFit="1" customWidth="1"/>
    <col min="1225" max="1452" width="11.453125" style="1"/>
    <col min="1453" max="1453" width="7" style="1" customWidth="1"/>
    <col min="1454" max="1454" width="10.7265625" style="1" customWidth="1"/>
    <col min="1455" max="1455" width="9.26953125" style="1" customWidth="1"/>
    <col min="1456" max="1479" width="7.26953125" style="1" customWidth="1"/>
    <col min="1480" max="1480" width="11.26953125" style="1" bestFit="1" customWidth="1"/>
    <col min="1481" max="1708" width="11.453125" style="1"/>
    <col min="1709" max="1709" width="7" style="1" customWidth="1"/>
    <col min="1710" max="1710" width="10.7265625" style="1" customWidth="1"/>
    <col min="1711" max="1711" width="9.26953125" style="1" customWidth="1"/>
    <col min="1712" max="1735" width="7.26953125" style="1" customWidth="1"/>
    <col min="1736" max="1736" width="11.26953125" style="1" bestFit="1" customWidth="1"/>
    <col min="1737" max="1964" width="11.453125" style="1"/>
    <col min="1965" max="1965" width="7" style="1" customWidth="1"/>
    <col min="1966" max="1966" width="10.7265625" style="1" customWidth="1"/>
    <col min="1967" max="1967" width="9.26953125" style="1" customWidth="1"/>
    <col min="1968" max="1991" width="7.26953125" style="1" customWidth="1"/>
    <col min="1992" max="1992" width="11.26953125" style="1" bestFit="1" customWidth="1"/>
    <col min="1993" max="2220" width="11.453125" style="1"/>
    <col min="2221" max="2221" width="7" style="1" customWidth="1"/>
    <col min="2222" max="2222" width="10.7265625" style="1" customWidth="1"/>
    <col min="2223" max="2223" width="9.26953125" style="1" customWidth="1"/>
    <col min="2224" max="2247" width="7.26953125" style="1" customWidth="1"/>
    <col min="2248" max="2248" width="11.26953125" style="1" bestFit="1" customWidth="1"/>
    <col min="2249" max="2476" width="11.453125" style="1"/>
    <col min="2477" max="2477" width="7" style="1" customWidth="1"/>
    <col min="2478" max="2478" width="10.7265625" style="1" customWidth="1"/>
    <col min="2479" max="2479" width="9.26953125" style="1" customWidth="1"/>
    <col min="2480" max="2503" width="7.26953125" style="1" customWidth="1"/>
    <col min="2504" max="2504" width="11.26953125" style="1" bestFit="1" customWidth="1"/>
    <col min="2505" max="2732" width="11.453125" style="1"/>
    <col min="2733" max="2733" width="7" style="1" customWidth="1"/>
    <col min="2734" max="2734" width="10.7265625" style="1" customWidth="1"/>
    <col min="2735" max="2735" width="9.26953125" style="1" customWidth="1"/>
    <col min="2736" max="2759" width="7.26953125" style="1" customWidth="1"/>
    <col min="2760" max="2760" width="11.26953125" style="1" bestFit="1" customWidth="1"/>
    <col min="2761" max="2988" width="11.453125" style="1"/>
    <col min="2989" max="2989" width="7" style="1" customWidth="1"/>
    <col min="2990" max="2990" width="10.7265625" style="1" customWidth="1"/>
    <col min="2991" max="2991" width="9.26953125" style="1" customWidth="1"/>
    <col min="2992" max="3015" width="7.26953125" style="1" customWidth="1"/>
    <col min="3016" max="3016" width="11.26953125" style="1" bestFit="1" customWidth="1"/>
    <col min="3017" max="3244" width="11.453125" style="1"/>
    <col min="3245" max="3245" width="7" style="1" customWidth="1"/>
    <col min="3246" max="3246" width="10.7265625" style="1" customWidth="1"/>
    <col min="3247" max="3247" width="9.26953125" style="1" customWidth="1"/>
    <col min="3248" max="3271" width="7.26953125" style="1" customWidth="1"/>
    <col min="3272" max="3272" width="11.26953125" style="1" bestFit="1" customWidth="1"/>
    <col min="3273" max="3500" width="11.453125" style="1"/>
    <col min="3501" max="3501" width="7" style="1" customWidth="1"/>
    <col min="3502" max="3502" width="10.7265625" style="1" customWidth="1"/>
    <col min="3503" max="3503" width="9.26953125" style="1" customWidth="1"/>
    <col min="3504" max="3527" width="7.26953125" style="1" customWidth="1"/>
    <col min="3528" max="3528" width="11.26953125" style="1" bestFit="1" customWidth="1"/>
    <col min="3529" max="3756" width="11.453125" style="1"/>
    <col min="3757" max="3757" width="7" style="1" customWidth="1"/>
    <col min="3758" max="3758" width="10.7265625" style="1" customWidth="1"/>
    <col min="3759" max="3759" width="9.26953125" style="1" customWidth="1"/>
    <col min="3760" max="3783" width="7.26953125" style="1" customWidth="1"/>
    <col min="3784" max="3784" width="11.26953125" style="1" bestFit="1" customWidth="1"/>
    <col min="3785" max="4012" width="11.453125" style="1"/>
    <col min="4013" max="4013" width="7" style="1" customWidth="1"/>
    <col min="4014" max="4014" width="10.7265625" style="1" customWidth="1"/>
    <col min="4015" max="4015" width="9.26953125" style="1" customWidth="1"/>
    <col min="4016" max="4039" width="7.26953125" style="1" customWidth="1"/>
    <col min="4040" max="4040" width="11.26953125" style="1" bestFit="1" customWidth="1"/>
    <col min="4041" max="4268" width="11.453125" style="1"/>
    <col min="4269" max="4269" width="7" style="1" customWidth="1"/>
    <col min="4270" max="4270" width="10.7265625" style="1" customWidth="1"/>
    <col min="4271" max="4271" width="9.26953125" style="1" customWidth="1"/>
    <col min="4272" max="4295" width="7.26953125" style="1" customWidth="1"/>
    <col min="4296" max="4296" width="11.26953125" style="1" bestFit="1" customWidth="1"/>
    <col min="4297" max="4524" width="11.453125" style="1"/>
    <col min="4525" max="4525" width="7" style="1" customWidth="1"/>
    <col min="4526" max="4526" width="10.7265625" style="1" customWidth="1"/>
    <col min="4527" max="4527" width="9.26953125" style="1" customWidth="1"/>
    <col min="4528" max="4551" width="7.26953125" style="1" customWidth="1"/>
    <col min="4552" max="4552" width="11.26953125" style="1" bestFit="1" customWidth="1"/>
    <col min="4553" max="4780" width="11.453125" style="1"/>
    <col min="4781" max="4781" width="7" style="1" customWidth="1"/>
    <col min="4782" max="4782" width="10.7265625" style="1" customWidth="1"/>
    <col min="4783" max="4783" width="9.26953125" style="1" customWidth="1"/>
    <col min="4784" max="4807" width="7.26953125" style="1" customWidth="1"/>
    <col min="4808" max="4808" width="11.26953125" style="1" bestFit="1" customWidth="1"/>
    <col min="4809" max="5036" width="11.453125" style="1"/>
    <col min="5037" max="5037" width="7" style="1" customWidth="1"/>
    <col min="5038" max="5038" width="10.7265625" style="1" customWidth="1"/>
    <col min="5039" max="5039" width="9.26953125" style="1" customWidth="1"/>
    <col min="5040" max="5063" width="7.26953125" style="1" customWidth="1"/>
    <col min="5064" max="5064" width="11.26953125" style="1" bestFit="1" customWidth="1"/>
    <col min="5065" max="5292" width="11.453125" style="1"/>
    <col min="5293" max="5293" width="7" style="1" customWidth="1"/>
    <col min="5294" max="5294" width="10.7265625" style="1" customWidth="1"/>
    <col min="5295" max="5295" width="9.26953125" style="1" customWidth="1"/>
    <col min="5296" max="5319" width="7.26953125" style="1" customWidth="1"/>
    <col min="5320" max="5320" width="11.26953125" style="1" bestFit="1" customWidth="1"/>
    <col min="5321" max="5548" width="11.453125" style="1"/>
    <col min="5549" max="5549" width="7" style="1" customWidth="1"/>
    <col min="5550" max="5550" width="10.7265625" style="1" customWidth="1"/>
    <col min="5551" max="5551" width="9.26953125" style="1" customWidth="1"/>
    <col min="5552" max="5575" width="7.26953125" style="1" customWidth="1"/>
    <col min="5576" max="5576" width="11.26953125" style="1" bestFit="1" customWidth="1"/>
    <col min="5577" max="5804" width="11.453125" style="1"/>
    <col min="5805" max="5805" width="7" style="1" customWidth="1"/>
    <col min="5806" max="5806" width="10.7265625" style="1" customWidth="1"/>
    <col min="5807" max="5807" width="9.26953125" style="1" customWidth="1"/>
    <col min="5808" max="5831" width="7.26953125" style="1" customWidth="1"/>
    <col min="5832" max="5832" width="11.26953125" style="1" bestFit="1" customWidth="1"/>
    <col min="5833" max="6060" width="11.453125" style="1"/>
    <col min="6061" max="6061" width="7" style="1" customWidth="1"/>
    <col min="6062" max="6062" width="10.7265625" style="1" customWidth="1"/>
    <col min="6063" max="6063" width="9.26953125" style="1" customWidth="1"/>
    <col min="6064" max="6087" width="7.26953125" style="1" customWidth="1"/>
    <col min="6088" max="6088" width="11.26953125" style="1" bestFit="1" customWidth="1"/>
    <col min="6089" max="6316" width="11.453125" style="1"/>
    <col min="6317" max="6317" width="7" style="1" customWidth="1"/>
    <col min="6318" max="6318" width="10.7265625" style="1" customWidth="1"/>
    <col min="6319" max="6319" width="9.26953125" style="1" customWidth="1"/>
    <col min="6320" max="6343" width="7.26953125" style="1" customWidth="1"/>
    <col min="6344" max="6344" width="11.26953125" style="1" bestFit="1" customWidth="1"/>
    <col min="6345" max="6572" width="11.453125" style="1"/>
    <col min="6573" max="6573" width="7" style="1" customWidth="1"/>
    <col min="6574" max="6574" width="10.7265625" style="1" customWidth="1"/>
    <col min="6575" max="6575" width="9.26953125" style="1" customWidth="1"/>
    <col min="6576" max="6599" width="7.26953125" style="1" customWidth="1"/>
    <col min="6600" max="6600" width="11.26953125" style="1" bestFit="1" customWidth="1"/>
    <col min="6601" max="6828" width="11.453125" style="1"/>
    <col min="6829" max="6829" width="7" style="1" customWidth="1"/>
    <col min="6830" max="6830" width="10.7265625" style="1" customWidth="1"/>
    <col min="6831" max="6831" width="9.26953125" style="1" customWidth="1"/>
    <col min="6832" max="6855" width="7.26953125" style="1" customWidth="1"/>
    <col min="6856" max="6856" width="11.26953125" style="1" bestFit="1" customWidth="1"/>
    <col min="6857" max="7084" width="11.453125" style="1"/>
    <col min="7085" max="7085" width="7" style="1" customWidth="1"/>
    <col min="7086" max="7086" width="10.7265625" style="1" customWidth="1"/>
    <col min="7087" max="7087" width="9.26953125" style="1" customWidth="1"/>
    <col min="7088" max="7111" width="7.26953125" style="1" customWidth="1"/>
    <col min="7112" max="7112" width="11.26953125" style="1" bestFit="1" customWidth="1"/>
    <col min="7113" max="7340" width="11.453125" style="1"/>
    <col min="7341" max="7341" width="7" style="1" customWidth="1"/>
    <col min="7342" max="7342" width="10.7265625" style="1" customWidth="1"/>
    <col min="7343" max="7343" width="9.26953125" style="1" customWidth="1"/>
    <col min="7344" max="7367" width="7.26953125" style="1" customWidth="1"/>
    <col min="7368" max="7368" width="11.26953125" style="1" bestFit="1" customWidth="1"/>
    <col min="7369" max="7596" width="11.453125" style="1"/>
    <col min="7597" max="7597" width="7" style="1" customWidth="1"/>
    <col min="7598" max="7598" width="10.7265625" style="1" customWidth="1"/>
    <col min="7599" max="7599" width="9.26953125" style="1" customWidth="1"/>
    <col min="7600" max="7623" width="7.26953125" style="1" customWidth="1"/>
    <col min="7624" max="7624" width="11.26953125" style="1" bestFit="1" customWidth="1"/>
    <col min="7625" max="7852" width="11.453125" style="1"/>
    <col min="7853" max="7853" width="7" style="1" customWidth="1"/>
    <col min="7854" max="7854" width="10.7265625" style="1" customWidth="1"/>
    <col min="7855" max="7855" width="9.26953125" style="1" customWidth="1"/>
    <col min="7856" max="7879" width="7.26953125" style="1" customWidth="1"/>
    <col min="7880" max="7880" width="11.26953125" style="1" bestFit="1" customWidth="1"/>
    <col min="7881" max="8108" width="11.453125" style="1"/>
    <col min="8109" max="8109" width="7" style="1" customWidth="1"/>
    <col min="8110" max="8110" width="10.7265625" style="1" customWidth="1"/>
    <col min="8111" max="8111" width="9.26953125" style="1" customWidth="1"/>
    <col min="8112" max="8135" width="7.26953125" style="1" customWidth="1"/>
    <col min="8136" max="8136" width="11.26953125" style="1" bestFit="1" customWidth="1"/>
    <col min="8137" max="8364" width="11.453125" style="1"/>
    <col min="8365" max="8365" width="7" style="1" customWidth="1"/>
    <col min="8366" max="8366" width="10.7265625" style="1" customWidth="1"/>
    <col min="8367" max="8367" width="9.26953125" style="1" customWidth="1"/>
    <col min="8368" max="8391" width="7.26953125" style="1" customWidth="1"/>
    <col min="8392" max="8392" width="11.26953125" style="1" bestFit="1" customWidth="1"/>
    <col min="8393" max="8620" width="11.453125" style="1"/>
    <col min="8621" max="8621" width="7" style="1" customWidth="1"/>
    <col min="8622" max="8622" width="10.7265625" style="1" customWidth="1"/>
    <col min="8623" max="8623" width="9.26953125" style="1" customWidth="1"/>
    <col min="8624" max="8647" width="7.26953125" style="1" customWidth="1"/>
    <col min="8648" max="8648" width="11.26953125" style="1" bestFit="1" customWidth="1"/>
    <col min="8649" max="8876" width="11.453125" style="1"/>
    <col min="8877" max="8877" width="7" style="1" customWidth="1"/>
    <col min="8878" max="8878" width="10.7265625" style="1" customWidth="1"/>
    <col min="8879" max="8879" width="9.26953125" style="1" customWidth="1"/>
    <col min="8880" max="8903" width="7.26953125" style="1" customWidth="1"/>
    <col min="8904" max="8904" width="11.26953125" style="1" bestFit="1" customWidth="1"/>
    <col min="8905" max="9132" width="11.453125" style="1"/>
    <col min="9133" max="9133" width="7" style="1" customWidth="1"/>
    <col min="9134" max="9134" width="10.7265625" style="1" customWidth="1"/>
    <col min="9135" max="9135" width="9.26953125" style="1" customWidth="1"/>
    <col min="9136" max="9159" width="7.26953125" style="1" customWidth="1"/>
    <col min="9160" max="9160" width="11.26953125" style="1" bestFit="1" customWidth="1"/>
    <col min="9161" max="9388" width="11.453125" style="1"/>
    <col min="9389" max="9389" width="7" style="1" customWidth="1"/>
    <col min="9390" max="9390" width="10.7265625" style="1" customWidth="1"/>
    <col min="9391" max="9391" width="9.26953125" style="1" customWidth="1"/>
    <col min="9392" max="9415" width="7.26953125" style="1" customWidth="1"/>
    <col min="9416" max="9416" width="11.26953125" style="1" bestFit="1" customWidth="1"/>
    <col min="9417" max="9644" width="11.453125" style="1"/>
    <col min="9645" max="9645" width="7" style="1" customWidth="1"/>
    <col min="9646" max="9646" width="10.7265625" style="1" customWidth="1"/>
    <col min="9647" max="9647" width="9.26953125" style="1" customWidth="1"/>
    <col min="9648" max="9671" width="7.26953125" style="1" customWidth="1"/>
    <col min="9672" max="9672" width="11.26953125" style="1" bestFit="1" customWidth="1"/>
    <col min="9673" max="9900" width="11.453125" style="1"/>
    <col min="9901" max="9901" width="7" style="1" customWidth="1"/>
    <col min="9902" max="9902" width="10.7265625" style="1" customWidth="1"/>
    <col min="9903" max="9903" width="9.26953125" style="1" customWidth="1"/>
    <col min="9904" max="9927" width="7.26953125" style="1" customWidth="1"/>
    <col min="9928" max="9928" width="11.26953125" style="1" bestFit="1" customWidth="1"/>
    <col min="9929" max="10156" width="11.453125" style="1"/>
    <col min="10157" max="10157" width="7" style="1" customWidth="1"/>
    <col min="10158" max="10158" width="10.7265625" style="1" customWidth="1"/>
    <col min="10159" max="10159" width="9.26953125" style="1" customWidth="1"/>
    <col min="10160" max="10183" width="7.26953125" style="1" customWidth="1"/>
    <col min="10184" max="10184" width="11.26953125" style="1" bestFit="1" customWidth="1"/>
    <col min="10185" max="10412" width="11.453125" style="1"/>
    <col min="10413" max="10413" width="7" style="1" customWidth="1"/>
    <col min="10414" max="10414" width="10.7265625" style="1" customWidth="1"/>
    <col min="10415" max="10415" width="9.26953125" style="1" customWidth="1"/>
    <col min="10416" max="10439" width="7.26953125" style="1" customWidth="1"/>
    <col min="10440" max="10440" width="11.26953125" style="1" bestFit="1" customWidth="1"/>
    <col min="10441" max="10668" width="11.453125" style="1"/>
    <col min="10669" max="10669" width="7" style="1" customWidth="1"/>
    <col min="10670" max="10670" width="10.7265625" style="1" customWidth="1"/>
    <col min="10671" max="10671" width="9.26953125" style="1" customWidth="1"/>
    <col min="10672" max="10695" width="7.26953125" style="1" customWidth="1"/>
    <col min="10696" max="10696" width="11.26953125" style="1" bestFit="1" customWidth="1"/>
    <col min="10697" max="10924" width="11.453125" style="1"/>
    <col min="10925" max="10925" width="7" style="1" customWidth="1"/>
    <col min="10926" max="10926" width="10.7265625" style="1" customWidth="1"/>
    <col min="10927" max="10927" width="9.26953125" style="1" customWidth="1"/>
    <col min="10928" max="10951" width="7.26953125" style="1" customWidth="1"/>
    <col min="10952" max="10952" width="11.26953125" style="1" bestFit="1" customWidth="1"/>
    <col min="10953" max="11180" width="11.453125" style="1"/>
    <col min="11181" max="11181" width="7" style="1" customWidth="1"/>
    <col min="11182" max="11182" width="10.7265625" style="1" customWidth="1"/>
    <col min="11183" max="11183" width="9.26953125" style="1" customWidth="1"/>
    <col min="11184" max="11207" width="7.26953125" style="1" customWidth="1"/>
    <col min="11208" max="11208" width="11.26953125" style="1" bestFit="1" customWidth="1"/>
    <col min="11209" max="11436" width="11.453125" style="1"/>
    <col min="11437" max="11437" width="7" style="1" customWidth="1"/>
    <col min="11438" max="11438" width="10.7265625" style="1" customWidth="1"/>
    <col min="11439" max="11439" width="9.26953125" style="1" customWidth="1"/>
    <col min="11440" max="11463" width="7.26953125" style="1" customWidth="1"/>
    <col min="11464" max="11464" width="11.26953125" style="1" bestFit="1" customWidth="1"/>
    <col min="11465" max="11692" width="11.453125" style="1"/>
    <col min="11693" max="11693" width="7" style="1" customWidth="1"/>
    <col min="11694" max="11694" width="10.7265625" style="1" customWidth="1"/>
    <col min="11695" max="11695" width="9.26953125" style="1" customWidth="1"/>
    <col min="11696" max="11719" width="7.26953125" style="1" customWidth="1"/>
    <col min="11720" max="11720" width="11.26953125" style="1" bestFit="1" customWidth="1"/>
    <col min="11721" max="11948" width="11.453125" style="1"/>
    <col min="11949" max="11949" width="7" style="1" customWidth="1"/>
    <col min="11950" max="11950" width="10.7265625" style="1" customWidth="1"/>
    <col min="11951" max="11951" width="9.26953125" style="1" customWidth="1"/>
    <col min="11952" max="11975" width="7.26953125" style="1" customWidth="1"/>
    <col min="11976" max="11976" width="11.26953125" style="1" bestFit="1" customWidth="1"/>
    <col min="11977" max="12204" width="11.453125" style="1"/>
    <col min="12205" max="12205" width="7" style="1" customWidth="1"/>
    <col min="12206" max="12206" width="10.7265625" style="1" customWidth="1"/>
    <col min="12207" max="12207" width="9.26953125" style="1" customWidth="1"/>
    <col min="12208" max="12231" width="7.26953125" style="1" customWidth="1"/>
    <col min="12232" max="12232" width="11.26953125" style="1" bestFit="1" customWidth="1"/>
    <col min="12233" max="12460" width="11.453125" style="1"/>
    <col min="12461" max="12461" width="7" style="1" customWidth="1"/>
    <col min="12462" max="12462" width="10.7265625" style="1" customWidth="1"/>
    <col min="12463" max="12463" width="9.26953125" style="1" customWidth="1"/>
    <col min="12464" max="12487" width="7.26953125" style="1" customWidth="1"/>
    <col min="12488" max="12488" width="11.26953125" style="1" bestFit="1" customWidth="1"/>
    <col min="12489" max="12716" width="11.453125" style="1"/>
    <col min="12717" max="12717" width="7" style="1" customWidth="1"/>
    <col min="12718" max="12718" width="10.7265625" style="1" customWidth="1"/>
    <col min="12719" max="12719" width="9.26953125" style="1" customWidth="1"/>
    <col min="12720" max="12743" width="7.26953125" style="1" customWidth="1"/>
    <col min="12744" max="12744" width="11.26953125" style="1" bestFit="1" customWidth="1"/>
    <col min="12745" max="12972" width="11.453125" style="1"/>
    <col min="12973" max="12973" width="7" style="1" customWidth="1"/>
    <col min="12974" max="12974" width="10.7265625" style="1" customWidth="1"/>
    <col min="12975" max="12975" width="9.26953125" style="1" customWidth="1"/>
    <col min="12976" max="12999" width="7.26953125" style="1" customWidth="1"/>
    <col min="13000" max="13000" width="11.26953125" style="1" bestFit="1" customWidth="1"/>
    <col min="13001" max="13228" width="11.453125" style="1"/>
    <col min="13229" max="13229" width="7" style="1" customWidth="1"/>
    <col min="13230" max="13230" width="10.7265625" style="1" customWidth="1"/>
    <col min="13231" max="13231" width="9.26953125" style="1" customWidth="1"/>
    <col min="13232" max="13255" width="7.26953125" style="1" customWidth="1"/>
    <col min="13256" max="13256" width="11.26953125" style="1" bestFit="1" customWidth="1"/>
    <col min="13257" max="13484" width="11.453125" style="1"/>
    <col min="13485" max="13485" width="7" style="1" customWidth="1"/>
    <col min="13486" max="13486" width="10.7265625" style="1" customWidth="1"/>
    <col min="13487" max="13487" width="9.26953125" style="1" customWidth="1"/>
    <col min="13488" max="13511" width="7.26953125" style="1" customWidth="1"/>
    <col min="13512" max="13512" width="11.26953125" style="1" bestFit="1" customWidth="1"/>
    <col min="13513" max="13740" width="11.453125" style="1"/>
    <col min="13741" max="13741" width="7" style="1" customWidth="1"/>
    <col min="13742" max="13742" width="10.7265625" style="1" customWidth="1"/>
    <col min="13743" max="13743" width="9.26953125" style="1" customWidth="1"/>
    <col min="13744" max="13767" width="7.26953125" style="1" customWidth="1"/>
    <col min="13768" max="13768" width="11.26953125" style="1" bestFit="1" customWidth="1"/>
    <col min="13769" max="13996" width="11.453125" style="1"/>
    <col min="13997" max="13997" width="7" style="1" customWidth="1"/>
    <col min="13998" max="13998" width="10.7265625" style="1" customWidth="1"/>
    <col min="13999" max="13999" width="9.26953125" style="1" customWidth="1"/>
    <col min="14000" max="14023" width="7.26953125" style="1" customWidth="1"/>
    <col min="14024" max="14024" width="11.26953125" style="1" bestFit="1" customWidth="1"/>
    <col min="14025" max="14252" width="11.453125" style="1"/>
    <col min="14253" max="14253" width="7" style="1" customWidth="1"/>
    <col min="14254" max="14254" width="10.7265625" style="1" customWidth="1"/>
    <col min="14255" max="14255" width="9.26953125" style="1" customWidth="1"/>
    <col min="14256" max="14279" width="7.26953125" style="1" customWidth="1"/>
    <col min="14280" max="14280" width="11.26953125" style="1" bestFit="1" customWidth="1"/>
    <col min="14281" max="14508" width="11.453125" style="1"/>
    <col min="14509" max="14509" width="7" style="1" customWidth="1"/>
    <col min="14510" max="14510" width="10.7265625" style="1" customWidth="1"/>
    <col min="14511" max="14511" width="9.26953125" style="1" customWidth="1"/>
    <col min="14512" max="14535" width="7.26953125" style="1" customWidth="1"/>
    <col min="14536" max="14536" width="11.26953125" style="1" bestFit="1" customWidth="1"/>
    <col min="14537" max="14764" width="11.453125" style="1"/>
    <col min="14765" max="14765" width="7" style="1" customWidth="1"/>
    <col min="14766" max="14766" width="10.7265625" style="1" customWidth="1"/>
    <col min="14767" max="14767" width="9.26953125" style="1" customWidth="1"/>
    <col min="14768" max="14791" width="7.26953125" style="1" customWidth="1"/>
    <col min="14792" max="14792" width="11.26953125" style="1" bestFit="1" customWidth="1"/>
    <col min="14793" max="15020" width="11.453125" style="1"/>
    <col min="15021" max="15021" width="7" style="1" customWidth="1"/>
    <col min="15022" max="15022" width="10.7265625" style="1" customWidth="1"/>
    <col min="15023" max="15023" width="9.26953125" style="1" customWidth="1"/>
    <col min="15024" max="15047" width="7.26953125" style="1" customWidth="1"/>
    <col min="15048" max="15048" width="11.26953125" style="1" bestFit="1" customWidth="1"/>
    <col min="15049" max="15276" width="11.453125" style="1"/>
    <col min="15277" max="15277" width="7" style="1" customWidth="1"/>
    <col min="15278" max="15278" width="10.7265625" style="1" customWidth="1"/>
    <col min="15279" max="15279" width="9.26953125" style="1" customWidth="1"/>
    <col min="15280" max="15303" width="7.26953125" style="1" customWidth="1"/>
    <col min="15304" max="15304" width="11.26953125" style="1" bestFit="1" customWidth="1"/>
    <col min="15305" max="15532" width="11.453125" style="1"/>
    <col min="15533" max="15533" width="7" style="1" customWidth="1"/>
    <col min="15534" max="15534" width="10.7265625" style="1" customWidth="1"/>
    <col min="15535" max="15535" width="9.26953125" style="1" customWidth="1"/>
    <col min="15536" max="15559" width="7.26953125" style="1" customWidth="1"/>
    <col min="15560" max="15560" width="11.26953125" style="1" bestFit="1" customWidth="1"/>
    <col min="15561" max="15788" width="11.453125" style="1"/>
    <col min="15789" max="15789" width="7" style="1" customWidth="1"/>
    <col min="15790" max="15790" width="10.7265625" style="1" customWidth="1"/>
    <col min="15791" max="15791" width="9.26953125" style="1" customWidth="1"/>
    <col min="15792" max="15815" width="7.26953125" style="1" customWidth="1"/>
    <col min="15816" max="15816" width="11.26953125" style="1" bestFit="1" customWidth="1"/>
    <col min="15817" max="16044" width="11.453125" style="1"/>
    <col min="16045" max="16045" width="7" style="1" customWidth="1"/>
    <col min="16046" max="16046" width="10.7265625" style="1" customWidth="1"/>
    <col min="16047" max="16047" width="9.26953125" style="1" customWidth="1"/>
    <col min="16048" max="16071" width="7.26953125" style="1" customWidth="1"/>
    <col min="16072" max="16072" width="11.26953125" style="1" bestFit="1" customWidth="1"/>
    <col min="16073" max="16384" width="11.453125" style="1"/>
  </cols>
  <sheetData>
    <row r="2" spans="2:31" ht="14" x14ac:dyDescent="0.3">
      <c r="B2" s="58" t="s">
        <v>45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spans="2:31" ht="14" x14ac:dyDescent="0.3">
      <c r="B3" s="58" t="s">
        <v>44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</row>
    <row r="4" spans="2:31" ht="14" x14ac:dyDescent="0.3">
      <c r="B4" s="58" t="s">
        <v>72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6" spans="2:31" ht="13" x14ac:dyDescent="0.25">
      <c r="B6" s="7" t="s">
        <v>0</v>
      </c>
      <c r="C6" s="10" t="s">
        <v>1</v>
      </c>
      <c r="D6" s="7" t="s">
        <v>2</v>
      </c>
      <c r="E6" s="7" t="s">
        <v>3</v>
      </c>
      <c r="F6" s="7" t="s">
        <v>4</v>
      </c>
      <c r="G6" s="7" t="s">
        <v>5</v>
      </c>
      <c r="H6" s="7" t="s">
        <v>6</v>
      </c>
      <c r="I6" s="7" t="s">
        <v>7</v>
      </c>
      <c r="J6" s="7" t="s">
        <v>8</v>
      </c>
      <c r="K6" s="7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7" t="s">
        <v>14</v>
      </c>
      <c r="Q6" s="7" t="s">
        <v>15</v>
      </c>
      <c r="R6" s="7" t="s">
        <v>16</v>
      </c>
      <c r="S6" s="7" t="s">
        <v>17</v>
      </c>
      <c r="T6" s="7" t="s">
        <v>18</v>
      </c>
      <c r="U6" s="7" t="s">
        <v>19</v>
      </c>
      <c r="V6" s="7" t="s">
        <v>20</v>
      </c>
      <c r="W6" s="7" t="s">
        <v>21</v>
      </c>
      <c r="X6" s="7" t="s">
        <v>22</v>
      </c>
      <c r="Y6" s="7" t="s">
        <v>23</v>
      </c>
      <c r="Z6" s="7" t="s">
        <v>24</v>
      </c>
      <c r="AA6" s="7" t="s">
        <v>25</v>
      </c>
      <c r="AB6" s="7" t="s">
        <v>26</v>
      </c>
      <c r="AC6" s="50" t="s">
        <v>27</v>
      </c>
    </row>
    <row r="7" spans="2:31" x14ac:dyDescent="0.25">
      <c r="B7" s="43" t="s">
        <v>28</v>
      </c>
      <c r="C7" s="4" t="s">
        <v>29</v>
      </c>
      <c r="D7" s="5">
        <v>21</v>
      </c>
      <c r="E7" s="42">
        <v>4901.33</v>
      </c>
      <c r="F7" s="42">
        <v>4731</v>
      </c>
      <c r="G7" s="42">
        <v>4552.8500000000004</v>
      </c>
      <c r="H7" s="42">
        <v>4519.6099999999997</v>
      </c>
      <c r="I7" s="42">
        <v>5001.18</v>
      </c>
      <c r="J7" s="42">
        <v>6284.07</v>
      </c>
      <c r="K7" s="42">
        <v>7885.46</v>
      </c>
      <c r="L7" s="42">
        <v>11986.44</v>
      </c>
      <c r="M7" s="42">
        <v>11897.89</v>
      </c>
      <c r="N7" s="42">
        <v>11839.85</v>
      </c>
      <c r="O7" s="42">
        <v>12144.58</v>
      </c>
      <c r="P7" s="42">
        <v>12784.9</v>
      </c>
      <c r="Q7" s="42">
        <v>11732.82</v>
      </c>
      <c r="R7" s="42">
        <v>11388.72</v>
      </c>
      <c r="S7" s="42">
        <v>11785.61</v>
      </c>
      <c r="T7" s="42">
        <v>12247.07</v>
      </c>
      <c r="U7" s="42">
        <v>12632.57</v>
      </c>
      <c r="V7" s="42">
        <v>9718.2000000000007</v>
      </c>
      <c r="W7" s="42">
        <v>10518.12</v>
      </c>
      <c r="X7" s="42">
        <v>10323.66</v>
      </c>
      <c r="Y7" s="42">
        <v>9653.2199999999993</v>
      </c>
      <c r="Z7" s="42">
        <v>8603.9</v>
      </c>
      <c r="AA7" s="42">
        <v>6709.87</v>
      </c>
      <c r="AB7" s="42">
        <v>5719.32</v>
      </c>
      <c r="AC7" s="59">
        <f>+SUM(E7:AB7)*D7+SUM(E8:AB8)*D8+SUM(E9:AB9)*D9+SUM(E10:AB10)*D10</f>
        <v>6739997.3200000003</v>
      </c>
      <c r="AE7" s="11">
        <f>+AC7</f>
        <v>6739997.3200000003</v>
      </c>
    </row>
    <row r="8" spans="2:31" x14ac:dyDescent="0.25">
      <c r="B8" s="44" t="s">
        <v>28</v>
      </c>
      <c r="C8" s="4" t="s">
        <v>30</v>
      </c>
      <c r="D8" s="5">
        <v>4</v>
      </c>
      <c r="E8" s="42">
        <v>5562.92</v>
      </c>
      <c r="F8" s="42">
        <v>5064.22</v>
      </c>
      <c r="G8" s="42">
        <v>4881.18</v>
      </c>
      <c r="H8" s="42">
        <v>4749.93</v>
      </c>
      <c r="I8" s="42">
        <v>4902.51</v>
      </c>
      <c r="J8" s="42">
        <v>5320.17</v>
      </c>
      <c r="K8" s="42">
        <v>6361.11</v>
      </c>
      <c r="L8" s="42">
        <v>11222.82</v>
      </c>
      <c r="M8" s="42">
        <v>11872</v>
      </c>
      <c r="N8" s="42">
        <v>12250.38</v>
      </c>
      <c r="O8" s="42">
        <v>12488.13</v>
      </c>
      <c r="P8" s="42">
        <v>12900.47</v>
      </c>
      <c r="Q8" s="42">
        <v>13066.35</v>
      </c>
      <c r="R8" s="42">
        <v>12859.78</v>
      </c>
      <c r="S8" s="42">
        <v>12821.99</v>
      </c>
      <c r="T8" s="42">
        <v>12821.99</v>
      </c>
      <c r="U8" s="42">
        <v>13173.2</v>
      </c>
      <c r="V8" s="42">
        <v>10076.629999999999</v>
      </c>
      <c r="W8" s="42">
        <v>11064.35</v>
      </c>
      <c r="X8" s="42">
        <v>10798.08</v>
      </c>
      <c r="Y8" s="42">
        <v>10235.74</v>
      </c>
      <c r="Z8" s="42">
        <v>9583.19</v>
      </c>
      <c r="AA8" s="42">
        <v>8236.9500000000007</v>
      </c>
      <c r="AB8" s="42">
        <v>7191.93</v>
      </c>
      <c r="AC8" s="60"/>
      <c r="AE8" s="11">
        <f>+AC11</f>
        <v>6246589.9200000009</v>
      </c>
    </row>
    <row r="9" spans="2:31" x14ac:dyDescent="0.25">
      <c r="B9" s="44" t="s">
        <v>28</v>
      </c>
      <c r="C9" s="4" t="s">
        <v>31</v>
      </c>
      <c r="D9" s="5">
        <v>4</v>
      </c>
      <c r="E9" s="42">
        <v>6088.68</v>
      </c>
      <c r="F9" s="42">
        <v>5683.54</v>
      </c>
      <c r="G9" s="42">
        <v>5311.97</v>
      </c>
      <c r="H9" s="42">
        <v>5032.72</v>
      </c>
      <c r="I9" s="42">
        <v>4969.3100000000004</v>
      </c>
      <c r="J9" s="42">
        <v>4854.7299999999996</v>
      </c>
      <c r="K9" s="42">
        <v>5281.88</v>
      </c>
      <c r="L9" s="42">
        <v>9320.5300000000007</v>
      </c>
      <c r="M9" s="42">
        <v>9921.07</v>
      </c>
      <c r="N9" s="42">
        <v>10172.68</v>
      </c>
      <c r="O9" s="42">
        <v>10772.27</v>
      </c>
      <c r="P9" s="42">
        <v>11463.68</v>
      </c>
      <c r="Q9" s="42">
        <v>11459.63</v>
      </c>
      <c r="R9" s="42">
        <v>11130.51</v>
      </c>
      <c r="S9" s="42">
        <v>11605.81</v>
      </c>
      <c r="T9" s="42">
        <v>12118.88</v>
      </c>
      <c r="U9" s="42">
        <v>12422.27</v>
      </c>
      <c r="V9" s="42">
        <v>9569.36</v>
      </c>
      <c r="W9" s="42">
        <v>10431.41</v>
      </c>
      <c r="X9" s="42">
        <v>9946.39</v>
      </c>
      <c r="Y9" s="42">
        <v>9159.64</v>
      </c>
      <c r="Z9" s="42">
        <v>8106.56</v>
      </c>
      <c r="AA9" s="42">
        <v>6711.37</v>
      </c>
      <c r="AB9" s="42">
        <v>5511.66</v>
      </c>
      <c r="AC9" s="60"/>
      <c r="AE9" s="11">
        <f>+AC15</f>
        <v>6521949.3899999997</v>
      </c>
    </row>
    <row r="10" spans="2:31" x14ac:dyDescent="0.25">
      <c r="B10" s="45" t="s">
        <v>28</v>
      </c>
      <c r="C10" s="4" t="s">
        <v>32</v>
      </c>
      <c r="D10" s="5">
        <v>2</v>
      </c>
      <c r="E10" s="42">
        <v>5652.62</v>
      </c>
      <c r="F10" s="42">
        <v>5347.23</v>
      </c>
      <c r="G10" s="42">
        <v>4879.47</v>
      </c>
      <c r="H10" s="42">
        <v>4965.57</v>
      </c>
      <c r="I10" s="42">
        <v>4767.66</v>
      </c>
      <c r="J10" s="42">
        <v>4738.25</v>
      </c>
      <c r="K10" s="42">
        <v>4639.09</v>
      </c>
      <c r="L10" s="42">
        <v>8344.52</v>
      </c>
      <c r="M10" s="42">
        <v>8577.08</v>
      </c>
      <c r="N10" s="42">
        <v>8938.2199999999993</v>
      </c>
      <c r="O10" s="42">
        <v>9728.82</v>
      </c>
      <c r="P10" s="42">
        <v>9888.07</v>
      </c>
      <c r="Q10" s="42">
        <v>10312.030000000001</v>
      </c>
      <c r="R10" s="42">
        <v>10639.91</v>
      </c>
      <c r="S10" s="42">
        <v>11006.78</v>
      </c>
      <c r="T10" s="42">
        <v>11056.28</v>
      </c>
      <c r="U10" s="42">
        <v>11380.48</v>
      </c>
      <c r="V10" s="42">
        <v>9023.11</v>
      </c>
      <c r="W10" s="42">
        <v>9567.11</v>
      </c>
      <c r="X10" s="42">
        <v>9517.7900000000009</v>
      </c>
      <c r="Y10" s="42">
        <v>9104.36</v>
      </c>
      <c r="Z10" s="42">
        <v>7750.72</v>
      </c>
      <c r="AA10" s="42">
        <v>6331.54</v>
      </c>
      <c r="AB10" s="42">
        <v>5333.29</v>
      </c>
      <c r="AC10" s="61"/>
      <c r="AE10" s="11">
        <f>+AC19</f>
        <v>6567493.6899999995</v>
      </c>
    </row>
    <row r="11" spans="2:31" x14ac:dyDescent="0.25">
      <c r="B11" s="43" t="s">
        <v>33</v>
      </c>
      <c r="C11" s="4" t="s">
        <v>29</v>
      </c>
      <c r="D11" s="5">
        <v>20</v>
      </c>
      <c r="E11" s="42">
        <v>4870.9799999999996</v>
      </c>
      <c r="F11" s="42">
        <v>4606.67</v>
      </c>
      <c r="G11" s="42">
        <v>4481.37</v>
      </c>
      <c r="H11" s="42">
        <v>4567.5</v>
      </c>
      <c r="I11" s="42">
        <v>5110.78</v>
      </c>
      <c r="J11" s="42">
        <v>6920.33</v>
      </c>
      <c r="K11" s="42">
        <v>8983.56</v>
      </c>
      <c r="L11" s="42">
        <v>12977.78</v>
      </c>
      <c r="M11" s="42">
        <v>12476.32</v>
      </c>
      <c r="N11" s="42">
        <v>12164.36</v>
      </c>
      <c r="O11" s="42">
        <v>12285.2</v>
      </c>
      <c r="P11" s="42">
        <v>12713.56</v>
      </c>
      <c r="Q11" s="42">
        <v>12163.07</v>
      </c>
      <c r="R11" s="42">
        <v>12156.84</v>
      </c>
      <c r="S11" s="42">
        <v>12644.36</v>
      </c>
      <c r="T11" s="42">
        <v>12894.97</v>
      </c>
      <c r="U11" s="42">
        <v>13147.64</v>
      </c>
      <c r="V11" s="42">
        <v>9750.7900000000009</v>
      </c>
      <c r="W11" s="42">
        <v>10562.51</v>
      </c>
      <c r="X11" s="42">
        <v>10598.26</v>
      </c>
      <c r="Y11" s="42">
        <v>9785.5400000000009</v>
      </c>
      <c r="Z11" s="42">
        <v>8840.92</v>
      </c>
      <c r="AA11" s="42">
        <v>6874.06</v>
      </c>
      <c r="AB11" s="42">
        <v>5653.05</v>
      </c>
      <c r="AC11" s="59">
        <f>+SUM(E11:AB11)*D11+SUM(E12:AB12)*D12+SUM(E13:AB13)*D13+SUM(E14:AB14)*D14</f>
        <v>6246589.9200000009</v>
      </c>
      <c r="AE11" s="11">
        <f>+AC23</f>
        <v>6552443.6300000008</v>
      </c>
    </row>
    <row r="12" spans="2:31" x14ac:dyDescent="0.25">
      <c r="B12" s="44" t="s">
        <v>33</v>
      </c>
      <c r="C12" s="4" t="s">
        <v>30</v>
      </c>
      <c r="D12" s="5">
        <v>4</v>
      </c>
      <c r="E12" s="42">
        <v>5347.88</v>
      </c>
      <c r="F12" s="42">
        <v>5070.5200000000004</v>
      </c>
      <c r="G12" s="42">
        <v>4832.8900000000003</v>
      </c>
      <c r="H12" s="42">
        <v>4699.46</v>
      </c>
      <c r="I12" s="42">
        <v>4942.82</v>
      </c>
      <c r="J12" s="42">
        <v>5670.71</v>
      </c>
      <c r="K12" s="42">
        <v>6861.82</v>
      </c>
      <c r="L12" s="42">
        <v>12130.91</v>
      </c>
      <c r="M12" s="42">
        <v>12276.67</v>
      </c>
      <c r="N12" s="42">
        <v>12546.43</v>
      </c>
      <c r="O12" s="42">
        <v>12558.99</v>
      </c>
      <c r="P12" s="42">
        <v>12497.92</v>
      </c>
      <c r="Q12" s="42">
        <v>12268.4</v>
      </c>
      <c r="R12" s="42">
        <v>12313.67</v>
      </c>
      <c r="S12" s="42">
        <v>12622.61</v>
      </c>
      <c r="T12" s="42">
        <v>13044.23</v>
      </c>
      <c r="U12" s="42">
        <v>13525.91</v>
      </c>
      <c r="V12" s="42">
        <v>9756.1299999999992</v>
      </c>
      <c r="W12" s="42">
        <v>10694.35</v>
      </c>
      <c r="X12" s="42">
        <v>10294.92</v>
      </c>
      <c r="Y12" s="42">
        <v>9642.5</v>
      </c>
      <c r="Z12" s="42">
        <v>8720.51</v>
      </c>
      <c r="AA12" s="42">
        <v>7475.38</v>
      </c>
      <c r="AB12" s="42">
        <v>6048.13</v>
      </c>
      <c r="AC12" s="60"/>
      <c r="AE12" s="11">
        <f>+AC27</f>
        <v>6650965.2400000002</v>
      </c>
    </row>
    <row r="13" spans="2:31" x14ac:dyDescent="0.25">
      <c r="B13" s="44" t="s">
        <v>33</v>
      </c>
      <c r="C13" s="4" t="s">
        <v>31</v>
      </c>
      <c r="D13" s="5">
        <v>4</v>
      </c>
      <c r="E13" s="42">
        <v>5434.77</v>
      </c>
      <c r="F13" s="42">
        <v>5120.6499999999996</v>
      </c>
      <c r="G13" s="42">
        <v>4756.76</v>
      </c>
      <c r="H13" s="42">
        <v>4570.25</v>
      </c>
      <c r="I13" s="42">
        <v>4593.92</v>
      </c>
      <c r="J13" s="42">
        <v>4505.17</v>
      </c>
      <c r="K13" s="42">
        <v>5004.59</v>
      </c>
      <c r="L13" s="42">
        <v>9424.09</v>
      </c>
      <c r="M13" s="42">
        <v>10073.26</v>
      </c>
      <c r="N13" s="42">
        <v>10238.17</v>
      </c>
      <c r="O13" s="42">
        <v>10560.32</v>
      </c>
      <c r="P13" s="42">
        <v>11304.76</v>
      </c>
      <c r="Q13" s="42">
        <v>11447.48</v>
      </c>
      <c r="R13" s="42">
        <v>11608.67</v>
      </c>
      <c r="S13" s="42">
        <v>11299.89</v>
      </c>
      <c r="T13" s="42">
        <v>11700.39</v>
      </c>
      <c r="U13" s="42">
        <v>12192.92</v>
      </c>
      <c r="V13" s="42">
        <v>8901.07</v>
      </c>
      <c r="W13" s="42">
        <v>10273.540000000001</v>
      </c>
      <c r="X13" s="42">
        <v>9490.24</v>
      </c>
      <c r="Y13" s="42">
        <v>8816.2900000000009</v>
      </c>
      <c r="Z13" s="42">
        <v>7577.37</v>
      </c>
      <c r="AA13" s="42">
        <v>5859.35</v>
      </c>
      <c r="AB13" s="42">
        <v>4897.7</v>
      </c>
      <c r="AC13" s="60"/>
      <c r="AE13" s="11">
        <f>+AC31</f>
        <v>7033100.120000001</v>
      </c>
    </row>
    <row r="14" spans="2:31" x14ac:dyDescent="0.25">
      <c r="B14" s="45" t="s">
        <v>33</v>
      </c>
      <c r="C14" s="4" t="s">
        <v>32</v>
      </c>
      <c r="D14" s="5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61"/>
      <c r="AE14" s="11">
        <f>+AC35</f>
        <v>6885471.3600000003</v>
      </c>
    </row>
    <row r="15" spans="2:31" x14ac:dyDescent="0.25">
      <c r="B15" s="43" t="s">
        <v>34</v>
      </c>
      <c r="C15" s="4" t="s">
        <v>29</v>
      </c>
      <c r="D15" s="5">
        <v>19</v>
      </c>
      <c r="E15" s="42">
        <v>4844.25</v>
      </c>
      <c r="F15" s="42">
        <v>4572.24</v>
      </c>
      <c r="G15" s="42">
        <v>4468.3</v>
      </c>
      <c r="H15" s="42">
        <v>4476.18</v>
      </c>
      <c r="I15" s="42">
        <v>4922.1000000000004</v>
      </c>
      <c r="J15" s="42">
        <v>6308.58</v>
      </c>
      <c r="K15" s="42">
        <v>7721.86</v>
      </c>
      <c r="L15" s="42">
        <v>11606.26</v>
      </c>
      <c r="M15" s="42">
        <v>11189.57</v>
      </c>
      <c r="N15" s="42">
        <v>10906.27</v>
      </c>
      <c r="O15" s="42">
        <v>11182.63</v>
      </c>
      <c r="P15" s="42">
        <v>11685.24</v>
      </c>
      <c r="Q15" s="42">
        <v>11587.46</v>
      </c>
      <c r="R15" s="42">
        <v>11497.03</v>
      </c>
      <c r="S15" s="42">
        <v>11900.9</v>
      </c>
      <c r="T15" s="42">
        <v>12108.99</v>
      </c>
      <c r="U15" s="42">
        <v>12179.31</v>
      </c>
      <c r="V15" s="42">
        <v>8843.43</v>
      </c>
      <c r="W15" s="42">
        <v>9915.02</v>
      </c>
      <c r="X15" s="42">
        <v>10322.57</v>
      </c>
      <c r="Y15" s="42">
        <v>9643</v>
      </c>
      <c r="Z15" s="42">
        <v>8659.73</v>
      </c>
      <c r="AA15" s="42">
        <v>7110.03</v>
      </c>
      <c r="AB15" s="42">
        <v>5745.22</v>
      </c>
      <c r="AC15" s="59">
        <f>+SUM(E15:AB15)*D15+SUM(E16:AB16)*D16+SUM(E17:AB17)*D17+SUM(E18:AB18)*D18</f>
        <v>6521949.3899999997</v>
      </c>
      <c r="AE15" s="11">
        <f>+AC39</f>
        <v>6554398.75</v>
      </c>
    </row>
    <row r="16" spans="2:31" x14ac:dyDescent="0.25">
      <c r="B16" s="44" t="s">
        <v>34</v>
      </c>
      <c r="C16" s="4" t="s">
        <v>30</v>
      </c>
      <c r="D16" s="5">
        <v>5</v>
      </c>
      <c r="E16" s="42">
        <v>4932.9399999999996</v>
      </c>
      <c r="F16" s="42">
        <v>4691.21</v>
      </c>
      <c r="G16" s="42">
        <v>4530.8500000000004</v>
      </c>
      <c r="H16" s="42">
        <v>4411.8100000000004</v>
      </c>
      <c r="I16" s="42">
        <v>4677.07</v>
      </c>
      <c r="J16" s="42">
        <v>5203.7299999999996</v>
      </c>
      <c r="K16" s="42">
        <v>6419.44</v>
      </c>
      <c r="L16" s="42">
        <v>11347.15</v>
      </c>
      <c r="M16" s="42">
        <v>11103.68</v>
      </c>
      <c r="N16" s="42">
        <v>11198.69</v>
      </c>
      <c r="O16" s="42">
        <v>11505.07</v>
      </c>
      <c r="P16" s="42">
        <v>11598.48</v>
      </c>
      <c r="Q16" s="42">
        <v>11827.76</v>
      </c>
      <c r="R16" s="42">
        <v>11514.12</v>
      </c>
      <c r="S16" s="42">
        <v>11449.49</v>
      </c>
      <c r="T16" s="42">
        <v>11888.01</v>
      </c>
      <c r="U16" s="42">
        <v>12295.5</v>
      </c>
      <c r="V16" s="42">
        <v>8725.02</v>
      </c>
      <c r="W16" s="42">
        <v>9486.8700000000008</v>
      </c>
      <c r="X16" s="42">
        <v>10256.19</v>
      </c>
      <c r="Y16" s="42">
        <v>9746.35</v>
      </c>
      <c r="Z16" s="42">
        <v>8996.3700000000008</v>
      </c>
      <c r="AA16" s="42">
        <v>7918.92</v>
      </c>
      <c r="AB16" s="42">
        <v>6491.07</v>
      </c>
      <c r="AC16" s="60"/>
      <c r="AE16" s="11">
        <f>+AC43</f>
        <v>6793962.7200000016</v>
      </c>
    </row>
    <row r="17" spans="2:31" x14ac:dyDescent="0.25">
      <c r="B17" s="44" t="s">
        <v>34</v>
      </c>
      <c r="C17" s="4" t="s">
        <v>31</v>
      </c>
      <c r="D17" s="5">
        <v>4</v>
      </c>
      <c r="E17" s="42">
        <v>5570.92</v>
      </c>
      <c r="F17" s="42">
        <v>5172.03</v>
      </c>
      <c r="G17" s="42">
        <v>4831.18</v>
      </c>
      <c r="H17" s="42">
        <v>4669.26</v>
      </c>
      <c r="I17" s="42">
        <v>4640.3999999999996</v>
      </c>
      <c r="J17" s="42">
        <v>4741.1000000000004</v>
      </c>
      <c r="K17" s="42">
        <v>5386.62</v>
      </c>
      <c r="L17" s="42">
        <v>9494.98</v>
      </c>
      <c r="M17" s="42">
        <v>9910.1200000000008</v>
      </c>
      <c r="N17" s="42">
        <v>9788.2999999999993</v>
      </c>
      <c r="O17" s="42">
        <v>9871.68</v>
      </c>
      <c r="P17" s="42">
        <v>9910.43</v>
      </c>
      <c r="Q17" s="42">
        <v>10133.51</v>
      </c>
      <c r="R17" s="42">
        <v>9988.14</v>
      </c>
      <c r="S17" s="42">
        <v>9928.23</v>
      </c>
      <c r="T17" s="42">
        <v>10250.290000000001</v>
      </c>
      <c r="U17" s="42">
        <v>10869.71</v>
      </c>
      <c r="V17" s="42">
        <v>8009.42</v>
      </c>
      <c r="W17" s="42">
        <v>8737.2000000000007</v>
      </c>
      <c r="X17" s="42">
        <v>9354.64</v>
      </c>
      <c r="Y17" s="42">
        <v>9138.76</v>
      </c>
      <c r="Z17" s="42">
        <v>8418.7000000000007</v>
      </c>
      <c r="AA17" s="42">
        <v>7238.24</v>
      </c>
      <c r="AB17" s="42">
        <v>5769.23</v>
      </c>
      <c r="AC17" s="60"/>
      <c r="AE17" s="11">
        <f>+AC47</f>
        <v>6655732.9400000013</v>
      </c>
    </row>
    <row r="18" spans="2:31" x14ac:dyDescent="0.25">
      <c r="B18" s="45" t="s">
        <v>34</v>
      </c>
      <c r="C18" s="4" t="s">
        <v>32</v>
      </c>
      <c r="D18" s="5">
        <v>3</v>
      </c>
      <c r="E18" s="42">
        <v>5590.53</v>
      </c>
      <c r="F18" s="42">
        <v>5386.47</v>
      </c>
      <c r="G18" s="42">
        <v>5225.83</v>
      </c>
      <c r="H18" s="42">
        <v>5220.63</v>
      </c>
      <c r="I18" s="42">
        <v>5081.22</v>
      </c>
      <c r="J18" s="42">
        <v>5226.79</v>
      </c>
      <c r="K18" s="42">
        <v>5639.3</v>
      </c>
      <c r="L18" s="42">
        <v>9617.7099999999991</v>
      </c>
      <c r="M18" s="42">
        <v>10023.99</v>
      </c>
      <c r="N18" s="42">
        <v>10315.51</v>
      </c>
      <c r="O18" s="42">
        <v>11132.15</v>
      </c>
      <c r="P18" s="42">
        <v>11764.28</v>
      </c>
      <c r="Q18" s="42">
        <v>11950.84</v>
      </c>
      <c r="R18" s="42">
        <v>12422.49</v>
      </c>
      <c r="S18" s="42">
        <v>12783.5</v>
      </c>
      <c r="T18" s="42">
        <v>12841.88</v>
      </c>
      <c r="U18" s="42">
        <v>12222.56</v>
      </c>
      <c r="V18" s="42">
        <v>9276.74</v>
      </c>
      <c r="W18" s="42">
        <v>10819.36</v>
      </c>
      <c r="X18" s="42">
        <v>10806.42</v>
      </c>
      <c r="Y18" s="42">
        <v>10234.51</v>
      </c>
      <c r="Z18" s="42">
        <v>8390.98</v>
      </c>
      <c r="AA18" s="42">
        <v>6195.55</v>
      </c>
      <c r="AB18" s="42">
        <v>4847.71</v>
      </c>
      <c r="AC18" s="61"/>
      <c r="AE18" s="11">
        <f>+AC51</f>
        <v>6940218.0999999996</v>
      </c>
    </row>
    <row r="19" spans="2:31" ht="13" x14ac:dyDescent="0.3">
      <c r="B19" s="43" t="s">
        <v>35</v>
      </c>
      <c r="C19" s="4" t="s">
        <v>29</v>
      </c>
      <c r="D19" s="5">
        <v>21</v>
      </c>
      <c r="E19" s="42">
        <v>5347.67</v>
      </c>
      <c r="F19" s="42">
        <v>5088.29</v>
      </c>
      <c r="G19" s="42">
        <v>4914.96</v>
      </c>
      <c r="H19" s="42">
        <v>4934.5200000000004</v>
      </c>
      <c r="I19" s="42">
        <v>5425.44</v>
      </c>
      <c r="J19" s="42">
        <v>6925.49</v>
      </c>
      <c r="K19" s="42">
        <v>7947.77</v>
      </c>
      <c r="L19" s="42">
        <v>11558.56</v>
      </c>
      <c r="M19" s="42">
        <v>11585.87</v>
      </c>
      <c r="N19" s="42">
        <v>11236.49</v>
      </c>
      <c r="O19" s="42">
        <v>11641.26</v>
      </c>
      <c r="P19" s="42">
        <v>12463.38</v>
      </c>
      <c r="Q19" s="42">
        <v>12042.39</v>
      </c>
      <c r="R19" s="42">
        <v>12265.87</v>
      </c>
      <c r="S19" s="42">
        <v>12800.06</v>
      </c>
      <c r="T19" s="42">
        <v>12921.96</v>
      </c>
      <c r="U19" s="42">
        <v>13018.22</v>
      </c>
      <c r="V19" s="42">
        <v>9791.2800000000007</v>
      </c>
      <c r="W19" s="42">
        <v>10395.9</v>
      </c>
      <c r="X19" s="42">
        <v>10564.96</v>
      </c>
      <c r="Y19" s="42">
        <v>9807.3799999999992</v>
      </c>
      <c r="Z19" s="42">
        <v>8833.4500000000007</v>
      </c>
      <c r="AA19" s="42">
        <v>7384.6</v>
      </c>
      <c r="AB19" s="42">
        <v>6299.43</v>
      </c>
      <c r="AC19" s="59">
        <f>+SUM(E19:AB19)*D19+SUM(E20:AB20)*D20+SUM(E21:AB21)*D21+SUM(E22:AB22)*D22</f>
        <v>6567493.6899999995</v>
      </c>
      <c r="AE19" s="12">
        <f>SUM(AE7:AE18)</f>
        <v>80142323.179999992</v>
      </c>
    </row>
    <row r="20" spans="2:31" x14ac:dyDescent="0.25">
      <c r="B20" s="44" t="s">
        <v>35</v>
      </c>
      <c r="C20" s="4" t="s">
        <v>30</v>
      </c>
      <c r="D20" s="5">
        <v>4</v>
      </c>
      <c r="E20" s="42">
        <v>5639.32</v>
      </c>
      <c r="F20" s="42">
        <v>5181.83</v>
      </c>
      <c r="G20" s="42">
        <v>5095.49</v>
      </c>
      <c r="H20" s="42">
        <v>5013.08</v>
      </c>
      <c r="I20" s="42">
        <v>5032.29</v>
      </c>
      <c r="J20" s="42">
        <v>5195.24</v>
      </c>
      <c r="K20" s="42">
        <v>5714.4</v>
      </c>
      <c r="L20" s="42">
        <v>10375.9</v>
      </c>
      <c r="M20" s="42">
        <v>10364.09</v>
      </c>
      <c r="N20" s="42">
        <v>10388.84</v>
      </c>
      <c r="O20" s="42">
        <v>10848.82</v>
      </c>
      <c r="P20" s="42">
        <v>11411.31</v>
      </c>
      <c r="Q20" s="42">
        <v>11599.02</v>
      </c>
      <c r="R20" s="42">
        <v>11555.77</v>
      </c>
      <c r="S20" s="42">
        <v>11681.44</v>
      </c>
      <c r="T20" s="42">
        <v>11930.85</v>
      </c>
      <c r="U20" s="42">
        <v>12296.25</v>
      </c>
      <c r="V20" s="42">
        <v>8828.8799999999992</v>
      </c>
      <c r="W20" s="42">
        <v>9603.2199999999993</v>
      </c>
      <c r="X20" s="42">
        <v>9945.7199999999993</v>
      </c>
      <c r="Y20" s="42">
        <v>9237.93</v>
      </c>
      <c r="Z20" s="42">
        <v>8524.06</v>
      </c>
      <c r="AA20" s="42">
        <v>7838.26</v>
      </c>
      <c r="AB20" s="42">
        <v>7489.5</v>
      </c>
      <c r="AC20" s="60"/>
      <c r="AE20" s="13"/>
    </row>
    <row r="21" spans="2:31" x14ac:dyDescent="0.25">
      <c r="B21" s="44" t="s">
        <v>35</v>
      </c>
      <c r="C21" s="4" t="s">
        <v>31</v>
      </c>
      <c r="D21" s="5">
        <v>5</v>
      </c>
      <c r="E21" s="42">
        <v>6145.64</v>
      </c>
      <c r="F21" s="42">
        <v>5650.61</v>
      </c>
      <c r="G21" s="42">
        <v>5326.03</v>
      </c>
      <c r="H21" s="42">
        <v>5032.66</v>
      </c>
      <c r="I21" s="42">
        <v>4997.2299999999996</v>
      </c>
      <c r="J21" s="42">
        <v>4854.08</v>
      </c>
      <c r="K21" s="42">
        <v>5222.0600000000004</v>
      </c>
      <c r="L21" s="42">
        <v>9203.9599999999991</v>
      </c>
      <c r="M21" s="42">
        <v>9549.39</v>
      </c>
      <c r="N21" s="42">
        <v>9591.83</v>
      </c>
      <c r="O21" s="42">
        <v>10168.700000000001</v>
      </c>
      <c r="P21" s="42">
        <v>10447.89</v>
      </c>
      <c r="Q21" s="42">
        <v>10631.13</v>
      </c>
      <c r="R21" s="42">
        <v>10518.26</v>
      </c>
      <c r="S21" s="42">
        <v>10880.29</v>
      </c>
      <c r="T21" s="42">
        <v>10958.69</v>
      </c>
      <c r="U21" s="42">
        <v>11488.54</v>
      </c>
      <c r="V21" s="42">
        <v>8137.73</v>
      </c>
      <c r="W21" s="42">
        <v>10047.73</v>
      </c>
      <c r="X21" s="42">
        <v>9884.66</v>
      </c>
      <c r="Y21" s="42">
        <v>9272.5499999999993</v>
      </c>
      <c r="Z21" s="42">
        <v>8346.44</v>
      </c>
      <c r="AA21" s="42">
        <v>6848.8</v>
      </c>
      <c r="AB21" s="42">
        <v>5840.79</v>
      </c>
      <c r="AC21" s="60"/>
      <c r="AE21" s="13"/>
    </row>
    <row r="22" spans="2:31" x14ac:dyDescent="0.25">
      <c r="B22" s="45" t="s">
        <v>35</v>
      </c>
      <c r="C22" s="4" t="s">
        <v>32</v>
      </c>
      <c r="D22" s="5">
        <v>0</v>
      </c>
      <c r="E22" s="42">
        <v>12810.33</v>
      </c>
      <c r="F22" s="42">
        <v>11555.82</v>
      </c>
      <c r="G22" s="42">
        <v>10803.25</v>
      </c>
      <c r="H22" s="42">
        <v>10202.56</v>
      </c>
      <c r="I22" s="42">
        <v>10531.45</v>
      </c>
      <c r="J22" s="42">
        <v>10795.22</v>
      </c>
      <c r="K22" s="42">
        <v>11672.13</v>
      </c>
      <c r="L22" s="42">
        <v>15542.61</v>
      </c>
      <c r="M22" s="42">
        <v>16818.16</v>
      </c>
      <c r="N22" s="42">
        <v>17494.900000000001</v>
      </c>
      <c r="O22" s="42">
        <v>18512.38</v>
      </c>
      <c r="P22" s="42">
        <v>20078.740000000002</v>
      </c>
      <c r="Q22" s="42">
        <v>20748.75</v>
      </c>
      <c r="R22" s="42">
        <v>20411.32</v>
      </c>
      <c r="S22" s="42">
        <v>20056.87</v>
      </c>
      <c r="T22" s="42">
        <v>20265.97</v>
      </c>
      <c r="U22" s="42">
        <v>20315.189999999999</v>
      </c>
      <c r="V22" s="42">
        <v>22340.9</v>
      </c>
      <c r="W22" s="42">
        <v>24660.1</v>
      </c>
      <c r="X22" s="42">
        <v>25908.23</v>
      </c>
      <c r="Y22" s="42">
        <v>24755.49</v>
      </c>
      <c r="Z22" s="42">
        <v>23527.95</v>
      </c>
      <c r="AA22" s="42">
        <v>21036.13</v>
      </c>
      <c r="AB22" s="42">
        <v>18377.64</v>
      </c>
      <c r="AC22" s="61"/>
    </row>
    <row r="23" spans="2:31" x14ac:dyDescent="0.25">
      <c r="B23" s="43" t="s">
        <v>36</v>
      </c>
      <c r="C23" s="4" t="s">
        <v>29</v>
      </c>
      <c r="D23" s="5">
        <v>21</v>
      </c>
      <c r="E23" s="42">
        <v>5253.08</v>
      </c>
      <c r="F23" s="42">
        <v>5362.07</v>
      </c>
      <c r="G23" s="42">
        <v>5007.7299999999996</v>
      </c>
      <c r="H23" s="42">
        <v>4893.22</v>
      </c>
      <c r="I23" s="42">
        <v>5304.02</v>
      </c>
      <c r="J23" s="42">
        <v>6539.81</v>
      </c>
      <c r="K23" s="42">
        <v>7553.65</v>
      </c>
      <c r="L23" s="42">
        <v>11215.98</v>
      </c>
      <c r="M23" s="42">
        <v>10975.48</v>
      </c>
      <c r="N23" s="42">
        <v>10918.35</v>
      </c>
      <c r="O23" s="42">
        <v>11175.24</v>
      </c>
      <c r="P23" s="42">
        <v>11586.79</v>
      </c>
      <c r="Q23" s="42">
        <v>11361.62</v>
      </c>
      <c r="R23" s="42">
        <v>11750.28</v>
      </c>
      <c r="S23" s="42">
        <v>12478.17</v>
      </c>
      <c r="T23" s="42">
        <v>12793.62</v>
      </c>
      <c r="U23" s="42">
        <v>12432.77</v>
      </c>
      <c r="V23" s="42">
        <v>9739.67</v>
      </c>
      <c r="W23" s="42">
        <v>10345.629999999999</v>
      </c>
      <c r="X23" s="42">
        <v>10113.709999999999</v>
      </c>
      <c r="Y23" s="42">
        <v>9788.98</v>
      </c>
      <c r="Z23" s="42">
        <v>8266.02</v>
      </c>
      <c r="AA23" s="42">
        <v>7246.53</v>
      </c>
      <c r="AB23" s="42">
        <v>6195.19</v>
      </c>
      <c r="AC23" s="59">
        <f>+SUM(E23:AB23)*D23+SUM(E24:AB24)*D24+SUM(E25:AB25)*D25+SUM(E26:AB26)*D26</f>
        <v>6552443.6300000008</v>
      </c>
    </row>
    <row r="24" spans="2:31" x14ac:dyDescent="0.25">
      <c r="B24" s="44" t="s">
        <v>36</v>
      </c>
      <c r="C24" s="4" t="s">
        <v>30</v>
      </c>
      <c r="D24" s="5">
        <v>4</v>
      </c>
      <c r="E24" s="42">
        <v>5591.2</v>
      </c>
      <c r="F24" s="42">
        <v>5251.98</v>
      </c>
      <c r="G24" s="42">
        <v>4975.28</v>
      </c>
      <c r="H24" s="42">
        <v>4912.16</v>
      </c>
      <c r="I24" s="42">
        <v>4972.51</v>
      </c>
      <c r="J24" s="42">
        <v>5061.68</v>
      </c>
      <c r="K24" s="42">
        <v>5627.61</v>
      </c>
      <c r="L24" s="42">
        <v>10307.1</v>
      </c>
      <c r="M24" s="42">
        <v>10623.58</v>
      </c>
      <c r="N24" s="42">
        <v>10754.03</v>
      </c>
      <c r="O24" s="42">
        <v>10884.95</v>
      </c>
      <c r="P24" s="42">
        <v>10953.12</v>
      </c>
      <c r="Q24" s="42">
        <v>11042.22</v>
      </c>
      <c r="R24" s="42">
        <v>11187.03</v>
      </c>
      <c r="S24" s="42">
        <v>11474.04</v>
      </c>
      <c r="T24" s="42">
        <v>11315.95</v>
      </c>
      <c r="U24" s="42">
        <v>11807.47</v>
      </c>
      <c r="V24" s="42">
        <v>8690.5</v>
      </c>
      <c r="W24" s="42">
        <v>8612.98</v>
      </c>
      <c r="X24" s="42">
        <v>8941.67</v>
      </c>
      <c r="Y24" s="42">
        <v>8428.3700000000008</v>
      </c>
      <c r="Z24" s="42">
        <v>7547.24</v>
      </c>
      <c r="AA24" s="42">
        <v>7098.35</v>
      </c>
      <c r="AB24" s="42">
        <v>6218.74</v>
      </c>
      <c r="AC24" s="60"/>
    </row>
    <row r="25" spans="2:31" x14ac:dyDescent="0.25">
      <c r="B25" s="44" t="s">
        <v>36</v>
      </c>
      <c r="C25" s="4" t="s">
        <v>31</v>
      </c>
      <c r="D25" s="5">
        <v>4</v>
      </c>
      <c r="E25" s="42">
        <v>5393.02</v>
      </c>
      <c r="F25" s="42">
        <v>5079.16</v>
      </c>
      <c r="G25" s="42">
        <v>4874.6499999999996</v>
      </c>
      <c r="H25" s="42">
        <v>4649.32</v>
      </c>
      <c r="I25" s="42">
        <v>4780.08</v>
      </c>
      <c r="J25" s="42">
        <v>4642.5200000000004</v>
      </c>
      <c r="K25" s="42">
        <v>5195.37</v>
      </c>
      <c r="L25" s="42">
        <v>9209.61</v>
      </c>
      <c r="M25" s="42">
        <v>9456.25</v>
      </c>
      <c r="N25" s="42">
        <v>9347.26</v>
      </c>
      <c r="O25" s="42">
        <v>9449.7099999999991</v>
      </c>
      <c r="P25" s="42">
        <v>9425.17</v>
      </c>
      <c r="Q25" s="42">
        <v>9716.2199999999993</v>
      </c>
      <c r="R25" s="42">
        <v>10129.84</v>
      </c>
      <c r="S25" s="42">
        <v>9940</v>
      </c>
      <c r="T25" s="42">
        <v>9994.7999999999993</v>
      </c>
      <c r="U25" s="42">
        <v>10506.92</v>
      </c>
      <c r="V25" s="42">
        <v>7988.79</v>
      </c>
      <c r="W25" s="42">
        <v>8632.01</v>
      </c>
      <c r="X25" s="42">
        <v>8778.7099999999991</v>
      </c>
      <c r="Y25" s="42">
        <v>8336.9699999999993</v>
      </c>
      <c r="Z25" s="42">
        <v>7710.45</v>
      </c>
      <c r="AA25" s="42">
        <v>6281.43</v>
      </c>
      <c r="AB25" s="42">
        <v>5733.01</v>
      </c>
      <c r="AC25" s="60"/>
    </row>
    <row r="26" spans="2:31" x14ac:dyDescent="0.25">
      <c r="B26" s="45" t="s">
        <v>36</v>
      </c>
      <c r="C26" s="4" t="s">
        <v>32</v>
      </c>
      <c r="D26" s="5">
        <v>2</v>
      </c>
      <c r="E26" s="42">
        <v>5876.86</v>
      </c>
      <c r="F26" s="42">
        <v>5521.48</v>
      </c>
      <c r="G26" s="42">
        <v>5335.4</v>
      </c>
      <c r="H26" s="42">
        <v>5208.3100000000004</v>
      </c>
      <c r="I26" s="42">
        <v>5243.99</v>
      </c>
      <c r="J26" s="42">
        <v>5395.63</v>
      </c>
      <c r="K26" s="42">
        <v>5769.58</v>
      </c>
      <c r="L26" s="42">
        <v>10092.950000000001</v>
      </c>
      <c r="M26" s="42">
        <v>10316.09</v>
      </c>
      <c r="N26" s="42">
        <v>10783.98</v>
      </c>
      <c r="O26" s="42">
        <v>10862.46</v>
      </c>
      <c r="P26" s="42">
        <v>11688.47</v>
      </c>
      <c r="Q26" s="42">
        <v>11971.23</v>
      </c>
      <c r="R26" s="42">
        <v>11879.07</v>
      </c>
      <c r="S26" s="42">
        <v>11215.75</v>
      </c>
      <c r="T26" s="42">
        <v>11607.75</v>
      </c>
      <c r="U26" s="42">
        <v>11362.02</v>
      </c>
      <c r="V26" s="42">
        <v>9125.82</v>
      </c>
      <c r="W26" s="42">
        <v>9317.26</v>
      </c>
      <c r="X26" s="42">
        <v>9226.14</v>
      </c>
      <c r="Y26" s="42">
        <v>8878.59</v>
      </c>
      <c r="Z26" s="42">
        <v>8419.6200000000008</v>
      </c>
      <c r="AA26" s="42">
        <v>7338.63</v>
      </c>
      <c r="AB26" s="42">
        <v>6597.77</v>
      </c>
      <c r="AC26" s="61"/>
    </row>
    <row r="27" spans="2:31" x14ac:dyDescent="0.25">
      <c r="B27" s="43" t="s">
        <v>37</v>
      </c>
      <c r="C27" s="4" t="s">
        <v>29</v>
      </c>
      <c r="D27" s="5">
        <v>19</v>
      </c>
      <c r="E27" s="42">
        <v>5303.32</v>
      </c>
      <c r="F27" s="42">
        <v>5072.0200000000004</v>
      </c>
      <c r="G27" s="42">
        <v>5001.13</v>
      </c>
      <c r="H27" s="42">
        <v>4937.55</v>
      </c>
      <c r="I27" s="42">
        <v>5442.28</v>
      </c>
      <c r="J27" s="42">
        <v>6675.53</v>
      </c>
      <c r="K27" s="42">
        <v>7879.44</v>
      </c>
      <c r="L27" s="42">
        <v>12261.75</v>
      </c>
      <c r="M27" s="42">
        <v>12002.84</v>
      </c>
      <c r="N27" s="42">
        <v>12114.37</v>
      </c>
      <c r="O27" s="42">
        <v>12418.28</v>
      </c>
      <c r="P27" s="42">
        <v>12645.73</v>
      </c>
      <c r="Q27" s="42">
        <v>12661.38</v>
      </c>
      <c r="R27" s="42">
        <v>12690.81</v>
      </c>
      <c r="S27" s="42">
        <v>13091.41</v>
      </c>
      <c r="T27" s="42">
        <v>13126.51</v>
      </c>
      <c r="U27" s="42">
        <v>13323.71</v>
      </c>
      <c r="V27" s="42">
        <v>9579.94</v>
      </c>
      <c r="W27" s="42">
        <v>10323</v>
      </c>
      <c r="X27" s="42">
        <v>10351.18</v>
      </c>
      <c r="Y27" s="42">
        <v>9694.0400000000009</v>
      </c>
      <c r="Z27" s="42">
        <v>8550.2900000000009</v>
      </c>
      <c r="AA27" s="42">
        <v>7216.45</v>
      </c>
      <c r="AB27" s="42">
        <v>6067.67</v>
      </c>
      <c r="AC27" s="59">
        <f>+SUM(E27:AB27)*D27+SUM(E28:AB28)*D28+SUM(E29:AB29)*D29+SUM(E30:AB30)*D30</f>
        <v>6650965.2400000002</v>
      </c>
    </row>
    <row r="28" spans="2:31" x14ac:dyDescent="0.25">
      <c r="B28" s="44" t="s">
        <v>37</v>
      </c>
      <c r="C28" s="4" t="s">
        <v>30</v>
      </c>
      <c r="D28" s="5">
        <v>5</v>
      </c>
      <c r="E28" s="42">
        <v>5313.72</v>
      </c>
      <c r="F28" s="42">
        <v>5035.58</v>
      </c>
      <c r="G28" s="42">
        <v>4848.34</v>
      </c>
      <c r="H28" s="42">
        <v>4760.59</v>
      </c>
      <c r="I28" s="42">
        <v>4926.55</v>
      </c>
      <c r="J28" s="42">
        <v>5307.13</v>
      </c>
      <c r="K28" s="42">
        <v>6139.34</v>
      </c>
      <c r="L28" s="42">
        <v>11409.47</v>
      </c>
      <c r="M28" s="42">
        <v>11726.3</v>
      </c>
      <c r="N28" s="42">
        <v>11890.6</v>
      </c>
      <c r="O28" s="42">
        <v>12217.39</v>
      </c>
      <c r="P28" s="42">
        <v>12206.22</v>
      </c>
      <c r="Q28" s="42">
        <v>12272.88</v>
      </c>
      <c r="R28" s="42">
        <v>12067.11</v>
      </c>
      <c r="S28" s="42">
        <v>11759.66</v>
      </c>
      <c r="T28" s="42">
        <v>11786.62</v>
      </c>
      <c r="U28" s="42">
        <v>11909.44</v>
      </c>
      <c r="V28" s="42">
        <v>8651.44</v>
      </c>
      <c r="W28" s="42">
        <v>9209.74</v>
      </c>
      <c r="X28" s="42">
        <v>9653.1</v>
      </c>
      <c r="Y28" s="42">
        <v>9196.7000000000007</v>
      </c>
      <c r="Z28" s="42">
        <v>8430.8700000000008</v>
      </c>
      <c r="AA28" s="42">
        <v>7598.98</v>
      </c>
      <c r="AB28" s="42">
        <v>6535.4</v>
      </c>
      <c r="AC28" s="60"/>
    </row>
    <row r="29" spans="2:31" x14ac:dyDescent="0.25">
      <c r="B29" s="44" t="s">
        <v>37</v>
      </c>
      <c r="C29" s="4" t="s">
        <v>31</v>
      </c>
      <c r="D29" s="5">
        <v>4</v>
      </c>
      <c r="E29" s="42">
        <v>6129.7</v>
      </c>
      <c r="F29" s="42">
        <v>5531.17</v>
      </c>
      <c r="G29" s="42">
        <v>5318.65</v>
      </c>
      <c r="H29" s="42">
        <v>5212.3900000000003</v>
      </c>
      <c r="I29" s="42">
        <v>5071.53</v>
      </c>
      <c r="J29" s="42">
        <v>5036.82</v>
      </c>
      <c r="K29" s="42">
        <v>5490.53</v>
      </c>
      <c r="L29" s="42">
        <v>10096.17</v>
      </c>
      <c r="M29" s="42">
        <v>10600.34</v>
      </c>
      <c r="N29" s="42">
        <v>11124.93</v>
      </c>
      <c r="O29" s="42">
        <v>11293.33</v>
      </c>
      <c r="P29" s="42">
        <v>11321.05</v>
      </c>
      <c r="Q29" s="42">
        <v>11272.77</v>
      </c>
      <c r="R29" s="42">
        <v>11336.61</v>
      </c>
      <c r="S29" s="42">
        <v>11081.81</v>
      </c>
      <c r="T29" s="42">
        <v>11246.22</v>
      </c>
      <c r="U29" s="42">
        <v>11621.69</v>
      </c>
      <c r="V29" s="42">
        <v>8430.57</v>
      </c>
      <c r="W29" s="42">
        <v>8940.7000000000007</v>
      </c>
      <c r="X29" s="42">
        <v>9453.44</v>
      </c>
      <c r="Y29" s="42">
        <v>9098.93</v>
      </c>
      <c r="Z29" s="42">
        <v>8424.32</v>
      </c>
      <c r="AA29" s="42">
        <v>7419.94</v>
      </c>
      <c r="AB29" s="42">
        <v>6230.77</v>
      </c>
      <c r="AC29" s="60"/>
    </row>
    <row r="30" spans="2:31" x14ac:dyDescent="0.25">
      <c r="B30" s="45" t="s">
        <v>37</v>
      </c>
      <c r="C30" s="4" t="s">
        <v>32</v>
      </c>
      <c r="D30" s="5">
        <v>2</v>
      </c>
      <c r="E30" s="42">
        <v>5307.28</v>
      </c>
      <c r="F30" s="42">
        <v>5058.78</v>
      </c>
      <c r="G30" s="42">
        <v>4873.8100000000004</v>
      </c>
      <c r="H30" s="42">
        <v>4827.95</v>
      </c>
      <c r="I30" s="42">
        <v>4814.7700000000004</v>
      </c>
      <c r="J30" s="42">
        <v>4892.24</v>
      </c>
      <c r="K30" s="42">
        <v>5124.38</v>
      </c>
      <c r="L30" s="42">
        <v>9824</v>
      </c>
      <c r="M30" s="42">
        <v>9756.7999999999993</v>
      </c>
      <c r="N30" s="42">
        <v>10048.280000000001</v>
      </c>
      <c r="O30" s="42">
        <v>11047.3</v>
      </c>
      <c r="P30" s="42">
        <v>11300.1</v>
      </c>
      <c r="Q30" s="42">
        <v>11990.72</v>
      </c>
      <c r="R30" s="42">
        <v>12193.18</v>
      </c>
      <c r="S30" s="42">
        <v>12079.53</v>
      </c>
      <c r="T30" s="42">
        <v>12134.63</v>
      </c>
      <c r="U30" s="42">
        <v>12146.64</v>
      </c>
      <c r="V30" s="42">
        <v>8305.3799999999992</v>
      </c>
      <c r="W30" s="42">
        <v>8868.0499999999993</v>
      </c>
      <c r="X30" s="42">
        <v>9199.7199999999993</v>
      </c>
      <c r="Y30" s="42">
        <v>8998.44</v>
      </c>
      <c r="Z30" s="42">
        <v>8458.8799999999992</v>
      </c>
      <c r="AA30" s="42">
        <v>7294.66</v>
      </c>
      <c r="AB30" s="42">
        <v>6144.43</v>
      </c>
      <c r="AC30" s="61"/>
    </row>
    <row r="31" spans="2:31" x14ac:dyDescent="0.25">
      <c r="B31" s="43" t="s">
        <v>38</v>
      </c>
      <c r="C31" s="4" t="s">
        <v>29</v>
      </c>
      <c r="D31" s="5">
        <v>19</v>
      </c>
      <c r="E31" s="42">
        <v>5736.45</v>
      </c>
      <c r="F31" s="42">
        <v>5520.82</v>
      </c>
      <c r="G31" s="42">
        <v>5365.48</v>
      </c>
      <c r="H31" s="42">
        <v>5420.69</v>
      </c>
      <c r="I31" s="42">
        <v>5886.44</v>
      </c>
      <c r="J31" s="42">
        <v>7232.65</v>
      </c>
      <c r="K31" s="42">
        <v>8650.1</v>
      </c>
      <c r="L31" s="42">
        <v>12442.39</v>
      </c>
      <c r="M31" s="42">
        <v>12312.67</v>
      </c>
      <c r="N31" s="42">
        <v>12377.52</v>
      </c>
      <c r="O31" s="42">
        <v>12377.71</v>
      </c>
      <c r="P31" s="42">
        <v>13079.77</v>
      </c>
      <c r="Q31" s="42">
        <v>12908.94</v>
      </c>
      <c r="R31" s="42">
        <v>12985.11</v>
      </c>
      <c r="S31" s="42">
        <v>13257.9</v>
      </c>
      <c r="T31" s="42">
        <v>13338.12</v>
      </c>
      <c r="U31" s="42">
        <v>13343.32</v>
      </c>
      <c r="V31" s="42">
        <v>9986.6200000000008</v>
      </c>
      <c r="W31" s="42">
        <v>10326.17</v>
      </c>
      <c r="X31" s="42">
        <v>10986.78</v>
      </c>
      <c r="Y31" s="42">
        <v>10482.32</v>
      </c>
      <c r="Z31" s="42">
        <v>9317.1299999999992</v>
      </c>
      <c r="AA31" s="42">
        <v>7713.88</v>
      </c>
      <c r="AB31" s="42">
        <v>6749.95</v>
      </c>
      <c r="AC31" s="59">
        <f>+SUM(E31:AB31)*D31+SUM(E32:AB32)*D32+SUM(E33:AB33)*D33+SUM(E34:AB34)*D34</f>
        <v>7033100.120000001</v>
      </c>
    </row>
    <row r="32" spans="2:31" x14ac:dyDescent="0.25">
      <c r="B32" s="44" t="s">
        <v>38</v>
      </c>
      <c r="C32" s="4" t="s">
        <v>30</v>
      </c>
      <c r="D32" s="5">
        <v>4</v>
      </c>
      <c r="E32" s="42">
        <v>6586.16</v>
      </c>
      <c r="F32" s="42">
        <v>6198.82</v>
      </c>
      <c r="G32" s="42">
        <v>5940.5</v>
      </c>
      <c r="H32" s="42">
        <v>5813.06</v>
      </c>
      <c r="I32" s="42">
        <v>5914.14</v>
      </c>
      <c r="J32" s="42">
        <v>6081.51</v>
      </c>
      <c r="K32" s="42">
        <v>6878.87</v>
      </c>
      <c r="L32" s="42">
        <v>11858.1</v>
      </c>
      <c r="M32" s="42">
        <v>12173.63</v>
      </c>
      <c r="N32" s="42">
        <v>12304</v>
      </c>
      <c r="O32" s="42">
        <v>12349.19</v>
      </c>
      <c r="P32" s="42">
        <v>12722.1</v>
      </c>
      <c r="Q32" s="42">
        <v>13020.94</v>
      </c>
      <c r="R32" s="42">
        <v>12870.68</v>
      </c>
      <c r="S32" s="42">
        <v>12719.93</v>
      </c>
      <c r="T32" s="42">
        <v>12487.47</v>
      </c>
      <c r="U32" s="42">
        <v>12311.16</v>
      </c>
      <c r="V32" s="42">
        <v>9318.91</v>
      </c>
      <c r="W32" s="42">
        <v>9372.2999999999993</v>
      </c>
      <c r="X32" s="42">
        <v>10007.33</v>
      </c>
      <c r="Y32" s="42">
        <v>9409.66</v>
      </c>
      <c r="Z32" s="42">
        <v>8474.67</v>
      </c>
      <c r="AA32" s="42">
        <v>7497.4</v>
      </c>
      <c r="AB32" s="42">
        <v>6601.65</v>
      </c>
      <c r="AC32" s="60"/>
    </row>
    <row r="33" spans="2:29" x14ac:dyDescent="0.25">
      <c r="B33" s="44" t="s">
        <v>38</v>
      </c>
      <c r="C33" s="4" t="s">
        <v>31</v>
      </c>
      <c r="D33" s="5">
        <v>5</v>
      </c>
      <c r="E33" s="42">
        <v>5612.44</v>
      </c>
      <c r="F33" s="42">
        <v>5222.45</v>
      </c>
      <c r="G33" s="42">
        <v>5141.0200000000004</v>
      </c>
      <c r="H33" s="42">
        <v>5037.2700000000004</v>
      </c>
      <c r="I33" s="42">
        <v>4944.04</v>
      </c>
      <c r="J33" s="42">
        <v>4803.3599999999997</v>
      </c>
      <c r="K33" s="42">
        <v>5495.18</v>
      </c>
      <c r="L33" s="42">
        <v>9633.0300000000007</v>
      </c>
      <c r="M33" s="42">
        <v>10274.98</v>
      </c>
      <c r="N33" s="42">
        <v>10327.969999999999</v>
      </c>
      <c r="O33" s="42">
        <v>10399.02</v>
      </c>
      <c r="P33" s="42">
        <v>10930.54</v>
      </c>
      <c r="Q33" s="42">
        <v>11024.64</v>
      </c>
      <c r="R33" s="42">
        <v>11194.4</v>
      </c>
      <c r="S33" s="42">
        <v>11203.82</v>
      </c>
      <c r="T33" s="42">
        <v>11151.53</v>
      </c>
      <c r="U33" s="42">
        <v>11227.8</v>
      </c>
      <c r="V33" s="42">
        <v>8235.42</v>
      </c>
      <c r="W33" s="42">
        <v>8875.68</v>
      </c>
      <c r="X33" s="42">
        <v>9882.52</v>
      </c>
      <c r="Y33" s="42">
        <v>9717.7199999999993</v>
      </c>
      <c r="Z33" s="42">
        <v>8516.16</v>
      </c>
      <c r="AA33" s="42">
        <v>6706</v>
      </c>
      <c r="AB33" s="42">
        <v>5549.25</v>
      </c>
      <c r="AC33" s="60"/>
    </row>
    <row r="34" spans="2:29" x14ac:dyDescent="0.25">
      <c r="B34" s="45" t="s">
        <v>38</v>
      </c>
      <c r="C34" s="4" t="s">
        <v>32</v>
      </c>
      <c r="D34" s="5">
        <v>3</v>
      </c>
      <c r="E34" s="42">
        <v>7257.2</v>
      </c>
      <c r="F34" s="42">
        <v>6772</v>
      </c>
      <c r="G34" s="42">
        <v>6244.28</v>
      </c>
      <c r="H34" s="42">
        <v>5583.33</v>
      </c>
      <c r="I34" s="42">
        <v>5563.53</v>
      </c>
      <c r="J34" s="42">
        <v>4828</v>
      </c>
      <c r="K34" s="42">
        <v>5345.51</v>
      </c>
      <c r="L34" s="42">
        <v>9419.1200000000008</v>
      </c>
      <c r="M34" s="42">
        <v>10415.25</v>
      </c>
      <c r="N34" s="42">
        <v>10181.549999999999</v>
      </c>
      <c r="O34" s="42">
        <v>9308.5400000000009</v>
      </c>
      <c r="P34" s="42">
        <v>10044.030000000001</v>
      </c>
      <c r="Q34" s="42">
        <v>10443.299999999999</v>
      </c>
      <c r="R34" s="42">
        <v>10840.05</v>
      </c>
      <c r="S34" s="42">
        <v>9937.34</v>
      </c>
      <c r="T34" s="42">
        <v>10007.370000000001</v>
      </c>
      <c r="U34" s="42">
        <v>10455.66</v>
      </c>
      <c r="V34" s="42">
        <v>7479.64</v>
      </c>
      <c r="W34" s="42">
        <v>7684.09</v>
      </c>
      <c r="X34" s="42">
        <v>8988.5</v>
      </c>
      <c r="Y34" s="42">
        <v>9318.41</v>
      </c>
      <c r="Z34" s="42">
        <v>8453.9599999999991</v>
      </c>
      <c r="AA34" s="42">
        <v>7107.17</v>
      </c>
      <c r="AB34" s="42">
        <v>6235.68</v>
      </c>
      <c r="AC34" s="61"/>
    </row>
    <row r="35" spans="2:29" x14ac:dyDescent="0.25">
      <c r="B35" s="43" t="s">
        <v>39</v>
      </c>
      <c r="C35" s="4" t="s">
        <v>29</v>
      </c>
      <c r="D35" s="5">
        <v>21</v>
      </c>
      <c r="E35" s="42">
        <v>5502.2</v>
      </c>
      <c r="F35" s="42">
        <v>5123.8999999999996</v>
      </c>
      <c r="G35" s="42">
        <v>4974.99</v>
      </c>
      <c r="H35" s="42">
        <v>4929.8599999999997</v>
      </c>
      <c r="I35" s="42">
        <v>5426.93</v>
      </c>
      <c r="J35" s="42">
        <v>6880.63</v>
      </c>
      <c r="K35" s="42">
        <v>8406.24</v>
      </c>
      <c r="L35" s="42">
        <v>12123.7</v>
      </c>
      <c r="M35" s="42">
        <v>11672.24</v>
      </c>
      <c r="N35" s="42">
        <v>11573.5</v>
      </c>
      <c r="O35" s="42">
        <v>11687.54</v>
      </c>
      <c r="P35" s="42">
        <v>12073.61</v>
      </c>
      <c r="Q35" s="42">
        <v>12095.65</v>
      </c>
      <c r="R35" s="42">
        <v>12160.51</v>
      </c>
      <c r="S35" s="42">
        <v>12549.01</v>
      </c>
      <c r="T35" s="42">
        <v>12753.38</v>
      </c>
      <c r="U35" s="42">
        <v>12878.71</v>
      </c>
      <c r="V35" s="42">
        <v>9982.35</v>
      </c>
      <c r="W35" s="42">
        <v>10449.379999999999</v>
      </c>
      <c r="X35" s="42">
        <v>11062.75</v>
      </c>
      <c r="Y35" s="42">
        <v>10445.08</v>
      </c>
      <c r="Z35" s="42">
        <v>9172.73</v>
      </c>
      <c r="AA35" s="42">
        <v>7635.86</v>
      </c>
      <c r="AB35" s="42">
        <v>6547.89</v>
      </c>
      <c r="AC35" s="59">
        <f>+SUM(E35:AB35)*D35+SUM(E36:AB36)*D36+SUM(E37:AB37)*D37+SUM(E38:AB38)*D38</f>
        <v>6885471.3600000003</v>
      </c>
    </row>
    <row r="36" spans="2:29" x14ac:dyDescent="0.25">
      <c r="B36" s="44" t="s">
        <v>39</v>
      </c>
      <c r="C36" s="4" t="s">
        <v>30</v>
      </c>
      <c r="D36" s="5">
        <v>4</v>
      </c>
      <c r="E36" s="42">
        <v>5758.13</v>
      </c>
      <c r="F36" s="42">
        <v>5417.91</v>
      </c>
      <c r="G36" s="42">
        <v>5138.9799999999996</v>
      </c>
      <c r="H36" s="42">
        <v>4995.41</v>
      </c>
      <c r="I36" s="42">
        <v>5038.0200000000004</v>
      </c>
      <c r="J36" s="42">
        <v>5155.6000000000004</v>
      </c>
      <c r="K36" s="42">
        <v>6296.7</v>
      </c>
      <c r="L36" s="42">
        <v>11185.99</v>
      </c>
      <c r="M36" s="42">
        <v>11825.05</v>
      </c>
      <c r="N36" s="42">
        <v>11601.05</v>
      </c>
      <c r="O36" s="42">
        <v>11486.97</v>
      </c>
      <c r="P36" s="42">
        <v>11520</v>
      </c>
      <c r="Q36" s="42">
        <v>11892.1</v>
      </c>
      <c r="R36" s="42">
        <v>12431.28</v>
      </c>
      <c r="S36" s="42">
        <v>12171.81</v>
      </c>
      <c r="T36" s="42">
        <v>12167.49</v>
      </c>
      <c r="U36" s="42">
        <v>12037.13</v>
      </c>
      <c r="V36" s="42">
        <v>9677.82</v>
      </c>
      <c r="W36" s="42">
        <v>9756.6200000000008</v>
      </c>
      <c r="X36" s="42">
        <v>10198.59</v>
      </c>
      <c r="Y36" s="42">
        <v>9483.57</v>
      </c>
      <c r="Z36" s="42">
        <v>8588.43</v>
      </c>
      <c r="AA36" s="42">
        <v>7371.21</v>
      </c>
      <c r="AB36" s="42">
        <v>6534.89</v>
      </c>
      <c r="AC36" s="60"/>
    </row>
    <row r="37" spans="2:29" x14ac:dyDescent="0.25">
      <c r="B37" s="44" t="s">
        <v>39</v>
      </c>
      <c r="C37" s="4" t="s">
        <v>31</v>
      </c>
      <c r="D37" s="5">
        <v>4</v>
      </c>
      <c r="E37" s="42">
        <v>5659.16</v>
      </c>
      <c r="F37" s="42">
        <v>5249.97</v>
      </c>
      <c r="G37" s="42">
        <v>4924.6099999999997</v>
      </c>
      <c r="H37" s="42">
        <v>4807.4399999999996</v>
      </c>
      <c r="I37" s="42">
        <v>4692.49</v>
      </c>
      <c r="J37" s="42">
        <v>4669.0200000000004</v>
      </c>
      <c r="K37" s="42">
        <v>5204.8</v>
      </c>
      <c r="L37" s="42">
        <v>9581.3799999999992</v>
      </c>
      <c r="M37" s="42">
        <v>9965.5300000000007</v>
      </c>
      <c r="N37" s="42">
        <v>10353.780000000001</v>
      </c>
      <c r="O37" s="42">
        <v>10459.540000000001</v>
      </c>
      <c r="P37" s="42">
        <v>10952.65</v>
      </c>
      <c r="Q37" s="42">
        <v>11304.22</v>
      </c>
      <c r="R37" s="42">
        <v>11088.31</v>
      </c>
      <c r="S37" s="42">
        <v>10865.06</v>
      </c>
      <c r="T37" s="42">
        <v>11088.6</v>
      </c>
      <c r="U37" s="42">
        <v>11455.99</v>
      </c>
      <c r="V37" s="42">
        <v>9030.77</v>
      </c>
      <c r="W37" s="42">
        <v>9759</v>
      </c>
      <c r="X37" s="42">
        <v>10245.02</v>
      </c>
      <c r="Y37" s="42">
        <v>9645.4</v>
      </c>
      <c r="Z37" s="42">
        <v>8318.33</v>
      </c>
      <c r="AA37" s="42">
        <v>7212.51</v>
      </c>
      <c r="AB37" s="42">
        <v>6233.69</v>
      </c>
      <c r="AC37" s="60"/>
    </row>
    <row r="38" spans="2:29" x14ac:dyDescent="0.25">
      <c r="B38" s="45" t="s">
        <v>39</v>
      </c>
      <c r="C38" s="4" t="s">
        <v>32</v>
      </c>
      <c r="D38" s="5">
        <v>2</v>
      </c>
      <c r="E38" s="42">
        <v>5679.12</v>
      </c>
      <c r="F38" s="42">
        <v>5107.88</v>
      </c>
      <c r="G38" s="42">
        <v>5110.16</v>
      </c>
      <c r="H38" s="42">
        <v>5053.57</v>
      </c>
      <c r="I38" s="42">
        <v>5218.32</v>
      </c>
      <c r="J38" s="42">
        <v>5316.85</v>
      </c>
      <c r="K38" s="42">
        <v>5829.11</v>
      </c>
      <c r="L38" s="42">
        <v>10042.77</v>
      </c>
      <c r="M38" s="42">
        <v>10294.48</v>
      </c>
      <c r="N38" s="42">
        <v>10192.94</v>
      </c>
      <c r="O38" s="42">
        <v>10616.91</v>
      </c>
      <c r="P38" s="42">
        <v>10389.469999999999</v>
      </c>
      <c r="Q38" s="42">
        <v>10563</v>
      </c>
      <c r="R38" s="42">
        <v>11536.93</v>
      </c>
      <c r="S38" s="42">
        <v>11721.7</v>
      </c>
      <c r="T38" s="42">
        <v>11398.94</v>
      </c>
      <c r="U38" s="42">
        <v>12054.39</v>
      </c>
      <c r="V38" s="42">
        <v>9692.39</v>
      </c>
      <c r="W38" s="42">
        <v>10145.459999999999</v>
      </c>
      <c r="X38" s="42">
        <v>10070.83</v>
      </c>
      <c r="Y38" s="42">
        <v>9349.4699999999993</v>
      </c>
      <c r="Z38" s="42">
        <v>8220.23</v>
      </c>
      <c r="AA38" s="42">
        <v>7066.74</v>
      </c>
      <c r="AB38" s="42">
        <v>5927.26</v>
      </c>
      <c r="AC38" s="61"/>
    </row>
    <row r="39" spans="2:29" x14ac:dyDescent="0.25">
      <c r="B39" s="43" t="s">
        <v>40</v>
      </c>
      <c r="C39" s="4" t="s">
        <v>29</v>
      </c>
      <c r="D39" s="5">
        <v>20</v>
      </c>
      <c r="E39" s="42">
        <v>5271.02</v>
      </c>
      <c r="F39" s="42">
        <v>4961.82</v>
      </c>
      <c r="G39" s="42">
        <v>4843.59</v>
      </c>
      <c r="H39" s="42">
        <v>4746.5600000000004</v>
      </c>
      <c r="I39" s="42">
        <v>5245.62</v>
      </c>
      <c r="J39" s="42">
        <v>6589.77</v>
      </c>
      <c r="K39" s="42">
        <v>8101.78</v>
      </c>
      <c r="L39" s="42">
        <v>11941.51</v>
      </c>
      <c r="M39" s="42">
        <v>11543.19</v>
      </c>
      <c r="N39" s="42">
        <v>11523.75</v>
      </c>
      <c r="O39" s="42">
        <v>11772.03</v>
      </c>
      <c r="P39" s="42">
        <v>12391.52</v>
      </c>
      <c r="Q39" s="42">
        <v>12195.59</v>
      </c>
      <c r="R39" s="42">
        <v>11992</v>
      </c>
      <c r="S39" s="42">
        <v>12403.06</v>
      </c>
      <c r="T39" s="42">
        <v>12620.31</v>
      </c>
      <c r="U39" s="42">
        <v>12647.96</v>
      </c>
      <c r="V39" s="42">
        <v>9743.91</v>
      </c>
      <c r="W39" s="42">
        <v>10374.950000000001</v>
      </c>
      <c r="X39" s="42">
        <v>10653.64</v>
      </c>
      <c r="Y39" s="42">
        <v>10052.02</v>
      </c>
      <c r="Z39" s="42">
        <v>9124.41</v>
      </c>
      <c r="AA39" s="42">
        <v>7486.37</v>
      </c>
      <c r="AB39" s="42">
        <v>6177.96</v>
      </c>
      <c r="AC39" s="59">
        <f>+SUM(E39:AB39)*D39+SUM(E40:AB40)*D40+SUM(E41:AB41)*D41+SUM(E42:AB42)*D42</f>
        <v>6554398.75</v>
      </c>
    </row>
    <row r="40" spans="2:29" x14ac:dyDescent="0.25">
      <c r="B40" s="44" t="s">
        <v>40</v>
      </c>
      <c r="C40" s="4" t="s">
        <v>30</v>
      </c>
      <c r="D40" s="5">
        <v>5</v>
      </c>
      <c r="E40" s="42">
        <v>5165.12</v>
      </c>
      <c r="F40" s="42">
        <v>4852.2700000000004</v>
      </c>
      <c r="G40" s="42">
        <v>4728.88</v>
      </c>
      <c r="H40" s="42">
        <v>4660.1899999999996</v>
      </c>
      <c r="I40" s="42">
        <v>4728.99</v>
      </c>
      <c r="J40" s="42">
        <v>5282.13</v>
      </c>
      <c r="K40" s="42">
        <v>6098.55</v>
      </c>
      <c r="L40" s="42">
        <v>11158.34</v>
      </c>
      <c r="M40" s="42">
        <v>11372.5</v>
      </c>
      <c r="N40" s="42">
        <v>11486.25</v>
      </c>
      <c r="O40" s="42">
        <v>11890.74</v>
      </c>
      <c r="P40" s="42">
        <v>12032.08</v>
      </c>
      <c r="Q40" s="42">
        <v>12067.3</v>
      </c>
      <c r="R40" s="42">
        <v>12164.72</v>
      </c>
      <c r="S40" s="42">
        <v>11966.68</v>
      </c>
      <c r="T40" s="42">
        <v>11972.57</v>
      </c>
      <c r="U40" s="42">
        <v>12394.19</v>
      </c>
      <c r="V40" s="42">
        <v>9326.3700000000008</v>
      </c>
      <c r="W40" s="42">
        <v>9916.9</v>
      </c>
      <c r="X40" s="42">
        <v>10149.35</v>
      </c>
      <c r="Y40" s="42">
        <v>9455.8700000000008</v>
      </c>
      <c r="Z40" s="42">
        <v>8470.5499999999993</v>
      </c>
      <c r="AA40" s="42">
        <v>7627</v>
      </c>
      <c r="AB40" s="42">
        <v>6386.57</v>
      </c>
      <c r="AC40" s="60"/>
    </row>
    <row r="41" spans="2:29" x14ac:dyDescent="0.25">
      <c r="B41" s="44" t="s">
        <v>40</v>
      </c>
      <c r="C41" s="4" t="s">
        <v>31</v>
      </c>
      <c r="D41" s="5">
        <v>5</v>
      </c>
      <c r="E41" s="42">
        <v>5580.06</v>
      </c>
      <c r="F41" s="42">
        <v>5134.67</v>
      </c>
      <c r="G41" s="42">
        <v>4746.51</v>
      </c>
      <c r="H41" s="42">
        <v>4710.21</v>
      </c>
      <c r="I41" s="42">
        <v>4530.1000000000004</v>
      </c>
      <c r="J41" s="42">
        <v>4425.83</v>
      </c>
      <c r="K41" s="42">
        <v>5097.7700000000004</v>
      </c>
      <c r="L41" s="42">
        <v>9401.93</v>
      </c>
      <c r="M41" s="42">
        <v>9460.11</v>
      </c>
      <c r="N41" s="42">
        <v>9736.25</v>
      </c>
      <c r="O41" s="42">
        <v>10212.700000000001</v>
      </c>
      <c r="P41" s="42">
        <v>10833.07</v>
      </c>
      <c r="Q41" s="42">
        <v>11380.27</v>
      </c>
      <c r="R41" s="42">
        <v>11561.43</v>
      </c>
      <c r="S41" s="42">
        <v>11206.7</v>
      </c>
      <c r="T41" s="42">
        <v>11032.59</v>
      </c>
      <c r="U41" s="42">
        <v>11219.29</v>
      </c>
      <c r="V41" s="42">
        <v>8893.44</v>
      </c>
      <c r="W41" s="42">
        <v>9166.93</v>
      </c>
      <c r="X41" s="42">
        <v>9804.2000000000007</v>
      </c>
      <c r="Y41" s="42">
        <v>8902.32</v>
      </c>
      <c r="Z41" s="42">
        <v>8296.9599999999991</v>
      </c>
      <c r="AA41" s="42">
        <v>6815.58</v>
      </c>
      <c r="AB41" s="42">
        <v>5759.36</v>
      </c>
      <c r="AC41" s="60"/>
    </row>
    <row r="42" spans="2:29" x14ac:dyDescent="0.25">
      <c r="B42" s="45" t="s">
        <v>40</v>
      </c>
      <c r="C42" s="4" t="s">
        <v>32</v>
      </c>
      <c r="D42" s="5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61"/>
    </row>
    <row r="43" spans="2:29" x14ac:dyDescent="0.25">
      <c r="B43" s="43" t="s">
        <v>41</v>
      </c>
      <c r="C43" s="4" t="s">
        <v>29</v>
      </c>
      <c r="D43" s="5">
        <v>22</v>
      </c>
      <c r="E43" s="42">
        <v>5767.21</v>
      </c>
      <c r="F43" s="42">
        <v>5401.87</v>
      </c>
      <c r="G43" s="42">
        <v>5220.8900000000003</v>
      </c>
      <c r="H43" s="42">
        <v>5175.2</v>
      </c>
      <c r="I43" s="42">
        <v>5580.01</v>
      </c>
      <c r="J43" s="42">
        <v>6786.32</v>
      </c>
      <c r="K43" s="42">
        <v>7341.65</v>
      </c>
      <c r="L43" s="42">
        <v>11121.48</v>
      </c>
      <c r="M43" s="42">
        <v>10872.57</v>
      </c>
      <c r="N43" s="42">
        <v>10847.44</v>
      </c>
      <c r="O43" s="42">
        <v>11104.48</v>
      </c>
      <c r="P43" s="42">
        <v>11667.13</v>
      </c>
      <c r="Q43" s="42">
        <v>11445.55</v>
      </c>
      <c r="R43" s="42">
        <v>11516.42</v>
      </c>
      <c r="S43" s="42">
        <v>12030.07</v>
      </c>
      <c r="T43" s="42">
        <v>12406.02</v>
      </c>
      <c r="U43" s="42">
        <v>12587.23</v>
      </c>
      <c r="V43" s="42">
        <v>9772.57</v>
      </c>
      <c r="W43" s="42">
        <v>10808.67</v>
      </c>
      <c r="X43" s="42">
        <v>10805.35</v>
      </c>
      <c r="Y43" s="42">
        <v>10259.61</v>
      </c>
      <c r="Z43" s="42">
        <v>9584.85</v>
      </c>
      <c r="AA43" s="42">
        <v>7956.26</v>
      </c>
      <c r="AB43" s="42">
        <v>6740.96</v>
      </c>
      <c r="AC43" s="59">
        <f>+SUM(E43:AB43)*D43+SUM(E44:AB44)*D44+SUM(E45:AB45)*D45+SUM(E46:AB46)*D46</f>
        <v>6793962.7200000016</v>
      </c>
    </row>
    <row r="44" spans="2:29" x14ac:dyDescent="0.25">
      <c r="B44" s="44" t="s">
        <v>41</v>
      </c>
      <c r="C44" s="4" t="s">
        <v>30</v>
      </c>
      <c r="D44" s="5">
        <v>4</v>
      </c>
      <c r="E44" s="42">
        <v>6015.05</v>
      </c>
      <c r="F44" s="42">
        <v>5577.7</v>
      </c>
      <c r="G44" s="42">
        <v>5401.1</v>
      </c>
      <c r="H44" s="42">
        <v>5274.14</v>
      </c>
      <c r="I44" s="42">
        <v>5238.58</v>
      </c>
      <c r="J44" s="42">
        <v>5355.3</v>
      </c>
      <c r="K44" s="42">
        <v>5566.16</v>
      </c>
      <c r="L44" s="42">
        <v>10402.82</v>
      </c>
      <c r="M44" s="42">
        <v>10609.6</v>
      </c>
      <c r="N44" s="42">
        <v>10866.1</v>
      </c>
      <c r="O44" s="42">
        <v>10863.97</v>
      </c>
      <c r="P44" s="42">
        <v>11226.27</v>
      </c>
      <c r="Q44" s="42">
        <v>11562.3</v>
      </c>
      <c r="R44" s="42">
        <v>11507.55</v>
      </c>
      <c r="S44" s="42">
        <v>11984.15</v>
      </c>
      <c r="T44" s="42">
        <v>12165.46</v>
      </c>
      <c r="U44" s="42">
        <v>12461.47</v>
      </c>
      <c r="V44" s="42">
        <v>9322.1299999999992</v>
      </c>
      <c r="W44" s="42">
        <v>10830.45</v>
      </c>
      <c r="X44" s="42">
        <v>10867.83</v>
      </c>
      <c r="Y44" s="42">
        <v>10398.69</v>
      </c>
      <c r="Z44" s="42">
        <v>9633.2800000000007</v>
      </c>
      <c r="AA44" s="42">
        <v>8600.42</v>
      </c>
      <c r="AB44" s="42">
        <v>7512.66</v>
      </c>
      <c r="AC44" s="60"/>
    </row>
    <row r="45" spans="2:29" x14ac:dyDescent="0.25">
      <c r="B45" s="44" t="s">
        <v>41</v>
      </c>
      <c r="C45" s="4" t="s">
        <v>31</v>
      </c>
      <c r="D45" s="5">
        <v>4</v>
      </c>
      <c r="E45" s="42">
        <v>6198.26</v>
      </c>
      <c r="F45" s="42">
        <v>5625.03</v>
      </c>
      <c r="G45" s="42">
        <v>5291.59</v>
      </c>
      <c r="H45" s="42">
        <v>5189.7700000000004</v>
      </c>
      <c r="I45" s="42">
        <v>5326.24</v>
      </c>
      <c r="J45" s="42">
        <v>4974.01</v>
      </c>
      <c r="K45" s="42">
        <v>4531.25</v>
      </c>
      <c r="L45" s="42">
        <v>8408.5</v>
      </c>
      <c r="M45" s="42">
        <v>9038.59</v>
      </c>
      <c r="N45" s="42">
        <v>9421</v>
      </c>
      <c r="O45" s="42">
        <v>10196.51</v>
      </c>
      <c r="P45" s="42">
        <v>10728.02</v>
      </c>
      <c r="Q45" s="42">
        <v>11032.33</v>
      </c>
      <c r="R45" s="42">
        <v>11098.71</v>
      </c>
      <c r="S45" s="42">
        <v>10808.61</v>
      </c>
      <c r="T45" s="42">
        <v>11227.3</v>
      </c>
      <c r="U45" s="42">
        <v>11377.49</v>
      </c>
      <c r="V45" s="42">
        <v>9001.94</v>
      </c>
      <c r="W45" s="42">
        <v>10336.780000000001</v>
      </c>
      <c r="X45" s="42">
        <v>10411.27</v>
      </c>
      <c r="Y45" s="42">
        <v>9875.65</v>
      </c>
      <c r="Z45" s="42">
        <v>8910.08</v>
      </c>
      <c r="AA45" s="42">
        <v>7678.48</v>
      </c>
      <c r="AB45" s="42">
        <v>6704.41</v>
      </c>
      <c r="AC45" s="60"/>
    </row>
    <row r="46" spans="2:29" x14ac:dyDescent="0.25">
      <c r="B46" s="45" t="s">
        <v>41</v>
      </c>
      <c r="C46" s="4" t="s">
        <v>32</v>
      </c>
      <c r="D46" s="5">
        <v>1</v>
      </c>
      <c r="E46" s="42">
        <v>5241.3500000000004</v>
      </c>
      <c r="F46" s="42">
        <v>5029.88</v>
      </c>
      <c r="G46" s="42">
        <v>4816.3</v>
      </c>
      <c r="H46" s="42">
        <v>4887.8999999999996</v>
      </c>
      <c r="I46" s="42">
        <v>5078.41</v>
      </c>
      <c r="J46" s="42">
        <v>4885.38</v>
      </c>
      <c r="K46" s="42">
        <v>4433.57</v>
      </c>
      <c r="L46" s="42">
        <v>8621.4500000000007</v>
      </c>
      <c r="M46" s="42">
        <v>8920.0300000000007</v>
      </c>
      <c r="N46" s="42">
        <v>9749.36</v>
      </c>
      <c r="O46" s="42">
        <v>10092.959999999999</v>
      </c>
      <c r="P46" s="42">
        <v>10288.64</v>
      </c>
      <c r="Q46" s="42">
        <v>10963.88</v>
      </c>
      <c r="R46" s="42">
        <v>11022.58</v>
      </c>
      <c r="S46" s="42">
        <v>11386.81</v>
      </c>
      <c r="T46" s="42">
        <v>11084.85</v>
      </c>
      <c r="U46" s="42">
        <v>11491.83</v>
      </c>
      <c r="V46" s="42">
        <v>9219.81</v>
      </c>
      <c r="W46" s="42">
        <v>10896.79</v>
      </c>
      <c r="X46" s="42">
        <v>10228.57</v>
      </c>
      <c r="Y46" s="42">
        <v>10108.98</v>
      </c>
      <c r="Z46" s="42">
        <v>9262.44</v>
      </c>
      <c r="AA46" s="42">
        <v>7712.45</v>
      </c>
      <c r="AB46" s="42">
        <v>6402.68</v>
      </c>
      <c r="AC46" s="61"/>
    </row>
    <row r="47" spans="2:29" x14ac:dyDescent="0.25">
      <c r="B47" s="43" t="s">
        <v>42</v>
      </c>
      <c r="C47" s="4" t="s">
        <v>29</v>
      </c>
      <c r="D47" s="5">
        <v>20</v>
      </c>
      <c r="E47" s="42">
        <v>5402.39</v>
      </c>
      <c r="F47" s="42">
        <v>5095.96</v>
      </c>
      <c r="G47" s="42">
        <v>5232.5600000000004</v>
      </c>
      <c r="H47" s="42">
        <v>5159.1000000000004</v>
      </c>
      <c r="I47" s="42">
        <v>5706.58</v>
      </c>
      <c r="J47" s="42">
        <v>7091.97</v>
      </c>
      <c r="K47" s="42">
        <v>8044.69</v>
      </c>
      <c r="L47" s="42">
        <v>11735.61</v>
      </c>
      <c r="M47" s="42">
        <v>11402.94</v>
      </c>
      <c r="N47" s="42">
        <v>11143.78</v>
      </c>
      <c r="O47" s="42">
        <v>11709.28</v>
      </c>
      <c r="P47" s="42">
        <v>12106.57</v>
      </c>
      <c r="Q47" s="42">
        <v>11728.49</v>
      </c>
      <c r="R47" s="42">
        <v>11778.77</v>
      </c>
      <c r="S47" s="42">
        <v>12350.63</v>
      </c>
      <c r="T47" s="42">
        <v>12818.37</v>
      </c>
      <c r="U47" s="42">
        <v>12868.75</v>
      </c>
      <c r="V47" s="42">
        <v>10072.02</v>
      </c>
      <c r="W47" s="42">
        <v>11054.2</v>
      </c>
      <c r="X47" s="42">
        <v>10682.25</v>
      </c>
      <c r="Y47" s="42">
        <v>10209.75</v>
      </c>
      <c r="Z47" s="42">
        <v>9274.7000000000007</v>
      </c>
      <c r="AA47" s="42">
        <v>7659.27</v>
      </c>
      <c r="AB47" s="42">
        <v>6593.05</v>
      </c>
      <c r="AC47" s="59">
        <f>+SUM(E47:AB47)*D47+SUM(E48:AB48)*D48+SUM(E49:AB49)*D49+SUM(E50:AB50)*D50</f>
        <v>6655732.9400000013</v>
      </c>
    </row>
    <row r="48" spans="2:29" x14ac:dyDescent="0.25">
      <c r="B48" s="44" t="s">
        <v>42</v>
      </c>
      <c r="C48" s="4" t="s">
        <v>30</v>
      </c>
      <c r="D48" s="5">
        <v>4</v>
      </c>
      <c r="E48" s="42">
        <v>5995.8</v>
      </c>
      <c r="F48" s="42">
        <v>5662.79</v>
      </c>
      <c r="G48" s="42">
        <v>5310.1</v>
      </c>
      <c r="H48" s="42">
        <v>5347.72</v>
      </c>
      <c r="I48" s="42">
        <v>5426.47</v>
      </c>
      <c r="J48" s="42">
        <v>5555.99</v>
      </c>
      <c r="K48" s="42">
        <v>6366.52</v>
      </c>
      <c r="L48" s="42">
        <v>11032.58</v>
      </c>
      <c r="M48" s="42">
        <v>11286.68</v>
      </c>
      <c r="N48" s="42">
        <v>11263.06</v>
      </c>
      <c r="O48" s="42">
        <v>11473.23</v>
      </c>
      <c r="P48" s="42">
        <v>11805.33</v>
      </c>
      <c r="Q48" s="42">
        <v>11604.28</v>
      </c>
      <c r="R48" s="42">
        <v>11647.3</v>
      </c>
      <c r="S48" s="42">
        <v>11797.8</v>
      </c>
      <c r="T48" s="42">
        <v>11974.18</v>
      </c>
      <c r="U48" s="42">
        <v>12326.15</v>
      </c>
      <c r="V48" s="42">
        <v>9813.2199999999993</v>
      </c>
      <c r="W48" s="42">
        <v>10745.61</v>
      </c>
      <c r="X48" s="42">
        <v>10778.81</v>
      </c>
      <c r="Y48" s="42">
        <v>10140.299999999999</v>
      </c>
      <c r="Z48" s="42">
        <v>9132.26</v>
      </c>
      <c r="AA48" s="42">
        <v>8225.51</v>
      </c>
      <c r="AB48" s="42">
        <v>7157.16</v>
      </c>
      <c r="AC48" s="60"/>
    </row>
    <row r="49" spans="2:29" x14ac:dyDescent="0.25">
      <c r="B49" s="44" t="s">
        <v>42</v>
      </c>
      <c r="C49" s="4" t="s">
        <v>31</v>
      </c>
      <c r="D49" s="5">
        <v>4</v>
      </c>
      <c r="E49" s="42">
        <v>6310.38</v>
      </c>
      <c r="F49" s="42">
        <v>5953.78</v>
      </c>
      <c r="G49" s="42">
        <v>5554.86</v>
      </c>
      <c r="H49" s="42">
        <v>5546.38</v>
      </c>
      <c r="I49" s="42">
        <v>5330.99</v>
      </c>
      <c r="J49" s="42">
        <v>5326.71</v>
      </c>
      <c r="K49" s="42">
        <v>4945.18</v>
      </c>
      <c r="L49" s="42">
        <v>9020.59</v>
      </c>
      <c r="M49" s="42">
        <v>9844.51</v>
      </c>
      <c r="N49" s="42">
        <v>10070.129999999999</v>
      </c>
      <c r="O49" s="42">
        <v>10212.34</v>
      </c>
      <c r="P49" s="42">
        <v>10694.17</v>
      </c>
      <c r="Q49" s="42">
        <v>11012.12</v>
      </c>
      <c r="R49" s="42">
        <v>10919.76</v>
      </c>
      <c r="S49" s="42">
        <v>11103.08</v>
      </c>
      <c r="T49" s="42">
        <v>11168.5</v>
      </c>
      <c r="U49" s="42">
        <v>12049.39</v>
      </c>
      <c r="V49" s="42">
        <v>9116.18</v>
      </c>
      <c r="W49" s="42">
        <v>10206.81</v>
      </c>
      <c r="X49" s="42">
        <v>10245.120000000001</v>
      </c>
      <c r="Y49" s="42">
        <v>9584.9500000000007</v>
      </c>
      <c r="Z49" s="42">
        <v>8776.15</v>
      </c>
      <c r="AA49" s="42">
        <v>7203.39</v>
      </c>
      <c r="AB49" s="42">
        <v>6392.24</v>
      </c>
      <c r="AC49" s="60"/>
    </row>
    <row r="50" spans="2:29" x14ac:dyDescent="0.25">
      <c r="B50" s="45" t="s">
        <v>42</v>
      </c>
      <c r="C50" s="4" t="s">
        <v>32</v>
      </c>
      <c r="D50" s="5">
        <v>2</v>
      </c>
      <c r="E50" s="42">
        <v>5814.45</v>
      </c>
      <c r="F50" s="42">
        <v>5507.34</v>
      </c>
      <c r="G50" s="42">
        <v>5392.73</v>
      </c>
      <c r="H50" s="42">
        <v>5069.9399999999996</v>
      </c>
      <c r="I50" s="42">
        <v>5095.71</v>
      </c>
      <c r="J50" s="42">
        <v>5197.8599999999997</v>
      </c>
      <c r="K50" s="42">
        <v>4913.82</v>
      </c>
      <c r="L50" s="42">
        <v>8778.08</v>
      </c>
      <c r="M50" s="42">
        <v>9254.82</v>
      </c>
      <c r="N50" s="42">
        <v>9386.1</v>
      </c>
      <c r="O50" s="42">
        <v>9987.0300000000007</v>
      </c>
      <c r="P50" s="42">
        <v>10484.83</v>
      </c>
      <c r="Q50" s="42">
        <v>10564.31</v>
      </c>
      <c r="R50" s="42">
        <v>10731.28</v>
      </c>
      <c r="S50" s="42">
        <v>10994.31</v>
      </c>
      <c r="T50" s="42">
        <v>11298.13</v>
      </c>
      <c r="U50" s="42">
        <v>12166.09</v>
      </c>
      <c r="V50" s="42">
        <v>9602.17</v>
      </c>
      <c r="W50" s="42">
        <v>10442.969999999999</v>
      </c>
      <c r="X50" s="42">
        <v>10317.17</v>
      </c>
      <c r="Y50" s="42">
        <v>9539.02</v>
      </c>
      <c r="Z50" s="42">
        <v>8353.5300000000007</v>
      </c>
      <c r="AA50" s="42">
        <v>6697.48</v>
      </c>
      <c r="AB50" s="42">
        <v>6147.38</v>
      </c>
      <c r="AC50" s="61"/>
    </row>
    <row r="51" spans="2:29" x14ac:dyDescent="0.25">
      <c r="B51" s="43" t="s">
        <v>43</v>
      </c>
      <c r="C51" s="4" t="s">
        <v>29</v>
      </c>
      <c r="D51" s="5">
        <v>20</v>
      </c>
      <c r="E51" s="42">
        <v>6066.22</v>
      </c>
      <c r="F51" s="42">
        <v>5634.53</v>
      </c>
      <c r="G51" s="42">
        <v>5450.13</v>
      </c>
      <c r="H51" s="42">
        <v>5361.14</v>
      </c>
      <c r="I51" s="42">
        <v>5646.57</v>
      </c>
      <c r="J51" s="42">
        <v>6398.99</v>
      </c>
      <c r="K51" s="42">
        <v>6793.77</v>
      </c>
      <c r="L51" s="42">
        <v>11294.8</v>
      </c>
      <c r="M51" s="42">
        <v>11525.92</v>
      </c>
      <c r="N51" s="42">
        <v>11434.05</v>
      </c>
      <c r="O51" s="42">
        <v>11603.7</v>
      </c>
      <c r="P51" s="42">
        <v>12358.54</v>
      </c>
      <c r="Q51" s="42">
        <v>12013.82</v>
      </c>
      <c r="R51" s="42">
        <v>11526.22</v>
      </c>
      <c r="S51" s="42">
        <v>12411.88</v>
      </c>
      <c r="T51" s="42">
        <v>12769.24</v>
      </c>
      <c r="U51" s="42">
        <v>12953.74</v>
      </c>
      <c r="V51" s="42">
        <v>9856.7900000000009</v>
      </c>
      <c r="W51" s="42">
        <v>11372.52</v>
      </c>
      <c r="X51" s="42">
        <v>11103.72</v>
      </c>
      <c r="Y51" s="42">
        <v>10391.51</v>
      </c>
      <c r="Z51" s="42">
        <v>9472.0400000000009</v>
      </c>
      <c r="AA51" s="42">
        <v>8083.61</v>
      </c>
      <c r="AB51" s="42">
        <v>7202.48</v>
      </c>
      <c r="AC51" s="59">
        <f>+SUM(E51:AB51)*D51+SUM(E52:AB52)*D52+SUM(E53:AB53)*D53+SUM(E54:AB54)*D54</f>
        <v>6940218.0999999996</v>
      </c>
    </row>
    <row r="52" spans="2:29" x14ac:dyDescent="0.25">
      <c r="B52" s="44" t="s">
        <v>43</v>
      </c>
      <c r="C52" s="4" t="s">
        <v>30</v>
      </c>
      <c r="D52" s="5">
        <v>4</v>
      </c>
      <c r="E52" s="42">
        <v>6188.16</v>
      </c>
      <c r="F52" s="42">
        <v>5899.42</v>
      </c>
      <c r="G52" s="42">
        <v>5690.19</v>
      </c>
      <c r="H52" s="42">
        <v>5412.08</v>
      </c>
      <c r="I52" s="42">
        <v>5711.13</v>
      </c>
      <c r="J52" s="42">
        <v>5912.42</v>
      </c>
      <c r="K52" s="42">
        <v>6201.47</v>
      </c>
      <c r="L52" s="42">
        <v>11104.39</v>
      </c>
      <c r="M52" s="42">
        <v>11581.4</v>
      </c>
      <c r="N52" s="42">
        <v>11692.29</v>
      </c>
      <c r="O52" s="42">
        <v>11804.98</v>
      </c>
      <c r="P52" s="42">
        <v>12099.56</v>
      </c>
      <c r="Q52" s="42">
        <v>12155.15</v>
      </c>
      <c r="R52" s="42">
        <v>12055.23</v>
      </c>
      <c r="S52" s="42">
        <v>12255.35</v>
      </c>
      <c r="T52" s="42">
        <v>12136.64</v>
      </c>
      <c r="U52" s="42">
        <v>12490.57</v>
      </c>
      <c r="V52" s="42">
        <v>9125.31</v>
      </c>
      <c r="W52" s="42">
        <v>11026.49</v>
      </c>
      <c r="X52" s="42">
        <v>11180.5</v>
      </c>
      <c r="Y52" s="42">
        <v>10638.37</v>
      </c>
      <c r="Z52" s="42">
        <v>9804.89</v>
      </c>
      <c r="AA52" s="42">
        <v>8656.9699999999993</v>
      </c>
      <c r="AB52" s="42">
        <v>7806.66</v>
      </c>
      <c r="AC52" s="60"/>
    </row>
    <row r="53" spans="2:29" x14ac:dyDescent="0.25">
      <c r="B53" s="44" t="s">
        <v>43</v>
      </c>
      <c r="C53" s="4" t="s">
        <v>31</v>
      </c>
      <c r="D53" s="5">
        <v>5</v>
      </c>
      <c r="E53" s="42">
        <v>6780.48</v>
      </c>
      <c r="F53" s="42">
        <v>6265.53</v>
      </c>
      <c r="G53" s="42">
        <v>5838.32</v>
      </c>
      <c r="H53" s="42">
        <v>5746.41</v>
      </c>
      <c r="I53" s="42">
        <v>5491.6</v>
      </c>
      <c r="J53" s="42">
        <v>5483.95</v>
      </c>
      <c r="K53" s="42">
        <v>4998.3100000000004</v>
      </c>
      <c r="L53" s="42">
        <v>9713.32</v>
      </c>
      <c r="M53" s="42">
        <v>10532.32</v>
      </c>
      <c r="N53" s="42">
        <v>10494.71</v>
      </c>
      <c r="O53" s="42">
        <v>10910.26</v>
      </c>
      <c r="P53" s="42">
        <v>11542.69</v>
      </c>
      <c r="Q53" s="42">
        <v>12118.43</v>
      </c>
      <c r="R53" s="42">
        <v>11653.22</v>
      </c>
      <c r="S53" s="42">
        <v>10919.38</v>
      </c>
      <c r="T53" s="42">
        <v>11551.43</v>
      </c>
      <c r="U53" s="42">
        <v>11808.11</v>
      </c>
      <c r="V53" s="42">
        <v>8987.35</v>
      </c>
      <c r="W53" s="42">
        <v>9946.48</v>
      </c>
      <c r="X53" s="42">
        <v>10049.92</v>
      </c>
      <c r="Y53" s="42">
        <v>9915.48</v>
      </c>
      <c r="Z53" s="42">
        <v>9576.75</v>
      </c>
      <c r="AA53" s="42">
        <v>8005.71</v>
      </c>
      <c r="AB53" s="42">
        <v>7032.5</v>
      </c>
      <c r="AC53" s="60"/>
    </row>
    <row r="54" spans="2:29" x14ac:dyDescent="0.25">
      <c r="B54" s="45" t="s">
        <v>43</v>
      </c>
      <c r="C54" s="4" t="s">
        <v>32</v>
      </c>
      <c r="D54" s="5">
        <v>2</v>
      </c>
      <c r="E54" s="42">
        <v>6397.03</v>
      </c>
      <c r="F54" s="42">
        <v>6033.91</v>
      </c>
      <c r="G54" s="42">
        <v>5629.97</v>
      </c>
      <c r="H54" s="42">
        <v>5453.15</v>
      </c>
      <c r="I54" s="42">
        <v>5085.97</v>
      </c>
      <c r="J54" s="42">
        <v>4785.09</v>
      </c>
      <c r="K54" s="42">
        <v>4349.88</v>
      </c>
      <c r="L54" s="42">
        <v>7663.08</v>
      </c>
      <c r="M54" s="42">
        <v>7788.27</v>
      </c>
      <c r="N54" s="42">
        <v>7938.39</v>
      </c>
      <c r="O54" s="42">
        <v>8789.31</v>
      </c>
      <c r="P54" s="42">
        <v>9374.83</v>
      </c>
      <c r="Q54" s="42">
        <v>9932.36</v>
      </c>
      <c r="R54" s="42">
        <v>10202.99</v>
      </c>
      <c r="S54" s="42">
        <v>9961.73</v>
      </c>
      <c r="T54" s="42">
        <v>10410.629999999999</v>
      </c>
      <c r="U54" s="42">
        <v>10697.02</v>
      </c>
      <c r="V54" s="42">
        <v>8277.43</v>
      </c>
      <c r="W54" s="42">
        <v>9111.1299999999992</v>
      </c>
      <c r="X54" s="42">
        <v>9472.27</v>
      </c>
      <c r="Y54" s="42">
        <v>8920.33</v>
      </c>
      <c r="Z54" s="42">
        <v>8295.39</v>
      </c>
      <c r="AA54" s="42">
        <v>6854.65</v>
      </c>
      <c r="AB54" s="42">
        <v>5759.05</v>
      </c>
      <c r="AC54" s="61"/>
    </row>
    <row r="55" spans="2:29" ht="13" x14ac:dyDescent="0.3">
      <c r="Z55" s="62" t="s">
        <v>46</v>
      </c>
      <c r="AA55" s="63"/>
      <c r="AB55" s="64"/>
      <c r="AC55" s="14">
        <f>SUM(AC7:AC54)</f>
        <v>80142323.179999992</v>
      </c>
    </row>
    <row r="62" spans="2:29" x14ac:dyDescent="0.25">
      <c r="E62" s="1">
        <v>1000</v>
      </c>
    </row>
  </sheetData>
  <mergeCells count="16">
    <mergeCell ref="Z55:AB55"/>
    <mergeCell ref="AC15:AC18"/>
    <mergeCell ref="AC19:AC22"/>
    <mergeCell ref="AC23:AC26"/>
    <mergeCell ref="AC27:AC30"/>
    <mergeCell ref="AC31:AC34"/>
    <mergeCell ref="AC35:AC38"/>
    <mergeCell ref="AC39:AC42"/>
    <mergeCell ref="AC43:AC46"/>
    <mergeCell ref="AC47:AC50"/>
    <mergeCell ref="AC51:AC54"/>
    <mergeCell ref="B2:AC2"/>
    <mergeCell ref="B3:AC3"/>
    <mergeCell ref="B4:AC4"/>
    <mergeCell ref="AC7:AC10"/>
    <mergeCell ref="AC11:A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8F13-9E1B-473E-ACBE-FA4A8E59A5B0}">
  <dimension ref="B2:AK61"/>
  <sheetViews>
    <sheetView showGridLines="0" zoomScale="50" zoomScaleNormal="50" workbookViewId="0">
      <selection activeCell="E7" sqref="E7"/>
    </sheetView>
  </sheetViews>
  <sheetFormatPr baseColWidth="10" defaultColWidth="11.453125" defaultRowHeight="11.5" x14ac:dyDescent="0.25"/>
  <cols>
    <col min="1" max="1" width="4.1796875" style="6" customWidth="1"/>
    <col min="2" max="2" width="5.54296875" style="6" bestFit="1" customWidth="1"/>
    <col min="3" max="3" width="9.7265625" style="6" bestFit="1" customWidth="1"/>
    <col min="4" max="4" width="5.7265625" style="6" bestFit="1" customWidth="1"/>
    <col min="5" max="11" width="8.26953125" style="6" bestFit="1" customWidth="1"/>
    <col min="12" max="26" width="9" style="6" bestFit="1" customWidth="1"/>
    <col min="27" max="28" width="8.26953125" style="6" bestFit="1" customWidth="1"/>
    <col min="29" max="29" width="16.7265625" style="52" bestFit="1" customWidth="1"/>
    <col min="30" max="30" width="5.81640625" style="6" customWidth="1"/>
    <col min="31" max="31" width="15.1796875" style="6" bestFit="1" customWidth="1"/>
    <col min="32" max="155" width="11.453125" style="6"/>
    <col min="156" max="156" width="7" style="6" customWidth="1"/>
    <col min="157" max="157" width="10.7265625" style="6" customWidth="1"/>
    <col min="158" max="158" width="9.26953125" style="6" customWidth="1"/>
    <col min="159" max="182" width="7.26953125" style="6" customWidth="1"/>
    <col min="183" max="183" width="11.26953125" style="6" bestFit="1" customWidth="1"/>
    <col min="184" max="411" width="11.453125" style="6"/>
    <col min="412" max="412" width="7" style="6" customWidth="1"/>
    <col min="413" max="413" width="10.7265625" style="6" customWidth="1"/>
    <col min="414" max="414" width="9.26953125" style="6" customWidth="1"/>
    <col min="415" max="438" width="7.26953125" style="6" customWidth="1"/>
    <col min="439" max="439" width="11.26953125" style="6" bestFit="1" customWidth="1"/>
    <col min="440" max="667" width="11.453125" style="6"/>
    <col min="668" max="668" width="7" style="6" customWidth="1"/>
    <col min="669" max="669" width="10.7265625" style="6" customWidth="1"/>
    <col min="670" max="670" width="9.26953125" style="6" customWidth="1"/>
    <col min="671" max="694" width="7.26953125" style="6" customWidth="1"/>
    <col min="695" max="695" width="11.26953125" style="6" bestFit="1" customWidth="1"/>
    <col min="696" max="923" width="11.453125" style="6"/>
    <col min="924" max="924" width="7" style="6" customWidth="1"/>
    <col min="925" max="925" width="10.7265625" style="6" customWidth="1"/>
    <col min="926" max="926" width="9.26953125" style="6" customWidth="1"/>
    <col min="927" max="950" width="7.26953125" style="6" customWidth="1"/>
    <col min="951" max="951" width="11.26953125" style="6" bestFit="1" customWidth="1"/>
    <col min="952" max="1179" width="11.453125" style="6"/>
    <col min="1180" max="1180" width="7" style="6" customWidth="1"/>
    <col min="1181" max="1181" width="10.7265625" style="6" customWidth="1"/>
    <col min="1182" max="1182" width="9.26953125" style="6" customWidth="1"/>
    <col min="1183" max="1206" width="7.26953125" style="6" customWidth="1"/>
    <col min="1207" max="1207" width="11.26953125" style="6" bestFit="1" customWidth="1"/>
    <col min="1208" max="1435" width="11.453125" style="6"/>
    <col min="1436" max="1436" width="7" style="6" customWidth="1"/>
    <col min="1437" max="1437" width="10.7265625" style="6" customWidth="1"/>
    <col min="1438" max="1438" width="9.26953125" style="6" customWidth="1"/>
    <col min="1439" max="1462" width="7.26953125" style="6" customWidth="1"/>
    <col min="1463" max="1463" width="11.26953125" style="6" bestFit="1" customWidth="1"/>
    <col min="1464" max="1691" width="11.453125" style="6"/>
    <col min="1692" max="1692" width="7" style="6" customWidth="1"/>
    <col min="1693" max="1693" width="10.7265625" style="6" customWidth="1"/>
    <col min="1694" max="1694" width="9.26953125" style="6" customWidth="1"/>
    <col min="1695" max="1718" width="7.26953125" style="6" customWidth="1"/>
    <col min="1719" max="1719" width="11.26953125" style="6" bestFit="1" customWidth="1"/>
    <col min="1720" max="1947" width="11.453125" style="6"/>
    <col min="1948" max="1948" width="7" style="6" customWidth="1"/>
    <col min="1949" max="1949" width="10.7265625" style="6" customWidth="1"/>
    <col min="1950" max="1950" width="9.26953125" style="6" customWidth="1"/>
    <col min="1951" max="1974" width="7.26953125" style="6" customWidth="1"/>
    <col min="1975" max="1975" width="11.26953125" style="6" bestFit="1" customWidth="1"/>
    <col min="1976" max="2203" width="11.453125" style="6"/>
    <col min="2204" max="2204" width="7" style="6" customWidth="1"/>
    <col min="2205" max="2205" width="10.7265625" style="6" customWidth="1"/>
    <col min="2206" max="2206" width="9.26953125" style="6" customWidth="1"/>
    <col min="2207" max="2230" width="7.26953125" style="6" customWidth="1"/>
    <col min="2231" max="2231" width="11.26953125" style="6" bestFit="1" customWidth="1"/>
    <col min="2232" max="2459" width="11.453125" style="6"/>
    <col min="2460" max="2460" width="7" style="6" customWidth="1"/>
    <col min="2461" max="2461" width="10.7265625" style="6" customWidth="1"/>
    <col min="2462" max="2462" width="9.26953125" style="6" customWidth="1"/>
    <col min="2463" max="2486" width="7.26953125" style="6" customWidth="1"/>
    <col min="2487" max="2487" width="11.26953125" style="6" bestFit="1" customWidth="1"/>
    <col min="2488" max="2715" width="11.453125" style="6"/>
    <col min="2716" max="2716" width="7" style="6" customWidth="1"/>
    <col min="2717" max="2717" width="10.7265625" style="6" customWidth="1"/>
    <col min="2718" max="2718" width="9.26953125" style="6" customWidth="1"/>
    <col min="2719" max="2742" width="7.26953125" style="6" customWidth="1"/>
    <col min="2743" max="2743" width="11.26953125" style="6" bestFit="1" customWidth="1"/>
    <col min="2744" max="2971" width="11.453125" style="6"/>
    <col min="2972" max="2972" width="7" style="6" customWidth="1"/>
    <col min="2973" max="2973" width="10.7265625" style="6" customWidth="1"/>
    <col min="2974" max="2974" width="9.26953125" style="6" customWidth="1"/>
    <col min="2975" max="2998" width="7.26953125" style="6" customWidth="1"/>
    <col min="2999" max="2999" width="11.26953125" style="6" bestFit="1" customWidth="1"/>
    <col min="3000" max="3227" width="11.453125" style="6"/>
    <col min="3228" max="3228" width="7" style="6" customWidth="1"/>
    <col min="3229" max="3229" width="10.7265625" style="6" customWidth="1"/>
    <col min="3230" max="3230" width="9.26953125" style="6" customWidth="1"/>
    <col min="3231" max="3254" width="7.26953125" style="6" customWidth="1"/>
    <col min="3255" max="3255" width="11.26953125" style="6" bestFit="1" customWidth="1"/>
    <col min="3256" max="3483" width="11.453125" style="6"/>
    <col min="3484" max="3484" width="7" style="6" customWidth="1"/>
    <col min="3485" max="3485" width="10.7265625" style="6" customWidth="1"/>
    <col min="3486" max="3486" width="9.26953125" style="6" customWidth="1"/>
    <col min="3487" max="3510" width="7.26953125" style="6" customWidth="1"/>
    <col min="3511" max="3511" width="11.26953125" style="6" bestFit="1" customWidth="1"/>
    <col min="3512" max="3739" width="11.453125" style="6"/>
    <col min="3740" max="3740" width="7" style="6" customWidth="1"/>
    <col min="3741" max="3741" width="10.7265625" style="6" customWidth="1"/>
    <col min="3742" max="3742" width="9.26953125" style="6" customWidth="1"/>
    <col min="3743" max="3766" width="7.26953125" style="6" customWidth="1"/>
    <col min="3767" max="3767" width="11.26953125" style="6" bestFit="1" customWidth="1"/>
    <col min="3768" max="3995" width="11.453125" style="6"/>
    <col min="3996" max="3996" width="7" style="6" customWidth="1"/>
    <col min="3997" max="3997" width="10.7265625" style="6" customWidth="1"/>
    <col min="3998" max="3998" width="9.26953125" style="6" customWidth="1"/>
    <col min="3999" max="4022" width="7.26953125" style="6" customWidth="1"/>
    <col min="4023" max="4023" width="11.26953125" style="6" bestFit="1" customWidth="1"/>
    <col min="4024" max="4251" width="11.453125" style="6"/>
    <col min="4252" max="4252" width="7" style="6" customWidth="1"/>
    <col min="4253" max="4253" width="10.7265625" style="6" customWidth="1"/>
    <col min="4254" max="4254" width="9.26953125" style="6" customWidth="1"/>
    <col min="4255" max="4278" width="7.26953125" style="6" customWidth="1"/>
    <col min="4279" max="4279" width="11.26953125" style="6" bestFit="1" customWidth="1"/>
    <col min="4280" max="4507" width="11.453125" style="6"/>
    <col min="4508" max="4508" width="7" style="6" customWidth="1"/>
    <col min="4509" max="4509" width="10.7265625" style="6" customWidth="1"/>
    <col min="4510" max="4510" width="9.26953125" style="6" customWidth="1"/>
    <col min="4511" max="4534" width="7.26953125" style="6" customWidth="1"/>
    <col min="4535" max="4535" width="11.26953125" style="6" bestFit="1" customWidth="1"/>
    <col min="4536" max="4763" width="11.453125" style="6"/>
    <col min="4764" max="4764" width="7" style="6" customWidth="1"/>
    <col min="4765" max="4765" width="10.7265625" style="6" customWidth="1"/>
    <col min="4766" max="4766" width="9.26953125" style="6" customWidth="1"/>
    <col min="4767" max="4790" width="7.26953125" style="6" customWidth="1"/>
    <col min="4791" max="4791" width="11.26953125" style="6" bestFit="1" customWidth="1"/>
    <col min="4792" max="5019" width="11.453125" style="6"/>
    <col min="5020" max="5020" width="7" style="6" customWidth="1"/>
    <col min="5021" max="5021" width="10.7265625" style="6" customWidth="1"/>
    <col min="5022" max="5022" width="9.26953125" style="6" customWidth="1"/>
    <col min="5023" max="5046" width="7.26953125" style="6" customWidth="1"/>
    <col min="5047" max="5047" width="11.26953125" style="6" bestFit="1" customWidth="1"/>
    <col min="5048" max="5275" width="11.453125" style="6"/>
    <col min="5276" max="5276" width="7" style="6" customWidth="1"/>
    <col min="5277" max="5277" width="10.7265625" style="6" customWidth="1"/>
    <col min="5278" max="5278" width="9.26953125" style="6" customWidth="1"/>
    <col min="5279" max="5302" width="7.26953125" style="6" customWidth="1"/>
    <col min="5303" max="5303" width="11.26953125" style="6" bestFit="1" customWidth="1"/>
    <col min="5304" max="5531" width="11.453125" style="6"/>
    <col min="5532" max="5532" width="7" style="6" customWidth="1"/>
    <col min="5533" max="5533" width="10.7265625" style="6" customWidth="1"/>
    <col min="5534" max="5534" width="9.26953125" style="6" customWidth="1"/>
    <col min="5535" max="5558" width="7.26953125" style="6" customWidth="1"/>
    <col min="5559" max="5559" width="11.26953125" style="6" bestFit="1" customWidth="1"/>
    <col min="5560" max="5787" width="11.453125" style="6"/>
    <col min="5788" max="5788" width="7" style="6" customWidth="1"/>
    <col min="5789" max="5789" width="10.7265625" style="6" customWidth="1"/>
    <col min="5790" max="5790" width="9.26953125" style="6" customWidth="1"/>
    <col min="5791" max="5814" width="7.26953125" style="6" customWidth="1"/>
    <col min="5815" max="5815" width="11.26953125" style="6" bestFit="1" customWidth="1"/>
    <col min="5816" max="6043" width="11.453125" style="6"/>
    <col min="6044" max="6044" width="7" style="6" customWidth="1"/>
    <col min="6045" max="6045" width="10.7265625" style="6" customWidth="1"/>
    <col min="6046" max="6046" width="9.26953125" style="6" customWidth="1"/>
    <col min="6047" max="6070" width="7.26953125" style="6" customWidth="1"/>
    <col min="6071" max="6071" width="11.26953125" style="6" bestFit="1" customWidth="1"/>
    <col min="6072" max="6299" width="11.453125" style="6"/>
    <col min="6300" max="6300" width="7" style="6" customWidth="1"/>
    <col min="6301" max="6301" width="10.7265625" style="6" customWidth="1"/>
    <col min="6302" max="6302" width="9.26953125" style="6" customWidth="1"/>
    <col min="6303" max="6326" width="7.26953125" style="6" customWidth="1"/>
    <col min="6327" max="6327" width="11.26953125" style="6" bestFit="1" customWidth="1"/>
    <col min="6328" max="6555" width="11.453125" style="6"/>
    <col min="6556" max="6556" width="7" style="6" customWidth="1"/>
    <col min="6557" max="6557" width="10.7265625" style="6" customWidth="1"/>
    <col min="6558" max="6558" width="9.26953125" style="6" customWidth="1"/>
    <col min="6559" max="6582" width="7.26953125" style="6" customWidth="1"/>
    <col min="6583" max="6583" width="11.26953125" style="6" bestFit="1" customWidth="1"/>
    <col min="6584" max="6811" width="11.453125" style="6"/>
    <col min="6812" max="6812" width="7" style="6" customWidth="1"/>
    <col min="6813" max="6813" width="10.7265625" style="6" customWidth="1"/>
    <col min="6814" max="6814" width="9.26953125" style="6" customWidth="1"/>
    <col min="6815" max="6838" width="7.26953125" style="6" customWidth="1"/>
    <col min="6839" max="6839" width="11.26953125" style="6" bestFit="1" customWidth="1"/>
    <col min="6840" max="7067" width="11.453125" style="6"/>
    <col min="7068" max="7068" width="7" style="6" customWidth="1"/>
    <col min="7069" max="7069" width="10.7265625" style="6" customWidth="1"/>
    <col min="7070" max="7070" width="9.26953125" style="6" customWidth="1"/>
    <col min="7071" max="7094" width="7.26953125" style="6" customWidth="1"/>
    <col min="7095" max="7095" width="11.26953125" style="6" bestFit="1" customWidth="1"/>
    <col min="7096" max="7323" width="11.453125" style="6"/>
    <col min="7324" max="7324" width="7" style="6" customWidth="1"/>
    <col min="7325" max="7325" width="10.7265625" style="6" customWidth="1"/>
    <col min="7326" max="7326" width="9.26953125" style="6" customWidth="1"/>
    <col min="7327" max="7350" width="7.26953125" style="6" customWidth="1"/>
    <col min="7351" max="7351" width="11.26953125" style="6" bestFit="1" customWidth="1"/>
    <col min="7352" max="7579" width="11.453125" style="6"/>
    <col min="7580" max="7580" width="7" style="6" customWidth="1"/>
    <col min="7581" max="7581" width="10.7265625" style="6" customWidth="1"/>
    <col min="7582" max="7582" width="9.26953125" style="6" customWidth="1"/>
    <col min="7583" max="7606" width="7.26953125" style="6" customWidth="1"/>
    <col min="7607" max="7607" width="11.26953125" style="6" bestFit="1" customWidth="1"/>
    <col min="7608" max="7835" width="11.453125" style="6"/>
    <col min="7836" max="7836" width="7" style="6" customWidth="1"/>
    <col min="7837" max="7837" width="10.7265625" style="6" customWidth="1"/>
    <col min="7838" max="7838" width="9.26953125" style="6" customWidth="1"/>
    <col min="7839" max="7862" width="7.26953125" style="6" customWidth="1"/>
    <col min="7863" max="7863" width="11.26953125" style="6" bestFit="1" customWidth="1"/>
    <col min="7864" max="8091" width="11.453125" style="6"/>
    <col min="8092" max="8092" width="7" style="6" customWidth="1"/>
    <col min="8093" max="8093" width="10.7265625" style="6" customWidth="1"/>
    <col min="8094" max="8094" width="9.26953125" style="6" customWidth="1"/>
    <col min="8095" max="8118" width="7.26953125" style="6" customWidth="1"/>
    <col min="8119" max="8119" width="11.26953125" style="6" bestFit="1" customWidth="1"/>
    <col min="8120" max="8347" width="11.453125" style="6"/>
    <col min="8348" max="8348" width="7" style="6" customWidth="1"/>
    <col min="8349" max="8349" width="10.7265625" style="6" customWidth="1"/>
    <col min="8350" max="8350" width="9.26953125" style="6" customWidth="1"/>
    <col min="8351" max="8374" width="7.26953125" style="6" customWidth="1"/>
    <col min="8375" max="8375" width="11.26953125" style="6" bestFit="1" customWidth="1"/>
    <col min="8376" max="8603" width="11.453125" style="6"/>
    <col min="8604" max="8604" width="7" style="6" customWidth="1"/>
    <col min="8605" max="8605" width="10.7265625" style="6" customWidth="1"/>
    <col min="8606" max="8606" width="9.26953125" style="6" customWidth="1"/>
    <col min="8607" max="8630" width="7.26953125" style="6" customWidth="1"/>
    <col min="8631" max="8631" width="11.26953125" style="6" bestFit="1" customWidth="1"/>
    <col min="8632" max="8859" width="11.453125" style="6"/>
    <col min="8860" max="8860" width="7" style="6" customWidth="1"/>
    <col min="8861" max="8861" width="10.7265625" style="6" customWidth="1"/>
    <col min="8862" max="8862" width="9.26953125" style="6" customWidth="1"/>
    <col min="8863" max="8886" width="7.26953125" style="6" customWidth="1"/>
    <col min="8887" max="8887" width="11.26953125" style="6" bestFit="1" customWidth="1"/>
    <col min="8888" max="9115" width="11.453125" style="6"/>
    <col min="9116" max="9116" width="7" style="6" customWidth="1"/>
    <col min="9117" max="9117" width="10.7265625" style="6" customWidth="1"/>
    <col min="9118" max="9118" width="9.26953125" style="6" customWidth="1"/>
    <col min="9119" max="9142" width="7.26953125" style="6" customWidth="1"/>
    <col min="9143" max="9143" width="11.26953125" style="6" bestFit="1" customWidth="1"/>
    <col min="9144" max="9371" width="11.453125" style="6"/>
    <col min="9372" max="9372" width="7" style="6" customWidth="1"/>
    <col min="9373" max="9373" width="10.7265625" style="6" customWidth="1"/>
    <col min="9374" max="9374" width="9.26953125" style="6" customWidth="1"/>
    <col min="9375" max="9398" width="7.26953125" style="6" customWidth="1"/>
    <col min="9399" max="9399" width="11.26953125" style="6" bestFit="1" customWidth="1"/>
    <col min="9400" max="9627" width="11.453125" style="6"/>
    <col min="9628" max="9628" width="7" style="6" customWidth="1"/>
    <col min="9629" max="9629" width="10.7265625" style="6" customWidth="1"/>
    <col min="9630" max="9630" width="9.26953125" style="6" customWidth="1"/>
    <col min="9631" max="9654" width="7.26953125" style="6" customWidth="1"/>
    <col min="9655" max="9655" width="11.26953125" style="6" bestFit="1" customWidth="1"/>
    <col min="9656" max="9883" width="11.453125" style="6"/>
    <col min="9884" max="9884" width="7" style="6" customWidth="1"/>
    <col min="9885" max="9885" width="10.7265625" style="6" customWidth="1"/>
    <col min="9886" max="9886" width="9.26953125" style="6" customWidth="1"/>
    <col min="9887" max="9910" width="7.26953125" style="6" customWidth="1"/>
    <col min="9911" max="9911" width="11.26953125" style="6" bestFit="1" customWidth="1"/>
    <col min="9912" max="10139" width="11.453125" style="6"/>
    <col min="10140" max="10140" width="7" style="6" customWidth="1"/>
    <col min="10141" max="10141" width="10.7265625" style="6" customWidth="1"/>
    <col min="10142" max="10142" width="9.26953125" style="6" customWidth="1"/>
    <col min="10143" max="10166" width="7.26953125" style="6" customWidth="1"/>
    <col min="10167" max="10167" width="11.26953125" style="6" bestFit="1" customWidth="1"/>
    <col min="10168" max="10395" width="11.453125" style="6"/>
    <col min="10396" max="10396" width="7" style="6" customWidth="1"/>
    <col min="10397" max="10397" width="10.7265625" style="6" customWidth="1"/>
    <col min="10398" max="10398" width="9.26953125" style="6" customWidth="1"/>
    <col min="10399" max="10422" width="7.26953125" style="6" customWidth="1"/>
    <col min="10423" max="10423" width="11.26953125" style="6" bestFit="1" customWidth="1"/>
    <col min="10424" max="10651" width="11.453125" style="6"/>
    <col min="10652" max="10652" width="7" style="6" customWidth="1"/>
    <col min="10653" max="10653" width="10.7265625" style="6" customWidth="1"/>
    <col min="10654" max="10654" width="9.26953125" style="6" customWidth="1"/>
    <col min="10655" max="10678" width="7.26953125" style="6" customWidth="1"/>
    <col min="10679" max="10679" width="11.26953125" style="6" bestFit="1" customWidth="1"/>
    <col min="10680" max="10907" width="11.453125" style="6"/>
    <col min="10908" max="10908" width="7" style="6" customWidth="1"/>
    <col min="10909" max="10909" width="10.7265625" style="6" customWidth="1"/>
    <col min="10910" max="10910" width="9.26953125" style="6" customWidth="1"/>
    <col min="10911" max="10934" width="7.26953125" style="6" customWidth="1"/>
    <col min="10935" max="10935" width="11.26953125" style="6" bestFit="1" customWidth="1"/>
    <col min="10936" max="11163" width="11.453125" style="6"/>
    <col min="11164" max="11164" width="7" style="6" customWidth="1"/>
    <col min="11165" max="11165" width="10.7265625" style="6" customWidth="1"/>
    <col min="11166" max="11166" width="9.26953125" style="6" customWidth="1"/>
    <col min="11167" max="11190" width="7.26953125" style="6" customWidth="1"/>
    <col min="11191" max="11191" width="11.26953125" style="6" bestFit="1" customWidth="1"/>
    <col min="11192" max="11419" width="11.453125" style="6"/>
    <col min="11420" max="11420" width="7" style="6" customWidth="1"/>
    <col min="11421" max="11421" width="10.7265625" style="6" customWidth="1"/>
    <col min="11422" max="11422" width="9.26953125" style="6" customWidth="1"/>
    <col min="11423" max="11446" width="7.26953125" style="6" customWidth="1"/>
    <col min="11447" max="11447" width="11.26953125" style="6" bestFit="1" customWidth="1"/>
    <col min="11448" max="11675" width="11.453125" style="6"/>
    <col min="11676" max="11676" width="7" style="6" customWidth="1"/>
    <col min="11677" max="11677" width="10.7265625" style="6" customWidth="1"/>
    <col min="11678" max="11678" width="9.26953125" style="6" customWidth="1"/>
    <col min="11679" max="11702" width="7.26953125" style="6" customWidth="1"/>
    <col min="11703" max="11703" width="11.26953125" style="6" bestFit="1" customWidth="1"/>
    <col min="11704" max="11931" width="11.453125" style="6"/>
    <col min="11932" max="11932" width="7" style="6" customWidth="1"/>
    <col min="11933" max="11933" width="10.7265625" style="6" customWidth="1"/>
    <col min="11934" max="11934" width="9.26953125" style="6" customWidth="1"/>
    <col min="11935" max="11958" width="7.26953125" style="6" customWidth="1"/>
    <col min="11959" max="11959" width="11.26953125" style="6" bestFit="1" customWidth="1"/>
    <col min="11960" max="12187" width="11.453125" style="6"/>
    <col min="12188" max="12188" width="7" style="6" customWidth="1"/>
    <col min="12189" max="12189" width="10.7265625" style="6" customWidth="1"/>
    <col min="12190" max="12190" width="9.26953125" style="6" customWidth="1"/>
    <col min="12191" max="12214" width="7.26953125" style="6" customWidth="1"/>
    <col min="12215" max="12215" width="11.26953125" style="6" bestFit="1" customWidth="1"/>
    <col min="12216" max="12443" width="11.453125" style="6"/>
    <col min="12444" max="12444" width="7" style="6" customWidth="1"/>
    <col min="12445" max="12445" width="10.7265625" style="6" customWidth="1"/>
    <col min="12446" max="12446" width="9.26953125" style="6" customWidth="1"/>
    <col min="12447" max="12470" width="7.26953125" style="6" customWidth="1"/>
    <col min="12471" max="12471" width="11.26953125" style="6" bestFit="1" customWidth="1"/>
    <col min="12472" max="12699" width="11.453125" style="6"/>
    <col min="12700" max="12700" width="7" style="6" customWidth="1"/>
    <col min="12701" max="12701" width="10.7265625" style="6" customWidth="1"/>
    <col min="12702" max="12702" width="9.26953125" style="6" customWidth="1"/>
    <col min="12703" max="12726" width="7.26953125" style="6" customWidth="1"/>
    <col min="12727" max="12727" width="11.26953125" style="6" bestFit="1" customWidth="1"/>
    <col min="12728" max="12955" width="11.453125" style="6"/>
    <col min="12956" max="12956" width="7" style="6" customWidth="1"/>
    <col min="12957" max="12957" width="10.7265625" style="6" customWidth="1"/>
    <col min="12958" max="12958" width="9.26953125" style="6" customWidth="1"/>
    <col min="12959" max="12982" width="7.26953125" style="6" customWidth="1"/>
    <col min="12983" max="12983" width="11.26953125" style="6" bestFit="1" customWidth="1"/>
    <col min="12984" max="13211" width="11.453125" style="6"/>
    <col min="13212" max="13212" width="7" style="6" customWidth="1"/>
    <col min="13213" max="13213" width="10.7265625" style="6" customWidth="1"/>
    <col min="13214" max="13214" width="9.26953125" style="6" customWidth="1"/>
    <col min="13215" max="13238" width="7.26953125" style="6" customWidth="1"/>
    <col min="13239" max="13239" width="11.26953125" style="6" bestFit="1" customWidth="1"/>
    <col min="13240" max="13467" width="11.453125" style="6"/>
    <col min="13468" max="13468" width="7" style="6" customWidth="1"/>
    <col min="13469" max="13469" width="10.7265625" style="6" customWidth="1"/>
    <col min="13470" max="13470" width="9.26953125" style="6" customWidth="1"/>
    <col min="13471" max="13494" width="7.26953125" style="6" customWidth="1"/>
    <col min="13495" max="13495" width="11.26953125" style="6" bestFit="1" customWidth="1"/>
    <col min="13496" max="13723" width="11.453125" style="6"/>
    <col min="13724" max="13724" width="7" style="6" customWidth="1"/>
    <col min="13725" max="13725" width="10.7265625" style="6" customWidth="1"/>
    <col min="13726" max="13726" width="9.26953125" style="6" customWidth="1"/>
    <col min="13727" max="13750" width="7.26953125" style="6" customWidth="1"/>
    <col min="13751" max="13751" width="11.26953125" style="6" bestFit="1" customWidth="1"/>
    <col min="13752" max="13979" width="11.453125" style="6"/>
    <col min="13980" max="13980" width="7" style="6" customWidth="1"/>
    <col min="13981" max="13981" width="10.7265625" style="6" customWidth="1"/>
    <col min="13982" max="13982" width="9.26953125" style="6" customWidth="1"/>
    <col min="13983" max="14006" width="7.26953125" style="6" customWidth="1"/>
    <col min="14007" max="14007" width="11.26953125" style="6" bestFit="1" customWidth="1"/>
    <col min="14008" max="14235" width="11.453125" style="6"/>
    <col min="14236" max="14236" width="7" style="6" customWidth="1"/>
    <col min="14237" max="14237" width="10.7265625" style="6" customWidth="1"/>
    <col min="14238" max="14238" width="9.26953125" style="6" customWidth="1"/>
    <col min="14239" max="14262" width="7.26953125" style="6" customWidth="1"/>
    <col min="14263" max="14263" width="11.26953125" style="6" bestFit="1" customWidth="1"/>
    <col min="14264" max="14491" width="11.453125" style="6"/>
    <col min="14492" max="14492" width="7" style="6" customWidth="1"/>
    <col min="14493" max="14493" width="10.7265625" style="6" customWidth="1"/>
    <col min="14494" max="14494" width="9.26953125" style="6" customWidth="1"/>
    <col min="14495" max="14518" width="7.26953125" style="6" customWidth="1"/>
    <col min="14519" max="14519" width="11.26953125" style="6" bestFit="1" customWidth="1"/>
    <col min="14520" max="14747" width="11.453125" style="6"/>
    <col min="14748" max="14748" width="7" style="6" customWidth="1"/>
    <col min="14749" max="14749" width="10.7265625" style="6" customWidth="1"/>
    <col min="14750" max="14750" width="9.26953125" style="6" customWidth="1"/>
    <col min="14751" max="14774" width="7.26953125" style="6" customWidth="1"/>
    <col min="14775" max="14775" width="11.26953125" style="6" bestFit="1" customWidth="1"/>
    <col min="14776" max="15003" width="11.453125" style="6"/>
    <col min="15004" max="15004" width="7" style="6" customWidth="1"/>
    <col min="15005" max="15005" width="10.7265625" style="6" customWidth="1"/>
    <col min="15006" max="15006" width="9.26953125" style="6" customWidth="1"/>
    <col min="15007" max="15030" width="7.26953125" style="6" customWidth="1"/>
    <col min="15031" max="15031" width="11.26953125" style="6" bestFit="1" customWidth="1"/>
    <col min="15032" max="15259" width="11.453125" style="6"/>
    <col min="15260" max="15260" width="7" style="6" customWidth="1"/>
    <col min="15261" max="15261" width="10.7265625" style="6" customWidth="1"/>
    <col min="15262" max="15262" width="9.26953125" style="6" customWidth="1"/>
    <col min="15263" max="15286" width="7.26953125" style="6" customWidth="1"/>
    <col min="15287" max="15287" width="11.26953125" style="6" bestFit="1" customWidth="1"/>
    <col min="15288" max="15515" width="11.453125" style="6"/>
    <col min="15516" max="15516" width="7" style="6" customWidth="1"/>
    <col min="15517" max="15517" width="10.7265625" style="6" customWidth="1"/>
    <col min="15518" max="15518" width="9.26953125" style="6" customWidth="1"/>
    <col min="15519" max="15542" width="7.26953125" style="6" customWidth="1"/>
    <col min="15543" max="15543" width="11.26953125" style="6" bestFit="1" customWidth="1"/>
    <col min="15544" max="15771" width="11.453125" style="6"/>
    <col min="15772" max="15772" width="7" style="6" customWidth="1"/>
    <col min="15773" max="15773" width="10.7265625" style="6" customWidth="1"/>
    <col min="15774" max="15774" width="9.26953125" style="6" customWidth="1"/>
    <col min="15775" max="15798" width="7.26953125" style="6" customWidth="1"/>
    <col min="15799" max="15799" width="11.26953125" style="6" bestFit="1" customWidth="1"/>
    <col min="15800" max="16027" width="11.453125" style="6"/>
    <col min="16028" max="16028" width="7" style="6" customWidth="1"/>
    <col min="16029" max="16029" width="10.7265625" style="6" customWidth="1"/>
    <col min="16030" max="16030" width="9.26953125" style="6" customWidth="1"/>
    <col min="16031" max="16054" width="7.26953125" style="6" customWidth="1"/>
    <col min="16055" max="16055" width="11.26953125" style="6" bestFit="1" customWidth="1"/>
    <col min="16056" max="16384" width="11.453125" style="6"/>
  </cols>
  <sheetData>
    <row r="2" spans="2:37" ht="14" x14ac:dyDescent="0.3">
      <c r="B2" s="58" t="s">
        <v>45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spans="2:37" ht="14" x14ac:dyDescent="0.3">
      <c r="B3" s="58" t="s">
        <v>44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</row>
    <row r="4" spans="2:37" ht="14" x14ac:dyDescent="0.3">
      <c r="B4" s="58">
        <v>2030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6" spans="2:37" ht="15" customHeight="1" x14ac:dyDescent="0.25">
      <c r="B6" s="2" t="s">
        <v>0</v>
      </c>
      <c r="C6" s="3" t="s">
        <v>1</v>
      </c>
      <c r="D6" s="2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51" t="s">
        <v>27</v>
      </c>
    </row>
    <row r="7" spans="2:37" ht="12.5" x14ac:dyDescent="0.25">
      <c r="B7" s="65" t="s">
        <v>28</v>
      </c>
      <c r="C7" s="4" t="s">
        <v>29</v>
      </c>
      <c r="D7" s="5">
        <v>21</v>
      </c>
      <c r="E7" s="42">
        <v>5379.04</v>
      </c>
      <c r="F7" s="42">
        <v>5119.33</v>
      </c>
      <c r="G7" s="42">
        <v>4926.6000000000004</v>
      </c>
      <c r="H7" s="42">
        <v>4879.38</v>
      </c>
      <c r="I7" s="42">
        <v>5302.34</v>
      </c>
      <c r="J7" s="42">
        <v>6473.8</v>
      </c>
      <c r="K7" s="42">
        <v>7778.8</v>
      </c>
      <c r="L7" s="42">
        <v>11083.7</v>
      </c>
      <c r="M7" s="42">
        <v>11170.97</v>
      </c>
      <c r="N7" s="42">
        <v>11310.08</v>
      </c>
      <c r="O7" s="42">
        <v>11705.32</v>
      </c>
      <c r="P7" s="42">
        <v>12367.75</v>
      </c>
      <c r="Q7" s="42">
        <v>11632.05</v>
      </c>
      <c r="R7" s="42">
        <v>11333.58</v>
      </c>
      <c r="S7" s="42">
        <v>11610.83</v>
      </c>
      <c r="T7" s="42">
        <v>11896.53</v>
      </c>
      <c r="U7" s="42">
        <v>12113.89</v>
      </c>
      <c r="V7" s="42">
        <v>10191.25</v>
      </c>
      <c r="W7" s="42">
        <v>11079.28</v>
      </c>
      <c r="X7" s="42">
        <v>11156.25</v>
      </c>
      <c r="Y7" s="42">
        <v>10523.45</v>
      </c>
      <c r="Z7" s="42">
        <v>9484.18</v>
      </c>
      <c r="AA7" s="42">
        <v>7700.48</v>
      </c>
      <c r="AB7" s="42">
        <v>6581.2</v>
      </c>
      <c r="AC7" s="66">
        <f>+SUM(E7:AB7)*D7+SUM(E8:AB8)*D8+SUM(E9:AB9)*D9+SUM(E10:AB10)*D10</f>
        <v>6804443.5999999996</v>
      </c>
      <c r="AE7" s="11">
        <f>+AC7</f>
        <v>6804443.5999999996</v>
      </c>
      <c r="AG7" s="57"/>
      <c r="AH7" s="57"/>
      <c r="AI7" s="57"/>
      <c r="AJ7" s="57"/>
      <c r="AK7" s="57"/>
    </row>
    <row r="8" spans="2:37" ht="12.5" x14ac:dyDescent="0.25">
      <c r="B8" s="65" t="s">
        <v>28</v>
      </c>
      <c r="C8" s="4" t="s">
        <v>30</v>
      </c>
      <c r="D8" s="5">
        <v>4</v>
      </c>
      <c r="E8" s="42">
        <v>5909.72</v>
      </c>
      <c r="F8" s="42">
        <v>5394.22</v>
      </c>
      <c r="G8" s="42">
        <v>5172.7</v>
      </c>
      <c r="H8" s="42">
        <v>5042.84</v>
      </c>
      <c r="I8" s="42">
        <v>5184.08</v>
      </c>
      <c r="J8" s="42">
        <v>5587.75</v>
      </c>
      <c r="K8" s="42">
        <v>6424.48</v>
      </c>
      <c r="L8" s="42">
        <v>10351.33</v>
      </c>
      <c r="M8" s="42">
        <v>11091.77</v>
      </c>
      <c r="N8" s="42">
        <v>11547.76</v>
      </c>
      <c r="O8" s="42">
        <v>11849.93</v>
      </c>
      <c r="P8" s="42">
        <v>12303.2</v>
      </c>
      <c r="Q8" s="42">
        <v>12451.86</v>
      </c>
      <c r="R8" s="42">
        <v>12202.64</v>
      </c>
      <c r="S8" s="42">
        <v>12089.15</v>
      </c>
      <c r="T8" s="42">
        <v>12022.36</v>
      </c>
      <c r="U8" s="42">
        <v>12230.13</v>
      </c>
      <c r="V8" s="42">
        <v>10250.69</v>
      </c>
      <c r="W8" s="42">
        <v>11297.2</v>
      </c>
      <c r="X8" s="42">
        <v>11326.06</v>
      </c>
      <c r="Y8" s="42">
        <v>10755.91</v>
      </c>
      <c r="Z8" s="42">
        <v>10035.61</v>
      </c>
      <c r="AA8" s="42">
        <v>8749.74</v>
      </c>
      <c r="AB8" s="42">
        <v>7653.56</v>
      </c>
      <c r="AC8" s="67"/>
      <c r="AE8" s="11">
        <f>+AC11</f>
        <v>6375152.7200000007</v>
      </c>
      <c r="AG8" s="57"/>
      <c r="AH8" s="57"/>
      <c r="AI8" s="57"/>
      <c r="AJ8" s="57"/>
      <c r="AK8" s="57"/>
    </row>
    <row r="9" spans="2:37" ht="12.5" x14ac:dyDescent="0.25">
      <c r="B9" s="65" t="s">
        <v>28</v>
      </c>
      <c r="C9" s="4" t="s">
        <v>31</v>
      </c>
      <c r="D9" s="5">
        <v>4</v>
      </c>
      <c r="E9" s="42">
        <v>6330.28</v>
      </c>
      <c r="F9" s="42">
        <v>5869.08</v>
      </c>
      <c r="G9" s="42">
        <v>5517.9</v>
      </c>
      <c r="H9" s="42">
        <v>5266.9</v>
      </c>
      <c r="I9" s="42">
        <v>5196.32</v>
      </c>
      <c r="J9" s="42">
        <v>5137.22</v>
      </c>
      <c r="K9" s="42">
        <v>5427.8</v>
      </c>
      <c r="L9" s="42">
        <v>8627.07</v>
      </c>
      <c r="M9" s="42">
        <v>9348.1299999999992</v>
      </c>
      <c r="N9" s="42">
        <v>9763.57</v>
      </c>
      <c r="O9" s="42">
        <v>10327.19</v>
      </c>
      <c r="P9" s="42">
        <v>10948.26</v>
      </c>
      <c r="Q9" s="42">
        <v>11055.48</v>
      </c>
      <c r="R9" s="42">
        <v>10786.29</v>
      </c>
      <c r="S9" s="42">
        <v>11013.18</v>
      </c>
      <c r="T9" s="42">
        <v>11304.24</v>
      </c>
      <c r="U9" s="42">
        <v>11459.38</v>
      </c>
      <c r="V9" s="42">
        <v>9697.27</v>
      </c>
      <c r="W9" s="42">
        <v>10633.13</v>
      </c>
      <c r="X9" s="42">
        <v>10580.62</v>
      </c>
      <c r="Y9" s="42">
        <v>9941.89</v>
      </c>
      <c r="Z9" s="42">
        <v>8952.14</v>
      </c>
      <c r="AA9" s="42">
        <v>7560.3</v>
      </c>
      <c r="AB9" s="42">
        <v>6340.69</v>
      </c>
      <c r="AC9" s="67"/>
      <c r="AE9" s="11">
        <f>+AC15</f>
        <v>6649857.8199999994</v>
      </c>
      <c r="AG9" s="57"/>
      <c r="AH9" s="57"/>
      <c r="AI9" s="57"/>
      <c r="AJ9" s="57"/>
      <c r="AK9" s="57"/>
    </row>
    <row r="10" spans="2:37" ht="12.5" x14ac:dyDescent="0.25">
      <c r="B10" s="65" t="s">
        <v>28</v>
      </c>
      <c r="C10" s="4" t="s">
        <v>32</v>
      </c>
      <c r="D10" s="5">
        <v>2</v>
      </c>
      <c r="E10" s="42">
        <v>6159.24</v>
      </c>
      <c r="F10" s="42">
        <v>5795.31</v>
      </c>
      <c r="G10" s="42">
        <v>5352.99</v>
      </c>
      <c r="H10" s="42">
        <v>5313.53</v>
      </c>
      <c r="I10" s="42">
        <v>5124.22</v>
      </c>
      <c r="J10" s="42">
        <v>5099.24</v>
      </c>
      <c r="K10" s="42">
        <v>4930</v>
      </c>
      <c r="L10" s="42">
        <v>7793.18</v>
      </c>
      <c r="M10" s="42">
        <v>8157.87</v>
      </c>
      <c r="N10" s="42">
        <v>8640.31</v>
      </c>
      <c r="O10" s="42">
        <v>9363.8700000000008</v>
      </c>
      <c r="P10" s="42">
        <v>9684.4500000000007</v>
      </c>
      <c r="Q10" s="42">
        <v>10111.75</v>
      </c>
      <c r="R10" s="42">
        <v>10317.42</v>
      </c>
      <c r="S10" s="42">
        <v>10481.06</v>
      </c>
      <c r="T10" s="42">
        <v>10453.17</v>
      </c>
      <c r="U10" s="42">
        <v>10639.8</v>
      </c>
      <c r="V10" s="42">
        <v>9225.33</v>
      </c>
      <c r="W10" s="42">
        <v>10057.719999999999</v>
      </c>
      <c r="X10" s="42">
        <v>10241.27</v>
      </c>
      <c r="Y10" s="42">
        <v>9818.31</v>
      </c>
      <c r="Z10" s="42">
        <v>8619.92</v>
      </c>
      <c r="AA10" s="42">
        <v>7240.7</v>
      </c>
      <c r="AB10" s="42">
        <v>6182.26</v>
      </c>
      <c r="AC10" s="68"/>
      <c r="AE10" s="11">
        <f>+AC19</f>
        <v>6673237.8800000008</v>
      </c>
      <c r="AG10" s="57"/>
      <c r="AH10" s="57"/>
      <c r="AI10" s="57"/>
      <c r="AJ10" s="57"/>
      <c r="AK10" s="57"/>
    </row>
    <row r="11" spans="2:37" ht="12.5" x14ac:dyDescent="0.25">
      <c r="B11" s="65" t="s">
        <v>33</v>
      </c>
      <c r="C11" s="4" t="s">
        <v>29</v>
      </c>
      <c r="D11" s="5">
        <v>20</v>
      </c>
      <c r="E11" s="42">
        <v>5422.37</v>
      </c>
      <c r="F11" s="42">
        <v>5112.05</v>
      </c>
      <c r="G11" s="42">
        <v>4971.76</v>
      </c>
      <c r="H11" s="42">
        <v>5012.8999999999996</v>
      </c>
      <c r="I11" s="42">
        <v>5535.63</v>
      </c>
      <c r="J11" s="42">
        <v>7313.77</v>
      </c>
      <c r="K11" s="42">
        <v>8952.91</v>
      </c>
      <c r="L11" s="42">
        <v>12011.11</v>
      </c>
      <c r="M11" s="42">
        <v>11753.01</v>
      </c>
      <c r="N11" s="42">
        <v>11673.93</v>
      </c>
      <c r="O11" s="42">
        <v>11940.91</v>
      </c>
      <c r="P11" s="42">
        <v>12416.33</v>
      </c>
      <c r="Q11" s="42">
        <v>11977.34</v>
      </c>
      <c r="R11" s="42">
        <v>11938.4</v>
      </c>
      <c r="S11" s="42">
        <v>12329.53</v>
      </c>
      <c r="T11" s="42">
        <v>12514.01</v>
      </c>
      <c r="U11" s="42">
        <v>12645.91</v>
      </c>
      <c r="V11" s="42">
        <v>10360.31</v>
      </c>
      <c r="W11" s="42">
        <v>11247.03</v>
      </c>
      <c r="X11" s="42">
        <v>11568.14</v>
      </c>
      <c r="Y11" s="42">
        <v>10825.36</v>
      </c>
      <c r="Z11" s="42">
        <v>9786.84</v>
      </c>
      <c r="AA11" s="42">
        <v>7889.81</v>
      </c>
      <c r="AB11" s="42">
        <v>6600.64</v>
      </c>
      <c r="AC11" s="66">
        <f>+SUM(E11:AB11)*D11+SUM(E12:AB12)*D12+SUM(E13:AB13)*D13+SUM(E14:AB14)*D14</f>
        <v>6375152.7200000007</v>
      </c>
      <c r="AE11" s="11">
        <f>+AC23</f>
        <v>6654884.7400000002</v>
      </c>
      <c r="AG11" s="57"/>
      <c r="AH11" s="57"/>
      <c r="AI11" s="57"/>
      <c r="AJ11" s="57"/>
      <c r="AK11" s="57"/>
    </row>
    <row r="12" spans="2:37" ht="12.5" x14ac:dyDescent="0.25">
      <c r="B12" s="65" t="s">
        <v>33</v>
      </c>
      <c r="C12" s="4" t="s">
        <v>30</v>
      </c>
      <c r="D12" s="5">
        <v>4</v>
      </c>
      <c r="E12" s="42">
        <v>5870.53</v>
      </c>
      <c r="F12" s="42">
        <v>5531.72</v>
      </c>
      <c r="G12" s="42">
        <v>5269.13</v>
      </c>
      <c r="H12" s="42">
        <v>5152.6000000000004</v>
      </c>
      <c r="I12" s="42">
        <v>5376.39</v>
      </c>
      <c r="J12" s="42">
        <v>6029.37</v>
      </c>
      <c r="K12" s="42">
        <v>7024.99</v>
      </c>
      <c r="L12" s="42">
        <v>11256.23</v>
      </c>
      <c r="M12" s="42">
        <v>11627.42</v>
      </c>
      <c r="N12" s="42">
        <v>11981.19</v>
      </c>
      <c r="O12" s="42">
        <v>12162.16</v>
      </c>
      <c r="P12" s="42">
        <v>12265.41</v>
      </c>
      <c r="Q12" s="42">
        <v>12140.01</v>
      </c>
      <c r="R12" s="42">
        <v>12025.46</v>
      </c>
      <c r="S12" s="42">
        <v>12130.09</v>
      </c>
      <c r="T12" s="42">
        <v>12384.7</v>
      </c>
      <c r="U12" s="42">
        <v>12682.79</v>
      </c>
      <c r="V12" s="42">
        <v>10216.83</v>
      </c>
      <c r="W12" s="42">
        <v>11187.88</v>
      </c>
      <c r="X12" s="42">
        <v>11196.1</v>
      </c>
      <c r="Y12" s="42">
        <v>10553.49</v>
      </c>
      <c r="Z12" s="42">
        <v>9633.83</v>
      </c>
      <c r="AA12" s="42">
        <v>8385.66</v>
      </c>
      <c r="AB12" s="42">
        <v>7014.71</v>
      </c>
      <c r="AC12" s="67"/>
      <c r="AE12" s="11">
        <f>+AC27</f>
        <v>6702759.29</v>
      </c>
      <c r="AG12" s="57"/>
      <c r="AH12" s="57"/>
      <c r="AI12" s="57"/>
      <c r="AJ12" s="57"/>
      <c r="AK12" s="57"/>
    </row>
    <row r="13" spans="2:37" ht="12.5" x14ac:dyDescent="0.25">
      <c r="B13" s="65" t="s">
        <v>33</v>
      </c>
      <c r="C13" s="4" t="s">
        <v>31</v>
      </c>
      <c r="D13" s="5">
        <v>4</v>
      </c>
      <c r="E13" s="42">
        <v>6006.22</v>
      </c>
      <c r="F13" s="42">
        <v>5611.05</v>
      </c>
      <c r="G13" s="42">
        <v>5263.83</v>
      </c>
      <c r="H13" s="42">
        <v>5075.38</v>
      </c>
      <c r="I13" s="42">
        <v>5054.99</v>
      </c>
      <c r="J13" s="42">
        <v>5020.62</v>
      </c>
      <c r="K13" s="42">
        <v>5387.9</v>
      </c>
      <c r="L13" s="42">
        <v>8874.7000000000007</v>
      </c>
      <c r="M13" s="42">
        <v>9646.61</v>
      </c>
      <c r="N13" s="42">
        <v>9996.58</v>
      </c>
      <c r="O13" s="42">
        <v>10368.32</v>
      </c>
      <c r="P13" s="42">
        <v>11048.39</v>
      </c>
      <c r="Q13" s="42">
        <v>11238.22</v>
      </c>
      <c r="R13" s="42">
        <v>11282.27</v>
      </c>
      <c r="S13" s="42">
        <v>10981.12</v>
      </c>
      <c r="T13" s="42">
        <v>11184.14</v>
      </c>
      <c r="U13" s="42">
        <v>11459.18</v>
      </c>
      <c r="V13" s="42">
        <v>9400.09</v>
      </c>
      <c r="W13" s="42">
        <v>10670.36</v>
      </c>
      <c r="X13" s="42">
        <v>10469.09</v>
      </c>
      <c r="Y13" s="42">
        <v>9896.1200000000008</v>
      </c>
      <c r="Z13" s="42">
        <v>8725.2000000000007</v>
      </c>
      <c r="AA13" s="42">
        <v>7073.58</v>
      </c>
      <c r="AB13" s="42">
        <v>5955.53</v>
      </c>
      <c r="AC13" s="67"/>
      <c r="AE13" s="11">
        <f>+AC31</f>
        <v>6962958.8199999994</v>
      </c>
      <c r="AG13" s="57"/>
      <c r="AH13" s="57"/>
      <c r="AI13" s="57"/>
      <c r="AJ13" s="57"/>
      <c r="AK13" s="57"/>
    </row>
    <row r="14" spans="2:37" ht="12.5" x14ac:dyDescent="0.25">
      <c r="B14" s="65" t="s">
        <v>33</v>
      </c>
      <c r="C14" s="4" t="s">
        <v>32</v>
      </c>
      <c r="D14" s="5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68"/>
      <c r="AE14" s="11">
        <f>+AC35</f>
        <v>6929047.9799999995</v>
      </c>
      <c r="AG14" s="57"/>
      <c r="AH14" s="57"/>
      <c r="AI14" s="57"/>
      <c r="AJ14" s="57"/>
      <c r="AK14" s="57"/>
    </row>
    <row r="15" spans="2:37" ht="12.5" x14ac:dyDescent="0.25">
      <c r="B15" s="65" t="s">
        <v>34</v>
      </c>
      <c r="C15" s="4" t="s">
        <v>29</v>
      </c>
      <c r="D15" s="5">
        <v>20</v>
      </c>
      <c r="E15" s="42">
        <v>5409.78</v>
      </c>
      <c r="F15" s="42">
        <v>5092.58</v>
      </c>
      <c r="G15" s="42">
        <v>4963.3500000000004</v>
      </c>
      <c r="H15" s="42">
        <v>4942.33</v>
      </c>
      <c r="I15" s="42">
        <v>5363.23</v>
      </c>
      <c r="J15" s="42">
        <v>6753.16</v>
      </c>
      <c r="K15" s="42">
        <v>7856.05</v>
      </c>
      <c r="L15" s="42">
        <v>10864.99</v>
      </c>
      <c r="M15" s="42">
        <v>10678.71</v>
      </c>
      <c r="N15" s="42">
        <v>10616.63</v>
      </c>
      <c r="O15" s="42">
        <v>10970.73</v>
      </c>
      <c r="P15" s="42">
        <v>11471.03</v>
      </c>
      <c r="Q15" s="42">
        <v>11352.88</v>
      </c>
      <c r="R15" s="42">
        <v>11274.61</v>
      </c>
      <c r="S15" s="42">
        <v>11607.65</v>
      </c>
      <c r="T15" s="42">
        <v>11744.59</v>
      </c>
      <c r="U15" s="42">
        <v>11774.52</v>
      </c>
      <c r="V15" s="42">
        <v>9596.3799999999992</v>
      </c>
      <c r="W15" s="42">
        <v>10665.79</v>
      </c>
      <c r="X15" s="42">
        <v>11213.25</v>
      </c>
      <c r="Y15" s="42">
        <v>10587.23</v>
      </c>
      <c r="Z15" s="42">
        <v>9563.4599999999991</v>
      </c>
      <c r="AA15" s="42">
        <v>8014.06</v>
      </c>
      <c r="AB15" s="42">
        <v>6679.65</v>
      </c>
      <c r="AC15" s="66">
        <f>+SUM(E15:AB15)*D15+SUM(E16:AB16)*D16+SUM(E17:AB17)*D17+SUM(E18:AB18)*D18</f>
        <v>6649857.8199999994</v>
      </c>
      <c r="AE15" s="11">
        <f>+AC39</f>
        <v>6641795.75</v>
      </c>
      <c r="AG15" s="57"/>
      <c r="AH15" s="57"/>
      <c r="AI15" s="57"/>
      <c r="AJ15" s="57"/>
      <c r="AK15" s="57"/>
    </row>
    <row r="16" spans="2:37" ht="12.5" x14ac:dyDescent="0.25">
      <c r="B16" s="65" t="s">
        <v>34</v>
      </c>
      <c r="C16" s="4" t="s">
        <v>30</v>
      </c>
      <c r="D16" s="5">
        <v>5</v>
      </c>
      <c r="E16" s="42">
        <v>5551.81</v>
      </c>
      <c r="F16" s="42">
        <v>5208.0200000000004</v>
      </c>
      <c r="G16" s="42">
        <v>5017.6499999999996</v>
      </c>
      <c r="H16" s="42">
        <v>4899.74</v>
      </c>
      <c r="I16" s="42">
        <v>5113.1099999999997</v>
      </c>
      <c r="J16" s="42">
        <v>5604.7</v>
      </c>
      <c r="K16" s="42">
        <v>6489.27</v>
      </c>
      <c r="L16" s="42">
        <v>10452.16</v>
      </c>
      <c r="M16" s="42">
        <v>10549.01</v>
      </c>
      <c r="N16" s="42">
        <v>10795.85</v>
      </c>
      <c r="O16" s="42">
        <v>11132.92</v>
      </c>
      <c r="P16" s="42">
        <v>11331.31</v>
      </c>
      <c r="Q16" s="42">
        <v>11491.15</v>
      </c>
      <c r="R16" s="42">
        <v>11194.07</v>
      </c>
      <c r="S16" s="42">
        <v>11080.3</v>
      </c>
      <c r="T16" s="42">
        <v>11328.36</v>
      </c>
      <c r="U16" s="42">
        <v>11573.75</v>
      </c>
      <c r="V16" s="42">
        <v>9323.14</v>
      </c>
      <c r="W16" s="42">
        <v>10239.17</v>
      </c>
      <c r="X16" s="42">
        <v>10956.88</v>
      </c>
      <c r="Y16" s="42">
        <v>10430.5</v>
      </c>
      <c r="Z16" s="42">
        <v>9669.99</v>
      </c>
      <c r="AA16" s="42">
        <v>8575.01</v>
      </c>
      <c r="AB16" s="42">
        <v>7249.59</v>
      </c>
      <c r="AC16" s="67"/>
      <c r="AE16" s="11">
        <f>+AC43</f>
        <v>6870260.0499999998</v>
      </c>
      <c r="AG16" s="57"/>
      <c r="AH16" s="57"/>
      <c r="AI16" s="57"/>
      <c r="AJ16" s="57"/>
      <c r="AK16" s="57"/>
    </row>
    <row r="17" spans="2:37" ht="12.5" x14ac:dyDescent="0.25">
      <c r="B17" s="65" t="s">
        <v>34</v>
      </c>
      <c r="C17" s="4" t="s">
        <v>31</v>
      </c>
      <c r="D17" s="5">
        <v>5</v>
      </c>
      <c r="E17" s="42">
        <v>6028.04</v>
      </c>
      <c r="F17" s="42">
        <v>5569.25</v>
      </c>
      <c r="G17" s="42">
        <v>5239.34</v>
      </c>
      <c r="H17" s="42">
        <v>5059.26</v>
      </c>
      <c r="I17" s="42">
        <v>5022.1499999999996</v>
      </c>
      <c r="J17" s="42">
        <v>5110.51</v>
      </c>
      <c r="K17" s="42">
        <v>5462.27</v>
      </c>
      <c r="L17" s="42">
        <v>8723.34</v>
      </c>
      <c r="M17" s="42">
        <v>9316.7999999999993</v>
      </c>
      <c r="N17" s="42">
        <v>9487.6299999999992</v>
      </c>
      <c r="O17" s="42">
        <v>9661.3700000000008</v>
      </c>
      <c r="P17" s="42">
        <v>9794.82</v>
      </c>
      <c r="Q17" s="42">
        <v>10017.84</v>
      </c>
      <c r="R17" s="42">
        <v>9925.5499999999993</v>
      </c>
      <c r="S17" s="42">
        <v>9802.33</v>
      </c>
      <c r="T17" s="42">
        <v>9986.6200000000008</v>
      </c>
      <c r="U17" s="42">
        <v>10371.549999999999</v>
      </c>
      <c r="V17" s="42">
        <v>8576.56</v>
      </c>
      <c r="W17" s="42">
        <v>9458.4500000000007</v>
      </c>
      <c r="X17" s="42">
        <v>10211.08</v>
      </c>
      <c r="Y17" s="42">
        <v>9967.34</v>
      </c>
      <c r="Z17" s="42">
        <v>9203.2800000000007</v>
      </c>
      <c r="AA17" s="42">
        <v>7966.57</v>
      </c>
      <c r="AB17" s="42">
        <v>6558.26</v>
      </c>
      <c r="AC17" s="67"/>
      <c r="AE17" s="11">
        <f>+AC47</f>
        <v>6739255.9000000004</v>
      </c>
      <c r="AG17" s="57"/>
      <c r="AH17" s="57"/>
      <c r="AI17" s="57"/>
      <c r="AJ17" s="57"/>
      <c r="AK17" s="57"/>
    </row>
    <row r="18" spans="2:37" ht="12.5" x14ac:dyDescent="0.25">
      <c r="B18" s="65" t="s">
        <v>34</v>
      </c>
      <c r="C18" s="4" t="s">
        <v>32</v>
      </c>
      <c r="D18" s="5">
        <v>1</v>
      </c>
      <c r="E18" s="42">
        <v>5925.99</v>
      </c>
      <c r="F18" s="42">
        <v>5608.8</v>
      </c>
      <c r="G18" s="42">
        <v>5413.14</v>
      </c>
      <c r="H18" s="42">
        <v>5364.64</v>
      </c>
      <c r="I18" s="42">
        <v>5269.44</v>
      </c>
      <c r="J18" s="42">
        <v>5433.36</v>
      </c>
      <c r="K18" s="42">
        <v>5658.76</v>
      </c>
      <c r="L18" s="42">
        <v>8890.49</v>
      </c>
      <c r="M18" s="42">
        <v>9450.1299999999992</v>
      </c>
      <c r="N18" s="42">
        <v>9789.52</v>
      </c>
      <c r="O18" s="42">
        <v>10450.9</v>
      </c>
      <c r="P18" s="42">
        <v>11053.31</v>
      </c>
      <c r="Q18" s="42">
        <v>11282.61</v>
      </c>
      <c r="R18" s="42">
        <v>11551.64</v>
      </c>
      <c r="S18" s="42">
        <v>11665.72</v>
      </c>
      <c r="T18" s="42">
        <v>11659.79</v>
      </c>
      <c r="U18" s="42">
        <v>11210.14</v>
      </c>
      <c r="V18" s="42">
        <v>9361.1200000000008</v>
      </c>
      <c r="W18" s="42">
        <v>10833.49</v>
      </c>
      <c r="X18" s="42">
        <v>11075.91</v>
      </c>
      <c r="Y18" s="42">
        <v>10534.22</v>
      </c>
      <c r="Z18" s="42">
        <v>9068.2099999999991</v>
      </c>
      <c r="AA18" s="42">
        <v>7278.62</v>
      </c>
      <c r="AB18" s="42">
        <v>6006.72</v>
      </c>
      <c r="AC18" s="68"/>
      <c r="AE18" s="11">
        <f>+AC51</f>
        <v>6968061.8800000008</v>
      </c>
      <c r="AG18" s="57"/>
      <c r="AH18" s="57"/>
      <c r="AI18" s="57"/>
      <c r="AJ18" s="57"/>
      <c r="AK18" s="57"/>
    </row>
    <row r="19" spans="2:37" ht="13" x14ac:dyDescent="0.3">
      <c r="B19" s="65" t="s">
        <v>35</v>
      </c>
      <c r="C19" s="4" t="s">
        <v>29</v>
      </c>
      <c r="D19" s="5">
        <v>20</v>
      </c>
      <c r="E19" s="42">
        <v>5777.15</v>
      </c>
      <c r="F19" s="42">
        <v>5456.15</v>
      </c>
      <c r="G19" s="42">
        <v>5276.87</v>
      </c>
      <c r="H19" s="42">
        <v>5276.96</v>
      </c>
      <c r="I19" s="42">
        <v>5766.15</v>
      </c>
      <c r="J19" s="42">
        <v>7310.04</v>
      </c>
      <c r="K19" s="42">
        <v>8206.09</v>
      </c>
      <c r="L19" s="42">
        <v>11003</v>
      </c>
      <c r="M19" s="42">
        <v>11019.85</v>
      </c>
      <c r="N19" s="42">
        <v>10888.29</v>
      </c>
      <c r="O19" s="42">
        <v>11338.51</v>
      </c>
      <c r="P19" s="42">
        <v>11967.04</v>
      </c>
      <c r="Q19" s="42">
        <v>11673.86</v>
      </c>
      <c r="R19" s="42">
        <v>11835.83</v>
      </c>
      <c r="S19" s="42">
        <v>12271.2</v>
      </c>
      <c r="T19" s="42">
        <v>12377.38</v>
      </c>
      <c r="U19" s="42">
        <v>12464.68</v>
      </c>
      <c r="V19" s="42">
        <v>10394.969999999999</v>
      </c>
      <c r="W19" s="42">
        <v>11252.38</v>
      </c>
      <c r="X19" s="42">
        <v>11517.39</v>
      </c>
      <c r="Y19" s="42">
        <v>10820.19</v>
      </c>
      <c r="Z19" s="42">
        <v>9792.81</v>
      </c>
      <c r="AA19" s="42">
        <v>8255.02</v>
      </c>
      <c r="AB19" s="42">
        <v>7052.96</v>
      </c>
      <c r="AC19" s="66">
        <f>+SUM(E19:AB19)*D19+SUM(E20:AB20)*D20+SUM(E21:AB21)*D21+SUM(E22:AB22)*D22</f>
        <v>6673237.8800000008</v>
      </c>
      <c r="AE19" s="12">
        <f>SUM(AE7:AE18)</f>
        <v>80971716.430000007</v>
      </c>
      <c r="AG19" s="57"/>
      <c r="AH19" s="57"/>
      <c r="AI19" s="57"/>
      <c r="AJ19" s="57"/>
      <c r="AK19" s="57"/>
    </row>
    <row r="20" spans="2:37" ht="12.5" x14ac:dyDescent="0.25">
      <c r="B20" s="65" t="s">
        <v>35</v>
      </c>
      <c r="C20" s="4" t="s">
        <v>30</v>
      </c>
      <c r="D20" s="5">
        <v>4</v>
      </c>
      <c r="E20" s="42">
        <v>6084.71</v>
      </c>
      <c r="F20" s="42">
        <v>5622.53</v>
      </c>
      <c r="G20" s="42">
        <v>5443.73</v>
      </c>
      <c r="H20" s="42">
        <v>5362.98</v>
      </c>
      <c r="I20" s="42">
        <v>5438.99</v>
      </c>
      <c r="J20" s="42">
        <v>5699.65</v>
      </c>
      <c r="K20" s="42">
        <v>6115.35</v>
      </c>
      <c r="L20" s="42">
        <v>10038.18</v>
      </c>
      <c r="M20" s="42">
        <v>10335.73</v>
      </c>
      <c r="N20" s="42">
        <v>10520.47</v>
      </c>
      <c r="O20" s="42">
        <v>10950.57</v>
      </c>
      <c r="P20" s="42">
        <v>11440.01</v>
      </c>
      <c r="Q20" s="42">
        <v>11628.87</v>
      </c>
      <c r="R20" s="42">
        <v>11423.35</v>
      </c>
      <c r="S20" s="42">
        <v>11428.44</v>
      </c>
      <c r="T20" s="42">
        <v>11572.75</v>
      </c>
      <c r="U20" s="42">
        <v>11821.86</v>
      </c>
      <c r="V20" s="42">
        <v>9422.41</v>
      </c>
      <c r="W20" s="42">
        <v>10571.98</v>
      </c>
      <c r="X20" s="42">
        <v>10972.52</v>
      </c>
      <c r="Y20" s="42">
        <v>10295.18</v>
      </c>
      <c r="Z20" s="42">
        <v>9542.6</v>
      </c>
      <c r="AA20" s="42">
        <v>8662.86</v>
      </c>
      <c r="AB20" s="42">
        <v>8155.85</v>
      </c>
      <c r="AC20" s="67"/>
      <c r="AG20" s="57"/>
      <c r="AH20" s="57"/>
      <c r="AI20" s="57"/>
      <c r="AJ20" s="57"/>
      <c r="AK20" s="57"/>
    </row>
    <row r="21" spans="2:37" ht="12.5" x14ac:dyDescent="0.25">
      <c r="B21" s="65" t="s">
        <v>35</v>
      </c>
      <c r="C21" s="4" t="s">
        <v>31</v>
      </c>
      <c r="D21" s="5">
        <v>4</v>
      </c>
      <c r="E21" s="42">
        <v>6524.41</v>
      </c>
      <c r="F21" s="42">
        <v>6013.13</v>
      </c>
      <c r="G21" s="42">
        <v>5682.71</v>
      </c>
      <c r="H21" s="42">
        <v>5408.93</v>
      </c>
      <c r="I21" s="42">
        <v>5347.12</v>
      </c>
      <c r="J21" s="42">
        <v>5266.31</v>
      </c>
      <c r="K21" s="42">
        <v>5473.45</v>
      </c>
      <c r="L21" s="42">
        <v>8688.17</v>
      </c>
      <c r="M21" s="42">
        <v>9216.5400000000009</v>
      </c>
      <c r="N21" s="42">
        <v>9455.35</v>
      </c>
      <c r="O21" s="42">
        <v>10008.99</v>
      </c>
      <c r="P21" s="42">
        <v>10342.06</v>
      </c>
      <c r="Q21" s="42">
        <v>10612</v>
      </c>
      <c r="R21" s="42">
        <v>10542.76</v>
      </c>
      <c r="S21" s="42">
        <v>10655.37</v>
      </c>
      <c r="T21" s="42">
        <v>10637.91</v>
      </c>
      <c r="U21" s="42">
        <v>10961.78</v>
      </c>
      <c r="V21" s="42">
        <v>8880.99</v>
      </c>
      <c r="W21" s="42">
        <v>10646.77</v>
      </c>
      <c r="X21" s="42">
        <v>10717.9</v>
      </c>
      <c r="Y21" s="42">
        <v>10187.6</v>
      </c>
      <c r="Z21" s="42">
        <v>9227.2000000000007</v>
      </c>
      <c r="AA21" s="42">
        <v>7756.31</v>
      </c>
      <c r="AB21" s="42">
        <v>6615.07</v>
      </c>
      <c r="AC21" s="67"/>
      <c r="AG21" s="57"/>
      <c r="AH21" s="57"/>
      <c r="AI21" s="57"/>
      <c r="AJ21" s="57"/>
      <c r="AK21" s="57"/>
    </row>
    <row r="22" spans="2:37" ht="12.5" x14ac:dyDescent="0.25">
      <c r="B22" s="65" t="s">
        <v>35</v>
      </c>
      <c r="C22" s="4" t="s">
        <v>32</v>
      </c>
      <c r="D22" s="5">
        <v>2</v>
      </c>
      <c r="E22" s="42">
        <v>5845.79</v>
      </c>
      <c r="F22" s="42">
        <v>5475.01</v>
      </c>
      <c r="G22" s="42">
        <v>5244.8</v>
      </c>
      <c r="H22" s="42">
        <v>5010</v>
      </c>
      <c r="I22" s="42">
        <v>5215.95</v>
      </c>
      <c r="J22" s="42">
        <v>5206.4799999999996</v>
      </c>
      <c r="K22" s="42">
        <v>5562.48</v>
      </c>
      <c r="L22" s="42">
        <v>9175.99</v>
      </c>
      <c r="M22" s="42">
        <v>9378.7000000000007</v>
      </c>
      <c r="N22" s="42">
        <v>9225.74</v>
      </c>
      <c r="O22" s="42">
        <v>9307.2800000000007</v>
      </c>
      <c r="P22" s="42">
        <v>9960.27</v>
      </c>
      <c r="Q22" s="42">
        <v>10283.43</v>
      </c>
      <c r="R22" s="42">
        <v>10172.620000000001</v>
      </c>
      <c r="S22" s="42">
        <v>10213.31</v>
      </c>
      <c r="T22" s="42">
        <v>10520.54</v>
      </c>
      <c r="U22" s="42">
        <v>10649.3</v>
      </c>
      <c r="V22" s="42">
        <v>8871.59</v>
      </c>
      <c r="W22" s="42">
        <v>9589.64</v>
      </c>
      <c r="X22" s="42">
        <v>9986.4599999999991</v>
      </c>
      <c r="Y22" s="42">
        <v>9434.58</v>
      </c>
      <c r="Z22" s="42">
        <v>9258.4500000000007</v>
      </c>
      <c r="AA22" s="42">
        <v>8564.1299999999992</v>
      </c>
      <c r="AB22" s="42">
        <v>7677.9</v>
      </c>
      <c r="AC22" s="68"/>
      <c r="AG22" s="57"/>
      <c r="AH22" s="57"/>
      <c r="AI22" s="57"/>
      <c r="AJ22" s="57"/>
      <c r="AK22" s="57"/>
    </row>
    <row r="23" spans="2:37" ht="12.5" x14ac:dyDescent="0.25">
      <c r="B23" s="65" t="s">
        <v>36</v>
      </c>
      <c r="C23" s="4" t="s">
        <v>29</v>
      </c>
      <c r="D23" s="5">
        <v>22</v>
      </c>
      <c r="E23" s="42">
        <v>5555.99</v>
      </c>
      <c r="F23" s="42">
        <v>5511.21</v>
      </c>
      <c r="G23" s="42">
        <v>5211.92</v>
      </c>
      <c r="H23" s="42">
        <v>5122.3</v>
      </c>
      <c r="I23" s="42">
        <v>5545.94</v>
      </c>
      <c r="J23" s="42">
        <v>6861.12</v>
      </c>
      <c r="K23" s="42">
        <v>7748.61</v>
      </c>
      <c r="L23" s="42">
        <v>10585.89</v>
      </c>
      <c r="M23" s="42">
        <v>10473.08</v>
      </c>
      <c r="N23" s="42">
        <v>10538.62</v>
      </c>
      <c r="O23" s="42">
        <v>10902.53</v>
      </c>
      <c r="P23" s="42">
        <v>11353.56</v>
      </c>
      <c r="Q23" s="42">
        <v>11131.17</v>
      </c>
      <c r="R23" s="42">
        <v>11359.54</v>
      </c>
      <c r="S23" s="42">
        <v>11889.28</v>
      </c>
      <c r="T23" s="42">
        <v>12102.78</v>
      </c>
      <c r="U23" s="42">
        <v>11839.55</v>
      </c>
      <c r="V23" s="42">
        <v>10134.18</v>
      </c>
      <c r="W23" s="42">
        <v>10981.71</v>
      </c>
      <c r="X23" s="42">
        <v>10962.05</v>
      </c>
      <c r="Y23" s="42">
        <v>10552.32</v>
      </c>
      <c r="Z23" s="42">
        <v>9187.1200000000008</v>
      </c>
      <c r="AA23" s="42">
        <v>7995.17</v>
      </c>
      <c r="AB23" s="42">
        <v>6834.42</v>
      </c>
      <c r="AC23" s="66">
        <f>+SUM(E23:AB23)*D23+SUM(E24:AB24)*D24+SUM(E25:AB25)*D25+SUM(E26:AB26)*D26</f>
        <v>6654884.7400000002</v>
      </c>
      <c r="AG23" s="57"/>
      <c r="AH23" s="57"/>
      <c r="AI23" s="57"/>
      <c r="AJ23" s="57"/>
      <c r="AK23" s="57"/>
    </row>
    <row r="24" spans="2:37" ht="12.5" x14ac:dyDescent="0.25">
      <c r="B24" s="65" t="s">
        <v>36</v>
      </c>
      <c r="C24" s="4" t="s">
        <v>30</v>
      </c>
      <c r="D24" s="5">
        <v>4</v>
      </c>
      <c r="E24" s="42">
        <v>5922.8</v>
      </c>
      <c r="F24" s="42">
        <v>5541.89</v>
      </c>
      <c r="G24" s="42">
        <v>5271.35</v>
      </c>
      <c r="H24" s="42">
        <v>5187.7</v>
      </c>
      <c r="I24" s="42">
        <v>5285.01</v>
      </c>
      <c r="J24" s="42">
        <v>5458.43</v>
      </c>
      <c r="K24" s="42">
        <v>5997.61</v>
      </c>
      <c r="L24" s="42">
        <v>9819.5499999999993</v>
      </c>
      <c r="M24" s="42">
        <v>10289.969999999999</v>
      </c>
      <c r="N24" s="42">
        <v>10556.86</v>
      </c>
      <c r="O24" s="42">
        <v>10785.6</v>
      </c>
      <c r="P24" s="42">
        <v>10957.24</v>
      </c>
      <c r="Q24" s="42">
        <v>11007.6</v>
      </c>
      <c r="R24" s="42">
        <v>10983.29</v>
      </c>
      <c r="S24" s="42">
        <v>11092.59</v>
      </c>
      <c r="T24" s="42">
        <v>10940.3</v>
      </c>
      <c r="U24" s="42">
        <v>11268.35</v>
      </c>
      <c r="V24" s="42">
        <v>9298.26</v>
      </c>
      <c r="W24" s="42">
        <v>9684.2099999999991</v>
      </c>
      <c r="X24" s="42">
        <v>10028.620000000001</v>
      </c>
      <c r="Y24" s="42">
        <v>9502.7800000000007</v>
      </c>
      <c r="Z24" s="42">
        <v>8645.43</v>
      </c>
      <c r="AA24" s="42">
        <v>7968.71</v>
      </c>
      <c r="AB24" s="42">
        <v>6958.59</v>
      </c>
      <c r="AC24" s="67"/>
      <c r="AG24" s="57"/>
      <c r="AH24" s="57"/>
      <c r="AI24" s="57"/>
      <c r="AJ24" s="57"/>
      <c r="AK24" s="57"/>
    </row>
    <row r="25" spans="2:37" ht="12.5" x14ac:dyDescent="0.25">
      <c r="B25" s="65" t="s">
        <v>36</v>
      </c>
      <c r="C25" s="4" t="s">
        <v>31</v>
      </c>
      <c r="D25" s="5">
        <v>4</v>
      </c>
      <c r="E25" s="42">
        <v>5831.46</v>
      </c>
      <c r="F25" s="42">
        <v>5452.56</v>
      </c>
      <c r="G25" s="42">
        <v>5212.8900000000003</v>
      </c>
      <c r="H25" s="42">
        <v>4988.2</v>
      </c>
      <c r="I25" s="42">
        <v>5067.55</v>
      </c>
      <c r="J25" s="42">
        <v>4950.16</v>
      </c>
      <c r="K25" s="42">
        <v>5317.93</v>
      </c>
      <c r="L25" s="42">
        <v>8540.3700000000008</v>
      </c>
      <c r="M25" s="42">
        <v>9005.7999999999993</v>
      </c>
      <c r="N25" s="42">
        <v>9175.84</v>
      </c>
      <c r="O25" s="42">
        <v>9420.42</v>
      </c>
      <c r="P25" s="42">
        <v>9545.25</v>
      </c>
      <c r="Q25" s="42">
        <v>9759.35</v>
      </c>
      <c r="R25" s="42">
        <v>9957.26</v>
      </c>
      <c r="S25" s="42">
        <v>9711.7199999999993</v>
      </c>
      <c r="T25" s="42">
        <v>9710.27</v>
      </c>
      <c r="U25" s="42">
        <v>10056.450000000001</v>
      </c>
      <c r="V25" s="42">
        <v>8514.6200000000008</v>
      </c>
      <c r="W25" s="42">
        <v>9405.48</v>
      </c>
      <c r="X25" s="42">
        <v>9697.7099999999991</v>
      </c>
      <c r="Y25" s="42">
        <v>9305.59</v>
      </c>
      <c r="Z25" s="42">
        <v>8614.7999999999993</v>
      </c>
      <c r="AA25" s="42">
        <v>7250.55</v>
      </c>
      <c r="AB25" s="42">
        <v>6443.77</v>
      </c>
      <c r="AC25" s="67"/>
      <c r="AG25" s="57"/>
      <c r="AH25" s="57"/>
      <c r="AI25" s="57"/>
      <c r="AJ25" s="57"/>
      <c r="AK25" s="57"/>
    </row>
    <row r="26" spans="2:37" ht="12.5" x14ac:dyDescent="0.25">
      <c r="B26" s="65" t="s">
        <v>36</v>
      </c>
      <c r="C26" s="4" t="s">
        <v>32</v>
      </c>
      <c r="D26" s="5">
        <v>1</v>
      </c>
      <c r="E26" s="42">
        <v>6020.43</v>
      </c>
      <c r="F26" s="42">
        <v>5630.23</v>
      </c>
      <c r="G26" s="42">
        <v>5433.72</v>
      </c>
      <c r="H26" s="42">
        <v>5297.23</v>
      </c>
      <c r="I26" s="42">
        <v>5350.81</v>
      </c>
      <c r="J26" s="42">
        <v>5477.03</v>
      </c>
      <c r="K26" s="42">
        <v>5736.07</v>
      </c>
      <c r="L26" s="42">
        <v>9173.86</v>
      </c>
      <c r="M26" s="42">
        <v>9603.56</v>
      </c>
      <c r="N26" s="42">
        <v>10158.39</v>
      </c>
      <c r="O26" s="42">
        <v>10455.09</v>
      </c>
      <c r="P26" s="42">
        <v>11244.69</v>
      </c>
      <c r="Q26" s="42">
        <v>11526.54</v>
      </c>
      <c r="R26" s="42">
        <v>11377.05</v>
      </c>
      <c r="S26" s="42">
        <v>10808.05</v>
      </c>
      <c r="T26" s="42">
        <v>11016.14</v>
      </c>
      <c r="U26" s="42">
        <v>10818.51</v>
      </c>
      <c r="V26" s="42">
        <v>9475.3700000000008</v>
      </c>
      <c r="W26" s="42">
        <v>10104.32</v>
      </c>
      <c r="X26" s="42">
        <v>10240.99</v>
      </c>
      <c r="Y26" s="42">
        <v>9825.02</v>
      </c>
      <c r="Z26" s="42">
        <v>9188.08</v>
      </c>
      <c r="AA26" s="42">
        <v>7987.31</v>
      </c>
      <c r="AB26" s="42">
        <v>7019.97</v>
      </c>
      <c r="AC26" s="68"/>
      <c r="AG26" s="57"/>
      <c r="AH26" s="57"/>
      <c r="AI26" s="57"/>
      <c r="AJ26" s="57"/>
      <c r="AK26" s="57"/>
    </row>
    <row r="27" spans="2:37" ht="12.5" x14ac:dyDescent="0.25">
      <c r="B27" s="65" t="s">
        <v>37</v>
      </c>
      <c r="C27" s="4" t="s">
        <v>29</v>
      </c>
      <c r="D27" s="5">
        <v>18</v>
      </c>
      <c r="E27" s="42">
        <v>5667.16</v>
      </c>
      <c r="F27" s="42">
        <v>5371.86</v>
      </c>
      <c r="G27" s="42">
        <v>5263.08</v>
      </c>
      <c r="H27" s="42">
        <v>5208.3900000000003</v>
      </c>
      <c r="I27" s="42">
        <v>5674.46</v>
      </c>
      <c r="J27" s="42">
        <v>6859.17</v>
      </c>
      <c r="K27" s="42">
        <v>7909.76</v>
      </c>
      <c r="L27" s="42">
        <v>11379.09</v>
      </c>
      <c r="M27" s="42">
        <v>11320.81</v>
      </c>
      <c r="N27" s="42">
        <v>11541.24</v>
      </c>
      <c r="O27" s="42">
        <v>11948.9</v>
      </c>
      <c r="P27" s="42">
        <v>12319.69</v>
      </c>
      <c r="Q27" s="42">
        <v>12254.63</v>
      </c>
      <c r="R27" s="42">
        <v>12213.28</v>
      </c>
      <c r="S27" s="42">
        <v>12516.64</v>
      </c>
      <c r="T27" s="42">
        <v>12511.04</v>
      </c>
      <c r="U27" s="42">
        <v>12623.73</v>
      </c>
      <c r="V27" s="42">
        <v>10178.83</v>
      </c>
      <c r="W27" s="42">
        <v>11105.28</v>
      </c>
      <c r="X27" s="42">
        <v>11305.15</v>
      </c>
      <c r="Y27" s="42">
        <v>10656.82</v>
      </c>
      <c r="Z27" s="42">
        <v>9545.4699999999993</v>
      </c>
      <c r="AA27" s="42">
        <v>8116.53</v>
      </c>
      <c r="AB27" s="42">
        <v>6856.21</v>
      </c>
      <c r="AC27" s="66">
        <f>+SUM(E27:AB27)*D27+SUM(E28:AB28)*D28+SUM(E29:AB29)*D29+SUM(E30:AB30)*D30</f>
        <v>6702759.29</v>
      </c>
      <c r="AG27" s="57"/>
      <c r="AH27" s="57"/>
      <c r="AI27" s="57"/>
      <c r="AJ27" s="57"/>
      <c r="AK27" s="57"/>
    </row>
    <row r="28" spans="2:37" ht="12.5" x14ac:dyDescent="0.25">
      <c r="B28" s="65" t="s">
        <v>37</v>
      </c>
      <c r="C28" s="4" t="s">
        <v>30</v>
      </c>
      <c r="D28" s="5">
        <v>5</v>
      </c>
      <c r="E28" s="42">
        <v>5815.55</v>
      </c>
      <c r="F28" s="42">
        <v>5459.48</v>
      </c>
      <c r="G28" s="42">
        <v>5253.75</v>
      </c>
      <c r="H28" s="42">
        <v>5145.42</v>
      </c>
      <c r="I28" s="42">
        <v>5325.71</v>
      </c>
      <c r="J28" s="42">
        <v>5692.52</v>
      </c>
      <c r="K28" s="42">
        <v>6429.25</v>
      </c>
      <c r="L28" s="42">
        <v>10684.46</v>
      </c>
      <c r="M28" s="42">
        <v>11158.8</v>
      </c>
      <c r="N28" s="42">
        <v>11445.52</v>
      </c>
      <c r="O28" s="42">
        <v>11809.2</v>
      </c>
      <c r="P28" s="42">
        <v>11959.16</v>
      </c>
      <c r="Q28" s="42">
        <v>11998.21</v>
      </c>
      <c r="R28" s="42">
        <v>11750.22</v>
      </c>
      <c r="S28" s="42">
        <v>11475.75</v>
      </c>
      <c r="T28" s="42">
        <v>11451.08</v>
      </c>
      <c r="U28" s="42">
        <v>11501.39</v>
      </c>
      <c r="V28" s="42">
        <v>9427.5400000000009</v>
      </c>
      <c r="W28" s="42">
        <v>10229.9</v>
      </c>
      <c r="X28" s="42">
        <v>10737.85</v>
      </c>
      <c r="Y28" s="42">
        <v>10238.69</v>
      </c>
      <c r="Z28" s="42">
        <v>9420.61</v>
      </c>
      <c r="AA28" s="42">
        <v>8467.99</v>
      </c>
      <c r="AB28" s="42">
        <v>7314.09</v>
      </c>
      <c r="AC28" s="67"/>
      <c r="AG28" s="57"/>
      <c r="AH28" s="57"/>
      <c r="AI28" s="57"/>
      <c r="AJ28" s="57"/>
      <c r="AK28" s="57"/>
    </row>
    <row r="29" spans="2:37" ht="12.5" x14ac:dyDescent="0.25">
      <c r="B29" s="65" t="s">
        <v>37</v>
      </c>
      <c r="C29" s="4" t="s">
        <v>31</v>
      </c>
      <c r="D29" s="5">
        <v>5</v>
      </c>
      <c r="E29" s="42">
        <v>6424.27</v>
      </c>
      <c r="F29" s="42">
        <v>5868.76</v>
      </c>
      <c r="G29" s="42">
        <v>5599.21</v>
      </c>
      <c r="H29" s="42">
        <v>5469.37</v>
      </c>
      <c r="I29" s="42">
        <v>5360.19</v>
      </c>
      <c r="J29" s="42">
        <v>5310.6</v>
      </c>
      <c r="K29" s="42">
        <v>5585.81</v>
      </c>
      <c r="L29" s="42">
        <v>9243.9</v>
      </c>
      <c r="M29" s="42">
        <v>9893.98</v>
      </c>
      <c r="N29" s="42">
        <v>10459.41</v>
      </c>
      <c r="O29" s="42">
        <v>10721.86</v>
      </c>
      <c r="P29" s="42">
        <v>10903.62</v>
      </c>
      <c r="Q29" s="42">
        <v>10948.61</v>
      </c>
      <c r="R29" s="42">
        <v>10913.11</v>
      </c>
      <c r="S29" s="42">
        <v>10649.15</v>
      </c>
      <c r="T29" s="42">
        <v>10711.68</v>
      </c>
      <c r="U29" s="42">
        <v>10928.78</v>
      </c>
      <c r="V29" s="42">
        <v>8937.1299999999992</v>
      </c>
      <c r="W29" s="42">
        <v>9709.33</v>
      </c>
      <c r="X29" s="42">
        <v>10278.530000000001</v>
      </c>
      <c r="Y29" s="42">
        <v>9922.9599999999991</v>
      </c>
      <c r="Z29" s="42">
        <v>9195.8799999999992</v>
      </c>
      <c r="AA29" s="42">
        <v>8127.06</v>
      </c>
      <c r="AB29" s="42">
        <v>6903.27</v>
      </c>
      <c r="AC29" s="67"/>
      <c r="AG29" s="57"/>
      <c r="AH29" s="57"/>
      <c r="AI29" s="57"/>
      <c r="AJ29" s="57"/>
      <c r="AK29" s="57"/>
    </row>
    <row r="30" spans="2:37" ht="12.5" x14ac:dyDescent="0.25">
      <c r="B30" s="65" t="s">
        <v>37</v>
      </c>
      <c r="C30" s="4" t="s">
        <v>32</v>
      </c>
      <c r="D30" s="5">
        <v>2</v>
      </c>
      <c r="E30" s="42">
        <v>5799.19</v>
      </c>
      <c r="F30" s="42">
        <v>5471.53</v>
      </c>
      <c r="G30" s="42">
        <v>5249.9</v>
      </c>
      <c r="H30" s="42">
        <v>5159.6000000000004</v>
      </c>
      <c r="I30" s="42">
        <v>5179.92</v>
      </c>
      <c r="J30" s="42">
        <v>5238.0200000000004</v>
      </c>
      <c r="K30" s="42">
        <v>5361.99</v>
      </c>
      <c r="L30" s="42">
        <v>9028.32</v>
      </c>
      <c r="M30" s="42">
        <v>9273.02</v>
      </c>
      <c r="N30" s="42">
        <v>9651.9699999999993</v>
      </c>
      <c r="O30" s="42">
        <v>10599.96</v>
      </c>
      <c r="P30" s="42">
        <v>11010.16</v>
      </c>
      <c r="Q30" s="42">
        <v>11549.75</v>
      </c>
      <c r="R30" s="42">
        <v>11531.9</v>
      </c>
      <c r="S30" s="42">
        <v>11380.55</v>
      </c>
      <c r="T30" s="42">
        <v>11346.98</v>
      </c>
      <c r="U30" s="42">
        <v>11300.35</v>
      </c>
      <c r="V30" s="42">
        <v>9019.17</v>
      </c>
      <c r="W30" s="42">
        <v>9911.4</v>
      </c>
      <c r="X30" s="42">
        <v>10366.59</v>
      </c>
      <c r="Y30" s="42">
        <v>10042.81</v>
      </c>
      <c r="Z30" s="42">
        <v>9314.41</v>
      </c>
      <c r="AA30" s="42">
        <v>8032.76</v>
      </c>
      <c r="AB30" s="42">
        <v>6787.89</v>
      </c>
      <c r="AC30" s="68"/>
      <c r="AG30" s="57"/>
      <c r="AH30" s="57"/>
      <c r="AI30" s="57"/>
      <c r="AJ30" s="57"/>
      <c r="AK30" s="57"/>
    </row>
    <row r="31" spans="2:37" ht="12.5" x14ac:dyDescent="0.25">
      <c r="B31" s="65" t="s">
        <v>38</v>
      </c>
      <c r="C31" s="4" t="s">
        <v>29</v>
      </c>
      <c r="D31" s="5">
        <v>21</v>
      </c>
      <c r="E31" s="42">
        <v>5882.93</v>
      </c>
      <c r="F31" s="42">
        <v>5596.89</v>
      </c>
      <c r="G31" s="42">
        <v>5433.64</v>
      </c>
      <c r="H31" s="42">
        <v>5447.35</v>
      </c>
      <c r="I31" s="42">
        <v>5890.37</v>
      </c>
      <c r="J31" s="42">
        <v>7218.46</v>
      </c>
      <c r="K31" s="42">
        <v>8319.68</v>
      </c>
      <c r="L31" s="42">
        <v>11312.5</v>
      </c>
      <c r="M31" s="42">
        <v>11299.89</v>
      </c>
      <c r="N31" s="42">
        <v>11477.45</v>
      </c>
      <c r="O31" s="42">
        <v>11674.71</v>
      </c>
      <c r="P31" s="42">
        <v>12375.56</v>
      </c>
      <c r="Q31" s="42">
        <v>12159.69</v>
      </c>
      <c r="R31" s="42">
        <v>12170.4</v>
      </c>
      <c r="S31" s="42">
        <v>12424.8</v>
      </c>
      <c r="T31" s="42">
        <v>12459.7</v>
      </c>
      <c r="U31" s="42">
        <v>12418.88</v>
      </c>
      <c r="V31" s="42">
        <v>10244.6</v>
      </c>
      <c r="W31" s="42">
        <v>10866.12</v>
      </c>
      <c r="X31" s="42">
        <v>11561.42</v>
      </c>
      <c r="Y31" s="42">
        <v>11034.56</v>
      </c>
      <c r="Z31" s="42">
        <v>9922.2800000000007</v>
      </c>
      <c r="AA31" s="42">
        <v>8328.1200000000008</v>
      </c>
      <c r="AB31" s="42">
        <v>7179.53</v>
      </c>
      <c r="AC31" s="66">
        <f>+SUM(E31:AB31)*D31+SUM(E32:AB32)*D32+SUM(E33:AB33)*D33+SUM(E34:AB34)*D34</f>
        <v>6962958.8199999994</v>
      </c>
      <c r="AG31" s="57"/>
      <c r="AH31" s="57"/>
      <c r="AI31" s="57"/>
      <c r="AJ31" s="57"/>
      <c r="AK31" s="57"/>
    </row>
    <row r="32" spans="2:37" ht="12.5" x14ac:dyDescent="0.25">
      <c r="B32" s="65" t="s">
        <v>38</v>
      </c>
      <c r="C32" s="4" t="s">
        <v>30</v>
      </c>
      <c r="D32" s="5">
        <v>3</v>
      </c>
      <c r="E32" s="42">
        <v>6430.54</v>
      </c>
      <c r="F32" s="42">
        <v>6036.01</v>
      </c>
      <c r="G32" s="42">
        <v>5772.85</v>
      </c>
      <c r="H32" s="42">
        <v>5676.39</v>
      </c>
      <c r="I32" s="42">
        <v>5786.11</v>
      </c>
      <c r="J32" s="42">
        <v>6014.36</v>
      </c>
      <c r="K32" s="42">
        <v>6702.69</v>
      </c>
      <c r="L32" s="42">
        <v>10734.74</v>
      </c>
      <c r="M32" s="42">
        <v>11220.01</v>
      </c>
      <c r="N32" s="42">
        <v>11499.7</v>
      </c>
      <c r="O32" s="42">
        <v>11658.06</v>
      </c>
      <c r="P32" s="42">
        <v>12060.99</v>
      </c>
      <c r="Q32" s="42">
        <v>12240.22</v>
      </c>
      <c r="R32" s="42">
        <v>12041.28</v>
      </c>
      <c r="S32" s="42">
        <v>11860.18</v>
      </c>
      <c r="T32" s="42">
        <v>11651.7</v>
      </c>
      <c r="U32" s="42">
        <v>11519.53</v>
      </c>
      <c r="V32" s="42">
        <v>9644.14</v>
      </c>
      <c r="W32" s="42">
        <v>10071.94</v>
      </c>
      <c r="X32" s="42">
        <v>10744.64</v>
      </c>
      <c r="Y32" s="42">
        <v>10163.39</v>
      </c>
      <c r="Z32" s="42">
        <v>9269.5499999999993</v>
      </c>
      <c r="AA32" s="42">
        <v>8212.07</v>
      </c>
      <c r="AB32" s="42">
        <v>7195.94</v>
      </c>
      <c r="AC32" s="67"/>
      <c r="AG32" s="57"/>
      <c r="AH32" s="57"/>
      <c r="AI32" s="57"/>
      <c r="AJ32" s="57"/>
      <c r="AK32" s="57"/>
    </row>
    <row r="33" spans="2:37" ht="12.5" x14ac:dyDescent="0.25">
      <c r="B33" s="65" t="s">
        <v>38</v>
      </c>
      <c r="C33" s="4" t="s">
        <v>31</v>
      </c>
      <c r="D33" s="5">
        <v>4</v>
      </c>
      <c r="E33" s="42">
        <v>5917.38</v>
      </c>
      <c r="F33" s="42">
        <v>5507.07</v>
      </c>
      <c r="G33" s="42">
        <v>5316.48</v>
      </c>
      <c r="H33" s="42">
        <v>5196.59</v>
      </c>
      <c r="I33" s="42">
        <v>5120.6000000000004</v>
      </c>
      <c r="J33" s="42">
        <v>5017.18</v>
      </c>
      <c r="K33" s="42">
        <v>5432.17</v>
      </c>
      <c r="L33" s="42">
        <v>8756.08</v>
      </c>
      <c r="M33" s="42">
        <v>9471.8799999999992</v>
      </c>
      <c r="N33" s="42">
        <v>9745</v>
      </c>
      <c r="O33" s="42">
        <v>9970.39</v>
      </c>
      <c r="P33" s="42">
        <v>10529.36</v>
      </c>
      <c r="Q33" s="42">
        <v>10645.48</v>
      </c>
      <c r="R33" s="42">
        <v>10712.37</v>
      </c>
      <c r="S33" s="42">
        <v>10625.8</v>
      </c>
      <c r="T33" s="42">
        <v>10546.73</v>
      </c>
      <c r="U33" s="42">
        <v>10572.6</v>
      </c>
      <c r="V33" s="42">
        <v>8707.34</v>
      </c>
      <c r="W33" s="42">
        <v>9547.82</v>
      </c>
      <c r="X33" s="42">
        <v>10497.96</v>
      </c>
      <c r="Y33" s="42">
        <v>10239.469999999999</v>
      </c>
      <c r="Z33" s="42">
        <v>9166.0400000000009</v>
      </c>
      <c r="AA33" s="42">
        <v>7574.55</v>
      </c>
      <c r="AB33" s="42">
        <v>6381.55</v>
      </c>
      <c r="AC33" s="67"/>
      <c r="AG33" s="57"/>
      <c r="AH33" s="57"/>
      <c r="AI33" s="57"/>
      <c r="AJ33" s="57"/>
      <c r="AK33" s="57"/>
    </row>
    <row r="34" spans="2:37" ht="12.5" x14ac:dyDescent="0.25">
      <c r="B34" s="65" t="s">
        <v>38</v>
      </c>
      <c r="C34" s="4" t="s">
        <v>32</v>
      </c>
      <c r="D34" s="5">
        <v>3</v>
      </c>
      <c r="E34" s="42">
        <v>6950.82</v>
      </c>
      <c r="F34" s="42">
        <v>6468.32</v>
      </c>
      <c r="G34" s="42">
        <v>6017.37</v>
      </c>
      <c r="H34" s="42">
        <v>5560.16</v>
      </c>
      <c r="I34" s="42">
        <v>5522.83</v>
      </c>
      <c r="J34" s="42">
        <v>5069.2700000000004</v>
      </c>
      <c r="K34" s="42">
        <v>5409.67</v>
      </c>
      <c r="L34" s="42">
        <v>8720.81</v>
      </c>
      <c r="M34" s="42">
        <v>9658.07</v>
      </c>
      <c r="N34" s="42">
        <v>9678.0499999999993</v>
      </c>
      <c r="O34" s="42">
        <v>9310.64</v>
      </c>
      <c r="P34" s="42">
        <v>9988.2199999999993</v>
      </c>
      <c r="Q34" s="42">
        <v>10311.91</v>
      </c>
      <c r="R34" s="42">
        <v>10518.01</v>
      </c>
      <c r="S34" s="42">
        <v>9845.7800000000007</v>
      </c>
      <c r="T34" s="42">
        <v>9848.99</v>
      </c>
      <c r="U34" s="42">
        <v>10071.26</v>
      </c>
      <c r="V34" s="42">
        <v>8208.8799999999992</v>
      </c>
      <c r="W34" s="42">
        <v>8765</v>
      </c>
      <c r="X34" s="42">
        <v>9918.02</v>
      </c>
      <c r="Y34" s="42">
        <v>10007.700000000001</v>
      </c>
      <c r="Z34" s="42">
        <v>9119.25</v>
      </c>
      <c r="AA34" s="42">
        <v>7815.98</v>
      </c>
      <c r="AB34" s="42">
        <v>6833.67</v>
      </c>
      <c r="AC34" s="68"/>
      <c r="AG34" s="57"/>
      <c r="AH34" s="57"/>
      <c r="AI34" s="57"/>
      <c r="AJ34" s="57"/>
      <c r="AK34" s="57"/>
    </row>
    <row r="35" spans="2:37" ht="12.5" x14ac:dyDescent="0.25">
      <c r="B35" s="65" t="s">
        <v>39</v>
      </c>
      <c r="C35" s="4" t="s">
        <v>29</v>
      </c>
      <c r="D35" s="5">
        <v>20</v>
      </c>
      <c r="E35" s="42">
        <v>5786.7</v>
      </c>
      <c r="F35" s="42">
        <v>5408.55</v>
      </c>
      <c r="G35" s="42">
        <v>5242.3500000000004</v>
      </c>
      <c r="H35" s="42">
        <v>5197.87</v>
      </c>
      <c r="I35" s="42">
        <v>5692.26</v>
      </c>
      <c r="J35" s="42">
        <v>7193.08</v>
      </c>
      <c r="K35" s="42">
        <v>8407.48</v>
      </c>
      <c r="L35" s="42">
        <v>11296.15</v>
      </c>
      <c r="M35" s="42">
        <v>11064.64</v>
      </c>
      <c r="N35" s="42">
        <v>11107.94</v>
      </c>
      <c r="O35" s="42">
        <v>11388.4</v>
      </c>
      <c r="P35" s="42">
        <v>11836.66</v>
      </c>
      <c r="Q35" s="42">
        <v>11734.15</v>
      </c>
      <c r="R35" s="42">
        <v>11762.18</v>
      </c>
      <c r="S35" s="42">
        <v>12087.83</v>
      </c>
      <c r="T35" s="42">
        <v>12198.71</v>
      </c>
      <c r="U35" s="42">
        <v>12265.86</v>
      </c>
      <c r="V35" s="42">
        <v>10353.969999999999</v>
      </c>
      <c r="W35" s="42">
        <v>11163.01</v>
      </c>
      <c r="X35" s="42">
        <v>11790.94</v>
      </c>
      <c r="Y35" s="42">
        <v>11171.04</v>
      </c>
      <c r="Z35" s="42">
        <v>9944.33</v>
      </c>
      <c r="AA35" s="42">
        <v>8317.57</v>
      </c>
      <c r="AB35" s="42">
        <v>7117.7</v>
      </c>
      <c r="AC35" s="66">
        <f>+SUM(E35:AB35)*D35+SUM(E36:AB36)*D36+SUM(E37:AB37)*D37+SUM(E38:AB38)*D38</f>
        <v>6929047.9799999995</v>
      </c>
      <c r="AG35" s="57"/>
      <c r="AH35" s="57"/>
      <c r="AI35" s="57"/>
      <c r="AJ35" s="57"/>
      <c r="AK35" s="57"/>
    </row>
    <row r="36" spans="2:37" ht="12.5" x14ac:dyDescent="0.25">
      <c r="B36" s="65" t="s">
        <v>39</v>
      </c>
      <c r="C36" s="4" t="s">
        <v>30</v>
      </c>
      <c r="D36" s="5">
        <v>5</v>
      </c>
      <c r="E36" s="42">
        <v>6105.52</v>
      </c>
      <c r="F36" s="42">
        <v>5713.4</v>
      </c>
      <c r="G36" s="42">
        <v>5444.79</v>
      </c>
      <c r="H36" s="42">
        <v>5315.16</v>
      </c>
      <c r="I36" s="42">
        <v>5401.58</v>
      </c>
      <c r="J36" s="42">
        <v>5605.45</v>
      </c>
      <c r="K36" s="42">
        <v>6485.4</v>
      </c>
      <c r="L36" s="42">
        <v>10487.45</v>
      </c>
      <c r="M36" s="42">
        <v>11196.53</v>
      </c>
      <c r="N36" s="42">
        <v>11248.43</v>
      </c>
      <c r="O36" s="42">
        <v>11314.57</v>
      </c>
      <c r="P36" s="42">
        <v>11504.32</v>
      </c>
      <c r="Q36" s="42">
        <v>11685.27</v>
      </c>
      <c r="R36" s="42">
        <v>11945.05</v>
      </c>
      <c r="S36" s="42">
        <v>11666.15</v>
      </c>
      <c r="T36" s="42">
        <v>11605.68</v>
      </c>
      <c r="U36" s="42">
        <v>11533.41</v>
      </c>
      <c r="V36" s="42">
        <v>10027.18</v>
      </c>
      <c r="W36" s="42">
        <v>10578.68</v>
      </c>
      <c r="X36" s="42">
        <v>11035.97</v>
      </c>
      <c r="Y36" s="42">
        <v>10340.68</v>
      </c>
      <c r="Z36" s="42">
        <v>9444.31</v>
      </c>
      <c r="AA36" s="42">
        <v>8154.93</v>
      </c>
      <c r="AB36" s="42">
        <v>7213.29</v>
      </c>
      <c r="AC36" s="67"/>
      <c r="AG36" s="57"/>
      <c r="AH36" s="57"/>
      <c r="AI36" s="57"/>
      <c r="AJ36" s="57"/>
      <c r="AK36" s="57"/>
    </row>
    <row r="37" spans="2:37" ht="12.5" x14ac:dyDescent="0.25">
      <c r="B37" s="65" t="s">
        <v>39</v>
      </c>
      <c r="C37" s="4" t="s">
        <v>31</v>
      </c>
      <c r="D37" s="5">
        <v>4</v>
      </c>
      <c r="E37" s="42">
        <v>5988.07</v>
      </c>
      <c r="F37" s="42">
        <v>5570.34</v>
      </c>
      <c r="G37" s="42">
        <v>5258.02</v>
      </c>
      <c r="H37" s="42">
        <v>5117.6400000000003</v>
      </c>
      <c r="I37" s="42">
        <v>5027.09</v>
      </c>
      <c r="J37" s="42">
        <v>5031.2700000000004</v>
      </c>
      <c r="K37" s="42">
        <v>5260.99</v>
      </c>
      <c r="L37" s="42">
        <v>8744.41</v>
      </c>
      <c r="M37" s="42">
        <v>9330.4</v>
      </c>
      <c r="N37" s="42">
        <v>9818.7800000000007</v>
      </c>
      <c r="O37" s="42">
        <v>10088.57</v>
      </c>
      <c r="P37" s="42">
        <v>10608.76</v>
      </c>
      <c r="Q37" s="42">
        <v>10890.2</v>
      </c>
      <c r="R37" s="42">
        <v>10719.52</v>
      </c>
      <c r="S37" s="42">
        <v>10472.42</v>
      </c>
      <c r="T37" s="42">
        <v>10558.4</v>
      </c>
      <c r="U37" s="42">
        <v>10800.16</v>
      </c>
      <c r="V37" s="42">
        <v>9286.74</v>
      </c>
      <c r="W37" s="42">
        <v>10273.129999999999</v>
      </c>
      <c r="X37" s="42">
        <v>10830.57</v>
      </c>
      <c r="Y37" s="42">
        <v>10303.98</v>
      </c>
      <c r="Z37" s="42">
        <v>9109.73</v>
      </c>
      <c r="AA37" s="42">
        <v>7838.59</v>
      </c>
      <c r="AB37" s="42">
        <v>6794.41</v>
      </c>
      <c r="AC37" s="67"/>
      <c r="AG37" s="57"/>
      <c r="AH37" s="57"/>
      <c r="AI37" s="57"/>
      <c r="AJ37" s="57"/>
      <c r="AK37" s="57"/>
    </row>
    <row r="38" spans="2:37" ht="12.5" x14ac:dyDescent="0.25">
      <c r="B38" s="65" t="s">
        <v>39</v>
      </c>
      <c r="C38" s="4" t="s">
        <v>32</v>
      </c>
      <c r="D38" s="5">
        <v>2</v>
      </c>
      <c r="E38" s="42">
        <v>5922.55</v>
      </c>
      <c r="F38" s="42">
        <v>5414.43</v>
      </c>
      <c r="G38" s="42">
        <v>5305.99</v>
      </c>
      <c r="H38" s="42">
        <v>5243.33</v>
      </c>
      <c r="I38" s="42">
        <v>5376.5</v>
      </c>
      <c r="J38" s="42">
        <v>5487.19</v>
      </c>
      <c r="K38" s="42">
        <v>5792.69</v>
      </c>
      <c r="L38" s="42">
        <v>9212.02</v>
      </c>
      <c r="M38" s="42">
        <v>9677.1200000000008</v>
      </c>
      <c r="N38" s="42">
        <v>9898.6</v>
      </c>
      <c r="O38" s="42">
        <v>10425.549999999999</v>
      </c>
      <c r="P38" s="42">
        <v>10540.7</v>
      </c>
      <c r="Q38" s="42">
        <v>10652.34</v>
      </c>
      <c r="R38" s="42">
        <v>11244.3</v>
      </c>
      <c r="S38" s="42">
        <v>11260.62</v>
      </c>
      <c r="T38" s="42">
        <v>10972.47</v>
      </c>
      <c r="U38" s="42">
        <v>11357.54</v>
      </c>
      <c r="V38" s="42">
        <v>9930.26</v>
      </c>
      <c r="W38" s="42">
        <v>10670.03</v>
      </c>
      <c r="X38" s="42">
        <v>10922.96</v>
      </c>
      <c r="Y38" s="42">
        <v>10260.459999999999</v>
      </c>
      <c r="Z38" s="42">
        <v>9139.41</v>
      </c>
      <c r="AA38" s="42">
        <v>7829.5</v>
      </c>
      <c r="AB38" s="42">
        <v>6616.35</v>
      </c>
      <c r="AC38" s="68"/>
      <c r="AG38" s="57"/>
      <c r="AH38" s="57"/>
      <c r="AI38" s="57"/>
      <c r="AJ38" s="57"/>
      <c r="AK38" s="57"/>
    </row>
    <row r="39" spans="2:37" ht="12.5" x14ac:dyDescent="0.25">
      <c r="B39" s="65" t="s">
        <v>40</v>
      </c>
      <c r="C39" s="4" t="s">
        <v>29</v>
      </c>
      <c r="D39" s="5">
        <v>21</v>
      </c>
      <c r="E39" s="42">
        <v>5633.99</v>
      </c>
      <c r="F39" s="42">
        <v>5305.97</v>
      </c>
      <c r="G39" s="42">
        <v>5175.21</v>
      </c>
      <c r="H39" s="42">
        <v>5088.9399999999996</v>
      </c>
      <c r="I39" s="42">
        <v>5574.63</v>
      </c>
      <c r="J39" s="42">
        <v>6954.71</v>
      </c>
      <c r="K39" s="42">
        <v>8173.55</v>
      </c>
      <c r="L39" s="42">
        <v>11185.08</v>
      </c>
      <c r="M39" s="42">
        <v>10975.75</v>
      </c>
      <c r="N39" s="42">
        <v>11077.44</v>
      </c>
      <c r="O39" s="42">
        <v>11397.42</v>
      </c>
      <c r="P39" s="42">
        <v>12006.4</v>
      </c>
      <c r="Q39" s="42">
        <v>11786.97</v>
      </c>
      <c r="R39" s="42">
        <v>11643.54</v>
      </c>
      <c r="S39" s="42">
        <v>11987.82</v>
      </c>
      <c r="T39" s="42">
        <v>12144.93</v>
      </c>
      <c r="U39" s="42">
        <v>12141.02</v>
      </c>
      <c r="V39" s="42">
        <v>10239.299999999999</v>
      </c>
      <c r="W39" s="42">
        <v>11202.96</v>
      </c>
      <c r="X39" s="42">
        <v>11448.86</v>
      </c>
      <c r="Y39" s="42">
        <v>10834.97</v>
      </c>
      <c r="Z39" s="42">
        <v>9831.57</v>
      </c>
      <c r="AA39" s="42">
        <v>8187.85</v>
      </c>
      <c r="AB39" s="42">
        <v>6844.18</v>
      </c>
      <c r="AC39" s="66">
        <f>+SUM(E39:AB39)*D39+SUM(E40:AB40)*D40+SUM(E41:AB41)*D41+SUM(E42:AB42)*D42</f>
        <v>6641795.75</v>
      </c>
      <c r="AG39" s="57"/>
      <c r="AH39" s="57"/>
      <c r="AI39" s="57"/>
      <c r="AJ39" s="57"/>
      <c r="AK39" s="57"/>
    </row>
    <row r="40" spans="2:37" ht="12.5" x14ac:dyDescent="0.25">
      <c r="B40" s="65" t="s">
        <v>40</v>
      </c>
      <c r="C40" s="4" t="s">
        <v>30</v>
      </c>
      <c r="D40" s="5">
        <v>4</v>
      </c>
      <c r="E40" s="42">
        <v>5713.72</v>
      </c>
      <c r="F40" s="42">
        <v>5321.75</v>
      </c>
      <c r="G40" s="42">
        <v>5163.68</v>
      </c>
      <c r="H40" s="42">
        <v>5078.22</v>
      </c>
      <c r="I40" s="42">
        <v>5193.3900000000003</v>
      </c>
      <c r="J40" s="42">
        <v>5697.17</v>
      </c>
      <c r="K40" s="42">
        <v>6391.39</v>
      </c>
      <c r="L40" s="42">
        <v>10474.11</v>
      </c>
      <c r="M40" s="42">
        <v>10905.94</v>
      </c>
      <c r="N40" s="42">
        <v>11153.42</v>
      </c>
      <c r="O40" s="42">
        <v>11544.6</v>
      </c>
      <c r="P40" s="42">
        <v>11764.55</v>
      </c>
      <c r="Q40" s="42">
        <v>11759.92</v>
      </c>
      <c r="R40" s="42">
        <v>11718.01</v>
      </c>
      <c r="S40" s="42">
        <v>11505.45</v>
      </c>
      <c r="T40" s="42">
        <v>11482.99</v>
      </c>
      <c r="U40" s="42">
        <v>11787.65</v>
      </c>
      <c r="V40" s="42">
        <v>9797.98</v>
      </c>
      <c r="W40" s="42">
        <v>10692.93</v>
      </c>
      <c r="X40" s="42">
        <v>10852.55</v>
      </c>
      <c r="Y40" s="42">
        <v>10207.15</v>
      </c>
      <c r="Z40" s="42">
        <v>9211.2900000000009</v>
      </c>
      <c r="AA40" s="42">
        <v>8264.19</v>
      </c>
      <c r="AB40" s="42">
        <v>7059.91</v>
      </c>
      <c r="AC40" s="67"/>
      <c r="AG40" s="57"/>
      <c r="AH40" s="57"/>
      <c r="AI40" s="57"/>
      <c r="AJ40" s="57"/>
      <c r="AK40" s="57"/>
    </row>
    <row r="41" spans="2:37" ht="12.5" x14ac:dyDescent="0.25">
      <c r="B41" s="65" t="s">
        <v>40</v>
      </c>
      <c r="C41" s="4" t="s">
        <v>31</v>
      </c>
      <c r="D41" s="5">
        <v>5</v>
      </c>
      <c r="E41" s="42">
        <v>5984.97</v>
      </c>
      <c r="F41" s="42">
        <v>5535.99</v>
      </c>
      <c r="G41" s="42">
        <v>5180.57</v>
      </c>
      <c r="H41" s="42">
        <v>5092.24</v>
      </c>
      <c r="I41" s="42">
        <v>4947.08</v>
      </c>
      <c r="J41" s="42">
        <v>4848.8100000000004</v>
      </c>
      <c r="K41" s="42">
        <v>5257.73</v>
      </c>
      <c r="L41" s="42">
        <v>8692.9699999999993</v>
      </c>
      <c r="M41" s="42">
        <v>9061.34</v>
      </c>
      <c r="N41" s="42">
        <v>9442.67</v>
      </c>
      <c r="O41" s="42">
        <v>9921.31</v>
      </c>
      <c r="P41" s="42">
        <v>10478.129999999999</v>
      </c>
      <c r="Q41" s="42">
        <v>10901.43</v>
      </c>
      <c r="R41" s="42">
        <v>10962.34</v>
      </c>
      <c r="S41" s="42">
        <v>10676.79</v>
      </c>
      <c r="T41" s="42">
        <v>10534.66</v>
      </c>
      <c r="U41" s="42">
        <v>10649.72</v>
      </c>
      <c r="V41" s="42">
        <v>9238.26</v>
      </c>
      <c r="W41" s="42">
        <v>9980.56</v>
      </c>
      <c r="X41" s="42">
        <v>10502.51</v>
      </c>
      <c r="Y41" s="42">
        <v>9775.65</v>
      </c>
      <c r="Z41" s="42">
        <v>8991.7999999999993</v>
      </c>
      <c r="AA41" s="42">
        <v>7541.7</v>
      </c>
      <c r="AB41" s="42">
        <v>6425.5</v>
      </c>
      <c r="AC41" s="67"/>
      <c r="AG41" s="57"/>
      <c r="AH41" s="57"/>
      <c r="AI41" s="57"/>
      <c r="AJ41" s="57"/>
      <c r="AK41" s="57"/>
    </row>
    <row r="42" spans="2:37" ht="12.5" x14ac:dyDescent="0.25">
      <c r="B42" s="65" t="s">
        <v>40</v>
      </c>
      <c r="C42" s="4" t="s">
        <v>32</v>
      </c>
      <c r="D42" s="5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68"/>
      <c r="AG42" s="57"/>
      <c r="AH42" s="57"/>
      <c r="AI42" s="57"/>
      <c r="AJ42" s="57"/>
      <c r="AK42" s="57"/>
    </row>
    <row r="43" spans="2:37" ht="12.5" x14ac:dyDescent="0.25">
      <c r="B43" s="65" t="s">
        <v>41</v>
      </c>
      <c r="C43" s="4" t="s">
        <v>29</v>
      </c>
      <c r="D43" s="5">
        <v>22</v>
      </c>
      <c r="E43" s="42">
        <v>5794.28</v>
      </c>
      <c r="F43" s="42">
        <v>5428.01</v>
      </c>
      <c r="G43" s="42">
        <v>5259.4</v>
      </c>
      <c r="H43" s="42">
        <v>5220.62</v>
      </c>
      <c r="I43" s="42">
        <v>5657.88</v>
      </c>
      <c r="J43" s="42">
        <v>6930.56</v>
      </c>
      <c r="K43" s="42">
        <v>7737.2</v>
      </c>
      <c r="L43" s="42">
        <v>10755.84</v>
      </c>
      <c r="M43" s="42">
        <v>10648.68</v>
      </c>
      <c r="N43" s="42">
        <v>10750.63</v>
      </c>
      <c r="O43" s="42">
        <v>11112.36</v>
      </c>
      <c r="P43" s="42">
        <v>11693.1</v>
      </c>
      <c r="Q43" s="42">
        <v>11471.77</v>
      </c>
      <c r="R43" s="42">
        <v>11463.18</v>
      </c>
      <c r="S43" s="42">
        <v>11823.04</v>
      </c>
      <c r="T43" s="42">
        <v>12062.81</v>
      </c>
      <c r="U43" s="42">
        <v>12173.21</v>
      </c>
      <c r="V43" s="42">
        <v>10418.48</v>
      </c>
      <c r="W43" s="42">
        <v>11504.4</v>
      </c>
      <c r="X43" s="42">
        <v>11468.83</v>
      </c>
      <c r="Y43" s="42">
        <v>10862.19</v>
      </c>
      <c r="Z43" s="42">
        <v>10018.11</v>
      </c>
      <c r="AA43" s="42">
        <v>8373.35</v>
      </c>
      <c r="AB43" s="42">
        <v>7079.71</v>
      </c>
      <c r="AC43" s="66">
        <f>+SUM(E43:AB43)*D43+SUM(E44:AB44)*D44+SUM(E45:AB45)*D45+SUM(E46:AB46)*D46</f>
        <v>6870260.0499999998</v>
      </c>
      <c r="AG43" s="57"/>
      <c r="AH43" s="57"/>
      <c r="AI43" s="57"/>
      <c r="AJ43" s="57"/>
      <c r="AK43" s="57"/>
    </row>
    <row r="44" spans="2:37" ht="12.5" x14ac:dyDescent="0.25">
      <c r="B44" s="65" t="s">
        <v>41</v>
      </c>
      <c r="C44" s="4" t="s">
        <v>30</v>
      </c>
      <c r="D44" s="5">
        <v>4</v>
      </c>
      <c r="E44" s="42">
        <v>6073.14</v>
      </c>
      <c r="F44" s="42">
        <v>5631.03</v>
      </c>
      <c r="G44" s="42">
        <v>5430.19</v>
      </c>
      <c r="H44" s="42">
        <v>5309.48</v>
      </c>
      <c r="I44" s="42">
        <v>5357.73</v>
      </c>
      <c r="J44" s="42">
        <v>5598.83</v>
      </c>
      <c r="K44" s="42">
        <v>6084.36</v>
      </c>
      <c r="L44" s="42">
        <v>10040.799999999999</v>
      </c>
      <c r="M44" s="42">
        <v>10445.879999999999</v>
      </c>
      <c r="N44" s="42">
        <v>10804.97</v>
      </c>
      <c r="O44" s="42">
        <v>10971.95</v>
      </c>
      <c r="P44" s="42">
        <v>11373.34</v>
      </c>
      <c r="Q44" s="42">
        <v>11600.42</v>
      </c>
      <c r="R44" s="42">
        <v>11437.09</v>
      </c>
      <c r="S44" s="42">
        <v>11627.57</v>
      </c>
      <c r="T44" s="42">
        <v>11662.41</v>
      </c>
      <c r="U44" s="42">
        <v>11839.9</v>
      </c>
      <c r="V44" s="42">
        <v>9947.07</v>
      </c>
      <c r="W44" s="42">
        <v>11303.64</v>
      </c>
      <c r="X44" s="42">
        <v>11295.58</v>
      </c>
      <c r="Y44" s="42">
        <v>10750.32</v>
      </c>
      <c r="Z44" s="42">
        <v>9913.99</v>
      </c>
      <c r="AA44" s="42">
        <v>8808.1</v>
      </c>
      <c r="AB44" s="42">
        <v>7679.3</v>
      </c>
      <c r="AC44" s="67"/>
      <c r="AG44" s="57"/>
      <c r="AH44" s="57"/>
      <c r="AI44" s="57"/>
      <c r="AJ44" s="57"/>
      <c r="AK44" s="57"/>
    </row>
    <row r="45" spans="2:37" ht="12.5" x14ac:dyDescent="0.25">
      <c r="B45" s="65" t="s">
        <v>41</v>
      </c>
      <c r="C45" s="4" t="s">
        <v>31</v>
      </c>
      <c r="D45" s="5">
        <v>4</v>
      </c>
      <c r="E45" s="42">
        <v>6258.24</v>
      </c>
      <c r="F45" s="42">
        <v>5707.51</v>
      </c>
      <c r="G45" s="42">
        <v>5377.21</v>
      </c>
      <c r="H45" s="42">
        <v>5246.6</v>
      </c>
      <c r="I45" s="42">
        <v>5323.54</v>
      </c>
      <c r="J45" s="42">
        <v>5098.6000000000004</v>
      </c>
      <c r="K45" s="42">
        <v>4985.42</v>
      </c>
      <c r="L45" s="42">
        <v>8141.64</v>
      </c>
      <c r="M45" s="42">
        <v>8879.75</v>
      </c>
      <c r="N45" s="42">
        <v>9372.6299999999992</v>
      </c>
      <c r="O45" s="42">
        <v>10043.27</v>
      </c>
      <c r="P45" s="42">
        <v>10551.46</v>
      </c>
      <c r="Q45" s="42">
        <v>10821.56</v>
      </c>
      <c r="R45" s="42">
        <v>10797.98</v>
      </c>
      <c r="S45" s="42">
        <v>10476.879999999999</v>
      </c>
      <c r="T45" s="42">
        <v>10686.73</v>
      </c>
      <c r="U45" s="42">
        <v>10767.56</v>
      </c>
      <c r="V45" s="42">
        <v>9395.32</v>
      </c>
      <c r="W45" s="42">
        <v>10716</v>
      </c>
      <c r="X45" s="42">
        <v>10839</v>
      </c>
      <c r="Y45" s="42">
        <v>10302.32</v>
      </c>
      <c r="Z45" s="42">
        <v>9324.5499999999993</v>
      </c>
      <c r="AA45" s="42">
        <v>8029.5</v>
      </c>
      <c r="AB45" s="42">
        <v>6950.28</v>
      </c>
      <c r="AC45" s="67"/>
      <c r="AG45" s="57"/>
      <c r="AH45" s="57"/>
      <c r="AI45" s="57"/>
      <c r="AJ45" s="57"/>
      <c r="AK45" s="57"/>
    </row>
    <row r="46" spans="2:37" ht="12.5" x14ac:dyDescent="0.25">
      <c r="B46" s="65" t="s">
        <v>41</v>
      </c>
      <c r="C46" s="4" t="s">
        <v>32</v>
      </c>
      <c r="D46" s="5">
        <v>1</v>
      </c>
      <c r="E46" s="42">
        <v>5582.86</v>
      </c>
      <c r="F46" s="42">
        <v>5270.41</v>
      </c>
      <c r="G46" s="42">
        <v>5042.9799999999996</v>
      </c>
      <c r="H46" s="42">
        <v>5040.04</v>
      </c>
      <c r="I46" s="42">
        <v>5194.4799999999996</v>
      </c>
      <c r="J46" s="42">
        <v>5077.1899999999996</v>
      </c>
      <c r="K46" s="42">
        <v>4953.93</v>
      </c>
      <c r="L46" s="42">
        <v>8293.27</v>
      </c>
      <c r="M46" s="42">
        <v>8783.9</v>
      </c>
      <c r="N46" s="42">
        <v>9590.2999999999993</v>
      </c>
      <c r="O46" s="42">
        <v>10076.56</v>
      </c>
      <c r="P46" s="42">
        <v>10437.049999999999</v>
      </c>
      <c r="Q46" s="42">
        <v>10980.04</v>
      </c>
      <c r="R46" s="42">
        <v>10898.31</v>
      </c>
      <c r="S46" s="42">
        <v>10949.22</v>
      </c>
      <c r="T46" s="42">
        <v>10711.76</v>
      </c>
      <c r="U46" s="42">
        <v>10966.86</v>
      </c>
      <c r="V46" s="42">
        <v>9735.59</v>
      </c>
      <c r="W46" s="42">
        <v>11251.01</v>
      </c>
      <c r="X46" s="42">
        <v>10806.02</v>
      </c>
      <c r="Y46" s="42">
        <v>10512.62</v>
      </c>
      <c r="Z46" s="42">
        <v>9534.7999999999993</v>
      </c>
      <c r="AA46" s="42">
        <v>7992.82</v>
      </c>
      <c r="AB46" s="42">
        <v>6687.39</v>
      </c>
      <c r="AC46" s="68"/>
      <c r="AG46" s="57"/>
      <c r="AH46" s="57"/>
      <c r="AI46" s="57"/>
      <c r="AJ46" s="57"/>
      <c r="AK46" s="57"/>
    </row>
    <row r="47" spans="2:37" ht="12.5" x14ac:dyDescent="0.25">
      <c r="B47" s="65" t="s">
        <v>42</v>
      </c>
      <c r="C47" s="4" t="s">
        <v>29</v>
      </c>
      <c r="D47" s="5">
        <v>19</v>
      </c>
      <c r="E47" s="42">
        <v>5633.48</v>
      </c>
      <c r="F47" s="42">
        <v>5298.61</v>
      </c>
      <c r="G47" s="42">
        <v>5330.06</v>
      </c>
      <c r="H47" s="42">
        <v>5269.14</v>
      </c>
      <c r="I47" s="42">
        <v>5792.95</v>
      </c>
      <c r="J47" s="42">
        <v>7174.51</v>
      </c>
      <c r="K47" s="42">
        <v>8268.82</v>
      </c>
      <c r="L47" s="42">
        <v>11247.86</v>
      </c>
      <c r="M47" s="42">
        <v>11082.01</v>
      </c>
      <c r="N47" s="42">
        <v>11036.48</v>
      </c>
      <c r="O47" s="42">
        <v>11597.95</v>
      </c>
      <c r="P47" s="42">
        <v>12049.29</v>
      </c>
      <c r="Q47" s="42">
        <v>11726.58</v>
      </c>
      <c r="R47" s="42">
        <v>11700.77</v>
      </c>
      <c r="S47" s="42">
        <v>12119.07</v>
      </c>
      <c r="T47" s="42">
        <v>12408.16</v>
      </c>
      <c r="U47" s="42">
        <v>12451.14</v>
      </c>
      <c r="V47" s="42">
        <v>10710.07</v>
      </c>
      <c r="W47" s="42">
        <v>11741.18</v>
      </c>
      <c r="X47" s="42">
        <v>11469.15</v>
      </c>
      <c r="Y47" s="42">
        <v>10934.36</v>
      </c>
      <c r="Z47" s="42">
        <v>9924.7900000000009</v>
      </c>
      <c r="AA47" s="42">
        <v>8266.2800000000007</v>
      </c>
      <c r="AB47" s="42">
        <v>7055.36</v>
      </c>
      <c r="AC47" s="66">
        <f>+SUM(E47:AB47)*D47+SUM(E48:AB48)*D48+SUM(E49:AB49)*D49+SUM(E50:AB50)*D50</f>
        <v>6739255.9000000004</v>
      </c>
      <c r="AG47" s="57"/>
      <c r="AH47" s="57"/>
      <c r="AI47" s="57"/>
      <c r="AJ47" s="57"/>
      <c r="AK47" s="57"/>
    </row>
    <row r="48" spans="2:37" ht="12.5" x14ac:dyDescent="0.25">
      <c r="B48" s="65" t="s">
        <v>42</v>
      </c>
      <c r="C48" s="4" t="s">
        <v>30</v>
      </c>
      <c r="D48" s="5">
        <v>5</v>
      </c>
      <c r="E48" s="42">
        <v>6113.74</v>
      </c>
      <c r="F48" s="42">
        <v>5734.08</v>
      </c>
      <c r="G48" s="42">
        <v>5426.31</v>
      </c>
      <c r="H48" s="42">
        <v>5406.57</v>
      </c>
      <c r="I48" s="42">
        <v>5545.77</v>
      </c>
      <c r="J48" s="42">
        <v>5799.28</v>
      </c>
      <c r="K48" s="42">
        <v>6645.72</v>
      </c>
      <c r="L48" s="42">
        <v>10531.71</v>
      </c>
      <c r="M48" s="42">
        <v>10967.56</v>
      </c>
      <c r="N48" s="42">
        <v>11142.57</v>
      </c>
      <c r="O48" s="42">
        <v>11417.8</v>
      </c>
      <c r="P48" s="42">
        <v>11750.16</v>
      </c>
      <c r="Q48" s="42">
        <v>11650.79</v>
      </c>
      <c r="R48" s="42">
        <v>11546.3</v>
      </c>
      <c r="S48" s="42">
        <v>11535.64</v>
      </c>
      <c r="T48" s="42">
        <v>11587.49</v>
      </c>
      <c r="U48" s="42">
        <v>11797.7</v>
      </c>
      <c r="V48" s="42">
        <v>10281.66</v>
      </c>
      <c r="W48" s="42">
        <v>11346.17</v>
      </c>
      <c r="X48" s="42">
        <v>11322.66</v>
      </c>
      <c r="Y48" s="42">
        <v>10683.95</v>
      </c>
      <c r="Z48" s="42">
        <v>9695.2199999999993</v>
      </c>
      <c r="AA48" s="42">
        <v>8672.1</v>
      </c>
      <c r="AB48" s="42">
        <v>7535.08</v>
      </c>
      <c r="AC48" s="67"/>
      <c r="AG48" s="57"/>
      <c r="AH48" s="57"/>
      <c r="AI48" s="57"/>
      <c r="AJ48" s="57"/>
      <c r="AK48" s="57"/>
    </row>
    <row r="49" spans="2:37" ht="12.5" x14ac:dyDescent="0.25">
      <c r="B49" s="65" t="s">
        <v>42</v>
      </c>
      <c r="C49" s="4" t="s">
        <v>31</v>
      </c>
      <c r="D49" s="5">
        <v>4</v>
      </c>
      <c r="E49" s="42">
        <v>6389.8</v>
      </c>
      <c r="F49" s="42">
        <v>5990.72</v>
      </c>
      <c r="G49" s="42">
        <v>5622.02</v>
      </c>
      <c r="H49" s="42">
        <v>5538.24</v>
      </c>
      <c r="I49" s="42">
        <v>5386.77</v>
      </c>
      <c r="J49" s="42">
        <v>5390.71</v>
      </c>
      <c r="K49" s="42">
        <v>5269.01</v>
      </c>
      <c r="L49" s="42">
        <v>8621.4</v>
      </c>
      <c r="M49" s="42">
        <v>9495.09</v>
      </c>
      <c r="N49" s="42">
        <v>9888.7000000000007</v>
      </c>
      <c r="O49" s="42">
        <v>10129.61</v>
      </c>
      <c r="P49" s="42">
        <v>10592.32</v>
      </c>
      <c r="Q49" s="42">
        <v>10894.25</v>
      </c>
      <c r="R49" s="42">
        <v>10792.58</v>
      </c>
      <c r="S49" s="42">
        <v>10795.06</v>
      </c>
      <c r="T49" s="42">
        <v>10767.86</v>
      </c>
      <c r="U49" s="42">
        <v>11280.26</v>
      </c>
      <c r="V49" s="42">
        <v>9540.5</v>
      </c>
      <c r="W49" s="42">
        <v>10704.07</v>
      </c>
      <c r="X49" s="42">
        <v>10752.73</v>
      </c>
      <c r="Y49" s="42">
        <v>10161.16</v>
      </c>
      <c r="Z49" s="42">
        <v>9294.52</v>
      </c>
      <c r="AA49" s="42">
        <v>7808.5</v>
      </c>
      <c r="AB49" s="42">
        <v>6828.65</v>
      </c>
      <c r="AC49" s="67"/>
      <c r="AG49" s="57"/>
      <c r="AH49" s="57"/>
      <c r="AI49" s="57"/>
      <c r="AJ49" s="57"/>
      <c r="AK49" s="57"/>
    </row>
    <row r="50" spans="2:37" ht="12.5" x14ac:dyDescent="0.25">
      <c r="B50" s="65" t="s">
        <v>42</v>
      </c>
      <c r="C50" s="4" t="s">
        <v>32</v>
      </c>
      <c r="D50" s="5">
        <v>2</v>
      </c>
      <c r="E50" s="42">
        <v>5927.2</v>
      </c>
      <c r="F50" s="42">
        <v>5558.25</v>
      </c>
      <c r="G50" s="42">
        <v>5405.45</v>
      </c>
      <c r="H50" s="42">
        <v>5160.71</v>
      </c>
      <c r="I50" s="42">
        <v>5198.03</v>
      </c>
      <c r="J50" s="42">
        <v>5294.84</v>
      </c>
      <c r="K50" s="42">
        <v>5248</v>
      </c>
      <c r="L50" s="42">
        <v>8486.4500000000007</v>
      </c>
      <c r="M50" s="42">
        <v>9060.9</v>
      </c>
      <c r="N50" s="42">
        <v>9432.35</v>
      </c>
      <c r="O50" s="42">
        <v>10089.39</v>
      </c>
      <c r="P50" s="42">
        <v>10638.72</v>
      </c>
      <c r="Q50" s="42">
        <v>10786.76</v>
      </c>
      <c r="R50" s="42">
        <v>10804.03</v>
      </c>
      <c r="S50" s="42">
        <v>10853.63</v>
      </c>
      <c r="T50" s="42">
        <v>10980.18</v>
      </c>
      <c r="U50" s="42">
        <v>11517.13</v>
      </c>
      <c r="V50" s="42">
        <v>10008.01</v>
      </c>
      <c r="W50" s="42">
        <v>11019.04</v>
      </c>
      <c r="X50" s="42">
        <v>10967.09</v>
      </c>
      <c r="Y50" s="42">
        <v>10228.1</v>
      </c>
      <c r="Z50" s="42">
        <v>9017.51</v>
      </c>
      <c r="AA50" s="42">
        <v>7403.79</v>
      </c>
      <c r="AB50" s="42">
        <v>6596.59</v>
      </c>
      <c r="AC50" s="68"/>
      <c r="AG50" s="57"/>
      <c r="AH50" s="57"/>
      <c r="AI50" s="57"/>
      <c r="AJ50" s="57"/>
      <c r="AK50" s="57"/>
    </row>
    <row r="51" spans="2:37" ht="12.5" x14ac:dyDescent="0.25">
      <c r="B51" s="65" t="s">
        <v>43</v>
      </c>
      <c r="C51" s="4" t="s">
        <v>29</v>
      </c>
      <c r="D51" s="5">
        <v>21</v>
      </c>
      <c r="E51" s="42">
        <v>6171.88</v>
      </c>
      <c r="F51" s="42">
        <v>5721.29</v>
      </c>
      <c r="G51" s="42">
        <v>5521.23</v>
      </c>
      <c r="H51" s="42">
        <v>5438.15</v>
      </c>
      <c r="I51" s="42">
        <v>5742.21</v>
      </c>
      <c r="J51" s="42">
        <v>6497.68</v>
      </c>
      <c r="K51" s="42">
        <v>7112.63</v>
      </c>
      <c r="L51" s="42">
        <v>10758.52</v>
      </c>
      <c r="M51" s="42">
        <v>11063.54</v>
      </c>
      <c r="N51" s="42">
        <v>11181.28</v>
      </c>
      <c r="O51" s="42">
        <v>11497.15</v>
      </c>
      <c r="P51" s="42">
        <v>12142.1</v>
      </c>
      <c r="Q51" s="42">
        <v>11919.81</v>
      </c>
      <c r="R51" s="42">
        <v>11506.62</v>
      </c>
      <c r="S51" s="42">
        <v>12120.5</v>
      </c>
      <c r="T51" s="42">
        <v>12327.98</v>
      </c>
      <c r="U51" s="42">
        <v>12414.45</v>
      </c>
      <c r="V51" s="42">
        <v>10426.450000000001</v>
      </c>
      <c r="W51" s="42">
        <v>11833.22</v>
      </c>
      <c r="X51" s="42">
        <v>11743.27</v>
      </c>
      <c r="Y51" s="42">
        <v>11093.54</v>
      </c>
      <c r="Z51" s="42">
        <v>10158.51</v>
      </c>
      <c r="AA51" s="42">
        <v>8709.4500000000007</v>
      </c>
      <c r="AB51" s="42">
        <v>7626.34</v>
      </c>
      <c r="AC51" s="66">
        <f>+SUM(E51:AB51)*D51+SUM(E52:AB52)*D52+SUM(E53:AB53)*D53+SUM(E54:AB54)*D54</f>
        <v>6968061.8800000008</v>
      </c>
      <c r="AG51" s="57"/>
      <c r="AH51" s="57"/>
      <c r="AI51" s="57"/>
      <c r="AJ51" s="57"/>
      <c r="AK51" s="57"/>
    </row>
    <row r="52" spans="2:37" ht="12.5" x14ac:dyDescent="0.25">
      <c r="B52" s="65" t="s">
        <v>43</v>
      </c>
      <c r="C52" s="4" t="s">
        <v>30</v>
      </c>
      <c r="D52" s="5">
        <v>4</v>
      </c>
      <c r="E52" s="42">
        <v>6348.85</v>
      </c>
      <c r="F52" s="42">
        <v>5951.55</v>
      </c>
      <c r="G52" s="42">
        <v>5705.36</v>
      </c>
      <c r="H52" s="42">
        <v>5463.76</v>
      </c>
      <c r="I52" s="42">
        <v>5683.35</v>
      </c>
      <c r="J52" s="42">
        <v>5901.73</v>
      </c>
      <c r="K52" s="42">
        <v>6261.59</v>
      </c>
      <c r="L52" s="42">
        <v>10219.82</v>
      </c>
      <c r="M52" s="42">
        <v>10838</v>
      </c>
      <c r="N52" s="42">
        <v>11118.29</v>
      </c>
      <c r="O52" s="42">
        <v>11315.25</v>
      </c>
      <c r="P52" s="42">
        <v>11610.96</v>
      </c>
      <c r="Q52" s="42">
        <v>11701.5</v>
      </c>
      <c r="R52" s="42">
        <v>11523.69</v>
      </c>
      <c r="S52" s="42">
        <v>11544.63</v>
      </c>
      <c r="T52" s="42">
        <v>11402.64</v>
      </c>
      <c r="U52" s="42">
        <v>11641.57</v>
      </c>
      <c r="V52" s="42">
        <v>9584.57</v>
      </c>
      <c r="W52" s="42">
        <v>11277.23</v>
      </c>
      <c r="X52" s="42">
        <v>11397.71</v>
      </c>
      <c r="Y52" s="42">
        <v>10875.31</v>
      </c>
      <c r="Z52" s="42">
        <v>10067.790000000001</v>
      </c>
      <c r="AA52" s="42">
        <v>8964.02</v>
      </c>
      <c r="AB52" s="42">
        <v>8004.33</v>
      </c>
      <c r="AC52" s="67"/>
      <c r="AG52" s="57"/>
      <c r="AH52" s="57"/>
      <c r="AI52" s="57"/>
      <c r="AJ52" s="57"/>
      <c r="AK52" s="57"/>
    </row>
    <row r="53" spans="2:37" ht="12.5" x14ac:dyDescent="0.25">
      <c r="B53" s="65" t="s">
        <v>43</v>
      </c>
      <c r="C53" s="4" t="s">
        <v>31</v>
      </c>
      <c r="D53" s="5">
        <v>4</v>
      </c>
      <c r="E53" s="42">
        <v>6736.86</v>
      </c>
      <c r="F53" s="42">
        <v>6203.8</v>
      </c>
      <c r="G53" s="42">
        <v>5793.32</v>
      </c>
      <c r="H53" s="42">
        <v>5652.63</v>
      </c>
      <c r="I53" s="42">
        <v>5444.35</v>
      </c>
      <c r="J53" s="42">
        <v>5400.06</v>
      </c>
      <c r="K53" s="42">
        <v>5127.07</v>
      </c>
      <c r="L53" s="42">
        <v>8814</v>
      </c>
      <c r="M53" s="42">
        <v>9670.89</v>
      </c>
      <c r="N53" s="42">
        <v>9889.43</v>
      </c>
      <c r="O53" s="42">
        <v>10322.49</v>
      </c>
      <c r="P53" s="42">
        <v>10863.12</v>
      </c>
      <c r="Q53" s="42">
        <v>11338.97</v>
      </c>
      <c r="R53" s="42">
        <v>11037.81</v>
      </c>
      <c r="S53" s="42">
        <v>10453.219999999999</v>
      </c>
      <c r="T53" s="42">
        <v>10821.82</v>
      </c>
      <c r="U53" s="42">
        <v>10916.2</v>
      </c>
      <c r="V53" s="42">
        <v>9239.98</v>
      </c>
      <c r="W53" s="42">
        <v>10359.040000000001</v>
      </c>
      <c r="X53" s="42">
        <v>10504.93</v>
      </c>
      <c r="Y53" s="42">
        <v>10261.950000000001</v>
      </c>
      <c r="Z53" s="42">
        <v>9769.75</v>
      </c>
      <c r="AA53" s="42">
        <v>8320.0400000000009</v>
      </c>
      <c r="AB53" s="42">
        <v>7269.82</v>
      </c>
      <c r="AC53" s="67"/>
      <c r="AG53" s="57"/>
      <c r="AH53" s="57"/>
      <c r="AI53" s="57"/>
      <c r="AJ53" s="57"/>
      <c r="AK53" s="57"/>
    </row>
    <row r="54" spans="2:37" ht="12.5" x14ac:dyDescent="0.25">
      <c r="B54" s="65" t="s">
        <v>43</v>
      </c>
      <c r="C54" s="4" t="s">
        <v>32</v>
      </c>
      <c r="D54" s="5">
        <v>2</v>
      </c>
      <c r="E54" s="42">
        <v>6542.54</v>
      </c>
      <c r="F54" s="42">
        <v>6148.69</v>
      </c>
      <c r="G54" s="42">
        <v>5759.77</v>
      </c>
      <c r="H54" s="42">
        <v>5561.5</v>
      </c>
      <c r="I54" s="42">
        <v>5265</v>
      </c>
      <c r="J54" s="42">
        <v>5072.67</v>
      </c>
      <c r="K54" s="42">
        <v>4781.1099999999997</v>
      </c>
      <c r="L54" s="42">
        <v>7500.96</v>
      </c>
      <c r="M54" s="42">
        <v>7756.61</v>
      </c>
      <c r="N54" s="42">
        <v>8083.93</v>
      </c>
      <c r="O54" s="42">
        <v>8835.85</v>
      </c>
      <c r="P54" s="42">
        <v>9433.3700000000008</v>
      </c>
      <c r="Q54" s="42">
        <v>9948.26</v>
      </c>
      <c r="R54" s="42">
        <v>10129.379999999999</v>
      </c>
      <c r="S54" s="42">
        <v>9881.6200000000008</v>
      </c>
      <c r="T54" s="42">
        <v>10107.89</v>
      </c>
      <c r="U54" s="42">
        <v>10296.459999999999</v>
      </c>
      <c r="V54" s="42">
        <v>8824.31</v>
      </c>
      <c r="W54" s="42">
        <v>9808.76</v>
      </c>
      <c r="X54" s="42">
        <v>10091.719999999999</v>
      </c>
      <c r="Y54" s="42">
        <v>9540.92</v>
      </c>
      <c r="Z54" s="42">
        <v>8848.49</v>
      </c>
      <c r="AA54" s="42">
        <v>7525.34</v>
      </c>
      <c r="AB54" s="42">
        <v>6413.79</v>
      </c>
      <c r="AC54" s="68"/>
      <c r="AG54" s="57"/>
      <c r="AH54" s="57"/>
      <c r="AI54" s="57"/>
      <c r="AJ54" s="57"/>
      <c r="AK54" s="57"/>
    </row>
    <row r="55" spans="2:37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69" t="s">
        <v>46</v>
      </c>
      <c r="AA55" s="69"/>
      <c r="AB55" s="69"/>
      <c r="AC55" s="14">
        <f>SUM(AC7:AC54)</f>
        <v>80971716.430000007</v>
      </c>
    </row>
    <row r="61" spans="2:37" x14ac:dyDescent="0.25">
      <c r="G61" s="6">
        <v>1000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A76D-5B63-4C5A-88E3-208EAE805E69}">
  <dimension ref="B2:AE61"/>
  <sheetViews>
    <sheetView showGridLines="0" zoomScale="50" zoomScaleNormal="50" workbookViewId="0">
      <selection activeCell="R20" sqref="R20"/>
    </sheetView>
  </sheetViews>
  <sheetFormatPr baseColWidth="10" defaultColWidth="11.453125" defaultRowHeight="11.5" x14ac:dyDescent="0.25"/>
  <cols>
    <col min="1" max="1" width="4.7265625" style="6" customWidth="1"/>
    <col min="2" max="2" width="5.54296875" style="6" bestFit="1" customWidth="1"/>
    <col min="3" max="3" width="9.7265625" style="6" bestFit="1" customWidth="1"/>
    <col min="4" max="4" width="5.7265625" style="6" bestFit="1" customWidth="1"/>
    <col min="5" max="11" width="9.54296875" style="6" bestFit="1" customWidth="1"/>
    <col min="12" max="26" width="10.26953125" style="6" bestFit="1" customWidth="1"/>
    <col min="27" max="27" width="10" style="6" bestFit="1" customWidth="1"/>
    <col min="28" max="28" width="9.54296875" style="6" bestFit="1" customWidth="1"/>
    <col min="29" max="29" width="14.81640625" style="52" bestFit="1" customWidth="1"/>
    <col min="30" max="30" width="2.81640625" style="6" customWidth="1"/>
    <col min="31" max="31" width="14.81640625" style="6" bestFit="1" customWidth="1"/>
    <col min="32" max="145" width="11.453125" style="6"/>
    <col min="146" max="146" width="7" style="6" customWidth="1"/>
    <col min="147" max="147" width="10.7265625" style="6" customWidth="1"/>
    <col min="148" max="148" width="9.26953125" style="6" customWidth="1"/>
    <col min="149" max="172" width="7.26953125" style="6" customWidth="1"/>
    <col min="173" max="173" width="11.26953125" style="6" bestFit="1" customWidth="1"/>
    <col min="174" max="401" width="11.453125" style="6"/>
    <col min="402" max="402" width="7" style="6" customWidth="1"/>
    <col min="403" max="403" width="10.7265625" style="6" customWidth="1"/>
    <col min="404" max="404" width="9.26953125" style="6" customWidth="1"/>
    <col min="405" max="428" width="7.26953125" style="6" customWidth="1"/>
    <col min="429" max="429" width="11.26953125" style="6" bestFit="1" customWidth="1"/>
    <col min="430" max="657" width="11.453125" style="6"/>
    <col min="658" max="658" width="7" style="6" customWidth="1"/>
    <col min="659" max="659" width="10.7265625" style="6" customWidth="1"/>
    <col min="660" max="660" width="9.26953125" style="6" customWidth="1"/>
    <col min="661" max="684" width="7.26953125" style="6" customWidth="1"/>
    <col min="685" max="685" width="11.26953125" style="6" bestFit="1" customWidth="1"/>
    <col min="686" max="913" width="11.453125" style="6"/>
    <col min="914" max="914" width="7" style="6" customWidth="1"/>
    <col min="915" max="915" width="10.7265625" style="6" customWidth="1"/>
    <col min="916" max="916" width="9.26953125" style="6" customWidth="1"/>
    <col min="917" max="940" width="7.26953125" style="6" customWidth="1"/>
    <col min="941" max="941" width="11.26953125" style="6" bestFit="1" customWidth="1"/>
    <col min="942" max="1169" width="11.453125" style="6"/>
    <col min="1170" max="1170" width="7" style="6" customWidth="1"/>
    <col min="1171" max="1171" width="10.7265625" style="6" customWidth="1"/>
    <col min="1172" max="1172" width="9.26953125" style="6" customWidth="1"/>
    <col min="1173" max="1196" width="7.26953125" style="6" customWidth="1"/>
    <col min="1197" max="1197" width="11.26953125" style="6" bestFit="1" customWidth="1"/>
    <col min="1198" max="1425" width="11.453125" style="6"/>
    <col min="1426" max="1426" width="7" style="6" customWidth="1"/>
    <col min="1427" max="1427" width="10.7265625" style="6" customWidth="1"/>
    <col min="1428" max="1428" width="9.26953125" style="6" customWidth="1"/>
    <col min="1429" max="1452" width="7.26953125" style="6" customWidth="1"/>
    <col min="1453" max="1453" width="11.26953125" style="6" bestFit="1" customWidth="1"/>
    <col min="1454" max="1681" width="11.453125" style="6"/>
    <col min="1682" max="1682" width="7" style="6" customWidth="1"/>
    <col min="1683" max="1683" width="10.7265625" style="6" customWidth="1"/>
    <col min="1684" max="1684" width="9.26953125" style="6" customWidth="1"/>
    <col min="1685" max="1708" width="7.26953125" style="6" customWidth="1"/>
    <col min="1709" max="1709" width="11.26953125" style="6" bestFit="1" customWidth="1"/>
    <col min="1710" max="1937" width="11.453125" style="6"/>
    <col min="1938" max="1938" width="7" style="6" customWidth="1"/>
    <col min="1939" max="1939" width="10.7265625" style="6" customWidth="1"/>
    <col min="1940" max="1940" width="9.26953125" style="6" customWidth="1"/>
    <col min="1941" max="1964" width="7.26953125" style="6" customWidth="1"/>
    <col min="1965" max="1965" width="11.26953125" style="6" bestFit="1" customWidth="1"/>
    <col min="1966" max="2193" width="11.453125" style="6"/>
    <col min="2194" max="2194" width="7" style="6" customWidth="1"/>
    <col min="2195" max="2195" width="10.7265625" style="6" customWidth="1"/>
    <col min="2196" max="2196" width="9.26953125" style="6" customWidth="1"/>
    <col min="2197" max="2220" width="7.26953125" style="6" customWidth="1"/>
    <col min="2221" max="2221" width="11.26953125" style="6" bestFit="1" customWidth="1"/>
    <col min="2222" max="2449" width="11.453125" style="6"/>
    <col min="2450" max="2450" width="7" style="6" customWidth="1"/>
    <col min="2451" max="2451" width="10.7265625" style="6" customWidth="1"/>
    <col min="2452" max="2452" width="9.26953125" style="6" customWidth="1"/>
    <col min="2453" max="2476" width="7.26953125" style="6" customWidth="1"/>
    <col min="2477" max="2477" width="11.26953125" style="6" bestFit="1" customWidth="1"/>
    <col min="2478" max="2705" width="11.453125" style="6"/>
    <col min="2706" max="2706" width="7" style="6" customWidth="1"/>
    <col min="2707" max="2707" width="10.7265625" style="6" customWidth="1"/>
    <col min="2708" max="2708" width="9.26953125" style="6" customWidth="1"/>
    <col min="2709" max="2732" width="7.26953125" style="6" customWidth="1"/>
    <col min="2733" max="2733" width="11.26953125" style="6" bestFit="1" customWidth="1"/>
    <col min="2734" max="2961" width="11.453125" style="6"/>
    <col min="2962" max="2962" width="7" style="6" customWidth="1"/>
    <col min="2963" max="2963" width="10.7265625" style="6" customWidth="1"/>
    <col min="2964" max="2964" width="9.26953125" style="6" customWidth="1"/>
    <col min="2965" max="2988" width="7.26953125" style="6" customWidth="1"/>
    <col min="2989" max="2989" width="11.26953125" style="6" bestFit="1" customWidth="1"/>
    <col min="2990" max="3217" width="11.453125" style="6"/>
    <col min="3218" max="3218" width="7" style="6" customWidth="1"/>
    <col min="3219" max="3219" width="10.7265625" style="6" customWidth="1"/>
    <col min="3220" max="3220" width="9.26953125" style="6" customWidth="1"/>
    <col min="3221" max="3244" width="7.26953125" style="6" customWidth="1"/>
    <col min="3245" max="3245" width="11.26953125" style="6" bestFit="1" customWidth="1"/>
    <col min="3246" max="3473" width="11.453125" style="6"/>
    <col min="3474" max="3474" width="7" style="6" customWidth="1"/>
    <col min="3475" max="3475" width="10.7265625" style="6" customWidth="1"/>
    <col min="3476" max="3476" width="9.26953125" style="6" customWidth="1"/>
    <col min="3477" max="3500" width="7.26953125" style="6" customWidth="1"/>
    <col min="3501" max="3501" width="11.26953125" style="6" bestFit="1" customWidth="1"/>
    <col min="3502" max="3729" width="11.453125" style="6"/>
    <col min="3730" max="3730" width="7" style="6" customWidth="1"/>
    <col min="3731" max="3731" width="10.7265625" style="6" customWidth="1"/>
    <col min="3732" max="3732" width="9.26953125" style="6" customWidth="1"/>
    <col min="3733" max="3756" width="7.26953125" style="6" customWidth="1"/>
    <col min="3757" max="3757" width="11.26953125" style="6" bestFit="1" customWidth="1"/>
    <col min="3758" max="3985" width="11.453125" style="6"/>
    <col min="3986" max="3986" width="7" style="6" customWidth="1"/>
    <col min="3987" max="3987" width="10.7265625" style="6" customWidth="1"/>
    <col min="3988" max="3988" width="9.26953125" style="6" customWidth="1"/>
    <col min="3989" max="4012" width="7.26953125" style="6" customWidth="1"/>
    <col min="4013" max="4013" width="11.26953125" style="6" bestFit="1" customWidth="1"/>
    <col min="4014" max="4241" width="11.453125" style="6"/>
    <col min="4242" max="4242" width="7" style="6" customWidth="1"/>
    <col min="4243" max="4243" width="10.7265625" style="6" customWidth="1"/>
    <col min="4244" max="4244" width="9.26953125" style="6" customWidth="1"/>
    <col min="4245" max="4268" width="7.26953125" style="6" customWidth="1"/>
    <col min="4269" max="4269" width="11.26953125" style="6" bestFit="1" customWidth="1"/>
    <col min="4270" max="4497" width="11.453125" style="6"/>
    <col min="4498" max="4498" width="7" style="6" customWidth="1"/>
    <col min="4499" max="4499" width="10.7265625" style="6" customWidth="1"/>
    <col min="4500" max="4500" width="9.26953125" style="6" customWidth="1"/>
    <col min="4501" max="4524" width="7.26953125" style="6" customWidth="1"/>
    <col min="4525" max="4525" width="11.26953125" style="6" bestFit="1" customWidth="1"/>
    <col min="4526" max="4753" width="11.453125" style="6"/>
    <col min="4754" max="4754" width="7" style="6" customWidth="1"/>
    <col min="4755" max="4755" width="10.7265625" style="6" customWidth="1"/>
    <col min="4756" max="4756" width="9.26953125" style="6" customWidth="1"/>
    <col min="4757" max="4780" width="7.26953125" style="6" customWidth="1"/>
    <col min="4781" max="4781" width="11.26953125" style="6" bestFit="1" customWidth="1"/>
    <col min="4782" max="5009" width="11.453125" style="6"/>
    <col min="5010" max="5010" width="7" style="6" customWidth="1"/>
    <col min="5011" max="5011" width="10.7265625" style="6" customWidth="1"/>
    <col min="5012" max="5012" width="9.26953125" style="6" customWidth="1"/>
    <col min="5013" max="5036" width="7.26953125" style="6" customWidth="1"/>
    <col min="5037" max="5037" width="11.26953125" style="6" bestFit="1" customWidth="1"/>
    <col min="5038" max="5265" width="11.453125" style="6"/>
    <col min="5266" max="5266" width="7" style="6" customWidth="1"/>
    <col min="5267" max="5267" width="10.7265625" style="6" customWidth="1"/>
    <col min="5268" max="5268" width="9.26953125" style="6" customWidth="1"/>
    <col min="5269" max="5292" width="7.26953125" style="6" customWidth="1"/>
    <col min="5293" max="5293" width="11.26953125" style="6" bestFit="1" customWidth="1"/>
    <col min="5294" max="5521" width="11.453125" style="6"/>
    <col min="5522" max="5522" width="7" style="6" customWidth="1"/>
    <col min="5523" max="5523" width="10.7265625" style="6" customWidth="1"/>
    <col min="5524" max="5524" width="9.26953125" style="6" customWidth="1"/>
    <col min="5525" max="5548" width="7.26953125" style="6" customWidth="1"/>
    <col min="5549" max="5549" width="11.26953125" style="6" bestFit="1" customWidth="1"/>
    <col min="5550" max="5777" width="11.453125" style="6"/>
    <col min="5778" max="5778" width="7" style="6" customWidth="1"/>
    <col min="5779" max="5779" width="10.7265625" style="6" customWidth="1"/>
    <col min="5780" max="5780" width="9.26953125" style="6" customWidth="1"/>
    <col min="5781" max="5804" width="7.26953125" style="6" customWidth="1"/>
    <col min="5805" max="5805" width="11.26953125" style="6" bestFit="1" customWidth="1"/>
    <col min="5806" max="6033" width="11.453125" style="6"/>
    <col min="6034" max="6034" width="7" style="6" customWidth="1"/>
    <col min="6035" max="6035" width="10.7265625" style="6" customWidth="1"/>
    <col min="6036" max="6036" width="9.26953125" style="6" customWidth="1"/>
    <col min="6037" max="6060" width="7.26953125" style="6" customWidth="1"/>
    <col min="6061" max="6061" width="11.26953125" style="6" bestFit="1" customWidth="1"/>
    <col min="6062" max="6289" width="11.453125" style="6"/>
    <col min="6290" max="6290" width="7" style="6" customWidth="1"/>
    <col min="6291" max="6291" width="10.7265625" style="6" customWidth="1"/>
    <col min="6292" max="6292" width="9.26953125" style="6" customWidth="1"/>
    <col min="6293" max="6316" width="7.26953125" style="6" customWidth="1"/>
    <col min="6317" max="6317" width="11.26953125" style="6" bestFit="1" customWidth="1"/>
    <col min="6318" max="6545" width="11.453125" style="6"/>
    <col min="6546" max="6546" width="7" style="6" customWidth="1"/>
    <col min="6547" max="6547" width="10.7265625" style="6" customWidth="1"/>
    <col min="6548" max="6548" width="9.26953125" style="6" customWidth="1"/>
    <col min="6549" max="6572" width="7.26953125" style="6" customWidth="1"/>
    <col min="6573" max="6573" width="11.26953125" style="6" bestFit="1" customWidth="1"/>
    <col min="6574" max="6801" width="11.453125" style="6"/>
    <col min="6802" max="6802" width="7" style="6" customWidth="1"/>
    <col min="6803" max="6803" width="10.7265625" style="6" customWidth="1"/>
    <col min="6804" max="6804" width="9.26953125" style="6" customWidth="1"/>
    <col min="6805" max="6828" width="7.26953125" style="6" customWidth="1"/>
    <col min="6829" max="6829" width="11.26953125" style="6" bestFit="1" customWidth="1"/>
    <col min="6830" max="7057" width="11.453125" style="6"/>
    <col min="7058" max="7058" width="7" style="6" customWidth="1"/>
    <col min="7059" max="7059" width="10.7265625" style="6" customWidth="1"/>
    <col min="7060" max="7060" width="9.26953125" style="6" customWidth="1"/>
    <col min="7061" max="7084" width="7.26953125" style="6" customWidth="1"/>
    <col min="7085" max="7085" width="11.26953125" style="6" bestFit="1" customWidth="1"/>
    <col min="7086" max="7313" width="11.453125" style="6"/>
    <col min="7314" max="7314" width="7" style="6" customWidth="1"/>
    <col min="7315" max="7315" width="10.7265625" style="6" customWidth="1"/>
    <col min="7316" max="7316" width="9.26953125" style="6" customWidth="1"/>
    <col min="7317" max="7340" width="7.26953125" style="6" customWidth="1"/>
    <col min="7341" max="7341" width="11.26953125" style="6" bestFit="1" customWidth="1"/>
    <col min="7342" max="7569" width="11.453125" style="6"/>
    <col min="7570" max="7570" width="7" style="6" customWidth="1"/>
    <col min="7571" max="7571" width="10.7265625" style="6" customWidth="1"/>
    <col min="7572" max="7572" width="9.26953125" style="6" customWidth="1"/>
    <col min="7573" max="7596" width="7.26953125" style="6" customWidth="1"/>
    <col min="7597" max="7597" width="11.26953125" style="6" bestFit="1" customWidth="1"/>
    <col min="7598" max="7825" width="11.453125" style="6"/>
    <col min="7826" max="7826" width="7" style="6" customWidth="1"/>
    <col min="7827" max="7827" width="10.7265625" style="6" customWidth="1"/>
    <col min="7828" max="7828" width="9.26953125" style="6" customWidth="1"/>
    <col min="7829" max="7852" width="7.26953125" style="6" customWidth="1"/>
    <col min="7853" max="7853" width="11.26953125" style="6" bestFit="1" customWidth="1"/>
    <col min="7854" max="8081" width="11.453125" style="6"/>
    <col min="8082" max="8082" width="7" style="6" customWidth="1"/>
    <col min="8083" max="8083" width="10.7265625" style="6" customWidth="1"/>
    <col min="8084" max="8084" width="9.26953125" style="6" customWidth="1"/>
    <col min="8085" max="8108" width="7.26953125" style="6" customWidth="1"/>
    <col min="8109" max="8109" width="11.26953125" style="6" bestFit="1" customWidth="1"/>
    <col min="8110" max="8337" width="11.453125" style="6"/>
    <col min="8338" max="8338" width="7" style="6" customWidth="1"/>
    <col min="8339" max="8339" width="10.7265625" style="6" customWidth="1"/>
    <col min="8340" max="8340" width="9.26953125" style="6" customWidth="1"/>
    <col min="8341" max="8364" width="7.26953125" style="6" customWidth="1"/>
    <col min="8365" max="8365" width="11.26953125" style="6" bestFit="1" customWidth="1"/>
    <col min="8366" max="8593" width="11.453125" style="6"/>
    <col min="8594" max="8594" width="7" style="6" customWidth="1"/>
    <col min="8595" max="8595" width="10.7265625" style="6" customWidth="1"/>
    <col min="8596" max="8596" width="9.26953125" style="6" customWidth="1"/>
    <col min="8597" max="8620" width="7.26953125" style="6" customWidth="1"/>
    <col min="8621" max="8621" width="11.26953125" style="6" bestFit="1" customWidth="1"/>
    <col min="8622" max="8849" width="11.453125" style="6"/>
    <col min="8850" max="8850" width="7" style="6" customWidth="1"/>
    <col min="8851" max="8851" width="10.7265625" style="6" customWidth="1"/>
    <col min="8852" max="8852" width="9.26953125" style="6" customWidth="1"/>
    <col min="8853" max="8876" width="7.26953125" style="6" customWidth="1"/>
    <col min="8877" max="8877" width="11.26953125" style="6" bestFit="1" customWidth="1"/>
    <col min="8878" max="9105" width="11.453125" style="6"/>
    <col min="9106" max="9106" width="7" style="6" customWidth="1"/>
    <col min="9107" max="9107" width="10.7265625" style="6" customWidth="1"/>
    <col min="9108" max="9108" width="9.26953125" style="6" customWidth="1"/>
    <col min="9109" max="9132" width="7.26953125" style="6" customWidth="1"/>
    <col min="9133" max="9133" width="11.26953125" style="6" bestFit="1" customWidth="1"/>
    <col min="9134" max="9361" width="11.453125" style="6"/>
    <col min="9362" max="9362" width="7" style="6" customWidth="1"/>
    <col min="9363" max="9363" width="10.7265625" style="6" customWidth="1"/>
    <col min="9364" max="9364" width="9.26953125" style="6" customWidth="1"/>
    <col min="9365" max="9388" width="7.26953125" style="6" customWidth="1"/>
    <col min="9389" max="9389" width="11.26953125" style="6" bestFit="1" customWidth="1"/>
    <col min="9390" max="9617" width="11.453125" style="6"/>
    <col min="9618" max="9618" width="7" style="6" customWidth="1"/>
    <col min="9619" max="9619" width="10.7265625" style="6" customWidth="1"/>
    <col min="9620" max="9620" width="9.26953125" style="6" customWidth="1"/>
    <col min="9621" max="9644" width="7.26953125" style="6" customWidth="1"/>
    <col min="9645" max="9645" width="11.26953125" style="6" bestFit="1" customWidth="1"/>
    <col min="9646" max="9873" width="11.453125" style="6"/>
    <col min="9874" max="9874" width="7" style="6" customWidth="1"/>
    <col min="9875" max="9875" width="10.7265625" style="6" customWidth="1"/>
    <col min="9876" max="9876" width="9.26953125" style="6" customWidth="1"/>
    <col min="9877" max="9900" width="7.26953125" style="6" customWidth="1"/>
    <col min="9901" max="9901" width="11.26953125" style="6" bestFit="1" customWidth="1"/>
    <col min="9902" max="10129" width="11.453125" style="6"/>
    <col min="10130" max="10130" width="7" style="6" customWidth="1"/>
    <col min="10131" max="10131" width="10.7265625" style="6" customWidth="1"/>
    <col min="10132" max="10132" width="9.26953125" style="6" customWidth="1"/>
    <col min="10133" max="10156" width="7.26953125" style="6" customWidth="1"/>
    <col min="10157" max="10157" width="11.26953125" style="6" bestFit="1" customWidth="1"/>
    <col min="10158" max="10385" width="11.453125" style="6"/>
    <col min="10386" max="10386" width="7" style="6" customWidth="1"/>
    <col min="10387" max="10387" width="10.7265625" style="6" customWidth="1"/>
    <col min="10388" max="10388" width="9.26953125" style="6" customWidth="1"/>
    <col min="10389" max="10412" width="7.26953125" style="6" customWidth="1"/>
    <col min="10413" max="10413" width="11.26953125" style="6" bestFit="1" customWidth="1"/>
    <col min="10414" max="10641" width="11.453125" style="6"/>
    <col min="10642" max="10642" width="7" style="6" customWidth="1"/>
    <col min="10643" max="10643" width="10.7265625" style="6" customWidth="1"/>
    <col min="10644" max="10644" width="9.26953125" style="6" customWidth="1"/>
    <col min="10645" max="10668" width="7.26953125" style="6" customWidth="1"/>
    <col min="10669" max="10669" width="11.26953125" style="6" bestFit="1" customWidth="1"/>
    <col min="10670" max="10897" width="11.453125" style="6"/>
    <col min="10898" max="10898" width="7" style="6" customWidth="1"/>
    <col min="10899" max="10899" width="10.7265625" style="6" customWidth="1"/>
    <col min="10900" max="10900" width="9.26953125" style="6" customWidth="1"/>
    <col min="10901" max="10924" width="7.26953125" style="6" customWidth="1"/>
    <col min="10925" max="10925" width="11.26953125" style="6" bestFit="1" customWidth="1"/>
    <col min="10926" max="11153" width="11.453125" style="6"/>
    <col min="11154" max="11154" width="7" style="6" customWidth="1"/>
    <col min="11155" max="11155" width="10.7265625" style="6" customWidth="1"/>
    <col min="11156" max="11156" width="9.26953125" style="6" customWidth="1"/>
    <col min="11157" max="11180" width="7.26953125" style="6" customWidth="1"/>
    <col min="11181" max="11181" width="11.26953125" style="6" bestFit="1" customWidth="1"/>
    <col min="11182" max="11409" width="11.453125" style="6"/>
    <col min="11410" max="11410" width="7" style="6" customWidth="1"/>
    <col min="11411" max="11411" width="10.7265625" style="6" customWidth="1"/>
    <col min="11412" max="11412" width="9.26953125" style="6" customWidth="1"/>
    <col min="11413" max="11436" width="7.26953125" style="6" customWidth="1"/>
    <col min="11437" max="11437" width="11.26953125" style="6" bestFit="1" customWidth="1"/>
    <col min="11438" max="11665" width="11.453125" style="6"/>
    <col min="11666" max="11666" width="7" style="6" customWidth="1"/>
    <col min="11667" max="11667" width="10.7265625" style="6" customWidth="1"/>
    <col min="11668" max="11668" width="9.26953125" style="6" customWidth="1"/>
    <col min="11669" max="11692" width="7.26953125" style="6" customWidth="1"/>
    <col min="11693" max="11693" width="11.26953125" style="6" bestFit="1" customWidth="1"/>
    <col min="11694" max="11921" width="11.453125" style="6"/>
    <col min="11922" max="11922" width="7" style="6" customWidth="1"/>
    <col min="11923" max="11923" width="10.7265625" style="6" customWidth="1"/>
    <col min="11924" max="11924" width="9.26953125" style="6" customWidth="1"/>
    <col min="11925" max="11948" width="7.26953125" style="6" customWidth="1"/>
    <col min="11949" max="11949" width="11.26953125" style="6" bestFit="1" customWidth="1"/>
    <col min="11950" max="12177" width="11.453125" style="6"/>
    <col min="12178" max="12178" width="7" style="6" customWidth="1"/>
    <col min="12179" max="12179" width="10.7265625" style="6" customWidth="1"/>
    <col min="12180" max="12180" width="9.26953125" style="6" customWidth="1"/>
    <col min="12181" max="12204" width="7.26953125" style="6" customWidth="1"/>
    <col min="12205" max="12205" width="11.26953125" style="6" bestFit="1" customWidth="1"/>
    <col min="12206" max="12433" width="11.453125" style="6"/>
    <col min="12434" max="12434" width="7" style="6" customWidth="1"/>
    <col min="12435" max="12435" width="10.7265625" style="6" customWidth="1"/>
    <col min="12436" max="12436" width="9.26953125" style="6" customWidth="1"/>
    <col min="12437" max="12460" width="7.26953125" style="6" customWidth="1"/>
    <col min="12461" max="12461" width="11.26953125" style="6" bestFit="1" customWidth="1"/>
    <col min="12462" max="12689" width="11.453125" style="6"/>
    <col min="12690" max="12690" width="7" style="6" customWidth="1"/>
    <col min="12691" max="12691" width="10.7265625" style="6" customWidth="1"/>
    <col min="12692" max="12692" width="9.26953125" style="6" customWidth="1"/>
    <col min="12693" max="12716" width="7.26953125" style="6" customWidth="1"/>
    <col min="12717" max="12717" width="11.26953125" style="6" bestFit="1" customWidth="1"/>
    <col min="12718" max="12945" width="11.453125" style="6"/>
    <col min="12946" max="12946" width="7" style="6" customWidth="1"/>
    <col min="12947" max="12947" width="10.7265625" style="6" customWidth="1"/>
    <col min="12948" max="12948" width="9.26953125" style="6" customWidth="1"/>
    <col min="12949" max="12972" width="7.26953125" style="6" customWidth="1"/>
    <col min="12973" max="12973" width="11.26953125" style="6" bestFit="1" customWidth="1"/>
    <col min="12974" max="13201" width="11.453125" style="6"/>
    <col min="13202" max="13202" width="7" style="6" customWidth="1"/>
    <col min="13203" max="13203" width="10.7265625" style="6" customWidth="1"/>
    <col min="13204" max="13204" width="9.26953125" style="6" customWidth="1"/>
    <col min="13205" max="13228" width="7.26953125" style="6" customWidth="1"/>
    <col min="13229" max="13229" width="11.26953125" style="6" bestFit="1" customWidth="1"/>
    <col min="13230" max="13457" width="11.453125" style="6"/>
    <col min="13458" max="13458" width="7" style="6" customWidth="1"/>
    <col min="13459" max="13459" width="10.7265625" style="6" customWidth="1"/>
    <col min="13460" max="13460" width="9.26953125" style="6" customWidth="1"/>
    <col min="13461" max="13484" width="7.26953125" style="6" customWidth="1"/>
    <col min="13485" max="13485" width="11.26953125" style="6" bestFit="1" customWidth="1"/>
    <col min="13486" max="13713" width="11.453125" style="6"/>
    <col min="13714" max="13714" width="7" style="6" customWidth="1"/>
    <col min="13715" max="13715" width="10.7265625" style="6" customWidth="1"/>
    <col min="13716" max="13716" width="9.26953125" style="6" customWidth="1"/>
    <col min="13717" max="13740" width="7.26953125" style="6" customWidth="1"/>
    <col min="13741" max="13741" width="11.26953125" style="6" bestFit="1" customWidth="1"/>
    <col min="13742" max="13969" width="11.453125" style="6"/>
    <col min="13970" max="13970" width="7" style="6" customWidth="1"/>
    <col min="13971" max="13971" width="10.7265625" style="6" customWidth="1"/>
    <col min="13972" max="13972" width="9.26953125" style="6" customWidth="1"/>
    <col min="13973" max="13996" width="7.26953125" style="6" customWidth="1"/>
    <col min="13997" max="13997" width="11.26953125" style="6" bestFit="1" customWidth="1"/>
    <col min="13998" max="14225" width="11.453125" style="6"/>
    <col min="14226" max="14226" width="7" style="6" customWidth="1"/>
    <col min="14227" max="14227" width="10.7265625" style="6" customWidth="1"/>
    <col min="14228" max="14228" width="9.26953125" style="6" customWidth="1"/>
    <col min="14229" max="14252" width="7.26953125" style="6" customWidth="1"/>
    <col min="14253" max="14253" width="11.26953125" style="6" bestFit="1" customWidth="1"/>
    <col min="14254" max="14481" width="11.453125" style="6"/>
    <col min="14482" max="14482" width="7" style="6" customWidth="1"/>
    <col min="14483" max="14483" width="10.7265625" style="6" customWidth="1"/>
    <col min="14484" max="14484" width="9.26953125" style="6" customWidth="1"/>
    <col min="14485" max="14508" width="7.26953125" style="6" customWidth="1"/>
    <col min="14509" max="14509" width="11.26953125" style="6" bestFit="1" customWidth="1"/>
    <col min="14510" max="14737" width="11.453125" style="6"/>
    <col min="14738" max="14738" width="7" style="6" customWidth="1"/>
    <col min="14739" max="14739" width="10.7265625" style="6" customWidth="1"/>
    <col min="14740" max="14740" width="9.26953125" style="6" customWidth="1"/>
    <col min="14741" max="14764" width="7.26953125" style="6" customWidth="1"/>
    <col min="14765" max="14765" width="11.26953125" style="6" bestFit="1" customWidth="1"/>
    <col min="14766" max="14993" width="11.453125" style="6"/>
    <col min="14994" max="14994" width="7" style="6" customWidth="1"/>
    <col min="14995" max="14995" width="10.7265625" style="6" customWidth="1"/>
    <col min="14996" max="14996" width="9.26953125" style="6" customWidth="1"/>
    <col min="14997" max="15020" width="7.26953125" style="6" customWidth="1"/>
    <col min="15021" max="15021" width="11.26953125" style="6" bestFit="1" customWidth="1"/>
    <col min="15022" max="15249" width="11.453125" style="6"/>
    <col min="15250" max="15250" width="7" style="6" customWidth="1"/>
    <col min="15251" max="15251" width="10.7265625" style="6" customWidth="1"/>
    <col min="15252" max="15252" width="9.26953125" style="6" customWidth="1"/>
    <col min="15253" max="15276" width="7.26953125" style="6" customWidth="1"/>
    <col min="15277" max="15277" width="11.26953125" style="6" bestFit="1" customWidth="1"/>
    <col min="15278" max="15505" width="11.453125" style="6"/>
    <col min="15506" max="15506" width="7" style="6" customWidth="1"/>
    <col min="15507" max="15507" width="10.7265625" style="6" customWidth="1"/>
    <col min="15508" max="15508" width="9.26953125" style="6" customWidth="1"/>
    <col min="15509" max="15532" width="7.26953125" style="6" customWidth="1"/>
    <col min="15533" max="15533" width="11.26953125" style="6" bestFit="1" customWidth="1"/>
    <col min="15534" max="15761" width="11.453125" style="6"/>
    <col min="15762" max="15762" width="7" style="6" customWidth="1"/>
    <col min="15763" max="15763" width="10.7265625" style="6" customWidth="1"/>
    <col min="15764" max="15764" width="9.26953125" style="6" customWidth="1"/>
    <col min="15765" max="15788" width="7.26953125" style="6" customWidth="1"/>
    <col min="15789" max="15789" width="11.26953125" style="6" bestFit="1" customWidth="1"/>
    <col min="15790" max="16017" width="11.453125" style="6"/>
    <col min="16018" max="16018" width="7" style="6" customWidth="1"/>
    <col min="16019" max="16019" width="10.7265625" style="6" customWidth="1"/>
    <col min="16020" max="16020" width="9.26953125" style="6" customWidth="1"/>
    <col min="16021" max="16044" width="7.26953125" style="6" customWidth="1"/>
    <col min="16045" max="16045" width="11.26953125" style="6" bestFit="1" customWidth="1"/>
    <col min="16046" max="16384" width="11.453125" style="6"/>
  </cols>
  <sheetData>
    <row r="2" spans="2:31" ht="14" x14ac:dyDescent="0.3">
      <c r="B2" s="58" t="s">
        <v>45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</row>
    <row r="3" spans="2:31" ht="14" x14ac:dyDescent="0.3">
      <c r="B3" s="58" t="s">
        <v>44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</row>
    <row r="4" spans="2:31" ht="14" x14ac:dyDescent="0.3">
      <c r="B4" s="58">
        <v>2031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6" spans="2:31" ht="31" x14ac:dyDescent="0.25">
      <c r="B6" s="2" t="s">
        <v>0</v>
      </c>
      <c r="C6" s="3" t="s">
        <v>1</v>
      </c>
      <c r="D6" s="2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51" t="s">
        <v>27</v>
      </c>
    </row>
    <row r="7" spans="2:31" ht="12.5" x14ac:dyDescent="0.25">
      <c r="B7" s="65" t="s">
        <v>28</v>
      </c>
      <c r="C7" s="4" t="s">
        <v>29</v>
      </c>
      <c r="D7" s="5">
        <v>21</v>
      </c>
      <c r="E7" s="56">
        <v>5660.2</v>
      </c>
      <c r="F7" s="56">
        <v>5336.49</v>
      </c>
      <c r="G7" s="56">
        <v>5138.8</v>
      </c>
      <c r="H7" s="56">
        <v>5075.1000000000004</v>
      </c>
      <c r="I7" s="56">
        <v>5449.75</v>
      </c>
      <c r="J7" s="56">
        <v>6541.76</v>
      </c>
      <c r="K7" s="56">
        <v>7495.32</v>
      </c>
      <c r="L7" s="56">
        <v>10480.08</v>
      </c>
      <c r="M7" s="56">
        <v>10661.28</v>
      </c>
      <c r="N7" s="56">
        <v>10919.96</v>
      </c>
      <c r="O7" s="56">
        <v>11361.22</v>
      </c>
      <c r="P7" s="56">
        <v>12037.25</v>
      </c>
      <c r="Q7" s="56">
        <v>11577.5</v>
      </c>
      <c r="R7" s="56">
        <v>11328.11</v>
      </c>
      <c r="S7" s="56">
        <v>11542.93</v>
      </c>
      <c r="T7" s="56">
        <v>11717.38</v>
      </c>
      <c r="U7" s="56">
        <v>11803.61</v>
      </c>
      <c r="V7" s="56">
        <v>10629.76</v>
      </c>
      <c r="W7" s="56">
        <v>11627.11</v>
      </c>
      <c r="X7" s="56">
        <v>11946.43</v>
      </c>
      <c r="Y7" s="56">
        <v>11357.71</v>
      </c>
      <c r="Z7" s="56">
        <v>10334.81</v>
      </c>
      <c r="AA7" s="56">
        <v>8624.9</v>
      </c>
      <c r="AB7" s="56">
        <v>7408.98</v>
      </c>
      <c r="AC7" s="66">
        <f>+SUM(E7:AB7)*D7+SUM(E8:AB8)*D8+SUM(E9:AB9)*D9+SUM(E10:AB10)*D10</f>
        <v>6870227.2199999988</v>
      </c>
      <c r="AE7" s="11">
        <f>+AC7</f>
        <v>6870227.2199999988</v>
      </c>
    </row>
    <row r="8" spans="2:31" ht="12.5" x14ac:dyDescent="0.25">
      <c r="B8" s="65" t="s">
        <v>28</v>
      </c>
      <c r="C8" s="4" t="s">
        <v>30</v>
      </c>
      <c r="D8" s="5">
        <v>4</v>
      </c>
      <c r="E8" s="56">
        <v>6058.7</v>
      </c>
      <c r="F8" s="56">
        <v>5542.56</v>
      </c>
      <c r="G8" s="56">
        <v>5303.83</v>
      </c>
      <c r="H8" s="56">
        <v>5180.3</v>
      </c>
      <c r="I8" s="56">
        <v>5300.06</v>
      </c>
      <c r="J8" s="56">
        <v>5669.64</v>
      </c>
      <c r="K8" s="56">
        <v>6233.82</v>
      </c>
      <c r="L8" s="56">
        <v>9730.4599999999991</v>
      </c>
      <c r="M8" s="56">
        <v>10528.78</v>
      </c>
      <c r="N8" s="56">
        <v>11010.64</v>
      </c>
      <c r="O8" s="56">
        <v>11325.46</v>
      </c>
      <c r="P8" s="56">
        <v>11788.38</v>
      </c>
      <c r="Q8" s="56">
        <v>11943.69</v>
      </c>
      <c r="R8" s="56">
        <v>11675.27</v>
      </c>
      <c r="S8" s="56">
        <v>11529.2</v>
      </c>
      <c r="T8" s="56">
        <v>11423.91</v>
      </c>
      <c r="U8" s="56">
        <v>11531.47</v>
      </c>
      <c r="V8" s="56">
        <v>10430.879999999999</v>
      </c>
      <c r="W8" s="56">
        <v>11583.93</v>
      </c>
      <c r="X8" s="56">
        <v>11866.14</v>
      </c>
      <c r="Y8" s="56">
        <v>11289.98</v>
      </c>
      <c r="Z8" s="56">
        <v>10513.36</v>
      </c>
      <c r="AA8" s="56">
        <v>9281.8799999999992</v>
      </c>
      <c r="AB8" s="56">
        <v>8163.61</v>
      </c>
      <c r="AC8" s="67"/>
      <c r="AE8" s="11">
        <f>+AC11</f>
        <v>6424157.5599999996</v>
      </c>
    </row>
    <row r="9" spans="2:31" ht="12.5" x14ac:dyDescent="0.25">
      <c r="B9" s="65" t="s">
        <v>28</v>
      </c>
      <c r="C9" s="4" t="s">
        <v>31</v>
      </c>
      <c r="D9" s="5">
        <v>4</v>
      </c>
      <c r="E9" s="56">
        <v>6430.63</v>
      </c>
      <c r="F9" s="56">
        <v>5924.31</v>
      </c>
      <c r="G9" s="56">
        <v>5602.21</v>
      </c>
      <c r="H9" s="56">
        <v>5377.92</v>
      </c>
      <c r="I9" s="56">
        <v>5288.66</v>
      </c>
      <c r="J9" s="56">
        <v>5239.13</v>
      </c>
      <c r="K9" s="56">
        <v>5314.6</v>
      </c>
      <c r="L9" s="56">
        <v>8104.04</v>
      </c>
      <c r="M9" s="56">
        <v>8903.1200000000008</v>
      </c>
      <c r="N9" s="56">
        <v>9420.7800000000007</v>
      </c>
      <c r="O9" s="56">
        <v>9930.92</v>
      </c>
      <c r="P9" s="56">
        <v>10477.64</v>
      </c>
      <c r="Q9" s="56">
        <v>10704.88</v>
      </c>
      <c r="R9" s="56">
        <v>10501.52</v>
      </c>
      <c r="S9" s="56">
        <v>10549.8</v>
      </c>
      <c r="T9" s="56">
        <v>10680.86</v>
      </c>
      <c r="U9" s="56">
        <v>10722.3</v>
      </c>
      <c r="V9" s="56">
        <v>9863.34</v>
      </c>
      <c r="W9" s="56">
        <v>10912.41</v>
      </c>
      <c r="X9" s="56">
        <v>11219.89</v>
      </c>
      <c r="Y9" s="56">
        <v>10707.1</v>
      </c>
      <c r="Z9" s="56">
        <v>9788.27</v>
      </c>
      <c r="AA9" s="56">
        <v>8371.36</v>
      </c>
      <c r="AB9" s="56">
        <v>7152.08</v>
      </c>
      <c r="AC9" s="67"/>
      <c r="AE9" s="11">
        <f>+AC15</f>
        <v>6758325.4699999997</v>
      </c>
    </row>
    <row r="10" spans="2:31" ht="12.5" x14ac:dyDescent="0.25">
      <c r="B10" s="65" t="s">
        <v>28</v>
      </c>
      <c r="C10" s="4" t="s">
        <v>32</v>
      </c>
      <c r="D10" s="5">
        <v>2</v>
      </c>
      <c r="E10" s="56">
        <v>6469.25</v>
      </c>
      <c r="F10" s="56">
        <v>6081.23</v>
      </c>
      <c r="G10" s="56">
        <v>5668.68</v>
      </c>
      <c r="H10" s="56">
        <v>5514.37</v>
      </c>
      <c r="I10" s="56">
        <v>5318.41</v>
      </c>
      <c r="J10" s="56">
        <v>5270.25</v>
      </c>
      <c r="K10" s="56">
        <v>4922.76</v>
      </c>
      <c r="L10" s="56">
        <v>7349.86</v>
      </c>
      <c r="M10" s="56">
        <v>7805.29</v>
      </c>
      <c r="N10" s="56">
        <v>8376.8799999999992</v>
      </c>
      <c r="O10" s="56">
        <v>9026.49</v>
      </c>
      <c r="P10" s="56">
        <v>9451.17</v>
      </c>
      <c r="Q10" s="56">
        <v>9905.81</v>
      </c>
      <c r="R10" s="56">
        <v>10029.23</v>
      </c>
      <c r="S10" s="56">
        <v>10059.98</v>
      </c>
      <c r="T10" s="56">
        <v>9975.91</v>
      </c>
      <c r="U10" s="56">
        <v>10056.299999999999</v>
      </c>
      <c r="V10" s="56">
        <v>9412.99</v>
      </c>
      <c r="W10" s="56">
        <v>10553.49</v>
      </c>
      <c r="X10" s="56">
        <v>10930.43</v>
      </c>
      <c r="Y10" s="56">
        <v>10541.02</v>
      </c>
      <c r="Z10" s="56">
        <v>9485.23</v>
      </c>
      <c r="AA10" s="56">
        <v>8122.78</v>
      </c>
      <c r="AB10" s="56">
        <v>7005.74</v>
      </c>
      <c r="AC10" s="68"/>
      <c r="AE10" s="11">
        <f>+AC19</f>
        <v>6774802.1800000006</v>
      </c>
    </row>
    <row r="11" spans="2:31" ht="12.5" x14ac:dyDescent="0.25">
      <c r="B11" s="65" t="s">
        <v>33</v>
      </c>
      <c r="C11" s="4" t="s">
        <v>29</v>
      </c>
      <c r="D11" s="5">
        <v>20</v>
      </c>
      <c r="E11" s="56">
        <v>5680.91</v>
      </c>
      <c r="F11" s="56">
        <v>5347.11</v>
      </c>
      <c r="G11" s="56">
        <v>5210.32</v>
      </c>
      <c r="H11" s="56">
        <v>5218.88</v>
      </c>
      <c r="I11" s="56">
        <v>5727.15</v>
      </c>
      <c r="J11" s="56">
        <v>7479.27</v>
      </c>
      <c r="K11" s="56">
        <v>8647.19</v>
      </c>
      <c r="L11" s="56">
        <v>11301.99</v>
      </c>
      <c r="M11" s="56">
        <v>11171.11</v>
      </c>
      <c r="N11" s="56">
        <v>11223.13</v>
      </c>
      <c r="O11" s="56">
        <v>11581.13</v>
      </c>
      <c r="P11" s="56">
        <v>12073.08</v>
      </c>
      <c r="Q11" s="56">
        <v>11727.32</v>
      </c>
      <c r="R11" s="56">
        <v>11695.62</v>
      </c>
      <c r="S11" s="56">
        <v>12040.14</v>
      </c>
      <c r="T11" s="56">
        <v>12189.44</v>
      </c>
      <c r="U11" s="56">
        <v>12234.41</v>
      </c>
      <c r="V11" s="56">
        <v>10783.48</v>
      </c>
      <c r="W11" s="56">
        <v>11779.74</v>
      </c>
      <c r="X11" s="56">
        <v>12330.04</v>
      </c>
      <c r="Y11" s="56">
        <v>11668.71</v>
      </c>
      <c r="Z11" s="56">
        <v>10559.73</v>
      </c>
      <c r="AA11" s="56">
        <v>8738.9599999999991</v>
      </c>
      <c r="AB11" s="56">
        <v>7408.8</v>
      </c>
      <c r="AC11" s="66">
        <f>+SUM(E11:AB11)*D11+SUM(E12:AB12)*D12+SUM(E13:AB13)*D13+SUM(E14:AB14)*D14</f>
        <v>6424157.5599999996</v>
      </c>
      <c r="AE11" s="11">
        <f>+AC23</f>
        <v>6729710.7599999998</v>
      </c>
    </row>
    <row r="12" spans="2:31" ht="12.5" x14ac:dyDescent="0.25">
      <c r="B12" s="65" t="s">
        <v>33</v>
      </c>
      <c r="C12" s="4" t="s">
        <v>30</v>
      </c>
      <c r="D12" s="5">
        <v>4</v>
      </c>
      <c r="E12" s="56">
        <v>6076.34</v>
      </c>
      <c r="F12" s="56">
        <v>5693.71</v>
      </c>
      <c r="G12" s="56">
        <v>5411.94</v>
      </c>
      <c r="H12" s="56">
        <v>5312.92</v>
      </c>
      <c r="I12" s="56">
        <v>5515.08</v>
      </c>
      <c r="J12" s="56">
        <v>6080.82</v>
      </c>
      <c r="K12" s="56">
        <v>6785.68</v>
      </c>
      <c r="L12" s="56">
        <v>10553.78</v>
      </c>
      <c r="M12" s="56">
        <v>11065.84</v>
      </c>
      <c r="N12" s="56">
        <v>11436.28</v>
      </c>
      <c r="O12" s="56">
        <v>11741.64</v>
      </c>
      <c r="P12" s="56">
        <v>11957.14</v>
      </c>
      <c r="Q12" s="56">
        <v>11930.54</v>
      </c>
      <c r="R12" s="56">
        <v>11706.23</v>
      </c>
      <c r="S12" s="56">
        <v>11674.92</v>
      </c>
      <c r="T12" s="56">
        <v>11808.26</v>
      </c>
      <c r="U12" s="56">
        <v>11980.11</v>
      </c>
      <c r="V12" s="56">
        <v>10521.57</v>
      </c>
      <c r="W12" s="56">
        <v>11587.28</v>
      </c>
      <c r="X12" s="56">
        <v>11921.45</v>
      </c>
      <c r="Y12" s="56">
        <v>11293.07</v>
      </c>
      <c r="Z12" s="56">
        <v>10370.09</v>
      </c>
      <c r="AA12" s="56">
        <v>9133.42</v>
      </c>
      <c r="AB12" s="56">
        <v>7814.92</v>
      </c>
      <c r="AC12" s="67"/>
      <c r="AE12" s="11">
        <f>+AC27</f>
        <v>6728138.0299999993</v>
      </c>
    </row>
    <row r="13" spans="2:31" ht="12.5" x14ac:dyDescent="0.25">
      <c r="B13" s="65" t="s">
        <v>33</v>
      </c>
      <c r="C13" s="4" t="s">
        <v>31</v>
      </c>
      <c r="D13" s="5">
        <v>4</v>
      </c>
      <c r="E13" s="56">
        <v>6275.37</v>
      </c>
      <c r="F13" s="56">
        <v>5816.29</v>
      </c>
      <c r="G13" s="56">
        <v>5483.12</v>
      </c>
      <c r="H13" s="56">
        <v>5291.17</v>
      </c>
      <c r="I13" s="56">
        <v>5209.84</v>
      </c>
      <c r="J13" s="56">
        <v>5191.43</v>
      </c>
      <c r="K13" s="56">
        <v>5336.32</v>
      </c>
      <c r="L13" s="56">
        <v>8357.7900000000009</v>
      </c>
      <c r="M13" s="56">
        <v>9187.4</v>
      </c>
      <c r="N13" s="56">
        <v>9671.81</v>
      </c>
      <c r="O13" s="56">
        <v>10059.23</v>
      </c>
      <c r="P13" s="56">
        <v>10655.52</v>
      </c>
      <c r="Q13" s="56">
        <v>10912.18</v>
      </c>
      <c r="R13" s="56">
        <v>10885.8</v>
      </c>
      <c r="S13" s="56">
        <v>10607.05</v>
      </c>
      <c r="T13" s="56">
        <v>10669.58</v>
      </c>
      <c r="U13" s="56">
        <v>10769.95</v>
      </c>
      <c r="V13" s="56">
        <v>9733.33</v>
      </c>
      <c r="W13" s="56">
        <v>10981.85</v>
      </c>
      <c r="X13" s="56">
        <v>11222.5</v>
      </c>
      <c r="Y13" s="56">
        <v>10748.19</v>
      </c>
      <c r="Z13" s="56">
        <v>9642.73</v>
      </c>
      <c r="AA13" s="56">
        <v>8063.61</v>
      </c>
      <c r="AB13" s="56">
        <v>6806</v>
      </c>
      <c r="AC13" s="67"/>
      <c r="AE13" s="11">
        <f>+AC31</f>
        <v>6922243.6699999999</v>
      </c>
    </row>
    <row r="14" spans="2:31" ht="12.5" x14ac:dyDescent="0.25">
      <c r="B14" s="65" t="s">
        <v>33</v>
      </c>
      <c r="C14" s="4" t="s">
        <v>32</v>
      </c>
      <c r="D14" s="5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68"/>
      <c r="AE14" s="11">
        <f>+AC35</f>
        <v>7014625.6900000004</v>
      </c>
    </row>
    <row r="15" spans="2:31" ht="12.5" x14ac:dyDescent="0.25">
      <c r="B15" s="65" t="s">
        <v>34</v>
      </c>
      <c r="C15" s="4" t="s">
        <v>29</v>
      </c>
      <c r="D15" s="5">
        <v>20</v>
      </c>
      <c r="E15" s="56">
        <v>5478.72</v>
      </c>
      <c r="F15" s="56">
        <v>5149.67</v>
      </c>
      <c r="G15" s="56">
        <v>5013.16</v>
      </c>
      <c r="H15" s="56">
        <v>4990.28</v>
      </c>
      <c r="I15" s="56">
        <v>5443.18</v>
      </c>
      <c r="J15" s="56">
        <v>6979.86</v>
      </c>
      <c r="K15" s="56">
        <v>7970.75</v>
      </c>
      <c r="L15" s="56">
        <v>10569.69</v>
      </c>
      <c r="M15" s="56">
        <v>10478.799999999999</v>
      </c>
      <c r="N15" s="56">
        <v>10548.28</v>
      </c>
      <c r="O15" s="56">
        <v>10954.27</v>
      </c>
      <c r="P15" s="56">
        <v>11431.05</v>
      </c>
      <c r="Q15" s="56">
        <v>11239.97</v>
      </c>
      <c r="R15" s="56">
        <v>11164.54</v>
      </c>
      <c r="S15" s="56">
        <v>11459.83</v>
      </c>
      <c r="T15" s="56">
        <v>11563.32</v>
      </c>
      <c r="U15" s="56">
        <v>11584.45</v>
      </c>
      <c r="V15" s="56">
        <v>10325.959999999999</v>
      </c>
      <c r="W15" s="56">
        <v>11380.67</v>
      </c>
      <c r="X15" s="56">
        <v>11982.8</v>
      </c>
      <c r="Y15" s="56">
        <v>11342.74</v>
      </c>
      <c r="Z15" s="56">
        <v>10245.34</v>
      </c>
      <c r="AA15" s="56">
        <v>8652.35</v>
      </c>
      <c r="AB15" s="56">
        <v>7296.76</v>
      </c>
      <c r="AC15" s="66">
        <f>+SUM(E15:AB15)*D15+SUM(E16:AB16)*D16+SUM(E17:AB17)*D17+SUM(E18:AB18)*D18</f>
        <v>6758325.4699999997</v>
      </c>
      <c r="AE15" s="11">
        <f>+AC39</f>
        <v>6699026.9999999991</v>
      </c>
    </row>
    <row r="16" spans="2:31" ht="12.5" x14ac:dyDescent="0.25">
      <c r="B16" s="65" t="s">
        <v>34</v>
      </c>
      <c r="C16" s="4" t="s">
        <v>30</v>
      </c>
      <c r="D16" s="5">
        <v>5</v>
      </c>
      <c r="E16" s="56">
        <v>5710.08</v>
      </c>
      <c r="F16" s="56">
        <v>5311.19</v>
      </c>
      <c r="G16" s="56">
        <v>5113.38</v>
      </c>
      <c r="H16" s="56">
        <v>5000.2</v>
      </c>
      <c r="I16" s="56">
        <v>5203.66</v>
      </c>
      <c r="J16" s="56">
        <v>5687.58</v>
      </c>
      <c r="K16" s="56">
        <v>6470.75</v>
      </c>
      <c r="L16" s="56">
        <v>10009.84</v>
      </c>
      <c r="M16" s="56">
        <v>10355.459999999999</v>
      </c>
      <c r="N16" s="56">
        <v>10687.58</v>
      </c>
      <c r="O16" s="56">
        <v>11034.11</v>
      </c>
      <c r="P16" s="56">
        <v>11315.2</v>
      </c>
      <c r="Q16" s="56">
        <v>11407.98</v>
      </c>
      <c r="R16" s="56">
        <v>11068.89</v>
      </c>
      <c r="S16" s="56">
        <v>10897.92</v>
      </c>
      <c r="T16" s="56">
        <v>10992.78</v>
      </c>
      <c r="U16" s="56">
        <v>11128.13</v>
      </c>
      <c r="V16" s="56">
        <v>9950.83</v>
      </c>
      <c r="W16" s="56">
        <v>10940.48</v>
      </c>
      <c r="X16" s="56">
        <v>11642.31</v>
      </c>
      <c r="Y16" s="56">
        <v>11074.97</v>
      </c>
      <c r="Z16" s="56">
        <v>10254.540000000001</v>
      </c>
      <c r="AA16" s="56">
        <v>9075.1200000000008</v>
      </c>
      <c r="AB16" s="56">
        <v>7791.73</v>
      </c>
      <c r="AC16" s="67"/>
      <c r="AE16" s="11">
        <f>+AC43</f>
        <v>6985836.8899999978</v>
      </c>
    </row>
    <row r="17" spans="2:31" ht="12.5" x14ac:dyDescent="0.25">
      <c r="B17" s="65" t="s">
        <v>34</v>
      </c>
      <c r="C17" s="4" t="s">
        <v>31</v>
      </c>
      <c r="D17" s="5">
        <v>5</v>
      </c>
      <c r="E17" s="56">
        <v>6066.43</v>
      </c>
      <c r="F17" s="56">
        <v>5576.85</v>
      </c>
      <c r="G17" s="56">
        <v>5265.88</v>
      </c>
      <c r="H17" s="56">
        <v>5073.57</v>
      </c>
      <c r="I17" s="56">
        <v>5030.17</v>
      </c>
      <c r="J17" s="56">
        <v>5079.83</v>
      </c>
      <c r="K17" s="56">
        <v>5271.57</v>
      </c>
      <c r="L17" s="56">
        <v>8152.48</v>
      </c>
      <c r="M17" s="56">
        <v>8919.1</v>
      </c>
      <c r="N17" s="56">
        <v>9317.2900000000009</v>
      </c>
      <c r="O17" s="56">
        <v>9581.01</v>
      </c>
      <c r="P17" s="56">
        <v>9811.65</v>
      </c>
      <c r="Q17" s="56">
        <v>10062.700000000001</v>
      </c>
      <c r="R17" s="56">
        <v>9969.0400000000009</v>
      </c>
      <c r="S17" s="56">
        <v>9778.75</v>
      </c>
      <c r="T17" s="56">
        <v>9830.59</v>
      </c>
      <c r="U17" s="56">
        <v>10033.25</v>
      </c>
      <c r="V17" s="56">
        <v>9158.59</v>
      </c>
      <c r="W17" s="56">
        <v>10147.209999999999</v>
      </c>
      <c r="X17" s="56">
        <v>10962.93</v>
      </c>
      <c r="Y17" s="56">
        <v>10653.69</v>
      </c>
      <c r="Z17" s="56">
        <v>9821.0400000000009</v>
      </c>
      <c r="AA17" s="56">
        <v>8487.42</v>
      </c>
      <c r="AB17" s="56">
        <v>7109.3</v>
      </c>
      <c r="AC17" s="67"/>
      <c r="AE17" s="11">
        <f>+AC47</f>
        <v>6824913.6200000001</v>
      </c>
    </row>
    <row r="18" spans="2:31" ht="12.5" x14ac:dyDescent="0.25">
      <c r="B18" s="65" t="s">
        <v>34</v>
      </c>
      <c r="C18" s="4" t="s">
        <v>32</v>
      </c>
      <c r="D18" s="5">
        <v>1</v>
      </c>
      <c r="E18" s="56">
        <v>5867.15</v>
      </c>
      <c r="F18" s="56">
        <v>5485.51</v>
      </c>
      <c r="G18" s="56">
        <v>5284.6</v>
      </c>
      <c r="H18" s="56">
        <v>5198.63</v>
      </c>
      <c r="I18" s="56">
        <v>5156.92</v>
      </c>
      <c r="J18" s="56">
        <v>5296.76</v>
      </c>
      <c r="K18" s="56">
        <v>5433.93</v>
      </c>
      <c r="L18" s="56">
        <v>8333.66</v>
      </c>
      <c r="M18" s="56">
        <v>9003.76</v>
      </c>
      <c r="N18" s="56">
        <v>9466.48</v>
      </c>
      <c r="O18" s="56">
        <v>10119.200000000001</v>
      </c>
      <c r="P18" s="56">
        <v>10715.64</v>
      </c>
      <c r="Q18" s="56">
        <v>10971.69</v>
      </c>
      <c r="R18" s="56">
        <v>11040.86</v>
      </c>
      <c r="S18" s="56">
        <v>10951.65</v>
      </c>
      <c r="T18" s="56">
        <v>10885.85</v>
      </c>
      <c r="U18" s="56">
        <v>10538.49</v>
      </c>
      <c r="V18" s="56">
        <v>9566.8700000000008</v>
      </c>
      <c r="W18" s="56">
        <v>10926.1</v>
      </c>
      <c r="X18" s="56">
        <v>11485.61</v>
      </c>
      <c r="Y18" s="56">
        <v>10909.74</v>
      </c>
      <c r="Z18" s="56">
        <v>9529.85</v>
      </c>
      <c r="AA18" s="56">
        <v>8031.83</v>
      </c>
      <c r="AB18" s="56">
        <v>6770.64</v>
      </c>
      <c r="AC18" s="68"/>
      <c r="AE18" s="11">
        <f>+AC51</f>
        <v>7055279.1799999978</v>
      </c>
    </row>
    <row r="19" spans="2:31" ht="13" x14ac:dyDescent="0.3">
      <c r="B19" s="65" t="s">
        <v>35</v>
      </c>
      <c r="C19" s="4" t="s">
        <v>29</v>
      </c>
      <c r="D19" s="5">
        <v>20</v>
      </c>
      <c r="E19" s="56">
        <v>5788.89</v>
      </c>
      <c r="F19" s="56">
        <v>5445.66</v>
      </c>
      <c r="G19" s="56">
        <v>5279.37</v>
      </c>
      <c r="H19" s="56">
        <v>5275.16</v>
      </c>
      <c r="I19" s="56">
        <v>5786.11</v>
      </c>
      <c r="J19" s="56">
        <v>7438.36</v>
      </c>
      <c r="K19" s="56">
        <v>8338.01</v>
      </c>
      <c r="L19" s="56">
        <v>10808.62</v>
      </c>
      <c r="M19" s="56">
        <v>10798.16</v>
      </c>
      <c r="N19" s="56">
        <v>10818.61</v>
      </c>
      <c r="O19" s="56">
        <v>11285.35</v>
      </c>
      <c r="P19" s="56">
        <v>11810.49</v>
      </c>
      <c r="Q19" s="56">
        <v>11541.74</v>
      </c>
      <c r="R19" s="56">
        <v>11643.61</v>
      </c>
      <c r="S19" s="56">
        <v>11995.14</v>
      </c>
      <c r="T19" s="56">
        <v>12099.08</v>
      </c>
      <c r="U19" s="56">
        <v>12155.03</v>
      </c>
      <c r="V19" s="56">
        <v>10957.24</v>
      </c>
      <c r="W19" s="56">
        <v>11968.27</v>
      </c>
      <c r="X19" s="56">
        <v>12324.1</v>
      </c>
      <c r="Y19" s="56">
        <v>11640.79</v>
      </c>
      <c r="Z19" s="56">
        <v>10547.56</v>
      </c>
      <c r="AA19" s="56">
        <v>8920.77</v>
      </c>
      <c r="AB19" s="56">
        <v>7600.59</v>
      </c>
      <c r="AC19" s="66">
        <f>+SUM(E19:AB19)*D19+SUM(E20:AB20)*D20+SUM(E21:AB21)*D21+SUM(E22:AB22)*D22</f>
        <v>6774802.1800000006</v>
      </c>
      <c r="AE19" s="12">
        <f>SUM(AE7:AE18)</f>
        <v>81787287.269999996</v>
      </c>
    </row>
    <row r="20" spans="2:31" ht="12.5" x14ac:dyDescent="0.25">
      <c r="B20" s="65" t="s">
        <v>35</v>
      </c>
      <c r="C20" s="4" t="s">
        <v>30</v>
      </c>
      <c r="D20" s="5">
        <v>4</v>
      </c>
      <c r="E20" s="56">
        <v>6115.93</v>
      </c>
      <c r="F20" s="56">
        <v>5662.98</v>
      </c>
      <c r="G20" s="56">
        <v>5450.34</v>
      </c>
      <c r="H20" s="56">
        <v>5362.46</v>
      </c>
      <c r="I20" s="56">
        <v>5483.03</v>
      </c>
      <c r="J20" s="56">
        <v>5822.92</v>
      </c>
      <c r="K20" s="56">
        <v>6170.28</v>
      </c>
      <c r="L20" s="56">
        <v>9874.0300000000007</v>
      </c>
      <c r="M20" s="56">
        <v>10392.32</v>
      </c>
      <c r="N20" s="56">
        <v>10726.07</v>
      </c>
      <c r="O20" s="56">
        <v>11136.9</v>
      </c>
      <c r="P20" s="56">
        <v>11599.04</v>
      </c>
      <c r="Q20" s="56">
        <v>11812.78</v>
      </c>
      <c r="R20" s="56">
        <v>11420.89</v>
      </c>
      <c r="S20" s="56">
        <v>11309.45</v>
      </c>
      <c r="T20" s="56">
        <v>11353.4</v>
      </c>
      <c r="U20" s="56">
        <v>11480.41</v>
      </c>
      <c r="V20" s="56">
        <v>9876.84</v>
      </c>
      <c r="W20" s="56">
        <v>11345.91</v>
      </c>
      <c r="X20" s="56">
        <v>11759.73</v>
      </c>
      <c r="Y20" s="56">
        <v>11089.11</v>
      </c>
      <c r="Z20" s="56">
        <v>10305.76</v>
      </c>
      <c r="AA20" s="56">
        <v>9262.39</v>
      </c>
      <c r="AB20" s="56">
        <v>8728.41</v>
      </c>
      <c r="AC20" s="67"/>
    </row>
    <row r="21" spans="2:31" ht="12.5" x14ac:dyDescent="0.25">
      <c r="B21" s="65" t="s">
        <v>35</v>
      </c>
      <c r="C21" s="4" t="s">
        <v>31</v>
      </c>
      <c r="D21" s="5">
        <v>4</v>
      </c>
      <c r="E21" s="56">
        <v>6513.26</v>
      </c>
      <c r="F21" s="56">
        <v>5988.28</v>
      </c>
      <c r="G21" s="56">
        <v>5660.02</v>
      </c>
      <c r="H21" s="56">
        <v>5398.74</v>
      </c>
      <c r="I21" s="56">
        <v>5323.98</v>
      </c>
      <c r="J21" s="56">
        <v>5267.02</v>
      </c>
      <c r="K21" s="56">
        <v>5409.36</v>
      </c>
      <c r="L21" s="56">
        <v>8319.36</v>
      </c>
      <c r="M21" s="56">
        <v>9036.7800000000007</v>
      </c>
      <c r="N21" s="56">
        <v>9460.64</v>
      </c>
      <c r="O21" s="56">
        <v>9979.36</v>
      </c>
      <c r="P21" s="56">
        <v>10300.370000000001</v>
      </c>
      <c r="Q21" s="56">
        <v>10581.59</v>
      </c>
      <c r="R21" s="56">
        <v>10525.99</v>
      </c>
      <c r="S21" s="56">
        <v>10451.450000000001</v>
      </c>
      <c r="T21" s="56">
        <v>10343.200000000001</v>
      </c>
      <c r="U21" s="56">
        <v>10527.54</v>
      </c>
      <c r="V21" s="56">
        <v>9522.82</v>
      </c>
      <c r="W21" s="56">
        <v>11088.67</v>
      </c>
      <c r="X21" s="56">
        <v>11374.31</v>
      </c>
      <c r="Y21" s="56">
        <v>10865.67</v>
      </c>
      <c r="Z21" s="56">
        <v>9879.67</v>
      </c>
      <c r="AA21" s="56">
        <v>8406.3799999999992</v>
      </c>
      <c r="AB21" s="56">
        <v>7149.48</v>
      </c>
      <c r="AC21" s="67"/>
    </row>
    <row r="22" spans="2:31" ht="12.5" x14ac:dyDescent="0.25">
      <c r="B22" s="65" t="s">
        <v>35</v>
      </c>
      <c r="C22" s="4" t="s">
        <v>32</v>
      </c>
      <c r="D22" s="5">
        <v>2</v>
      </c>
      <c r="E22" s="56">
        <v>5986.06</v>
      </c>
      <c r="F22" s="56">
        <v>5572.8</v>
      </c>
      <c r="G22" s="56">
        <v>5319.61</v>
      </c>
      <c r="H22" s="56">
        <v>5108.84</v>
      </c>
      <c r="I22" s="56">
        <v>5203.22</v>
      </c>
      <c r="J22" s="56">
        <v>5213.09</v>
      </c>
      <c r="K22" s="56">
        <v>5456.58</v>
      </c>
      <c r="L22" s="56">
        <v>8635.3799999999992</v>
      </c>
      <c r="M22" s="56">
        <v>9118.44</v>
      </c>
      <c r="N22" s="56">
        <v>9240.27</v>
      </c>
      <c r="O22" s="56">
        <v>9373.8799999999992</v>
      </c>
      <c r="P22" s="56">
        <v>9958.48</v>
      </c>
      <c r="Q22" s="56">
        <v>10355.08</v>
      </c>
      <c r="R22" s="56">
        <v>10260.200000000001</v>
      </c>
      <c r="S22" s="56">
        <v>10119.92</v>
      </c>
      <c r="T22" s="56">
        <v>10215.77</v>
      </c>
      <c r="U22" s="56">
        <v>10252.31</v>
      </c>
      <c r="V22" s="56">
        <v>9405.7900000000009</v>
      </c>
      <c r="W22" s="56">
        <v>10381.31</v>
      </c>
      <c r="X22" s="56">
        <v>10825.99</v>
      </c>
      <c r="Y22" s="56">
        <v>10295.799999999999</v>
      </c>
      <c r="Z22" s="56">
        <v>9815.92</v>
      </c>
      <c r="AA22" s="56">
        <v>8923.0300000000007</v>
      </c>
      <c r="AB22" s="56">
        <v>7865.58</v>
      </c>
      <c r="AC22" s="68"/>
    </row>
    <row r="23" spans="2:31" ht="12.5" x14ac:dyDescent="0.25">
      <c r="B23" s="65" t="s">
        <v>36</v>
      </c>
      <c r="C23" s="4" t="s">
        <v>29</v>
      </c>
      <c r="D23" s="5">
        <v>20</v>
      </c>
      <c r="E23" s="56">
        <v>5513.07</v>
      </c>
      <c r="F23" s="56">
        <v>5363.26</v>
      </c>
      <c r="G23" s="56">
        <v>5118.68</v>
      </c>
      <c r="H23" s="56">
        <v>5064.91</v>
      </c>
      <c r="I23" s="56">
        <v>5549.2</v>
      </c>
      <c r="J23" s="56">
        <v>7055.56</v>
      </c>
      <c r="K23" s="56">
        <v>7954.7</v>
      </c>
      <c r="L23" s="56">
        <v>10405.65</v>
      </c>
      <c r="M23" s="56">
        <v>10344.39</v>
      </c>
      <c r="N23" s="56">
        <v>10483.469999999999</v>
      </c>
      <c r="O23" s="56">
        <v>10909.64</v>
      </c>
      <c r="P23" s="56">
        <v>11388.4</v>
      </c>
      <c r="Q23" s="56">
        <v>11138.91</v>
      </c>
      <c r="R23" s="56">
        <v>11223.53</v>
      </c>
      <c r="S23" s="56">
        <v>11619.18</v>
      </c>
      <c r="T23" s="56">
        <v>11756.34</v>
      </c>
      <c r="U23" s="56">
        <v>11565.44</v>
      </c>
      <c r="V23" s="56">
        <v>10604.59</v>
      </c>
      <c r="W23" s="56">
        <v>11582.71</v>
      </c>
      <c r="X23" s="56">
        <v>11744.69</v>
      </c>
      <c r="Y23" s="56">
        <v>11247.13</v>
      </c>
      <c r="Z23" s="56">
        <v>9954.57</v>
      </c>
      <c r="AA23" s="56">
        <v>8571.61</v>
      </c>
      <c r="AB23" s="56">
        <v>7302.84</v>
      </c>
      <c r="AC23" s="66">
        <f>+SUM(E23:AB23)*D23+SUM(E24:AB24)*D24+SUM(E25:AB25)*D25+SUM(E26:AB26)*D26</f>
        <v>6729710.7599999998</v>
      </c>
    </row>
    <row r="24" spans="2:31" ht="12.5" x14ac:dyDescent="0.25">
      <c r="B24" s="65" t="s">
        <v>36</v>
      </c>
      <c r="C24" s="4" t="s">
        <v>30</v>
      </c>
      <c r="D24" s="5">
        <v>5</v>
      </c>
      <c r="E24" s="56">
        <v>5915.53</v>
      </c>
      <c r="F24" s="56">
        <v>5529.24</v>
      </c>
      <c r="G24" s="56">
        <v>5259.54</v>
      </c>
      <c r="H24" s="56">
        <v>5174.1099999999997</v>
      </c>
      <c r="I24" s="56">
        <v>5304.82</v>
      </c>
      <c r="J24" s="56">
        <v>5565.99</v>
      </c>
      <c r="K24" s="56">
        <v>6178.65</v>
      </c>
      <c r="L24" s="56">
        <v>9666.49</v>
      </c>
      <c r="M24" s="56">
        <v>10240.02</v>
      </c>
      <c r="N24" s="56">
        <v>10587.01</v>
      </c>
      <c r="O24" s="56">
        <v>10896.06</v>
      </c>
      <c r="P24" s="56">
        <v>11130.96</v>
      </c>
      <c r="Q24" s="56">
        <v>11146.4</v>
      </c>
      <c r="R24" s="56">
        <v>10986.6</v>
      </c>
      <c r="S24" s="56">
        <v>10938.88</v>
      </c>
      <c r="T24" s="56">
        <v>10784.58</v>
      </c>
      <c r="U24" s="56">
        <v>10978.51</v>
      </c>
      <c r="V24" s="56">
        <v>9908.41</v>
      </c>
      <c r="W24" s="56">
        <v>10577.72</v>
      </c>
      <c r="X24" s="56">
        <v>10940.33</v>
      </c>
      <c r="Y24" s="56">
        <v>10398.469999999999</v>
      </c>
      <c r="Z24" s="56">
        <v>9542.25</v>
      </c>
      <c r="AA24" s="56">
        <v>8655.4699999999993</v>
      </c>
      <c r="AB24" s="56">
        <v>7553.28</v>
      </c>
      <c r="AC24" s="67"/>
    </row>
    <row r="25" spans="2:31" ht="12.5" x14ac:dyDescent="0.25">
      <c r="B25" s="65" t="s">
        <v>36</v>
      </c>
      <c r="C25" s="4" t="s">
        <v>31</v>
      </c>
      <c r="D25" s="5">
        <v>4</v>
      </c>
      <c r="E25" s="56">
        <v>5935.6</v>
      </c>
      <c r="F25" s="56">
        <v>5520.97</v>
      </c>
      <c r="G25" s="56">
        <v>5247.19</v>
      </c>
      <c r="H25" s="56">
        <v>5030.62</v>
      </c>
      <c r="I25" s="56">
        <v>5053.33</v>
      </c>
      <c r="J25" s="56">
        <v>4919.3900000000003</v>
      </c>
      <c r="K25" s="56">
        <v>5208.4799999999996</v>
      </c>
      <c r="L25" s="56">
        <v>8100.46</v>
      </c>
      <c r="M25" s="56">
        <v>8758.5499999999993</v>
      </c>
      <c r="N25" s="56">
        <v>9131.34</v>
      </c>
      <c r="O25" s="56">
        <v>9467.3799999999992</v>
      </c>
      <c r="P25" s="56">
        <v>9671.23</v>
      </c>
      <c r="Q25" s="56">
        <v>9831.4</v>
      </c>
      <c r="R25" s="56">
        <v>9885.0300000000007</v>
      </c>
      <c r="S25" s="56">
        <v>9624.0300000000007</v>
      </c>
      <c r="T25" s="56">
        <v>9560.16</v>
      </c>
      <c r="U25" s="56">
        <v>9746.32</v>
      </c>
      <c r="V25" s="56">
        <v>9027.82</v>
      </c>
      <c r="W25" s="56">
        <v>10042.19</v>
      </c>
      <c r="X25" s="56">
        <v>10432.25</v>
      </c>
      <c r="Y25" s="56">
        <v>10070.98</v>
      </c>
      <c r="Z25" s="56">
        <v>9308.74</v>
      </c>
      <c r="AA25" s="56">
        <v>7944.21</v>
      </c>
      <c r="AB25" s="56">
        <v>6959.22</v>
      </c>
      <c r="AC25" s="67"/>
    </row>
    <row r="26" spans="2:31" ht="12.5" x14ac:dyDescent="0.25">
      <c r="B26" s="65" t="s">
        <v>36</v>
      </c>
      <c r="C26" s="4" t="s">
        <v>32</v>
      </c>
      <c r="D26" s="5">
        <v>2</v>
      </c>
      <c r="E26" s="56">
        <v>5825.36</v>
      </c>
      <c r="F26" s="56">
        <v>5425.88</v>
      </c>
      <c r="G26" s="56">
        <v>5223.54</v>
      </c>
      <c r="H26" s="56">
        <v>5087.3999999999996</v>
      </c>
      <c r="I26" s="56">
        <v>5150.29</v>
      </c>
      <c r="J26" s="56">
        <v>5225.1400000000003</v>
      </c>
      <c r="K26" s="56">
        <v>5437.93</v>
      </c>
      <c r="L26" s="56">
        <v>8472.89</v>
      </c>
      <c r="M26" s="56">
        <v>9055.73</v>
      </c>
      <c r="N26" s="56">
        <v>9704.81</v>
      </c>
      <c r="O26" s="56">
        <v>10153.77</v>
      </c>
      <c r="P26" s="56">
        <v>10895.83</v>
      </c>
      <c r="Q26" s="56">
        <v>11165.99</v>
      </c>
      <c r="R26" s="56">
        <v>10967.96</v>
      </c>
      <c r="S26" s="56">
        <v>10481.09</v>
      </c>
      <c r="T26" s="56">
        <v>10543.15</v>
      </c>
      <c r="U26" s="56">
        <v>10387.81</v>
      </c>
      <c r="V26" s="56">
        <v>9759.73</v>
      </c>
      <c r="W26" s="56">
        <v>10677.21</v>
      </c>
      <c r="X26" s="56">
        <v>11031.68</v>
      </c>
      <c r="Y26" s="56">
        <v>10575.88</v>
      </c>
      <c r="Z26" s="56">
        <v>9752.44</v>
      </c>
      <c r="AA26" s="56">
        <v>8374.36</v>
      </c>
      <c r="AB26" s="56">
        <v>7252.73</v>
      </c>
      <c r="AC26" s="68"/>
    </row>
    <row r="27" spans="2:31" ht="12.5" x14ac:dyDescent="0.25">
      <c r="B27" s="65" t="s">
        <v>37</v>
      </c>
      <c r="C27" s="4" t="s">
        <v>29</v>
      </c>
      <c r="D27" s="5">
        <v>18</v>
      </c>
      <c r="E27" s="56">
        <v>5678.89</v>
      </c>
      <c r="F27" s="56">
        <v>5354.34</v>
      </c>
      <c r="G27" s="56">
        <v>5218.38</v>
      </c>
      <c r="H27" s="56">
        <v>5183.5200000000004</v>
      </c>
      <c r="I27" s="56">
        <v>5642.32</v>
      </c>
      <c r="J27" s="56">
        <v>6866.46</v>
      </c>
      <c r="K27" s="56">
        <v>7884.93</v>
      </c>
      <c r="L27" s="56">
        <v>10929.49</v>
      </c>
      <c r="M27" s="56">
        <v>10949.49</v>
      </c>
      <c r="N27" s="56">
        <v>11226.24</v>
      </c>
      <c r="O27" s="56">
        <v>11704.19</v>
      </c>
      <c r="P27" s="56">
        <v>12172.97</v>
      </c>
      <c r="Q27" s="56">
        <v>12020.37</v>
      </c>
      <c r="R27" s="56">
        <v>11931.69</v>
      </c>
      <c r="S27" s="56">
        <v>12177.34</v>
      </c>
      <c r="T27" s="56">
        <v>12166.66</v>
      </c>
      <c r="U27" s="56">
        <v>12210.67</v>
      </c>
      <c r="V27" s="56">
        <v>10754.93</v>
      </c>
      <c r="W27" s="56">
        <v>11736.99</v>
      </c>
      <c r="X27" s="56">
        <v>12103.04</v>
      </c>
      <c r="Y27" s="56">
        <v>11457.14</v>
      </c>
      <c r="Z27" s="56">
        <v>10343.23</v>
      </c>
      <c r="AA27" s="56">
        <v>8808.0300000000007</v>
      </c>
      <c r="AB27" s="56">
        <v>7457.82</v>
      </c>
      <c r="AC27" s="66">
        <f>+SUM(E27:AB27)*D27+SUM(E28:AB28)*D28+SUM(E29:AB29)*D29+SUM(E30:AB30)*D30</f>
        <v>6728138.0299999993</v>
      </c>
    </row>
    <row r="28" spans="2:31" ht="12.5" x14ac:dyDescent="0.25">
      <c r="B28" s="65" t="s">
        <v>37</v>
      </c>
      <c r="C28" s="4" t="s">
        <v>30</v>
      </c>
      <c r="D28" s="5">
        <v>4</v>
      </c>
      <c r="E28" s="56">
        <v>5890.94</v>
      </c>
      <c r="F28" s="56">
        <v>5506.77</v>
      </c>
      <c r="G28" s="56">
        <v>5274.41</v>
      </c>
      <c r="H28" s="56">
        <v>5159.01</v>
      </c>
      <c r="I28" s="56">
        <v>5356.68</v>
      </c>
      <c r="J28" s="56">
        <v>5706.75</v>
      </c>
      <c r="K28" s="56">
        <v>6469.01</v>
      </c>
      <c r="L28" s="56">
        <v>10236.780000000001</v>
      </c>
      <c r="M28" s="56">
        <v>10835.1</v>
      </c>
      <c r="N28" s="56">
        <v>11183.51</v>
      </c>
      <c r="O28" s="56">
        <v>11576.03</v>
      </c>
      <c r="P28" s="56">
        <v>11823.82</v>
      </c>
      <c r="Q28" s="56">
        <v>11841.71</v>
      </c>
      <c r="R28" s="56">
        <v>11565.02</v>
      </c>
      <c r="S28" s="56">
        <v>11294.23</v>
      </c>
      <c r="T28" s="56">
        <v>11229.8</v>
      </c>
      <c r="U28" s="56">
        <v>11208.05</v>
      </c>
      <c r="V28" s="56">
        <v>10091.64</v>
      </c>
      <c r="W28" s="56">
        <v>10996.34</v>
      </c>
      <c r="X28" s="56">
        <v>11557.76</v>
      </c>
      <c r="Y28" s="56">
        <v>11011.93</v>
      </c>
      <c r="Z28" s="56">
        <v>10141.49</v>
      </c>
      <c r="AA28" s="56">
        <v>9086.7800000000007</v>
      </c>
      <c r="AB28" s="56">
        <v>7868.63</v>
      </c>
      <c r="AC28" s="67"/>
    </row>
    <row r="29" spans="2:31" ht="12.5" x14ac:dyDescent="0.25">
      <c r="B29" s="65" t="s">
        <v>37</v>
      </c>
      <c r="C29" s="4" t="s">
        <v>31</v>
      </c>
      <c r="D29" s="5">
        <v>5</v>
      </c>
      <c r="E29" s="56">
        <v>6367.35</v>
      </c>
      <c r="F29" s="56">
        <v>5840.98</v>
      </c>
      <c r="G29" s="56">
        <v>5537.03</v>
      </c>
      <c r="H29" s="56">
        <v>5375.37</v>
      </c>
      <c r="I29" s="56">
        <v>5278.97</v>
      </c>
      <c r="J29" s="56">
        <v>5179.55</v>
      </c>
      <c r="K29" s="56">
        <v>5417.99</v>
      </c>
      <c r="L29" s="56">
        <v>8597.66</v>
      </c>
      <c r="M29" s="56">
        <v>9390.2199999999993</v>
      </c>
      <c r="N29" s="56">
        <v>10002.61</v>
      </c>
      <c r="O29" s="56">
        <v>10317.84</v>
      </c>
      <c r="P29" s="56">
        <v>10586.03</v>
      </c>
      <c r="Q29" s="56">
        <v>10699.06</v>
      </c>
      <c r="R29" s="56">
        <v>10592.96</v>
      </c>
      <c r="S29" s="56">
        <v>10279.67</v>
      </c>
      <c r="T29" s="56">
        <v>10256.280000000001</v>
      </c>
      <c r="U29" s="56">
        <v>10354.02</v>
      </c>
      <c r="V29" s="56">
        <v>9343.17</v>
      </c>
      <c r="W29" s="56">
        <v>10261.35</v>
      </c>
      <c r="X29" s="56">
        <v>10926.13</v>
      </c>
      <c r="Y29" s="56">
        <v>10581.96</v>
      </c>
      <c r="Z29" s="56">
        <v>9784.99</v>
      </c>
      <c r="AA29" s="56">
        <v>8624.2099999999991</v>
      </c>
      <c r="AB29" s="56">
        <v>7380.44</v>
      </c>
      <c r="AC29" s="67"/>
    </row>
    <row r="30" spans="2:31" ht="12.5" x14ac:dyDescent="0.25">
      <c r="B30" s="65" t="s">
        <v>37</v>
      </c>
      <c r="C30" s="4" t="s">
        <v>32</v>
      </c>
      <c r="D30" s="5">
        <v>3</v>
      </c>
      <c r="E30" s="56">
        <v>5884.65</v>
      </c>
      <c r="F30" s="56">
        <v>5501.87</v>
      </c>
      <c r="G30" s="56">
        <v>5268.34</v>
      </c>
      <c r="H30" s="56">
        <v>5140.74</v>
      </c>
      <c r="I30" s="56">
        <v>5167.53</v>
      </c>
      <c r="J30" s="56">
        <v>5175.17</v>
      </c>
      <c r="K30" s="56">
        <v>5278.55</v>
      </c>
      <c r="L30" s="56">
        <v>8458.89</v>
      </c>
      <c r="M30" s="56">
        <v>8920.67</v>
      </c>
      <c r="N30" s="56">
        <v>9463.5300000000007</v>
      </c>
      <c r="O30" s="56">
        <v>10337.120000000001</v>
      </c>
      <c r="P30" s="56">
        <v>10852.48</v>
      </c>
      <c r="Q30" s="56">
        <v>11279.82</v>
      </c>
      <c r="R30" s="56">
        <v>11143.19</v>
      </c>
      <c r="S30" s="56">
        <v>10908.52</v>
      </c>
      <c r="T30" s="56">
        <v>10778.25</v>
      </c>
      <c r="U30" s="56">
        <v>10724.84</v>
      </c>
      <c r="V30" s="56">
        <v>9607.74</v>
      </c>
      <c r="W30" s="56">
        <v>10611.61</v>
      </c>
      <c r="X30" s="56">
        <v>11288.65</v>
      </c>
      <c r="Y30" s="56">
        <v>10896.93</v>
      </c>
      <c r="Z30" s="56">
        <v>10032.75</v>
      </c>
      <c r="AA30" s="56">
        <v>8640</v>
      </c>
      <c r="AB30" s="56">
        <v>7300.07</v>
      </c>
      <c r="AC30" s="68"/>
    </row>
    <row r="31" spans="2:31" ht="12.5" x14ac:dyDescent="0.25">
      <c r="B31" s="65" t="s">
        <v>38</v>
      </c>
      <c r="C31" s="4" t="s">
        <v>29</v>
      </c>
      <c r="D31" s="5">
        <v>22</v>
      </c>
      <c r="E31" s="56">
        <v>5609.07</v>
      </c>
      <c r="F31" s="56">
        <v>5292.17</v>
      </c>
      <c r="G31" s="56">
        <v>5133.7299999999996</v>
      </c>
      <c r="H31" s="56">
        <v>5126.3500000000004</v>
      </c>
      <c r="I31" s="56">
        <v>5569.69</v>
      </c>
      <c r="J31" s="56">
        <v>6961.76</v>
      </c>
      <c r="K31" s="56">
        <v>7913.55</v>
      </c>
      <c r="L31" s="56">
        <v>10537.75</v>
      </c>
      <c r="M31" s="56">
        <v>10549.67</v>
      </c>
      <c r="N31" s="56">
        <v>10773.94</v>
      </c>
      <c r="O31" s="56">
        <v>11102.05</v>
      </c>
      <c r="P31" s="56">
        <v>11753.91</v>
      </c>
      <c r="Q31" s="56">
        <v>11505.98</v>
      </c>
      <c r="R31" s="56">
        <v>11474.42</v>
      </c>
      <c r="S31" s="56">
        <v>11723.62</v>
      </c>
      <c r="T31" s="56">
        <v>11755.36</v>
      </c>
      <c r="U31" s="56">
        <v>11694.6</v>
      </c>
      <c r="V31" s="56">
        <v>10453.64</v>
      </c>
      <c r="W31" s="56">
        <v>11176.27</v>
      </c>
      <c r="X31" s="56">
        <v>11923.28</v>
      </c>
      <c r="Y31" s="56">
        <v>11373.57</v>
      </c>
      <c r="Z31" s="56">
        <v>10302.629999999999</v>
      </c>
      <c r="AA31" s="56">
        <v>8678.4699999999993</v>
      </c>
      <c r="AB31" s="56">
        <v>7403.71</v>
      </c>
      <c r="AC31" s="66">
        <f>+SUM(E31:AB31)*D31+SUM(E32:AB32)*D32+SUM(E33:AB33)*D33+SUM(E34:AB34)*D34</f>
        <v>6922243.6699999999</v>
      </c>
    </row>
    <row r="32" spans="2:31" ht="12.5" x14ac:dyDescent="0.25">
      <c r="B32" s="65" t="s">
        <v>38</v>
      </c>
      <c r="C32" s="4" t="s">
        <v>30</v>
      </c>
      <c r="D32" s="5">
        <v>4</v>
      </c>
      <c r="E32" s="56">
        <v>5996.34</v>
      </c>
      <c r="F32" s="56">
        <v>5597.32</v>
      </c>
      <c r="G32" s="56">
        <v>5351.1</v>
      </c>
      <c r="H32" s="56">
        <v>5271.29</v>
      </c>
      <c r="I32" s="56">
        <v>5385.64</v>
      </c>
      <c r="J32" s="56">
        <v>5659.87</v>
      </c>
      <c r="K32" s="56">
        <v>6317.68</v>
      </c>
      <c r="L32" s="56">
        <v>9915.27</v>
      </c>
      <c r="M32" s="56">
        <v>10515.76</v>
      </c>
      <c r="N32" s="56">
        <v>10865.47</v>
      </c>
      <c r="O32" s="56">
        <v>11106.05</v>
      </c>
      <c r="P32" s="56">
        <v>11484.83</v>
      </c>
      <c r="Q32" s="56">
        <v>11604.12</v>
      </c>
      <c r="R32" s="56">
        <v>11352.43</v>
      </c>
      <c r="S32" s="56">
        <v>11155.17</v>
      </c>
      <c r="T32" s="56">
        <v>10949.97</v>
      </c>
      <c r="U32" s="56">
        <v>10824.47</v>
      </c>
      <c r="V32" s="56">
        <v>9879.8700000000008</v>
      </c>
      <c r="W32" s="56">
        <v>10514.43</v>
      </c>
      <c r="X32" s="56">
        <v>11193.16</v>
      </c>
      <c r="Y32" s="56">
        <v>10624.76</v>
      </c>
      <c r="Z32" s="56">
        <v>9752.0300000000007</v>
      </c>
      <c r="AA32" s="56">
        <v>8621.84</v>
      </c>
      <c r="AB32" s="56">
        <v>7559.87</v>
      </c>
      <c r="AC32" s="67"/>
    </row>
    <row r="33" spans="2:29" ht="12.5" x14ac:dyDescent="0.25">
      <c r="B33" s="65" t="s">
        <v>38</v>
      </c>
      <c r="C33" s="4" t="s">
        <v>31</v>
      </c>
      <c r="D33" s="5">
        <v>3</v>
      </c>
      <c r="E33" s="56">
        <v>5829.3</v>
      </c>
      <c r="F33" s="56">
        <v>5405.01</v>
      </c>
      <c r="G33" s="56">
        <v>5145.13</v>
      </c>
      <c r="H33" s="56">
        <v>5011.09</v>
      </c>
      <c r="I33" s="56">
        <v>4935.41</v>
      </c>
      <c r="J33" s="56">
        <v>4856.25</v>
      </c>
      <c r="K33" s="56">
        <v>5112.1400000000003</v>
      </c>
      <c r="L33" s="56">
        <v>8035.85</v>
      </c>
      <c r="M33" s="56">
        <v>8839.2199999999993</v>
      </c>
      <c r="N33" s="56">
        <v>9260.6</v>
      </c>
      <c r="O33" s="56">
        <v>9569.26</v>
      </c>
      <c r="P33" s="56">
        <v>10078.52</v>
      </c>
      <c r="Q33" s="56">
        <v>10219.82</v>
      </c>
      <c r="R33" s="56">
        <v>10215.530000000001</v>
      </c>
      <c r="S33" s="56">
        <v>10044.280000000001</v>
      </c>
      <c r="T33" s="56">
        <v>9944.73</v>
      </c>
      <c r="U33" s="56">
        <v>9905.15</v>
      </c>
      <c r="V33" s="56">
        <v>8998.94</v>
      </c>
      <c r="W33" s="56">
        <v>9920.44</v>
      </c>
      <c r="X33" s="56">
        <v>10848.99</v>
      </c>
      <c r="Y33" s="56">
        <v>10569.59</v>
      </c>
      <c r="Z33" s="56">
        <v>9593.82</v>
      </c>
      <c r="AA33" s="56">
        <v>8079.77</v>
      </c>
      <c r="AB33" s="56">
        <v>6884.59</v>
      </c>
      <c r="AC33" s="67"/>
    </row>
    <row r="34" spans="2:29" ht="12.5" x14ac:dyDescent="0.25">
      <c r="B34" s="65" t="s">
        <v>38</v>
      </c>
      <c r="C34" s="4" t="s">
        <v>32</v>
      </c>
      <c r="D34" s="5">
        <v>2</v>
      </c>
      <c r="E34" s="56">
        <v>7775.64</v>
      </c>
      <c r="F34" s="56">
        <v>6995.47</v>
      </c>
      <c r="G34" s="56">
        <v>6466.37</v>
      </c>
      <c r="H34" s="56">
        <v>6074.12</v>
      </c>
      <c r="I34" s="56">
        <v>6116.89</v>
      </c>
      <c r="J34" s="56">
        <v>6077.9</v>
      </c>
      <c r="K34" s="56">
        <v>6763.47</v>
      </c>
      <c r="L34" s="56">
        <v>8584.84</v>
      </c>
      <c r="M34" s="56">
        <v>9877.0400000000009</v>
      </c>
      <c r="N34" s="56">
        <v>10588.77</v>
      </c>
      <c r="O34" s="56">
        <v>10908.81</v>
      </c>
      <c r="P34" s="56">
        <v>11882.2</v>
      </c>
      <c r="Q34" s="56">
        <v>12178.5</v>
      </c>
      <c r="R34" s="56">
        <v>12053.33</v>
      </c>
      <c r="S34" s="56">
        <v>11347.94</v>
      </c>
      <c r="T34" s="56">
        <v>11143.05</v>
      </c>
      <c r="U34" s="56">
        <v>11122.93</v>
      </c>
      <c r="V34" s="56">
        <v>12475.6</v>
      </c>
      <c r="W34" s="56">
        <v>13550.26</v>
      </c>
      <c r="X34" s="56">
        <v>15036.13</v>
      </c>
      <c r="Y34" s="56">
        <v>14755.55</v>
      </c>
      <c r="Z34" s="56">
        <v>13420.74</v>
      </c>
      <c r="AA34" s="56">
        <v>11457.83</v>
      </c>
      <c r="AB34" s="56">
        <v>9834.74</v>
      </c>
      <c r="AC34" s="68"/>
    </row>
    <row r="35" spans="2:29" ht="12.5" x14ac:dyDescent="0.25">
      <c r="B35" s="65" t="s">
        <v>39</v>
      </c>
      <c r="C35" s="4" t="s">
        <v>29</v>
      </c>
      <c r="D35" s="5">
        <v>19</v>
      </c>
      <c r="E35" s="56">
        <v>5831</v>
      </c>
      <c r="F35" s="56">
        <v>5448.58</v>
      </c>
      <c r="G35" s="56">
        <v>5295.9</v>
      </c>
      <c r="H35" s="56">
        <v>5263.78</v>
      </c>
      <c r="I35" s="56">
        <v>5778.59</v>
      </c>
      <c r="J35" s="56">
        <v>7369.69</v>
      </c>
      <c r="K35" s="56">
        <v>8429.49</v>
      </c>
      <c r="L35" s="56">
        <v>10969.03</v>
      </c>
      <c r="M35" s="56">
        <v>10844.52</v>
      </c>
      <c r="N35" s="56">
        <v>10977.41</v>
      </c>
      <c r="O35" s="56">
        <v>11368.53</v>
      </c>
      <c r="P35" s="56">
        <v>11856.39</v>
      </c>
      <c r="Q35" s="56">
        <v>11672.2</v>
      </c>
      <c r="R35" s="56">
        <v>11663.21</v>
      </c>
      <c r="S35" s="56">
        <v>11975.67</v>
      </c>
      <c r="T35" s="56">
        <v>12044.82</v>
      </c>
      <c r="U35" s="56">
        <v>12055.89</v>
      </c>
      <c r="V35" s="56">
        <v>10891.25</v>
      </c>
      <c r="W35" s="56">
        <v>11814.29</v>
      </c>
      <c r="X35" s="56">
        <v>12491.95</v>
      </c>
      <c r="Y35" s="56">
        <v>11896.15</v>
      </c>
      <c r="Z35" s="56">
        <v>10727.5</v>
      </c>
      <c r="AA35" s="56">
        <v>8998.7800000000007</v>
      </c>
      <c r="AB35" s="56">
        <v>7669.17</v>
      </c>
      <c r="AC35" s="66">
        <f>+SUM(E35:AB35)*D35+SUM(E36:AB36)*D36+SUM(E37:AB37)*D37+SUM(E38:AB38)*D38</f>
        <v>7014625.6900000004</v>
      </c>
    </row>
    <row r="36" spans="2:29" ht="12.5" x14ac:dyDescent="0.25">
      <c r="B36" s="65" t="s">
        <v>39</v>
      </c>
      <c r="C36" s="4" t="s">
        <v>30</v>
      </c>
      <c r="D36" s="5">
        <v>5</v>
      </c>
      <c r="E36" s="56">
        <v>6178.01</v>
      </c>
      <c r="F36" s="56">
        <v>5764.87</v>
      </c>
      <c r="G36" s="56">
        <v>5503.93</v>
      </c>
      <c r="H36" s="56">
        <v>5382.07</v>
      </c>
      <c r="I36" s="56">
        <v>5502.66</v>
      </c>
      <c r="J36" s="56">
        <v>5816.36</v>
      </c>
      <c r="K36" s="56">
        <v>6609.08</v>
      </c>
      <c r="L36" s="56">
        <v>10221.11</v>
      </c>
      <c r="M36" s="56">
        <v>10958.66</v>
      </c>
      <c r="N36" s="56">
        <v>11161.38</v>
      </c>
      <c r="O36" s="56">
        <v>11386.98</v>
      </c>
      <c r="P36" s="56">
        <v>11658.98</v>
      </c>
      <c r="Q36" s="56">
        <v>11744.09</v>
      </c>
      <c r="R36" s="56">
        <v>11765.87</v>
      </c>
      <c r="S36" s="56">
        <v>11488.42</v>
      </c>
      <c r="T36" s="56">
        <v>11371.13</v>
      </c>
      <c r="U36" s="56">
        <v>11300.67</v>
      </c>
      <c r="V36" s="56">
        <v>10457.73</v>
      </c>
      <c r="W36" s="56">
        <v>11246.14</v>
      </c>
      <c r="X36" s="56">
        <v>11789.24</v>
      </c>
      <c r="Y36" s="56">
        <v>11134.11</v>
      </c>
      <c r="Z36" s="56">
        <v>10226.06</v>
      </c>
      <c r="AA36" s="56">
        <v>8897.3700000000008</v>
      </c>
      <c r="AB36" s="56">
        <v>7822.97</v>
      </c>
      <c r="AC36" s="67"/>
    </row>
    <row r="37" spans="2:29" ht="12.5" x14ac:dyDescent="0.25">
      <c r="B37" s="65" t="s">
        <v>39</v>
      </c>
      <c r="C37" s="4" t="s">
        <v>31</v>
      </c>
      <c r="D37" s="5">
        <v>5</v>
      </c>
      <c r="E37" s="56">
        <v>6173.41</v>
      </c>
      <c r="F37" s="56">
        <v>5741.45</v>
      </c>
      <c r="G37" s="56">
        <v>5424.82</v>
      </c>
      <c r="H37" s="56">
        <v>5247.01</v>
      </c>
      <c r="I37" s="56">
        <v>5173.53</v>
      </c>
      <c r="J37" s="56">
        <v>5197.2700000000004</v>
      </c>
      <c r="K37" s="56">
        <v>5337.08</v>
      </c>
      <c r="L37" s="56">
        <v>8383.8799999999992</v>
      </c>
      <c r="M37" s="56">
        <v>9137.2900000000009</v>
      </c>
      <c r="N37" s="56">
        <v>9672.4</v>
      </c>
      <c r="O37" s="56">
        <v>10013.57</v>
      </c>
      <c r="P37" s="56">
        <v>10494.69</v>
      </c>
      <c r="Q37" s="56">
        <v>10749.52</v>
      </c>
      <c r="R37" s="56">
        <v>10624.62</v>
      </c>
      <c r="S37" s="56">
        <v>10354.530000000001</v>
      </c>
      <c r="T37" s="56">
        <v>10314.1</v>
      </c>
      <c r="U37" s="56">
        <v>10432.41</v>
      </c>
      <c r="V37" s="56">
        <v>9674.1</v>
      </c>
      <c r="W37" s="56">
        <v>10720.96</v>
      </c>
      <c r="X37" s="56">
        <v>11356.37</v>
      </c>
      <c r="Y37" s="56">
        <v>10887</v>
      </c>
      <c r="Z37" s="56">
        <v>9789.43</v>
      </c>
      <c r="AA37" s="56">
        <v>8401.7800000000007</v>
      </c>
      <c r="AB37" s="56">
        <v>7274.95</v>
      </c>
      <c r="AC37" s="67"/>
    </row>
    <row r="38" spans="2:29" ht="12.5" x14ac:dyDescent="0.25">
      <c r="B38" s="65" t="s">
        <v>39</v>
      </c>
      <c r="C38" s="4" t="s">
        <v>32</v>
      </c>
      <c r="D38" s="5">
        <v>2</v>
      </c>
      <c r="E38" s="56">
        <v>5947.87</v>
      </c>
      <c r="F38" s="56">
        <v>5490.84</v>
      </c>
      <c r="G38" s="56">
        <v>5320.51</v>
      </c>
      <c r="H38" s="56">
        <v>5234.83</v>
      </c>
      <c r="I38" s="56">
        <v>5337.15</v>
      </c>
      <c r="J38" s="56">
        <v>5450.78</v>
      </c>
      <c r="K38" s="56">
        <v>5612.51</v>
      </c>
      <c r="L38" s="56">
        <v>8650.64</v>
      </c>
      <c r="M38" s="56">
        <v>9245.0499999999993</v>
      </c>
      <c r="N38" s="56">
        <v>9685.1200000000008</v>
      </c>
      <c r="O38" s="56">
        <v>10310.43</v>
      </c>
      <c r="P38" s="56">
        <v>10647.52</v>
      </c>
      <c r="Q38" s="56">
        <v>10816.53</v>
      </c>
      <c r="R38" s="56">
        <v>11087.01</v>
      </c>
      <c r="S38" s="56">
        <v>10950.84</v>
      </c>
      <c r="T38" s="56">
        <v>10687.94</v>
      </c>
      <c r="U38" s="56">
        <v>10926.24</v>
      </c>
      <c r="V38" s="56">
        <v>10280.450000000001</v>
      </c>
      <c r="W38" s="56">
        <v>11162.16</v>
      </c>
      <c r="X38" s="56">
        <v>11600.24</v>
      </c>
      <c r="Y38" s="56">
        <v>10980.71</v>
      </c>
      <c r="Z38" s="56">
        <v>9827.68</v>
      </c>
      <c r="AA38" s="56">
        <v>8376.81</v>
      </c>
      <c r="AB38" s="56">
        <v>7101.83</v>
      </c>
      <c r="AC38" s="68"/>
    </row>
    <row r="39" spans="2:29" ht="12.5" x14ac:dyDescent="0.25">
      <c r="B39" s="65" t="s">
        <v>40</v>
      </c>
      <c r="C39" s="4" t="s">
        <v>29</v>
      </c>
      <c r="D39" s="5">
        <v>22</v>
      </c>
      <c r="E39" s="56">
        <v>5640.37</v>
      </c>
      <c r="F39" s="56">
        <v>5314.24</v>
      </c>
      <c r="G39" s="56">
        <v>5182.5</v>
      </c>
      <c r="H39" s="56">
        <v>5116.09</v>
      </c>
      <c r="I39" s="56">
        <v>5611.92</v>
      </c>
      <c r="J39" s="56">
        <v>7062.9</v>
      </c>
      <c r="K39" s="56">
        <v>8120.58</v>
      </c>
      <c r="L39" s="56">
        <v>10768.96</v>
      </c>
      <c r="M39" s="56">
        <v>10652.16</v>
      </c>
      <c r="N39" s="56">
        <v>10806.58</v>
      </c>
      <c r="O39" s="56">
        <v>11207.91</v>
      </c>
      <c r="P39" s="56">
        <v>11770.1</v>
      </c>
      <c r="Q39" s="56">
        <v>11533.55</v>
      </c>
      <c r="R39" s="56">
        <v>11444.79</v>
      </c>
      <c r="S39" s="56">
        <v>11760.83</v>
      </c>
      <c r="T39" s="56">
        <v>11872.29</v>
      </c>
      <c r="U39" s="56">
        <v>11852.22</v>
      </c>
      <c r="V39" s="56">
        <v>10658.84</v>
      </c>
      <c r="W39" s="56">
        <v>11763.53</v>
      </c>
      <c r="X39" s="56">
        <v>12050.55</v>
      </c>
      <c r="Y39" s="56">
        <v>11430.33</v>
      </c>
      <c r="Z39" s="56">
        <v>10382.66</v>
      </c>
      <c r="AA39" s="56">
        <v>8715.77</v>
      </c>
      <c r="AB39" s="56">
        <v>7351.33</v>
      </c>
      <c r="AC39" s="66">
        <f>+SUM(E39:AB39)*D39+SUM(E40:AB40)*D40+SUM(E41:AB41)*D41+SUM(E42:AB42)*D42</f>
        <v>6699026.9999999991</v>
      </c>
    </row>
    <row r="40" spans="2:29" ht="12.5" x14ac:dyDescent="0.25">
      <c r="B40" s="65" t="s">
        <v>40</v>
      </c>
      <c r="C40" s="4" t="s">
        <v>30</v>
      </c>
      <c r="D40" s="5">
        <v>4</v>
      </c>
      <c r="E40" s="56">
        <v>5857.19</v>
      </c>
      <c r="F40" s="56">
        <v>5421.87</v>
      </c>
      <c r="G40" s="56">
        <v>5236.74</v>
      </c>
      <c r="H40" s="56">
        <v>5138.08</v>
      </c>
      <c r="I40" s="56">
        <v>5278.74</v>
      </c>
      <c r="J40" s="56">
        <v>5716.18</v>
      </c>
      <c r="K40" s="56">
        <v>6403.22</v>
      </c>
      <c r="L40" s="56">
        <v>10079.61</v>
      </c>
      <c r="M40" s="56">
        <v>10635.6</v>
      </c>
      <c r="N40" s="56">
        <v>10949.92</v>
      </c>
      <c r="O40" s="56">
        <v>11335.36</v>
      </c>
      <c r="P40" s="56">
        <v>11553.81</v>
      </c>
      <c r="Q40" s="56">
        <v>11544.95</v>
      </c>
      <c r="R40" s="56">
        <v>11415.23</v>
      </c>
      <c r="S40" s="56">
        <v>11198.24</v>
      </c>
      <c r="T40" s="56">
        <v>11138.03</v>
      </c>
      <c r="U40" s="56">
        <v>11318.3</v>
      </c>
      <c r="V40" s="56">
        <v>10201.200000000001</v>
      </c>
      <c r="W40" s="56">
        <v>11234.38</v>
      </c>
      <c r="X40" s="56">
        <v>11367.61</v>
      </c>
      <c r="Y40" s="56">
        <v>10760.37</v>
      </c>
      <c r="Z40" s="56">
        <v>9784.33</v>
      </c>
      <c r="AA40" s="56">
        <v>8715.7900000000009</v>
      </c>
      <c r="AB40" s="56">
        <v>7543.02</v>
      </c>
      <c r="AC40" s="67"/>
    </row>
    <row r="41" spans="2:29" ht="12.5" x14ac:dyDescent="0.25">
      <c r="B41" s="65" t="s">
        <v>40</v>
      </c>
      <c r="C41" s="4" t="s">
        <v>31</v>
      </c>
      <c r="D41" s="5">
        <v>4</v>
      </c>
      <c r="E41" s="56">
        <v>6033.7</v>
      </c>
      <c r="F41" s="56">
        <v>5586.06</v>
      </c>
      <c r="G41" s="56">
        <v>5261.75</v>
      </c>
      <c r="H41" s="56">
        <v>5127.8599999999997</v>
      </c>
      <c r="I41" s="56">
        <v>4981.68</v>
      </c>
      <c r="J41" s="56">
        <v>4899.95</v>
      </c>
      <c r="K41" s="56">
        <v>5149.6099999999997</v>
      </c>
      <c r="L41" s="56">
        <v>8193.99</v>
      </c>
      <c r="M41" s="56">
        <v>8784.6299999999992</v>
      </c>
      <c r="N41" s="56">
        <v>9236.41</v>
      </c>
      <c r="O41" s="56">
        <v>9693.9</v>
      </c>
      <c r="P41" s="56">
        <v>10186.459999999999</v>
      </c>
      <c r="Q41" s="56">
        <v>10546.51</v>
      </c>
      <c r="R41" s="56">
        <v>10515.99</v>
      </c>
      <c r="S41" s="56">
        <v>10272.700000000001</v>
      </c>
      <c r="T41" s="56">
        <v>10138.459999999999</v>
      </c>
      <c r="U41" s="56">
        <v>10181.15</v>
      </c>
      <c r="V41" s="56">
        <v>9515.85</v>
      </c>
      <c r="W41" s="56">
        <v>10509.76</v>
      </c>
      <c r="X41" s="56">
        <v>10993.89</v>
      </c>
      <c r="Y41" s="56">
        <v>10378.36</v>
      </c>
      <c r="Z41" s="56">
        <v>9492.89</v>
      </c>
      <c r="AA41" s="56">
        <v>8000.08</v>
      </c>
      <c r="AB41" s="56">
        <v>6856.84</v>
      </c>
      <c r="AC41" s="67"/>
    </row>
    <row r="42" spans="2:29" ht="12.5" x14ac:dyDescent="0.25">
      <c r="B42" s="65" t="s">
        <v>40</v>
      </c>
      <c r="C42" s="4" t="s">
        <v>32</v>
      </c>
      <c r="D42" s="5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68"/>
    </row>
    <row r="43" spans="2:29" ht="12.5" x14ac:dyDescent="0.25">
      <c r="B43" s="65" t="s">
        <v>41</v>
      </c>
      <c r="C43" s="4" t="s">
        <v>29</v>
      </c>
      <c r="D43" s="5">
        <v>22</v>
      </c>
      <c r="E43" s="56">
        <v>5670.21</v>
      </c>
      <c r="F43" s="56">
        <v>5316.1</v>
      </c>
      <c r="G43" s="56">
        <v>5173.67</v>
      </c>
      <c r="H43" s="56">
        <v>5143.95</v>
      </c>
      <c r="I43" s="56">
        <v>5625.83</v>
      </c>
      <c r="J43" s="56">
        <v>7000.1</v>
      </c>
      <c r="K43" s="56">
        <v>7991.61</v>
      </c>
      <c r="L43" s="56">
        <v>10713.38</v>
      </c>
      <c r="M43" s="56">
        <v>10655.61</v>
      </c>
      <c r="N43" s="56">
        <v>10811.29</v>
      </c>
      <c r="O43" s="56">
        <v>11240.07</v>
      </c>
      <c r="P43" s="56">
        <v>11830.98</v>
      </c>
      <c r="Q43" s="56">
        <v>11621.12</v>
      </c>
      <c r="R43" s="56">
        <v>11576.83</v>
      </c>
      <c r="S43" s="56">
        <v>11837.84</v>
      </c>
      <c r="T43" s="56">
        <v>11981.06</v>
      </c>
      <c r="U43" s="56">
        <v>12033.96</v>
      </c>
      <c r="V43" s="56">
        <v>11075.83</v>
      </c>
      <c r="W43" s="56">
        <v>12227.68</v>
      </c>
      <c r="X43" s="56">
        <v>12178.96</v>
      </c>
      <c r="Y43" s="56">
        <v>11517.61</v>
      </c>
      <c r="Z43" s="56">
        <v>10521.96</v>
      </c>
      <c r="AA43" s="56">
        <v>8836.8700000000008</v>
      </c>
      <c r="AB43" s="56">
        <v>7455.59</v>
      </c>
      <c r="AC43" s="66">
        <f>+SUM(E43:AB43)*D43+SUM(E44:AB44)*D44+SUM(E45:AB45)*D45+SUM(E46:AB46)*D46</f>
        <v>6985836.8899999978</v>
      </c>
    </row>
    <row r="44" spans="2:29" ht="12.5" x14ac:dyDescent="0.25">
      <c r="B44" s="65" t="s">
        <v>41</v>
      </c>
      <c r="C44" s="4" t="s">
        <v>30</v>
      </c>
      <c r="D44" s="5">
        <v>4</v>
      </c>
      <c r="E44" s="56">
        <v>5983.98</v>
      </c>
      <c r="F44" s="56">
        <v>5549.94</v>
      </c>
      <c r="G44" s="56">
        <v>5332.28</v>
      </c>
      <c r="H44" s="56">
        <v>5223.13</v>
      </c>
      <c r="I44" s="56">
        <v>5333.29</v>
      </c>
      <c r="J44" s="56">
        <v>5666.73</v>
      </c>
      <c r="K44" s="56">
        <v>6363.07</v>
      </c>
      <c r="L44" s="56">
        <v>9967.24</v>
      </c>
      <c r="M44" s="56">
        <v>10508.38</v>
      </c>
      <c r="N44" s="56">
        <v>10917.92</v>
      </c>
      <c r="O44" s="56">
        <v>11207.88</v>
      </c>
      <c r="P44" s="56">
        <v>11623.91</v>
      </c>
      <c r="Q44" s="56">
        <v>11765.75</v>
      </c>
      <c r="R44" s="56">
        <v>11534.53</v>
      </c>
      <c r="S44" s="56">
        <v>11498.31</v>
      </c>
      <c r="T44" s="56">
        <v>11412.4</v>
      </c>
      <c r="U44" s="56">
        <v>11506.23</v>
      </c>
      <c r="V44" s="56">
        <v>10607.36</v>
      </c>
      <c r="W44" s="56">
        <v>11842.88</v>
      </c>
      <c r="X44" s="56">
        <v>11795.49</v>
      </c>
      <c r="Y44" s="56">
        <v>11179.98</v>
      </c>
      <c r="Z44" s="56">
        <v>10265.39</v>
      </c>
      <c r="AA44" s="56">
        <v>9084.83</v>
      </c>
      <c r="AB44" s="56">
        <v>7903.66</v>
      </c>
      <c r="AC44" s="67"/>
    </row>
    <row r="45" spans="2:29" ht="12.5" x14ac:dyDescent="0.25">
      <c r="B45" s="65" t="s">
        <v>41</v>
      </c>
      <c r="C45" s="4" t="s">
        <v>31</v>
      </c>
      <c r="D45" s="5">
        <v>4</v>
      </c>
      <c r="E45" s="56">
        <v>6180.14</v>
      </c>
      <c r="F45" s="56">
        <v>5654.02</v>
      </c>
      <c r="G45" s="56">
        <v>5328.51</v>
      </c>
      <c r="H45" s="56">
        <v>5179.5600000000004</v>
      </c>
      <c r="I45" s="56">
        <v>5192.22</v>
      </c>
      <c r="J45" s="56">
        <v>5067.1400000000003</v>
      </c>
      <c r="K45" s="56">
        <v>5193.0600000000004</v>
      </c>
      <c r="L45" s="56">
        <v>8034.59</v>
      </c>
      <c r="M45" s="56">
        <v>8827.81</v>
      </c>
      <c r="N45" s="56">
        <v>9378.9</v>
      </c>
      <c r="O45" s="56">
        <v>9945.08</v>
      </c>
      <c r="P45" s="56">
        <v>10437.65</v>
      </c>
      <c r="Q45" s="56">
        <v>10703.94</v>
      </c>
      <c r="R45" s="56">
        <v>10634.56</v>
      </c>
      <c r="S45" s="56">
        <v>10295.31</v>
      </c>
      <c r="T45" s="56">
        <v>10335.1</v>
      </c>
      <c r="U45" s="56">
        <v>10376.33</v>
      </c>
      <c r="V45" s="56">
        <v>9841.9</v>
      </c>
      <c r="W45" s="56">
        <v>11171.03</v>
      </c>
      <c r="X45" s="56">
        <v>11341.61</v>
      </c>
      <c r="Y45" s="56">
        <v>10802.3</v>
      </c>
      <c r="Z45" s="56">
        <v>9783.69</v>
      </c>
      <c r="AA45" s="56">
        <v>8414.32</v>
      </c>
      <c r="AB45" s="56">
        <v>7226.58</v>
      </c>
      <c r="AC45" s="67"/>
    </row>
    <row r="46" spans="2:29" ht="12.5" x14ac:dyDescent="0.25">
      <c r="B46" s="65" t="s">
        <v>41</v>
      </c>
      <c r="C46" s="4" t="s">
        <v>32</v>
      </c>
      <c r="D46" s="5">
        <v>1</v>
      </c>
      <c r="E46" s="56">
        <v>5727.68</v>
      </c>
      <c r="F46" s="56">
        <v>5334.16</v>
      </c>
      <c r="G46" s="56">
        <v>5107.0200000000004</v>
      </c>
      <c r="H46" s="56">
        <v>5050.5200000000004</v>
      </c>
      <c r="I46" s="56">
        <v>5168.18</v>
      </c>
      <c r="J46" s="56">
        <v>5084.72</v>
      </c>
      <c r="K46" s="56">
        <v>5213.54</v>
      </c>
      <c r="L46" s="56">
        <v>8141.49</v>
      </c>
      <c r="M46" s="56">
        <v>8780.83</v>
      </c>
      <c r="N46" s="56">
        <v>9549.5499999999993</v>
      </c>
      <c r="O46" s="56">
        <v>10137.85</v>
      </c>
      <c r="P46" s="56">
        <v>10632.1</v>
      </c>
      <c r="Q46" s="56">
        <v>11082.4</v>
      </c>
      <c r="R46" s="56">
        <v>10922.28</v>
      </c>
      <c r="S46" s="56">
        <v>10699.55</v>
      </c>
      <c r="T46" s="56">
        <v>10532.69</v>
      </c>
      <c r="U46" s="56">
        <v>10636.43</v>
      </c>
      <c r="V46" s="56">
        <v>10259.43</v>
      </c>
      <c r="W46" s="56">
        <v>11686.12</v>
      </c>
      <c r="X46" s="56">
        <v>11413.63</v>
      </c>
      <c r="Y46" s="56">
        <v>10980.03</v>
      </c>
      <c r="Z46" s="56">
        <v>9871.69</v>
      </c>
      <c r="AA46" s="56">
        <v>8306.48</v>
      </c>
      <c r="AB46" s="56">
        <v>7000.46</v>
      </c>
      <c r="AC46" s="68"/>
    </row>
    <row r="47" spans="2:29" ht="12.5" x14ac:dyDescent="0.25">
      <c r="B47" s="65" t="s">
        <v>42</v>
      </c>
      <c r="C47" s="4" t="s">
        <v>29</v>
      </c>
      <c r="D47" s="5">
        <v>18</v>
      </c>
      <c r="E47" s="56">
        <v>5690.49</v>
      </c>
      <c r="F47" s="56">
        <v>5340.21</v>
      </c>
      <c r="G47" s="56">
        <v>5295.18</v>
      </c>
      <c r="H47" s="56">
        <v>5249.33</v>
      </c>
      <c r="I47" s="56">
        <v>5763.64</v>
      </c>
      <c r="J47" s="56">
        <v>7168.36</v>
      </c>
      <c r="K47" s="56">
        <v>8347.0400000000009</v>
      </c>
      <c r="L47" s="56">
        <v>11093</v>
      </c>
      <c r="M47" s="56">
        <v>10992.9</v>
      </c>
      <c r="N47" s="56">
        <v>11085.82</v>
      </c>
      <c r="O47" s="56">
        <v>11621.5</v>
      </c>
      <c r="P47" s="56">
        <v>12100.13</v>
      </c>
      <c r="Q47" s="56">
        <v>11839.24</v>
      </c>
      <c r="R47" s="56">
        <v>11767.02</v>
      </c>
      <c r="S47" s="56">
        <v>12092.21</v>
      </c>
      <c r="T47" s="56">
        <v>12266.68</v>
      </c>
      <c r="U47" s="56">
        <v>12317.24</v>
      </c>
      <c r="V47" s="56">
        <v>11333.44</v>
      </c>
      <c r="W47" s="56">
        <v>12413.29</v>
      </c>
      <c r="X47" s="56">
        <v>12234.28</v>
      </c>
      <c r="Y47" s="56">
        <v>11665.72</v>
      </c>
      <c r="Z47" s="56">
        <v>10593.82</v>
      </c>
      <c r="AA47" s="56">
        <v>8875.23</v>
      </c>
      <c r="AB47" s="56">
        <v>7531.77</v>
      </c>
      <c r="AC47" s="66">
        <f>+SUM(E47:AB47)*D47+SUM(E48:AB48)*D48+SUM(E49:AB49)*D49+SUM(E50:AB50)*D50</f>
        <v>6824913.6200000001</v>
      </c>
    </row>
    <row r="48" spans="2:29" ht="12.5" x14ac:dyDescent="0.25">
      <c r="B48" s="65" t="s">
        <v>42</v>
      </c>
      <c r="C48" s="4" t="s">
        <v>30</v>
      </c>
      <c r="D48" s="5">
        <v>5</v>
      </c>
      <c r="E48" s="56">
        <v>6064.73</v>
      </c>
      <c r="F48" s="56">
        <v>5659.32</v>
      </c>
      <c r="G48" s="56">
        <v>5399.43</v>
      </c>
      <c r="H48" s="56">
        <v>5337.64</v>
      </c>
      <c r="I48" s="56">
        <v>5531.67</v>
      </c>
      <c r="J48" s="56">
        <v>5881.19</v>
      </c>
      <c r="K48" s="56">
        <v>6693.89</v>
      </c>
      <c r="L48" s="56">
        <v>10311.81</v>
      </c>
      <c r="M48" s="56">
        <v>10862.5</v>
      </c>
      <c r="N48" s="56">
        <v>11176.77</v>
      </c>
      <c r="O48" s="56">
        <v>11477.09</v>
      </c>
      <c r="P48" s="56">
        <v>11789.24</v>
      </c>
      <c r="Q48" s="56">
        <v>11797.77</v>
      </c>
      <c r="R48" s="56">
        <v>11586.49</v>
      </c>
      <c r="S48" s="56">
        <v>11442.22</v>
      </c>
      <c r="T48" s="56">
        <v>11408.53</v>
      </c>
      <c r="U48" s="56">
        <v>11517.43</v>
      </c>
      <c r="V48" s="56">
        <v>10748.45</v>
      </c>
      <c r="W48" s="56">
        <v>11952.39</v>
      </c>
      <c r="X48" s="56">
        <v>11884.6</v>
      </c>
      <c r="Y48" s="56">
        <v>11241.7</v>
      </c>
      <c r="Z48" s="56">
        <v>10261.64</v>
      </c>
      <c r="AA48" s="56">
        <v>9140.75</v>
      </c>
      <c r="AB48" s="56">
        <v>7926.98</v>
      </c>
      <c r="AC48" s="67"/>
    </row>
    <row r="49" spans="2:29" ht="12.5" x14ac:dyDescent="0.25">
      <c r="B49" s="65" t="s">
        <v>42</v>
      </c>
      <c r="C49" s="4" t="s">
        <v>31</v>
      </c>
      <c r="D49" s="5">
        <v>5</v>
      </c>
      <c r="E49" s="56">
        <v>6326.19</v>
      </c>
      <c r="F49" s="56">
        <v>5907.03</v>
      </c>
      <c r="G49" s="56">
        <v>5569.65</v>
      </c>
      <c r="H49" s="56">
        <v>5418.07</v>
      </c>
      <c r="I49" s="56">
        <v>5313.24</v>
      </c>
      <c r="J49" s="56">
        <v>5309.89</v>
      </c>
      <c r="K49" s="56">
        <v>5332.47</v>
      </c>
      <c r="L49" s="56">
        <v>8406.7099999999991</v>
      </c>
      <c r="M49" s="56">
        <v>9285.59</v>
      </c>
      <c r="N49" s="56">
        <v>9782.58</v>
      </c>
      <c r="O49" s="56">
        <v>10083.24</v>
      </c>
      <c r="P49" s="56">
        <v>10498.93</v>
      </c>
      <c r="Q49" s="56">
        <v>10815.99</v>
      </c>
      <c r="R49" s="56">
        <v>10751.58</v>
      </c>
      <c r="S49" s="56">
        <v>10617.18</v>
      </c>
      <c r="T49" s="56">
        <v>10541.26</v>
      </c>
      <c r="U49" s="56">
        <v>10745.68</v>
      </c>
      <c r="V49" s="56">
        <v>9948.91</v>
      </c>
      <c r="W49" s="56">
        <v>11204.65</v>
      </c>
      <c r="X49" s="56">
        <v>11262.97</v>
      </c>
      <c r="Y49" s="56">
        <v>10733.32</v>
      </c>
      <c r="Z49" s="56">
        <v>9816.16</v>
      </c>
      <c r="AA49" s="56">
        <v>8390.93</v>
      </c>
      <c r="AB49" s="56">
        <v>7254.27</v>
      </c>
      <c r="AC49" s="67"/>
    </row>
    <row r="50" spans="2:29" ht="12.5" x14ac:dyDescent="0.25">
      <c r="B50" s="65" t="s">
        <v>42</v>
      </c>
      <c r="C50" s="4" t="s">
        <v>32</v>
      </c>
      <c r="D50" s="5">
        <v>2</v>
      </c>
      <c r="E50" s="56">
        <v>5857.32</v>
      </c>
      <c r="F50" s="56">
        <v>5450.88</v>
      </c>
      <c r="G50" s="56">
        <v>5277.54</v>
      </c>
      <c r="H50" s="56">
        <v>5106.68</v>
      </c>
      <c r="I50" s="56">
        <v>5128.55</v>
      </c>
      <c r="J50" s="56">
        <v>5226.87</v>
      </c>
      <c r="K50" s="56">
        <v>5315.43</v>
      </c>
      <c r="L50" s="56">
        <v>8352.91</v>
      </c>
      <c r="M50" s="56">
        <v>8966.44</v>
      </c>
      <c r="N50" s="56">
        <v>9511.33</v>
      </c>
      <c r="O50" s="56">
        <v>10203.69</v>
      </c>
      <c r="P50" s="56">
        <v>10796.66</v>
      </c>
      <c r="Q50" s="56">
        <v>11038.94</v>
      </c>
      <c r="R50" s="56">
        <v>10962.95</v>
      </c>
      <c r="S50" s="56">
        <v>10856.67</v>
      </c>
      <c r="T50" s="56">
        <v>10862.02</v>
      </c>
      <c r="U50" s="56">
        <v>11103.41</v>
      </c>
      <c r="V50" s="56">
        <v>10395.99</v>
      </c>
      <c r="W50" s="56">
        <v>11586.72</v>
      </c>
      <c r="X50" s="56">
        <v>11610.61</v>
      </c>
      <c r="Y50" s="56">
        <v>10919.53</v>
      </c>
      <c r="Z50" s="56">
        <v>9678.2199999999993</v>
      </c>
      <c r="AA50" s="56">
        <v>8077.67</v>
      </c>
      <c r="AB50" s="56">
        <v>7045.12</v>
      </c>
      <c r="AC50" s="68"/>
    </row>
    <row r="51" spans="2:29" ht="12.5" x14ac:dyDescent="0.25">
      <c r="B51" s="65" t="s">
        <v>43</v>
      </c>
      <c r="C51" s="4" t="s">
        <v>29</v>
      </c>
      <c r="D51" s="5">
        <v>21</v>
      </c>
      <c r="E51" s="56">
        <v>6053.73</v>
      </c>
      <c r="F51" s="56">
        <v>5598.79</v>
      </c>
      <c r="G51" s="56">
        <v>5392.83</v>
      </c>
      <c r="H51" s="56">
        <v>5318.11</v>
      </c>
      <c r="I51" s="56">
        <v>5630.67</v>
      </c>
      <c r="J51" s="56">
        <v>6368.72</v>
      </c>
      <c r="K51" s="56">
        <v>7114.1</v>
      </c>
      <c r="L51" s="56">
        <v>10463.56</v>
      </c>
      <c r="M51" s="56">
        <v>10842.56</v>
      </c>
      <c r="N51" s="56">
        <v>11113.58</v>
      </c>
      <c r="O51" s="56">
        <v>11534.3</v>
      </c>
      <c r="P51" s="56">
        <v>12135.95</v>
      </c>
      <c r="Q51" s="56">
        <v>11968.51</v>
      </c>
      <c r="R51" s="56">
        <v>11628.49</v>
      </c>
      <c r="S51" s="56">
        <v>12030.84</v>
      </c>
      <c r="T51" s="56">
        <v>12108.54</v>
      </c>
      <c r="U51" s="56">
        <v>12118.14</v>
      </c>
      <c r="V51" s="56">
        <v>11007.43</v>
      </c>
      <c r="W51" s="56">
        <v>12368.46</v>
      </c>
      <c r="X51" s="56">
        <v>12390.71</v>
      </c>
      <c r="Y51" s="56">
        <v>11742.83</v>
      </c>
      <c r="Z51" s="56">
        <v>10745.96</v>
      </c>
      <c r="AA51" s="56">
        <v>9212.94</v>
      </c>
      <c r="AB51" s="56">
        <v>7941.99</v>
      </c>
      <c r="AC51" s="66">
        <f>+SUM(E51:AB51)*D51+SUM(E52:AB52)*D52+SUM(E53:AB53)*D53+SUM(E54:AB54)*D54</f>
        <v>7055279.1799999978</v>
      </c>
    </row>
    <row r="52" spans="2:29" ht="12.5" x14ac:dyDescent="0.25">
      <c r="B52" s="65" t="s">
        <v>43</v>
      </c>
      <c r="C52" s="4" t="s">
        <v>30</v>
      </c>
      <c r="D52" s="5">
        <v>4</v>
      </c>
      <c r="E52" s="56">
        <v>6249.29</v>
      </c>
      <c r="F52" s="56">
        <v>5798.12</v>
      </c>
      <c r="G52" s="56">
        <v>5561.03</v>
      </c>
      <c r="H52" s="56">
        <v>5370.25</v>
      </c>
      <c r="I52" s="56">
        <v>5609.04</v>
      </c>
      <c r="J52" s="56">
        <v>5952.84</v>
      </c>
      <c r="K52" s="56">
        <v>6526.95</v>
      </c>
      <c r="L52" s="56">
        <v>10075.040000000001</v>
      </c>
      <c r="M52" s="56">
        <v>10696.63</v>
      </c>
      <c r="N52" s="56">
        <v>11067.03</v>
      </c>
      <c r="O52" s="56">
        <v>11372.67</v>
      </c>
      <c r="P52" s="56">
        <v>11730.03</v>
      </c>
      <c r="Q52" s="56">
        <v>11736.95</v>
      </c>
      <c r="R52" s="56">
        <v>11558.65</v>
      </c>
      <c r="S52" s="56">
        <v>11542.51</v>
      </c>
      <c r="T52" s="56">
        <v>11407.97</v>
      </c>
      <c r="U52" s="56">
        <v>11508.24</v>
      </c>
      <c r="V52" s="56">
        <v>10405.59</v>
      </c>
      <c r="W52" s="56">
        <v>11987.31</v>
      </c>
      <c r="X52" s="56">
        <v>12093.68</v>
      </c>
      <c r="Y52" s="56">
        <v>11560.05</v>
      </c>
      <c r="Z52" s="56">
        <v>10709.29</v>
      </c>
      <c r="AA52" s="56">
        <v>9476.36</v>
      </c>
      <c r="AB52" s="56">
        <v>8327.91</v>
      </c>
      <c r="AC52" s="67"/>
    </row>
    <row r="53" spans="2:29" ht="12.5" x14ac:dyDescent="0.25">
      <c r="B53" s="65" t="s">
        <v>43</v>
      </c>
      <c r="C53" s="4" t="s">
        <v>31</v>
      </c>
      <c r="D53" s="5">
        <v>4</v>
      </c>
      <c r="E53" s="56">
        <v>6601.5</v>
      </c>
      <c r="F53" s="56">
        <v>6042.95</v>
      </c>
      <c r="G53" s="56">
        <v>5672.24</v>
      </c>
      <c r="H53" s="56">
        <v>5500.08</v>
      </c>
      <c r="I53" s="56">
        <v>5383.62</v>
      </c>
      <c r="J53" s="56">
        <v>5422.98</v>
      </c>
      <c r="K53" s="56">
        <v>5471.65</v>
      </c>
      <c r="L53" s="56">
        <v>8779.6</v>
      </c>
      <c r="M53" s="56">
        <v>9662.86</v>
      </c>
      <c r="N53" s="56">
        <v>10049.15</v>
      </c>
      <c r="O53" s="56">
        <v>10483.69</v>
      </c>
      <c r="P53" s="56">
        <v>10957.84</v>
      </c>
      <c r="Q53" s="56">
        <v>11280.43</v>
      </c>
      <c r="R53" s="56">
        <v>10979.85</v>
      </c>
      <c r="S53" s="56">
        <v>10512.78</v>
      </c>
      <c r="T53" s="56">
        <v>10695.78</v>
      </c>
      <c r="U53" s="56">
        <v>10712.39</v>
      </c>
      <c r="V53" s="56">
        <v>9978.2199999999993</v>
      </c>
      <c r="W53" s="56">
        <v>11200.69</v>
      </c>
      <c r="X53" s="56">
        <v>11299.64</v>
      </c>
      <c r="Y53" s="56">
        <v>10893.07</v>
      </c>
      <c r="Z53" s="56">
        <v>10240</v>
      </c>
      <c r="AA53" s="56">
        <v>8925.19</v>
      </c>
      <c r="AB53" s="56">
        <v>7861.15</v>
      </c>
      <c r="AC53" s="67"/>
    </row>
    <row r="54" spans="2:29" ht="12.5" x14ac:dyDescent="0.25">
      <c r="B54" s="65" t="s">
        <v>43</v>
      </c>
      <c r="C54" s="4" t="s">
        <v>32</v>
      </c>
      <c r="D54" s="5">
        <v>2</v>
      </c>
      <c r="E54" s="56">
        <v>6511</v>
      </c>
      <c r="F54" s="56">
        <v>6098.79</v>
      </c>
      <c r="G54" s="56">
        <v>5719.09</v>
      </c>
      <c r="H54" s="56">
        <v>5492.71</v>
      </c>
      <c r="I54" s="56">
        <v>5233.25</v>
      </c>
      <c r="J54" s="56">
        <v>5079.1400000000003</v>
      </c>
      <c r="K54" s="56">
        <v>4902.24</v>
      </c>
      <c r="L54" s="56">
        <v>7440.61</v>
      </c>
      <c r="M54" s="56">
        <v>7854.79</v>
      </c>
      <c r="N54" s="56">
        <v>8321.33</v>
      </c>
      <c r="O54" s="56">
        <v>9000.08</v>
      </c>
      <c r="P54" s="56">
        <v>9608.0300000000007</v>
      </c>
      <c r="Q54" s="56">
        <v>10096.77</v>
      </c>
      <c r="R54" s="56">
        <v>10205.290000000001</v>
      </c>
      <c r="S54" s="56">
        <v>9914.84</v>
      </c>
      <c r="T54" s="56">
        <v>9975.52</v>
      </c>
      <c r="U54" s="56">
        <v>10063.91</v>
      </c>
      <c r="V54" s="56">
        <v>9454.82</v>
      </c>
      <c r="W54" s="56">
        <v>10535</v>
      </c>
      <c r="X54" s="56">
        <v>10764.25</v>
      </c>
      <c r="Y54" s="56">
        <v>10208.82</v>
      </c>
      <c r="Z54" s="56">
        <v>9438.93</v>
      </c>
      <c r="AA54" s="56">
        <v>8146.05</v>
      </c>
      <c r="AB54" s="56">
        <v>6979.5</v>
      </c>
      <c r="AC54" s="68"/>
    </row>
    <row r="55" spans="2:29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69" t="s">
        <v>46</v>
      </c>
      <c r="AA55" s="69"/>
      <c r="AB55" s="69"/>
      <c r="AC55" s="14">
        <f>SUM(AC7:AC54)</f>
        <v>81787287.269999996</v>
      </c>
    </row>
    <row r="61" spans="2:29" x14ac:dyDescent="0.25">
      <c r="G61" s="6">
        <v>1000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5743-416A-4153-B71E-12A6AC6E3C45}">
  <dimension ref="B2:AE55"/>
  <sheetViews>
    <sheetView showGridLines="0" topLeftCell="A2" zoomScale="50" zoomScaleNormal="50" workbookViewId="0">
      <selection activeCell="E7" sqref="E7"/>
    </sheetView>
  </sheetViews>
  <sheetFormatPr baseColWidth="10" defaultColWidth="11.453125" defaultRowHeight="11.5" x14ac:dyDescent="0.25"/>
  <cols>
    <col min="1" max="1" width="5.08984375" style="6" customWidth="1"/>
    <col min="2" max="2" width="5.54296875" style="6" bestFit="1" customWidth="1"/>
    <col min="3" max="3" width="9.7265625" style="6" bestFit="1" customWidth="1"/>
    <col min="4" max="4" width="5.7265625" style="6" bestFit="1" customWidth="1"/>
    <col min="5" max="11" width="9.36328125" style="6" bestFit="1" customWidth="1"/>
    <col min="12" max="26" width="10.1796875" style="6" bestFit="1" customWidth="1"/>
    <col min="27" max="28" width="10" style="6" bestFit="1" customWidth="1"/>
    <col min="29" max="29" width="16.7265625" style="52" bestFit="1" customWidth="1"/>
    <col min="30" max="30" width="3" style="6" customWidth="1"/>
    <col min="31" max="31" width="15.54296875" style="6" bestFit="1" customWidth="1"/>
    <col min="32" max="154" width="11.453125" style="6"/>
    <col min="155" max="155" width="7" style="6" customWidth="1"/>
    <col min="156" max="156" width="10.7265625" style="6" customWidth="1"/>
    <col min="157" max="157" width="9.26953125" style="6" customWidth="1"/>
    <col min="158" max="181" width="7.26953125" style="6" customWidth="1"/>
    <col min="182" max="182" width="11.26953125" style="6" bestFit="1" customWidth="1"/>
    <col min="183" max="410" width="11.453125" style="6"/>
    <col min="411" max="411" width="7" style="6" customWidth="1"/>
    <col min="412" max="412" width="10.7265625" style="6" customWidth="1"/>
    <col min="413" max="413" width="9.26953125" style="6" customWidth="1"/>
    <col min="414" max="437" width="7.26953125" style="6" customWidth="1"/>
    <col min="438" max="438" width="11.26953125" style="6" bestFit="1" customWidth="1"/>
    <col min="439" max="666" width="11.453125" style="6"/>
    <col min="667" max="667" width="7" style="6" customWidth="1"/>
    <col min="668" max="668" width="10.7265625" style="6" customWidth="1"/>
    <col min="669" max="669" width="9.26953125" style="6" customWidth="1"/>
    <col min="670" max="693" width="7.26953125" style="6" customWidth="1"/>
    <col min="694" max="694" width="11.26953125" style="6" bestFit="1" customWidth="1"/>
    <col min="695" max="922" width="11.453125" style="6"/>
    <col min="923" max="923" width="7" style="6" customWidth="1"/>
    <col min="924" max="924" width="10.7265625" style="6" customWidth="1"/>
    <col min="925" max="925" width="9.26953125" style="6" customWidth="1"/>
    <col min="926" max="949" width="7.26953125" style="6" customWidth="1"/>
    <col min="950" max="950" width="11.26953125" style="6" bestFit="1" customWidth="1"/>
    <col min="951" max="1178" width="11.453125" style="6"/>
    <col min="1179" max="1179" width="7" style="6" customWidth="1"/>
    <col min="1180" max="1180" width="10.7265625" style="6" customWidth="1"/>
    <col min="1181" max="1181" width="9.26953125" style="6" customWidth="1"/>
    <col min="1182" max="1205" width="7.26953125" style="6" customWidth="1"/>
    <col min="1206" max="1206" width="11.26953125" style="6" bestFit="1" customWidth="1"/>
    <col min="1207" max="1434" width="11.453125" style="6"/>
    <col min="1435" max="1435" width="7" style="6" customWidth="1"/>
    <col min="1436" max="1436" width="10.7265625" style="6" customWidth="1"/>
    <col min="1437" max="1437" width="9.26953125" style="6" customWidth="1"/>
    <col min="1438" max="1461" width="7.26953125" style="6" customWidth="1"/>
    <col min="1462" max="1462" width="11.26953125" style="6" bestFit="1" customWidth="1"/>
    <col min="1463" max="1690" width="11.453125" style="6"/>
    <col min="1691" max="1691" width="7" style="6" customWidth="1"/>
    <col min="1692" max="1692" width="10.7265625" style="6" customWidth="1"/>
    <col min="1693" max="1693" width="9.26953125" style="6" customWidth="1"/>
    <col min="1694" max="1717" width="7.26953125" style="6" customWidth="1"/>
    <col min="1718" max="1718" width="11.26953125" style="6" bestFit="1" customWidth="1"/>
    <col min="1719" max="1946" width="11.453125" style="6"/>
    <col min="1947" max="1947" width="7" style="6" customWidth="1"/>
    <col min="1948" max="1948" width="10.7265625" style="6" customWidth="1"/>
    <col min="1949" max="1949" width="9.26953125" style="6" customWidth="1"/>
    <col min="1950" max="1973" width="7.26953125" style="6" customWidth="1"/>
    <col min="1974" max="1974" width="11.26953125" style="6" bestFit="1" customWidth="1"/>
    <col min="1975" max="2202" width="11.453125" style="6"/>
    <col min="2203" max="2203" width="7" style="6" customWidth="1"/>
    <col min="2204" max="2204" width="10.7265625" style="6" customWidth="1"/>
    <col min="2205" max="2205" width="9.26953125" style="6" customWidth="1"/>
    <col min="2206" max="2229" width="7.26953125" style="6" customWidth="1"/>
    <col min="2230" max="2230" width="11.26953125" style="6" bestFit="1" customWidth="1"/>
    <col min="2231" max="2458" width="11.453125" style="6"/>
    <col min="2459" max="2459" width="7" style="6" customWidth="1"/>
    <col min="2460" max="2460" width="10.7265625" style="6" customWidth="1"/>
    <col min="2461" max="2461" width="9.26953125" style="6" customWidth="1"/>
    <col min="2462" max="2485" width="7.26953125" style="6" customWidth="1"/>
    <col min="2486" max="2486" width="11.26953125" style="6" bestFit="1" customWidth="1"/>
    <col min="2487" max="2714" width="11.453125" style="6"/>
    <col min="2715" max="2715" width="7" style="6" customWidth="1"/>
    <col min="2716" max="2716" width="10.7265625" style="6" customWidth="1"/>
    <col min="2717" max="2717" width="9.26953125" style="6" customWidth="1"/>
    <col min="2718" max="2741" width="7.26953125" style="6" customWidth="1"/>
    <col min="2742" max="2742" width="11.26953125" style="6" bestFit="1" customWidth="1"/>
    <col min="2743" max="2970" width="11.453125" style="6"/>
    <col min="2971" max="2971" width="7" style="6" customWidth="1"/>
    <col min="2972" max="2972" width="10.7265625" style="6" customWidth="1"/>
    <col min="2973" max="2973" width="9.26953125" style="6" customWidth="1"/>
    <col min="2974" max="2997" width="7.26953125" style="6" customWidth="1"/>
    <col min="2998" max="2998" width="11.26953125" style="6" bestFit="1" customWidth="1"/>
    <col min="2999" max="3226" width="11.453125" style="6"/>
    <col min="3227" max="3227" width="7" style="6" customWidth="1"/>
    <col min="3228" max="3228" width="10.7265625" style="6" customWidth="1"/>
    <col min="3229" max="3229" width="9.26953125" style="6" customWidth="1"/>
    <col min="3230" max="3253" width="7.26953125" style="6" customWidth="1"/>
    <col min="3254" max="3254" width="11.26953125" style="6" bestFit="1" customWidth="1"/>
    <col min="3255" max="3482" width="11.453125" style="6"/>
    <col min="3483" max="3483" width="7" style="6" customWidth="1"/>
    <col min="3484" max="3484" width="10.7265625" style="6" customWidth="1"/>
    <col min="3485" max="3485" width="9.26953125" style="6" customWidth="1"/>
    <col min="3486" max="3509" width="7.26953125" style="6" customWidth="1"/>
    <col min="3510" max="3510" width="11.26953125" style="6" bestFit="1" customWidth="1"/>
    <col min="3511" max="3738" width="11.453125" style="6"/>
    <col min="3739" max="3739" width="7" style="6" customWidth="1"/>
    <col min="3740" max="3740" width="10.7265625" style="6" customWidth="1"/>
    <col min="3741" max="3741" width="9.26953125" style="6" customWidth="1"/>
    <col min="3742" max="3765" width="7.26953125" style="6" customWidth="1"/>
    <col min="3766" max="3766" width="11.26953125" style="6" bestFit="1" customWidth="1"/>
    <col min="3767" max="3994" width="11.453125" style="6"/>
    <col min="3995" max="3995" width="7" style="6" customWidth="1"/>
    <col min="3996" max="3996" width="10.7265625" style="6" customWidth="1"/>
    <col min="3997" max="3997" width="9.26953125" style="6" customWidth="1"/>
    <col min="3998" max="4021" width="7.26953125" style="6" customWidth="1"/>
    <col min="4022" max="4022" width="11.26953125" style="6" bestFit="1" customWidth="1"/>
    <col min="4023" max="4250" width="11.453125" style="6"/>
    <col min="4251" max="4251" width="7" style="6" customWidth="1"/>
    <col min="4252" max="4252" width="10.7265625" style="6" customWidth="1"/>
    <col min="4253" max="4253" width="9.26953125" style="6" customWidth="1"/>
    <col min="4254" max="4277" width="7.26953125" style="6" customWidth="1"/>
    <col min="4278" max="4278" width="11.26953125" style="6" bestFit="1" customWidth="1"/>
    <col min="4279" max="4506" width="11.453125" style="6"/>
    <col min="4507" max="4507" width="7" style="6" customWidth="1"/>
    <col min="4508" max="4508" width="10.7265625" style="6" customWidth="1"/>
    <col min="4509" max="4509" width="9.26953125" style="6" customWidth="1"/>
    <col min="4510" max="4533" width="7.26953125" style="6" customWidth="1"/>
    <col min="4534" max="4534" width="11.26953125" style="6" bestFit="1" customWidth="1"/>
    <col min="4535" max="4762" width="11.453125" style="6"/>
    <col min="4763" max="4763" width="7" style="6" customWidth="1"/>
    <col min="4764" max="4764" width="10.7265625" style="6" customWidth="1"/>
    <col min="4765" max="4765" width="9.26953125" style="6" customWidth="1"/>
    <col min="4766" max="4789" width="7.26953125" style="6" customWidth="1"/>
    <col min="4790" max="4790" width="11.26953125" style="6" bestFit="1" customWidth="1"/>
    <col min="4791" max="5018" width="11.453125" style="6"/>
    <col min="5019" max="5019" width="7" style="6" customWidth="1"/>
    <col min="5020" max="5020" width="10.7265625" style="6" customWidth="1"/>
    <col min="5021" max="5021" width="9.26953125" style="6" customWidth="1"/>
    <col min="5022" max="5045" width="7.26953125" style="6" customWidth="1"/>
    <col min="5046" max="5046" width="11.26953125" style="6" bestFit="1" customWidth="1"/>
    <col min="5047" max="5274" width="11.453125" style="6"/>
    <col min="5275" max="5275" width="7" style="6" customWidth="1"/>
    <col min="5276" max="5276" width="10.7265625" style="6" customWidth="1"/>
    <col min="5277" max="5277" width="9.26953125" style="6" customWidth="1"/>
    <col min="5278" max="5301" width="7.26953125" style="6" customWidth="1"/>
    <col min="5302" max="5302" width="11.26953125" style="6" bestFit="1" customWidth="1"/>
    <col min="5303" max="5530" width="11.453125" style="6"/>
    <col min="5531" max="5531" width="7" style="6" customWidth="1"/>
    <col min="5532" max="5532" width="10.7265625" style="6" customWidth="1"/>
    <col min="5533" max="5533" width="9.26953125" style="6" customWidth="1"/>
    <col min="5534" max="5557" width="7.26953125" style="6" customWidth="1"/>
    <col min="5558" max="5558" width="11.26953125" style="6" bestFit="1" customWidth="1"/>
    <col min="5559" max="5786" width="11.453125" style="6"/>
    <col min="5787" max="5787" width="7" style="6" customWidth="1"/>
    <col min="5788" max="5788" width="10.7265625" style="6" customWidth="1"/>
    <col min="5789" max="5789" width="9.26953125" style="6" customWidth="1"/>
    <col min="5790" max="5813" width="7.26953125" style="6" customWidth="1"/>
    <col min="5814" max="5814" width="11.26953125" style="6" bestFit="1" customWidth="1"/>
    <col min="5815" max="6042" width="11.453125" style="6"/>
    <col min="6043" max="6043" width="7" style="6" customWidth="1"/>
    <col min="6044" max="6044" width="10.7265625" style="6" customWidth="1"/>
    <col min="6045" max="6045" width="9.26953125" style="6" customWidth="1"/>
    <col min="6046" max="6069" width="7.26953125" style="6" customWidth="1"/>
    <col min="6070" max="6070" width="11.26953125" style="6" bestFit="1" customWidth="1"/>
    <col min="6071" max="6298" width="11.453125" style="6"/>
    <col min="6299" max="6299" width="7" style="6" customWidth="1"/>
    <col min="6300" max="6300" width="10.7265625" style="6" customWidth="1"/>
    <col min="6301" max="6301" width="9.26953125" style="6" customWidth="1"/>
    <col min="6302" max="6325" width="7.26953125" style="6" customWidth="1"/>
    <col min="6326" max="6326" width="11.26953125" style="6" bestFit="1" customWidth="1"/>
    <col min="6327" max="6554" width="11.453125" style="6"/>
    <col min="6555" max="6555" width="7" style="6" customWidth="1"/>
    <col min="6556" max="6556" width="10.7265625" style="6" customWidth="1"/>
    <col min="6557" max="6557" width="9.26953125" style="6" customWidth="1"/>
    <col min="6558" max="6581" width="7.26953125" style="6" customWidth="1"/>
    <col min="6582" max="6582" width="11.26953125" style="6" bestFit="1" customWidth="1"/>
    <col min="6583" max="6810" width="11.453125" style="6"/>
    <col min="6811" max="6811" width="7" style="6" customWidth="1"/>
    <col min="6812" max="6812" width="10.7265625" style="6" customWidth="1"/>
    <col min="6813" max="6813" width="9.26953125" style="6" customWidth="1"/>
    <col min="6814" max="6837" width="7.26953125" style="6" customWidth="1"/>
    <col min="6838" max="6838" width="11.26953125" style="6" bestFit="1" customWidth="1"/>
    <col min="6839" max="7066" width="11.453125" style="6"/>
    <col min="7067" max="7067" width="7" style="6" customWidth="1"/>
    <col min="7068" max="7068" width="10.7265625" style="6" customWidth="1"/>
    <col min="7069" max="7069" width="9.26953125" style="6" customWidth="1"/>
    <col min="7070" max="7093" width="7.26953125" style="6" customWidth="1"/>
    <col min="7094" max="7094" width="11.26953125" style="6" bestFit="1" customWidth="1"/>
    <col min="7095" max="7322" width="11.453125" style="6"/>
    <col min="7323" max="7323" width="7" style="6" customWidth="1"/>
    <col min="7324" max="7324" width="10.7265625" style="6" customWidth="1"/>
    <col min="7325" max="7325" width="9.26953125" style="6" customWidth="1"/>
    <col min="7326" max="7349" width="7.26953125" style="6" customWidth="1"/>
    <col min="7350" max="7350" width="11.26953125" style="6" bestFit="1" customWidth="1"/>
    <col min="7351" max="7578" width="11.453125" style="6"/>
    <col min="7579" max="7579" width="7" style="6" customWidth="1"/>
    <col min="7580" max="7580" width="10.7265625" style="6" customWidth="1"/>
    <col min="7581" max="7581" width="9.26953125" style="6" customWidth="1"/>
    <col min="7582" max="7605" width="7.26953125" style="6" customWidth="1"/>
    <col min="7606" max="7606" width="11.26953125" style="6" bestFit="1" customWidth="1"/>
    <col min="7607" max="7834" width="11.453125" style="6"/>
    <col min="7835" max="7835" width="7" style="6" customWidth="1"/>
    <col min="7836" max="7836" width="10.7265625" style="6" customWidth="1"/>
    <col min="7837" max="7837" width="9.26953125" style="6" customWidth="1"/>
    <col min="7838" max="7861" width="7.26953125" style="6" customWidth="1"/>
    <col min="7862" max="7862" width="11.26953125" style="6" bestFit="1" customWidth="1"/>
    <col min="7863" max="8090" width="11.453125" style="6"/>
    <col min="8091" max="8091" width="7" style="6" customWidth="1"/>
    <col min="8092" max="8092" width="10.7265625" style="6" customWidth="1"/>
    <col min="8093" max="8093" width="9.26953125" style="6" customWidth="1"/>
    <col min="8094" max="8117" width="7.26953125" style="6" customWidth="1"/>
    <col min="8118" max="8118" width="11.26953125" style="6" bestFit="1" customWidth="1"/>
    <col min="8119" max="8346" width="11.453125" style="6"/>
    <col min="8347" max="8347" width="7" style="6" customWidth="1"/>
    <col min="8348" max="8348" width="10.7265625" style="6" customWidth="1"/>
    <col min="8349" max="8349" width="9.26953125" style="6" customWidth="1"/>
    <col min="8350" max="8373" width="7.26953125" style="6" customWidth="1"/>
    <col min="8374" max="8374" width="11.26953125" style="6" bestFit="1" customWidth="1"/>
    <col min="8375" max="8602" width="11.453125" style="6"/>
    <col min="8603" max="8603" width="7" style="6" customWidth="1"/>
    <col min="8604" max="8604" width="10.7265625" style="6" customWidth="1"/>
    <col min="8605" max="8605" width="9.26953125" style="6" customWidth="1"/>
    <col min="8606" max="8629" width="7.26953125" style="6" customWidth="1"/>
    <col min="8630" max="8630" width="11.26953125" style="6" bestFit="1" customWidth="1"/>
    <col min="8631" max="8858" width="11.453125" style="6"/>
    <col min="8859" max="8859" width="7" style="6" customWidth="1"/>
    <col min="8860" max="8860" width="10.7265625" style="6" customWidth="1"/>
    <col min="8861" max="8861" width="9.26953125" style="6" customWidth="1"/>
    <col min="8862" max="8885" width="7.26953125" style="6" customWidth="1"/>
    <col min="8886" max="8886" width="11.26953125" style="6" bestFit="1" customWidth="1"/>
    <col min="8887" max="9114" width="11.453125" style="6"/>
    <col min="9115" max="9115" width="7" style="6" customWidth="1"/>
    <col min="9116" max="9116" width="10.7265625" style="6" customWidth="1"/>
    <col min="9117" max="9117" width="9.26953125" style="6" customWidth="1"/>
    <col min="9118" max="9141" width="7.26953125" style="6" customWidth="1"/>
    <col min="9142" max="9142" width="11.26953125" style="6" bestFit="1" customWidth="1"/>
    <col min="9143" max="9370" width="11.453125" style="6"/>
    <col min="9371" max="9371" width="7" style="6" customWidth="1"/>
    <col min="9372" max="9372" width="10.7265625" style="6" customWidth="1"/>
    <col min="9373" max="9373" width="9.26953125" style="6" customWidth="1"/>
    <col min="9374" max="9397" width="7.26953125" style="6" customWidth="1"/>
    <col min="9398" max="9398" width="11.26953125" style="6" bestFit="1" customWidth="1"/>
    <col min="9399" max="9626" width="11.453125" style="6"/>
    <col min="9627" max="9627" width="7" style="6" customWidth="1"/>
    <col min="9628" max="9628" width="10.7265625" style="6" customWidth="1"/>
    <col min="9629" max="9629" width="9.26953125" style="6" customWidth="1"/>
    <col min="9630" max="9653" width="7.26953125" style="6" customWidth="1"/>
    <col min="9654" max="9654" width="11.26953125" style="6" bestFit="1" customWidth="1"/>
    <col min="9655" max="9882" width="11.453125" style="6"/>
    <col min="9883" max="9883" width="7" style="6" customWidth="1"/>
    <col min="9884" max="9884" width="10.7265625" style="6" customWidth="1"/>
    <col min="9885" max="9885" width="9.26953125" style="6" customWidth="1"/>
    <col min="9886" max="9909" width="7.26953125" style="6" customWidth="1"/>
    <col min="9910" max="9910" width="11.26953125" style="6" bestFit="1" customWidth="1"/>
    <col min="9911" max="10138" width="11.453125" style="6"/>
    <col min="10139" max="10139" width="7" style="6" customWidth="1"/>
    <col min="10140" max="10140" width="10.7265625" style="6" customWidth="1"/>
    <col min="10141" max="10141" width="9.26953125" style="6" customWidth="1"/>
    <col min="10142" max="10165" width="7.26953125" style="6" customWidth="1"/>
    <col min="10166" max="10166" width="11.26953125" style="6" bestFit="1" customWidth="1"/>
    <col min="10167" max="10394" width="11.453125" style="6"/>
    <col min="10395" max="10395" width="7" style="6" customWidth="1"/>
    <col min="10396" max="10396" width="10.7265625" style="6" customWidth="1"/>
    <col min="10397" max="10397" width="9.26953125" style="6" customWidth="1"/>
    <col min="10398" max="10421" width="7.26953125" style="6" customWidth="1"/>
    <col min="10422" max="10422" width="11.26953125" style="6" bestFit="1" customWidth="1"/>
    <col min="10423" max="10650" width="11.453125" style="6"/>
    <col min="10651" max="10651" width="7" style="6" customWidth="1"/>
    <col min="10652" max="10652" width="10.7265625" style="6" customWidth="1"/>
    <col min="10653" max="10653" width="9.26953125" style="6" customWidth="1"/>
    <col min="10654" max="10677" width="7.26953125" style="6" customWidth="1"/>
    <col min="10678" max="10678" width="11.26953125" style="6" bestFit="1" customWidth="1"/>
    <col min="10679" max="10906" width="11.453125" style="6"/>
    <col min="10907" max="10907" width="7" style="6" customWidth="1"/>
    <col min="10908" max="10908" width="10.7265625" style="6" customWidth="1"/>
    <col min="10909" max="10909" width="9.26953125" style="6" customWidth="1"/>
    <col min="10910" max="10933" width="7.26953125" style="6" customWidth="1"/>
    <col min="10934" max="10934" width="11.26953125" style="6" bestFit="1" customWidth="1"/>
    <col min="10935" max="11162" width="11.453125" style="6"/>
    <col min="11163" max="11163" width="7" style="6" customWidth="1"/>
    <col min="11164" max="11164" width="10.7265625" style="6" customWidth="1"/>
    <col min="11165" max="11165" width="9.26953125" style="6" customWidth="1"/>
    <col min="11166" max="11189" width="7.26953125" style="6" customWidth="1"/>
    <col min="11190" max="11190" width="11.26953125" style="6" bestFit="1" customWidth="1"/>
    <col min="11191" max="11418" width="11.453125" style="6"/>
    <col min="11419" max="11419" width="7" style="6" customWidth="1"/>
    <col min="11420" max="11420" width="10.7265625" style="6" customWidth="1"/>
    <col min="11421" max="11421" width="9.26953125" style="6" customWidth="1"/>
    <col min="11422" max="11445" width="7.26953125" style="6" customWidth="1"/>
    <col min="11446" max="11446" width="11.26953125" style="6" bestFit="1" customWidth="1"/>
    <col min="11447" max="11674" width="11.453125" style="6"/>
    <col min="11675" max="11675" width="7" style="6" customWidth="1"/>
    <col min="11676" max="11676" width="10.7265625" style="6" customWidth="1"/>
    <col min="11677" max="11677" width="9.26953125" style="6" customWidth="1"/>
    <col min="11678" max="11701" width="7.26953125" style="6" customWidth="1"/>
    <col min="11702" max="11702" width="11.26953125" style="6" bestFit="1" customWidth="1"/>
    <col min="11703" max="11930" width="11.453125" style="6"/>
    <col min="11931" max="11931" width="7" style="6" customWidth="1"/>
    <col min="11932" max="11932" width="10.7265625" style="6" customWidth="1"/>
    <col min="11933" max="11933" width="9.26953125" style="6" customWidth="1"/>
    <col min="11934" max="11957" width="7.26953125" style="6" customWidth="1"/>
    <col min="11958" max="11958" width="11.26953125" style="6" bestFit="1" customWidth="1"/>
    <col min="11959" max="12186" width="11.453125" style="6"/>
    <col min="12187" max="12187" width="7" style="6" customWidth="1"/>
    <col min="12188" max="12188" width="10.7265625" style="6" customWidth="1"/>
    <col min="12189" max="12189" width="9.26953125" style="6" customWidth="1"/>
    <col min="12190" max="12213" width="7.26953125" style="6" customWidth="1"/>
    <col min="12214" max="12214" width="11.26953125" style="6" bestFit="1" customWidth="1"/>
    <col min="12215" max="12442" width="11.453125" style="6"/>
    <col min="12443" max="12443" width="7" style="6" customWidth="1"/>
    <col min="12444" max="12444" width="10.7265625" style="6" customWidth="1"/>
    <col min="12445" max="12445" width="9.26953125" style="6" customWidth="1"/>
    <col min="12446" max="12469" width="7.26953125" style="6" customWidth="1"/>
    <col min="12470" max="12470" width="11.26953125" style="6" bestFit="1" customWidth="1"/>
    <col min="12471" max="12698" width="11.453125" style="6"/>
    <col min="12699" max="12699" width="7" style="6" customWidth="1"/>
    <col min="12700" max="12700" width="10.7265625" style="6" customWidth="1"/>
    <col min="12701" max="12701" width="9.26953125" style="6" customWidth="1"/>
    <col min="12702" max="12725" width="7.26953125" style="6" customWidth="1"/>
    <col min="12726" max="12726" width="11.26953125" style="6" bestFit="1" customWidth="1"/>
    <col min="12727" max="12954" width="11.453125" style="6"/>
    <col min="12955" max="12955" width="7" style="6" customWidth="1"/>
    <col min="12956" max="12956" width="10.7265625" style="6" customWidth="1"/>
    <col min="12957" max="12957" width="9.26953125" style="6" customWidth="1"/>
    <col min="12958" max="12981" width="7.26953125" style="6" customWidth="1"/>
    <col min="12982" max="12982" width="11.26953125" style="6" bestFit="1" customWidth="1"/>
    <col min="12983" max="13210" width="11.453125" style="6"/>
    <col min="13211" max="13211" width="7" style="6" customWidth="1"/>
    <col min="13212" max="13212" width="10.7265625" style="6" customWidth="1"/>
    <col min="13213" max="13213" width="9.26953125" style="6" customWidth="1"/>
    <col min="13214" max="13237" width="7.26953125" style="6" customWidth="1"/>
    <col min="13238" max="13238" width="11.26953125" style="6" bestFit="1" customWidth="1"/>
    <col min="13239" max="13466" width="11.453125" style="6"/>
    <col min="13467" max="13467" width="7" style="6" customWidth="1"/>
    <col min="13468" max="13468" width="10.7265625" style="6" customWidth="1"/>
    <col min="13469" max="13469" width="9.26953125" style="6" customWidth="1"/>
    <col min="13470" max="13493" width="7.26953125" style="6" customWidth="1"/>
    <col min="13494" max="13494" width="11.26953125" style="6" bestFit="1" customWidth="1"/>
    <col min="13495" max="13722" width="11.453125" style="6"/>
    <col min="13723" max="13723" width="7" style="6" customWidth="1"/>
    <col min="13724" max="13724" width="10.7265625" style="6" customWidth="1"/>
    <col min="13725" max="13725" width="9.26953125" style="6" customWidth="1"/>
    <col min="13726" max="13749" width="7.26953125" style="6" customWidth="1"/>
    <col min="13750" max="13750" width="11.26953125" style="6" bestFit="1" customWidth="1"/>
    <col min="13751" max="13978" width="11.453125" style="6"/>
    <col min="13979" max="13979" width="7" style="6" customWidth="1"/>
    <col min="13980" max="13980" width="10.7265625" style="6" customWidth="1"/>
    <col min="13981" max="13981" width="9.26953125" style="6" customWidth="1"/>
    <col min="13982" max="14005" width="7.26953125" style="6" customWidth="1"/>
    <col min="14006" max="14006" width="11.26953125" style="6" bestFit="1" customWidth="1"/>
    <col min="14007" max="14234" width="11.453125" style="6"/>
    <col min="14235" max="14235" width="7" style="6" customWidth="1"/>
    <col min="14236" max="14236" width="10.7265625" style="6" customWidth="1"/>
    <col min="14237" max="14237" width="9.26953125" style="6" customWidth="1"/>
    <col min="14238" max="14261" width="7.26953125" style="6" customWidth="1"/>
    <col min="14262" max="14262" width="11.26953125" style="6" bestFit="1" customWidth="1"/>
    <col min="14263" max="14490" width="11.453125" style="6"/>
    <col min="14491" max="14491" width="7" style="6" customWidth="1"/>
    <col min="14492" max="14492" width="10.7265625" style="6" customWidth="1"/>
    <col min="14493" max="14493" width="9.26953125" style="6" customWidth="1"/>
    <col min="14494" max="14517" width="7.26953125" style="6" customWidth="1"/>
    <col min="14518" max="14518" width="11.26953125" style="6" bestFit="1" customWidth="1"/>
    <col min="14519" max="14746" width="11.453125" style="6"/>
    <col min="14747" max="14747" width="7" style="6" customWidth="1"/>
    <col min="14748" max="14748" width="10.7265625" style="6" customWidth="1"/>
    <col min="14749" max="14749" width="9.26953125" style="6" customWidth="1"/>
    <col min="14750" max="14773" width="7.26953125" style="6" customWidth="1"/>
    <col min="14774" max="14774" width="11.26953125" style="6" bestFit="1" customWidth="1"/>
    <col min="14775" max="15002" width="11.453125" style="6"/>
    <col min="15003" max="15003" width="7" style="6" customWidth="1"/>
    <col min="15004" max="15004" width="10.7265625" style="6" customWidth="1"/>
    <col min="15005" max="15005" width="9.26953125" style="6" customWidth="1"/>
    <col min="15006" max="15029" width="7.26953125" style="6" customWidth="1"/>
    <col min="15030" max="15030" width="11.26953125" style="6" bestFit="1" customWidth="1"/>
    <col min="15031" max="15258" width="11.453125" style="6"/>
    <col min="15259" max="15259" width="7" style="6" customWidth="1"/>
    <col min="15260" max="15260" width="10.7265625" style="6" customWidth="1"/>
    <col min="15261" max="15261" width="9.26953125" style="6" customWidth="1"/>
    <col min="15262" max="15285" width="7.26953125" style="6" customWidth="1"/>
    <col min="15286" max="15286" width="11.26953125" style="6" bestFit="1" customWidth="1"/>
    <col min="15287" max="15514" width="11.453125" style="6"/>
    <col min="15515" max="15515" width="7" style="6" customWidth="1"/>
    <col min="15516" max="15516" width="10.7265625" style="6" customWidth="1"/>
    <col min="15517" max="15517" width="9.26953125" style="6" customWidth="1"/>
    <col min="15518" max="15541" width="7.26953125" style="6" customWidth="1"/>
    <col min="15542" max="15542" width="11.26953125" style="6" bestFit="1" customWidth="1"/>
    <col min="15543" max="15770" width="11.453125" style="6"/>
    <col min="15771" max="15771" width="7" style="6" customWidth="1"/>
    <col min="15772" max="15772" width="10.7265625" style="6" customWidth="1"/>
    <col min="15773" max="15773" width="9.26953125" style="6" customWidth="1"/>
    <col min="15774" max="15797" width="7.26953125" style="6" customWidth="1"/>
    <col min="15798" max="15798" width="11.26953125" style="6" bestFit="1" customWidth="1"/>
    <col min="15799" max="16026" width="11.453125" style="6"/>
    <col min="16027" max="16027" width="7" style="6" customWidth="1"/>
    <col min="16028" max="16028" width="10.7265625" style="6" customWidth="1"/>
    <col min="16029" max="16029" width="9.26953125" style="6" customWidth="1"/>
    <col min="16030" max="16053" width="7.26953125" style="6" customWidth="1"/>
    <col min="16054" max="16054" width="11.26953125" style="6" bestFit="1" customWidth="1"/>
    <col min="16055" max="16384" width="11.453125" style="6"/>
  </cols>
  <sheetData>
    <row r="2" spans="2:31" x14ac:dyDescent="0.25">
      <c r="B2" s="70" t="s">
        <v>45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spans="2:31" x14ac:dyDescent="0.25">
      <c r="B3" s="70" t="s">
        <v>44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spans="2:31" x14ac:dyDescent="0.25">
      <c r="B4" s="70">
        <v>2032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6" spans="2:31" ht="31" x14ac:dyDescent="0.25">
      <c r="B6" s="2" t="s">
        <v>0</v>
      </c>
      <c r="C6" s="3" t="s">
        <v>1</v>
      </c>
      <c r="D6" s="2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51" t="s">
        <v>27</v>
      </c>
    </row>
    <row r="7" spans="2:31" ht="12.5" x14ac:dyDescent="0.25">
      <c r="B7" s="65" t="s">
        <v>28</v>
      </c>
      <c r="C7" s="4" t="s">
        <v>29</v>
      </c>
      <c r="D7" s="5">
        <v>20</v>
      </c>
      <c r="E7" s="56">
        <v>5768.25</v>
      </c>
      <c r="F7" s="56">
        <v>5448.55</v>
      </c>
      <c r="G7" s="56">
        <v>5253.55</v>
      </c>
      <c r="H7" s="56">
        <v>5190.45</v>
      </c>
      <c r="I7" s="56">
        <v>5557.03</v>
      </c>
      <c r="J7" s="56">
        <v>6626.1</v>
      </c>
      <c r="K7" s="56">
        <v>7563.33</v>
      </c>
      <c r="L7" s="56">
        <v>10432.26</v>
      </c>
      <c r="M7" s="56">
        <v>10615.98</v>
      </c>
      <c r="N7" s="56">
        <v>10874.21</v>
      </c>
      <c r="O7" s="56">
        <v>11309.6</v>
      </c>
      <c r="P7" s="56">
        <v>11973.61</v>
      </c>
      <c r="Q7" s="56">
        <v>11525.35</v>
      </c>
      <c r="R7" s="56">
        <v>11279.8</v>
      </c>
      <c r="S7" s="56">
        <v>11487.12</v>
      </c>
      <c r="T7" s="56">
        <v>11655.46</v>
      </c>
      <c r="U7" s="56">
        <v>11738.36</v>
      </c>
      <c r="V7" s="56">
        <v>10623.89</v>
      </c>
      <c r="W7" s="56">
        <v>11602.64</v>
      </c>
      <c r="X7" s="56">
        <v>11917.31</v>
      </c>
      <c r="Y7" s="56">
        <v>11339.86</v>
      </c>
      <c r="Z7" s="56">
        <v>10336.66</v>
      </c>
      <c r="AA7" s="56">
        <v>8660.9500000000007</v>
      </c>
      <c r="AB7" s="56">
        <v>7466.57</v>
      </c>
      <c r="AC7" s="66">
        <f>+SUM(E7:AB7)*D7+SUM(E8:AB8)*D8+SUM(E9:AB9)*D9+SUM(E10:AB10)*D10</f>
        <v>6878092.7600000007</v>
      </c>
      <c r="AE7" s="11">
        <f>+AC7</f>
        <v>6878092.7600000007</v>
      </c>
    </row>
    <row r="8" spans="2:31" ht="12.5" x14ac:dyDescent="0.25">
      <c r="B8" s="65" t="s">
        <v>28</v>
      </c>
      <c r="C8" s="4" t="s">
        <v>30</v>
      </c>
      <c r="D8" s="5">
        <v>5</v>
      </c>
      <c r="E8" s="56">
        <v>6156.9</v>
      </c>
      <c r="F8" s="56">
        <v>5649.48</v>
      </c>
      <c r="G8" s="56">
        <v>5414.39</v>
      </c>
      <c r="H8" s="56">
        <v>5292.96</v>
      </c>
      <c r="I8" s="56">
        <v>5410.94</v>
      </c>
      <c r="J8" s="56">
        <v>5775.04</v>
      </c>
      <c r="K8" s="56">
        <v>6331.74</v>
      </c>
      <c r="L8" s="56">
        <v>9701.69</v>
      </c>
      <c r="M8" s="56">
        <v>10486.71</v>
      </c>
      <c r="N8" s="56">
        <v>10962.38</v>
      </c>
      <c r="O8" s="56">
        <v>11274.34</v>
      </c>
      <c r="P8" s="56">
        <v>11730.37</v>
      </c>
      <c r="Q8" s="56">
        <v>11881.75</v>
      </c>
      <c r="R8" s="56">
        <v>11617.48</v>
      </c>
      <c r="S8" s="56">
        <v>11472.79</v>
      </c>
      <c r="T8" s="56">
        <v>11368.43</v>
      </c>
      <c r="U8" s="56">
        <v>11472.29</v>
      </c>
      <c r="V8" s="56">
        <v>10427.290000000001</v>
      </c>
      <c r="W8" s="56">
        <v>11557.67</v>
      </c>
      <c r="X8" s="56">
        <v>11835.79</v>
      </c>
      <c r="Y8" s="56">
        <v>11270.99</v>
      </c>
      <c r="Z8" s="56">
        <v>10508.4</v>
      </c>
      <c r="AA8" s="56">
        <v>9300.8799999999992</v>
      </c>
      <c r="AB8" s="56">
        <v>8203.2199999999993</v>
      </c>
      <c r="AC8" s="67"/>
      <c r="AE8" s="11">
        <f>+AC11</f>
        <v>6405743.1200000001</v>
      </c>
    </row>
    <row r="9" spans="2:31" ht="12.5" x14ac:dyDescent="0.25">
      <c r="B9" s="65" t="s">
        <v>28</v>
      </c>
      <c r="C9" s="4" t="s">
        <v>31</v>
      </c>
      <c r="D9" s="5">
        <v>4</v>
      </c>
      <c r="E9" s="56">
        <v>6519.81</v>
      </c>
      <c r="F9" s="56">
        <v>6021.79</v>
      </c>
      <c r="G9" s="56">
        <v>5705.4</v>
      </c>
      <c r="H9" s="56">
        <v>5485.72</v>
      </c>
      <c r="I9" s="56">
        <v>5399.81</v>
      </c>
      <c r="J9" s="56">
        <v>5354.9</v>
      </c>
      <c r="K9" s="56">
        <v>5433.78</v>
      </c>
      <c r="L9" s="56">
        <v>8117.94</v>
      </c>
      <c r="M9" s="56">
        <v>8902.36</v>
      </c>
      <c r="N9" s="56">
        <v>9412.26</v>
      </c>
      <c r="O9" s="56">
        <v>9914.14</v>
      </c>
      <c r="P9" s="56">
        <v>10451.32</v>
      </c>
      <c r="Q9" s="56">
        <v>10673.16</v>
      </c>
      <c r="R9" s="56">
        <v>10472.73</v>
      </c>
      <c r="S9" s="56">
        <v>10517.55</v>
      </c>
      <c r="T9" s="56">
        <v>10643.7</v>
      </c>
      <c r="U9" s="56">
        <v>10683.07</v>
      </c>
      <c r="V9" s="56">
        <v>9869.65</v>
      </c>
      <c r="W9" s="56">
        <v>10899.07</v>
      </c>
      <c r="X9" s="56">
        <v>11203.4</v>
      </c>
      <c r="Y9" s="56">
        <v>10701.24</v>
      </c>
      <c r="Z9" s="56">
        <v>9800.6</v>
      </c>
      <c r="AA9" s="56">
        <v>8411.6200000000008</v>
      </c>
      <c r="AB9" s="56">
        <v>7215.56</v>
      </c>
      <c r="AC9" s="67"/>
      <c r="AE9" s="11">
        <f>+AC15</f>
        <v>6770002.2399999984</v>
      </c>
    </row>
    <row r="10" spans="2:31" ht="12.5" x14ac:dyDescent="0.25">
      <c r="B10" s="65" t="s">
        <v>28</v>
      </c>
      <c r="C10" s="4" t="s">
        <v>32</v>
      </c>
      <c r="D10" s="5">
        <v>2</v>
      </c>
      <c r="E10" s="56">
        <v>6558.24</v>
      </c>
      <c r="F10" s="56">
        <v>6175.35</v>
      </c>
      <c r="G10" s="56">
        <v>5770.55</v>
      </c>
      <c r="H10" s="56">
        <v>5618.87</v>
      </c>
      <c r="I10" s="56">
        <v>5428.95</v>
      </c>
      <c r="J10" s="56">
        <v>5385.42</v>
      </c>
      <c r="K10" s="56">
        <v>5051.68</v>
      </c>
      <c r="L10" s="56">
        <v>7382.91</v>
      </c>
      <c r="M10" s="56">
        <v>7832.29</v>
      </c>
      <c r="N10" s="56">
        <v>8394.33</v>
      </c>
      <c r="O10" s="56">
        <v>9031.8799999999992</v>
      </c>
      <c r="P10" s="56">
        <v>9450.15</v>
      </c>
      <c r="Q10" s="56">
        <v>9893.7099999999991</v>
      </c>
      <c r="R10" s="56">
        <v>10011.89</v>
      </c>
      <c r="S10" s="56">
        <v>10039.709999999999</v>
      </c>
      <c r="T10" s="56">
        <v>9956.18</v>
      </c>
      <c r="U10" s="56">
        <v>10033.57</v>
      </c>
      <c r="V10" s="56">
        <v>9431.06</v>
      </c>
      <c r="W10" s="56">
        <v>10549.74</v>
      </c>
      <c r="X10" s="56">
        <v>10920.37</v>
      </c>
      <c r="Y10" s="56">
        <v>10537.36</v>
      </c>
      <c r="Z10" s="56">
        <v>9502.9500000000007</v>
      </c>
      <c r="AA10" s="56">
        <v>8167.48</v>
      </c>
      <c r="AB10" s="56">
        <v>7071.88</v>
      </c>
      <c r="AC10" s="68"/>
      <c r="AE10" s="11">
        <f>+AC19</f>
        <v>6779931.7200000007</v>
      </c>
    </row>
    <row r="11" spans="2:31" ht="12.5" x14ac:dyDescent="0.25">
      <c r="B11" s="65" t="s">
        <v>33</v>
      </c>
      <c r="C11" s="4" t="s">
        <v>29</v>
      </c>
      <c r="D11" s="5">
        <v>20</v>
      </c>
      <c r="E11" s="56">
        <v>5551.19</v>
      </c>
      <c r="F11" s="56">
        <v>5231.72</v>
      </c>
      <c r="G11" s="56">
        <v>5100.2</v>
      </c>
      <c r="H11" s="56">
        <v>5107.1899999999996</v>
      </c>
      <c r="I11" s="56">
        <v>5588.57</v>
      </c>
      <c r="J11" s="56">
        <v>7248.41</v>
      </c>
      <c r="K11" s="56">
        <v>8360.14</v>
      </c>
      <c r="L11" s="56">
        <v>10842.12</v>
      </c>
      <c r="M11" s="56">
        <v>10727.02</v>
      </c>
      <c r="N11" s="56">
        <v>10782.85</v>
      </c>
      <c r="O11" s="56">
        <v>11126.59</v>
      </c>
      <c r="P11" s="56">
        <v>11596.22</v>
      </c>
      <c r="Q11" s="56">
        <v>11269.48</v>
      </c>
      <c r="R11" s="56">
        <v>11237.05</v>
      </c>
      <c r="S11" s="56">
        <v>11560.05</v>
      </c>
      <c r="T11" s="56">
        <v>11699.18</v>
      </c>
      <c r="U11" s="56">
        <v>11740.35</v>
      </c>
      <c r="V11" s="56">
        <v>10439.32</v>
      </c>
      <c r="W11" s="56">
        <v>11385.99</v>
      </c>
      <c r="X11" s="56">
        <v>11910.35</v>
      </c>
      <c r="Y11" s="56">
        <v>11282.38</v>
      </c>
      <c r="Z11" s="56">
        <v>10228.469999999999</v>
      </c>
      <c r="AA11" s="56">
        <v>8499.2800000000007</v>
      </c>
      <c r="AB11" s="56">
        <v>7233.75</v>
      </c>
      <c r="AC11" s="66">
        <f>+SUM(E11:AB11)*D11+SUM(E12:AB12)*D12+SUM(E13:AB13)*D13+SUM(E14:AB14)*D14</f>
        <v>6405743.1200000001</v>
      </c>
      <c r="AE11" s="11">
        <f>+AC23</f>
        <v>6740276.6599999992</v>
      </c>
    </row>
    <row r="12" spans="2:31" ht="12.5" x14ac:dyDescent="0.25">
      <c r="B12" s="65" t="s">
        <v>33</v>
      </c>
      <c r="C12" s="4" t="s">
        <v>30</v>
      </c>
      <c r="D12" s="5">
        <v>4</v>
      </c>
      <c r="E12" s="56">
        <v>5924.84</v>
      </c>
      <c r="F12" s="56">
        <v>5559.03</v>
      </c>
      <c r="G12" s="56">
        <v>5290.4</v>
      </c>
      <c r="H12" s="56">
        <v>5195.8599999999997</v>
      </c>
      <c r="I12" s="56">
        <v>5388.11</v>
      </c>
      <c r="J12" s="56">
        <v>5926.44</v>
      </c>
      <c r="K12" s="56">
        <v>6599.65</v>
      </c>
      <c r="L12" s="56">
        <v>10136.280000000001</v>
      </c>
      <c r="M12" s="56">
        <v>10627.49</v>
      </c>
      <c r="N12" s="56">
        <v>10983.82</v>
      </c>
      <c r="O12" s="56">
        <v>11278.07</v>
      </c>
      <c r="P12" s="56">
        <v>11486.8</v>
      </c>
      <c r="Q12" s="56">
        <v>11461.68</v>
      </c>
      <c r="R12" s="56">
        <v>11246.89</v>
      </c>
      <c r="S12" s="56">
        <v>11214.66</v>
      </c>
      <c r="T12" s="56">
        <v>11338.61</v>
      </c>
      <c r="U12" s="56">
        <v>11499.64</v>
      </c>
      <c r="V12" s="56">
        <v>10189.11</v>
      </c>
      <c r="W12" s="56">
        <v>11200.9</v>
      </c>
      <c r="X12" s="56">
        <v>11521.23</v>
      </c>
      <c r="Y12" s="56">
        <v>10924.64</v>
      </c>
      <c r="Z12" s="56">
        <v>10047.620000000001</v>
      </c>
      <c r="AA12" s="56">
        <v>8872.15</v>
      </c>
      <c r="AB12" s="56">
        <v>7619.86</v>
      </c>
      <c r="AC12" s="67"/>
      <c r="AE12" s="11">
        <f>+AC27</f>
        <v>6734568.3799999999</v>
      </c>
    </row>
    <row r="13" spans="2:31" ht="12.5" x14ac:dyDescent="0.25">
      <c r="B13" s="65" t="s">
        <v>33</v>
      </c>
      <c r="C13" s="4" t="s">
        <v>31</v>
      </c>
      <c r="D13" s="5">
        <v>5</v>
      </c>
      <c r="E13" s="56">
        <v>6113.27</v>
      </c>
      <c r="F13" s="56">
        <v>5674.98</v>
      </c>
      <c r="G13" s="56">
        <v>5357.79</v>
      </c>
      <c r="H13" s="56">
        <v>5175.4399999999996</v>
      </c>
      <c r="I13" s="56">
        <v>5099.8</v>
      </c>
      <c r="J13" s="56">
        <v>5086.22</v>
      </c>
      <c r="K13" s="56">
        <v>5229.16</v>
      </c>
      <c r="L13" s="56">
        <v>8065.46</v>
      </c>
      <c r="M13" s="56">
        <v>8854.7999999999993</v>
      </c>
      <c r="N13" s="56">
        <v>9318.09</v>
      </c>
      <c r="O13" s="56">
        <v>9688.99</v>
      </c>
      <c r="P13" s="56">
        <v>10256.51</v>
      </c>
      <c r="Q13" s="56">
        <v>10499.02</v>
      </c>
      <c r="R13" s="56">
        <v>10471.530000000001</v>
      </c>
      <c r="S13" s="56">
        <v>10206.06</v>
      </c>
      <c r="T13" s="56">
        <v>10263.200000000001</v>
      </c>
      <c r="U13" s="56">
        <v>10356.66</v>
      </c>
      <c r="V13" s="56">
        <v>9440.7199999999993</v>
      </c>
      <c r="W13" s="56">
        <v>10625.19</v>
      </c>
      <c r="X13" s="56">
        <v>10858.72</v>
      </c>
      <c r="Y13" s="56">
        <v>10408.549999999999</v>
      </c>
      <c r="Z13" s="56">
        <v>9358.61</v>
      </c>
      <c r="AA13" s="56">
        <v>7858.58</v>
      </c>
      <c r="AB13" s="56">
        <v>6662.77</v>
      </c>
      <c r="AC13" s="67"/>
      <c r="AE13" s="11">
        <f>+AC31</f>
        <v>6804904.3200000003</v>
      </c>
    </row>
    <row r="14" spans="2:31" ht="12.5" x14ac:dyDescent="0.25">
      <c r="B14" s="65" t="s">
        <v>33</v>
      </c>
      <c r="C14" s="4" t="s">
        <v>32</v>
      </c>
      <c r="D14" s="5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68"/>
      <c r="AE14" s="11">
        <f>+AC35</f>
        <v>7008985.6399999997</v>
      </c>
    </row>
    <row r="15" spans="2:31" ht="12.5" x14ac:dyDescent="0.25">
      <c r="B15" s="65" t="s">
        <v>34</v>
      </c>
      <c r="C15" s="4" t="s">
        <v>29</v>
      </c>
      <c r="D15" s="5">
        <v>20</v>
      </c>
      <c r="E15" s="56">
        <v>5594.44</v>
      </c>
      <c r="F15" s="56">
        <v>5269.75</v>
      </c>
      <c r="G15" s="56">
        <v>5134.53</v>
      </c>
      <c r="H15" s="56">
        <v>5111.2700000000004</v>
      </c>
      <c r="I15" s="56">
        <v>5554.35</v>
      </c>
      <c r="J15" s="56">
        <v>7058.2</v>
      </c>
      <c r="K15" s="56">
        <v>8032.78</v>
      </c>
      <c r="L15" s="56">
        <v>10525.69</v>
      </c>
      <c r="M15" s="56">
        <v>10444.27</v>
      </c>
      <c r="N15" s="56">
        <v>10517.8</v>
      </c>
      <c r="O15" s="56">
        <v>10918.72</v>
      </c>
      <c r="P15" s="56">
        <v>11388.23</v>
      </c>
      <c r="Q15" s="56">
        <v>11201.49</v>
      </c>
      <c r="R15" s="56">
        <v>11125.8</v>
      </c>
      <c r="S15" s="56">
        <v>11412.02</v>
      </c>
      <c r="T15" s="56">
        <v>11511.38</v>
      </c>
      <c r="U15" s="56">
        <v>11531.03</v>
      </c>
      <c r="V15" s="56">
        <v>10330.950000000001</v>
      </c>
      <c r="W15" s="56">
        <v>11364.81</v>
      </c>
      <c r="X15" s="56">
        <v>11956.36</v>
      </c>
      <c r="Y15" s="56">
        <v>11328.61</v>
      </c>
      <c r="Z15" s="56">
        <v>10252.01</v>
      </c>
      <c r="AA15" s="56">
        <v>8689.09</v>
      </c>
      <c r="AB15" s="56">
        <v>7358.28</v>
      </c>
      <c r="AC15" s="66">
        <f>+SUM(E15:AB15)*D15+SUM(E16:AB16)*D16+SUM(E17:AB17)*D17+SUM(E18:AB18)*D18</f>
        <v>6770002.2399999984</v>
      </c>
      <c r="AE15" s="11">
        <f>+AC39</f>
        <v>6703353.5200000005</v>
      </c>
    </row>
    <row r="16" spans="2:31" ht="12.5" x14ac:dyDescent="0.25">
      <c r="B16" s="65" t="s">
        <v>34</v>
      </c>
      <c r="C16" s="4" t="s">
        <v>30</v>
      </c>
      <c r="D16" s="5">
        <v>4</v>
      </c>
      <c r="E16" s="56">
        <v>5820.53</v>
      </c>
      <c r="F16" s="56">
        <v>5427.38</v>
      </c>
      <c r="G16" s="56">
        <v>5232.25</v>
      </c>
      <c r="H16" s="56">
        <v>5120.88</v>
      </c>
      <c r="I16" s="56">
        <v>5320.5</v>
      </c>
      <c r="J16" s="56">
        <v>5796.24</v>
      </c>
      <c r="K16" s="56">
        <v>6566.71</v>
      </c>
      <c r="L16" s="56">
        <v>9979.85</v>
      </c>
      <c r="M16" s="56">
        <v>10323.56</v>
      </c>
      <c r="N16" s="56">
        <v>10653.41</v>
      </c>
      <c r="O16" s="56">
        <v>10996.32</v>
      </c>
      <c r="P16" s="56">
        <v>11274.95</v>
      </c>
      <c r="Q16" s="56">
        <v>11365.28</v>
      </c>
      <c r="R16" s="56">
        <v>11032.15</v>
      </c>
      <c r="S16" s="56">
        <v>10863.24</v>
      </c>
      <c r="T16" s="56">
        <v>10954.17</v>
      </c>
      <c r="U16" s="56">
        <v>11085.26</v>
      </c>
      <c r="V16" s="56">
        <v>9962.59</v>
      </c>
      <c r="W16" s="56">
        <v>10933.31</v>
      </c>
      <c r="X16" s="56">
        <v>11620.83</v>
      </c>
      <c r="Y16" s="56">
        <v>11064.24</v>
      </c>
      <c r="Z16" s="56">
        <v>10258.74</v>
      </c>
      <c r="AA16" s="56">
        <v>9101.57</v>
      </c>
      <c r="AB16" s="56">
        <v>7842.73</v>
      </c>
      <c r="AC16" s="67"/>
      <c r="AE16" s="11">
        <f>+AC43</f>
        <v>6987365.379999999</v>
      </c>
    </row>
    <row r="17" spans="2:31" ht="12.5" x14ac:dyDescent="0.25">
      <c r="B17" s="65" t="s">
        <v>34</v>
      </c>
      <c r="C17" s="4" t="s">
        <v>31</v>
      </c>
      <c r="D17" s="5">
        <v>4</v>
      </c>
      <c r="E17" s="56">
        <v>6168.3</v>
      </c>
      <c r="F17" s="56">
        <v>5686.59</v>
      </c>
      <c r="G17" s="56">
        <v>5381.01</v>
      </c>
      <c r="H17" s="56">
        <v>5192.38</v>
      </c>
      <c r="I17" s="56">
        <v>5151.1499999999996</v>
      </c>
      <c r="J17" s="56">
        <v>5202.75</v>
      </c>
      <c r="K17" s="56">
        <v>5394.92</v>
      </c>
      <c r="L17" s="56">
        <v>8169.66</v>
      </c>
      <c r="M17" s="56">
        <v>8922.9699999999993</v>
      </c>
      <c r="N17" s="56">
        <v>9316.5400000000009</v>
      </c>
      <c r="O17" s="56">
        <v>9578.1299999999992</v>
      </c>
      <c r="P17" s="56">
        <v>9807.06</v>
      </c>
      <c r="Q17" s="56">
        <v>10052.02</v>
      </c>
      <c r="R17" s="56">
        <v>9958.75</v>
      </c>
      <c r="S17" s="56">
        <v>9771.14</v>
      </c>
      <c r="T17" s="56">
        <v>9820.2900000000009</v>
      </c>
      <c r="U17" s="56">
        <v>10017.02</v>
      </c>
      <c r="V17" s="56">
        <v>9186.1299999999992</v>
      </c>
      <c r="W17" s="56">
        <v>10155.86</v>
      </c>
      <c r="X17" s="56">
        <v>10956.04</v>
      </c>
      <c r="Y17" s="56">
        <v>10651.77</v>
      </c>
      <c r="Z17" s="56">
        <v>9833.81</v>
      </c>
      <c r="AA17" s="56">
        <v>8525.2900000000009</v>
      </c>
      <c r="AB17" s="56">
        <v>7173.8</v>
      </c>
      <c r="AC17" s="67"/>
      <c r="AE17" s="11">
        <f>+AC47</f>
        <v>6826002.9800000004</v>
      </c>
    </row>
    <row r="18" spans="2:31" ht="12.5" x14ac:dyDescent="0.25">
      <c r="B18" s="65" t="s">
        <v>34</v>
      </c>
      <c r="C18" s="4" t="s">
        <v>32</v>
      </c>
      <c r="D18" s="5">
        <v>3</v>
      </c>
      <c r="E18" s="56">
        <v>5973.43</v>
      </c>
      <c r="F18" s="56">
        <v>5597.15</v>
      </c>
      <c r="G18" s="56">
        <v>5398.99</v>
      </c>
      <c r="H18" s="56">
        <v>5314.23</v>
      </c>
      <c r="I18" s="56">
        <v>5274.6</v>
      </c>
      <c r="J18" s="56">
        <v>5414.31</v>
      </c>
      <c r="K18" s="56">
        <v>5553.28</v>
      </c>
      <c r="L18" s="56">
        <v>8346.83</v>
      </c>
      <c r="M18" s="56">
        <v>9005.9599999999991</v>
      </c>
      <c r="N18" s="56">
        <v>9461.8799999999992</v>
      </c>
      <c r="O18" s="56">
        <v>10102.790000000001</v>
      </c>
      <c r="P18" s="56">
        <v>10688.76</v>
      </c>
      <c r="Q18" s="56">
        <v>10938.7</v>
      </c>
      <c r="R18" s="56">
        <v>11004</v>
      </c>
      <c r="S18" s="56">
        <v>10914.78</v>
      </c>
      <c r="T18" s="56">
        <v>10849.08</v>
      </c>
      <c r="U18" s="56">
        <v>10509.36</v>
      </c>
      <c r="V18" s="56">
        <v>9585.11</v>
      </c>
      <c r="W18" s="56">
        <v>10916.9</v>
      </c>
      <c r="X18" s="56">
        <v>11467.17</v>
      </c>
      <c r="Y18" s="56">
        <v>10902.19</v>
      </c>
      <c r="Z18" s="56">
        <v>9550.5</v>
      </c>
      <c r="AA18" s="56">
        <v>8081.21</v>
      </c>
      <c r="AB18" s="56">
        <v>6843.71</v>
      </c>
      <c r="AC18" s="68"/>
      <c r="AE18" s="11">
        <f>+AC51</f>
        <v>7047978.5299999975</v>
      </c>
    </row>
    <row r="19" spans="2:31" ht="13" x14ac:dyDescent="0.3">
      <c r="B19" s="65" t="s">
        <v>35</v>
      </c>
      <c r="C19" s="4" t="s">
        <v>29</v>
      </c>
      <c r="D19" s="5">
        <v>22</v>
      </c>
      <c r="E19" s="56">
        <v>5834.82</v>
      </c>
      <c r="F19" s="56">
        <v>5498.9</v>
      </c>
      <c r="G19" s="56">
        <v>5335.9</v>
      </c>
      <c r="H19" s="56">
        <v>5330.91</v>
      </c>
      <c r="I19" s="56">
        <v>5826.76</v>
      </c>
      <c r="J19" s="56">
        <v>7430.37</v>
      </c>
      <c r="K19" s="56">
        <v>8308.43</v>
      </c>
      <c r="L19" s="56">
        <v>10662.51</v>
      </c>
      <c r="M19" s="56">
        <v>10659</v>
      </c>
      <c r="N19" s="56">
        <v>10684.6</v>
      </c>
      <c r="O19" s="56">
        <v>11141.25</v>
      </c>
      <c r="P19" s="56">
        <v>11653.7</v>
      </c>
      <c r="Q19" s="56">
        <v>11393.48</v>
      </c>
      <c r="R19" s="56">
        <v>11489.87</v>
      </c>
      <c r="S19" s="56">
        <v>11828.12</v>
      </c>
      <c r="T19" s="56">
        <v>11927.19</v>
      </c>
      <c r="U19" s="56">
        <v>11980.48</v>
      </c>
      <c r="V19" s="56">
        <v>10859.32</v>
      </c>
      <c r="W19" s="56">
        <v>11843.59</v>
      </c>
      <c r="X19" s="56">
        <v>12190.75</v>
      </c>
      <c r="Y19" s="56">
        <v>11526.16</v>
      </c>
      <c r="Z19" s="56">
        <v>10461.84</v>
      </c>
      <c r="AA19" s="56">
        <v>8878.8700000000008</v>
      </c>
      <c r="AB19" s="56">
        <v>7593.14</v>
      </c>
      <c r="AC19" s="66">
        <f>+SUM(E19:AB19)*D19+SUM(E20:AB20)*D20+SUM(E21:AB21)*D21+SUM(E22:AB22)*D22</f>
        <v>6779931.7200000007</v>
      </c>
      <c r="AE19" s="12">
        <f>SUM(AE7:AE18)</f>
        <v>81687205.25</v>
      </c>
    </row>
    <row r="20" spans="2:31" ht="12.5" x14ac:dyDescent="0.25">
      <c r="B20" s="65" t="s">
        <v>35</v>
      </c>
      <c r="C20" s="4" t="s">
        <v>30</v>
      </c>
      <c r="D20" s="5">
        <v>4</v>
      </c>
      <c r="E20" s="56">
        <v>6151.62</v>
      </c>
      <c r="F20" s="56">
        <v>5709.49</v>
      </c>
      <c r="G20" s="56">
        <v>5501.49</v>
      </c>
      <c r="H20" s="56">
        <v>5415.54</v>
      </c>
      <c r="I20" s="56">
        <v>5533.46</v>
      </c>
      <c r="J20" s="56">
        <v>5866</v>
      </c>
      <c r="K20" s="56">
        <v>6209.6</v>
      </c>
      <c r="L20" s="56">
        <v>9760.01</v>
      </c>
      <c r="M20" s="56">
        <v>10267.74</v>
      </c>
      <c r="N20" s="56">
        <v>10596.17</v>
      </c>
      <c r="O20" s="56">
        <v>10998.35</v>
      </c>
      <c r="P20" s="56">
        <v>11449.78</v>
      </c>
      <c r="Q20" s="56">
        <v>11656.63</v>
      </c>
      <c r="R20" s="56">
        <v>11274.69</v>
      </c>
      <c r="S20" s="56">
        <v>11164.66</v>
      </c>
      <c r="T20" s="56">
        <v>11205.66</v>
      </c>
      <c r="U20" s="56">
        <v>11327.71</v>
      </c>
      <c r="V20" s="56">
        <v>9816.66</v>
      </c>
      <c r="W20" s="56">
        <v>11238.27</v>
      </c>
      <c r="X20" s="56">
        <v>11641.96</v>
      </c>
      <c r="Y20" s="56">
        <v>10989.79</v>
      </c>
      <c r="Z20" s="56">
        <v>10226.299999999999</v>
      </c>
      <c r="AA20" s="56">
        <v>9209.6</v>
      </c>
      <c r="AB20" s="56">
        <v>8679.57</v>
      </c>
      <c r="AC20" s="67"/>
    </row>
    <row r="21" spans="2:31" ht="12.5" x14ac:dyDescent="0.25">
      <c r="B21" s="65" t="s">
        <v>35</v>
      </c>
      <c r="C21" s="4" t="s">
        <v>31</v>
      </c>
      <c r="D21" s="5">
        <v>4</v>
      </c>
      <c r="E21" s="56">
        <v>6536.41</v>
      </c>
      <c r="F21" s="56">
        <v>6024.4</v>
      </c>
      <c r="G21" s="56">
        <v>5704.52</v>
      </c>
      <c r="H21" s="56">
        <v>5450.68</v>
      </c>
      <c r="I21" s="56">
        <v>5379.38</v>
      </c>
      <c r="J21" s="56">
        <v>5327.46</v>
      </c>
      <c r="K21" s="56">
        <v>5470.39</v>
      </c>
      <c r="L21" s="56">
        <v>8256.42</v>
      </c>
      <c r="M21" s="56">
        <v>8955.82</v>
      </c>
      <c r="N21" s="56">
        <v>9370.81</v>
      </c>
      <c r="O21" s="56">
        <v>9877.15</v>
      </c>
      <c r="P21" s="56">
        <v>10191.86</v>
      </c>
      <c r="Q21" s="56">
        <v>10464.23</v>
      </c>
      <c r="R21" s="56">
        <v>10408.43</v>
      </c>
      <c r="S21" s="56">
        <v>10334.040000000001</v>
      </c>
      <c r="T21" s="56">
        <v>10227.76</v>
      </c>
      <c r="U21" s="56">
        <v>10405.18</v>
      </c>
      <c r="V21" s="56">
        <v>9464.35</v>
      </c>
      <c r="W21" s="56">
        <v>10987.16</v>
      </c>
      <c r="X21" s="56">
        <v>11267.25</v>
      </c>
      <c r="Y21" s="56">
        <v>10772.39</v>
      </c>
      <c r="Z21" s="56">
        <v>9812.33</v>
      </c>
      <c r="AA21" s="56">
        <v>8378.7900000000009</v>
      </c>
      <c r="AB21" s="56">
        <v>7155.19</v>
      </c>
      <c r="AC21" s="67"/>
    </row>
    <row r="22" spans="2:31" ht="12.5" x14ac:dyDescent="0.25">
      <c r="B22" s="65" t="s">
        <v>35</v>
      </c>
      <c r="C22" s="4" t="s">
        <v>32</v>
      </c>
      <c r="D22" s="5">
        <v>0</v>
      </c>
      <c r="E22" s="56">
        <v>8729.9</v>
      </c>
      <c r="F22" s="56">
        <v>7865.17</v>
      </c>
      <c r="G22" s="56">
        <v>7367.9</v>
      </c>
      <c r="H22" s="56">
        <v>7048.57</v>
      </c>
      <c r="I22" s="56">
        <v>7195.92</v>
      </c>
      <c r="J22" s="56">
        <v>7427.47</v>
      </c>
      <c r="K22" s="56">
        <v>8098.39</v>
      </c>
      <c r="L22" s="56">
        <v>10167.950000000001</v>
      </c>
      <c r="M22" s="56">
        <v>11287.35</v>
      </c>
      <c r="N22" s="56">
        <v>11970.65</v>
      </c>
      <c r="O22" s="56">
        <v>12577.29</v>
      </c>
      <c r="P22" s="56">
        <v>13573</v>
      </c>
      <c r="Q22" s="56">
        <v>14080.58</v>
      </c>
      <c r="R22" s="56">
        <v>13781.89</v>
      </c>
      <c r="S22" s="56">
        <v>13363.99</v>
      </c>
      <c r="T22" s="56">
        <v>13273.14</v>
      </c>
      <c r="U22" s="56">
        <v>13215.53</v>
      </c>
      <c r="V22" s="56">
        <v>15024.39</v>
      </c>
      <c r="W22" s="56">
        <v>16616.59</v>
      </c>
      <c r="X22" s="56">
        <v>17446.59</v>
      </c>
      <c r="Y22" s="56">
        <v>16628.310000000001</v>
      </c>
      <c r="Z22" s="56">
        <v>15664.07</v>
      </c>
      <c r="AA22" s="56">
        <v>14025</v>
      </c>
      <c r="AB22" s="56">
        <v>12238.1</v>
      </c>
      <c r="AC22" s="68"/>
    </row>
    <row r="23" spans="2:31" ht="12.5" x14ac:dyDescent="0.25">
      <c r="B23" s="65" t="s">
        <v>36</v>
      </c>
      <c r="C23" s="4" t="s">
        <v>29</v>
      </c>
      <c r="D23" s="5">
        <v>19</v>
      </c>
      <c r="E23" s="56">
        <v>5657.65</v>
      </c>
      <c r="F23" s="56">
        <v>5506.95</v>
      </c>
      <c r="G23" s="56">
        <v>5265.29</v>
      </c>
      <c r="H23" s="56">
        <v>5211.7299999999996</v>
      </c>
      <c r="I23" s="56">
        <v>5687.51</v>
      </c>
      <c r="J23" s="56">
        <v>7167.75</v>
      </c>
      <c r="K23" s="56">
        <v>8056.05</v>
      </c>
      <c r="L23" s="56">
        <v>10411.14</v>
      </c>
      <c r="M23" s="56">
        <v>10358.17</v>
      </c>
      <c r="N23" s="56">
        <v>10500.37</v>
      </c>
      <c r="O23" s="56">
        <v>10923.1</v>
      </c>
      <c r="P23" s="56">
        <v>11396.83</v>
      </c>
      <c r="Q23" s="56">
        <v>11152.08</v>
      </c>
      <c r="R23" s="56">
        <v>11232.44</v>
      </c>
      <c r="S23" s="56">
        <v>11617.74</v>
      </c>
      <c r="T23" s="56">
        <v>11750.39</v>
      </c>
      <c r="U23" s="56">
        <v>11562.52</v>
      </c>
      <c r="V23" s="56">
        <v>10647.29</v>
      </c>
      <c r="W23" s="56">
        <v>11611.75</v>
      </c>
      <c r="X23" s="56">
        <v>11773.93</v>
      </c>
      <c r="Y23" s="56">
        <v>11282.81</v>
      </c>
      <c r="Z23" s="56">
        <v>10010.68</v>
      </c>
      <c r="AA23" s="56">
        <v>8646.8700000000008</v>
      </c>
      <c r="AB23" s="56">
        <v>7395.45</v>
      </c>
      <c r="AC23" s="66">
        <f>+SUM(E23:AB23)*D23+SUM(E24:AB24)*D24+SUM(E25:AB25)*D25+SUM(E26:AB26)*D26</f>
        <v>6740276.6599999992</v>
      </c>
    </row>
    <row r="24" spans="2:31" ht="12.5" x14ac:dyDescent="0.25">
      <c r="B24" s="65" t="s">
        <v>36</v>
      </c>
      <c r="C24" s="4" t="s">
        <v>30</v>
      </c>
      <c r="D24" s="5">
        <v>4</v>
      </c>
      <c r="E24" s="56">
        <v>6052.42</v>
      </c>
      <c r="F24" s="56">
        <v>5669.91</v>
      </c>
      <c r="G24" s="56">
        <v>5403.47</v>
      </c>
      <c r="H24" s="56">
        <v>5318.82</v>
      </c>
      <c r="I24" s="56">
        <v>5448.15</v>
      </c>
      <c r="J24" s="56">
        <v>5707.73</v>
      </c>
      <c r="K24" s="56">
        <v>6314.75</v>
      </c>
      <c r="L24" s="56">
        <v>9687.99</v>
      </c>
      <c r="M24" s="56">
        <v>10256.530000000001</v>
      </c>
      <c r="N24" s="56">
        <v>10602.36</v>
      </c>
      <c r="O24" s="56">
        <v>10910.22</v>
      </c>
      <c r="P24" s="56">
        <v>11144.97</v>
      </c>
      <c r="Q24" s="56">
        <v>11159.83</v>
      </c>
      <c r="R24" s="56">
        <v>11000.59</v>
      </c>
      <c r="S24" s="56">
        <v>10951.46</v>
      </c>
      <c r="T24" s="56">
        <v>10798.69</v>
      </c>
      <c r="U24" s="56">
        <v>10987.58</v>
      </c>
      <c r="V24" s="56">
        <v>9963.65</v>
      </c>
      <c r="W24" s="56">
        <v>10625.83</v>
      </c>
      <c r="X24" s="56">
        <v>10982.92</v>
      </c>
      <c r="Y24" s="56">
        <v>10448.83</v>
      </c>
      <c r="Z24" s="56">
        <v>9604.86</v>
      </c>
      <c r="AA24" s="56">
        <v>8728.99</v>
      </c>
      <c r="AB24" s="56">
        <v>7642.14</v>
      </c>
      <c r="AC24" s="67"/>
    </row>
    <row r="25" spans="2:31" ht="12.5" x14ac:dyDescent="0.25">
      <c r="B25" s="65" t="s">
        <v>36</v>
      </c>
      <c r="C25" s="4" t="s">
        <v>31</v>
      </c>
      <c r="D25" s="5">
        <v>5</v>
      </c>
      <c r="E25" s="56">
        <v>6072.28</v>
      </c>
      <c r="F25" s="56">
        <v>5661.96</v>
      </c>
      <c r="G25" s="56">
        <v>5391.46</v>
      </c>
      <c r="H25" s="56">
        <v>5178.3</v>
      </c>
      <c r="I25" s="56">
        <v>5201.67</v>
      </c>
      <c r="J25" s="56">
        <v>5073.6099999999997</v>
      </c>
      <c r="K25" s="56">
        <v>5362.19</v>
      </c>
      <c r="L25" s="56">
        <v>8155.65</v>
      </c>
      <c r="M25" s="56">
        <v>8805.81</v>
      </c>
      <c r="N25" s="56">
        <v>9176.2999999999993</v>
      </c>
      <c r="O25" s="56">
        <v>9510.2199999999993</v>
      </c>
      <c r="P25" s="56">
        <v>9714.2199999999993</v>
      </c>
      <c r="Q25" s="56">
        <v>9870.93</v>
      </c>
      <c r="R25" s="56">
        <v>9920.93</v>
      </c>
      <c r="S25" s="56">
        <v>9663.0400000000009</v>
      </c>
      <c r="T25" s="56">
        <v>9598.98</v>
      </c>
      <c r="U25" s="56">
        <v>9780.39</v>
      </c>
      <c r="V25" s="56">
        <v>9096.52</v>
      </c>
      <c r="W25" s="56">
        <v>10096.17</v>
      </c>
      <c r="X25" s="56">
        <v>10482.5</v>
      </c>
      <c r="Y25" s="56">
        <v>10125.969999999999</v>
      </c>
      <c r="Z25" s="56">
        <v>9373.77</v>
      </c>
      <c r="AA25" s="56">
        <v>8030.04</v>
      </c>
      <c r="AB25" s="56">
        <v>7057.24</v>
      </c>
      <c r="AC25" s="67"/>
    </row>
    <row r="26" spans="2:31" ht="12.5" x14ac:dyDescent="0.25">
      <c r="B26" s="65" t="s">
        <v>36</v>
      </c>
      <c r="C26" s="4" t="s">
        <v>32</v>
      </c>
      <c r="D26" s="5">
        <v>3</v>
      </c>
      <c r="E26" s="56">
        <v>5963.55</v>
      </c>
      <c r="F26" s="56">
        <v>5568.27</v>
      </c>
      <c r="G26" s="56">
        <v>5367.93</v>
      </c>
      <c r="H26" s="56">
        <v>5233.6000000000004</v>
      </c>
      <c r="I26" s="56">
        <v>5296.41</v>
      </c>
      <c r="J26" s="56">
        <v>5372.96</v>
      </c>
      <c r="K26" s="56">
        <v>5587.05</v>
      </c>
      <c r="L26" s="56">
        <v>8519.94</v>
      </c>
      <c r="M26" s="56">
        <v>9096.67</v>
      </c>
      <c r="N26" s="56">
        <v>9737.69</v>
      </c>
      <c r="O26" s="56">
        <v>10182.36</v>
      </c>
      <c r="P26" s="56">
        <v>10913.65</v>
      </c>
      <c r="Q26" s="56">
        <v>11178.36</v>
      </c>
      <c r="R26" s="56">
        <v>10981.94</v>
      </c>
      <c r="S26" s="56">
        <v>10502.89</v>
      </c>
      <c r="T26" s="56">
        <v>10561.93</v>
      </c>
      <c r="U26" s="56">
        <v>10408.89</v>
      </c>
      <c r="V26" s="56">
        <v>9815.51</v>
      </c>
      <c r="W26" s="56">
        <v>10721.1</v>
      </c>
      <c r="X26" s="56">
        <v>11071.53</v>
      </c>
      <c r="Y26" s="56">
        <v>10621.3</v>
      </c>
      <c r="Z26" s="56">
        <v>9808.41</v>
      </c>
      <c r="AA26" s="56">
        <v>8450.89</v>
      </c>
      <c r="AB26" s="56">
        <v>7344.45</v>
      </c>
      <c r="AC26" s="68"/>
    </row>
    <row r="27" spans="2:31" ht="12.5" x14ac:dyDescent="0.25">
      <c r="B27" s="65" t="s">
        <v>37</v>
      </c>
      <c r="C27" s="4" t="s">
        <v>29</v>
      </c>
      <c r="D27" s="5">
        <v>21</v>
      </c>
      <c r="E27" s="56">
        <v>5715.2</v>
      </c>
      <c r="F27" s="56">
        <v>5397.65</v>
      </c>
      <c r="G27" s="56">
        <v>5264.09</v>
      </c>
      <c r="H27" s="56">
        <v>5229.47</v>
      </c>
      <c r="I27" s="56">
        <v>5674</v>
      </c>
      <c r="J27" s="56">
        <v>6860.81</v>
      </c>
      <c r="K27" s="56">
        <v>7852.53</v>
      </c>
      <c r="L27" s="56">
        <v>10756.81</v>
      </c>
      <c r="M27" s="56">
        <v>10783.5</v>
      </c>
      <c r="N27" s="56">
        <v>11057.09</v>
      </c>
      <c r="O27" s="56">
        <v>11524.22</v>
      </c>
      <c r="P27" s="56">
        <v>11982.18</v>
      </c>
      <c r="Q27" s="56">
        <v>11834.32</v>
      </c>
      <c r="R27" s="56">
        <v>11746.04</v>
      </c>
      <c r="S27" s="56">
        <v>11981.08</v>
      </c>
      <c r="T27" s="56">
        <v>11968.93</v>
      </c>
      <c r="U27" s="56">
        <v>12010.33</v>
      </c>
      <c r="V27" s="56">
        <v>10647.98</v>
      </c>
      <c r="W27" s="56">
        <v>11601.53</v>
      </c>
      <c r="X27" s="56">
        <v>11959.83</v>
      </c>
      <c r="Y27" s="56">
        <v>11332.39</v>
      </c>
      <c r="Z27" s="56">
        <v>10250.049999999999</v>
      </c>
      <c r="AA27" s="56">
        <v>8757.4699999999993</v>
      </c>
      <c r="AB27" s="56">
        <v>7444.14</v>
      </c>
      <c r="AC27" s="66">
        <f>+SUM(E27:AB27)*D27+SUM(E28:AB28)*D28+SUM(E29:AB29)*D29+SUM(E30:AB30)*D30</f>
        <v>6734568.3799999999</v>
      </c>
    </row>
    <row r="28" spans="2:31" ht="12.5" x14ac:dyDescent="0.25">
      <c r="B28" s="65" t="s">
        <v>37</v>
      </c>
      <c r="C28" s="4" t="s">
        <v>30</v>
      </c>
      <c r="D28" s="5">
        <v>4</v>
      </c>
      <c r="E28" s="56">
        <v>5920.64</v>
      </c>
      <c r="F28" s="56">
        <v>5545.25</v>
      </c>
      <c r="G28" s="56">
        <v>5318.46</v>
      </c>
      <c r="H28" s="56">
        <v>5205.91</v>
      </c>
      <c r="I28" s="56">
        <v>5398.23</v>
      </c>
      <c r="J28" s="56">
        <v>5740.19</v>
      </c>
      <c r="K28" s="56">
        <v>6483.76</v>
      </c>
      <c r="L28" s="56">
        <v>10088.07</v>
      </c>
      <c r="M28" s="56">
        <v>10673.22</v>
      </c>
      <c r="N28" s="56">
        <v>11016.06</v>
      </c>
      <c r="O28" s="56">
        <v>11400.49</v>
      </c>
      <c r="P28" s="56">
        <v>11644.82</v>
      </c>
      <c r="Q28" s="56">
        <v>11661.87</v>
      </c>
      <c r="R28" s="56">
        <v>11391.93</v>
      </c>
      <c r="S28" s="56">
        <v>11128.11</v>
      </c>
      <c r="T28" s="56">
        <v>11064.12</v>
      </c>
      <c r="U28" s="56">
        <v>11042.08</v>
      </c>
      <c r="V28" s="56">
        <v>10004.879999999999</v>
      </c>
      <c r="W28" s="56">
        <v>10883.75</v>
      </c>
      <c r="X28" s="56">
        <v>11430.33</v>
      </c>
      <c r="Y28" s="56">
        <v>10900.02</v>
      </c>
      <c r="Z28" s="56">
        <v>10053.94</v>
      </c>
      <c r="AA28" s="56">
        <v>9027.24</v>
      </c>
      <c r="AB28" s="56">
        <v>7842.95</v>
      </c>
      <c r="AC28" s="67"/>
    </row>
    <row r="29" spans="2:31" ht="12.5" x14ac:dyDescent="0.25">
      <c r="B29" s="65" t="s">
        <v>37</v>
      </c>
      <c r="C29" s="4" t="s">
        <v>31</v>
      </c>
      <c r="D29" s="5">
        <v>4</v>
      </c>
      <c r="E29" s="56">
        <v>6380.88</v>
      </c>
      <c r="F29" s="56">
        <v>5868.17</v>
      </c>
      <c r="G29" s="56">
        <v>5572.07</v>
      </c>
      <c r="H29" s="56">
        <v>5414.88</v>
      </c>
      <c r="I29" s="56">
        <v>5323.02</v>
      </c>
      <c r="J29" s="56">
        <v>5230.29</v>
      </c>
      <c r="K29" s="56">
        <v>5466.25</v>
      </c>
      <c r="L29" s="56">
        <v>8507.01</v>
      </c>
      <c r="M29" s="56">
        <v>9278.24</v>
      </c>
      <c r="N29" s="56">
        <v>9875.0499999999993</v>
      </c>
      <c r="O29" s="56">
        <v>10184.27</v>
      </c>
      <c r="P29" s="56">
        <v>10447.81</v>
      </c>
      <c r="Q29" s="56">
        <v>10557.1</v>
      </c>
      <c r="R29" s="56">
        <v>10452.17</v>
      </c>
      <c r="S29" s="56">
        <v>10147.41</v>
      </c>
      <c r="T29" s="56">
        <v>10123.18</v>
      </c>
      <c r="U29" s="56">
        <v>10216.530000000001</v>
      </c>
      <c r="V29" s="56">
        <v>9277.44</v>
      </c>
      <c r="W29" s="56">
        <v>10169.74</v>
      </c>
      <c r="X29" s="56">
        <v>10816.4</v>
      </c>
      <c r="Y29" s="56">
        <v>10481.469999999999</v>
      </c>
      <c r="Z29" s="56">
        <v>9706.2800000000007</v>
      </c>
      <c r="AA29" s="56">
        <v>8577.14</v>
      </c>
      <c r="AB29" s="56">
        <v>7368.19</v>
      </c>
      <c r="AC29" s="67"/>
    </row>
    <row r="30" spans="2:31" ht="12.5" x14ac:dyDescent="0.25">
      <c r="B30" s="65" t="s">
        <v>37</v>
      </c>
      <c r="C30" s="4" t="s">
        <v>32</v>
      </c>
      <c r="D30" s="5">
        <v>1</v>
      </c>
      <c r="E30" s="56">
        <v>5914.4</v>
      </c>
      <c r="F30" s="56">
        <v>5540.51</v>
      </c>
      <c r="G30" s="56">
        <v>5312.63</v>
      </c>
      <c r="H30" s="56">
        <v>5188.3100000000004</v>
      </c>
      <c r="I30" s="56">
        <v>5215.4799999999996</v>
      </c>
      <c r="J30" s="56">
        <v>5226.17</v>
      </c>
      <c r="K30" s="56">
        <v>5331.81</v>
      </c>
      <c r="L30" s="56">
        <v>8373.1200000000008</v>
      </c>
      <c r="M30" s="56">
        <v>8824.9500000000007</v>
      </c>
      <c r="N30" s="56">
        <v>9354.39</v>
      </c>
      <c r="O30" s="56">
        <v>10203.049999999999</v>
      </c>
      <c r="P30" s="56">
        <v>10705.61</v>
      </c>
      <c r="Q30" s="56">
        <v>11118.29</v>
      </c>
      <c r="R30" s="56">
        <v>10983.51</v>
      </c>
      <c r="S30" s="56">
        <v>10754.66</v>
      </c>
      <c r="T30" s="56">
        <v>10627.11</v>
      </c>
      <c r="U30" s="56">
        <v>10574.44</v>
      </c>
      <c r="V30" s="56">
        <v>9534.25</v>
      </c>
      <c r="W30" s="56">
        <v>10510.06</v>
      </c>
      <c r="X30" s="56">
        <v>11169.09</v>
      </c>
      <c r="Y30" s="56">
        <v>10787.07</v>
      </c>
      <c r="Z30" s="56">
        <v>9945.56</v>
      </c>
      <c r="AA30" s="56">
        <v>8591.2199999999993</v>
      </c>
      <c r="AB30" s="56">
        <v>7289.01</v>
      </c>
      <c r="AC30" s="68"/>
    </row>
    <row r="31" spans="2:31" ht="12.5" x14ac:dyDescent="0.25">
      <c r="B31" s="65" t="s">
        <v>38</v>
      </c>
      <c r="C31" s="4" t="s">
        <v>29</v>
      </c>
      <c r="D31" s="5">
        <v>19</v>
      </c>
      <c r="E31" s="56">
        <v>5736.05</v>
      </c>
      <c r="F31" s="56">
        <v>5420.19</v>
      </c>
      <c r="G31" s="56">
        <v>5262.09</v>
      </c>
      <c r="H31" s="56">
        <v>5253.72</v>
      </c>
      <c r="I31" s="56">
        <v>5690.9</v>
      </c>
      <c r="J31" s="56">
        <v>7063.96</v>
      </c>
      <c r="K31" s="56">
        <v>8007.69</v>
      </c>
      <c r="L31" s="56">
        <v>10527.67</v>
      </c>
      <c r="M31" s="56">
        <v>10547.39</v>
      </c>
      <c r="N31" s="56">
        <v>10774.5</v>
      </c>
      <c r="O31" s="56">
        <v>11103.03</v>
      </c>
      <c r="P31" s="56">
        <v>11749.02</v>
      </c>
      <c r="Q31" s="56">
        <v>11504.77</v>
      </c>
      <c r="R31" s="56">
        <v>11471.03</v>
      </c>
      <c r="S31" s="56">
        <v>11713.71</v>
      </c>
      <c r="T31" s="56">
        <v>11742.98</v>
      </c>
      <c r="U31" s="56">
        <v>11682.03</v>
      </c>
      <c r="V31" s="56">
        <v>10527.54</v>
      </c>
      <c r="W31" s="56">
        <v>11243.15</v>
      </c>
      <c r="X31" s="56">
        <v>11983.03</v>
      </c>
      <c r="Y31" s="56">
        <v>11439.18</v>
      </c>
      <c r="Z31" s="56">
        <v>10380.209999999999</v>
      </c>
      <c r="AA31" s="56">
        <v>8774.2199999999993</v>
      </c>
      <c r="AB31" s="56">
        <v>7511.76</v>
      </c>
      <c r="AC31" s="66">
        <f>+SUM(E31:AB31)*D31+SUM(E32:AB32)*D32+SUM(E33:AB33)*D33+SUM(E34:AB34)*D34</f>
        <v>6804904.3200000003</v>
      </c>
    </row>
    <row r="32" spans="2:31" ht="12.5" x14ac:dyDescent="0.25">
      <c r="B32" s="65" t="s">
        <v>38</v>
      </c>
      <c r="C32" s="4" t="s">
        <v>30</v>
      </c>
      <c r="D32" s="5">
        <v>5</v>
      </c>
      <c r="E32" s="56">
        <v>6116.44</v>
      </c>
      <c r="F32" s="56">
        <v>5719.74</v>
      </c>
      <c r="G32" s="56">
        <v>5475.19</v>
      </c>
      <c r="H32" s="56">
        <v>5395.77</v>
      </c>
      <c r="I32" s="56">
        <v>5509.55</v>
      </c>
      <c r="J32" s="56">
        <v>5783.31</v>
      </c>
      <c r="K32" s="56">
        <v>6437.48</v>
      </c>
      <c r="L32" s="56">
        <v>9916.48</v>
      </c>
      <c r="M32" s="56">
        <v>10514.28</v>
      </c>
      <c r="N32" s="56">
        <v>10864.78</v>
      </c>
      <c r="O32" s="56">
        <v>11106.97</v>
      </c>
      <c r="P32" s="56">
        <v>11484.38</v>
      </c>
      <c r="Q32" s="56">
        <v>11601.14</v>
      </c>
      <c r="R32" s="56">
        <v>11350.95</v>
      </c>
      <c r="S32" s="56">
        <v>11154.58</v>
      </c>
      <c r="T32" s="56">
        <v>10951.13</v>
      </c>
      <c r="U32" s="56">
        <v>10826.84</v>
      </c>
      <c r="V32" s="56">
        <v>9961.16</v>
      </c>
      <c r="W32" s="56">
        <v>10590.22</v>
      </c>
      <c r="X32" s="56">
        <v>11262.94</v>
      </c>
      <c r="Y32" s="56">
        <v>10701.1</v>
      </c>
      <c r="Z32" s="56">
        <v>9837.6200000000008</v>
      </c>
      <c r="AA32" s="56">
        <v>8719</v>
      </c>
      <c r="AB32" s="56">
        <v>7667.31</v>
      </c>
      <c r="AC32" s="67"/>
    </row>
    <row r="33" spans="2:29" ht="12.5" x14ac:dyDescent="0.25">
      <c r="B33" s="65" t="s">
        <v>38</v>
      </c>
      <c r="C33" s="4" t="s">
        <v>31</v>
      </c>
      <c r="D33" s="5">
        <v>4</v>
      </c>
      <c r="E33" s="56">
        <v>5953.36</v>
      </c>
      <c r="F33" s="56">
        <v>5531.69</v>
      </c>
      <c r="G33" s="56">
        <v>5273.46</v>
      </c>
      <c r="H33" s="56">
        <v>5140.62</v>
      </c>
      <c r="I33" s="56">
        <v>5067.55</v>
      </c>
      <c r="J33" s="56">
        <v>4993.2700000000004</v>
      </c>
      <c r="K33" s="56">
        <v>5250.42</v>
      </c>
      <c r="L33" s="56">
        <v>8072.18</v>
      </c>
      <c r="M33" s="56">
        <v>8867.68</v>
      </c>
      <c r="N33" s="56">
        <v>9287.69</v>
      </c>
      <c r="O33" s="56">
        <v>9596.26</v>
      </c>
      <c r="P33" s="56">
        <v>10101.51</v>
      </c>
      <c r="Q33" s="56">
        <v>10240.39</v>
      </c>
      <c r="R33" s="56">
        <v>10233.629999999999</v>
      </c>
      <c r="S33" s="56">
        <v>10062.870000000001</v>
      </c>
      <c r="T33" s="56">
        <v>9963.35</v>
      </c>
      <c r="U33" s="56">
        <v>9923.44</v>
      </c>
      <c r="V33" s="56">
        <v>9090.8799999999992</v>
      </c>
      <c r="W33" s="56">
        <v>10001.83</v>
      </c>
      <c r="X33" s="56">
        <v>10920.64</v>
      </c>
      <c r="Y33" s="56">
        <v>10643.08</v>
      </c>
      <c r="Z33" s="56">
        <v>9679.1</v>
      </c>
      <c r="AA33" s="56">
        <v>8183.37</v>
      </c>
      <c r="AB33" s="56">
        <v>7000.03</v>
      </c>
      <c r="AC33" s="67"/>
    </row>
    <row r="34" spans="2:29" ht="12.5" x14ac:dyDescent="0.25">
      <c r="B34" s="65" t="s">
        <v>38</v>
      </c>
      <c r="C34" s="4" t="s">
        <v>32</v>
      </c>
      <c r="D34" s="5">
        <v>3</v>
      </c>
      <c r="E34" s="56">
        <v>6472.13</v>
      </c>
      <c r="F34" s="56">
        <v>6000.59</v>
      </c>
      <c r="G34" s="56">
        <v>5640.56</v>
      </c>
      <c r="H34" s="56">
        <v>5329.04</v>
      </c>
      <c r="I34" s="56">
        <v>5294.79</v>
      </c>
      <c r="J34" s="56">
        <v>5050.8100000000004</v>
      </c>
      <c r="K34" s="56">
        <v>5309.85</v>
      </c>
      <c r="L34" s="56">
        <v>8209.4699999999993</v>
      </c>
      <c r="M34" s="56">
        <v>9054.39</v>
      </c>
      <c r="N34" s="56">
        <v>9322.82</v>
      </c>
      <c r="O34" s="56">
        <v>9293.32</v>
      </c>
      <c r="P34" s="56">
        <v>9905.32</v>
      </c>
      <c r="Q34" s="56">
        <v>10209.06</v>
      </c>
      <c r="R34" s="56">
        <v>10256.780000000001</v>
      </c>
      <c r="S34" s="56">
        <v>9737.74</v>
      </c>
      <c r="T34" s="56">
        <v>9671.66</v>
      </c>
      <c r="U34" s="56">
        <v>9716.08</v>
      </c>
      <c r="V34" s="56">
        <v>8886.35</v>
      </c>
      <c r="W34" s="56">
        <v>9634.35</v>
      </c>
      <c r="X34" s="56">
        <v>10657.56</v>
      </c>
      <c r="Y34" s="56">
        <v>10570.21</v>
      </c>
      <c r="Z34" s="56">
        <v>9691.34</v>
      </c>
      <c r="AA34" s="56">
        <v>8358.4500000000007</v>
      </c>
      <c r="AB34" s="56">
        <v>7314.91</v>
      </c>
      <c r="AC34" s="68"/>
    </row>
    <row r="35" spans="2:29" ht="12.5" x14ac:dyDescent="0.25">
      <c r="B35" s="65" t="s">
        <v>39</v>
      </c>
      <c r="C35" s="4" t="s">
        <v>29</v>
      </c>
      <c r="D35" s="5">
        <v>21</v>
      </c>
      <c r="E35" s="56">
        <v>5904.59</v>
      </c>
      <c r="F35" s="56">
        <v>5528.85</v>
      </c>
      <c r="G35" s="56">
        <v>5378.21</v>
      </c>
      <c r="H35" s="56">
        <v>5346.05</v>
      </c>
      <c r="I35" s="56">
        <v>5848.19</v>
      </c>
      <c r="J35" s="56">
        <v>7400.53</v>
      </c>
      <c r="K35" s="56">
        <v>8439.02</v>
      </c>
      <c r="L35" s="56">
        <v>10866.31</v>
      </c>
      <c r="M35" s="56">
        <v>10752.35</v>
      </c>
      <c r="N35" s="56">
        <v>10887.44</v>
      </c>
      <c r="O35" s="56">
        <v>11273.06</v>
      </c>
      <c r="P35" s="56">
        <v>11752.23</v>
      </c>
      <c r="Q35" s="56">
        <v>11572.53</v>
      </c>
      <c r="R35" s="56">
        <v>11561.56</v>
      </c>
      <c r="S35" s="56">
        <v>11863.5</v>
      </c>
      <c r="T35" s="56">
        <v>11929.06</v>
      </c>
      <c r="U35" s="56">
        <v>11938.8</v>
      </c>
      <c r="V35" s="56">
        <v>10847.75</v>
      </c>
      <c r="W35" s="56">
        <v>11751.42</v>
      </c>
      <c r="X35" s="56">
        <v>12414.11</v>
      </c>
      <c r="Y35" s="56">
        <v>11831.32</v>
      </c>
      <c r="Z35" s="56">
        <v>10688.42</v>
      </c>
      <c r="AA35" s="56">
        <v>8997.99</v>
      </c>
      <c r="AB35" s="56">
        <v>7696.37</v>
      </c>
      <c r="AC35" s="66">
        <f>+SUM(E35:AB35)*D35+SUM(E36:AB36)*D36+SUM(E37:AB37)*D37+SUM(E38:AB38)*D38</f>
        <v>7008985.6399999997</v>
      </c>
    </row>
    <row r="36" spans="2:29" ht="12.5" x14ac:dyDescent="0.25">
      <c r="B36" s="65" t="s">
        <v>39</v>
      </c>
      <c r="C36" s="4" t="s">
        <v>30</v>
      </c>
      <c r="D36" s="5">
        <v>3</v>
      </c>
      <c r="E36" s="56">
        <v>6242.61</v>
      </c>
      <c r="F36" s="56">
        <v>5836.76</v>
      </c>
      <c r="G36" s="56">
        <v>5580.73</v>
      </c>
      <c r="H36" s="56">
        <v>5461.29</v>
      </c>
      <c r="I36" s="56">
        <v>5579.84</v>
      </c>
      <c r="J36" s="56">
        <v>5888.73</v>
      </c>
      <c r="K36" s="56">
        <v>6666.37</v>
      </c>
      <c r="L36" s="56">
        <v>10140.09</v>
      </c>
      <c r="M36" s="56">
        <v>10863.81</v>
      </c>
      <c r="N36" s="56">
        <v>11066.78</v>
      </c>
      <c r="O36" s="56">
        <v>11291.29</v>
      </c>
      <c r="P36" s="56">
        <v>11560.49</v>
      </c>
      <c r="Q36" s="56">
        <v>11642.76</v>
      </c>
      <c r="R36" s="56">
        <v>11661.32</v>
      </c>
      <c r="S36" s="56">
        <v>11389.27</v>
      </c>
      <c r="T36" s="56">
        <v>11273.53</v>
      </c>
      <c r="U36" s="56">
        <v>11204.2</v>
      </c>
      <c r="V36" s="56">
        <v>10423.459999999999</v>
      </c>
      <c r="W36" s="56">
        <v>11196.38</v>
      </c>
      <c r="X36" s="56">
        <v>11727.4</v>
      </c>
      <c r="Y36" s="56">
        <v>11087.19</v>
      </c>
      <c r="Z36" s="56">
        <v>10198.959999999999</v>
      </c>
      <c r="AA36" s="56">
        <v>8899.69</v>
      </c>
      <c r="AB36" s="56">
        <v>7847.61</v>
      </c>
      <c r="AC36" s="67"/>
    </row>
    <row r="37" spans="2:29" ht="12.5" x14ac:dyDescent="0.25">
      <c r="B37" s="65" t="s">
        <v>39</v>
      </c>
      <c r="C37" s="4" t="s">
        <v>31</v>
      </c>
      <c r="D37" s="5">
        <v>5</v>
      </c>
      <c r="E37" s="56">
        <v>6238.17</v>
      </c>
      <c r="F37" s="56">
        <v>5813.92</v>
      </c>
      <c r="G37" s="56">
        <v>5503.69</v>
      </c>
      <c r="H37" s="56">
        <v>5329.73</v>
      </c>
      <c r="I37" s="56">
        <v>5259.42</v>
      </c>
      <c r="J37" s="56">
        <v>5285.85</v>
      </c>
      <c r="K37" s="56">
        <v>5426.85</v>
      </c>
      <c r="L37" s="56">
        <v>8354.24</v>
      </c>
      <c r="M37" s="56">
        <v>9092.4</v>
      </c>
      <c r="N37" s="56">
        <v>9617.8799999999992</v>
      </c>
      <c r="O37" s="56">
        <v>9954.34</v>
      </c>
      <c r="P37" s="56">
        <v>10426.44</v>
      </c>
      <c r="Q37" s="56">
        <v>10674.18</v>
      </c>
      <c r="R37" s="56">
        <v>10550.74</v>
      </c>
      <c r="S37" s="56">
        <v>10286</v>
      </c>
      <c r="T37" s="56">
        <v>10245.1</v>
      </c>
      <c r="U37" s="56">
        <v>10359.34</v>
      </c>
      <c r="V37" s="56">
        <v>9656.24</v>
      </c>
      <c r="W37" s="56">
        <v>10680.52</v>
      </c>
      <c r="X37" s="56">
        <v>11303.49</v>
      </c>
      <c r="Y37" s="56">
        <v>10844.94</v>
      </c>
      <c r="Z37" s="56">
        <v>9772.67</v>
      </c>
      <c r="AA37" s="56">
        <v>8415.33</v>
      </c>
      <c r="AB37" s="56">
        <v>7311.7</v>
      </c>
      <c r="AC37" s="67"/>
    </row>
    <row r="38" spans="2:29" ht="12.5" x14ac:dyDescent="0.25">
      <c r="B38" s="65" t="s">
        <v>39</v>
      </c>
      <c r="C38" s="4" t="s">
        <v>32</v>
      </c>
      <c r="D38" s="5">
        <v>2</v>
      </c>
      <c r="E38" s="56">
        <v>6018.36</v>
      </c>
      <c r="F38" s="56">
        <v>5569.95</v>
      </c>
      <c r="G38" s="56">
        <v>5401.94</v>
      </c>
      <c r="H38" s="56">
        <v>5317.67</v>
      </c>
      <c r="I38" s="56">
        <v>5418.35</v>
      </c>
      <c r="J38" s="56">
        <v>5532.35</v>
      </c>
      <c r="K38" s="56">
        <v>5695.28</v>
      </c>
      <c r="L38" s="56">
        <v>8612.69</v>
      </c>
      <c r="M38" s="56">
        <v>9196.66</v>
      </c>
      <c r="N38" s="56">
        <v>9630.3799999999992</v>
      </c>
      <c r="O38" s="56">
        <v>10243.549999999999</v>
      </c>
      <c r="P38" s="56">
        <v>10576.25</v>
      </c>
      <c r="Q38" s="56">
        <v>10740.43</v>
      </c>
      <c r="R38" s="56">
        <v>11000.94</v>
      </c>
      <c r="S38" s="56">
        <v>10866.23</v>
      </c>
      <c r="T38" s="56">
        <v>10608.98</v>
      </c>
      <c r="U38" s="56">
        <v>10839.66</v>
      </c>
      <c r="V38" s="56">
        <v>10248.719999999999</v>
      </c>
      <c r="W38" s="56">
        <v>11112.01</v>
      </c>
      <c r="X38" s="56">
        <v>11543.29</v>
      </c>
      <c r="Y38" s="56">
        <v>10937.99</v>
      </c>
      <c r="Z38" s="56">
        <v>9810.64</v>
      </c>
      <c r="AA38" s="56">
        <v>8391.32</v>
      </c>
      <c r="AB38" s="56">
        <v>7143.96</v>
      </c>
      <c r="AC38" s="68"/>
    </row>
    <row r="39" spans="2:29" ht="12.5" x14ac:dyDescent="0.25">
      <c r="B39" s="65" t="s">
        <v>40</v>
      </c>
      <c r="C39" s="4" t="s">
        <v>29</v>
      </c>
      <c r="D39" s="5">
        <v>22</v>
      </c>
      <c r="E39" s="56">
        <v>5745.24</v>
      </c>
      <c r="F39" s="56">
        <v>5423.42</v>
      </c>
      <c r="G39" s="56">
        <v>5292.81</v>
      </c>
      <c r="H39" s="56">
        <v>5227.1000000000004</v>
      </c>
      <c r="I39" s="56">
        <v>5711.76</v>
      </c>
      <c r="J39" s="56">
        <v>7130.82</v>
      </c>
      <c r="K39" s="56">
        <v>8169.83</v>
      </c>
      <c r="L39" s="56">
        <v>10706.98</v>
      </c>
      <c r="M39" s="56">
        <v>10600.79</v>
      </c>
      <c r="N39" s="56">
        <v>10757.53</v>
      </c>
      <c r="O39" s="56">
        <v>11154.05</v>
      </c>
      <c r="P39" s="56">
        <v>11706.83</v>
      </c>
      <c r="Q39" s="56">
        <v>11475.9</v>
      </c>
      <c r="R39" s="56">
        <v>11387.11</v>
      </c>
      <c r="S39" s="56">
        <v>11693.03</v>
      </c>
      <c r="T39" s="56">
        <v>11799.91</v>
      </c>
      <c r="U39" s="56">
        <v>11779.23</v>
      </c>
      <c r="V39" s="56">
        <v>10650.37</v>
      </c>
      <c r="W39" s="56">
        <v>11734.48</v>
      </c>
      <c r="X39" s="56">
        <v>12015.58</v>
      </c>
      <c r="Y39" s="56">
        <v>11407.25</v>
      </c>
      <c r="Z39" s="56">
        <v>10379.43</v>
      </c>
      <c r="AA39" s="56">
        <v>8745.33</v>
      </c>
      <c r="AB39" s="56">
        <v>7407.12</v>
      </c>
      <c r="AC39" s="66">
        <f>+SUM(E39:AB39)*D39+SUM(E40:AB40)*D40+SUM(E41:AB41)*D41+SUM(E42:AB42)*D42</f>
        <v>6703353.5200000005</v>
      </c>
    </row>
    <row r="40" spans="2:29" ht="12.5" x14ac:dyDescent="0.25">
      <c r="B40" s="65" t="s">
        <v>40</v>
      </c>
      <c r="C40" s="4" t="s">
        <v>30</v>
      </c>
      <c r="D40" s="5">
        <v>4</v>
      </c>
      <c r="E40" s="56">
        <v>5957.32</v>
      </c>
      <c r="F40" s="56">
        <v>5528.64</v>
      </c>
      <c r="G40" s="56">
        <v>5345.83</v>
      </c>
      <c r="H40" s="56">
        <v>5248.6</v>
      </c>
      <c r="I40" s="56">
        <v>5387.07</v>
      </c>
      <c r="J40" s="56">
        <v>5817.28</v>
      </c>
      <c r="K40" s="56">
        <v>6494.12</v>
      </c>
      <c r="L40" s="56">
        <v>10035.780000000001</v>
      </c>
      <c r="M40" s="56">
        <v>10584.89</v>
      </c>
      <c r="N40" s="56">
        <v>10897.55</v>
      </c>
      <c r="O40" s="56">
        <v>11278.39</v>
      </c>
      <c r="P40" s="56">
        <v>11496.06</v>
      </c>
      <c r="Q40" s="56">
        <v>11487.13</v>
      </c>
      <c r="R40" s="56">
        <v>11358.01</v>
      </c>
      <c r="S40" s="56">
        <v>11144.25</v>
      </c>
      <c r="T40" s="56">
        <v>11083.88</v>
      </c>
      <c r="U40" s="56">
        <v>11258.62</v>
      </c>
      <c r="V40" s="56">
        <v>10200.94</v>
      </c>
      <c r="W40" s="56">
        <v>11215.42</v>
      </c>
      <c r="X40" s="56">
        <v>11346.73</v>
      </c>
      <c r="Y40" s="56">
        <v>10751.42</v>
      </c>
      <c r="Z40" s="56">
        <v>9794.57</v>
      </c>
      <c r="AA40" s="56">
        <v>8745.85</v>
      </c>
      <c r="AB40" s="56">
        <v>7595.99</v>
      </c>
      <c r="AC40" s="67"/>
    </row>
    <row r="41" spans="2:29" ht="12.5" x14ac:dyDescent="0.25">
      <c r="B41" s="65" t="s">
        <v>40</v>
      </c>
      <c r="C41" s="4" t="s">
        <v>31</v>
      </c>
      <c r="D41" s="5">
        <v>4</v>
      </c>
      <c r="E41" s="56">
        <v>6129.25</v>
      </c>
      <c r="F41" s="56">
        <v>5688.61</v>
      </c>
      <c r="G41" s="56">
        <v>5370.15</v>
      </c>
      <c r="H41" s="56">
        <v>5238.5600000000004</v>
      </c>
      <c r="I41" s="56">
        <v>5097.29</v>
      </c>
      <c r="J41" s="56">
        <v>5021.0200000000004</v>
      </c>
      <c r="K41" s="56">
        <v>5269.85</v>
      </c>
      <c r="L41" s="56">
        <v>8200.01</v>
      </c>
      <c r="M41" s="56">
        <v>8781.5499999999993</v>
      </c>
      <c r="N41" s="56">
        <v>9227.16</v>
      </c>
      <c r="O41" s="56">
        <v>9677.76</v>
      </c>
      <c r="P41" s="56">
        <v>10162.049999999999</v>
      </c>
      <c r="Q41" s="56">
        <v>10512.84</v>
      </c>
      <c r="R41" s="56">
        <v>10480.69</v>
      </c>
      <c r="S41" s="56">
        <v>10241.64</v>
      </c>
      <c r="T41" s="56">
        <v>10109.42</v>
      </c>
      <c r="U41" s="56">
        <v>10150.120000000001</v>
      </c>
      <c r="V41" s="56">
        <v>9528.2099999999991</v>
      </c>
      <c r="W41" s="56">
        <v>10504.78</v>
      </c>
      <c r="X41" s="56">
        <v>10979.1</v>
      </c>
      <c r="Y41" s="56">
        <v>10377.02</v>
      </c>
      <c r="Z41" s="56">
        <v>9508.1</v>
      </c>
      <c r="AA41" s="56">
        <v>8045.21</v>
      </c>
      <c r="AB41" s="56">
        <v>6923.2</v>
      </c>
      <c r="AC41" s="67"/>
    </row>
    <row r="42" spans="2:29" ht="12.5" x14ac:dyDescent="0.25">
      <c r="B42" s="65" t="s">
        <v>40</v>
      </c>
      <c r="C42" s="4" t="s">
        <v>32</v>
      </c>
      <c r="D42" s="5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68"/>
    </row>
    <row r="43" spans="2:29" ht="12.5" x14ac:dyDescent="0.25">
      <c r="B43" s="65" t="s">
        <v>41</v>
      </c>
      <c r="C43" s="4" t="s">
        <v>29</v>
      </c>
      <c r="D43" s="5">
        <v>20</v>
      </c>
      <c r="E43" s="56">
        <v>5801.99</v>
      </c>
      <c r="F43" s="56">
        <v>5451.84</v>
      </c>
      <c r="G43" s="56">
        <v>5310.47</v>
      </c>
      <c r="H43" s="56">
        <v>5280.48</v>
      </c>
      <c r="I43" s="56">
        <v>5753.36</v>
      </c>
      <c r="J43" s="56">
        <v>7102.6</v>
      </c>
      <c r="K43" s="56">
        <v>8081.38</v>
      </c>
      <c r="L43" s="56">
        <v>10699.53</v>
      </c>
      <c r="M43" s="56">
        <v>10650.16</v>
      </c>
      <c r="N43" s="56">
        <v>10808.3</v>
      </c>
      <c r="O43" s="56">
        <v>11232.94</v>
      </c>
      <c r="P43" s="56">
        <v>11815.74</v>
      </c>
      <c r="Q43" s="56">
        <v>11610.09</v>
      </c>
      <c r="R43" s="56">
        <v>11564.4</v>
      </c>
      <c r="S43" s="56">
        <v>11817.59</v>
      </c>
      <c r="T43" s="56">
        <v>11955.95</v>
      </c>
      <c r="U43" s="56">
        <v>12006.6</v>
      </c>
      <c r="V43" s="56">
        <v>11098.03</v>
      </c>
      <c r="W43" s="56">
        <v>12231.02</v>
      </c>
      <c r="X43" s="56">
        <v>12182.66</v>
      </c>
      <c r="Y43" s="56">
        <v>11531.49</v>
      </c>
      <c r="Z43" s="56">
        <v>10550.64</v>
      </c>
      <c r="AA43" s="56">
        <v>8893.3799999999992</v>
      </c>
      <c r="AB43" s="56">
        <v>7534.21</v>
      </c>
      <c r="AC43" s="66">
        <f>+SUM(E43:AB43)*D43+SUM(E44:AB44)*D44+SUM(E45:AB45)*D45+SUM(E46:AB46)*D46</f>
        <v>6987365.379999999</v>
      </c>
    </row>
    <row r="44" spans="2:29" ht="12.5" x14ac:dyDescent="0.25">
      <c r="B44" s="65" t="s">
        <v>41</v>
      </c>
      <c r="C44" s="4" t="s">
        <v>30</v>
      </c>
      <c r="D44" s="5">
        <v>5</v>
      </c>
      <c r="E44" s="56">
        <v>6109.39</v>
      </c>
      <c r="F44" s="56">
        <v>5680.81</v>
      </c>
      <c r="G44" s="56">
        <v>5465.65</v>
      </c>
      <c r="H44" s="56">
        <v>5357.93</v>
      </c>
      <c r="I44" s="56">
        <v>5467.02</v>
      </c>
      <c r="J44" s="56">
        <v>5797.1</v>
      </c>
      <c r="K44" s="56">
        <v>6486.06</v>
      </c>
      <c r="L44" s="56">
        <v>9970</v>
      </c>
      <c r="M44" s="56">
        <v>10506.15</v>
      </c>
      <c r="N44" s="56">
        <v>10912.81</v>
      </c>
      <c r="O44" s="56">
        <v>11201.66</v>
      </c>
      <c r="P44" s="56">
        <v>11613.23</v>
      </c>
      <c r="Q44" s="56">
        <v>11751.72</v>
      </c>
      <c r="R44" s="56">
        <v>11522.98</v>
      </c>
      <c r="S44" s="56">
        <v>11485.04</v>
      </c>
      <c r="T44" s="56">
        <v>11399.17</v>
      </c>
      <c r="U44" s="56">
        <v>11490.01</v>
      </c>
      <c r="V44" s="56">
        <v>10635.63</v>
      </c>
      <c r="W44" s="56">
        <v>11850.68</v>
      </c>
      <c r="X44" s="56">
        <v>11803.91</v>
      </c>
      <c r="Y44" s="56">
        <v>11198.13</v>
      </c>
      <c r="Z44" s="56">
        <v>10298.08</v>
      </c>
      <c r="AA44" s="56">
        <v>9136.1200000000008</v>
      </c>
      <c r="AB44" s="56">
        <v>7973.79</v>
      </c>
      <c r="AC44" s="67"/>
    </row>
    <row r="45" spans="2:29" ht="12.5" x14ac:dyDescent="0.25">
      <c r="B45" s="65" t="s">
        <v>41</v>
      </c>
      <c r="C45" s="4" t="s">
        <v>31</v>
      </c>
      <c r="D45" s="5">
        <v>5</v>
      </c>
      <c r="E45" s="56">
        <v>6301.53</v>
      </c>
      <c r="F45" s="56">
        <v>5782.76</v>
      </c>
      <c r="G45" s="56">
        <v>5462.02</v>
      </c>
      <c r="H45" s="56">
        <v>5315.31</v>
      </c>
      <c r="I45" s="56">
        <v>5328.76</v>
      </c>
      <c r="J45" s="56">
        <v>5209.78</v>
      </c>
      <c r="K45" s="56">
        <v>5339.21</v>
      </c>
      <c r="L45" s="56">
        <v>8081.11</v>
      </c>
      <c r="M45" s="56">
        <v>8862.49</v>
      </c>
      <c r="N45" s="56">
        <v>9406.74</v>
      </c>
      <c r="O45" s="56">
        <v>9965.01</v>
      </c>
      <c r="P45" s="56">
        <v>10451</v>
      </c>
      <c r="Q45" s="56">
        <v>10711.54</v>
      </c>
      <c r="R45" s="56">
        <v>10641.47</v>
      </c>
      <c r="S45" s="56">
        <v>10307.459999999999</v>
      </c>
      <c r="T45" s="56">
        <v>10344.69</v>
      </c>
      <c r="U45" s="56">
        <v>10384.16</v>
      </c>
      <c r="V45" s="56">
        <v>9881.74</v>
      </c>
      <c r="W45" s="56">
        <v>11189.07</v>
      </c>
      <c r="X45" s="56">
        <v>11356.48</v>
      </c>
      <c r="Y45" s="56">
        <v>10826.28</v>
      </c>
      <c r="Z45" s="56">
        <v>9824.65</v>
      </c>
      <c r="AA45" s="56">
        <v>8477.94</v>
      </c>
      <c r="AB45" s="56">
        <v>7309.07</v>
      </c>
      <c r="AC45" s="67"/>
    </row>
    <row r="46" spans="2:29" ht="12.5" x14ac:dyDescent="0.25">
      <c r="B46" s="65" t="s">
        <v>41</v>
      </c>
      <c r="C46" s="4" t="s">
        <v>32</v>
      </c>
      <c r="D46" s="5">
        <v>1</v>
      </c>
      <c r="E46" s="56">
        <v>5858.91</v>
      </c>
      <c r="F46" s="56">
        <v>5469.87</v>
      </c>
      <c r="G46" s="56">
        <v>5245.51</v>
      </c>
      <c r="H46" s="56">
        <v>5189.22</v>
      </c>
      <c r="I46" s="56">
        <v>5305.49</v>
      </c>
      <c r="J46" s="56">
        <v>5227.08</v>
      </c>
      <c r="K46" s="56">
        <v>5359.42</v>
      </c>
      <c r="L46" s="56">
        <v>8185.37</v>
      </c>
      <c r="M46" s="56">
        <v>8816.76</v>
      </c>
      <c r="N46" s="56">
        <v>9573.65</v>
      </c>
      <c r="O46" s="56">
        <v>10154.01</v>
      </c>
      <c r="P46" s="56">
        <v>10642.05</v>
      </c>
      <c r="Q46" s="56">
        <v>11082.53</v>
      </c>
      <c r="R46" s="56">
        <v>10923.52</v>
      </c>
      <c r="S46" s="56">
        <v>10703</v>
      </c>
      <c r="T46" s="56">
        <v>10538.45</v>
      </c>
      <c r="U46" s="56">
        <v>10638.88</v>
      </c>
      <c r="V46" s="56">
        <v>10291.25</v>
      </c>
      <c r="W46" s="56">
        <v>11694.98</v>
      </c>
      <c r="X46" s="56">
        <v>11429.36</v>
      </c>
      <c r="Y46" s="56">
        <v>11001.7</v>
      </c>
      <c r="Z46" s="56">
        <v>9911.35</v>
      </c>
      <c r="AA46" s="56">
        <v>8372.27</v>
      </c>
      <c r="AB46" s="56">
        <v>7087.05</v>
      </c>
      <c r="AC46" s="68"/>
    </row>
    <row r="47" spans="2:29" ht="12.5" x14ac:dyDescent="0.25">
      <c r="B47" s="65" t="s">
        <v>42</v>
      </c>
      <c r="C47" s="4" t="s">
        <v>29</v>
      </c>
      <c r="D47" s="5">
        <v>20</v>
      </c>
      <c r="E47" s="56">
        <v>5761.45</v>
      </c>
      <c r="F47" s="56">
        <v>5417.57</v>
      </c>
      <c r="G47" s="56">
        <v>5371.56</v>
      </c>
      <c r="H47" s="56">
        <v>5326.13</v>
      </c>
      <c r="I47" s="56">
        <v>5826.63</v>
      </c>
      <c r="J47" s="56">
        <v>7194.62</v>
      </c>
      <c r="K47" s="56">
        <v>8347.64</v>
      </c>
      <c r="L47" s="56">
        <v>10971.92</v>
      </c>
      <c r="M47" s="56">
        <v>10882.47</v>
      </c>
      <c r="N47" s="56">
        <v>10979</v>
      </c>
      <c r="O47" s="56">
        <v>11504.1</v>
      </c>
      <c r="P47" s="56">
        <v>11973.44</v>
      </c>
      <c r="Q47" s="56">
        <v>11720.01</v>
      </c>
      <c r="R47" s="56">
        <v>11647.41</v>
      </c>
      <c r="S47" s="56">
        <v>11960.72</v>
      </c>
      <c r="T47" s="56">
        <v>12128.15</v>
      </c>
      <c r="U47" s="56">
        <v>12176.21</v>
      </c>
      <c r="V47" s="56">
        <v>11261.83</v>
      </c>
      <c r="W47" s="56">
        <v>12316.28</v>
      </c>
      <c r="X47" s="56">
        <v>12142.07</v>
      </c>
      <c r="Y47" s="56">
        <v>11586.35</v>
      </c>
      <c r="Z47" s="56">
        <v>10539.44</v>
      </c>
      <c r="AA47" s="56">
        <v>8862.2000000000007</v>
      </c>
      <c r="AB47" s="56">
        <v>7549.73</v>
      </c>
      <c r="AC47" s="66">
        <f>+SUM(E47:AB47)*D47+SUM(E48:AB48)*D48+SUM(E49:AB49)*D49+SUM(E50:AB50)*D50</f>
        <v>6826002.9800000004</v>
      </c>
    </row>
    <row r="48" spans="2:29" ht="12.5" x14ac:dyDescent="0.25">
      <c r="B48" s="65" t="s">
        <v>42</v>
      </c>
      <c r="C48" s="4" t="s">
        <v>30</v>
      </c>
      <c r="D48" s="5">
        <v>4</v>
      </c>
      <c r="E48" s="56">
        <v>6124.8</v>
      </c>
      <c r="F48" s="56">
        <v>5727.16</v>
      </c>
      <c r="G48" s="56">
        <v>5472.72</v>
      </c>
      <c r="H48" s="56">
        <v>5411.7</v>
      </c>
      <c r="I48" s="56">
        <v>5601.42</v>
      </c>
      <c r="J48" s="56">
        <v>5944.72</v>
      </c>
      <c r="K48" s="56">
        <v>6741.09</v>
      </c>
      <c r="L48" s="56">
        <v>10214.18</v>
      </c>
      <c r="M48" s="56">
        <v>10755.84</v>
      </c>
      <c r="N48" s="56">
        <v>11067.23</v>
      </c>
      <c r="O48" s="56">
        <v>11363.94</v>
      </c>
      <c r="P48" s="56">
        <v>11671.49</v>
      </c>
      <c r="Q48" s="56">
        <v>11679.83</v>
      </c>
      <c r="R48" s="56">
        <v>11472.04</v>
      </c>
      <c r="S48" s="56">
        <v>11329.48</v>
      </c>
      <c r="T48" s="56">
        <v>11294.94</v>
      </c>
      <c r="U48" s="56">
        <v>11399.52</v>
      </c>
      <c r="V48" s="56">
        <v>10689.95</v>
      </c>
      <c r="W48" s="56">
        <v>11865.41</v>
      </c>
      <c r="X48" s="56">
        <v>11798.87</v>
      </c>
      <c r="Y48" s="56">
        <v>11171.92</v>
      </c>
      <c r="Z48" s="56">
        <v>10215.43</v>
      </c>
      <c r="AA48" s="56">
        <v>9120.33</v>
      </c>
      <c r="AB48" s="56">
        <v>7935.16</v>
      </c>
      <c r="AC48" s="67"/>
    </row>
    <row r="49" spans="2:29" ht="12.5" x14ac:dyDescent="0.25">
      <c r="B49" s="65" t="s">
        <v>42</v>
      </c>
      <c r="C49" s="4" t="s">
        <v>31</v>
      </c>
      <c r="D49" s="5">
        <v>4</v>
      </c>
      <c r="E49" s="56">
        <v>6378.77</v>
      </c>
      <c r="F49" s="56">
        <v>5967.69</v>
      </c>
      <c r="G49" s="56">
        <v>5637.94</v>
      </c>
      <c r="H49" s="56">
        <v>5489.7</v>
      </c>
      <c r="I49" s="56">
        <v>5389.26</v>
      </c>
      <c r="J49" s="56">
        <v>5389.42</v>
      </c>
      <c r="K49" s="56">
        <v>5417.68</v>
      </c>
      <c r="L49" s="56">
        <v>8367.7199999999993</v>
      </c>
      <c r="M49" s="56">
        <v>9226.08</v>
      </c>
      <c r="N49" s="56">
        <v>9713.8799999999992</v>
      </c>
      <c r="O49" s="56">
        <v>10010.43</v>
      </c>
      <c r="P49" s="56">
        <v>10418.040000000001</v>
      </c>
      <c r="Q49" s="56">
        <v>10725.81</v>
      </c>
      <c r="R49" s="56">
        <v>10661.15</v>
      </c>
      <c r="S49" s="56">
        <v>10528.32</v>
      </c>
      <c r="T49" s="56">
        <v>10453.040000000001</v>
      </c>
      <c r="U49" s="56">
        <v>10649.94</v>
      </c>
      <c r="V49" s="56">
        <v>9909.81</v>
      </c>
      <c r="W49" s="56">
        <v>11135.45</v>
      </c>
      <c r="X49" s="56">
        <v>11192.8</v>
      </c>
      <c r="Y49" s="56">
        <v>10676.18</v>
      </c>
      <c r="Z49" s="56">
        <v>9780.67</v>
      </c>
      <c r="AA49" s="56">
        <v>8390.0300000000007</v>
      </c>
      <c r="AB49" s="56">
        <v>7279.4</v>
      </c>
      <c r="AC49" s="67"/>
    </row>
    <row r="50" spans="2:29" ht="12.5" x14ac:dyDescent="0.25">
      <c r="B50" s="65" t="s">
        <v>42</v>
      </c>
      <c r="C50" s="4" t="s">
        <v>32</v>
      </c>
      <c r="D50" s="5">
        <v>2</v>
      </c>
      <c r="E50" s="56">
        <v>5923.28</v>
      </c>
      <c r="F50" s="56">
        <v>5524.68</v>
      </c>
      <c r="G50" s="56">
        <v>5354.19</v>
      </c>
      <c r="H50" s="56">
        <v>5187.54</v>
      </c>
      <c r="I50" s="56">
        <v>5209.93</v>
      </c>
      <c r="J50" s="56">
        <v>5308.83</v>
      </c>
      <c r="K50" s="56">
        <v>5401.09</v>
      </c>
      <c r="L50" s="56">
        <v>8315.39</v>
      </c>
      <c r="M50" s="56">
        <v>8916.61</v>
      </c>
      <c r="N50" s="56">
        <v>9450.8700000000008</v>
      </c>
      <c r="O50" s="56">
        <v>10127.719999999999</v>
      </c>
      <c r="P50" s="56">
        <v>10707.8</v>
      </c>
      <c r="Q50" s="56">
        <v>10943.12</v>
      </c>
      <c r="R50" s="56">
        <v>10866.85</v>
      </c>
      <c r="S50" s="56">
        <v>10761.27</v>
      </c>
      <c r="T50" s="56">
        <v>10764.71</v>
      </c>
      <c r="U50" s="56">
        <v>10997.53</v>
      </c>
      <c r="V50" s="56">
        <v>10345.73</v>
      </c>
      <c r="W50" s="56">
        <v>11508.87</v>
      </c>
      <c r="X50" s="56">
        <v>11532.6</v>
      </c>
      <c r="Y50" s="56">
        <v>10858.31</v>
      </c>
      <c r="Z50" s="56">
        <v>9647.52</v>
      </c>
      <c r="AA50" s="56">
        <v>8085.6</v>
      </c>
      <c r="AB50" s="56">
        <v>7075.39</v>
      </c>
      <c r="AC50" s="68"/>
    </row>
    <row r="51" spans="2:29" ht="12.5" x14ac:dyDescent="0.25">
      <c r="B51" s="65" t="s">
        <v>43</v>
      </c>
      <c r="C51" s="4" t="s">
        <v>29</v>
      </c>
      <c r="D51" s="5">
        <v>22</v>
      </c>
      <c r="E51" s="56">
        <v>6131.54</v>
      </c>
      <c r="F51" s="56">
        <v>5684.37</v>
      </c>
      <c r="G51" s="56">
        <v>5481.51</v>
      </c>
      <c r="H51" s="56">
        <v>5407.78</v>
      </c>
      <c r="I51" s="56">
        <v>5713.54</v>
      </c>
      <c r="J51" s="56">
        <v>6436.52</v>
      </c>
      <c r="K51" s="56">
        <v>7170.76</v>
      </c>
      <c r="L51" s="56">
        <v>10389.620000000001</v>
      </c>
      <c r="M51" s="56">
        <v>10765.89</v>
      </c>
      <c r="N51" s="56">
        <v>11036.16</v>
      </c>
      <c r="O51" s="56">
        <v>11451.3</v>
      </c>
      <c r="P51" s="56">
        <v>12041.74</v>
      </c>
      <c r="Q51" s="56">
        <v>11878.65</v>
      </c>
      <c r="R51" s="56">
        <v>11545.09</v>
      </c>
      <c r="S51" s="56">
        <v>11934.52</v>
      </c>
      <c r="T51" s="56">
        <v>12008.31</v>
      </c>
      <c r="U51" s="56">
        <v>12016.53</v>
      </c>
      <c r="V51" s="56">
        <v>10977.44</v>
      </c>
      <c r="W51" s="56">
        <v>12310.08</v>
      </c>
      <c r="X51" s="56">
        <v>12332.58</v>
      </c>
      <c r="Y51" s="56">
        <v>11698.37</v>
      </c>
      <c r="Z51" s="56">
        <v>10722.14</v>
      </c>
      <c r="AA51" s="56">
        <v>9220.75</v>
      </c>
      <c r="AB51" s="56">
        <v>7974.69</v>
      </c>
      <c r="AC51" s="66">
        <f>+SUM(E51:AB51)*D51+SUM(E52:AB52)*D52+SUM(E53:AB53)*D53+SUM(E54:AB54)*D54</f>
        <v>7047978.5299999975</v>
      </c>
    </row>
    <row r="52" spans="2:29" ht="12.5" x14ac:dyDescent="0.25">
      <c r="B52" s="65" t="s">
        <v>43</v>
      </c>
      <c r="C52" s="4" t="s">
        <v>30</v>
      </c>
      <c r="D52" s="5">
        <v>3</v>
      </c>
      <c r="E52" s="56">
        <v>6322.25</v>
      </c>
      <c r="F52" s="56">
        <v>5878.48</v>
      </c>
      <c r="G52" s="56">
        <v>5645.21</v>
      </c>
      <c r="H52" s="56">
        <v>5458.44</v>
      </c>
      <c r="I52" s="56">
        <v>5692.17</v>
      </c>
      <c r="J52" s="56">
        <v>6030.83</v>
      </c>
      <c r="K52" s="56">
        <v>6597.29</v>
      </c>
      <c r="L52" s="56">
        <v>10010.83</v>
      </c>
      <c r="M52" s="56">
        <v>10623.28</v>
      </c>
      <c r="N52" s="56">
        <v>10990.15</v>
      </c>
      <c r="O52" s="56">
        <v>11292.93</v>
      </c>
      <c r="P52" s="56">
        <v>11645.43</v>
      </c>
      <c r="Q52" s="56">
        <v>11652.09</v>
      </c>
      <c r="R52" s="56">
        <v>11475.97</v>
      </c>
      <c r="S52" s="56">
        <v>11457.85</v>
      </c>
      <c r="T52" s="56">
        <v>11325.16</v>
      </c>
      <c r="U52" s="56">
        <v>11421.74</v>
      </c>
      <c r="V52" s="56">
        <v>10388.700000000001</v>
      </c>
      <c r="W52" s="56">
        <v>11935.37</v>
      </c>
      <c r="X52" s="56">
        <v>12039.44</v>
      </c>
      <c r="Y52" s="56">
        <v>11516.55</v>
      </c>
      <c r="Z52" s="56">
        <v>10683.3</v>
      </c>
      <c r="AA52" s="56">
        <v>9475.82</v>
      </c>
      <c r="AB52" s="56">
        <v>8350.2099999999991</v>
      </c>
      <c r="AC52" s="67"/>
    </row>
    <row r="53" spans="2:29" ht="12.5" x14ac:dyDescent="0.25">
      <c r="B53" s="65" t="s">
        <v>43</v>
      </c>
      <c r="C53" s="4" t="s">
        <v>31</v>
      </c>
      <c r="D53" s="5">
        <v>4</v>
      </c>
      <c r="E53" s="56">
        <v>6665.22</v>
      </c>
      <c r="F53" s="56">
        <v>6116.92</v>
      </c>
      <c r="G53" s="56">
        <v>5753.5</v>
      </c>
      <c r="H53" s="56">
        <v>5584.69</v>
      </c>
      <c r="I53" s="56">
        <v>5472.49</v>
      </c>
      <c r="J53" s="56">
        <v>5514.18</v>
      </c>
      <c r="K53" s="56">
        <v>5567.79</v>
      </c>
      <c r="L53" s="56">
        <v>8751.44</v>
      </c>
      <c r="M53" s="56">
        <v>9617.19</v>
      </c>
      <c r="N53" s="56">
        <v>9998.74</v>
      </c>
      <c r="O53" s="56">
        <v>10426.51</v>
      </c>
      <c r="P53" s="56">
        <v>10892.25</v>
      </c>
      <c r="Q53" s="56">
        <v>11206.38</v>
      </c>
      <c r="R53" s="56">
        <v>10911.67</v>
      </c>
      <c r="S53" s="56">
        <v>10454.89</v>
      </c>
      <c r="T53" s="56">
        <v>10631.37</v>
      </c>
      <c r="U53" s="56">
        <v>10646.39</v>
      </c>
      <c r="V53" s="56">
        <v>9967.98</v>
      </c>
      <c r="W53" s="56">
        <v>11166.19</v>
      </c>
      <c r="X53" s="56">
        <v>11264.05</v>
      </c>
      <c r="Y53" s="56">
        <v>10865.4</v>
      </c>
      <c r="Z53" s="56">
        <v>10224.44</v>
      </c>
      <c r="AA53" s="56">
        <v>8936.84</v>
      </c>
      <c r="AB53" s="56">
        <v>7893.09</v>
      </c>
      <c r="AC53" s="67"/>
    </row>
    <row r="54" spans="2:29" ht="12.5" x14ac:dyDescent="0.25">
      <c r="B54" s="65" t="s">
        <v>43</v>
      </c>
      <c r="C54" s="4" t="s">
        <v>32</v>
      </c>
      <c r="D54" s="5">
        <v>2</v>
      </c>
      <c r="E54" s="56">
        <v>6577.75</v>
      </c>
      <c r="F54" s="56">
        <v>6171.68</v>
      </c>
      <c r="G54" s="56">
        <v>5799.34</v>
      </c>
      <c r="H54" s="56">
        <v>5577.77</v>
      </c>
      <c r="I54" s="56">
        <v>5326.34</v>
      </c>
      <c r="J54" s="56">
        <v>5179.93</v>
      </c>
      <c r="K54" s="56">
        <v>5013.6000000000004</v>
      </c>
      <c r="L54" s="56">
        <v>7448.19</v>
      </c>
      <c r="M54" s="56">
        <v>7856.95</v>
      </c>
      <c r="N54" s="56">
        <v>8316.6</v>
      </c>
      <c r="O54" s="56">
        <v>8981.9599999999991</v>
      </c>
      <c r="P54" s="56">
        <v>9578.34</v>
      </c>
      <c r="Q54" s="56">
        <v>10054.459999999999</v>
      </c>
      <c r="R54" s="56">
        <v>10157.959999999999</v>
      </c>
      <c r="S54" s="56">
        <v>9872.9699999999993</v>
      </c>
      <c r="T54" s="56">
        <v>9930.2000000000007</v>
      </c>
      <c r="U54" s="56">
        <v>10015.35</v>
      </c>
      <c r="V54" s="56">
        <v>9459.25</v>
      </c>
      <c r="W54" s="56">
        <v>10518.5</v>
      </c>
      <c r="X54" s="56">
        <v>10742.46</v>
      </c>
      <c r="Y54" s="56">
        <v>10198.280000000001</v>
      </c>
      <c r="Z54" s="56">
        <v>9443.9699999999993</v>
      </c>
      <c r="AA54" s="56">
        <v>8178.98</v>
      </c>
      <c r="AB54" s="56">
        <v>7036.3</v>
      </c>
      <c r="AC54" s="68"/>
    </row>
    <row r="55" spans="2:29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69" t="s">
        <v>46</v>
      </c>
      <c r="AA55" s="69"/>
      <c r="AB55" s="69"/>
      <c r="AC55" s="14">
        <f>SUM(AC7:AC54)</f>
        <v>81687205.25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684B-C148-4BE8-9A78-C63500730778}">
  <dimension ref="B2:AE55"/>
  <sheetViews>
    <sheetView showGridLines="0" zoomScale="50" zoomScaleNormal="50" workbookViewId="0">
      <selection activeCell="E8" sqref="E8"/>
    </sheetView>
  </sheetViews>
  <sheetFormatPr baseColWidth="10" defaultColWidth="11.453125" defaultRowHeight="11.5" x14ac:dyDescent="0.25"/>
  <cols>
    <col min="1" max="1" width="3.81640625" style="6" customWidth="1"/>
    <col min="2" max="2" width="5.54296875" style="6" bestFit="1" customWidth="1"/>
    <col min="3" max="3" width="9.7265625" style="6" bestFit="1" customWidth="1"/>
    <col min="4" max="4" width="5.7265625" style="6" bestFit="1" customWidth="1"/>
    <col min="5" max="11" width="9.36328125" style="6" bestFit="1" customWidth="1"/>
    <col min="12" max="26" width="10.1796875" style="6" bestFit="1" customWidth="1"/>
    <col min="27" max="28" width="9.36328125" style="6" bestFit="1" customWidth="1"/>
    <col min="29" max="29" width="16.7265625" style="52" bestFit="1" customWidth="1"/>
    <col min="30" max="30" width="3" style="6" customWidth="1"/>
    <col min="31" max="31" width="15.54296875" style="6" bestFit="1" customWidth="1"/>
    <col min="32" max="150" width="11.453125" style="6"/>
    <col min="151" max="151" width="7" style="6" customWidth="1"/>
    <col min="152" max="152" width="10.7265625" style="6" customWidth="1"/>
    <col min="153" max="153" width="9.26953125" style="6" customWidth="1"/>
    <col min="154" max="177" width="7.26953125" style="6" customWidth="1"/>
    <col min="178" max="178" width="11.26953125" style="6" bestFit="1" customWidth="1"/>
    <col min="179" max="406" width="11.453125" style="6"/>
    <col min="407" max="407" width="7" style="6" customWidth="1"/>
    <col min="408" max="408" width="10.7265625" style="6" customWidth="1"/>
    <col min="409" max="409" width="9.26953125" style="6" customWidth="1"/>
    <col min="410" max="433" width="7.26953125" style="6" customWidth="1"/>
    <col min="434" max="434" width="11.26953125" style="6" bestFit="1" customWidth="1"/>
    <col min="435" max="662" width="11.453125" style="6"/>
    <col min="663" max="663" width="7" style="6" customWidth="1"/>
    <col min="664" max="664" width="10.7265625" style="6" customWidth="1"/>
    <col min="665" max="665" width="9.26953125" style="6" customWidth="1"/>
    <col min="666" max="689" width="7.26953125" style="6" customWidth="1"/>
    <col min="690" max="690" width="11.26953125" style="6" bestFit="1" customWidth="1"/>
    <col min="691" max="918" width="11.453125" style="6"/>
    <col min="919" max="919" width="7" style="6" customWidth="1"/>
    <col min="920" max="920" width="10.7265625" style="6" customWidth="1"/>
    <col min="921" max="921" width="9.26953125" style="6" customWidth="1"/>
    <col min="922" max="945" width="7.26953125" style="6" customWidth="1"/>
    <col min="946" max="946" width="11.26953125" style="6" bestFit="1" customWidth="1"/>
    <col min="947" max="1174" width="11.453125" style="6"/>
    <col min="1175" max="1175" width="7" style="6" customWidth="1"/>
    <col min="1176" max="1176" width="10.7265625" style="6" customWidth="1"/>
    <col min="1177" max="1177" width="9.26953125" style="6" customWidth="1"/>
    <col min="1178" max="1201" width="7.26953125" style="6" customWidth="1"/>
    <col min="1202" max="1202" width="11.26953125" style="6" bestFit="1" customWidth="1"/>
    <col min="1203" max="1430" width="11.453125" style="6"/>
    <col min="1431" max="1431" width="7" style="6" customWidth="1"/>
    <col min="1432" max="1432" width="10.7265625" style="6" customWidth="1"/>
    <col min="1433" max="1433" width="9.26953125" style="6" customWidth="1"/>
    <col min="1434" max="1457" width="7.26953125" style="6" customWidth="1"/>
    <col min="1458" max="1458" width="11.26953125" style="6" bestFit="1" customWidth="1"/>
    <col min="1459" max="1686" width="11.453125" style="6"/>
    <col min="1687" max="1687" width="7" style="6" customWidth="1"/>
    <col min="1688" max="1688" width="10.7265625" style="6" customWidth="1"/>
    <col min="1689" max="1689" width="9.26953125" style="6" customWidth="1"/>
    <col min="1690" max="1713" width="7.26953125" style="6" customWidth="1"/>
    <col min="1714" max="1714" width="11.26953125" style="6" bestFit="1" customWidth="1"/>
    <col min="1715" max="1942" width="11.453125" style="6"/>
    <col min="1943" max="1943" width="7" style="6" customWidth="1"/>
    <col min="1944" max="1944" width="10.7265625" style="6" customWidth="1"/>
    <col min="1945" max="1945" width="9.26953125" style="6" customWidth="1"/>
    <col min="1946" max="1969" width="7.26953125" style="6" customWidth="1"/>
    <col min="1970" max="1970" width="11.26953125" style="6" bestFit="1" customWidth="1"/>
    <col min="1971" max="2198" width="11.453125" style="6"/>
    <col min="2199" max="2199" width="7" style="6" customWidth="1"/>
    <col min="2200" max="2200" width="10.7265625" style="6" customWidth="1"/>
    <col min="2201" max="2201" width="9.26953125" style="6" customWidth="1"/>
    <col min="2202" max="2225" width="7.26953125" style="6" customWidth="1"/>
    <col min="2226" max="2226" width="11.26953125" style="6" bestFit="1" customWidth="1"/>
    <col min="2227" max="2454" width="11.453125" style="6"/>
    <col min="2455" max="2455" width="7" style="6" customWidth="1"/>
    <col min="2456" max="2456" width="10.7265625" style="6" customWidth="1"/>
    <col min="2457" max="2457" width="9.26953125" style="6" customWidth="1"/>
    <col min="2458" max="2481" width="7.26953125" style="6" customWidth="1"/>
    <col min="2482" max="2482" width="11.26953125" style="6" bestFit="1" customWidth="1"/>
    <col min="2483" max="2710" width="11.453125" style="6"/>
    <col min="2711" max="2711" width="7" style="6" customWidth="1"/>
    <col min="2712" max="2712" width="10.7265625" style="6" customWidth="1"/>
    <col min="2713" max="2713" width="9.26953125" style="6" customWidth="1"/>
    <col min="2714" max="2737" width="7.26953125" style="6" customWidth="1"/>
    <col min="2738" max="2738" width="11.26953125" style="6" bestFit="1" customWidth="1"/>
    <col min="2739" max="2966" width="11.453125" style="6"/>
    <col min="2967" max="2967" width="7" style="6" customWidth="1"/>
    <col min="2968" max="2968" width="10.7265625" style="6" customWidth="1"/>
    <col min="2969" max="2969" width="9.26953125" style="6" customWidth="1"/>
    <col min="2970" max="2993" width="7.26953125" style="6" customWidth="1"/>
    <col min="2994" max="2994" width="11.26953125" style="6" bestFit="1" customWidth="1"/>
    <col min="2995" max="3222" width="11.453125" style="6"/>
    <col min="3223" max="3223" width="7" style="6" customWidth="1"/>
    <col min="3224" max="3224" width="10.7265625" style="6" customWidth="1"/>
    <col min="3225" max="3225" width="9.26953125" style="6" customWidth="1"/>
    <col min="3226" max="3249" width="7.26953125" style="6" customWidth="1"/>
    <col min="3250" max="3250" width="11.26953125" style="6" bestFit="1" customWidth="1"/>
    <col min="3251" max="3478" width="11.453125" style="6"/>
    <col min="3479" max="3479" width="7" style="6" customWidth="1"/>
    <col min="3480" max="3480" width="10.7265625" style="6" customWidth="1"/>
    <col min="3481" max="3481" width="9.26953125" style="6" customWidth="1"/>
    <col min="3482" max="3505" width="7.26953125" style="6" customWidth="1"/>
    <col min="3506" max="3506" width="11.26953125" style="6" bestFit="1" customWidth="1"/>
    <col min="3507" max="3734" width="11.453125" style="6"/>
    <col min="3735" max="3735" width="7" style="6" customWidth="1"/>
    <col min="3736" max="3736" width="10.7265625" style="6" customWidth="1"/>
    <col min="3737" max="3737" width="9.26953125" style="6" customWidth="1"/>
    <col min="3738" max="3761" width="7.26953125" style="6" customWidth="1"/>
    <col min="3762" max="3762" width="11.26953125" style="6" bestFit="1" customWidth="1"/>
    <col min="3763" max="3990" width="11.453125" style="6"/>
    <col min="3991" max="3991" width="7" style="6" customWidth="1"/>
    <col min="3992" max="3992" width="10.7265625" style="6" customWidth="1"/>
    <col min="3993" max="3993" width="9.26953125" style="6" customWidth="1"/>
    <col min="3994" max="4017" width="7.26953125" style="6" customWidth="1"/>
    <col min="4018" max="4018" width="11.26953125" style="6" bestFit="1" customWidth="1"/>
    <col min="4019" max="4246" width="11.453125" style="6"/>
    <col min="4247" max="4247" width="7" style="6" customWidth="1"/>
    <col min="4248" max="4248" width="10.7265625" style="6" customWidth="1"/>
    <col min="4249" max="4249" width="9.26953125" style="6" customWidth="1"/>
    <col min="4250" max="4273" width="7.26953125" style="6" customWidth="1"/>
    <col min="4274" max="4274" width="11.26953125" style="6" bestFit="1" customWidth="1"/>
    <col min="4275" max="4502" width="11.453125" style="6"/>
    <col min="4503" max="4503" width="7" style="6" customWidth="1"/>
    <col min="4504" max="4504" width="10.7265625" style="6" customWidth="1"/>
    <col min="4505" max="4505" width="9.26953125" style="6" customWidth="1"/>
    <col min="4506" max="4529" width="7.26953125" style="6" customWidth="1"/>
    <col min="4530" max="4530" width="11.26953125" style="6" bestFit="1" customWidth="1"/>
    <col min="4531" max="4758" width="11.453125" style="6"/>
    <col min="4759" max="4759" width="7" style="6" customWidth="1"/>
    <col min="4760" max="4760" width="10.7265625" style="6" customWidth="1"/>
    <col min="4761" max="4761" width="9.26953125" style="6" customWidth="1"/>
    <col min="4762" max="4785" width="7.26953125" style="6" customWidth="1"/>
    <col min="4786" max="4786" width="11.26953125" style="6" bestFit="1" customWidth="1"/>
    <col min="4787" max="5014" width="11.453125" style="6"/>
    <col min="5015" max="5015" width="7" style="6" customWidth="1"/>
    <col min="5016" max="5016" width="10.7265625" style="6" customWidth="1"/>
    <col min="5017" max="5017" width="9.26953125" style="6" customWidth="1"/>
    <col min="5018" max="5041" width="7.26953125" style="6" customWidth="1"/>
    <col min="5042" max="5042" width="11.26953125" style="6" bestFit="1" customWidth="1"/>
    <col min="5043" max="5270" width="11.453125" style="6"/>
    <col min="5271" max="5271" width="7" style="6" customWidth="1"/>
    <col min="5272" max="5272" width="10.7265625" style="6" customWidth="1"/>
    <col min="5273" max="5273" width="9.26953125" style="6" customWidth="1"/>
    <col min="5274" max="5297" width="7.26953125" style="6" customWidth="1"/>
    <col min="5298" max="5298" width="11.26953125" style="6" bestFit="1" customWidth="1"/>
    <col min="5299" max="5526" width="11.453125" style="6"/>
    <col min="5527" max="5527" width="7" style="6" customWidth="1"/>
    <col min="5528" max="5528" width="10.7265625" style="6" customWidth="1"/>
    <col min="5529" max="5529" width="9.26953125" style="6" customWidth="1"/>
    <col min="5530" max="5553" width="7.26953125" style="6" customWidth="1"/>
    <col min="5554" max="5554" width="11.26953125" style="6" bestFit="1" customWidth="1"/>
    <col min="5555" max="5782" width="11.453125" style="6"/>
    <col min="5783" max="5783" width="7" style="6" customWidth="1"/>
    <col min="5784" max="5784" width="10.7265625" style="6" customWidth="1"/>
    <col min="5785" max="5785" width="9.26953125" style="6" customWidth="1"/>
    <col min="5786" max="5809" width="7.26953125" style="6" customWidth="1"/>
    <col min="5810" max="5810" width="11.26953125" style="6" bestFit="1" customWidth="1"/>
    <col min="5811" max="6038" width="11.453125" style="6"/>
    <col min="6039" max="6039" width="7" style="6" customWidth="1"/>
    <col min="6040" max="6040" width="10.7265625" style="6" customWidth="1"/>
    <col min="6041" max="6041" width="9.26953125" style="6" customWidth="1"/>
    <col min="6042" max="6065" width="7.26953125" style="6" customWidth="1"/>
    <col min="6066" max="6066" width="11.26953125" style="6" bestFit="1" customWidth="1"/>
    <col min="6067" max="6294" width="11.453125" style="6"/>
    <col min="6295" max="6295" width="7" style="6" customWidth="1"/>
    <col min="6296" max="6296" width="10.7265625" style="6" customWidth="1"/>
    <col min="6297" max="6297" width="9.26953125" style="6" customWidth="1"/>
    <col min="6298" max="6321" width="7.26953125" style="6" customWidth="1"/>
    <col min="6322" max="6322" width="11.26953125" style="6" bestFit="1" customWidth="1"/>
    <col min="6323" max="6550" width="11.453125" style="6"/>
    <col min="6551" max="6551" width="7" style="6" customWidth="1"/>
    <col min="6552" max="6552" width="10.7265625" style="6" customWidth="1"/>
    <col min="6553" max="6553" width="9.26953125" style="6" customWidth="1"/>
    <col min="6554" max="6577" width="7.26953125" style="6" customWidth="1"/>
    <col min="6578" max="6578" width="11.26953125" style="6" bestFit="1" customWidth="1"/>
    <col min="6579" max="6806" width="11.453125" style="6"/>
    <col min="6807" max="6807" width="7" style="6" customWidth="1"/>
    <col min="6808" max="6808" width="10.7265625" style="6" customWidth="1"/>
    <col min="6809" max="6809" width="9.26953125" style="6" customWidth="1"/>
    <col min="6810" max="6833" width="7.26953125" style="6" customWidth="1"/>
    <col min="6834" max="6834" width="11.26953125" style="6" bestFit="1" customWidth="1"/>
    <col min="6835" max="7062" width="11.453125" style="6"/>
    <col min="7063" max="7063" width="7" style="6" customWidth="1"/>
    <col min="7064" max="7064" width="10.7265625" style="6" customWidth="1"/>
    <col min="7065" max="7065" width="9.26953125" style="6" customWidth="1"/>
    <col min="7066" max="7089" width="7.26953125" style="6" customWidth="1"/>
    <col min="7090" max="7090" width="11.26953125" style="6" bestFit="1" customWidth="1"/>
    <col min="7091" max="7318" width="11.453125" style="6"/>
    <col min="7319" max="7319" width="7" style="6" customWidth="1"/>
    <col min="7320" max="7320" width="10.7265625" style="6" customWidth="1"/>
    <col min="7321" max="7321" width="9.26953125" style="6" customWidth="1"/>
    <col min="7322" max="7345" width="7.26953125" style="6" customWidth="1"/>
    <col min="7346" max="7346" width="11.26953125" style="6" bestFit="1" customWidth="1"/>
    <col min="7347" max="7574" width="11.453125" style="6"/>
    <col min="7575" max="7575" width="7" style="6" customWidth="1"/>
    <col min="7576" max="7576" width="10.7265625" style="6" customWidth="1"/>
    <col min="7577" max="7577" width="9.26953125" style="6" customWidth="1"/>
    <col min="7578" max="7601" width="7.26953125" style="6" customWidth="1"/>
    <col min="7602" max="7602" width="11.26953125" style="6" bestFit="1" customWidth="1"/>
    <col min="7603" max="7830" width="11.453125" style="6"/>
    <col min="7831" max="7831" width="7" style="6" customWidth="1"/>
    <col min="7832" max="7832" width="10.7265625" style="6" customWidth="1"/>
    <col min="7833" max="7833" width="9.26953125" style="6" customWidth="1"/>
    <col min="7834" max="7857" width="7.26953125" style="6" customWidth="1"/>
    <col min="7858" max="7858" width="11.26953125" style="6" bestFit="1" customWidth="1"/>
    <col min="7859" max="8086" width="11.453125" style="6"/>
    <col min="8087" max="8087" width="7" style="6" customWidth="1"/>
    <col min="8088" max="8088" width="10.7265625" style="6" customWidth="1"/>
    <col min="8089" max="8089" width="9.26953125" style="6" customWidth="1"/>
    <col min="8090" max="8113" width="7.26953125" style="6" customWidth="1"/>
    <col min="8114" max="8114" width="11.26953125" style="6" bestFit="1" customWidth="1"/>
    <col min="8115" max="8342" width="11.453125" style="6"/>
    <col min="8343" max="8343" width="7" style="6" customWidth="1"/>
    <col min="8344" max="8344" width="10.7265625" style="6" customWidth="1"/>
    <col min="8345" max="8345" width="9.26953125" style="6" customWidth="1"/>
    <col min="8346" max="8369" width="7.26953125" style="6" customWidth="1"/>
    <col min="8370" max="8370" width="11.26953125" style="6" bestFit="1" customWidth="1"/>
    <col min="8371" max="8598" width="11.453125" style="6"/>
    <col min="8599" max="8599" width="7" style="6" customWidth="1"/>
    <col min="8600" max="8600" width="10.7265625" style="6" customWidth="1"/>
    <col min="8601" max="8601" width="9.26953125" style="6" customWidth="1"/>
    <col min="8602" max="8625" width="7.26953125" style="6" customWidth="1"/>
    <col min="8626" max="8626" width="11.26953125" style="6" bestFit="1" customWidth="1"/>
    <col min="8627" max="8854" width="11.453125" style="6"/>
    <col min="8855" max="8855" width="7" style="6" customWidth="1"/>
    <col min="8856" max="8856" width="10.7265625" style="6" customWidth="1"/>
    <col min="8857" max="8857" width="9.26953125" style="6" customWidth="1"/>
    <col min="8858" max="8881" width="7.26953125" style="6" customWidth="1"/>
    <col min="8882" max="8882" width="11.26953125" style="6" bestFit="1" customWidth="1"/>
    <col min="8883" max="9110" width="11.453125" style="6"/>
    <col min="9111" max="9111" width="7" style="6" customWidth="1"/>
    <col min="9112" max="9112" width="10.7265625" style="6" customWidth="1"/>
    <col min="9113" max="9113" width="9.26953125" style="6" customWidth="1"/>
    <col min="9114" max="9137" width="7.26953125" style="6" customWidth="1"/>
    <col min="9138" max="9138" width="11.26953125" style="6" bestFit="1" customWidth="1"/>
    <col min="9139" max="9366" width="11.453125" style="6"/>
    <col min="9367" max="9367" width="7" style="6" customWidth="1"/>
    <col min="9368" max="9368" width="10.7265625" style="6" customWidth="1"/>
    <col min="9369" max="9369" width="9.26953125" style="6" customWidth="1"/>
    <col min="9370" max="9393" width="7.26953125" style="6" customWidth="1"/>
    <col min="9394" max="9394" width="11.26953125" style="6" bestFit="1" customWidth="1"/>
    <col min="9395" max="9622" width="11.453125" style="6"/>
    <col min="9623" max="9623" width="7" style="6" customWidth="1"/>
    <col min="9624" max="9624" width="10.7265625" style="6" customWidth="1"/>
    <col min="9625" max="9625" width="9.26953125" style="6" customWidth="1"/>
    <col min="9626" max="9649" width="7.26953125" style="6" customWidth="1"/>
    <col min="9650" max="9650" width="11.26953125" style="6" bestFit="1" customWidth="1"/>
    <col min="9651" max="9878" width="11.453125" style="6"/>
    <col min="9879" max="9879" width="7" style="6" customWidth="1"/>
    <col min="9880" max="9880" width="10.7265625" style="6" customWidth="1"/>
    <col min="9881" max="9881" width="9.26953125" style="6" customWidth="1"/>
    <col min="9882" max="9905" width="7.26953125" style="6" customWidth="1"/>
    <col min="9906" max="9906" width="11.26953125" style="6" bestFit="1" customWidth="1"/>
    <col min="9907" max="10134" width="11.453125" style="6"/>
    <col min="10135" max="10135" width="7" style="6" customWidth="1"/>
    <col min="10136" max="10136" width="10.7265625" style="6" customWidth="1"/>
    <col min="10137" max="10137" width="9.26953125" style="6" customWidth="1"/>
    <col min="10138" max="10161" width="7.26953125" style="6" customWidth="1"/>
    <col min="10162" max="10162" width="11.26953125" style="6" bestFit="1" customWidth="1"/>
    <col min="10163" max="10390" width="11.453125" style="6"/>
    <col min="10391" max="10391" width="7" style="6" customWidth="1"/>
    <col min="10392" max="10392" width="10.7265625" style="6" customWidth="1"/>
    <col min="10393" max="10393" width="9.26953125" style="6" customWidth="1"/>
    <col min="10394" max="10417" width="7.26953125" style="6" customWidth="1"/>
    <col min="10418" max="10418" width="11.26953125" style="6" bestFit="1" customWidth="1"/>
    <col min="10419" max="10646" width="11.453125" style="6"/>
    <col min="10647" max="10647" width="7" style="6" customWidth="1"/>
    <col min="10648" max="10648" width="10.7265625" style="6" customWidth="1"/>
    <col min="10649" max="10649" width="9.26953125" style="6" customWidth="1"/>
    <col min="10650" max="10673" width="7.26953125" style="6" customWidth="1"/>
    <col min="10674" max="10674" width="11.26953125" style="6" bestFit="1" customWidth="1"/>
    <col min="10675" max="10902" width="11.453125" style="6"/>
    <col min="10903" max="10903" width="7" style="6" customWidth="1"/>
    <col min="10904" max="10904" width="10.7265625" style="6" customWidth="1"/>
    <col min="10905" max="10905" width="9.26953125" style="6" customWidth="1"/>
    <col min="10906" max="10929" width="7.26953125" style="6" customWidth="1"/>
    <col min="10930" max="10930" width="11.26953125" style="6" bestFit="1" customWidth="1"/>
    <col min="10931" max="11158" width="11.453125" style="6"/>
    <col min="11159" max="11159" width="7" style="6" customWidth="1"/>
    <col min="11160" max="11160" width="10.7265625" style="6" customWidth="1"/>
    <col min="11161" max="11161" width="9.26953125" style="6" customWidth="1"/>
    <col min="11162" max="11185" width="7.26953125" style="6" customWidth="1"/>
    <col min="11186" max="11186" width="11.26953125" style="6" bestFit="1" customWidth="1"/>
    <col min="11187" max="11414" width="11.453125" style="6"/>
    <col min="11415" max="11415" width="7" style="6" customWidth="1"/>
    <col min="11416" max="11416" width="10.7265625" style="6" customWidth="1"/>
    <col min="11417" max="11417" width="9.26953125" style="6" customWidth="1"/>
    <col min="11418" max="11441" width="7.26953125" style="6" customWidth="1"/>
    <col min="11442" max="11442" width="11.26953125" style="6" bestFit="1" customWidth="1"/>
    <col min="11443" max="11670" width="11.453125" style="6"/>
    <col min="11671" max="11671" width="7" style="6" customWidth="1"/>
    <col min="11672" max="11672" width="10.7265625" style="6" customWidth="1"/>
    <col min="11673" max="11673" width="9.26953125" style="6" customWidth="1"/>
    <col min="11674" max="11697" width="7.26953125" style="6" customWidth="1"/>
    <col min="11698" max="11698" width="11.26953125" style="6" bestFit="1" customWidth="1"/>
    <col min="11699" max="11926" width="11.453125" style="6"/>
    <col min="11927" max="11927" width="7" style="6" customWidth="1"/>
    <col min="11928" max="11928" width="10.7265625" style="6" customWidth="1"/>
    <col min="11929" max="11929" width="9.26953125" style="6" customWidth="1"/>
    <col min="11930" max="11953" width="7.26953125" style="6" customWidth="1"/>
    <col min="11954" max="11954" width="11.26953125" style="6" bestFit="1" customWidth="1"/>
    <col min="11955" max="12182" width="11.453125" style="6"/>
    <col min="12183" max="12183" width="7" style="6" customWidth="1"/>
    <col min="12184" max="12184" width="10.7265625" style="6" customWidth="1"/>
    <col min="12185" max="12185" width="9.26953125" style="6" customWidth="1"/>
    <col min="12186" max="12209" width="7.26953125" style="6" customWidth="1"/>
    <col min="12210" max="12210" width="11.26953125" style="6" bestFit="1" customWidth="1"/>
    <col min="12211" max="12438" width="11.453125" style="6"/>
    <col min="12439" max="12439" width="7" style="6" customWidth="1"/>
    <col min="12440" max="12440" width="10.7265625" style="6" customWidth="1"/>
    <col min="12441" max="12441" width="9.26953125" style="6" customWidth="1"/>
    <col min="12442" max="12465" width="7.26953125" style="6" customWidth="1"/>
    <col min="12466" max="12466" width="11.26953125" style="6" bestFit="1" customWidth="1"/>
    <col min="12467" max="12694" width="11.453125" style="6"/>
    <col min="12695" max="12695" width="7" style="6" customWidth="1"/>
    <col min="12696" max="12696" width="10.7265625" style="6" customWidth="1"/>
    <col min="12697" max="12697" width="9.26953125" style="6" customWidth="1"/>
    <col min="12698" max="12721" width="7.26953125" style="6" customWidth="1"/>
    <col min="12722" max="12722" width="11.26953125" style="6" bestFit="1" customWidth="1"/>
    <col min="12723" max="12950" width="11.453125" style="6"/>
    <col min="12951" max="12951" width="7" style="6" customWidth="1"/>
    <col min="12952" max="12952" width="10.7265625" style="6" customWidth="1"/>
    <col min="12953" max="12953" width="9.26953125" style="6" customWidth="1"/>
    <col min="12954" max="12977" width="7.26953125" style="6" customWidth="1"/>
    <col min="12978" max="12978" width="11.26953125" style="6" bestFit="1" customWidth="1"/>
    <col min="12979" max="13206" width="11.453125" style="6"/>
    <col min="13207" max="13207" width="7" style="6" customWidth="1"/>
    <col min="13208" max="13208" width="10.7265625" style="6" customWidth="1"/>
    <col min="13209" max="13209" width="9.26953125" style="6" customWidth="1"/>
    <col min="13210" max="13233" width="7.26953125" style="6" customWidth="1"/>
    <col min="13234" max="13234" width="11.26953125" style="6" bestFit="1" customWidth="1"/>
    <col min="13235" max="13462" width="11.453125" style="6"/>
    <col min="13463" max="13463" width="7" style="6" customWidth="1"/>
    <col min="13464" max="13464" width="10.7265625" style="6" customWidth="1"/>
    <col min="13465" max="13465" width="9.26953125" style="6" customWidth="1"/>
    <col min="13466" max="13489" width="7.26953125" style="6" customWidth="1"/>
    <col min="13490" max="13490" width="11.26953125" style="6" bestFit="1" customWidth="1"/>
    <col min="13491" max="13718" width="11.453125" style="6"/>
    <col min="13719" max="13719" width="7" style="6" customWidth="1"/>
    <col min="13720" max="13720" width="10.7265625" style="6" customWidth="1"/>
    <col min="13721" max="13721" width="9.26953125" style="6" customWidth="1"/>
    <col min="13722" max="13745" width="7.26953125" style="6" customWidth="1"/>
    <col min="13746" max="13746" width="11.26953125" style="6" bestFit="1" customWidth="1"/>
    <col min="13747" max="13974" width="11.453125" style="6"/>
    <col min="13975" max="13975" width="7" style="6" customWidth="1"/>
    <col min="13976" max="13976" width="10.7265625" style="6" customWidth="1"/>
    <col min="13977" max="13977" width="9.26953125" style="6" customWidth="1"/>
    <col min="13978" max="14001" width="7.26953125" style="6" customWidth="1"/>
    <col min="14002" max="14002" width="11.26953125" style="6" bestFit="1" customWidth="1"/>
    <col min="14003" max="14230" width="11.453125" style="6"/>
    <col min="14231" max="14231" width="7" style="6" customWidth="1"/>
    <col min="14232" max="14232" width="10.7265625" style="6" customWidth="1"/>
    <col min="14233" max="14233" width="9.26953125" style="6" customWidth="1"/>
    <col min="14234" max="14257" width="7.26953125" style="6" customWidth="1"/>
    <col min="14258" max="14258" width="11.26953125" style="6" bestFit="1" customWidth="1"/>
    <col min="14259" max="14486" width="11.453125" style="6"/>
    <col min="14487" max="14487" width="7" style="6" customWidth="1"/>
    <col min="14488" max="14488" width="10.7265625" style="6" customWidth="1"/>
    <col min="14489" max="14489" width="9.26953125" style="6" customWidth="1"/>
    <col min="14490" max="14513" width="7.26953125" style="6" customWidth="1"/>
    <col min="14514" max="14514" width="11.26953125" style="6" bestFit="1" customWidth="1"/>
    <col min="14515" max="14742" width="11.453125" style="6"/>
    <col min="14743" max="14743" width="7" style="6" customWidth="1"/>
    <col min="14744" max="14744" width="10.7265625" style="6" customWidth="1"/>
    <col min="14745" max="14745" width="9.26953125" style="6" customWidth="1"/>
    <col min="14746" max="14769" width="7.26953125" style="6" customWidth="1"/>
    <col min="14770" max="14770" width="11.26953125" style="6" bestFit="1" customWidth="1"/>
    <col min="14771" max="14998" width="11.453125" style="6"/>
    <col min="14999" max="14999" width="7" style="6" customWidth="1"/>
    <col min="15000" max="15000" width="10.7265625" style="6" customWidth="1"/>
    <col min="15001" max="15001" width="9.26953125" style="6" customWidth="1"/>
    <col min="15002" max="15025" width="7.26953125" style="6" customWidth="1"/>
    <col min="15026" max="15026" width="11.26953125" style="6" bestFit="1" customWidth="1"/>
    <col min="15027" max="15254" width="11.453125" style="6"/>
    <col min="15255" max="15255" width="7" style="6" customWidth="1"/>
    <col min="15256" max="15256" width="10.7265625" style="6" customWidth="1"/>
    <col min="15257" max="15257" width="9.26953125" style="6" customWidth="1"/>
    <col min="15258" max="15281" width="7.26953125" style="6" customWidth="1"/>
    <col min="15282" max="15282" width="11.26953125" style="6" bestFit="1" customWidth="1"/>
    <col min="15283" max="15510" width="11.453125" style="6"/>
    <col min="15511" max="15511" width="7" style="6" customWidth="1"/>
    <col min="15512" max="15512" width="10.7265625" style="6" customWidth="1"/>
    <col min="15513" max="15513" width="9.26953125" style="6" customWidth="1"/>
    <col min="15514" max="15537" width="7.26953125" style="6" customWidth="1"/>
    <col min="15538" max="15538" width="11.26953125" style="6" bestFit="1" customWidth="1"/>
    <col min="15539" max="15766" width="11.453125" style="6"/>
    <col min="15767" max="15767" width="7" style="6" customWidth="1"/>
    <col min="15768" max="15768" width="10.7265625" style="6" customWidth="1"/>
    <col min="15769" max="15769" width="9.26953125" style="6" customWidth="1"/>
    <col min="15770" max="15793" width="7.26953125" style="6" customWidth="1"/>
    <col min="15794" max="15794" width="11.26953125" style="6" bestFit="1" customWidth="1"/>
    <col min="15795" max="16022" width="11.453125" style="6"/>
    <col min="16023" max="16023" width="7" style="6" customWidth="1"/>
    <col min="16024" max="16024" width="10.7265625" style="6" customWidth="1"/>
    <col min="16025" max="16025" width="9.26953125" style="6" customWidth="1"/>
    <col min="16026" max="16049" width="7.26953125" style="6" customWidth="1"/>
    <col min="16050" max="16050" width="11.26953125" style="6" bestFit="1" customWidth="1"/>
    <col min="16051" max="16384" width="11.453125" style="6"/>
  </cols>
  <sheetData>
    <row r="2" spans="2:31" x14ac:dyDescent="0.25">
      <c r="B2" s="70" t="s">
        <v>45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spans="2:31" x14ac:dyDescent="0.25">
      <c r="B3" s="70" t="s">
        <v>44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spans="2:31" x14ac:dyDescent="0.25">
      <c r="B4" s="70">
        <v>2033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6" spans="2:31" ht="31" x14ac:dyDescent="0.25">
      <c r="B6" s="2" t="s">
        <v>0</v>
      </c>
      <c r="C6" s="3" t="s">
        <v>1</v>
      </c>
      <c r="D6" s="2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51" t="s">
        <v>27</v>
      </c>
    </row>
    <row r="7" spans="2:31" ht="12.5" x14ac:dyDescent="0.25">
      <c r="B7" s="65" t="s">
        <v>28</v>
      </c>
      <c r="C7" s="4" t="s">
        <v>29</v>
      </c>
      <c r="D7" s="5">
        <v>20</v>
      </c>
      <c r="E7" s="56">
        <v>5806.54</v>
      </c>
      <c r="F7" s="56">
        <v>5481.43</v>
      </c>
      <c r="G7" s="56">
        <v>5283.35</v>
      </c>
      <c r="H7" s="56">
        <v>5218.8500000000004</v>
      </c>
      <c r="I7" s="56">
        <v>5587.62</v>
      </c>
      <c r="J7" s="56">
        <v>6663.65</v>
      </c>
      <c r="K7" s="56">
        <v>7611.21</v>
      </c>
      <c r="L7" s="56">
        <v>10436.31</v>
      </c>
      <c r="M7" s="56">
        <v>10628.59</v>
      </c>
      <c r="N7" s="56">
        <v>10894.29</v>
      </c>
      <c r="O7" s="56">
        <v>11336.52</v>
      </c>
      <c r="P7" s="56">
        <v>12007.75</v>
      </c>
      <c r="Q7" s="56">
        <v>11558.47</v>
      </c>
      <c r="R7" s="56">
        <v>11309.51</v>
      </c>
      <c r="S7" s="56">
        <v>11514.87</v>
      </c>
      <c r="T7" s="56">
        <v>11681.71</v>
      </c>
      <c r="U7" s="56">
        <v>11763.67</v>
      </c>
      <c r="V7" s="56">
        <v>10714.13</v>
      </c>
      <c r="W7" s="56">
        <v>11702.76</v>
      </c>
      <c r="X7" s="56">
        <v>12021.97</v>
      </c>
      <c r="Y7" s="56">
        <v>11439.02</v>
      </c>
      <c r="Z7" s="56">
        <v>10426.34</v>
      </c>
      <c r="AA7" s="56">
        <v>8736.15</v>
      </c>
      <c r="AB7" s="56">
        <v>7528.62</v>
      </c>
      <c r="AC7" s="66">
        <f>+SUM(E7:AB7)*D7+SUM(E8:AB8)*D8+SUM(E9:AB9)*D9+SUM(E10:AB10)*D10</f>
        <v>6894385.1899999985</v>
      </c>
      <c r="AE7" s="11">
        <f>+AC7</f>
        <v>6894385.1899999985</v>
      </c>
    </row>
    <row r="8" spans="2:31" ht="12.5" x14ac:dyDescent="0.25">
      <c r="B8" s="65" t="s">
        <v>28</v>
      </c>
      <c r="C8" s="4" t="s">
        <v>30</v>
      </c>
      <c r="D8" s="5">
        <v>4</v>
      </c>
      <c r="E8" s="56">
        <v>6196.4</v>
      </c>
      <c r="F8" s="56">
        <v>5682.81</v>
      </c>
      <c r="G8" s="56">
        <v>5444.56</v>
      </c>
      <c r="H8" s="56">
        <v>5321.58</v>
      </c>
      <c r="I8" s="56">
        <v>5441.12</v>
      </c>
      <c r="J8" s="56">
        <v>5809.7</v>
      </c>
      <c r="K8" s="56">
        <v>6374.9</v>
      </c>
      <c r="L8" s="56">
        <v>9704.43</v>
      </c>
      <c r="M8" s="56">
        <v>10498.97</v>
      </c>
      <c r="N8" s="56">
        <v>10982.49</v>
      </c>
      <c r="O8" s="56">
        <v>11300.73</v>
      </c>
      <c r="P8" s="56">
        <v>11763.25</v>
      </c>
      <c r="Q8" s="56">
        <v>11915.2</v>
      </c>
      <c r="R8" s="56">
        <v>11647.5</v>
      </c>
      <c r="S8" s="56">
        <v>11499.94</v>
      </c>
      <c r="T8" s="56">
        <v>11393.47</v>
      </c>
      <c r="U8" s="56">
        <v>11496.74</v>
      </c>
      <c r="V8" s="56">
        <v>10514.1</v>
      </c>
      <c r="W8" s="56">
        <v>11654.7</v>
      </c>
      <c r="X8" s="56">
        <v>11936.85</v>
      </c>
      <c r="Y8" s="56">
        <v>11366.99</v>
      </c>
      <c r="Z8" s="56">
        <v>10596.24</v>
      </c>
      <c r="AA8" s="56">
        <v>9377.58</v>
      </c>
      <c r="AB8" s="56">
        <v>8268.6299999999992</v>
      </c>
      <c r="AC8" s="67"/>
      <c r="AE8" s="11">
        <f>+AC11</f>
        <v>6438399.8399999989</v>
      </c>
    </row>
    <row r="9" spans="2:31" ht="12.5" x14ac:dyDescent="0.25">
      <c r="B9" s="65" t="s">
        <v>28</v>
      </c>
      <c r="C9" s="4" t="s">
        <v>31</v>
      </c>
      <c r="D9" s="5">
        <v>5</v>
      </c>
      <c r="E9" s="56">
        <v>6560.56</v>
      </c>
      <c r="F9" s="56">
        <v>6056.28</v>
      </c>
      <c r="G9" s="56">
        <v>5736.43</v>
      </c>
      <c r="H9" s="56">
        <v>5515.03</v>
      </c>
      <c r="I9" s="56">
        <v>5430.1</v>
      </c>
      <c r="J9" s="56">
        <v>5388.51</v>
      </c>
      <c r="K9" s="56">
        <v>5473.74</v>
      </c>
      <c r="L9" s="56">
        <v>8120.32</v>
      </c>
      <c r="M9" s="56">
        <v>8912.2900000000009</v>
      </c>
      <c r="N9" s="56">
        <v>9429.0499999999993</v>
      </c>
      <c r="O9" s="56">
        <v>9937.23</v>
      </c>
      <c r="P9" s="56">
        <v>10480.469999999999</v>
      </c>
      <c r="Q9" s="56">
        <v>10703.17</v>
      </c>
      <c r="R9" s="56">
        <v>10499.7</v>
      </c>
      <c r="S9" s="56">
        <v>10542.39</v>
      </c>
      <c r="T9" s="56">
        <v>10667.41</v>
      </c>
      <c r="U9" s="56">
        <v>10705.88</v>
      </c>
      <c r="V9" s="56">
        <v>9950.2199999999993</v>
      </c>
      <c r="W9" s="56">
        <v>10989.94</v>
      </c>
      <c r="X9" s="56">
        <v>11299.98</v>
      </c>
      <c r="Y9" s="56">
        <v>10793.85</v>
      </c>
      <c r="Z9" s="56">
        <v>9885.23</v>
      </c>
      <c r="AA9" s="56">
        <v>8483.7999999999993</v>
      </c>
      <c r="AB9" s="56">
        <v>7276.19</v>
      </c>
      <c r="AC9" s="67"/>
      <c r="AE9" s="11">
        <f>+AC15</f>
        <v>6784636.6900000004</v>
      </c>
    </row>
    <row r="10" spans="2:31" ht="12.5" x14ac:dyDescent="0.25">
      <c r="B10" s="65" t="s">
        <v>28</v>
      </c>
      <c r="C10" s="4" t="s">
        <v>32</v>
      </c>
      <c r="D10" s="5">
        <v>2</v>
      </c>
      <c r="E10" s="56">
        <v>6599.03</v>
      </c>
      <c r="F10" s="56">
        <v>6209.99</v>
      </c>
      <c r="G10" s="56">
        <v>5801.33</v>
      </c>
      <c r="H10" s="56">
        <v>5648.18</v>
      </c>
      <c r="I10" s="56">
        <v>5459.03</v>
      </c>
      <c r="J10" s="56">
        <v>5419.18</v>
      </c>
      <c r="K10" s="56">
        <v>5090.24</v>
      </c>
      <c r="L10" s="56">
        <v>7383.77</v>
      </c>
      <c r="M10" s="56">
        <v>7840.27</v>
      </c>
      <c r="N10" s="56">
        <v>8408.77</v>
      </c>
      <c r="O10" s="56">
        <v>9052.41</v>
      </c>
      <c r="P10" s="56">
        <v>9476.19</v>
      </c>
      <c r="Q10" s="56">
        <v>9921.14</v>
      </c>
      <c r="R10" s="56">
        <v>10037.290000000001</v>
      </c>
      <c r="S10" s="56">
        <v>10062.86</v>
      </c>
      <c r="T10" s="56">
        <v>9977.56</v>
      </c>
      <c r="U10" s="56">
        <v>10054.19</v>
      </c>
      <c r="V10" s="56">
        <v>9510.6</v>
      </c>
      <c r="W10" s="56">
        <v>10640.06</v>
      </c>
      <c r="X10" s="56">
        <v>11015.15</v>
      </c>
      <c r="Y10" s="56">
        <v>10627.44</v>
      </c>
      <c r="Z10" s="56">
        <v>9584.36</v>
      </c>
      <c r="AA10" s="56">
        <v>8237.0499999999993</v>
      </c>
      <c r="AB10" s="56">
        <v>7131.02</v>
      </c>
      <c r="AC10" s="68"/>
      <c r="AE10" s="11">
        <f>+AC19</f>
        <v>6797460.5899999989</v>
      </c>
    </row>
    <row r="11" spans="2:31" ht="12.5" x14ac:dyDescent="0.25">
      <c r="B11" s="65" t="s">
        <v>33</v>
      </c>
      <c r="C11" s="4" t="s">
        <v>29</v>
      </c>
      <c r="D11" s="5">
        <v>20</v>
      </c>
      <c r="E11" s="56">
        <v>5799.92</v>
      </c>
      <c r="F11" s="56">
        <v>5465.06</v>
      </c>
      <c r="G11" s="56">
        <v>5326.53</v>
      </c>
      <c r="H11" s="56">
        <v>5332.48</v>
      </c>
      <c r="I11" s="56">
        <v>5831.17</v>
      </c>
      <c r="J11" s="56">
        <v>7550.83</v>
      </c>
      <c r="K11" s="56">
        <v>8709.02</v>
      </c>
      <c r="L11" s="56">
        <v>11194.39</v>
      </c>
      <c r="M11" s="56">
        <v>11085.07</v>
      </c>
      <c r="N11" s="56">
        <v>11150.05</v>
      </c>
      <c r="O11" s="56">
        <v>11511.29</v>
      </c>
      <c r="P11" s="56">
        <v>12002.15</v>
      </c>
      <c r="Q11" s="56">
        <v>11664.68</v>
      </c>
      <c r="R11" s="56">
        <v>11628.38</v>
      </c>
      <c r="S11" s="56">
        <v>11959.58</v>
      </c>
      <c r="T11" s="56">
        <v>12101.35</v>
      </c>
      <c r="U11" s="56">
        <v>12142.56</v>
      </c>
      <c r="V11" s="56">
        <v>10850.67</v>
      </c>
      <c r="W11" s="56">
        <v>11835.88</v>
      </c>
      <c r="X11" s="56">
        <v>12382.92</v>
      </c>
      <c r="Y11" s="56">
        <v>11729.81</v>
      </c>
      <c r="Z11" s="56">
        <v>10632.91</v>
      </c>
      <c r="AA11" s="56">
        <v>8834.27</v>
      </c>
      <c r="AB11" s="56">
        <v>7515.8</v>
      </c>
      <c r="AC11" s="66">
        <f>+SUM(E11:AB11)*D11+SUM(E12:AB12)*D12+SUM(E13:AB13)*D13+SUM(E14:AB14)*D14</f>
        <v>6438399.8399999989</v>
      </c>
      <c r="AE11" s="11">
        <f>+AC23</f>
        <v>6763405.8900000006</v>
      </c>
    </row>
    <row r="12" spans="2:31" ht="12.5" x14ac:dyDescent="0.25">
      <c r="B12" s="65" t="s">
        <v>33</v>
      </c>
      <c r="C12" s="4" t="s">
        <v>30</v>
      </c>
      <c r="D12" s="5">
        <v>4</v>
      </c>
      <c r="E12" s="56">
        <v>6186.3</v>
      </c>
      <c r="F12" s="56">
        <v>5803.29</v>
      </c>
      <c r="G12" s="56">
        <v>5522.82</v>
      </c>
      <c r="H12" s="56">
        <v>5423.82</v>
      </c>
      <c r="I12" s="56">
        <v>5623.79</v>
      </c>
      <c r="J12" s="56">
        <v>6184.06</v>
      </c>
      <c r="K12" s="56">
        <v>6887.5</v>
      </c>
      <c r="L12" s="56">
        <v>10465.9</v>
      </c>
      <c r="M12" s="56">
        <v>10981.74</v>
      </c>
      <c r="N12" s="56">
        <v>11357.09</v>
      </c>
      <c r="O12" s="56">
        <v>11667.55</v>
      </c>
      <c r="P12" s="56">
        <v>11888.83</v>
      </c>
      <c r="Q12" s="56">
        <v>11863.14</v>
      </c>
      <c r="R12" s="56">
        <v>11638.29</v>
      </c>
      <c r="S12" s="56">
        <v>11602.33</v>
      </c>
      <c r="T12" s="56">
        <v>11728.77</v>
      </c>
      <c r="U12" s="56">
        <v>11894.17</v>
      </c>
      <c r="V12" s="56">
        <v>10589.06</v>
      </c>
      <c r="W12" s="56">
        <v>11641.23</v>
      </c>
      <c r="X12" s="56">
        <v>11977.18</v>
      </c>
      <c r="Y12" s="56">
        <v>11356.79</v>
      </c>
      <c r="Z12" s="56">
        <v>10444.11</v>
      </c>
      <c r="AA12" s="56">
        <v>9220.4599999999991</v>
      </c>
      <c r="AB12" s="56">
        <v>7917.76</v>
      </c>
      <c r="AC12" s="67"/>
      <c r="AE12" s="11">
        <f>+AC27</f>
        <v>6741801.9200000009</v>
      </c>
    </row>
    <row r="13" spans="2:31" ht="12.5" x14ac:dyDescent="0.25">
      <c r="B13" s="65" t="s">
        <v>33</v>
      </c>
      <c r="C13" s="4" t="s">
        <v>31</v>
      </c>
      <c r="D13" s="5">
        <v>4</v>
      </c>
      <c r="E13" s="56">
        <v>6381.13</v>
      </c>
      <c r="F13" s="56">
        <v>5922.98</v>
      </c>
      <c r="G13" s="56">
        <v>5592.32</v>
      </c>
      <c r="H13" s="56">
        <v>5402.74</v>
      </c>
      <c r="I13" s="56">
        <v>5325.81</v>
      </c>
      <c r="J13" s="56">
        <v>5315.56</v>
      </c>
      <c r="K13" s="56">
        <v>5469.86</v>
      </c>
      <c r="L13" s="56">
        <v>8329.9699999999993</v>
      </c>
      <c r="M13" s="56">
        <v>9151.73</v>
      </c>
      <c r="N13" s="56">
        <v>9636.49</v>
      </c>
      <c r="O13" s="56">
        <v>10025.290000000001</v>
      </c>
      <c r="P13" s="56">
        <v>10616.92</v>
      </c>
      <c r="Q13" s="56">
        <v>10867.82</v>
      </c>
      <c r="R13" s="56">
        <v>10836.93</v>
      </c>
      <c r="S13" s="56">
        <v>10559.99</v>
      </c>
      <c r="T13" s="56">
        <v>10617.38</v>
      </c>
      <c r="U13" s="56">
        <v>10712.91</v>
      </c>
      <c r="V13" s="56">
        <v>9810.8799999999992</v>
      </c>
      <c r="W13" s="56">
        <v>11041.76</v>
      </c>
      <c r="X13" s="56">
        <v>11289.31</v>
      </c>
      <c r="Y13" s="56">
        <v>10821.31</v>
      </c>
      <c r="Z13" s="56">
        <v>9729.14</v>
      </c>
      <c r="AA13" s="56">
        <v>8168.56</v>
      </c>
      <c r="AB13" s="56">
        <v>6923.34</v>
      </c>
      <c r="AC13" s="67"/>
      <c r="AE13" s="11">
        <f>+AC31</f>
        <v>6834687.2799999993</v>
      </c>
    </row>
    <row r="14" spans="2:31" ht="12.5" x14ac:dyDescent="0.25">
      <c r="B14" s="65" t="s">
        <v>33</v>
      </c>
      <c r="C14" s="4" t="s">
        <v>32</v>
      </c>
      <c r="D14" s="5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68"/>
      <c r="AE14" s="11">
        <f>+AC35</f>
        <v>7037826.0800000001</v>
      </c>
    </row>
    <row r="15" spans="2:31" ht="12.5" x14ac:dyDescent="0.25">
      <c r="B15" s="65" t="s">
        <v>34</v>
      </c>
      <c r="C15" s="4" t="s">
        <v>29</v>
      </c>
      <c r="D15" s="5">
        <v>22</v>
      </c>
      <c r="E15" s="56">
        <v>5580.49</v>
      </c>
      <c r="F15" s="56">
        <v>5252.44</v>
      </c>
      <c r="G15" s="56">
        <v>5115.17</v>
      </c>
      <c r="H15" s="56">
        <v>5090.7</v>
      </c>
      <c r="I15" s="56">
        <v>5533.29</v>
      </c>
      <c r="J15" s="56">
        <v>7035.86</v>
      </c>
      <c r="K15" s="56">
        <v>8015.75</v>
      </c>
      <c r="L15" s="56">
        <v>10448.34</v>
      </c>
      <c r="M15" s="56">
        <v>10376.64</v>
      </c>
      <c r="N15" s="56">
        <v>10457.19</v>
      </c>
      <c r="O15" s="56">
        <v>10862.55</v>
      </c>
      <c r="P15" s="56">
        <v>11335.71</v>
      </c>
      <c r="Q15" s="56">
        <v>11149.76</v>
      </c>
      <c r="R15" s="56">
        <v>11071.75</v>
      </c>
      <c r="S15" s="56">
        <v>11354.46</v>
      </c>
      <c r="T15" s="56">
        <v>11451.36</v>
      </c>
      <c r="U15" s="56">
        <v>11469.71</v>
      </c>
      <c r="V15" s="56">
        <v>10355.85</v>
      </c>
      <c r="W15" s="56">
        <v>11392.25</v>
      </c>
      <c r="X15" s="56">
        <v>11986.78</v>
      </c>
      <c r="Y15" s="56">
        <v>11357.19</v>
      </c>
      <c r="Z15" s="56">
        <v>10276.969999999999</v>
      </c>
      <c r="AA15" s="56">
        <v>8708.69</v>
      </c>
      <c r="AB15" s="56">
        <v>7372.47</v>
      </c>
      <c r="AC15" s="66">
        <f>+SUM(E15:AB15)*D15+SUM(E16:AB16)*D16+SUM(E17:AB17)*D17+SUM(E18:AB18)*D18</f>
        <v>6784636.6900000004</v>
      </c>
      <c r="AE15" s="11">
        <f>+AC39</f>
        <v>6731304</v>
      </c>
    </row>
    <row r="16" spans="2:31" ht="12.5" x14ac:dyDescent="0.25">
      <c r="B16" s="65" t="s">
        <v>34</v>
      </c>
      <c r="C16" s="4" t="s">
        <v>30</v>
      </c>
      <c r="D16" s="5">
        <v>4</v>
      </c>
      <c r="E16" s="56">
        <v>5805.91</v>
      </c>
      <c r="F16" s="56">
        <v>5409.25</v>
      </c>
      <c r="G16" s="56">
        <v>5212.2700000000004</v>
      </c>
      <c r="H16" s="56">
        <v>5100.03</v>
      </c>
      <c r="I16" s="56">
        <v>5300.12</v>
      </c>
      <c r="J16" s="56">
        <v>5777.82</v>
      </c>
      <c r="K16" s="56">
        <v>6552.77</v>
      </c>
      <c r="L16" s="56">
        <v>9905.32</v>
      </c>
      <c r="M16" s="56">
        <v>10255.64</v>
      </c>
      <c r="N16" s="56">
        <v>10591.61</v>
      </c>
      <c r="O16" s="56">
        <v>10939.24</v>
      </c>
      <c r="P16" s="56">
        <v>11222.23</v>
      </c>
      <c r="Q16" s="56">
        <v>11312.3</v>
      </c>
      <c r="R16" s="56">
        <v>10977.73</v>
      </c>
      <c r="S16" s="56">
        <v>10806.82</v>
      </c>
      <c r="T16" s="56">
        <v>10895.59</v>
      </c>
      <c r="U16" s="56">
        <v>11025.13</v>
      </c>
      <c r="V16" s="56">
        <v>9985.7999999999993</v>
      </c>
      <c r="W16" s="56">
        <v>10959.73</v>
      </c>
      <c r="X16" s="56">
        <v>11648.37</v>
      </c>
      <c r="Y16" s="56">
        <v>11089.91</v>
      </c>
      <c r="Z16" s="56">
        <v>10281.030000000001</v>
      </c>
      <c r="AA16" s="56">
        <v>9119.86</v>
      </c>
      <c r="AB16" s="56">
        <v>7857.09</v>
      </c>
      <c r="AC16" s="67"/>
      <c r="AE16" s="11">
        <f>+AC43</f>
        <v>7015453.0199999996</v>
      </c>
    </row>
    <row r="17" spans="2:31" ht="12.5" x14ac:dyDescent="0.25">
      <c r="B17" s="65" t="s">
        <v>34</v>
      </c>
      <c r="C17" s="4" t="s">
        <v>31</v>
      </c>
      <c r="D17" s="5">
        <v>4</v>
      </c>
      <c r="E17" s="56">
        <v>6152.5</v>
      </c>
      <c r="F17" s="56">
        <v>5667.53</v>
      </c>
      <c r="G17" s="56">
        <v>5360.39</v>
      </c>
      <c r="H17" s="56">
        <v>5171.17</v>
      </c>
      <c r="I17" s="56">
        <v>5131.46</v>
      </c>
      <c r="J17" s="56">
        <v>5186.34</v>
      </c>
      <c r="K17" s="56">
        <v>5383.7</v>
      </c>
      <c r="L17" s="56">
        <v>8105.17</v>
      </c>
      <c r="M17" s="56">
        <v>8862.17</v>
      </c>
      <c r="N17" s="56">
        <v>9260.4</v>
      </c>
      <c r="O17" s="56">
        <v>9526.27</v>
      </c>
      <c r="P17" s="56">
        <v>9759.15</v>
      </c>
      <c r="Q17" s="56">
        <v>10003.36</v>
      </c>
      <c r="R17" s="56">
        <v>9908.2999999999993</v>
      </c>
      <c r="S17" s="56">
        <v>9719.01</v>
      </c>
      <c r="T17" s="56">
        <v>9766.35</v>
      </c>
      <c r="U17" s="56">
        <v>9961.18</v>
      </c>
      <c r="V17" s="56">
        <v>9207.6299999999992</v>
      </c>
      <c r="W17" s="56">
        <v>10180.540000000001</v>
      </c>
      <c r="X17" s="56">
        <v>10983.39</v>
      </c>
      <c r="Y17" s="56">
        <v>10677.09</v>
      </c>
      <c r="Z17" s="56">
        <v>9855.16</v>
      </c>
      <c r="AA17" s="56">
        <v>8542.06</v>
      </c>
      <c r="AB17" s="56">
        <v>7186.64</v>
      </c>
      <c r="AC17" s="67"/>
      <c r="AE17" s="11">
        <f>+AC47</f>
        <v>6853943.6600000001</v>
      </c>
    </row>
    <row r="18" spans="2:31" ht="12.5" x14ac:dyDescent="0.25">
      <c r="B18" s="65" t="s">
        <v>34</v>
      </c>
      <c r="C18" s="4" t="s">
        <v>32</v>
      </c>
      <c r="D18" s="5">
        <v>1</v>
      </c>
      <c r="E18" s="56">
        <v>5957.93</v>
      </c>
      <c r="F18" s="56">
        <v>5578.14</v>
      </c>
      <c r="G18" s="56">
        <v>5378.1</v>
      </c>
      <c r="H18" s="56">
        <v>5292.63</v>
      </c>
      <c r="I18" s="56">
        <v>5254.28</v>
      </c>
      <c r="J18" s="56">
        <v>5397.06</v>
      </c>
      <c r="K18" s="56">
        <v>5541.66</v>
      </c>
      <c r="L18" s="56">
        <v>8282.44</v>
      </c>
      <c r="M18" s="56">
        <v>8945.66</v>
      </c>
      <c r="N18" s="56">
        <v>9405.0400000000009</v>
      </c>
      <c r="O18" s="56">
        <v>10048.5</v>
      </c>
      <c r="P18" s="56">
        <v>10637.21</v>
      </c>
      <c r="Q18" s="56">
        <v>10886.68</v>
      </c>
      <c r="R18" s="56">
        <v>10949.22</v>
      </c>
      <c r="S18" s="56">
        <v>10857.84</v>
      </c>
      <c r="T18" s="56">
        <v>10790.51</v>
      </c>
      <c r="U18" s="56">
        <v>10450.799999999999</v>
      </c>
      <c r="V18" s="56">
        <v>9605.89</v>
      </c>
      <c r="W18" s="56">
        <v>10940.28</v>
      </c>
      <c r="X18" s="56">
        <v>11493.98</v>
      </c>
      <c r="Y18" s="56">
        <v>10927.12</v>
      </c>
      <c r="Z18" s="56">
        <v>9573.4699999999993</v>
      </c>
      <c r="AA18" s="56">
        <v>8099.91</v>
      </c>
      <c r="AB18" s="56">
        <v>6858.08</v>
      </c>
      <c r="AC18" s="68"/>
      <c r="AE18" s="11">
        <f>+AC51</f>
        <v>7076522.2100000009</v>
      </c>
    </row>
    <row r="19" spans="2:31" ht="13" x14ac:dyDescent="0.3">
      <c r="B19" s="65" t="s">
        <v>35</v>
      </c>
      <c r="C19" s="4" t="s">
        <v>29</v>
      </c>
      <c r="D19" s="5">
        <v>19</v>
      </c>
      <c r="E19" s="56">
        <v>5925.89</v>
      </c>
      <c r="F19" s="56">
        <v>5582.36</v>
      </c>
      <c r="G19" s="56">
        <v>5415.35</v>
      </c>
      <c r="H19" s="56">
        <v>5409.11</v>
      </c>
      <c r="I19" s="56">
        <v>5911</v>
      </c>
      <c r="J19" s="56">
        <v>7534.77</v>
      </c>
      <c r="K19" s="56">
        <v>8428.64</v>
      </c>
      <c r="L19" s="56">
        <v>10745.83</v>
      </c>
      <c r="M19" s="56">
        <v>10750.18</v>
      </c>
      <c r="N19" s="56">
        <v>10782.99</v>
      </c>
      <c r="O19" s="56">
        <v>11249.57</v>
      </c>
      <c r="P19" s="56">
        <v>11771.54</v>
      </c>
      <c r="Q19" s="56">
        <v>11509.3</v>
      </c>
      <c r="R19" s="56">
        <v>11604.22</v>
      </c>
      <c r="S19" s="56">
        <v>11943.27</v>
      </c>
      <c r="T19" s="56">
        <v>12041.46</v>
      </c>
      <c r="U19" s="56">
        <v>12094.37</v>
      </c>
      <c r="V19" s="56">
        <v>11023.12</v>
      </c>
      <c r="W19" s="56">
        <v>12023.8</v>
      </c>
      <c r="X19" s="56">
        <v>12377.51</v>
      </c>
      <c r="Y19" s="56">
        <v>11702.75</v>
      </c>
      <c r="Z19" s="56">
        <v>10620.92</v>
      </c>
      <c r="AA19" s="56">
        <v>9012.75</v>
      </c>
      <c r="AB19" s="56">
        <v>7705.34</v>
      </c>
      <c r="AC19" s="66">
        <f>+SUM(E19:AB19)*D19+SUM(E20:AB20)*D20+SUM(E21:AB21)*D21+SUM(E22:AB22)*D22</f>
        <v>6797460.5899999989</v>
      </c>
      <c r="AE19" s="12">
        <f>SUM(AE7:AE18)</f>
        <v>81969826.370000005</v>
      </c>
    </row>
    <row r="20" spans="2:31" ht="12.5" x14ac:dyDescent="0.25">
      <c r="B20" s="65" t="s">
        <v>35</v>
      </c>
      <c r="C20" s="4" t="s">
        <v>30</v>
      </c>
      <c r="D20" s="5">
        <v>5</v>
      </c>
      <c r="E20" s="56">
        <v>6246.08</v>
      </c>
      <c r="F20" s="56">
        <v>5795.41</v>
      </c>
      <c r="G20" s="56">
        <v>5582.81</v>
      </c>
      <c r="H20" s="56">
        <v>5494.92</v>
      </c>
      <c r="I20" s="56">
        <v>5615.28</v>
      </c>
      <c r="J20" s="56">
        <v>5954.67</v>
      </c>
      <c r="K20" s="56">
        <v>6307.31</v>
      </c>
      <c r="L20" s="56">
        <v>9838.7000000000007</v>
      </c>
      <c r="M20" s="56">
        <v>10358.290000000001</v>
      </c>
      <c r="N20" s="56">
        <v>10696.2</v>
      </c>
      <c r="O20" s="56">
        <v>11107.29</v>
      </c>
      <c r="P20" s="56">
        <v>11567.68</v>
      </c>
      <c r="Q20" s="56">
        <v>11778.38</v>
      </c>
      <c r="R20" s="56">
        <v>11387.87</v>
      </c>
      <c r="S20" s="56">
        <v>11274.25</v>
      </c>
      <c r="T20" s="56">
        <v>11314.04</v>
      </c>
      <c r="U20" s="56">
        <v>11436.38</v>
      </c>
      <c r="V20" s="56">
        <v>9973.02</v>
      </c>
      <c r="W20" s="56">
        <v>11409.31</v>
      </c>
      <c r="X20" s="56">
        <v>11820.54</v>
      </c>
      <c r="Y20" s="56">
        <v>11158.45</v>
      </c>
      <c r="Z20" s="56">
        <v>10381.48</v>
      </c>
      <c r="AA20" s="56">
        <v>9346.93</v>
      </c>
      <c r="AB20" s="56">
        <v>8797.36</v>
      </c>
      <c r="AC20" s="67"/>
    </row>
    <row r="21" spans="2:31" ht="12.5" x14ac:dyDescent="0.25">
      <c r="B21" s="65" t="s">
        <v>35</v>
      </c>
      <c r="C21" s="4" t="s">
        <v>31</v>
      </c>
      <c r="D21" s="5">
        <v>4</v>
      </c>
      <c r="E21" s="56">
        <v>6634.68</v>
      </c>
      <c r="F21" s="56">
        <v>6113.23</v>
      </c>
      <c r="G21" s="56">
        <v>5787.75</v>
      </c>
      <c r="H21" s="56">
        <v>5530.34</v>
      </c>
      <c r="I21" s="56">
        <v>5459.56</v>
      </c>
      <c r="J21" s="56">
        <v>5410.74</v>
      </c>
      <c r="K21" s="56">
        <v>5560.8</v>
      </c>
      <c r="L21" s="56">
        <v>8323.07</v>
      </c>
      <c r="M21" s="56">
        <v>9034.6299999999992</v>
      </c>
      <c r="N21" s="56">
        <v>9458.81</v>
      </c>
      <c r="O21" s="56">
        <v>9974.81</v>
      </c>
      <c r="P21" s="56">
        <v>10297.01</v>
      </c>
      <c r="Q21" s="56">
        <v>10572.18</v>
      </c>
      <c r="R21" s="56">
        <v>10513.8</v>
      </c>
      <c r="S21" s="56">
        <v>10436.07</v>
      </c>
      <c r="T21" s="56">
        <v>10327.17</v>
      </c>
      <c r="U21" s="56">
        <v>10505.12</v>
      </c>
      <c r="V21" s="56">
        <v>9607.08</v>
      </c>
      <c r="W21" s="56">
        <v>11153.06</v>
      </c>
      <c r="X21" s="56">
        <v>11440.05</v>
      </c>
      <c r="Y21" s="56">
        <v>10937.49</v>
      </c>
      <c r="Z21" s="56">
        <v>9961.52</v>
      </c>
      <c r="AA21" s="56">
        <v>8505.32</v>
      </c>
      <c r="AB21" s="56">
        <v>7261.57</v>
      </c>
      <c r="AC21" s="67"/>
    </row>
    <row r="22" spans="2:31" ht="12.5" x14ac:dyDescent="0.25">
      <c r="B22" s="65" t="s">
        <v>35</v>
      </c>
      <c r="C22" s="4" t="s">
        <v>32</v>
      </c>
      <c r="D22" s="5">
        <v>2</v>
      </c>
      <c r="E22" s="56">
        <v>6119.88</v>
      </c>
      <c r="F22" s="56">
        <v>5707.74</v>
      </c>
      <c r="G22" s="56">
        <v>5455.7</v>
      </c>
      <c r="H22" s="56">
        <v>5247.39</v>
      </c>
      <c r="I22" s="56">
        <v>5341.59</v>
      </c>
      <c r="J22" s="56">
        <v>5357.95</v>
      </c>
      <c r="K22" s="56">
        <v>5606.89</v>
      </c>
      <c r="L22" s="56">
        <v>8630.66</v>
      </c>
      <c r="M22" s="56">
        <v>9114.02</v>
      </c>
      <c r="N22" s="56">
        <v>9243.86</v>
      </c>
      <c r="O22" s="56">
        <v>9383.8799999999992</v>
      </c>
      <c r="P22" s="56">
        <v>9963.4699999999993</v>
      </c>
      <c r="Q22" s="56">
        <v>10351.32</v>
      </c>
      <c r="R22" s="56">
        <v>10254.67</v>
      </c>
      <c r="S22" s="56">
        <v>10113</v>
      </c>
      <c r="T22" s="56">
        <v>10203.31</v>
      </c>
      <c r="U22" s="56">
        <v>10236.89</v>
      </c>
      <c r="V22" s="56">
        <v>9493.36</v>
      </c>
      <c r="W22" s="56">
        <v>10458.66</v>
      </c>
      <c r="X22" s="56">
        <v>10901</v>
      </c>
      <c r="Y22" s="56">
        <v>10377.01</v>
      </c>
      <c r="Z22" s="56">
        <v>9898.43</v>
      </c>
      <c r="AA22" s="56">
        <v>9010.91</v>
      </c>
      <c r="AB22" s="56">
        <v>7962.98</v>
      </c>
      <c r="AC22" s="68"/>
    </row>
    <row r="23" spans="2:31" ht="12.5" x14ac:dyDescent="0.25">
      <c r="B23" s="65" t="s">
        <v>36</v>
      </c>
      <c r="C23" s="4" t="s">
        <v>29</v>
      </c>
      <c r="D23" s="5">
        <v>21</v>
      </c>
      <c r="E23" s="56">
        <v>5644.25</v>
      </c>
      <c r="F23" s="56">
        <v>5490.25</v>
      </c>
      <c r="G23" s="56">
        <v>5247.46</v>
      </c>
      <c r="H23" s="56">
        <v>5193.09</v>
      </c>
      <c r="I23" s="56">
        <v>5667.74</v>
      </c>
      <c r="J23" s="56">
        <v>7145.35</v>
      </c>
      <c r="K23" s="56">
        <v>8036.26</v>
      </c>
      <c r="L23" s="56">
        <v>10333.280000000001</v>
      </c>
      <c r="M23" s="56">
        <v>10288.18</v>
      </c>
      <c r="N23" s="56">
        <v>10436.07</v>
      </c>
      <c r="O23" s="56">
        <v>10862.2</v>
      </c>
      <c r="P23" s="56">
        <v>11338.47</v>
      </c>
      <c r="Q23" s="56">
        <v>11094.8</v>
      </c>
      <c r="R23" s="56">
        <v>11172.3</v>
      </c>
      <c r="S23" s="56">
        <v>11553.32</v>
      </c>
      <c r="T23" s="56">
        <v>11683.63</v>
      </c>
      <c r="U23" s="56">
        <v>11495.76</v>
      </c>
      <c r="V23" s="56">
        <v>10652.67</v>
      </c>
      <c r="W23" s="56">
        <v>11619.07</v>
      </c>
      <c r="X23" s="56">
        <v>11783.89</v>
      </c>
      <c r="Y23" s="56">
        <v>11291.28</v>
      </c>
      <c r="Z23" s="56">
        <v>10018.82</v>
      </c>
      <c r="AA23" s="56">
        <v>8652.08</v>
      </c>
      <c r="AB23" s="56">
        <v>7397.79</v>
      </c>
      <c r="AC23" s="66">
        <f>+SUM(E23:AB23)*D23+SUM(E24:AB24)*D24+SUM(E25:AB25)*D25+SUM(E26:AB26)*D26</f>
        <v>6763405.8900000006</v>
      </c>
    </row>
    <row r="24" spans="2:31" ht="12.5" x14ac:dyDescent="0.25">
      <c r="B24" s="65" t="s">
        <v>36</v>
      </c>
      <c r="C24" s="4" t="s">
        <v>30</v>
      </c>
      <c r="D24" s="5">
        <v>4</v>
      </c>
      <c r="E24" s="56">
        <v>6037.18</v>
      </c>
      <c r="F24" s="56">
        <v>5652.47</v>
      </c>
      <c r="G24" s="56">
        <v>5384.88</v>
      </c>
      <c r="H24" s="56">
        <v>5299.65</v>
      </c>
      <c r="I24" s="56">
        <v>5429.61</v>
      </c>
      <c r="J24" s="56">
        <v>5691.25</v>
      </c>
      <c r="K24" s="56">
        <v>6302.03</v>
      </c>
      <c r="L24" s="56">
        <v>9615.23</v>
      </c>
      <c r="M24" s="56">
        <v>10187.950000000001</v>
      </c>
      <c r="N24" s="56">
        <v>10538.23</v>
      </c>
      <c r="O24" s="56">
        <v>10849.94</v>
      </c>
      <c r="P24" s="56">
        <v>11088.35</v>
      </c>
      <c r="Q24" s="56">
        <v>11103.13</v>
      </c>
      <c r="R24" s="56">
        <v>10942.1</v>
      </c>
      <c r="S24" s="56">
        <v>10890.9</v>
      </c>
      <c r="T24" s="56">
        <v>10737.16</v>
      </c>
      <c r="U24" s="56">
        <v>10924.18</v>
      </c>
      <c r="V24" s="56">
        <v>9970.32</v>
      </c>
      <c r="W24" s="56">
        <v>10635.92</v>
      </c>
      <c r="X24" s="56">
        <v>10993.29</v>
      </c>
      <c r="Y24" s="56">
        <v>10458.31</v>
      </c>
      <c r="Z24" s="56">
        <v>9612.8700000000008</v>
      </c>
      <c r="AA24" s="56">
        <v>8733.81</v>
      </c>
      <c r="AB24" s="56">
        <v>7644.7</v>
      </c>
      <c r="AC24" s="67"/>
    </row>
    <row r="25" spans="2:31" ht="12.5" x14ac:dyDescent="0.25">
      <c r="B25" s="65" t="s">
        <v>36</v>
      </c>
      <c r="C25" s="4" t="s">
        <v>31</v>
      </c>
      <c r="D25" s="5">
        <v>4</v>
      </c>
      <c r="E25" s="56">
        <v>6057.17</v>
      </c>
      <c r="F25" s="56">
        <v>5644.61</v>
      </c>
      <c r="G25" s="56">
        <v>5373.06</v>
      </c>
      <c r="H25" s="56">
        <v>5159.8999999999996</v>
      </c>
      <c r="I25" s="56">
        <v>5184.54</v>
      </c>
      <c r="J25" s="56">
        <v>5060.3599999999997</v>
      </c>
      <c r="K25" s="56">
        <v>5353.14</v>
      </c>
      <c r="L25" s="56">
        <v>8094.47</v>
      </c>
      <c r="M25" s="56">
        <v>8746.6200000000008</v>
      </c>
      <c r="N25" s="56">
        <v>9120.2999999999993</v>
      </c>
      <c r="O25" s="56">
        <v>9457.4</v>
      </c>
      <c r="P25" s="56">
        <v>9664.7199999999993</v>
      </c>
      <c r="Q25" s="56">
        <v>9820.2900000000009</v>
      </c>
      <c r="R25" s="56">
        <v>9867.5499999999993</v>
      </c>
      <c r="S25" s="56">
        <v>9608.85</v>
      </c>
      <c r="T25" s="56">
        <v>9543.77</v>
      </c>
      <c r="U25" s="56">
        <v>9723.6299999999992</v>
      </c>
      <c r="V25" s="56">
        <v>9102.61</v>
      </c>
      <c r="W25" s="56">
        <v>10103.74</v>
      </c>
      <c r="X25" s="56">
        <v>10492.45</v>
      </c>
      <c r="Y25" s="56">
        <v>10134.870000000001</v>
      </c>
      <c r="Z25" s="56">
        <v>9380.56</v>
      </c>
      <c r="AA25" s="56">
        <v>8035.73</v>
      </c>
      <c r="AB25" s="56">
        <v>7059.48</v>
      </c>
      <c r="AC25" s="67"/>
    </row>
    <row r="26" spans="2:31" ht="12.5" x14ac:dyDescent="0.25">
      <c r="B26" s="65" t="s">
        <v>36</v>
      </c>
      <c r="C26" s="4" t="s">
        <v>32</v>
      </c>
      <c r="D26" s="5">
        <v>2</v>
      </c>
      <c r="E26" s="56">
        <v>5948.69</v>
      </c>
      <c r="F26" s="56">
        <v>5551.2</v>
      </c>
      <c r="G26" s="56">
        <v>5349.68</v>
      </c>
      <c r="H26" s="56">
        <v>5214.99</v>
      </c>
      <c r="I26" s="56">
        <v>5278.71</v>
      </c>
      <c r="J26" s="56">
        <v>5358.14</v>
      </c>
      <c r="K26" s="56">
        <v>5576.88</v>
      </c>
      <c r="L26" s="56">
        <v>8456.31</v>
      </c>
      <c r="M26" s="56">
        <v>9035.9699999999993</v>
      </c>
      <c r="N26" s="56">
        <v>9679.14</v>
      </c>
      <c r="O26" s="56">
        <v>10126.290000000001</v>
      </c>
      <c r="P26" s="56">
        <v>10858.6</v>
      </c>
      <c r="Q26" s="56">
        <v>11121.88</v>
      </c>
      <c r="R26" s="56">
        <v>10923.79</v>
      </c>
      <c r="S26" s="56">
        <v>10444.709999999999</v>
      </c>
      <c r="T26" s="56">
        <v>10501.99</v>
      </c>
      <c r="U26" s="56">
        <v>10348.76</v>
      </c>
      <c r="V26" s="56">
        <v>9820.4699999999993</v>
      </c>
      <c r="W26" s="56">
        <v>10728.73</v>
      </c>
      <c r="X26" s="56">
        <v>11080.68</v>
      </c>
      <c r="Y26" s="56">
        <v>10628.78</v>
      </c>
      <c r="Z26" s="56">
        <v>9813.35</v>
      </c>
      <c r="AA26" s="56">
        <v>8454.32</v>
      </c>
      <c r="AB26" s="56">
        <v>7345.22</v>
      </c>
      <c r="AC26" s="68"/>
    </row>
    <row r="27" spans="2:31" ht="12.5" x14ac:dyDescent="0.25">
      <c r="B27" s="65" t="s">
        <v>37</v>
      </c>
      <c r="C27" s="4" t="s">
        <v>29</v>
      </c>
      <c r="D27" s="5">
        <v>20</v>
      </c>
      <c r="E27" s="56">
        <v>5745.15</v>
      </c>
      <c r="F27" s="56">
        <v>5422.14</v>
      </c>
      <c r="G27" s="56">
        <v>5285.8</v>
      </c>
      <c r="H27" s="56">
        <v>5249.9</v>
      </c>
      <c r="I27" s="56">
        <v>5697.34</v>
      </c>
      <c r="J27" s="56">
        <v>6892.78</v>
      </c>
      <c r="K27" s="56">
        <v>7895.58</v>
      </c>
      <c r="L27" s="56">
        <v>10754.42</v>
      </c>
      <c r="M27" s="56">
        <v>10789</v>
      </c>
      <c r="N27" s="56">
        <v>11070.31</v>
      </c>
      <c r="O27" s="56">
        <v>11544.74</v>
      </c>
      <c r="P27" s="56">
        <v>12009.61</v>
      </c>
      <c r="Q27" s="56">
        <v>11861.14</v>
      </c>
      <c r="R27" s="56">
        <v>11769.89</v>
      </c>
      <c r="S27" s="56">
        <v>12003.38</v>
      </c>
      <c r="T27" s="56">
        <v>11989.13</v>
      </c>
      <c r="U27" s="56">
        <v>12029.66</v>
      </c>
      <c r="V27" s="56">
        <v>10743.42</v>
      </c>
      <c r="W27" s="56">
        <v>11706.12</v>
      </c>
      <c r="X27" s="56">
        <v>12070.53</v>
      </c>
      <c r="Y27" s="56">
        <v>11436.86</v>
      </c>
      <c r="Z27" s="56">
        <v>10343.56</v>
      </c>
      <c r="AA27" s="56">
        <v>8835.0499999999993</v>
      </c>
      <c r="AB27" s="56">
        <v>7507.1</v>
      </c>
      <c r="AC27" s="66">
        <f>+SUM(E27:AB27)*D27+SUM(E28:AB28)*D28+SUM(E29:AB29)*D29+SUM(E30:AB30)*D30</f>
        <v>6741801.9200000009</v>
      </c>
    </row>
    <row r="28" spans="2:31" ht="12.5" x14ac:dyDescent="0.25">
      <c r="B28" s="65" t="s">
        <v>37</v>
      </c>
      <c r="C28" s="4" t="s">
        <v>30</v>
      </c>
      <c r="D28" s="5">
        <v>4</v>
      </c>
      <c r="E28" s="56">
        <v>5951.62</v>
      </c>
      <c r="F28" s="56">
        <v>5570.32</v>
      </c>
      <c r="G28" s="56">
        <v>5340.2</v>
      </c>
      <c r="H28" s="56">
        <v>5225.99</v>
      </c>
      <c r="I28" s="56">
        <v>5420.44</v>
      </c>
      <c r="J28" s="56">
        <v>5767.2</v>
      </c>
      <c r="K28" s="56">
        <v>6520.58</v>
      </c>
      <c r="L28" s="56">
        <v>10083.6</v>
      </c>
      <c r="M28" s="56">
        <v>10678.53</v>
      </c>
      <c r="N28" s="56">
        <v>11029.41</v>
      </c>
      <c r="O28" s="56">
        <v>11420.66</v>
      </c>
      <c r="P28" s="56">
        <v>11671.06</v>
      </c>
      <c r="Q28" s="56">
        <v>11688.09</v>
      </c>
      <c r="R28" s="56">
        <v>11414.61</v>
      </c>
      <c r="S28" s="56">
        <v>11147.56</v>
      </c>
      <c r="T28" s="56">
        <v>11081.52</v>
      </c>
      <c r="U28" s="56">
        <v>11058.52</v>
      </c>
      <c r="V28" s="56">
        <v>10095.219999999999</v>
      </c>
      <c r="W28" s="56">
        <v>10982.95</v>
      </c>
      <c r="X28" s="56">
        <v>11536.06</v>
      </c>
      <c r="Y28" s="56">
        <v>11000.39</v>
      </c>
      <c r="Z28" s="56">
        <v>10145.43</v>
      </c>
      <c r="AA28" s="56">
        <v>9106.5300000000007</v>
      </c>
      <c r="AB28" s="56">
        <v>7909.58</v>
      </c>
      <c r="AC28" s="67"/>
    </row>
    <row r="29" spans="2:31" ht="12.5" x14ac:dyDescent="0.25">
      <c r="B29" s="65" t="s">
        <v>37</v>
      </c>
      <c r="C29" s="4" t="s">
        <v>31</v>
      </c>
      <c r="D29" s="5">
        <v>4</v>
      </c>
      <c r="E29" s="56">
        <v>6413.62</v>
      </c>
      <c r="F29" s="56">
        <v>5894.6</v>
      </c>
      <c r="G29" s="56">
        <v>5594.75</v>
      </c>
      <c r="H29" s="56">
        <v>5435.99</v>
      </c>
      <c r="I29" s="56">
        <v>5345.19</v>
      </c>
      <c r="J29" s="56">
        <v>5255.36</v>
      </c>
      <c r="K29" s="56">
        <v>5498.02</v>
      </c>
      <c r="L29" s="56">
        <v>8501.34</v>
      </c>
      <c r="M29" s="56">
        <v>9280.9</v>
      </c>
      <c r="N29" s="56">
        <v>9885.35</v>
      </c>
      <c r="O29" s="56">
        <v>10200.39</v>
      </c>
      <c r="P29" s="56">
        <v>10469.469999999999</v>
      </c>
      <c r="Q29" s="56">
        <v>10579.21</v>
      </c>
      <c r="R29" s="56">
        <v>10471.39</v>
      </c>
      <c r="S29" s="56">
        <v>10163.459999999999</v>
      </c>
      <c r="T29" s="56">
        <v>10137.629999999999</v>
      </c>
      <c r="U29" s="56">
        <v>10230.36</v>
      </c>
      <c r="V29" s="56">
        <v>9360.23</v>
      </c>
      <c r="W29" s="56">
        <v>10261.83</v>
      </c>
      <c r="X29" s="56">
        <v>10915.66</v>
      </c>
      <c r="Y29" s="56">
        <v>10576.84</v>
      </c>
      <c r="Z29" s="56">
        <v>9793.02</v>
      </c>
      <c r="AA29" s="56">
        <v>8651.27</v>
      </c>
      <c r="AB29" s="56">
        <v>7429.66</v>
      </c>
      <c r="AC29" s="67"/>
    </row>
    <row r="30" spans="2:31" ht="12.5" x14ac:dyDescent="0.25">
      <c r="B30" s="65" t="s">
        <v>37</v>
      </c>
      <c r="C30" s="4" t="s">
        <v>32</v>
      </c>
      <c r="D30" s="5">
        <v>2</v>
      </c>
      <c r="E30" s="56">
        <v>5945.6</v>
      </c>
      <c r="F30" s="56">
        <v>5566.09</v>
      </c>
      <c r="G30" s="56">
        <v>5335</v>
      </c>
      <c r="H30" s="56">
        <v>5208.92</v>
      </c>
      <c r="I30" s="56">
        <v>5237.62</v>
      </c>
      <c r="J30" s="56">
        <v>5251.33</v>
      </c>
      <c r="K30" s="56">
        <v>5363.14</v>
      </c>
      <c r="L30" s="56">
        <v>8367.19</v>
      </c>
      <c r="M30" s="56">
        <v>8826.17</v>
      </c>
      <c r="N30" s="56">
        <v>9362.51</v>
      </c>
      <c r="O30" s="56">
        <v>10219.06</v>
      </c>
      <c r="P30" s="56">
        <v>10728.32</v>
      </c>
      <c r="Q30" s="56">
        <v>11142.33</v>
      </c>
      <c r="R30" s="56">
        <v>11004.5</v>
      </c>
      <c r="S30" s="56">
        <v>10772.75</v>
      </c>
      <c r="T30" s="56">
        <v>10643.03</v>
      </c>
      <c r="U30" s="56">
        <v>10588.99</v>
      </c>
      <c r="V30" s="56">
        <v>9619.44</v>
      </c>
      <c r="W30" s="56">
        <v>10605.65</v>
      </c>
      <c r="X30" s="56">
        <v>11272.43</v>
      </c>
      <c r="Y30" s="56">
        <v>10885.18</v>
      </c>
      <c r="Z30" s="56">
        <v>10033.379999999999</v>
      </c>
      <c r="AA30" s="56">
        <v>8664.34</v>
      </c>
      <c r="AB30" s="56">
        <v>7348.67</v>
      </c>
      <c r="AC30" s="68"/>
    </row>
    <row r="31" spans="2:31" ht="12.5" x14ac:dyDescent="0.25">
      <c r="B31" s="65" t="s">
        <v>38</v>
      </c>
      <c r="C31" s="4" t="s">
        <v>29</v>
      </c>
      <c r="D31" s="5">
        <v>18</v>
      </c>
      <c r="E31" s="56">
        <v>5806.93</v>
      </c>
      <c r="F31" s="56">
        <v>5485.46</v>
      </c>
      <c r="G31" s="56">
        <v>5324.27</v>
      </c>
      <c r="H31" s="56">
        <v>5314.64</v>
      </c>
      <c r="I31" s="56">
        <v>5754.91</v>
      </c>
      <c r="J31" s="56">
        <v>7138.25</v>
      </c>
      <c r="K31" s="56">
        <v>8093.26</v>
      </c>
      <c r="L31" s="56">
        <v>10574.33</v>
      </c>
      <c r="M31" s="56">
        <v>10602.21</v>
      </c>
      <c r="N31" s="56">
        <v>10836.82</v>
      </c>
      <c r="O31" s="56">
        <v>11172.53</v>
      </c>
      <c r="P31" s="56">
        <v>11826.67</v>
      </c>
      <c r="Q31" s="56">
        <v>11581.29</v>
      </c>
      <c r="R31" s="56">
        <v>11544.85</v>
      </c>
      <c r="S31" s="56">
        <v>11786.24</v>
      </c>
      <c r="T31" s="56">
        <v>11813.77</v>
      </c>
      <c r="U31" s="56">
        <v>11751.37</v>
      </c>
      <c r="V31" s="56">
        <v>10636.56</v>
      </c>
      <c r="W31" s="56">
        <v>11360.7</v>
      </c>
      <c r="X31" s="56">
        <v>12109.42</v>
      </c>
      <c r="Y31" s="56">
        <v>11559.57</v>
      </c>
      <c r="Z31" s="56">
        <v>10489.4</v>
      </c>
      <c r="AA31" s="56">
        <v>8866.4599999999991</v>
      </c>
      <c r="AB31" s="56">
        <v>7588.99</v>
      </c>
      <c r="AC31" s="66">
        <f>+SUM(E31:AB31)*D31+SUM(E32:AB32)*D32+SUM(E33:AB33)*D33+SUM(E34:AB34)*D34</f>
        <v>6834687.2799999993</v>
      </c>
    </row>
    <row r="32" spans="2:31" ht="12.5" x14ac:dyDescent="0.25">
      <c r="B32" s="65" t="s">
        <v>38</v>
      </c>
      <c r="C32" s="4" t="s">
        <v>30</v>
      </c>
      <c r="D32" s="5">
        <v>5</v>
      </c>
      <c r="E32" s="56">
        <v>6188.36</v>
      </c>
      <c r="F32" s="56">
        <v>5785.57</v>
      </c>
      <c r="G32" s="56">
        <v>5537.46</v>
      </c>
      <c r="H32" s="56">
        <v>5456.76</v>
      </c>
      <c r="I32" s="56">
        <v>5572.16</v>
      </c>
      <c r="J32" s="56">
        <v>5850.64</v>
      </c>
      <c r="K32" s="56">
        <v>6514.74</v>
      </c>
      <c r="L32" s="56">
        <v>9961.6200000000008</v>
      </c>
      <c r="M32" s="56">
        <v>10569.28</v>
      </c>
      <c r="N32" s="56">
        <v>10927.98</v>
      </c>
      <c r="O32" s="56">
        <v>11176.76</v>
      </c>
      <c r="P32" s="56">
        <v>11560.89</v>
      </c>
      <c r="Q32" s="56">
        <v>11678.15</v>
      </c>
      <c r="R32" s="56">
        <v>11424.36</v>
      </c>
      <c r="S32" s="56">
        <v>11224.74</v>
      </c>
      <c r="T32" s="56">
        <v>11018.59</v>
      </c>
      <c r="U32" s="56">
        <v>10892.81</v>
      </c>
      <c r="V32" s="56">
        <v>10065.09</v>
      </c>
      <c r="W32" s="56">
        <v>10702.23</v>
      </c>
      <c r="X32" s="56">
        <v>11383.38</v>
      </c>
      <c r="Y32" s="56">
        <v>10815.76</v>
      </c>
      <c r="Z32" s="56">
        <v>9942.7199999999993</v>
      </c>
      <c r="AA32" s="56">
        <v>8811.33</v>
      </c>
      <c r="AB32" s="56">
        <v>7747.12</v>
      </c>
      <c r="AC32" s="67"/>
    </row>
    <row r="33" spans="2:29" ht="12.5" x14ac:dyDescent="0.25">
      <c r="B33" s="65" t="s">
        <v>38</v>
      </c>
      <c r="C33" s="4" t="s">
        <v>31</v>
      </c>
      <c r="D33" s="5">
        <v>5</v>
      </c>
      <c r="E33" s="56">
        <v>6025.2</v>
      </c>
      <c r="F33" s="56">
        <v>5597.35</v>
      </c>
      <c r="G33" s="56">
        <v>5335.29</v>
      </c>
      <c r="H33" s="56">
        <v>5200.95</v>
      </c>
      <c r="I33" s="56">
        <v>5129.18</v>
      </c>
      <c r="J33" s="56">
        <v>5057.8999999999996</v>
      </c>
      <c r="K33" s="56">
        <v>5321.67</v>
      </c>
      <c r="L33" s="56">
        <v>8114.3</v>
      </c>
      <c r="M33" s="56">
        <v>8918.7000000000007</v>
      </c>
      <c r="N33" s="56">
        <v>9345.76</v>
      </c>
      <c r="O33" s="56">
        <v>9660.57</v>
      </c>
      <c r="P33" s="56">
        <v>10172.52</v>
      </c>
      <c r="Q33" s="56">
        <v>10312.049999999999</v>
      </c>
      <c r="R33" s="56">
        <v>10302.75</v>
      </c>
      <c r="S33" s="56">
        <v>10129.19</v>
      </c>
      <c r="T33" s="56">
        <v>10027.75</v>
      </c>
      <c r="U33" s="56">
        <v>9986.91</v>
      </c>
      <c r="V33" s="56">
        <v>9186.3799999999992</v>
      </c>
      <c r="W33" s="56">
        <v>10106.780000000001</v>
      </c>
      <c r="X33" s="56">
        <v>11035.79</v>
      </c>
      <c r="Y33" s="56">
        <v>10754.17</v>
      </c>
      <c r="Z33" s="56">
        <v>9780.75</v>
      </c>
      <c r="AA33" s="56">
        <v>8270.44</v>
      </c>
      <c r="AB33" s="56">
        <v>7073.28</v>
      </c>
      <c r="AC33" s="67"/>
    </row>
    <row r="34" spans="2:29" ht="12.5" x14ac:dyDescent="0.25">
      <c r="B34" s="65" t="s">
        <v>38</v>
      </c>
      <c r="C34" s="4" t="s">
        <v>32</v>
      </c>
      <c r="D34" s="5">
        <v>3</v>
      </c>
      <c r="E34" s="56">
        <v>6546.09</v>
      </c>
      <c r="F34" s="56">
        <v>6068.15</v>
      </c>
      <c r="G34" s="56">
        <v>5704.09</v>
      </c>
      <c r="H34" s="56">
        <v>5390.35</v>
      </c>
      <c r="I34" s="56">
        <v>5356.95</v>
      </c>
      <c r="J34" s="56">
        <v>5115.3599999999997</v>
      </c>
      <c r="K34" s="56">
        <v>5381.56</v>
      </c>
      <c r="L34" s="56">
        <v>8250.59</v>
      </c>
      <c r="M34" s="56">
        <v>9105.5499999999993</v>
      </c>
      <c r="N34" s="56">
        <v>9379.76</v>
      </c>
      <c r="O34" s="56">
        <v>9355.52</v>
      </c>
      <c r="P34" s="56">
        <v>9974.7000000000007</v>
      </c>
      <c r="Q34" s="56">
        <v>10280.040000000001</v>
      </c>
      <c r="R34" s="56">
        <v>10325.459999999999</v>
      </c>
      <c r="S34" s="56">
        <v>9802.0300000000007</v>
      </c>
      <c r="T34" s="56">
        <v>9734.26</v>
      </c>
      <c r="U34" s="56">
        <v>9777.56</v>
      </c>
      <c r="V34" s="56">
        <v>8983.01</v>
      </c>
      <c r="W34" s="56">
        <v>9740.1200000000008</v>
      </c>
      <c r="X34" s="56">
        <v>10774.35</v>
      </c>
      <c r="Y34" s="56">
        <v>10683.6</v>
      </c>
      <c r="Z34" s="56">
        <v>9794.11</v>
      </c>
      <c r="AA34" s="56">
        <v>8446.19</v>
      </c>
      <c r="AB34" s="56">
        <v>7389.41</v>
      </c>
      <c r="AC34" s="68"/>
    </row>
    <row r="35" spans="2:29" ht="12.5" x14ac:dyDescent="0.25">
      <c r="B35" s="65" t="s">
        <v>39</v>
      </c>
      <c r="C35" s="4" t="s">
        <v>29</v>
      </c>
      <c r="D35" s="5">
        <v>22</v>
      </c>
      <c r="E35" s="56">
        <v>5902.54</v>
      </c>
      <c r="F35" s="56">
        <v>5524.75</v>
      </c>
      <c r="G35" s="56">
        <v>5372.62</v>
      </c>
      <c r="H35" s="56">
        <v>5339.49</v>
      </c>
      <c r="I35" s="56">
        <v>5840.28</v>
      </c>
      <c r="J35" s="56">
        <v>7388.75</v>
      </c>
      <c r="K35" s="56">
        <v>8428.93</v>
      </c>
      <c r="L35" s="56">
        <v>10801.63</v>
      </c>
      <c r="M35" s="56">
        <v>10696.01</v>
      </c>
      <c r="N35" s="56">
        <v>10836.63</v>
      </c>
      <c r="O35" s="56">
        <v>11225.71</v>
      </c>
      <c r="P35" s="56">
        <v>11707.13</v>
      </c>
      <c r="Q35" s="56">
        <v>11528.32</v>
      </c>
      <c r="R35" s="56">
        <v>11515.15</v>
      </c>
      <c r="S35" s="56">
        <v>11813.28</v>
      </c>
      <c r="T35" s="56">
        <v>11876.67</v>
      </c>
      <c r="U35" s="56">
        <v>11885.31</v>
      </c>
      <c r="V35" s="56">
        <v>10852.56</v>
      </c>
      <c r="W35" s="56">
        <v>11757.9</v>
      </c>
      <c r="X35" s="56">
        <v>12420.99</v>
      </c>
      <c r="Y35" s="56">
        <v>11837.67</v>
      </c>
      <c r="Z35" s="56">
        <v>10694</v>
      </c>
      <c r="AA35" s="56">
        <v>9002.5499999999993</v>
      </c>
      <c r="AB35" s="56">
        <v>7698.77</v>
      </c>
      <c r="AC35" s="66">
        <f>+SUM(E35:AB35)*D35+SUM(E36:AB36)*D36+SUM(E37:AB37)*D37+SUM(E38:AB38)*D38</f>
        <v>7037826.0800000001</v>
      </c>
    </row>
    <row r="36" spans="2:29" ht="12.5" x14ac:dyDescent="0.25">
      <c r="B36" s="65" t="s">
        <v>39</v>
      </c>
      <c r="C36" s="4" t="s">
        <v>30</v>
      </c>
      <c r="D36" s="5">
        <v>4</v>
      </c>
      <c r="E36" s="56">
        <v>6239.19</v>
      </c>
      <c r="F36" s="56">
        <v>5831.24</v>
      </c>
      <c r="G36" s="56">
        <v>5574.06</v>
      </c>
      <c r="H36" s="56">
        <v>5454.33</v>
      </c>
      <c r="I36" s="56">
        <v>5573.38</v>
      </c>
      <c r="J36" s="56">
        <v>5883.95</v>
      </c>
      <c r="K36" s="56">
        <v>6664.03</v>
      </c>
      <c r="L36" s="56">
        <v>10081.469999999999</v>
      </c>
      <c r="M36" s="56">
        <v>10808.02</v>
      </c>
      <c r="N36" s="56">
        <v>11015.72</v>
      </c>
      <c r="O36" s="56">
        <v>11244.31</v>
      </c>
      <c r="P36" s="56">
        <v>11516.85</v>
      </c>
      <c r="Q36" s="56">
        <v>11598.43</v>
      </c>
      <c r="R36" s="56">
        <v>11614.61</v>
      </c>
      <c r="S36" s="56">
        <v>11341.78</v>
      </c>
      <c r="T36" s="56">
        <v>11224.82</v>
      </c>
      <c r="U36" s="56">
        <v>11155.06</v>
      </c>
      <c r="V36" s="56">
        <v>10427.700000000001</v>
      </c>
      <c r="W36" s="56">
        <v>11203.07</v>
      </c>
      <c r="X36" s="56">
        <v>11734.35</v>
      </c>
      <c r="Y36" s="56">
        <v>11094.14</v>
      </c>
      <c r="Z36" s="56">
        <v>10205.1</v>
      </c>
      <c r="AA36" s="56">
        <v>8905.01</v>
      </c>
      <c r="AB36" s="56">
        <v>7850.87</v>
      </c>
      <c r="AC36" s="67"/>
    </row>
    <row r="37" spans="2:29" ht="12.5" x14ac:dyDescent="0.25">
      <c r="B37" s="65" t="s">
        <v>39</v>
      </c>
      <c r="C37" s="4" t="s">
        <v>31</v>
      </c>
      <c r="D37" s="5">
        <v>3</v>
      </c>
      <c r="E37" s="56">
        <v>6234.24</v>
      </c>
      <c r="F37" s="56">
        <v>5808.06</v>
      </c>
      <c r="G37" s="56">
        <v>5497.15</v>
      </c>
      <c r="H37" s="56">
        <v>5323.1</v>
      </c>
      <c r="I37" s="56">
        <v>5254.37</v>
      </c>
      <c r="J37" s="56">
        <v>5284.1</v>
      </c>
      <c r="K37" s="56">
        <v>5429.59</v>
      </c>
      <c r="L37" s="56">
        <v>8307.5</v>
      </c>
      <c r="M37" s="56">
        <v>9046.91</v>
      </c>
      <c r="N37" s="56">
        <v>9574.73</v>
      </c>
      <c r="O37" s="56">
        <v>9914.1200000000008</v>
      </c>
      <c r="P37" s="56">
        <v>10388.200000000001</v>
      </c>
      <c r="Q37" s="56">
        <v>10634.56</v>
      </c>
      <c r="R37" s="56">
        <v>10509.9</v>
      </c>
      <c r="S37" s="56">
        <v>10244.41</v>
      </c>
      <c r="T37" s="56">
        <v>10202.24</v>
      </c>
      <c r="U37" s="56">
        <v>10315.33</v>
      </c>
      <c r="V37" s="56">
        <v>9659.2000000000007</v>
      </c>
      <c r="W37" s="56">
        <v>10684.74</v>
      </c>
      <c r="X37" s="56">
        <v>11309.57</v>
      </c>
      <c r="Y37" s="56">
        <v>10851.15</v>
      </c>
      <c r="Z37" s="56">
        <v>9779.19</v>
      </c>
      <c r="AA37" s="56">
        <v>8420.59</v>
      </c>
      <c r="AB37" s="56">
        <v>7314.65</v>
      </c>
      <c r="AC37" s="67"/>
    </row>
    <row r="38" spans="2:29" ht="12.5" x14ac:dyDescent="0.25">
      <c r="B38" s="65" t="s">
        <v>39</v>
      </c>
      <c r="C38" s="4" t="s">
        <v>32</v>
      </c>
      <c r="D38" s="5">
        <v>2</v>
      </c>
      <c r="E38" s="56">
        <v>6015.35</v>
      </c>
      <c r="F38" s="56">
        <v>5565.25</v>
      </c>
      <c r="G38" s="56">
        <v>5395.72</v>
      </c>
      <c r="H38" s="56">
        <v>5310.83</v>
      </c>
      <c r="I38" s="56">
        <v>5412.07</v>
      </c>
      <c r="J38" s="56">
        <v>5528.88</v>
      </c>
      <c r="K38" s="56">
        <v>5696.65</v>
      </c>
      <c r="L38" s="56">
        <v>8562.4500000000007</v>
      </c>
      <c r="M38" s="56">
        <v>9149.1</v>
      </c>
      <c r="N38" s="56">
        <v>9586.39</v>
      </c>
      <c r="O38" s="56">
        <v>10201.459999999999</v>
      </c>
      <c r="P38" s="56">
        <v>10537.38</v>
      </c>
      <c r="Q38" s="56">
        <v>10700.55</v>
      </c>
      <c r="R38" s="56">
        <v>10957.44</v>
      </c>
      <c r="S38" s="56">
        <v>10821.27</v>
      </c>
      <c r="T38" s="56">
        <v>10563.85</v>
      </c>
      <c r="U38" s="56">
        <v>10792.45</v>
      </c>
      <c r="V38" s="56">
        <v>10251.6</v>
      </c>
      <c r="W38" s="56">
        <v>11116.53</v>
      </c>
      <c r="X38" s="56">
        <v>11550.81</v>
      </c>
      <c r="Y38" s="56">
        <v>10945.62</v>
      </c>
      <c r="Z38" s="56">
        <v>9817.73</v>
      </c>
      <c r="AA38" s="56">
        <v>8396.9699999999993</v>
      </c>
      <c r="AB38" s="56">
        <v>7148.27</v>
      </c>
      <c r="AC38" s="68"/>
    </row>
    <row r="39" spans="2:29" ht="12.5" x14ac:dyDescent="0.25">
      <c r="B39" s="65" t="s">
        <v>40</v>
      </c>
      <c r="C39" s="4" t="s">
        <v>29</v>
      </c>
      <c r="D39" s="5">
        <v>22</v>
      </c>
      <c r="E39" s="56">
        <v>5786.69</v>
      </c>
      <c r="F39" s="56">
        <v>5460.46</v>
      </c>
      <c r="G39" s="56">
        <v>5327.38</v>
      </c>
      <c r="H39" s="56">
        <v>5260.42</v>
      </c>
      <c r="I39" s="56">
        <v>5746.45</v>
      </c>
      <c r="J39" s="56">
        <v>7170.33</v>
      </c>
      <c r="K39" s="56">
        <v>8217.61</v>
      </c>
      <c r="L39" s="56">
        <v>10707.5</v>
      </c>
      <c r="M39" s="56">
        <v>10609.78</v>
      </c>
      <c r="N39" s="56">
        <v>10773.35</v>
      </c>
      <c r="O39" s="56">
        <v>11175.67</v>
      </c>
      <c r="P39" s="56">
        <v>11733.89</v>
      </c>
      <c r="Q39" s="56">
        <v>11502.9</v>
      </c>
      <c r="R39" s="56">
        <v>11411.68</v>
      </c>
      <c r="S39" s="56">
        <v>11715.25</v>
      </c>
      <c r="T39" s="56">
        <v>11820.2</v>
      </c>
      <c r="U39" s="56">
        <v>11798.24</v>
      </c>
      <c r="V39" s="56">
        <v>10721.56</v>
      </c>
      <c r="W39" s="56">
        <v>11814.21</v>
      </c>
      <c r="X39" s="56">
        <v>12096.97</v>
      </c>
      <c r="Y39" s="56">
        <v>11484.19</v>
      </c>
      <c r="Z39" s="56">
        <v>10448.6</v>
      </c>
      <c r="AA39" s="56">
        <v>8803.36</v>
      </c>
      <c r="AB39" s="56">
        <v>7455.43</v>
      </c>
      <c r="AC39" s="66">
        <f>+SUM(E39:AB39)*D39+SUM(E40:AB40)*D40+SUM(E41:AB41)*D41+SUM(E42:AB42)*D42</f>
        <v>6731304</v>
      </c>
    </row>
    <row r="40" spans="2:29" ht="12.5" x14ac:dyDescent="0.25">
      <c r="B40" s="65" t="s">
        <v>40</v>
      </c>
      <c r="C40" s="4" t="s">
        <v>30</v>
      </c>
      <c r="D40" s="5">
        <v>4</v>
      </c>
      <c r="E40" s="56">
        <v>5999.15</v>
      </c>
      <c r="F40" s="56">
        <v>5565.52</v>
      </c>
      <c r="G40" s="56">
        <v>5380.17</v>
      </c>
      <c r="H40" s="56">
        <v>5281.67</v>
      </c>
      <c r="I40" s="56">
        <v>5421.43</v>
      </c>
      <c r="J40" s="56">
        <v>5855.5</v>
      </c>
      <c r="K40" s="56">
        <v>6539.78</v>
      </c>
      <c r="L40" s="56">
        <v>10037.200000000001</v>
      </c>
      <c r="M40" s="56">
        <v>10594.1</v>
      </c>
      <c r="N40" s="56">
        <v>10913.76</v>
      </c>
      <c r="O40" s="56">
        <v>11300.28</v>
      </c>
      <c r="P40" s="56">
        <v>11522.96</v>
      </c>
      <c r="Q40" s="56">
        <v>11514</v>
      </c>
      <c r="R40" s="56">
        <v>11382.24</v>
      </c>
      <c r="S40" s="56">
        <v>11166.08</v>
      </c>
      <c r="T40" s="56">
        <v>11103.88</v>
      </c>
      <c r="U40" s="56">
        <v>11277.89</v>
      </c>
      <c r="V40" s="56">
        <v>10268.36</v>
      </c>
      <c r="W40" s="56">
        <v>11291.35</v>
      </c>
      <c r="X40" s="56">
        <v>11424.22</v>
      </c>
      <c r="Y40" s="56">
        <v>10824.83</v>
      </c>
      <c r="Z40" s="56">
        <v>9861.42</v>
      </c>
      <c r="AA40" s="56">
        <v>8804.36</v>
      </c>
      <c r="AB40" s="56">
        <v>7646.44</v>
      </c>
      <c r="AC40" s="67"/>
    </row>
    <row r="41" spans="2:29" ht="12.5" x14ac:dyDescent="0.25">
      <c r="B41" s="65" t="s">
        <v>40</v>
      </c>
      <c r="C41" s="4" t="s">
        <v>31</v>
      </c>
      <c r="D41" s="5">
        <v>4</v>
      </c>
      <c r="E41" s="56">
        <v>6170.76</v>
      </c>
      <c r="F41" s="56">
        <v>5725.31</v>
      </c>
      <c r="G41" s="56">
        <v>5404.3</v>
      </c>
      <c r="H41" s="56">
        <v>5271.61</v>
      </c>
      <c r="I41" s="56">
        <v>5131.47</v>
      </c>
      <c r="J41" s="56">
        <v>5058.76</v>
      </c>
      <c r="K41" s="56">
        <v>5313.59</v>
      </c>
      <c r="L41" s="56">
        <v>8204.73</v>
      </c>
      <c r="M41" s="56">
        <v>8792.16</v>
      </c>
      <c r="N41" s="56">
        <v>9243.24</v>
      </c>
      <c r="O41" s="56">
        <v>9699.02</v>
      </c>
      <c r="P41" s="56">
        <v>10188.120000000001</v>
      </c>
      <c r="Q41" s="56">
        <v>10539.13</v>
      </c>
      <c r="R41" s="56">
        <v>10504.48</v>
      </c>
      <c r="S41" s="56">
        <v>10263.39</v>
      </c>
      <c r="T41" s="56">
        <v>10129.86</v>
      </c>
      <c r="U41" s="56">
        <v>10169.780000000001</v>
      </c>
      <c r="V41" s="56">
        <v>9590.26</v>
      </c>
      <c r="W41" s="56">
        <v>10575.64</v>
      </c>
      <c r="X41" s="56">
        <v>11052.9</v>
      </c>
      <c r="Y41" s="56">
        <v>10447.99</v>
      </c>
      <c r="Z41" s="56">
        <v>9572.2900000000009</v>
      </c>
      <c r="AA41" s="56">
        <v>8099.92</v>
      </c>
      <c r="AB41" s="56">
        <v>6969.04</v>
      </c>
      <c r="AC41" s="67"/>
    </row>
    <row r="42" spans="2:29" ht="12.5" x14ac:dyDescent="0.25">
      <c r="B42" s="65" t="s">
        <v>40</v>
      </c>
      <c r="C42" s="4" t="s">
        <v>32</v>
      </c>
      <c r="D42" s="5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68"/>
    </row>
    <row r="43" spans="2:29" ht="12.5" x14ac:dyDescent="0.25">
      <c r="B43" s="65" t="s">
        <v>41</v>
      </c>
      <c r="C43" s="4" t="s">
        <v>29</v>
      </c>
      <c r="D43" s="5">
        <v>20</v>
      </c>
      <c r="E43" s="56">
        <v>5842.26</v>
      </c>
      <c r="F43" s="56">
        <v>5487.88</v>
      </c>
      <c r="G43" s="56">
        <v>5344.22</v>
      </c>
      <c r="H43" s="56">
        <v>5313.07</v>
      </c>
      <c r="I43" s="56">
        <v>5787.32</v>
      </c>
      <c r="J43" s="56">
        <v>7141.19</v>
      </c>
      <c r="K43" s="56">
        <v>8128.79</v>
      </c>
      <c r="L43" s="56">
        <v>10701.18</v>
      </c>
      <c r="M43" s="56">
        <v>10659.97</v>
      </c>
      <c r="N43" s="56">
        <v>10824.59</v>
      </c>
      <c r="O43" s="56">
        <v>11254.94</v>
      </c>
      <c r="P43" s="56">
        <v>11843.01</v>
      </c>
      <c r="Q43" s="56">
        <v>11637.48</v>
      </c>
      <c r="R43" s="56">
        <v>11589.25</v>
      </c>
      <c r="S43" s="56">
        <v>11839.99</v>
      </c>
      <c r="T43" s="56">
        <v>11976.43</v>
      </c>
      <c r="U43" s="56">
        <v>12025.76</v>
      </c>
      <c r="V43" s="56">
        <v>11168.71</v>
      </c>
      <c r="W43" s="56">
        <v>12308.93</v>
      </c>
      <c r="X43" s="56">
        <v>12259.86</v>
      </c>
      <c r="Y43" s="56">
        <v>11603.92</v>
      </c>
      <c r="Z43" s="56">
        <v>10615.35</v>
      </c>
      <c r="AA43" s="56">
        <v>8947.7900000000009</v>
      </c>
      <c r="AB43" s="56">
        <v>7579.47</v>
      </c>
      <c r="AC43" s="66">
        <f>+SUM(E43:AB43)*D43+SUM(E44:AB44)*D44+SUM(E45:AB45)*D45+SUM(E46:AB46)*D46</f>
        <v>7015453.0199999996</v>
      </c>
    </row>
    <row r="44" spans="2:29" ht="12.5" x14ac:dyDescent="0.25">
      <c r="B44" s="65" t="s">
        <v>41</v>
      </c>
      <c r="C44" s="4" t="s">
        <v>30</v>
      </c>
      <c r="D44" s="5">
        <v>5</v>
      </c>
      <c r="E44" s="56">
        <v>6149.92</v>
      </c>
      <c r="F44" s="56">
        <v>5716.87</v>
      </c>
      <c r="G44" s="56">
        <v>5499.27</v>
      </c>
      <c r="H44" s="56">
        <v>5390.38</v>
      </c>
      <c r="I44" s="56">
        <v>5500.73</v>
      </c>
      <c r="J44" s="56">
        <v>5834.54</v>
      </c>
      <c r="K44" s="56">
        <v>6531.32</v>
      </c>
      <c r="L44" s="56">
        <v>9972.3700000000008</v>
      </c>
      <c r="M44" s="56">
        <v>10515.83</v>
      </c>
      <c r="N44" s="56">
        <v>10929.41</v>
      </c>
      <c r="O44" s="56">
        <v>11223.92</v>
      </c>
      <c r="P44" s="56">
        <v>11640.74</v>
      </c>
      <c r="Q44" s="56">
        <v>11779.33</v>
      </c>
      <c r="R44" s="56">
        <v>11547.96</v>
      </c>
      <c r="S44" s="56">
        <v>11507.52</v>
      </c>
      <c r="T44" s="56">
        <v>11419.72</v>
      </c>
      <c r="U44" s="56">
        <v>11509.83</v>
      </c>
      <c r="V44" s="56">
        <v>10701.84</v>
      </c>
      <c r="W44" s="56">
        <v>11924.42</v>
      </c>
      <c r="X44" s="56">
        <v>11877.2</v>
      </c>
      <c r="Y44" s="56">
        <v>11267.23</v>
      </c>
      <c r="Z44" s="56">
        <v>10361</v>
      </c>
      <c r="AA44" s="56">
        <v>9190.91</v>
      </c>
      <c r="AB44" s="56">
        <v>8020.67</v>
      </c>
      <c r="AC44" s="67"/>
    </row>
    <row r="45" spans="2:29" ht="12.5" x14ac:dyDescent="0.25">
      <c r="B45" s="65" t="s">
        <v>41</v>
      </c>
      <c r="C45" s="4" t="s">
        <v>31</v>
      </c>
      <c r="D45" s="5">
        <v>5</v>
      </c>
      <c r="E45" s="56">
        <v>6342.22</v>
      </c>
      <c r="F45" s="56">
        <v>5818.84</v>
      </c>
      <c r="G45" s="56">
        <v>5495.52</v>
      </c>
      <c r="H45" s="56">
        <v>5347.73</v>
      </c>
      <c r="I45" s="56">
        <v>5362.4</v>
      </c>
      <c r="J45" s="56">
        <v>5247.02</v>
      </c>
      <c r="K45" s="56">
        <v>5383.03</v>
      </c>
      <c r="L45" s="56">
        <v>8086.69</v>
      </c>
      <c r="M45" s="56">
        <v>8873.74</v>
      </c>
      <c r="N45" s="56">
        <v>9423.51</v>
      </c>
      <c r="O45" s="56">
        <v>9986.7900000000009</v>
      </c>
      <c r="P45" s="56">
        <v>10477.52</v>
      </c>
      <c r="Q45" s="56">
        <v>10738.35</v>
      </c>
      <c r="R45" s="56">
        <v>10665.99</v>
      </c>
      <c r="S45" s="56">
        <v>10329.530000000001</v>
      </c>
      <c r="T45" s="56">
        <v>10365.19</v>
      </c>
      <c r="U45" s="56">
        <v>10403.84</v>
      </c>
      <c r="V45" s="56">
        <v>9942.27</v>
      </c>
      <c r="W45" s="56">
        <v>11257.88</v>
      </c>
      <c r="X45" s="56">
        <v>11426.02</v>
      </c>
      <c r="Y45" s="56">
        <v>10892.69</v>
      </c>
      <c r="Z45" s="56">
        <v>9884.98</v>
      </c>
      <c r="AA45" s="56">
        <v>8529.91</v>
      </c>
      <c r="AB45" s="56">
        <v>7353.02</v>
      </c>
      <c r="AC45" s="67"/>
    </row>
    <row r="46" spans="2:29" ht="12.5" x14ac:dyDescent="0.25">
      <c r="B46" s="65" t="s">
        <v>41</v>
      </c>
      <c r="C46" s="4" t="s">
        <v>32</v>
      </c>
      <c r="D46" s="5">
        <v>1</v>
      </c>
      <c r="E46" s="56">
        <v>5899.59</v>
      </c>
      <c r="F46" s="56">
        <v>5506.03</v>
      </c>
      <c r="G46" s="56">
        <v>5279.39</v>
      </c>
      <c r="H46" s="56">
        <v>5221.9399999999996</v>
      </c>
      <c r="I46" s="56">
        <v>5339.61</v>
      </c>
      <c r="J46" s="56">
        <v>5264.44</v>
      </c>
      <c r="K46" s="56">
        <v>5403.36</v>
      </c>
      <c r="L46" s="56">
        <v>8190.43</v>
      </c>
      <c r="M46" s="56">
        <v>8828.4</v>
      </c>
      <c r="N46" s="56">
        <v>9590.39</v>
      </c>
      <c r="O46" s="56">
        <v>10176.06</v>
      </c>
      <c r="P46" s="56">
        <v>10669.01</v>
      </c>
      <c r="Q46" s="56">
        <v>11109.97</v>
      </c>
      <c r="R46" s="56">
        <v>10948.63</v>
      </c>
      <c r="S46" s="56">
        <v>10725.23</v>
      </c>
      <c r="T46" s="56">
        <v>10559.44</v>
      </c>
      <c r="U46" s="56">
        <v>10658.91</v>
      </c>
      <c r="V46" s="56">
        <v>10353.23</v>
      </c>
      <c r="W46" s="56">
        <v>11766.26</v>
      </c>
      <c r="X46" s="56">
        <v>11501.33</v>
      </c>
      <c r="Y46" s="56">
        <v>11069.8</v>
      </c>
      <c r="Z46" s="56">
        <v>9972.36</v>
      </c>
      <c r="AA46" s="56">
        <v>8423.9699999999993</v>
      </c>
      <c r="AB46" s="56">
        <v>7129.99</v>
      </c>
      <c r="AC46" s="68"/>
    </row>
    <row r="47" spans="2:29" ht="12.5" x14ac:dyDescent="0.25">
      <c r="B47" s="65" t="s">
        <v>42</v>
      </c>
      <c r="C47" s="4" t="s">
        <v>29</v>
      </c>
      <c r="D47" s="5">
        <v>20</v>
      </c>
      <c r="E47" s="56">
        <v>5802.22</v>
      </c>
      <c r="F47" s="56">
        <v>5453.89</v>
      </c>
      <c r="G47" s="56">
        <v>5405.36</v>
      </c>
      <c r="H47" s="56">
        <v>5358.74</v>
      </c>
      <c r="I47" s="56">
        <v>5860.58</v>
      </c>
      <c r="J47" s="56">
        <v>7233.21</v>
      </c>
      <c r="K47" s="56">
        <v>8395.64</v>
      </c>
      <c r="L47" s="56">
        <v>10972.2</v>
      </c>
      <c r="M47" s="56">
        <v>10891.59</v>
      </c>
      <c r="N47" s="56">
        <v>10995.19</v>
      </c>
      <c r="O47" s="56">
        <v>11526.32</v>
      </c>
      <c r="P47" s="56">
        <v>12001.05</v>
      </c>
      <c r="Q47" s="56">
        <v>11747.7</v>
      </c>
      <c r="R47" s="56">
        <v>11672.33</v>
      </c>
      <c r="S47" s="56">
        <v>11983.06</v>
      </c>
      <c r="T47" s="56">
        <v>12148.48</v>
      </c>
      <c r="U47" s="56">
        <v>12195.38</v>
      </c>
      <c r="V47" s="56">
        <v>11336.07</v>
      </c>
      <c r="W47" s="56">
        <v>12398.15</v>
      </c>
      <c r="X47" s="56">
        <v>12223.28</v>
      </c>
      <c r="Y47" s="56">
        <v>11663.04</v>
      </c>
      <c r="Z47" s="56">
        <v>10608.36</v>
      </c>
      <c r="AA47" s="56">
        <v>8919.9500000000007</v>
      </c>
      <c r="AB47" s="56">
        <v>7597.42</v>
      </c>
      <c r="AC47" s="66">
        <f>+SUM(E47:AB47)*D47+SUM(E48:AB48)*D48+SUM(E49:AB49)*D49+SUM(E50:AB50)*D50</f>
        <v>6853943.6600000001</v>
      </c>
    </row>
    <row r="48" spans="2:29" ht="12.5" x14ac:dyDescent="0.25">
      <c r="B48" s="65" t="s">
        <v>42</v>
      </c>
      <c r="C48" s="4" t="s">
        <v>30</v>
      </c>
      <c r="D48" s="5">
        <v>4</v>
      </c>
      <c r="E48" s="56">
        <v>6165.61</v>
      </c>
      <c r="F48" s="56">
        <v>5763.32</v>
      </c>
      <c r="G48" s="56">
        <v>5506.23</v>
      </c>
      <c r="H48" s="56">
        <v>5444.02</v>
      </c>
      <c r="I48" s="56">
        <v>5635.12</v>
      </c>
      <c r="J48" s="56">
        <v>5982.42</v>
      </c>
      <c r="K48" s="56">
        <v>6786.73</v>
      </c>
      <c r="L48" s="56">
        <v>10215.040000000001</v>
      </c>
      <c r="M48" s="56">
        <v>10764.79</v>
      </c>
      <c r="N48" s="56">
        <v>11083.36</v>
      </c>
      <c r="O48" s="56">
        <v>11385.91</v>
      </c>
      <c r="P48" s="56">
        <v>11698.75</v>
      </c>
      <c r="Q48" s="56">
        <v>11707.39</v>
      </c>
      <c r="R48" s="56">
        <v>11496.84</v>
      </c>
      <c r="S48" s="56">
        <v>11351.39</v>
      </c>
      <c r="T48" s="56">
        <v>11314.91</v>
      </c>
      <c r="U48" s="56">
        <v>11418.54</v>
      </c>
      <c r="V48" s="56">
        <v>10759.49</v>
      </c>
      <c r="W48" s="56">
        <v>11943.28</v>
      </c>
      <c r="X48" s="56">
        <v>11875.96</v>
      </c>
      <c r="Y48" s="56">
        <v>11245.29</v>
      </c>
      <c r="Z48" s="56">
        <v>10282.39</v>
      </c>
      <c r="AA48" s="56">
        <v>9178.82</v>
      </c>
      <c r="AB48" s="56">
        <v>7985.14</v>
      </c>
      <c r="AC48" s="67"/>
    </row>
    <row r="49" spans="2:29" ht="12.5" x14ac:dyDescent="0.25">
      <c r="B49" s="65" t="s">
        <v>42</v>
      </c>
      <c r="C49" s="4" t="s">
        <v>31</v>
      </c>
      <c r="D49" s="5">
        <v>4</v>
      </c>
      <c r="E49" s="56">
        <v>6419.75</v>
      </c>
      <c r="F49" s="56">
        <v>6003.93</v>
      </c>
      <c r="G49" s="56">
        <v>5671.51</v>
      </c>
      <c r="H49" s="56">
        <v>5522.13</v>
      </c>
      <c r="I49" s="56">
        <v>5423.03</v>
      </c>
      <c r="J49" s="56">
        <v>5426.85</v>
      </c>
      <c r="K49" s="56">
        <v>5461.7</v>
      </c>
      <c r="L49" s="56">
        <v>8372.58</v>
      </c>
      <c r="M49" s="56">
        <v>9236.67</v>
      </c>
      <c r="N49" s="56">
        <v>9730.3799999999992</v>
      </c>
      <c r="O49" s="56">
        <v>10032.1</v>
      </c>
      <c r="P49" s="56">
        <v>10444.48</v>
      </c>
      <c r="Q49" s="56">
        <v>10752.5</v>
      </c>
      <c r="R49" s="56">
        <v>10685.51</v>
      </c>
      <c r="S49" s="56">
        <v>10550.21</v>
      </c>
      <c r="T49" s="56">
        <v>10473.459999999999</v>
      </c>
      <c r="U49" s="56">
        <v>10669.04</v>
      </c>
      <c r="V49" s="56">
        <v>9974.39</v>
      </c>
      <c r="W49" s="56">
        <v>11208.31</v>
      </c>
      <c r="X49" s="56">
        <v>11266.47</v>
      </c>
      <c r="Y49" s="56">
        <v>10746.68</v>
      </c>
      <c r="Z49" s="56">
        <v>9844.77</v>
      </c>
      <c r="AA49" s="56">
        <v>8445.14</v>
      </c>
      <c r="AB49" s="56">
        <v>7325.8</v>
      </c>
      <c r="AC49" s="67"/>
    </row>
    <row r="50" spans="2:29" ht="12.5" x14ac:dyDescent="0.25">
      <c r="B50" s="65" t="s">
        <v>42</v>
      </c>
      <c r="C50" s="4" t="s">
        <v>32</v>
      </c>
      <c r="D50" s="5">
        <v>2</v>
      </c>
      <c r="E50" s="56">
        <v>5963.8</v>
      </c>
      <c r="F50" s="56">
        <v>5560.64</v>
      </c>
      <c r="G50" s="56">
        <v>5387.68</v>
      </c>
      <c r="H50" s="56">
        <v>5219.95</v>
      </c>
      <c r="I50" s="56">
        <v>5243.48</v>
      </c>
      <c r="J50" s="56">
        <v>5346.12</v>
      </c>
      <c r="K50" s="56">
        <v>5445.12</v>
      </c>
      <c r="L50" s="56">
        <v>8319.7800000000007</v>
      </c>
      <c r="M50" s="56">
        <v>8927.35</v>
      </c>
      <c r="N50" s="56">
        <v>9467.2099999999991</v>
      </c>
      <c r="O50" s="56">
        <v>10149.57</v>
      </c>
      <c r="P50" s="56">
        <v>10734.64</v>
      </c>
      <c r="Q50" s="56">
        <v>10970.47</v>
      </c>
      <c r="R50" s="56">
        <v>10891.67</v>
      </c>
      <c r="S50" s="56">
        <v>10783.7</v>
      </c>
      <c r="T50" s="56">
        <v>10785.56</v>
      </c>
      <c r="U50" s="56">
        <v>11017.17</v>
      </c>
      <c r="V50" s="56">
        <v>10412.799999999999</v>
      </c>
      <c r="W50" s="56">
        <v>11584.72</v>
      </c>
      <c r="X50" s="56">
        <v>11609.02</v>
      </c>
      <c r="Y50" s="56">
        <v>10930.37</v>
      </c>
      <c r="Z50" s="56">
        <v>9712.15</v>
      </c>
      <c r="AA50" s="56">
        <v>8139.93</v>
      </c>
      <c r="AB50" s="56">
        <v>7120.57</v>
      </c>
      <c r="AC50" s="68"/>
    </row>
    <row r="51" spans="2:29" ht="12.5" x14ac:dyDescent="0.25">
      <c r="B51" s="65" t="s">
        <v>43</v>
      </c>
      <c r="C51" s="4" t="s">
        <v>29</v>
      </c>
      <c r="D51" s="5">
        <v>21</v>
      </c>
      <c r="E51" s="56">
        <v>6163.59</v>
      </c>
      <c r="F51" s="56">
        <v>5712.52</v>
      </c>
      <c r="G51" s="56">
        <v>5507.46</v>
      </c>
      <c r="H51" s="56">
        <v>5432.68</v>
      </c>
      <c r="I51" s="56">
        <v>5739.32</v>
      </c>
      <c r="J51" s="56">
        <v>6465.28</v>
      </c>
      <c r="K51" s="56">
        <v>7206.75</v>
      </c>
      <c r="L51" s="56">
        <v>10379.26</v>
      </c>
      <c r="M51" s="56">
        <v>10762.92</v>
      </c>
      <c r="N51" s="56">
        <v>11039.61</v>
      </c>
      <c r="O51" s="56">
        <v>11459.93</v>
      </c>
      <c r="P51" s="56">
        <v>12054.75</v>
      </c>
      <c r="Q51" s="56">
        <v>11892.03</v>
      </c>
      <c r="R51" s="56">
        <v>11556</v>
      </c>
      <c r="S51" s="56">
        <v>11942.75</v>
      </c>
      <c r="T51" s="56">
        <v>12014.61</v>
      </c>
      <c r="U51" s="56">
        <v>12021.83</v>
      </c>
      <c r="V51" s="56">
        <v>11032.7</v>
      </c>
      <c r="W51" s="56">
        <v>12372.15</v>
      </c>
      <c r="X51" s="56">
        <v>12395.36</v>
      </c>
      <c r="Y51" s="56">
        <v>11758.06</v>
      </c>
      <c r="Z51" s="56">
        <v>10776.72</v>
      </c>
      <c r="AA51" s="56">
        <v>9267.43</v>
      </c>
      <c r="AB51" s="56">
        <v>8013.61</v>
      </c>
      <c r="AC51" s="66">
        <f>+SUM(E51:AB51)*D51+SUM(E52:AB52)*D52+SUM(E53:AB53)*D53+SUM(E54:AB54)*D54</f>
        <v>7076522.2100000009</v>
      </c>
    </row>
    <row r="52" spans="2:29" ht="12.5" x14ac:dyDescent="0.25">
      <c r="B52" s="65" t="s">
        <v>43</v>
      </c>
      <c r="C52" s="4" t="s">
        <v>30</v>
      </c>
      <c r="D52" s="5">
        <v>5</v>
      </c>
      <c r="E52" s="56">
        <v>6354.25</v>
      </c>
      <c r="F52" s="56">
        <v>5906.38</v>
      </c>
      <c r="G52" s="56">
        <v>5670.99</v>
      </c>
      <c r="H52" s="56">
        <v>5483.2</v>
      </c>
      <c r="I52" s="56">
        <v>5717.84</v>
      </c>
      <c r="J52" s="56">
        <v>6059.62</v>
      </c>
      <c r="K52" s="56">
        <v>6632.74</v>
      </c>
      <c r="L52" s="56">
        <v>10000.91</v>
      </c>
      <c r="M52" s="56">
        <v>10620.37</v>
      </c>
      <c r="N52" s="56">
        <v>10993.39</v>
      </c>
      <c r="O52" s="56">
        <v>11301.25</v>
      </c>
      <c r="P52" s="56">
        <v>11658.21</v>
      </c>
      <c r="Q52" s="56">
        <v>11665.05</v>
      </c>
      <c r="R52" s="56">
        <v>11486.72</v>
      </c>
      <c r="S52" s="56">
        <v>11466.34</v>
      </c>
      <c r="T52" s="56">
        <v>11332.08</v>
      </c>
      <c r="U52" s="56">
        <v>11427.59</v>
      </c>
      <c r="V52" s="56">
        <v>10441.57</v>
      </c>
      <c r="W52" s="56">
        <v>11994.24</v>
      </c>
      <c r="X52" s="56">
        <v>12098.79</v>
      </c>
      <c r="Y52" s="56">
        <v>11572.88</v>
      </c>
      <c r="Z52" s="56">
        <v>10735.16</v>
      </c>
      <c r="AA52" s="56">
        <v>9521.2900000000009</v>
      </c>
      <c r="AB52" s="56">
        <v>8388.9599999999991</v>
      </c>
      <c r="AC52" s="67"/>
    </row>
    <row r="53" spans="2:29" ht="12.5" x14ac:dyDescent="0.25">
      <c r="B53" s="65" t="s">
        <v>43</v>
      </c>
      <c r="C53" s="4" t="s">
        <v>31</v>
      </c>
      <c r="D53" s="5">
        <v>3</v>
      </c>
      <c r="E53" s="56">
        <v>6697.12</v>
      </c>
      <c r="F53" s="56">
        <v>6144.69</v>
      </c>
      <c r="G53" s="56">
        <v>5779.04</v>
      </c>
      <c r="H53" s="56">
        <v>5609.23</v>
      </c>
      <c r="I53" s="56">
        <v>5498.3</v>
      </c>
      <c r="J53" s="56">
        <v>5543.26</v>
      </c>
      <c r="K53" s="56">
        <v>5603.26</v>
      </c>
      <c r="L53" s="56">
        <v>8746.94</v>
      </c>
      <c r="M53" s="56">
        <v>9617.6</v>
      </c>
      <c r="N53" s="56">
        <v>10003.76</v>
      </c>
      <c r="O53" s="56">
        <v>10435.959999999999</v>
      </c>
      <c r="P53" s="56">
        <v>10905.66</v>
      </c>
      <c r="Q53" s="56">
        <v>11219.49</v>
      </c>
      <c r="R53" s="56">
        <v>10922.75</v>
      </c>
      <c r="S53" s="56">
        <v>10464.24</v>
      </c>
      <c r="T53" s="56">
        <v>10639.21</v>
      </c>
      <c r="U53" s="56">
        <v>10653.24</v>
      </c>
      <c r="V53" s="56">
        <v>10016.75</v>
      </c>
      <c r="W53" s="56">
        <v>11222.11</v>
      </c>
      <c r="X53" s="56">
        <v>11321.36</v>
      </c>
      <c r="Y53" s="56">
        <v>10920.19</v>
      </c>
      <c r="Z53" s="56">
        <v>10274.61</v>
      </c>
      <c r="AA53" s="56">
        <v>8980.23</v>
      </c>
      <c r="AB53" s="56">
        <v>7929.47</v>
      </c>
      <c r="AC53" s="67"/>
    </row>
    <row r="54" spans="2:29" ht="12.5" x14ac:dyDescent="0.25">
      <c r="B54" s="65" t="s">
        <v>43</v>
      </c>
      <c r="C54" s="4" t="s">
        <v>32</v>
      </c>
      <c r="D54" s="5">
        <v>2</v>
      </c>
      <c r="E54" s="56">
        <v>6609</v>
      </c>
      <c r="F54" s="56">
        <v>6198.68</v>
      </c>
      <c r="G54" s="56">
        <v>5824.09</v>
      </c>
      <c r="H54" s="56">
        <v>5601.8</v>
      </c>
      <c r="I54" s="56">
        <v>5351.7</v>
      </c>
      <c r="J54" s="56">
        <v>5208.9799999999996</v>
      </c>
      <c r="K54" s="56">
        <v>5049.03</v>
      </c>
      <c r="L54" s="56">
        <v>7444.32</v>
      </c>
      <c r="M54" s="56">
        <v>7857.89</v>
      </c>
      <c r="N54" s="56">
        <v>8322.42</v>
      </c>
      <c r="O54" s="56">
        <v>8991.5400000000009</v>
      </c>
      <c r="P54" s="56">
        <v>9591.8700000000008</v>
      </c>
      <c r="Q54" s="56">
        <v>10068.02</v>
      </c>
      <c r="R54" s="56">
        <v>10169.299999999999</v>
      </c>
      <c r="S54" s="56">
        <v>9882.2099999999991</v>
      </c>
      <c r="T54" s="56">
        <v>9937.77</v>
      </c>
      <c r="U54" s="56">
        <v>10022.129999999999</v>
      </c>
      <c r="V54" s="56">
        <v>9508.7999999999993</v>
      </c>
      <c r="W54" s="56">
        <v>10574.84</v>
      </c>
      <c r="X54" s="56">
        <v>10799.49</v>
      </c>
      <c r="Y54" s="56">
        <v>10252.25</v>
      </c>
      <c r="Z54" s="56">
        <v>9493.67</v>
      </c>
      <c r="AA54" s="56">
        <v>8223.0499999999993</v>
      </c>
      <c r="AB54" s="56">
        <v>7074.14</v>
      </c>
      <c r="AC54" s="68"/>
    </row>
    <row r="55" spans="2:29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69" t="s">
        <v>46</v>
      </c>
      <c r="AA55" s="69"/>
      <c r="AB55" s="69"/>
      <c r="AC55" s="14">
        <f>SUM(AC7:AC54)</f>
        <v>81969826.370000005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712B-C4BE-4368-A119-E0A3E9E9DDA8}">
  <dimension ref="B2:AF56"/>
  <sheetViews>
    <sheetView showGridLines="0" zoomScale="50" zoomScaleNormal="50" workbookViewId="0">
      <selection activeCell="F10" sqref="F9:F10"/>
    </sheetView>
  </sheetViews>
  <sheetFormatPr baseColWidth="10" defaultColWidth="11.453125" defaultRowHeight="12.5" x14ac:dyDescent="0.25"/>
  <cols>
    <col min="1" max="1" width="3" style="1" customWidth="1"/>
    <col min="2" max="2" width="5.54296875" style="1" bestFit="1" customWidth="1"/>
    <col min="3" max="3" width="9.7265625" style="1" bestFit="1" customWidth="1"/>
    <col min="4" max="4" width="5.90625" style="1" bestFit="1" customWidth="1"/>
    <col min="5" max="11" width="9.36328125" style="1" bestFit="1" customWidth="1"/>
    <col min="12" max="26" width="10.1796875" style="1" bestFit="1" customWidth="1"/>
    <col min="27" max="28" width="9.36328125" style="1" bestFit="1" customWidth="1"/>
    <col min="29" max="29" width="20.26953125" style="1" bestFit="1" customWidth="1"/>
    <col min="30" max="30" width="2.26953125" style="1" customWidth="1"/>
    <col min="31" max="31" width="15.1796875" style="1" bestFit="1" customWidth="1"/>
    <col min="32" max="152" width="11.453125" style="1"/>
    <col min="153" max="153" width="7" style="1" customWidth="1"/>
    <col min="154" max="154" width="10.7265625" style="1" customWidth="1"/>
    <col min="155" max="155" width="9.26953125" style="1" customWidth="1"/>
    <col min="156" max="179" width="7.26953125" style="1" customWidth="1"/>
    <col min="180" max="180" width="11.26953125" style="1" bestFit="1" customWidth="1"/>
    <col min="181" max="408" width="11.453125" style="1"/>
    <col min="409" max="409" width="7" style="1" customWidth="1"/>
    <col min="410" max="410" width="10.7265625" style="1" customWidth="1"/>
    <col min="411" max="411" width="9.26953125" style="1" customWidth="1"/>
    <col min="412" max="435" width="7.26953125" style="1" customWidth="1"/>
    <col min="436" max="436" width="11.26953125" style="1" bestFit="1" customWidth="1"/>
    <col min="437" max="664" width="11.453125" style="1"/>
    <col min="665" max="665" width="7" style="1" customWidth="1"/>
    <col min="666" max="666" width="10.7265625" style="1" customWidth="1"/>
    <col min="667" max="667" width="9.26953125" style="1" customWidth="1"/>
    <col min="668" max="691" width="7.26953125" style="1" customWidth="1"/>
    <col min="692" max="692" width="11.26953125" style="1" bestFit="1" customWidth="1"/>
    <col min="693" max="920" width="11.453125" style="1"/>
    <col min="921" max="921" width="7" style="1" customWidth="1"/>
    <col min="922" max="922" width="10.7265625" style="1" customWidth="1"/>
    <col min="923" max="923" width="9.26953125" style="1" customWidth="1"/>
    <col min="924" max="947" width="7.26953125" style="1" customWidth="1"/>
    <col min="948" max="948" width="11.26953125" style="1" bestFit="1" customWidth="1"/>
    <col min="949" max="1176" width="11.453125" style="1"/>
    <col min="1177" max="1177" width="7" style="1" customWidth="1"/>
    <col min="1178" max="1178" width="10.7265625" style="1" customWidth="1"/>
    <col min="1179" max="1179" width="9.26953125" style="1" customWidth="1"/>
    <col min="1180" max="1203" width="7.26953125" style="1" customWidth="1"/>
    <col min="1204" max="1204" width="11.26953125" style="1" bestFit="1" customWidth="1"/>
    <col min="1205" max="1432" width="11.453125" style="1"/>
    <col min="1433" max="1433" width="7" style="1" customWidth="1"/>
    <col min="1434" max="1434" width="10.7265625" style="1" customWidth="1"/>
    <col min="1435" max="1435" width="9.26953125" style="1" customWidth="1"/>
    <col min="1436" max="1459" width="7.26953125" style="1" customWidth="1"/>
    <col min="1460" max="1460" width="11.26953125" style="1" bestFit="1" customWidth="1"/>
    <col min="1461" max="1688" width="11.453125" style="1"/>
    <col min="1689" max="1689" width="7" style="1" customWidth="1"/>
    <col min="1690" max="1690" width="10.7265625" style="1" customWidth="1"/>
    <col min="1691" max="1691" width="9.26953125" style="1" customWidth="1"/>
    <col min="1692" max="1715" width="7.26953125" style="1" customWidth="1"/>
    <col min="1716" max="1716" width="11.26953125" style="1" bestFit="1" customWidth="1"/>
    <col min="1717" max="1944" width="11.453125" style="1"/>
    <col min="1945" max="1945" width="7" style="1" customWidth="1"/>
    <col min="1946" max="1946" width="10.7265625" style="1" customWidth="1"/>
    <col min="1947" max="1947" width="9.26953125" style="1" customWidth="1"/>
    <col min="1948" max="1971" width="7.26953125" style="1" customWidth="1"/>
    <col min="1972" max="1972" width="11.26953125" style="1" bestFit="1" customWidth="1"/>
    <col min="1973" max="2200" width="11.453125" style="1"/>
    <col min="2201" max="2201" width="7" style="1" customWidth="1"/>
    <col min="2202" max="2202" width="10.7265625" style="1" customWidth="1"/>
    <col min="2203" max="2203" width="9.26953125" style="1" customWidth="1"/>
    <col min="2204" max="2227" width="7.26953125" style="1" customWidth="1"/>
    <col min="2228" max="2228" width="11.26953125" style="1" bestFit="1" customWidth="1"/>
    <col min="2229" max="2456" width="11.453125" style="1"/>
    <col min="2457" max="2457" width="7" style="1" customWidth="1"/>
    <col min="2458" max="2458" width="10.7265625" style="1" customWidth="1"/>
    <col min="2459" max="2459" width="9.26953125" style="1" customWidth="1"/>
    <col min="2460" max="2483" width="7.26953125" style="1" customWidth="1"/>
    <col min="2484" max="2484" width="11.26953125" style="1" bestFit="1" customWidth="1"/>
    <col min="2485" max="2712" width="11.453125" style="1"/>
    <col min="2713" max="2713" width="7" style="1" customWidth="1"/>
    <col min="2714" max="2714" width="10.7265625" style="1" customWidth="1"/>
    <col min="2715" max="2715" width="9.26953125" style="1" customWidth="1"/>
    <col min="2716" max="2739" width="7.26953125" style="1" customWidth="1"/>
    <col min="2740" max="2740" width="11.26953125" style="1" bestFit="1" customWidth="1"/>
    <col min="2741" max="2968" width="11.453125" style="1"/>
    <col min="2969" max="2969" width="7" style="1" customWidth="1"/>
    <col min="2970" max="2970" width="10.7265625" style="1" customWidth="1"/>
    <col min="2971" max="2971" width="9.26953125" style="1" customWidth="1"/>
    <col min="2972" max="2995" width="7.26953125" style="1" customWidth="1"/>
    <col min="2996" max="2996" width="11.26953125" style="1" bestFit="1" customWidth="1"/>
    <col min="2997" max="3224" width="11.453125" style="1"/>
    <col min="3225" max="3225" width="7" style="1" customWidth="1"/>
    <col min="3226" max="3226" width="10.7265625" style="1" customWidth="1"/>
    <col min="3227" max="3227" width="9.26953125" style="1" customWidth="1"/>
    <col min="3228" max="3251" width="7.26953125" style="1" customWidth="1"/>
    <col min="3252" max="3252" width="11.26953125" style="1" bestFit="1" customWidth="1"/>
    <col min="3253" max="3480" width="11.453125" style="1"/>
    <col min="3481" max="3481" width="7" style="1" customWidth="1"/>
    <col min="3482" max="3482" width="10.7265625" style="1" customWidth="1"/>
    <col min="3483" max="3483" width="9.26953125" style="1" customWidth="1"/>
    <col min="3484" max="3507" width="7.26953125" style="1" customWidth="1"/>
    <col min="3508" max="3508" width="11.26953125" style="1" bestFit="1" customWidth="1"/>
    <col min="3509" max="3736" width="11.453125" style="1"/>
    <col min="3737" max="3737" width="7" style="1" customWidth="1"/>
    <col min="3738" max="3738" width="10.7265625" style="1" customWidth="1"/>
    <col min="3739" max="3739" width="9.26953125" style="1" customWidth="1"/>
    <col min="3740" max="3763" width="7.26953125" style="1" customWidth="1"/>
    <col min="3764" max="3764" width="11.26953125" style="1" bestFit="1" customWidth="1"/>
    <col min="3765" max="3992" width="11.453125" style="1"/>
    <col min="3993" max="3993" width="7" style="1" customWidth="1"/>
    <col min="3994" max="3994" width="10.7265625" style="1" customWidth="1"/>
    <col min="3995" max="3995" width="9.26953125" style="1" customWidth="1"/>
    <col min="3996" max="4019" width="7.26953125" style="1" customWidth="1"/>
    <col min="4020" max="4020" width="11.26953125" style="1" bestFit="1" customWidth="1"/>
    <col min="4021" max="4248" width="11.453125" style="1"/>
    <col min="4249" max="4249" width="7" style="1" customWidth="1"/>
    <col min="4250" max="4250" width="10.7265625" style="1" customWidth="1"/>
    <col min="4251" max="4251" width="9.26953125" style="1" customWidth="1"/>
    <col min="4252" max="4275" width="7.26953125" style="1" customWidth="1"/>
    <col min="4276" max="4276" width="11.26953125" style="1" bestFit="1" customWidth="1"/>
    <col min="4277" max="4504" width="11.453125" style="1"/>
    <col min="4505" max="4505" width="7" style="1" customWidth="1"/>
    <col min="4506" max="4506" width="10.7265625" style="1" customWidth="1"/>
    <col min="4507" max="4507" width="9.26953125" style="1" customWidth="1"/>
    <col min="4508" max="4531" width="7.26953125" style="1" customWidth="1"/>
    <col min="4532" max="4532" width="11.26953125" style="1" bestFit="1" customWidth="1"/>
    <col min="4533" max="4760" width="11.453125" style="1"/>
    <col min="4761" max="4761" width="7" style="1" customWidth="1"/>
    <col min="4762" max="4762" width="10.7265625" style="1" customWidth="1"/>
    <col min="4763" max="4763" width="9.26953125" style="1" customWidth="1"/>
    <col min="4764" max="4787" width="7.26953125" style="1" customWidth="1"/>
    <col min="4788" max="4788" width="11.26953125" style="1" bestFit="1" customWidth="1"/>
    <col min="4789" max="5016" width="11.453125" style="1"/>
    <col min="5017" max="5017" width="7" style="1" customWidth="1"/>
    <col min="5018" max="5018" width="10.7265625" style="1" customWidth="1"/>
    <col min="5019" max="5019" width="9.26953125" style="1" customWidth="1"/>
    <col min="5020" max="5043" width="7.26953125" style="1" customWidth="1"/>
    <col min="5044" max="5044" width="11.26953125" style="1" bestFit="1" customWidth="1"/>
    <col min="5045" max="5272" width="11.453125" style="1"/>
    <col min="5273" max="5273" width="7" style="1" customWidth="1"/>
    <col min="5274" max="5274" width="10.7265625" style="1" customWidth="1"/>
    <col min="5275" max="5275" width="9.26953125" style="1" customWidth="1"/>
    <col min="5276" max="5299" width="7.26953125" style="1" customWidth="1"/>
    <col min="5300" max="5300" width="11.26953125" style="1" bestFit="1" customWidth="1"/>
    <col min="5301" max="5528" width="11.453125" style="1"/>
    <col min="5529" max="5529" width="7" style="1" customWidth="1"/>
    <col min="5530" max="5530" width="10.7265625" style="1" customWidth="1"/>
    <col min="5531" max="5531" width="9.26953125" style="1" customWidth="1"/>
    <col min="5532" max="5555" width="7.26953125" style="1" customWidth="1"/>
    <col min="5556" max="5556" width="11.26953125" style="1" bestFit="1" customWidth="1"/>
    <col min="5557" max="5784" width="11.453125" style="1"/>
    <col min="5785" max="5785" width="7" style="1" customWidth="1"/>
    <col min="5786" max="5786" width="10.7265625" style="1" customWidth="1"/>
    <col min="5787" max="5787" width="9.26953125" style="1" customWidth="1"/>
    <col min="5788" max="5811" width="7.26953125" style="1" customWidth="1"/>
    <col min="5812" max="5812" width="11.26953125" style="1" bestFit="1" customWidth="1"/>
    <col min="5813" max="6040" width="11.453125" style="1"/>
    <col min="6041" max="6041" width="7" style="1" customWidth="1"/>
    <col min="6042" max="6042" width="10.7265625" style="1" customWidth="1"/>
    <col min="6043" max="6043" width="9.26953125" style="1" customWidth="1"/>
    <col min="6044" max="6067" width="7.26953125" style="1" customWidth="1"/>
    <col min="6068" max="6068" width="11.26953125" style="1" bestFit="1" customWidth="1"/>
    <col min="6069" max="6296" width="11.453125" style="1"/>
    <col min="6297" max="6297" width="7" style="1" customWidth="1"/>
    <col min="6298" max="6298" width="10.7265625" style="1" customWidth="1"/>
    <col min="6299" max="6299" width="9.26953125" style="1" customWidth="1"/>
    <col min="6300" max="6323" width="7.26953125" style="1" customWidth="1"/>
    <col min="6324" max="6324" width="11.26953125" style="1" bestFit="1" customWidth="1"/>
    <col min="6325" max="6552" width="11.453125" style="1"/>
    <col min="6553" max="6553" width="7" style="1" customWidth="1"/>
    <col min="6554" max="6554" width="10.7265625" style="1" customWidth="1"/>
    <col min="6555" max="6555" width="9.26953125" style="1" customWidth="1"/>
    <col min="6556" max="6579" width="7.26953125" style="1" customWidth="1"/>
    <col min="6580" max="6580" width="11.26953125" style="1" bestFit="1" customWidth="1"/>
    <col min="6581" max="6808" width="11.453125" style="1"/>
    <col min="6809" max="6809" width="7" style="1" customWidth="1"/>
    <col min="6810" max="6810" width="10.7265625" style="1" customWidth="1"/>
    <col min="6811" max="6811" width="9.26953125" style="1" customWidth="1"/>
    <col min="6812" max="6835" width="7.26953125" style="1" customWidth="1"/>
    <col min="6836" max="6836" width="11.26953125" style="1" bestFit="1" customWidth="1"/>
    <col min="6837" max="7064" width="11.453125" style="1"/>
    <col min="7065" max="7065" width="7" style="1" customWidth="1"/>
    <col min="7066" max="7066" width="10.7265625" style="1" customWidth="1"/>
    <col min="7067" max="7067" width="9.26953125" style="1" customWidth="1"/>
    <col min="7068" max="7091" width="7.26953125" style="1" customWidth="1"/>
    <col min="7092" max="7092" width="11.26953125" style="1" bestFit="1" customWidth="1"/>
    <col min="7093" max="7320" width="11.453125" style="1"/>
    <col min="7321" max="7321" width="7" style="1" customWidth="1"/>
    <col min="7322" max="7322" width="10.7265625" style="1" customWidth="1"/>
    <col min="7323" max="7323" width="9.26953125" style="1" customWidth="1"/>
    <col min="7324" max="7347" width="7.26953125" style="1" customWidth="1"/>
    <col min="7348" max="7348" width="11.26953125" style="1" bestFit="1" customWidth="1"/>
    <col min="7349" max="7576" width="11.453125" style="1"/>
    <col min="7577" max="7577" width="7" style="1" customWidth="1"/>
    <col min="7578" max="7578" width="10.7265625" style="1" customWidth="1"/>
    <col min="7579" max="7579" width="9.26953125" style="1" customWidth="1"/>
    <col min="7580" max="7603" width="7.26953125" style="1" customWidth="1"/>
    <col min="7604" max="7604" width="11.26953125" style="1" bestFit="1" customWidth="1"/>
    <col min="7605" max="7832" width="11.453125" style="1"/>
    <col min="7833" max="7833" width="7" style="1" customWidth="1"/>
    <col min="7834" max="7834" width="10.7265625" style="1" customWidth="1"/>
    <col min="7835" max="7835" width="9.26953125" style="1" customWidth="1"/>
    <col min="7836" max="7859" width="7.26953125" style="1" customWidth="1"/>
    <col min="7860" max="7860" width="11.26953125" style="1" bestFit="1" customWidth="1"/>
    <col min="7861" max="8088" width="11.453125" style="1"/>
    <col min="8089" max="8089" width="7" style="1" customWidth="1"/>
    <col min="8090" max="8090" width="10.7265625" style="1" customWidth="1"/>
    <col min="8091" max="8091" width="9.26953125" style="1" customWidth="1"/>
    <col min="8092" max="8115" width="7.26953125" style="1" customWidth="1"/>
    <col min="8116" max="8116" width="11.26953125" style="1" bestFit="1" customWidth="1"/>
    <col min="8117" max="8344" width="11.453125" style="1"/>
    <col min="8345" max="8345" width="7" style="1" customWidth="1"/>
    <col min="8346" max="8346" width="10.7265625" style="1" customWidth="1"/>
    <col min="8347" max="8347" width="9.26953125" style="1" customWidth="1"/>
    <col min="8348" max="8371" width="7.26953125" style="1" customWidth="1"/>
    <col min="8372" max="8372" width="11.26953125" style="1" bestFit="1" customWidth="1"/>
    <col min="8373" max="8600" width="11.453125" style="1"/>
    <col min="8601" max="8601" width="7" style="1" customWidth="1"/>
    <col min="8602" max="8602" width="10.7265625" style="1" customWidth="1"/>
    <col min="8603" max="8603" width="9.26953125" style="1" customWidth="1"/>
    <col min="8604" max="8627" width="7.26953125" style="1" customWidth="1"/>
    <col min="8628" max="8628" width="11.26953125" style="1" bestFit="1" customWidth="1"/>
    <col min="8629" max="8856" width="11.453125" style="1"/>
    <col min="8857" max="8857" width="7" style="1" customWidth="1"/>
    <col min="8858" max="8858" width="10.7265625" style="1" customWidth="1"/>
    <col min="8859" max="8859" width="9.26953125" style="1" customWidth="1"/>
    <col min="8860" max="8883" width="7.26953125" style="1" customWidth="1"/>
    <col min="8884" max="8884" width="11.26953125" style="1" bestFit="1" customWidth="1"/>
    <col min="8885" max="9112" width="11.453125" style="1"/>
    <col min="9113" max="9113" width="7" style="1" customWidth="1"/>
    <col min="9114" max="9114" width="10.7265625" style="1" customWidth="1"/>
    <col min="9115" max="9115" width="9.26953125" style="1" customWidth="1"/>
    <col min="9116" max="9139" width="7.26953125" style="1" customWidth="1"/>
    <col min="9140" max="9140" width="11.26953125" style="1" bestFit="1" customWidth="1"/>
    <col min="9141" max="9368" width="11.453125" style="1"/>
    <col min="9369" max="9369" width="7" style="1" customWidth="1"/>
    <col min="9370" max="9370" width="10.7265625" style="1" customWidth="1"/>
    <col min="9371" max="9371" width="9.26953125" style="1" customWidth="1"/>
    <col min="9372" max="9395" width="7.26953125" style="1" customWidth="1"/>
    <col min="9396" max="9396" width="11.26953125" style="1" bestFit="1" customWidth="1"/>
    <col min="9397" max="9624" width="11.453125" style="1"/>
    <col min="9625" max="9625" width="7" style="1" customWidth="1"/>
    <col min="9626" max="9626" width="10.7265625" style="1" customWidth="1"/>
    <col min="9627" max="9627" width="9.26953125" style="1" customWidth="1"/>
    <col min="9628" max="9651" width="7.26953125" style="1" customWidth="1"/>
    <col min="9652" max="9652" width="11.26953125" style="1" bestFit="1" customWidth="1"/>
    <col min="9653" max="9880" width="11.453125" style="1"/>
    <col min="9881" max="9881" width="7" style="1" customWidth="1"/>
    <col min="9882" max="9882" width="10.7265625" style="1" customWidth="1"/>
    <col min="9883" max="9883" width="9.26953125" style="1" customWidth="1"/>
    <col min="9884" max="9907" width="7.26953125" style="1" customWidth="1"/>
    <col min="9908" max="9908" width="11.26953125" style="1" bestFit="1" customWidth="1"/>
    <col min="9909" max="10136" width="11.453125" style="1"/>
    <col min="10137" max="10137" width="7" style="1" customWidth="1"/>
    <col min="10138" max="10138" width="10.7265625" style="1" customWidth="1"/>
    <col min="10139" max="10139" width="9.26953125" style="1" customWidth="1"/>
    <col min="10140" max="10163" width="7.26953125" style="1" customWidth="1"/>
    <col min="10164" max="10164" width="11.26953125" style="1" bestFit="1" customWidth="1"/>
    <col min="10165" max="10392" width="11.453125" style="1"/>
    <col min="10393" max="10393" width="7" style="1" customWidth="1"/>
    <col min="10394" max="10394" width="10.7265625" style="1" customWidth="1"/>
    <col min="10395" max="10395" width="9.26953125" style="1" customWidth="1"/>
    <col min="10396" max="10419" width="7.26953125" style="1" customWidth="1"/>
    <col min="10420" max="10420" width="11.26953125" style="1" bestFit="1" customWidth="1"/>
    <col min="10421" max="10648" width="11.453125" style="1"/>
    <col min="10649" max="10649" width="7" style="1" customWidth="1"/>
    <col min="10650" max="10650" width="10.7265625" style="1" customWidth="1"/>
    <col min="10651" max="10651" width="9.26953125" style="1" customWidth="1"/>
    <col min="10652" max="10675" width="7.26953125" style="1" customWidth="1"/>
    <col min="10676" max="10676" width="11.26953125" style="1" bestFit="1" customWidth="1"/>
    <col min="10677" max="10904" width="11.453125" style="1"/>
    <col min="10905" max="10905" width="7" style="1" customWidth="1"/>
    <col min="10906" max="10906" width="10.7265625" style="1" customWidth="1"/>
    <col min="10907" max="10907" width="9.26953125" style="1" customWidth="1"/>
    <col min="10908" max="10931" width="7.26953125" style="1" customWidth="1"/>
    <col min="10932" max="10932" width="11.26953125" style="1" bestFit="1" customWidth="1"/>
    <col min="10933" max="11160" width="11.453125" style="1"/>
    <col min="11161" max="11161" width="7" style="1" customWidth="1"/>
    <col min="11162" max="11162" width="10.7265625" style="1" customWidth="1"/>
    <col min="11163" max="11163" width="9.26953125" style="1" customWidth="1"/>
    <col min="11164" max="11187" width="7.26953125" style="1" customWidth="1"/>
    <col min="11188" max="11188" width="11.26953125" style="1" bestFit="1" customWidth="1"/>
    <col min="11189" max="11416" width="11.453125" style="1"/>
    <col min="11417" max="11417" width="7" style="1" customWidth="1"/>
    <col min="11418" max="11418" width="10.7265625" style="1" customWidth="1"/>
    <col min="11419" max="11419" width="9.26953125" style="1" customWidth="1"/>
    <col min="11420" max="11443" width="7.26953125" style="1" customWidth="1"/>
    <col min="11444" max="11444" width="11.26953125" style="1" bestFit="1" customWidth="1"/>
    <col min="11445" max="11672" width="11.453125" style="1"/>
    <col min="11673" max="11673" width="7" style="1" customWidth="1"/>
    <col min="11674" max="11674" width="10.7265625" style="1" customWidth="1"/>
    <col min="11675" max="11675" width="9.26953125" style="1" customWidth="1"/>
    <col min="11676" max="11699" width="7.26953125" style="1" customWidth="1"/>
    <col min="11700" max="11700" width="11.26953125" style="1" bestFit="1" customWidth="1"/>
    <col min="11701" max="11928" width="11.453125" style="1"/>
    <col min="11929" max="11929" width="7" style="1" customWidth="1"/>
    <col min="11930" max="11930" width="10.7265625" style="1" customWidth="1"/>
    <col min="11931" max="11931" width="9.26953125" style="1" customWidth="1"/>
    <col min="11932" max="11955" width="7.26953125" style="1" customWidth="1"/>
    <col min="11956" max="11956" width="11.26953125" style="1" bestFit="1" customWidth="1"/>
    <col min="11957" max="12184" width="11.453125" style="1"/>
    <col min="12185" max="12185" width="7" style="1" customWidth="1"/>
    <col min="12186" max="12186" width="10.7265625" style="1" customWidth="1"/>
    <col min="12187" max="12187" width="9.26953125" style="1" customWidth="1"/>
    <col min="12188" max="12211" width="7.26953125" style="1" customWidth="1"/>
    <col min="12212" max="12212" width="11.26953125" style="1" bestFit="1" customWidth="1"/>
    <col min="12213" max="12440" width="11.453125" style="1"/>
    <col min="12441" max="12441" width="7" style="1" customWidth="1"/>
    <col min="12442" max="12442" width="10.7265625" style="1" customWidth="1"/>
    <col min="12443" max="12443" width="9.26953125" style="1" customWidth="1"/>
    <col min="12444" max="12467" width="7.26953125" style="1" customWidth="1"/>
    <col min="12468" max="12468" width="11.26953125" style="1" bestFit="1" customWidth="1"/>
    <col min="12469" max="12696" width="11.453125" style="1"/>
    <col min="12697" max="12697" width="7" style="1" customWidth="1"/>
    <col min="12698" max="12698" width="10.7265625" style="1" customWidth="1"/>
    <col min="12699" max="12699" width="9.26953125" style="1" customWidth="1"/>
    <col min="12700" max="12723" width="7.26953125" style="1" customWidth="1"/>
    <col min="12724" max="12724" width="11.26953125" style="1" bestFit="1" customWidth="1"/>
    <col min="12725" max="12952" width="11.453125" style="1"/>
    <col min="12953" max="12953" width="7" style="1" customWidth="1"/>
    <col min="12954" max="12954" width="10.7265625" style="1" customWidth="1"/>
    <col min="12955" max="12955" width="9.26953125" style="1" customWidth="1"/>
    <col min="12956" max="12979" width="7.26953125" style="1" customWidth="1"/>
    <col min="12980" max="12980" width="11.26953125" style="1" bestFit="1" customWidth="1"/>
    <col min="12981" max="13208" width="11.453125" style="1"/>
    <col min="13209" max="13209" width="7" style="1" customWidth="1"/>
    <col min="13210" max="13210" width="10.7265625" style="1" customWidth="1"/>
    <col min="13211" max="13211" width="9.26953125" style="1" customWidth="1"/>
    <col min="13212" max="13235" width="7.26953125" style="1" customWidth="1"/>
    <col min="13236" max="13236" width="11.26953125" style="1" bestFit="1" customWidth="1"/>
    <col min="13237" max="13464" width="11.453125" style="1"/>
    <col min="13465" max="13465" width="7" style="1" customWidth="1"/>
    <col min="13466" max="13466" width="10.7265625" style="1" customWidth="1"/>
    <col min="13467" max="13467" width="9.26953125" style="1" customWidth="1"/>
    <col min="13468" max="13491" width="7.26953125" style="1" customWidth="1"/>
    <col min="13492" max="13492" width="11.26953125" style="1" bestFit="1" customWidth="1"/>
    <col min="13493" max="13720" width="11.453125" style="1"/>
    <col min="13721" max="13721" width="7" style="1" customWidth="1"/>
    <col min="13722" max="13722" width="10.7265625" style="1" customWidth="1"/>
    <col min="13723" max="13723" width="9.26953125" style="1" customWidth="1"/>
    <col min="13724" max="13747" width="7.26953125" style="1" customWidth="1"/>
    <col min="13748" max="13748" width="11.26953125" style="1" bestFit="1" customWidth="1"/>
    <col min="13749" max="13976" width="11.453125" style="1"/>
    <col min="13977" max="13977" width="7" style="1" customWidth="1"/>
    <col min="13978" max="13978" width="10.7265625" style="1" customWidth="1"/>
    <col min="13979" max="13979" width="9.26953125" style="1" customWidth="1"/>
    <col min="13980" max="14003" width="7.26953125" style="1" customWidth="1"/>
    <col min="14004" max="14004" width="11.26953125" style="1" bestFit="1" customWidth="1"/>
    <col min="14005" max="14232" width="11.453125" style="1"/>
    <col min="14233" max="14233" width="7" style="1" customWidth="1"/>
    <col min="14234" max="14234" width="10.7265625" style="1" customWidth="1"/>
    <col min="14235" max="14235" width="9.26953125" style="1" customWidth="1"/>
    <col min="14236" max="14259" width="7.26953125" style="1" customWidth="1"/>
    <col min="14260" max="14260" width="11.26953125" style="1" bestFit="1" customWidth="1"/>
    <col min="14261" max="14488" width="11.453125" style="1"/>
    <col min="14489" max="14489" width="7" style="1" customWidth="1"/>
    <col min="14490" max="14490" width="10.7265625" style="1" customWidth="1"/>
    <col min="14491" max="14491" width="9.26953125" style="1" customWidth="1"/>
    <col min="14492" max="14515" width="7.26953125" style="1" customWidth="1"/>
    <col min="14516" max="14516" width="11.26953125" style="1" bestFit="1" customWidth="1"/>
    <col min="14517" max="14744" width="11.453125" style="1"/>
    <col min="14745" max="14745" width="7" style="1" customWidth="1"/>
    <col min="14746" max="14746" width="10.7265625" style="1" customWidth="1"/>
    <col min="14747" max="14747" width="9.26953125" style="1" customWidth="1"/>
    <col min="14748" max="14771" width="7.26953125" style="1" customWidth="1"/>
    <col min="14772" max="14772" width="11.26953125" style="1" bestFit="1" customWidth="1"/>
    <col min="14773" max="15000" width="11.453125" style="1"/>
    <col min="15001" max="15001" width="7" style="1" customWidth="1"/>
    <col min="15002" max="15002" width="10.7265625" style="1" customWidth="1"/>
    <col min="15003" max="15003" width="9.26953125" style="1" customWidth="1"/>
    <col min="15004" max="15027" width="7.26953125" style="1" customWidth="1"/>
    <col min="15028" max="15028" width="11.26953125" style="1" bestFit="1" customWidth="1"/>
    <col min="15029" max="15256" width="11.453125" style="1"/>
    <col min="15257" max="15257" width="7" style="1" customWidth="1"/>
    <col min="15258" max="15258" width="10.7265625" style="1" customWidth="1"/>
    <col min="15259" max="15259" width="9.26953125" style="1" customWidth="1"/>
    <col min="15260" max="15283" width="7.26953125" style="1" customWidth="1"/>
    <col min="15284" max="15284" width="11.26953125" style="1" bestFit="1" customWidth="1"/>
    <col min="15285" max="15512" width="11.453125" style="1"/>
    <col min="15513" max="15513" width="7" style="1" customWidth="1"/>
    <col min="15514" max="15514" width="10.7265625" style="1" customWidth="1"/>
    <col min="15515" max="15515" width="9.26953125" style="1" customWidth="1"/>
    <col min="15516" max="15539" width="7.26953125" style="1" customWidth="1"/>
    <col min="15540" max="15540" width="11.26953125" style="1" bestFit="1" customWidth="1"/>
    <col min="15541" max="15768" width="11.453125" style="1"/>
    <col min="15769" max="15769" width="7" style="1" customWidth="1"/>
    <col min="15770" max="15770" width="10.7265625" style="1" customWidth="1"/>
    <col min="15771" max="15771" width="9.26953125" style="1" customWidth="1"/>
    <col min="15772" max="15795" width="7.26953125" style="1" customWidth="1"/>
    <col min="15796" max="15796" width="11.26953125" style="1" bestFit="1" customWidth="1"/>
    <col min="15797" max="16024" width="11.453125" style="1"/>
    <col min="16025" max="16025" width="7" style="1" customWidth="1"/>
    <col min="16026" max="16026" width="10.7265625" style="1" customWidth="1"/>
    <col min="16027" max="16027" width="9.26953125" style="1" customWidth="1"/>
    <col min="16028" max="16051" width="7.26953125" style="1" customWidth="1"/>
    <col min="16052" max="16052" width="11.26953125" style="1" bestFit="1" customWidth="1"/>
    <col min="16053" max="16384" width="11.453125" style="1"/>
  </cols>
  <sheetData>
    <row r="2" spans="2:32" x14ac:dyDescent="0.25">
      <c r="B2" s="70" t="s">
        <v>45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spans="2:32" x14ac:dyDescent="0.25">
      <c r="B3" s="70" t="s">
        <v>44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spans="2:32" x14ac:dyDescent="0.25">
      <c r="B4" s="70">
        <v>2034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6" spans="2:32" ht="13" x14ac:dyDescent="0.25">
      <c r="B6" s="7" t="s">
        <v>0</v>
      </c>
      <c r="C6" s="10" t="s">
        <v>1</v>
      </c>
      <c r="D6" s="7" t="s">
        <v>2</v>
      </c>
      <c r="E6" s="7" t="s">
        <v>3</v>
      </c>
      <c r="F6" s="7" t="s">
        <v>4</v>
      </c>
      <c r="G6" s="7" t="s">
        <v>5</v>
      </c>
      <c r="H6" s="7" t="s">
        <v>6</v>
      </c>
      <c r="I6" s="7" t="s">
        <v>7</v>
      </c>
      <c r="J6" s="7" t="s">
        <v>8</v>
      </c>
      <c r="K6" s="7" t="s">
        <v>9</v>
      </c>
      <c r="L6" s="7" t="s">
        <v>10</v>
      </c>
      <c r="M6" s="7" t="s">
        <v>11</v>
      </c>
      <c r="N6" s="7" t="s">
        <v>12</v>
      </c>
      <c r="O6" s="7" t="s">
        <v>13</v>
      </c>
      <c r="P6" s="7" t="s">
        <v>14</v>
      </c>
      <c r="Q6" s="7" t="s">
        <v>15</v>
      </c>
      <c r="R6" s="7" t="s">
        <v>16</v>
      </c>
      <c r="S6" s="7" t="s">
        <v>17</v>
      </c>
      <c r="T6" s="7" t="s">
        <v>18</v>
      </c>
      <c r="U6" s="7" t="s">
        <v>19</v>
      </c>
      <c r="V6" s="7" t="s">
        <v>20</v>
      </c>
      <c r="W6" s="7" t="s">
        <v>21</v>
      </c>
      <c r="X6" s="7" t="s">
        <v>22</v>
      </c>
      <c r="Y6" s="7" t="s">
        <v>23</v>
      </c>
      <c r="Z6" s="7" t="s">
        <v>24</v>
      </c>
      <c r="AA6" s="7" t="s">
        <v>25</v>
      </c>
      <c r="AB6" s="7" t="s">
        <v>26</v>
      </c>
      <c r="AC6" s="7" t="s">
        <v>27</v>
      </c>
    </row>
    <row r="7" spans="2:32" x14ac:dyDescent="0.25">
      <c r="B7" s="65" t="s">
        <v>28</v>
      </c>
      <c r="C7" s="4" t="s">
        <v>29</v>
      </c>
      <c r="D7" s="5">
        <v>21</v>
      </c>
      <c r="E7" s="56">
        <v>5772.88</v>
      </c>
      <c r="F7" s="56">
        <v>5447.51</v>
      </c>
      <c r="G7" s="56">
        <v>5249.49</v>
      </c>
      <c r="H7" s="56">
        <v>5184.67</v>
      </c>
      <c r="I7" s="56">
        <v>5550.12</v>
      </c>
      <c r="J7" s="56">
        <v>6617.08</v>
      </c>
      <c r="K7" s="56">
        <v>7560.54</v>
      </c>
      <c r="L7" s="56">
        <v>10310.219999999999</v>
      </c>
      <c r="M7" s="56">
        <v>10507.6</v>
      </c>
      <c r="N7" s="56">
        <v>10776.4</v>
      </c>
      <c r="O7" s="56">
        <v>11218.52</v>
      </c>
      <c r="P7" s="56">
        <v>11886.61</v>
      </c>
      <c r="Q7" s="56">
        <v>11442.94</v>
      </c>
      <c r="R7" s="56">
        <v>11194.5</v>
      </c>
      <c r="S7" s="56">
        <v>11395.03</v>
      </c>
      <c r="T7" s="56">
        <v>11557.99</v>
      </c>
      <c r="U7" s="56">
        <v>11637.79</v>
      </c>
      <c r="V7" s="56">
        <v>10645.37</v>
      </c>
      <c r="W7" s="56">
        <v>11628.6</v>
      </c>
      <c r="X7" s="56">
        <v>11947.35</v>
      </c>
      <c r="Y7" s="56">
        <v>11367.9</v>
      </c>
      <c r="Z7" s="56">
        <v>10361.39</v>
      </c>
      <c r="AA7" s="56">
        <v>8682.76</v>
      </c>
      <c r="AB7" s="56">
        <v>7480.75</v>
      </c>
      <c r="AC7" s="59">
        <f>+SUM(E7:AB7)*D7+SUM(E8:AB8)*D8+SUM(E9:AB9)*D9+SUM(E10:AB10)*D10</f>
        <v>6854463.75</v>
      </c>
      <c r="AE7" s="11">
        <f>+AC7</f>
        <v>6854463.75</v>
      </c>
      <c r="AF7" s="15"/>
    </row>
    <row r="8" spans="2:32" x14ac:dyDescent="0.25">
      <c r="B8" s="65" t="s">
        <v>28</v>
      </c>
      <c r="C8" s="4" t="s">
        <v>30</v>
      </c>
      <c r="D8" s="5">
        <v>4</v>
      </c>
      <c r="E8" s="56">
        <v>6158.09</v>
      </c>
      <c r="F8" s="56">
        <v>5646.37</v>
      </c>
      <c r="G8" s="56">
        <v>5408.66</v>
      </c>
      <c r="H8" s="56">
        <v>5286.09</v>
      </c>
      <c r="I8" s="56">
        <v>5405.36</v>
      </c>
      <c r="J8" s="56">
        <v>5772.99</v>
      </c>
      <c r="K8" s="56">
        <v>6337.96</v>
      </c>
      <c r="L8" s="56">
        <v>9587.85</v>
      </c>
      <c r="M8" s="56">
        <v>10379.549999999999</v>
      </c>
      <c r="N8" s="56">
        <v>10863.29</v>
      </c>
      <c r="O8" s="56">
        <v>11182.77</v>
      </c>
      <c r="P8" s="56">
        <v>11644.53</v>
      </c>
      <c r="Q8" s="56">
        <v>11794.67</v>
      </c>
      <c r="R8" s="56">
        <v>11527.68</v>
      </c>
      <c r="S8" s="56">
        <v>11379.61</v>
      </c>
      <c r="T8" s="56">
        <v>11272.71</v>
      </c>
      <c r="U8" s="56">
        <v>11373.79</v>
      </c>
      <c r="V8" s="56">
        <v>10445.049999999999</v>
      </c>
      <c r="W8" s="56">
        <v>11578.25</v>
      </c>
      <c r="X8" s="56">
        <v>11860.03</v>
      </c>
      <c r="Y8" s="56">
        <v>11293.9</v>
      </c>
      <c r="Z8" s="56">
        <v>10526.93</v>
      </c>
      <c r="AA8" s="56">
        <v>9315.94</v>
      </c>
      <c r="AB8" s="56">
        <v>8212.84</v>
      </c>
      <c r="AC8" s="60"/>
      <c r="AE8" s="11">
        <f>+AC11</f>
        <v>6402368.8799999999</v>
      </c>
      <c r="AF8" s="15"/>
    </row>
    <row r="9" spans="2:32" x14ac:dyDescent="0.25">
      <c r="B9" s="65" t="s">
        <v>28</v>
      </c>
      <c r="C9" s="4" t="s">
        <v>31</v>
      </c>
      <c r="D9" s="5">
        <v>4</v>
      </c>
      <c r="E9" s="56">
        <v>6518.04</v>
      </c>
      <c r="F9" s="56">
        <v>6015.38</v>
      </c>
      <c r="G9" s="56">
        <v>5697.02</v>
      </c>
      <c r="H9" s="56">
        <v>5477.29</v>
      </c>
      <c r="I9" s="56">
        <v>5394.56</v>
      </c>
      <c r="J9" s="56">
        <v>5356.88</v>
      </c>
      <c r="K9" s="56">
        <v>5446.75</v>
      </c>
      <c r="L9" s="56">
        <v>8026.33</v>
      </c>
      <c r="M9" s="56">
        <v>8813.7900000000009</v>
      </c>
      <c r="N9" s="56">
        <v>9329.4699999999993</v>
      </c>
      <c r="O9" s="56">
        <v>9836.0499999999993</v>
      </c>
      <c r="P9" s="56">
        <v>10376.959999999999</v>
      </c>
      <c r="Q9" s="56">
        <v>10597.16</v>
      </c>
      <c r="R9" s="56">
        <v>10393.879999999999</v>
      </c>
      <c r="S9" s="56">
        <v>10433.86</v>
      </c>
      <c r="T9" s="56">
        <v>10555.85</v>
      </c>
      <c r="U9" s="56">
        <v>10592.86</v>
      </c>
      <c r="V9" s="56">
        <v>9883.64</v>
      </c>
      <c r="W9" s="56">
        <v>10917.58</v>
      </c>
      <c r="X9" s="56">
        <v>11228.46</v>
      </c>
      <c r="Y9" s="56">
        <v>10726.15</v>
      </c>
      <c r="Z9" s="56">
        <v>9823.56</v>
      </c>
      <c r="AA9" s="56">
        <v>8431.2900000000009</v>
      </c>
      <c r="AB9" s="56">
        <v>7230.79</v>
      </c>
      <c r="AC9" s="60"/>
      <c r="AE9" s="11">
        <f>+AC15</f>
        <v>6747334.9200000009</v>
      </c>
      <c r="AF9" s="15"/>
    </row>
    <row r="10" spans="2:32" x14ac:dyDescent="0.25">
      <c r="B10" s="65" t="s">
        <v>28</v>
      </c>
      <c r="C10" s="4" t="s">
        <v>32</v>
      </c>
      <c r="D10" s="5">
        <v>2</v>
      </c>
      <c r="E10" s="56">
        <v>6556.29</v>
      </c>
      <c r="F10" s="56">
        <v>6167.26</v>
      </c>
      <c r="G10" s="56">
        <v>5760.99</v>
      </c>
      <c r="H10" s="56">
        <v>5608.63</v>
      </c>
      <c r="I10" s="56">
        <v>5423.01</v>
      </c>
      <c r="J10" s="56">
        <v>5387.27</v>
      </c>
      <c r="K10" s="56">
        <v>5067.72</v>
      </c>
      <c r="L10" s="56">
        <v>7299.22</v>
      </c>
      <c r="M10" s="56">
        <v>7755.64</v>
      </c>
      <c r="N10" s="56">
        <v>8321.92</v>
      </c>
      <c r="O10" s="56">
        <v>8961.83</v>
      </c>
      <c r="P10" s="56">
        <v>9384.64</v>
      </c>
      <c r="Q10" s="56">
        <v>9824.31</v>
      </c>
      <c r="R10" s="56">
        <v>9936.82</v>
      </c>
      <c r="S10" s="56">
        <v>9959.8799999999992</v>
      </c>
      <c r="T10" s="56">
        <v>9874.1200000000008</v>
      </c>
      <c r="U10" s="56">
        <v>9948.85</v>
      </c>
      <c r="V10" s="56">
        <v>9449.7000000000007</v>
      </c>
      <c r="W10" s="56">
        <v>10572.46</v>
      </c>
      <c r="X10" s="56">
        <v>10946.2</v>
      </c>
      <c r="Y10" s="56">
        <v>10559.79</v>
      </c>
      <c r="Z10" s="56">
        <v>9524.1</v>
      </c>
      <c r="AA10" s="56">
        <v>8185.73</v>
      </c>
      <c r="AB10" s="56">
        <v>7086.37</v>
      </c>
      <c r="AC10" s="61"/>
      <c r="AE10" s="11">
        <f>+AC19</f>
        <v>6757001.1000000006</v>
      </c>
      <c r="AF10" s="15"/>
    </row>
    <row r="11" spans="2:32" x14ac:dyDescent="0.25">
      <c r="B11" s="65" t="s">
        <v>33</v>
      </c>
      <c r="C11" s="4" t="s">
        <v>29</v>
      </c>
      <c r="D11" s="5">
        <v>20</v>
      </c>
      <c r="E11" s="56">
        <v>5786.17</v>
      </c>
      <c r="F11" s="56">
        <v>5450.16</v>
      </c>
      <c r="G11" s="56">
        <v>5310.53</v>
      </c>
      <c r="H11" s="56">
        <v>5315.25</v>
      </c>
      <c r="I11" s="56">
        <v>5810.41</v>
      </c>
      <c r="J11" s="56">
        <v>7518.14</v>
      </c>
      <c r="K11" s="56">
        <v>8674.0400000000009</v>
      </c>
      <c r="L11" s="56">
        <v>11088.53</v>
      </c>
      <c r="M11" s="56">
        <v>10989.13</v>
      </c>
      <c r="N11" s="56">
        <v>11060.33</v>
      </c>
      <c r="O11" s="56">
        <v>11423.78</v>
      </c>
      <c r="P11" s="56">
        <v>11915.12</v>
      </c>
      <c r="Q11" s="56">
        <v>11580.89</v>
      </c>
      <c r="R11" s="56">
        <v>11542.37</v>
      </c>
      <c r="S11" s="56">
        <v>11867.99</v>
      </c>
      <c r="T11" s="56">
        <v>12006.51</v>
      </c>
      <c r="U11" s="56">
        <v>12046.05</v>
      </c>
      <c r="V11" s="56">
        <v>10812.59</v>
      </c>
      <c r="W11" s="56">
        <v>11794.65</v>
      </c>
      <c r="X11" s="56">
        <v>12341.27</v>
      </c>
      <c r="Y11" s="56">
        <v>11690.66</v>
      </c>
      <c r="Z11" s="56">
        <v>10597.15</v>
      </c>
      <c r="AA11" s="56">
        <v>8805.16</v>
      </c>
      <c r="AB11" s="56">
        <v>7489.49</v>
      </c>
      <c r="AC11" s="59">
        <f>+SUM(E11:AB11)*D11+SUM(E12:AB12)*D12+SUM(E13:AB13)*D13+SUM(E14:AB14)*D14</f>
        <v>6402368.8799999999</v>
      </c>
      <c r="AE11" s="11">
        <f>+AC23</f>
        <v>6724259.5</v>
      </c>
      <c r="AF11" s="15"/>
    </row>
    <row r="12" spans="2:32" x14ac:dyDescent="0.25">
      <c r="B12" s="65" t="s">
        <v>33</v>
      </c>
      <c r="C12" s="4" t="s">
        <v>30</v>
      </c>
      <c r="D12" s="5">
        <v>4</v>
      </c>
      <c r="E12" s="56">
        <v>6169.07</v>
      </c>
      <c r="F12" s="56">
        <v>5785.11</v>
      </c>
      <c r="G12" s="56">
        <v>5504.69</v>
      </c>
      <c r="H12" s="56">
        <v>5405.49</v>
      </c>
      <c r="I12" s="56">
        <v>5604.81</v>
      </c>
      <c r="J12" s="56">
        <v>6163.64</v>
      </c>
      <c r="K12" s="56">
        <v>6867.75</v>
      </c>
      <c r="L12" s="56">
        <v>10367.870000000001</v>
      </c>
      <c r="M12" s="56">
        <v>10886.46</v>
      </c>
      <c r="N12" s="56">
        <v>11264.87</v>
      </c>
      <c r="O12" s="56">
        <v>11578.33</v>
      </c>
      <c r="P12" s="56">
        <v>11802.75</v>
      </c>
      <c r="Q12" s="56">
        <v>11777.43</v>
      </c>
      <c r="R12" s="56">
        <v>11551.95</v>
      </c>
      <c r="S12" s="56">
        <v>11513.82</v>
      </c>
      <c r="T12" s="56">
        <v>11637.33</v>
      </c>
      <c r="U12" s="56">
        <v>11800.09</v>
      </c>
      <c r="V12" s="56">
        <v>10550.61</v>
      </c>
      <c r="W12" s="56">
        <v>11598.63</v>
      </c>
      <c r="X12" s="56">
        <v>11936.05</v>
      </c>
      <c r="Y12" s="56">
        <v>11318.12</v>
      </c>
      <c r="Z12" s="56">
        <v>10408.370000000001</v>
      </c>
      <c r="AA12" s="56">
        <v>9188.31</v>
      </c>
      <c r="AB12" s="56">
        <v>7890.31</v>
      </c>
      <c r="AC12" s="60"/>
      <c r="AE12" s="11">
        <f>+AC27</f>
        <v>6702116.6800000006</v>
      </c>
      <c r="AF12" s="15"/>
    </row>
    <row r="13" spans="2:32" x14ac:dyDescent="0.25">
      <c r="B13" s="65" t="s">
        <v>33</v>
      </c>
      <c r="C13" s="4" t="s">
        <v>31</v>
      </c>
      <c r="D13" s="5">
        <v>4</v>
      </c>
      <c r="E13" s="56">
        <v>6362.25</v>
      </c>
      <c r="F13" s="56">
        <v>5903.63</v>
      </c>
      <c r="G13" s="56">
        <v>5573.5</v>
      </c>
      <c r="H13" s="56">
        <v>5384.67</v>
      </c>
      <c r="I13" s="56">
        <v>5309.65</v>
      </c>
      <c r="J13" s="56">
        <v>5303.23</v>
      </c>
      <c r="K13" s="56">
        <v>5462.26</v>
      </c>
      <c r="L13" s="56">
        <v>8256.0300000000007</v>
      </c>
      <c r="M13" s="56">
        <v>9075.64</v>
      </c>
      <c r="N13" s="56">
        <v>9561.4699999999993</v>
      </c>
      <c r="O13" s="56">
        <v>9951.69</v>
      </c>
      <c r="P13" s="56">
        <v>10542.37</v>
      </c>
      <c r="Q13" s="56">
        <v>10791.04</v>
      </c>
      <c r="R13" s="56">
        <v>10758.04</v>
      </c>
      <c r="S13" s="56">
        <v>10481.4</v>
      </c>
      <c r="T13" s="56">
        <v>10536.55</v>
      </c>
      <c r="U13" s="56">
        <v>10630.05</v>
      </c>
      <c r="V13" s="56">
        <v>9775.5400000000009</v>
      </c>
      <c r="W13" s="56">
        <v>11000.73</v>
      </c>
      <c r="X13" s="56">
        <v>11251.93</v>
      </c>
      <c r="Y13" s="56">
        <v>10785.92</v>
      </c>
      <c r="Z13" s="56">
        <v>9697.7099999999991</v>
      </c>
      <c r="AA13" s="56">
        <v>8142.59</v>
      </c>
      <c r="AB13" s="56">
        <v>6900.62</v>
      </c>
      <c r="AC13" s="60"/>
      <c r="AE13" s="11">
        <f>+AC31</f>
        <v>6793847.3900000006</v>
      </c>
      <c r="AF13" s="15"/>
    </row>
    <row r="14" spans="2:32" x14ac:dyDescent="0.25">
      <c r="B14" s="65" t="s">
        <v>33</v>
      </c>
      <c r="C14" s="4" t="s">
        <v>32</v>
      </c>
      <c r="D14" s="5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61"/>
      <c r="AE14" s="11">
        <f>+AC35</f>
        <v>6992971.9800000014</v>
      </c>
      <c r="AF14" s="15"/>
    </row>
    <row r="15" spans="2:32" x14ac:dyDescent="0.25">
      <c r="B15" s="65" t="s">
        <v>34</v>
      </c>
      <c r="C15" s="4" t="s">
        <v>29</v>
      </c>
      <c r="D15" s="5">
        <v>22</v>
      </c>
      <c r="E15" s="56">
        <v>5568.99</v>
      </c>
      <c r="F15" s="56">
        <v>5240.16</v>
      </c>
      <c r="G15" s="56">
        <v>5101.99</v>
      </c>
      <c r="H15" s="56">
        <v>5076.68</v>
      </c>
      <c r="I15" s="56">
        <v>5516.09</v>
      </c>
      <c r="J15" s="56">
        <v>7008.28</v>
      </c>
      <c r="K15" s="56">
        <v>7986.76</v>
      </c>
      <c r="L15" s="56">
        <v>10352.44</v>
      </c>
      <c r="M15" s="56">
        <v>10289.49</v>
      </c>
      <c r="N15" s="56">
        <v>10375.57</v>
      </c>
      <c r="O15" s="56">
        <v>10782.18</v>
      </c>
      <c r="P15" s="56">
        <v>11255.48</v>
      </c>
      <c r="Q15" s="56">
        <v>11071.27</v>
      </c>
      <c r="R15" s="56">
        <v>10991.77</v>
      </c>
      <c r="S15" s="56">
        <v>11269.66</v>
      </c>
      <c r="T15" s="56">
        <v>11363.81</v>
      </c>
      <c r="U15" s="56">
        <v>11380.94</v>
      </c>
      <c r="V15" s="56">
        <v>10317.540000000001</v>
      </c>
      <c r="W15" s="56">
        <v>11349.42</v>
      </c>
      <c r="X15" s="56">
        <v>11942.69</v>
      </c>
      <c r="Y15" s="56">
        <v>11315.55</v>
      </c>
      <c r="Z15" s="56">
        <v>10239.16</v>
      </c>
      <c r="AA15" s="56">
        <v>8676.35</v>
      </c>
      <c r="AB15" s="56">
        <v>7344</v>
      </c>
      <c r="AC15" s="59">
        <f>+SUM(E15:AB15)*D15+SUM(E16:AB16)*D16+SUM(E17:AB17)*D17+SUM(E18:AB18)*D18</f>
        <v>6747334.9200000009</v>
      </c>
      <c r="AE15" s="11">
        <f>+AC39</f>
        <v>6689638.8200000003</v>
      </c>
      <c r="AF15" s="15"/>
    </row>
    <row r="16" spans="2:32" x14ac:dyDescent="0.25">
      <c r="B16" s="65" t="s">
        <v>34</v>
      </c>
      <c r="C16" s="4" t="s">
        <v>30</v>
      </c>
      <c r="D16" s="5">
        <v>4</v>
      </c>
      <c r="E16" s="56">
        <v>5792.42</v>
      </c>
      <c r="F16" s="56">
        <v>5395.31</v>
      </c>
      <c r="G16" s="56">
        <v>5197.97</v>
      </c>
      <c r="H16" s="56">
        <v>5085.7299999999996</v>
      </c>
      <c r="I16" s="56">
        <v>5285</v>
      </c>
      <c r="J16" s="56">
        <v>5761.59</v>
      </c>
      <c r="K16" s="56">
        <v>6535.67</v>
      </c>
      <c r="L16" s="56">
        <v>9815.32</v>
      </c>
      <c r="M16" s="56">
        <v>10169.08</v>
      </c>
      <c r="N16" s="56">
        <v>10508.17</v>
      </c>
      <c r="O16" s="56">
        <v>10857.66</v>
      </c>
      <c r="P16" s="56">
        <v>11142.64</v>
      </c>
      <c r="Q16" s="56">
        <v>11231.8</v>
      </c>
      <c r="R16" s="56">
        <v>10898.11</v>
      </c>
      <c r="S16" s="56">
        <v>10726.59</v>
      </c>
      <c r="T16" s="56">
        <v>10812.89</v>
      </c>
      <c r="U16" s="56">
        <v>10940.25</v>
      </c>
      <c r="V16" s="56">
        <v>9948.4500000000007</v>
      </c>
      <c r="W16" s="56">
        <v>10918.81</v>
      </c>
      <c r="X16" s="56">
        <v>11603.97</v>
      </c>
      <c r="Y16" s="56">
        <v>11047.49</v>
      </c>
      <c r="Z16" s="56">
        <v>10240.879999999999</v>
      </c>
      <c r="AA16" s="56">
        <v>9083.73</v>
      </c>
      <c r="AB16" s="56">
        <v>7825.69</v>
      </c>
      <c r="AC16" s="60"/>
      <c r="AE16" s="11">
        <f>+AC43</f>
        <v>6970749.6699999999</v>
      </c>
      <c r="AF16" s="15"/>
    </row>
    <row r="17" spans="2:32" x14ac:dyDescent="0.25">
      <c r="B17" s="65" t="s">
        <v>34</v>
      </c>
      <c r="C17" s="4" t="s">
        <v>31</v>
      </c>
      <c r="D17" s="5">
        <v>4</v>
      </c>
      <c r="E17" s="56">
        <v>6135.77</v>
      </c>
      <c r="F17" s="56">
        <v>5651.13</v>
      </c>
      <c r="G17" s="56">
        <v>5344.61</v>
      </c>
      <c r="H17" s="56">
        <v>5156.1000000000004</v>
      </c>
      <c r="I17" s="56">
        <v>5118</v>
      </c>
      <c r="J17" s="56">
        <v>5175.57</v>
      </c>
      <c r="K17" s="56">
        <v>5376.33</v>
      </c>
      <c r="L17" s="56">
        <v>8035.26</v>
      </c>
      <c r="M17" s="56">
        <v>8790.59</v>
      </c>
      <c r="N17" s="56">
        <v>9190.31</v>
      </c>
      <c r="O17" s="56">
        <v>9458.17</v>
      </c>
      <c r="P17" s="56">
        <v>9693</v>
      </c>
      <c r="Q17" s="56">
        <v>9934.93</v>
      </c>
      <c r="R17" s="56">
        <v>9838.89</v>
      </c>
      <c r="S17" s="56">
        <v>9649.3700000000008</v>
      </c>
      <c r="T17" s="56">
        <v>9694.82</v>
      </c>
      <c r="U17" s="56">
        <v>9886.7800000000007</v>
      </c>
      <c r="V17" s="56">
        <v>9173.83</v>
      </c>
      <c r="W17" s="56">
        <v>10143.17</v>
      </c>
      <c r="X17" s="56">
        <v>10943.11</v>
      </c>
      <c r="Y17" s="56">
        <v>10637.01</v>
      </c>
      <c r="Z17" s="56">
        <v>9816.92</v>
      </c>
      <c r="AA17" s="56">
        <v>8508.31</v>
      </c>
      <c r="AB17" s="56">
        <v>7158.23</v>
      </c>
      <c r="AC17" s="60"/>
      <c r="AE17" s="11">
        <f>+AC47</f>
        <v>6810864.3000000007</v>
      </c>
      <c r="AF17" s="15"/>
    </row>
    <row r="18" spans="2:32" x14ac:dyDescent="0.25">
      <c r="B18" s="65" t="s">
        <v>34</v>
      </c>
      <c r="C18" s="4" t="s">
        <v>32</v>
      </c>
      <c r="D18" s="5">
        <v>1</v>
      </c>
      <c r="E18" s="56">
        <v>5942.71</v>
      </c>
      <c r="F18" s="56">
        <v>5562.36</v>
      </c>
      <c r="G18" s="56">
        <v>5361.98</v>
      </c>
      <c r="H18" s="56">
        <v>5276.45</v>
      </c>
      <c r="I18" s="56">
        <v>5239.49</v>
      </c>
      <c r="J18" s="56">
        <v>5384.22</v>
      </c>
      <c r="K18" s="56">
        <v>5532.89</v>
      </c>
      <c r="L18" s="56">
        <v>8211.43</v>
      </c>
      <c r="M18" s="56">
        <v>8873.91</v>
      </c>
      <c r="N18" s="56">
        <v>9333.42</v>
      </c>
      <c r="O18" s="56">
        <v>9975.01</v>
      </c>
      <c r="P18" s="56">
        <v>10562.36</v>
      </c>
      <c r="Q18" s="56">
        <v>10809.72</v>
      </c>
      <c r="R18" s="56">
        <v>10869.45</v>
      </c>
      <c r="S18" s="56">
        <v>10776.81</v>
      </c>
      <c r="T18" s="56">
        <v>10708.5</v>
      </c>
      <c r="U18" s="56">
        <v>10370.99</v>
      </c>
      <c r="V18" s="56">
        <v>9569</v>
      </c>
      <c r="W18" s="56">
        <v>10896.97</v>
      </c>
      <c r="X18" s="56">
        <v>11450.09</v>
      </c>
      <c r="Y18" s="56">
        <v>10885.23</v>
      </c>
      <c r="Z18" s="56">
        <v>9538.5300000000007</v>
      </c>
      <c r="AA18" s="56">
        <v>8070.67</v>
      </c>
      <c r="AB18" s="56">
        <v>6833.07</v>
      </c>
      <c r="AC18" s="61"/>
      <c r="AE18" s="11">
        <f>+AC51</f>
        <v>7030802.1299999999</v>
      </c>
      <c r="AF18" s="15"/>
    </row>
    <row r="19" spans="2:32" ht="13" x14ac:dyDescent="0.3">
      <c r="B19" s="65" t="s">
        <v>35</v>
      </c>
      <c r="C19" s="4" t="s">
        <v>29</v>
      </c>
      <c r="D19" s="5">
        <v>18</v>
      </c>
      <c r="E19" s="56">
        <v>5933.3</v>
      </c>
      <c r="F19" s="56">
        <v>5587.97</v>
      </c>
      <c r="G19" s="56">
        <v>5419.8</v>
      </c>
      <c r="H19" s="56">
        <v>5412.56</v>
      </c>
      <c r="I19" s="56">
        <v>5912.55</v>
      </c>
      <c r="J19" s="56">
        <v>7530.66</v>
      </c>
      <c r="K19" s="56">
        <v>8426</v>
      </c>
      <c r="L19" s="56">
        <v>10681.45</v>
      </c>
      <c r="M19" s="56">
        <v>10692.87</v>
      </c>
      <c r="N19" s="56">
        <v>10731.74</v>
      </c>
      <c r="O19" s="56">
        <v>11200.47</v>
      </c>
      <c r="P19" s="56">
        <v>11723.46</v>
      </c>
      <c r="Q19" s="56">
        <v>11463.08</v>
      </c>
      <c r="R19" s="56">
        <v>11555.21</v>
      </c>
      <c r="S19" s="56">
        <v>11889.98</v>
      </c>
      <c r="T19" s="56">
        <v>11985.88</v>
      </c>
      <c r="U19" s="56">
        <v>12037.62</v>
      </c>
      <c r="V19" s="56">
        <v>11012.66</v>
      </c>
      <c r="W19" s="56">
        <v>12013.29</v>
      </c>
      <c r="X19" s="56">
        <v>12367.72</v>
      </c>
      <c r="Y19" s="56">
        <v>11693.73</v>
      </c>
      <c r="Z19" s="56">
        <v>10612.07</v>
      </c>
      <c r="AA19" s="56">
        <v>9004.91</v>
      </c>
      <c r="AB19" s="56">
        <v>7697.22</v>
      </c>
      <c r="AC19" s="59">
        <f>+SUM(E19:AB19)*D19+SUM(E20:AB20)*D20+SUM(E21:AB21)*D21+SUM(E22:AB22)*D22</f>
        <v>6757001.1000000006</v>
      </c>
      <c r="AE19" s="12">
        <f>SUM(AE7:AE18)</f>
        <v>81476419.120000005</v>
      </c>
      <c r="AF19" s="15"/>
    </row>
    <row r="20" spans="2:32" x14ac:dyDescent="0.25">
      <c r="B20" s="65" t="s">
        <v>35</v>
      </c>
      <c r="C20" s="4" t="s">
        <v>30</v>
      </c>
      <c r="D20" s="5">
        <v>5</v>
      </c>
      <c r="E20" s="56">
        <v>6251.78</v>
      </c>
      <c r="F20" s="56">
        <v>5800.04</v>
      </c>
      <c r="G20" s="56">
        <v>5586.44</v>
      </c>
      <c r="H20" s="56">
        <v>5498.1</v>
      </c>
      <c r="I20" s="56">
        <v>5618.93</v>
      </c>
      <c r="J20" s="56">
        <v>5959.73</v>
      </c>
      <c r="K20" s="56">
        <v>6316.19</v>
      </c>
      <c r="L20" s="56">
        <v>9783.2099999999991</v>
      </c>
      <c r="M20" s="56">
        <v>10305.86</v>
      </c>
      <c r="N20" s="56">
        <v>10647.38</v>
      </c>
      <c r="O20" s="56">
        <v>11060.55</v>
      </c>
      <c r="P20" s="56">
        <v>11522.34</v>
      </c>
      <c r="Q20" s="56">
        <v>11732.89</v>
      </c>
      <c r="R20" s="56">
        <v>11340.87</v>
      </c>
      <c r="S20" s="56">
        <v>11225.69</v>
      </c>
      <c r="T20" s="56">
        <v>11263.74</v>
      </c>
      <c r="U20" s="56">
        <v>11384.49</v>
      </c>
      <c r="V20" s="56">
        <v>9971.74</v>
      </c>
      <c r="W20" s="56">
        <v>11399.56</v>
      </c>
      <c r="X20" s="56">
        <v>11811.55</v>
      </c>
      <c r="Y20" s="56">
        <v>11150.29</v>
      </c>
      <c r="Z20" s="56">
        <v>10372.58</v>
      </c>
      <c r="AA20" s="56">
        <v>9337.2000000000007</v>
      </c>
      <c r="AB20" s="56">
        <v>8777.7099999999991</v>
      </c>
      <c r="AC20" s="60"/>
      <c r="AE20" s="13"/>
      <c r="AF20" s="15"/>
    </row>
    <row r="21" spans="2:32" x14ac:dyDescent="0.25">
      <c r="B21" s="65" t="s">
        <v>35</v>
      </c>
      <c r="C21" s="4" t="s">
        <v>31</v>
      </c>
      <c r="D21" s="5">
        <v>5</v>
      </c>
      <c r="E21" s="56">
        <v>6638.1</v>
      </c>
      <c r="F21" s="56">
        <v>6115.82</v>
      </c>
      <c r="G21" s="56">
        <v>5790.09</v>
      </c>
      <c r="H21" s="56">
        <v>5533.27</v>
      </c>
      <c r="I21" s="56">
        <v>5464.05</v>
      </c>
      <c r="J21" s="56">
        <v>5418.92</v>
      </c>
      <c r="K21" s="56">
        <v>5573.4</v>
      </c>
      <c r="L21" s="56">
        <v>8279.01</v>
      </c>
      <c r="M21" s="56">
        <v>8991.1299999999992</v>
      </c>
      <c r="N21" s="56">
        <v>9417.44</v>
      </c>
      <c r="O21" s="56">
        <v>9934.6200000000008</v>
      </c>
      <c r="P21" s="56">
        <v>10258.93</v>
      </c>
      <c r="Q21" s="56">
        <v>10532.48</v>
      </c>
      <c r="R21" s="56">
        <v>10472.540000000001</v>
      </c>
      <c r="S21" s="56">
        <v>10392.969999999999</v>
      </c>
      <c r="T21" s="56">
        <v>10283.280000000001</v>
      </c>
      <c r="U21" s="56">
        <v>10459.07</v>
      </c>
      <c r="V21" s="56">
        <v>9598.4699999999993</v>
      </c>
      <c r="W21" s="56">
        <v>11142.54</v>
      </c>
      <c r="X21" s="56">
        <v>11431.55</v>
      </c>
      <c r="Y21" s="56">
        <v>10929.44</v>
      </c>
      <c r="Z21" s="56">
        <v>9953.48</v>
      </c>
      <c r="AA21" s="56">
        <v>8498.32</v>
      </c>
      <c r="AB21" s="56">
        <v>7254.78</v>
      </c>
      <c r="AC21" s="60"/>
      <c r="AE21" s="13"/>
      <c r="AF21" s="15"/>
    </row>
    <row r="22" spans="2:32" x14ac:dyDescent="0.25">
      <c r="B22" s="65" t="s">
        <v>35</v>
      </c>
      <c r="C22" s="4" t="s">
        <v>32</v>
      </c>
      <c r="D22" s="5">
        <v>2</v>
      </c>
      <c r="E22" s="56">
        <v>6126.62</v>
      </c>
      <c r="F22" s="56">
        <v>5713.09</v>
      </c>
      <c r="G22" s="56">
        <v>5460.4</v>
      </c>
      <c r="H22" s="56">
        <v>5252.24</v>
      </c>
      <c r="I22" s="56">
        <v>5346.82</v>
      </c>
      <c r="J22" s="56">
        <v>5366.39</v>
      </c>
      <c r="K22" s="56">
        <v>5619.15</v>
      </c>
      <c r="L22" s="56">
        <v>8584.07</v>
      </c>
      <c r="M22" s="56">
        <v>9069.7999999999993</v>
      </c>
      <c r="N22" s="56">
        <v>9204.0300000000007</v>
      </c>
      <c r="O22" s="56">
        <v>9347.7099999999991</v>
      </c>
      <c r="P22" s="56">
        <v>9927.74</v>
      </c>
      <c r="Q22" s="56">
        <v>10313.26</v>
      </c>
      <c r="R22" s="56">
        <v>10215.35</v>
      </c>
      <c r="S22" s="56">
        <v>10072.4</v>
      </c>
      <c r="T22" s="56">
        <v>10160.540000000001</v>
      </c>
      <c r="U22" s="56">
        <v>10192.89</v>
      </c>
      <c r="V22" s="56">
        <v>9485.77</v>
      </c>
      <c r="W22" s="56">
        <v>10450.91</v>
      </c>
      <c r="X22" s="56">
        <v>10894.28</v>
      </c>
      <c r="Y22" s="56">
        <v>10370.69</v>
      </c>
      <c r="Z22" s="56">
        <v>9890.41</v>
      </c>
      <c r="AA22" s="56">
        <v>9001.15</v>
      </c>
      <c r="AB22" s="56">
        <v>7952.64</v>
      </c>
      <c r="AC22" s="61"/>
      <c r="AF22" s="15"/>
    </row>
    <row r="23" spans="2:32" x14ac:dyDescent="0.25">
      <c r="B23" s="65" t="s">
        <v>36</v>
      </c>
      <c r="C23" s="4" t="s">
        <v>29</v>
      </c>
      <c r="D23" s="5">
        <v>21</v>
      </c>
      <c r="E23" s="56">
        <v>5629.61</v>
      </c>
      <c r="F23" s="56">
        <v>5473.25</v>
      </c>
      <c r="G23" s="56">
        <v>5230.6499999999996</v>
      </c>
      <c r="H23" s="56">
        <v>5175.83</v>
      </c>
      <c r="I23" s="56">
        <v>5647.2</v>
      </c>
      <c r="J23" s="56">
        <v>7115.3</v>
      </c>
      <c r="K23" s="56">
        <v>8004.59</v>
      </c>
      <c r="L23" s="56">
        <v>10235.969999999999</v>
      </c>
      <c r="M23" s="56">
        <v>10198.35</v>
      </c>
      <c r="N23" s="56">
        <v>10350.83</v>
      </c>
      <c r="O23" s="56">
        <v>10778.06</v>
      </c>
      <c r="P23" s="56">
        <v>11254.43</v>
      </c>
      <c r="Q23" s="56">
        <v>11012.85</v>
      </c>
      <c r="R23" s="56">
        <v>11087.25</v>
      </c>
      <c r="S23" s="56">
        <v>11462.42</v>
      </c>
      <c r="T23" s="56">
        <v>11589.86</v>
      </c>
      <c r="U23" s="56">
        <v>11402.92</v>
      </c>
      <c r="V23" s="56">
        <v>10608.99</v>
      </c>
      <c r="W23" s="56">
        <v>11572.51</v>
      </c>
      <c r="X23" s="56">
        <v>11739.09</v>
      </c>
      <c r="Y23" s="56">
        <v>11247.49</v>
      </c>
      <c r="Z23" s="56">
        <v>9981.01</v>
      </c>
      <c r="AA23" s="56">
        <v>8618.2099999999991</v>
      </c>
      <c r="AB23" s="56">
        <v>7367.35</v>
      </c>
      <c r="AC23" s="59">
        <f>+SUM(E23:AB23)*D23+SUM(E24:AB24)*D24+SUM(E25:AB25)*D25+SUM(E26:AB26)*D26</f>
        <v>6724259.5</v>
      </c>
      <c r="AF23" s="15"/>
    </row>
    <row r="24" spans="2:32" x14ac:dyDescent="0.25">
      <c r="B24" s="65" t="s">
        <v>36</v>
      </c>
      <c r="C24" s="4" t="s">
        <v>30</v>
      </c>
      <c r="D24" s="5">
        <v>4</v>
      </c>
      <c r="E24" s="56">
        <v>6019.05</v>
      </c>
      <c r="F24" s="56">
        <v>5634.1</v>
      </c>
      <c r="G24" s="56">
        <v>5366.79</v>
      </c>
      <c r="H24" s="56">
        <v>5281.43</v>
      </c>
      <c r="I24" s="56">
        <v>5411.38</v>
      </c>
      <c r="J24" s="56">
        <v>5673.92</v>
      </c>
      <c r="K24" s="56">
        <v>6285.4</v>
      </c>
      <c r="L24" s="56">
        <v>9526.02</v>
      </c>
      <c r="M24" s="56">
        <v>10099.86</v>
      </c>
      <c r="N24" s="56">
        <v>10452.64</v>
      </c>
      <c r="O24" s="56">
        <v>10766.42</v>
      </c>
      <c r="P24" s="56">
        <v>11007.13</v>
      </c>
      <c r="Q24" s="56">
        <v>11021.64</v>
      </c>
      <c r="R24" s="56">
        <v>10859.64</v>
      </c>
      <c r="S24" s="56">
        <v>10806.72</v>
      </c>
      <c r="T24" s="56">
        <v>10652.82</v>
      </c>
      <c r="U24" s="56">
        <v>10837.12</v>
      </c>
      <c r="V24" s="56">
        <v>9931.2900000000009</v>
      </c>
      <c r="W24" s="56">
        <v>10596.94</v>
      </c>
      <c r="X24" s="56">
        <v>10952.83</v>
      </c>
      <c r="Y24" s="56">
        <v>10419.629999999999</v>
      </c>
      <c r="Z24" s="56">
        <v>9576.9699999999993</v>
      </c>
      <c r="AA24" s="56">
        <v>8699.17</v>
      </c>
      <c r="AB24" s="56">
        <v>7613.26</v>
      </c>
      <c r="AC24" s="60"/>
      <c r="AF24" s="15"/>
    </row>
    <row r="25" spans="2:32" x14ac:dyDescent="0.25">
      <c r="B25" s="65" t="s">
        <v>36</v>
      </c>
      <c r="C25" s="4" t="s">
        <v>31</v>
      </c>
      <c r="D25" s="5">
        <v>4</v>
      </c>
      <c r="E25" s="56">
        <v>6039.06</v>
      </c>
      <c r="F25" s="56">
        <v>5626.4</v>
      </c>
      <c r="G25" s="56">
        <v>5355.18</v>
      </c>
      <c r="H25" s="56">
        <v>5143.07</v>
      </c>
      <c r="I25" s="56">
        <v>5168.72</v>
      </c>
      <c r="J25" s="56">
        <v>5048.8500000000004</v>
      </c>
      <c r="K25" s="56">
        <v>5344.14</v>
      </c>
      <c r="L25" s="56">
        <v>8022.81</v>
      </c>
      <c r="M25" s="56">
        <v>8673.7999999999993</v>
      </c>
      <c r="N25" s="56">
        <v>9048.84</v>
      </c>
      <c r="O25" s="56">
        <v>9387.32</v>
      </c>
      <c r="P25" s="56">
        <v>9596.82</v>
      </c>
      <c r="Q25" s="56">
        <v>9750.58</v>
      </c>
      <c r="R25" s="56">
        <v>9794.9699999999993</v>
      </c>
      <c r="S25" s="56">
        <v>9536.73</v>
      </c>
      <c r="T25" s="56">
        <v>9470.94</v>
      </c>
      <c r="U25" s="56">
        <v>9648.35</v>
      </c>
      <c r="V25" s="56">
        <v>9067.2900000000009</v>
      </c>
      <c r="W25" s="56">
        <v>10064.91</v>
      </c>
      <c r="X25" s="56">
        <v>10454.02</v>
      </c>
      <c r="Y25" s="56">
        <v>10097.219999999999</v>
      </c>
      <c r="Z25" s="56">
        <v>9344.6</v>
      </c>
      <c r="AA25" s="56">
        <v>8005.38</v>
      </c>
      <c r="AB25" s="56">
        <v>7030.62</v>
      </c>
      <c r="AC25" s="60"/>
      <c r="AF25" s="15"/>
    </row>
    <row r="26" spans="2:32" x14ac:dyDescent="0.25">
      <c r="B26" s="65" t="s">
        <v>36</v>
      </c>
      <c r="C26" s="4" t="s">
        <v>32</v>
      </c>
      <c r="D26" s="5">
        <v>2</v>
      </c>
      <c r="E26" s="56">
        <v>5931.18</v>
      </c>
      <c r="F26" s="56">
        <v>5533.58</v>
      </c>
      <c r="G26" s="56">
        <v>5331.92</v>
      </c>
      <c r="H26" s="56">
        <v>5197.55</v>
      </c>
      <c r="I26" s="56">
        <v>5261.84</v>
      </c>
      <c r="J26" s="56">
        <v>5343.67</v>
      </c>
      <c r="K26" s="56">
        <v>5565.77</v>
      </c>
      <c r="L26" s="56">
        <v>8380.59</v>
      </c>
      <c r="M26" s="56">
        <v>8960.26</v>
      </c>
      <c r="N26" s="56">
        <v>9602.3700000000008</v>
      </c>
      <c r="O26" s="56">
        <v>10049.790000000001</v>
      </c>
      <c r="P26" s="56">
        <v>10779.48</v>
      </c>
      <c r="Q26" s="56">
        <v>11040.18</v>
      </c>
      <c r="R26" s="56">
        <v>10841.52</v>
      </c>
      <c r="S26" s="56">
        <v>10364.83</v>
      </c>
      <c r="T26" s="56">
        <v>10420.049999999999</v>
      </c>
      <c r="U26" s="56">
        <v>10267.42</v>
      </c>
      <c r="V26" s="56">
        <v>9780.5</v>
      </c>
      <c r="W26" s="56">
        <v>10686.89</v>
      </c>
      <c r="X26" s="56">
        <v>11038.6</v>
      </c>
      <c r="Y26" s="56">
        <v>10587.32</v>
      </c>
      <c r="Z26" s="56">
        <v>9773.4599999999991</v>
      </c>
      <c r="AA26" s="56">
        <v>8419.7000000000007</v>
      </c>
      <c r="AB26" s="56">
        <v>7313.49</v>
      </c>
      <c r="AC26" s="61"/>
      <c r="AF26" s="15"/>
    </row>
    <row r="27" spans="2:32" x14ac:dyDescent="0.25">
      <c r="B27" s="65" t="s">
        <v>37</v>
      </c>
      <c r="C27" s="4" t="s">
        <v>29</v>
      </c>
      <c r="D27" s="5">
        <v>20</v>
      </c>
      <c r="E27" s="56">
        <v>5729.53</v>
      </c>
      <c r="F27" s="56">
        <v>5405.68</v>
      </c>
      <c r="G27" s="56">
        <v>5268.5</v>
      </c>
      <c r="H27" s="56">
        <v>5231.9399999999996</v>
      </c>
      <c r="I27" s="56">
        <v>5676.29</v>
      </c>
      <c r="J27" s="56">
        <v>6864.31</v>
      </c>
      <c r="K27" s="56">
        <v>7864.63</v>
      </c>
      <c r="L27" s="56">
        <v>10652.48</v>
      </c>
      <c r="M27" s="56">
        <v>10693.93</v>
      </c>
      <c r="N27" s="56">
        <v>10978.77</v>
      </c>
      <c r="O27" s="56">
        <v>11453.86</v>
      </c>
      <c r="P27" s="56">
        <v>11919.17</v>
      </c>
      <c r="Q27" s="56">
        <v>11771.91</v>
      </c>
      <c r="R27" s="56">
        <v>11679.05</v>
      </c>
      <c r="S27" s="56">
        <v>11908.07</v>
      </c>
      <c r="T27" s="56">
        <v>11892.07</v>
      </c>
      <c r="U27" s="56">
        <v>11931.22</v>
      </c>
      <c r="V27" s="56">
        <v>10700.4</v>
      </c>
      <c r="W27" s="56">
        <v>11658.91</v>
      </c>
      <c r="X27" s="56">
        <v>12024.33</v>
      </c>
      <c r="Y27" s="56">
        <v>11393.19</v>
      </c>
      <c r="Z27" s="56">
        <v>10304.040000000001</v>
      </c>
      <c r="AA27" s="56">
        <v>8800.4500000000007</v>
      </c>
      <c r="AB27" s="56">
        <v>7476.26</v>
      </c>
      <c r="AC27" s="59">
        <f>+SUM(E27:AB27)*D27+SUM(E28:AB28)*D28+SUM(E29:AB29)*D29+SUM(E30:AB30)*D30</f>
        <v>6702116.6800000006</v>
      </c>
      <c r="AF27" s="15"/>
    </row>
    <row r="28" spans="2:32" x14ac:dyDescent="0.25">
      <c r="B28" s="65" t="s">
        <v>37</v>
      </c>
      <c r="C28" s="4" t="s">
        <v>30</v>
      </c>
      <c r="D28" s="5">
        <v>4</v>
      </c>
      <c r="E28" s="56">
        <v>5934.37</v>
      </c>
      <c r="F28" s="56">
        <v>5552.56</v>
      </c>
      <c r="G28" s="56">
        <v>5322.35</v>
      </c>
      <c r="H28" s="56">
        <v>5208.1099999999997</v>
      </c>
      <c r="I28" s="56">
        <v>5402.04</v>
      </c>
      <c r="J28" s="56">
        <v>5748.96</v>
      </c>
      <c r="K28" s="56">
        <v>6501.84</v>
      </c>
      <c r="L28" s="56">
        <v>9988.5</v>
      </c>
      <c r="M28" s="56">
        <v>10584.74</v>
      </c>
      <c r="N28" s="56">
        <v>10938.52</v>
      </c>
      <c r="O28" s="56">
        <v>11331.06</v>
      </c>
      <c r="P28" s="56">
        <v>11583.89</v>
      </c>
      <c r="Q28" s="56">
        <v>11600.59</v>
      </c>
      <c r="R28" s="56">
        <v>11327.33</v>
      </c>
      <c r="S28" s="56">
        <v>11060.75</v>
      </c>
      <c r="T28" s="56">
        <v>10993.64</v>
      </c>
      <c r="U28" s="56">
        <v>10969.98</v>
      </c>
      <c r="V28" s="56">
        <v>10055.98</v>
      </c>
      <c r="W28" s="56">
        <v>10940.26</v>
      </c>
      <c r="X28" s="56">
        <v>11492.23</v>
      </c>
      <c r="Y28" s="56">
        <v>10958.62</v>
      </c>
      <c r="Z28" s="56">
        <v>10106.61</v>
      </c>
      <c r="AA28" s="56">
        <v>9069.92</v>
      </c>
      <c r="AB28" s="56">
        <v>7876.89</v>
      </c>
      <c r="AC28" s="60"/>
      <c r="AF28" s="15"/>
    </row>
    <row r="29" spans="2:32" x14ac:dyDescent="0.25">
      <c r="B29" s="65" t="s">
        <v>37</v>
      </c>
      <c r="C29" s="4" t="s">
        <v>31</v>
      </c>
      <c r="D29" s="5">
        <v>4</v>
      </c>
      <c r="E29" s="56">
        <v>6391.95</v>
      </c>
      <c r="F29" s="56">
        <v>5873.83</v>
      </c>
      <c r="G29" s="56">
        <v>5574.42</v>
      </c>
      <c r="H29" s="56">
        <v>5416.24</v>
      </c>
      <c r="I29" s="56">
        <v>5327.63</v>
      </c>
      <c r="J29" s="56">
        <v>5241.82</v>
      </c>
      <c r="K29" s="56">
        <v>5487.62</v>
      </c>
      <c r="L29" s="56">
        <v>8425.2199999999993</v>
      </c>
      <c r="M29" s="56">
        <v>9202.4599999999991</v>
      </c>
      <c r="N29" s="56">
        <v>9806.19</v>
      </c>
      <c r="O29" s="56">
        <v>10122.61</v>
      </c>
      <c r="P29" s="56">
        <v>10393.4</v>
      </c>
      <c r="Q29" s="56">
        <v>10502.11</v>
      </c>
      <c r="R29" s="56">
        <v>10392.99</v>
      </c>
      <c r="S29" s="56">
        <v>10086.1</v>
      </c>
      <c r="T29" s="56">
        <v>10059.040000000001</v>
      </c>
      <c r="U29" s="56">
        <v>10149.94</v>
      </c>
      <c r="V29" s="56">
        <v>9323.6</v>
      </c>
      <c r="W29" s="56">
        <v>10221.98</v>
      </c>
      <c r="X29" s="56">
        <v>10873.97</v>
      </c>
      <c r="Y29" s="56">
        <v>10535.96</v>
      </c>
      <c r="Z29" s="56">
        <v>9754.3700000000008</v>
      </c>
      <c r="AA29" s="56">
        <v>8615.7999999999993</v>
      </c>
      <c r="AB29" s="56">
        <v>7398.43</v>
      </c>
      <c r="AC29" s="60"/>
      <c r="AF29" s="15"/>
    </row>
    <row r="30" spans="2:32" x14ac:dyDescent="0.25">
      <c r="B30" s="65" t="s">
        <v>37</v>
      </c>
      <c r="C30" s="4" t="s">
        <v>32</v>
      </c>
      <c r="D30" s="5">
        <v>2</v>
      </c>
      <c r="E30" s="56">
        <v>5928.52</v>
      </c>
      <c r="F30" s="56">
        <v>5548.7</v>
      </c>
      <c r="G30" s="56">
        <v>5317.64</v>
      </c>
      <c r="H30" s="56">
        <v>5191.6099999999997</v>
      </c>
      <c r="I30" s="56">
        <v>5221.37</v>
      </c>
      <c r="J30" s="56">
        <v>5237.9399999999996</v>
      </c>
      <c r="K30" s="56">
        <v>5354.18</v>
      </c>
      <c r="L30" s="56">
        <v>8292.57</v>
      </c>
      <c r="M30" s="56">
        <v>8752.3700000000008</v>
      </c>
      <c r="N30" s="56">
        <v>9288.25</v>
      </c>
      <c r="O30" s="56">
        <v>10141.040000000001</v>
      </c>
      <c r="P30" s="56">
        <v>10649.94</v>
      </c>
      <c r="Q30" s="56">
        <v>11059.76</v>
      </c>
      <c r="R30" s="56">
        <v>10920.77</v>
      </c>
      <c r="S30" s="56">
        <v>10689.3</v>
      </c>
      <c r="T30" s="56">
        <v>10559.22</v>
      </c>
      <c r="U30" s="56">
        <v>10504.61</v>
      </c>
      <c r="V30" s="56">
        <v>9581.6299999999992</v>
      </c>
      <c r="W30" s="56">
        <v>10564.55</v>
      </c>
      <c r="X30" s="56">
        <v>11229.84</v>
      </c>
      <c r="Y30" s="56">
        <v>10842.77</v>
      </c>
      <c r="Z30" s="56">
        <v>9992.52</v>
      </c>
      <c r="AA30" s="56">
        <v>8627.7199999999993</v>
      </c>
      <c r="AB30" s="56">
        <v>7316.78</v>
      </c>
      <c r="AC30" s="61"/>
      <c r="AF30" s="15"/>
    </row>
    <row r="31" spans="2:32" x14ac:dyDescent="0.25">
      <c r="B31" s="65" t="s">
        <v>38</v>
      </c>
      <c r="C31" s="4" t="s">
        <v>29</v>
      </c>
      <c r="D31" s="5">
        <v>18</v>
      </c>
      <c r="E31" s="56">
        <v>5789.99</v>
      </c>
      <c r="F31" s="56">
        <v>5467.77</v>
      </c>
      <c r="G31" s="56">
        <v>5305.96</v>
      </c>
      <c r="H31" s="56">
        <v>5295.34</v>
      </c>
      <c r="I31" s="56">
        <v>5732.52</v>
      </c>
      <c r="J31" s="56">
        <v>7106.66</v>
      </c>
      <c r="K31" s="56">
        <v>8059.32</v>
      </c>
      <c r="L31" s="56">
        <v>10473.08</v>
      </c>
      <c r="M31" s="56">
        <v>10507.98</v>
      </c>
      <c r="N31" s="56">
        <v>10746.27</v>
      </c>
      <c r="O31" s="56">
        <v>11084</v>
      </c>
      <c r="P31" s="56">
        <v>11736.68</v>
      </c>
      <c r="Q31" s="56">
        <v>11493.45</v>
      </c>
      <c r="R31" s="56">
        <v>11455.02</v>
      </c>
      <c r="S31" s="56">
        <v>11692</v>
      </c>
      <c r="T31" s="56">
        <v>11717.56</v>
      </c>
      <c r="U31" s="56">
        <v>11654.68</v>
      </c>
      <c r="V31" s="56">
        <v>10591.11</v>
      </c>
      <c r="W31" s="56">
        <v>11313.12</v>
      </c>
      <c r="X31" s="56">
        <v>12059.75</v>
      </c>
      <c r="Y31" s="56">
        <v>11511.92</v>
      </c>
      <c r="Z31" s="56">
        <v>10446.11</v>
      </c>
      <c r="AA31" s="56">
        <v>8829.84</v>
      </c>
      <c r="AB31" s="56">
        <v>7556.03</v>
      </c>
      <c r="AC31" s="59">
        <f>+SUM(E31:AB31)*D31+SUM(E32:AB32)*D32+SUM(E33:AB33)*D33+SUM(E34:AB34)*D34</f>
        <v>6793847.3900000006</v>
      </c>
      <c r="AF31" s="15"/>
    </row>
    <row r="32" spans="2:32" x14ac:dyDescent="0.25">
      <c r="B32" s="65" t="s">
        <v>38</v>
      </c>
      <c r="C32" s="4" t="s">
        <v>30</v>
      </c>
      <c r="D32" s="5">
        <v>5</v>
      </c>
      <c r="E32" s="56">
        <v>6167.29</v>
      </c>
      <c r="F32" s="56">
        <v>5764.41</v>
      </c>
      <c r="G32" s="56">
        <v>5516.43</v>
      </c>
      <c r="H32" s="56">
        <v>5435.66</v>
      </c>
      <c r="I32" s="56">
        <v>5551.03</v>
      </c>
      <c r="J32" s="56">
        <v>5830.29</v>
      </c>
      <c r="K32" s="56">
        <v>6494.61</v>
      </c>
      <c r="L32" s="56">
        <v>9867.2199999999993</v>
      </c>
      <c r="M32" s="56">
        <v>10475.629999999999</v>
      </c>
      <c r="N32" s="56">
        <v>10836.94</v>
      </c>
      <c r="O32" s="56">
        <v>11088.37</v>
      </c>
      <c r="P32" s="56">
        <v>11473.43</v>
      </c>
      <c r="Q32" s="56">
        <v>11589.41</v>
      </c>
      <c r="R32" s="56">
        <v>11335.73</v>
      </c>
      <c r="S32" s="56">
        <v>11135.89</v>
      </c>
      <c r="T32" s="56">
        <v>10930.09</v>
      </c>
      <c r="U32" s="56">
        <v>10804.66</v>
      </c>
      <c r="V32" s="56">
        <v>10022.799999999999</v>
      </c>
      <c r="W32" s="56">
        <v>10658.59</v>
      </c>
      <c r="X32" s="56">
        <v>11338.2</v>
      </c>
      <c r="Y32" s="56">
        <v>10773.07</v>
      </c>
      <c r="Z32" s="56">
        <v>9903.17</v>
      </c>
      <c r="AA32" s="56">
        <v>8775.5400000000009</v>
      </c>
      <c r="AB32" s="56">
        <v>7714.4</v>
      </c>
      <c r="AC32" s="60"/>
      <c r="AF32" s="15"/>
    </row>
    <row r="33" spans="2:32" x14ac:dyDescent="0.25">
      <c r="B33" s="65" t="s">
        <v>38</v>
      </c>
      <c r="C33" s="4" t="s">
        <v>31</v>
      </c>
      <c r="D33" s="5">
        <v>5</v>
      </c>
      <c r="E33" s="56">
        <v>6006.32</v>
      </c>
      <c r="F33" s="56">
        <v>5578.61</v>
      </c>
      <c r="G33" s="56">
        <v>5316.62</v>
      </c>
      <c r="H33" s="56">
        <v>5182.71</v>
      </c>
      <c r="I33" s="56">
        <v>5113.0600000000004</v>
      </c>
      <c r="J33" s="56">
        <v>5045.6400000000003</v>
      </c>
      <c r="K33" s="56">
        <v>5311.97</v>
      </c>
      <c r="L33" s="56">
        <v>8041.82</v>
      </c>
      <c r="M33" s="56">
        <v>8843.4500000000007</v>
      </c>
      <c r="N33" s="56">
        <v>9271.24</v>
      </c>
      <c r="O33" s="56">
        <v>9587.5</v>
      </c>
      <c r="P33" s="56">
        <v>10098.65</v>
      </c>
      <c r="Q33" s="56">
        <v>10236.82</v>
      </c>
      <c r="R33" s="56">
        <v>10225.35</v>
      </c>
      <c r="S33" s="56">
        <v>10051.549999999999</v>
      </c>
      <c r="T33" s="56">
        <v>9949.68</v>
      </c>
      <c r="U33" s="56">
        <v>9908.51</v>
      </c>
      <c r="V33" s="56">
        <v>9148.35</v>
      </c>
      <c r="W33" s="56">
        <v>10064.77</v>
      </c>
      <c r="X33" s="56">
        <v>10990.47</v>
      </c>
      <c r="Y33" s="56">
        <v>10708.97</v>
      </c>
      <c r="Z33" s="56">
        <v>9740.23</v>
      </c>
      <c r="AA33" s="56">
        <v>8237.2000000000007</v>
      </c>
      <c r="AB33" s="56">
        <v>7043.7</v>
      </c>
      <c r="AC33" s="60"/>
      <c r="AF33" s="15"/>
    </row>
    <row r="34" spans="2:32" x14ac:dyDescent="0.25">
      <c r="B34" s="65" t="s">
        <v>38</v>
      </c>
      <c r="C34" s="4" t="s">
        <v>32</v>
      </c>
      <c r="D34" s="5">
        <v>3</v>
      </c>
      <c r="E34" s="56">
        <v>6521.88</v>
      </c>
      <c r="F34" s="56">
        <v>6044.6</v>
      </c>
      <c r="G34" s="56">
        <v>5681.84</v>
      </c>
      <c r="H34" s="56">
        <v>5370.36</v>
      </c>
      <c r="I34" s="56">
        <v>5338.25</v>
      </c>
      <c r="J34" s="56">
        <v>5102.38</v>
      </c>
      <c r="K34" s="56">
        <v>5371.58</v>
      </c>
      <c r="L34" s="56">
        <v>8175.54</v>
      </c>
      <c r="M34" s="56">
        <v>9027.99</v>
      </c>
      <c r="N34" s="56">
        <v>9303.99</v>
      </c>
      <c r="O34" s="56">
        <v>9284.9599999999991</v>
      </c>
      <c r="P34" s="56">
        <v>9902.35</v>
      </c>
      <c r="Q34" s="56">
        <v>10204.84</v>
      </c>
      <c r="R34" s="56">
        <v>10247.51</v>
      </c>
      <c r="S34" s="56">
        <v>9727.24</v>
      </c>
      <c r="T34" s="56">
        <v>9658.76</v>
      </c>
      <c r="U34" s="56">
        <v>9700.44</v>
      </c>
      <c r="V34" s="56">
        <v>8948.91</v>
      </c>
      <c r="W34" s="56">
        <v>9703.98</v>
      </c>
      <c r="X34" s="56">
        <v>10734.21</v>
      </c>
      <c r="Y34" s="56">
        <v>10641.55</v>
      </c>
      <c r="Z34" s="56">
        <v>9754.4599999999991</v>
      </c>
      <c r="AA34" s="56">
        <v>8411.15</v>
      </c>
      <c r="AB34" s="56">
        <v>7356.65</v>
      </c>
      <c r="AC34" s="61"/>
      <c r="AF34" s="15"/>
    </row>
    <row r="35" spans="2:32" x14ac:dyDescent="0.25">
      <c r="B35" s="65" t="s">
        <v>39</v>
      </c>
      <c r="C35" s="4" t="s">
        <v>29</v>
      </c>
      <c r="D35" s="5">
        <v>21</v>
      </c>
      <c r="E35" s="56">
        <v>5907.91</v>
      </c>
      <c r="F35" s="56">
        <v>5528.82</v>
      </c>
      <c r="G35" s="56">
        <v>5375.53</v>
      </c>
      <c r="H35" s="56">
        <v>5341.6</v>
      </c>
      <c r="I35" s="56">
        <v>5840.32</v>
      </c>
      <c r="J35" s="56">
        <v>7382.81</v>
      </c>
      <c r="K35" s="56">
        <v>8423.23</v>
      </c>
      <c r="L35" s="56">
        <v>10734.79</v>
      </c>
      <c r="M35" s="56">
        <v>10637.21</v>
      </c>
      <c r="N35" s="56">
        <v>10782.87</v>
      </c>
      <c r="O35" s="56">
        <v>11174.58</v>
      </c>
      <c r="P35" s="56">
        <v>11657.41</v>
      </c>
      <c r="Q35" s="56">
        <v>11479.54</v>
      </c>
      <c r="R35" s="56">
        <v>11464.28</v>
      </c>
      <c r="S35" s="56">
        <v>11758.33</v>
      </c>
      <c r="T35" s="56">
        <v>11819.54</v>
      </c>
      <c r="U35" s="56">
        <v>11827.1</v>
      </c>
      <c r="V35" s="56">
        <v>10838.3</v>
      </c>
      <c r="W35" s="56">
        <v>11743.62</v>
      </c>
      <c r="X35" s="56">
        <v>12405.94</v>
      </c>
      <c r="Y35" s="56">
        <v>11823.14</v>
      </c>
      <c r="Z35" s="56">
        <v>10680.72</v>
      </c>
      <c r="AA35" s="56">
        <v>8991.2900000000009</v>
      </c>
      <c r="AB35" s="56">
        <v>7687.7</v>
      </c>
      <c r="AC35" s="59">
        <f>+SUM(E35:AB35)*D35+SUM(E36:AB36)*D36+SUM(E37:AB37)*D37+SUM(E38:AB38)*D38</f>
        <v>6992971.9800000014</v>
      </c>
      <c r="AF35" s="15"/>
    </row>
    <row r="36" spans="2:32" x14ac:dyDescent="0.25">
      <c r="B36" s="65" t="s">
        <v>39</v>
      </c>
      <c r="C36" s="4" t="s">
        <v>30</v>
      </c>
      <c r="D36" s="5">
        <v>4</v>
      </c>
      <c r="E36" s="56">
        <v>6242.72</v>
      </c>
      <c r="F36" s="56">
        <v>5833.46</v>
      </c>
      <c r="G36" s="56">
        <v>5575.67</v>
      </c>
      <c r="H36" s="56">
        <v>5455.85</v>
      </c>
      <c r="I36" s="56">
        <v>5575.27</v>
      </c>
      <c r="J36" s="56">
        <v>5887.21</v>
      </c>
      <c r="K36" s="56">
        <v>6668.48</v>
      </c>
      <c r="L36" s="56">
        <v>10021.299999999999</v>
      </c>
      <c r="M36" s="56">
        <v>10749.32</v>
      </c>
      <c r="N36" s="56">
        <v>10961.32</v>
      </c>
      <c r="O36" s="56">
        <v>11193.45</v>
      </c>
      <c r="P36" s="56">
        <v>11468.78</v>
      </c>
      <c r="Q36" s="56">
        <v>11549.44</v>
      </c>
      <c r="R36" s="56">
        <v>11563.16</v>
      </c>
      <c r="S36" s="56">
        <v>11290.04</v>
      </c>
      <c r="T36" s="56">
        <v>11172.12</v>
      </c>
      <c r="U36" s="56">
        <v>11102.06</v>
      </c>
      <c r="V36" s="56">
        <v>10413.620000000001</v>
      </c>
      <c r="W36" s="56">
        <v>11189.98</v>
      </c>
      <c r="X36" s="56">
        <v>11720.56</v>
      </c>
      <c r="Y36" s="56">
        <v>11081.5</v>
      </c>
      <c r="Z36" s="56">
        <v>10193.24</v>
      </c>
      <c r="AA36" s="56">
        <v>8894.69</v>
      </c>
      <c r="AB36" s="56">
        <v>7840.39</v>
      </c>
      <c r="AC36" s="60"/>
      <c r="AF36" s="15"/>
    </row>
    <row r="37" spans="2:32" x14ac:dyDescent="0.25">
      <c r="B37" s="65" t="s">
        <v>39</v>
      </c>
      <c r="C37" s="4" t="s">
        <v>31</v>
      </c>
      <c r="D37" s="5">
        <v>4</v>
      </c>
      <c r="E37" s="56">
        <v>6237.49</v>
      </c>
      <c r="F37" s="56">
        <v>5810.14</v>
      </c>
      <c r="G37" s="56">
        <v>5499.08</v>
      </c>
      <c r="H37" s="56">
        <v>5325.21</v>
      </c>
      <c r="I37" s="56">
        <v>5258.12</v>
      </c>
      <c r="J37" s="56">
        <v>5291.04</v>
      </c>
      <c r="K37" s="56">
        <v>5440.62</v>
      </c>
      <c r="L37" s="56">
        <v>8261.23</v>
      </c>
      <c r="M37" s="56">
        <v>9000.73</v>
      </c>
      <c r="N37" s="56">
        <v>9529.98</v>
      </c>
      <c r="O37" s="56">
        <v>9871.64</v>
      </c>
      <c r="P37" s="56">
        <v>10346.799999999999</v>
      </c>
      <c r="Q37" s="56">
        <v>10591.39</v>
      </c>
      <c r="R37" s="56">
        <v>10465.709999999999</v>
      </c>
      <c r="S37" s="56">
        <v>10199.969999999999</v>
      </c>
      <c r="T37" s="56">
        <v>10156.59</v>
      </c>
      <c r="U37" s="56">
        <v>10268.280000000001</v>
      </c>
      <c r="V37" s="56">
        <v>9645.19</v>
      </c>
      <c r="W37" s="56">
        <v>10670.11</v>
      </c>
      <c r="X37" s="56">
        <v>11295.69</v>
      </c>
      <c r="Y37" s="56">
        <v>10838.23</v>
      </c>
      <c r="Z37" s="56">
        <v>9768.48</v>
      </c>
      <c r="AA37" s="56">
        <v>8411.08</v>
      </c>
      <c r="AB37" s="56">
        <v>7304.81</v>
      </c>
      <c r="AC37" s="60"/>
      <c r="AF37" s="15"/>
    </row>
    <row r="38" spans="2:32" x14ac:dyDescent="0.25">
      <c r="B38" s="65" t="s">
        <v>39</v>
      </c>
      <c r="C38" s="4" t="s">
        <v>32</v>
      </c>
      <c r="D38" s="5">
        <v>2</v>
      </c>
      <c r="E38" s="56">
        <v>6019.77</v>
      </c>
      <c r="F38" s="56">
        <v>5568.81</v>
      </c>
      <c r="G38" s="56">
        <v>5398.1</v>
      </c>
      <c r="H38" s="56">
        <v>5312.78</v>
      </c>
      <c r="I38" s="56">
        <v>5414.45</v>
      </c>
      <c r="J38" s="56">
        <v>5533.89</v>
      </c>
      <c r="K38" s="56">
        <v>5706.1</v>
      </c>
      <c r="L38" s="56">
        <v>8512.7800000000007</v>
      </c>
      <c r="M38" s="56">
        <v>9101.1</v>
      </c>
      <c r="N38" s="56">
        <v>9541.1200000000008</v>
      </c>
      <c r="O38" s="56">
        <v>10157.01</v>
      </c>
      <c r="P38" s="56">
        <v>10495.49</v>
      </c>
      <c r="Q38" s="56">
        <v>10657.37</v>
      </c>
      <c r="R38" s="56">
        <v>10910.22</v>
      </c>
      <c r="S38" s="56">
        <v>10772.83</v>
      </c>
      <c r="T38" s="56">
        <v>10515.64</v>
      </c>
      <c r="U38" s="56">
        <v>10741.76</v>
      </c>
      <c r="V38" s="56">
        <v>10236.450000000001</v>
      </c>
      <c r="W38" s="56">
        <v>11101.42</v>
      </c>
      <c r="X38" s="56">
        <v>11537.92</v>
      </c>
      <c r="Y38" s="56">
        <v>10933.93</v>
      </c>
      <c r="Z38" s="56">
        <v>9807.51</v>
      </c>
      <c r="AA38" s="56">
        <v>8387.89</v>
      </c>
      <c r="AB38" s="56">
        <v>7140.08</v>
      </c>
      <c r="AC38" s="61"/>
      <c r="AF38" s="15"/>
    </row>
    <row r="39" spans="2:32" x14ac:dyDescent="0.25">
      <c r="B39" s="65" t="s">
        <v>40</v>
      </c>
      <c r="C39" s="4" t="s">
        <v>29</v>
      </c>
      <c r="D39" s="5">
        <v>21</v>
      </c>
      <c r="E39" s="56">
        <v>5776.54</v>
      </c>
      <c r="F39" s="56">
        <v>5449.2</v>
      </c>
      <c r="G39" s="56">
        <v>5315.04</v>
      </c>
      <c r="H39" s="56">
        <v>5247.57</v>
      </c>
      <c r="I39" s="56">
        <v>5730.49</v>
      </c>
      <c r="J39" s="56">
        <v>7146.12</v>
      </c>
      <c r="K39" s="56">
        <v>8191.83</v>
      </c>
      <c r="L39" s="56">
        <v>10613.72</v>
      </c>
      <c r="M39" s="56">
        <v>10524.82</v>
      </c>
      <c r="N39" s="56">
        <v>10693.34</v>
      </c>
      <c r="O39" s="56">
        <v>11097.45</v>
      </c>
      <c r="P39" s="56">
        <v>11655.65</v>
      </c>
      <c r="Q39" s="56">
        <v>11426.58</v>
      </c>
      <c r="R39" s="56">
        <v>11333.9</v>
      </c>
      <c r="S39" s="56">
        <v>11632.51</v>
      </c>
      <c r="T39" s="56">
        <v>11734.66</v>
      </c>
      <c r="U39" s="56">
        <v>11711.71</v>
      </c>
      <c r="V39" s="56">
        <v>10689.01</v>
      </c>
      <c r="W39" s="56">
        <v>11779.54</v>
      </c>
      <c r="X39" s="56">
        <v>12061.23</v>
      </c>
      <c r="Y39" s="56">
        <v>11449.95</v>
      </c>
      <c r="Z39" s="56">
        <v>10416.67</v>
      </c>
      <c r="AA39" s="56">
        <v>8776.24</v>
      </c>
      <c r="AB39" s="56">
        <v>7431.68</v>
      </c>
      <c r="AC39" s="59">
        <f>+SUM(E39:AB39)*D39+SUM(E40:AB40)*D40+SUM(E41:AB41)*D41+SUM(E42:AB42)*D42</f>
        <v>6689638.8200000003</v>
      </c>
      <c r="AF39" s="15"/>
    </row>
    <row r="40" spans="2:32" x14ac:dyDescent="0.25">
      <c r="B40" s="65" t="s">
        <v>40</v>
      </c>
      <c r="C40" s="4" t="s">
        <v>30</v>
      </c>
      <c r="D40" s="5">
        <v>5</v>
      </c>
      <c r="E40" s="56">
        <v>5987.56</v>
      </c>
      <c r="F40" s="56">
        <v>5553.32</v>
      </c>
      <c r="G40" s="56">
        <v>5367.25</v>
      </c>
      <c r="H40" s="56">
        <v>5268.5</v>
      </c>
      <c r="I40" s="56">
        <v>5408.26</v>
      </c>
      <c r="J40" s="56">
        <v>5842.17</v>
      </c>
      <c r="K40" s="56">
        <v>6527.38</v>
      </c>
      <c r="L40" s="56">
        <v>9950.36</v>
      </c>
      <c r="M40" s="56">
        <v>10509.5</v>
      </c>
      <c r="N40" s="56">
        <v>10832.8</v>
      </c>
      <c r="O40" s="56">
        <v>11221.12</v>
      </c>
      <c r="P40" s="56">
        <v>11446.57</v>
      </c>
      <c r="Q40" s="56">
        <v>11437.54</v>
      </c>
      <c r="R40" s="56">
        <v>11304.41</v>
      </c>
      <c r="S40" s="56">
        <v>11087.97</v>
      </c>
      <c r="T40" s="56">
        <v>11024.59</v>
      </c>
      <c r="U40" s="56">
        <v>11196.22</v>
      </c>
      <c r="V40" s="56">
        <v>10236.42</v>
      </c>
      <c r="W40" s="56">
        <v>11257.95</v>
      </c>
      <c r="X40" s="56">
        <v>11391.09</v>
      </c>
      <c r="Y40" s="56">
        <v>10793.44</v>
      </c>
      <c r="Z40" s="56">
        <v>9832.82</v>
      </c>
      <c r="AA40" s="56">
        <v>8777.7000000000007</v>
      </c>
      <c r="AB40" s="56">
        <v>7622.99</v>
      </c>
      <c r="AC40" s="60"/>
      <c r="AF40" s="15"/>
    </row>
    <row r="41" spans="2:32" x14ac:dyDescent="0.25">
      <c r="B41" s="65" t="s">
        <v>40</v>
      </c>
      <c r="C41" s="4" t="s">
        <v>31</v>
      </c>
      <c r="D41" s="5">
        <v>4</v>
      </c>
      <c r="E41" s="56">
        <v>6157.38</v>
      </c>
      <c r="F41" s="56">
        <v>5711.5</v>
      </c>
      <c r="G41" s="56">
        <v>5391.02</v>
      </c>
      <c r="H41" s="56">
        <v>5258.49</v>
      </c>
      <c r="I41" s="56">
        <v>5120.76</v>
      </c>
      <c r="J41" s="56">
        <v>5052.18</v>
      </c>
      <c r="K41" s="56">
        <v>5310.36</v>
      </c>
      <c r="L41" s="56">
        <v>8137.44</v>
      </c>
      <c r="M41" s="56">
        <v>8725.18</v>
      </c>
      <c r="N41" s="56">
        <v>9177.41</v>
      </c>
      <c r="O41" s="56">
        <v>9633.8799999999992</v>
      </c>
      <c r="P41" s="56">
        <v>10122.969999999999</v>
      </c>
      <c r="Q41" s="56">
        <v>10470.83</v>
      </c>
      <c r="R41" s="56">
        <v>10434.120000000001</v>
      </c>
      <c r="S41" s="56">
        <v>10193.299999999999</v>
      </c>
      <c r="T41" s="56">
        <v>10059.68</v>
      </c>
      <c r="U41" s="56">
        <v>10098.44</v>
      </c>
      <c r="V41" s="56">
        <v>9559.52</v>
      </c>
      <c r="W41" s="56">
        <v>10544.1</v>
      </c>
      <c r="X41" s="56">
        <v>11019.69</v>
      </c>
      <c r="Y41" s="56">
        <v>10417.81</v>
      </c>
      <c r="Z41" s="56">
        <v>9543.83</v>
      </c>
      <c r="AA41" s="56">
        <v>8076.28</v>
      </c>
      <c r="AB41" s="56">
        <v>6947.51</v>
      </c>
      <c r="AC41" s="60"/>
      <c r="AF41" s="15"/>
    </row>
    <row r="42" spans="2:32" x14ac:dyDescent="0.25">
      <c r="B42" s="65" t="s">
        <v>40</v>
      </c>
      <c r="C42" s="4" t="s">
        <v>32</v>
      </c>
      <c r="D42" s="5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61"/>
      <c r="AF42" s="15"/>
    </row>
    <row r="43" spans="2:32" x14ac:dyDescent="0.25">
      <c r="B43" s="65" t="s">
        <v>41</v>
      </c>
      <c r="C43" s="4" t="s">
        <v>29</v>
      </c>
      <c r="D43" s="5">
        <v>21</v>
      </c>
      <c r="E43" s="56">
        <v>5816.36</v>
      </c>
      <c r="F43" s="56">
        <v>5462.02</v>
      </c>
      <c r="G43" s="56">
        <v>5317.83</v>
      </c>
      <c r="H43" s="56">
        <v>5285.99</v>
      </c>
      <c r="I43" s="56">
        <v>5756.36</v>
      </c>
      <c r="J43" s="56">
        <v>7099.89</v>
      </c>
      <c r="K43" s="56">
        <v>8085.08</v>
      </c>
      <c r="L43" s="56">
        <v>10587.11</v>
      </c>
      <c r="M43" s="56">
        <v>10553.83</v>
      </c>
      <c r="N43" s="56">
        <v>10722.67</v>
      </c>
      <c r="O43" s="56">
        <v>11153.58</v>
      </c>
      <c r="P43" s="56">
        <v>11740.05</v>
      </c>
      <c r="Q43" s="56">
        <v>11536.71</v>
      </c>
      <c r="R43" s="56">
        <v>11486.63</v>
      </c>
      <c r="S43" s="56">
        <v>11732.38</v>
      </c>
      <c r="T43" s="56">
        <v>11865.51</v>
      </c>
      <c r="U43" s="56">
        <v>11913.09</v>
      </c>
      <c r="V43" s="56">
        <v>11110.21</v>
      </c>
      <c r="W43" s="56">
        <v>12244.45</v>
      </c>
      <c r="X43" s="56">
        <v>12195.25</v>
      </c>
      <c r="Y43" s="56">
        <v>11542.15</v>
      </c>
      <c r="Z43" s="56">
        <v>10557.36</v>
      </c>
      <c r="AA43" s="56">
        <v>8898.7999999999993</v>
      </c>
      <c r="AB43" s="56">
        <v>7537.22</v>
      </c>
      <c r="AC43" s="59">
        <f>+SUM(E43:AB43)*D43+SUM(E44:AB44)*D44+SUM(E45:AB45)*D45+SUM(E46:AB46)*D46</f>
        <v>6970749.6699999999</v>
      </c>
      <c r="AF43" s="15"/>
    </row>
    <row r="44" spans="2:32" x14ac:dyDescent="0.25">
      <c r="B44" s="65" t="s">
        <v>41</v>
      </c>
      <c r="C44" s="4" t="s">
        <v>30</v>
      </c>
      <c r="D44" s="5">
        <v>4</v>
      </c>
      <c r="E44" s="56">
        <v>6120.94</v>
      </c>
      <c r="F44" s="56">
        <v>5688.56</v>
      </c>
      <c r="G44" s="56">
        <v>5471.09</v>
      </c>
      <c r="H44" s="56">
        <v>5362.35</v>
      </c>
      <c r="I44" s="56">
        <v>5472.73</v>
      </c>
      <c r="J44" s="56">
        <v>5806.56</v>
      </c>
      <c r="K44" s="56">
        <v>6503.19</v>
      </c>
      <c r="L44" s="56">
        <v>9866.93</v>
      </c>
      <c r="M44" s="56">
        <v>10411.219999999999</v>
      </c>
      <c r="N44" s="56">
        <v>10826.59</v>
      </c>
      <c r="O44" s="56">
        <v>11123.13</v>
      </c>
      <c r="P44" s="56">
        <v>11540.19</v>
      </c>
      <c r="Q44" s="56">
        <v>11677.17</v>
      </c>
      <c r="R44" s="56">
        <v>11445.87</v>
      </c>
      <c r="S44" s="56">
        <v>11403.5</v>
      </c>
      <c r="T44" s="56">
        <v>11314.83</v>
      </c>
      <c r="U44" s="56">
        <v>11403.17</v>
      </c>
      <c r="V44" s="56">
        <v>10644.33</v>
      </c>
      <c r="W44" s="56">
        <v>11860.25</v>
      </c>
      <c r="X44" s="56">
        <v>11813.15</v>
      </c>
      <c r="Y44" s="56">
        <v>11206.06</v>
      </c>
      <c r="Z44" s="56">
        <v>10304.17</v>
      </c>
      <c r="AA44" s="56">
        <v>9139.5400000000009</v>
      </c>
      <c r="AB44" s="56">
        <v>7974.97</v>
      </c>
      <c r="AC44" s="60"/>
      <c r="AF44" s="15"/>
    </row>
    <row r="45" spans="2:32" x14ac:dyDescent="0.25">
      <c r="B45" s="65" t="s">
        <v>41</v>
      </c>
      <c r="C45" s="4" t="s">
        <v>31</v>
      </c>
      <c r="D45" s="5">
        <v>5</v>
      </c>
      <c r="E45" s="56">
        <v>6311.28</v>
      </c>
      <c r="F45" s="56">
        <v>5789.46</v>
      </c>
      <c r="G45" s="56">
        <v>5467.32</v>
      </c>
      <c r="H45" s="56">
        <v>5320.17</v>
      </c>
      <c r="I45" s="56">
        <v>5335.8</v>
      </c>
      <c r="J45" s="56">
        <v>5225.1400000000003</v>
      </c>
      <c r="K45" s="56">
        <v>5365.9</v>
      </c>
      <c r="L45" s="56">
        <v>8004.69</v>
      </c>
      <c r="M45" s="56">
        <v>8788.3799999999992</v>
      </c>
      <c r="N45" s="56">
        <v>9337.2800000000007</v>
      </c>
      <c r="O45" s="56">
        <v>9898.93</v>
      </c>
      <c r="P45" s="56">
        <v>10388.61</v>
      </c>
      <c r="Q45" s="56">
        <v>10646.71</v>
      </c>
      <c r="R45" s="56">
        <v>10572.99</v>
      </c>
      <c r="S45" s="56">
        <v>10238.02</v>
      </c>
      <c r="T45" s="56">
        <v>10271.719999999999</v>
      </c>
      <c r="U45" s="56">
        <v>10309.15</v>
      </c>
      <c r="V45" s="56">
        <v>9887.8700000000008</v>
      </c>
      <c r="W45" s="56">
        <v>11196.53</v>
      </c>
      <c r="X45" s="56">
        <v>11363.44</v>
      </c>
      <c r="Y45" s="56">
        <v>10833.18</v>
      </c>
      <c r="Z45" s="56">
        <v>9831.0400000000009</v>
      </c>
      <c r="AA45" s="56">
        <v>8483.32</v>
      </c>
      <c r="AB45" s="56">
        <v>7312.08</v>
      </c>
      <c r="AC45" s="60"/>
      <c r="AF45" s="15"/>
    </row>
    <row r="46" spans="2:32" x14ac:dyDescent="0.25">
      <c r="B46" s="65" t="s">
        <v>41</v>
      </c>
      <c r="C46" s="4" t="s">
        <v>32</v>
      </c>
      <c r="D46" s="5">
        <v>1</v>
      </c>
      <c r="E46" s="56">
        <v>5873.56</v>
      </c>
      <c r="F46" s="56">
        <v>5480.17</v>
      </c>
      <c r="G46" s="56">
        <v>5253.88</v>
      </c>
      <c r="H46" s="56">
        <v>5196</v>
      </c>
      <c r="I46" s="56">
        <v>5313.64</v>
      </c>
      <c r="J46" s="56">
        <v>5242.4799999999996</v>
      </c>
      <c r="K46" s="56">
        <v>5386.14</v>
      </c>
      <c r="L46" s="56">
        <v>8106.85</v>
      </c>
      <c r="M46" s="56">
        <v>8743.86</v>
      </c>
      <c r="N46" s="56">
        <v>9502.2800000000007</v>
      </c>
      <c r="O46" s="56">
        <v>10086.42</v>
      </c>
      <c r="P46" s="56">
        <v>10578.54</v>
      </c>
      <c r="Q46" s="56">
        <v>11014.88</v>
      </c>
      <c r="R46" s="56">
        <v>10853.08</v>
      </c>
      <c r="S46" s="56">
        <v>10629.48</v>
      </c>
      <c r="T46" s="56">
        <v>10464.299999999999</v>
      </c>
      <c r="U46" s="56">
        <v>10561.71</v>
      </c>
      <c r="V46" s="56">
        <v>10295.56</v>
      </c>
      <c r="W46" s="56">
        <v>11701.51</v>
      </c>
      <c r="X46" s="56">
        <v>11440.27</v>
      </c>
      <c r="Y46" s="56">
        <v>11009.9</v>
      </c>
      <c r="Z46" s="56">
        <v>9918.09</v>
      </c>
      <c r="AA46" s="56">
        <v>8378.32</v>
      </c>
      <c r="AB46" s="56">
        <v>7090.61</v>
      </c>
      <c r="AC46" s="61"/>
      <c r="AF46" s="15"/>
    </row>
    <row r="47" spans="2:32" x14ac:dyDescent="0.25">
      <c r="B47" s="65" t="s">
        <v>42</v>
      </c>
      <c r="C47" s="4" t="s">
        <v>29</v>
      </c>
      <c r="D47" s="5">
        <v>20</v>
      </c>
      <c r="E47" s="56">
        <v>5783.13</v>
      </c>
      <c r="F47" s="56">
        <v>5434.29</v>
      </c>
      <c r="G47" s="56">
        <v>5383.94</v>
      </c>
      <c r="H47" s="56">
        <v>5336.75</v>
      </c>
      <c r="I47" s="56">
        <v>5834.74</v>
      </c>
      <c r="J47" s="56">
        <v>7197.89</v>
      </c>
      <c r="K47" s="56">
        <v>8357.35</v>
      </c>
      <c r="L47" s="56">
        <v>10863.4</v>
      </c>
      <c r="M47" s="56">
        <v>10791.65</v>
      </c>
      <c r="N47" s="56">
        <v>10900.71</v>
      </c>
      <c r="O47" s="56">
        <v>11431.89</v>
      </c>
      <c r="P47" s="56">
        <v>11906.74</v>
      </c>
      <c r="Q47" s="56">
        <v>11655.93</v>
      </c>
      <c r="R47" s="56">
        <v>11578.79</v>
      </c>
      <c r="S47" s="56">
        <v>11884</v>
      </c>
      <c r="T47" s="56">
        <v>12045.85</v>
      </c>
      <c r="U47" s="56">
        <v>12091.2</v>
      </c>
      <c r="V47" s="56">
        <v>11287.48</v>
      </c>
      <c r="W47" s="56">
        <v>12345.61</v>
      </c>
      <c r="X47" s="56">
        <v>12171.97</v>
      </c>
      <c r="Y47" s="56">
        <v>11613.31</v>
      </c>
      <c r="Z47" s="56">
        <v>10562.35</v>
      </c>
      <c r="AA47" s="56">
        <v>8881.1</v>
      </c>
      <c r="AB47" s="56">
        <v>7562.94</v>
      </c>
      <c r="AC47" s="59">
        <f>+SUM(E47:AB47)*D47+SUM(E48:AB48)*D48+SUM(E49:AB49)*D49+SUM(E50:AB50)*D50</f>
        <v>6810864.3000000007</v>
      </c>
      <c r="AF47" s="15"/>
    </row>
    <row r="48" spans="2:32" x14ac:dyDescent="0.25">
      <c r="B48" s="65" t="s">
        <v>42</v>
      </c>
      <c r="C48" s="4" t="s">
        <v>30</v>
      </c>
      <c r="D48" s="5">
        <v>4</v>
      </c>
      <c r="E48" s="56">
        <v>6142.87</v>
      </c>
      <c r="F48" s="56">
        <v>5740.44</v>
      </c>
      <c r="G48" s="56">
        <v>5483.58</v>
      </c>
      <c r="H48" s="56">
        <v>5420.92</v>
      </c>
      <c r="I48" s="56">
        <v>5611.4</v>
      </c>
      <c r="J48" s="56">
        <v>5959.08</v>
      </c>
      <c r="K48" s="56">
        <v>6762.69</v>
      </c>
      <c r="L48" s="56">
        <v>10114.469999999999</v>
      </c>
      <c r="M48" s="56">
        <v>10666</v>
      </c>
      <c r="N48" s="56">
        <v>10987.93</v>
      </c>
      <c r="O48" s="56">
        <v>11292.75</v>
      </c>
      <c r="P48" s="56">
        <v>11607.24</v>
      </c>
      <c r="Q48" s="56">
        <v>11615.97</v>
      </c>
      <c r="R48" s="56">
        <v>11404.95</v>
      </c>
      <c r="S48" s="56">
        <v>11258.39</v>
      </c>
      <c r="T48" s="56">
        <v>11220.45</v>
      </c>
      <c r="U48" s="56">
        <v>11322.07</v>
      </c>
      <c r="V48" s="56">
        <v>10712.49</v>
      </c>
      <c r="W48" s="56">
        <v>11891.72</v>
      </c>
      <c r="X48" s="56">
        <v>11824.35</v>
      </c>
      <c r="Y48" s="56">
        <v>11196.81</v>
      </c>
      <c r="Z48" s="56">
        <v>10237.950000000001</v>
      </c>
      <c r="AA48" s="56">
        <v>9137.9599999999991</v>
      </c>
      <c r="AB48" s="56">
        <v>7948.76</v>
      </c>
      <c r="AC48" s="60"/>
      <c r="AF48" s="15"/>
    </row>
    <row r="49" spans="2:32" x14ac:dyDescent="0.25">
      <c r="B49" s="65" t="s">
        <v>42</v>
      </c>
      <c r="C49" s="4" t="s">
        <v>31</v>
      </c>
      <c r="D49" s="5">
        <v>4</v>
      </c>
      <c r="E49" s="56">
        <v>6394.61</v>
      </c>
      <c r="F49" s="56">
        <v>5978.68</v>
      </c>
      <c r="G49" s="56">
        <v>5647.22</v>
      </c>
      <c r="H49" s="56">
        <v>5498.29</v>
      </c>
      <c r="I49" s="56">
        <v>5401.47</v>
      </c>
      <c r="J49" s="56">
        <v>5408.74</v>
      </c>
      <c r="K49" s="56">
        <v>5449.47</v>
      </c>
      <c r="L49" s="56">
        <v>8294.17</v>
      </c>
      <c r="M49" s="56">
        <v>9154.75</v>
      </c>
      <c r="N49" s="56">
        <v>9648.93</v>
      </c>
      <c r="O49" s="56">
        <v>9952.34</v>
      </c>
      <c r="P49" s="56">
        <v>10364.9</v>
      </c>
      <c r="Q49" s="56">
        <v>10669.92</v>
      </c>
      <c r="R49" s="56">
        <v>10601.45</v>
      </c>
      <c r="S49" s="56">
        <v>10465.219999999999</v>
      </c>
      <c r="T49" s="56">
        <v>10387.81</v>
      </c>
      <c r="U49" s="56">
        <v>10580.1</v>
      </c>
      <c r="V49" s="56">
        <v>9930.91</v>
      </c>
      <c r="W49" s="56">
        <v>11159.71</v>
      </c>
      <c r="X49" s="56">
        <v>11218.04</v>
      </c>
      <c r="Y49" s="56">
        <v>10700.71</v>
      </c>
      <c r="Z49" s="56">
        <v>9802.2199999999993</v>
      </c>
      <c r="AA49" s="56">
        <v>8408.7800000000007</v>
      </c>
      <c r="AB49" s="56">
        <v>7292.96</v>
      </c>
      <c r="AC49" s="60"/>
      <c r="AF49" s="15"/>
    </row>
    <row r="50" spans="2:32" x14ac:dyDescent="0.25">
      <c r="B50" s="65" t="s">
        <v>42</v>
      </c>
      <c r="C50" s="4" t="s">
        <v>32</v>
      </c>
      <c r="D50" s="5">
        <v>2</v>
      </c>
      <c r="E50" s="56">
        <v>5942.88</v>
      </c>
      <c r="F50" s="56">
        <v>5539.63</v>
      </c>
      <c r="G50" s="56">
        <v>5366.16</v>
      </c>
      <c r="H50" s="56">
        <v>5199.1899999999996</v>
      </c>
      <c r="I50" s="56">
        <v>5223.59</v>
      </c>
      <c r="J50" s="56">
        <v>5328.75</v>
      </c>
      <c r="K50" s="56">
        <v>5433.03</v>
      </c>
      <c r="L50" s="56">
        <v>8241.56</v>
      </c>
      <c r="M50" s="56">
        <v>8848.77</v>
      </c>
      <c r="N50" s="56">
        <v>9388.41</v>
      </c>
      <c r="O50" s="56">
        <v>10068.85</v>
      </c>
      <c r="P50" s="56">
        <v>10652.6</v>
      </c>
      <c r="Q50" s="56">
        <v>10886.36</v>
      </c>
      <c r="R50" s="56">
        <v>10805.96</v>
      </c>
      <c r="S50" s="56">
        <v>10696.84</v>
      </c>
      <c r="T50" s="56">
        <v>10697.11</v>
      </c>
      <c r="U50" s="56">
        <v>10925.15</v>
      </c>
      <c r="V50" s="56">
        <v>10367.08</v>
      </c>
      <c r="W50" s="56">
        <v>11535</v>
      </c>
      <c r="X50" s="56">
        <v>11559.59</v>
      </c>
      <c r="Y50" s="56">
        <v>10883.97</v>
      </c>
      <c r="Z50" s="56">
        <v>9671.52</v>
      </c>
      <c r="AA50" s="56">
        <v>8106.06</v>
      </c>
      <c r="AB50" s="56">
        <v>7088.71</v>
      </c>
      <c r="AC50" s="61"/>
      <c r="AF50" s="15"/>
    </row>
    <row r="51" spans="2:32" x14ac:dyDescent="0.25">
      <c r="B51" s="65" t="s">
        <v>43</v>
      </c>
      <c r="C51" s="4" t="s">
        <v>29</v>
      </c>
      <c r="D51" s="5">
        <v>19</v>
      </c>
      <c r="E51" s="56">
        <v>6176.37</v>
      </c>
      <c r="F51" s="56">
        <v>5724.05</v>
      </c>
      <c r="G51" s="56">
        <v>5518.05</v>
      </c>
      <c r="H51" s="56">
        <v>5442.73</v>
      </c>
      <c r="I51" s="56">
        <v>5748.76</v>
      </c>
      <c r="J51" s="56">
        <v>6474.17</v>
      </c>
      <c r="K51" s="56">
        <v>7218.57</v>
      </c>
      <c r="L51" s="56">
        <v>10331.16</v>
      </c>
      <c r="M51" s="56">
        <v>10719.35</v>
      </c>
      <c r="N51" s="56">
        <v>11000.26</v>
      </c>
      <c r="O51" s="56">
        <v>11423.09</v>
      </c>
      <c r="P51" s="56">
        <v>12018.92</v>
      </c>
      <c r="Q51" s="56">
        <v>11857.18</v>
      </c>
      <c r="R51" s="56">
        <v>11520.6</v>
      </c>
      <c r="S51" s="56">
        <v>11903.3</v>
      </c>
      <c r="T51" s="56">
        <v>11973.15</v>
      </c>
      <c r="U51" s="56">
        <v>11979.46</v>
      </c>
      <c r="V51" s="56">
        <v>11029.03</v>
      </c>
      <c r="W51" s="56">
        <v>12368.1</v>
      </c>
      <c r="X51" s="56">
        <v>12391.83</v>
      </c>
      <c r="Y51" s="56">
        <v>11754.83</v>
      </c>
      <c r="Z51" s="56">
        <v>10773.66</v>
      </c>
      <c r="AA51" s="56">
        <v>9264.6</v>
      </c>
      <c r="AB51" s="56">
        <v>8009.92</v>
      </c>
      <c r="AC51" s="59">
        <f>+SUM(E51:AB51)*D51+SUM(E52:AB52)*D52+SUM(E53:AB53)*D53+SUM(E54:AB54)*D54</f>
        <v>7030802.1299999999</v>
      </c>
      <c r="AF51" s="15"/>
    </row>
    <row r="52" spans="2:32" x14ac:dyDescent="0.25">
      <c r="B52" s="65" t="s">
        <v>43</v>
      </c>
      <c r="C52" s="4" t="s">
        <v>30</v>
      </c>
      <c r="D52" s="5">
        <v>5</v>
      </c>
      <c r="E52" s="56">
        <v>6366.1</v>
      </c>
      <c r="F52" s="56">
        <v>5916.81</v>
      </c>
      <c r="G52" s="56">
        <v>5680.67</v>
      </c>
      <c r="H52" s="56">
        <v>5492.89</v>
      </c>
      <c r="I52" s="56">
        <v>5727.28</v>
      </c>
      <c r="J52" s="56">
        <v>6070.4</v>
      </c>
      <c r="K52" s="56">
        <v>6646.7</v>
      </c>
      <c r="L52" s="56">
        <v>9954.92</v>
      </c>
      <c r="M52" s="56">
        <v>10577.49</v>
      </c>
      <c r="N52" s="56">
        <v>10954.07</v>
      </c>
      <c r="O52" s="56">
        <v>11264.86</v>
      </c>
      <c r="P52" s="56">
        <v>11624.02</v>
      </c>
      <c r="Q52" s="56">
        <v>11630.89</v>
      </c>
      <c r="R52" s="56">
        <v>11451.47</v>
      </c>
      <c r="S52" s="56">
        <v>11429.28</v>
      </c>
      <c r="T52" s="56">
        <v>11294.27</v>
      </c>
      <c r="U52" s="56">
        <v>11388.42</v>
      </c>
      <c r="V52" s="56">
        <v>10438.6</v>
      </c>
      <c r="W52" s="56">
        <v>11989.19</v>
      </c>
      <c r="X52" s="56">
        <v>12093.67</v>
      </c>
      <c r="Y52" s="56">
        <v>11567.6</v>
      </c>
      <c r="Z52" s="56">
        <v>10729.92</v>
      </c>
      <c r="AA52" s="56">
        <v>9516.19</v>
      </c>
      <c r="AB52" s="56">
        <v>8383.34</v>
      </c>
      <c r="AC52" s="60"/>
      <c r="AF52" s="15"/>
    </row>
    <row r="53" spans="2:32" x14ac:dyDescent="0.25">
      <c r="B53" s="65" t="s">
        <v>43</v>
      </c>
      <c r="C53" s="4" t="s">
        <v>31</v>
      </c>
      <c r="D53" s="5">
        <v>5</v>
      </c>
      <c r="E53" s="56">
        <v>6707.28</v>
      </c>
      <c r="F53" s="56">
        <v>6153.89</v>
      </c>
      <c r="G53" s="56">
        <v>5788.03</v>
      </c>
      <c r="H53" s="56">
        <v>5618.16</v>
      </c>
      <c r="I53" s="56">
        <v>5508.88</v>
      </c>
      <c r="J53" s="56">
        <v>5556.62</v>
      </c>
      <c r="K53" s="56">
        <v>5621.91</v>
      </c>
      <c r="L53" s="56">
        <v>8711.27</v>
      </c>
      <c r="M53" s="56">
        <v>9582.08</v>
      </c>
      <c r="N53" s="56">
        <v>9970.48</v>
      </c>
      <c r="O53" s="56">
        <v>10404.48</v>
      </c>
      <c r="P53" s="56">
        <v>10875.43</v>
      </c>
      <c r="Q53" s="56">
        <v>11187.47</v>
      </c>
      <c r="R53" s="56">
        <v>10890.38</v>
      </c>
      <c r="S53" s="56">
        <v>10432.540000000001</v>
      </c>
      <c r="T53" s="56">
        <v>10605.38</v>
      </c>
      <c r="U53" s="56">
        <v>10618.47</v>
      </c>
      <c r="V53" s="56">
        <v>10012.209999999999</v>
      </c>
      <c r="W53" s="56">
        <v>11218.12</v>
      </c>
      <c r="X53" s="56">
        <v>11318.11</v>
      </c>
      <c r="Y53" s="56">
        <v>10916.64</v>
      </c>
      <c r="Z53" s="56">
        <v>10270.07</v>
      </c>
      <c r="AA53" s="56">
        <v>8975.8799999999992</v>
      </c>
      <c r="AB53" s="56">
        <v>7923.94</v>
      </c>
      <c r="AC53" s="60"/>
      <c r="AF53" s="15"/>
    </row>
    <row r="54" spans="2:32" x14ac:dyDescent="0.25">
      <c r="B54" s="65" t="s">
        <v>43</v>
      </c>
      <c r="C54" s="4" t="s">
        <v>32</v>
      </c>
      <c r="D54" s="5">
        <v>2</v>
      </c>
      <c r="E54" s="56">
        <v>6619.14</v>
      </c>
      <c r="F54" s="56">
        <v>6207.07</v>
      </c>
      <c r="G54" s="56">
        <v>5832.26</v>
      </c>
      <c r="H54" s="56">
        <v>5610.38</v>
      </c>
      <c r="I54" s="56">
        <v>5362.63</v>
      </c>
      <c r="J54" s="56">
        <v>5223.9399999999996</v>
      </c>
      <c r="K54" s="56">
        <v>5070.29</v>
      </c>
      <c r="L54" s="56">
        <v>7415.31</v>
      </c>
      <c r="M54" s="56">
        <v>7831.12</v>
      </c>
      <c r="N54" s="56">
        <v>8297.7199999999993</v>
      </c>
      <c r="O54" s="56">
        <v>8966.99</v>
      </c>
      <c r="P54" s="56">
        <v>9567.94</v>
      </c>
      <c r="Q54" s="56">
        <v>10041.81</v>
      </c>
      <c r="R54" s="56">
        <v>10140.709999999999</v>
      </c>
      <c r="S54" s="56">
        <v>9853.2000000000007</v>
      </c>
      <c r="T54" s="56">
        <v>9907.0400000000009</v>
      </c>
      <c r="U54" s="56">
        <v>9990.2999999999993</v>
      </c>
      <c r="V54" s="56">
        <v>9507.33</v>
      </c>
      <c r="W54" s="56">
        <v>10574.27</v>
      </c>
      <c r="X54" s="56">
        <v>10798.47</v>
      </c>
      <c r="Y54" s="56">
        <v>10251.15</v>
      </c>
      <c r="Z54" s="56">
        <v>9492.42</v>
      </c>
      <c r="AA54" s="56">
        <v>8222.8799999999992</v>
      </c>
      <c r="AB54" s="56">
        <v>7073.94</v>
      </c>
      <c r="AC54" s="61"/>
      <c r="AF54" s="15"/>
    </row>
    <row r="55" spans="2:32" ht="13" x14ac:dyDescent="0.3">
      <c r="Z55" s="71" t="s">
        <v>46</v>
      </c>
      <c r="AA55" s="71"/>
      <c r="AB55" s="71"/>
      <c r="AC55" s="53">
        <f>SUM(AC7:AC54)</f>
        <v>81476419.120000005</v>
      </c>
    </row>
    <row r="56" spans="2:32" x14ac:dyDescent="0.25">
      <c r="AC56" s="13"/>
    </row>
  </sheetData>
  <mergeCells count="28">
    <mergeCell ref="B11:B14"/>
    <mergeCell ref="AC11:AC14"/>
    <mergeCell ref="B2:AC2"/>
    <mergeCell ref="B3:AC3"/>
    <mergeCell ref="B4:AC4"/>
    <mergeCell ref="B7:B10"/>
    <mergeCell ref="AC7:AC10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5490-F566-4D5E-8403-F9896A00AB04}">
  <dimension ref="B2:AE61"/>
  <sheetViews>
    <sheetView showGridLines="0" zoomScale="50" zoomScaleNormal="50" workbookViewId="0">
      <selection activeCell="E7" sqref="E7"/>
    </sheetView>
  </sheetViews>
  <sheetFormatPr baseColWidth="10" defaultColWidth="11.453125" defaultRowHeight="11.5" x14ac:dyDescent="0.25"/>
  <cols>
    <col min="1" max="1" width="4.26953125" style="6" customWidth="1"/>
    <col min="2" max="2" width="5.26953125" style="6" bestFit="1" customWidth="1"/>
    <col min="3" max="3" width="9.7265625" style="6" bestFit="1" customWidth="1"/>
    <col min="4" max="4" width="5.54296875" style="6" bestFit="1" customWidth="1"/>
    <col min="5" max="6" width="10.08984375" style="6" bestFit="1" customWidth="1"/>
    <col min="7" max="9" width="9.90625" style="6" bestFit="1" customWidth="1"/>
    <col min="10" max="11" width="10.08984375" style="6" bestFit="1" customWidth="1"/>
    <col min="12" max="28" width="10.7265625" style="6" bestFit="1" customWidth="1"/>
    <col min="29" max="29" width="17.1796875" style="52" bestFit="1" customWidth="1"/>
    <col min="30" max="30" width="4.7265625" style="6" customWidth="1"/>
    <col min="31" max="31" width="15.36328125" style="6" bestFit="1" customWidth="1"/>
    <col min="32" max="144" width="11.453125" style="6"/>
    <col min="145" max="145" width="7" style="6" customWidth="1"/>
    <col min="146" max="146" width="10.7265625" style="6" customWidth="1"/>
    <col min="147" max="147" width="9.26953125" style="6" customWidth="1"/>
    <col min="148" max="171" width="7.26953125" style="6" customWidth="1"/>
    <col min="172" max="172" width="11.26953125" style="6" bestFit="1" customWidth="1"/>
    <col min="173" max="400" width="11.453125" style="6"/>
    <col min="401" max="401" width="7" style="6" customWidth="1"/>
    <col min="402" max="402" width="10.7265625" style="6" customWidth="1"/>
    <col min="403" max="403" width="9.26953125" style="6" customWidth="1"/>
    <col min="404" max="427" width="7.26953125" style="6" customWidth="1"/>
    <col min="428" max="428" width="11.26953125" style="6" bestFit="1" customWidth="1"/>
    <col min="429" max="656" width="11.453125" style="6"/>
    <col min="657" max="657" width="7" style="6" customWidth="1"/>
    <col min="658" max="658" width="10.7265625" style="6" customWidth="1"/>
    <col min="659" max="659" width="9.26953125" style="6" customWidth="1"/>
    <col min="660" max="683" width="7.26953125" style="6" customWidth="1"/>
    <col min="684" max="684" width="11.26953125" style="6" bestFit="1" customWidth="1"/>
    <col min="685" max="912" width="11.453125" style="6"/>
    <col min="913" max="913" width="7" style="6" customWidth="1"/>
    <col min="914" max="914" width="10.7265625" style="6" customWidth="1"/>
    <col min="915" max="915" width="9.26953125" style="6" customWidth="1"/>
    <col min="916" max="939" width="7.26953125" style="6" customWidth="1"/>
    <col min="940" max="940" width="11.26953125" style="6" bestFit="1" customWidth="1"/>
    <col min="941" max="1168" width="11.453125" style="6"/>
    <col min="1169" max="1169" width="7" style="6" customWidth="1"/>
    <col min="1170" max="1170" width="10.7265625" style="6" customWidth="1"/>
    <col min="1171" max="1171" width="9.26953125" style="6" customWidth="1"/>
    <col min="1172" max="1195" width="7.26953125" style="6" customWidth="1"/>
    <col min="1196" max="1196" width="11.26953125" style="6" bestFit="1" customWidth="1"/>
    <col min="1197" max="1424" width="11.453125" style="6"/>
    <col min="1425" max="1425" width="7" style="6" customWidth="1"/>
    <col min="1426" max="1426" width="10.7265625" style="6" customWidth="1"/>
    <col min="1427" max="1427" width="9.26953125" style="6" customWidth="1"/>
    <col min="1428" max="1451" width="7.26953125" style="6" customWidth="1"/>
    <col min="1452" max="1452" width="11.26953125" style="6" bestFit="1" customWidth="1"/>
    <col min="1453" max="1680" width="11.453125" style="6"/>
    <col min="1681" max="1681" width="7" style="6" customWidth="1"/>
    <col min="1682" max="1682" width="10.7265625" style="6" customWidth="1"/>
    <col min="1683" max="1683" width="9.26953125" style="6" customWidth="1"/>
    <col min="1684" max="1707" width="7.26953125" style="6" customWidth="1"/>
    <col min="1708" max="1708" width="11.26953125" style="6" bestFit="1" customWidth="1"/>
    <col min="1709" max="1936" width="11.453125" style="6"/>
    <col min="1937" max="1937" width="7" style="6" customWidth="1"/>
    <col min="1938" max="1938" width="10.7265625" style="6" customWidth="1"/>
    <col min="1939" max="1939" width="9.26953125" style="6" customWidth="1"/>
    <col min="1940" max="1963" width="7.26953125" style="6" customWidth="1"/>
    <col min="1964" max="1964" width="11.26953125" style="6" bestFit="1" customWidth="1"/>
    <col min="1965" max="2192" width="11.453125" style="6"/>
    <col min="2193" max="2193" width="7" style="6" customWidth="1"/>
    <col min="2194" max="2194" width="10.7265625" style="6" customWidth="1"/>
    <col min="2195" max="2195" width="9.26953125" style="6" customWidth="1"/>
    <col min="2196" max="2219" width="7.26953125" style="6" customWidth="1"/>
    <col min="2220" max="2220" width="11.26953125" style="6" bestFit="1" customWidth="1"/>
    <col min="2221" max="2448" width="11.453125" style="6"/>
    <col min="2449" max="2449" width="7" style="6" customWidth="1"/>
    <col min="2450" max="2450" width="10.7265625" style="6" customWidth="1"/>
    <col min="2451" max="2451" width="9.26953125" style="6" customWidth="1"/>
    <col min="2452" max="2475" width="7.26953125" style="6" customWidth="1"/>
    <col min="2476" max="2476" width="11.26953125" style="6" bestFit="1" customWidth="1"/>
    <col min="2477" max="2704" width="11.453125" style="6"/>
    <col min="2705" max="2705" width="7" style="6" customWidth="1"/>
    <col min="2706" max="2706" width="10.7265625" style="6" customWidth="1"/>
    <col min="2707" max="2707" width="9.26953125" style="6" customWidth="1"/>
    <col min="2708" max="2731" width="7.26953125" style="6" customWidth="1"/>
    <col min="2732" max="2732" width="11.26953125" style="6" bestFit="1" customWidth="1"/>
    <col min="2733" max="2960" width="11.453125" style="6"/>
    <col min="2961" max="2961" width="7" style="6" customWidth="1"/>
    <col min="2962" max="2962" width="10.7265625" style="6" customWidth="1"/>
    <col min="2963" max="2963" width="9.26953125" style="6" customWidth="1"/>
    <col min="2964" max="2987" width="7.26953125" style="6" customWidth="1"/>
    <col min="2988" max="2988" width="11.26953125" style="6" bestFit="1" customWidth="1"/>
    <col min="2989" max="3216" width="11.453125" style="6"/>
    <col min="3217" max="3217" width="7" style="6" customWidth="1"/>
    <col min="3218" max="3218" width="10.7265625" style="6" customWidth="1"/>
    <col min="3219" max="3219" width="9.26953125" style="6" customWidth="1"/>
    <col min="3220" max="3243" width="7.26953125" style="6" customWidth="1"/>
    <col min="3244" max="3244" width="11.26953125" style="6" bestFit="1" customWidth="1"/>
    <col min="3245" max="3472" width="11.453125" style="6"/>
    <col min="3473" max="3473" width="7" style="6" customWidth="1"/>
    <col min="3474" max="3474" width="10.7265625" style="6" customWidth="1"/>
    <col min="3475" max="3475" width="9.26953125" style="6" customWidth="1"/>
    <col min="3476" max="3499" width="7.26953125" style="6" customWidth="1"/>
    <col min="3500" max="3500" width="11.26953125" style="6" bestFit="1" customWidth="1"/>
    <col min="3501" max="3728" width="11.453125" style="6"/>
    <col min="3729" max="3729" width="7" style="6" customWidth="1"/>
    <col min="3730" max="3730" width="10.7265625" style="6" customWidth="1"/>
    <col min="3731" max="3731" width="9.26953125" style="6" customWidth="1"/>
    <col min="3732" max="3755" width="7.26953125" style="6" customWidth="1"/>
    <col min="3756" max="3756" width="11.26953125" style="6" bestFit="1" customWidth="1"/>
    <col min="3757" max="3984" width="11.453125" style="6"/>
    <col min="3985" max="3985" width="7" style="6" customWidth="1"/>
    <col min="3986" max="3986" width="10.7265625" style="6" customWidth="1"/>
    <col min="3987" max="3987" width="9.26953125" style="6" customWidth="1"/>
    <col min="3988" max="4011" width="7.26953125" style="6" customWidth="1"/>
    <col min="4012" max="4012" width="11.26953125" style="6" bestFit="1" customWidth="1"/>
    <col min="4013" max="4240" width="11.453125" style="6"/>
    <col min="4241" max="4241" width="7" style="6" customWidth="1"/>
    <col min="4242" max="4242" width="10.7265625" style="6" customWidth="1"/>
    <col min="4243" max="4243" width="9.26953125" style="6" customWidth="1"/>
    <col min="4244" max="4267" width="7.26953125" style="6" customWidth="1"/>
    <col min="4268" max="4268" width="11.26953125" style="6" bestFit="1" customWidth="1"/>
    <col min="4269" max="4496" width="11.453125" style="6"/>
    <col min="4497" max="4497" width="7" style="6" customWidth="1"/>
    <col min="4498" max="4498" width="10.7265625" style="6" customWidth="1"/>
    <col min="4499" max="4499" width="9.26953125" style="6" customWidth="1"/>
    <col min="4500" max="4523" width="7.26953125" style="6" customWidth="1"/>
    <col min="4524" max="4524" width="11.26953125" style="6" bestFit="1" customWidth="1"/>
    <col min="4525" max="4752" width="11.453125" style="6"/>
    <col min="4753" max="4753" width="7" style="6" customWidth="1"/>
    <col min="4754" max="4754" width="10.7265625" style="6" customWidth="1"/>
    <col min="4755" max="4755" width="9.26953125" style="6" customWidth="1"/>
    <col min="4756" max="4779" width="7.26953125" style="6" customWidth="1"/>
    <col min="4780" max="4780" width="11.26953125" style="6" bestFit="1" customWidth="1"/>
    <col min="4781" max="5008" width="11.453125" style="6"/>
    <col min="5009" max="5009" width="7" style="6" customWidth="1"/>
    <col min="5010" max="5010" width="10.7265625" style="6" customWidth="1"/>
    <col min="5011" max="5011" width="9.26953125" style="6" customWidth="1"/>
    <col min="5012" max="5035" width="7.26953125" style="6" customWidth="1"/>
    <col min="5036" max="5036" width="11.26953125" style="6" bestFit="1" customWidth="1"/>
    <col min="5037" max="5264" width="11.453125" style="6"/>
    <col min="5265" max="5265" width="7" style="6" customWidth="1"/>
    <col min="5266" max="5266" width="10.7265625" style="6" customWidth="1"/>
    <col min="5267" max="5267" width="9.26953125" style="6" customWidth="1"/>
    <col min="5268" max="5291" width="7.26953125" style="6" customWidth="1"/>
    <col min="5292" max="5292" width="11.26953125" style="6" bestFit="1" customWidth="1"/>
    <col min="5293" max="5520" width="11.453125" style="6"/>
    <col min="5521" max="5521" width="7" style="6" customWidth="1"/>
    <col min="5522" max="5522" width="10.7265625" style="6" customWidth="1"/>
    <col min="5523" max="5523" width="9.26953125" style="6" customWidth="1"/>
    <col min="5524" max="5547" width="7.26953125" style="6" customWidth="1"/>
    <col min="5548" max="5548" width="11.26953125" style="6" bestFit="1" customWidth="1"/>
    <col min="5549" max="5776" width="11.453125" style="6"/>
    <col min="5777" max="5777" width="7" style="6" customWidth="1"/>
    <col min="5778" max="5778" width="10.7265625" style="6" customWidth="1"/>
    <col min="5779" max="5779" width="9.26953125" style="6" customWidth="1"/>
    <col min="5780" max="5803" width="7.26953125" style="6" customWidth="1"/>
    <col min="5804" max="5804" width="11.26953125" style="6" bestFit="1" customWidth="1"/>
    <col min="5805" max="6032" width="11.453125" style="6"/>
    <col min="6033" max="6033" width="7" style="6" customWidth="1"/>
    <col min="6034" max="6034" width="10.7265625" style="6" customWidth="1"/>
    <col min="6035" max="6035" width="9.26953125" style="6" customWidth="1"/>
    <col min="6036" max="6059" width="7.26953125" style="6" customWidth="1"/>
    <col min="6060" max="6060" width="11.26953125" style="6" bestFit="1" customWidth="1"/>
    <col min="6061" max="6288" width="11.453125" style="6"/>
    <col min="6289" max="6289" width="7" style="6" customWidth="1"/>
    <col min="6290" max="6290" width="10.7265625" style="6" customWidth="1"/>
    <col min="6291" max="6291" width="9.26953125" style="6" customWidth="1"/>
    <col min="6292" max="6315" width="7.26953125" style="6" customWidth="1"/>
    <col min="6316" max="6316" width="11.26953125" style="6" bestFit="1" customWidth="1"/>
    <col min="6317" max="6544" width="11.453125" style="6"/>
    <col min="6545" max="6545" width="7" style="6" customWidth="1"/>
    <col min="6546" max="6546" width="10.7265625" style="6" customWidth="1"/>
    <col min="6547" max="6547" width="9.26953125" style="6" customWidth="1"/>
    <col min="6548" max="6571" width="7.26953125" style="6" customWidth="1"/>
    <col min="6572" max="6572" width="11.26953125" style="6" bestFit="1" customWidth="1"/>
    <col min="6573" max="6800" width="11.453125" style="6"/>
    <col min="6801" max="6801" width="7" style="6" customWidth="1"/>
    <col min="6802" max="6802" width="10.7265625" style="6" customWidth="1"/>
    <col min="6803" max="6803" width="9.26953125" style="6" customWidth="1"/>
    <col min="6804" max="6827" width="7.26953125" style="6" customWidth="1"/>
    <col min="6828" max="6828" width="11.26953125" style="6" bestFit="1" customWidth="1"/>
    <col min="6829" max="7056" width="11.453125" style="6"/>
    <col min="7057" max="7057" width="7" style="6" customWidth="1"/>
    <col min="7058" max="7058" width="10.7265625" style="6" customWidth="1"/>
    <col min="7059" max="7059" width="9.26953125" style="6" customWidth="1"/>
    <col min="7060" max="7083" width="7.26953125" style="6" customWidth="1"/>
    <col min="7084" max="7084" width="11.26953125" style="6" bestFit="1" customWidth="1"/>
    <col min="7085" max="7312" width="11.453125" style="6"/>
    <col min="7313" max="7313" width="7" style="6" customWidth="1"/>
    <col min="7314" max="7314" width="10.7265625" style="6" customWidth="1"/>
    <col min="7315" max="7315" width="9.26953125" style="6" customWidth="1"/>
    <col min="7316" max="7339" width="7.26953125" style="6" customWidth="1"/>
    <col min="7340" max="7340" width="11.26953125" style="6" bestFit="1" customWidth="1"/>
    <col min="7341" max="7568" width="11.453125" style="6"/>
    <col min="7569" max="7569" width="7" style="6" customWidth="1"/>
    <col min="7570" max="7570" width="10.7265625" style="6" customWidth="1"/>
    <col min="7571" max="7571" width="9.26953125" style="6" customWidth="1"/>
    <col min="7572" max="7595" width="7.26953125" style="6" customWidth="1"/>
    <col min="7596" max="7596" width="11.26953125" style="6" bestFit="1" customWidth="1"/>
    <col min="7597" max="7824" width="11.453125" style="6"/>
    <col min="7825" max="7825" width="7" style="6" customWidth="1"/>
    <col min="7826" max="7826" width="10.7265625" style="6" customWidth="1"/>
    <col min="7827" max="7827" width="9.26953125" style="6" customWidth="1"/>
    <col min="7828" max="7851" width="7.26953125" style="6" customWidth="1"/>
    <col min="7852" max="7852" width="11.26953125" style="6" bestFit="1" customWidth="1"/>
    <col min="7853" max="8080" width="11.453125" style="6"/>
    <col min="8081" max="8081" width="7" style="6" customWidth="1"/>
    <col min="8082" max="8082" width="10.7265625" style="6" customWidth="1"/>
    <col min="8083" max="8083" width="9.26953125" style="6" customWidth="1"/>
    <col min="8084" max="8107" width="7.26953125" style="6" customWidth="1"/>
    <col min="8108" max="8108" width="11.26953125" style="6" bestFit="1" customWidth="1"/>
    <col min="8109" max="8336" width="11.453125" style="6"/>
    <col min="8337" max="8337" width="7" style="6" customWidth="1"/>
    <col min="8338" max="8338" width="10.7265625" style="6" customWidth="1"/>
    <col min="8339" max="8339" width="9.26953125" style="6" customWidth="1"/>
    <col min="8340" max="8363" width="7.26953125" style="6" customWidth="1"/>
    <col min="8364" max="8364" width="11.26953125" style="6" bestFit="1" customWidth="1"/>
    <col min="8365" max="8592" width="11.453125" style="6"/>
    <col min="8593" max="8593" width="7" style="6" customWidth="1"/>
    <col min="8594" max="8594" width="10.7265625" style="6" customWidth="1"/>
    <col min="8595" max="8595" width="9.26953125" style="6" customWidth="1"/>
    <col min="8596" max="8619" width="7.26953125" style="6" customWidth="1"/>
    <col min="8620" max="8620" width="11.26953125" style="6" bestFit="1" customWidth="1"/>
    <col min="8621" max="8848" width="11.453125" style="6"/>
    <col min="8849" max="8849" width="7" style="6" customWidth="1"/>
    <col min="8850" max="8850" width="10.7265625" style="6" customWidth="1"/>
    <col min="8851" max="8851" width="9.26953125" style="6" customWidth="1"/>
    <col min="8852" max="8875" width="7.26953125" style="6" customWidth="1"/>
    <col min="8876" max="8876" width="11.26953125" style="6" bestFit="1" customWidth="1"/>
    <col min="8877" max="9104" width="11.453125" style="6"/>
    <col min="9105" max="9105" width="7" style="6" customWidth="1"/>
    <col min="9106" max="9106" width="10.7265625" style="6" customWidth="1"/>
    <col min="9107" max="9107" width="9.26953125" style="6" customWidth="1"/>
    <col min="9108" max="9131" width="7.26953125" style="6" customWidth="1"/>
    <col min="9132" max="9132" width="11.26953125" style="6" bestFit="1" customWidth="1"/>
    <col min="9133" max="9360" width="11.453125" style="6"/>
    <col min="9361" max="9361" width="7" style="6" customWidth="1"/>
    <col min="9362" max="9362" width="10.7265625" style="6" customWidth="1"/>
    <col min="9363" max="9363" width="9.26953125" style="6" customWidth="1"/>
    <col min="9364" max="9387" width="7.26953125" style="6" customWidth="1"/>
    <col min="9388" max="9388" width="11.26953125" style="6" bestFit="1" customWidth="1"/>
    <col min="9389" max="9616" width="11.453125" style="6"/>
    <col min="9617" max="9617" width="7" style="6" customWidth="1"/>
    <col min="9618" max="9618" width="10.7265625" style="6" customWidth="1"/>
    <col min="9619" max="9619" width="9.26953125" style="6" customWidth="1"/>
    <col min="9620" max="9643" width="7.26953125" style="6" customWidth="1"/>
    <col min="9644" max="9644" width="11.26953125" style="6" bestFit="1" customWidth="1"/>
    <col min="9645" max="9872" width="11.453125" style="6"/>
    <col min="9873" max="9873" width="7" style="6" customWidth="1"/>
    <col min="9874" max="9874" width="10.7265625" style="6" customWidth="1"/>
    <col min="9875" max="9875" width="9.26953125" style="6" customWidth="1"/>
    <col min="9876" max="9899" width="7.26953125" style="6" customWidth="1"/>
    <col min="9900" max="9900" width="11.26953125" style="6" bestFit="1" customWidth="1"/>
    <col min="9901" max="10128" width="11.453125" style="6"/>
    <col min="10129" max="10129" width="7" style="6" customWidth="1"/>
    <col min="10130" max="10130" width="10.7265625" style="6" customWidth="1"/>
    <col min="10131" max="10131" width="9.26953125" style="6" customWidth="1"/>
    <col min="10132" max="10155" width="7.26953125" style="6" customWidth="1"/>
    <col min="10156" max="10156" width="11.26953125" style="6" bestFit="1" customWidth="1"/>
    <col min="10157" max="10384" width="11.453125" style="6"/>
    <col min="10385" max="10385" width="7" style="6" customWidth="1"/>
    <col min="10386" max="10386" width="10.7265625" style="6" customWidth="1"/>
    <col min="10387" max="10387" width="9.26953125" style="6" customWidth="1"/>
    <col min="10388" max="10411" width="7.26953125" style="6" customWidth="1"/>
    <col min="10412" max="10412" width="11.26953125" style="6" bestFit="1" customWidth="1"/>
    <col min="10413" max="10640" width="11.453125" style="6"/>
    <col min="10641" max="10641" width="7" style="6" customWidth="1"/>
    <col min="10642" max="10642" width="10.7265625" style="6" customWidth="1"/>
    <col min="10643" max="10643" width="9.26953125" style="6" customWidth="1"/>
    <col min="10644" max="10667" width="7.26953125" style="6" customWidth="1"/>
    <col min="10668" max="10668" width="11.26953125" style="6" bestFit="1" customWidth="1"/>
    <col min="10669" max="10896" width="11.453125" style="6"/>
    <col min="10897" max="10897" width="7" style="6" customWidth="1"/>
    <col min="10898" max="10898" width="10.7265625" style="6" customWidth="1"/>
    <col min="10899" max="10899" width="9.26953125" style="6" customWidth="1"/>
    <col min="10900" max="10923" width="7.26953125" style="6" customWidth="1"/>
    <col min="10924" max="10924" width="11.26953125" style="6" bestFit="1" customWidth="1"/>
    <col min="10925" max="11152" width="11.453125" style="6"/>
    <col min="11153" max="11153" width="7" style="6" customWidth="1"/>
    <col min="11154" max="11154" width="10.7265625" style="6" customWidth="1"/>
    <col min="11155" max="11155" width="9.26953125" style="6" customWidth="1"/>
    <col min="11156" max="11179" width="7.26953125" style="6" customWidth="1"/>
    <col min="11180" max="11180" width="11.26953125" style="6" bestFit="1" customWidth="1"/>
    <col min="11181" max="11408" width="11.453125" style="6"/>
    <col min="11409" max="11409" width="7" style="6" customWidth="1"/>
    <col min="11410" max="11410" width="10.7265625" style="6" customWidth="1"/>
    <col min="11411" max="11411" width="9.26953125" style="6" customWidth="1"/>
    <col min="11412" max="11435" width="7.26953125" style="6" customWidth="1"/>
    <col min="11436" max="11436" width="11.26953125" style="6" bestFit="1" customWidth="1"/>
    <col min="11437" max="11664" width="11.453125" style="6"/>
    <col min="11665" max="11665" width="7" style="6" customWidth="1"/>
    <col min="11666" max="11666" width="10.7265625" style="6" customWidth="1"/>
    <col min="11667" max="11667" width="9.26953125" style="6" customWidth="1"/>
    <col min="11668" max="11691" width="7.26953125" style="6" customWidth="1"/>
    <col min="11692" max="11692" width="11.26953125" style="6" bestFit="1" customWidth="1"/>
    <col min="11693" max="11920" width="11.453125" style="6"/>
    <col min="11921" max="11921" width="7" style="6" customWidth="1"/>
    <col min="11922" max="11922" width="10.7265625" style="6" customWidth="1"/>
    <col min="11923" max="11923" width="9.26953125" style="6" customWidth="1"/>
    <col min="11924" max="11947" width="7.26953125" style="6" customWidth="1"/>
    <col min="11948" max="11948" width="11.26953125" style="6" bestFit="1" customWidth="1"/>
    <col min="11949" max="12176" width="11.453125" style="6"/>
    <col min="12177" max="12177" width="7" style="6" customWidth="1"/>
    <col min="12178" max="12178" width="10.7265625" style="6" customWidth="1"/>
    <col min="12179" max="12179" width="9.26953125" style="6" customWidth="1"/>
    <col min="12180" max="12203" width="7.26953125" style="6" customWidth="1"/>
    <col min="12204" max="12204" width="11.26953125" style="6" bestFit="1" customWidth="1"/>
    <col min="12205" max="12432" width="11.453125" style="6"/>
    <col min="12433" max="12433" width="7" style="6" customWidth="1"/>
    <col min="12434" max="12434" width="10.7265625" style="6" customWidth="1"/>
    <col min="12435" max="12435" width="9.26953125" style="6" customWidth="1"/>
    <col min="12436" max="12459" width="7.26953125" style="6" customWidth="1"/>
    <col min="12460" max="12460" width="11.26953125" style="6" bestFit="1" customWidth="1"/>
    <col min="12461" max="12688" width="11.453125" style="6"/>
    <col min="12689" max="12689" width="7" style="6" customWidth="1"/>
    <col min="12690" max="12690" width="10.7265625" style="6" customWidth="1"/>
    <col min="12691" max="12691" width="9.26953125" style="6" customWidth="1"/>
    <col min="12692" max="12715" width="7.26953125" style="6" customWidth="1"/>
    <col min="12716" max="12716" width="11.26953125" style="6" bestFit="1" customWidth="1"/>
    <col min="12717" max="12944" width="11.453125" style="6"/>
    <col min="12945" max="12945" width="7" style="6" customWidth="1"/>
    <col min="12946" max="12946" width="10.7265625" style="6" customWidth="1"/>
    <col min="12947" max="12947" width="9.26953125" style="6" customWidth="1"/>
    <col min="12948" max="12971" width="7.26953125" style="6" customWidth="1"/>
    <col min="12972" max="12972" width="11.26953125" style="6" bestFit="1" customWidth="1"/>
    <col min="12973" max="13200" width="11.453125" style="6"/>
    <col min="13201" max="13201" width="7" style="6" customWidth="1"/>
    <col min="13202" max="13202" width="10.7265625" style="6" customWidth="1"/>
    <col min="13203" max="13203" width="9.26953125" style="6" customWidth="1"/>
    <col min="13204" max="13227" width="7.26953125" style="6" customWidth="1"/>
    <col min="13228" max="13228" width="11.26953125" style="6" bestFit="1" customWidth="1"/>
    <col min="13229" max="13456" width="11.453125" style="6"/>
    <col min="13457" max="13457" width="7" style="6" customWidth="1"/>
    <col min="13458" max="13458" width="10.7265625" style="6" customWidth="1"/>
    <col min="13459" max="13459" width="9.26953125" style="6" customWidth="1"/>
    <col min="13460" max="13483" width="7.26953125" style="6" customWidth="1"/>
    <col min="13484" max="13484" width="11.26953125" style="6" bestFit="1" customWidth="1"/>
    <col min="13485" max="13712" width="11.453125" style="6"/>
    <col min="13713" max="13713" width="7" style="6" customWidth="1"/>
    <col min="13714" max="13714" width="10.7265625" style="6" customWidth="1"/>
    <col min="13715" max="13715" width="9.26953125" style="6" customWidth="1"/>
    <col min="13716" max="13739" width="7.26953125" style="6" customWidth="1"/>
    <col min="13740" max="13740" width="11.26953125" style="6" bestFit="1" customWidth="1"/>
    <col min="13741" max="13968" width="11.453125" style="6"/>
    <col min="13969" max="13969" width="7" style="6" customWidth="1"/>
    <col min="13970" max="13970" width="10.7265625" style="6" customWidth="1"/>
    <col min="13971" max="13971" width="9.26953125" style="6" customWidth="1"/>
    <col min="13972" max="13995" width="7.26953125" style="6" customWidth="1"/>
    <col min="13996" max="13996" width="11.26953125" style="6" bestFit="1" customWidth="1"/>
    <col min="13997" max="14224" width="11.453125" style="6"/>
    <col min="14225" max="14225" width="7" style="6" customWidth="1"/>
    <col min="14226" max="14226" width="10.7265625" style="6" customWidth="1"/>
    <col min="14227" max="14227" width="9.26953125" style="6" customWidth="1"/>
    <col min="14228" max="14251" width="7.26953125" style="6" customWidth="1"/>
    <col min="14252" max="14252" width="11.26953125" style="6" bestFit="1" customWidth="1"/>
    <col min="14253" max="14480" width="11.453125" style="6"/>
    <col min="14481" max="14481" width="7" style="6" customWidth="1"/>
    <col min="14482" max="14482" width="10.7265625" style="6" customWidth="1"/>
    <col min="14483" max="14483" width="9.26953125" style="6" customWidth="1"/>
    <col min="14484" max="14507" width="7.26953125" style="6" customWidth="1"/>
    <col min="14508" max="14508" width="11.26953125" style="6" bestFit="1" customWidth="1"/>
    <col min="14509" max="14736" width="11.453125" style="6"/>
    <col min="14737" max="14737" width="7" style="6" customWidth="1"/>
    <col min="14738" max="14738" width="10.7265625" style="6" customWidth="1"/>
    <col min="14739" max="14739" width="9.26953125" style="6" customWidth="1"/>
    <col min="14740" max="14763" width="7.26953125" style="6" customWidth="1"/>
    <col min="14764" max="14764" width="11.26953125" style="6" bestFit="1" customWidth="1"/>
    <col min="14765" max="14992" width="11.453125" style="6"/>
    <col min="14993" max="14993" width="7" style="6" customWidth="1"/>
    <col min="14994" max="14994" width="10.7265625" style="6" customWidth="1"/>
    <col min="14995" max="14995" width="9.26953125" style="6" customWidth="1"/>
    <col min="14996" max="15019" width="7.26953125" style="6" customWidth="1"/>
    <col min="15020" max="15020" width="11.26953125" style="6" bestFit="1" customWidth="1"/>
    <col min="15021" max="15248" width="11.453125" style="6"/>
    <col min="15249" max="15249" width="7" style="6" customWidth="1"/>
    <col min="15250" max="15250" width="10.7265625" style="6" customWidth="1"/>
    <col min="15251" max="15251" width="9.26953125" style="6" customWidth="1"/>
    <col min="15252" max="15275" width="7.26953125" style="6" customWidth="1"/>
    <col min="15276" max="15276" width="11.26953125" style="6" bestFit="1" customWidth="1"/>
    <col min="15277" max="15504" width="11.453125" style="6"/>
    <col min="15505" max="15505" width="7" style="6" customWidth="1"/>
    <col min="15506" max="15506" width="10.7265625" style="6" customWidth="1"/>
    <col min="15507" max="15507" width="9.26953125" style="6" customWidth="1"/>
    <col min="15508" max="15531" width="7.26953125" style="6" customWidth="1"/>
    <col min="15532" max="15532" width="11.26953125" style="6" bestFit="1" customWidth="1"/>
    <col min="15533" max="15760" width="11.453125" style="6"/>
    <col min="15761" max="15761" width="7" style="6" customWidth="1"/>
    <col min="15762" max="15762" width="10.7265625" style="6" customWidth="1"/>
    <col min="15763" max="15763" width="9.26953125" style="6" customWidth="1"/>
    <col min="15764" max="15787" width="7.26953125" style="6" customWidth="1"/>
    <col min="15788" max="15788" width="11.26953125" style="6" bestFit="1" customWidth="1"/>
    <col min="15789" max="16016" width="11.453125" style="6"/>
    <col min="16017" max="16017" width="7" style="6" customWidth="1"/>
    <col min="16018" max="16018" width="10.7265625" style="6" customWidth="1"/>
    <col min="16019" max="16019" width="9.26953125" style="6" customWidth="1"/>
    <col min="16020" max="16043" width="7.26953125" style="6" customWidth="1"/>
    <col min="16044" max="16044" width="11.26953125" style="6" bestFit="1" customWidth="1"/>
    <col min="16045" max="16384" width="11.453125" style="6"/>
  </cols>
  <sheetData>
    <row r="2" spans="2:31" x14ac:dyDescent="0.25">
      <c r="B2" s="70" t="s">
        <v>45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spans="2:31" x14ac:dyDescent="0.25">
      <c r="B3" s="70" t="s">
        <v>44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spans="2:31" x14ac:dyDescent="0.25">
      <c r="B4" s="70">
        <v>2035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5" spans="2:31" x14ac:dyDescent="0.25"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 spans="2:31" ht="31" x14ac:dyDescent="0.25">
      <c r="B6" s="2" t="s">
        <v>0</v>
      </c>
      <c r="C6" s="3" t="s">
        <v>1</v>
      </c>
      <c r="D6" s="2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51" t="s">
        <v>27</v>
      </c>
    </row>
    <row r="7" spans="2:31" ht="12.5" x14ac:dyDescent="0.25">
      <c r="B7" s="65" t="s">
        <v>28</v>
      </c>
      <c r="C7" s="4" t="s">
        <v>29</v>
      </c>
      <c r="D7" s="5">
        <v>21</v>
      </c>
      <c r="E7" s="56">
        <v>5810.57</v>
      </c>
      <c r="F7" s="56">
        <v>5481.47</v>
      </c>
      <c r="G7" s="56">
        <v>5281.39</v>
      </c>
      <c r="H7" s="56">
        <v>5215.6099999999997</v>
      </c>
      <c r="I7" s="56">
        <v>5581.94</v>
      </c>
      <c r="J7" s="56">
        <v>6651.97</v>
      </c>
      <c r="K7" s="56">
        <v>7601.88</v>
      </c>
      <c r="L7" s="56">
        <v>10310.629999999999</v>
      </c>
      <c r="M7" s="56">
        <v>10514.8</v>
      </c>
      <c r="N7" s="56">
        <v>10789.31</v>
      </c>
      <c r="O7" s="56">
        <v>11236.1</v>
      </c>
      <c r="P7" s="56">
        <v>11908.48</v>
      </c>
      <c r="Q7" s="56">
        <v>11465.13</v>
      </c>
      <c r="R7" s="56">
        <v>11214.59</v>
      </c>
      <c r="S7" s="56">
        <v>11412.86</v>
      </c>
      <c r="T7" s="56">
        <v>11573.99</v>
      </c>
      <c r="U7" s="56">
        <v>11652.64</v>
      </c>
      <c r="V7" s="56">
        <v>10696.02</v>
      </c>
      <c r="W7" s="56">
        <v>11684.77</v>
      </c>
      <c r="X7" s="56">
        <v>12006.52</v>
      </c>
      <c r="Y7" s="56">
        <v>11424.09</v>
      </c>
      <c r="Z7" s="56">
        <v>10412.51</v>
      </c>
      <c r="AA7" s="56">
        <v>8726.59</v>
      </c>
      <c r="AB7" s="56">
        <v>7516.81</v>
      </c>
      <c r="AC7" s="66">
        <f>+SUM(E7:AB7)*D7+SUM(E8:AB8)*D8+SUM(E9:AB9)*D9+SUM(E10:AB10)*D10</f>
        <v>6877413.629999999</v>
      </c>
      <c r="AE7" s="11">
        <f>+AC7</f>
        <v>6877413.629999999</v>
      </c>
    </row>
    <row r="8" spans="2:31" ht="12.5" x14ac:dyDescent="0.25">
      <c r="B8" s="65" t="s">
        <v>28</v>
      </c>
      <c r="C8" s="4" t="s">
        <v>30</v>
      </c>
      <c r="D8" s="5">
        <v>4</v>
      </c>
      <c r="E8" s="56">
        <v>6195.65</v>
      </c>
      <c r="F8" s="56">
        <v>5680.17</v>
      </c>
      <c r="G8" s="56">
        <v>5440.39</v>
      </c>
      <c r="H8" s="56">
        <v>5316.91</v>
      </c>
      <c r="I8" s="56">
        <v>5437.2</v>
      </c>
      <c r="J8" s="56">
        <v>5807.82</v>
      </c>
      <c r="K8" s="56">
        <v>6378.7</v>
      </c>
      <c r="L8" s="56">
        <v>9589.15</v>
      </c>
      <c r="M8" s="56">
        <v>10386.790000000001</v>
      </c>
      <c r="N8" s="56">
        <v>10875.93</v>
      </c>
      <c r="O8" s="56">
        <v>11199.99</v>
      </c>
      <c r="P8" s="56">
        <v>11666</v>
      </c>
      <c r="Q8" s="56">
        <v>11816.03</v>
      </c>
      <c r="R8" s="56">
        <v>11546.87</v>
      </c>
      <c r="S8" s="56">
        <v>11396.72</v>
      </c>
      <c r="T8" s="56">
        <v>11288.22</v>
      </c>
      <c r="U8" s="56">
        <v>11388.35</v>
      </c>
      <c r="V8" s="56">
        <v>10493.26</v>
      </c>
      <c r="W8" s="56">
        <v>11631.76</v>
      </c>
      <c r="X8" s="56">
        <v>11916.21</v>
      </c>
      <c r="Y8" s="56">
        <v>11347.47</v>
      </c>
      <c r="Z8" s="56">
        <v>10575.78</v>
      </c>
      <c r="AA8" s="56">
        <v>9358.91</v>
      </c>
      <c r="AB8" s="56">
        <v>8249.4</v>
      </c>
      <c r="AC8" s="67"/>
      <c r="AE8" s="11">
        <f>+AC11</f>
        <v>6425374.4799999995</v>
      </c>
    </row>
    <row r="9" spans="2:31" ht="12.5" x14ac:dyDescent="0.25">
      <c r="B9" s="65" t="s">
        <v>28</v>
      </c>
      <c r="C9" s="4" t="s">
        <v>31</v>
      </c>
      <c r="D9" s="5">
        <v>4</v>
      </c>
      <c r="E9" s="56">
        <v>6555.62</v>
      </c>
      <c r="F9" s="56">
        <v>6049.05</v>
      </c>
      <c r="G9" s="56">
        <v>5728.63</v>
      </c>
      <c r="H9" s="56">
        <v>5508.09</v>
      </c>
      <c r="I9" s="56">
        <v>5426.45</v>
      </c>
      <c r="J9" s="56">
        <v>5391.81</v>
      </c>
      <c r="K9" s="56">
        <v>5486.87</v>
      </c>
      <c r="L9" s="56">
        <v>8031.25</v>
      </c>
      <c r="M9" s="56">
        <v>8823.17</v>
      </c>
      <c r="N9" s="56">
        <v>9343.44</v>
      </c>
      <c r="O9" s="56">
        <v>9854.02</v>
      </c>
      <c r="P9" s="56">
        <v>10398.58</v>
      </c>
      <c r="Q9" s="56">
        <v>10618.84</v>
      </c>
      <c r="R9" s="56">
        <v>10413.65</v>
      </c>
      <c r="S9" s="56">
        <v>10451.5</v>
      </c>
      <c r="T9" s="56">
        <v>10571.93</v>
      </c>
      <c r="U9" s="56">
        <v>10607.96</v>
      </c>
      <c r="V9" s="56">
        <v>9928.11</v>
      </c>
      <c r="W9" s="56">
        <v>10967.77</v>
      </c>
      <c r="X9" s="56">
        <v>11282.77</v>
      </c>
      <c r="Y9" s="56">
        <v>10778.63</v>
      </c>
      <c r="Z9" s="56">
        <v>9871.94</v>
      </c>
      <c r="AA9" s="56">
        <v>8473.24</v>
      </c>
      <c r="AB9" s="56">
        <v>7266.44</v>
      </c>
      <c r="AC9" s="67"/>
      <c r="AE9" s="11">
        <f>+AC15</f>
        <v>6771365.9500000011</v>
      </c>
    </row>
    <row r="10" spans="2:31" ht="12.5" x14ac:dyDescent="0.25">
      <c r="B10" s="65" t="s">
        <v>28</v>
      </c>
      <c r="C10" s="4" t="s">
        <v>32</v>
      </c>
      <c r="D10" s="5">
        <v>2</v>
      </c>
      <c r="E10" s="56">
        <v>6594.25</v>
      </c>
      <c r="F10" s="56">
        <v>6201.05</v>
      </c>
      <c r="G10" s="56">
        <v>5792.61</v>
      </c>
      <c r="H10" s="56">
        <v>5639.27</v>
      </c>
      <c r="I10" s="56">
        <v>5454.84</v>
      </c>
      <c r="J10" s="56">
        <v>5422.3</v>
      </c>
      <c r="K10" s="56">
        <v>5107.92</v>
      </c>
      <c r="L10" s="56">
        <v>7304.96</v>
      </c>
      <c r="M10" s="56">
        <v>7766.25</v>
      </c>
      <c r="N10" s="56">
        <v>8336.65</v>
      </c>
      <c r="O10" s="56">
        <v>8980.06</v>
      </c>
      <c r="P10" s="56">
        <v>9406.56</v>
      </c>
      <c r="Q10" s="56">
        <v>9846.1299999999992</v>
      </c>
      <c r="R10" s="56">
        <v>9956.57</v>
      </c>
      <c r="S10" s="56">
        <v>9977.5400000000009</v>
      </c>
      <c r="T10" s="56">
        <v>9890.3700000000008</v>
      </c>
      <c r="U10" s="56">
        <v>9964.14</v>
      </c>
      <c r="V10" s="56">
        <v>9494.7800000000007</v>
      </c>
      <c r="W10" s="56">
        <v>10623.38</v>
      </c>
      <c r="X10" s="56">
        <v>10999.87</v>
      </c>
      <c r="Y10" s="56">
        <v>10610.52</v>
      </c>
      <c r="Z10" s="56">
        <v>9570.58</v>
      </c>
      <c r="AA10" s="56">
        <v>8226.14</v>
      </c>
      <c r="AB10" s="56">
        <v>7121.16</v>
      </c>
      <c r="AC10" s="68"/>
      <c r="AE10" s="11">
        <f>+AC19</f>
        <v>6780064.1500000013</v>
      </c>
    </row>
    <row r="11" spans="2:31" ht="12.5" x14ac:dyDescent="0.25">
      <c r="B11" s="65" t="s">
        <v>33</v>
      </c>
      <c r="C11" s="4" t="s">
        <v>29</v>
      </c>
      <c r="D11" s="5">
        <v>20</v>
      </c>
      <c r="E11" s="56">
        <v>5825.89</v>
      </c>
      <c r="F11" s="56">
        <v>5485.87</v>
      </c>
      <c r="G11" s="56">
        <v>5344.01</v>
      </c>
      <c r="H11" s="56">
        <v>5347.66</v>
      </c>
      <c r="I11" s="56">
        <v>5843.84</v>
      </c>
      <c r="J11" s="56">
        <v>7555.36</v>
      </c>
      <c r="K11" s="56">
        <v>8719.2800000000007</v>
      </c>
      <c r="L11" s="56">
        <v>11088.69</v>
      </c>
      <c r="M11" s="56">
        <v>10997.64</v>
      </c>
      <c r="N11" s="56">
        <v>11075.28</v>
      </c>
      <c r="O11" s="56">
        <v>11444</v>
      </c>
      <c r="P11" s="56">
        <v>11940.05</v>
      </c>
      <c r="Q11" s="56">
        <v>11605.82</v>
      </c>
      <c r="R11" s="56">
        <v>11564.99</v>
      </c>
      <c r="S11" s="56">
        <v>11888.23</v>
      </c>
      <c r="T11" s="56">
        <v>12024.9</v>
      </c>
      <c r="U11" s="56">
        <v>12063.2</v>
      </c>
      <c r="V11" s="56">
        <v>10870.06</v>
      </c>
      <c r="W11" s="56">
        <v>11857.62</v>
      </c>
      <c r="X11" s="56">
        <v>12408.57</v>
      </c>
      <c r="Y11" s="56">
        <v>11754.71</v>
      </c>
      <c r="Z11" s="56">
        <v>10654.99</v>
      </c>
      <c r="AA11" s="56">
        <v>8853.83</v>
      </c>
      <c r="AB11" s="56">
        <v>7529.42</v>
      </c>
      <c r="AC11" s="66">
        <f>+SUM(E11:AB11)*D11+SUM(E12:AB12)*D12+SUM(E13:AB13)*D13+SUM(E14:AB14)*D14</f>
        <v>6425374.4799999995</v>
      </c>
      <c r="AE11" s="11">
        <f>+AC23</f>
        <v>6746889.2999999998</v>
      </c>
    </row>
    <row r="12" spans="2:31" ht="12.5" x14ac:dyDescent="0.25">
      <c r="B12" s="65" t="s">
        <v>33</v>
      </c>
      <c r="C12" s="4" t="s">
        <v>30</v>
      </c>
      <c r="D12" s="5">
        <v>4</v>
      </c>
      <c r="E12" s="56">
        <v>6208.88</v>
      </c>
      <c r="F12" s="56">
        <v>5820.71</v>
      </c>
      <c r="G12" s="56">
        <v>5537.91</v>
      </c>
      <c r="H12" s="56">
        <v>5437.69</v>
      </c>
      <c r="I12" s="56">
        <v>5638.12</v>
      </c>
      <c r="J12" s="56">
        <v>6200.35</v>
      </c>
      <c r="K12" s="56">
        <v>6911.36</v>
      </c>
      <c r="L12" s="56">
        <v>10369.02</v>
      </c>
      <c r="M12" s="56">
        <v>10894.76</v>
      </c>
      <c r="N12" s="56">
        <v>11279.34</v>
      </c>
      <c r="O12" s="56">
        <v>11598.33</v>
      </c>
      <c r="P12" s="56">
        <v>11827.65</v>
      </c>
      <c r="Q12" s="56">
        <v>11802.4</v>
      </c>
      <c r="R12" s="56">
        <v>11574.37</v>
      </c>
      <c r="S12" s="56">
        <v>11533.78</v>
      </c>
      <c r="T12" s="56">
        <v>11655.53</v>
      </c>
      <c r="U12" s="56">
        <v>11817.16</v>
      </c>
      <c r="V12" s="56">
        <v>10605.46</v>
      </c>
      <c r="W12" s="56">
        <v>11658.57</v>
      </c>
      <c r="X12" s="56">
        <v>12000.33</v>
      </c>
      <c r="Y12" s="56">
        <v>11379.4</v>
      </c>
      <c r="Z12" s="56">
        <v>10464.58</v>
      </c>
      <c r="AA12" s="56">
        <v>9237.39</v>
      </c>
      <c r="AB12" s="56">
        <v>7932.63</v>
      </c>
      <c r="AC12" s="67"/>
      <c r="AE12" s="11">
        <f>+AC27</f>
        <v>6724581.4099999992</v>
      </c>
    </row>
    <row r="13" spans="2:31" ht="12.5" x14ac:dyDescent="0.25">
      <c r="B13" s="65" t="s">
        <v>33</v>
      </c>
      <c r="C13" s="4" t="s">
        <v>31</v>
      </c>
      <c r="D13" s="5">
        <v>4</v>
      </c>
      <c r="E13" s="56">
        <v>6402.29</v>
      </c>
      <c r="F13" s="56">
        <v>5939.24</v>
      </c>
      <c r="G13" s="56">
        <v>5606.73</v>
      </c>
      <c r="H13" s="56">
        <v>5416.94</v>
      </c>
      <c r="I13" s="56">
        <v>5343.01</v>
      </c>
      <c r="J13" s="56">
        <v>5339.98</v>
      </c>
      <c r="K13" s="56">
        <v>5504.84</v>
      </c>
      <c r="L13" s="56">
        <v>8261.0400000000009</v>
      </c>
      <c r="M13" s="56">
        <v>9085.91</v>
      </c>
      <c r="N13" s="56">
        <v>9577.07</v>
      </c>
      <c r="O13" s="56">
        <v>9972.02</v>
      </c>
      <c r="P13" s="56">
        <v>10566.89</v>
      </c>
      <c r="Q13" s="56">
        <v>10815.61</v>
      </c>
      <c r="R13" s="56">
        <v>10780.35</v>
      </c>
      <c r="S13" s="56">
        <v>10501.59</v>
      </c>
      <c r="T13" s="56">
        <v>10555.03</v>
      </c>
      <c r="U13" s="56">
        <v>10647.37</v>
      </c>
      <c r="V13" s="56">
        <v>9826.6299999999992</v>
      </c>
      <c r="W13" s="56">
        <v>11056.99</v>
      </c>
      <c r="X13" s="56">
        <v>11313.86</v>
      </c>
      <c r="Y13" s="56">
        <v>10845.71</v>
      </c>
      <c r="Z13" s="56">
        <v>9751.8700000000008</v>
      </c>
      <c r="AA13" s="56">
        <v>8188.5</v>
      </c>
      <c r="AB13" s="56">
        <v>6938.88</v>
      </c>
      <c r="AC13" s="67"/>
      <c r="AE13" s="11">
        <f>+AC31</f>
        <v>6815504.9000000004</v>
      </c>
    </row>
    <row r="14" spans="2:31" ht="12.5" x14ac:dyDescent="0.25">
      <c r="B14" s="65" t="s">
        <v>33</v>
      </c>
      <c r="C14" s="4" t="s">
        <v>32</v>
      </c>
      <c r="D14" s="5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68"/>
      <c r="AE14" s="11">
        <f>+AC35</f>
        <v>7012730.8499999996</v>
      </c>
    </row>
    <row r="15" spans="2:31" ht="12.5" x14ac:dyDescent="0.25">
      <c r="B15" s="65" t="s">
        <v>34</v>
      </c>
      <c r="C15" s="4" t="s">
        <v>29</v>
      </c>
      <c r="D15" s="5">
        <v>19</v>
      </c>
      <c r="E15" s="56">
        <v>5643.77</v>
      </c>
      <c r="F15" s="56">
        <v>5309.9</v>
      </c>
      <c r="G15" s="56">
        <v>5169.13</v>
      </c>
      <c r="H15" s="56">
        <v>5142.76</v>
      </c>
      <c r="I15" s="56">
        <v>5585.19</v>
      </c>
      <c r="J15" s="56">
        <v>7087.94</v>
      </c>
      <c r="K15" s="56">
        <v>8078.38</v>
      </c>
      <c r="L15" s="56">
        <v>10412.01</v>
      </c>
      <c r="M15" s="56">
        <v>10355.89</v>
      </c>
      <c r="N15" s="56">
        <v>10447.92</v>
      </c>
      <c r="O15" s="56">
        <v>10861.01</v>
      </c>
      <c r="P15" s="56">
        <v>11340.69</v>
      </c>
      <c r="Q15" s="56">
        <v>11155.5</v>
      </c>
      <c r="R15" s="56">
        <v>11073.67</v>
      </c>
      <c r="S15" s="56">
        <v>11350.99</v>
      </c>
      <c r="T15" s="56">
        <v>11443.99</v>
      </c>
      <c r="U15" s="56">
        <v>11460.25</v>
      </c>
      <c r="V15" s="56">
        <v>10419.44</v>
      </c>
      <c r="W15" s="56">
        <v>11460.89</v>
      </c>
      <c r="X15" s="56">
        <v>12060.8</v>
      </c>
      <c r="Y15" s="56">
        <v>11427.53</v>
      </c>
      <c r="Z15" s="56">
        <v>10340.36</v>
      </c>
      <c r="AA15" s="56">
        <v>8761.7900000000009</v>
      </c>
      <c r="AB15" s="56">
        <v>7415.27</v>
      </c>
      <c r="AC15" s="66">
        <f>+SUM(E15:AB15)*D15+SUM(E16:AB16)*D16+SUM(E17:AB17)*D17+SUM(E18:AB18)*D18</f>
        <v>6771365.9500000011</v>
      </c>
      <c r="AE15" s="11">
        <f>+AC39</f>
        <v>6709429.6500000013</v>
      </c>
    </row>
    <row r="16" spans="2:31" ht="12.5" x14ac:dyDescent="0.25">
      <c r="B16" s="65" t="s">
        <v>34</v>
      </c>
      <c r="C16" s="4" t="s">
        <v>30</v>
      </c>
      <c r="D16" s="5">
        <v>5</v>
      </c>
      <c r="E16" s="56">
        <v>5868.43</v>
      </c>
      <c r="F16" s="56">
        <v>5465.68</v>
      </c>
      <c r="G16" s="56">
        <v>5265.42</v>
      </c>
      <c r="H16" s="56">
        <v>5151.72</v>
      </c>
      <c r="I16" s="56">
        <v>5352.9</v>
      </c>
      <c r="J16" s="56">
        <v>5834.76</v>
      </c>
      <c r="K16" s="56">
        <v>6618.56</v>
      </c>
      <c r="L16" s="56">
        <v>9873.02</v>
      </c>
      <c r="M16" s="56">
        <v>10234.469999999999</v>
      </c>
      <c r="N16" s="56">
        <v>10580.76</v>
      </c>
      <c r="O16" s="56">
        <v>10936.52</v>
      </c>
      <c r="P16" s="56">
        <v>11226.99</v>
      </c>
      <c r="Q16" s="56">
        <v>11316.49</v>
      </c>
      <c r="R16" s="56">
        <v>10979.19</v>
      </c>
      <c r="S16" s="56">
        <v>10804.85</v>
      </c>
      <c r="T16" s="56">
        <v>10890.13</v>
      </c>
      <c r="U16" s="56">
        <v>11017.26</v>
      </c>
      <c r="V16" s="56">
        <v>10046.39</v>
      </c>
      <c r="W16" s="56">
        <v>11026.29</v>
      </c>
      <c r="X16" s="56">
        <v>11717.42</v>
      </c>
      <c r="Y16" s="56">
        <v>11155.36</v>
      </c>
      <c r="Z16" s="56">
        <v>10340.1</v>
      </c>
      <c r="AA16" s="56">
        <v>9171.27</v>
      </c>
      <c r="AB16" s="56">
        <v>7900.78</v>
      </c>
      <c r="AC16" s="67"/>
      <c r="AE16" s="11">
        <f>+AC43</f>
        <v>6990612.0499999998</v>
      </c>
    </row>
    <row r="17" spans="2:31" ht="12.5" x14ac:dyDescent="0.25">
      <c r="B17" s="65" t="s">
        <v>34</v>
      </c>
      <c r="C17" s="4" t="s">
        <v>31</v>
      </c>
      <c r="D17" s="5">
        <v>4</v>
      </c>
      <c r="E17" s="56">
        <v>6213.52</v>
      </c>
      <c r="F17" s="56">
        <v>5722.75</v>
      </c>
      <c r="G17" s="56">
        <v>5412.71</v>
      </c>
      <c r="H17" s="56">
        <v>5222.37</v>
      </c>
      <c r="I17" s="56">
        <v>5185.1400000000003</v>
      </c>
      <c r="J17" s="56">
        <v>5245.76</v>
      </c>
      <c r="K17" s="56">
        <v>5452.41</v>
      </c>
      <c r="L17" s="56">
        <v>8087.03</v>
      </c>
      <c r="M17" s="56">
        <v>8850.8700000000008</v>
      </c>
      <c r="N17" s="56">
        <v>9257.1299999999992</v>
      </c>
      <c r="O17" s="56">
        <v>9530.32</v>
      </c>
      <c r="P17" s="56">
        <v>9769.9599999999991</v>
      </c>
      <c r="Q17" s="56">
        <v>10013.030000000001</v>
      </c>
      <c r="R17" s="56">
        <v>9914.85</v>
      </c>
      <c r="S17" s="56">
        <v>9722.6200000000008</v>
      </c>
      <c r="T17" s="56">
        <v>9767</v>
      </c>
      <c r="U17" s="56">
        <v>9959.01</v>
      </c>
      <c r="V17" s="56">
        <v>9264.7199999999993</v>
      </c>
      <c r="W17" s="56">
        <v>10243.6</v>
      </c>
      <c r="X17" s="56">
        <v>11051.44</v>
      </c>
      <c r="Y17" s="56">
        <v>10741.47</v>
      </c>
      <c r="Z17" s="56">
        <v>9912.2000000000007</v>
      </c>
      <c r="AA17" s="56">
        <v>8590.34</v>
      </c>
      <c r="AB17" s="56">
        <v>7227.16</v>
      </c>
      <c r="AC17" s="67"/>
      <c r="AE17" s="11">
        <f>+AC47</f>
        <v>6830642.2199999988</v>
      </c>
    </row>
    <row r="18" spans="2:31" ht="12.5" x14ac:dyDescent="0.25">
      <c r="B18" s="65" t="s">
        <v>34</v>
      </c>
      <c r="C18" s="4" t="s">
        <v>32</v>
      </c>
      <c r="D18" s="5">
        <v>3</v>
      </c>
      <c r="E18" s="56">
        <v>6019.26</v>
      </c>
      <c r="F18" s="56">
        <v>5633.4</v>
      </c>
      <c r="G18" s="56">
        <v>5430.06</v>
      </c>
      <c r="H18" s="56">
        <v>5343.35</v>
      </c>
      <c r="I18" s="56">
        <v>5307.13</v>
      </c>
      <c r="J18" s="56">
        <v>5455.39</v>
      </c>
      <c r="K18" s="56">
        <v>5609.78</v>
      </c>
      <c r="L18" s="56">
        <v>8264.49</v>
      </c>
      <c r="M18" s="56">
        <v>8935.08</v>
      </c>
      <c r="N18" s="56">
        <v>9400.86</v>
      </c>
      <c r="O18" s="56">
        <v>10049.39</v>
      </c>
      <c r="P18" s="56">
        <v>10643.33</v>
      </c>
      <c r="Q18" s="56">
        <v>10891.99</v>
      </c>
      <c r="R18" s="56">
        <v>10950.13</v>
      </c>
      <c r="S18" s="56">
        <v>10855.17</v>
      </c>
      <c r="T18" s="56">
        <v>10785.1</v>
      </c>
      <c r="U18" s="56">
        <v>10445.030000000001</v>
      </c>
      <c r="V18" s="56">
        <v>9662.5300000000007</v>
      </c>
      <c r="W18" s="56">
        <v>11002.32</v>
      </c>
      <c r="X18" s="56">
        <v>11562.14</v>
      </c>
      <c r="Y18" s="56">
        <v>10991.59</v>
      </c>
      <c r="Z18" s="56">
        <v>9633.14</v>
      </c>
      <c r="AA18" s="56">
        <v>8150.81</v>
      </c>
      <c r="AB18" s="56">
        <v>6900.59</v>
      </c>
      <c r="AC18" s="68"/>
      <c r="AE18" s="11">
        <f>+AC51</f>
        <v>7050315.3099999996</v>
      </c>
    </row>
    <row r="19" spans="2:31" ht="13" x14ac:dyDescent="0.3">
      <c r="B19" s="65" t="s">
        <v>35</v>
      </c>
      <c r="C19" s="4" t="s">
        <v>29</v>
      </c>
      <c r="D19" s="5">
        <v>21</v>
      </c>
      <c r="E19" s="56">
        <v>5904.94</v>
      </c>
      <c r="F19" s="56">
        <v>5559.1</v>
      </c>
      <c r="G19" s="56">
        <v>5390.44</v>
      </c>
      <c r="H19" s="56">
        <v>5382.35</v>
      </c>
      <c r="I19" s="56">
        <v>5879.06</v>
      </c>
      <c r="J19" s="56">
        <v>7486.85</v>
      </c>
      <c r="K19" s="56">
        <v>8380.99</v>
      </c>
      <c r="L19" s="56">
        <v>10581.29</v>
      </c>
      <c r="M19" s="56">
        <v>10599.07</v>
      </c>
      <c r="N19" s="56">
        <v>10643.15</v>
      </c>
      <c r="O19" s="56">
        <v>11112.36</v>
      </c>
      <c r="P19" s="56">
        <v>11634.77</v>
      </c>
      <c r="Q19" s="56">
        <v>11376.69</v>
      </c>
      <c r="R19" s="56">
        <v>11466.07</v>
      </c>
      <c r="S19" s="56">
        <v>11795.97</v>
      </c>
      <c r="T19" s="56">
        <v>11889.51</v>
      </c>
      <c r="U19" s="56">
        <v>11940</v>
      </c>
      <c r="V19" s="56">
        <v>10967.88</v>
      </c>
      <c r="W19" s="56">
        <v>11965.11</v>
      </c>
      <c r="X19" s="56">
        <v>12319.01</v>
      </c>
      <c r="Y19" s="56">
        <v>11647.81</v>
      </c>
      <c r="Z19" s="56">
        <v>10569.76</v>
      </c>
      <c r="AA19" s="56">
        <v>8968.68</v>
      </c>
      <c r="AB19" s="56">
        <v>7664.95</v>
      </c>
      <c r="AC19" s="66">
        <f>+SUM(E19:AB19)*D19+SUM(E20:AB20)*D20+SUM(E21:AB21)*D21+SUM(E22:AB22)*D22</f>
        <v>6780064.1500000013</v>
      </c>
      <c r="AE19" s="12">
        <f>SUM(AE7:AE18)</f>
        <v>81734923.900000006</v>
      </c>
    </row>
    <row r="20" spans="2:31" ht="12.5" x14ac:dyDescent="0.25">
      <c r="B20" s="65" t="s">
        <v>35</v>
      </c>
      <c r="C20" s="4" t="s">
        <v>30</v>
      </c>
      <c r="D20" s="5">
        <v>4</v>
      </c>
      <c r="E20" s="56">
        <v>6220.87</v>
      </c>
      <c r="F20" s="56">
        <v>5769.57</v>
      </c>
      <c r="G20" s="56">
        <v>5555.79</v>
      </c>
      <c r="H20" s="56">
        <v>5467.34</v>
      </c>
      <c r="I20" s="56">
        <v>5588.17</v>
      </c>
      <c r="J20" s="56">
        <v>5929.02</v>
      </c>
      <c r="K20" s="56">
        <v>6288.35</v>
      </c>
      <c r="L20" s="56">
        <v>9693.49</v>
      </c>
      <c r="M20" s="56">
        <v>10217.15</v>
      </c>
      <c r="N20" s="56">
        <v>10560.8</v>
      </c>
      <c r="O20" s="56">
        <v>10974.61</v>
      </c>
      <c r="P20" s="56">
        <v>11436.27</v>
      </c>
      <c r="Q20" s="56">
        <v>11645.68</v>
      </c>
      <c r="R20" s="56">
        <v>11253.98</v>
      </c>
      <c r="S20" s="56">
        <v>11137.79</v>
      </c>
      <c r="T20" s="56">
        <v>11174.14</v>
      </c>
      <c r="U20" s="56">
        <v>11293.08</v>
      </c>
      <c r="V20" s="56">
        <v>9938.64</v>
      </c>
      <c r="W20" s="56">
        <v>11353.93</v>
      </c>
      <c r="X20" s="56">
        <v>11765.26</v>
      </c>
      <c r="Y20" s="56">
        <v>11106.84</v>
      </c>
      <c r="Z20" s="56">
        <v>10330.950000000001</v>
      </c>
      <c r="AA20" s="56">
        <v>9298.2199999999993</v>
      </c>
      <c r="AB20" s="56">
        <v>8731.52</v>
      </c>
      <c r="AC20" s="67"/>
    </row>
    <row r="21" spans="2:31" ht="12.5" x14ac:dyDescent="0.25">
      <c r="B21" s="65" t="s">
        <v>35</v>
      </c>
      <c r="C21" s="4" t="s">
        <v>31</v>
      </c>
      <c r="D21" s="5">
        <v>5</v>
      </c>
      <c r="E21" s="56">
        <v>6603.97</v>
      </c>
      <c r="F21" s="56">
        <v>6082.58</v>
      </c>
      <c r="G21" s="56">
        <v>5757.65</v>
      </c>
      <c r="H21" s="56">
        <v>5502.17</v>
      </c>
      <c r="I21" s="56">
        <v>5434.55</v>
      </c>
      <c r="J21" s="56">
        <v>5392.7</v>
      </c>
      <c r="K21" s="56">
        <v>5550.85</v>
      </c>
      <c r="L21" s="56">
        <v>8204.2000000000007</v>
      </c>
      <c r="M21" s="56">
        <v>8914.61</v>
      </c>
      <c r="N21" s="56">
        <v>9341.5</v>
      </c>
      <c r="O21" s="56">
        <v>9858.16</v>
      </c>
      <c r="P21" s="56">
        <v>10183.34</v>
      </c>
      <c r="Q21" s="56">
        <v>10454.51</v>
      </c>
      <c r="R21" s="56">
        <v>10393.35</v>
      </c>
      <c r="S21" s="56">
        <v>10312.469999999999</v>
      </c>
      <c r="T21" s="56">
        <v>10202.39</v>
      </c>
      <c r="U21" s="56">
        <v>10375.780000000001</v>
      </c>
      <c r="V21" s="56">
        <v>9559.76</v>
      </c>
      <c r="W21" s="56">
        <v>11097.24</v>
      </c>
      <c r="X21" s="56">
        <v>11387.04</v>
      </c>
      <c r="Y21" s="56">
        <v>10886.86</v>
      </c>
      <c r="Z21" s="56">
        <v>9914.0499999999993</v>
      </c>
      <c r="AA21" s="56">
        <v>8464.43</v>
      </c>
      <c r="AB21" s="56">
        <v>7225.1</v>
      </c>
      <c r="AC21" s="67"/>
    </row>
    <row r="22" spans="2:31" ht="12.5" x14ac:dyDescent="0.25">
      <c r="B22" s="65" t="s">
        <v>35</v>
      </c>
      <c r="C22" s="4" t="s">
        <v>32</v>
      </c>
      <c r="D22" s="5">
        <v>0</v>
      </c>
      <c r="E22" s="56">
        <v>8804.35</v>
      </c>
      <c r="F22" s="56">
        <v>7945.26</v>
      </c>
      <c r="G22" s="56">
        <v>7451.23</v>
      </c>
      <c r="H22" s="56">
        <v>7133.99</v>
      </c>
      <c r="I22" s="56">
        <v>7280.37</v>
      </c>
      <c r="J22" s="56">
        <v>7510.42</v>
      </c>
      <c r="K22" s="56">
        <v>8176.96</v>
      </c>
      <c r="L22" s="56">
        <v>10194.65</v>
      </c>
      <c r="M22" s="56">
        <v>11306.75</v>
      </c>
      <c r="N22" s="56">
        <v>11985.59</v>
      </c>
      <c r="O22" s="56">
        <v>12588.27</v>
      </c>
      <c r="P22" s="56">
        <v>13577.48</v>
      </c>
      <c r="Q22" s="56">
        <v>14081.76</v>
      </c>
      <c r="R22" s="56">
        <v>13785.02</v>
      </c>
      <c r="S22" s="56">
        <v>13369.84</v>
      </c>
      <c r="T22" s="56">
        <v>13279.58</v>
      </c>
      <c r="U22" s="56">
        <v>13222.35</v>
      </c>
      <c r="V22" s="56">
        <v>14928.83</v>
      </c>
      <c r="W22" s="56">
        <v>16510.64</v>
      </c>
      <c r="X22" s="56">
        <v>17335.240000000002</v>
      </c>
      <c r="Y22" s="56">
        <v>16522.29</v>
      </c>
      <c r="Z22" s="56">
        <v>15564.34</v>
      </c>
      <c r="AA22" s="56">
        <v>13935.96</v>
      </c>
      <c r="AB22" s="56">
        <v>12160.72</v>
      </c>
      <c r="AC22" s="68"/>
    </row>
    <row r="23" spans="2:31" ht="12.5" x14ac:dyDescent="0.25">
      <c r="B23" s="65" t="s">
        <v>36</v>
      </c>
      <c r="C23" s="4" t="s">
        <v>29</v>
      </c>
      <c r="D23" s="5">
        <v>20</v>
      </c>
      <c r="E23" s="56">
        <v>5682.89</v>
      </c>
      <c r="F23" s="56">
        <v>5522.66</v>
      </c>
      <c r="G23" s="56">
        <v>5277.66</v>
      </c>
      <c r="H23" s="56">
        <v>5221.87</v>
      </c>
      <c r="I23" s="56">
        <v>5695.28</v>
      </c>
      <c r="J23" s="56">
        <v>7170.19</v>
      </c>
      <c r="K23" s="56">
        <v>8067.67</v>
      </c>
      <c r="L23" s="56">
        <v>10261.629999999999</v>
      </c>
      <c r="M23" s="56">
        <v>10230.469999999999</v>
      </c>
      <c r="N23" s="56">
        <v>10388.76</v>
      </c>
      <c r="O23" s="56">
        <v>10821.6</v>
      </c>
      <c r="P23" s="56">
        <v>11303.16</v>
      </c>
      <c r="Q23" s="56">
        <v>11060.85</v>
      </c>
      <c r="R23" s="56">
        <v>11133.23</v>
      </c>
      <c r="S23" s="56">
        <v>11507.02</v>
      </c>
      <c r="T23" s="56">
        <v>11633.15</v>
      </c>
      <c r="U23" s="56">
        <v>11445.06</v>
      </c>
      <c r="V23" s="56">
        <v>10681.92</v>
      </c>
      <c r="W23" s="56">
        <v>11653.06</v>
      </c>
      <c r="X23" s="56">
        <v>11823.06</v>
      </c>
      <c r="Y23" s="56">
        <v>11327.14</v>
      </c>
      <c r="Z23" s="56">
        <v>10052.709999999999</v>
      </c>
      <c r="AA23" s="56">
        <v>8679.01</v>
      </c>
      <c r="AB23" s="56">
        <v>7417.96</v>
      </c>
      <c r="AC23" s="66">
        <f>+SUM(E23:AB23)*D23+SUM(E24:AB24)*D24+SUM(E25:AB25)*D25+SUM(E26:AB26)*D26</f>
        <v>6746889.2999999998</v>
      </c>
    </row>
    <row r="24" spans="2:31" ht="12.5" x14ac:dyDescent="0.25">
      <c r="B24" s="65" t="s">
        <v>36</v>
      </c>
      <c r="C24" s="4" t="s">
        <v>30</v>
      </c>
      <c r="D24" s="5">
        <v>4</v>
      </c>
      <c r="E24" s="56">
        <v>6073.37</v>
      </c>
      <c r="F24" s="56">
        <v>5684.03</v>
      </c>
      <c r="G24" s="56">
        <v>5414.13</v>
      </c>
      <c r="H24" s="56">
        <v>5327.74</v>
      </c>
      <c r="I24" s="56">
        <v>5459.05</v>
      </c>
      <c r="J24" s="56">
        <v>5725.15</v>
      </c>
      <c r="K24" s="56">
        <v>6343.89</v>
      </c>
      <c r="L24" s="56">
        <v>9551.43</v>
      </c>
      <c r="M24" s="56">
        <v>10132.469999999999</v>
      </c>
      <c r="N24" s="56">
        <v>10491.34</v>
      </c>
      <c r="O24" s="56">
        <v>10810.39</v>
      </c>
      <c r="P24" s="56">
        <v>11055.78</v>
      </c>
      <c r="Q24" s="56">
        <v>11070.14</v>
      </c>
      <c r="R24" s="56">
        <v>10905.54</v>
      </c>
      <c r="S24" s="56">
        <v>10850.4</v>
      </c>
      <c r="T24" s="56">
        <v>10694.7</v>
      </c>
      <c r="U24" s="56">
        <v>10878.42</v>
      </c>
      <c r="V24" s="56">
        <v>10001.299999999999</v>
      </c>
      <c r="W24" s="56">
        <v>10674.13</v>
      </c>
      <c r="X24" s="56">
        <v>11032.44</v>
      </c>
      <c r="Y24" s="56">
        <v>10495.2</v>
      </c>
      <c r="Z24" s="56">
        <v>9646.1299999999992</v>
      </c>
      <c r="AA24" s="56">
        <v>8760.14</v>
      </c>
      <c r="AB24" s="56">
        <v>7665.58</v>
      </c>
      <c r="AC24" s="67"/>
    </row>
    <row r="25" spans="2:31" ht="12.5" x14ac:dyDescent="0.25">
      <c r="B25" s="65" t="s">
        <v>36</v>
      </c>
      <c r="C25" s="4" t="s">
        <v>31</v>
      </c>
      <c r="D25" s="5">
        <v>4</v>
      </c>
      <c r="E25" s="56">
        <v>6093.62</v>
      </c>
      <c r="F25" s="56">
        <v>5676.41</v>
      </c>
      <c r="G25" s="56">
        <v>5402.59</v>
      </c>
      <c r="H25" s="56">
        <v>5189.18</v>
      </c>
      <c r="I25" s="56">
        <v>5215.95</v>
      </c>
      <c r="J25" s="56">
        <v>5098.6099999999997</v>
      </c>
      <c r="K25" s="56">
        <v>5399.36</v>
      </c>
      <c r="L25" s="56">
        <v>8047.85</v>
      </c>
      <c r="M25" s="56">
        <v>8704.8799999999992</v>
      </c>
      <c r="N25" s="56">
        <v>9085.2900000000009</v>
      </c>
      <c r="O25" s="56">
        <v>9428.7000000000007</v>
      </c>
      <c r="P25" s="56">
        <v>9642.4599999999991</v>
      </c>
      <c r="Q25" s="56">
        <v>9796.2000000000007</v>
      </c>
      <c r="R25" s="56">
        <v>9838.49</v>
      </c>
      <c r="S25" s="56">
        <v>9577.83</v>
      </c>
      <c r="T25" s="56">
        <v>9510.6200000000008</v>
      </c>
      <c r="U25" s="56">
        <v>9687.6200000000008</v>
      </c>
      <c r="V25" s="56">
        <v>9131.5</v>
      </c>
      <c r="W25" s="56">
        <v>10136.540000000001</v>
      </c>
      <c r="X25" s="56">
        <v>10530.18</v>
      </c>
      <c r="Y25" s="56">
        <v>10170.299999999999</v>
      </c>
      <c r="Z25" s="56">
        <v>9411.2199999999993</v>
      </c>
      <c r="AA25" s="56">
        <v>8062.92</v>
      </c>
      <c r="AB25" s="56">
        <v>7079.11</v>
      </c>
      <c r="AC25" s="67"/>
    </row>
    <row r="26" spans="2:31" ht="12.5" x14ac:dyDescent="0.25">
      <c r="B26" s="65" t="s">
        <v>36</v>
      </c>
      <c r="C26" s="4" t="s">
        <v>32</v>
      </c>
      <c r="D26" s="5">
        <v>3</v>
      </c>
      <c r="E26" s="56">
        <v>5985.04</v>
      </c>
      <c r="F26" s="56">
        <v>5583.06</v>
      </c>
      <c r="G26" s="56">
        <v>5379.11</v>
      </c>
      <c r="H26" s="56">
        <v>5243.61</v>
      </c>
      <c r="I26" s="56">
        <v>5309.07</v>
      </c>
      <c r="J26" s="56">
        <v>5393.85</v>
      </c>
      <c r="K26" s="56">
        <v>5621.45</v>
      </c>
      <c r="L26" s="56">
        <v>8405.76</v>
      </c>
      <c r="M26" s="56">
        <v>8991.7099999999991</v>
      </c>
      <c r="N26" s="56">
        <v>9639.74</v>
      </c>
      <c r="O26" s="56">
        <v>10092.290000000001</v>
      </c>
      <c r="P26" s="56">
        <v>10827.38</v>
      </c>
      <c r="Q26" s="56">
        <v>11088.5</v>
      </c>
      <c r="R26" s="56">
        <v>10887.27</v>
      </c>
      <c r="S26" s="56">
        <v>10407.69</v>
      </c>
      <c r="T26" s="56">
        <v>10461.530000000001</v>
      </c>
      <c r="U26" s="56">
        <v>10307.790000000001</v>
      </c>
      <c r="V26" s="56">
        <v>9848</v>
      </c>
      <c r="W26" s="56">
        <v>10762.36</v>
      </c>
      <c r="X26" s="56">
        <v>11117.63</v>
      </c>
      <c r="Y26" s="56">
        <v>10662.1</v>
      </c>
      <c r="Z26" s="56">
        <v>9841</v>
      </c>
      <c r="AA26" s="56">
        <v>8477.68</v>
      </c>
      <c r="AB26" s="56">
        <v>7362.32</v>
      </c>
      <c r="AC26" s="68"/>
    </row>
    <row r="27" spans="2:31" ht="12.5" x14ac:dyDescent="0.25">
      <c r="B27" s="65" t="s">
        <v>37</v>
      </c>
      <c r="C27" s="4" t="s">
        <v>29</v>
      </c>
      <c r="D27" s="5">
        <v>20</v>
      </c>
      <c r="E27" s="56">
        <v>5753.28</v>
      </c>
      <c r="F27" s="56">
        <v>5426.28</v>
      </c>
      <c r="G27" s="56">
        <v>5287.3</v>
      </c>
      <c r="H27" s="56">
        <v>5249.86</v>
      </c>
      <c r="I27" s="56">
        <v>5694.35</v>
      </c>
      <c r="J27" s="56">
        <v>6883.46</v>
      </c>
      <c r="K27" s="56">
        <v>7888.71</v>
      </c>
      <c r="L27" s="56">
        <v>10629.94</v>
      </c>
      <c r="M27" s="56">
        <v>10678.46</v>
      </c>
      <c r="N27" s="56">
        <v>10968.74</v>
      </c>
      <c r="O27" s="56">
        <v>11447.9</v>
      </c>
      <c r="P27" s="56">
        <v>11917.01</v>
      </c>
      <c r="Q27" s="56">
        <v>11769.76</v>
      </c>
      <c r="R27" s="56">
        <v>11674.72</v>
      </c>
      <c r="S27" s="56">
        <v>11900.98</v>
      </c>
      <c r="T27" s="56">
        <v>11883.17</v>
      </c>
      <c r="U27" s="56">
        <v>11921.2</v>
      </c>
      <c r="V27" s="56">
        <v>10733.65</v>
      </c>
      <c r="W27" s="56">
        <v>11694.78</v>
      </c>
      <c r="X27" s="56">
        <v>12063.79</v>
      </c>
      <c r="Y27" s="56">
        <v>11430.71</v>
      </c>
      <c r="Z27" s="56">
        <v>10337.959999999999</v>
      </c>
      <c r="AA27" s="56">
        <v>8828.61</v>
      </c>
      <c r="AB27" s="56">
        <v>7498.77</v>
      </c>
      <c r="AC27" s="66">
        <f>+SUM(E27:AB27)*D27+SUM(E28:AB28)*D28+SUM(E29:AB29)*D29+SUM(E30:AB30)*D30</f>
        <v>6724581.4099999992</v>
      </c>
    </row>
    <row r="28" spans="2:31" ht="12.5" x14ac:dyDescent="0.25">
      <c r="B28" s="65" t="s">
        <v>37</v>
      </c>
      <c r="C28" s="4" t="s">
        <v>30</v>
      </c>
      <c r="D28" s="5">
        <v>5</v>
      </c>
      <c r="E28" s="56">
        <v>5958.1</v>
      </c>
      <c r="F28" s="56">
        <v>5573.05</v>
      </c>
      <c r="G28" s="56">
        <v>5341.13</v>
      </c>
      <c r="H28" s="56">
        <v>5226.09</v>
      </c>
      <c r="I28" s="56">
        <v>5420.82</v>
      </c>
      <c r="J28" s="56">
        <v>5770.28</v>
      </c>
      <c r="K28" s="56">
        <v>6528.16</v>
      </c>
      <c r="L28" s="56">
        <v>9967.94</v>
      </c>
      <c r="M28" s="56">
        <v>10569.74</v>
      </c>
      <c r="N28" s="56">
        <v>10928.84</v>
      </c>
      <c r="O28" s="56">
        <v>11325.49</v>
      </c>
      <c r="P28" s="56">
        <v>11582.5</v>
      </c>
      <c r="Q28" s="56">
        <v>11598.95</v>
      </c>
      <c r="R28" s="56">
        <v>11323.94</v>
      </c>
      <c r="S28" s="56">
        <v>11055.86</v>
      </c>
      <c r="T28" s="56">
        <v>10987.2</v>
      </c>
      <c r="U28" s="56">
        <v>10962.65</v>
      </c>
      <c r="V28" s="56">
        <v>10088.41</v>
      </c>
      <c r="W28" s="56">
        <v>10975.51</v>
      </c>
      <c r="X28" s="56">
        <v>11530.28</v>
      </c>
      <c r="Y28" s="56">
        <v>10994.94</v>
      </c>
      <c r="Z28" s="56">
        <v>10139.82</v>
      </c>
      <c r="AA28" s="56">
        <v>9097.98</v>
      </c>
      <c r="AB28" s="56">
        <v>7900.38</v>
      </c>
      <c r="AC28" s="67"/>
    </row>
    <row r="29" spans="2:31" ht="12.5" x14ac:dyDescent="0.25">
      <c r="B29" s="65" t="s">
        <v>37</v>
      </c>
      <c r="C29" s="4" t="s">
        <v>31</v>
      </c>
      <c r="D29" s="5">
        <v>4</v>
      </c>
      <c r="E29" s="56">
        <v>6414.63</v>
      </c>
      <c r="F29" s="56">
        <v>5893.67</v>
      </c>
      <c r="G29" s="56">
        <v>5592.55</v>
      </c>
      <c r="H29" s="56">
        <v>5433.78</v>
      </c>
      <c r="I29" s="56">
        <v>5346.58</v>
      </c>
      <c r="J29" s="56">
        <v>5263.94</v>
      </c>
      <c r="K29" s="56">
        <v>5514.56</v>
      </c>
      <c r="L29" s="56">
        <v>8411.34</v>
      </c>
      <c r="M29" s="56">
        <v>9192.0400000000009</v>
      </c>
      <c r="N29" s="56">
        <v>9799.4</v>
      </c>
      <c r="O29" s="56">
        <v>10119.52</v>
      </c>
      <c r="P29" s="56">
        <v>10393.959999999999</v>
      </c>
      <c r="Q29" s="56">
        <v>10502.46</v>
      </c>
      <c r="R29" s="56">
        <v>10391.34</v>
      </c>
      <c r="S29" s="56">
        <v>10083.17</v>
      </c>
      <c r="T29" s="56">
        <v>10054.65</v>
      </c>
      <c r="U29" s="56">
        <v>10144.33</v>
      </c>
      <c r="V29" s="56">
        <v>9353.43</v>
      </c>
      <c r="W29" s="56">
        <v>10254.969999999999</v>
      </c>
      <c r="X29" s="56">
        <v>10909.74</v>
      </c>
      <c r="Y29" s="56">
        <v>10570.15</v>
      </c>
      <c r="Z29" s="56">
        <v>9785.24</v>
      </c>
      <c r="AA29" s="56">
        <v>8641.77</v>
      </c>
      <c r="AB29" s="56">
        <v>7419.98</v>
      </c>
      <c r="AC29" s="67"/>
    </row>
    <row r="30" spans="2:31" ht="12.5" x14ac:dyDescent="0.25">
      <c r="B30" s="65" t="s">
        <v>37</v>
      </c>
      <c r="C30" s="4" t="s">
        <v>32</v>
      </c>
      <c r="D30" s="5">
        <v>1</v>
      </c>
      <c r="E30" s="56">
        <v>5952.25</v>
      </c>
      <c r="F30" s="56">
        <v>5569.38</v>
      </c>
      <c r="G30" s="56">
        <v>5336.67</v>
      </c>
      <c r="H30" s="56">
        <v>5209.8500000000004</v>
      </c>
      <c r="I30" s="56">
        <v>5240.7700000000004</v>
      </c>
      <c r="J30" s="56">
        <v>5260.18</v>
      </c>
      <c r="K30" s="56">
        <v>5381.62</v>
      </c>
      <c r="L30" s="56">
        <v>8279.18</v>
      </c>
      <c r="M30" s="56">
        <v>8743.2800000000007</v>
      </c>
      <c r="N30" s="56">
        <v>9282.68</v>
      </c>
      <c r="O30" s="56">
        <v>10137.950000000001</v>
      </c>
      <c r="P30" s="56">
        <v>10650.17</v>
      </c>
      <c r="Q30" s="56">
        <v>11058.85</v>
      </c>
      <c r="R30" s="56">
        <v>10917.68</v>
      </c>
      <c r="S30" s="56">
        <v>10684.73</v>
      </c>
      <c r="T30" s="56">
        <v>10553.31</v>
      </c>
      <c r="U30" s="56">
        <v>10497.77</v>
      </c>
      <c r="V30" s="56">
        <v>9612.1</v>
      </c>
      <c r="W30" s="56">
        <v>10598.71</v>
      </c>
      <c r="X30" s="56">
        <v>11267.25</v>
      </c>
      <c r="Y30" s="56">
        <v>10877.61</v>
      </c>
      <c r="Z30" s="56">
        <v>10022.86</v>
      </c>
      <c r="AA30" s="56">
        <v>8652.59</v>
      </c>
      <c r="AB30" s="56">
        <v>7337.07</v>
      </c>
      <c r="AC30" s="68"/>
    </row>
    <row r="31" spans="2:31" ht="12.5" x14ac:dyDescent="0.25">
      <c r="B31" s="65" t="s">
        <v>38</v>
      </c>
      <c r="C31" s="4" t="s">
        <v>29</v>
      </c>
      <c r="D31" s="5">
        <v>19</v>
      </c>
      <c r="E31" s="56">
        <v>5818.26</v>
      </c>
      <c r="F31" s="56">
        <v>5492.95</v>
      </c>
      <c r="G31" s="56">
        <v>5329.4</v>
      </c>
      <c r="H31" s="56">
        <v>5317.83</v>
      </c>
      <c r="I31" s="56">
        <v>5755.4</v>
      </c>
      <c r="J31" s="56">
        <v>7131.19</v>
      </c>
      <c r="K31" s="56">
        <v>8088.86</v>
      </c>
      <c r="L31" s="56">
        <v>10459.790000000001</v>
      </c>
      <c r="M31" s="56">
        <v>10501.35</v>
      </c>
      <c r="N31" s="56">
        <v>10744.76</v>
      </c>
      <c r="O31" s="56">
        <v>11086.85</v>
      </c>
      <c r="P31" s="56">
        <v>11742.99</v>
      </c>
      <c r="Q31" s="56">
        <v>11499.84</v>
      </c>
      <c r="R31" s="56">
        <v>11459.36</v>
      </c>
      <c r="S31" s="56">
        <v>11694.07</v>
      </c>
      <c r="T31" s="56">
        <v>11718</v>
      </c>
      <c r="U31" s="56">
        <v>11654.21</v>
      </c>
      <c r="V31" s="56">
        <v>10627.22</v>
      </c>
      <c r="W31" s="56">
        <v>11352.6</v>
      </c>
      <c r="X31" s="56">
        <v>12102.79</v>
      </c>
      <c r="Y31" s="56">
        <v>11552.79</v>
      </c>
      <c r="Z31" s="56">
        <v>10483.18</v>
      </c>
      <c r="AA31" s="56">
        <v>8861.16</v>
      </c>
      <c r="AB31" s="56">
        <v>7581.36</v>
      </c>
      <c r="AC31" s="66">
        <f>+SUM(E31:AB31)*D31+SUM(E32:AB32)*D32+SUM(E33:AB33)*D33+SUM(E34:AB34)*D34</f>
        <v>6815504.9000000004</v>
      </c>
    </row>
    <row r="32" spans="2:31" ht="12.5" x14ac:dyDescent="0.25">
      <c r="B32" s="65" t="s">
        <v>38</v>
      </c>
      <c r="C32" s="4" t="s">
        <v>30</v>
      </c>
      <c r="D32" s="5">
        <v>4</v>
      </c>
      <c r="E32" s="56">
        <v>6194.63</v>
      </c>
      <c r="F32" s="56">
        <v>5788.67</v>
      </c>
      <c r="G32" s="56">
        <v>5538.97</v>
      </c>
      <c r="H32" s="56">
        <v>5457.54</v>
      </c>
      <c r="I32" s="56">
        <v>5573.74</v>
      </c>
      <c r="J32" s="56">
        <v>5855.7</v>
      </c>
      <c r="K32" s="56">
        <v>6525.2</v>
      </c>
      <c r="L32" s="56">
        <v>9855.61</v>
      </c>
      <c r="M32" s="56">
        <v>10469.26</v>
      </c>
      <c r="N32" s="56">
        <v>10835.63</v>
      </c>
      <c r="O32" s="56">
        <v>11091.36</v>
      </c>
      <c r="P32" s="56">
        <v>11480.08</v>
      </c>
      <c r="Q32" s="56">
        <v>11595.66</v>
      </c>
      <c r="R32" s="56">
        <v>11340.25</v>
      </c>
      <c r="S32" s="56">
        <v>11138.69</v>
      </c>
      <c r="T32" s="56">
        <v>10931.69</v>
      </c>
      <c r="U32" s="56">
        <v>10805.64</v>
      </c>
      <c r="V32" s="56">
        <v>10057.64</v>
      </c>
      <c r="W32" s="56">
        <v>10696.89</v>
      </c>
      <c r="X32" s="56">
        <v>11380.08</v>
      </c>
      <c r="Y32" s="56">
        <v>10813.08</v>
      </c>
      <c r="Z32" s="56">
        <v>9939.7099999999991</v>
      </c>
      <c r="AA32" s="56">
        <v>8807.24</v>
      </c>
      <c r="AB32" s="56">
        <v>7741.11</v>
      </c>
      <c r="AC32" s="67"/>
    </row>
    <row r="33" spans="2:29" ht="12.5" x14ac:dyDescent="0.25">
      <c r="B33" s="65" t="s">
        <v>38</v>
      </c>
      <c r="C33" s="4" t="s">
        <v>31</v>
      </c>
      <c r="D33" s="5">
        <v>5</v>
      </c>
      <c r="E33" s="56">
        <v>6034.55</v>
      </c>
      <c r="F33" s="56">
        <v>5603.77</v>
      </c>
      <c r="G33" s="56">
        <v>5339.89</v>
      </c>
      <c r="H33" s="56">
        <v>5205.37</v>
      </c>
      <c r="I33" s="56">
        <v>5137.05</v>
      </c>
      <c r="J33" s="56">
        <v>5072.5200000000004</v>
      </c>
      <c r="K33" s="56">
        <v>5343.18</v>
      </c>
      <c r="L33" s="56">
        <v>8036.41</v>
      </c>
      <c r="M33" s="56">
        <v>8841.52</v>
      </c>
      <c r="N33" s="56">
        <v>9273.23</v>
      </c>
      <c r="O33" s="56">
        <v>9593.18</v>
      </c>
      <c r="P33" s="56">
        <v>10107.379999999999</v>
      </c>
      <c r="Q33" s="56">
        <v>10245.299999999999</v>
      </c>
      <c r="R33" s="56">
        <v>10231.83</v>
      </c>
      <c r="S33" s="56">
        <v>10056.459999999999</v>
      </c>
      <c r="T33" s="56">
        <v>9953.42</v>
      </c>
      <c r="U33" s="56">
        <v>9911.59</v>
      </c>
      <c r="V33" s="56">
        <v>9180.7000000000007</v>
      </c>
      <c r="W33" s="56">
        <v>10100.200000000001</v>
      </c>
      <c r="X33" s="56">
        <v>11029.65</v>
      </c>
      <c r="Y33" s="56">
        <v>10746.18</v>
      </c>
      <c r="Z33" s="56">
        <v>9774.64</v>
      </c>
      <c r="AA33" s="56">
        <v>8267.2900000000009</v>
      </c>
      <c r="AB33" s="56">
        <v>7068.39</v>
      </c>
      <c r="AC33" s="67"/>
    </row>
    <row r="34" spans="2:29" ht="12.5" x14ac:dyDescent="0.25">
      <c r="B34" s="65" t="s">
        <v>38</v>
      </c>
      <c r="C34" s="4" t="s">
        <v>32</v>
      </c>
      <c r="D34" s="5">
        <v>3</v>
      </c>
      <c r="E34" s="56">
        <v>6548.85</v>
      </c>
      <c r="F34" s="56">
        <v>6068.65</v>
      </c>
      <c r="G34" s="56">
        <v>5704.42</v>
      </c>
      <c r="H34" s="56">
        <v>5392.75</v>
      </c>
      <c r="I34" s="56">
        <v>5361.56</v>
      </c>
      <c r="J34" s="56">
        <v>5129.1000000000004</v>
      </c>
      <c r="K34" s="56">
        <v>5403.06</v>
      </c>
      <c r="L34" s="56">
        <v>8168.95</v>
      </c>
      <c r="M34" s="56">
        <v>9025.41</v>
      </c>
      <c r="N34" s="56">
        <v>9305.25</v>
      </c>
      <c r="O34" s="56">
        <v>9290.9599999999991</v>
      </c>
      <c r="P34" s="56">
        <v>9911.2800000000007</v>
      </c>
      <c r="Q34" s="56">
        <v>10213.32</v>
      </c>
      <c r="R34" s="56">
        <v>10253.799999999999</v>
      </c>
      <c r="S34" s="56">
        <v>9732.59</v>
      </c>
      <c r="T34" s="56">
        <v>9662.89</v>
      </c>
      <c r="U34" s="56">
        <v>9703.3700000000008</v>
      </c>
      <c r="V34" s="56">
        <v>8983.4500000000007</v>
      </c>
      <c r="W34" s="56">
        <v>9742.2000000000007</v>
      </c>
      <c r="X34" s="56">
        <v>10776.33</v>
      </c>
      <c r="Y34" s="56">
        <v>10681.19</v>
      </c>
      <c r="Z34" s="56">
        <v>9789.7999999999993</v>
      </c>
      <c r="AA34" s="56">
        <v>8440.86</v>
      </c>
      <c r="AB34" s="56">
        <v>7380.67</v>
      </c>
      <c r="AC34" s="68"/>
    </row>
    <row r="35" spans="2:29" ht="12.5" x14ac:dyDescent="0.25">
      <c r="B35" s="65" t="s">
        <v>39</v>
      </c>
      <c r="C35" s="4" t="s">
        <v>29</v>
      </c>
      <c r="D35" s="5">
        <v>21</v>
      </c>
      <c r="E35" s="56">
        <v>5942.27</v>
      </c>
      <c r="F35" s="56">
        <v>5559.91</v>
      </c>
      <c r="G35" s="56">
        <v>5404.71</v>
      </c>
      <c r="H35" s="56">
        <v>5369.88</v>
      </c>
      <c r="I35" s="56">
        <v>5869.42</v>
      </c>
      <c r="J35" s="56">
        <v>7414.7</v>
      </c>
      <c r="K35" s="56">
        <v>8461.18</v>
      </c>
      <c r="L35" s="56">
        <v>10731</v>
      </c>
      <c r="M35" s="56">
        <v>10640.35</v>
      </c>
      <c r="N35" s="56">
        <v>10791.48</v>
      </c>
      <c r="O35" s="56">
        <v>11187.79</v>
      </c>
      <c r="P35" s="56">
        <v>11674.57</v>
      </c>
      <c r="Q35" s="56">
        <v>11496.49</v>
      </c>
      <c r="R35" s="56">
        <v>11479.24</v>
      </c>
      <c r="S35" s="56">
        <v>11771.12</v>
      </c>
      <c r="T35" s="56">
        <v>11830.63</v>
      </c>
      <c r="U35" s="56">
        <v>11837.21</v>
      </c>
      <c r="V35" s="56">
        <v>10883.58</v>
      </c>
      <c r="W35" s="56">
        <v>11793.79</v>
      </c>
      <c r="X35" s="56">
        <v>12458.97</v>
      </c>
      <c r="Y35" s="56">
        <v>11873.51</v>
      </c>
      <c r="Z35" s="56">
        <v>10726.1</v>
      </c>
      <c r="AA35" s="56">
        <v>9029.43</v>
      </c>
      <c r="AB35" s="56">
        <v>7718.96</v>
      </c>
      <c r="AC35" s="66">
        <f>+SUM(E35:AB35)*D35+SUM(E36:AB36)*D36+SUM(E37:AB37)*D37+SUM(E38:AB38)*D38</f>
        <v>7012730.8499999996</v>
      </c>
    </row>
    <row r="36" spans="2:29" ht="12.5" x14ac:dyDescent="0.25">
      <c r="B36" s="65" t="s">
        <v>39</v>
      </c>
      <c r="C36" s="4" t="s">
        <v>30</v>
      </c>
      <c r="D36" s="5">
        <v>4</v>
      </c>
      <c r="E36" s="56">
        <v>6277.23</v>
      </c>
      <c r="F36" s="56">
        <v>5864.52</v>
      </c>
      <c r="G36" s="56">
        <v>5604.78</v>
      </c>
      <c r="H36" s="56">
        <v>5484.23</v>
      </c>
      <c r="I36" s="56">
        <v>5604.62</v>
      </c>
      <c r="J36" s="56">
        <v>5919.48</v>
      </c>
      <c r="K36" s="56">
        <v>6706.2</v>
      </c>
      <c r="L36" s="56">
        <v>10019.629999999999</v>
      </c>
      <c r="M36" s="56">
        <v>10753.05</v>
      </c>
      <c r="N36" s="56">
        <v>10970.27</v>
      </c>
      <c r="O36" s="56">
        <v>11206.98</v>
      </c>
      <c r="P36" s="56">
        <v>11486.43</v>
      </c>
      <c r="Q36" s="56">
        <v>11566.59</v>
      </c>
      <c r="R36" s="56">
        <v>11578.06</v>
      </c>
      <c r="S36" s="56">
        <v>11303.13</v>
      </c>
      <c r="T36" s="56">
        <v>11183.68</v>
      </c>
      <c r="U36" s="56">
        <v>11112.95</v>
      </c>
      <c r="V36" s="56">
        <v>10456.780000000001</v>
      </c>
      <c r="W36" s="56">
        <v>11238.27</v>
      </c>
      <c r="X36" s="56">
        <v>11771.07</v>
      </c>
      <c r="Y36" s="56">
        <v>11129.64</v>
      </c>
      <c r="Z36" s="56">
        <v>10237.33</v>
      </c>
      <c r="AA36" s="56">
        <v>8933.19</v>
      </c>
      <c r="AB36" s="56">
        <v>7873.05</v>
      </c>
      <c r="AC36" s="67"/>
    </row>
    <row r="37" spans="2:29" ht="12.5" x14ac:dyDescent="0.25">
      <c r="B37" s="65" t="s">
        <v>39</v>
      </c>
      <c r="C37" s="4" t="s">
        <v>31</v>
      </c>
      <c r="D37" s="5">
        <v>4</v>
      </c>
      <c r="E37" s="56">
        <v>6271.82</v>
      </c>
      <c r="F37" s="56">
        <v>5841.01</v>
      </c>
      <c r="G37" s="56">
        <v>5528.11</v>
      </c>
      <c r="H37" s="56">
        <v>5353.46</v>
      </c>
      <c r="I37" s="56">
        <v>5287.47</v>
      </c>
      <c r="J37" s="56">
        <v>5323.37</v>
      </c>
      <c r="K37" s="56">
        <v>5477.57</v>
      </c>
      <c r="L37" s="56">
        <v>8262.58</v>
      </c>
      <c r="M37" s="56">
        <v>9006.35</v>
      </c>
      <c r="N37" s="56">
        <v>9539.86</v>
      </c>
      <c r="O37" s="56">
        <v>9885.5499999999993</v>
      </c>
      <c r="P37" s="56">
        <v>10364.27</v>
      </c>
      <c r="Q37" s="56">
        <v>10608.52</v>
      </c>
      <c r="R37" s="56">
        <v>10481.24</v>
      </c>
      <c r="S37" s="56">
        <v>10213.790000000001</v>
      </c>
      <c r="T37" s="56">
        <v>10169</v>
      </c>
      <c r="U37" s="56">
        <v>10279.92</v>
      </c>
      <c r="V37" s="56">
        <v>9684.24</v>
      </c>
      <c r="W37" s="56">
        <v>10714.12</v>
      </c>
      <c r="X37" s="56">
        <v>11343.81</v>
      </c>
      <c r="Y37" s="56">
        <v>10884.77</v>
      </c>
      <c r="Z37" s="56">
        <v>9811.34</v>
      </c>
      <c r="AA37" s="56">
        <v>8447.73</v>
      </c>
      <c r="AB37" s="56">
        <v>7335.16</v>
      </c>
      <c r="AC37" s="67"/>
    </row>
    <row r="38" spans="2:29" ht="12.5" x14ac:dyDescent="0.25">
      <c r="B38" s="65" t="s">
        <v>39</v>
      </c>
      <c r="C38" s="4" t="s">
        <v>32</v>
      </c>
      <c r="D38" s="5">
        <v>2</v>
      </c>
      <c r="E38" s="56">
        <v>6053.95</v>
      </c>
      <c r="F38" s="56">
        <v>5599.72</v>
      </c>
      <c r="G38" s="56">
        <v>5426.97</v>
      </c>
      <c r="H38" s="56">
        <v>5340.81</v>
      </c>
      <c r="I38" s="56">
        <v>5443.41</v>
      </c>
      <c r="J38" s="56">
        <v>5565.8</v>
      </c>
      <c r="K38" s="56">
        <v>5743.13</v>
      </c>
      <c r="L38" s="56">
        <v>8512.56</v>
      </c>
      <c r="M38" s="56">
        <v>9105.76</v>
      </c>
      <c r="N38" s="56">
        <v>9550.7800000000007</v>
      </c>
      <c r="O38" s="56">
        <v>10170.81</v>
      </c>
      <c r="P38" s="56">
        <v>10513.55</v>
      </c>
      <c r="Q38" s="56">
        <v>10675.09</v>
      </c>
      <c r="R38" s="56">
        <v>10925.53</v>
      </c>
      <c r="S38" s="56">
        <v>10786.18</v>
      </c>
      <c r="T38" s="56">
        <v>10527.77</v>
      </c>
      <c r="U38" s="56">
        <v>10752.75</v>
      </c>
      <c r="V38" s="56">
        <v>10277.629999999999</v>
      </c>
      <c r="W38" s="56">
        <v>11147.33</v>
      </c>
      <c r="X38" s="56">
        <v>11588.29</v>
      </c>
      <c r="Y38" s="56">
        <v>10982.16</v>
      </c>
      <c r="Z38" s="56">
        <v>9851.0499999999993</v>
      </c>
      <c r="AA38" s="56">
        <v>8424.81</v>
      </c>
      <c r="AB38" s="56">
        <v>7171.1</v>
      </c>
      <c r="AC38" s="68"/>
    </row>
    <row r="39" spans="2:29" ht="12.5" x14ac:dyDescent="0.25">
      <c r="B39" s="65" t="s">
        <v>40</v>
      </c>
      <c r="C39" s="4" t="s">
        <v>29</v>
      </c>
      <c r="D39" s="5">
        <v>20</v>
      </c>
      <c r="E39" s="56">
        <v>5838.5</v>
      </c>
      <c r="F39" s="56">
        <v>5506.4</v>
      </c>
      <c r="G39" s="56">
        <v>5369.71</v>
      </c>
      <c r="H39" s="56">
        <v>5301.05</v>
      </c>
      <c r="I39" s="56">
        <v>5786.52</v>
      </c>
      <c r="J39" s="56">
        <v>7210.29</v>
      </c>
      <c r="K39" s="56">
        <v>8266.5</v>
      </c>
      <c r="L39" s="56">
        <v>10650.64</v>
      </c>
      <c r="M39" s="56">
        <v>10569.01</v>
      </c>
      <c r="N39" s="56">
        <v>10744.09</v>
      </c>
      <c r="O39" s="56">
        <v>11154.47</v>
      </c>
      <c r="P39" s="56">
        <v>11718.91</v>
      </c>
      <c r="Q39" s="56">
        <v>11488.95</v>
      </c>
      <c r="R39" s="56">
        <v>11393.92</v>
      </c>
      <c r="S39" s="56">
        <v>11691.23</v>
      </c>
      <c r="T39" s="56">
        <v>11791.92</v>
      </c>
      <c r="U39" s="56">
        <v>11767.79</v>
      </c>
      <c r="V39" s="56">
        <v>10778.11</v>
      </c>
      <c r="W39" s="56">
        <v>11878.88</v>
      </c>
      <c r="X39" s="56">
        <v>12162.7</v>
      </c>
      <c r="Y39" s="56">
        <v>11545.98</v>
      </c>
      <c r="Z39" s="56">
        <v>10503.29</v>
      </c>
      <c r="AA39" s="56">
        <v>8849.06</v>
      </c>
      <c r="AB39" s="56">
        <v>7492.61</v>
      </c>
      <c r="AC39" s="66">
        <f>+SUM(E39:AB39)*D39+SUM(E40:AB40)*D40+SUM(E41:AB41)*D41+SUM(E42:AB42)*D42</f>
        <v>6709429.6500000013</v>
      </c>
    </row>
    <row r="40" spans="2:29" ht="12.5" x14ac:dyDescent="0.25">
      <c r="B40" s="65" t="s">
        <v>40</v>
      </c>
      <c r="C40" s="4" t="s">
        <v>30</v>
      </c>
      <c r="D40" s="5">
        <v>5</v>
      </c>
      <c r="E40" s="56">
        <v>6050.64</v>
      </c>
      <c r="F40" s="56">
        <v>5610.92</v>
      </c>
      <c r="G40" s="56">
        <v>5422.07</v>
      </c>
      <c r="H40" s="56">
        <v>5321.99</v>
      </c>
      <c r="I40" s="56">
        <v>5463.34</v>
      </c>
      <c r="J40" s="56">
        <v>5901.88</v>
      </c>
      <c r="K40" s="56">
        <v>6595.8</v>
      </c>
      <c r="L40" s="56">
        <v>9986.24</v>
      </c>
      <c r="M40" s="56">
        <v>10553.86</v>
      </c>
      <c r="N40" s="56">
        <v>10884.23</v>
      </c>
      <c r="O40" s="56">
        <v>11278.63</v>
      </c>
      <c r="P40" s="56">
        <v>11509.24</v>
      </c>
      <c r="Q40" s="56">
        <v>11499.97</v>
      </c>
      <c r="R40" s="56">
        <v>11364.06</v>
      </c>
      <c r="S40" s="56">
        <v>11144.85</v>
      </c>
      <c r="T40" s="56">
        <v>11079.64</v>
      </c>
      <c r="U40" s="56">
        <v>11250.9</v>
      </c>
      <c r="V40" s="56">
        <v>10321.01</v>
      </c>
      <c r="W40" s="56">
        <v>11352.62</v>
      </c>
      <c r="X40" s="56">
        <v>11487.51</v>
      </c>
      <c r="Y40" s="56">
        <v>10884.82</v>
      </c>
      <c r="Z40" s="56">
        <v>9916.09</v>
      </c>
      <c r="AA40" s="56">
        <v>8850.98</v>
      </c>
      <c r="AB40" s="56">
        <v>7686.38</v>
      </c>
      <c r="AC40" s="67"/>
    </row>
    <row r="41" spans="2:29" ht="12.5" x14ac:dyDescent="0.25">
      <c r="B41" s="65" t="s">
        <v>40</v>
      </c>
      <c r="C41" s="4" t="s">
        <v>31</v>
      </c>
      <c r="D41" s="5">
        <v>5</v>
      </c>
      <c r="E41" s="56">
        <v>6220.75</v>
      </c>
      <c r="F41" s="56">
        <v>5769.43</v>
      </c>
      <c r="G41" s="56">
        <v>5445.81</v>
      </c>
      <c r="H41" s="56">
        <v>5311.9</v>
      </c>
      <c r="I41" s="56">
        <v>5174.87</v>
      </c>
      <c r="J41" s="56">
        <v>5109.21</v>
      </c>
      <c r="K41" s="56">
        <v>5373.47</v>
      </c>
      <c r="L41" s="56">
        <v>8170.89</v>
      </c>
      <c r="M41" s="56">
        <v>8765.73</v>
      </c>
      <c r="N41" s="56">
        <v>9224.2099999999991</v>
      </c>
      <c r="O41" s="56">
        <v>9686.49</v>
      </c>
      <c r="P41" s="56">
        <v>10181.06</v>
      </c>
      <c r="Q41" s="56">
        <v>10529.81</v>
      </c>
      <c r="R41" s="56">
        <v>10490.79</v>
      </c>
      <c r="S41" s="56">
        <v>10247.469999999999</v>
      </c>
      <c r="T41" s="56">
        <v>10112.200000000001</v>
      </c>
      <c r="U41" s="56">
        <v>10150.23</v>
      </c>
      <c r="V41" s="56">
        <v>9637.64</v>
      </c>
      <c r="W41" s="56">
        <v>10632.53</v>
      </c>
      <c r="X41" s="56">
        <v>11111.86</v>
      </c>
      <c r="Y41" s="56">
        <v>10506.11</v>
      </c>
      <c r="Z41" s="56">
        <v>9623.98</v>
      </c>
      <c r="AA41" s="56">
        <v>8144.56</v>
      </c>
      <c r="AB41" s="56">
        <v>7005.14</v>
      </c>
      <c r="AC41" s="67"/>
    </row>
    <row r="42" spans="2:29" ht="12.5" x14ac:dyDescent="0.25">
      <c r="B42" s="65" t="s">
        <v>40</v>
      </c>
      <c r="C42" s="4" t="s">
        <v>32</v>
      </c>
      <c r="D42" s="5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68"/>
    </row>
    <row r="43" spans="2:29" ht="12.5" x14ac:dyDescent="0.25">
      <c r="B43" s="65" t="s">
        <v>41</v>
      </c>
      <c r="C43" s="4" t="s">
        <v>29</v>
      </c>
      <c r="D43" s="5">
        <v>22</v>
      </c>
      <c r="E43" s="56">
        <v>5826.71</v>
      </c>
      <c r="F43" s="56">
        <v>5470.19</v>
      </c>
      <c r="G43" s="56">
        <v>5324.61</v>
      </c>
      <c r="H43" s="56">
        <v>5291.97</v>
      </c>
      <c r="I43" s="56">
        <v>5761.68</v>
      </c>
      <c r="J43" s="56">
        <v>7103.89</v>
      </c>
      <c r="K43" s="56">
        <v>8093.24</v>
      </c>
      <c r="L43" s="56">
        <v>10547.18</v>
      </c>
      <c r="M43" s="56">
        <v>10521.09</v>
      </c>
      <c r="N43" s="56">
        <v>10694.92</v>
      </c>
      <c r="O43" s="56">
        <v>11129.07</v>
      </c>
      <c r="P43" s="56">
        <v>11717.71</v>
      </c>
      <c r="Q43" s="56">
        <v>11515.02</v>
      </c>
      <c r="R43" s="56">
        <v>11462.96</v>
      </c>
      <c r="S43" s="56">
        <v>11705.57</v>
      </c>
      <c r="T43" s="56">
        <v>11836.42</v>
      </c>
      <c r="U43" s="56">
        <v>11882.68</v>
      </c>
      <c r="V43" s="56">
        <v>11124.3</v>
      </c>
      <c r="W43" s="56">
        <v>12259.93</v>
      </c>
      <c r="X43" s="56">
        <v>12210.28</v>
      </c>
      <c r="Y43" s="56">
        <v>11555.79</v>
      </c>
      <c r="Z43" s="56">
        <v>10568.43</v>
      </c>
      <c r="AA43" s="56">
        <v>8908.06</v>
      </c>
      <c r="AB43" s="56">
        <v>7544.35</v>
      </c>
      <c r="AC43" s="66">
        <f>+SUM(E43:AB43)*D43+SUM(E44:AB44)*D44+SUM(E45:AB45)*D45+SUM(E46:AB46)*D46</f>
        <v>6990612.0499999998</v>
      </c>
    </row>
    <row r="44" spans="2:29" ht="12.5" x14ac:dyDescent="0.25">
      <c r="B44" s="65" t="s">
        <v>41</v>
      </c>
      <c r="C44" s="4" t="s">
        <v>30</v>
      </c>
      <c r="D44" s="5">
        <v>4</v>
      </c>
      <c r="E44" s="56">
        <v>6130.37</v>
      </c>
      <c r="F44" s="56">
        <v>5695.92</v>
      </c>
      <c r="G44" s="56">
        <v>5477.19</v>
      </c>
      <c r="H44" s="56">
        <v>5367.95</v>
      </c>
      <c r="I44" s="56">
        <v>5479.05</v>
      </c>
      <c r="J44" s="56">
        <v>5814.92</v>
      </c>
      <c r="K44" s="56">
        <v>6515.93</v>
      </c>
      <c r="L44" s="56">
        <v>9830.48</v>
      </c>
      <c r="M44" s="56">
        <v>10379.030000000001</v>
      </c>
      <c r="N44" s="56">
        <v>10798.64</v>
      </c>
      <c r="O44" s="56">
        <v>11098.96</v>
      </c>
      <c r="P44" s="56">
        <v>11518.8</v>
      </c>
      <c r="Q44" s="56">
        <v>11655.06</v>
      </c>
      <c r="R44" s="56">
        <v>11422.38</v>
      </c>
      <c r="S44" s="56">
        <v>11377.84</v>
      </c>
      <c r="T44" s="56">
        <v>11287.78</v>
      </c>
      <c r="U44" s="56">
        <v>11374.93</v>
      </c>
      <c r="V44" s="56">
        <v>10656.4</v>
      </c>
      <c r="W44" s="56">
        <v>11873.6</v>
      </c>
      <c r="X44" s="56">
        <v>11826.3</v>
      </c>
      <c r="Y44" s="56">
        <v>11218.15</v>
      </c>
      <c r="Z44" s="56">
        <v>10314.75</v>
      </c>
      <c r="AA44" s="56">
        <v>9148.02</v>
      </c>
      <c r="AB44" s="56">
        <v>7981.57</v>
      </c>
      <c r="AC44" s="67"/>
    </row>
    <row r="45" spans="2:29" ht="12.5" x14ac:dyDescent="0.25">
      <c r="B45" s="65" t="s">
        <v>41</v>
      </c>
      <c r="C45" s="4" t="s">
        <v>31</v>
      </c>
      <c r="D45" s="5">
        <v>4</v>
      </c>
      <c r="E45" s="56">
        <v>6320.13</v>
      </c>
      <c r="F45" s="56">
        <v>5796.48</v>
      </c>
      <c r="G45" s="56">
        <v>5473.43</v>
      </c>
      <c r="H45" s="56">
        <v>5325.94</v>
      </c>
      <c r="I45" s="56">
        <v>5342.51</v>
      </c>
      <c r="J45" s="56">
        <v>5235.41</v>
      </c>
      <c r="K45" s="56">
        <v>5381.57</v>
      </c>
      <c r="L45" s="56">
        <v>7978.14</v>
      </c>
      <c r="M45" s="56">
        <v>8763.73</v>
      </c>
      <c r="N45" s="56">
        <v>9315.2999999999993</v>
      </c>
      <c r="O45" s="56">
        <v>9878.93</v>
      </c>
      <c r="P45" s="56">
        <v>10370.65</v>
      </c>
      <c r="Q45" s="56">
        <v>10627.75</v>
      </c>
      <c r="R45" s="56">
        <v>10552.33</v>
      </c>
      <c r="S45" s="56">
        <v>10216.64</v>
      </c>
      <c r="T45" s="56">
        <v>10248.64</v>
      </c>
      <c r="U45" s="56">
        <v>10285.11</v>
      </c>
      <c r="V45" s="56">
        <v>9898.16</v>
      </c>
      <c r="W45" s="56">
        <v>11208.38</v>
      </c>
      <c r="X45" s="56">
        <v>11375.17</v>
      </c>
      <c r="Y45" s="56">
        <v>10844.5</v>
      </c>
      <c r="Z45" s="56">
        <v>9841.41</v>
      </c>
      <c r="AA45" s="56">
        <v>8492.25</v>
      </c>
      <c r="AB45" s="56">
        <v>7319.03</v>
      </c>
      <c r="AC45" s="67"/>
    </row>
    <row r="46" spans="2:29" ht="12.5" x14ac:dyDescent="0.25">
      <c r="B46" s="65" t="s">
        <v>41</v>
      </c>
      <c r="C46" s="4" t="s">
        <v>32</v>
      </c>
      <c r="D46" s="5">
        <v>1</v>
      </c>
      <c r="E46" s="56">
        <v>5884.24</v>
      </c>
      <c r="F46" s="56">
        <v>5488.52</v>
      </c>
      <c r="G46" s="56">
        <v>5261.12</v>
      </c>
      <c r="H46" s="56">
        <v>5202.49</v>
      </c>
      <c r="I46" s="56">
        <v>5320.76</v>
      </c>
      <c r="J46" s="56">
        <v>5252.78</v>
      </c>
      <c r="K46" s="56">
        <v>5401.87</v>
      </c>
      <c r="L46" s="56">
        <v>8079.51</v>
      </c>
      <c r="M46" s="56">
        <v>8719.67</v>
      </c>
      <c r="N46" s="56">
        <v>9479.59</v>
      </c>
      <c r="O46" s="56">
        <v>10065.99</v>
      </c>
      <c r="P46" s="56">
        <v>10560.42</v>
      </c>
      <c r="Q46" s="56">
        <v>10995.07</v>
      </c>
      <c r="R46" s="56">
        <v>10831.81</v>
      </c>
      <c r="S46" s="56">
        <v>10606.58</v>
      </c>
      <c r="T46" s="56">
        <v>10440.86</v>
      </c>
      <c r="U46" s="56">
        <v>10536.9</v>
      </c>
      <c r="V46" s="56">
        <v>10305.280000000001</v>
      </c>
      <c r="W46" s="56">
        <v>11713.29</v>
      </c>
      <c r="X46" s="56">
        <v>11453.94</v>
      </c>
      <c r="Y46" s="56">
        <v>11021.98</v>
      </c>
      <c r="Z46" s="56">
        <v>9928.68</v>
      </c>
      <c r="AA46" s="56">
        <v>8387.49</v>
      </c>
      <c r="AB46" s="56">
        <v>7097.67</v>
      </c>
      <c r="AC46" s="68"/>
    </row>
    <row r="47" spans="2:29" ht="12.5" x14ac:dyDescent="0.25">
      <c r="B47" s="65" t="s">
        <v>42</v>
      </c>
      <c r="C47" s="4" t="s">
        <v>29</v>
      </c>
      <c r="D47" s="5">
        <v>20</v>
      </c>
      <c r="E47" s="56">
        <v>5817.51</v>
      </c>
      <c r="F47" s="56">
        <v>5465.17</v>
      </c>
      <c r="G47" s="56">
        <v>5412.66</v>
      </c>
      <c r="H47" s="56">
        <v>5364.56</v>
      </c>
      <c r="I47" s="56">
        <v>5863.3</v>
      </c>
      <c r="J47" s="56">
        <v>7229.33</v>
      </c>
      <c r="K47" s="56">
        <v>8396.25</v>
      </c>
      <c r="L47" s="56">
        <v>10858.53</v>
      </c>
      <c r="M47" s="56">
        <v>10794.39</v>
      </c>
      <c r="N47" s="56">
        <v>10909.51</v>
      </c>
      <c r="O47" s="56">
        <v>11445.33</v>
      </c>
      <c r="P47" s="56">
        <v>11924.4</v>
      </c>
      <c r="Q47" s="56">
        <v>11673.68</v>
      </c>
      <c r="R47" s="56">
        <v>11594.28</v>
      </c>
      <c r="S47" s="56">
        <v>11896.97</v>
      </c>
      <c r="T47" s="56">
        <v>12056.86</v>
      </c>
      <c r="U47" s="56">
        <v>12101.18</v>
      </c>
      <c r="V47" s="56">
        <v>11338.9</v>
      </c>
      <c r="W47" s="56">
        <v>12402.4</v>
      </c>
      <c r="X47" s="56">
        <v>12228.41</v>
      </c>
      <c r="Y47" s="56">
        <v>11666.43</v>
      </c>
      <c r="Z47" s="56">
        <v>10609.94</v>
      </c>
      <c r="AA47" s="56">
        <v>8921</v>
      </c>
      <c r="AB47" s="56">
        <v>7595.6</v>
      </c>
      <c r="AC47" s="66">
        <f>+SUM(E47:AB47)*D47+SUM(E48:AB48)*D48+SUM(E49:AB49)*D49+SUM(E50:AB50)*D50</f>
        <v>6830642.2199999988</v>
      </c>
    </row>
    <row r="48" spans="2:29" ht="12.5" x14ac:dyDescent="0.25">
      <c r="B48" s="65" t="s">
        <v>42</v>
      </c>
      <c r="C48" s="4" t="s">
        <v>30</v>
      </c>
      <c r="D48" s="5">
        <v>4</v>
      </c>
      <c r="E48" s="56">
        <v>6177.01</v>
      </c>
      <c r="F48" s="56">
        <v>5770.92</v>
      </c>
      <c r="G48" s="56">
        <v>5512.09</v>
      </c>
      <c r="H48" s="56">
        <v>5448.48</v>
      </c>
      <c r="I48" s="56">
        <v>5640.03</v>
      </c>
      <c r="J48" s="56">
        <v>5990.97</v>
      </c>
      <c r="K48" s="56">
        <v>6801.04</v>
      </c>
      <c r="L48" s="56">
        <v>10110.75</v>
      </c>
      <c r="M48" s="56">
        <v>10668.76</v>
      </c>
      <c r="N48" s="56">
        <v>10996.61</v>
      </c>
      <c r="O48" s="56">
        <v>11306.21</v>
      </c>
      <c r="P48" s="56">
        <v>11624.93</v>
      </c>
      <c r="Q48" s="56">
        <v>11633.74</v>
      </c>
      <c r="R48" s="56">
        <v>11420.48</v>
      </c>
      <c r="S48" s="56">
        <v>11271.57</v>
      </c>
      <c r="T48" s="56">
        <v>11231.91</v>
      </c>
      <c r="U48" s="56">
        <v>11332.46</v>
      </c>
      <c r="V48" s="56">
        <v>10760.43</v>
      </c>
      <c r="W48" s="56">
        <v>11945.5</v>
      </c>
      <c r="X48" s="56">
        <v>11877.49</v>
      </c>
      <c r="Y48" s="56">
        <v>11247.5</v>
      </c>
      <c r="Z48" s="56">
        <v>10284.23</v>
      </c>
      <c r="AA48" s="56">
        <v>9178.14</v>
      </c>
      <c r="AB48" s="56">
        <v>7982.94</v>
      </c>
      <c r="AC48" s="67"/>
    </row>
    <row r="49" spans="2:29" ht="12.5" x14ac:dyDescent="0.25">
      <c r="B49" s="65" t="s">
        <v>42</v>
      </c>
      <c r="C49" s="4" t="s">
        <v>31</v>
      </c>
      <c r="D49" s="5">
        <v>4</v>
      </c>
      <c r="E49" s="56">
        <v>6428.7</v>
      </c>
      <c r="F49" s="56">
        <v>6009.04</v>
      </c>
      <c r="G49" s="56">
        <v>5675.61</v>
      </c>
      <c r="H49" s="56">
        <v>5525.78</v>
      </c>
      <c r="I49" s="56">
        <v>5430.23</v>
      </c>
      <c r="J49" s="56">
        <v>5440.61</v>
      </c>
      <c r="K49" s="56">
        <v>5487.28</v>
      </c>
      <c r="L49" s="56">
        <v>8295.01</v>
      </c>
      <c r="M49" s="56">
        <v>9159.91</v>
      </c>
      <c r="N49" s="56">
        <v>9658.86</v>
      </c>
      <c r="O49" s="56">
        <v>9966.5400000000009</v>
      </c>
      <c r="P49" s="56">
        <v>10382.790000000001</v>
      </c>
      <c r="Q49" s="56">
        <v>10687.62</v>
      </c>
      <c r="R49" s="56">
        <v>10617.23</v>
      </c>
      <c r="S49" s="56">
        <v>10478.89</v>
      </c>
      <c r="T49" s="56">
        <v>10400.1</v>
      </c>
      <c r="U49" s="56">
        <v>10590.91</v>
      </c>
      <c r="V49" s="56">
        <v>9975.4500000000007</v>
      </c>
      <c r="W49" s="56">
        <v>11209.97</v>
      </c>
      <c r="X49" s="56">
        <v>11268.96</v>
      </c>
      <c r="Y49" s="56">
        <v>10749.51</v>
      </c>
      <c r="Z49" s="56">
        <v>9846.52</v>
      </c>
      <c r="AA49" s="56">
        <v>8446.9500000000007</v>
      </c>
      <c r="AB49" s="56">
        <v>7324.84</v>
      </c>
      <c r="AC49" s="67"/>
    </row>
    <row r="50" spans="2:29" ht="12.5" x14ac:dyDescent="0.25">
      <c r="B50" s="65" t="s">
        <v>42</v>
      </c>
      <c r="C50" s="4" t="s">
        <v>32</v>
      </c>
      <c r="D50" s="5">
        <v>2</v>
      </c>
      <c r="E50" s="56">
        <v>5976.98</v>
      </c>
      <c r="F50" s="56">
        <v>5570.12</v>
      </c>
      <c r="G50" s="56">
        <v>5394.65</v>
      </c>
      <c r="H50" s="56">
        <v>5226.9799999999996</v>
      </c>
      <c r="I50" s="56">
        <v>5252.39</v>
      </c>
      <c r="J50" s="56">
        <v>5360.63</v>
      </c>
      <c r="K50" s="56">
        <v>5470.84</v>
      </c>
      <c r="L50" s="56">
        <v>8242.2000000000007</v>
      </c>
      <c r="M50" s="56">
        <v>8854.41</v>
      </c>
      <c r="N50" s="56">
        <v>9398.64</v>
      </c>
      <c r="O50" s="56">
        <v>10083.209999999999</v>
      </c>
      <c r="P50" s="56">
        <v>10670.8</v>
      </c>
      <c r="Q50" s="56">
        <v>10904.59</v>
      </c>
      <c r="R50" s="56">
        <v>10822.02</v>
      </c>
      <c r="S50" s="56">
        <v>10710.77</v>
      </c>
      <c r="T50" s="56">
        <v>10709.47</v>
      </c>
      <c r="U50" s="56">
        <v>10936.06</v>
      </c>
      <c r="V50" s="56">
        <v>10413.25</v>
      </c>
      <c r="W50" s="56">
        <v>11587.45</v>
      </c>
      <c r="X50" s="56">
        <v>11612.53</v>
      </c>
      <c r="Y50" s="56">
        <v>10933.94</v>
      </c>
      <c r="Z50" s="56">
        <v>9716.52</v>
      </c>
      <c r="AA50" s="56">
        <v>8144</v>
      </c>
      <c r="AB50" s="56">
        <v>7119.76</v>
      </c>
      <c r="AC50" s="68"/>
    </row>
    <row r="51" spans="2:29" ht="12.5" x14ac:dyDescent="0.25">
      <c r="B51" s="65" t="s">
        <v>43</v>
      </c>
      <c r="C51" s="4" t="s">
        <v>29</v>
      </c>
      <c r="D51" s="5">
        <v>20</v>
      </c>
      <c r="E51" s="56">
        <v>6205.49</v>
      </c>
      <c r="F51" s="56">
        <v>5749.95</v>
      </c>
      <c r="G51" s="56">
        <v>5542.12</v>
      </c>
      <c r="H51" s="56">
        <v>5465.96</v>
      </c>
      <c r="I51" s="56">
        <v>5772.67</v>
      </c>
      <c r="J51" s="56">
        <v>6500.51</v>
      </c>
      <c r="K51" s="56">
        <v>7251.42</v>
      </c>
      <c r="L51" s="56">
        <v>10320.42</v>
      </c>
      <c r="M51" s="56">
        <v>10714.93</v>
      </c>
      <c r="N51" s="56">
        <v>11001.48</v>
      </c>
      <c r="O51" s="56">
        <v>11428.77</v>
      </c>
      <c r="P51" s="56">
        <v>12028.01</v>
      </c>
      <c r="Q51" s="56">
        <v>11866.57</v>
      </c>
      <c r="R51" s="56">
        <v>11528.22</v>
      </c>
      <c r="S51" s="56">
        <v>11908.06</v>
      </c>
      <c r="T51" s="56">
        <v>11976</v>
      </c>
      <c r="U51" s="56">
        <v>11981.28</v>
      </c>
      <c r="V51" s="56">
        <v>11069.36</v>
      </c>
      <c r="W51" s="56">
        <v>12413.28</v>
      </c>
      <c r="X51" s="56">
        <v>12437.74</v>
      </c>
      <c r="Y51" s="56">
        <v>11798.57</v>
      </c>
      <c r="Z51" s="56">
        <v>10813.7</v>
      </c>
      <c r="AA51" s="56">
        <v>9298.86</v>
      </c>
      <c r="AB51" s="56">
        <v>8038.18</v>
      </c>
      <c r="AC51" s="66">
        <f>+SUM(E51:AB51)*D51+SUM(E52:AB52)*D52+SUM(E53:AB53)*D53+SUM(E54:AB54)*D54</f>
        <v>7050315.3099999996</v>
      </c>
    </row>
    <row r="52" spans="2:29" ht="12.5" x14ac:dyDescent="0.25">
      <c r="B52" s="65" t="s">
        <v>43</v>
      </c>
      <c r="C52" s="4" t="s">
        <v>30</v>
      </c>
      <c r="D52" s="5">
        <v>4</v>
      </c>
      <c r="E52" s="56">
        <v>6395.11</v>
      </c>
      <c r="F52" s="56">
        <v>5942.37</v>
      </c>
      <c r="G52" s="56">
        <v>5704.4</v>
      </c>
      <c r="H52" s="56">
        <v>5515.94</v>
      </c>
      <c r="I52" s="56">
        <v>5750.99</v>
      </c>
      <c r="J52" s="56">
        <v>6096.86</v>
      </c>
      <c r="K52" s="56">
        <v>6679.08</v>
      </c>
      <c r="L52" s="56">
        <v>9944.52</v>
      </c>
      <c r="M52" s="56">
        <v>10572.94</v>
      </c>
      <c r="N52" s="56">
        <v>10954.85</v>
      </c>
      <c r="O52" s="56">
        <v>11270.03</v>
      </c>
      <c r="P52" s="56">
        <v>11632.91</v>
      </c>
      <c r="Q52" s="56">
        <v>11639.76</v>
      </c>
      <c r="R52" s="56">
        <v>11458.41</v>
      </c>
      <c r="S52" s="56">
        <v>11434.04</v>
      </c>
      <c r="T52" s="56">
        <v>11297.65</v>
      </c>
      <c r="U52" s="56">
        <v>11390.66</v>
      </c>
      <c r="V52" s="56">
        <v>10477.280000000001</v>
      </c>
      <c r="W52" s="56">
        <v>12031.66</v>
      </c>
      <c r="X52" s="56">
        <v>12136.45</v>
      </c>
      <c r="Y52" s="56">
        <v>11608.13</v>
      </c>
      <c r="Z52" s="56">
        <v>10767.2</v>
      </c>
      <c r="AA52" s="56">
        <v>9548.83</v>
      </c>
      <c r="AB52" s="56">
        <v>8410.8700000000008</v>
      </c>
      <c r="AC52" s="67"/>
    </row>
    <row r="53" spans="2:29" ht="12.5" x14ac:dyDescent="0.25">
      <c r="B53" s="65" t="s">
        <v>43</v>
      </c>
      <c r="C53" s="4" t="s">
        <v>31</v>
      </c>
      <c r="D53" s="5">
        <v>5</v>
      </c>
      <c r="E53" s="56">
        <v>6735.79</v>
      </c>
      <c r="F53" s="56">
        <v>6179.11</v>
      </c>
      <c r="G53" s="56">
        <v>5811.53</v>
      </c>
      <c r="H53" s="56">
        <v>5640.85</v>
      </c>
      <c r="I53" s="56">
        <v>5532.83</v>
      </c>
      <c r="J53" s="56">
        <v>5583.47</v>
      </c>
      <c r="K53" s="56">
        <v>5654.6</v>
      </c>
      <c r="L53" s="56">
        <v>8705.65</v>
      </c>
      <c r="M53" s="56">
        <v>9580.35</v>
      </c>
      <c r="N53" s="56">
        <v>9973.06</v>
      </c>
      <c r="O53" s="56">
        <v>10410.73</v>
      </c>
      <c r="P53" s="56">
        <v>10884.79</v>
      </c>
      <c r="Q53" s="56">
        <v>11196.27</v>
      </c>
      <c r="R53" s="56">
        <v>10897.78</v>
      </c>
      <c r="S53" s="56">
        <v>10438.799999999999</v>
      </c>
      <c r="T53" s="56">
        <v>10609.83</v>
      </c>
      <c r="U53" s="56">
        <v>10621.86</v>
      </c>
      <c r="V53" s="56">
        <v>10047.35</v>
      </c>
      <c r="W53" s="56">
        <v>11258.73</v>
      </c>
      <c r="X53" s="56">
        <v>11359.96</v>
      </c>
      <c r="Y53" s="56">
        <v>10956.52</v>
      </c>
      <c r="Z53" s="56">
        <v>10306.26</v>
      </c>
      <c r="AA53" s="56">
        <v>9007.18</v>
      </c>
      <c r="AB53" s="56">
        <v>7949.75</v>
      </c>
      <c r="AC53" s="67"/>
    </row>
    <row r="54" spans="2:29" ht="12.5" x14ac:dyDescent="0.25">
      <c r="B54" s="65" t="s">
        <v>43</v>
      </c>
      <c r="C54" s="4" t="s">
        <v>32</v>
      </c>
      <c r="D54" s="5">
        <v>2</v>
      </c>
      <c r="E54" s="56">
        <v>6647.92</v>
      </c>
      <c r="F54" s="56">
        <v>6232.17</v>
      </c>
      <c r="G54" s="56">
        <v>5855.56</v>
      </c>
      <c r="H54" s="56">
        <v>5633.07</v>
      </c>
      <c r="I54" s="56">
        <v>5386.79</v>
      </c>
      <c r="J54" s="56">
        <v>5251.58</v>
      </c>
      <c r="K54" s="56">
        <v>5103.87</v>
      </c>
      <c r="L54" s="56">
        <v>7412.05</v>
      </c>
      <c r="M54" s="56">
        <v>7832.18</v>
      </c>
      <c r="N54" s="56">
        <v>8303.0400000000009</v>
      </c>
      <c r="O54" s="56">
        <v>8975.31</v>
      </c>
      <c r="P54" s="56">
        <v>9579.42</v>
      </c>
      <c r="Q54" s="56">
        <v>10052.76</v>
      </c>
      <c r="R54" s="56">
        <v>10149.549999999999</v>
      </c>
      <c r="S54" s="56">
        <v>9860.41</v>
      </c>
      <c r="T54" s="56">
        <v>9912.4699999999993</v>
      </c>
      <c r="U54" s="56">
        <v>9994.7800000000007</v>
      </c>
      <c r="V54" s="56">
        <v>9543.98</v>
      </c>
      <c r="W54" s="56">
        <v>10616.21</v>
      </c>
      <c r="X54" s="56">
        <v>10840.77</v>
      </c>
      <c r="Y54" s="56">
        <v>10291.17</v>
      </c>
      <c r="Z54" s="56">
        <v>9529.26</v>
      </c>
      <c r="AA54" s="56">
        <v>8255.93</v>
      </c>
      <c r="AB54" s="56">
        <v>7102.4</v>
      </c>
      <c r="AC54" s="68"/>
    </row>
    <row r="55" spans="2:29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69" t="s">
        <v>46</v>
      </c>
      <c r="AA55" s="69"/>
      <c r="AB55" s="69"/>
      <c r="AC55" s="14">
        <f>SUM(AC7:AC54)</f>
        <v>81734923.900000006</v>
      </c>
    </row>
    <row r="61" spans="2:29" x14ac:dyDescent="0.25">
      <c r="G61" s="6">
        <v>1000</v>
      </c>
    </row>
  </sheetData>
  <mergeCells count="29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  <mergeCell ref="B5:A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D6EF-F766-428E-AB1F-E1914DC5CA5D}">
  <dimension ref="B2:AE61"/>
  <sheetViews>
    <sheetView showGridLines="0" zoomScale="50" zoomScaleNormal="50" workbookViewId="0">
      <selection activeCell="G10" sqref="G10"/>
    </sheetView>
  </sheetViews>
  <sheetFormatPr baseColWidth="10" defaultColWidth="11.453125" defaultRowHeight="11.5" x14ac:dyDescent="0.25"/>
  <cols>
    <col min="1" max="1" width="3" style="6" customWidth="1"/>
    <col min="2" max="2" width="5.26953125" style="6" bestFit="1" customWidth="1"/>
    <col min="3" max="3" width="9.7265625" style="6" bestFit="1" customWidth="1"/>
    <col min="4" max="4" width="5.54296875" style="6" bestFit="1" customWidth="1"/>
    <col min="5" max="5" width="10.08984375" style="6" bestFit="1" customWidth="1"/>
    <col min="6" max="6" width="9.90625" style="6" bestFit="1" customWidth="1"/>
    <col min="7" max="11" width="10.08984375" style="6" bestFit="1" customWidth="1"/>
    <col min="12" max="12" width="10.6328125" style="6" bestFit="1" customWidth="1"/>
    <col min="13" max="13" width="10.36328125" style="6" bestFit="1" customWidth="1"/>
    <col min="14" max="25" width="10.7265625" style="6" bestFit="1" customWidth="1"/>
    <col min="26" max="26" width="10.6328125" style="6" bestFit="1" customWidth="1"/>
    <col min="27" max="27" width="10.36328125" style="6" bestFit="1" customWidth="1"/>
    <col min="28" max="28" width="10.08984375" style="6" bestFit="1" customWidth="1"/>
    <col min="29" max="29" width="17.26953125" style="52" customWidth="1"/>
    <col min="30" max="30" width="2.81640625" style="6" customWidth="1"/>
    <col min="31" max="31" width="14.7265625" style="6" bestFit="1" customWidth="1"/>
    <col min="32" max="148" width="11.453125" style="6"/>
    <col min="149" max="149" width="7" style="6" customWidth="1"/>
    <col min="150" max="150" width="10.7265625" style="6" customWidth="1"/>
    <col min="151" max="151" width="9.26953125" style="6" customWidth="1"/>
    <col min="152" max="175" width="7.26953125" style="6" customWidth="1"/>
    <col min="176" max="176" width="11.26953125" style="6" bestFit="1" customWidth="1"/>
    <col min="177" max="404" width="11.453125" style="6"/>
    <col min="405" max="405" width="7" style="6" customWidth="1"/>
    <col min="406" max="406" width="10.7265625" style="6" customWidth="1"/>
    <col min="407" max="407" width="9.26953125" style="6" customWidth="1"/>
    <col min="408" max="431" width="7.26953125" style="6" customWidth="1"/>
    <col min="432" max="432" width="11.26953125" style="6" bestFit="1" customWidth="1"/>
    <col min="433" max="660" width="11.453125" style="6"/>
    <col min="661" max="661" width="7" style="6" customWidth="1"/>
    <col min="662" max="662" width="10.7265625" style="6" customWidth="1"/>
    <col min="663" max="663" width="9.26953125" style="6" customWidth="1"/>
    <col min="664" max="687" width="7.26953125" style="6" customWidth="1"/>
    <col min="688" max="688" width="11.26953125" style="6" bestFit="1" customWidth="1"/>
    <col min="689" max="916" width="11.453125" style="6"/>
    <col min="917" max="917" width="7" style="6" customWidth="1"/>
    <col min="918" max="918" width="10.7265625" style="6" customWidth="1"/>
    <col min="919" max="919" width="9.26953125" style="6" customWidth="1"/>
    <col min="920" max="943" width="7.26953125" style="6" customWidth="1"/>
    <col min="944" max="944" width="11.26953125" style="6" bestFit="1" customWidth="1"/>
    <col min="945" max="1172" width="11.453125" style="6"/>
    <col min="1173" max="1173" width="7" style="6" customWidth="1"/>
    <col min="1174" max="1174" width="10.7265625" style="6" customWidth="1"/>
    <col min="1175" max="1175" width="9.26953125" style="6" customWidth="1"/>
    <col min="1176" max="1199" width="7.26953125" style="6" customWidth="1"/>
    <col min="1200" max="1200" width="11.26953125" style="6" bestFit="1" customWidth="1"/>
    <col min="1201" max="1428" width="11.453125" style="6"/>
    <col min="1429" max="1429" width="7" style="6" customWidth="1"/>
    <col min="1430" max="1430" width="10.7265625" style="6" customWidth="1"/>
    <col min="1431" max="1431" width="9.26953125" style="6" customWidth="1"/>
    <col min="1432" max="1455" width="7.26953125" style="6" customWidth="1"/>
    <col min="1456" max="1456" width="11.26953125" style="6" bestFit="1" customWidth="1"/>
    <col min="1457" max="1684" width="11.453125" style="6"/>
    <col min="1685" max="1685" width="7" style="6" customWidth="1"/>
    <col min="1686" max="1686" width="10.7265625" style="6" customWidth="1"/>
    <col min="1687" max="1687" width="9.26953125" style="6" customWidth="1"/>
    <col min="1688" max="1711" width="7.26953125" style="6" customWidth="1"/>
    <col min="1712" max="1712" width="11.26953125" style="6" bestFit="1" customWidth="1"/>
    <col min="1713" max="1940" width="11.453125" style="6"/>
    <col min="1941" max="1941" width="7" style="6" customWidth="1"/>
    <col min="1942" max="1942" width="10.7265625" style="6" customWidth="1"/>
    <col min="1943" max="1943" width="9.26953125" style="6" customWidth="1"/>
    <col min="1944" max="1967" width="7.26953125" style="6" customWidth="1"/>
    <col min="1968" max="1968" width="11.26953125" style="6" bestFit="1" customWidth="1"/>
    <col min="1969" max="2196" width="11.453125" style="6"/>
    <col min="2197" max="2197" width="7" style="6" customWidth="1"/>
    <col min="2198" max="2198" width="10.7265625" style="6" customWidth="1"/>
    <col min="2199" max="2199" width="9.26953125" style="6" customWidth="1"/>
    <col min="2200" max="2223" width="7.26953125" style="6" customWidth="1"/>
    <col min="2224" max="2224" width="11.26953125" style="6" bestFit="1" customWidth="1"/>
    <col min="2225" max="2452" width="11.453125" style="6"/>
    <col min="2453" max="2453" width="7" style="6" customWidth="1"/>
    <col min="2454" max="2454" width="10.7265625" style="6" customWidth="1"/>
    <col min="2455" max="2455" width="9.26953125" style="6" customWidth="1"/>
    <col min="2456" max="2479" width="7.26953125" style="6" customWidth="1"/>
    <col min="2480" max="2480" width="11.26953125" style="6" bestFit="1" customWidth="1"/>
    <col min="2481" max="2708" width="11.453125" style="6"/>
    <col min="2709" max="2709" width="7" style="6" customWidth="1"/>
    <col min="2710" max="2710" width="10.7265625" style="6" customWidth="1"/>
    <col min="2711" max="2711" width="9.26953125" style="6" customWidth="1"/>
    <col min="2712" max="2735" width="7.26953125" style="6" customWidth="1"/>
    <col min="2736" max="2736" width="11.26953125" style="6" bestFit="1" customWidth="1"/>
    <col min="2737" max="2964" width="11.453125" style="6"/>
    <col min="2965" max="2965" width="7" style="6" customWidth="1"/>
    <col min="2966" max="2966" width="10.7265625" style="6" customWidth="1"/>
    <col min="2967" max="2967" width="9.26953125" style="6" customWidth="1"/>
    <col min="2968" max="2991" width="7.26953125" style="6" customWidth="1"/>
    <col min="2992" max="2992" width="11.26953125" style="6" bestFit="1" customWidth="1"/>
    <col min="2993" max="3220" width="11.453125" style="6"/>
    <col min="3221" max="3221" width="7" style="6" customWidth="1"/>
    <col min="3222" max="3222" width="10.7265625" style="6" customWidth="1"/>
    <col min="3223" max="3223" width="9.26953125" style="6" customWidth="1"/>
    <col min="3224" max="3247" width="7.26953125" style="6" customWidth="1"/>
    <col min="3248" max="3248" width="11.26953125" style="6" bestFit="1" customWidth="1"/>
    <col min="3249" max="3476" width="11.453125" style="6"/>
    <col min="3477" max="3477" width="7" style="6" customWidth="1"/>
    <col min="3478" max="3478" width="10.7265625" style="6" customWidth="1"/>
    <col min="3479" max="3479" width="9.26953125" style="6" customWidth="1"/>
    <col min="3480" max="3503" width="7.26953125" style="6" customWidth="1"/>
    <col min="3504" max="3504" width="11.26953125" style="6" bestFit="1" customWidth="1"/>
    <col min="3505" max="3732" width="11.453125" style="6"/>
    <col min="3733" max="3733" width="7" style="6" customWidth="1"/>
    <col min="3734" max="3734" width="10.7265625" style="6" customWidth="1"/>
    <col min="3735" max="3735" width="9.26953125" style="6" customWidth="1"/>
    <col min="3736" max="3759" width="7.26953125" style="6" customWidth="1"/>
    <col min="3760" max="3760" width="11.26953125" style="6" bestFit="1" customWidth="1"/>
    <col min="3761" max="3988" width="11.453125" style="6"/>
    <col min="3989" max="3989" width="7" style="6" customWidth="1"/>
    <col min="3990" max="3990" width="10.7265625" style="6" customWidth="1"/>
    <col min="3991" max="3991" width="9.26953125" style="6" customWidth="1"/>
    <col min="3992" max="4015" width="7.26953125" style="6" customWidth="1"/>
    <col min="4016" max="4016" width="11.26953125" style="6" bestFit="1" customWidth="1"/>
    <col min="4017" max="4244" width="11.453125" style="6"/>
    <col min="4245" max="4245" width="7" style="6" customWidth="1"/>
    <col min="4246" max="4246" width="10.7265625" style="6" customWidth="1"/>
    <col min="4247" max="4247" width="9.26953125" style="6" customWidth="1"/>
    <col min="4248" max="4271" width="7.26953125" style="6" customWidth="1"/>
    <col min="4272" max="4272" width="11.26953125" style="6" bestFit="1" customWidth="1"/>
    <col min="4273" max="4500" width="11.453125" style="6"/>
    <col min="4501" max="4501" width="7" style="6" customWidth="1"/>
    <col min="4502" max="4502" width="10.7265625" style="6" customWidth="1"/>
    <col min="4503" max="4503" width="9.26953125" style="6" customWidth="1"/>
    <col min="4504" max="4527" width="7.26953125" style="6" customWidth="1"/>
    <col min="4528" max="4528" width="11.26953125" style="6" bestFit="1" customWidth="1"/>
    <col min="4529" max="4756" width="11.453125" style="6"/>
    <col min="4757" max="4757" width="7" style="6" customWidth="1"/>
    <col min="4758" max="4758" width="10.7265625" style="6" customWidth="1"/>
    <col min="4759" max="4759" width="9.26953125" style="6" customWidth="1"/>
    <col min="4760" max="4783" width="7.26953125" style="6" customWidth="1"/>
    <col min="4784" max="4784" width="11.26953125" style="6" bestFit="1" customWidth="1"/>
    <col min="4785" max="5012" width="11.453125" style="6"/>
    <col min="5013" max="5013" width="7" style="6" customWidth="1"/>
    <col min="5014" max="5014" width="10.7265625" style="6" customWidth="1"/>
    <col min="5015" max="5015" width="9.26953125" style="6" customWidth="1"/>
    <col min="5016" max="5039" width="7.26953125" style="6" customWidth="1"/>
    <col min="5040" max="5040" width="11.26953125" style="6" bestFit="1" customWidth="1"/>
    <col min="5041" max="5268" width="11.453125" style="6"/>
    <col min="5269" max="5269" width="7" style="6" customWidth="1"/>
    <col min="5270" max="5270" width="10.7265625" style="6" customWidth="1"/>
    <col min="5271" max="5271" width="9.26953125" style="6" customWidth="1"/>
    <col min="5272" max="5295" width="7.26953125" style="6" customWidth="1"/>
    <col min="5296" max="5296" width="11.26953125" style="6" bestFit="1" customWidth="1"/>
    <col min="5297" max="5524" width="11.453125" style="6"/>
    <col min="5525" max="5525" width="7" style="6" customWidth="1"/>
    <col min="5526" max="5526" width="10.7265625" style="6" customWidth="1"/>
    <col min="5527" max="5527" width="9.26953125" style="6" customWidth="1"/>
    <col min="5528" max="5551" width="7.26953125" style="6" customWidth="1"/>
    <col min="5552" max="5552" width="11.26953125" style="6" bestFit="1" customWidth="1"/>
    <col min="5553" max="5780" width="11.453125" style="6"/>
    <col min="5781" max="5781" width="7" style="6" customWidth="1"/>
    <col min="5782" max="5782" width="10.7265625" style="6" customWidth="1"/>
    <col min="5783" max="5783" width="9.26953125" style="6" customWidth="1"/>
    <col min="5784" max="5807" width="7.26953125" style="6" customWidth="1"/>
    <col min="5808" max="5808" width="11.26953125" style="6" bestFit="1" customWidth="1"/>
    <col min="5809" max="6036" width="11.453125" style="6"/>
    <col min="6037" max="6037" width="7" style="6" customWidth="1"/>
    <col min="6038" max="6038" width="10.7265625" style="6" customWidth="1"/>
    <col min="6039" max="6039" width="9.26953125" style="6" customWidth="1"/>
    <col min="6040" max="6063" width="7.26953125" style="6" customWidth="1"/>
    <col min="6064" max="6064" width="11.26953125" style="6" bestFit="1" customWidth="1"/>
    <col min="6065" max="6292" width="11.453125" style="6"/>
    <col min="6293" max="6293" width="7" style="6" customWidth="1"/>
    <col min="6294" max="6294" width="10.7265625" style="6" customWidth="1"/>
    <col min="6295" max="6295" width="9.26953125" style="6" customWidth="1"/>
    <col min="6296" max="6319" width="7.26953125" style="6" customWidth="1"/>
    <col min="6320" max="6320" width="11.26953125" style="6" bestFit="1" customWidth="1"/>
    <col min="6321" max="6548" width="11.453125" style="6"/>
    <col min="6549" max="6549" width="7" style="6" customWidth="1"/>
    <col min="6550" max="6550" width="10.7265625" style="6" customWidth="1"/>
    <col min="6551" max="6551" width="9.26953125" style="6" customWidth="1"/>
    <col min="6552" max="6575" width="7.26953125" style="6" customWidth="1"/>
    <col min="6576" max="6576" width="11.26953125" style="6" bestFit="1" customWidth="1"/>
    <col min="6577" max="6804" width="11.453125" style="6"/>
    <col min="6805" max="6805" width="7" style="6" customWidth="1"/>
    <col min="6806" max="6806" width="10.7265625" style="6" customWidth="1"/>
    <col min="6807" max="6807" width="9.26953125" style="6" customWidth="1"/>
    <col min="6808" max="6831" width="7.26953125" style="6" customWidth="1"/>
    <col min="6832" max="6832" width="11.26953125" style="6" bestFit="1" customWidth="1"/>
    <col min="6833" max="7060" width="11.453125" style="6"/>
    <col min="7061" max="7061" width="7" style="6" customWidth="1"/>
    <col min="7062" max="7062" width="10.7265625" style="6" customWidth="1"/>
    <col min="7063" max="7063" width="9.26953125" style="6" customWidth="1"/>
    <col min="7064" max="7087" width="7.26953125" style="6" customWidth="1"/>
    <col min="7088" max="7088" width="11.26953125" style="6" bestFit="1" customWidth="1"/>
    <col min="7089" max="7316" width="11.453125" style="6"/>
    <col min="7317" max="7317" width="7" style="6" customWidth="1"/>
    <col min="7318" max="7318" width="10.7265625" style="6" customWidth="1"/>
    <col min="7319" max="7319" width="9.26953125" style="6" customWidth="1"/>
    <col min="7320" max="7343" width="7.26953125" style="6" customWidth="1"/>
    <col min="7344" max="7344" width="11.26953125" style="6" bestFit="1" customWidth="1"/>
    <col min="7345" max="7572" width="11.453125" style="6"/>
    <col min="7573" max="7573" width="7" style="6" customWidth="1"/>
    <col min="7574" max="7574" width="10.7265625" style="6" customWidth="1"/>
    <col min="7575" max="7575" width="9.26953125" style="6" customWidth="1"/>
    <col min="7576" max="7599" width="7.26953125" style="6" customWidth="1"/>
    <col min="7600" max="7600" width="11.26953125" style="6" bestFit="1" customWidth="1"/>
    <col min="7601" max="7828" width="11.453125" style="6"/>
    <col min="7829" max="7829" width="7" style="6" customWidth="1"/>
    <col min="7830" max="7830" width="10.7265625" style="6" customWidth="1"/>
    <col min="7831" max="7831" width="9.26953125" style="6" customWidth="1"/>
    <col min="7832" max="7855" width="7.26953125" style="6" customWidth="1"/>
    <col min="7856" max="7856" width="11.26953125" style="6" bestFit="1" customWidth="1"/>
    <col min="7857" max="8084" width="11.453125" style="6"/>
    <col min="8085" max="8085" width="7" style="6" customWidth="1"/>
    <col min="8086" max="8086" width="10.7265625" style="6" customWidth="1"/>
    <col min="8087" max="8087" width="9.26953125" style="6" customWidth="1"/>
    <col min="8088" max="8111" width="7.26953125" style="6" customWidth="1"/>
    <col min="8112" max="8112" width="11.26953125" style="6" bestFit="1" customWidth="1"/>
    <col min="8113" max="8340" width="11.453125" style="6"/>
    <col min="8341" max="8341" width="7" style="6" customWidth="1"/>
    <col min="8342" max="8342" width="10.7265625" style="6" customWidth="1"/>
    <col min="8343" max="8343" width="9.26953125" style="6" customWidth="1"/>
    <col min="8344" max="8367" width="7.26953125" style="6" customWidth="1"/>
    <col min="8368" max="8368" width="11.26953125" style="6" bestFit="1" customWidth="1"/>
    <col min="8369" max="8596" width="11.453125" style="6"/>
    <col min="8597" max="8597" width="7" style="6" customWidth="1"/>
    <col min="8598" max="8598" width="10.7265625" style="6" customWidth="1"/>
    <col min="8599" max="8599" width="9.26953125" style="6" customWidth="1"/>
    <col min="8600" max="8623" width="7.26953125" style="6" customWidth="1"/>
    <col min="8624" max="8624" width="11.26953125" style="6" bestFit="1" customWidth="1"/>
    <col min="8625" max="8852" width="11.453125" style="6"/>
    <col min="8853" max="8853" width="7" style="6" customWidth="1"/>
    <col min="8854" max="8854" width="10.7265625" style="6" customWidth="1"/>
    <col min="8855" max="8855" width="9.26953125" style="6" customWidth="1"/>
    <col min="8856" max="8879" width="7.26953125" style="6" customWidth="1"/>
    <col min="8880" max="8880" width="11.26953125" style="6" bestFit="1" customWidth="1"/>
    <col min="8881" max="9108" width="11.453125" style="6"/>
    <col min="9109" max="9109" width="7" style="6" customWidth="1"/>
    <col min="9110" max="9110" width="10.7265625" style="6" customWidth="1"/>
    <col min="9111" max="9111" width="9.26953125" style="6" customWidth="1"/>
    <col min="9112" max="9135" width="7.26953125" style="6" customWidth="1"/>
    <col min="9136" max="9136" width="11.26953125" style="6" bestFit="1" customWidth="1"/>
    <col min="9137" max="9364" width="11.453125" style="6"/>
    <col min="9365" max="9365" width="7" style="6" customWidth="1"/>
    <col min="9366" max="9366" width="10.7265625" style="6" customWidth="1"/>
    <col min="9367" max="9367" width="9.26953125" style="6" customWidth="1"/>
    <col min="9368" max="9391" width="7.26953125" style="6" customWidth="1"/>
    <col min="9392" max="9392" width="11.26953125" style="6" bestFit="1" customWidth="1"/>
    <col min="9393" max="9620" width="11.453125" style="6"/>
    <col min="9621" max="9621" width="7" style="6" customWidth="1"/>
    <col min="9622" max="9622" width="10.7265625" style="6" customWidth="1"/>
    <col min="9623" max="9623" width="9.26953125" style="6" customWidth="1"/>
    <col min="9624" max="9647" width="7.26953125" style="6" customWidth="1"/>
    <col min="9648" max="9648" width="11.26953125" style="6" bestFit="1" customWidth="1"/>
    <col min="9649" max="9876" width="11.453125" style="6"/>
    <col min="9877" max="9877" width="7" style="6" customWidth="1"/>
    <col min="9878" max="9878" width="10.7265625" style="6" customWidth="1"/>
    <col min="9879" max="9879" width="9.26953125" style="6" customWidth="1"/>
    <col min="9880" max="9903" width="7.26953125" style="6" customWidth="1"/>
    <col min="9904" max="9904" width="11.26953125" style="6" bestFit="1" customWidth="1"/>
    <col min="9905" max="10132" width="11.453125" style="6"/>
    <col min="10133" max="10133" width="7" style="6" customWidth="1"/>
    <col min="10134" max="10134" width="10.7265625" style="6" customWidth="1"/>
    <col min="10135" max="10135" width="9.26953125" style="6" customWidth="1"/>
    <col min="10136" max="10159" width="7.26953125" style="6" customWidth="1"/>
    <col min="10160" max="10160" width="11.26953125" style="6" bestFit="1" customWidth="1"/>
    <col min="10161" max="10388" width="11.453125" style="6"/>
    <col min="10389" max="10389" width="7" style="6" customWidth="1"/>
    <col min="10390" max="10390" width="10.7265625" style="6" customWidth="1"/>
    <col min="10391" max="10391" width="9.26953125" style="6" customWidth="1"/>
    <col min="10392" max="10415" width="7.26953125" style="6" customWidth="1"/>
    <col min="10416" max="10416" width="11.26953125" style="6" bestFit="1" customWidth="1"/>
    <col min="10417" max="10644" width="11.453125" style="6"/>
    <col min="10645" max="10645" width="7" style="6" customWidth="1"/>
    <col min="10646" max="10646" width="10.7265625" style="6" customWidth="1"/>
    <col min="10647" max="10647" width="9.26953125" style="6" customWidth="1"/>
    <col min="10648" max="10671" width="7.26953125" style="6" customWidth="1"/>
    <col min="10672" max="10672" width="11.26953125" style="6" bestFit="1" customWidth="1"/>
    <col min="10673" max="10900" width="11.453125" style="6"/>
    <col min="10901" max="10901" width="7" style="6" customWidth="1"/>
    <col min="10902" max="10902" width="10.7265625" style="6" customWidth="1"/>
    <col min="10903" max="10903" width="9.26953125" style="6" customWidth="1"/>
    <col min="10904" max="10927" width="7.26953125" style="6" customWidth="1"/>
    <col min="10928" max="10928" width="11.26953125" style="6" bestFit="1" customWidth="1"/>
    <col min="10929" max="11156" width="11.453125" style="6"/>
    <col min="11157" max="11157" width="7" style="6" customWidth="1"/>
    <col min="11158" max="11158" width="10.7265625" style="6" customWidth="1"/>
    <col min="11159" max="11159" width="9.26953125" style="6" customWidth="1"/>
    <col min="11160" max="11183" width="7.26953125" style="6" customWidth="1"/>
    <col min="11184" max="11184" width="11.26953125" style="6" bestFit="1" customWidth="1"/>
    <col min="11185" max="11412" width="11.453125" style="6"/>
    <col min="11413" max="11413" width="7" style="6" customWidth="1"/>
    <col min="11414" max="11414" width="10.7265625" style="6" customWidth="1"/>
    <col min="11415" max="11415" width="9.26953125" style="6" customWidth="1"/>
    <col min="11416" max="11439" width="7.26953125" style="6" customWidth="1"/>
    <col min="11440" max="11440" width="11.26953125" style="6" bestFit="1" customWidth="1"/>
    <col min="11441" max="11668" width="11.453125" style="6"/>
    <col min="11669" max="11669" width="7" style="6" customWidth="1"/>
    <col min="11670" max="11670" width="10.7265625" style="6" customWidth="1"/>
    <col min="11671" max="11671" width="9.26953125" style="6" customWidth="1"/>
    <col min="11672" max="11695" width="7.26953125" style="6" customWidth="1"/>
    <col min="11696" max="11696" width="11.26953125" style="6" bestFit="1" customWidth="1"/>
    <col min="11697" max="11924" width="11.453125" style="6"/>
    <col min="11925" max="11925" width="7" style="6" customWidth="1"/>
    <col min="11926" max="11926" width="10.7265625" style="6" customWidth="1"/>
    <col min="11927" max="11927" width="9.26953125" style="6" customWidth="1"/>
    <col min="11928" max="11951" width="7.26953125" style="6" customWidth="1"/>
    <col min="11952" max="11952" width="11.26953125" style="6" bestFit="1" customWidth="1"/>
    <col min="11953" max="12180" width="11.453125" style="6"/>
    <col min="12181" max="12181" width="7" style="6" customWidth="1"/>
    <col min="12182" max="12182" width="10.7265625" style="6" customWidth="1"/>
    <col min="12183" max="12183" width="9.26953125" style="6" customWidth="1"/>
    <col min="12184" max="12207" width="7.26953125" style="6" customWidth="1"/>
    <col min="12208" max="12208" width="11.26953125" style="6" bestFit="1" customWidth="1"/>
    <col min="12209" max="12436" width="11.453125" style="6"/>
    <col min="12437" max="12437" width="7" style="6" customWidth="1"/>
    <col min="12438" max="12438" width="10.7265625" style="6" customWidth="1"/>
    <col min="12439" max="12439" width="9.26953125" style="6" customWidth="1"/>
    <col min="12440" max="12463" width="7.26953125" style="6" customWidth="1"/>
    <col min="12464" max="12464" width="11.26953125" style="6" bestFit="1" customWidth="1"/>
    <col min="12465" max="12692" width="11.453125" style="6"/>
    <col min="12693" max="12693" width="7" style="6" customWidth="1"/>
    <col min="12694" max="12694" width="10.7265625" style="6" customWidth="1"/>
    <col min="12695" max="12695" width="9.26953125" style="6" customWidth="1"/>
    <col min="12696" max="12719" width="7.26953125" style="6" customWidth="1"/>
    <col min="12720" max="12720" width="11.26953125" style="6" bestFit="1" customWidth="1"/>
    <col min="12721" max="12948" width="11.453125" style="6"/>
    <col min="12949" max="12949" width="7" style="6" customWidth="1"/>
    <col min="12950" max="12950" width="10.7265625" style="6" customWidth="1"/>
    <col min="12951" max="12951" width="9.26953125" style="6" customWidth="1"/>
    <col min="12952" max="12975" width="7.26953125" style="6" customWidth="1"/>
    <col min="12976" max="12976" width="11.26953125" style="6" bestFit="1" customWidth="1"/>
    <col min="12977" max="13204" width="11.453125" style="6"/>
    <col min="13205" max="13205" width="7" style="6" customWidth="1"/>
    <col min="13206" max="13206" width="10.7265625" style="6" customWidth="1"/>
    <col min="13207" max="13207" width="9.26953125" style="6" customWidth="1"/>
    <col min="13208" max="13231" width="7.26953125" style="6" customWidth="1"/>
    <col min="13232" max="13232" width="11.26953125" style="6" bestFit="1" customWidth="1"/>
    <col min="13233" max="13460" width="11.453125" style="6"/>
    <col min="13461" max="13461" width="7" style="6" customWidth="1"/>
    <col min="13462" max="13462" width="10.7265625" style="6" customWidth="1"/>
    <col min="13463" max="13463" width="9.26953125" style="6" customWidth="1"/>
    <col min="13464" max="13487" width="7.26953125" style="6" customWidth="1"/>
    <col min="13488" max="13488" width="11.26953125" style="6" bestFit="1" customWidth="1"/>
    <col min="13489" max="13716" width="11.453125" style="6"/>
    <col min="13717" max="13717" width="7" style="6" customWidth="1"/>
    <col min="13718" max="13718" width="10.7265625" style="6" customWidth="1"/>
    <col min="13719" max="13719" width="9.26953125" style="6" customWidth="1"/>
    <col min="13720" max="13743" width="7.26953125" style="6" customWidth="1"/>
    <col min="13744" max="13744" width="11.26953125" style="6" bestFit="1" customWidth="1"/>
    <col min="13745" max="13972" width="11.453125" style="6"/>
    <col min="13973" max="13973" width="7" style="6" customWidth="1"/>
    <col min="13974" max="13974" width="10.7265625" style="6" customWidth="1"/>
    <col min="13975" max="13975" width="9.26953125" style="6" customWidth="1"/>
    <col min="13976" max="13999" width="7.26953125" style="6" customWidth="1"/>
    <col min="14000" max="14000" width="11.26953125" style="6" bestFit="1" customWidth="1"/>
    <col min="14001" max="14228" width="11.453125" style="6"/>
    <col min="14229" max="14229" width="7" style="6" customWidth="1"/>
    <col min="14230" max="14230" width="10.7265625" style="6" customWidth="1"/>
    <col min="14231" max="14231" width="9.26953125" style="6" customWidth="1"/>
    <col min="14232" max="14255" width="7.26953125" style="6" customWidth="1"/>
    <col min="14256" max="14256" width="11.26953125" style="6" bestFit="1" customWidth="1"/>
    <col min="14257" max="14484" width="11.453125" style="6"/>
    <col min="14485" max="14485" width="7" style="6" customWidth="1"/>
    <col min="14486" max="14486" width="10.7265625" style="6" customWidth="1"/>
    <col min="14487" max="14487" width="9.26953125" style="6" customWidth="1"/>
    <col min="14488" max="14511" width="7.26953125" style="6" customWidth="1"/>
    <col min="14512" max="14512" width="11.26953125" style="6" bestFit="1" customWidth="1"/>
    <col min="14513" max="14740" width="11.453125" style="6"/>
    <col min="14741" max="14741" width="7" style="6" customWidth="1"/>
    <col min="14742" max="14742" width="10.7265625" style="6" customWidth="1"/>
    <col min="14743" max="14743" width="9.26953125" style="6" customWidth="1"/>
    <col min="14744" max="14767" width="7.26953125" style="6" customWidth="1"/>
    <col min="14768" max="14768" width="11.26953125" style="6" bestFit="1" customWidth="1"/>
    <col min="14769" max="14996" width="11.453125" style="6"/>
    <col min="14997" max="14997" width="7" style="6" customWidth="1"/>
    <col min="14998" max="14998" width="10.7265625" style="6" customWidth="1"/>
    <col min="14999" max="14999" width="9.26953125" style="6" customWidth="1"/>
    <col min="15000" max="15023" width="7.26953125" style="6" customWidth="1"/>
    <col min="15024" max="15024" width="11.26953125" style="6" bestFit="1" customWidth="1"/>
    <col min="15025" max="15252" width="11.453125" style="6"/>
    <col min="15253" max="15253" width="7" style="6" customWidth="1"/>
    <col min="15254" max="15254" width="10.7265625" style="6" customWidth="1"/>
    <col min="15255" max="15255" width="9.26953125" style="6" customWidth="1"/>
    <col min="15256" max="15279" width="7.26953125" style="6" customWidth="1"/>
    <col min="15280" max="15280" width="11.26953125" style="6" bestFit="1" customWidth="1"/>
    <col min="15281" max="15508" width="11.453125" style="6"/>
    <col min="15509" max="15509" width="7" style="6" customWidth="1"/>
    <col min="15510" max="15510" width="10.7265625" style="6" customWidth="1"/>
    <col min="15511" max="15511" width="9.26953125" style="6" customWidth="1"/>
    <col min="15512" max="15535" width="7.26953125" style="6" customWidth="1"/>
    <col min="15536" max="15536" width="11.26953125" style="6" bestFit="1" customWidth="1"/>
    <col min="15537" max="15764" width="11.453125" style="6"/>
    <col min="15765" max="15765" width="7" style="6" customWidth="1"/>
    <col min="15766" max="15766" width="10.7265625" style="6" customWidth="1"/>
    <col min="15767" max="15767" width="9.26953125" style="6" customWidth="1"/>
    <col min="15768" max="15791" width="7.26953125" style="6" customWidth="1"/>
    <col min="15792" max="15792" width="11.26953125" style="6" bestFit="1" customWidth="1"/>
    <col min="15793" max="16020" width="11.453125" style="6"/>
    <col min="16021" max="16021" width="7" style="6" customWidth="1"/>
    <col min="16022" max="16022" width="10.7265625" style="6" customWidth="1"/>
    <col min="16023" max="16023" width="9.26953125" style="6" customWidth="1"/>
    <col min="16024" max="16047" width="7.26953125" style="6" customWidth="1"/>
    <col min="16048" max="16048" width="11.26953125" style="6" bestFit="1" customWidth="1"/>
    <col min="16049" max="16384" width="11.453125" style="6"/>
  </cols>
  <sheetData>
    <row r="2" spans="2:31" x14ac:dyDescent="0.25">
      <c r="B2" s="70" t="s">
        <v>45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spans="2:31" x14ac:dyDescent="0.25">
      <c r="B3" s="70" t="s">
        <v>44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spans="2:31" x14ac:dyDescent="0.25">
      <c r="B4" s="70">
        <v>2036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6" spans="2:31" ht="31" x14ac:dyDescent="0.25">
      <c r="B6" s="2" t="s">
        <v>0</v>
      </c>
      <c r="C6" s="3" t="s">
        <v>1</v>
      </c>
      <c r="D6" s="2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51" t="s">
        <v>27</v>
      </c>
    </row>
    <row r="7" spans="2:31" ht="12.5" x14ac:dyDescent="0.25">
      <c r="B7" s="65" t="s">
        <v>28</v>
      </c>
      <c r="C7" s="4" t="s">
        <v>29</v>
      </c>
      <c r="D7" s="5">
        <v>21</v>
      </c>
      <c r="E7" s="56">
        <v>5785.76</v>
      </c>
      <c r="F7" s="56">
        <v>5456.85</v>
      </c>
      <c r="G7" s="56">
        <v>5257.08</v>
      </c>
      <c r="H7" s="56">
        <v>5191.1499999999996</v>
      </c>
      <c r="I7" s="56">
        <v>5554.44</v>
      </c>
      <c r="J7" s="56">
        <v>6616.11</v>
      </c>
      <c r="K7" s="56">
        <v>7561.6</v>
      </c>
      <c r="L7" s="56">
        <v>10203.969999999999</v>
      </c>
      <c r="M7" s="56">
        <v>10411.91</v>
      </c>
      <c r="N7" s="56">
        <v>10688.61</v>
      </c>
      <c r="O7" s="56">
        <v>11134.73</v>
      </c>
      <c r="P7" s="56">
        <v>11803.67</v>
      </c>
      <c r="Q7" s="56">
        <v>11365.44</v>
      </c>
      <c r="R7" s="56">
        <v>11115.66</v>
      </c>
      <c r="S7" s="56">
        <v>11309.82</v>
      </c>
      <c r="T7" s="56">
        <v>11467.53</v>
      </c>
      <c r="U7" s="56">
        <v>11544.23</v>
      </c>
      <c r="V7" s="56">
        <v>10625.18</v>
      </c>
      <c r="W7" s="56">
        <v>11608.16</v>
      </c>
      <c r="X7" s="56">
        <v>11929.19</v>
      </c>
      <c r="Y7" s="56">
        <v>11350.44</v>
      </c>
      <c r="Z7" s="56">
        <v>10345.31</v>
      </c>
      <c r="AA7" s="56">
        <v>8671.26</v>
      </c>
      <c r="AB7" s="56">
        <v>7467.58</v>
      </c>
      <c r="AC7" s="66">
        <f>+SUM(E7:AB7)*D7+SUM(E8:AB8)*D8+SUM(E9:AB9)*D9+SUM(E10:AB10)*D10</f>
        <v>6825793.8599999994</v>
      </c>
      <c r="AE7" s="11">
        <f>+AC7</f>
        <v>6825793.8599999994</v>
      </c>
    </row>
    <row r="8" spans="2:31" ht="12.5" x14ac:dyDescent="0.25">
      <c r="B8" s="65" t="s">
        <v>28</v>
      </c>
      <c r="C8" s="4" t="s">
        <v>30</v>
      </c>
      <c r="D8" s="5">
        <v>4</v>
      </c>
      <c r="E8" s="56">
        <v>6166.49</v>
      </c>
      <c r="F8" s="56">
        <v>5653.28</v>
      </c>
      <c r="G8" s="56">
        <v>5414.2</v>
      </c>
      <c r="H8" s="56">
        <v>5291.23</v>
      </c>
      <c r="I8" s="56">
        <v>5411.23</v>
      </c>
      <c r="J8" s="56">
        <v>5780.98</v>
      </c>
      <c r="K8" s="56">
        <v>6351.02</v>
      </c>
      <c r="L8" s="56">
        <v>9491.0300000000007</v>
      </c>
      <c r="M8" s="56">
        <v>10285.280000000001</v>
      </c>
      <c r="N8" s="56">
        <v>10774</v>
      </c>
      <c r="O8" s="56">
        <v>11098.66</v>
      </c>
      <c r="P8" s="56">
        <v>11563.43</v>
      </c>
      <c r="Q8" s="56">
        <v>11711.68</v>
      </c>
      <c r="R8" s="56">
        <v>11443.34</v>
      </c>
      <c r="S8" s="56">
        <v>11292.94</v>
      </c>
      <c r="T8" s="56">
        <v>11184.18</v>
      </c>
      <c r="U8" s="56">
        <v>11282.24</v>
      </c>
      <c r="V8" s="56">
        <v>10422.35</v>
      </c>
      <c r="W8" s="56">
        <v>11553.2</v>
      </c>
      <c r="X8" s="56">
        <v>11837.03</v>
      </c>
      <c r="Y8" s="56">
        <v>11272.15</v>
      </c>
      <c r="Z8" s="56">
        <v>10504.57</v>
      </c>
      <c r="AA8" s="56">
        <v>9295.7000000000007</v>
      </c>
      <c r="AB8" s="56">
        <v>8192.4699999999993</v>
      </c>
      <c r="AC8" s="67"/>
      <c r="AE8" s="11">
        <f>+AC11</f>
        <v>6357831.7000000002</v>
      </c>
    </row>
    <row r="9" spans="2:31" ht="12.5" x14ac:dyDescent="0.25">
      <c r="B9" s="65" t="s">
        <v>28</v>
      </c>
      <c r="C9" s="4" t="s">
        <v>31</v>
      </c>
      <c r="D9" s="5">
        <v>4</v>
      </c>
      <c r="E9" s="56">
        <v>6522.58</v>
      </c>
      <c r="F9" s="56">
        <v>6017.99</v>
      </c>
      <c r="G9" s="56">
        <v>5699.2</v>
      </c>
      <c r="H9" s="56">
        <v>5480.28</v>
      </c>
      <c r="I9" s="56">
        <v>5400.57</v>
      </c>
      <c r="J9" s="56">
        <v>5369.37</v>
      </c>
      <c r="K9" s="56">
        <v>5467.87</v>
      </c>
      <c r="L9" s="56">
        <v>7952.71</v>
      </c>
      <c r="M9" s="56">
        <v>8740.17</v>
      </c>
      <c r="N9" s="56">
        <v>9259.09</v>
      </c>
      <c r="O9" s="56">
        <v>9767.66</v>
      </c>
      <c r="P9" s="56">
        <v>10309.59</v>
      </c>
      <c r="Q9" s="56">
        <v>10527.58</v>
      </c>
      <c r="R9" s="56">
        <v>10322.84</v>
      </c>
      <c r="S9" s="56">
        <v>10358.280000000001</v>
      </c>
      <c r="T9" s="56">
        <v>10475.84</v>
      </c>
      <c r="U9" s="56">
        <v>10510.53</v>
      </c>
      <c r="V9" s="56">
        <v>9859.91</v>
      </c>
      <c r="W9" s="56">
        <v>10893.44</v>
      </c>
      <c r="X9" s="56">
        <v>11208.87</v>
      </c>
      <c r="Y9" s="56">
        <v>10708.61</v>
      </c>
      <c r="Z9" s="56">
        <v>9808.15</v>
      </c>
      <c r="AA9" s="56">
        <v>8418.94</v>
      </c>
      <c r="AB9" s="56">
        <v>7219.62</v>
      </c>
      <c r="AC9" s="67"/>
      <c r="AE9" s="11">
        <f>+AC15</f>
        <v>6723160.5699999994</v>
      </c>
    </row>
    <row r="10" spans="2:31" ht="12.5" x14ac:dyDescent="0.25">
      <c r="B10" s="65" t="s">
        <v>28</v>
      </c>
      <c r="C10" s="4" t="s">
        <v>32</v>
      </c>
      <c r="D10" s="5">
        <v>2</v>
      </c>
      <c r="E10" s="56">
        <v>6561.52</v>
      </c>
      <c r="F10" s="56">
        <v>6168.83</v>
      </c>
      <c r="G10" s="56">
        <v>5762.81</v>
      </c>
      <c r="H10" s="56">
        <v>5610.09</v>
      </c>
      <c r="I10" s="56">
        <v>5428.8</v>
      </c>
      <c r="J10" s="56">
        <v>5399.7</v>
      </c>
      <c r="K10" s="56">
        <v>5093.25</v>
      </c>
      <c r="L10" s="56">
        <v>7235.03</v>
      </c>
      <c r="M10" s="56">
        <v>7695.66</v>
      </c>
      <c r="N10" s="56">
        <v>8263.73</v>
      </c>
      <c r="O10" s="56">
        <v>8903.35</v>
      </c>
      <c r="P10" s="56">
        <v>9328.68</v>
      </c>
      <c r="Q10" s="56">
        <v>9763.4599999999991</v>
      </c>
      <c r="R10" s="56">
        <v>9870.7099999999991</v>
      </c>
      <c r="S10" s="56">
        <v>9889.5400000000009</v>
      </c>
      <c r="T10" s="56">
        <v>9801.98</v>
      </c>
      <c r="U10" s="56">
        <v>9874.01</v>
      </c>
      <c r="V10" s="56">
        <v>9432.02</v>
      </c>
      <c r="W10" s="56">
        <v>10553.59</v>
      </c>
      <c r="X10" s="56">
        <v>10928.51</v>
      </c>
      <c r="Y10" s="56">
        <v>10540.71</v>
      </c>
      <c r="Z10" s="56">
        <v>9508.33</v>
      </c>
      <c r="AA10" s="56">
        <v>8173.11</v>
      </c>
      <c r="AB10" s="56">
        <v>7075.13</v>
      </c>
      <c r="AC10" s="68"/>
      <c r="AE10" s="11">
        <f>+AC19</f>
        <v>6728583.2800000003</v>
      </c>
    </row>
    <row r="11" spans="2:31" ht="12.5" x14ac:dyDescent="0.25">
      <c r="B11" s="65" t="s">
        <v>33</v>
      </c>
      <c r="C11" s="4" t="s">
        <v>29</v>
      </c>
      <c r="D11" s="5">
        <v>21</v>
      </c>
      <c r="E11" s="56">
        <v>5543.73</v>
      </c>
      <c r="F11" s="56">
        <v>5215.72</v>
      </c>
      <c r="G11" s="56">
        <v>5078.3900000000003</v>
      </c>
      <c r="H11" s="56">
        <v>5080.93</v>
      </c>
      <c r="I11" s="56">
        <v>5555.65</v>
      </c>
      <c r="J11" s="56">
        <v>7193.48</v>
      </c>
      <c r="K11" s="56">
        <v>8311.49</v>
      </c>
      <c r="L11" s="56">
        <v>10555.35</v>
      </c>
      <c r="M11" s="56">
        <v>10475.41</v>
      </c>
      <c r="N11" s="56">
        <v>10555.11</v>
      </c>
      <c r="O11" s="56">
        <v>10911.59</v>
      </c>
      <c r="P11" s="56">
        <v>11389.19</v>
      </c>
      <c r="Q11" s="56">
        <v>11070.02</v>
      </c>
      <c r="R11" s="56">
        <v>11028.97</v>
      </c>
      <c r="S11" s="56">
        <v>11335.55</v>
      </c>
      <c r="T11" s="56">
        <v>11464.43</v>
      </c>
      <c r="U11" s="56">
        <v>11499.91</v>
      </c>
      <c r="V11" s="56">
        <v>10424.86</v>
      </c>
      <c r="W11" s="56">
        <v>11372.22</v>
      </c>
      <c r="X11" s="56">
        <v>11901.93</v>
      </c>
      <c r="Y11" s="56">
        <v>11275.05</v>
      </c>
      <c r="Z11" s="56">
        <v>10219.98</v>
      </c>
      <c r="AA11" s="56">
        <v>8492.91</v>
      </c>
      <c r="AB11" s="56">
        <v>7221.15</v>
      </c>
      <c r="AC11" s="66">
        <f>+SUM(E11:AB11)*D11+SUM(E12:AB12)*D12+SUM(E13:AB13)*D13+SUM(E14:AB14)*D14</f>
        <v>6357831.7000000002</v>
      </c>
      <c r="AE11" s="11">
        <f>+AC23</f>
        <v>6696951.9900000012</v>
      </c>
    </row>
    <row r="12" spans="2:31" ht="12.5" x14ac:dyDescent="0.25">
      <c r="B12" s="65" t="s">
        <v>33</v>
      </c>
      <c r="C12" s="4" t="s">
        <v>30</v>
      </c>
      <c r="D12" s="5">
        <v>4</v>
      </c>
      <c r="E12" s="56">
        <v>5909.43</v>
      </c>
      <c r="F12" s="56">
        <v>5535.27</v>
      </c>
      <c r="G12" s="56">
        <v>5263.27</v>
      </c>
      <c r="H12" s="56">
        <v>5166.74</v>
      </c>
      <c r="I12" s="56">
        <v>5359.16</v>
      </c>
      <c r="J12" s="56">
        <v>5899.2</v>
      </c>
      <c r="K12" s="56">
        <v>6583.95</v>
      </c>
      <c r="L12" s="56">
        <v>9869.1299999999992</v>
      </c>
      <c r="M12" s="56">
        <v>10377.120000000001</v>
      </c>
      <c r="N12" s="56">
        <v>10749.58</v>
      </c>
      <c r="O12" s="56">
        <v>11058.79</v>
      </c>
      <c r="P12" s="56">
        <v>11281.97</v>
      </c>
      <c r="Q12" s="56">
        <v>11257.85</v>
      </c>
      <c r="R12" s="56">
        <v>11037.76</v>
      </c>
      <c r="S12" s="56">
        <v>10996.86</v>
      </c>
      <c r="T12" s="56">
        <v>11111.43</v>
      </c>
      <c r="U12" s="56">
        <v>11264.65</v>
      </c>
      <c r="V12" s="56">
        <v>10169.94</v>
      </c>
      <c r="W12" s="56">
        <v>11179.49</v>
      </c>
      <c r="X12" s="56">
        <v>11509.6</v>
      </c>
      <c r="Y12" s="56">
        <v>10914.36</v>
      </c>
      <c r="Z12" s="56">
        <v>10036.799999999999</v>
      </c>
      <c r="AA12" s="56">
        <v>8859.2800000000007</v>
      </c>
      <c r="AB12" s="56">
        <v>7608.12</v>
      </c>
      <c r="AC12" s="67"/>
      <c r="AE12" s="11">
        <f>+AC27</f>
        <v>6672712.2599999998</v>
      </c>
    </row>
    <row r="13" spans="2:31" ht="12.5" x14ac:dyDescent="0.25">
      <c r="B13" s="65" t="s">
        <v>33</v>
      </c>
      <c r="C13" s="4" t="s">
        <v>31</v>
      </c>
      <c r="D13" s="5">
        <v>4</v>
      </c>
      <c r="E13" s="56">
        <v>6094.4</v>
      </c>
      <c r="F13" s="56">
        <v>5648.55</v>
      </c>
      <c r="G13" s="56">
        <v>5329.09</v>
      </c>
      <c r="H13" s="56">
        <v>5147.0200000000004</v>
      </c>
      <c r="I13" s="56">
        <v>5077.47</v>
      </c>
      <c r="J13" s="56">
        <v>5077.82</v>
      </c>
      <c r="K13" s="56">
        <v>5240.16</v>
      </c>
      <c r="L13" s="56">
        <v>7859.85</v>
      </c>
      <c r="M13" s="56">
        <v>8651.86</v>
      </c>
      <c r="N13" s="56">
        <v>9125.4699999999993</v>
      </c>
      <c r="O13" s="56">
        <v>9506.48</v>
      </c>
      <c r="P13" s="56">
        <v>10077.86</v>
      </c>
      <c r="Q13" s="56">
        <v>10315.32</v>
      </c>
      <c r="R13" s="56">
        <v>10279.530000000001</v>
      </c>
      <c r="S13" s="56">
        <v>10011.68</v>
      </c>
      <c r="T13" s="56">
        <v>10061.09</v>
      </c>
      <c r="U13" s="56">
        <v>10148.14</v>
      </c>
      <c r="V13" s="56">
        <v>9423.32</v>
      </c>
      <c r="W13" s="56">
        <v>10602.06</v>
      </c>
      <c r="X13" s="56">
        <v>10852.41</v>
      </c>
      <c r="Y13" s="56">
        <v>10403.76</v>
      </c>
      <c r="Z13" s="56">
        <v>9354.85</v>
      </c>
      <c r="AA13" s="56">
        <v>7855.51</v>
      </c>
      <c r="AB13" s="56">
        <v>6656.12</v>
      </c>
      <c r="AC13" s="67"/>
      <c r="AE13" s="11">
        <f>+AC31</f>
        <v>6856159.7700000005</v>
      </c>
    </row>
    <row r="14" spans="2:31" ht="12.5" x14ac:dyDescent="0.25">
      <c r="B14" s="65" t="s">
        <v>33</v>
      </c>
      <c r="C14" s="4" t="s">
        <v>32</v>
      </c>
      <c r="D14" s="5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68"/>
      <c r="AE14" s="11">
        <f>+AC35</f>
        <v>6956478.4100000001</v>
      </c>
    </row>
    <row r="15" spans="2:31" ht="12.5" x14ac:dyDescent="0.25">
      <c r="B15" s="65" t="s">
        <v>34</v>
      </c>
      <c r="C15" s="4" t="s">
        <v>29</v>
      </c>
      <c r="D15" s="5">
        <v>20</v>
      </c>
      <c r="E15" s="56">
        <v>5615.03</v>
      </c>
      <c r="F15" s="56">
        <v>5281.68</v>
      </c>
      <c r="G15" s="56">
        <v>5140.63</v>
      </c>
      <c r="H15" s="56">
        <v>5113.6400000000003</v>
      </c>
      <c r="I15" s="56">
        <v>5551.84</v>
      </c>
      <c r="J15" s="56">
        <v>7040.75</v>
      </c>
      <c r="K15" s="56">
        <v>8026.35</v>
      </c>
      <c r="L15" s="56">
        <v>10292.89</v>
      </c>
      <c r="M15" s="56">
        <v>10244.59</v>
      </c>
      <c r="N15" s="56">
        <v>10341.299999999999</v>
      </c>
      <c r="O15" s="56">
        <v>10753.98</v>
      </c>
      <c r="P15" s="56">
        <v>11232</v>
      </c>
      <c r="Q15" s="56">
        <v>11048.7</v>
      </c>
      <c r="R15" s="56">
        <v>10965.81</v>
      </c>
      <c r="S15" s="56">
        <v>11237.87</v>
      </c>
      <c r="T15" s="56">
        <v>11328.1</v>
      </c>
      <c r="U15" s="56">
        <v>11343.19</v>
      </c>
      <c r="V15" s="56">
        <v>10344.950000000001</v>
      </c>
      <c r="W15" s="56">
        <v>11378.18</v>
      </c>
      <c r="X15" s="56">
        <v>11974.75</v>
      </c>
      <c r="Y15" s="56">
        <v>11346.21</v>
      </c>
      <c r="Z15" s="56">
        <v>10266.73</v>
      </c>
      <c r="AA15" s="56">
        <v>8699.2199999999993</v>
      </c>
      <c r="AB15" s="56">
        <v>7361.39</v>
      </c>
      <c r="AC15" s="66">
        <f>+SUM(E15:AB15)*D15+SUM(E16:AB16)*D16+SUM(E17:AB17)*D17+SUM(E18:AB18)*D18</f>
        <v>6723160.5699999994</v>
      </c>
      <c r="AE15" s="11">
        <f>+AC39</f>
        <v>6656991.04</v>
      </c>
    </row>
    <row r="16" spans="2:31" ht="12.5" x14ac:dyDescent="0.25">
      <c r="B16" s="65" t="s">
        <v>34</v>
      </c>
      <c r="C16" s="4" t="s">
        <v>30</v>
      </c>
      <c r="D16" s="5">
        <v>5</v>
      </c>
      <c r="E16" s="56">
        <v>5837.37</v>
      </c>
      <c r="F16" s="56">
        <v>5435.63</v>
      </c>
      <c r="G16" s="56">
        <v>5235.7</v>
      </c>
      <c r="H16" s="56">
        <v>5122.46</v>
      </c>
      <c r="I16" s="56">
        <v>5322.24</v>
      </c>
      <c r="J16" s="56">
        <v>5801.73</v>
      </c>
      <c r="K16" s="56">
        <v>6581.78</v>
      </c>
      <c r="L16" s="56">
        <v>9760.75</v>
      </c>
      <c r="M16" s="56">
        <v>10124.33</v>
      </c>
      <c r="N16" s="56">
        <v>10472.18</v>
      </c>
      <c r="O16" s="56">
        <v>10828.2</v>
      </c>
      <c r="P16" s="56">
        <v>11119.47</v>
      </c>
      <c r="Q16" s="56">
        <v>11207.58</v>
      </c>
      <c r="R16" s="56">
        <v>10872.16</v>
      </c>
      <c r="S16" s="56">
        <v>10697.91</v>
      </c>
      <c r="T16" s="56">
        <v>10780.37</v>
      </c>
      <c r="U16" s="56">
        <v>10904.82</v>
      </c>
      <c r="V16" s="56">
        <v>9974.11</v>
      </c>
      <c r="W16" s="56">
        <v>10947.01</v>
      </c>
      <c r="X16" s="56">
        <v>11632.21</v>
      </c>
      <c r="Y16" s="56">
        <v>11074.13</v>
      </c>
      <c r="Z16" s="56">
        <v>10264.049999999999</v>
      </c>
      <c r="AA16" s="56">
        <v>9103.41</v>
      </c>
      <c r="AB16" s="56">
        <v>7842.21</v>
      </c>
      <c r="AC16" s="67"/>
      <c r="AE16" s="11">
        <f>+AC43</f>
        <v>6934712.71</v>
      </c>
    </row>
    <row r="17" spans="2:31" ht="12.5" x14ac:dyDescent="0.25">
      <c r="B17" s="65" t="s">
        <v>34</v>
      </c>
      <c r="C17" s="4" t="s">
        <v>31</v>
      </c>
      <c r="D17" s="5">
        <v>5</v>
      </c>
      <c r="E17" s="56">
        <v>6178.18</v>
      </c>
      <c r="F17" s="56">
        <v>5689.46</v>
      </c>
      <c r="G17" s="56">
        <v>5381.1</v>
      </c>
      <c r="H17" s="56">
        <v>5192.09</v>
      </c>
      <c r="I17" s="56">
        <v>5156.38</v>
      </c>
      <c r="J17" s="56">
        <v>5219.37</v>
      </c>
      <c r="K17" s="56">
        <v>5428.19</v>
      </c>
      <c r="L17" s="56">
        <v>7998.62</v>
      </c>
      <c r="M17" s="56">
        <v>8758.36</v>
      </c>
      <c r="N17" s="56">
        <v>9164.89</v>
      </c>
      <c r="O17" s="56">
        <v>9438.92</v>
      </c>
      <c r="P17" s="56">
        <v>9679.48</v>
      </c>
      <c r="Q17" s="56">
        <v>9919.56</v>
      </c>
      <c r="R17" s="56">
        <v>9820.74</v>
      </c>
      <c r="S17" s="56">
        <v>9628.92</v>
      </c>
      <c r="T17" s="56">
        <v>9671.2099999999991</v>
      </c>
      <c r="U17" s="56">
        <v>9859.69</v>
      </c>
      <c r="V17" s="56">
        <v>9198.7099999999991</v>
      </c>
      <c r="W17" s="56">
        <v>10170.59</v>
      </c>
      <c r="X17" s="56">
        <v>10972.73</v>
      </c>
      <c r="Y17" s="56">
        <v>10664.08</v>
      </c>
      <c r="Z17" s="56">
        <v>9839.59</v>
      </c>
      <c r="AA17" s="56">
        <v>8526.91</v>
      </c>
      <c r="AB17" s="56">
        <v>7173.93</v>
      </c>
      <c r="AC17" s="67"/>
      <c r="AE17" s="11">
        <f>+AC47</f>
        <v>6776537.8099999987</v>
      </c>
    </row>
    <row r="18" spans="2:31" ht="12.5" x14ac:dyDescent="0.25">
      <c r="B18" s="65" t="s">
        <v>34</v>
      </c>
      <c r="C18" s="4" t="s">
        <v>32</v>
      </c>
      <c r="D18" s="5">
        <v>1</v>
      </c>
      <c r="E18" s="56">
        <v>5985.76</v>
      </c>
      <c r="F18" s="56">
        <v>5600.74</v>
      </c>
      <c r="G18" s="56">
        <v>5397.77</v>
      </c>
      <c r="H18" s="56">
        <v>5311.17</v>
      </c>
      <c r="I18" s="56">
        <v>5276.5</v>
      </c>
      <c r="J18" s="56">
        <v>5426.19</v>
      </c>
      <c r="K18" s="56">
        <v>5583.47</v>
      </c>
      <c r="L18" s="56">
        <v>8174.24</v>
      </c>
      <c r="M18" s="56">
        <v>8841.8700000000008</v>
      </c>
      <c r="N18" s="56">
        <v>9306.44</v>
      </c>
      <c r="O18" s="56">
        <v>9950.77</v>
      </c>
      <c r="P18" s="56">
        <v>10541.34</v>
      </c>
      <c r="Q18" s="56">
        <v>10787.06</v>
      </c>
      <c r="R18" s="56">
        <v>10842.13</v>
      </c>
      <c r="S18" s="56">
        <v>10745.99</v>
      </c>
      <c r="T18" s="56">
        <v>10675.27</v>
      </c>
      <c r="U18" s="56">
        <v>10338.780000000001</v>
      </c>
      <c r="V18" s="56">
        <v>9591.89</v>
      </c>
      <c r="W18" s="56">
        <v>10920.52</v>
      </c>
      <c r="X18" s="56">
        <v>11477.82</v>
      </c>
      <c r="Y18" s="56">
        <v>10911.34</v>
      </c>
      <c r="Z18" s="56">
        <v>9564.7900000000009</v>
      </c>
      <c r="AA18" s="56">
        <v>8093.54</v>
      </c>
      <c r="AB18" s="56">
        <v>6852.03</v>
      </c>
      <c r="AC18" s="68"/>
      <c r="AE18" s="11">
        <f>+AC51</f>
        <v>6993819.4699999997</v>
      </c>
    </row>
    <row r="19" spans="2:31" ht="13" x14ac:dyDescent="0.3">
      <c r="B19" s="65" t="s">
        <v>35</v>
      </c>
      <c r="C19" s="4" t="s">
        <v>29</v>
      </c>
      <c r="D19" s="5">
        <v>20</v>
      </c>
      <c r="E19" s="56">
        <v>5911.57</v>
      </c>
      <c r="F19" s="56">
        <v>5564.59</v>
      </c>
      <c r="G19" s="56">
        <v>5395.16</v>
      </c>
      <c r="H19" s="56">
        <v>5386.23</v>
      </c>
      <c r="I19" s="56">
        <v>5880.74</v>
      </c>
      <c r="J19" s="56">
        <v>7481.57</v>
      </c>
      <c r="K19" s="56">
        <v>8376.27</v>
      </c>
      <c r="L19" s="56">
        <v>10520.66</v>
      </c>
      <c r="M19" s="56">
        <v>10544.47</v>
      </c>
      <c r="N19" s="56">
        <v>10593.91</v>
      </c>
      <c r="O19" s="56">
        <v>11064.45</v>
      </c>
      <c r="P19" s="56">
        <v>11587.04</v>
      </c>
      <c r="Q19" s="56">
        <v>11330.71</v>
      </c>
      <c r="R19" s="56">
        <v>11417.3</v>
      </c>
      <c r="S19" s="56">
        <v>11742.99</v>
      </c>
      <c r="T19" s="56">
        <v>11834.41</v>
      </c>
      <c r="U19" s="56">
        <v>11883.72</v>
      </c>
      <c r="V19" s="56">
        <v>10943.38</v>
      </c>
      <c r="W19" s="56">
        <v>11939.21</v>
      </c>
      <c r="X19" s="56">
        <v>12293.31</v>
      </c>
      <c r="Y19" s="56">
        <v>11623.79</v>
      </c>
      <c r="Z19" s="56">
        <v>10547.38</v>
      </c>
      <c r="AA19" s="56">
        <v>8949.48</v>
      </c>
      <c r="AB19" s="56">
        <v>7647.27</v>
      </c>
      <c r="AC19" s="66">
        <f>+SUM(E19:AB19)*D19+SUM(E20:AB20)*D20+SUM(E21:AB21)*D21+SUM(E22:AB22)*D22</f>
        <v>6728583.2800000003</v>
      </c>
      <c r="AE19" s="12">
        <f>SUM(AE7:AE18)</f>
        <v>81179732.870000005</v>
      </c>
    </row>
    <row r="20" spans="2:31" ht="12.5" x14ac:dyDescent="0.25">
      <c r="B20" s="65" t="s">
        <v>35</v>
      </c>
      <c r="C20" s="4" t="s">
        <v>30</v>
      </c>
      <c r="D20" s="5">
        <v>4</v>
      </c>
      <c r="E20" s="56">
        <v>6225.56</v>
      </c>
      <c r="F20" s="56">
        <v>5773.87</v>
      </c>
      <c r="G20" s="56">
        <v>5559.41</v>
      </c>
      <c r="H20" s="56">
        <v>5470.73</v>
      </c>
      <c r="I20" s="56">
        <v>5591.93</v>
      </c>
      <c r="J20" s="56">
        <v>5933.9</v>
      </c>
      <c r="K20" s="56">
        <v>6297.93</v>
      </c>
      <c r="L20" s="56">
        <v>9640.9699999999993</v>
      </c>
      <c r="M20" s="56">
        <v>10166.91</v>
      </c>
      <c r="N20" s="56">
        <v>10513.43</v>
      </c>
      <c r="O20" s="56">
        <v>10928.56</v>
      </c>
      <c r="P20" s="56">
        <v>11390.88</v>
      </c>
      <c r="Q20" s="56">
        <v>11598.53</v>
      </c>
      <c r="R20" s="56">
        <v>11207.22</v>
      </c>
      <c r="S20" s="56">
        <v>11089.74</v>
      </c>
      <c r="T20" s="56">
        <v>11124.28</v>
      </c>
      <c r="U20" s="56">
        <v>11241.46</v>
      </c>
      <c r="V20" s="56">
        <v>9924.34</v>
      </c>
      <c r="W20" s="56">
        <v>11329.58</v>
      </c>
      <c r="X20" s="56">
        <v>11741.09</v>
      </c>
      <c r="Y20" s="56">
        <v>11084.37</v>
      </c>
      <c r="Z20" s="56">
        <v>10308.86</v>
      </c>
      <c r="AA20" s="56">
        <v>9276.75</v>
      </c>
      <c r="AB20" s="56">
        <v>8701.25</v>
      </c>
      <c r="AC20" s="67"/>
    </row>
    <row r="21" spans="2:31" ht="12.5" x14ac:dyDescent="0.25">
      <c r="B21" s="65" t="s">
        <v>35</v>
      </c>
      <c r="C21" s="4" t="s">
        <v>31</v>
      </c>
      <c r="D21" s="5">
        <v>4</v>
      </c>
      <c r="E21" s="56">
        <v>6606.17</v>
      </c>
      <c r="F21" s="56">
        <v>6084.73</v>
      </c>
      <c r="G21" s="56">
        <v>5760</v>
      </c>
      <c r="H21" s="56">
        <v>5505.39</v>
      </c>
      <c r="I21" s="56">
        <v>5439.23</v>
      </c>
      <c r="J21" s="56">
        <v>5400.76</v>
      </c>
      <c r="K21" s="56">
        <v>5562.47</v>
      </c>
      <c r="L21" s="56">
        <v>8162.88</v>
      </c>
      <c r="M21" s="56">
        <v>8873.18</v>
      </c>
      <c r="N21" s="56">
        <v>9301.82</v>
      </c>
      <c r="O21" s="56">
        <v>9818.86</v>
      </c>
      <c r="P21" s="56">
        <v>10145.64</v>
      </c>
      <c r="Q21" s="56">
        <v>10415.200000000001</v>
      </c>
      <c r="R21" s="56">
        <v>10352.57</v>
      </c>
      <c r="S21" s="56">
        <v>10269.969999999999</v>
      </c>
      <c r="T21" s="56">
        <v>10159.14</v>
      </c>
      <c r="U21" s="56">
        <v>10330.219999999999</v>
      </c>
      <c r="V21" s="56">
        <v>9538.91</v>
      </c>
      <c r="W21" s="56">
        <v>11072.45</v>
      </c>
      <c r="X21" s="56">
        <v>11363.81</v>
      </c>
      <c r="Y21" s="56">
        <v>10864.77</v>
      </c>
      <c r="Z21" s="56">
        <v>9893.32</v>
      </c>
      <c r="AA21" s="56">
        <v>8446.7000000000007</v>
      </c>
      <c r="AB21" s="56">
        <v>7209.27</v>
      </c>
      <c r="AC21" s="67"/>
    </row>
    <row r="22" spans="2:31" ht="12.5" x14ac:dyDescent="0.25">
      <c r="B22" s="65" t="s">
        <v>35</v>
      </c>
      <c r="C22" s="4" t="s">
        <v>32</v>
      </c>
      <c r="D22" s="5">
        <v>2</v>
      </c>
      <c r="E22" s="56">
        <v>6103.21</v>
      </c>
      <c r="F22" s="56">
        <v>5688.77</v>
      </c>
      <c r="G22" s="56">
        <v>5435.95</v>
      </c>
      <c r="H22" s="56">
        <v>5229.08</v>
      </c>
      <c r="I22" s="56">
        <v>5323.91</v>
      </c>
      <c r="J22" s="56">
        <v>5349.06</v>
      </c>
      <c r="K22" s="56">
        <v>5607.55</v>
      </c>
      <c r="L22" s="56">
        <v>8462.19</v>
      </c>
      <c r="M22" s="56">
        <v>8950.33</v>
      </c>
      <c r="N22" s="56">
        <v>9092.08</v>
      </c>
      <c r="O22" s="56">
        <v>9241.82</v>
      </c>
      <c r="P22" s="56">
        <v>9820.06</v>
      </c>
      <c r="Q22" s="56">
        <v>10199.74</v>
      </c>
      <c r="R22" s="56">
        <v>10099.84</v>
      </c>
      <c r="S22" s="56">
        <v>9955.0499999999993</v>
      </c>
      <c r="T22" s="56">
        <v>10038.75</v>
      </c>
      <c r="U22" s="56">
        <v>10068.74</v>
      </c>
      <c r="V22" s="56">
        <v>9428.59</v>
      </c>
      <c r="W22" s="56">
        <v>10388.81</v>
      </c>
      <c r="X22" s="56">
        <v>10832.04</v>
      </c>
      <c r="Y22" s="56">
        <v>10311.530000000001</v>
      </c>
      <c r="Z22" s="56">
        <v>9830.51</v>
      </c>
      <c r="AA22" s="56">
        <v>8942.27</v>
      </c>
      <c r="AB22" s="56">
        <v>7897.64</v>
      </c>
      <c r="AC22" s="68"/>
    </row>
    <row r="23" spans="2:31" ht="12.5" x14ac:dyDescent="0.25">
      <c r="B23" s="65" t="s">
        <v>36</v>
      </c>
      <c r="C23" s="4" t="s">
        <v>29</v>
      </c>
      <c r="D23" s="5">
        <v>20</v>
      </c>
      <c r="E23" s="56">
        <v>5652.31</v>
      </c>
      <c r="F23" s="56">
        <v>5490.44</v>
      </c>
      <c r="G23" s="56">
        <v>5246.56</v>
      </c>
      <c r="H23" s="56">
        <v>5190.63</v>
      </c>
      <c r="I23" s="56">
        <v>5659.5</v>
      </c>
      <c r="J23" s="56">
        <v>7120.52</v>
      </c>
      <c r="K23" s="56">
        <v>8013.82</v>
      </c>
      <c r="L23" s="56">
        <v>10144.219999999999</v>
      </c>
      <c r="M23" s="56">
        <v>10119.77</v>
      </c>
      <c r="N23" s="56">
        <v>10281.6</v>
      </c>
      <c r="O23" s="56">
        <v>10713.84</v>
      </c>
      <c r="P23" s="56">
        <v>11193.8</v>
      </c>
      <c r="Q23" s="56">
        <v>10954.14</v>
      </c>
      <c r="R23" s="56">
        <v>11023.28</v>
      </c>
      <c r="S23" s="56">
        <v>11390.41</v>
      </c>
      <c r="T23" s="56">
        <v>11513.41</v>
      </c>
      <c r="U23" s="56">
        <v>11326.85</v>
      </c>
      <c r="V23" s="56">
        <v>10602.69</v>
      </c>
      <c r="W23" s="56">
        <v>11567.63</v>
      </c>
      <c r="X23" s="56">
        <v>11738.75</v>
      </c>
      <c r="Y23" s="56">
        <v>11245.54</v>
      </c>
      <c r="Z23" s="56">
        <v>9981.4</v>
      </c>
      <c r="AA23" s="56">
        <v>8616.32</v>
      </c>
      <c r="AB23" s="56">
        <v>7363.01</v>
      </c>
      <c r="AC23" s="66">
        <f>+SUM(E23:AB23)*D23+SUM(E24:AB24)*D24+SUM(E25:AB25)*D25+SUM(E26:AB26)*D26</f>
        <v>6696951.9900000012</v>
      </c>
    </row>
    <row r="24" spans="2:31" ht="12.5" x14ac:dyDescent="0.25">
      <c r="B24" s="65" t="s">
        <v>36</v>
      </c>
      <c r="C24" s="4" t="s">
        <v>30</v>
      </c>
      <c r="D24" s="5">
        <v>5</v>
      </c>
      <c r="E24" s="56">
        <v>6038.52</v>
      </c>
      <c r="F24" s="56">
        <v>5650.19</v>
      </c>
      <c r="G24" s="56">
        <v>5381.56</v>
      </c>
      <c r="H24" s="56">
        <v>5295.31</v>
      </c>
      <c r="I24" s="56">
        <v>5426.21</v>
      </c>
      <c r="J24" s="56">
        <v>5692.53</v>
      </c>
      <c r="K24" s="56">
        <v>6309.88</v>
      </c>
      <c r="L24" s="56">
        <v>9443.5300000000007</v>
      </c>
      <c r="M24" s="56">
        <v>10023.49</v>
      </c>
      <c r="N24" s="56">
        <v>10383.41</v>
      </c>
      <c r="O24" s="56">
        <v>10703.13</v>
      </c>
      <c r="P24" s="56">
        <v>10949.74</v>
      </c>
      <c r="Q24" s="56">
        <v>10963.67</v>
      </c>
      <c r="R24" s="56">
        <v>10798.57</v>
      </c>
      <c r="S24" s="56">
        <v>10741.95</v>
      </c>
      <c r="T24" s="56">
        <v>10586.68</v>
      </c>
      <c r="U24" s="56">
        <v>10767.14</v>
      </c>
      <c r="V24" s="56">
        <v>9928.9500000000007</v>
      </c>
      <c r="W24" s="56">
        <v>10599.46</v>
      </c>
      <c r="X24" s="56">
        <v>10955.08</v>
      </c>
      <c r="Y24" s="56">
        <v>10421.459999999999</v>
      </c>
      <c r="Z24" s="56">
        <v>9578.07</v>
      </c>
      <c r="AA24" s="56">
        <v>8696.41</v>
      </c>
      <c r="AB24" s="56">
        <v>7608.81</v>
      </c>
      <c r="AC24" s="67"/>
    </row>
    <row r="25" spans="2:31" ht="12.5" x14ac:dyDescent="0.25">
      <c r="B25" s="65" t="s">
        <v>36</v>
      </c>
      <c r="C25" s="4" t="s">
        <v>31</v>
      </c>
      <c r="D25" s="5">
        <v>4</v>
      </c>
      <c r="E25" s="56">
        <v>6058.68</v>
      </c>
      <c r="F25" s="56">
        <v>5642.8</v>
      </c>
      <c r="G25" s="56">
        <v>5370.23</v>
      </c>
      <c r="H25" s="56">
        <v>5158.5</v>
      </c>
      <c r="I25" s="56">
        <v>5185.95</v>
      </c>
      <c r="J25" s="56">
        <v>5072.96</v>
      </c>
      <c r="K25" s="56">
        <v>5374.86</v>
      </c>
      <c r="L25" s="56">
        <v>7959.83</v>
      </c>
      <c r="M25" s="56">
        <v>8613.7900000000009</v>
      </c>
      <c r="N25" s="56">
        <v>8994.4500000000007</v>
      </c>
      <c r="O25" s="56">
        <v>9337.89</v>
      </c>
      <c r="P25" s="56">
        <v>9552.98</v>
      </c>
      <c r="Q25" s="56">
        <v>9704.68</v>
      </c>
      <c r="R25" s="56">
        <v>9744.1</v>
      </c>
      <c r="S25" s="56">
        <v>9484.64</v>
      </c>
      <c r="T25" s="56">
        <v>9416.84</v>
      </c>
      <c r="U25" s="56">
        <v>9590.7800000000007</v>
      </c>
      <c r="V25" s="56">
        <v>9065.74</v>
      </c>
      <c r="W25" s="56">
        <v>10063.86</v>
      </c>
      <c r="X25" s="56">
        <v>10456.530000000001</v>
      </c>
      <c r="Y25" s="56">
        <v>10098.68</v>
      </c>
      <c r="Z25" s="56">
        <v>9343.9</v>
      </c>
      <c r="AA25" s="56">
        <v>8005.77</v>
      </c>
      <c r="AB25" s="56">
        <v>7026.85</v>
      </c>
      <c r="AC25" s="67"/>
    </row>
    <row r="26" spans="2:31" ht="12.5" x14ac:dyDescent="0.25">
      <c r="B26" s="65" t="s">
        <v>36</v>
      </c>
      <c r="C26" s="4" t="s">
        <v>32</v>
      </c>
      <c r="D26" s="5">
        <v>2</v>
      </c>
      <c r="E26" s="56">
        <v>5950.72</v>
      </c>
      <c r="F26" s="56">
        <v>5550.09</v>
      </c>
      <c r="G26" s="56">
        <v>5346.68</v>
      </c>
      <c r="H26" s="56">
        <v>5211.93</v>
      </c>
      <c r="I26" s="56">
        <v>5277.7</v>
      </c>
      <c r="J26" s="56">
        <v>5364.41</v>
      </c>
      <c r="K26" s="56">
        <v>5594.32</v>
      </c>
      <c r="L26" s="56">
        <v>8312.85</v>
      </c>
      <c r="M26" s="56">
        <v>8896.85</v>
      </c>
      <c r="N26" s="56">
        <v>9541.69</v>
      </c>
      <c r="O26" s="56">
        <v>9993.09</v>
      </c>
      <c r="P26" s="56">
        <v>10723.12</v>
      </c>
      <c r="Q26" s="56">
        <v>10981.11</v>
      </c>
      <c r="R26" s="56">
        <v>10780.13</v>
      </c>
      <c r="S26" s="56">
        <v>10304.540000000001</v>
      </c>
      <c r="T26" s="56">
        <v>10356.09</v>
      </c>
      <c r="U26" s="56">
        <v>10203.450000000001</v>
      </c>
      <c r="V26" s="56">
        <v>9775.24</v>
      </c>
      <c r="W26" s="56">
        <v>10684.59</v>
      </c>
      <c r="X26" s="56">
        <v>11038.4</v>
      </c>
      <c r="Y26" s="56">
        <v>10585.06</v>
      </c>
      <c r="Z26" s="56">
        <v>9768.36</v>
      </c>
      <c r="AA26" s="56">
        <v>8414.93</v>
      </c>
      <c r="AB26" s="56">
        <v>7306.29</v>
      </c>
      <c r="AC26" s="68"/>
    </row>
    <row r="27" spans="2:31" ht="12.5" x14ac:dyDescent="0.25">
      <c r="B27" s="65" t="s">
        <v>37</v>
      </c>
      <c r="C27" s="4" t="s">
        <v>29</v>
      </c>
      <c r="D27" s="5">
        <v>18</v>
      </c>
      <c r="E27" s="56">
        <v>5787.94</v>
      </c>
      <c r="F27" s="56">
        <v>5458.73</v>
      </c>
      <c r="G27" s="56">
        <v>5318.39</v>
      </c>
      <c r="H27" s="56">
        <v>5280.28</v>
      </c>
      <c r="I27" s="56">
        <v>5724.45</v>
      </c>
      <c r="J27" s="56">
        <v>6913.36</v>
      </c>
      <c r="K27" s="56">
        <v>7921.56</v>
      </c>
      <c r="L27" s="56">
        <v>10613.4</v>
      </c>
      <c r="M27" s="56">
        <v>10667.63</v>
      </c>
      <c r="N27" s="56">
        <v>10962.08</v>
      </c>
      <c r="O27" s="56">
        <v>11444</v>
      </c>
      <c r="P27" s="56">
        <v>11915.75</v>
      </c>
      <c r="Q27" s="56">
        <v>11768.57</v>
      </c>
      <c r="R27" s="56">
        <v>11671.72</v>
      </c>
      <c r="S27" s="56">
        <v>11895.48</v>
      </c>
      <c r="T27" s="56">
        <v>11876.23</v>
      </c>
      <c r="U27" s="56">
        <v>11913.24</v>
      </c>
      <c r="V27" s="56">
        <v>10748.47</v>
      </c>
      <c r="W27" s="56">
        <v>11710.61</v>
      </c>
      <c r="X27" s="56">
        <v>12082.28</v>
      </c>
      <c r="Y27" s="56">
        <v>11448.37</v>
      </c>
      <c r="Z27" s="56">
        <v>10353.98</v>
      </c>
      <c r="AA27" s="56">
        <v>8841.64</v>
      </c>
      <c r="AB27" s="56">
        <v>7508.68</v>
      </c>
      <c r="AC27" s="66">
        <f>+SUM(E27:AB27)*D27+SUM(E28:AB28)*D28+SUM(E29:AB29)*D29+SUM(E30:AB30)*D30</f>
        <v>6672712.2599999998</v>
      </c>
    </row>
    <row r="28" spans="2:31" ht="12.5" x14ac:dyDescent="0.25">
      <c r="B28" s="65" t="s">
        <v>37</v>
      </c>
      <c r="C28" s="4" t="s">
        <v>30</v>
      </c>
      <c r="D28" s="5">
        <v>4</v>
      </c>
      <c r="E28" s="56">
        <v>5992.64</v>
      </c>
      <c r="F28" s="56">
        <v>5605.34</v>
      </c>
      <c r="G28" s="56">
        <v>5372.28</v>
      </c>
      <c r="H28" s="56">
        <v>5256.71</v>
      </c>
      <c r="I28" s="56">
        <v>5451.96</v>
      </c>
      <c r="J28" s="56">
        <v>5803.45</v>
      </c>
      <c r="K28" s="56">
        <v>6564.58</v>
      </c>
      <c r="L28" s="56">
        <v>9953.8799999999992</v>
      </c>
      <c r="M28" s="56">
        <v>10559.47</v>
      </c>
      <c r="N28" s="56">
        <v>10922.56</v>
      </c>
      <c r="O28" s="56">
        <v>11322.06</v>
      </c>
      <c r="P28" s="56">
        <v>11582.28</v>
      </c>
      <c r="Q28" s="56">
        <v>11598.45</v>
      </c>
      <c r="R28" s="56">
        <v>11322.18</v>
      </c>
      <c r="S28" s="56">
        <v>11053.23</v>
      </c>
      <c r="T28" s="56">
        <v>10983.38</v>
      </c>
      <c r="U28" s="56">
        <v>10958.08</v>
      </c>
      <c r="V28" s="56">
        <v>10103.41</v>
      </c>
      <c r="W28" s="56">
        <v>10991.82</v>
      </c>
      <c r="X28" s="56">
        <v>11548.28</v>
      </c>
      <c r="Y28" s="56">
        <v>11012.15</v>
      </c>
      <c r="Z28" s="56">
        <v>10155.49</v>
      </c>
      <c r="AA28" s="56">
        <v>9110.57</v>
      </c>
      <c r="AB28" s="56">
        <v>7910.63</v>
      </c>
      <c r="AC28" s="67"/>
    </row>
    <row r="29" spans="2:31" ht="12.5" x14ac:dyDescent="0.25">
      <c r="B29" s="65" t="s">
        <v>37</v>
      </c>
      <c r="C29" s="4" t="s">
        <v>31</v>
      </c>
      <c r="D29" s="5">
        <v>5</v>
      </c>
      <c r="E29" s="56">
        <v>6447.67</v>
      </c>
      <c r="F29" s="56">
        <v>5924.99</v>
      </c>
      <c r="G29" s="56">
        <v>5622.8</v>
      </c>
      <c r="H29" s="56">
        <v>5463.69</v>
      </c>
      <c r="I29" s="56">
        <v>5377.82</v>
      </c>
      <c r="J29" s="56">
        <v>5298.2</v>
      </c>
      <c r="K29" s="56">
        <v>5552.39</v>
      </c>
      <c r="L29" s="56">
        <v>8404.17</v>
      </c>
      <c r="M29" s="56">
        <v>9186.82</v>
      </c>
      <c r="N29" s="56">
        <v>9796.5</v>
      </c>
      <c r="O29" s="56">
        <v>10119.31</v>
      </c>
      <c r="P29" s="56">
        <v>10396.49</v>
      </c>
      <c r="Q29" s="56">
        <v>10504.73</v>
      </c>
      <c r="R29" s="56">
        <v>10391.959999999999</v>
      </c>
      <c r="S29" s="56">
        <v>10083.14</v>
      </c>
      <c r="T29" s="56">
        <v>10053.39</v>
      </c>
      <c r="U29" s="56">
        <v>10141.9</v>
      </c>
      <c r="V29" s="56">
        <v>9367.1</v>
      </c>
      <c r="W29" s="56">
        <v>10270.23</v>
      </c>
      <c r="X29" s="56">
        <v>10926.55</v>
      </c>
      <c r="Y29" s="56">
        <v>10586.04</v>
      </c>
      <c r="Z29" s="56">
        <v>9799.31</v>
      </c>
      <c r="AA29" s="56">
        <v>8653.1200000000008</v>
      </c>
      <c r="AB29" s="56">
        <v>7429.15</v>
      </c>
      <c r="AC29" s="67"/>
    </row>
    <row r="30" spans="2:31" ht="12.5" x14ac:dyDescent="0.25">
      <c r="B30" s="65" t="s">
        <v>37</v>
      </c>
      <c r="C30" s="4" t="s">
        <v>32</v>
      </c>
      <c r="D30" s="5">
        <v>3</v>
      </c>
      <c r="E30" s="56">
        <v>5986.69</v>
      </c>
      <c r="F30" s="56">
        <v>5601.72</v>
      </c>
      <c r="G30" s="56">
        <v>5367.89</v>
      </c>
      <c r="H30" s="56">
        <v>5240.58</v>
      </c>
      <c r="I30" s="56">
        <v>5272.48</v>
      </c>
      <c r="J30" s="56">
        <v>5294.56</v>
      </c>
      <c r="K30" s="56">
        <v>5420.11</v>
      </c>
      <c r="L30" s="56">
        <v>8272.57</v>
      </c>
      <c r="M30" s="56">
        <v>8739.7900000000009</v>
      </c>
      <c r="N30" s="56">
        <v>9281.5300000000007</v>
      </c>
      <c r="O30" s="56">
        <v>10137.799999999999</v>
      </c>
      <c r="P30" s="56">
        <v>10652.23</v>
      </c>
      <c r="Q30" s="56">
        <v>11059.42</v>
      </c>
      <c r="R30" s="56">
        <v>10916.39</v>
      </c>
      <c r="S30" s="56">
        <v>10682.52</v>
      </c>
      <c r="T30" s="56">
        <v>10550.14</v>
      </c>
      <c r="U30" s="56">
        <v>10493.88</v>
      </c>
      <c r="V30" s="56">
        <v>9626.0300000000007</v>
      </c>
      <c r="W30" s="56">
        <v>10614.58</v>
      </c>
      <c r="X30" s="56">
        <v>11285.06</v>
      </c>
      <c r="Y30" s="56">
        <v>10893.7</v>
      </c>
      <c r="Z30" s="56">
        <v>10036.18</v>
      </c>
      <c r="AA30" s="56">
        <v>8662.99</v>
      </c>
      <c r="AB30" s="56">
        <v>7345.25</v>
      </c>
      <c r="AC30" s="68"/>
    </row>
    <row r="31" spans="2:31" ht="12.5" x14ac:dyDescent="0.25">
      <c r="B31" s="65" t="s">
        <v>38</v>
      </c>
      <c r="C31" s="4" t="s">
        <v>29</v>
      </c>
      <c r="D31" s="5">
        <v>22</v>
      </c>
      <c r="E31" s="56">
        <v>5711.88</v>
      </c>
      <c r="F31" s="56">
        <v>5390.75</v>
      </c>
      <c r="G31" s="56">
        <v>5229.13</v>
      </c>
      <c r="H31" s="56">
        <v>5217.04</v>
      </c>
      <c r="I31" s="56">
        <v>5646.07</v>
      </c>
      <c r="J31" s="56">
        <v>6995.33</v>
      </c>
      <c r="K31" s="56">
        <v>7937.71</v>
      </c>
      <c r="L31" s="56">
        <v>10229.51</v>
      </c>
      <c r="M31" s="56">
        <v>10275.49</v>
      </c>
      <c r="N31" s="56">
        <v>10518.08</v>
      </c>
      <c r="O31" s="56">
        <v>10856.62</v>
      </c>
      <c r="P31" s="56">
        <v>11502.07</v>
      </c>
      <c r="Q31" s="56">
        <v>11263.89</v>
      </c>
      <c r="R31" s="56">
        <v>11222.48</v>
      </c>
      <c r="S31" s="56">
        <v>11450.59</v>
      </c>
      <c r="T31" s="56">
        <v>11472.72</v>
      </c>
      <c r="U31" s="56">
        <v>11409.51</v>
      </c>
      <c r="V31" s="56">
        <v>10438.23</v>
      </c>
      <c r="W31" s="56">
        <v>11151.35</v>
      </c>
      <c r="X31" s="56">
        <v>11889.08</v>
      </c>
      <c r="Y31" s="56">
        <v>11348.62</v>
      </c>
      <c r="Z31" s="56">
        <v>10297.86</v>
      </c>
      <c r="AA31" s="56">
        <v>8704.4699999999993</v>
      </c>
      <c r="AB31" s="56">
        <v>7446.09</v>
      </c>
      <c r="AC31" s="66">
        <f>+SUM(E31:AB31)*D31+SUM(E32:AB32)*D32+SUM(E33:AB33)*D33+SUM(E34:AB34)*D34</f>
        <v>6856159.7700000005</v>
      </c>
    </row>
    <row r="32" spans="2:31" ht="12.5" x14ac:dyDescent="0.25">
      <c r="B32" s="65" t="s">
        <v>38</v>
      </c>
      <c r="C32" s="4" t="s">
        <v>30</v>
      </c>
      <c r="D32" s="5">
        <v>4</v>
      </c>
      <c r="E32" s="56">
        <v>6079.96</v>
      </c>
      <c r="F32" s="56">
        <v>5679.81</v>
      </c>
      <c r="G32" s="56">
        <v>5433.82</v>
      </c>
      <c r="H32" s="56">
        <v>5353.47</v>
      </c>
      <c r="I32" s="56">
        <v>5468.09</v>
      </c>
      <c r="J32" s="56">
        <v>5746.86</v>
      </c>
      <c r="K32" s="56">
        <v>6406.92</v>
      </c>
      <c r="L32" s="56">
        <v>9639.0300000000007</v>
      </c>
      <c r="M32" s="56">
        <v>10244.25</v>
      </c>
      <c r="N32" s="56">
        <v>10607.19</v>
      </c>
      <c r="O32" s="56">
        <v>10861.09</v>
      </c>
      <c r="P32" s="56">
        <v>11244.8</v>
      </c>
      <c r="Q32" s="56">
        <v>11357.62</v>
      </c>
      <c r="R32" s="56">
        <v>11105.93</v>
      </c>
      <c r="S32" s="56">
        <v>10907.16</v>
      </c>
      <c r="T32" s="56">
        <v>10703.44</v>
      </c>
      <c r="U32" s="56">
        <v>10579.48</v>
      </c>
      <c r="V32" s="56">
        <v>9879.32</v>
      </c>
      <c r="W32" s="56">
        <v>10508.13</v>
      </c>
      <c r="X32" s="56">
        <v>11180.27</v>
      </c>
      <c r="Y32" s="56">
        <v>10623.4</v>
      </c>
      <c r="Z32" s="56">
        <v>9765.1</v>
      </c>
      <c r="AA32" s="56">
        <v>8651.9599999999991</v>
      </c>
      <c r="AB32" s="56">
        <v>7603.68</v>
      </c>
      <c r="AC32" s="67"/>
    </row>
    <row r="33" spans="2:29" ht="12.5" x14ac:dyDescent="0.25">
      <c r="B33" s="65" t="s">
        <v>38</v>
      </c>
      <c r="C33" s="4" t="s">
        <v>31</v>
      </c>
      <c r="D33" s="5">
        <v>3</v>
      </c>
      <c r="E33" s="56">
        <v>5923.82</v>
      </c>
      <c r="F33" s="56">
        <v>5499.33</v>
      </c>
      <c r="G33" s="56">
        <v>5239.3599999999997</v>
      </c>
      <c r="H33" s="56">
        <v>5107.04</v>
      </c>
      <c r="I33" s="56">
        <v>5041.22</v>
      </c>
      <c r="J33" s="56">
        <v>4980.66</v>
      </c>
      <c r="K33" s="56">
        <v>5249.36</v>
      </c>
      <c r="L33" s="56">
        <v>7861.8</v>
      </c>
      <c r="M33" s="56">
        <v>8653.18</v>
      </c>
      <c r="N33" s="56">
        <v>9079.25</v>
      </c>
      <c r="O33" s="56">
        <v>9395.58</v>
      </c>
      <c r="P33" s="56">
        <v>9901.7099999999991</v>
      </c>
      <c r="Q33" s="56">
        <v>10036.57</v>
      </c>
      <c r="R33" s="56">
        <v>10021.69</v>
      </c>
      <c r="S33" s="56">
        <v>9848.66</v>
      </c>
      <c r="T33" s="56">
        <v>9746.77</v>
      </c>
      <c r="U33" s="56">
        <v>9705.23</v>
      </c>
      <c r="V33" s="56">
        <v>9018.32</v>
      </c>
      <c r="W33" s="56">
        <v>9921.32</v>
      </c>
      <c r="X33" s="56">
        <v>10834.8</v>
      </c>
      <c r="Y33" s="56">
        <v>10555.55</v>
      </c>
      <c r="Z33" s="56">
        <v>9601.68</v>
      </c>
      <c r="AA33" s="56">
        <v>8121.72</v>
      </c>
      <c r="AB33" s="56">
        <v>6943.03</v>
      </c>
      <c r="AC33" s="67"/>
    </row>
    <row r="34" spans="2:29" ht="12.5" x14ac:dyDescent="0.25">
      <c r="B34" s="65" t="s">
        <v>38</v>
      </c>
      <c r="C34" s="4" t="s">
        <v>32</v>
      </c>
      <c r="D34" s="5">
        <v>2</v>
      </c>
      <c r="E34" s="56">
        <v>7790.73</v>
      </c>
      <c r="F34" s="56">
        <v>7042.72</v>
      </c>
      <c r="G34" s="56">
        <v>6535.92</v>
      </c>
      <c r="H34" s="56">
        <v>6161.61</v>
      </c>
      <c r="I34" s="56">
        <v>6202.25</v>
      </c>
      <c r="J34" s="56">
        <v>6167.05</v>
      </c>
      <c r="K34" s="56">
        <v>6822.14</v>
      </c>
      <c r="L34" s="56">
        <v>8494.08</v>
      </c>
      <c r="M34" s="56">
        <v>9732.7900000000009</v>
      </c>
      <c r="N34" s="56">
        <v>10416.91</v>
      </c>
      <c r="O34" s="56">
        <v>10728.21</v>
      </c>
      <c r="P34" s="56">
        <v>11661.07</v>
      </c>
      <c r="Q34" s="56">
        <v>11944.53</v>
      </c>
      <c r="R34" s="56">
        <v>11823.05</v>
      </c>
      <c r="S34" s="56">
        <v>11148.8</v>
      </c>
      <c r="T34" s="56">
        <v>10951.96</v>
      </c>
      <c r="U34" s="56">
        <v>10930.72</v>
      </c>
      <c r="V34" s="56">
        <v>12157.9</v>
      </c>
      <c r="W34" s="56">
        <v>13192.01</v>
      </c>
      <c r="X34" s="56">
        <v>14615.54</v>
      </c>
      <c r="Y34" s="56">
        <v>14344.47</v>
      </c>
      <c r="Z34" s="56">
        <v>13064.2</v>
      </c>
      <c r="AA34" s="56">
        <v>11182.67</v>
      </c>
      <c r="AB34" s="56">
        <v>9625.25</v>
      </c>
      <c r="AC34" s="68"/>
    </row>
    <row r="35" spans="2:29" ht="12.5" x14ac:dyDescent="0.25">
      <c r="B35" s="65" t="s">
        <v>39</v>
      </c>
      <c r="C35" s="4" t="s">
        <v>29</v>
      </c>
      <c r="D35" s="5">
        <v>19</v>
      </c>
      <c r="E35" s="56">
        <v>5945.46</v>
      </c>
      <c r="F35" s="56">
        <v>5562.61</v>
      </c>
      <c r="G35" s="56">
        <v>5406.69</v>
      </c>
      <c r="H35" s="56">
        <v>5371.28</v>
      </c>
      <c r="I35" s="56">
        <v>5868.4</v>
      </c>
      <c r="J35" s="56">
        <v>7406.56</v>
      </c>
      <c r="K35" s="56">
        <v>8451.92</v>
      </c>
      <c r="L35" s="56">
        <v>10665.95</v>
      </c>
      <c r="M35" s="56">
        <v>10582.17</v>
      </c>
      <c r="N35" s="56">
        <v>10737.36</v>
      </c>
      <c r="O35" s="56">
        <v>11135.25</v>
      </c>
      <c r="P35" s="56">
        <v>11622.52</v>
      </c>
      <c r="Q35" s="56">
        <v>11445.22</v>
      </c>
      <c r="R35" s="56">
        <v>11426.12</v>
      </c>
      <c r="S35" s="56">
        <v>11714.17</v>
      </c>
      <c r="T35" s="56">
        <v>11771.73</v>
      </c>
      <c r="U35" s="56">
        <v>11777.35</v>
      </c>
      <c r="V35" s="56">
        <v>10853.18</v>
      </c>
      <c r="W35" s="56">
        <v>11761.91</v>
      </c>
      <c r="X35" s="56">
        <v>12425.3</v>
      </c>
      <c r="Y35" s="56">
        <v>11841.28</v>
      </c>
      <c r="Z35" s="56">
        <v>10696.91</v>
      </c>
      <c r="AA35" s="56">
        <v>9004.86</v>
      </c>
      <c r="AB35" s="56">
        <v>7696.69</v>
      </c>
      <c r="AC35" s="66">
        <f>+SUM(E35:AB35)*D35+SUM(E36:AB36)*D36+SUM(E37:AB37)*D37+SUM(E38:AB38)*D38</f>
        <v>6956478.4100000001</v>
      </c>
    </row>
    <row r="36" spans="2:29" ht="12.5" x14ac:dyDescent="0.25">
      <c r="B36" s="65" t="s">
        <v>39</v>
      </c>
      <c r="C36" s="4" t="s">
        <v>30</v>
      </c>
      <c r="D36" s="5">
        <v>5</v>
      </c>
      <c r="E36" s="56">
        <v>6278.42</v>
      </c>
      <c r="F36" s="56">
        <v>5865.22</v>
      </c>
      <c r="G36" s="56">
        <v>5605.45</v>
      </c>
      <c r="H36" s="56">
        <v>5484.96</v>
      </c>
      <c r="I36" s="56">
        <v>5605.61</v>
      </c>
      <c r="J36" s="56">
        <v>5921.55</v>
      </c>
      <c r="K36" s="56">
        <v>6708.11</v>
      </c>
      <c r="L36" s="56">
        <v>9960.92</v>
      </c>
      <c r="M36" s="56">
        <v>10694.41</v>
      </c>
      <c r="N36" s="56">
        <v>10915.21</v>
      </c>
      <c r="O36" s="56">
        <v>11154.56</v>
      </c>
      <c r="P36" s="56">
        <v>11436.03</v>
      </c>
      <c r="Q36" s="56">
        <v>11515.1</v>
      </c>
      <c r="R36" s="56">
        <v>11524.11</v>
      </c>
      <c r="S36" s="56">
        <v>11249.33</v>
      </c>
      <c r="T36" s="56">
        <v>11129.29</v>
      </c>
      <c r="U36" s="56">
        <v>11058.4</v>
      </c>
      <c r="V36" s="56">
        <v>10427.219999999999</v>
      </c>
      <c r="W36" s="56">
        <v>11208.38</v>
      </c>
      <c r="X36" s="56">
        <v>11739.68</v>
      </c>
      <c r="Y36" s="56">
        <v>11100.36</v>
      </c>
      <c r="Z36" s="56">
        <v>10210.23</v>
      </c>
      <c r="AA36" s="56">
        <v>8909.65</v>
      </c>
      <c r="AB36" s="56">
        <v>7851.1</v>
      </c>
      <c r="AC36" s="67"/>
    </row>
    <row r="37" spans="2:29" ht="12.5" x14ac:dyDescent="0.25">
      <c r="B37" s="65" t="s">
        <v>39</v>
      </c>
      <c r="C37" s="4" t="s">
        <v>31</v>
      </c>
      <c r="D37" s="5">
        <v>5</v>
      </c>
      <c r="E37" s="56">
        <v>6273.08</v>
      </c>
      <c r="F37" s="56">
        <v>5841.86</v>
      </c>
      <c r="G37" s="56">
        <v>5529.27</v>
      </c>
      <c r="H37" s="56">
        <v>5354.99</v>
      </c>
      <c r="I37" s="56">
        <v>5290.52</v>
      </c>
      <c r="J37" s="56">
        <v>5329.15</v>
      </c>
      <c r="K37" s="56">
        <v>5486.45</v>
      </c>
      <c r="L37" s="56">
        <v>8217.7099999999991</v>
      </c>
      <c r="M37" s="56">
        <v>8960.67</v>
      </c>
      <c r="N37" s="56">
        <v>9494.69</v>
      </c>
      <c r="O37" s="56">
        <v>9841.83</v>
      </c>
      <c r="P37" s="56">
        <v>10320.65</v>
      </c>
      <c r="Q37" s="56">
        <v>10562.98</v>
      </c>
      <c r="R37" s="56">
        <v>10434.91</v>
      </c>
      <c r="S37" s="56">
        <v>10167.67</v>
      </c>
      <c r="T37" s="56">
        <v>10121.799999999999</v>
      </c>
      <c r="U37" s="56">
        <v>10231.15</v>
      </c>
      <c r="V37" s="56">
        <v>9655.9699999999993</v>
      </c>
      <c r="W37" s="56">
        <v>10683.61</v>
      </c>
      <c r="X37" s="56">
        <v>11313</v>
      </c>
      <c r="Y37" s="56">
        <v>10855.6</v>
      </c>
      <c r="Z37" s="56">
        <v>9785.98</v>
      </c>
      <c r="AA37" s="56">
        <v>8425.7000000000007</v>
      </c>
      <c r="AB37" s="56">
        <v>7314.64</v>
      </c>
      <c r="AC37" s="67"/>
    </row>
    <row r="38" spans="2:29" ht="12.5" x14ac:dyDescent="0.25">
      <c r="B38" s="65" t="s">
        <v>39</v>
      </c>
      <c r="C38" s="4" t="s">
        <v>32</v>
      </c>
      <c r="D38" s="5">
        <v>2</v>
      </c>
      <c r="E38" s="56">
        <v>6056.41</v>
      </c>
      <c r="F38" s="56">
        <v>5602.14</v>
      </c>
      <c r="G38" s="56">
        <v>5428.59</v>
      </c>
      <c r="H38" s="56">
        <v>5342.21</v>
      </c>
      <c r="I38" s="56">
        <v>5445.1</v>
      </c>
      <c r="J38" s="56">
        <v>5569.71</v>
      </c>
      <c r="K38" s="56">
        <v>5750.52</v>
      </c>
      <c r="L38" s="56">
        <v>8465.01</v>
      </c>
      <c r="M38" s="56">
        <v>9058.9</v>
      </c>
      <c r="N38" s="56">
        <v>9505.73</v>
      </c>
      <c r="O38" s="56">
        <v>10125.469999999999</v>
      </c>
      <c r="P38" s="56">
        <v>10469.969999999999</v>
      </c>
      <c r="Q38" s="56">
        <v>10630.12</v>
      </c>
      <c r="R38" s="56">
        <v>10876.37</v>
      </c>
      <c r="S38" s="56">
        <v>10736.05</v>
      </c>
      <c r="T38" s="56">
        <v>10478.200000000001</v>
      </c>
      <c r="U38" s="56">
        <v>10700.51</v>
      </c>
      <c r="V38" s="56">
        <v>10247.36</v>
      </c>
      <c r="W38" s="56">
        <v>11115.7</v>
      </c>
      <c r="X38" s="56">
        <v>11558.02</v>
      </c>
      <c r="Y38" s="56">
        <v>10954</v>
      </c>
      <c r="Z38" s="56">
        <v>9826.1</v>
      </c>
      <c r="AA38" s="56">
        <v>8403.2199999999993</v>
      </c>
      <c r="AB38" s="56">
        <v>7152.39</v>
      </c>
      <c r="AC38" s="68"/>
    </row>
    <row r="39" spans="2:29" ht="12.5" x14ac:dyDescent="0.25">
      <c r="B39" s="65" t="s">
        <v>40</v>
      </c>
      <c r="C39" s="4" t="s">
        <v>29</v>
      </c>
      <c r="D39" s="5">
        <v>22</v>
      </c>
      <c r="E39" s="56">
        <v>5776.12</v>
      </c>
      <c r="F39" s="56">
        <v>5446.2</v>
      </c>
      <c r="G39" s="56">
        <v>5309.92</v>
      </c>
      <c r="H39" s="56">
        <v>5241.54</v>
      </c>
      <c r="I39" s="56">
        <v>5720.35</v>
      </c>
      <c r="J39" s="56">
        <v>7125.21</v>
      </c>
      <c r="K39" s="56">
        <v>8170.83</v>
      </c>
      <c r="L39" s="56">
        <v>10483.200000000001</v>
      </c>
      <c r="M39" s="56">
        <v>10408.950000000001</v>
      </c>
      <c r="N39" s="56">
        <v>10586.26</v>
      </c>
      <c r="O39" s="56">
        <v>10994.25</v>
      </c>
      <c r="P39" s="56">
        <v>11553.5</v>
      </c>
      <c r="Q39" s="56">
        <v>11326.92</v>
      </c>
      <c r="R39" s="56">
        <v>11231.59</v>
      </c>
      <c r="S39" s="56">
        <v>11522.46</v>
      </c>
      <c r="T39" s="56">
        <v>11620.11</v>
      </c>
      <c r="U39" s="56">
        <v>11595.47</v>
      </c>
      <c r="V39" s="56">
        <v>10653.94</v>
      </c>
      <c r="W39" s="56">
        <v>11743.02</v>
      </c>
      <c r="X39" s="56">
        <v>12023.38</v>
      </c>
      <c r="Y39" s="56">
        <v>11413.49</v>
      </c>
      <c r="Z39" s="56">
        <v>10382.14</v>
      </c>
      <c r="AA39" s="56">
        <v>8746.8700000000008</v>
      </c>
      <c r="AB39" s="56">
        <v>7405.5</v>
      </c>
      <c r="AC39" s="66">
        <f>+SUM(E39:AB39)*D39+SUM(E40:AB40)*D40+SUM(E41:AB41)*D41+SUM(E42:AB42)*D42</f>
        <v>6656991.04</v>
      </c>
    </row>
    <row r="40" spans="2:29" ht="12.5" x14ac:dyDescent="0.25">
      <c r="B40" s="65" t="s">
        <v>40</v>
      </c>
      <c r="C40" s="4" t="s">
        <v>30</v>
      </c>
      <c r="D40" s="5">
        <v>4</v>
      </c>
      <c r="E40" s="56">
        <v>5985.44</v>
      </c>
      <c r="F40" s="56">
        <v>5549.27</v>
      </c>
      <c r="G40" s="56">
        <v>5361.54</v>
      </c>
      <c r="H40" s="56">
        <v>5262.18</v>
      </c>
      <c r="I40" s="56">
        <v>5402.39</v>
      </c>
      <c r="J40" s="56">
        <v>5837.08</v>
      </c>
      <c r="K40" s="56">
        <v>6525.52</v>
      </c>
      <c r="L40" s="56">
        <v>9830.06</v>
      </c>
      <c r="M40" s="56">
        <v>10394.24</v>
      </c>
      <c r="N40" s="56">
        <v>10724.41</v>
      </c>
      <c r="O40" s="56">
        <v>11116.53</v>
      </c>
      <c r="P40" s="56">
        <v>11347.22</v>
      </c>
      <c r="Q40" s="56">
        <v>11337.85</v>
      </c>
      <c r="R40" s="56">
        <v>11201.96</v>
      </c>
      <c r="S40" s="56">
        <v>10984.53</v>
      </c>
      <c r="T40" s="56">
        <v>10919.01</v>
      </c>
      <c r="U40" s="56">
        <v>11086.76</v>
      </c>
      <c r="V40" s="56">
        <v>10201.459999999999</v>
      </c>
      <c r="W40" s="56">
        <v>11222.55</v>
      </c>
      <c r="X40" s="56">
        <v>11356.44</v>
      </c>
      <c r="Y40" s="56">
        <v>10760.65</v>
      </c>
      <c r="Z40" s="56">
        <v>9803.01</v>
      </c>
      <c r="AA40" s="56">
        <v>8749.16</v>
      </c>
      <c r="AB40" s="56">
        <v>7597.77</v>
      </c>
      <c r="AC40" s="67"/>
    </row>
    <row r="41" spans="2:29" ht="12.5" x14ac:dyDescent="0.25">
      <c r="B41" s="65" t="s">
        <v>40</v>
      </c>
      <c r="C41" s="4" t="s">
        <v>31</v>
      </c>
      <c r="D41" s="5">
        <v>4</v>
      </c>
      <c r="E41" s="56">
        <v>6152.7</v>
      </c>
      <c r="F41" s="56">
        <v>5705.16</v>
      </c>
      <c r="G41" s="56">
        <v>5384.85</v>
      </c>
      <c r="H41" s="56">
        <v>5252.19</v>
      </c>
      <c r="I41" s="56">
        <v>5118.37</v>
      </c>
      <c r="J41" s="56">
        <v>5056.6000000000004</v>
      </c>
      <c r="K41" s="56">
        <v>5320.94</v>
      </c>
      <c r="L41" s="56">
        <v>8045.67</v>
      </c>
      <c r="M41" s="56">
        <v>8635.5499999999993</v>
      </c>
      <c r="N41" s="56">
        <v>9090.9</v>
      </c>
      <c r="O41" s="56">
        <v>9549.44</v>
      </c>
      <c r="P41" s="56">
        <v>10039.43</v>
      </c>
      <c r="Q41" s="56">
        <v>10382.44</v>
      </c>
      <c r="R41" s="56">
        <v>10342.1</v>
      </c>
      <c r="S41" s="56">
        <v>10101.219999999999</v>
      </c>
      <c r="T41" s="56">
        <v>9967.0300000000007</v>
      </c>
      <c r="U41" s="56">
        <v>10003.73</v>
      </c>
      <c r="V41" s="56">
        <v>9525.25</v>
      </c>
      <c r="W41" s="56">
        <v>10510.49</v>
      </c>
      <c r="X41" s="56">
        <v>10984.1</v>
      </c>
      <c r="Y41" s="56">
        <v>10386.36</v>
      </c>
      <c r="Z41" s="56">
        <v>9513.64</v>
      </c>
      <c r="AA41" s="56">
        <v>8051.6</v>
      </c>
      <c r="AB41" s="56">
        <v>6924.26</v>
      </c>
      <c r="AC41" s="67"/>
    </row>
    <row r="42" spans="2:29" ht="12.5" x14ac:dyDescent="0.25">
      <c r="B42" s="65" t="s">
        <v>40</v>
      </c>
      <c r="C42" s="4" t="s">
        <v>32</v>
      </c>
      <c r="D42" s="5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68"/>
    </row>
    <row r="43" spans="2:29" ht="12.5" x14ac:dyDescent="0.25">
      <c r="B43" s="65" t="s">
        <v>41</v>
      </c>
      <c r="C43" s="4" t="s">
        <v>29</v>
      </c>
      <c r="D43" s="5">
        <v>22</v>
      </c>
      <c r="E43" s="56">
        <v>5797.78</v>
      </c>
      <c r="F43" s="56">
        <v>5442.23</v>
      </c>
      <c r="G43" s="56">
        <v>5296.59</v>
      </c>
      <c r="H43" s="56">
        <v>5263.53</v>
      </c>
      <c r="I43" s="56">
        <v>5729.03</v>
      </c>
      <c r="J43" s="56">
        <v>7059.75</v>
      </c>
      <c r="K43" s="56">
        <v>8045.05</v>
      </c>
      <c r="L43" s="56">
        <v>10434.43</v>
      </c>
      <c r="M43" s="56">
        <v>10414.74</v>
      </c>
      <c r="N43" s="56">
        <v>10591.63</v>
      </c>
      <c r="O43" s="56">
        <v>11025.07</v>
      </c>
      <c r="P43" s="56">
        <v>11610.88</v>
      </c>
      <c r="Q43" s="56">
        <v>11410.25</v>
      </c>
      <c r="R43" s="56">
        <v>11356.74</v>
      </c>
      <c r="S43" s="56">
        <v>11594.67</v>
      </c>
      <c r="T43" s="56">
        <v>11722.46</v>
      </c>
      <c r="U43" s="56">
        <v>11767.23</v>
      </c>
      <c r="V43" s="56">
        <v>11046.66</v>
      </c>
      <c r="W43" s="56">
        <v>12174.3</v>
      </c>
      <c r="X43" s="56">
        <v>12124.63</v>
      </c>
      <c r="Y43" s="56">
        <v>11474.2</v>
      </c>
      <c r="Z43" s="56">
        <v>10492.5</v>
      </c>
      <c r="AA43" s="56">
        <v>8844.0400000000009</v>
      </c>
      <c r="AB43" s="56">
        <v>7489.52</v>
      </c>
      <c r="AC43" s="66">
        <f>+SUM(E43:AB43)*D43+SUM(E44:AB44)*D44+SUM(E45:AB45)*D45+SUM(E46:AB46)*D46</f>
        <v>6934712.71</v>
      </c>
    </row>
    <row r="44" spans="2:29" ht="12.5" x14ac:dyDescent="0.25">
      <c r="B44" s="65" t="s">
        <v>41</v>
      </c>
      <c r="C44" s="4" t="s">
        <v>30</v>
      </c>
      <c r="D44" s="5">
        <v>4</v>
      </c>
      <c r="E44" s="56">
        <v>6098.28</v>
      </c>
      <c r="F44" s="56">
        <v>5665.51</v>
      </c>
      <c r="G44" s="56">
        <v>5447.41</v>
      </c>
      <c r="H44" s="56">
        <v>5338.61</v>
      </c>
      <c r="I44" s="56">
        <v>5449.59</v>
      </c>
      <c r="J44" s="56">
        <v>5784.95</v>
      </c>
      <c r="K44" s="56">
        <v>6484.38</v>
      </c>
      <c r="L44" s="56">
        <v>9726.48</v>
      </c>
      <c r="M44" s="56">
        <v>10274.370000000001</v>
      </c>
      <c r="N44" s="56">
        <v>10694.29</v>
      </c>
      <c r="O44" s="56">
        <v>10995.5</v>
      </c>
      <c r="P44" s="56">
        <v>11414.36</v>
      </c>
      <c r="Q44" s="56">
        <v>11548.77</v>
      </c>
      <c r="R44" s="56">
        <v>11316.59</v>
      </c>
      <c r="S44" s="56">
        <v>11270.42</v>
      </c>
      <c r="T44" s="56">
        <v>11179.82</v>
      </c>
      <c r="U44" s="56">
        <v>11265.12</v>
      </c>
      <c r="V44" s="56">
        <v>10580.69</v>
      </c>
      <c r="W44" s="56">
        <v>11789.11</v>
      </c>
      <c r="X44" s="56">
        <v>11742</v>
      </c>
      <c r="Y44" s="56">
        <v>11137.85</v>
      </c>
      <c r="Z44" s="56">
        <v>10240.44</v>
      </c>
      <c r="AA44" s="56">
        <v>9081.31</v>
      </c>
      <c r="AB44" s="56">
        <v>7922.66</v>
      </c>
      <c r="AC44" s="67"/>
    </row>
    <row r="45" spans="2:29" ht="12.5" x14ac:dyDescent="0.25">
      <c r="B45" s="65" t="s">
        <v>41</v>
      </c>
      <c r="C45" s="4" t="s">
        <v>31</v>
      </c>
      <c r="D45" s="5">
        <v>4</v>
      </c>
      <c r="E45" s="56">
        <v>6286.03</v>
      </c>
      <c r="F45" s="56">
        <v>5765.01</v>
      </c>
      <c r="G45" s="56">
        <v>5443.76</v>
      </c>
      <c r="H45" s="56">
        <v>5297.1</v>
      </c>
      <c r="I45" s="56">
        <v>5314.42</v>
      </c>
      <c r="J45" s="56">
        <v>5211.57</v>
      </c>
      <c r="K45" s="56">
        <v>5361.36</v>
      </c>
      <c r="L45" s="56">
        <v>7897.39</v>
      </c>
      <c r="M45" s="56">
        <v>8678.36</v>
      </c>
      <c r="N45" s="56">
        <v>9227.94</v>
      </c>
      <c r="O45" s="56">
        <v>9788.65</v>
      </c>
      <c r="P45" s="56">
        <v>10278.16</v>
      </c>
      <c r="Q45" s="56">
        <v>10532.24</v>
      </c>
      <c r="R45" s="56">
        <v>10455.790000000001</v>
      </c>
      <c r="S45" s="56">
        <v>10122.23</v>
      </c>
      <c r="T45" s="56">
        <v>10152.370000000001</v>
      </c>
      <c r="U45" s="56">
        <v>10187.66</v>
      </c>
      <c r="V45" s="56">
        <v>9826.9599999999991</v>
      </c>
      <c r="W45" s="56">
        <v>11127.92</v>
      </c>
      <c r="X45" s="56">
        <v>11293.22</v>
      </c>
      <c r="Y45" s="56">
        <v>10766.53</v>
      </c>
      <c r="Z45" s="56">
        <v>9770.77</v>
      </c>
      <c r="AA45" s="56">
        <v>8431.31</v>
      </c>
      <c r="AB45" s="56">
        <v>7265.88</v>
      </c>
      <c r="AC45" s="67"/>
    </row>
    <row r="46" spans="2:29" ht="12.5" x14ac:dyDescent="0.25">
      <c r="B46" s="65" t="s">
        <v>41</v>
      </c>
      <c r="C46" s="4" t="s">
        <v>32</v>
      </c>
      <c r="D46" s="5">
        <v>1</v>
      </c>
      <c r="E46" s="56">
        <v>5855.28</v>
      </c>
      <c r="F46" s="56">
        <v>5460.69</v>
      </c>
      <c r="G46" s="56">
        <v>5234.08</v>
      </c>
      <c r="H46" s="56">
        <v>5175.2299999999996</v>
      </c>
      <c r="I46" s="56">
        <v>5293.13</v>
      </c>
      <c r="J46" s="56">
        <v>5228.8100000000004</v>
      </c>
      <c r="K46" s="56">
        <v>5381.57</v>
      </c>
      <c r="L46" s="56">
        <v>7997.29</v>
      </c>
      <c r="M46" s="56">
        <v>8635</v>
      </c>
      <c r="N46" s="56">
        <v>9390.26</v>
      </c>
      <c r="O46" s="56">
        <v>9973.89</v>
      </c>
      <c r="P46" s="56">
        <v>10466.44</v>
      </c>
      <c r="Q46" s="56">
        <v>10895.92</v>
      </c>
      <c r="R46" s="56">
        <v>10732.5</v>
      </c>
      <c r="S46" s="56">
        <v>10507.67</v>
      </c>
      <c r="T46" s="56">
        <v>10342.74</v>
      </c>
      <c r="U46" s="56">
        <v>10436.73</v>
      </c>
      <c r="V46" s="56">
        <v>10230.209999999999</v>
      </c>
      <c r="W46" s="56">
        <v>11628.64</v>
      </c>
      <c r="X46" s="56">
        <v>11373.19</v>
      </c>
      <c r="Y46" s="56">
        <v>10943.26</v>
      </c>
      <c r="Z46" s="56">
        <v>9857.5400000000009</v>
      </c>
      <c r="AA46" s="56">
        <v>8327.64</v>
      </c>
      <c r="AB46" s="56">
        <v>7046.42</v>
      </c>
      <c r="AC46" s="68"/>
    </row>
    <row r="47" spans="2:29" ht="12.5" x14ac:dyDescent="0.25">
      <c r="B47" s="65" t="s">
        <v>42</v>
      </c>
      <c r="C47" s="4" t="s">
        <v>29</v>
      </c>
      <c r="D47" s="5">
        <v>18</v>
      </c>
      <c r="E47" s="56">
        <v>5820.99</v>
      </c>
      <c r="F47" s="56">
        <v>5467.77</v>
      </c>
      <c r="G47" s="56">
        <v>5413.6</v>
      </c>
      <c r="H47" s="56">
        <v>5364.99</v>
      </c>
      <c r="I47" s="56">
        <v>5861.27</v>
      </c>
      <c r="J47" s="56">
        <v>7221.46</v>
      </c>
      <c r="K47" s="56">
        <v>8387.7800000000007</v>
      </c>
      <c r="L47" s="56">
        <v>10790.91</v>
      </c>
      <c r="M47" s="56">
        <v>10734.01</v>
      </c>
      <c r="N47" s="56">
        <v>10853.96</v>
      </c>
      <c r="O47" s="56">
        <v>11390.37</v>
      </c>
      <c r="P47" s="56">
        <v>11870.19</v>
      </c>
      <c r="Q47" s="56">
        <v>11621.08</v>
      </c>
      <c r="R47" s="56">
        <v>11540.01</v>
      </c>
      <c r="S47" s="56">
        <v>11838.47</v>
      </c>
      <c r="T47" s="56">
        <v>11995.49</v>
      </c>
      <c r="U47" s="56">
        <v>12038.58</v>
      </c>
      <c r="V47" s="56">
        <v>11310.43</v>
      </c>
      <c r="W47" s="56">
        <v>12371.77</v>
      </c>
      <c r="X47" s="56">
        <v>12198.63</v>
      </c>
      <c r="Y47" s="56">
        <v>11637.33</v>
      </c>
      <c r="Z47" s="56">
        <v>10582.79</v>
      </c>
      <c r="AA47" s="56">
        <v>8898.1</v>
      </c>
      <c r="AB47" s="56">
        <v>7574.88</v>
      </c>
      <c r="AC47" s="66">
        <f>+SUM(E47:AB47)*D47+SUM(E48:AB48)*D48+SUM(E49:AB49)*D49+SUM(E50:AB50)*D50</f>
        <v>6776537.8099999987</v>
      </c>
    </row>
    <row r="48" spans="2:29" ht="12.5" x14ac:dyDescent="0.25">
      <c r="B48" s="65" t="s">
        <v>42</v>
      </c>
      <c r="C48" s="4" t="s">
        <v>30</v>
      </c>
      <c r="D48" s="5">
        <v>5</v>
      </c>
      <c r="E48" s="56">
        <v>6178</v>
      </c>
      <c r="F48" s="56">
        <v>5771.2</v>
      </c>
      <c r="G48" s="56">
        <v>5512.3</v>
      </c>
      <c r="H48" s="56">
        <v>5448.18</v>
      </c>
      <c r="I48" s="56">
        <v>5639.6</v>
      </c>
      <c r="J48" s="56">
        <v>5991.66</v>
      </c>
      <c r="K48" s="56">
        <v>6802.47</v>
      </c>
      <c r="L48" s="56">
        <v>10049.040000000001</v>
      </c>
      <c r="M48" s="56">
        <v>10609.25</v>
      </c>
      <c r="N48" s="56">
        <v>10940.38</v>
      </c>
      <c r="O48" s="56">
        <v>11252.28</v>
      </c>
      <c r="P48" s="56">
        <v>11572.75</v>
      </c>
      <c r="Q48" s="56">
        <v>11581.5</v>
      </c>
      <c r="R48" s="56">
        <v>11367.36</v>
      </c>
      <c r="S48" s="56">
        <v>11217.35</v>
      </c>
      <c r="T48" s="56">
        <v>11176.35</v>
      </c>
      <c r="U48" s="56">
        <v>11275.17</v>
      </c>
      <c r="V48" s="56">
        <v>10732.58</v>
      </c>
      <c r="W48" s="56">
        <v>11915.1</v>
      </c>
      <c r="X48" s="56">
        <v>11846.93</v>
      </c>
      <c r="Y48" s="56">
        <v>11218.95</v>
      </c>
      <c r="Z48" s="56">
        <v>10258.08</v>
      </c>
      <c r="AA48" s="56">
        <v>9153.75</v>
      </c>
      <c r="AB48" s="56">
        <v>7961.04</v>
      </c>
      <c r="AC48" s="67"/>
    </row>
    <row r="49" spans="2:29" ht="12.5" x14ac:dyDescent="0.25">
      <c r="B49" s="65" t="s">
        <v>42</v>
      </c>
      <c r="C49" s="4" t="s">
        <v>31</v>
      </c>
      <c r="D49" s="5">
        <v>5</v>
      </c>
      <c r="E49" s="56">
        <v>6428.04</v>
      </c>
      <c r="F49" s="56">
        <v>6007.65</v>
      </c>
      <c r="G49" s="56">
        <v>5674.62</v>
      </c>
      <c r="H49" s="56">
        <v>5524.87</v>
      </c>
      <c r="I49" s="56">
        <v>5431.19</v>
      </c>
      <c r="J49" s="56">
        <v>5444.6</v>
      </c>
      <c r="K49" s="56">
        <v>5496.51</v>
      </c>
      <c r="L49" s="56">
        <v>8248.9</v>
      </c>
      <c r="M49" s="56">
        <v>9112.15</v>
      </c>
      <c r="N49" s="56">
        <v>9612.2999999999993</v>
      </c>
      <c r="O49" s="56">
        <v>9921.86</v>
      </c>
      <c r="P49" s="56">
        <v>10338.76</v>
      </c>
      <c r="Q49" s="56">
        <v>10641.36</v>
      </c>
      <c r="R49" s="56">
        <v>10569.54</v>
      </c>
      <c r="S49" s="56">
        <v>10430.15</v>
      </c>
      <c r="T49" s="56">
        <v>10350.5</v>
      </c>
      <c r="U49" s="56">
        <v>10538.61</v>
      </c>
      <c r="V49" s="56">
        <v>9949.73</v>
      </c>
      <c r="W49" s="56">
        <v>11181.25</v>
      </c>
      <c r="X49" s="56">
        <v>11240.46</v>
      </c>
      <c r="Y49" s="56">
        <v>10722.56</v>
      </c>
      <c r="Z49" s="56">
        <v>9821.4699999999993</v>
      </c>
      <c r="AA49" s="56">
        <v>8425.67</v>
      </c>
      <c r="AB49" s="56">
        <v>7305.25</v>
      </c>
      <c r="AC49" s="67"/>
    </row>
    <row r="50" spans="2:29" ht="12.5" x14ac:dyDescent="0.25">
      <c r="B50" s="65" t="s">
        <v>42</v>
      </c>
      <c r="C50" s="4" t="s">
        <v>32</v>
      </c>
      <c r="D50" s="5">
        <v>2</v>
      </c>
      <c r="E50" s="56">
        <v>5979.26</v>
      </c>
      <c r="F50" s="56">
        <v>5571.73</v>
      </c>
      <c r="G50" s="56">
        <v>5395.53</v>
      </c>
      <c r="H50" s="56">
        <v>5228.32</v>
      </c>
      <c r="I50" s="56">
        <v>5254.6</v>
      </c>
      <c r="J50" s="56">
        <v>5365.21</v>
      </c>
      <c r="K50" s="56">
        <v>5480.13</v>
      </c>
      <c r="L50" s="56">
        <v>8196.3799999999992</v>
      </c>
      <c r="M50" s="56">
        <v>8809.14</v>
      </c>
      <c r="N50" s="56">
        <v>9354.2199999999993</v>
      </c>
      <c r="O50" s="56">
        <v>10038</v>
      </c>
      <c r="P50" s="56">
        <v>10625.33</v>
      </c>
      <c r="Q50" s="56">
        <v>10857.5</v>
      </c>
      <c r="R50" s="56">
        <v>10773.28</v>
      </c>
      <c r="S50" s="56">
        <v>10660.73</v>
      </c>
      <c r="T50" s="56">
        <v>10657.87</v>
      </c>
      <c r="U50" s="56">
        <v>10881.53</v>
      </c>
      <c r="V50" s="56">
        <v>10386.09</v>
      </c>
      <c r="W50" s="56">
        <v>11558.24</v>
      </c>
      <c r="X50" s="56">
        <v>11583.61</v>
      </c>
      <c r="Y50" s="56">
        <v>10906.85</v>
      </c>
      <c r="Z50" s="56">
        <v>9693.07</v>
      </c>
      <c r="AA50" s="56">
        <v>8124.59</v>
      </c>
      <c r="AB50" s="56">
        <v>7100.78</v>
      </c>
      <c r="AC50" s="68"/>
    </row>
    <row r="51" spans="2:29" ht="12.5" x14ac:dyDescent="0.25">
      <c r="B51" s="65" t="s">
        <v>43</v>
      </c>
      <c r="C51" s="4" t="s">
        <v>29</v>
      </c>
      <c r="D51" s="5">
        <v>21</v>
      </c>
      <c r="E51" s="56">
        <v>6154.89</v>
      </c>
      <c r="F51" s="56">
        <v>5702.16</v>
      </c>
      <c r="G51" s="56">
        <v>5495.25</v>
      </c>
      <c r="H51" s="56">
        <v>5419.3</v>
      </c>
      <c r="I51" s="56">
        <v>5722.94</v>
      </c>
      <c r="J51" s="56">
        <v>6444.32</v>
      </c>
      <c r="K51" s="56">
        <v>7191.89</v>
      </c>
      <c r="L51" s="56">
        <v>10183.780000000001</v>
      </c>
      <c r="M51" s="56">
        <v>10578.9</v>
      </c>
      <c r="N51" s="56">
        <v>10866.98</v>
      </c>
      <c r="O51" s="56">
        <v>11292.9</v>
      </c>
      <c r="P51" s="56">
        <v>11887.64</v>
      </c>
      <c r="Q51" s="56">
        <v>11728.42</v>
      </c>
      <c r="R51" s="56">
        <v>11392.7</v>
      </c>
      <c r="S51" s="56">
        <v>11765.16</v>
      </c>
      <c r="T51" s="56">
        <v>11830.5</v>
      </c>
      <c r="U51" s="56">
        <v>11834.72</v>
      </c>
      <c r="V51" s="56">
        <v>10966.11</v>
      </c>
      <c r="W51" s="56">
        <v>12297.44</v>
      </c>
      <c r="X51" s="56">
        <v>12322.28</v>
      </c>
      <c r="Y51" s="56">
        <v>11689.25</v>
      </c>
      <c r="Z51" s="56">
        <v>10713.47</v>
      </c>
      <c r="AA51" s="56">
        <v>9212.57</v>
      </c>
      <c r="AB51" s="56">
        <v>7962.32</v>
      </c>
      <c r="AC51" s="66">
        <f>+SUM(E51:AB51)*D51+SUM(E52:AB52)*D52+SUM(E53:AB53)*D53+SUM(E54:AB54)*D54</f>
        <v>6993819.4699999997</v>
      </c>
    </row>
    <row r="52" spans="2:29" ht="12.5" x14ac:dyDescent="0.25">
      <c r="B52" s="65" t="s">
        <v>43</v>
      </c>
      <c r="C52" s="4" t="s">
        <v>30</v>
      </c>
      <c r="D52" s="5">
        <v>4</v>
      </c>
      <c r="E52" s="56">
        <v>6342.09</v>
      </c>
      <c r="F52" s="56">
        <v>5891.87</v>
      </c>
      <c r="G52" s="56">
        <v>5655.17</v>
      </c>
      <c r="H52" s="56">
        <v>5468.49</v>
      </c>
      <c r="I52" s="56">
        <v>5701.28</v>
      </c>
      <c r="J52" s="56">
        <v>6045.72</v>
      </c>
      <c r="K52" s="56">
        <v>6626.1</v>
      </c>
      <c r="L52" s="56">
        <v>9812.77</v>
      </c>
      <c r="M52" s="56">
        <v>10438.459999999999</v>
      </c>
      <c r="N52" s="56">
        <v>10820.39</v>
      </c>
      <c r="O52" s="56">
        <v>11135.52</v>
      </c>
      <c r="P52" s="56">
        <v>11497.19</v>
      </c>
      <c r="Q52" s="56">
        <v>11503.86</v>
      </c>
      <c r="R52" s="56">
        <v>11322.88</v>
      </c>
      <c r="S52" s="56">
        <v>11296.8</v>
      </c>
      <c r="T52" s="56">
        <v>11160.87</v>
      </c>
      <c r="U52" s="56">
        <v>11251.65</v>
      </c>
      <c r="V52" s="56">
        <v>10380.07</v>
      </c>
      <c r="W52" s="56">
        <v>11918.09</v>
      </c>
      <c r="X52" s="56">
        <v>12021.83</v>
      </c>
      <c r="Y52" s="56">
        <v>11498.14</v>
      </c>
      <c r="Z52" s="56">
        <v>10664.9</v>
      </c>
      <c r="AA52" s="56">
        <v>9457.73</v>
      </c>
      <c r="AB52" s="56">
        <v>8329.5</v>
      </c>
      <c r="AC52" s="67"/>
    </row>
    <row r="53" spans="2:29" ht="12.5" x14ac:dyDescent="0.25">
      <c r="B53" s="65" t="s">
        <v>43</v>
      </c>
      <c r="C53" s="4" t="s">
        <v>31</v>
      </c>
      <c r="D53" s="5">
        <v>4</v>
      </c>
      <c r="E53" s="56">
        <v>6677.95</v>
      </c>
      <c r="F53" s="56">
        <v>6125.31</v>
      </c>
      <c r="G53" s="56">
        <v>5760.79</v>
      </c>
      <c r="H53" s="56">
        <v>5591.47</v>
      </c>
      <c r="I53" s="56">
        <v>5486.06</v>
      </c>
      <c r="J53" s="56">
        <v>5538.97</v>
      </c>
      <c r="K53" s="56">
        <v>5614.41</v>
      </c>
      <c r="L53" s="56">
        <v>8593.1200000000008</v>
      </c>
      <c r="M53" s="56">
        <v>9460.33</v>
      </c>
      <c r="N53" s="56">
        <v>9852.2199999999993</v>
      </c>
      <c r="O53" s="56">
        <v>10287.66</v>
      </c>
      <c r="P53" s="56">
        <v>10758.52</v>
      </c>
      <c r="Q53" s="56">
        <v>11065.6</v>
      </c>
      <c r="R53" s="56">
        <v>10769.57</v>
      </c>
      <c r="S53" s="56">
        <v>10315.4</v>
      </c>
      <c r="T53" s="56">
        <v>10482.5</v>
      </c>
      <c r="U53" s="56">
        <v>10493.36</v>
      </c>
      <c r="V53" s="56">
        <v>9952.23</v>
      </c>
      <c r="W53" s="56">
        <v>11153.31</v>
      </c>
      <c r="X53" s="56">
        <v>11254.43</v>
      </c>
      <c r="Y53" s="56">
        <v>10854.29</v>
      </c>
      <c r="Z53" s="56">
        <v>10208.83</v>
      </c>
      <c r="AA53" s="56">
        <v>8921.76</v>
      </c>
      <c r="AB53" s="56">
        <v>7872.63</v>
      </c>
      <c r="AC53" s="67"/>
    </row>
    <row r="54" spans="2:29" ht="12.5" x14ac:dyDescent="0.25">
      <c r="B54" s="65" t="s">
        <v>43</v>
      </c>
      <c r="C54" s="4" t="s">
        <v>32</v>
      </c>
      <c r="D54" s="5">
        <v>2</v>
      </c>
      <c r="E54" s="56">
        <v>6591.93</v>
      </c>
      <c r="F54" s="56">
        <v>6177.99</v>
      </c>
      <c r="G54" s="56">
        <v>5804.41</v>
      </c>
      <c r="H54" s="56">
        <v>5584.05</v>
      </c>
      <c r="I54" s="56">
        <v>5342.33</v>
      </c>
      <c r="J54" s="56">
        <v>5212.28</v>
      </c>
      <c r="K54" s="56">
        <v>5071.71</v>
      </c>
      <c r="L54" s="56">
        <v>7318.34</v>
      </c>
      <c r="M54" s="56">
        <v>7737.22</v>
      </c>
      <c r="N54" s="56">
        <v>8206.1</v>
      </c>
      <c r="O54" s="56">
        <v>8872.66</v>
      </c>
      <c r="P54" s="56">
        <v>9472.0400000000009</v>
      </c>
      <c r="Q54" s="56">
        <v>9938.86</v>
      </c>
      <c r="R54" s="56">
        <v>10032.379999999999</v>
      </c>
      <c r="S54" s="56">
        <v>9745.48</v>
      </c>
      <c r="T54" s="56">
        <v>9795.18</v>
      </c>
      <c r="U54" s="56">
        <v>9875.52</v>
      </c>
      <c r="V54" s="56">
        <v>9456.7900000000009</v>
      </c>
      <c r="W54" s="56">
        <v>10520.35</v>
      </c>
      <c r="X54" s="56">
        <v>10742.35</v>
      </c>
      <c r="Y54" s="56">
        <v>10197.629999999999</v>
      </c>
      <c r="Z54" s="56">
        <v>9442.4599999999991</v>
      </c>
      <c r="AA54" s="56">
        <v>8181.87</v>
      </c>
      <c r="AB54" s="56">
        <v>7038.78</v>
      </c>
      <c r="AC54" s="68"/>
    </row>
    <row r="55" spans="2:29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69" t="s">
        <v>46</v>
      </c>
      <c r="AA55" s="69"/>
      <c r="AB55" s="69"/>
      <c r="AC55" s="14">
        <f>SUM(AC7:AC54)</f>
        <v>81179732.870000005</v>
      </c>
    </row>
    <row r="61" spans="2:29" x14ac:dyDescent="0.25">
      <c r="G61" s="6">
        <v>1000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6E11D-3224-4AF9-9573-C2931CB23353}">
  <dimension ref="B2:AE55"/>
  <sheetViews>
    <sheetView showGridLines="0" zoomScale="50" zoomScaleNormal="50" workbookViewId="0">
      <selection activeCell="E8" sqref="E8"/>
    </sheetView>
  </sheetViews>
  <sheetFormatPr baseColWidth="10" defaultColWidth="11.453125" defaultRowHeight="11.5" x14ac:dyDescent="0.25"/>
  <cols>
    <col min="1" max="1" width="3.453125" style="6" customWidth="1"/>
    <col min="2" max="2" width="5.54296875" style="6" bestFit="1" customWidth="1"/>
    <col min="3" max="3" width="9.7265625" style="6" bestFit="1" customWidth="1"/>
    <col min="4" max="4" width="5.54296875" style="6" bestFit="1" customWidth="1"/>
    <col min="5" max="5" width="10.08984375" style="6" bestFit="1" customWidth="1"/>
    <col min="6" max="9" width="9.90625" style="6" bestFit="1" customWidth="1"/>
    <col min="10" max="12" width="10.08984375" style="6" bestFit="1" customWidth="1"/>
    <col min="13" max="26" width="10.7265625" style="6" bestFit="1" customWidth="1"/>
    <col min="27" max="28" width="10.08984375" style="6" bestFit="1" customWidth="1"/>
    <col min="29" max="29" width="16.90625" style="52" bestFit="1" customWidth="1"/>
    <col min="30" max="30" width="3" style="6" customWidth="1"/>
    <col min="31" max="31" width="14.453125" style="6" bestFit="1" customWidth="1"/>
    <col min="32" max="146" width="11.453125" style="6"/>
    <col min="147" max="147" width="7" style="6" customWidth="1"/>
    <col min="148" max="148" width="10.7265625" style="6" customWidth="1"/>
    <col min="149" max="149" width="9.26953125" style="6" customWidth="1"/>
    <col min="150" max="173" width="7.26953125" style="6" customWidth="1"/>
    <col min="174" max="174" width="11.26953125" style="6" bestFit="1" customWidth="1"/>
    <col min="175" max="402" width="11.453125" style="6"/>
    <col min="403" max="403" width="7" style="6" customWidth="1"/>
    <col min="404" max="404" width="10.7265625" style="6" customWidth="1"/>
    <col min="405" max="405" width="9.26953125" style="6" customWidth="1"/>
    <col min="406" max="429" width="7.26953125" style="6" customWidth="1"/>
    <col min="430" max="430" width="11.26953125" style="6" bestFit="1" customWidth="1"/>
    <col min="431" max="658" width="11.453125" style="6"/>
    <col min="659" max="659" width="7" style="6" customWidth="1"/>
    <col min="660" max="660" width="10.7265625" style="6" customWidth="1"/>
    <col min="661" max="661" width="9.26953125" style="6" customWidth="1"/>
    <col min="662" max="685" width="7.26953125" style="6" customWidth="1"/>
    <col min="686" max="686" width="11.26953125" style="6" bestFit="1" customWidth="1"/>
    <col min="687" max="914" width="11.453125" style="6"/>
    <col min="915" max="915" width="7" style="6" customWidth="1"/>
    <col min="916" max="916" width="10.7265625" style="6" customWidth="1"/>
    <col min="917" max="917" width="9.26953125" style="6" customWidth="1"/>
    <col min="918" max="941" width="7.26953125" style="6" customWidth="1"/>
    <col min="942" max="942" width="11.26953125" style="6" bestFit="1" customWidth="1"/>
    <col min="943" max="1170" width="11.453125" style="6"/>
    <col min="1171" max="1171" width="7" style="6" customWidth="1"/>
    <col min="1172" max="1172" width="10.7265625" style="6" customWidth="1"/>
    <col min="1173" max="1173" width="9.26953125" style="6" customWidth="1"/>
    <col min="1174" max="1197" width="7.26953125" style="6" customWidth="1"/>
    <col min="1198" max="1198" width="11.26953125" style="6" bestFit="1" customWidth="1"/>
    <col min="1199" max="1426" width="11.453125" style="6"/>
    <col min="1427" max="1427" width="7" style="6" customWidth="1"/>
    <col min="1428" max="1428" width="10.7265625" style="6" customWidth="1"/>
    <col min="1429" max="1429" width="9.26953125" style="6" customWidth="1"/>
    <col min="1430" max="1453" width="7.26953125" style="6" customWidth="1"/>
    <col min="1454" max="1454" width="11.26953125" style="6" bestFit="1" customWidth="1"/>
    <col min="1455" max="1682" width="11.453125" style="6"/>
    <col min="1683" max="1683" width="7" style="6" customWidth="1"/>
    <col min="1684" max="1684" width="10.7265625" style="6" customWidth="1"/>
    <col min="1685" max="1685" width="9.26953125" style="6" customWidth="1"/>
    <col min="1686" max="1709" width="7.26953125" style="6" customWidth="1"/>
    <col min="1710" max="1710" width="11.26953125" style="6" bestFit="1" customWidth="1"/>
    <col min="1711" max="1938" width="11.453125" style="6"/>
    <col min="1939" max="1939" width="7" style="6" customWidth="1"/>
    <col min="1940" max="1940" width="10.7265625" style="6" customWidth="1"/>
    <col min="1941" max="1941" width="9.26953125" style="6" customWidth="1"/>
    <col min="1942" max="1965" width="7.26953125" style="6" customWidth="1"/>
    <col min="1966" max="1966" width="11.26953125" style="6" bestFit="1" customWidth="1"/>
    <col min="1967" max="2194" width="11.453125" style="6"/>
    <col min="2195" max="2195" width="7" style="6" customWidth="1"/>
    <col min="2196" max="2196" width="10.7265625" style="6" customWidth="1"/>
    <col min="2197" max="2197" width="9.26953125" style="6" customWidth="1"/>
    <col min="2198" max="2221" width="7.26953125" style="6" customWidth="1"/>
    <col min="2222" max="2222" width="11.26953125" style="6" bestFit="1" customWidth="1"/>
    <col min="2223" max="2450" width="11.453125" style="6"/>
    <col min="2451" max="2451" width="7" style="6" customWidth="1"/>
    <col min="2452" max="2452" width="10.7265625" style="6" customWidth="1"/>
    <col min="2453" max="2453" width="9.26953125" style="6" customWidth="1"/>
    <col min="2454" max="2477" width="7.26953125" style="6" customWidth="1"/>
    <col min="2478" max="2478" width="11.26953125" style="6" bestFit="1" customWidth="1"/>
    <col min="2479" max="2706" width="11.453125" style="6"/>
    <col min="2707" max="2707" width="7" style="6" customWidth="1"/>
    <col min="2708" max="2708" width="10.7265625" style="6" customWidth="1"/>
    <col min="2709" max="2709" width="9.26953125" style="6" customWidth="1"/>
    <col min="2710" max="2733" width="7.26953125" style="6" customWidth="1"/>
    <col min="2734" max="2734" width="11.26953125" style="6" bestFit="1" customWidth="1"/>
    <col min="2735" max="2962" width="11.453125" style="6"/>
    <col min="2963" max="2963" width="7" style="6" customWidth="1"/>
    <col min="2964" max="2964" width="10.7265625" style="6" customWidth="1"/>
    <col min="2965" max="2965" width="9.26953125" style="6" customWidth="1"/>
    <col min="2966" max="2989" width="7.26953125" style="6" customWidth="1"/>
    <col min="2990" max="2990" width="11.26953125" style="6" bestFit="1" customWidth="1"/>
    <col min="2991" max="3218" width="11.453125" style="6"/>
    <col min="3219" max="3219" width="7" style="6" customWidth="1"/>
    <col min="3220" max="3220" width="10.7265625" style="6" customWidth="1"/>
    <col min="3221" max="3221" width="9.26953125" style="6" customWidth="1"/>
    <col min="3222" max="3245" width="7.26953125" style="6" customWidth="1"/>
    <col min="3246" max="3246" width="11.26953125" style="6" bestFit="1" customWidth="1"/>
    <col min="3247" max="3474" width="11.453125" style="6"/>
    <col min="3475" max="3475" width="7" style="6" customWidth="1"/>
    <col min="3476" max="3476" width="10.7265625" style="6" customWidth="1"/>
    <col min="3477" max="3477" width="9.26953125" style="6" customWidth="1"/>
    <col min="3478" max="3501" width="7.26953125" style="6" customWidth="1"/>
    <col min="3502" max="3502" width="11.26953125" style="6" bestFit="1" customWidth="1"/>
    <col min="3503" max="3730" width="11.453125" style="6"/>
    <col min="3731" max="3731" width="7" style="6" customWidth="1"/>
    <col min="3732" max="3732" width="10.7265625" style="6" customWidth="1"/>
    <col min="3733" max="3733" width="9.26953125" style="6" customWidth="1"/>
    <col min="3734" max="3757" width="7.26953125" style="6" customWidth="1"/>
    <col min="3758" max="3758" width="11.26953125" style="6" bestFit="1" customWidth="1"/>
    <col min="3759" max="3986" width="11.453125" style="6"/>
    <col min="3987" max="3987" width="7" style="6" customWidth="1"/>
    <col min="3988" max="3988" width="10.7265625" style="6" customWidth="1"/>
    <col min="3989" max="3989" width="9.26953125" style="6" customWidth="1"/>
    <col min="3990" max="4013" width="7.26953125" style="6" customWidth="1"/>
    <col min="4014" max="4014" width="11.26953125" style="6" bestFit="1" customWidth="1"/>
    <col min="4015" max="4242" width="11.453125" style="6"/>
    <col min="4243" max="4243" width="7" style="6" customWidth="1"/>
    <col min="4244" max="4244" width="10.7265625" style="6" customWidth="1"/>
    <col min="4245" max="4245" width="9.26953125" style="6" customWidth="1"/>
    <col min="4246" max="4269" width="7.26953125" style="6" customWidth="1"/>
    <col min="4270" max="4270" width="11.26953125" style="6" bestFit="1" customWidth="1"/>
    <col min="4271" max="4498" width="11.453125" style="6"/>
    <col min="4499" max="4499" width="7" style="6" customWidth="1"/>
    <col min="4500" max="4500" width="10.7265625" style="6" customWidth="1"/>
    <col min="4501" max="4501" width="9.26953125" style="6" customWidth="1"/>
    <col min="4502" max="4525" width="7.26953125" style="6" customWidth="1"/>
    <col min="4526" max="4526" width="11.26953125" style="6" bestFit="1" customWidth="1"/>
    <col min="4527" max="4754" width="11.453125" style="6"/>
    <col min="4755" max="4755" width="7" style="6" customWidth="1"/>
    <col min="4756" max="4756" width="10.7265625" style="6" customWidth="1"/>
    <col min="4757" max="4757" width="9.26953125" style="6" customWidth="1"/>
    <col min="4758" max="4781" width="7.26953125" style="6" customWidth="1"/>
    <col min="4782" max="4782" width="11.26953125" style="6" bestFit="1" customWidth="1"/>
    <col min="4783" max="5010" width="11.453125" style="6"/>
    <col min="5011" max="5011" width="7" style="6" customWidth="1"/>
    <col min="5012" max="5012" width="10.7265625" style="6" customWidth="1"/>
    <col min="5013" max="5013" width="9.26953125" style="6" customWidth="1"/>
    <col min="5014" max="5037" width="7.26953125" style="6" customWidth="1"/>
    <col min="5038" max="5038" width="11.26953125" style="6" bestFit="1" customWidth="1"/>
    <col min="5039" max="5266" width="11.453125" style="6"/>
    <col min="5267" max="5267" width="7" style="6" customWidth="1"/>
    <col min="5268" max="5268" width="10.7265625" style="6" customWidth="1"/>
    <col min="5269" max="5269" width="9.26953125" style="6" customWidth="1"/>
    <col min="5270" max="5293" width="7.26953125" style="6" customWidth="1"/>
    <col min="5294" max="5294" width="11.26953125" style="6" bestFit="1" customWidth="1"/>
    <col min="5295" max="5522" width="11.453125" style="6"/>
    <col min="5523" max="5523" width="7" style="6" customWidth="1"/>
    <col min="5524" max="5524" width="10.7265625" style="6" customWidth="1"/>
    <col min="5525" max="5525" width="9.26953125" style="6" customWidth="1"/>
    <col min="5526" max="5549" width="7.26953125" style="6" customWidth="1"/>
    <col min="5550" max="5550" width="11.26953125" style="6" bestFit="1" customWidth="1"/>
    <col min="5551" max="5778" width="11.453125" style="6"/>
    <col min="5779" max="5779" width="7" style="6" customWidth="1"/>
    <col min="5780" max="5780" width="10.7265625" style="6" customWidth="1"/>
    <col min="5781" max="5781" width="9.26953125" style="6" customWidth="1"/>
    <col min="5782" max="5805" width="7.26953125" style="6" customWidth="1"/>
    <col min="5806" max="5806" width="11.26953125" style="6" bestFit="1" customWidth="1"/>
    <col min="5807" max="6034" width="11.453125" style="6"/>
    <col min="6035" max="6035" width="7" style="6" customWidth="1"/>
    <col min="6036" max="6036" width="10.7265625" style="6" customWidth="1"/>
    <col min="6037" max="6037" width="9.26953125" style="6" customWidth="1"/>
    <col min="6038" max="6061" width="7.26953125" style="6" customWidth="1"/>
    <col min="6062" max="6062" width="11.26953125" style="6" bestFit="1" customWidth="1"/>
    <col min="6063" max="6290" width="11.453125" style="6"/>
    <col min="6291" max="6291" width="7" style="6" customWidth="1"/>
    <col min="6292" max="6292" width="10.7265625" style="6" customWidth="1"/>
    <col min="6293" max="6293" width="9.26953125" style="6" customWidth="1"/>
    <col min="6294" max="6317" width="7.26953125" style="6" customWidth="1"/>
    <col min="6318" max="6318" width="11.26953125" style="6" bestFit="1" customWidth="1"/>
    <col min="6319" max="6546" width="11.453125" style="6"/>
    <col min="6547" max="6547" width="7" style="6" customWidth="1"/>
    <col min="6548" max="6548" width="10.7265625" style="6" customWidth="1"/>
    <col min="6549" max="6549" width="9.26953125" style="6" customWidth="1"/>
    <col min="6550" max="6573" width="7.26953125" style="6" customWidth="1"/>
    <col min="6574" max="6574" width="11.26953125" style="6" bestFit="1" customWidth="1"/>
    <col min="6575" max="6802" width="11.453125" style="6"/>
    <col min="6803" max="6803" width="7" style="6" customWidth="1"/>
    <col min="6804" max="6804" width="10.7265625" style="6" customWidth="1"/>
    <col min="6805" max="6805" width="9.26953125" style="6" customWidth="1"/>
    <col min="6806" max="6829" width="7.26953125" style="6" customWidth="1"/>
    <col min="6830" max="6830" width="11.26953125" style="6" bestFit="1" customWidth="1"/>
    <col min="6831" max="7058" width="11.453125" style="6"/>
    <col min="7059" max="7059" width="7" style="6" customWidth="1"/>
    <col min="7060" max="7060" width="10.7265625" style="6" customWidth="1"/>
    <col min="7061" max="7061" width="9.26953125" style="6" customWidth="1"/>
    <col min="7062" max="7085" width="7.26953125" style="6" customWidth="1"/>
    <col min="7086" max="7086" width="11.26953125" style="6" bestFit="1" customWidth="1"/>
    <col min="7087" max="7314" width="11.453125" style="6"/>
    <col min="7315" max="7315" width="7" style="6" customWidth="1"/>
    <col min="7316" max="7316" width="10.7265625" style="6" customWidth="1"/>
    <col min="7317" max="7317" width="9.26953125" style="6" customWidth="1"/>
    <col min="7318" max="7341" width="7.26953125" style="6" customWidth="1"/>
    <col min="7342" max="7342" width="11.26953125" style="6" bestFit="1" customWidth="1"/>
    <col min="7343" max="7570" width="11.453125" style="6"/>
    <col min="7571" max="7571" width="7" style="6" customWidth="1"/>
    <col min="7572" max="7572" width="10.7265625" style="6" customWidth="1"/>
    <col min="7573" max="7573" width="9.26953125" style="6" customWidth="1"/>
    <col min="7574" max="7597" width="7.26953125" style="6" customWidth="1"/>
    <col min="7598" max="7598" width="11.26953125" style="6" bestFit="1" customWidth="1"/>
    <col min="7599" max="7826" width="11.453125" style="6"/>
    <col min="7827" max="7827" width="7" style="6" customWidth="1"/>
    <col min="7828" max="7828" width="10.7265625" style="6" customWidth="1"/>
    <col min="7829" max="7829" width="9.26953125" style="6" customWidth="1"/>
    <col min="7830" max="7853" width="7.26953125" style="6" customWidth="1"/>
    <col min="7854" max="7854" width="11.26953125" style="6" bestFit="1" customWidth="1"/>
    <col min="7855" max="8082" width="11.453125" style="6"/>
    <col min="8083" max="8083" width="7" style="6" customWidth="1"/>
    <col min="8084" max="8084" width="10.7265625" style="6" customWidth="1"/>
    <col min="8085" max="8085" width="9.26953125" style="6" customWidth="1"/>
    <col min="8086" max="8109" width="7.26953125" style="6" customWidth="1"/>
    <col min="8110" max="8110" width="11.26953125" style="6" bestFit="1" customWidth="1"/>
    <col min="8111" max="8338" width="11.453125" style="6"/>
    <col min="8339" max="8339" width="7" style="6" customWidth="1"/>
    <col min="8340" max="8340" width="10.7265625" style="6" customWidth="1"/>
    <col min="8341" max="8341" width="9.26953125" style="6" customWidth="1"/>
    <col min="8342" max="8365" width="7.26953125" style="6" customWidth="1"/>
    <col min="8366" max="8366" width="11.26953125" style="6" bestFit="1" customWidth="1"/>
    <col min="8367" max="8594" width="11.453125" style="6"/>
    <col min="8595" max="8595" width="7" style="6" customWidth="1"/>
    <col min="8596" max="8596" width="10.7265625" style="6" customWidth="1"/>
    <col min="8597" max="8597" width="9.26953125" style="6" customWidth="1"/>
    <col min="8598" max="8621" width="7.26953125" style="6" customWidth="1"/>
    <col min="8622" max="8622" width="11.26953125" style="6" bestFit="1" customWidth="1"/>
    <col min="8623" max="8850" width="11.453125" style="6"/>
    <col min="8851" max="8851" width="7" style="6" customWidth="1"/>
    <col min="8852" max="8852" width="10.7265625" style="6" customWidth="1"/>
    <col min="8853" max="8853" width="9.26953125" style="6" customWidth="1"/>
    <col min="8854" max="8877" width="7.26953125" style="6" customWidth="1"/>
    <col min="8878" max="8878" width="11.26953125" style="6" bestFit="1" customWidth="1"/>
    <col min="8879" max="9106" width="11.453125" style="6"/>
    <col min="9107" max="9107" width="7" style="6" customWidth="1"/>
    <col min="9108" max="9108" width="10.7265625" style="6" customWidth="1"/>
    <col min="9109" max="9109" width="9.26953125" style="6" customWidth="1"/>
    <col min="9110" max="9133" width="7.26953125" style="6" customWidth="1"/>
    <col min="9134" max="9134" width="11.26953125" style="6" bestFit="1" customWidth="1"/>
    <col min="9135" max="9362" width="11.453125" style="6"/>
    <col min="9363" max="9363" width="7" style="6" customWidth="1"/>
    <col min="9364" max="9364" width="10.7265625" style="6" customWidth="1"/>
    <col min="9365" max="9365" width="9.26953125" style="6" customWidth="1"/>
    <col min="9366" max="9389" width="7.26953125" style="6" customWidth="1"/>
    <col min="9390" max="9390" width="11.26953125" style="6" bestFit="1" customWidth="1"/>
    <col min="9391" max="9618" width="11.453125" style="6"/>
    <col min="9619" max="9619" width="7" style="6" customWidth="1"/>
    <col min="9620" max="9620" width="10.7265625" style="6" customWidth="1"/>
    <col min="9621" max="9621" width="9.26953125" style="6" customWidth="1"/>
    <col min="9622" max="9645" width="7.26953125" style="6" customWidth="1"/>
    <col min="9646" max="9646" width="11.26953125" style="6" bestFit="1" customWidth="1"/>
    <col min="9647" max="9874" width="11.453125" style="6"/>
    <col min="9875" max="9875" width="7" style="6" customWidth="1"/>
    <col min="9876" max="9876" width="10.7265625" style="6" customWidth="1"/>
    <col min="9877" max="9877" width="9.26953125" style="6" customWidth="1"/>
    <col min="9878" max="9901" width="7.26953125" style="6" customWidth="1"/>
    <col min="9902" max="9902" width="11.26953125" style="6" bestFit="1" customWidth="1"/>
    <col min="9903" max="10130" width="11.453125" style="6"/>
    <col min="10131" max="10131" width="7" style="6" customWidth="1"/>
    <col min="10132" max="10132" width="10.7265625" style="6" customWidth="1"/>
    <col min="10133" max="10133" width="9.26953125" style="6" customWidth="1"/>
    <col min="10134" max="10157" width="7.26953125" style="6" customWidth="1"/>
    <col min="10158" max="10158" width="11.26953125" style="6" bestFit="1" customWidth="1"/>
    <col min="10159" max="10386" width="11.453125" style="6"/>
    <col min="10387" max="10387" width="7" style="6" customWidth="1"/>
    <col min="10388" max="10388" width="10.7265625" style="6" customWidth="1"/>
    <col min="10389" max="10389" width="9.26953125" style="6" customWidth="1"/>
    <col min="10390" max="10413" width="7.26953125" style="6" customWidth="1"/>
    <col min="10414" max="10414" width="11.26953125" style="6" bestFit="1" customWidth="1"/>
    <col min="10415" max="10642" width="11.453125" style="6"/>
    <col min="10643" max="10643" width="7" style="6" customWidth="1"/>
    <col min="10644" max="10644" width="10.7265625" style="6" customWidth="1"/>
    <col min="10645" max="10645" width="9.26953125" style="6" customWidth="1"/>
    <col min="10646" max="10669" width="7.26953125" style="6" customWidth="1"/>
    <col min="10670" max="10670" width="11.26953125" style="6" bestFit="1" customWidth="1"/>
    <col min="10671" max="10898" width="11.453125" style="6"/>
    <col min="10899" max="10899" width="7" style="6" customWidth="1"/>
    <col min="10900" max="10900" width="10.7265625" style="6" customWidth="1"/>
    <col min="10901" max="10901" width="9.26953125" style="6" customWidth="1"/>
    <col min="10902" max="10925" width="7.26953125" style="6" customWidth="1"/>
    <col min="10926" max="10926" width="11.26953125" style="6" bestFit="1" customWidth="1"/>
    <col min="10927" max="11154" width="11.453125" style="6"/>
    <col min="11155" max="11155" width="7" style="6" customWidth="1"/>
    <col min="11156" max="11156" width="10.7265625" style="6" customWidth="1"/>
    <col min="11157" max="11157" width="9.26953125" style="6" customWidth="1"/>
    <col min="11158" max="11181" width="7.26953125" style="6" customWidth="1"/>
    <col min="11182" max="11182" width="11.26953125" style="6" bestFit="1" customWidth="1"/>
    <col min="11183" max="11410" width="11.453125" style="6"/>
    <col min="11411" max="11411" width="7" style="6" customWidth="1"/>
    <col min="11412" max="11412" width="10.7265625" style="6" customWidth="1"/>
    <col min="11413" max="11413" width="9.26953125" style="6" customWidth="1"/>
    <col min="11414" max="11437" width="7.26953125" style="6" customWidth="1"/>
    <col min="11438" max="11438" width="11.26953125" style="6" bestFit="1" customWidth="1"/>
    <col min="11439" max="11666" width="11.453125" style="6"/>
    <col min="11667" max="11667" width="7" style="6" customWidth="1"/>
    <col min="11668" max="11668" width="10.7265625" style="6" customWidth="1"/>
    <col min="11669" max="11669" width="9.26953125" style="6" customWidth="1"/>
    <col min="11670" max="11693" width="7.26953125" style="6" customWidth="1"/>
    <col min="11694" max="11694" width="11.26953125" style="6" bestFit="1" customWidth="1"/>
    <col min="11695" max="11922" width="11.453125" style="6"/>
    <col min="11923" max="11923" width="7" style="6" customWidth="1"/>
    <col min="11924" max="11924" width="10.7265625" style="6" customWidth="1"/>
    <col min="11925" max="11925" width="9.26953125" style="6" customWidth="1"/>
    <col min="11926" max="11949" width="7.26953125" style="6" customWidth="1"/>
    <col min="11950" max="11950" width="11.26953125" style="6" bestFit="1" customWidth="1"/>
    <col min="11951" max="12178" width="11.453125" style="6"/>
    <col min="12179" max="12179" width="7" style="6" customWidth="1"/>
    <col min="12180" max="12180" width="10.7265625" style="6" customWidth="1"/>
    <col min="12181" max="12181" width="9.26953125" style="6" customWidth="1"/>
    <col min="12182" max="12205" width="7.26953125" style="6" customWidth="1"/>
    <col min="12206" max="12206" width="11.26953125" style="6" bestFit="1" customWidth="1"/>
    <col min="12207" max="12434" width="11.453125" style="6"/>
    <col min="12435" max="12435" width="7" style="6" customWidth="1"/>
    <col min="12436" max="12436" width="10.7265625" style="6" customWidth="1"/>
    <col min="12437" max="12437" width="9.26953125" style="6" customWidth="1"/>
    <col min="12438" max="12461" width="7.26953125" style="6" customWidth="1"/>
    <col min="12462" max="12462" width="11.26953125" style="6" bestFit="1" customWidth="1"/>
    <col min="12463" max="12690" width="11.453125" style="6"/>
    <col min="12691" max="12691" width="7" style="6" customWidth="1"/>
    <col min="12692" max="12692" width="10.7265625" style="6" customWidth="1"/>
    <col min="12693" max="12693" width="9.26953125" style="6" customWidth="1"/>
    <col min="12694" max="12717" width="7.26953125" style="6" customWidth="1"/>
    <col min="12718" max="12718" width="11.26953125" style="6" bestFit="1" customWidth="1"/>
    <col min="12719" max="12946" width="11.453125" style="6"/>
    <col min="12947" max="12947" width="7" style="6" customWidth="1"/>
    <col min="12948" max="12948" width="10.7265625" style="6" customWidth="1"/>
    <col min="12949" max="12949" width="9.26953125" style="6" customWidth="1"/>
    <col min="12950" max="12973" width="7.26953125" style="6" customWidth="1"/>
    <col min="12974" max="12974" width="11.26953125" style="6" bestFit="1" customWidth="1"/>
    <col min="12975" max="13202" width="11.453125" style="6"/>
    <col min="13203" max="13203" width="7" style="6" customWidth="1"/>
    <col min="13204" max="13204" width="10.7265625" style="6" customWidth="1"/>
    <col min="13205" max="13205" width="9.26953125" style="6" customWidth="1"/>
    <col min="13206" max="13229" width="7.26953125" style="6" customWidth="1"/>
    <col min="13230" max="13230" width="11.26953125" style="6" bestFit="1" customWidth="1"/>
    <col min="13231" max="13458" width="11.453125" style="6"/>
    <col min="13459" max="13459" width="7" style="6" customWidth="1"/>
    <col min="13460" max="13460" width="10.7265625" style="6" customWidth="1"/>
    <col min="13461" max="13461" width="9.26953125" style="6" customWidth="1"/>
    <col min="13462" max="13485" width="7.26953125" style="6" customWidth="1"/>
    <col min="13486" max="13486" width="11.26953125" style="6" bestFit="1" customWidth="1"/>
    <col min="13487" max="13714" width="11.453125" style="6"/>
    <col min="13715" max="13715" width="7" style="6" customWidth="1"/>
    <col min="13716" max="13716" width="10.7265625" style="6" customWidth="1"/>
    <col min="13717" max="13717" width="9.26953125" style="6" customWidth="1"/>
    <col min="13718" max="13741" width="7.26953125" style="6" customWidth="1"/>
    <col min="13742" max="13742" width="11.26953125" style="6" bestFit="1" customWidth="1"/>
    <col min="13743" max="13970" width="11.453125" style="6"/>
    <col min="13971" max="13971" width="7" style="6" customWidth="1"/>
    <col min="13972" max="13972" width="10.7265625" style="6" customWidth="1"/>
    <col min="13973" max="13973" width="9.26953125" style="6" customWidth="1"/>
    <col min="13974" max="13997" width="7.26953125" style="6" customWidth="1"/>
    <col min="13998" max="13998" width="11.26953125" style="6" bestFit="1" customWidth="1"/>
    <col min="13999" max="14226" width="11.453125" style="6"/>
    <col min="14227" max="14227" width="7" style="6" customWidth="1"/>
    <col min="14228" max="14228" width="10.7265625" style="6" customWidth="1"/>
    <col min="14229" max="14229" width="9.26953125" style="6" customWidth="1"/>
    <col min="14230" max="14253" width="7.26953125" style="6" customWidth="1"/>
    <col min="14254" max="14254" width="11.26953125" style="6" bestFit="1" customWidth="1"/>
    <col min="14255" max="14482" width="11.453125" style="6"/>
    <col min="14483" max="14483" width="7" style="6" customWidth="1"/>
    <col min="14484" max="14484" width="10.7265625" style="6" customWidth="1"/>
    <col min="14485" max="14485" width="9.26953125" style="6" customWidth="1"/>
    <col min="14486" max="14509" width="7.26953125" style="6" customWidth="1"/>
    <col min="14510" max="14510" width="11.26953125" style="6" bestFit="1" customWidth="1"/>
    <col min="14511" max="14738" width="11.453125" style="6"/>
    <col min="14739" max="14739" width="7" style="6" customWidth="1"/>
    <col min="14740" max="14740" width="10.7265625" style="6" customWidth="1"/>
    <col min="14741" max="14741" width="9.26953125" style="6" customWidth="1"/>
    <col min="14742" max="14765" width="7.26953125" style="6" customWidth="1"/>
    <col min="14766" max="14766" width="11.26953125" style="6" bestFit="1" customWidth="1"/>
    <col min="14767" max="14994" width="11.453125" style="6"/>
    <col min="14995" max="14995" width="7" style="6" customWidth="1"/>
    <col min="14996" max="14996" width="10.7265625" style="6" customWidth="1"/>
    <col min="14997" max="14997" width="9.26953125" style="6" customWidth="1"/>
    <col min="14998" max="15021" width="7.26953125" style="6" customWidth="1"/>
    <col min="15022" max="15022" width="11.26953125" style="6" bestFit="1" customWidth="1"/>
    <col min="15023" max="15250" width="11.453125" style="6"/>
    <col min="15251" max="15251" width="7" style="6" customWidth="1"/>
    <col min="15252" max="15252" width="10.7265625" style="6" customWidth="1"/>
    <col min="15253" max="15253" width="9.26953125" style="6" customWidth="1"/>
    <col min="15254" max="15277" width="7.26953125" style="6" customWidth="1"/>
    <col min="15278" max="15278" width="11.26953125" style="6" bestFit="1" customWidth="1"/>
    <col min="15279" max="15506" width="11.453125" style="6"/>
    <col min="15507" max="15507" width="7" style="6" customWidth="1"/>
    <col min="15508" max="15508" width="10.7265625" style="6" customWidth="1"/>
    <col min="15509" max="15509" width="9.26953125" style="6" customWidth="1"/>
    <col min="15510" max="15533" width="7.26953125" style="6" customWidth="1"/>
    <col min="15534" max="15534" width="11.26953125" style="6" bestFit="1" customWidth="1"/>
    <col min="15535" max="15762" width="11.453125" style="6"/>
    <col min="15763" max="15763" width="7" style="6" customWidth="1"/>
    <col min="15764" max="15764" width="10.7265625" style="6" customWidth="1"/>
    <col min="15765" max="15765" width="9.26953125" style="6" customWidth="1"/>
    <col min="15766" max="15789" width="7.26953125" style="6" customWidth="1"/>
    <col min="15790" max="15790" width="11.26953125" style="6" bestFit="1" customWidth="1"/>
    <col min="15791" max="16018" width="11.453125" style="6"/>
    <col min="16019" max="16019" width="7" style="6" customWidth="1"/>
    <col min="16020" max="16020" width="10.7265625" style="6" customWidth="1"/>
    <col min="16021" max="16021" width="9.26953125" style="6" customWidth="1"/>
    <col min="16022" max="16045" width="7.26953125" style="6" customWidth="1"/>
    <col min="16046" max="16046" width="11.26953125" style="6" bestFit="1" customWidth="1"/>
    <col min="16047" max="16384" width="11.453125" style="6"/>
  </cols>
  <sheetData>
    <row r="2" spans="2:31" x14ac:dyDescent="0.25">
      <c r="B2" s="70" t="s">
        <v>45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spans="2:31" x14ac:dyDescent="0.25">
      <c r="B3" s="70" t="s">
        <v>44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spans="2:31" x14ac:dyDescent="0.25">
      <c r="B4" s="70">
        <v>2037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6" spans="2:31" ht="31" x14ac:dyDescent="0.25">
      <c r="B6" s="2" t="s">
        <v>0</v>
      </c>
      <c r="C6" s="3" t="s">
        <v>1</v>
      </c>
      <c r="D6" s="2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51" t="s">
        <v>27</v>
      </c>
    </row>
    <row r="7" spans="2:31" ht="12.5" x14ac:dyDescent="0.25">
      <c r="B7" s="65" t="s">
        <v>28</v>
      </c>
      <c r="C7" s="4" t="s">
        <v>29</v>
      </c>
      <c r="D7" s="5">
        <v>20</v>
      </c>
      <c r="E7" s="56">
        <v>5963.97</v>
      </c>
      <c r="F7" s="56">
        <v>5568.32</v>
      </c>
      <c r="G7" s="56">
        <v>5331.02</v>
      </c>
      <c r="H7" s="56">
        <v>5235.79</v>
      </c>
      <c r="I7" s="56">
        <v>5553.9</v>
      </c>
      <c r="J7" s="56">
        <v>6523.43</v>
      </c>
      <c r="K7" s="56">
        <v>7428.71</v>
      </c>
      <c r="L7" s="56">
        <v>9502.52</v>
      </c>
      <c r="M7" s="56">
        <v>9900.7900000000009</v>
      </c>
      <c r="N7" s="56">
        <v>10315.57</v>
      </c>
      <c r="O7" s="56">
        <v>10826.88</v>
      </c>
      <c r="P7" s="56">
        <v>11528.91</v>
      </c>
      <c r="Q7" s="56">
        <v>11197.82</v>
      </c>
      <c r="R7" s="56">
        <v>10922.58</v>
      </c>
      <c r="S7" s="56">
        <v>11014.88</v>
      </c>
      <c r="T7" s="56">
        <v>11090.76</v>
      </c>
      <c r="U7" s="56">
        <v>11123.41</v>
      </c>
      <c r="V7" s="56">
        <v>11144.97</v>
      </c>
      <c r="W7" s="56">
        <v>12209.1</v>
      </c>
      <c r="X7" s="56">
        <v>12613.16</v>
      </c>
      <c r="Y7" s="56">
        <v>12011</v>
      </c>
      <c r="Z7" s="56">
        <v>10954.6</v>
      </c>
      <c r="AA7" s="56">
        <v>9222.49</v>
      </c>
      <c r="AB7" s="56">
        <v>7912.42</v>
      </c>
      <c r="AC7" s="66">
        <f>+SUM(E7:AB7)*D7+SUM(E8:AB8)*D8+SUM(E9:AB9)*D9+SUM(E10:AB10)*D10</f>
        <v>6861890.3100000015</v>
      </c>
      <c r="AE7" s="11">
        <f>+AC7</f>
        <v>6861890.3100000015</v>
      </c>
    </row>
    <row r="8" spans="2:31" ht="12.5" x14ac:dyDescent="0.25">
      <c r="B8" s="65" t="s">
        <v>28</v>
      </c>
      <c r="C8" s="4" t="s">
        <v>30</v>
      </c>
      <c r="D8" s="5">
        <v>5</v>
      </c>
      <c r="E8" s="56">
        <v>6276.92</v>
      </c>
      <c r="F8" s="56">
        <v>5709.88</v>
      </c>
      <c r="G8" s="56">
        <v>5452.5</v>
      </c>
      <c r="H8" s="56">
        <v>5312.44</v>
      </c>
      <c r="I8" s="56">
        <v>5441.5</v>
      </c>
      <c r="J8" s="56">
        <v>5822.35</v>
      </c>
      <c r="K8" s="56">
        <v>6415.14</v>
      </c>
      <c r="L8" s="56">
        <v>8941.8799999999992</v>
      </c>
      <c r="M8" s="56">
        <v>9794.3799999999992</v>
      </c>
      <c r="N8" s="56">
        <v>10366.17</v>
      </c>
      <c r="O8" s="56">
        <v>10758.93</v>
      </c>
      <c r="P8" s="56">
        <v>11286.12</v>
      </c>
      <c r="Q8" s="56">
        <v>11418.95</v>
      </c>
      <c r="R8" s="56">
        <v>11143.22</v>
      </c>
      <c r="S8" s="56">
        <v>10969.44</v>
      </c>
      <c r="T8" s="56">
        <v>10839.2</v>
      </c>
      <c r="U8" s="56">
        <v>10917.16</v>
      </c>
      <c r="V8" s="56">
        <v>10866.89</v>
      </c>
      <c r="W8" s="56">
        <v>12071.42</v>
      </c>
      <c r="X8" s="56">
        <v>12436.73</v>
      </c>
      <c r="Y8" s="56">
        <v>11843.73</v>
      </c>
      <c r="Z8" s="56">
        <v>11010.9</v>
      </c>
      <c r="AA8" s="56">
        <v>9747.93</v>
      </c>
      <c r="AB8" s="56">
        <v>8566.5300000000007</v>
      </c>
      <c r="AC8" s="67"/>
      <c r="AE8" s="11">
        <f>+AC11</f>
        <v>6373287.2000000011</v>
      </c>
    </row>
    <row r="9" spans="2:31" ht="12.5" x14ac:dyDescent="0.25">
      <c r="B9" s="65" t="s">
        <v>28</v>
      </c>
      <c r="C9" s="4" t="s">
        <v>31</v>
      </c>
      <c r="D9" s="5">
        <v>4</v>
      </c>
      <c r="E9" s="56">
        <v>6573.8</v>
      </c>
      <c r="F9" s="56">
        <v>6016.62</v>
      </c>
      <c r="G9" s="56">
        <v>5687.64</v>
      </c>
      <c r="H9" s="56">
        <v>5483.2</v>
      </c>
      <c r="I9" s="56">
        <v>5453.25</v>
      </c>
      <c r="J9" s="56">
        <v>5533.08</v>
      </c>
      <c r="K9" s="56">
        <v>5774.82</v>
      </c>
      <c r="L9" s="56">
        <v>7927.98</v>
      </c>
      <c r="M9" s="56">
        <v>8675.66</v>
      </c>
      <c r="N9" s="56">
        <v>9223.74</v>
      </c>
      <c r="O9" s="56">
        <v>9761.1200000000008</v>
      </c>
      <c r="P9" s="56">
        <v>10322.700000000001</v>
      </c>
      <c r="Q9" s="56">
        <v>10504.62</v>
      </c>
      <c r="R9" s="56">
        <v>10273.780000000001</v>
      </c>
      <c r="S9" s="56">
        <v>10267.290000000001</v>
      </c>
      <c r="T9" s="56">
        <v>10352.620000000001</v>
      </c>
      <c r="U9" s="56">
        <v>10358.9</v>
      </c>
      <c r="V9" s="56">
        <v>10266.26</v>
      </c>
      <c r="W9" s="56">
        <v>11381.93</v>
      </c>
      <c r="X9" s="56">
        <v>11816.81</v>
      </c>
      <c r="Y9" s="56">
        <v>11321.98</v>
      </c>
      <c r="Z9" s="56">
        <v>10391.700000000001</v>
      </c>
      <c r="AA9" s="56">
        <v>8931.2199999999993</v>
      </c>
      <c r="AB9" s="56">
        <v>7662.13</v>
      </c>
      <c r="AC9" s="67"/>
      <c r="AE9" s="11">
        <f>+AC15</f>
        <v>6773244.4399999985</v>
      </c>
    </row>
    <row r="10" spans="2:31" ht="12.5" x14ac:dyDescent="0.25">
      <c r="B10" s="65" t="s">
        <v>28</v>
      </c>
      <c r="C10" s="4" t="s">
        <v>32</v>
      </c>
      <c r="D10" s="5">
        <v>2</v>
      </c>
      <c r="E10" s="56">
        <v>6527.12</v>
      </c>
      <c r="F10" s="56">
        <v>6065.54</v>
      </c>
      <c r="G10" s="56">
        <v>5671.36</v>
      </c>
      <c r="H10" s="56">
        <v>5541.17</v>
      </c>
      <c r="I10" s="56">
        <v>5431.84</v>
      </c>
      <c r="J10" s="56">
        <v>5553.31</v>
      </c>
      <c r="K10" s="56">
        <v>5425.98</v>
      </c>
      <c r="L10" s="56">
        <v>7351.61</v>
      </c>
      <c r="M10" s="56">
        <v>7886.46</v>
      </c>
      <c r="N10" s="56">
        <v>8456.41</v>
      </c>
      <c r="O10" s="56">
        <v>9061.2999999999993</v>
      </c>
      <c r="P10" s="56">
        <v>9508.89</v>
      </c>
      <c r="Q10" s="56">
        <v>9850.7800000000007</v>
      </c>
      <c r="R10" s="56">
        <v>9885.5</v>
      </c>
      <c r="S10" s="56">
        <v>9848.36</v>
      </c>
      <c r="T10" s="56">
        <v>9755.34</v>
      </c>
      <c r="U10" s="56">
        <v>9793.6299999999992</v>
      </c>
      <c r="V10" s="56">
        <v>9860.43</v>
      </c>
      <c r="W10" s="56">
        <v>11100.01</v>
      </c>
      <c r="X10" s="56">
        <v>11543.8</v>
      </c>
      <c r="Y10" s="56">
        <v>11126.83</v>
      </c>
      <c r="Z10" s="56">
        <v>10079.74</v>
      </c>
      <c r="AA10" s="56">
        <v>8685.11</v>
      </c>
      <c r="AB10" s="56">
        <v>7513.16</v>
      </c>
      <c r="AC10" s="68"/>
      <c r="AE10" s="11">
        <f>+AC19</f>
        <v>6756871.9200000009</v>
      </c>
    </row>
    <row r="11" spans="2:31" ht="12.5" x14ac:dyDescent="0.25">
      <c r="B11" s="65" t="s">
        <v>33</v>
      </c>
      <c r="C11" s="4" t="s">
        <v>29</v>
      </c>
      <c r="D11" s="5">
        <v>20</v>
      </c>
      <c r="E11" s="56">
        <v>5959.67</v>
      </c>
      <c r="F11" s="56">
        <v>5544.2</v>
      </c>
      <c r="G11" s="56">
        <v>5354.39</v>
      </c>
      <c r="H11" s="56">
        <v>5312.05</v>
      </c>
      <c r="I11" s="56">
        <v>5722.92</v>
      </c>
      <c r="J11" s="56">
        <v>7145.39</v>
      </c>
      <c r="K11" s="56">
        <v>8245.7099999999991</v>
      </c>
      <c r="L11" s="56">
        <v>9929.35</v>
      </c>
      <c r="M11" s="56">
        <v>10181.299999999999</v>
      </c>
      <c r="N11" s="56">
        <v>10461.620000000001</v>
      </c>
      <c r="O11" s="56">
        <v>10929.39</v>
      </c>
      <c r="P11" s="56">
        <v>11486.79</v>
      </c>
      <c r="Q11" s="56">
        <v>11263.77</v>
      </c>
      <c r="R11" s="56">
        <v>11153.4</v>
      </c>
      <c r="S11" s="56">
        <v>11335.92</v>
      </c>
      <c r="T11" s="56">
        <v>11386.99</v>
      </c>
      <c r="U11" s="56">
        <v>11369.54</v>
      </c>
      <c r="V11" s="56">
        <v>11462.88</v>
      </c>
      <c r="W11" s="56">
        <v>12532.03</v>
      </c>
      <c r="X11" s="56">
        <v>13179.23</v>
      </c>
      <c r="Y11" s="56">
        <v>12508.48</v>
      </c>
      <c r="Z11" s="56">
        <v>11327.89</v>
      </c>
      <c r="AA11" s="56">
        <v>9450.43</v>
      </c>
      <c r="AB11" s="56">
        <v>8018.74</v>
      </c>
      <c r="AC11" s="66">
        <f>+SUM(E11:AB11)*D11+SUM(E12:AB12)*D12+SUM(E13:AB13)*D13+SUM(E14:AB14)*D14</f>
        <v>6373287.2000000011</v>
      </c>
      <c r="AE11" s="11">
        <f>+AC23</f>
        <v>6752675.1100000003</v>
      </c>
    </row>
    <row r="12" spans="2:31" ht="12.5" x14ac:dyDescent="0.25">
      <c r="B12" s="65" t="s">
        <v>33</v>
      </c>
      <c r="C12" s="4" t="s">
        <v>30</v>
      </c>
      <c r="D12" s="5">
        <v>4</v>
      </c>
      <c r="E12" s="56">
        <v>6260.24</v>
      </c>
      <c r="F12" s="56">
        <v>5793.45</v>
      </c>
      <c r="G12" s="56">
        <v>5475.02</v>
      </c>
      <c r="H12" s="56">
        <v>5350.84</v>
      </c>
      <c r="I12" s="56">
        <v>5540.76</v>
      </c>
      <c r="J12" s="56">
        <v>6096.25</v>
      </c>
      <c r="K12" s="56">
        <v>6798.61</v>
      </c>
      <c r="L12" s="56">
        <v>9395.75</v>
      </c>
      <c r="M12" s="56">
        <v>10055.39</v>
      </c>
      <c r="N12" s="56">
        <v>10557.71</v>
      </c>
      <c r="O12" s="56">
        <v>11015.28</v>
      </c>
      <c r="P12" s="56">
        <v>11365.88</v>
      </c>
      <c r="Q12" s="56">
        <v>11375.5</v>
      </c>
      <c r="R12" s="56">
        <v>11130.01</v>
      </c>
      <c r="S12" s="56">
        <v>11035.92</v>
      </c>
      <c r="T12" s="56">
        <v>11112.36</v>
      </c>
      <c r="U12" s="56">
        <v>11225.06</v>
      </c>
      <c r="V12" s="56">
        <v>11145.71</v>
      </c>
      <c r="W12" s="56">
        <v>12269.55</v>
      </c>
      <c r="X12" s="56">
        <v>12732.7</v>
      </c>
      <c r="Y12" s="56">
        <v>12084.49</v>
      </c>
      <c r="Z12" s="56">
        <v>11113.5</v>
      </c>
      <c r="AA12" s="56">
        <v>9807.94</v>
      </c>
      <c r="AB12" s="56">
        <v>8439.83</v>
      </c>
      <c r="AC12" s="67"/>
      <c r="AE12" s="11">
        <f>+AC27</f>
        <v>6716565.9399999995</v>
      </c>
    </row>
    <row r="13" spans="2:31" ht="12.5" x14ac:dyDescent="0.25">
      <c r="B13" s="65" t="s">
        <v>33</v>
      </c>
      <c r="C13" s="4" t="s">
        <v>31</v>
      </c>
      <c r="D13" s="5">
        <v>4</v>
      </c>
      <c r="E13" s="56">
        <v>6387.15</v>
      </c>
      <c r="F13" s="56">
        <v>5858.74</v>
      </c>
      <c r="G13" s="56">
        <v>5508.75</v>
      </c>
      <c r="H13" s="56">
        <v>5335.88</v>
      </c>
      <c r="I13" s="56">
        <v>5308.22</v>
      </c>
      <c r="J13" s="56">
        <v>5437.32</v>
      </c>
      <c r="K13" s="56">
        <v>5721.15</v>
      </c>
      <c r="L13" s="56">
        <v>7944.98</v>
      </c>
      <c r="M13" s="56">
        <v>8741.26</v>
      </c>
      <c r="N13" s="56">
        <v>9284.01</v>
      </c>
      <c r="O13" s="56">
        <v>9760.11</v>
      </c>
      <c r="P13" s="56">
        <v>10396.61</v>
      </c>
      <c r="Q13" s="56">
        <v>10608.34</v>
      </c>
      <c r="R13" s="56">
        <v>10532.44</v>
      </c>
      <c r="S13" s="56">
        <v>10236.959999999999</v>
      </c>
      <c r="T13" s="56">
        <v>10250.6</v>
      </c>
      <c r="U13" s="56">
        <v>10297.17</v>
      </c>
      <c r="V13" s="56">
        <v>10343.33</v>
      </c>
      <c r="W13" s="56">
        <v>11615.89</v>
      </c>
      <c r="X13" s="56">
        <v>12039.08</v>
      </c>
      <c r="Y13" s="56">
        <v>11568.19</v>
      </c>
      <c r="Z13" s="56">
        <v>10429.24</v>
      </c>
      <c r="AA13" s="56">
        <v>8795.4500000000007</v>
      </c>
      <c r="AB13" s="56">
        <v>7432.78</v>
      </c>
      <c r="AC13" s="67"/>
      <c r="AE13" s="11">
        <f>+AC31</f>
        <v>6804600.5499999998</v>
      </c>
    </row>
    <row r="14" spans="2:31" ht="12.5" x14ac:dyDescent="0.25">
      <c r="B14" s="65" t="s">
        <v>33</v>
      </c>
      <c r="C14" s="4" t="s">
        <v>32</v>
      </c>
      <c r="D14" s="5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68"/>
      <c r="AE14" s="11">
        <f>+AC35</f>
        <v>6969232.3399999999</v>
      </c>
    </row>
    <row r="15" spans="2:31" ht="12.5" x14ac:dyDescent="0.25">
      <c r="B15" s="65" t="s">
        <v>34</v>
      </c>
      <c r="C15" s="4" t="s">
        <v>29</v>
      </c>
      <c r="D15" s="5">
        <v>21</v>
      </c>
      <c r="E15" s="56">
        <v>5869.16</v>
      </c>
      <c r="F15" s="56">
        <v>5476.54</v>
      </c>
      <c r="G15" s="56">
        <v>5292.18</v>
      </c>
      <c r="H15" s="56">
        <v>5224.1000000000004</v>
      </c>
      <c r="I15" s="56">
        <v>5579.84</v>
      </c>
      <c r="J15" s="56">
        <v>6803.22</v>
      </c>
      <c r="K15" s="56">
        <v>7742.02</v>
      </c>
      <c r="L15" s="56">
        <v>9505.51</v>
      </c>
      <c r="M15" s="56">
        <v>9757.4699999999993</v>
      </c>
      <c r="N15" s="56">
        <v>10038.64</v>
      </c>
      <c r="O15" s="56">
        <v>10525.12</v>
      </c>
      <c r="P15" s="56">
        <v>11050.68</v>
      </c>
      <c r="Q15" s="56">
        <v>10943.22</v>
      </c>
      <c r="R15" s="56">
        <v>10821.17</v>
      </c>
      <c r="S15" s="56">
        <v>10979.62</v>
      </c>
      <c r="T15" s="56">
        <v>10985.01</v>
      </c>
      <c r="U15" s="56">
        <v>10964.43</v>
      </c>
      <c r="V15" s="56">
        <v>10872.41</v>
      </c>
      <c r="W15" s="56">
        <v>11952.78</v>
      </c>
      <c r="X15" s="56">
        <v>12616.1</v>
      </c>
      <c r="Y15" s="56">
        <v>11971.5</v>
      </c>
      <c r="Z15" s="56">
        <v>10833.11</v>
      </c>
      <c r="AA15" s="56">
        <v>9189.08</v>
      </c>
      <c r="AB15" s="56">
        <v>7784.1</v>
      </c>
      <c r="AC15" s="66">
        <f>+SUM(E15:AB15)*D15+SUM(E16:AB16)*D16+SUM(E17:AB17)*D17+SUM(E18:AB18)*D18</f>
        <v>6773244.4399999985</v>
      </c>
      <c r="AE15" s="11">
        <f>+AC39</f>
        <v>6661838.1200000001</v>
      </c>
    </row>
    <row r="16" spans="2:31" ht="12.5" x14ac:dyDescent="0.25">
      <c r="B16" s="65" t="s">
        <v>34</v>
      </c>
      <c r="C16" s="4" t="s">
        <v>30</v>
      </c>
      <c r="D16" s="5">
        <v>4</v>
      </c>
      <c r="E16" s="56">
        <v>6014.12</v>
      </c>
      <c r="F16" s="56">
        <v>5552.77</v>
      </c>
      <c r="G16" s="56">
        <v>5334.85</v>
      </c>
      <c r="H16" s="56">
        <v>5200.76</v>
      </c>
      <c r="I16" s="56">
        <v>5385.48</v>
      </c>
      <c r="J16" s="56">
        <v>5845</v>
      </c>
      <c r="K16" s="56">
        <v>6594.44</v>
      </c>
      <c r="L16" s="56">
        <v>9116.11</v>
      </c>
      <c r="M16" s="56">
        <v>9592.42</v>
      </c>
      <c r="N16" s="56">
        <v>10076.24</v>
      </c>
      <c r="O16" s="56">
        <v>10520.18</v>
      </c>
      <c r="P16" s="56">
        <v>10889.4</v>
      </c>
      <c r="Q16" s="56">
        <v>10976.65</v>
      </c>
      <c r="R16" s="56">
        <v>10670.35</v>
      </c>
      <c r="S16" s="56">
        <v>10472.6</v>
      </c>
      <c r="T16" s="56">
        <v>10513.86</v>
      </c>
      <c r="U16" s="56">
        <v>10602.78</v>
      </c>
      <c r="V16" s="56">
        <v>10455.07</v>
      </c>
      <c r="W16" s="56">
        <v>11508.47</v>
      </c>
      <c r="X16" s="56">
        <v>12207.22</v>
      </c>
      <c r="Y16" s="56">
        <v>11619.87</v>
      </c>
      <c r="Z16" s="56">
        <v>10763.41</v>
      </c>
      <c r="AA16" s="56">
        <v>9542.1</v>
      </c>
      <c r="AB16" s="56">
        <v>8236.7800000000007</v>
      </c>
      <c r="AC16" s="67"/>
      <c r="AE16" s="11">
        <f>+AC43</f>
        <v>6945542.7599999998</v>
      </c>
    </row>
    <row r="17" spans="2:31" ht="12.5" x14ac:dyDescent="0.25">
      <c r="B17" s="65" t="s">
        <v>34</v>
      </c>
      <c r="C17" s="4" t="s">
        <v>31</v>
      </c>
      <c r="D17" s="5">
        <v>5</v>
      </c>
      <c r="E17" s="56">
        <v>6284.51</v>
      </c>
      <c r="F17" s="56">
        <v>5756.45</v>
      </c>
      <c r="G17" s="56">
        <v>5441.85</v>
      </c>
      <c r="H17" s="56">
        <v>5251.1</v>
      </c>
      <c r="I17" s="56">
        <v>5273.76</v>
      </c>
      <c r="J17" s="56">
        <v>5422.63</v>
      </c>
      <c r="K17" s="56">
        <v>5678.56</v>
      </c>
      <c r="L17" s="56">
        <v>7883.72</v>
      </c>
      <c r="M17" s="56">
        <v>8649.2800000000007</v>
      </c>
      <c r="N17" s="56">
        <v>9115.99</v>
      </c>
      <c r="O17" s="56">
        <v>9460.35</v>
      </c>
      <c r="P17" s="56">
        <v>9774.7000000000007</v>
      </c>
      <c r="Q17" s="56">
        <v>9967.8799999999992</v>
      </c>
      <c r="R17" s="56">
        <v>9874.1299999999992</v>
      </c>
      <c r="S17" s="56">
        <v>9678.86</v>
      </c>
      <c r="T17" s="56">
        <v>9692.2900000000009</v>
      </c>
      <c r="U17" s="56">
        <v>9816.27</v>
      </c>
      <c r="V17" s="56">
        <v>9652.26</v>
      </c>
      <c r="W17" s="56">
        <v>10700.37</v>
      </c>
      <c r="X17" s="56">
        <v>11567.24</v>
      </c>
      <c r="Y17" s="56">
        <v>11231.59</v>
      </c>
      <c r="Z17" s="56">
        <v>10349.14</v>
      </c>
      <c r="AA17" s="56">
        <v>8962.1299999999992</v>
      </c>
      <c r="AB17" s="56">
        <v>7555.61</v>
      </c>
      <c r="AC17" s="67"/>
      <c r="AE17" s="11">
        <f>+AC47</f>
        <v>6778964.6100000013</v>
      </c>
    </row>
    <row r="18" spans="2:31" ht="12.5" x14ac:dyDescent="0.25">
      <c r="B18" s="65" t="s">
        <v>34</v>
      </c>
      <c r="C18" s="4" t="s">
        <v>32</v>
      </c>
      <c r="D18" s="5">
        <v>1</v>
      </c>
      <c r="E18" s="56">
        <v>6128.23</v>
      </c>
      <c r="F18" s="56">
        <v>5683.27</v>
      </c>
      <c r="G18" s="56">
        <v>5455.11</v>
      </c>
      <c r="H18" s="56">
        <v>5376.54</v>
      </c>
      <c r="I18" s="56">
        <v>5366.47</v>
      </c>
      <c r="J18" s="56">
        <v>5589.55</v>
      </c>
      <c r="K18" s="56">
        <v>5844.56</v>
      </c>
      <c r="L18" s="56">
        <v>8092.46</v>
      </c>
      <c r="M18" s="56">
        <v>8791.16</v>
      </c>
      <c r="N18" s="56">
        <v>9226.99</v>
      </c>
      <c r="O18" s="56">
        <v>9844.93</v>
      </c>
      <c r="P18" s="56">
        <v>10431.73</v>
      </c>
      <c r="Q18" s="56">
        <v>10665.12</v>
      </c>
      <c r="R18" s="56">
        <v>10675.09</v>
      </c>
      <c r="S18" s="56">
        <v>10567.27</v>
      </c>
      <c r="T18" s="56">
        <v>10459.030000000001</v>
      </c>
      <c r="U18" s="56">
        <v>10130.049999999999</v>
      </c>
      <c r="V18" s="56">
        <v>9964.43</v>
      </c>
      <c r="W18" s="56">
        <v>11336.44</v>
      </c>
      <c r="X18" s="56">
        <v>11967.22</v>
      </c>
      <c r="Y18" s="56">
        <v>11381.99</v>
      </c>
      <c r="Z18" s="56">
        <v>10071.24</v>
      </c>
      <c r="AA18" s="56">
        <v>8600.89</v>
      </c>
      <c r="AB18" s="56">
        <v>7310.39</v>
      </c>
      <c r="AC18" s="68"/>
      <c r="AE18" s="11">
        <f>+AC51</f>
        <v>7005102.9600000009</v>
      </c>
    </row>
    <row r="19" spans="2:31" ht="13" x14ac:dyDescent="0.3">
      <c r="B19" s="65" t="s">
        <v>35</v>
      </c>
      <c r="C19" s="4" t="s">
        <v>29</v>
      </c>
      <c r="D19" s="5">
        <v>20</v>
      </c>
      <c r="E19" s="56">
        <v>6091.5</v>
      </c>
      <c r="F19" s="56">
        <v>5682.41</v>
      </c>
      <c r="G19" s="56">
        <v>5472.42</v>
      </c>
      <c r="H19" s="56">
        <v>5426.22</v>
      </c>
      <c r="I19" s="56">
        <v>5882.71</v>
      </c>
      <c r="J19" s="56">
        <v>7443.99</v>
      </c>
      <c r="K19" s="56">
        <v>8285.25</v>
      </c>
      <c r="L19" s="56">
        <v>9728.14</v>
      </c>
      <c r="M19" s="56">
        <v>9927.0300000000007</v>
      </c>
      <c r="N19" s="56">
        <v>10139.36</v>
      </c>
      <c r="O19" s="56">
        <v>10658.09</v>
      </c>
      <c r="P19" s="56">
        <v>11180.78</v>
      </c>
      <c r="Q19" s="56">
        <v>11016.92</v>
      </c>
      <c r="R19" s="56">
        <v>11072.86</v>
      </c>
      <c r="S19" s="56">
        <v>11309.57</v>
      </c>
      <c r="T19" s="56">
        <v>11350.5</v>
      </c>
      <c r="U19" s="56">
        <v>11391.38</v>
      </c>
      <c r="V19" s="56">
        <v>11486.69</v>
      </c>
      <c r="W19" s="56">
        <v>12590.73</v>
      </c>
      <c r="X19" s="56">
        <v>12989.77</v>
      </c>
      <c r="Y19" s="56">
        <v>12300.84</v>
      </c>
      <c r="Z19" s="56">
        <v>11153.98</v>
      </c>
      <c r="AA19" s="56">
        <v>9456.99</v>
      </c>
      <c r="AB19" s="56">
        <v>8054.51</v>
      </c>
      <c r="AC19" s="66">
        <f>+SUM(E19:AB19)*D19+SUM(E20:AB20)*D20+SUM(E21:AB21)*D21+SUM(E22:AB22)*D22</f>
        <v>6756871.9200000009</v>
      </c>
      <c r="AE19" s="12">
        <f>SUM(AE7:AE18)</f>
        <v>81399816.25999999</v>
      </c>
    </row>
    <row r="20" spans="2:31" ht="12.5" x14ac:dyDescent="0.25">
      <c r="B20" s="65" t="s">
        <v>35</v>
      </c>
      <c r="C20" s="4" t="s">
        <v>30</v>
      </c>
      <c r="D20" s="5">
        <v>4</v>
      </c>
      <c r="E20" s="56">
        <v>6387.02</v>
      </c>
      <c r="F20" s="56">
        <v>5901.76</v>
      </c>
      <c r="G20" s="56">
        <v>5648.02</v>
      </c>
      <c r="H20" s="56">
        <v>5538.58</v>
      </c>
      <c r="I20" s="56">
        <v>5678.61</v>
      </c>
      <c r="J20" s="56">
        <v>6073.16</v>
      </c>
      <c r="K20" s="56">
        <v>6176.17</v>
      </c>
      <c r="L20" s="56">
        <v>9247.49</v>
      </c>
      <c r="M20" s="56">
        <v>9852.5</v>
      </c>
      <c r="N20" s="56">
        <v>10291.77</v>
      </c>
      <c r="O20" s="56">
        <v>10738.86</v>
      </c>
      <c r="P20" s="56">
        <v>11221.44</v>
      </c>
      <c r="Q20" s="56">
        <v>11676.96</v>
      </c>
      <c r="R20" s="56">
        <v>10973.68</v>
      </c>
      <c r="S20" s="56">
        <v>10826.73</v>
      </c>
      <c r="T20" s="56">
        <v>10847.7</v>
      </c>
      <c r="U20" s="56">
        <v>10952.45</v>
      </c>
      <c r="V20" s="56">
        <v>10508</v>
      </c>
      <c r="W20" s="56">
        <v>11979.22</v>
      </c>
      <c r="X20" s="56">
        <v>12436.53</v>
      </c>
      <c r="Y20" s="56">
        <v>11755.53</v>
      </c>
      <c r="Z20" s="56">
        <v>10916.79</v>
      </c>
      <c r="AA20" s="56">
        <v>9777.9500000000007</v>
      </c>
      <c r="AB20" s="56">
        <v>9037.33</v>
      </c>
      <c r="AC20" s="67"/>
    </row>
    <row r="21" spans="2:31" ht="12.5" x14ac:dyDescent="0.25">
      <c r="B21" s="65" t="s">
        <v>35</v>
      </c>
      <c r="C21" s="4" t="s">
        <v>31</v>
      </c>
      <c r="D21" s="5">
        <v>4</v>
      </c>
      <c r="E21" s="56">
        <v>6708.84</v>
      </c>
      <c r="F21" s="56">
        <v>6150.28</v>
      </c>
      <c r="G21" s="56">
        <v>5807.33</v>
      </c>
      <c r="H21" s="56">
        <v>5557.09</v>
      </c>
      <c r="I21" s="56">
        <v>5537.24</v>
      </c>
      <c r="J21" s="56">
        <v>5628.7</v>
      </c>
      <c r="K21" s="56">
        <v>5879.1</v>
      </c>
      <c r="L21" s="56">
        <v>8105.47</v>
      </c>
      <c r="M21" s="56">
        <v>8801.15</v>
      </c>
      <c r="N21" s="56">
        <v>9244.19</v>
      </c>
      <c r="O21" s="56">
        <v>9782.82</v>
      </c>
      <c r="P21" s="56">
        <v>10147</v>
      </c>
      <c r="Q21" s="56">
        <v>10364.31</v>
      </c>
      <c r="R21" s="56">
        <v>10308.73</v>
      </c>
      <c r="S21" s="56">
        <v>10184.64</v>
      </c>
      <c r="T21" s="56">
        <v>10073.1</v>
      </c>
      <c r="U21" s="56">
        <v>10195.32</v>
      </c>
      <c r="V21" s="56">
        <v>10056.19</v>
      </c>
      <c r="W21" s="56">
        <v>11641.97</v>
      </c>
      <c r="X21" s="56">
        <v>12009.54</v>
      </c>
      <c r="Y21" s="56">
        <v>11501.66</v>
      </c>
      <c r="Z21" s="56">
        <v>10465.65</v>
      </c>
      <c r="AA21" s="56">
        <v>8948.2199999999993</v>
      </c>
      <c r="AB21" s="56">
        <v>7614.38</v>
      </c>
      <c r="AC21" s="67"/>
    </row>
    <row r="22" spans="2:31" ht="12.5" x14ac:dyDescent="0.25">
      <c r="B22" s="65" t="s">
        <v>35</v>
      </c>
      <c r="C22" s="4" t="s">
        <v>32</v>
      </c>
      <c r="D22" s="5">
        <v>2</v>
      </c>
      <c r="E22" s="56">
        <v>6246.58</v>
      </c>
      <c r="F22" s="56">
        <v>5822.41</v>
      </c>
      <c r="G22" s="56">
        <v>5553.56</v>
      </c>
      <c r="H22" s="56">
        <v>5324.78</v>
      </c>
      <c r="I22" s="56">
        <v>5430.81</v>
      </c>
      <c r="J22" s="56">
        <v>5565.01</v>
      </c>
      <c r="K22" s="56">
        <v>5893.18</v>
      </c>
      <c r="L22" s="56">
        <v>8315.39</v>
      </c>
      <c r="M22" s="56">
        <v>8846.86</v>
      </c>
      <c r="N22" s="56">
        <v>9078.36</v>
      </c>
      <c r="O22" s="56">
        <v>9302.6200000000008</v>
      </c>
      <c r="P22" s="56">
        <v>9896.11</v>
      </c>
      <c r="Q22" s="56">
        <v>10213.530000000001</v>
      </c>
      <c r="R22" s="56">
        <v>10130.459999999999</v>
      </c>
      <c r="S22" s="56">
        <v>9970.77</v>
      </c>
      <c r="T22" s="56">
        <v>10016.93</v>
      </c>
      <c r="U22" s="56">
        <v>10010.07</v>
      </c>
      <c r="V22" s="56">
        <v>9961.89</v>
      </c>
      <c r="W22" s="56">
        <v>11052.13</v>
      </c>
      <c r="X22" s="56">
        <v>11549.86</v>
      </c>
      <c r="Y22" s="56">
        <v>11023.49</v>
      </c>
      <c r="Z22" s="56">
        <v>10411.17</v>
      </c>
      <c r="AA22" s="56">
        <v>9374.01</v>
      </c>
      <c r="AB22" s="56">
        <v>8205.24</v>
      </c>
      <c r="AC22" s="68"/>
    </row>
    <row r="23" spans="2:31" ht="12.5" x14ac:dyDescent="0.25">
      <c r="B23" s="65" t="s">
        <v>36</v>
      </c>
      <c r="C23" s="4" t="s">
        <v>29</v>
      </c>
      <c r="D23" s="5">
        <v>19</v>
      </c>
      <c r="E23" s="56">
        <v>5872.25</v>
      </c>
      <c r="F23" s="56">
        <v>5632.79</v>
      </c>
      <c r="G23" s="56">
        <v>5361.37</v>
      </c>
      <c r="H23" s="56">
        <v>5281.03</v>
      </c>
      <c r="I23" s="56">
        <v>5714.92</v>
      </c>
      <c r="J23" s="56">
        <v>7176.24</v>
      </c>
      <c r="K23" s="56">
        <v>8004.21</v>
      </c>
      <c r="L23" s="56">
        <v>9474.92</v>
      </c>
      <c r="M23" s="56">
        <v>9644.7199999999993</v>
      </c>
      <c r="N23" s="56">
        <v>9944</v>
      </c>
      <c r="O23" s="56">
        <v>10457.86</v>
      </c>
      <c r="P23" s="56">
        <v>10983.51</v>
      </c>
      <c r="Q23" s="56">
        <v>10771.9</v>
      </c>
      <c r="R23" s="56">
        <v>10787.19</v>
      </c>
      <c r="S23" s="56">
        <v>11048.17</v>
      </c>
      <c r="T23" s="56">
        <v>11123.7</v>
      </c>
      <c r="U23" s="56">
        <v>10954.11</v>
      </c>
      <c r="V23" s="56">
        <v>11164.03</v>
      </c>
      <c r="W23" s="56">
        <v>12244.39</v>
      </c>
      <c r="X23" s="56">
        <v>12487.6</v>
      </c>
      <c r="Y23" s="56">
        <v>11942.16</v>
      </c>
      <c r="Z23" s="56">
        <v>10645.22</v>
      </c>
      <c r="AA23" s="56">
        <v>9158.7199999999993</v>
      </c>
      <c r="AB23" s="56">
        <v>7796.8</v>
      </c>
      <c r="AC23" s="66">
        <f>+SUM(E23:AB23)*D23+SUM(E24:AB24)*D24+SUM(E25:AB25)*D25+SUM(E26:AB26)*D26</f>
        <v>6752675.1100000003</v>
      </c>
    </row>
    <row r="24" spans="2:31" ht="12.5" x14ac:dyDescent="0.25">
      <c r="B24" s="65" t="s">
        <v>36</v>
      </c>
      <c r="C24" s="4" t="s">
        <v>30</v>
      </c>
      <c r="D24" s="5">
        <v>5</v>
      </c>
      <c r="E24" s="56">
        <v>6172.88</v>
      </c>
      <c r="F24" s="56">
        <v>5765.16</v>
      </c>
      <c r="G24" s="56">
        <v>5464.02</v>
      </c>
      <c r="H24" s="56">
        <v>5370.87</v>
      </c>
      <c r="I24" s="56">
        <v>5522.57</v>
      </c>
      <c r="J24" s="56">
        <v>5833.57</v>
      </c>
      <c r="K24" s="56">
        <v>6478.79</v>
      </c>
      <c r="L24" s="56">
        <v>8973.41</v>
      </c>
      <c r="M24" s="56">
        <v>9646.7900000000009</v>
      </c>
      <c r="N24" s="56">
        <v>10103.59</v>
      </c>
      <c r="O24" s="56">
        <v>10512.66</v>
      </c>
      <c r="P24" s="56">
        <v>10844.48</v>
      </c>
      <c r="Q24" s="56">
        <v>10855.83</v>
      </c>
      <c r="R24" s="56">
        <v>10660.94</v>
      </c>
      <c r="S24" s="56">
        <v>10570.63</v>
      </c>
      <c r="T24" s="56">
        <v>10396.83</v>
      </c>
      <c r="U24" s="56">
        <v>10535.7</v>
      </c>
      <c r="V24" s="56">
        <v>10514.92</v>
      </c>
      <c r="W24" s="56">
        <v>11342.37</v>
      </c>
      <c r="X24" s="56">
        <v>11722.52</v>
      </c>
      <c r="Y24" s="56">
        <v>11151.75</v>
      </c>
      <c r="Z24" s="56">
        <v>10256.450000000001</v>
      </c>
      <c r="AA24" s="56">
        <v>9258.16</v>
      </c>
      <c r="AB24" s="56">
        <v>8066.68</v>
      </c>
      <c r="AC24" s="67"/>
    </row>
    <row r="25" spans="2:31" ht="12.5" x14ac:dyDescent="0.25">
      <c r="B25" s="65" t="s">
        <v>36</v>
      </c>
      <c r="C25" s="4" t="s">
        <v>31</v>
      </c>
      <c r="D25" s="5">
        <v>5</v>
      </c>
      <c r="E25" s="56">
        <v>6217.23</v>
      </c>
      <c r="F25" s="56">
        <v>5761.87</v>
      </c>
      <c r="G25" s="56">
        <v>5468.62</v>
      </c>
      <c r="H25" s="56">
        <v>5261.96</v>
      </c>
      <c r="I25" s="56">
        <v>5345.07</v>
      </c>
      <c r="J25" s="56">
        <v>5359.5</v>
      </c>
      <c r="K25" s="56">
        <v>5712.85</v>
      </c>
      <c r="L25" s="56">
        <v>7942.56</v>
      </c>
      <c r="M25" s="56">
        <v>8599.76</v>
      </c>
      <c r="N25" s="56">
        <v>9021.75</v>
      </c>
      <c r="O25" s="56">
        <v>9439.2800000000007</v>
      </c>
      <c r="P25" s="56">
        <v>9724.5</v>
      </c>
      <c r="Q25" s="56">
        <v>9796.16</v>
      </c>
      <c r="R25" s="56">
        <v>9763.2000000000007</v>
      </c>
      <c r="S25" s="56">
        <v>9515.2000000000007</v>
      </c>
      <c r="T25" s="56">
        <v>9451.73</v>
      </c>
      <c r="U25" s="56">
        <v>9609.2000000000007</v>
      </c>
      <c r="V25" s="56">
        <v>9600.4699999999993</v>
      </c>
      <c r="W25" s="56">
        <v>10712.24</v>
      </c>
      <c r="X25" s="56">
        <v>11174.37</v>
      </c>
      <c r="Y25" s="56">
        <v>10796.84</v>
      </c>
      <c r="Z25" s="56">
        <v>9972.7800000000007</v>
      </c>
      <c r="AA25" s="56">
        <v>8572.11</v>
      </c>
      <c r="AB25" s="56">
        <v>7461.48</v>
      </c>
      <c r="AC25" s="67"/>
    </row>
    <row r="26" spans="2:31" ht="12.5" x14ac:dyDescent="0.25">
      <c r="B26" s="65" t="s">
        <v>36</v>
      </c>
      <c r="C26" s="4" t="s">
        <v>32</v>
      </c>
      <c r="D26" s="5">
        <v>2</v>
      </c>
      <c r="E26" s="56">
        <v>6123.53</v>
      </c>
      <c r="F26" s="56">
        <v>5673.75</v>
      </c>
      <c r="G26" s="56">
        <v>5457.43</v>
      </c>
      <c r="H26" s="56">
        <v>5315.28</v>
      </c>
      <c r="I26" s="56">
        <v>5412.81</v>
      </c>
      <c r="J26" s="56">
        <v>5592.09</v>
      </c>
      <c r="K26" s="56">
        <v>5876.04</v>
      </c>
      <c r="L26" s="56">
        <v>8197.41</v>
      </c>
      <c r="M26" s="56">
        <v>8835.7900000000009</v>
      </c>
      <c r="N26" s="56">
        <v>9513.67</v>
      </c>
      <c r="O26" s="56">
        <v>10001.370000000001</v>
      </c>
      <c r="P26" s="56">
        <v>10751.11</v>
      </c>
      <c r="Q26" s="56">
        <v>10938.53</v>
      </c>
      <c r="R26" s="56">
        <v>10686.93</v>
      </c>
      <c r="S26" s="56">
        <v>10223.540000000001</v>
      </c>
      <c r="T26" s="56">
        <v>10251.549999999999</v>
      </c>
      <c r="U26" s="56">
        <v>10101.58</v>
      </c>
      <c r="V26" s="56">
        <v>10305.75</v>
      </c>
      <c r="W26" s="56">
        <v>11368.05</v>
      </c>
      <c r="X26" s="56">
        <v>11791.41</v>
      </c>
      <c r="Y26" s="56">
        <v>11285.57</v>
      </c>
      <c r="Z26" s="56">
        <v>10376.15</v>
      </c>
      <c r="AA26" s="56">
        <v>8926.9</v>
      </c>
      <c r="AB26" s="56">
        <v>7693.37</v>
      </c>
      <c r="AC26" s="68"/>
    </row>
    <row r="27" spans="2:31" ht="12.5" x14ac:dyDescent="0.25">
      <c r="B27" s="65" t="s">
        <v>37</v>
      </c>
      <c r="C27" s="4" t="s">
        <v>29</v>
      </c>
      <c r="D27" s="5">
        <v>19</v>
      </c>
      <c r="E27" s="56">
        <v>5958.27</v>
      </c>
      <c r="F27" s="56">
        <v>5564.77</v>
      </c>
      <c r="G27" s="56">
        <v>5393.49</v>
      </c>
      <c r="H27" s="56">
        <v>5323.09</v>
      </c>
      <c r="I27" s="56">
        <v>5728.22</v>
      </c>
      <c r="J27" s="56">
        <v>6870.47</v>
      </c>
      <c r="K27" s="56">
        <v>7817.32</v>
      </c>
      <c r="L27" s="56">
        <v>9805.7900000000009</v>
      </c>
      <c r="M27" s="56">
        <v>10055.280000000001</v>
      </c>
      <c r="N27" s="56">
        <v>10486.27</v>
      </c>
      <c r="O27" s="56">
        <v>11028.8</v>
      </c>
      <c r="P27" s="56">
        <v>11556.43</v>
      </c>
      <c r="Q27" s="56">
        <v>11440.17</v>
      </c>
      <c r="R27" s="56">
        <v>11300.52</v>
      </c>
      <c r="S27" s="56">
        <v>11434.86</v>
      </c>
      <c r="T27" s="56">
        <v>11351.48</v>
      </c>
      <c r="U27" s="56">
        <v>11366.3</v>
      </c>
      <c r="V27" s="56">
        <v>11303.13</v>
      </c>
      <c r="W27" s="56">
        <v>12354.55</v>
      </c>
      <c r="X27" s="56">
        <v>12799.03</v>
      </c>
      <c r="Y27" s="56">
        <v>12133.96</v>
      </c>
      <c r="Z27" s="56">
        <v>10987.16</v>
      </c>
      <c r="AA27" s="56">
        <v>9369.99</v>
      </c>
      <c r="AB27" s="56">
        <v>7931.15</v>
      </c>
      <c r="AC27" s="66">
        <f>+SUM(E27:AB27)*D27+SUM(E28:AB28)*D28+SUM(E29:AB29)*D29+SUM(E30:AB30)*D30</f>
        <v>6716565.9399999995</v>
      </c>
    </row>
    <row r="28" spans="2:31" ht="12.5" x14ac:dyDescent="0.25">
      <c r="B28" s="65" t="s">
        <v>37</v>
      </c>
      <c r="C28" s="4" t="s">
        <v>30</v>
      </c>
      <c r="D28" s="5">
        <v>4</v>
      </c>
      <c r="E28" s="56">
        <v>6119.61</v>
      </c>
      <c r="F28" s="56">
        <v>5672.3</v>
      </c>
      <c r="G28" s="56">
        <v>5410.31</v>
      </c>
      <c r="H28" s="56">
        <v>5268.91</v>
      </c>
      <c r="I28" s="56">
        <v>5485.51</v>
      </c>
      <c r="J28" s="56">
        <v>5876.54</v>
      </c>
      <c r="K28" s="56">
        <v>6643.9</v>
      </c>
      <c r="L28" s="56">
        <v>9266.11</v>
      </c>
      <c r="M28" s="56">
        <v>9983.91</v>
      </c>
      <c r="N28" s="56">
        <v>10479.25</v>
      </c>
      <c r="O28" s="56">
        <v>10939.26</v>
      </c>
      <c r="P28" s="56">
        <v>11299.94</v>
      </c>
      <c r="Q28" s="56">
        <v>11300.71</v>
      </c>
      <c r="R28" s="56">
        <v>11032.64</v>
      </c>
      <c r="S28" s="56">
        <v>10777.75</v>
      </c>
      <c r="T28" s="56">
        <v>10673.1</v>
      </c>
      <c r="U28" s="56">
        <v>10646.79</v>
      </c>
      <c r="V28" s="56">
        <v>10677.81</v>
      </c>
      <c r="W28" s="56">
        <v>11666.98</v>
      </c>
      <c r="X28" s="56">
        <v>12274.09</v>
      </c>
      <c r="Y28" s="56">
        <v>11701.99</v>
      </c>
      <c r="Z28" s="56">
        <v>10785.16</v>
      </c>
      <c r="AA28" s="56">
        <v>9640.23</v>
      </c>
      <c r="AB28" s="56">
        <v>8347.94</v>
      </c>
      <c r="AC28" s="67"/>
    </row>
    <row r="29" spans="2:31" ht="12.5" x14ac:dyDescent="0.25">
      <c r="B29" s="65" t="s">
        <v>37</v>
      </c>
      <c r="C29" s="4" t="s">
        <v>31</v>
      </c>
      <c r="D29" s="5">
        <v>4</v>
      </c>
      <c r="E29" s="56">
        <v>6487.89</v>
      </c>
      <c r="F29" s="56">
        <v>5950.29</v>
      </c>
      <c r="G29" s="56">
        <v>5619.31</v>
      </c>
      <c r="H29" s="56">
        <v>5471.67</v>
      </c>
      <c r="I29" s="56">
        <v>5458.95</v>
      </c>
      <c r="J29" s="56">
        <v>5492.29</v>
      </c>
      <c r="K29" s="56">
        <v>5821.58</v>
      </c>
      <c r="L29" s="56">
        <v>8262.1</v>
      </c>
      <c r="M29" s="56">
        <v>9028.99</v>
      </c>
      <c r="N29" s="56">
        <v>9666.06</v>
      </c>
      <c r="O29" s="56">
        <v>10034.34</v>
      </c>
      <c r="P29" s="56">
        <v>10386.15</v>
      </c>
      <c r="Q29" s="56">
        <v>10464.219999999999</v>
      </c>
      <c r="R29" s="56">
        <v>10306.92</v>
      </c>
      <c r="S29" s="56">
        <v>10029.31</v>
      </c>
      <c r="T29" s="56">
        <v>9979.35</v>
      </c>
      <c r="U29" s="56">
        <v>10032.370000000001</v>
      </c>
      <c r="V29" s="56">
        <v>9864.26</v>
      </c>
      <c r="W29" s="56">
        <v>10871.4</v>
      </c>
      <c r="X29" s="56">
        <v>11573.95</v>
      </c>
      <c r="Y29" s="56">
        <v>11206.6</v>
      </c>
      <c r="Z29" s="56">
        <v>10360.25</v>
      </c>
      <c r="AA29" s="56">
        <v>9129.36</v>
      </c>
      <c r="AB29" s="56">
        <v>7825.25</v>
      </c>
      <c r="AC29" s="67"/>
    </row>
    <row r="30" spans="2:31" ht="12.5" x14ac:dyDescent="0.25">
      <c r="B30" s="65" t="s">
        <v>37</v>
      </c>
      <c r="C30" s="4" t="s">
        <v>32</v>
      </c>
      <c r="D30" s="5">
        <v>3</v>
      </c>
      <c r="E30" s="56">
        <v>6168.01</v>
      </c>
      <c r="F30" s="56">
        <v>5741.66</v>
      </c>
      <c r="G30" s="56">
        <v>5485.06</v>
      </c>
      <c r="H30" s="56">
        <v>5324.48</v>
      </c>
      <c r="I30" s="56">
        <v>5414.17</v>
      </c>
      <c r="J30" s="56">
        <v>5498.45</v>
      </c>
      <c r="K30" s="56">
        <v>5708.14</v>
      </c>
      <c r="L30" s="56">
        <v>8166.54</v>
      </c>
      <c r="M30" s="56">
        <v>8670.2999999999993</v>
      </c>
      <c r="N30" s="56">
        <v>9206.94</v>
      </c>
      <c r="O30" s="56">
        <v>10022.719999999999</v>
      </c>
      <c r="P30" s="56">
        <v>10584.76</v>
      </c>
      <c r="Q30" s="56">
        <v>10882.85</v>
      </c>
      <c r="R30" s="56">
        <v>10715.89</v>
      </c>
      <c r="S30" s="56">
        <v>10502.66</v>
      </c>
      <c r="T30" s="56">
        <v>10351.15</v>
      </c>
      <c r="U30" s="56">
        <v>10261.280000000001</v>
      </c>
      <c r="V30" s="56">
        <v>10167.120000000001</v>
      </c>
      <c r="W30" s="56">
        <v>11285.58</v>
      </c>
      <c r="X30" s="56">
        <v>12012.26</v>
      </c>
      <c r="Y30" s="56">
        <v>11560.78</v>
      </c>
      <c r="Z30" s="56">
        <v>10603.82</v>
      </c>
      <c r="AA30" s="56">
        <v>9127.02</v>
      </c>
      <c r="AB30" s="56">
        <v>7719.04</v>
      </c>
      <c r="AC30" s="68"/>
    </row>
    <row r="31" spans="2:31" ht="12.5" x14ac:dyDescent="0.25">
      <c r="B31" s="65" t="s">
        <v>38</v>
      </c>
      <c r="C31" s="4" t="s">
        <v>29</v>
      </c>
      <c r="D31" s="5">
        <v>21</v>
      </c>
      <c r="E31" s="56">
        <v>5931.5</v>
      </c>
      <c r="F31" s="56">
        <v>5553.92</v>
      </c>
      <c r="G31" s="56">
        <v>5349.76</v>
      </c>
      <c r="H31" s="56">
        <v>5295.23</v>
      </c>
      <c r="I31" s="56">
        <v>5681.71</v>
      </c>
      <c r="J31" s="56">
        <v>6964.82</v>
      </c>
      <c r="K31" s="56">
        <v>7820.96</v>
      </c>
      <c r="L31" s="56">
        <v>9523.2000000000007</v>
      </c>
      <c r="M31" s="56">
        <v>9780.48</v>
      </c>
      <c r="N31" s="56">
        <v>10145.08</v>
      </c>
      <c r="O31" s="56">
        <v>10587.11</v>
      </c>
      <c r="P31" s="56">
        <v>11289.07</v>
      </c>
      <c r="Q31" s="56">
        <v>11099.6</v>
      </c>
      <c r="R31" s="56">
        <v>11011.6</v>
      </c>
      <c r="S31" s="56">
        <v>11153.22</v>
      </c>
      <c r="T31" s="56">
        <v>11126.53</v>
      </c>
      <c r="U31" s="56">
        <v>11038.41</v>
      </c>
      <c r="V31" s="56">
        <v>10983.9</v>
      </c>
      <c r="W31" s="56">
        <v>11810.83</v>
      </c>
      <c r="X31" s="56">
        <v>12604.27</v>
      </c>
      <c r="Y31" s="56">
        <v>12025.12</v>
      </c>
      <c r="Z31" s="56">
        <v>10919.48</v>
      </c>
      <c r="AA31" s="56">
        <v>9236.9</v>
      </c>
      <c r="AB31" s="56">
        <v>7853.17</v>
      </c>
      <c r="AC31" s="66">
        <f>+SUM(E31:AB31)*D31+SUM(E32:AB32)*D32+SUM(E33:AB33)*D33+SUM(E34:AB34)*D34</f>
        <v>6804600.5499999998</v>
      </c>
    </row>
    <row r="32" spans="2:31" ht="12.5" x14ac:dyDescent="0.25">
      <c r="B32" s="65" t="s">
        <v>38</v>
      </c>
      <c r="C32" s="4" t="s">
        <v>30</v>
      </c>
      <c r="D32" s="5">
        <v>4</v>
      </c>
      <c r="E32" s="56">
        <v>6144.14</v>
      </c>
      <c r="F32" s="56">
        <v>5706.09</v>
      </c>
      <c r="G32" s="56">
        <v>5434.77</v>
      </c>
      <c r="H32" s="56">
        <v>5356.26</v>
      </c>
      <c r="I32" s="56">
        <v>5471.19</v>
      </c>
      <c r="J32" s="56">
        <v>5792.38</v>
      </c>
      <c r="K32" s="56">
        <v>6487.26</v>
      </c>
      <c r="L32" s="56">
        <v>9086.33</v>
      </c>
      <c r="M32" s="56">
        <v>9782.09</v>
      </c>
      <c r="N32" s="56">
        <v>10268.09</v>
      </c>
      <c r="O32" s="56">
        <v>10623.51</v>
      </c>
      <c r="P32" s="56">
        <v>11086.26</v>
      </c>
      <c r="Q32" s="56">
        <v>11189.39</v>
      </c>
      <c r="R32" s="56">
        <v>10935</v>
      </c>
      <c r="S32" s="56">
        <v>10719.89</v>
      </c>
      <c r="T32" s="56">
        <v>10499.9</v>
      </c>
      <c r="U32" s="56">
        <v>10377.98</v>
      </c>
      <c r="V32" s="56">
        <v>10419.06</v>
      </c>
      <c r="W32" s="56">
        <v>11173.96</v>
      </c>
      <c r="X32" s="56">
        <v>11905.58</v>
      </c>
      <c r="Y32" s="56">
        <v>11319.05</v>
      </c>
      <c r="Z32" s="56">
        <v>10411.370000000001</v>
      </c>
      <c r="AA32" s="56">
        <v>9206.1299999999992</v>
      </c>
      <c r="AB32" s="56">
        <v>8052.36</v>
      </c>
      <c r="AC32" s="67"/>
    </row>
    <row r="33" spans="2:29" ht="12.5" x14ac:dyDescent="0.25">
      <c r="B33" s="65" t="s">
        <v>38</v>
      </c>
      <c r="C33" s="4" t="s">
        <v>31</v>
      </c>
      <c r="D33" s="5">
        <v>4</v>
      </c>
      <c r="E33" s="56">
        <v>6052.64</v>
      </c>
      <c r="F33" s="56">
        <v>5607.18</v>
      </c>
      <c r="G33" s="56">
        <v>5305.22</v>
      </c>
      <c r="H33" s="56">
        <v>5186.62</v>
      </c>
      <c r="I33" s="56">
        <v>5214.95</v>
      </c>
      <c r="J33" s="56">
        <v>5276.61</v>
      </c>
      <c r="K33" s="56">
        <v>5593.1</v>
      </c>
      <c r="L33" s="56">
        <v>7899.38</v>
      </c>
      <c r="M33" s="56">
        <v>8680.92</v>
      </c>
      <c r="N33" s="56">
        <v>9149.86</v>
      </c>
      <c r="O33" s="56">
        <v>9543.08</v>
      </c>
      <c r="P33" s="56">
        <v>10085.82</v>
      </c>
      <c r="Q33" s="56">
        <v>10195.31</v>
      </c>
      <c r="R33" s="56">
        <v>10112.01</v>
      </c>
      <c r="S33" s="56">
        <v>9944.2000000000007</v>
      </c>
      <c r="T33" s="56">
        <v>9834.01</v>
      </c>
      <c r="U33" s="56">
        <v>9798.7000000000007</v>
      </c>
      <c r="V33" s="56">
        <v>9552.52</v>
      </c>
      <c r="W33" s="56">
        <v>10549.9</v>
      </c>
      <c r="X33" s="56">
        <v>11507.05</v>
      </c>
      <c r="Y33" s="56">
        <v>11177.42</v>
      </c>
      <c r="Z33" s="56">
        <v>10194.41</v>
      </c>
      <c r="AA33" s="56">
        <v>8683.1299999999992</v>
      </c>
      <c r="AB33" s="56">
        <v>7411.71</v>
      </c>
      <c r="AC33" s="67"/>
    </row>
    <row r="34" spans="2:29" ht="12.5" x14ac:dyDescent="0.25">
      <c r="B34" s="65" t="s">
        <v>38</v>
      </c>
      <c r="C34" s="4" t="s">
        <v>32</v>
      </c>
      <c r="D34" s="5">
        <v>2</v>
      </c>
      <c r="E34" s="56">
        <v>6513.67</v>
      </c>
      <c r="F34" s="56">
        <v>6007.05</v>
      </c>
      <c r="G34" s="56">
        <v>5636.07</v>
      </c>
      <c r="H34" s="56">
        <v>5365.87</v>
      </c>
      <c r="I34" s="56">
        <v>5353.81</v>
      </c>
      <c r="J34" s="56">
        <v>5264.72</v>
      </c>
      <c r="K34" s="56">
        <v>5616.59</v>
      </c>
      <c r="L34" s="56">
        <v>7896.21</v>
      </c>
      <c r="M34" s="56">
        <v>8777.77</v>
      </c>
      <c r="N34" s="56">
        <v>9041.2999999999993</v>
      </c>
      <c r="O34" s="56">
        <v>9174.4</v>
      </c>
      <c r="P34" s="56">
        <v>9781.58</v>
      </c>
      <c r="Q34" s="56">
        <v>10064.41</v>
      </c>
      <c r="R34" s="56">
        <v>10045.02</v>
      </c>
      <c r="S34" s="56">
        <v>9579.2900000000009</v>
      </c>
      <c r="T34" s="56">
        <v>9515.64</v>
      </c>
      <c r="U34" s="56">
        <v>9496.9599999999991</v>
      </c>
      <c r="V34" s="56">
        <v>9416.52</v>
      </c>
      <c r="W34" s="56">
        <v>10286.879999999999</v>
      </c>
      <c r="X34" s="56">
        <v>11335.72</v>
      </c>
      <c r="Y34" s="56">
        <v>11166.25</v>
      </c>
      <c r="Z34" s="56">
        <v>10217.799999999999</v>
      </c>
      <c r="AA34" s="56">
        <v>8818.14</v>
      </c>
      <c r="AB34" s="56">
        <v>7669.39</v>
      </c>
      <c r="AC34" s="68"/>
    </row>
    <row r="35" spans="2:29" ht="12.5" x14ac:dyDescent="0.25">
      <c r="B35" s="65" t="s">
        <v>39</v>
      </c>
      <c r="C35" s="4" t="s">
        <v>29</v>
      </c>
      <c r="D35" s="5">
        <v>19</v>
      </c>
      <c r="E35" s="56">
        <v>6091.6</v>
      </c>
      <c r="F35" s="56">
        <v>5661.46</v>
      </c>
      <c r="G35" s="56">
        <v>5464.74</v>
      </c>
      <c r="H35" s="56">
        <v>5393.9</v>
      </c>
      <c r="I35" s="56">
        <v>5847.7</v>
      </c>
      <c r="J35" s="56">
        <v>7271.6</v>
      </c>
      <c r="K35" s="56">
        <v>8223.6200000000008</v>
      </c>
      <c r="L35" s="56">
        <v>9864.64</v>
      </c>
      <c r="M35" s="56">
        <v>10021.24</v>
      </c>
      <c r="N35" s="56">
        <v>10322.049999999999</v>
      </c>
      <c r="O35" s="56">
        <v>10821.12</v>
      </c>
      <c r="P35" s="56">
        <v>11353.13</v>
      </c>
      <c r="Q35" s="56">
        <v>11216.48</v>
      </c>
      <c r="R35" s="56">
        <v>11160.59</v>
      </c>
      <c r="S35" s="56">
        <v>11344.06</v>
      </c>
      <c r="T35" s="56">
        <v>11336.9</v>
      </c>
      <c r="U35" s="56">
        <v>11312.77</v>
      </c>
      <c r="V35" s="56">
        <v>11310.76</v>
      </c>
      <c r="W35" s="56">
        <v>12343.06</v>
      </c>
      <c r="X35" s="56">
        <v>13037.82</v>
      </c>
      <c r="Y35" s="56">
        <v>12426.83</v>
      </c>
      <c r="Z35" s="56">
        <v>11238.38</v>
      </c>
      <c r="AA35" s="56">
        <v>9453.08</v>
      </c>
      <c r="AB35" s="56">
        <v>8048.94</v>
      </c>
      <c r="AC35" s="66">
        <f>+SUM(E35:AB35)*D35+SUM(E36:AB36)*D36+SUM(E37:AB37)*D37+SUM(E38:AB38)*D38</f>
        <v>6969232.3399999999</v>
      </c>
    </row>
    <row r="36" spans="2:29" ht="12.5" x14ac:dyDescent="0.25">
      <c r="B36" s="65" t="s">
        <v>39</v>
      </c>
      <c r="C36" s="4" t="s">
        <v>30</v>
      </c>
      <c r="D36" s="5">
        <v>5</v>
      </c>
      <c r="E36" s="56">
        <v>6386.95</v>
      </c>
      <c r="F36" s="56">
        <v>5922.86</v>
      </c>
      <c r="G36" s="56">
        <v>5622.71</v>
      </c>
      <c r="H36" s="56">
        <v>5508.46</v>
      </c>
      <c r="I36" s="56">
        <v>5636.44</v>
      </c>
      <c r="J36" s="56">
        <v>5984.2</v>
      </c>
      <c r="K36" s="56">
        <v>6754.89</v>
      </c>
      <c r="L36" s="56">
        <v>9429.7199999999993</v>
      </c>
      <c r="M36" s="56">
        <v>10216.08</v>
      </c>
      <c r="N36" s="56">
        <v>10539.86</v>
      </c>
      <c r="O36" s="56">
        <v>10887.43</v>
      </c>
      <c r="P36" s="56">
        <v>11255.11</v>
      </c>
      <c r="Q36" s="56">
        <v>11293.87</v>
      </c>
      <c r="R36" s="56">
        <v>11270.61</v>
      </c>
      <c r="S36" s="56">
        <v>10999.75</v>
      </c>
      <c r="T36" s="56">
        <v>10839.41</v>
      </c>
      <c r="U36" s="56">
        <v>10774.42</v>
      </c>
      <c r="V36" s="56">
        <v>10862.66</v>
      </c>
      <c r="W36" s="56">
        <v>11794.8</v>
      </c>
      <c r="X36" s="56">
        <v>12350.28</v>
      </c>
      <c r="Y36" s="56">
        <v>11688.04</v>
      </c>
      <c r="Z36" s="56">
        <v>10753.41</v>
      </c>
      <c r="AA36" s="56">
        <v>9373.1299999999992</v>
      </c>
      <c r="AB36" s="56">
        <v>8229.34</v>
      </c>
      <c r="AC36" s="67"/>
    </row>
    <row r="37" spans="2:29" ht="12.5" x14ac:dyDescent="0.25">
      <c r="B37" s="65" t="s">
        <v>39</v>
      </c>
      <c r="C37" s="4" t="s">
        <v>31</v>
      </c>
      <c r="D37" s="5">
        <v>5</v>
      </c>
      <c r="E37" s="56">
        <v>6296.09</v>
      </c>
      <c r="F37" s="56">
        <v>5843.23</v>
      </c>
      <c r="G37" s="56">
        <v>5529.76</v>
      </c>
      <c r="H37" s="56">
        <v>5362.29</v>
      </c>
      <c r="I37" s="56">
        <v>5351.49</v>
      </c>
      <c r="J37" s="56">
        <v>5518.21</v>
      </c>
      <c r="K37" s="56">
        <v>5740.05</v>
      </c>
      <c r="L37" s="56">
        <v>8096.47</v>
      </c>
      <c r="M37" s="56">
        <v>8823.6200000000008</v>
      </c>
      <c r="N37" s="56">
        <v>9390.0300000000007</v>
      </c>
      <c r="O37" s="56">
        <v>9806.85</v>
      </c>
      <c r="P37" s="56">
        <v>10343.9</v>
      </c>
      <c r="Q37" s="56">
        <v>10525.71</v>
      </c>
      <c r="R37" s="56">
        <v>10408.299999999999</v>
      </c>
      <c r="S37" s="56">
        <v>10136.1</v>
      </c>
      <c r="T37" s="56">
        <v>10066.49</v>
      </c>
      <c r="U37" s="56">
        <v>10171.27</v>
      </c>
      <c r="V37" s="56">
        <v>10036.629999999999</v>
      </c>
      <c r="W37" s="56">
        <v>11171.26</v>
      </c>
      <c r="X37" s="56">
        <v>11855.99</v>
      </c>
      <c r="Y37" s="56">
        <v>11396.01</v>
      </c>
      <c r="Z37" s="56">
        <v>10312.4</v>
      </c>
      <c r="AA37" s="56">
        <v>8850.58</v>
      </c>
      <c r="AB37" s="56">
        <v>7657.03</v>
      </c>
      <c r="AC37" s="67"/>
    </row>
    <row r="38" spans="2:29" ht="12.5" x14ac:dyDescent="0.25">
      <c r="B38" s="65" t="s">
        <v>39</v>
      </c>
      <c r="C38" s="4" t="s">
        <v>32</v>
      </c>
      <c r="D38" s="5">
        <v>2</v>
      </c>
      <c r="E38" s="56">
        <v>6115.48</v>
      </c>
      <c r="F38" s="56">
        <v>5640.68</v>
      </c>
      <c r="G38" s="56">
        <v>5427.4</v>
      </c>
      <c r="H38" s="56">
        <v>5324.33</v>
      </c>
      <c r="I38" s="56">
        <v>5435.8</v>
      </c>
      <c r="J38" s="56">
        <v>5654.81</v>
      </c>
      <c r="K38" s="56">
        <v>5909.16</v>
      </c>
      <c r="L38" s="56">
        <v>8149.88</v>
      </c>
      <c r="M38" s="56">
        <v>8774.14</v>
      </c>
      <c r="N38" s="56">
        <v>9318.4500000000007</v>
      </c>
      <c r="O38" s="56">
        <v>9985.85</v>
      </c>
      <c r="P38" s="56">
        <v>10439.549999999999</v>
      </c>
      <c r="Q38" s="56">
        <v>10547.61</v>
      </c>
      <c r="R38" s="56">
        <v>10713.83</v>
      </c>
      <c r="S38" s="56">
        <v>10557</v>
      </c>
      <c r="T38" s="56">
        <v>10313.959999999999</v>
      </c>
      <c r="U38" s="56">
        <v>10483.31</v>
      </c>
      <c r="V38" s="56">
        <v>10654.43</v>
      </c>
      <c r="W38" s="56">
        <v>11634.89</v>
      </c>
      <c r="X38" s="56">
        <v>12176.45</v>
      </c>
      <c r="Y38" s="56">
        <v>11557.32</v>
      </c>
      <c r="Z38" s="56">
        <v>10378.99</v>
      </c>
      <c r="AA38" s="56">
        <v>8855.18</v>
      </c>
      <c r="AB38" s="56">
        <v>7525.73</v>
      </c>
      <c r="AC38" s="68"/>
    </row>
    <row r="39" spans="2:29" ht="12.5" x14ac:dyDescent="0.25">
      <c r="B39" s="65" t="s">
        <v>40</v>
      </c>
      <c r="C39" s="4" t="s">
        <v>29</v>
      </c>
      <c r="D39" s="5">
        <v>22</v>
      </c>
      <c r="E39" s="56">
        <v>5934.5</v>
      </c>
      <c r="F39" s="56">
        <v>5545.64</v>
      </c>
      <c r="G39" s="56">
        <v>5366.2</v>
      </c>
      <c r="H39" s="56">
        <v>5263.96</v>
      </c>
      <c r="I39" s="56">
        <v>5682.62</v>
      </c>
      <c r="J39" s="56">
        <v>6967.35</v>
      </c>
      <c r="K39" s="56">
        <v>7926.27</v>
      </c>
      <c r="L39" s="56">
        <v>9603.89</v>
      </c>
      <c r="M39" s="56">
        <v>9788.83</v>
      </c>
      <c r="N39" s="56">
        <v>10119.379999999999</v>
      </c>
      <c r="O39" s="56">
        <v>10606.76</v>
      </c>
      <c r="P39" s="56">
        <v>11214.64</v>
      </c>
      <c r="Q39" s="56">
        <v>11045.15</v>
      </c>
      <c r="R39" s="56">
        <v>10929.33</v>
      </c>
      <c r="S39" s="56">
        <v>11107.36</v>
      </c>
      <c r="T39" s="56">
        <v>11129.73</v>
      </c>
      <c r="U39" s="56">
        <v>11064.99</v>
      </c>
      <c r="V39" s="56">
        <v>11247.07</v>
      </c>
      <c r="W39" s="56">
        <v>12477.63</v>
      </c>
      <c r="X39" s="56">
        <v>12770.15</v>
      </c>
      <c r="Y39" s="56">
        <v>12122.19</v>
      </c>
      <c r="Z39" s="56">
        <v>11009.63</v>
      </c>
      <c r="AA39" s="56">
        <v>9279.3700000000008</v>
      </c>
      <c r="AB39" s="56">
        <v>7846.44</v>
      </c>
      <c r="AC39" s="66">
        <f>+SUM(E39:AB39)*D39+SUM(E40:AB40)*D40+SUM(E41:AB41)*D41+SUM(E42:AB42)*D42</f>
        <v>6661838.1200000001</v>
      </c>
    </row>
    <row r="40" spans="2:29" ht="12.5" x14ac:dyDescent="0.25">
      <c r="B40" s="65" t="s">
        <v>40</v>
      </c>
      <c r="C40" s="4" t="s">
        <v>30</v>
      </c>
      <c r="D40" s="5">
        <v>4</v>
      </c>
      <c r="E40" s="56">
        <v>6099.09</v>
      </c>
      <c r="F40" s="56">
        <v>5588.99</v>
      </c>
      <c r="G40" s="56">
        <v>5373.42</v>
      </c>
      <c r="H40" s="56">
        <v>5249.66</v>
      </c>
      <c r="I40" s="56">
        <v>5394.87</v>
      </c>
      <c r="J40" s="56">
        <v>5860.72</v>
      </c>
      <c r="K40" s="56">
        <v>6557.29</v>
      </c>
      <c r="L40" s="56">
        <v>9123.74</v>
      </c>
      <c r="M40" s="56">
        <v>9798.9699999999993</v>
      </c>
      <c r="N40" s="56">
        <v>10268.08</v>
      </c>
      <c r="O40" s="56">
        <v>10729.86</v>
      </c>
      <c r="P40" s="56">
        <v>11036.87</v>
      </c>
      <c r="Q40" s="56">
        <v>11028.5</v>
      </c>
      <c r="R40" s="56">
        <v>10871.15</v>
      </c>
      <c r="S40" s="56">
        <v>10656.98</v>
      </c>
      <c r="T40" s="56">
        <v>10557.31</v>
      </c>
      <c r="U40" s="56">
        <v>10700.67</v>
      </c>
      <c r="V40" s="56">
        <v>10759.25</v>
      </c>
      <c r="W40" s="56">
        <v>11917.71</v>
      </c>
      <c r="X40" s="56">
        <v>12058.15</v>
      </c>
      <c r="Y40" s="56">
        <v>11440.27</v>
      </c>
      <c r="Z40" s="56">
        <v>10419.4</v>
      </c>
      <c r="AA40" s="56">
        <v>9270.3799999999992</v>
      </c>
      <c r="AB40" s="56">
        <v>8052.51</v>
      </c>
      <c r="AC40" s="67"/>
    </row>
    <row r="41" spans="2:29" ht="12.5" x14ac:dyDescent="0.25">
      <c r="B41" s="65" t="s">
        <v>40</v>
      </c>
      <c r="C41" s="4" t="s">
        <v>31</v>
      </c>
      <c r="D41" s="5">
        <v>4</v>
      </c>
      <c r="E41" s="56">
        <v>6172.75</v>
      </c>
      <c r="F41" s="56">
        <v>5683.5</v>
      </c>
      <c r="G41" s="56">
        <v>5368.96</v>
      </c>
      <c r="H41" s="56">
        <v>5241.1099999999997</v>
      </c>
      <c r="I41" s="56">
        <v>5159.6099999999997</v>
      </c>
      <c r="J41" s="56">
        <v>5240.55</v>
      </c>
      <c r="K41" s="56">
        <v>5575.24</v>
      </c>
      <c r="L41" s="56">
        <v>7867.7</v>
      </c>
      <c r="M41" s="56">
        <v>8477.07</v>
      </c>
      <c r="N41" s="56">
        <v>8959.8799999999992</v>
      </c>
      <c r="O41" s="56">
        <v>9467.5499999999993</v>
      </c>
      <c r="P41" s="56">
        <v>9999</v>
      </c>
      <c r="Q41" s="56">
        <v>10284.879999999999</v>
      </c>
      <c r="R41" s="56">
        <v>10190.17</v>
      </c>
      <c r="S41" s="56">
        <v>9978.5499999999993</v>
      </c>
      <c r="T41" s="56">
        <v>9871.51</v>
      </c>
      <c r="U41" s="56">
        <v>9898.67</v>
      </c>
      <c r="V41" s="56">
        <v>10026.86</v>
      </c>
      <c r="W41" s="56">
        <v>11178.52</v>
      </c>
      <c r="X41" s="56">
        <v>11654.17</v>
      </c>
      <c r="Y41" s="56">
        <v>11066.3</v>
      </c>
      <c r="Z41" s="56">
        <v>10101.01</v>
      </c>
      <c r="AA41" s="56">
        <v>8564.9699999999993</v>
      </c>
      <c r="AB41" s="56">
        <v>7347.22</v>
      </c>
      <c r="AC41" s="67"/>
    </row>
    <row r="42" spans="2:29" ht="12.5" x14ac:dyDescent="0.25">
      <c r="B42" s="65" t="s">
        <v>40</v>
      </c>
      <c r="C42" s="4" t="s">
        <v>32</v>
      </c>
      <c r="D42" s="5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68"/>
    </row>
    <row r="43" spans="2:29" ht="12.5" x14ac:dyDescent="0.25">
      <c r="B43" s="65" t="s">
        <v>41</v>
      </c>
      <c r="C43" s="4" t="s">
        <v>29</v>
      </c>
      <c r="D43" s="5">
        <v>21</v>
      </c>
      <c r="E43" s="56">
        <v>5912.61</v>
      </c>
      <c r="F43" s="56">
        <v>5503.92</v>
      </c>
      <c r="G43" s="56">
        <v>5325.61</v>
      </c>
      <c r="H43" s="56">
        <v>5256.29</v>
      </c>
      <c r="I43" s="56">
        <v>5671.46</v>
      </c>
      <c r="J43" s="56">
        <v>6904.84</v>
      </c>
      <c r="K43" s="56">
        <v>7913.27</v>
      </c>
      <c r="L43" s="56">
        <v>9707.65</v>
      </c>
      <c r="M43" s="56">
        <v>9929.48</v>
      </c>
      <c r="N43" s="56">
        <v>10245.76</v>
      </c>
      <c r="O43" s="56">
        <v>10765.44</v>
      </c>
      <c r="P43" s="56">
        <v>11394.73</v>
      </c>
      <c r="Q43" s="56">
        <v>11263.9</v>
      </c>
      <c r="R43" s="56">
        <v>11159.19</v>
      </c>
      <c r="S43" s="56">
        <v>11281.99</v>
      </c>
      <c r="T43" s="56">
        <v>11323.24</v>
      </c>
      <c r="U43" s="56">
        <v>11304.94</v>
      </c>
      <c r="V43" s="56">
        <v>11603.57</v>
      </c>
      <c r="W43" s="56">
        <v>12797.5</v>
      </c>
      <c r="X43" s="56">
        <v>12743.75</v>
      </c>
      <c r="Y43" s="56">
        <v>12044.94</v>
      </c>
      <c r="Z43" s="56">
        <v>10969.84</v>
      </c>
      <c r="AA43" s="56">
        <v>9240.68</v>
      </c>
      <c r="AB43" s="56">
        <v>7798.8</v>
      </c>
      <c r="AC43" s="66">
        <f>+SUM(E43:AB43)*D43+SUM(E44:AB44)*D44+SUM(E45:AB45)*D45+SUM(E46:AB46)*D46</f>
        <v>6945542.7599999998</v>
      </c>
    </row>
    <row r="44" spans="2:29" ht="12.5" x14ac:dyDescent="0.25">
      <c r="B44" s="65" t="s">
        <v>41</v>
      </c>
      <c r="C44" s="4" t="s">
        <v>30</v>
      </c>
      <c r="D44" s="5">
        <v>5</v>
      </c>
      <c r="E44" s="56">
        <v>6148.27</v>
      </c>
      <c r="F44" s="56">
        <v>5668.92</v>
      </c>
      <c r="G44" s="56">
        <v>5426.78</v>
      </c>
      <c r="H44" s="56">
        <v>5300.45</v>
      </c>
      <c r="I44" s="56">
        <v>5426.58</v>
      </c>
      <c r="J44" s="56">
        <v>5816.22</v>
      </c>
      <c r="K44" s="56">
        <v>6583.34</v>
      </c>
      <c r="L44" s="56">
        <v>9162.26</v>
      </c>
      <c r="M44" s="56">
        <v>9804.57</v>
      </c>
      <c r="N44" s="56">
        <v>10359.81</v>
      </c>
      <c r="O44" s="56">
        <v>10768.74</v>
      </c>
      <c r="P44" s="56">
        <v>11277.25</v>
      </c>
      <c r="Q44" s="56">
        <v>11394.83</v>
      </c>
      <c r="R44" s="56">
        <v>11148.05</v>
      </c>
      <c r="S44" s="56">
        <v>11047.87</v>
      </c>
      <c r="T44" s="56">
        <v>10911.89</v>
      </c>
      <c r="U44" s="56">
        <v>10986.23</v>
      </c>
      <c r="V44" s="56">
        <v>11102.44</v>
      </c>
      <c r="W44" s="56">
        <v>12341.91</v>
      </c>
      <c r="X44" s="56">
        <v>12288.84</v>
      </c>
      <c r="Y44" s="56">
        <v>11639.02</v>
      </c>
      <c r="Z44" s="56">
        <v>10677.9</v>
      </c>
      <c r="AA44" s="56">
        <v>9438.11</v>
      </c>
      <c r="AB44" s="56">
        <v>8204.82</v>
      </c>
      <c r="AC44" s="67"/>
    </row>
    <row r="45" spans="2:29" ht="12.5" x14ac:dyDescent="0.25">
      <c r="B45" s="65" t="s">
        <v>41</v>
      </c>
      <c r="C45" s="4" t="s">
        <v>31</v>
      </c>
      <c r="D45" s="5">
        <v>4</v>
      </c>
      <c r="E45" s="56">
        <v>6295.4</v>
      </c>
      <c r="F45" s="56">
        <v>5743.96</v>
      </c>
      <c r="G45" s="56">
        <v>5407.68</v>
      </c>
      <c r="H45" s="56">
        <v>5264.19</v>
      </c>
      <c r="I45" s="56">
        <v>5318.18</v>
      </c>
      <c r="J45" s="56">
        <v>5383.38</v>
      </c>
      <c r="K45" s="56">
        <v>5706.27</v>
      </c>
      <c r="L45" s="56">
        <v>7859.73</v>
      </c>
      <c r="M45" s="56">
        <v>8622.18</v>
      </c>
      <c r="N45" s="56">
        <v>9206.59</v>
      </c>
      <c r="O45" s="56">
        <v>9799.74</v>
      </c>
      <c r="P45" s="56">
        <v>10346.299999999999</v>
      </c>
      <c r="Q45" s="56">
        <v>10570.99</v>
      </c>
      <c r="R45" s="56">
        <v>10460.049999999999</v>
      </c>
      <c r="S45" s="56">
        <v>10118.32</v>
      </c>
      <c r="T45" s="56">
        <v>10106.98</v>
      </c>
      <c r="U45" s="56">
        <v>10123.700000000001</v>
      </c>
      <c r="V45" s="56">
        <v>10269.950000000001</v>
      </c>
      <c r="W45" s="56">
        <v>11630.96</v>
      </c>
      <c r="X45" s="56">
        <v>11812.02</v>
      </c>
      <c r="Y45" s="56">
        <v>11262.55</v>
      </c>
      <c r="Z45" s="56">
        <v>10215.719999999999</v>
      </c>
      <c r="AA45" s="56">
        <v>8800.9699999999993</v>
      </c>
      <c r="AB45" s="56">
        <v>7550.57</v>
      </c>
      <c r="AC45" s="67"/>
    </row>
    <row r="46" spans="2:29" ht="12.5" x14ac:dyDescent="0.25">
      <c r="B46" s="65" t="s">
        <v>41</v>
      </c>
      <c r="C46" s="4" t="s">
        <v>32</v>
      </c>
      <c r="D46" s="5">
        <v>1</v>
      </c>
      <c r="E46" s="56">
        <v>5978.44</v>
      </c>
      <c r="F46" s="56">
        <v>5520.51</v>
      </c>
      <c r="G46" s="56">
        <v>5287.3</v>
      </c>
      <c r="H46" s="56">
        <v>5200.1099999999997</v>
      </c>
      <c r="I46" s="56">
        <v>5353.62</v>
      </c>
      <c r="J46" s="56">
        <v>5410.19</v>
      </c>
      <c r="K46" s="56">
        <v>5728</v>
      </c>
      <c r="L46" s="56">
        <v>7902.07</v>
      </c>
      <c r="M46" s="56">
        <v>8622.57</v>
      </c>
      <c r="N46" s="56">
        <v>9333.5400000000009</v>
      </c>
      <c r="O46" s="56">
        <v>9968.41</v>
      </c>
      <c r="P46" s="56">
        <v>10517.2</v>
      </c>
      <c r="Q46" s="56">
        <v>10906.08</v>
      </c>
      <c r="R46" s="56">
        <v>10733.68</v>
      </c>
      <c r="S46" s="56">
        <v>10436.370000000001</v>
      </c>
      <c r="T46" s="56">
        <v>10307.370000000001</v>
      </c>
      <c r="U46" s="56">
        <v>10357.36</v>
      </c>
      <c r="V46" s="56">
        <v>10688.89</v>
      </c>
      <c r="W46" s="56">
        <v>12138.06</v>
      </c>
      <c r="X46" s="56">
        <v>11938.76</v>
      </c>
      <c r="Y46" s="56">
        <v>11447.1</v>
      </c>
      <c r="Z46" s="56">
        <v>10284.379999999999</v>
      </c>
      <c r="AA46" s="56">
        <v>8685.0300000000007</v>
      </c>
      <c r="AB46" s="56">
        <v>7335.3</v>
      </c>
      <c r="AC46" s="68"/>
    </row>
    <row r="47" spans="2:29" ht="12.5" x14ac:dyDescent="0.25">
      <c r="B47" s="65" t="s">
        <v>42</v>
      </c>
      <c r="C47" s="4" t="s">
        <v>29</v>
      </c>
      <c r="D47" s="5">
        <v>19</v>
      </c>
      <c r="E47" s="56">
        <v>5926.42</v>
      </c>
      <c r="F47" s="56">
        <v>5514.49</v>
      </c>
      <c r="G47" s="56">
        <v>5394.16</v>
      </c>
      <c r="H47" s="56">
        <v>5314.84</v>
      </c>
      <c r="I47" s="56">
        <v>5744.48</v>
      </c>
      <c r="J47" s="56">
        <v>6979.67</v>
      </c>
      <c r="K47" s="56">
        <v>8146.2</v>
      </c>
      <c r="L47" s="56">
        <v>9882.7000000000007</v>
      </c>
      <c r="M47" s="56">
        <v>10105.799999999999</v>
      </c>
      <c r="N47" s="56">
        <v>10410.4</v>
      </c>
      <c r="O47" s="56">
        <v>11024.09</v>
      </c>
      <c r="P47" s="56">
        <v>11563.18</v>
      </c>
      <c r="Q47" s="56">
        <v>11390.41</v>
      </c>
      <c r="R47" s="56">
        <v>11249.76</v>
      </c>
      <c r="S47" s="56">
        <v>11411.5</v>
      </c>
      <c r="T47" s="56">
        <v>11476.3</v>
      </c>
      <c r="U47" s="56">
        <v>11477.44</v>
      </c>
      <c r="V47" s="56">
        <v>11932.54</v>
      </c>
      <c r="W47" s="56">
        <v>13069.03</v>
      </c>
      <c r="X47" s="56">
        <v>12917.61</v>
      </c>
      <c r="Y47" s="56">
        <v>12308.76</v>
      </c>
      <c r="Z47" s="56">
        <v>11175.3</v>
      </c>
      <c r="AA47" s="56">
        <v>9390.4599999999991</v>
      </c>
      <c r="AB47" s="56">
        <v>7953.35</v>
      </c>
      <c r="AC47" s="66">
        <f>+SUM(E47:AB47)*D47+SUM(E48:AB48)*D48+SUM(E49:AB49)*D49+SUM(E50:AB50)*D50</f>
        <v>6778964.6100000013</v>
      </c>
    </row>
    <row r="48" spans="2:29" ht="12.5" x14ac:dyDescent="0.25">
      <c r="B48" s="65" t="s">
        <v>42</v>
      </c>
      <c r="C48" s="4" t="s">
        <v>30</v>
      </c>
      <c r="D48" s="5">
        <v>4</v>
      </c>
      <c r="E48" s="56">
        <v>6177.51</v>
      </c>
      <c r="F48" s="56">
        <v>5724.26</v>
      </c>
      <c r="G48" s="56">
        <v>5434.71</v>
      </c>
      <c r="H48" s="56">
        <v>5348.17</v>
      </c>
      <c r="I48" s="56">
        <v>5543.81</v>
      </c>
      <c r="J48" s="56">
        <v>5958.55</v>
      </c>
      <c r="K48" s="56">
        <v>6789.59</v>
      </c>
      <c r="L48" s="56">
        <v>9296.94</v>
      </c>
      <c r="M48" s="56">
        <v>9987.4699999999993</v>
      </c>
      <c r="N48" s="56">
        <v>10472.67</v>
      </c>
      <c r="O48" s="56">
        <v>10885.97</v>
      </c>
      <c r="P48" s="56">
        <v>11299.54</v>
      </c>
      <c r="Q48" s="56">
        <v>11339.24</v>
      </c>
      <c r="R48" s="56">
        <v>11106.35</v>
      </c>
      <c r="S48" s="56">
        <v>10888.33</v>
      </c>
      <c r="T48" s="56">
        <v>10798.32</v>
      </c>
      <c r="U48" s="56">
        <v>10865.36</v>
      </c>
      <c r="V48" s="56">
        <v>11288.8</v>
      </c>
      <c r="W48" s="56">
        <v>12566.82</v>
      </c>
      <c r="X48" s="56">
        <v>12488.13</v>
      </c>
      <c r="Y48" s="56">
        <v>11831.76</v>
      </c>
      <c r="Z48" s="56">
        <v>10819.34</v>
      </c>
      <c r="AA48" s="56">
        <v>9618.14</v>
      </c>
      <c r="AB48" s="56">
        <v>8335.1</v>
      </c>
      <c r="AC48" s="67"/>
    </row>
    <row r="49" spans="2:29" ht="12.5" x14ac:dyDescent="0.25">
      <c r="B49" s="65" t="s">
        <v>42</v>
      </c>
      <c r="C49" s="4" t="s">
        <v>31</v>
      </c>
      <c r="D49" s="5">
        <v>5</v>
      </c>
      <c r="E49" s="56">
        <v>6372.65</v>
      </c>
      <c r="F49" s="56">
        <v>5910.62</v>
      </c>
      <c r="G49" s="56">
        <v>5568.31</v>
      </c>
      <c r="H49" s="56">
        <v>5421.43</v>
      </c>
      <c r="I49" s="56">
        <v>5395.02</v>
      </c>
      <c r="J49" s="56">
        <v>5545.24</v>
      </c>
      <c r="K49" s="56">
        <v>5762.81</v>
      </c>
      <c r="L49" s="56">
        <v>8083.51</v>
      </c>
      <c r="M49" s="56">
        <v>8896.33</v>
      </c>
      <c r="N49" s="56">
        <v>9454.4500000000007</v>
      </c>
      <c r="O49" s="56">
        <v>9839.3700000000008</v>
      </c>
      <c r="P49" s="56">
        <v>10309.41</v>
      </c>
      <c r="Q49" s="56">
        <v>10561.44</v>
      </c>
      <c r="R49" s="56">
        <v>10460.93</v>
      </c>
      <c r="S49" s="56">
        <v>10287.040000000001</v>
      </c>
      <c r="T49" s="56">
        <v>10209.16</v>
      </c>
      <c r="U49" s="56">
        <v>10302.280000000001</v>
      </c>
      <c r="V49" s="56">
        <v>10463.27</v>
      </c>
      <c r="W49" s="56">
        <v>11778.29</v>
      </c>
      <c r="X49" s="56">
        <v>11852.22</v>
      </c>
      <c r="Y49" s="56">
        <v>11321.39</v>
      </c>
      <c r="Z49" s="56">
        <v>10355.64</v>
      </c>
      <c r="AA49" s="56">
        <v>8899.26</v>
      </c>
      <c r="AB49" s="56">
        <v>7669.11</v>
      </c>
      <c r="AC49" s="67"/>
    </row>
    <row r="50" spans="2:29" ht="12.5" x14ac:dyDescent="0.25">
      <c r="B50" s="65" t="s">
        <v>42</v>
      </c>
      <c r="C50" s="4" t="s">
        <v>32</v>
      </c>
      <c r="D50" s="5">
        <v>2</v>
      </c>
      <c r="E50" s="56">
        <v>6001.96</v>
      </c>
      <c r="F50" s="56">
        <v>5551.99</v>
      </c>
      <c r="G50" s="56">
        <v>5346.04</v>
      </c>
      <c r="H50" s="56">
        <v>5185.17</v>
      </c>
      <c r="I50" s="56">
        <v>5232.7700000000004</v>
      </c>
      <c r="J50" s="56">
        <v>5466.81</v>
      </c>
      <c r="K50" s="56">
        <v>5756.21</v>
      </c>
      <c r="L50" s="56">
        <v>8006.93</v>
      </c>
      <c r="M50" s="56">
        <v>8663.69</v>
      </c>
      <c r="N50" s="56">
        <v>9230.68</v>
      </c>
      <c r="O50" s="56">
        <v>9942.3799999999992</v>
      </c>
      <c r="P50" s="56">
        <v>10548.26</v>
      </c>
      <c r="Q50" s="56">
        <v>10779.1</v>
      </c>
      <c r="R50" s="56">
        <v>10659.16</v>
      </c>
      <c r="S50" s="56">
        <v>10520.84</v>
      </c>
      <c r="T50" s="56">
        <v>10493.87</v>
      </c>
      <c r="U50" s="56">
        <v>10628.47</v>
      </c>
      <c r="V50" s="56">
        <v>10909.7</v>
      </c>
      <c r="W50" s="56">
        <v>12191.21</v>
      </c>
      <c r="X50" s="56">
        <v>12242.27</v>
      </c>
      <c r="Y50" s="56">
        <v>11541.02</v>
      </c>
      <c r="Z50" s="56">
        <v>10265.620000000001</v>
      </c>
      <c r="AA50" s="56">
        <v>8618.36</v>
      </c>
      <c r="AB50" s="56">
        <v>7462.63</v>
      </c>
      <c r="AC50" s="68"/>
    </row>
    <row r="51" spans="2:29" ht="12.5" x14ac:dyDescent="0.25">
      <c r="B51" s="65" t="s">
        <v>43</v>
      </c>
      <c r="C51" s="4" t="s">
        <v>29</v>
      </c>
      <c r="D51" s="5">
        <v>21</v>
      </c>
      <c r="E51" s="56">
        <v>6220.98</v>
      </c>
      <c r="F51" s="56">
        <v>5730.32</v>
      </c>
      <c r="G51" s="56">
        <v>5493.32</v>
      </c>
      <c r="H51" s="56">
        <v>5394.54</v>
      </c>
      <c r="I51" s="56">
        <v>5667.73</v>
      </c>
      <c r="J51" s="56">
        <v>6350.54</v>
      </c>
      <c r="K51" s="56">
        <v>7161.76</v>
      </c>
      <c r="L51" s="56">
        <v>9508.5499999999993</v>
      </c>
      <c r="M51" s="56">
        <v>10063.86</v>
      </c>
      <c r="N51" s="56">
        <v>10509.17</v>
      </c>
      <c r="O51" s="56">
        <v>11028.33</v>
      </c>
      <c r="P51" s="56">
        <v>11649.44</v>
      </c>
      <c r="Q51" s="56">
        <v>11553.71</v>
      </c>
      <c r="R51" s="56">
        <v>11190.48</v>
      </c>
      <c r="S51" s="56">
        <v>11431.87</v>
      </c>
      <c r="T51" s="56">
        <v>11425.77</v>
      </c>
      <c r="U51" s="56">
        <v>11407.35</v>
      </c>
      <c r="V51" s="56">
        <v>11479.19</v>
      </c>
      <c r="W51" s="56">
        <v>12854.11</v>
      </c>
      <c r="X51" s="56">
        <v>12925.36</v>
      </c>
      <c r="Y51" s="56">
        <v>12276.88</v>
      </c>
      <c r="Z51" s="56">
        <v>11250.6</v>
      </c>
      <c r="AA51" s="56">
        <v>9663.43</v>
      </c>
      <c r="AB51" s="56">
        <v>8301.59</v>
      </c>
      <c r="AC51" s="66">
        <f>+SUM(E51:AB51)*D51+SUM(E52:AB52)*D52+SUM(E53:AB53)*D53+SUM(E54:AB54)*D54</f>
        <v>7005102.9600000009</v>
      </c>
    </row>
    <row r="52" spans="2:29" ht="12.5" x14ac:dyDescent="0.25">
      <c r="B52" s="65" t="s">
        <v>43</v>
      </c>
      <c r="C52" s="4" t="s">
        <v>30</v>
      </c>
      <c r="D52" s="5">
        <v>4</v>
      </c>
      <c r="E52" s="56">
        <v>6367.56</v>
      </c>
      <c r="F52" s="56">
        <v>5867.46</v>
      </c>
      <c r="G52" s="56">
        <v>5616.68</v>
      </c>
      <c r="H52" s="56">
        <v>5422.38</v>
      </c>
      <c r="I52" s="56">
        <v>5636.49</v>
      </c>
      <c r="J52" s="56">
        <v>6011.9</v>
      </c>
      <c r="K52" s="56">
        <v>6661.89</v>
      </c>
      <c r="L52" s="56">
        <v>9171.94</v>
      </c>
      <c r="M52" s="56">
        <v>9925.2099999999991</v>
      </c>
      <c r="N52" s="56">
        <v>10438.719999999999</v>
      </c>
      <c r="O52" s="56">
        <v>10853.36</v>
      </c>
      <c r="P52" s="56">
        <v>11288.06</v>
      </c>
      <c r="Q52" s="56">
        <v>11316.15</v>
      </c>
      <c r="R52" s="56">
        <v>11120.46</v>
      </c>
      <c r="S52" s="56">
        <v>11045.29</v>
      </c>
      <c r="T52" s="56">
        <v>10888.85</v>
      </c>
      <c r="U52" s="56">
        <v>10935.89</v>
      </c>
      <c r="V52" s="56">
        <v>10854.69</v>
      </c>
      <c r="W52" s="56">
        <v>12408.86</v>
      </c>
      <c r="X52" s="56">
        <v>12517.25</v>
      </c>
      <c r="Y52" s="56">
        <v>11971.25</v>
      </c>
      <c r="Z52" s="56">
        <v>11101.57</v>
      </c>
      <c r="AA52" s="56">
        <v>9835.64</v>
      </c>
      <c r="AB52" s="56">
        <v>8615.5400000000009</v>
      </c>
      <c r="AC52" s="67"/>
    </row>
    <row r="53" spans="2:29" ht="12.5" x14ac:dyDescent="0.25">
      <c r="B53" s="65" t="s">
        <v>43</v>
      </c>
      <c r="C53" s="4" t="s">
        <v>31</v>
      </c>
      <c r="D53" s="5">
        <v>4</v>
      </c>
      <c r="E53" s="56">
        <v>6651.66</v>
      </c>
      <c r="F53" s="56">
        <v>6058.79</v>
      </c>
      <c r="G53" s="56">
        <v>5684.72</v>
      </c>
      <c r="H53" s="56">
        <v>5509.47</v>
      </c>
      <c r="I53" s="56">
        <v>5459.26</v>
      </c>
      <c r="J53" s="56">
        <v>5610.09</v>
      </c>
      <c r="K53" s="56">
        <v>5886.79</v>
      </c>
      <c r="L53" s="56">
        <v>8450.42</v>
      </c>
      <c r="M53" s="56">
        <v>9308.2099999999991</v>
      </c>
      <c r="N53" s="56">
        <v>9737.09</v>
      </c>
      <c r="O53" s="56">
        <v>10228.209999999999</v>
      </c>
      <c r="P53" s="56">
        <v>10739.05</v>
      </c>
      <c r="Q53" s="56">
        <v>10966.87</v>
      </c>
      <c r="R53" s="56">
        <v>10673.5</v>
      </c>
      <c r="S53" s="56">
        <v>10262.030000000001</v>
      </c>
      <c r="T53" s="56">
        <v>10379.5</v>
      </c>
      <c r="U53" s="56">
        <v>10355.74</v>
      </c>
      <c r="V53" s="56">
        <v>10358.629999999999</v>
      </c>
      <c r="W53" s="56">
        <v>11654.36</v>
      </c>
      <c r="X53" s="56">
        <v>11780.57</v>
      </c>
      <c r="Y53" s="56">
        <v>11334.86</v>
      </c>
      <c r="Z53" s="56">
        <v>10619.48</v>
      </c>
      <c r="AA53" s="56">
        <v>9292.41</v>
      </c>
      <c r="AB53" s="56">
        <v>8164.76</v>
      </c>
      <c r="AC53" s="67"/>
    </row>
    <row r="54" spans="2:29" ht="12.5" x14ac:dyDescent="0.25">
      <c r="B54" s="65" t="s">
        <v>43</v>
      </c>
      <c r="C54" s="4" t="s">
        <v>32</v>
      </c>
      <c r="D54" s="5">
        <v>2</v>
      </c>
      <c r="E54" s="56">
        <v>6440.51</v>
      </c>
      <c r="F54" s="56">
        <v>5999.09</v>
      </c>
      <c r="G54" s="56">
        <v>5631.95</v>
      </c>
      <c r="H54" s="56">
        <v>5448.52</v>
      </c>
      <c r="I54" s="56">
        <v>5276.52</v>
      </c>
      <c r="J54" s="56">
        <v>5301.95</v>
      </c>
      <c r="K54" s="56">
        <v>5377.57</v>
      </c>
      <c r="L54" s="56">
        <v>7355.2</v>
      </c>
      <c r="M54" s="56">
        <v>7800.38</v>
      </c>
      <c r="N54" s="56">
        <v>8333.76</v>
      </c>
      <c r="O54" s="56">
        <v>8968.99</v>
      </c>
      <c r="P54" s="56">
        <v>9589.75</v>
      </c>
      <c r="Q54" s="56">
        <v>10003.049999999999</v>
      </c>
      <c r="R54" s="56">
        <v>10038.32</v>
      </c>
      <c r="S54" s="56">
        <v>9736.09</v>
      </c>
      <c r="T54" s="56">
        <v>9730.06</v>
      </c>
      <c r="U54" s="56">
        <v>9793.3799999999992</v>
      </c>
      <c r="V54" s="56">
        <v>9924.6</v>
      </c>
      <c r="W54" s="56">
        <v>11082.44</v>
      </c>
      <c r="X54" s="56">
        <v>11300.77</v>
      </c>
      <c r="Y54" s="56">
        <v>10725.87</v>
      </c>
      <c r="Z54" s="56">
        <v>9916.7800000000007</v>
      </c>
      <c r="AA54" s="56">
        <v>8623.2800000000007</v>
      </c>
      <c r="AB54" s="56">
        <v>7415.29</v>
      </c>
      <c r="AC54" s="68"/>
    </row>
    <row r="55" spans="2:29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69" t="s">
        <v>46</v>
      </c>
      <c r="AA55" s="69"/>
      <c r="AB55" s="69"/>
      <c r="AC55" s="14">
        <f>SUM(AC7:AC54)</f>
        <v>81399816.25999999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2A0E-CB10-44AD-824C-430F60D3460C}">
  <dimension ref="B2:AE55"/>
  <sheetViews>
    <sheetView showGridLines="0" zoomScale="50" zoomScaleNormal="50" workbookViewId="0">
      <selection activeCell="E8" sqref="E8"/>
    </sheetView>
  </sheetViews>
  <sheetFormatPr baseColWidth="10" defaultColWidth="11.453125" defaultRowHeight="11.5" x14ac:dyDescent="0.25"/>
  <cols>
    <col min="1" max="1" width="3.81640625" style="6" customWidth="1"/>
    <col min="2" max="2" width="5.54296875" style="6" bestFit="1" customWidth="1"/>
    <col min="3" max="3" width="9.7265625" style="6" bestFit="1" customWidth="1"/>
    <col min="4" max="4" width="5.7265625" style="6" bestFit="1" customWidth="1"/>
    <col min="5" max="13" width="9.36328125" style="6" bestFit="1" customWidth="1"/>
    <col min="14" max="26" width="10.1796875" style="6" bestFit="1" customWidth="1"/>
    <col min="27" max="28" width="9.36328125" style="6" bestFit="1" customWidth="1"/>
    <col min="29" max="29" width="16.7265625" style="52" customWidth="1"/>
    <col min="30" max="30" width="3" style="6" customWidth="1"/>
    <col min="31" max="31" width="15.1796875" style="6" bestFit="1" customWidth="1"/>
    <col min="32" max="124" width="11.453125" style="6"/>
    <col min="125" max="125" width="7" style="6" customWidth="1"/>
    <col min="126" max="126" width="10.7265625" style="6" customWidth="1"/>
    <col min="127" max="127" width="9.26953125" style="6" customWidth="1"/>
    <col min="128" max="151" width="7.26953125" style="6" customWidth="1"/>
    <col min="152" max="152" width="11.26953125" style="6" bestFit="1" customWidth="1"/>
    <col min="153" max="380" width="11.453125" style="6"/>
    <col min="381" max="381" width="7" style="6" customWidth="1"/>
    <col min="382" max="382" width="10.7265625" style="6" customWidth="1"/>
    <col min="383" max="383" width="9.26953125" style="6" customWidth="1"/>
    <col min="384" max="407" width="7.26953125" style="6" customWidth="1"/>
    <col min="408" max="408" width="11.26953125" style="6" bestFit="1" customWidth="1"/>
    <col min="409" max="636" width="11.453125" style="6"/>
    <col min="637" max="637" width="7" style="6" customWidth="1"/>
    <col min="638" max="638" width="10.7265625" style="6" customWidth="1"/>
    <col min="639" max="639" width="9.26953125" style="6" customWidth="1"/>
    <col min="640" max="663" width="7.26953125" style="6" customWidth="1"/>
    <col min="664" max="664" width="11.26953125" style="6" bestFit="1" customWidth="1"/>
    <col min="665" max="892" width="11.453125" style="6"/>
    <col min="893" max="893" width="7" style="6" customWidth="1"/>
    <col min="894" max="894" width="10.7265625" style="6" customWidth="1"/>
    <col min="895" max="895" width="9.26953125" style="6" customWidth="1"/>
    <col min="896" max="919" width="7.26953125" style="6" customWidth="1"/>
    <col min="920" max="920" width="11.26953125" style="6" bestFit="1" customWidth="1"/>
    <col min="921" max="1148" width="11.453125" style="6"/>
    <col min="1149" max="1149" width="7" style="6" customWidth="1"/>
    <col min="1150" max="1150" width="10.7265625" style="6" customWidth="1"/>
    <col min="1151" max="1151" width="9.26953125" style="6" customWidth="1"/>
    <col min="1152" max="1175" width="7.26953125" style="6" customWidth="1"/>
    <col min="1176" max="1176" width="11.26953125" style="6" bestFit="1" customWidth="1"/>
    <col min="1177" max="1404" width="11.453125" style="6"/>
    <col min="1405" max="1405" width="7" style="6" customWidth="1"/>
    <col min="1406" max="1406" width="10.7265625" style="6" customWidth="1"/>
    <col min="1407" max="1407" width="9.26953125" style="6" customWidth="1"/>
    <col min="1408" max="1431" width="7.26953125" style="6" customWidth="1"/>
    <col min="1432" max="1432" width="11.26953125" style="6" bestFit="1" customWidth="1"/>
    <col min="1433" max="1660" width="11.453125" style="6"/>
    <col min="1661" max="1661" width="7" style="6" customWidth="1"/>
    <col min="1662" max="1662" width="10.7265625" style="6" customWidth="1"/>
    <col min="1663" max="1663" width="9.26953125" style="6" customWidth="1"/>
    <col min="1664" max="1687" width="7.26953125" style="6" customWidth="1"/>
    <col min="1688" max="1688" width="11.26953125" style="6" bestFit="1" customWidth="1"/>
    <col min="1689" max="1916" width="11.453125" style="6"/>
    <col min="1917" max="1917" width="7" style="6" customWidth="1"/>
    <col min="1918" max="1918" width="10.7265625" style="6" customWidth="1"/>
    <col min="1919" max="1919" width="9.26953125" style="6" customWidth="1"/>
    <col min="1920" max="1943" width="7.26953125" style="6" customWidth="1"/>
    <col min="1944" max="1944" width="11.26953125" style="6" bestFit="1" customWidth="1"/>
    <col min="1945" max="2172" width="11.453125" style="6"/>
    <col min="2173" max="2173" width="7" style="6" customWidth="1"/>
    <col min="2174" max="2174" width="10.7265625" style="6" customWidth="1"/>
    <col min="2175" max="2175" width="9.26953125" style="6" customWidth="1"/>
    <col min="2176" max="2199" width="7.26953125" style="6" customWidth="1"/>
    <col min="2200" max="2200" width="11.26953125" style="6" bestFit="1" customWidth="1"/>
    <col min="2201" max="2428" width="11.453125" style="6"/>
    <col min="2429" max="2429" width="7" style="6" customWidth="1"/>
    <col min="2430" max="2430" width="10.7265625" style="6" customWidth="1"/>
    <col min="2431" max="2431" width="9.26953125" style="6" customWidth="1"/>
    <col min="2432" max="2455" width="7.26953125" style="6" customWidth="1"/>
    <col min="2456" max="2456" width="11.26953125" style="6" bestFit="1" customWidth="1"/>
    <col min="2457" max="2684" width="11.453125" style="6"/>
    <col min="2685" max="2685" width="7" style="6" customWidth="1"/>
    <col min="2686" max="2686" width="10.7265625" style="6" customWidth="1"/>
    <col min="2687" max="2687" width="9.26953125" style="6" customWidth="1"/>
    <col min="2688" max="2711" width="7.26953125" style="6" customWidth="1"/>
    <col min="2712" max="2712" width="11.26953125" style="6" bestFit="1" customWidth="1"/>
    <col min="2713" max="2940" width="11.453125" style="6"/>
    <col min="2941" max="2941" width="7" style="6" customWidth="1"/>
    <col min="2942" max="2942" width="10.7265625" style="6" customWidth="1"/>
    <col min="2943" max="2943" width="9.26953125" style="6" customWidth="1"/>
    <col min="2944" max="2967" width="7.26953125" style="6" customWidth="1"/>
    <col min="2968" max="2968" width="11.26953125" style="6" bestFit="1" customWidth="1"/>
    <col min="2969" max="3196" width="11.453125" style="6"/>
    <col min="3197" max="3197" width="7" style="6" customWidth="1"/>
    <col min="3198" max="3198" width="10.7265625" style="6" customWidth="1"/>
    <col min="3199" max="3199" width="9.26953125" style="6" customWidth="1"/>
    <col min="3200" max="3223" width="7.26953125" style="6" customWidth="1"/>
    <col min="3224" max="3224" width="11.26953125" style="6" bestFit="1" customWidth="1"/>
    <col min="3225" max="3452" width="11.453125" style="6"/>
    <col min="3453" max="3453" width="7" style="6" customWidth="1"/>
    <col min="3454" max="3454" width="10.7265625" style="6" customWidth="1"/>
    <col min="3455" max="3455" width="9.26953125" style="6" customWidth="1"/>
    <col min="3456" max="3479" width="7.26953125" style="6" customWidth="1"/>
    <col min="3480" max="3480" width="11.26953125" style="6" bestFit="1" customWidth="1"/>
    <col min="3481" max="3708" width="11.453125" style="6"/>
    <col min="3709" max="3709" width="7" style="6" customWidth="1"/>
    <col min="3710" max="3710" width="10.7265625" style="6" customWidth="1"/>
    <col min="3711" max="3711" width="9.26953125" style="6" customWidth="1"/>
    <col min="3712" max="3735" width="7.26953125" style="6" customWidth="1"/>
    <col min="3736" max="3736" width="11.26953125" style="6" bestFit="1" customWidth="1"/>
    <col min="3737" max="3964" width="11.453125" style="6"/>
    <col min="3965" max="3965" width="7" style="6" customWidth="1"/>
    <col min="3966" max="3966" width="10.7265625" style="6" customWidth="1"/>
    <col min="3967" max="3967" width="9.26953125" style="6" customWidth="1"/>
    <col min="3968" max="3991" width="7.26953125" style="6" customWidth="1"/>
    <col min="3992" max="3992" width="11.26953125" style="6" bestFit="1" customWidth="1"/>
    <col min="3993" max="4220" width="11.453125" style="6"/>
    <col min="4221" max="4221" width="7" style="6" customWidth="1"/>
    <col min="4222" max="4222" width="10.7265625" style="6" customWidth="1"/>
    <col min="4223" max="4223" width="9.26953125" style="6" customWidth="1"/>
    <col min="4224" max="4247" width="7.26953125" style="6" customWidth="1"/>
    <col min="4248" max="4248" width="11.26953125" style="6" bestFit="1" customWidth="1"/>
    <col min="4249" max="4476" width="11.453125" style="6"/>
    <col min="4477" max="4477" width="7" style="6" customWidth="1"/>
    <col min="4478" max="4478" width="10.7265625" style="6" customWidth="1"/>
    <col min="4479" max="4479" width="9.26953125" style="6" customWidth="1"/>
    <col min="4480" max="4503" width="7.26953125" style="6" customWidth="1"/>
    <col min="4504" max="4504" width="11.26953125" style="6" bestFit="1" customWidth="1"/>
    <col min="4505" max="4732" width="11.453125" style="6"/>
    <col min="4733" max="4733" width="7" style="6" customWidth="1"/>
    <col min="4734" max="4734" width="10.7265625" style="6" customWidth="1"/>
    <col min="4735" max="4735" width="9.26953125" style="6" customWidth="1"/>
    <col min="4736" max="4759" width="7.26953125" style="6" customWidth="1"/>
    <col min="4760" max="4760" width="11.26953125" style="6" bestFit="1" customWidth="1"/>
    <col min="4761" max="4988" width="11.453125" style="6"/>
    <col min="4989" max="4989" width="7" style="6" customWidth="1"/>
    <col min="4990" max="4990" width="10.7265625" style="6" customWidth="1"/>
    <col min="4991" max="4991" width="9.26953125" style="6" customWidth="1"/>
    <col min="4992" max="5015" width="7.26953125" style="6" customWidth="1"/>
    <col min="5016" max="5016" width="11.26953125" style="6" bestFit="1" customWidth="1"/>
    <col min="5017" max="5244" width="11.453125" style="6"/>
    <col min="5245" max="5245" width="7" style="6" customWidth="1"/>
    <col min="5246" max="5246" width="10.7265625" style="6" customWidth="1"/>
    <col min="5247" max="5247" width="9.26953125" style="6" customWidth="1"/>
    <col min="5248" max="5271" width="7.26953125" style="6" customWidth="1"/>
    <col min="5272" max="5272" width="11.26953125" style="6" bestFit="1" customWidth="1"/>
    <col min="5273" max="5500" width="11.453125" style="6"/>
    <col min="5501" max="5501" width="7" style="6" customWidth="1"/>
    <col min="5502" max="5502" width="10.7265625" style="6" customWidth="1"/>
    <col min="5503" max="5503" width="9.26953125" style="6" customWidth="1"/>
    <col min="5504" max="5527" width="7.26953125" style="6" customWidth="1"/>
    <col min="5528" max="5528" width="11.26953125" style="6" bestFit="1" customWidth="1"/>
    <col min="5529" max="5756" width="11.453125" style="6"/>
    <col min="5757" max="5757" width="7" style="6" customWidth="1"/>
    <col min="5758" max="5758" width="10.7265625" style="6" customWidth="1"/>
    <col min="5759" max="5759" width="9.26953125" style="6" customWidth="1"/>
    <col min="5760" max="5783" width="7.26953125" style="6" customWidth="1"/>
    <col min="5784" max="5784" width="11.26953125" style="6" bestFit="1" customWidth="1"/>
    <col min="5785" max="6012" width="11.453125" style="6"/>
    <col min="6013" max="6013" width="7" style="6" customWidth="1"/>
    <col min="6014" max="6014" width="10.7265625" style="6" customWidth="1"/>
    <col min="6015" max="6015" width="9.26953125" style="6" customWidth="1"/>
    <col min="6016" max="6039" width="7.26953125" style="6" customWidth="1"/>
    <col min="6040" max="6040" width="11.26953125" style="6" bestFit="1" customWidth="1"/>
    <col min="6041" max="6268" width="11.453125" style="6"/>
    <col min="6269" max="6269" width="7" style="6" customWidth="1"/>
    <col min="6270" max="6270" width="10.7265625" style="6" customWidth="1"/>
    <col min="6271" max="6271" width="9.26953125" style="6" customWidth="1"/>
    <col min="6272" max="6295" width="7.26953125" style="6" customWidth="1"/>
    <col min="6296" max="6296" width="11.26953125" style="6" bestFit="1" customWidth="1"/>
    <col min="6297" max="6524" width="11.453125" style="6"/>
    <col min="6525" max="6525" width="7" style="6" customWidth="1"/>
    <col min="6526" max="6526" width="10.7265625" style="6" customWidth="1"/>
    <col min="6527" max="6527" width="9.26953125" style="6" customWidth="1"/>
    <col min="6528" max="6551" width="7.26953125" style="6" customWidth="1"/>
    <col min="6552" max="6552" width="11.26953125" style="6" bestFit="1" customWidth="1"/>
    <col min="6553" max="6780" width="11.453125" style="6"/>
    <col min="6781" max="6781" width="7" style="6" customWidth="1"/>
    <col min="6782" max="6782" width="10.7265625" style="6" customWidth="1"/>
    <col min="6783" max="6783" width="9.26953125" style="6" customWidth="1"/>
    <col min="6784" max="6807" width="7.26953125" style="6" customWidth="1"/>
    <col min="6808" max="6808" width="11.26953125" style="6" bestFit="1" customWidth="1"/>
    <col min="6809" max="7036" width="11.453125" style="6"/>
    <col min="7037" max="7037" width="7" style="6" customWidth="1"/>
    <col min="7038" max="7038" width="10.7265625" style="6" customWidth="1"/>
    <col min="7039" max="7039" width="9.26953125" style="6" customWidth="1"/>
    <col min="7040" max="7063" width="7.26953125" style="6" customWidth="1"/>
    <col min="7064" max="7064" width="11.26953125" style="6" bestFit="1" customWidth="1"/>
    <col min="7065" max="7292" width="11.453125" style="6"/>
    <col min="7293" max="7293" width="7" style="6" customWidth="1"/>
    <col min="7294" max="7294" width="10.7265625" style="6" customWidth="1"/>
    <col min="7295" max="7295" width="9.26953125" style="6" customWidth="1"/>
    <col min="7296" max="7319" width="7.26953125" style="6" customWidth="1"/>
    <col min="7320" max="7320" width="11.26953125" style="6" bestFit="1" customWidth="1"/>
    <col min="7321" max="7548" width="11.453125" style="6"/>
    <col min="7549" max="7549" width="7" style="6" customWidth="1"/>
    <col min="7550" max="7550" width="10.7265625" style="6" customWidth="1"/>
    <col min="7551" max="7551" width="9.26953125" style="6" customWidth="1"/>
    <col min="7552" max="7575" width="7.26953125" style="6" customWidth="1"/>
    <col min="7576" max="7576" width="11.26953125" style="6" bestFit="1" customWidth="1"/>
    <col min="7577" max="7804" width="11.453125" style="6"/>
    <col min="7805" max="7805" width="7" style="6" customWidth="1"/>
    <col min="7806" max="7806" width="10.7265625" style="6" customWidth="1"/>
    <col min="7807" max="7807" width="9.26953125" style="6" customWidth="1"/>
    <col min="7808" max="7831" width="7.26953125" style="6" customWidth="1"/>
    <col min="7832" max="7832" width="11.26953125" style="6" bestFit="1" customWidth="1"/>
    <col min="7833" max="8060" width="11.453125" style="6"/>
    <col min="8061" max="8061" width="7" style="6" customWidth="1"/>
    <col min="8062" max="8062" width="10.7265625" style="6" customWidth="1"/>
    <col min="8063" max="8063" width="9.26953125" style="6" customWidth="1"/>
    <col min="8064" max="8087" width="7.26953125" style="6" customWidth="1"/>
    <col min="8088" max="8088" width="11.26953125" style="6" bestFit="1" customWidth="1"/>
    <col min="8089" max="8316" width="11.453125" style="6"/>
    <col min="8317" max="8317" width="7" style="6" customWidth="1"/>
    <col min="8318" max="8318" width="10.7265625" style="6" customWidth="1"/>
    <col min="8319" max="8319" width="9.26953125" style="6" customWidth="1"/>
    <col min="8320" max="8343" width="7.26953125" style="6" customWidth="1"/>
    <col min="8344" max="8344" width="11.26953125" style="6" bestFit="1" customWidth="1"/>
    <col min="8345" max="8572" width="11.453125" style="6"/>
    <col min="8573" max="8573" width="7" style="6" customWidth="1"/>
    <col min="8574" max="8574" width="10.7265625" style="6" customWidth="1"/>
    <col min="8575" max="8575" width="9.26953125" style="6" customWidth="1"/>
    <col min="8576" max="8599" width="7.26953125" style="6" customWidth="1"/>
    <col min="8600" max="8600" width="11.26953125" style="6" bestFit="1" customWidth="1"/>
    <col min="8601" max="8828" width="11.453125" style="6"/>
    <col min="8829" max="8829" width="7" style="6" customWidth="1"/>
    <col min="8830" max="8830" width="10.7265625" style="6" customWidth="1"/>
    <col min="8831" max="8831" width="9.26953125" style="6" customWidth="1"/>
    <col min="8832" max="8855" width="7.26953125" style="6" customWidth="1"/>
    <col min="8856" max="8856" width="11.26953125" style="6" bestFit="1" customWidth="1"/>
    <col min="8857" max="9084" width="11.453125" style="6"/>
    <col min="9085" max="9085" width="7" style="6" customWidth="1"/>
    <col min="9086" max="9086" width="10.7265625" style="6" customWidth="1"/>
    <col min="9087" max="9087" width="9.26953125" style="6" customWidth="1"/>
    <col min="9088" max="9111" width="7.26953125" style="6" customWidth="1"/>
    <col min="9112" max="9112" width="11.26953125" style="6" bestFit="1" customWidth="1"/>
    <col min="9113" max="9340" width="11.453125" style="6"/>
    <col min="9341" max="9341" width="7" style="6" customWidth="1"/>
    <col min="9342" max="9342" width="10.7265625" style="6" customWidth="1"/>
    <col min="9343" max="9343" width="9.26953125" style="6" customWidth="1"/>
    <col min="9344" max="9367" width="7.26953125" style="6" customWidth="1"/>
    <col min="9368" max="9368" width="11.26953125" style="6" bestFit="1" customWidth="1"/>
    <col min="9369" max="9596" width="11.453125" style="6"/>
    <col min="9597" max="9597" width="7" style="6" customWidth="1"/>
    <col min="9598" max="9598" width="10.7265625" style="6" customWidth="1"/>
    <col min="9599" max="9599" width="9.26953125" style="6" customWidth="1"/>
    <col min="9600" max="9623" width="7.26953125" style="6" customWidth="1"/>
    <col min="9624" max="9624" width="11.26953125" style="6" bestFit="1" customWidth="1"/>
    <col min="9625" max="9852" width="11.453125" style="6"/>
    <col min="9853" max="9853" width="7" style="6" customWidth="1"/>
    <col min="9854" max="9854" width="10.7265625" style="6" customWidth="1"/>
    <col min="9855" max="9855" width="9.26953125" style="6" customWidth="1"/>
    <col min="9856" max="9879" width="7.26953125" style="6" customWidth="1"/>
    <col min="9880" max="9880" width="11.26953125" style="6" bestFit="1" customWidth="1"/>
    <col min="9881" max="10108" width="11.453125" style="6"/>
    <col min="10109" max="10109" width="7" style="6" customWidth="1"/>
    <col min="10110" max="10110" width="10.7265625" style="6" customWidth="1"/>
    <col min="10111" max="10111" width="9.26953125" style="6" customWidth="1"/>
    <col min="10112" max="10135" width="7.26953125" style="6" customWidth="1"/>
    <col min="10136" max="10136" width="11.26953125" style="6" bestFit="1" customWidth="1"/>
    <col min="10137" max="10364" width="11.453125" style="6"/>
    <col min="10365" max="10365" width="7" style="6" customWidth="1"/>
    <col min="10366" max="10366" width="10.7265625" style="6" customWidth="1"/>
    <col min="10367" max="10367" width="9.26953125" style="6" customWidth="1"/>
    <col min="10368" max="10391" width="7.26953125" style="6" customWidth="1"/>
    <col min="10392" max="10392" width="11.26953125" style="6" bestFit="1" customWidth="1"/>
    <col min="10393" max="10620" width="11.453125" style="6"/>
    <col min="10621" max="10621" width="7" style="6" customWidth="1"/>
    <col min="10622" max="10622" width="10.7265625" style="6" customWidth="1"/>
    <col min="10623" max="10623" width="9.26953125" style="6" customWidth="1"/>
    <col min="10624" max="10647" width="7.26953125" style="6" customWidth="1"/>
    <col min="10648" max="10648" width="11.26953125" style="6" bestFit="1" customWidth="1"/>
    <col min="10649" max="10876" width="11.453125" style="6"/>
    <col min="10877" max="10877" width="7" style="6" customWidth="1"/>
    <col min="10878" max="10878" width="10.7265625" style="6" customWidth="1"/>
    <col min="10879" max="10879" width="9.26953125" style="6" customWidth="1"/>
    <col min="10880" max="10903" width="7.26953125" style="6" customWidth="1"/>
    <col min="10904" max="10904" width="11.26953125" style="6" bestFit="1" customWidth="1"/>
    <col min="10905" max="11132" width="11.453125" style="6"/>
    <col min="11133" max="11133" width="7" style="6" customWidth="1"/>
    <col min="11134" max="11134" width="10.7265625" style="6" customWidth="1"/>
    <col min="11135" max="11135" width="9.26953125" style="6" customWidth="1"/>
    <col min="11136" max="11159" width="7.26953125" style="6" customWidth="1"/>
    <col min="11160" max="11160" width="11.26953125" style="6" bestFit="1" customWidth="1"/>
    <col min="11161" max="11388" width="11.453125" style="6"/>
    <col min="11389" max="11389" width="7" style="6" customWidth="1"/>
    <col min="11390" max="11390" width="10.7265625" style="6" customWidth="1"/>
    <col min="11391" max="11391" width="9.26953125" style="6" customWidth="1"/>
    <col min="11392" max="11415" width="7.26953125" style="6" customWidth="1"/>
    <col min="11416" max="11416" width="11.26953125" style="6" bestFit="1" customWidth="1"/>
    <col min="11417" max="11644" width="11.453125" style="6"/>
    <col min="11645" max="11645" width="7" style="6" customWidth="1"/>
    <col min="11646" max="11646" width="10.7265625" style="6" customWidth="1"/>
    <col min="11647" max="11647" width="9.26953125" style="6" customWidth="1"/>
    <col min="11648" max="11671" width="7.26953125" style="6" customWidth="1"/>
    <col min="11672" max="11672" width="11.26953125" style="6" bestFit="1" customWidth="1"/>
    <col min="11673" max="11900" width="11.453125" style="6"/>
    <col min="11901" max="11901" width="7" style="6" customWidth="1"/>
    <col min="11902" max="11902" width="10.7265625" style="6" customWidth="1"/>
    <col min="11903" max="11903" width="9.26953125" style="6" customWidth="1"/>
    <col min="11904" max="11927" width="7.26953125" style="6" customWidth="1"/>
    <col min="11928" max="11928" width="11.26953125" style="6" bestFit="1" customWidth="1"/>
    <col min="11929" max="12156" width="11.453125" style="6"/>
    <col min="12157" max="12157" width="7" style="6" customWidth="1"/>
    <col min="12158" max="12158" width="10.7265625" style="6" customWidth="1"/>
    <col min="12159" max="12159" width="9.26953125" style="6" customWidth="1"/>
    <col min="12160" max="12183" width="7.26953125" style="6" customWidth="1"/>
    <col min="12184" max="12184" width="11.26953125" style="6" bestFit="1" customWidth="1"/>
    <col min="12185" max="12412" width="11.453125" style="6"/>
    <col min="12413" max="12413" width="7" style="6" customWidth="1"/>
    <col min="12414" max="12414" width="10.7265625" style="6" customWidth="1"/>
    <col min="12415" max="12415" width="9.26953125" style="6" customWidth="1"/>
    <col min="12416" max="12439" width="7.26953125" style="6" customWidth="1"/>
    <col min="12440" max="12440" width="11.26953125" style="6" bestFit="1" customWidth="1"/>
    <col min="12441" max="12668" width="11.453125" style="6"/>
    <col min="12669" max="12669" width="7" style="6" customWidth="1"/>
    <col min="12670" max="12670" width="10.7265625" style="6" customWidth="1"/>
    <col min="12671" max="12671" width="9.26953125" style="6" customWidth="1"/>
    <col min="12672" max="12695" width="7.26953125" style="6" customWidth="1"/>
    <col min="12696" max="12696" width="11.26953125" style="6" bestFit="1" customWidth="1"/>
    <col min="12697" max="12924" width="11.453125" style="6"/>
    <col min="12925" max="12925" width="7" style="6" customWidth="1"/>
    <col min="12926" max="12926" width="10.7265625" style="6" customWidth="1"/>
    <col min="12927" max="12927" width="9.26953125" style="6" customWidth="1"/>
    <col min="12928" max="12951" width="7.26953125" style="6" customWidth="1"/>
    <col min="12952" max="12952" width="11.26953125" style="6" bestFit="1" customWidth="1"/>
    <col min="12953" max="13180" width="11.453125" style="6"/>
    <col min="13181" max="13181" width="7" style="6" customWidth="1"/>
    <col min="13182" max="13182" width="10.7265625" style="6" customWidth="1"/>
    <col min="13183" max="13183" width="9.26953125" style="6" customWidth="1"/>
    <col min="13184" max="13207" width="7.26953125" style="6" customWidth="1"/>
    <col min="13208" max="13208" width="11.26953125" style="6" bestFit="1" customWidth="1"/>
    <col min="13209" max="13436" width="11.453125" style="6"/>
    <col min="13437" max="13437" width="7" style="6" customWidth="1"/>
    <col min="13438" max="13438" width="10.7265625" style="6" customWidth="1"/>
    <col min="13439" max="13439" width="9.26953125" style="6" customWidth="1"/>
    <col min="13440" max="13463" width="7.26953125" style="6" customWidth="1"/>
    <col min="13464" max="13464" width="11.26953125" style="6" bestFit="1" customWidth="1"/>
    <col min="13465" max="13692" width="11.453125" style="6"/>
    <col min="13693" max="13693" width="7" style="6" customWidth="1"/>
    <col min="13694" max="13694" width="10.7265625" style="6" customWidth="1"/>
    <col min="13695" max="13695" width="9.26953125" style="6" customWidth="1"/>
    <col min="13696" max="13719" width="7.26953125" style="6" customWidth="1"/>
    <col min="13720" max="13720" width="11.26953125" style="6" bestFit="1" customWidth="1"/>
    <col min="13721" max="13948" width="11.453125" style="6"/>
    <col min="13949" max="13949" width="7" style="6" customWidth="1"/>
    <col min="13950" max="13950" width="10.7265625" style="6" customWidth="1"/>
    <col min="13951" max="13951" width="9.26953125" style="6" customWidth="1"/>
    <col min="13952" max="13975" width="7.26953125" style="6" customWidth="1"/>
    <col min="13976" max="13976" width="11.26953125" style="6" bestFit="1" customWidth="1"/>
    <col min="13977" max="14204" width="11.453125" style="6"/>
    <col min="14205" max="14205" width="7" style="6" customWidth="1"/>
    <col min="14206" max="14206" width="10.7265625" style="6" customWidth="1"/>
    <col min="14207" max="14207" width="9.26953125" style="6" customWidth="1"/>
    <col min="14208" max="14231" width="7.26953125" style="6" customWidth="1"/>
    <col min="14232" max="14232" width="11.26953125" style="6" bestFit="1" customWidth="1"/>
    <col min="14233" max="14460" width="11.453125" style="6"/>
    <col min="14461" max="14461" width="7" style="6" customWidth="1"/>
    <col min="14462" max="14462" width="10.7265625" style="6" customWidth="1"/>
    <col min="14463" max="14463" width="9.26953125" style="6" customWidth="1"/>
    <col min="14464" max="14487" width="7.26953125" style="6" customWidth="1"/>
    <col min="14488" max="14488" width="11.26953125" style="6" bestFit="1" customWidth="1"/>
    <col min="14489" max="14716" width="11.453125" style="6"/>
    <col min="14717" max="14717" width="7" style="6" customWidth="1"/>
    <col min="14718" max="14718" width="10.7265625" style="6" customWidth="1"/>
    <col min="14719" max="14719" width="9.26953125" style="6" customWidth="1"/>
    <col min="14720" max="14743" width="7.26953125" style="6" customWidth="1"/>
    <col min="14744" max="14744" width="11.26953125" style="6" bestFit="1" customWidth="1"/>
    <col min="14745" max="14972" width="11.453125" style="6"/>
    <col min="14973" max="14973" width="7" style="6" customWidth="1"/>
    <col min="14974" max="14974" width="10.7265625" style="6" customWidth="1"/>
    <col min="14975" max="14975" width="9.26953125" style="6" customWidth="1"/>
    <col min="14976" max="14999" width="7.26953125" style="6" customWidth="1"/>
    <col min="15000" max="15000" width="11.26953125" style="6" bestFit="1" customWidth="1"/>
    <col min="15001" max="15228" width="11.453125" style="6"/>
    <col min="15229" max="15229" width="7" style="6" customWidth="1"/>
    <col min="15230" max="15230" width="10.7265625" style="6" customWidth="1"/>
    <col min="15231" max="15231" width="9.26953125" style="6" customWidth="1"/>
    <col min="15232" max="15255" width="7.26953125" style="6" customWidth="1"/>
    <col min="15256" max="15256" width="11.26953125" style="6" bestFit="1" customWidth="1"/>
    <col min="15257" max="15484" width="11.453125" style="6"/>
    <col min="15485" max="15485" width="7" style="6" customWidth="1"/>
    <col min="15486" max="15486" width="10.7265625" style="6" customWidth="1"/>
    <col min="15487" max="15487" width="9.26953125" style="6" customWidth="1"/>
    <col min="15488" max="15511" width="7.26953125" style="6" customWidth="1"/>
    <col min="15512" max="15512" width="11.26953125" style="6" bestFit="1" customWidth="1"/>
    <col min="15513" max="15740" width="11.453125" style="6"/>
    <col min="15741" max="15741" width="7" style="6" customWidth="1"/>
    <col min="15742" max="15742" width="10.7265625" style="6" customWidth="1"/>
    <col min="15743" max="15743" width="9.26953125" style="6" customWidth="1"/>
    <col min="15744" max="15767" width="7.26953125" style="6" customWidth="1"/>
    <col min="15768" max="15768" width="11.26953125" style="6" bestFit="1" customWidth="1"/>
    <col min="15769" max="15996" width="11.453125" style="6"/>
    <col min="15997" max="15997" width="7" style="6" customWidth="1"/>
    <col min="15998" max="15998" width="10.7265625" style="6" customWidth="1"/>
    <col min="15999" max="15999" width="9.26953125" style="6" customWidth="1"/>
    <col min="16000" max="16023" width="7.26953125" style="6" customWidth="1"/>
    <col min="16024" max="16024" width="11.26953125" style="6" bestFit="1" customWidth="1"/>
    <col min="16025" max="16384" width="11.453125" style="6"/>
  </cols>
  <sheetData>
    <row r="2" spans="2:31" x14ac:dyDescent="0.25">
      <c r="B2" s="70" t="s">
        <v>45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spans="2:31" x14ac:dyDescent="0.25">
      <c r="B3" s="70" t="s">
        <v>44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spans="2:31" x14ac:dyDescent="0.25">
      <c r="B4" s="70">
        <v>2038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6" spans="2:31" ht="31" x14ac:dyDescent="0.25">
      <c r="B6" s="2" t="s">
        <v>0</v>
      </c>
      <c r="C6" s="3" t="s">
        <v>1</v>
      </c>
      <c r="D6" s="2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51" t="s">
        <v>27</v>
      </c>
    </row>
    <row r="7" spans="2:31" ht="12.5" x14ac:dyDescent="0.25">
      <c r="B7" s="65" t="s">
        <v>28</v>
      </c>
      <c r="C7" s="4" t="s">
        <v>29</v>
      </c>
      <c r="D7" s="5">
        <v>19</v>
      </c>
      <c r="E7" s="56">
        <v>6516.8</v>
      </c>
      <c r="F7" s="56">
        <v>6055.52</v>
      </c>
      <c r="G7" s="56">
        <v>5793.43</v>
      </c>
      <c r="H7" s="56">
        <v>5696.37</v>
      </c>
      <c r="I7" s="56">
        <v>6043.73</v>
      </c>
      <c r="J7" s="56">
        <v>7076.79</v>
      </c>
      <c r="K7" s="56">
        <v>8171.82</v>
      </c>
      <c r="L7" s="56">
        <v>8765.52</v>
      </c>
      <c r="M7" s="56">
        <v>9272.07</v>
      </c>
      <c r="N7" s="56">
        <v>9795.49</v>
      </c>
      <c r="O7" s="56">
        <v>10406.049999999999</v>
      </c>
      <c r="P7" s="56">
        <v>11166.21</v>
      </c>
      <c r="Q7" s="56">
        <v>10849.64</v>
      </c>
      <c r="R7" s="56">
        <v>10545.35</v>
      </c>
      <c r="S7" s="56">
        <v>10587.05</v>
      </c>
      <c r="T7" s="56">
        <v>10610.25</v>
      </c>
      <c r="U7" s="56">
        <v>10592.62</v>
      </c>
      <c r="V7" s="56">
        <v>10924.22</v>
      </c>
      <c r="W7" s="56">
        <v>11981.47</v>
      </c>
      <c r="X7" s="56">
        <v>12407.55</v>
      </c>
      <c r="Y7" s="56">
        <v>11806.5</v>
      </c>
      <c r="Z7" s="56">
        <v>10765.89</v>
      </c>
      <c r="AA7" s="56">
        <v>9105.39</v>
      </c>
      <c r="AB7" s="56">
        <v>7750.32</v>
      </c>
      <c r="AC7" s="66">
        <f>+SUM(E7:AB7)*D7+SUM(E8:AB8)*D8+SUM(E9:AB9)*D9+SUM(E10:AB10)*D10</f>
        <v>6754779.2599999998</v>
      </c>
      <c r="AE7" s="11">
        <f>+AC7</f>
        <v>6754779.2599999998</v>
      </c>
    </row>
    <row r="8" spans="2:31" ht="12.5" x14ac:dyDescent="0.25">
      <c r="B8" s="65" t="s">
        <v>28</v>
      </c>
      <c r="C8" s="4" t="s">
        <v>30</v>
      </c>
      <c r="D8" s="5">
        <v>5</v>
      </c>
      <c r="E8" s="56">
        <v>6804.71</v>
      </c>
      <c r="F8" s="56">
        <v>6212.34</v>
      </c>
      <c r="G8" s="56">
        <v>5905.47</v>
      </c>
      <c r="H8" s="56">
        <v>5765.92</v>
      </c>
      <c r="I8" s="56">
        <v>5914.44</v>
      </c>
      <c r="J8" s="56">
        <v>6381.5</v>
      </c>
      <c r="K8" s="56">
        <v>7138.92</v>
      </c>
      <c r="L8" s="56">
        <v>8205.01</v>
      </c>
      <c r="M8" s="56">
        <v>9160.24</v>
      </c>
      <c r="N8" s="56">
        <v>9836.41</v>
      </c>
      <c r="O8" s="56">
        <v>10346.23</v>
      </c>
      <c r="P8" s="56">
        <v>10935.82</v>
      </c>
      <c r="Q8" s="56">
        <v>11049.09</v>
      </c>
      <c r="R8" s="56">
        <v>10700.75</v>
      </c>
      <c r="S8" s="56">
        <v>10455.98</v>
      </c>
      <c r="T8" s="56">
        <v>10275.4</v>
      </c>
      <c r="U8" s="56">
        <v>10273.48</v>
      </c>
      <c r="V8" s="56">
        <v>10614.65</v>
      </c>
      <c r="W8" s="56">
        <v>11765.45</v>
      </c>
      <c r="X8" s="56">
        <v>12144.72</v>
      </c>
      <c r="Y8" s="56">
        <v>11574.22</v>
      </c>
      <c r="Z8" s="56">
        <v>10725.66</v>
      </c>
      <c r="AA8" s="56">
        <v>9491.6299999999992</v>
      </c>
      <c r="AB8" s="56">
        <v>8298.57</v>
      </c>
      <c r="AC8" s="67"/>
      <c r="AE8" s="11">
        <f>+AC11</f>
        <v>6412110.8399999999</v>
      </c>
    </row>
    <row r="9" spans="2:31" ht="12.5" x14ac:dyDescent="0.25">
      <c r="B9" s="65" t="s">
        <v>28</v>
      </c>
      <c r="C9" s="4" t="s">
        <v>31</v>
      </c>
      <c r="D9" s="5">
        <v>5</v>
      </c>
      <c r="E9" s="56">
        <v>7094.42</v>
      </c>
      <c r="F9" s="56">
        <v>6488.66</v>
      </c>
      <c r="G9" s="56">
        <v>6128.56</v>
      </c>
      <c r="H9" s="56">
        <v>5907.64</v>
      </c>
      <c r="I9" s="56">
        <v>5889.29</v>
      </c>
      <c r="J9" s="56">
        <v>6008.3</v>
      </c>
      <c r="K9" s="56">
        <v>6299.26</v>
      </c>
      <c r="L9" s="56">
        <v>6992.53</v>
      </c>
      <c r="M9" s="56">
        <v>7914.73</v>
      </c>
      <c r="N9" s="56">
        <v>8609.4</v>
      </c>
      <c r="O9" s="56">
        <v>9225.33</v>
      </c>
      <c r="P9" s="56">
        <v>9844.06</v>
      </c>
      <c r="Q9" s="56">
        <v>10055.16</v>
      </c>
      <c r="R9" s="56">
        <v>9800.06</v>
      </c>
      <c r="S9" s="56">
        <v>9672.3700000000008</v>
      </c>
      <c r="T9" s="56">
        <v>9640.5300000000007</v>
      </c>
      <c r="U9" s="56">
        <v>9596.42</v>
      </c>
      <c r="V9" s="56">
        <v>9969.83</v>
      </c>
      <c r="W9" s="56">
        <v>11077.66</v>
      </c>
      <c r="X9" s="56">
        <v>11574.27</v>
      </c>
      <c r="Y9" s="56">
        <v>11103.87</v>
      </c>
      <c r="Z9" s="56">
        <v>10202.73</v>
      </c>
      <c r="AA9" s="56">
        <v>8799.2800000000007</v>
      </c>
      <c r="AB9" s="56">
        <v>7543.74</v>
      </c>
      <c r="AC9" s="67"/>
      <c r="AE9" s="11">
        <f>+AC15</f>
        <v>6660203.2899999991</v>
      </c>
    </row>
    <row r="10" spans="2:31" ht="12.5" x14ac:dyDescent="0.25">
      <c r="B10" s="65" t="s">
        <v>28</v>
      </c>
      <c r="C10" s="4" t="s">
        <v>32</v>
      </c>
      <c r="D10" s="5">
        <v>2</v>
      </c>
      <c r="E10" s="56">
        <v>7250.64</v>
      </c>
      <c r="F10" s="56">
        <v>6721.49</v>
      </c>
      <c r="G10" s="56">
        <v>6274</v>
      </c>
      <c r="H10" s="56">
        <v>6058.24</v>
      </c>
      <c r="I10" s="56">
        <v>5961.04</v>
      </c>
      <c r="J10" s="56">
        <v>6056.94</v>
      </c>
      <c r="K10" s="56">
        <v>6038.85</v>
      </c>
      <c r="L10" s="56">
        <v>6449.25</v>
      </c>
      <c r="M10" s="56">
        <v>7085.07</v>
      </c>
      <c r="N10" s="56">
        <v>7797.99</v>
      </c>
      <c r="O10" s="56">
        <v>8516.83</v>
      </c>
      <c r="P10" s="56">
        <v>9085.8700000000008</v>
      </c>
      <c r="Q10" s="56">
        <v>9465.39</v>
      </c>
      <c r="R10" s="56">
        <v>9428.84</v>
      </c>
      <c r="S10" s="56">
        <v>9310.7800000000007</v>
      </c>
      <c r="T10" s="56">
        <v>9142.81</v>
      </c>
      <c r="U10" s="56">
        <v>9131.08</v>
      </c>
      <c r="V10" s="56">
        <v>9697.7900000000009</v>
      </c>
      <c r="W10" s="56">
        <v>10883.29</v>
      </c>
      <c r="X10" s="56">
        <v>11331.84</v>
      </c>
      <c r="Y10" s="56">
        <v>10871</v>
      </c>
      <c r="Z10" s="56">
        <v>9866.1299999999992</v>
      </c>
      <c r="AA10" s="56">
        <v>8525.7199999999993</v>
      </c>
      <c r="AB10" s="56">
        <v>7384.5</v>
      </c>
      <c r="AC10" s="68"/>
      <c r="AE10" s="11">
        <f>+AC19</f>
        <v>6641786.5399999991</v>
      </c>
    </row>
    <row r="11" spans="2:31" ht="12.5" x14ac:dyDescent="0.25">
      <c r="B11" s="65" t="s">
        <v>33</v>
      </c>
      <c r="C11" s="4" t="s">
        <v>29</v>
      </c>
      <c r="D11" s="5">
        <v>20</v>
      </c>
      <c r="E11" s="56">
        <v>6636.98</v>
      </c>
      <c r="F11" s="56">
        <v>6165.65</v>
      </c>
      <c r="G11" s="56">
        <v>5942.8</v>
      </c>
      <c r="H11" s="56">
        <v>5894.52</v>
      </c>
      <c r="I11" s="56">
        <v>6372.15</v>
      </c>
      <c r="J11" s="56">
        <v>8038.68</v>
      </c>
      <c r="K11" s="56">
        <v>9373.2900000000009</v>
      </c>
      <c r="L11" s="56">
        <v>9447.65</v>
      </c>
      <c r="M11" s="56">
        <v>9757.91</v>
      </c>
      <c r="N11" s="56">
        <v>10152.43</v>
      </c>
      <c r="O11" s="56">
        <v>10730.92</v>
      </c>
      <c r="P11" s="56">
        <v>11372.7</v>
      </c>
      <c r="Q11" s="56">
        <v>11080.25</v>
      </c>
      <c r="R11" s="56">
        <v>10932.27</v>
      </c>
      <c r="S11" s="56">
        <v>11078.48</v>
      </c>
      <c r="T11" s="56">
        <v>11096.71</v>
      </c>
      <c r="U11" s="56">
        <v>11058.84</v>
      </c>
      <c r="V11" s="56">
        <v>11351.8</v>
      </c>
      <c r="W11" s="56">
        <v>12393.61</v>
      </c>
      <c r="X11" s="56">
        <v>13061.36</v>
      </c>
      <c r="Y11" s="56">
        <v>12401.14</v>
      </c>
      <c r="Z11" s="56">
        <v>11235.46</v>
      </c>
      <c r="AA11" s="56">
        <v>9395.2000000000007</v>
      </c>
      <c r="AB11" s="56">
        <v>7915.7</v>
      </c>
      <c r="AC11" s="66">
        <f>+SUM(E11:AB11)*D11+SUM(E12:AB12)*D12+SUM(E13:AB13)*D13+SUM(E14:AB14)*D14</f>
        <v>6412110.8399999999</v>
      </c>
      <c r="AE11" s="11">
        <f>+AC23</f>
        <v>6656737.3600000013</v>
      </c>
    </row>
    <row r="12" spans="2:31" ht="12.5" x14ac:dyDescent="0.25">
      <c r="B12" s="65" t="s">
        <v>33</v>
      </c>
      <c r="C12" s="4" t="s">
        <v>30</v>
      </c>
      <c r="D12" s="5">
        <v>4</v>
      </c>
      <c r="E12" s="56">
        <v>6958.3</v>
      </c>
      <c r="F12" s="56">
        <v>6436.74</v>
      </c>
      <c r="G12" s="56">
        <v>6092.69</v>
      </c>
      <c r="H12" s="56">
        <v>5970.4</v>
      </c>
      <c r="I12" s="56">
        <v>6194.27</v>
      </c>
      <c r="J12" s="56">
        <v>6822.05</v>
      </c>
      <c r="K12" s="56">
        <v>7756.94</v>
      </c>
      <c r="L12" s="56">
        <v>8886.3799999999992</v>
      </c>
      <c r="M12" s="56">
        <v>9693.1299999999992</v>
      </c>
      <c r="N12" s="56">
        <v>10320.68</v>
      </c>
      <c r="O12" s="56">
        <v>10861.87</v>
      </c>
      <c r="P12" s="56">
        <v>11306.32</v>
      </c>
      <c r="Q12" s="56">
        <v>11288.87</v>
      </c>
      <c r="R12" s="56">
        <v>10934.11</v>
      </c>
      <c r="S12" s="56">
        <v>10742.83</v>
      </c>
      <c r="T12" s="56">
        <v>10710.26</v>
      </c>
      <c r="U12" s="56">
        <v>10752.98</v>
      </c>
      <c r="V12" s="56">
        <v>10993.56</v>
      </c>
      <c r="W12" s="56">
        <v>12057.06</v>
      </c>
      <c r="X12" s="56">
        <v>12580.42</v>
      </c>
      <c r="Y12" s="56">
        <v>11956.22</v>
      </c>
      <c r="Z12" s="56">
        <v>10996.59</v>
      </c>
      <c r="AA12" s="56">
        <v>9689.61</v>
      </c>
      <c r="AB12" s="56">
        <v>8354.58</v>
      </c>
      <c r="AC12" s="67"/>
      <c r="AE12" s="11">
        <f>+AC27</f>
        <v>6620844.0599999996</v>
      </c>
    </row>
    <row r="13" spans="2:31" ht="12.5" x14ac:dyDescent="0.25">
      <c r="B13" s="65" t="s">
        <v>33</v>
      </c>
      <c r="C13" s="4" t="s">
        <v>31</v>
      </c>
      <c r="D13" s="5">
        <v>4</v>
      </c>
      <c r="E13" s="56">
        <v>7169.06</v>
      </c>
      <c r="F13" s="56">
        <v>6566.73</v>
      </c>
      <c r="G13" s="56">
        <v>6181.34</v>
      </c>
      <c r="H13" s="56">
        <v>5967.54</v>
      </c>
      <c r="I13" s="56">
        <v>5951.78</v>
      </c>
      <c r="J13" s="56">
        <v>6105.42</v>
      </c>
      <c r="K13" s="56">
        <v>6507.34</v>
      </c>
      <c r="L13" s="56">
        <v>7260</v>
      </c>
      <c r="M13" s="56">
        <v>8241.23</v>
      </c>
      <c r="N13" s="56">
        <v>8953.1299999999992</v>
      </c>
      <c r="O13" s="56">
        <v>9509.94</v>
      </c>
      <c r="P13" s="56">
        <v>10177.08</v>
      </c>
      <c r="Q13" s="56">
        <v>10394.85</v>
      </c>
      <c r="R13" s="56">
        <v>10219.51</v>
      </c>
      <c r="S13" s="56">
        <v>9889.7900000000009</v>
      </c>
      <c r="T13" s="56">
        <v>9806.5499999999993</v>
      </c>
      <c r="U13" s="56">
        <v>9787.7000000000007</v>
      </c>
      <c r="V13" s="56">
        <v>10205.16</v>
      </c>
      <c r="W13" s="56">
        <v>11394.83</v>
      </c>
      <c r="X13" s="56">
        <v>11946.8</v>
      </c>
      <c r="Y13" s="56">
        <v>11488.49</v>
      </c>
      <c r="Z13" s="56">
        <v>10368.450000000001</v>
      </c>
      <c r="AA13" s="56">
        <v>8753.86</v>
      </c>
      <c r="AB13" s="56">
        <v>7391.77</v>
      </c>
      <c r="AC13" s="67"/>
      <c r="AE13" s="11">
        <f>+AC31</f>
        <v>6693310.1299999999</v>
      </c>
    </row>
    <row r="14" spans="2:31" ht="12.5" x14ac:dyDescent="0.25">
      <c r="B14" s="65" t="s">
        <v>33</v>
      </c>
      <c r="C14" s="4" t="s">
        <v>32</v>
      </c>
      <c r="D14" s="5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68"/>
      <c r="AE14" s="11">
        <f>+AC35</f>
        <v>6816441.6599999983</v>
      </c>
    </row>
    <row r="15" spans="2:31" ht="12.5" x14ac:dyDescent="0.25">
      <c r="B15" s="65" t="s">
        <v>34</v>
      </c>
      <c r="C15" s="4" t="s">
        <v>29</v>
      </c>
      <c r="D15" s="5">
        <v>22</v>
      </c>
      <c r="E15" s="56">
        <v>6302.17</v>
      </c>
      <c r="F15" s="56">
        <v>5859.93</v>
      </c>
      <c r="G15" s="56">
        <v>5650.81</v>
      </c>
      <c r="H15" s="56">
        <v>5587.78</v>
      </c>
      <c r="I15" s="56">
        <v>6007.26</v>
      </c>
      <c r="J15" s="56">
        <v>7462.74</v>
      </c>
      <c r="K15" s="56">
        <v>8614.89</v>
      </c>
      <c r="L15" s="56">
        <v>8800.0400000000009</v>
      </c>
      <c r="M15" s="56">
        <v>9103</v>
      </c>
      <c r="N15" s="56">
        <v>9473.6299999999992</v>
      </c>
      <c r="O15" s="56">
        <v>10041.14</v>
      </c>
      <c r="P15" s="56">
        <v>10630.38</v>
      </c>
      <c r="Q15" s="56">
        <v>10444.120000000001</v>
      </c>
      <c r="R15" s="56">
        <v>10276.93</v>
      </c>
      <c r="S15" s="56">
        <v>10397.93</v>
      </c>
      <c r="T15" s="56">
        <v>10393.34</v>
      </c>
      <c r="U15" s="56">
        <v>10353.74</v>
      </c>
      <c r="V15" s="56">
        <v>10626.38</v>
      </c>
      <c r="W15" s="56">
        <v>11636.37</v>
      </c>
      <c r="X15" s="56">
        <v>12303.02</v>
      </c>
      <c r="Y15" s="56">
        <v>11673.6</v>
      </c>
      <c r="Z15" s="56">
        <v>10566.34</v>
      </c>
      <c r="AA15" s="56">
        <v>8953.06</v>
      </c>
      <c r="AB15" s="56">
        <v>7533.05</v>
      </c>
      <c r="AC15" s="66">
        <f>+SUM(E15:AB15)*D15+SUM(E16:AB16)*D16+SUM(E17:AB17)*D17+SUM(E18:AB18)*D18</f>
        <v>6660203.2899999991</v>
      </c>
      <c r="AE15" s="11">
        <f>+AC39</f>
        <v>6642191.120000001</v>
      </c>
    </row>
    <row r="16" spans="2:31" ht="12.5" x14ac:dyDescent="0.25">
      <c r="B16" s="65" t="s">
        <v>34</v>
      </c>
      <c r="C16" s="4" t="s">
        <v>30</v>
      </c>
      <c r="D16" s="5">
        <v>4</v>
      </c>
      <c r="E16" s="56">
        <v>6528.98</v>
      </c>
      <c r="F16" s="56">
        <v>6009.98</v>
      </c>
      <c r="G16" s="56">
        <v>5737.64</v>
      </c>
      <c r="H16" s="56">
        <v>5608.06</v>
      </c>
      <c r="I16" s="56">
        <v>5813.69</v>
      </c>
      <c r="J16" s="56">
        <v>6367.3</v>
      </c>
      <c r="K16" s="56">
        <v>7270.33</v>
      </c>
      <c r="L16" s="56">
        <v>8349.9500000000007</v>
      </c>
      <c r="M16" s="56">
        <v>9010.6299999999992</v>
      </c>
      <c r="N16" s="56">
        <v>9578.66</v>
      </c>
      <c r="O16" s="56">
        <v>10092.67</v>
      </c>
      <c r="P16" s="56">
        <v>10550.14</v>
      </c>
      <c r="Q16" s="56">
        <v>10595.23</v>
      </c>
      <c r="R16" s="56">
        <v>10203.27</v>
      </c>
      <c r="S16" s="56">
        <v>9951.4599999999991</v>
      </c>
      <c r="T16" s="56">
        <v>9900.56</v>
      </c>
      <c r="U16" s="56">
        <v>9920.89</v>
      </c>
      <c r="V16" s="56">
        <v>10216.57</v>
      </c>
      <c r="W16" s="56">
        <v>11212.69</v>
      </c>
      <c r="X16" s="56">
        <v>11854.28</v>
      </c>
      <c r="Y16" s="56">
        <v>11282.1</v>
      </c>
      <c r="Z16" s="56">
        <v>10418.73</v>
      </c>
      <c r="AA16" s="56">
        <v>9226.42</v>
      </c>
      <c r="AB16" s="56">
        <v>7953.72</v>
      </c>
      <c r="AC16" s="67"/>
      <c r="AE16" s="11">
        <f>+AC43</f>
        <v>6813344.4800000014</v>
      </c>
    </row>
    <row r="17" spans="2:31" ht="12.5" x14ac:dyDescent="0.25">
      <c r="B17" s="65" t="s">
        <v>34</v>
      </c>
      <c r="C17" s="4" t="s">
        <v>31</v>
      </c>
      <c r="D17" s="5">
        <v>4</v>
      </c>
      <c r="E17" s="56">
        <v>6790.14</v>
      </c>
      <c r="F17" s="56">
        <v>6200.26</v>
      </c>
      <c r="G17" s="56">
        <v>5848.39</v>
      </c>
      <c r="H17" s="56">
        <v>5648.98</v>
      </c>
      <c r="I17" s="56">
        <v>5656.65</v>
      </c>
      <c r="J17" s="56">
        <v>5838.65</v>
      </c>
      <c r="K17" s="56">
        <v>6230.25</v>
      </c>
      <c r="L17" s="56">
        <v>6972.13</v>
      </c>
      <c r="M17" s="56">
        <v>7870.18</v>
      </c>
      <c r="N17" s="56">
        <v>8492.65</v>
      </c>
      <c r="O17" s="56">
        <v>8931.6</v>
      </c>
      <c r="P17" s="56">
        <v>9321.52</v>
      </c>
      <c r="Q17" s="56">
        <v>9519.8799999999992</v>
      </c>
      <c r="R17" s="56">
        <v>9338.6</v>
      </c>
      <c r="S17" s="56">
        <v>9070.06</v>
      </c>
      <c r="T17" s="56">
        <v>9005.31</v>
      </c>
      <c r="U17" s="56">
        <v>9076.11</v>
      </c>
      <c r="V17" s="56">
        <v>9460.1200000000008</v>
      </c>
      <c r="W17" s="56">
        <v>10454.86</v>
      </c>
      <c r="X17" s="56">
        <v>11281.36</v>
      </c>
      <c r="Y17" s="56">
        <v>10915.1</v>
      </c>
      <c r="Z17" s="56">
        <v>10007.51</v>
      </c>
      <c r="AA17" s="56">
        <v>8651.56</v>
      </c>
      <c r="AB17" s="56">
        <v>7297.41</v>
      </c>
      <c r="AC17" s="67"/>
      <c r="AE17" s="11">
        <f>+AC47</f>
        <v>6725017.080000001</v>
      </c>
    </row>
    <row r="18" spans="2:31" ht="12.5" x14ac:dyDescent="0.25">
      <c r="B18" s="65" t="s">
        <v>34</v>
      </c>
      <c r="C18" s="4" t="s">
        <v>32</v>
      </c>
      <c r="D18" s="5">
        <v>1</v>
      </c>
      <c r="E18" s="56">
        <v>6588.75</v>
      </c>
      <c r="F18" s="56">
        <v>6083.16</v>
      </c>
      <c r="G18" s="56">
        <v>5811.42</v>
      </c>
      <c r="H18" s="56">
        <v>5682.47</v>
      </c>
      <c r="I18" s="56">
        <v>5713.05</v>
      </c>
      <c r="J18" s="56">
        <v>5975.46</v>
      </c>
      <c r="K18" s="56">
        <v>6321.98</v>
      </c>
      <c r="L18" s="56">
        <v>7110.65</v>
      </c>
      <c r="M18" s="56">
        <v>7928.79</v>
      </c>
      <c r="N18" s="56">
        <v>8561.2999999999993</v>
      </c>
      <c r="O18" s="56">
        <v>9258.99</v>
      </c>
      <c r="P18" s="56">
        <v>9930.77</v>
      </c>
      <c r="Q18" s="56">
        <v>10129.18</v>
      </c>
      <c r="R18" s="56">
        <v>10027.5</v>
      </c>
      <c r="S18" s="56">
        <v>9789.33</v>
      </c>
      <c r="T18" s="56">
        <v>9655.31</v>
      </c>
      <c r="U18" s="56">
        <v>9388.02</v>
      </c>
      <c r="V18" s="56">
        <v>9752.7900000000009</v>
      </c>
      <c r="W18" s="56">
        <v>11018.96</v>
      </c>
      <c r="X18" s="56">
        <v>11676.68</v>
      </c>
      <c r="Y18" s="56">
        <v>11097.81</v>
      </c>
      <c r="Z18" s="56">
        <v>9855.94</v>
      </c>
      <c r="AA18" s="56">
        <v>8387.4500000000007</v>
      </c>
      <c r="AB18" s="56">
        <v>7108.31</v>
      </c>
      <c r="AC18" s="68"/>
      <c r="AE18" s="11">
        <f>+AC51</f>
        <v>6852226.0899999999</v>
      </c>
    </row>
    <row r="19" spans="2:31" ht="13" x14ac:dyDescent="0.3">
      <c r="B19" s="65" t="s">
        <v>35</v>
      </c>
      <c r="C19" s="4" t="s">
        <v>29</v>
      </c>
      <c r="D19" s="5">
        <v>20</v>
      </c>
      <c r="E19" s="56">
        <v>6560.69</v>
      </c>
      <c r="F19" s="56">
        <v>6094.8</v>
      </c>
      <c r="G19" s="56">
        <v>5861.44</v>
      </c>
      <c r="H19" s="56">
        <v>5811.94</v>
      </c>
      <c r="I19" s="56">
        <v>6267.19</v>
      </c>
      <c r="J19" s="56">
        <v>7710.91</v>
      </c>
      <c r="K19" s="56">
        <v>8816.7199999999993</v>
      </c>
      <c r="L19" s="56">
        <v>9039</v>
      </c>
      <c r="M19" s="56">
        <v>9385.3799999999992</v>
      </c>
      <c r="N19" s="56">
        <v>9742.59</v>
      </c>
      <c r="O19" s="56">
        <v>10378.6</v>
      </c>
      <c r="P19" s="56">
        <v>10990.83</v>
      </c>
      <c r="Q19" s="56">
        <v>10777.99</v>
      </c>
      <c r="R19" s="56">
        <v>10707.68</v>
      </c>
      <c r="S19" s="56">
        <v>10846.24</v>
      </c>
      <c r="T19" s="56">
        <v>10836.86</v>
      </c>
      <c r="U19" s="56">
        <v>10822.31</v>
      </c>
      <c r="V19" s="56">
        <v>11193.27</v>
      </c>
      <c r="W19" s="56">
        <v>12261.45</v>
      </c>
      <c r="X19" s="56">
        <v>12682.33</v>
      </c>
      <c r="Y19" s="56">
        <v>12013.78</v>
      </c>
      <c r="Z19" s="56">
        <v>10871.8</v>
      </c>
      <c r="AA19" s="56">
        <v>9220.5400000000009</v>
      </c>
      <c r="AB19" s="56">
        <v>7810.15</v>
      </c>
      <c r="AC19" s="66">
        <f>+SUM(E19:AB19)*D19+SUM(E20:AB20)*D20+SUM(E21:AB21)*D21+SUM(E22:AB22)*D22</f>
        <v>6641786.5399999991</v>
      </c>
      <c r="AE19" s="12">
        <f>SUM(AE7:AE18)</f>
        <v>80288991.910000011</v>
      </c>
    </row>
    <row r="20" spans="2:31" ht="12.5" x14ac:dyDescent="0.25">
      <c r="B20" s="65" t="s">
        <v>35</v>
      </c>
      <c r="C20" s="4" t="s">
        <v>30</v>
      </c>
      <c r="D20" s="5">
        <v>4</v>
      </c>
      <c r="E20" s="56">
        <v>6816.41</v>
      </c>
      <c r="F20" s="56">
        <v>6268.43</v>
      </c>
      <c r="G20" s="56">
        <v>5976.73</v>
      </c>
      <c r="H20" s="56">
        <v>5867.4</v>
      </c>
      <c r="I20" s="56">
        <v>6027.36</v>
      </c>
      <c r="J20" s="56">
        <v>6471.42</v>
      </c>
      <c r="K20" s="56">
        <v>7324.36</v>
      </c>
      <c r="L20" s="56">
        <v>8358.08</v>
      </c>
      <c r="M20" s="56">
        <v>9136.9</v>
      </c>
      <c r="N20" s="56">
        <v>9709.65</v>
      </c>
      <c r="O20" s="56">
        <v>10277.89</v>
      </c>
      <c r="P20" s="56">
        <v>10853.03</v>
      </c>
      <c r="Q20" s="56">
        <v>10863.14</v>
      </c>
      <c r="R20" s="56">
        <v>10568.27</v>
      </c>
      <c r="S20" s="56">
        <v>10339.959999999999</v>
      </c>
      <c r="T20" s="56">
        <v>10257.780000000001</v>
      </c>
      <c r="U20" s="56">
        <v>10276.18</v>
      </c>
      <c r="V20" s="56">
        <v>10636.83</v>
      </c>
      <c r="W20" s="56">
        <v>11652.65</v>
      </c>
      <c r="X20" s="56">
        <v>12138.09</v>
      </c>
      <c r="Y20" s="56">
        <v>11485.59</v>
      </c>
      <c r="Z20" s="56">
        <v>10614.6</v>
      </c>
      <c r="AA20" s="56">
        <v>9461.23</v>
      </c>
      <c r="AB20" s="56">
        <v>8256.92</v>
      </c>
      <c r="AC20" s="67"/>
    </row>
    <row r="21" spans="2:31" ht="12.5" x14ac:dyDescent="0.25">
      <c r="B21" s="65" t="s">
        <v>35</v>
      </c>
      <c r="C21" s="4" t="s">
        <v>31</v>
      </c>
      <c r="D21" s="5">
        <v>4</v>
      </c>
      <c r="E21" s="56">
        <v>7126.87</v>
      </c>
      <c r="F21" s="56">
        <v>6519.45</v>
      </c>
      <c r="G21" s="56">
        <v>6154.79</v>
      </c>
      <c r="H21" s="56">
        <v>5909.88</v>
      </c>
      <c r="I21" s="56">
        <v>5895.12</v>
      </c>
      <c r="J21" s="56">
        <v>5996.86</v>
      </c>
      <c r="K21" s="56">
        <v>6359.84</v>
      </c>
      <c r="L21" s="56">
        <v>7153.97</v>
      </c>
      <c r="M21" s="56">
        <v>8024.26</v>
      </c>
      <c r="N21" s="56">
        <v>8662.91</v>
      </c>
      <c r="O21" s="56">
        <v>9297.15</v>
      </c>
      <c r="P21" s="56">
        <v>9783.08</v>
      </c>
      <c r="Q21" s="56">
        <v>10041.43</v>
      </c>
      <c r="R21" s="56">
        <v>9873.43</v>
      </c>
      <c r="S21" s="56">
        <v>9649.64</v>
      </c>
      <c r="T21" s="56">
        <v>9458.5499999999993</v>
      </c>
      <c r="U21" s="56">
        <v>9510.33</v>
      </c>
      <c r="V21" s="56">
        <v>9792.06</v>
      </c>
      <c r="W21" s="56">
        <v>11320.67</v>
      </c>
      <c r="X21" s="56">
        <v>11754.71</v>
      </c>
      <c r="Y21" s="56">
        <v>11251.08</v>
      </c>
      <c r="Z21" s="56">
        <v>10213.56</v>
      </c>
      <c r="AA21" s="56">
        <v>8728.9699999999993</v>
      </c>
      <c r="AB21" s="56">
        <v>7416.08</v>
      </c>
      <c r="AC21" s="67"/>
    </row>
    <row r="22" spans="2:31" ht="12.5" x14ac:dyDescent="0.25">
      <c r="B22" s="65" t="s">
        <v>35</v>
      </c>
      <c r="C22" s="4" t="s">
        <v>32</v>
      </c>
      <c r="D22" s="5">
        <v>2</v>
      </c>
      <c r="E22" s="56">
        <v>6813.54</v>
      </c>
      <c r="F22" s="56">
        <v>6254.76</v>
      </c>
      <c r="G22" s="56">
        <v>5933.43</v>
      </c>
      <c r="H22" s="56">
        <v>5727.09</v>
      </c>
      <c r="I22" s="56">
        <v>5822.3</v>
      </c>
      <c r="J22" s="56">
        <v>5971.93</v>
      </c>
      <c r="K22" s="56">
        <v>6405.47</v>
      </c>
      <c r="L22" s="56">
        <v>7356.08</v>
      </c>
      <c r="M22" s="56">
        <v>8079.43</v>
      </c>
      <c r="N22" s="56">
        <v>8520.9699999999993</v>
      </c>
      <c r="O22" s="56">
        <v>8912.9699999999993</v>
      </c>
      <c r="P22" s="56">
        <v>9556.39</v>
      </c>
      <c r="Q22" s="56">
        <v>9884.3799999999992</v>
      </c>
      <c r="R22" s="56">
        <v>9691.3799999999992</v>
      </c>
      <c r="S22" s="56">
        <v>9421.33</v>
      </c>
      <c r="T22" s="56">
        <v>9362.6200000000008</v>
      </c>
      <c r="U22" s="56">
        <v>9325.4</v>
      </c>
      <c r="V22" s="56">
        <v>9734.8700000000008</v>
      </c>
      <c r="W22" s="56">
        <v>10763.74</v>
      </c>
      <c r="X22" s="56">
        <v>11300.08</v>
      </c>
      <c r="Y22" s="56">
        <v>10771.31</v>
      </c>
      <c r="Z22" s="56">
        <v>10148.23</v>
      </c>
      <c r="AA22" s="56">
        <v>9089.08</v>
      </c>
      <c r="AB22" s="56">
        <v>7934.41</v>
      </c>
      <c r="AC22" s="68"/>
    </row>
    <row r="23" spans="2:31" ht="12.5" x14ac:dyDescent="0.25">
      <c r="B23" s="65" t="s">
        <v>36</v>
      </c>
      <c r="C23" s="4" t="s">
        <v>29</v>
      </c>
      <c r="D23" s="5">
        <v>21</v>
      </c>
      <c r="E23" s="56">
        <v>6337.62</v>
      </c>
      <c r="F23" s="56">
        <v>6003.31</v>
      </c>
      <c r="G23" s="56">
        <v>5722.4</v>
      </c>
      <c r="H23" s="56">
        <v>5642.28</v>
      </c>
      <c r="I23" s="56">
        <v>6077.41</v>
      </c>
      <c r="J23" s="56">
        <v>7397.91</v>
      </c>
      <c r="K23" s="56">
        <v>8500.41</v>
      </c>
      <c r="L23" s="56">
        <v>8745.9</v>
      </c>
      <c r="M23" s="56">
        <v>9071.1299999999992</v>
      </c>
      <c r="N23" s="56">
        <v>9496.32</v>
      </c>
      <c r="O23" s="56">
        <v>10098.42</v>
      </c>
      <c r="P23" s="56">
        <v>10713.92</v>
      </c>
      <c r="Q23" s="56">
        <v>10510.25</v>
      </c>
      <c r="R23" s="56">
        <v>10417.82</v>
      </c>
      <c r="S23" s="56">
        <v>10573.62</v>
      </c>
      <c r="T23" s="56">
        <v>10570.47</v>
      </c>
      <c r="U23" s="56">
        <v>10386.16</v>
      </c>
      <c r="V23" s="56">
        <v>10877.24</v>
      </c>
      <c r="W23" s="56">
        <v>11929.67</v>
      </c>
      <c r="X23" s="56">
        <v>12251.31</v>
      </c>
      <c r="Y23" s="56">
        <v>11688.54</v>
      </c>
      <c r="Z23" s="56">
        <v>10454.65</v>
      </c>
      <c r="AA23" s="56">
        <v>8964.65</v>
      </c>
      <c r="AB23" s="56">
        <v>7587.17</v>
      </c>
      <c r="AC23" s="66">
        <f>+SUM(E23:AB23)*D23+SUM(E24:AB24)*D24+SUM(E25:AB25)*D25+SUM(E26:AB26)*D26</f>
        <v>6656737.3600000013</v>
      </c>
    </row>
    <row r="24" spans="2:31" ht="12.5" x14ac:dyDescent="0.25">
      <c r="B24" s="65" t="s">
        <v>36</v>
      </c>
      <c r="C24" s="4" t="s">
        <v>30</v>
      </c>
      <c r="D24" s="5">
        <v>4</v>
      </c>
      <c r="E24" s="56">
        <v>6697.1</v>
      </c>
      <c r="F24" s="56">
        <v>6171.61</v>
      </c>
      <c r="G24" s="56">
        <v>5860.13</v>
      </c>
      <c r="H24" s="56">
        <v>5737.86</v>
      </c>
      <c r="I24" s="56">
        <v>5900.22</v>
      </c>
      <c r="J24" s="56">
        <v>6287.82</v>
      </c>
      <c r="K24" s="56">
        <v>7116.23</v>
      </c>
      <c r="L24" s="56">
        <v>8211.36</v>
      </c>
      <c r="M24" s="56">
        <v>9009.65</v>
      </c>
      <c r="N24" s="56">
        <v>9599.2999999999993</v>
      </c>
      <c r="O24" s="56">
        <v>10104.5</v>
      </c>
      <c r="P24" s="56">
        <v>10532.68</v>
      </c>
      <c r="Q24" s="56">
        <v>10528.41</v>
      </c>
      <c r="R24" s="56">
        <v>10240.26</v>
      </c>
      <c r="S24" s="56">
        <v>10049.31</v>
      </c>
      <c r="T24" s="56">
        <v>9849.01</v>
      </c>
      <c r="U24" s="56">
        <v>9916.33</v>
      </c>
      <c r="V24" s="56">
        <v>10303.69</v>
      </c>
      <c r="W24" s="56">
        <v>11163.41</v>
      </c>
      <c r="X24" s="56">
        <v>11522.52</v>
      </c>
      <c r="Y24" s="56">
        <v>10956.12</v>
      </c>
      <c r="Z24" s="56">
        <v>10061.34</v>
      </c>
      <c r="AA24" s="56">
        <v>9024.75</v>
      </c>
      <c r="AB24" s="56">
        <v>7843.65</v>
      </c>
      <c r="AC24" s="67"/>
    </row>
    <row r="25" spans="2:31" ht="12.5" x14ac:dyDescent="0.25">
      <c r="B25" s="65" t="s">
        <v>36</v>
      </c>
      <c r="C25" s="4" t="s">
        <v>31</v>
      </c>
      <c r="D25" s="5">
        <v>5</v>
      </c>
      <c r="E25" s="56">
        <v>6722.16</v>
      </c>
      <c r="F25" s="56">
        <v>6182.2</v>
      </c>
      <c r="G25" s="56">
        <v>5852.57</v>
      </c>
      <c r="H25" s="56">
        <v>5634.82</v>
      </c>
      <c r="I25" s="56">
        <v>5683.3</v>
      </c>
      <c r="J25" s="56">
        <v>5714.35</v>
      </c>
      <c r="K25" s="56">
        <v>6197.37</v>
      </c>
      <c r="L25" s="56">
        <v>6987.05</v>
      </c>
      <c r="M25" s="56">
        <v>7818.87</v>
      </c>
      <c r="N25" s="56">
        <v>8432.16</v>
      </c>
      <c r="O25" s="56">
        <v>8946.68</v>
      </c>
      <c r="P25" s="56">
        <v>9347.81</v>
      </c>
      <c r="Q25" s="56">
        <v>9483.17</v>
      </c>
      <c r="R25" s="56">
        <v>9368.48</v>
      </c>
      <c r="S25" s="56">
        <v>9029.51</v>
      </c>
      <c r="T25" s="56">
        <v>8880.0499999999993</v>
      </c>
      <c r="U25" s="56">
        <v>8938.1200000000008</v>
      </c>
      <c r="V25" s="56">
        <v>9425.11</v>
      </c>
      <c r="W25" s="56">
        <v>10484.82</v>
      </c>
      <c r="X25" s="56">
        <v>11005.99</v>
      </c>
      <c r="Y25" s="56">
        <v>10605.25</v>
      </c>
      <c r="Z25" s="56">
        <v>9755.66</v>
      </c>
      <c r="AA25" s="56">
        <v>8405.33</v>
      </c>
      <c r="AB25" s="56">
        <v>7255.45</v>
      </c>
      <c r="AC25" s="67"/>
    </row>
    <row r="26" spans="2:31" ht="12.5" x14ac:dyDescent="0.25">
      <c r="B26" s="65" t="s">
        <v>36</v>
      </c>
      <c r="C26" s="4" t="s">
        <v>32</v>
      </c>
      <c r="D26" s="5">
        <v>1</v>
      </c>
      <c r="E26" s="56">
        <v>6559.77</v>
      </c>
      <c r="F26" s="56">
        <v>6052.04</v>
      </c>
      <c r="G26" s="56">
        <v>5781.55</v>
      </c>
      <c r="H26" s="56">
        <v>5627.05</v>
      </c>
      <c r="I26" s="56">
        <v>5728.54</v>
      </c>
      <c r="J26" s="56">
        <v>5921.54</v>
      </c>
      <c r="K26" s="56">
        <v>6376.46</v>
      </c>
      <c r="L26" s="56">
        <v>7235.41</v>
      </c>
      <c r="M26" s="56">
        <v>8007.14</v>
      </c>
      <c r="N26" s="56">
        <v>8782.39</v>
      </c>
      <c r="O26" s="56">
        <v>9413.2199999999993</v>
      </c>
      <c r="P26" s="56">
        <v>10193.35</v>
      </c>
      <c r="Q26" s="56">
        <v>10426.43</v>
      </c>
      <c r="R26" s="56">
        <v>10154.41</v>
      </c>
      <c r="S26" s="56">
        <v>9683.42</v>
      </c>
      <c r="T26" s="56">
        <v>9603.6200000000008</v>
      </c>
      <c r="U26" s="56">
        <v>9444.36</v>
      </c>
      <c r="V26" s="56">
        <v>10046.98</v>
      </c>
      <c r="W26" s="56">
        <v>11095.77</v>
      </c>
      <c r="X26" s="56">
        <v>11532.38</v>
      </c>
      <c r="Y26" s="56">
        <v>10997</v>
      </c>
      <c r="Z26" s="56">
        <v>10058.48</v>
      </c>
      <c r="AA26" s="56">
        <v>8662.99</v>
      </c>
      <c r="AB26" s="56">
        <v>7432.44</v>
      </c>
      <c r="AC26" s="68"/>
    </row>
    <row r="27" spans="2:31" ht="12.5" x14ac:dyDescent="0.25">
      <c r="B27" s="65" t="s">
        <v>37</v>
      </c>
      <c r="C27" s="4" t="s">
        <v>29</v>
      </c>
      <c r="D27" s="5">
        <v>20</v>
      </c>
      <c r="E27" s="56">
        <v>6445.51</v>
      </c>
      <c r="F27" s="56">
        <v>5994.33</v>
      </c>
      <c r="G27" s="56">
        <v>5772.71</v>
      </c>
      <c r="H27" s="56">
        <v>5705.45</v>
      </c>
      <c r="I27" s="56">
        <v>6112.18</v>
      </c>
      <c r="J27" s="56">
        <v>7216.25</v>
      </c>
      <c r="K27" s="56">
        <v>8399.89</v>
      </c>
      <c r="L27" s="56">
        <v>9033.8700000000008</v>
      </c>
      <c r="M27" s="56">
        <v>9442.14</v>
      </c>
      <c r="N27" s="56">
        <v>9972.92</v>
      </c>
      <c r="O27" s="56">
        <v>10623.14</v>
      </c>
      <c r="P27" s="56">
        <v>11257.97</v>
      </c>
      <c r="Q27" s="56">
        <v>11103.81</v>
      </c>
      <c r="R27" s="56">
        <v>10892.54</v>
      </c>
      <c r="S27" s="56">
        <v>10948.65</v>
      </c>
      <c r="T27" s="56">
        <v>10851.41</v>
      </c>
      <c r="U27" s="56">
        <v>10812.23</v>
      </c>
      <c r="V27" s="56">
        <v>11056.71</v>
      </c>
      <c r="W27" s="56">
        <v>12023.23</v>
      </c>
      <c r="X27" s="56">
        <v>12551.55</v>
      </c>
      <c r="Y27" s="56">
        <v>11906.37</v>
      </c>
      <c r="Z27" s="56">
        <v>10780.21</v>
      </c>
      <c r="AA27" s="56">
        <v>9171.18</v>
      </c>
      <c r="AB27" s="56">
        <v>7718.78</v>
      </c>
      <c r="AC27" s="66">
        <f>+SUM(E27:AB27)*D27+SUM(E28:AB28)*D28+SUM(E29:AB29)*D29+SUM(E30:AB30)*D30</f>
        <v>6620844.0599999996</v>
      </c>
    </row>
    <row r="28" spans="2:31" ht="12.5" x14ac:dyDescent="0.25">
      <c r="B28" s="65" t="s">
        <v>37</v>
      </c>
      <c r="C28" s="4" t="s">
        <v>30</v>
      </c>
      <c r="D28" s="5">
        <v>4</v>
      </c>
      <c r="E28" s="56">
        <v>6673.59</v>
      </c>
      <c r="F28" s="56">
        <v>6160.41</v>
      </c>
      <c r="G28" s="56">
        <v>5869.07</v>
      </c>
      <c r="H28" s="56">
        <v>5731.64</v>
      </c>
      <c r="I28" s="56">
        <v>5938.57</v>
      </c>
      <c r="J28" s="56">
        <v>6376.85</v>
      </c>
      <c r="K28" s="56">
        <v>7317.73</v>
      </c>
      <c r="L28" s="56">
        <v>8552.5</v>
      </c>
      <c r="M28" s="56">
        <v>9377.1299999999992</v>
      </c>
      <c r="N28" s="56">
        <v>9964.01</v>
      </c>
      <c r="O28" s="56">
        <v>10534.64</v>
      </c>
      <c r="P28" s="56">
        <v>10987.24</v>
      </c>
      <c r="Q28" s="56">
        <v>10993.88</v>
      </c>
      <c r="R28" s="56">
        <v>10627.7</v>
      </c>
      <c r="S28" s="56">
        <v>10298.620000000001</v>
      </c>
      <c r="T28" s="56">
        <v>10155.120000000001</v>
      </c>
      <c r="U28" s="56">
        <v>10066.85</v>
      </c>
      <c r="V28" s="56">
        <v>10471.530000000001</v>
      </c>
      <c r="W28" s="56">
        <v>11390.78</v>
      </c>
      <c r="X28" s="56">
        <v>12023.63</v>
      </c>
      <c r="Y28" s="56">
        <v>11471.94</v>
      </c>
      <c r="Z28" s="56">
        <v>10571.86</v>
      </c>
      <c r="AA28" s="56">
        <v>9392.27</v>
      </c>
      <c r="AB28" s="56">
        <v>8118.4</v>
      </c>
      <c r="AC28" s="67"/>
    </row>
    <row r="29" spans="2:31" ht="12.5" x14ac:dyDescent="0.25">
      <c r="B29" s="65" t="s">
        <v>37</v>
      </c>
      <c r="C29" s="4" t="s">
        <v>31</v>
      </c>
      <c r="D29" s="5">
        <v>4</v>
      </c>
      <c r="E29" s="56">
        <v>7015.9</v>
      </c>
      <c r="F29" s="56">
        <v>6404.99</v>
      </c>
      <c r="G29" s="56">
        <v>6047.2</v>
      </c>
      <c r="H29" s="56">
        <v>5862.81</v>
      </c>
      <c r="I29" s="56">
        <v>5838.45</v>
      </c>
      <c r="J29" s="56">
        <v>5903.72</v>
      </c>
      <c r="K29" s="56">
        <v>6340.89</v>
      </c>
      <c r="L29" s="56">
        <v>7279.44</v>
      </c>
      <c r="M29" s="56">
        <v>8201.9500000000007</v>
      </c>
      <c r="N29" s="56">
        <v>8943.9</v>
      </c>
      <c r="O29" s="56">
        <v>9444.9699999999993</v>
      </c>
      <c r="P29" s="56">
        <v>9893.7999999999993</v>
      </c>
      <c r="Q29" s="56">
        <v>10011.15</v>
      </c>
      <c r="R29" s="56">
        <v>9795.85</v>
      </c>
      <c r="S29" s="56">
        <v>9430.48</v>
      </c>
      <c r="T29" s="56">
        <v>9308.81</v>
      </c>
      <c r="U29" s="56">
        <v>9304.7199999999993</v>
      </c>
      <c r="V29" s="56">
        <v>9686.8700000000008</v>
      </c>
      <c r="W29" s="56">
        <v>10639.37</v>
      </c>
      <c r="X29" s="56">
        <v>11355.19</v>
      </c>
      <c r="Y29" s="56">
        <v>10977.87</v>
      </c>
      <c r="Z29" s="56">
        <v>10123.59</v>
      </c>
      <c r="AA29" s="56">
        <v>8875.4</v>
      </c>
      <c r="AB29" s="56">
        <v>7590.72</v>
      </c>
      <c r="AC29" s="67"/>
    </row>
    <row r="30" spans="2:31" ht="12.5" x14ac:dyDescent="0.25">
      <c r="B30" s="65" t="s">
        <v>37</v>
      </c>
      <c r="C30" s="4" t="s">
        <v>32</v>
      </c>
      <c r="D30" s="5">
        <v>2</v>
      </c>
      <c r="E30" s="56">
        <v>6628.24</v>
      </c>
      <c r="F30" s="56">
        <v>6118.71</v>
      </c>
      <c r="G30" s="56">
        <v>5821.2</v>
      </c>
      <c r="H30" s="56">
        <v>5677.33</v>
      </c>
      <c r="I30" s="56">
        <v>5748.04</v>
      </c>
      <c r="J30" s="56">
        <v>5912</v>
      </c>
      <c r="K30" s="56">
        <v>6273.06</v>
      </c>
      <c r="L30" s="56">
        <v>7181.09</v>
      </c>
      <c r="M30" s="56">
        <v>7884.86</v>
      </c>
      <c r="N30" s="56">
        <v>8584</v>
      </c>
      <c r="O30" s="56">
        <v>9497.6299999999992</v>
      </c>
      <c r="P30" s="56">
        <v>10145.57</v>
      </c>
      <c r="Q30" s="56">
        <v>10470.67</v>
      </c>
      <c r="R30" s="56">
        <v>10180.200000000001</v>
      </c>
      <c r="S30" s="56">
        <v>9869.6299999999992</v>
      </c>
      <c r="T30" s="56">
        <v>9672.14</v>
      </c>
      <c r="U30" s="56">
        <v>9574.02</v>
      </c>
      <c r="V30" s="56">
        <v>9950.7800000000007</v>
      </c>
      <c r="W30" s="56">
        <v>11010.25</v>
      </c>
      <c r="X30" s="56">
        <v>11766.51</v>
      </c>
      <c r="Y30" s="56">
        <v>11283.26</v>
      </c>
      <c r="Z30" s="56">
        <v>10294.049999999999</v>
      </c>
      <c r="AA30" s="56">
        <v>8818.2199999999993</v>
      </c>
      <c r="AB30" s="56">
        <v>7442.27</v>
      </c>
      <c r="AC30" s="68"/>
    </row>
    <row r="31" spans="2:31" ht="12.5" x14ac:dyDescent="0.25">
      <c r="B31" s="65" t="s">
        <v>38</v>
      </c>
      <c r="C31" s="4" t="s">
        <v>29</v>
      </c>
      <c r="D31" s="5">
        <v>19</v>
      </c>
      <c r="E31" s="56">
        <v>6437.94</v>
      </c>
      <c r="F31" s="56">
        <v>5985.9</v>
      </c>
      <c r="G31" s="56">
        <v>5759.49</v>
      </c>
      <c r="H31" s="56">
        <v>5705.46</v>
      </c>
      <c r="I31" s="56">
        <v>6112.46</v>
      </c>
      <c r="J31" s="56">
        <v>7377.86</v>
      </c>
      <c r="K31" s="56">
        <v>8504.06</v>
      </c>
      <c r="L31" s="56">
        <v>8844.8799999999992</v>
      </c>
      <c r="M31" s="56">
        <v>9220.5</v>
      </c>
      <c r="N31" s="56">
        <v>9713.6299999999992</v>
      </c>
      <c r="O31" s="56">
        <v>10257.030000000001</v>
      </c>
      <c r="P31" s="56">
        <v>10992.88</v>
      </c>
      <c r="Q31" s="56">
        <v>10761.31</v>
      </c>
      <c r="R31" s="56">
        <v>10601.88</v>
      </c>
      <c r="S31" s="56">
        <v>10688.62</v>
      </c>
      <c r="T31" s="56">
        <v>10618.37</v>
      </c>
      <c r="U31" s="56">
        <v>10512.11</v>
      </c>
      <c r="V31" s="56">
        <v>10784.06</v>
      </c>
      <c r="W31" s="56">
        <v>11580.52</v>
      </c>
      <c r="X31" s="56">
        <v>12403.68</v>
      </c>
      <c r="Y31" s="56">
        <v>11830.72</v>
      </c>
      <c r="Z31" s="56">
        <v>10745.05</v>
      </c>
      <c r="AA31" s="56">
        <v>9097.8799999999992</v>
      </c>
      <c r="AB31" s="56">
        <v>7698.34</v>
      </c>
      <c r="AC31" s="66">
        <f>+SUM(E31:AB31)*D31+SUM(E32:AB32)*D32+SUM(E33:AB33)*D33+SUM(E34:AB34)*D34</f>
        <v>6693310.1299999999</v>
      </c>
    </row>
    <row r="32" spans="2:31" ht="12.5" x14ac:dyDescent="0.25">
      <c r="B32" s="65" t="s">
        <v>38</v>
      </c>
      <c r="C32" s="4" t="s">
        <v>30</v>
      </c>
      <c r="D32" s="5">
        <v>5</v>
      </c>
      <c r="E32" s="56">
        <v>6733.86</v>
      </c>
      <c r="F32" s="56">
        <v>6216.25</v>
      </c>
      <c r="G32" s="56">
        <v>5909.62</v>
      </c>
      <c r="H32" s="56">
        <v>5800.7</v>
      </c>
      <c r="I32" s="56">
        <v>5955.87</v>
      </c>
      <c r="J32" s="56">
        <v>6358.01</v>
      </c>
      <c r="K32" s="56">
        <v>7211.67</v>
      </c>
      <c r="L32" s="56">
        <v>8371.0499999999993</v>
      </c>
      <c r="M32" s="56">
        <v>9199.4</v>
      </c>
      <c r="N32" s="56">
        <v>9791.36</v>
      </c>
      <c r="O32" s="56">
        <v>10246.52</v>
      </c>
      <c r="P32" s="56">
        <v>10771.03</v>
      </c>
      <c r="Q32" s="56">
        <v>10822.44</v>
      </c>
      <c r="R32" s="56">
        <v>10484.83</v>
      </c>
      <c r="S32" s="56">
        <v>10206.67</v>
      </c>
      <c r="T32" s="56">
        <v>9972.52</v>
      </c>
      <c r="U32" s="56">
        <v>9836.16</v>
      </c>
      <c r="V32" s="56">
        <v>10252.280000000001</v>
      </c>
      <c r="W32" s="56">
        <v>10988.97</v>
      </c>
      <c r="X32" s="56">
        <v>11761.58</v>
      </c>
      <c r="Y32" s="56">
        <v>11195.71</v>
      </c>
      <c r="Z32" s="56">
        <v>10286.15</v>
      </c>
      <c r="AA32" s="56">
        <v>9083.49</v>
      </c>
      <c r="AB32" s="56">
        <v>7921.75</v>
      </c>
      <c r="AC32" s="67"/>
    </row>
    <row r="33" spans="2:29" ht="12.5" x14ac:dyDescent="0.25">
      <c r="B33" s="65" t="s">
        <v>38</v>
      </c>
      <c r="C33" s="4" t="s">
        <v>31</v>
      </c>
      <c r="D33" s="5">
        <v>4</v>
      </c>
      <c r="E33" s="56">
        <v>6696.22</v>
      </c>
      <c r="F33" s="56">
        <v>6143.72</v>
      </c>
      <c r="G33" s="56">
        <v>5810.26</v>
      </c>
      <c r="H33" s="56">
        <v>5645.29</v>
      </c>
      <c r="I33" s="56">
        <v>5620.65</v>
      </c>
      <c r="J33" s="56">
        <v>5695.64</v>
      </c>
      <c r="K33" s="56">
        <v>6132.07</v>
      </c>
      <c r="L33" s="56">
        <v>6958.82</v>
      </c>
      <c r="M33" s="56">
        <v>7870.26</v>
      </c>
      <c r="N33" s="56">
        <v>8502.89</v>
      </c>
      <c r="O33" s="56">
        <v>8994.7000000000007</v>
      </c>
      <c r="P33" s="56">
        <v>9609.7900000000009</v>
      </c>
      <c r="Q33" s="56">
        <v>9726.85</v>
      </c>
      <c r="R33" s="56">
        <v>9602.39</v>
      </c>
      <c r="S33" s="56">
        <v>9330.7999999999993</v>
      </c>
      <c r="T33" s="56">
        <v>9166.86</v>
      </c>
      <c r="U33" s="56">
        <v>9075.56</v>
      </c>
      <c r="V33" s="56">
        <v>9399.8799999999992</v>
      </c>
      <c r="W33" s="56">
        <v>10329.09</v>
      </c>
      <c r="X33" s="56">
        <v>11304.32</v>
      </c>
      <c r="Y33" s="56">
        <v>10951.78</v>
      </c>
      <c r="Z33" s="56">
        <v>10011.27</v>
      </c>
      <c r="AA33" s="56">
        <v>8554.65</v>
      </c>
      <c r="AB33" s="56">
        <v>7261.69</v>
      </c>
      <c r="AC33" s="67"/>
    </row>
    <row r="34" spans="2:29" ht="12.5" x14ac:dyDescent="0.25">
      <c r="B34" s="65" t="s">
        <v>38</v>
      </c>
      <c r="C34" s="4" t="s">
        <v>32</v>
      </c>
      <c r="D34" s="5">
        <v>3</v>
      </c>
      <c r="E34" s="56">
        <v>6953.98</v>
      </c>
      <c r="F34" s="56">
        <v>6385.45</v>
      </c>
      <c r="G34" s="56">
        <v>6008.16</v>
      </c>
      <c r="H34" s="56">
        <v>5752.29</v>
      </c>
      <c r="I34" s="56">
        <v>5777.08</v>
      </c>
      <c r="J34" s="56">
        <v>5785.47</v>
      </c>
      <c r="K34" s="56">
        <v>6247.54</v>
      </c>
      <c r="L34" s="56">
        <v>7106.09</v>
      </c>
      <c r="M34" s="56">
        <v>8043.87</v>
      </c>
      <c r="N34" s="56">
        <v>8591.56</v>
      </c>
      <c r="O34" s="56">
        <v>8899.26</v>
      </c>
      <c r="P34" s="56">
        <v>9601.75</v>
      </c>
      <c r="Q34" s="56">
        <v>9807.09</v>
      </c>
      <c r="R34" s="56">
        <v>9691.2900000000009</v>
      </c>
      <c r="S34" s="56">
        <v>9211.92</v>
      </c>
      <c r="T34" s="56">
        <v>9055.9500000000007</v>
      </c>
      <c r="U34" s="56">
        <v>9008.61</v>
      </c>
      <c r="V34" s="56">
        <v>9392.61</v>
      </c>
      <c r="W34" s="56">
        <v>10238.58</v>
      </c>
      <c r="X34" s="56">
        <v>11302.79</v>
      </c>
      <c r="Y34" s="56">
        <v>11063.73</v>
      </c>
      <c r="Z34" s="56">
        <v>10083.209999999999</v>
      </c>
      <c r="AA34" s="56">
        <v>8661.02</v>
      </c>
      <c r="AB34" s="56">
        <v>7457.67</v>
      </c>
      <c r="AC34" s="68"/>
    </row>
    <row r="35" spans="2:29" ht="12.5" x14ac:dyDescent="0.25">
      <c r="B35" s="65" t="s">
        <v>39</v>
      </c>
      <c r="C35" s="4" t="s">
        <v>29</v>
      </c>
      <c r="D35" s="5">
        <v>21</v>
      </c>
      <c r="E35" s="56">
        <v>6523.82</v>
      </c>
      <c r="F35" s="56">
        <v>6043.91</v>
      </c>
      <c r="G35" s="56">
        <v>5820.89</v>
      </c>
      <c r="H35" s="56">
        <v>5756.17</v>
      </c>
      <c r="I35" s="56">
        <v>6212.91</v>
      </c>
      <c r="J35" s="56">
        <v>7640.63</v>
      </c>
      <c r="K35" s="56">
        <v>8842.73</v>
      </c>
      <c r="L35" s="56">
        <v>9061.9699999999993</v>
      </c>
      <c r="M35" s="56">
        <v>9347.56</v>
      </c>
      <c r="N35" s="56">
        <v>9763.8700000000008</v>
      </c>
      <c r="O35" s="56">
        <v>10334.879999999999</v>
      </c>
      <c r="P35" s="56">
        <v>10953.31</v>
      </c>
      <c r="Q35" s="56">
        <v>10760.21</v>
      </c>
      <c r="R35" s="56">
        <v>10626.42</v>
      </c>
      <c r="S35" s="56">
        <v>10754.97</v>
      </c>
      <c r="T35" s="56">
        <v>10711.63</v>
      </c>
      <c r="U35" s="56">
        <v>10660.1</v>
      </c>
      <c r="V35" s="56">
        <v>10992.47</v>
      </c>
      <c r="W35" s="56">
        <v>11987</v>
      </c>
      <c r="X35" s="56">
        <v>12659.37</v>
      </c>
      <c r="Y35" s="56">
        <v>12059.62</v>
      </c>
      <c r="Z35" s="56">
        <v>10898.9</v>
      </c>
      <c r="AA35" s="56">
        <v>9184.42</v>
      </c>
      <c r="AB35" s="56">
        <v>7777.49</v>
      </c>
      <c r="AC35" s="66">
        <f>+SUM(E35:AB35)*D35+SUM(E36:AB36)*D36+SUM(E37:AB37)*D37+SUM(E38:AB38)*D38</f>
        <v>6816441.6599999983</v>
      </c>
    </row>
    <row r="36" spans="2:29" ht="12.5" x14ac:dyDescent="0.25">
      <c r="B36" s="65" t="s">
        <v>39</v>
      </c>
      <c r="C36" s="4" t="s">
        <v>30</v>
      </c>
      <c r="D36" s="5">
        <v>3</v>
      </c>
      <c r="E36" s="56">
        <v>6821.71</v>
      </c>
      <c r="F36" s="56">
        <v>6300.44</v>
      </c>
      <c r="G36" s="56">
        <v>6001.73</v>
      </c>
      <c r="H36" s="56">
        <v>5856.86</v>
      </c>
      <c r="I36" s="56">
        <v>6017.92</v>
      </c>
      <c r="J36" s="56">
        <v>6451.72</v>
      </c>
      <c r="K36" s="56">
        <v>7372.44</v>
      </c>
      <c r="L36" s="56">
        <v>8517.17</v>
      </c>
      <c r="M36" s="56">
        <v>9409</v>
      </c>
      <c r="N36" s="56">
        <v>9910.6</v>
      </c>
      <c r="O36" s="56">
        <v>10360</v>
      </c>
      <c r="P36" s="56">
        <v>10823.13</v>
      </c>
      <c r="Q36" s="56">
        <v>10843.75</v>
      </c>
      <c r="R36" s="56">
        <v>10669.12</v>
      </c>
      <c r="S36" s="56">
        <v>10332.24</v>
      </c>
      <c r="T36" s="56">
        <v>10158.31</v>
      </c>
      <c r="U36" s="56">
        <v>10066.85</v>
      </c>
      <c r="V36" s="56">
        <v>10538.04</v>
      </c>
      <c r="W36" s="56">
        <v>11458.92</v>
      </c>
      <c r="X36" s="56">
        <v>11992.07</v>
      </c>
      <c r="Y36" s="56">
        <v>11369.42</v>
      </c>
      <c r="Z36" s="56">
        <v>10455.4</v>
      </c>
      <c r="AA36" s="56">
        <v>9138.81</v>
      </c>
      <c r="AB36" s="56">
        <v>7985.67</v>
      </c>
      <c r="AC36" s="67"/>
    </row>
    <row r="37" spans="2:29" ht="12.5" x14ac:dyDescent="0.25">
      <c r="B37" s="65" t="s">
        <v>39</v>
      </c>
      <c r="C37" s="4" t="s">
        <v>31</v>
      </c>
      <c r="D37" s="5">
        <v>5</v>
      </c>
      <c r="E37" s="56">
        <v>6857.5</v>
      </c>
      <c r="F37" s="56">
        <v>6310.46</v>
      </c>
      <c r="G37" s="56">
        <v>5950.97</v>
      </c>
      <c r="H37" s="56">
        <v>5757.42</v>
      </c>
      <c r="I37" s="56">
        <v>5751.96</v>
      </c>
      <c r="J37" s="56">
        <v>5908.23</v>
      </c>
      <c r="K37" s="56">
        <v>6239.33</v>
      </c>
      <c r="L37" s="56">
        <v>7111.74</v>
      </c>
      <c r="M37" s="56">
        <v>8003.6</v>
      </c>
      <c r="N37" s="56">
        <v>8687.61</v>
      </c>
      <c r="O37" s="56">
        <v>9205.41</v>
      </c>
      <c r="P37" s="56">
        <v>9774.81</v>
      </c>
      <c r="Q37" s="56">
        <v>9963.48</v>
      </c>
      <c r="R37" s="56">
        <v>9757.2900000000009</v>
      </c>
      <c r="S37" s="56">
        <v>9440.16</v>
      </c>
      <c r="T37" s="56">
        <v>9304.9500000000007</v>
      </c>
      <c r="U37" s="56">
        <v>9320.06</v>
      </c>
      <c r="V37" s="56">
        <v>9697.1</v>
      </c>
      <c r="W37" s="56">
        <v>10783.19</v>
      </c>
      <c r="X37" s="56">
        <v>11512.4</v>
      </c>
      <c r="Y37" s="56">
        <v>11078.6</v>
      </c>
      <c r="Z37" s="56">
        <v>10059.57</v>
      </c>
      <c r="AA37" s="56">
        <v>8654.08</v>
      </c>
      <c r="AB37" s="56">
        <v>7432.95</v>
      </c>
      <c r="AC37" s="67"/>
    </row>
    <row r="38" spans="2:29" ht="12.5" x14ac:dyDescent="0.25">
      <c r="B38" s="65" t="s">
        <v>39</v>
      </c>
      <c r="C38" s="4" t="s">
        <v>32</v>
      </c>
      <c r="D38" s="5">
        <v>2</v>
      </c>
      <c r="E38" s="56">
        <v>6644.81</v>
      </c>
      <c r="F38" s="56">
        <v>6104.2</v>
      </c>
      <c r="G38" s="56">
        <v>5843.7</v>
      </c>
      <c r="H38" s="56">
        <v>5732.07</v>
      </c>
      <c r="I38" s="56">
        <v>5864.79</v>
      </c>
      <c r="J38" s="56">
        <v>6105.37</v>
      </c>
      <c r="K38" s="56">
        <v>6501.79</v>
      </c>
      <c r="L38" s="56">
        <v>7337.45</v>
      </c>
      <c r="M38" s="56">
        <v>8125.83</v>
      </c>
      <c r="N38" s="56">
        <v>8788.68</v>
      </c>
      <c r="O38" s="56">
        <v>9525.02</v>
      </c>
      <c r="P38" s="56">
        <v>10057.950000000001</v>
      </c>
      <c r="Q38" s="56">
        <v>10178.959999999999</v>
      </c>
      <c r="R38" s="56">
        <v>10187.52</v>
      </c>
      <c r="S38" s="56">
        <v>9933.6299999999992</v>
      </c>
      <c r="T38" s="56">
        <v>9651.26</v>
      </c>
      <c r="U38" s="56">
        <v>9733.4500000000007</v>
      </c>
      <c r="V38" s="56">
        <v>10275.94</v>
      </c>
      <c r="W38" s="56">
        <v>11228.99</v>
      </c>
      <c r="X38" s="56">
        <v>11849.2</v>
      </c>
      <c r="Y38" s="56">
        <v>11269.06</v>
      </c>
      <c r="Z38" s="56">
        <v>10136.9</v>
      </c>
      <c r="AA38" s="56">
        <v>8659.91</v>
      </c>
      <c r="AB38" s="56">
        <v>7360.07</v>
      </c>
      <c r="AC38" s="68"/>
    </row>
    <row r="39" spans="2:29" ht="12.5" x14ac:dyDescent="0.25">
      <c r="B39" s="65" t="s">
        <v>40</v>
      </c>
      <c r="C39" s="4" t="s">
        <v>29</v>
      </c>
      <c r="D39" s="5">
        <v>22</v>
      </c>
      <c r="E39" s="56">
        <v>6489.77</v>
      </c>
      <c r="F39" s="56">
        <v>6040.29</v>
      </c>
      <c r="G39" s="56">
        <v>5828.59</v>
      </c>
      <c r="H39" s="56">
        <v>5736.74</v>
      </c>
      <c r="I39" s="56">
        <v>6191.73</v>
      </c>
      <c r="J39" s="56">
        <v>7543.47</v>
      </c>
      <c r="K39" s="56">
        <v>8778.6299999999992</v>
      </c>
      <c r="L39" s="56">
        <v>9022.9699999999993</v>
      </c>
      <c r="M39" s="56">
        <v>9322.6</v>
      </c>
      <c r="N39" s="56">
        <v>9770.18</v>
      </c>
      <c r="O39" s="56">
        <v>10357.86</v>
      </c>
      <c r="P39" s="56">
        <v>11028.9</v>
      </c>
      <c r="Q39" s="56">
        <v>10817.08</v>
      </c>
      <c r="R39" s="56">
        <v>10630.97</v>
      </c>
      <c r="S39" s="56">
        <v>10762.49</v>
      </c>
      <c r="T39" s="56">
        <v>10757.79</v>
      </c>
      <c r="U39" s="56">
        <v>10688.51</v>
      </c>
      <c r="V39" s="56">
        <v>11122.92</v>
      </c>
      <c r="W39" s="56">
        <v>12332.19</v>
      </c>
      <c r="X39" s="56">
        <v>12605.83</v>
      </c>
      <c r="Y39" s="56">
        <v>11954.64</v>
      </c>
      <c r="Z39" s="56">
        <v>10837.58</v>
      </c>
      <c r="AA39" s="56">
        <v>9135.86</v>
      </c>
      <c r="AB39" s="56">
        <v>7706.91</v>
      </c>
      <c r="AC39" s="66">
        <f>+SUM(E39:AB39)*D39+SUM(E40:AB40)*D40+SUM(E41:AB41)*D41+SUM(E42:AB42)*D42</f>
        <v>6642191.120000001</v>
      </c>
    </row>
    <row r="40" spans="2:29" ht="12.5" x14ac:dyDescent="0.25">
      <c r="B40" s="65" t="s">
        <v>40</v>
      </c>
      <c r="C40" s="4" t="s">
        <v>30</v>
      </c>
      <c r="D40" s="5">
        <v>4</v>
      </c>
      <c r="E40" s="56">
        <v>6736.69</v>
      </c>
      <c r="F40" s="56">
        <v>6182.53</v>
      </c>
      <c r="G40" s="56">
        <v>5912.66</v>
      </c>
      <c r="H40" s="56">
        <v>5785.5</v>
      </c>
      <c r="I40" s="56">
        <v>5968.35</v>
      </c>
      <c r="J40" s="56">
        <v>6474.22</v>
      </c>
      <c r="K40" s="56">
        <v>7371.65</v>
      </c>
      <c r="L40" s="56">
        <v>8512.42</v>
      </c>
      <c r="M40" s="56">
        <v>9328.31</v>
      </c>
      <c r="N40" s="56">
        <v>9897.84</v>
      </c>
      <c r="O40" s="56">
        <v>10456.1</v>
      </c>
      <c r="P40" s="56">
        <v>10879.92</v>
      </c>
      <c r="Q40" s="56">
        <v>10854.31</v>
      </c>
      <c r="R40" s="56">
        <v>10588.73</v>
      </c>
      <c r="S40" s="56">
        <v>10289.27</v>
      </c>
      <c r="T40" s="56">
        <v>10154.9</v>
      </c>
      <c r="U40" s="56">
        <v>10220.02</v>
      </c>
      <c r="V40" s="56">
        <v>10604.89</v>
      </c>
      <c r="W40" s="56">
        <v>11768.52</v>
      </c>
      <c r="X40" s="56">
        <v>11940.22</v>
      </c>
      <c r="Y40" s="56">
        <v>11322.51</v>
      </c>
      <c r="Z40" s="56">
        <v>10325.129999999999</v>
      </c>
      <c r="AA40" s="56">
        <v>9162.61</v>
      </c>
      <c r="AB40" s="56">
        <v>7960.19</v>
      </c>
      <c r="AC40" s="67"/>
    </row>
    <row r="41" spans="2:29" ht="12.5" x14ac:dyDescent="0.25">
      <c r="B41" s="65" t="s">
        <v>40</v>
      </c>
      <c r="C41" s="4" t="s">
        <v>31</v>
      </c>
      <c r="D41" s="5">
        <v>4</v>
      </c>
      <c r="E41" s="56">
        <v>6877.41</v>
      </c>
      <c r="F41" s="56">
        <v>6312.07</v>
      </c>
      <c r="G41" s="56">
        <v>5938.89</v>
      </c>
      <c r="H41" s="56">
        <v>5766.09</v>
      </c>
      <c r="I41" s="56">
        <v>5715.43</v>
      </c>
      <c r="J41" s="56">
        <v>5786.13</v>
      </c>
      <c r="K41" s="56">
        <v>6226.92</v>
      </c>
      <c r="L41" s="56">
        <v>7072.6</v>
      </c>
      <c r="M41" s="56">
        <v>7883.55</v>
      </c>
      <c r="N41" s="56">
        <v>8532.61</v>
      </c>
      <c r="O41" s="56">
        <v>9123.3799999999992</v>
      </c>
      <c r="P41" s="56">
        <v>9701.9599999999991</v>
      </c>
      <c r="Q41" s="56">
        <v>9959.6200000000008</v>
      </c>
      <c r="R41" s="56">
        <v>9800.85</v>
      </c>
      <c r="S41" s="56">
        <v>9505.15</v>
      </c>
      <c r="T41" s="56">
        <v>9316.58</v>
      </c>
      <c r="U41" s="56">
        <v>9284.44</v>
      </c>
      <c r="V41" s="56">
        <v>9846.16</v>
      </c>
      <c r="W41" s="56">
        <v>11010.42</v>
      </c>
      <c r="X41" s="56">
        <v>11481.72</v>
      </c>
      <c r="Y41" s="56">
        <v>10939.65</v>
      </c>
      <c r="Z41" s="56">
        <v>9978.4500000000007</v>
      </c>
      <c r="AA41" s="56">
        <v>8488.5400000000009</v>
      </c>
      <c r="AB41" s="56">
        <v>7246.92</v>
      </c>
      <c r="AC41" s="67"/>
    </row>
    <row r="42" spans="2:29" ht="12.5" x14ac:dyDescent="0.25">
      <c r="B42" s="65" t="s">
        <v>40</v>
      </c>
      <c r="C42" s="4" t="s">
        <v>32</v>
      </c>
      <c r="D42" s="5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68"/>
    </row>
    <row r="43" spans="2:29" ht="12.5" x14ac:dyDescent="0.25">
      <c r="B43" s="65" t="s">
        <v>41</v>
      </c>
      <c r="C43" s="4" t="s">
        <v>29</v>
      </c>
      <c r="D43" s="5">
        <v>20</v>
      </c>
      <c r="E43" s="56">
        <v>6392.56</v>
      </c>
      <c r="F43" s="56">
        <v>5936.31</v>
      </c>
      <c r="G43" s="56">
        <v>5725.78</v>
      </c>
      <c r="H43" s="56">
        <v>5664.84</v>
      </c>
      <c r="I43" s="56">
        <v>6112.45</v>
      </c>
      <c r="J43" s="56">
        <v>7395.43</v>
      </c>
      <c r="K43" s="56">
        <v>8651.91</v>
      </c>
      <c r="L43" s="56">
        <v>9017.44</v>
      </c>
      <c r="M43" s="56">
        <v>9340.61</v>
      </c>
      <c r="N43" s="56">
        <v>9775.4500000000007</v>
      </c>
      <c r="O43" s="56">
        <v>10372.26</v>
      </c>
      <c r="P43" s="56">
        <v>11062.34</v>
      </c>
      <c r="Q43" s="56">
        <v>10867.48</v>
      </c>
      <c r="R43" s="56">
        <v>10701.23</v>
      </c>
      <c r="S43" s="56">
        <v>10773.86</v>
      </c>
      <c r="T43" s="56">
        <v>10782.52</v>
      </c>
      <c r="U43" s="56">
        <v>10768.73</v>
      </c>
      <c r="V43" s="56">
        <v>11410.87</v>
      </c>
      <c r="W43" s="56">
        <v>12563.75</v>
      </c>
      <c r="X43" s="56">
        <v>12483.59</v>
      </c>
      <c r="Y43" s="56">
        <v>11780.87</v>
      </c>
      <c r="Z43" s="56">
        <v>10688.35</v>
      </c>
      <c r="AA43" s="56">
        <v>9018.11</v>
      </c>
      <c r="AB43" s="56">
        <v>7605.13</v>
      </c>
      <c r="AC43" s="66">
        <f>+SUM(E43:AB43)*D43+SUM(E44:AB44)*D44+SUM(E45:AB45)*D45+SUM(E46:AB46)*D46</f>
        <v>6813344.4800000014</v>
      </c>
    </row>
    <row r="44" spans="2:29" ht="12.5" x14ac:dyDescent="0.25">
      <c r="B44" s="65" t="s">
        <v>41</v>
      </c>
      <c r="C44" s="4" t="s">
        <v>30</v>
      </c>
      <c r="D44" s="5">
        <v>5</v>
      </c>
      <c r="E44" s="56">
        <v>6671.26</v>
      </c>
      <c r="F44" s="56">
        <v>6142.31</v>
      </c>
      <c r="G44" s="56">
        <v>5857.98</v>
      </c>
      <c r="H44" s="56">
        <v>5731.22</v>
      </c>
      <c r="I44" s="56">
        <v>5890.47</v>
      </c>
      <c r="J44" s="56">
        <v>6339.83</v>
      </c>
      <c r="K44" s="56">
        <v>7309.87</v>
      </c>
      <c r="L44" s="56">
        <v>8457.0400000000009</v>
      </c>
      <c r="M44" s="56">
        <v>9243.7900000000009</v>
      </c>
      <c r="N44" s="56">
        <v>9860.24</v>
      </c>
      <c r="O44" s="56">
        <v>10362.76</v>
      </c>
      <c r="P44" s="56">
        <v>10901.86</v>
      </c>
      <c r="Q44" s="56">
        <v>10979.21</v>
      </c>
      <c r="R44" s="56">
        <v>10651.14</v>
      </c>
      <c r="S44" s="56">
        <v>10450.66</v>
      </c>
      <c r="T44" s="56">
        <v>10276.14</v>
      </c>
      <c r="U44" s="56">
        <v>10266.36</v>
      </c>
      <c r="V44" s="56">
        <v>10841.1</v>
      </c>
      <c r="W44" s="56">
        <v>12056.94</v>
      </c>
      <c r="X44" s="56">
        <v>11994.03</v>
      </c>
      <c r="Y44" s="56">
        <v>11355.21</v>
      </c>
      <c r="Z44" s="56">
        <v>10412.41</v>
      </c>
      <c r="AA44" s="56">
        <v>9187.84</v>
      </c>
      <c r="AB44" s="56">
        <v>7978.17</v>
      </c>
      <c r="AC44" s="67"/>
    </row>
    <row r="45" spans="2:29" ht="12.5" x14ac:dyDescent="0.25">
      <c r="B45" s="65" t="s">
        <v>41</v>
      </c>
      <c r="C45" s="4" t="s">
        <v>31</v>
      </c>
      <c r="D45" s="5">
        <v>5</v>
      </c>
      <c r="E45" s="56">
        <v>6841.6</v>
      </c>
      <c r="F45" s="56">
        <v>6237.17</v>
      </c>
      <c r="G45" s="56">
        <v>5875.28</v>
      </c>
      <c r="H45" s="56">
        <v>5703.14</v>
      </c>
      <c r="I45" s="56">
        <v>5749.68</v>
      </c>
      <c r="J45" s="56">
        <v>5801.97</v>
      </c>
      <c r="K45" s="56">
        <v>6241.97</v>
      </c>
      <c r="L45" s="56">
        <v>7001.67</v>
      </c>
      <c r="M45" s="56">
        <v>7914</v>
      </c>
      <c r="N45" s="56">
        <v>8620.25</v>
      </c>
      <c r="O45" s="56">
        <v>9259.08</v>
      </c>
      <c r="P45" s="56">
        <v>9831.83</v>
      </c>
      <c r="Q45" s="56">
        <v>10029.450000000001</v>
      </c>
      <c r="R45" s="56">
        <v>9847.1200000000008</v>
      </c>
      <c r="S45" s="56">
        <v>9476.85</v>
      </c>
      <c r="T45" s="56">
        <v>9384.82</v>
      </c>
      <c r="U45" s="56">
        <v>9357.4500000000007</v>
      </c>
      <c r="V45" s="56">
        <v>10003.99</v>
      </c>
      <c r="W45" s="56">
        <v>11331.48</v>
      </c>
      <c r="X45" s="56">
        <v>11478.67</v>
      </c>
      <c r="Y45" s="56">
        <v>10956.76</v>
      </c>
      <c r="Z45" s="56">
        <v>9956.66</v>
      </c>
      <c r="AA45" s="56">
        <v>8601.4599999999991</v>
      </c>
      <c r="AB45" s="56">
        <v>7377.62</v>
      </c>
      <c r="AC45" s="67"/>
    </row>
    <row r="46" spans="2:29" ht="12.5" x14ac:dyDescent="0.25">
      <c r="B46" s="65" t="s">
        <v>41</v>
      </c>
      <c r="C46" s="4" t="s">
        <v>32</v>
      </c>
      <c r="D46" s="5">
        <v>1</v>
      </c>
      <c r="E46" s="56">
        <v>6512.87</v>
      </c>
      <c r="F46" s="56">
        <v>6000.09</v>
      </c>
      <c r="G46" s="56">
        <v>5707.19</v>
      </c>
      <c r="H46" s="56">
        <v>5607.55</v>
      </c>
      <c r="I46" s="56">
        <v>5734.74</v>
      </c>
      <c r="J46" s="56">
        <v>5820.61</v>
      </c>
      <c r="K46" s="56">
        <v>6274</v>
      </c>
      <c r="L46" s="56">
        <v>7076.47</v>
      </c>
      <c r="M46" s="56">
        <v>7880.23</v>
      </c>
      <c r="N46" s="56">
        <v>8743.2199999999993</v>
      </c>
      <c r="O46" s="56">
        <v>9447.5499999999993</v>
      </c>
      <c r="P46" s="56">
        <v>10071.280000000001</v>
      </c>
      <c r="Q46" s="56">
        <v>10379.19</v>
      </c>
      <c r="R46" s="56">
        <v>10105.56</v>
      </c>
      <c r="S46" s="56">
        <v>9777.73</v>
      </c>
      <c r="T46" s="56">
        <v>9566.2999999999993</v>
      </c>
      <c r="U46" s="56">
        <v>9564.9500000000007</v>
      </c>
      <c r="V46" s="56">
        <v>10354.24</v>
      </c>
      <c r="W46" s="56">
        <v>11802.01</v>
      </c>
      <c r="X46" s="56">
        <v>11680.56</v>
      </c>
      <c r="Y46" s="56">
        <v>11170.91</v>
      </c>
      <c r="Z46" s="56">
        <v>10049.07</v>
      </c>
      <c r="AA46" s="56">
        <v>8515.5400000000009</v>
      </c>
      <c r="AB46" s="56">
        <v>7176.17</v>
      </c>
      <c r="AC46" s="68"/>
    </row>
    <row r="47" spans="2:29" ht="12.5" x14ac:dyDescent="0.25">
      <c r="B47" s="65" t="s">
        <v>42</v>
      </c>
      <c r="C47" s="4" t="s">
        <v>29</v>
      </c>
      <c r="D47" s="5">
        <v>20</v>
      </c>
      <c r="E47" s="56">
        <v>6463.85</v>
      </c>
      <c r="F47" s="56">
        <v>5993.67</v>
      </c>
      <c r="G47" s="56">
        <v>5833.29</v>
      </c>
      <c r="H47" s="56">
        <v>5757.03</v>
      </c>
      <c r="I47" s="56">
        <v>6222.63</v>
      </c>
      <c r="J47" s="56">
        <v>7529.53</v>
      </c>
      <c r="K47" s="56">
        <v>8933.75</v>
      </c>
      <c r="L47" s="56">
        <v>9253.31</v>
      </c>
      <c r="M47" s="56">
        <v>9565.74</v>
      </c>
      <c r="N47" s="56">
        <v>9980.44</v>
      </c>
      <c r="O47" s="56">
        <v>10646.07</v>
      </c>
      <c r="P47" s="56">
        <v>11265.28</v>
      </c>
      <c r="Q47" s="56">
        <v>11045.97</v>
      </c>
      <c r="R47" s="56">
        <v>10854</v>
      </c>
      <c r="S47" s="56">
        <v>10975.53</v>
      </c>
      <c r="T47" s="56">
        <v>10996.97</v>
      </c>
      <c r="U47" s="56">
        <v>10986.17</v>
      </c>
      <c r="V47" s="56">
        <v>11707.28</v>
      </c>
      <c r="W47" s="56">
        <v>12831.13</v>
      </c>
      <c r="X47" s="56">
        <v>12679.26</v>
      </c>
      <c r="Y47" s="56">
        <v>12054.65</v>
      </c>
      <c r="Z47" s="56">
        <v>10924.88</v>
      </c>
      <c r="AA47" s="56">
        <v>9192.1200000000008</v>
      </c>
      <c r="AB47" s="56">
        <v>7754.53</v>
      </c>
      <c r="AC47" s="66">
        <f>+SUM(E47:AB47)*D47+SUM(E48:AB48)*D48+SUM(E49:AB49)*D49+SUM(E50:AB50)*D50</f>
        <v>6725017.080000001</v>
      </c>
    </row>
    <row r="48" spans="2:29" ht="12.5" x14ac:dyDescent="0.25">
      <c r="B48" s="65" t="s">
        <v>42</v>
      </c>
      <c r="C48" s="4" t="s">
        <v>30</v>
      </c>
      <c r="D48" s="5">
        <v>4</v>
      </c>
      <c r="E48" s="56">
        <v>6767.81</v>
      </c>
      <c r="F48" s="56">
        <v>6235.61</v>
      </c>
      <c r="G48" s="56">
        <v>5935.22</v>
      </c>
      <c r="H48" s="56">
        <v>5827.32</v>
      </c>
      <c r="I48" s="56">
        <v>6053.23</v>
      </c>
      <c r="J48" s="56">
        <v>6523.48</v>
      </c>
      <c r="K48" s="56">
        <v>7558.19</v>
      </c>
      <c r="L48" s="56">
        <v>8664.02</v>
      </c>
      <c r="M48" s="56">
        <v>9467.75</v>
      </c>
      <c r="N48" s="56">
        <v>10050.15</v>
      </c>
      <c r="O48" s="56">
        <v>10553.89</v>
      </c>
      <c r="P48" s="56">
        <v>11022.13</v>
      </c>
      <c r="Q48" s="56">
        <v>11033.99</v>
      </c>
      <c r="R48" s="56">
        <v>10702.86</v>
      </c>
      <c r="S48" s="56">
        <v>10449.959999999999</v>
      </c>
      <c r="T48" s="56">
        <v>10316.49</v>
      </c>
      <c r="U48" s="56">
        <v>10316.549999999999</v>
      </c>
      <c r="V48" s="56">
        <v>11050.35</v>
      </c>
      <c r="W48" s="56">
        <v>12297.84</v>
      </c>
      <c r="X48" s="56">
        <v>12200.74</v>
      </c>
      <c r="Y48" s="56">
        <v>11582.69</v>
      </c>
      <c r="Z48" s="56">
        <v>10596.2</v>
      </c>
      <c r="AA48" s="56">
        <v>9395.59</v>
      </c>
      <c r="AB48" s="56">
        <v>8137.21</v>
      </c>
      <c r="AC48" s="67"/>
    </row>
    <row r="49" spans="2:29" ht="12.5" x14ac:dyDescent="0.25">
      <c r="B49" s="65" t="s">
        <v>42</v>
      </c>
      <c r="C49" s="4" t="s">
        <v>31</v>
      </c>
      <c r="D49" s="5">
        <v>4</v>
      </c>
      <c r="E49" s="56">
        <v>6985.76</v>
      </c>
      <c r="F49" s="56">
        <v>6435.2</v>
      </c>
      <c r="G49" s="56">
        <v>6061.99</v>
      </c>
      <c r="H49" s="56">
        <v>5872.11</v>
      </c>
      <c r="I49" s="56">
        <v>5854.53</v>
      </c>
      <c r="J49" s="56">
        <v>5990.79</v>
      </c>
      <c r="K49" s="56">
        <v>6358.4</v>
      </c>
      <c r="L49" s="56">
        <v>7235.26</v>
      </c>
      <c r="M49" s="56">
        <v>8219.77</v>
      </c>
      <c r="N49" s="56">
        <v>8908.69</v>
      </c>
      <c r="O49" s="56">
        <v>9399.2099999999991</v>
      </c>
      <c r="P49" s="56">
        <v>9925.3700000000008</v>
      </c>
      <c r="Q49" s="56">
        <v>10175.92</v>
      </c>
      <c r="R49" s="56">
        <v>10007.76</v>
      </c>
      <c r="S49" s="56">
        <v>9752.59</v>
      </c>
      <c r="T49" s="56">
        <v>9584.23</v>
      </c>
      <c r="U49" s="56">
        <v>9629.14</v>
      </c>
      <c r="V49" s="56">
        <v>10249.14</v>
      </c>
      <c r="W49" s="56">
        <v>11524.67</v>
      </c>
      <c r="X49" s="56">
        <v>11606.76</v>
      </c>
      <c r="Y49" s="56">
        <v>11093.67</v>
      </c>
      <c r="Z49" s="56">
        <v>10143.67</v>
      </c>
      <c r="AA49" s="56">
        <v>8729.6299999999992</v>
      </c>
      <c r="AB49" s="56">
        <v>7502.13</v>
      </c>
      <c r="AC49" s="67"/>
    </row>
    <row r="50" spans="2:29" ht="12.5" x14ac:dyDescent="0.25">
      <c r="B50" s="65" t="s">
        <v>42</v>
      </c>
      <c r="C50" s="4" t="s">
        <v>32</v>
      </c>
      <c r="D50" s="5">
        <v>2</v>
      </c>
      <c r="E50" s="56">
        <v>6598.57</v>
      </c>
      <c r="F50" s="56">
        <v>6064.15</v>
      </c>
      <c r="G50" s="56">
        <v>5808.98</v>
      </c>
      <c r="H50" s="56">
        <v>5643.97</v>
      </c>
      <c r="I50" s="56">
        <v>5718.49</v>
      </c>
      <c r="J50" s="56">
        <v>5935.64</v>
      </c>
      <c r="K50" s="56">
        <v>6338.74</v>
      </c>
      <c r="L50" s="56">
        <v>7216.1</v>
      </c>
      <c r="M50" s="56">
        <v>8001.37</v>
      </c>
      <c r="N50" s="56">
        <v>8750.85</v>
      </c>
      <c r="O50" s="56">
        <v>9536.24</v>
      </c>
      <c r="P50" s="56">
        <v>10240.56</v>
      </c>
      <c r="Q50" s="56">
        <v>10432.780000000001</v>
      </c>
      <c r="R50" s="56">
        <v>10218.1</v>
      </c>
      <c r="S50" s="56">
        <v>9971.24</v>
      </c>
      <c r="T50" s="56">
        <v>9850.7999999999993</v>
      </c>
      <c r="U50" s="56">
        <v>9921.77</v>
      </c>
      <c r="V50" s="56">
        <v>10677.02</v>
      </c>
      <c r="W50" s="56">
        <v>11946.63</v>
      </c>
      <c r="X50" s="56">
        <v>11994.97</v>
      </c>
      <c r="Y50" s="56">
        <v>11309.94</v>
      </c>
      <c r="Z50" s="56">
        <v>10098.290000000001</v>
      </c>
      <c r="AA50" s="56">
        <v>8493.9</v>
      </c>
      <c r="AB50" s="56">
        <v>7297.32</v>
      </c>
      <c r="AC50" s="68"/>
    </row>
    <row r="51" spans="2:29" ht="12.5" x14ac:dyDescent="0.25">
      <c r="B51" s="65" t="s">
        <v>43</v>
      </c>
      <c r="C51" s="4" t="s">
        <v>29</v>
      </c>
      <c r="D51" s="5">
        <v>22</v>
      </c>
      <c r="E51" s="56">
        <v>6698.51</v>
      </c>
      <c r="F51" s="56">
        <v>6147.56</v>
      </c>
      <c r="G51" s="56">
        <v>5878.32</v>
      </c>
      <c r="H51" s="56">
        <v>5778.39</v>
      </c>
      <c r="I51" s="56">
        <v>6089</v>
      </c>
      <c r="J51" s="56">
        <v>6854.91</v>
      </c>
      <c r="K51" s="56">
        <v>7865.69</v>
      </c>
      <c r="L51" s="56">
        <v>8751.4699999999993</v>
      </c>
      <c r="M51" s="56">
        <v>9385.7999999999993</v>
      </c>
      <c r="N51" s="56">
        <v>9914.4599999999991</v>
      </c>
      <c r="O51" s="56">
        <v>10507.93</v>
      </c>
      <c r="P51" s="56">
        <v>11171.14</v>
      </c>
      <c r="Q51" s="56">
        <v>11044.88</v>
      </c>
      <c r="R51" s="56">
        <v>10683.98</v>
      </c>
      <c r="S51" s="56">
        <v>10840.3</v>
      </c>
      <c r="T51" s="56">
        <v>10793.85</v>
      </c>
      <c r="U51" s="56">
        <v>10730.16</v>
      </c>
      <c r="V51" s="56">
        <v>11153.52</v>
      </c>
      <c r="W51" s="56">
        <v>12492.56</v>
      </c>
      <c r="X51" s="56">
        <v>12557.65</v>
      </c>
      <c r="Y51" s="56">
        <v>11931.08</v>
      </c>
      <c r="Z51" s="56">
        <v>10940.93</v>
      </c>
      <c r="AA51" s="56">
        <v>9410.8700000000008</v>
      </c>
      <c r="AB51" s="56">
        <v>8061.46</v>
      </c>
      <c r="AC51" s="66">
        <f>+SUM(E51:AB51)*D51+SUM(E52:AB52)*D52+SUM(E53:AB53)*D53+SUM(E54:AB54)*D54</f>
        <v>6852226.0899999999</v>
      </c>
    </row>
    <row r="52" spans="2:29" ht="12.5" x14ac:dyDescent="0.25">
      <c r="B52" s="65" t="s">
        <v>43</v>
      </c>
      <c r="C52" s="4" t="s">
        <v>30</v>
      </c>
      <c r="D52" s="5">
        <v>3</v>
      </c>
      <c r="E52" s="56">
        <v>6868.8</v>
      </c>
      <c r="F52" s="56">
        <v>6300.74</v>
      </c>
      <c r="G52" s="56">
        <v>5993.87</v>
      </c>
      <c r="H52" s="56">
        <v>5811.01</v>
      </c>
      <c r="I52" s="56">
        <v>6042.44</v>
      </c>
      <c r="J52" s="56">
        <v>6485.63</v>
      </c>
      <c r="K52" s="56">
        <v>7298.67</v>
      </c>
      <c r="L52" s="56">
        <v>8400.57</v>
      </c>
      <c r="M52" s="56">
        <v>9218.7999999999993</v>
      </c>
      <c r="N52" s="56">
        <v>9810.74</v>
      </c>
      <c r="O52" s="56">
        <v>10296.540000000001</v>
      </c>
      <c r="P52" s="56">
        <v>10782.16</v>
      </c>
      <c r="Q52" s="56">
        <v>10781.2</v>
      </c>
      <c r="R52" s="56">
        <v>10506.58</v>
      </c>
      <c r="S52" s="56">
        <v>10347.34</v>
      </c>
      <c r="T52" s="56">
        <v>10158.69</v>
      </c>
      <c r="U52" s="56">
        <v>10168.64</v>
      </c>
      <c r="V52" s="56">
        <v>10586.3</v>
      </c>
      <c r="W52" s="56">
        <v>12020.65</v>
      </c>
      <c r="X52" s="56">
        <v>12117.45</v>
      </c>
      <c r="Y52" s="56">
        <v>11570.98</v>
      </c>
      <c r="Z52" s="56">
        <v>10722.17</v>
      </c>
      <c r="AA52" s="56">
        <v>9495.83</v>
      </c>
      <c r="AB52" s="56">
        <v>8299.49</v>
      </c>
      <c r="AC52" s="67"/>
    </row>
    <row r="53" spans="2:29" ht="12.5" x14ac:dyDescent="0.25">
      <c r="B53" s="65" t="s">
        <v>43</v>
      </c>
      <c r="C53" s="4" t="s">
        <v>31</v>
      </c>
      <c r="D53" s="5">
        <v>4</v>
      </c>
      <c r="E53" s="56">
        <v>7112.77</v>
      </c>
      <c r="F53" s="56">
        <v>6479.83</v>
      </c>
      <c r="G53" s="56">
        <v>6084.39</v>
      </c>
      <c r="H53" s="56">
        <v>5890.28</v>
      </c>
      <c r="I53" s="56">
        <v>5860.55</v>
      </c>
      <c r="J53" s="56">
        <v>6028.56</v>
      </c>
      <c r="K53" s="56">
        <v>6365.29</v>
      </c>
      <c r="L53" s="56">
        <v>7406.5</v>
      </c>
      <c r="M53" s="56">
        <v>8362.2000000000007</v>
      </c>
      <c r="N53" s="56">
        <v>8971.1299999999992</v>
      </c>
      <c r="O53" s="56">
        <v>9524.08</v>
      </c>
      <c r="P53" s="56">
        <v>10062.719999999999</v>
      </c>
      <c r="Q53" s="56">
        <v>10317.49</v>
      </c>
      <c r="R53" s="56">
        <v>10008.530000000001</v>
      </c>
      <c r="S53" s="56">
        <v>9565.57</v>
      </c>
      <c r="T53" s="56">
        <v>9578.75</v>
      </c>
      <c r="U53" s="56">
        <v>9516.49</v>
      </c>
      <c r="V53" s="56">
        <v>10026.06</v>
      </c>
      <c r="W53" s="56">
        <v>11307.5</v>
      </c>
      <c r="X53" s="56">
        <v>11460.05</v>
      </c>
      <c r="Y53" s="56">
        <v>11024.46</v>
      </c>
      <c r="Z53" s="56">
        <v>10292.14</v>
      </c>
      <c r="AA53" s="56">
        <v>8990.56</v>
      </c>
      <c r="AB53" s="56">
        <v>7834.37</v>
      </c>
      <c r="AC53" s="67"/>
    </row>
    <row r="54" spans="2:29" ht="12.5" x14ac:dyDescent="0.25">
      <c r="B54" s="65" t="s">
        <v>43</v>
      </c>
      <c r="C54" s="4" t="s">
        <v>32</v>
      </c>
      <c r="D54" s="5">
        <v>2</v>
      </c>
      <c r="E54" s="56">
        <v>7176.74</v>
      </c>
      <c r="F54" s="56">
        <v>6617.75</v>
      </c>
      <c r="G54" s="56">
        <v>6197.77</v>
      </c>
      <c r="H54" s="56">
        <v>5953.38</v>
      </c>
      <c r="I54" s="56">
        <v>5823.17</v>
      </c>
      <c r="J54" s="56">
        <v>5866.77</v>
      </c>
      <c r="K54" s="56">
        <v>6017.03</v>
      </c>
      <c r="L54" s="56">
        <v>6537.32</v>
      </c>
      <c r="M54" s="56">
        <v>7155.93</v>
      </c>
      <c r="N54" s="56">
        <v>7794.33</v>
      </c>
      <c r="O54" s="56">
        <v>8532.59</v>
      </c>
      <c r="P54" s="56">
        <v>9206.99</v>
      </c>
      <c r="Q54" s="56">
        <v>9576.32</v>
      </c>
      <c r="R54" s="56">
        <v>9534.26</v>
      </c>
      <c r="S54" s="56">
        <v>9209.82</v>
      </c>
      <c r="T54" s="56">
        <v>9136.75</v>
      </c>
      <c r="U54" s="56">
        <v>9137.33</v>
      </c>
      <c r="V54" s="56">
        <v>9733.4699999999993</v>
      </c>
      <c r="W54" s="56">
        <v>10895.62</v>
      </c>
      <c r="X54" s="56">
        <v>11087.18</v>
      </c>
      <c r="Y54" s="56">
        <v>10521.31</v>
      </c>
      <c r="Z54" s="56">
        <v>9734.9599999999991</v>
      </c>
      <c r="AA54" s="56">
        <v>8520.98</v>
      </c>
      <c r="AB54" s="56">
        <v>7348.18</v>
      </c>
      <c r="AC54" s="68"/>
    </row>
    <row r="55" spans="2:29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69" t="s">
        <v>46</v>
      </c>
      <c r="AA55" s="69"/>
      <c r="AB55" s="69"/>
      <c r="AC55" s="14">
        <f>SUM(AC7:AC54)</f>
        <v>80288991.910000011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6117-C8B6-4171-9FB1-F4277EFBF934}">
  <dimension ref="B2:AE55"/>
  <sheetViews>
    <sheetView showGridLines="0" zoomScale="50" zoomScaleNormal="50" workbookViewId="0">
      <selection activeCell="AE7" sqref="AE7"/>
    </sheetView>
  </sheetViews>
  <sheetFormatPr baseColWidth="10" defaultColWidth="11.453125" defaultRowHeight="11.5" x14ac:dyDescent="0.25"/>
  <cols>
    <col min="1" max="1" width="4.7265625" style="6" customWidth="1"/>
    <col min="2" max="2" width="5.54296875" style="6" bestFit="1" customWidth="1"/>
    <col min="3" max="3" width="9.7265625" style="6" bestFit="1" customWidth="1"/>
    <col min="4" max="4" width="5.7265625" style="6" bestFit="1" customWidth="1"/>
    <col min="5" max="13" width="9.36328125" style="6" bestFit="1" customWidth="1"/>
    <col min="14" max="26" width="10.1796875" style="6" bestFit="1" customWidth="1"/>
    <col min="27" max="28" width="9.36328125" style="6" bestFit="1" customWidth="1"/>
    <col min="29" max="29" width="16.7265625" style="52" bestFit="1" customWidth="1"/>
    <col min="30" max="30" width="3" style="6" customWidth="1"/>
    <col min="31" max="31" width="14.81640625" style="6" bestFit="1" customWidth="1"/>
    <col min="32" max="140" width="11.453125" style="6"/>
    <col min="141" max="141" width="7" style="6" customWidth="1"/>
    <col min="142" max="142" width="10.7265625" style="6" customWidth="1"/>
    <col min="143" max="143" width="9.26953125" style="6" customWidth="1"/>
    <col min="144" max="167" width="7.26953125" style="6" customWidth="1"/>
    <col min="168" max="168" width="11.26953125" style="6" bestFit="1" customWidth="1"/>
    <col min="169" max="396" width="11.453125" style="6"/>
    <col min="397" max="397" width="7" style="6" customWidth="1"/>
    <col min="398" max="398" width="10.7265625" style="6" customWidth="1"/>
    <col min="399" max="399" width="9.26953125" style="6" customWidth="1"/>
    <col min="400" max="423" width="7.26953125" style="6" customWidth="1"/>
    <col min="424" max="424" width="11.26953125" style="6" bestFit="1" customWidth="1"/>
    <col min="425" max="652" width="11.453125" style="6"/>
    <col min="653" max="653" width="7" style="6" customWidth="1"/>
    <col min="654" max="654" width="10.7265625" style="6" customWidth="1"/>
    <col min="655" max="655" width="9.26953125" style="6" customWidth="1"/>
    <col min="656" max="679" width="7.26953125" style="6" customWidth="1"/>
    <col min="680" max="680" width="11.26953125" style="6" bestFit="1" customWidth="1"/>
    <col min="681" max="908" width="11.453125" style="6"/>
    <col min="909" max="909" width="7" style="6" customWidth="1"/>
    <col min="910" max="910" width="10.7265625" style="6" customWidth="1"/>
    <col min="911" max="911" width="9.26953125" style="6" customWidth="1"/>
    <col min="912" max="935" width="7.26953125" style="6" customWidth="1"/>
    <col min="936" max="936" width="11.26953125" style="6" bestFit="1" customWidth="1"/>
    <col min="937" max="1164" width="11.453125" style="6"/>
    <col min="1165" max="1165" width="7" style="6" customWidth="1"/>
    <col min="1166" max="1166" width="10.7265625" style="6" customWidth="1"/>
    <col min="1167" max="1167" width="9.26953125" style="6" customWidth="1"/>
    <col min="1168" max="1191" width="7.26953125" style="6" customWidth="1"/>
    <col min="1192" max="1192" width="11.26953125" style="6" bestFit="1" customWidth="1"/>
    <col min="1193" max="1420" width="11.453125" style="6"/>
    <col min="1421" max="1421" width="7" style="6" customWidth="1"/>
    <col min="1422" max="1422" width="10.7265625" style="6" customWidth="1"/>
    <col min="1423" max="1423" width="9.26953125" style="6" customWidth="1"/>
    <col min="1424" max="1447" width="7.26953125" style="6" customWidth="1"/>
    <col min="1448" max="1448" width="11.26953125" style="6" bestFit="1" customWidth="1"/>
    <col min="1449" max="1676" width="11.453125" style="6"/>
    <col min="1677" max="1677" width="7" style="6" customWidth="1"/>
    <col min="1678" max="1678" width="10.7265625" style="6" customWidth="1"/>
    <col min="1679" max="1679" width="9.26953125" style="6" customWidth="1"/>
    <col min="1680" max="1703" width="7.26953125" style="6" customWidth="1"/>
    <col min="1704" max="1704" width="11.26953125" style="6" bestFit="1" customWidth="1"/>
    <col min="1705" max="1932" width="11.453125" style="6"/>
    <col min="1933" max="1933" width="7" style="6" customWidth="1"/>
    <col min="1934" max="1934" width="10.7265625" style="6" customWidth="1"/>
    <col min="1935" max="1935" width="9.26953125" style="6" customWidth="1"/>
    <col min="1936" max="1959" width="7.26953125" style="6" customWidth="1"/>
    <col min="1960" max="1960" width="11.26953125" style="6" bestFit="1" customWidth="1"/>
    <col min="1961" max="2188" width="11.453125" style="6"/>
    <col min="2189" max="2189" width="7" style="6" customWidth="1"/>
    <col min="2190" max="2190" width="10.7265625" style="6" customWidth="1"/>
    <col min="2191" max="2191" width="9.26953125" style="6" customWidth="1"/>
    <col min="2192" max="2215" width="7.26953125" style="6" customWidth="1"/>
    <col min="2216" max="2216" width="11.26953125" style="6" bestFit="1" customWidth="1"/>
    <col min="2217" max="2444" width="11.453125" style="6"/>
    <col min="2445" max="2445" width="7" style="6" customWidth="1"/>
    <col min="2446" max="2446" width="10.7265625" style="6" customWidth="1"/>
    <col min="2447" max="2447" width="9.26953125" style="6" customWidth="1"/>
    <col min="2448" max="2471" width="7.26953125" style="6" customWidth="1"/>
    <col min="2472" max="2472" width="11.26953125" style="6" bestFit="1" customWidth="1"/>
    <col min="2473" max="2700" width="11.453125" style="6"/>
    <col min="2701" max="2701" width="7" style="6" customWidth="1"/>
    <col min="2702" max="2702" width="10.7265625" style="6" customWidth="1"/>
    <col min="2703" max="2703" width="9.26953125" style="6" customWidth="1"/>
    <col min="2704" max="2727" width="7.26953125" style="6" customWidth="1"/>
    <col min="2728" max="2728" width="11.26953125" style="6" bestFit="1" customWidth="1"/>
    <col min="2729" max="2956" width="11.453125" style="6"/>
    <col min="2957" max="2957" width="7" style="6" customWidth="1"/>
    <col min="2958" max="2958" width="10.7265625" style="6" customWidth="1"/>
    <col min="2959" max="2959" width="9.26953125" style="6" customWidth="1"/>
    <col min="2960" max="2983" width="7.26953125" style="6" customWidth="1"/>
    <col min="2984" max="2984" width="11.26953125" style="6" bestFit="1" customWidth="1"/>
    <col min="2985" max="3212" width="11.453125" style="6"/>
    <col min="3213" max="3213" width="7" style="6" customWidth="1"/>
    <col min="3214" max="3214" width="10.7265625" style="6" customWidth="1"/>
    <col min="3215" max="3215" width="9.26953125" style="6" customWidth="1"/>
    <col min="3216" max="3239" width="7.26953125" style="6" customWidth="1"/>
    <col min="3240" max="3240" width="11.26953125" style="6" bestFit="1" customWidth="1"/>
    <col min="3241" max="3468" width="11.453125" style="6"/>
    <col min="3469" max="3469" width="7" style="6" customWidth="1"/>
    <col min="3470" max="3470" width="10.7265625" style="6" customWidth="1"/>
    <col min="3471" max="3471" width="9.26953125" style="6" customWidth="1"/>
    <col min="3472" max="3495" width="7.26953125" style="6" customWidth="1"/>
    <col min="3496" max="3496" width="11.26953125" style="6" bestFit="1" customWidth="1"/>
    <col min="3497" max="3724" width="11.453125" style="6"/>
    <col min="3725" max="3725" width="7" style="6" customWidth="1"/>
    <col min="3726" max="3726" width="10.7265625" style="6" customWidth="1"/>
    <col min="3727" max="3727" width="9.26953125" style="6" customWidth="1"/>
    <col min="3728" max="3751" width="7.26953125" style="6" customWidth="1"/>
    <col min="3752" max="3752" width="11.26953125" style="6" bestFit="1" customWidth="1"/>
    <col min="3753" max="3980" width="11.453125" style="6"/>
    <col min="3981" max="3981" width="7" style="6" customWidth="1"/>
    <col min="3982" max="3982" width="10.7265625" style="6" customWidth="1"/>
    <col min="3983" max="3983" width="9.26953125" style="6" customWidth="1"/>
    <col min="3984" max="4007" width="7.26953125" style="6" customWidth="1"/>
    <col min="4008" max="4008" width="11.26953125" style="6" bestFit="1" customWidth="1"/>
    <col min="4009" max="4236" width="11.453125" style="6"/>
    <col min="4237" max="4237" width="7" style="6" customWidth="1"/>
    <col min="4238" max="4238" width="10.7265625" style="6" customWidth="1"/>
    <col min="4239" max="4239" width="9.26953125" style="6" customWidth="1"/>
    <col min="4240" max="4263" width="7.26953125" style="6" customWidth="1"/>
    <col min="4264" max="4264" width="11.26953125" style="6" bestFit="1" customWidth="1"/>
    <col min="4265" max="4492" width="11.453125" style="6"/>
    <col min="4493" max="4493" width="7" style="6" customWidth="1"/>
    <col min="4494" max="4494" width="10.7265625" style="6" customWidth="1"/>
    <col min="4495" max="4495" width="9.26953125" style="6" customWidth="1"/>
    <col min="4496" max="4519" width="7.26953125" style="6" customWidth="1"/>
    <col min="4520" max="4520" width="11.26953125" style="6" bestFit="1" customWidth="1"/>
    <col min="4521" max="4748" width="11.453125" style="6"/>
    <col min="4749" max="4749" width="7" style="6" customWidth="1"/>
    <col min="4750" max="4750" width="10.7265625" style="6" customWidth="1"/>
    <col min="4751" max="4751" width="9.26953125" style="6" customWidth="1"/>
    <col min="4752" max="4775" width="7.26953125" style="6" customWidth="1"/>
    <col min="4776" max="4776" width="11.26953125" style="6" bestFit="1" customWidth="1"/>
    <col min="4777" max="5004" width="11.453125" style="6"/>
    <col min="5005" max="5005" width="7" style="6" customWidth="1"/>
    <col min="5006" max="5006" width="10.7265625" style="6" customWidth="1"/>
    <col min="5007" max="5007" width="9.26953125" style="6" customWidth="1"/>
    <col min="5008" max="5031" width="7.26953125" style="6" customWidth="1"/>
    <col min="5032" max="5032" width="11.26953125" style="6" bestFit="1" customWidth="1"/>
    <col min="5033" max="5260" width="11.453125" style="6"/>
    <col min="5261" max="5261" width="7" style="6" customWidth="1"/>
    <col min="5262" max="5262" width="10.7265625" style="6" customWidth="1"/>
    <col min="5263" max="5263" width="9.26953125" style="6" customWidth="1"/>
    <col min="5264" max="5287" width="7.26953125" style="6" customWidth="1"/>
    <col min="5288" max="5288" width="11.26953125" style="6" bestFit="1" customWidth="1"/>
    <col min="5289" max="5516" width="11.453125" style="6"/>
    <col min="5517" max="5517" width="7" style="6" customWidth="1"/>
    <col min="5518" max="5518" width="10.7265625" style="6" customWidth="1"/>
    <col min="5519" max="5519" width="9.26953125" style="6" customWidth="1"/>
    <col min="5520" max="5543" width="7.26953125" style="6" customWidth="1"/>
    <col min="5544" max="5544" width="11.26953125" style="6" bestFit="1" customWidth="1"/>
    <col min="5545" max="5772" width="11.453125" style="6"/>
    <col min="5773" max="5773" width="7" style="6" customWidth="1"/>
    <col min="5774" max="5774" width="10.7265625" style="6" customWidth="1"/>
    <col min="5775" max="5775" width="9.26953125" style="6" customWidth="1"/>
    <col min="5776" max="5799" width="7.26953125" style="6" customWidth="1"/>
    <col min="5800" max="5800" width="11.26953125" style="6" bestFit="1" customWidth="1"/>
    <col min="5801" max="6028" width="11.453125" style="6"/>
    <col min="6029" max="6029" width="7" style="6" customWidth="1"/>
    <col min="6030" max="6030" width="10.7265625" style="6" customWidth="1"/>
    <col min="6031" max="6031" width="9.26953125" style="6" customWidth="1"/>
    <col min="6032" max="6055" width="7.26953125" style="6" customWidth="1"/>
    <col min="6056" max="6056" width="11.26953125" style="6" bestFit="1" customWidth="1"/>
    <col min="6057" max="6284" width="11.453125" style="6"/>
    <col min="6285" max="6285" width="7" style="6" customWidth="1"/>
    <col min="6286" max="6286" width="10.7265625" style="6" customWidth="1"/>
    <col min="6287" max="6287" width="9.26953125" style="6" customWidth="1"/>
    <col min="6288" max="6311" width="7.26953125" style="6" customWidth="1"/>
    <col min="6312" max="6312" width="11.26953125" style="6" bestFit="1" customWidth="1"/>
    <col min="6313" max="6540" width="11.453125" style="6"/>
    <col min="6541" max="6541" width="7" style="6" customWidth="1"/>
    <col min="6542" max="6542" width="10.7265625" style="6" customWidth="1"/>
    <col min="6543" max="6543" width="9.26953125" style="6" customWidth="1"/>
    <col min="6544" max="6567" width="7.26953125" style="6" customWidth="1"/>
    <col min="6568" max="6568" width="11.26953125" style="6" bestFit="1" customWidth="1"/>
    <col min="6569" max="6796" width="11.453125" style="6"/>
    <col min="6797" max="6797" width="7" style="6" customWidth="1"/>
    <col min="6798" max="6798" width="10.7265625" style="6" customWidth="1"/>
    <col min="6799" max="6799" width="9.26953125" style="6" customWidth="1"/>
    <col min="6800" max="6823" width="7.26953125" style="6" customWidth="1"/>
    <col min="6824" max="6824" width="11.26953125" style="6" bestFit="1" customWidth="1"/>
    <col min="6825" max="7052" width="11.453125" style="6"/>
    <col min="7053" max="7053" width="7" style="6" customWidth="1"/>
    <col min="7054" max="7054" width="10.7265625" style="6" customWidth="1"/>
    <col min="7055" max="7055" width="9.26953125" style="6" customWidth="1"/>
    <col min="7056" max="7079" width="7.26953125" style="6" customWidth="1"/>
    <col min="7080" max="7080" width="11.26953125" style="6" bestFit="1" customWidth="1"/>
    <col min="7081" max="7308" width="11.453125" style="6"/>
    <col min="7309" max="7309" width="7" style="6" customWidth="1"/>
    <col min="7310" max="7310" width="10.7265625" style="6" customWidth="1"/>
    <col min="7311" max="7311" width="9.26953125" style="6" customWidth="1"/>
    <col min="7312" max="7335" width="7.26953125" style="6" customWidth="1"/>
    <col min="7336" max="7336" width="11.26953125" style="6" bestFit="1" customWidth="1"/>
    <col min="7337" max="7564" width="11.453125" style="6"/>
    <col min="7565" max="7565" width="7" style="6" customWidth="1"/>
    <col min="7566" max="7566" width="10.7265625" style="6" customWidth="1"/>
    <col min="7567" max="7567" width="9.26953125" style="6" customWidth="1"/>
    <col min="7568" max="7591" width="7.26953125" style="6" customWidth="1"/>
    <col min="7592" max="7592" width="11.26953125" style="6" bestFit="1" customWidth="1"/>
    <col min="7593" max="7820" width="11.453125" style="6"/>
    <col min="7821" max="7821" width="7" style="6" customWidth="1"/>
    <col min="7822" max="7822" width="10.7265625" style="6" customWidth="1"/>
    <col min="7823" max="7823" width="9.26953125" style="6" customWidth="1"/>
    <col min="7824" max="7847" width="7.26953125" style="6" customWidth="1"/>
    <col min="7848" max="7848" width="11.26953125" style="6" bestFit="1" customWidth="1"/>
    <col min="7849" max="8076" width="11.453125" style="6"/>
    <col min="8077" max="8077" width="7" style="6" customWidth="1"/>
    <col min="8078" max="8078" width="10.7265625" style="6" customWidth="1"/>
    <col min="8079" max="8079" width="9.26953125" style="6" customWidth="1"/>
    <col min="8080" max="8103" width="7.26953125" style="6" customWidth="1"/>
    <col min="8104" max="8104" width="11.26953125" style="6" bestFit="1" customWidth="1"/>
    <col min="8105" max="8332" width="11.453125" style="6"/>
    <col min="8333" max="8333" width="7" style="6" customWidth="1"/>
    <col min="8334" max="8334" width="10.7265625" style="6" customWidth="1"/>
    <col min="8335" max="8335" width="9.26953125" style="6" customWidth="1"/>
    <col min="8336" max="8359" width="7.26953125" style="6" customWidth="1"/>
    <col min="8360" max="8360" width="11.26953125" style="6" bestFit="1" customWidth="1"/>
    <col min="8361" max="8588" width="11.453125" style="6"/>
    <col min="8589" max="8589" width="7" style="6" customWidth="1"/>
    <col min="8590" max="8590" width="10.7265625" style="6" customWidth="1"/>
    <col min="8591" max="8591" width="9.26953125" style="6" customWidth="1"/>
    <col min="8592" max="8615" width="7.26953125" style="6" customWidth="1"/>
    <col min="8616" max="8616" width="11.26953125" style="6" bestFit="1" customWidth="1"/>
    <col min="8617" max="8844" width="11.453125" style="6"/>
    <col min="8845" max="8845" width="7" style="6" customWidth="1"/>
    <col min="8846" max="8846" width="10.7265625" style="6" customWidth="1"/>
    <col min="8847" max="8847" width="9.26953125" style="6" customWidth="1"/>
    <col min="8848" max="8871" width="7.26953125" style="6" customWidth="1"/>
    <col min="8872" max="8872" width="11.26953125" style="6" bestFit="1" customWidth="1"/>
    <col min="8873" max="9100" width="11.453125" style="6"/>
    <col min="9101" max="9101" width="7" style="6" customWidth="1"/>
    <col min="9102" max="9102" width="10.7265625" style="6" customWidth="1"/>
    <col min="9103" max="9103" width="9.26953125" style="6" customWidth="1"/>
    <col min="9104" max="9127" width="7.26953125" style="6" customWidth="1"/>
    <col min="9128" max="9128" width="11.26953125" style="6" bestFit="1" customWidth="1"/>
    <col min="9129" max="9356" width="11.453125" style="6"/>
    <col min="9357" max="9357" width="7" style="6" customWidth="1"/>
    <col min="9358" max="9358" width="10.7265625" style="6" customWidth="1"/>
    <col min="9359" max="9359" width="9.26953125" style="6" customWidth="1"/>
    <col min="9360" max="9383" width="7.26953125" style="6" customWidth="1"/>
    <col min="9384" max="9384" width="11.26953125" style="6" bestFit="1" customWidth="1"/>
    <col min="9385" max="9612" width="11.453125" style="6"/>
    <col min="9613" max="9613" width="7" style="6" customWidth="1"/>
    <col min="9614" max="9614" width="10.7265625" style="6" customWidth="1"/>
    <col min="9615" max="9615" width="9.26953125" style="6" customWidth="1"/>
    <col min="9616" max="9639" width="7.26953125" style="6" customWidth="1"/>
    <col min="9640" max="9640" width="11.26953125" style="6" bestFit="1" customWidth="1"/>
    <col min="9641" max="9868" width="11.453125" style="6"/>
    <col min="9869" max="9869" width="7" style="6" customWidth="1"/>
    <col min="9870" max="9870" width="10.7265625" style="6" customWidth="1"/>
    <col min="9871" max="9871" width="9.26953125" style="6" customWidth="1"/>
    <col min="9872" max="9895" width="7.26953125" style="6" customWidth="1"/>
    <col min="9896" max="9896" width="11.26953125" style="6" bestFit="1" customWidth="1"/>
    <col min="9897" max="10124" width="11.453125" style="6"/>
    <col min="10125" max="10125" width="7" style="6" customWidth="1"/>
    <col min="10126" max="10126" width="10.7265625" style="6" customWidth="1"/>
    <col min="10127" max="10127" width="9.26953125" style="6" customWidth="1"/>
    <col min="10128" max="10151" width="7.26953125" style="6" customWidth="1"/>
    <col min="10152" max="10152" width="11.26953125" style="6" bestFit="1" customWidth="1"/>
    <col min="10153" max="10380" width="11.453125" style="6"/>
    <col min="10381" max="10381" width="7" style="6" customWidth="1"/>
    <col min="10382" max="10382" width="10.7265625" style="6" customWidth="1"/>
    <col min="10383" max="10383" width="9.26953125" style="6" customWidth="1"/>
    <col min="10384" max="10407" width="7.26953125" style="6" customWidth="1"/>
    <col min="10408" max="10408" width="11.26953125" style="6" bestFit="1" customWidth="1"/>
    <col min="10409" max="10636" width="11.453125" style="6"/>
    <col min="10637" max="10637" width="7" style="6" customWidth="1"/>
    <col min="10638" max="10638" width="10.7265625" style="6" customWidth="1"/>
    <col min="10639" max="10639" width="9.26953125" style="6" customWidth="1"/>
    <col min="10640" max="10663" width="7.26953125" style="6" customWidth="1"/>
    <col min="10664" max="10664" width="11.26953125" style="6" bestFit="1" customWidth="1"/>
    <col min="10665" max="10892" width="11.453125" style="6"/>
    <col min="10893" max="10893" width="7" style="6" customWidth="1"/>
    <col min="10894" max="10894" width="10.7265625" style="6" customWidth="1"/>
    <col min="10895" max="10895" width="9.26953125" style="6" customWidth="1"/>
    <col min="10896" max="10919" width="7.26953125" style="6" customWidth="1"/>
    <col min="10920" max="10920" width="11.26953125" style="6" bestFit="1" customWidth="1"/>
    <col min="10921" max="11148" width="11.453125" style="6"/>
    <col min="11149" max="11149" width="7" style="6" customWidth="1"/>
    <col min="11150" max="11150" width="10.7265625" style="6" customWidth="1"/>
    <col min="11151" max="11151" width="9.26953125" style="6" customWidth="1"/>
    <col min="11152" max="11175" width="7.26953125" style="6" customWidth="1"/>
    <col min="11176" max="11176" width="11.26953125" style="6" bestFit="1" customWidth="1"/>
    <col min="11177" max="11404" width="11.453125" style="6"/>
    <col min="11405" max="11405" width="7" style="6" customWidth="1"/>
    <col min="11406" max="11406" width="10.7265625" style="6" customWidth="1"/>
    <col min="11407" max="11407" width="9.26953125" style="6" customWidth="1"/>
    <col min="11408" max="11431" width="7.26953125" style="6" customWidth="1"/>
    <col min="11432" max="11432" width="11.26953125" style="6" bestFit="1" customWidth="1"/>
    <col min="11433" max="11660" width="11.453125" style="6"/>
    <col min="11661" max="11661" width="7" style="6" customWidth="1"/>
    <col min="11662" max="11662" width="10.7265625" style="6" customWidth="1"/>
    <col min="11663" max="11663" width="9.26953125" style="6" customWidth="1"/>
    <col min="11664" max="11687" width="7.26953125" style="6" customWidth="1"/>
    <col min="11688" max="11688" width="11.26953125" style="6" bestFit="1" customWidth="1"/>
    <col min="11689" max="11916" width="11.453125" style="6"/>
    <col min="11917" max="11917" width="7" style="6" customWidth="1"/>
    <col min="11918" max="11918" width="10.7265625" style="6" customWidth="1"/>
    <col min="11919" max="11919" width="9.26953125" style="6" customWidth="1"/>
    <col min="11920" max="11943" width="7.26953125" style="6" customWidth="1"/>
    <col min="11944" max="11944" width="11.26953125" style="6" bestFit="1" customWidth="1"/>
    <col min="11945" max="12172" width="11.453125" style="6"/>
    <col min="12173" max="12173" width="7" style="6" customWidth="1"/>
    <col min="12174" max="12174" width="10.7265625" style="6" customWidth="1"/>
    <col min="12175" max="12175" width="9.26953125" style="6" customWidth="1"/>
    <col min="12176" max="12199" width="7.26953125" style="6" customWidth="1"/>
    <col min="12200" max="12200" width="11.26953125" style="6" bestFit="1" customWidth="1"/>
    <col min="12201" max="12428" width="11.453125" style="6"/>
    <col min="12429" max="12429" width="7" style="6" customWidth="1"/>
    <col min="12430" max="12430" width="10.7265625" style="6" customWidth="1"/>
    <col min="12431" max="12431" width="9.26953125" style="6" customWidth="1"/>
    <col min="12432" max="12455" width="7.26953125" style="6" customWidth="1"/>
    <col min="12456" max="12456" width="11.26953125" style="6" bestFit="1" customWidth="1"/>
    <col min="12457" max="12684" width="11.453125" style="6"/>
    <col min="12685" max="12685" width="7" style="6" customWidth="1"/>
    <col min="12686" max="12686" width="10.7265625" style="6" customWidth="1"/>
    <col min="12687" max="12687" width="9.26953125" style="6" customWidth="1"/>
    <col min="12688" max="12711" width="7.26953125" style="6" customWidth="1"/>
    <col min="12712" max="12712" width="11.26953125" style="6" bestFit="1" customWidth="1"/>
    <col min="12713" max="12940" width="11.453125" style="6"/>
    <col min="12941" max="12941" width="7" style="6" customWidth="1"/>
    <col min="12942" max="12942" width="10.7265625" style="6" customWidth="1"/>
    <col min="12943" max="12943" width="9.26953125" style="6" customWidth="1"/>
    <col min="12944" max="12967" width="7.26953125" style="6" customWidth="1"/>
    <col min="12968" max="12968" width="11.26953125" style="6" bestFit="1" customWidth="1"/>
    <col min="12969" max="13196" width="11.453125" style="6"/>
    <col min="13197" max="13197" width="7" style="6" customWidth="1"/>
    <col min="13198" max="13198" width="10.7265625" style="6" customWidth="1"/>
    <col min="13199" max="13199" width="9.26953125" style="6" customWidth="1"/>
    <col min="13200" max="13223" width="7.26953125" style="6" customWidth="1"/>
    <col min="13224" max="13224" width="11.26953125" style="6" bestFit="1" customWidth="1"/>
    <col min="13225" max="13452" width="11.453125" style="6"/>
    <col min="13453" max="13453" width="7" style="6" customWidth="1"/>
    <col min="13454" max="13454" width="10.7265625" style="6" customWidth="1"/>
    <col min="13455" max="13455" width="9.26953125" style="6" customWidth="1"/>
    <col min="13456" max="13479" width="7.26953125" style="6" customWidth="1"/>
    <col min="13480" max="13480" width="11.26953125" style="6" bestFit="1" customWidth="1"/>
    <col min="13481" max="13708" width="11.453125" style="6"/>
    <col min="13709" max="13709" width="7" style="6" customWidth="1"/>
    <col min="13710" max="13710" width="10.7265625" style="6" customWidth="1"/>
    <col min="13711" max="13711" width="9.26953125" style="6" customWidth="1"/>
    <col min="13712" max="13735" width="7.26953125" style="6" customWidth="1"/>
    <col min="13736" max="13736" width="11.26953125" style="6" bestFit="1" customWidth="1"/>
    <col min="13737" max="13964" width="11.453125" style="6"/>
    <col min="13965" max="13965" width="7" style="6" customWidth="1"/>
    <col min="13966" max="13966" width="10.7265625" style="6" customWidth="1"/>
    <col min="13967" max="13967" width="9.26953125" style="6" customWidth="1"/>
    <col min="13968" max="13991" width="7.26953125" style="6" customWidth="1"/>
    <col min="13992" max="13992" width="11.26953125" style="6" bestFit="1" customWidth="1"/>
    <col min="13993" max="14220" width="11.453125" style="6"/>
    <col min="14221" max="14221" width="7" style="6" customWidth="1"/>
    <col min="14222" max="14222" width="10.7265625" style="6" customWidth="1"/>
    <col min="14223" max="14223" width="9.26953125" style="6" customWidth="1"/>
    <col min="14224" max="14247" width="7.26953125" style="6" customWidth="1"/>
    <col min="14248" max="14248" width="11.26953125" style="6" bestFit="1" customWidth="1"/>
    <col min="14249" max="14476" width="11.453125" style="6"/>
    <col min="14477" max="14477" width="7" style="6" customWidth="1"/>
    <col min="14478" max="14478" width="10.7265625" style="6" customWidth="1"/>
    <col min="14479" max="14479" width="9.26953125" style="6" customWidth="1"/>
    <col min="14480" max="14503" width="7.26953125" style="6" customWidth="1"/>
    <col min="14504" max="14504" width="11.26953125" style="6" bestFit="1" customWidth="1"/>
    <col min="14505" max="14732" width="11.453125" style="6"/>
    <col min="14733" max="14733" width="7" style="6" customWidth="1"/>
    <col min="14734" max="14734" width="10.7265625" style="6" customWidth="1"/>
    <col min="14735" max="14735" width="9.26953125" style="6" customWidth="1"/>
    <col min="14736" max="14759" width="7.26953125" style="6" customWidth="1"/>
    <col min="14760" max="14760" width="11.26953125" style="6" bestFit="1" customWidth="1"/>
    <col min="14761" max="14988" width="11.453125" style="6"/>
    <col min="14989" max="14989" width="7" style="6" customWidth="1"/>
    <col min="14990" max="14990" width="10.7265625" style="6" customWidth="1"/>
    <col min="14991" max="14991" width="9.26953125" style="6" customWidth="1"/>
    <col min="14992" max="15015" width="7.26953125" style="6" customWidth="1"/>
    <col min="15016" max="15016" width="11.26953125" style="6" bestFit="1" customWidth="1"/>
    <col min="15017" max="15244" width="11.453125" style="6"/>
    <col min="15245" max="15245" width="7" style="6" customWidth="1"/>
    <col min="15246" max="15246" width="10.7265625" style="6" customWidth="1"/>
    <col min="15247" max="15247" width="9.26953125" style="6" customWidth="1"/>
    <col min="15248" max="15271" width="7.26953125" style="6" customWidth="1"/>
    <col min="15272" max="15272" width="11.26953125" style="6" bestFit="1" customWidth="1"/>
    <col min="15273" max="15500" width="11.453125" style="6"/>
    <col min="15501" max="15501" width="7" style="6" customWidth="1"/>
    <col min="15502" max="15502" width="10.7265625" style="6" customWidth="1"/>
    <col min="15503" max="15503" width="9.26953125" style="6" customWidth="1"/>
    <col min="15504" max="15527" width="7.26953125" style="6" customWidth="1"/>
    <col min="15528" max="15528" width="11.26953125" style="6" bestFit="1" customWidth="1"/>
    <col min="15529" max="15756" width="11.453125" style="6"/>
    <col min="15757" max="15757" width="7" style="6" customWidth="1"/>
    <col min="15758" max="15758" width="10.7265625" style="6" customWidth="1"/>
    <col min="15759" max="15759" width="9.26953125" style="6" customWidth="1"/>
    <col min="15760" max="15783" width="7.26953125" style="6" customWidth="1"/>
    <col min="15784" max="15784" width="11.26953125" style="6" bestFit="1" customWidth="1"/>
    <col min="15785" max="16012" width="11.453125" style="6"/>
    <col min="16013" max="16013" width="7" style="6" customWidth="1"/>
    <col min="16014" max="16014" width="10.7265625" style="6" customWidth="1"/>
    <col min="16015" max="16015" width="9.26953125" style="6" customWidth="1"/>
    <col min="16016" max="16039" width="7.26953125" style="6" customWidth="1"/>
    <col min="16040" max="16040" width="11.26953125" style="6" bestFit="1" customWidth="1"/>
    <col min="16041" max="16384" width="11.453125" style="6"/>
  </cols>
  <sheetData>
    <row r="2" spans="2:31" x14ac:dyDescent="0.25">
      <c r="B2" s="70" t="s">
        <v>45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spans="2:31" x14ac:dyDescent="0.25">
      <c r="B3" s="70" t="s">
        <v>44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spans="2:31" x14ac:dyDescent="0.25">
      <c r="B4" s="70">
        <v>2039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6" spans="2:31" ht="31" x14ac:dyDescent="0.25">
      <c r="B6" s="2" t="s">
        <v>0</v>
      </c>
      <c r="C6" s="3" t="s">
        <v>1</v>
      </c>
      <c r="D6" s="2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  <c r="Z6" s="8" t="s">
        <v>24</v>
      </c>
      <c r="AA6" s="8" t="s">
        <v>25</v>
      </c>
      <c r="AB6" s="8" t="s">
        <v>26</v>
      </c>
      <c r="AC6" s="51" t="s">
        <v>27</v>
      </c>
    </row>
    <row r="7" spans="2:31" ht="12.5" x14ac:dyDescent="0.25">
      <c r="B7" s="65" t="s">
        <v>28</v>
      </c>
      <c r="C7" s="4" t="s">
        <v>29</v>
      </c>
      <c r="D7" s="5">
        <v>20</v>
      </c>
      <c r="E7" s="56">
        <v>6638.35</v>
      </c>
      <c r="F7" s="56">
        <v>6168.77</v>
      </c>
      <c r="G7" s="56">
        <v>5901.96</v>
      </c>
      <c r="H7" s="56">
        <v>5803.16</v>
      </c>
      <c r="I7" s="56">
        <v>6156.77</v>
      </c>
      <c r="J7" s="56">
        <v>7208.41</v>
      </c>
      <c r="K7" s="56">
        <v>8323.14</v>
      </c>
      <c r="L7" s="56">
        <v>8927.07</v>
      </c>
      <c r="M7" s="56">
        <v>9442.73</v>
      </c>
      <c r="N7" s="56">
        <v>9975.56</v>
      </c>
      <c r="O7" s="56">
        <v>10597.11</v>
      </c>
      <c r="P7" s="56">
        <v>11370.95</v>
      </c>
      <c r="Q7" s="56">
        <v>11048.68</v>
      </c>
      <c r="R7" s="56">
        <v>10738.92</v>
      </c>
      <c r="S7" s="56">
        <v>10781.37</v>
      </c>
      <c r="T7" s="56">
        <v>10804.98</v>
      </c>
      <c r="U7" s="56">
        <v>10787.04</v>
      </c>
      <c r="V7" s="56">
        <v>11120.76</v>
      </c>
      <c r="W7" s="56">
        <v>12197.02</v>
      </c>
      <c r="X7" s="56">
        <v>12630.77</v>
      </c>
      <c r="Y7" s="56">
        <v>12018.91</v>
      </c>
      <c r="Z7" s="56">
        <v>10959.58</v>
      </c>
      <c r="AA7" s="56">
        <v>9269.2099999999991</v>
      </c>
      <c r="AB7" s="56">
        <v>7889.75</v>
      </c>
      <c r="AC7" s="66">
        <f>+SUM(E7:AB7)*D7+SUM(E8:AB8)*D8+SUM(E9:AB9)*D9+SUM(E10:AB10)*D10</f>
        <v>6881188.5999999996</v>
      </c>
      <c r="AE7" s="11">
        <f>+AC7</f>
        <v>6881188.5999999996</v>
      </c>
    </row>
    <row r="8" spans="2:31" ht="12.5" x14ac:dyDescent="0.25">
      <c r="B8" s="65" t="s">
        <v>28</v>
      </c>
      <c r="C8" s="4" t="s">
        <v>30</v>
      </c>
      <c r="D8" s="5">
        <v>4</v>
      </c>
      <c r="E8" s="56">
        <v>6931.44</v>
      </c>
      <c r="F8" s="56">
        <v>6328.42</v>
      </c>
      <c r="G8" s="56">
        <v>6016.02</v>
      </c>
      <c r="H8" s="56">
        <v>5873.96</v>
      </c>
      <c r="I8" s="56">
        <v>6025.15</v>
      </c>
      <c r="J8" s="56">
        <v>6500.62</v>
      </c>
      <c r="K8" s="56">
        <v>7271.66</v>
      </c>
      <c r="L8" s="56">
        <v>8356.4699999999993</v>
      </c>
      <c r="M8" s="56">
        <v>9328.89</v>
      </c>
      <c r="N8" s="56">
        <v>10017.219999999999</v>
      </c>
      <c r="O8" s="56">
        <v>10536.21</v>
      </c>
      <c r="P8" s="56">
        <v>11136.41</v>
      </c>
      <c r="Q8" s="56">
        <v>11251.73</v>
      </c>
      <c r="R8" s="56">
        <v>10897.12</v>
      </c>
      <c r="S8" s="56">
        <v>10647.93</v>
      </c>
      <c r="T8" s="56">
        <v>10464.11</v>
      </c>
      <c r="U8" s="56">
        <v>10462.16</v>
      </c>
      <c r="V8" s="56">
        <v>10805.61</v>
      </c>
      <c r="W8" s="56">
        <v>11977.12</v>
      </c>
      <c r="X8" s="56">
        <v>12363.22</v>
      </c>
      <c r="Y8" s="56">
        <v>11782.45</v>
      </c>
      <c r="Z8" s="56">
        <v>10918.62</v>
      </c>
      <c r="AA8" s="56">
        <v>9662.39</v>
      </c>
      <c r="AB8" s="56">
        <v>8447.8700000000008</v>
      </c>
      <c r="AC8" s="67"/>
      <c r="AE8" s="11">
        <f>+AC11</f>
        <v>6532790.2399999993</v>
      </c>
    </row>
    <row r="9" spans="2:31" ht="12.5" x14ac:dyDescent="0.25">
      <c r="B9" s="65" t="s">
        <v>28</v>
      </c>
      <c r="C9" s="4" t="s">
        <v>31</v>
      </c>
      <c r="D9" s="5">
        <v>5</v>
      </c>
      <c r="E9" s="56">
        <v>7226.36</v>
      </c>
      <c r="F9" s="56">
        <v>6609.7</v>
      </c>
      <c r="G9" s="56">
        <v>6243.13</v>
      </c>
      <c r="H9" s="56">
        <v>6018.23</v>
      </c>
      <c r="I9" s="56">
        <v>5999.55</v>
      </c>
      <c r="J9" s="56">
        <v>6120.7</v>
      </c>
      <c r="K9" s="56">
        <v>6416.9</v>
      </c>
      <c r="L9" s="56">
        <v>7122.18</v>
      </c>
      <c r="M9" s="56">
        <v>8060.97</v>
      </c>
      <c r="N9" s="56">
        <v>8768.14</v>
      </c>
      <c r="O9" s="56">
        <v>9395.15</v>
      </c>
      <c r="P9" s="56">
        <v>10025.01</v>
      </c>
      <c r="Q9" s="56">
        <v>10239.91</v>
      </c>
      <c r="R9" s="56">
        <v>9980.2199999999993</v>
      </c>
      <c r="S9" s="56">
        <v>9850.23</v>
      </c>
      <c r="T9" s="56">
        <v>9817.81</v>
      </c>
      <c r="U9" s="56">
        <v>9772.92</v>
      </c>
      <c r="V9" s="56">
        <v>10149.19</v>
      </c>
      <c r="W9" s="56">
        <v>11276.96</v>
      </c>
      <c r="X9" s="56">
        <v>11782.5</v>
      </c>
      <c r="Y9" s="56">
        <v>11303.63</v>
      </c>
      <c r="Z9" s="56">
        <v>10386.290000000001</v>
      </c>
      <c r="AA9" s="56">
        <v>8957.59</v>
      </c>
      <c r="AB9" s="56">
        <v>7679.45</v>
      </c>
      <c r="AC9" s="67"/>
      <c r="AE9" s="11">
        <f>+AC15</f>
        <v>6786084.6100000003</v>
      </c>
    </row>
    <row r="10" spans="2:31" ht="12.5" x14ac:dyDescent="0.25">
      <c r="B10" s="65" t="s">
        <v>28</v>
      </c>
      <c r="C10" s="4" t="s">
        <v>32</v>
      </c>
      <c r="D10" s="5">
        <v>2</v>
      </c>
      <c r="E10" s="56">
        <v>7385.39</v>
      </c>
      <c r="F10" s="56">
        <v>6846.72</v>
      </c>
      <c r="G10" s="56">
        <v>6391.18</v>
      </c>
      <c r="H10" s="56">
        <v>6171.54</v>
      </c>
      <c r="I10" s="56">
        <v>6072.59</v>
      </c>
      <c r="J10" s="56">
        <v>6170.22</v>
      </c>
      <c r="K10" s="56">
        <v>6151.8</v>
      </c>
      <c r="L10" s="56">
        <v>6569.12</v>
      </c>
      <c r="M10" s="56">
        <v>7216.38</v>
      </c>
      <c r="N10" s="56">
        <v>7942.13</v>
      </c>
      <c r="O10" s="56">
        <v>8673.9</v>
      </c>
      <c r="P10" s="56">
        <v>9253.18</v>
      </c>
      <c r="Q10" s="56">
        <v>9639.5300000000007</v>
      </c>
      <c r="R10" s="56">
        <v>9602.32</v>
      </c>
      <c r="S10" s="56">
        <v>9482.1299999999992</v>
      </c>
      <c r="T10" s="56">
        <v>9311.14</v>
      </c>
      <c r="U10" s="56">
        <v>9299.2099999999991</v>
      </c>
      <c r="V10" s="56">
        <v>9872.26</v>
      </c>
      <c r="W10" s="56">
        <v>11079.09</v>
      </c>
      <c r="X10" s="56">
        <v>11535.71</v>
      </c>
      <c r="Y10" s="56">
        <v>11066.58</v>
      </c>
      <c r="Z10" s="56">
        <v>10043.629999999999</v>
      </c>
      <c r="AA10" s="56">
        <v>8679.1</v>
      </c>
      <c r="AB10" s="56">
        <v>7517.35</v>
      </c>
      <c r="AC10" s="68"/>
      <c r="AE10" s="11">
        <f>+AC19</f>
        <v>6766228.4699999988</v>
      </c>
    </row>
    <row r="11" spans="2:31" ht="12.5" x14ac:dyDescent="0.25">
      <c r="B11" s="65" t="s">
        <v>33</v>
      </c>
      <c r="C11" s="4" t="s">
        <v>29</v>
      </c>
      <c r="D11" s="5">
        <v>20</v>
      </c>
      <c r="E11" s="56">
        <v>6764.27</v>
      </c>
      <c r="F11" s="56">
        <v>6284.22</v>
      </c>
      <c r="G11" s="56">
        <v>6057.24</v>
      </c>
      <c r="H11" s="56">
        <v>6008.07</v>
      </c>
      <c r="I11" s="56">
        <v>6494.54</v>
      </c>
      <c r="J11" s="56">
        <v>8191.93</v>
      </c>
      <c r="K11" s="56">
        <v>9551.25</v>
      </c>
      <c r="L11" s="56">
        <v>9626.5</v>
      </c>
      <c r="M11" s="56">
        <v>9942.51</v>
      </c>
      <c r="N11" s="56">
        <v>10344.33</v>
      </c>
      <c r="O11" s="56">
        <v>10933.54</v>
      </c>
      <c r="P11" s="56">
        <v>11587.19</v>
      </c>
      <c r="Q11" s="56">
        <v>11289.33</v>
      </c>
      <c r="R11" s="56">
        <v>11138.61</v>
      </c>
      <c r="S11" s="56">
        <v>11287.52</v>
      </c>
      <c r="T11" s="56">
        <v>11306.1</v>
      </c>
      <c r="U11" s="56">
        <v>11267.52</v>
      </c>
      <c r="V11" s="56">
        <v>11561.95</v>
      </c>
      <c r="W11" s="56">
        <v>12623.05</v>
      </c>
      <c r="X11" s="56">
        <v>13303.15</v>
      </c>
      <c r="Y11" s="56">
        <v>12630.71</v>
      </c>
      <c r="Z11" s="56">
        <v>11443.45</v>
      </c>
      <c r="AA11" s="56">
        <v>9569.1299999999992</v>
      </c>
      <c r="AB11" s="56">
        <v>8062.24</v>
      </c>
      <c r="AC11" s="66">
        <f>+SUM(E11:AB11)*D11+SUM(E12:AB12)*D12+SUM(E13:AB13)*D13+SUM(E14:AB14)*D14</f>
        <v>6532790.2399999993</v>
      </c>
      <c r="AE11" s="11">
        <f>+AC23</f>
        <v>6781357.5600000005</v>
      </c>
    </row>
    <row r="12" spans="2:31" ht="12.5" x14ac:dyDescent="0.25">
      <c r="B12" s="65" t="s">
        <v>33</v>
      </c>
      <c r="C12" s="4" t="s">
        <v>30</v>
      </c>
      <c r="D12" s="5">
        <v>4</v>
      </c>
      <c r="E12" s="56">
        <v>7091.54</v>
      </c>
      <c r="F12" s="56">
        <v>6560.34</v>
      </c>
      <c r="G12" s="56">
        <v>6209.91</v>
      </c>
      <c r="H12" s="56">
        <v>6085.36</v>
      </c>
      <c r="I12" s="56">
        <v>6313.38</v>
      </c>
      <c r="J12" s="56">
        <v>6952.77</v>
      </c>
      <c r="K12" s="56">
        <v>7904.97</v>
      </c>
      <c r="L12" s="56">
        <v>9054.85</v>
      </c>
      <c r="M12" s="56">
        <v>9876.5300000000007</v>
      </c>
      <c r="N12" s="56">
        <v>10515.7</v>
      </c>
      <c r="O12" s="56">
        <v>11066.91</v>
      </c>
      <c r="P12" s="56">
        <v>11519.59</v>
      </c>
      <c r="Q12" s="56">
        <v>11501.81</v>
      </c>
      <c r="R12" s="56">
        <v>11140.48</v>
      </c>
      <c r="S12" s="56">
        <v>10945.66</v>
      </c>
      <c r="T12" s="56">
        <v>10912.49</v>
      </c>
      <c r="U12" s="56">
        <v>10956</v>
      </c>
      <c r="V12" s="56">
        <v>11197.07</v>
      </c>
      <c r="W12" s="56">
        <v>12280.26</v>
      </c>
      <c r="X12" s="56">
        <v>12813.31</v>
      </c>
      <c r="Y12" s="56">
        <v>12177.56</v>
      </c>
      <c r="Z12" s="56">
        <v>11200.16</v>
      </c>
      <c r="AA12" s="56">
        <v>9868.99</v>
      </c>
      <c r="AB12" s="56">
        <v>8509.24</v>
      </c>
      <c r="AC12" s="67"/>
      <c r="AE12" s="11">
        <f>+AC27</f>
        <v>6744570.5399999991</v>
      </c>
    </row>
    <row r="13" spans="2:31" ht="12.5" x14ac:dyDescent="0.25">
      <c r="B13" s="65" t="s">
        <v>33</v>
      </c>
      <c r="C13" s="4" t="s">
        <v>31</v>
      </c>
      <c r="D13" s="5">
        <v>4</v>
      </c>
      <c r="E13" s="56">
        <v>7306.2</v>
      </c>
      <c r="F13" s="56">
        <v>6692.73</v>
      </c>
      <c r="G13" s="56">
        <v>6300.21</v>
      </c>
      <c r="H13" s="56">
        <v>6082.44</v>
      </c>
      <c r="I13" s="56">
        <v>6066.4</v>
      </c>
      <c r="J13" s="56">
        <v>6222.87</v>
      </c>
      <c r="K13" s="56">
        <v>6632.23</v>
      </c>
      <c r="L13" s="56">
        <v>7398.35</v>
      </c>
      <c r="M13" s="56">
        <v>8397.75</v>
      </c>
      <c r="N13" s="56">
        <v>9122.83</v>
      </c>
      <c r="O13" s="56">
        <v>9689.9500000000007</v>
      </c>
      <c r="P13" s="56">
        <v>10369.44</v>
      </c>
      <c r="Q13" s="56">
        <v>10591.24</v>
      </c>
      <c r="R13" s="56">
        <v>10412.66</v>
      </c>
      <c r="S13" s="56">
        <v>10076.83</v>
      </c>
      <c r="T13" s="56">
        <v>9992.0499999999993</v>
      </c>
      <c r="U13" s="56">
        <v>9972.85</v>
      </c>
      <c r="V13" s="56">
        <v>10394.08</v>
      </c>
      <c r="W13" s="56">
        <v>11605.78</v>
      </c>
      <c r="X13" s="56">
        <v>12167.96</v>
      </c>
      <c r="Y13" s="56">
        <v>11701.17</v>
      </c>
      <c r="Z13" s="56">
        <v>10560.39</v>
      </c>
      <c r="AA13" s="56">
        <v>8915.91</v>
      </c>
      <c r="AB13" s="56">
        <v>7528.61</v>
      </c>
      <c r="AC13" s="67"/>
      <c r="AE13" s="11">
        <f>+AC31</f>
        <v>6817972.2800000003</v>
      </c>
    </row>
    <row r="14" spans="2:31" ht="12.5" x14ac:dyDescent="0.25">
      <c r="B14" s="65" t="s">
        <v>33</v>
      </c>
      <c r="C14" s="4" t="s">
        <v>32</v>
      </c>
      <c r="D14" s="5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68"/>
      <c r="AE14" s="11">
        <f>+AC35</f>
        <v>6942448.0599999996</v>
      </c>
    </row>
    <row r="15" spans="2:31" ht="12.5" x14ac:dyDescent="0.25">
      <c r="B15" s="65" t="s">
        <v>34</v>
      </c>
      <c r="C15" s="4" t="s">
        <v>29</v>
      </c>
      <c r="D15" s="5">
        <v>22</v>
      </c>
      <c r="E15" s="56">
        <v>6423.65</v>
      </c>
      <c r="F15" s="56">
        <v>5973.2</v>
      </c>
      <c r="G15" s="56">
        <v>5760.19</v>
      </c>
      <c r="H15" s="56">
        <v>5695.99</v>
      </c>
      <c r="I15" s="56">
        <v>6123.27</v>
      </c>
      <c r="J15" s="56">
        <v>7605.78</v>
      </c>
      <c r="K15" s="56">
        <v>8779.32</v>
      </c>
      <c r="L15" s="56">
        <v>8967.43</v>
      </c>
      <c r="M15" s="56">
        <v>9276.0300000000007</v>
      </c>
      <c r="N15" s="56">
        <v>9653.5400000000009</v>
      </c>
      <c r="O15" s="56">
        <v>10231.58</v>
      </c>
      <c r="P15" s="56">
        <v>10831.76</v>
      </c>
      <c r="Q15" s="56">
        <v>10642.04</v>
      </c>
      <c r="R15" s="56">
        <v>10471.75</v>
      </c>
      <c r="S15" s="56">
        <v>10595</v>
      </c>
      <c r="T15" s="56">
        <v>10590.33</v>
      </c>
      <c r="U15" s="56">
        <v>10549.99</v>
      </c>
      <c r="V15" s="56">
        <v>10823.73</v>
      </c>
      <c r="W15" s="56">
        <v>11852.47</v>
      </c>
      <c r="X15" s="56">
        <v>12531.5</v>
      </c>
      <c r="Y15" s="56">
        <v>11890.39</v>
      </c>
      <c r="Z15" s="56">
        <v>10762.56</v>
      </c>
      <c r="AA15" s="56">
        <v>9119.32</v>
      </c>
      <c r="AB15" s="56">
        <v>7672.94</v>
      </c>
      <c r="AC15" s="66">
        <f>+SUM(E15:AB15)*D15+SUM(E16:AB16)*D16+SUM(E17:AB17)*D17+SUM(E18:AB18)*D18</f>
        <v>6786084.6100000003</v>
      </c>
      <c r="AE15" s="11">
        <f>+AC39</f>
        <v>6764735.2000000002</v>
      </c>
    </row>
    <row r="16" spans="2:31" ht="12.5" x14ac:dyDescent="0.25">
      <c r="B16" s="65" t="s">
        <v>34</v>
      </c>
      <c r="C16" s="4" t="s">
        <v>30</v>
      </c>
      <c r="D16" s="5">
        <v>4</v>
      </c>
      <c r="E16" s="56">
        <v>6654.67</v>
      </c>
      <c r="F16" s="56">
        <v>6126.03</v>
      </c>
      <c r="G16" s="56">
        <v>5848.64</v>
      </c>
      <c r="H16" s="56">
        <v>5716.66</v>
      </c>
      <c r="I16" s="56">
        <v>5926.1</v>
      </c>
      <c r="J16" s="56">
        <v>6489.99</v>
      </c>
      <c r="K16" s="56">
        <v>7409.79</v>
      </c>
      <c r="L16" s="56">
        <v>8508.99</v>
      </c>
      <c r="M16" s="56">
        <v>9181.94</v>
      </c>
      <c r="N16" s="56">
        <v>9760.52</v>
      </c>
      <c r="O16" s="56">
        <v>10284.07</v>
      </c>
      <c r="P16" s="56">
        <v>10750.04</v>
      </c>
      <c r="Q16" s="56">
        <v>10795.96</v>
      </c>
      <c r="R16" s="56">
        <v>10396.73</v>
      </c>
      <c r="S16" s="56">
        <v>10140.23</v>
      </c>
      <c r="T16" s="56">
        <v>10088.39</v>
      </c>
      <c r="U16" s="56">
        <v>10109.1</v>
      </c>
      <c r="V16" s="56">
        <v>10406.31</v>
      </c>
      <c r="W16" s="56">
        <v>11420.92</v>
      </c>
      <c r="X16" s="56">
        <v>12074.42</v>
      </c>
      <c r="Y16" s="56">
        <v>11491.62</v>
      </c>
      <c r="Z16" s="56">
        <v>10612.21</v>
      </c>
      <c r="AA16" s="56">
        <v>9397.76</v>
      </c>
      <c r="AB16" s="56">
        <v>8101.43</v>
      </c>
      <c r="AC16" s="67"/>
      <c r="AE16" s="11">
        <f>+AC43</f>
        <v>6939066.5199999986</v>
      </c>
    </row>
    <row r="17" spans="2:31" ht="12.5" x14ac:dyDescent="0.25">
      <c r="B17" s="65" t="s">
        <v>34</v>
      </c>
      <c r="C17" s="4" t="s">
        <v>31</v>
      </c>
      <c r="D17" s="5">
        <v>4</v>
      </c>
      <c r="E17" s="56">
        <v>6920.69</v>
      </c>
      <c r="F17" s="56">
        <v>6319.85</v>
      </c>
      <c r="G17" s="56">
        <v>5961.45</v>
      </c>
      <c r="H17" s="56">
        <v>5758.33</v>
      </c>
      <c r="I17" s="56">
        <v>5766.15</v>
      </c>
      <c r="J17" s="56">
        <v>5951.52</v>
      </c>
      <c r="K17" s="56">
        <v>6350.4</v>
      </c>
      <c r="L17" s="56">
        <v>7105.58</v>
      </c>
      <c r="M17" s="56">
        <v>8020.3</v>
      </c>
      <c r="N17" s="56">
        <v>8654.33</v>
      </c>
      <c r="O17" s="56">
        <v>9101.44</v>
      </c>
      <c r="P17" s="56">
        <v>9498.6</v>
      </c>
      <c r="Q17" s="56">
        <v>9700.65</v>
      </c>
      <c r="R17" s="56">
        <v>9516</v>
      </c>
      <c r="S17" s="56">
        <v>9242.4699999999993</v>
      </c>
      <c r="T17" s="56">
        <v>9176.52</v>
      </c>
      <c r="U17" s="56">
        <v>9248.64</v>
      </c>
      <c r="V17" s="56">
        <v>9635.7999999999993</v>
      </c>
      <c r="W17" s="56">
        <v>10649.01</v>
      </c>
      <c r="X17" s="56">
        <v>11490.87</v>
      </c>
      <c r="Y17" s="56">
        <v>11117.81</v>
      </c>
      <c r="Z17" s="56">
        <v>10193.36</v>
      </c>
      <c r="AA17" s="56">
        <v>8812.23</v>
      </c>
      <c r="AB17" s="56">
        <v>7432.93</v>
      </c>
      <c r="AC17" s="67"/>
      <c r="AE17" s="11">
        <f>+AC47</f>
        <v>6848945.5600000005</v>
      </c>
    </row>
    <row r="18" spans="2:31" ht="12.5" x14ac:dyDescent="0.25">
      <c r="B18" s="65" t="s">
        <v>34</v>
      </c>
      <c r="C18" s="4" t="s">
        <v>32</v>
      </c>
      <c r="D18" s="5">
        <v>1</v>
      </c>
      <c r="E18" s="56">
        <v>6715.55</v>
      </c>
      <c r="F18" s="56">
        <v>6200.57</v>
      </c>
      <c r="G18" s="56">
        <v>5923.79</v>
      </c>
      <c r="H18" s="56">
        <v>5792.45</v>
      </c>
      <c r="I18" s="56">
        <v>5823.59</v>
      </c>
      <c r="J18" s="56">
        <v>6090.88</v>
      </c>
      <c r="K18" s="56">
        <v>6443.83</v>
      </c>
      <c r="L18" s="56">
        <v>7246.67</v>
      </c>
      <c r="M18" s="56">
        <v>8080</v>
      </c>
      <c r="N18" s="56">
        <v>8724.26</v>
      </c>
      <c r="O18" s="56">
        <v>9434.9</v>
      </c>
      <c r="P18" s="56">
        <v>10119.17</v>
      </c>
      <c r="Q18" s="56">
        <v>10321.26</v>
      </c>
      <c r="R18" s="56">
        <v>10217.700000000001</v>
      </c>
      <c r="S18" s="56">
        <v>9975.1</v>
      </c>
      <c r="T18" s="56">
        <v>9838.59</v>
      </c>
      <c r="U18" s="56">
        <v>9566.34</v>
      </c>
      <c r="V18" s="56">
        <v>9933.9</v>
      </c>
      <c r="W18" s="56">
        <v>11223.59</v>
      </c>
      <c r="X18" s="56">
        <v>11893.53</v>
      </c>
      <c r="Y18" s="56">
        <v>11303.91</v>
      </c>
      <c r="Z18" s="56">
        <v>10038.98</v>
      </c>
      <c r="AA18" s="56">
        <v>8543.2099999999991</v>
      </c>
      <c r="AB18" s="56">
        <v>7240.32</v>
      </c>
      <c r="AC18" s="68"/>
      <c r="AE18" s="11">
        <f>+AC51</f>
        <v>6978631.3499999996</v>
      </c>
    </row>
    <row r="19" spans="2:31" ht="13" x14ac:dyDescent="0.3">
      <c r="B19" s="65" t="s">
        <v>35</v>
      </c>
      <c r="C19" s="4" t="s">
        <v>29</v>
      </c>
      <c r="D19" s="5">
        <v>19</v>
      </c>
      <c r="E19" s="56">
        <v>6699.59</v>
      </c>
      <c r="F19" s="56">
        <v>6224.19</v>
      </c>
      <c r="G19" s="56">
        <v>5986.06</v>
      </c>
      <c r="H19" s="56">
        <v>5935.55</v>
      </c>
      <c r="I19" s="56">
        <v>6400.1</v>
      </c>
      <c r="J19" s="56">
        <v>7873.3</v>
      </c>
      <c r="K19" s="56">
        <v>9001.7099999999991</v>
      </c>
      <c r="L19" s="56">
        <v>9228</v>
      </c>
      <c r="M19" s="56">
        <v>9581.4599999999991</v>
      </c>
      <c r="N19" s="56">
        <v>9945.9599999999991</v>
      </c>
      <c r="O19" s="56">
        <v>10594.96</v>
      </c>
      <c r="P19" s="56">
        <v>11219.71</v>
      </c>
      <c r="Q19" s="56">
        <v>11002.52</v>
      </c>
      <c r="R19" s="56">
        <v>10930.77</v>
      </c>
      <c r="S19" s="56">
        <v>11072.16</v>
      </c>
      <c r="T19" s="56">
        <v>11062.59</v>
      </c>
      <c r="U19" s="56">
        <v>11047.74</v>
      </c>
      <c r="V19" s="56">
        <v>11421.91</v>
      </c>
      <c r="W19" s="56">
        <v>12511.91</v>
      </c>
      <c r="X19" s="56">
        <v>12941.39</v>
      </c>
      <c r="Y19" s="56">
        <v>12259.18</v>
      </c>
      <c r="Z19" s="56">
        <v>11093.88</v>
      </c>
      <c r="AA19" s="56">
        <v>9408.8799999999992</v>
      </c>
      <c r="AB19" s="56">
        <v>7969.68</v>
      </c>
      <c r="AC19" s="66">
        <f>+SUM(E19:AB19)*D19+SUM(E20:AB20)*D20+SUM(E21:AB21)*D21+SUM(E22:AB22)*D22</f>
        <v>6766228.4699999988</v>
      </c>
      <c r="AE19" s="12">
        <f>SUM(AE7:AE18)</f>
        <v>81784018.989999995</v>
      </c>
    </row>
    <row r="20" spans="2:31" ht="12.5" x14ac:dyDescent="0.25">
      <c r="B20" s="65" t="s">
        <v>35</v>
      </c>
      <c r="C20" s="4" t="s">
        <v>30</v>
      </c>
      <c r="D20" s="5">
        <v>5</v>
      </c>
      <c r="E20" s="56">
        <v>6960.53</v>
      </c>
      <c r="F20" s="56">
        <v>6401.36</v>
      </c>
      <c r="G20" s="56">
        <v>6103.71</v>
      </c>
      <c r="H20" s="56">
        <v>5992.13</v>
      </c>
      <c r="I20" s="56">
        <v>6155.37</v>
      </c>
      <c r="J20" s="56">
        <v>6608.5</v>
      </c>
      <c r="K20" s="56">
        <v>7478.86</v>
      </c>
      <c r="L20" s="56">
        <v>8533.17</v>
      </c>
      <c r="M20" s="56">
        <v>9327.9</v>
      </c>
      <c r="N20" s="56">
        <v>9912.35</v>
      </c>
      <c r="O20" s="56">
        <v>10492.2</v>
      </c>
      <c r="P20" s="56">
        <v>11079.09</v>
      </c>
      <c r="Q20" s="56">
        <v>11089.41</v>
      </c>
      <c r="R20" s="56">
        <v>10788.51</v>
      </c>
      <c r="S20" s="56">
        <v>10555.54</v>
      </c>
      <c r="T20" s="56">
        <v>10471.68</v>
      </c>
      <c r="U20" s="56">
        <v>10490.45</v>
      </c>
      <c r="V20" s="56">
        <v>10854.1</v>
      </c>
      <c r="W20" s="56">
        <v>11890.67</v>
      </c>
      <c r="X20" s="56">
        <v>12386.03</v>
      </c>
      <c r="Y20" s="56">
        <v>11720.2</v>
      </c>
      <c r="Z20" s="56">
        <v>10831.42</v>
      </c>
      <c r="AA20" s="56">
        <v>9654.49</v>
      </c>
      <c r="AB20" s="56">
        <v>8425.58</v>
      </c>
      <c r="AC20" s="67"/>
    </row>
    <row r="21" spans="2:31" ht="12.5" x14ac:dyDescent="0.25">
      <c r="B21" s="65" t="s">
        <v>35</v>
      </c>
      <c r="C21" s="4" t="s">
        <v>31</v>
      </c>
      <c r="D21" s="5">
        <v>2</v>
      </c>
      <c r="E21" s="56">
        <v>7277.33</v>
      </c>
      <c r="F21" s="56">
        <v>6657.51</v>
      </c>
      <c r="G21" s="56">
        <v>6285.4</v>
      </c>
      <c r="H21" s="56">
        <v>6035.48</v>
      </c>
      <c r="I21" s="56">
        <v>6020.43</v>
      </c>
      <c r="J21" s="56">
        <v>6124.25</v>
      </c>
      <c r="K21" s="56">
        <v>6494.63</v>
      </c>
      <c r="L21" s="56">
        <v>7304.47</v>
      </c>
      <c r="M21" s="56">
        <v>8192.5400000000009</v>
      </c>
      <c r="N21" s="56">
        <v>8844.23</v>
      </c>
      <c r="O21" s="56">
        <v>9491.43</v>
      </c>
      <c r="P21" s="56">
        <v>9987.2900000000009</v>
      </c>
      <c r="Q21" s="56">
        <v>10250.91</v>
      </c>
      <c r="R21" s="56">
        <v>10079.48</v>
      </c>
      <c r="S21" s="56">
        <v>9851.11</v>
      </c>
      <c r="T21" s="56">
        <v>9656.1299999999992</v>
      </c>
      <c r="U21" s="56">
        <v>9708.9599999999991</v>
      </c>
      <c r="V21" s="56">
        <v>9992.08</v>
      </c>
      <c r="W21" s="56">
        <v>11551.91</v>
      </c>
      <c r="X21" s="56">
        <v>11994.81</v>
      </c>
      <c r="Y21" s="56">
        <v>11480.9</v>
      </c>
      <c r="Z21" s="56">
        <v>10422.19</v>
      </c>
      <c r="AA21" s="56">
        <v>8907.27</v>
      </c>
      <c r="AB21" s="56">
        <v>7567.57</v>
      </c>
      <c r="AC21" s="67"/>
    </row>
    <row r="22" spans="2:31" ht="12.5" x14ac:dyDescent="0.25">
      <c r="B22" s="65" t="s">
        <v>35</v>
      </c>
      <c r="C22" s="4" t="s">
        <v>32</v>
      </c>
      <c r="D22" s="5">
        <v>4</v>
      </c>
      <c r="E22" s="56">
        <v>6957.61</v>
      </c>
      <c r="F22" s="56">
        <v>6387.42</v>
      </c>
      <c r="G22" s="56">
        <v>6059.52</v>
      </c>
      <c r="H22" s="56">
        <v>5848.96</v>
      </c>
      <c r="I22" s="56">
        <v>5946.12</v>
      </c>
      <c r="J22" s="56">
        <v>6098.81</v>
      </c>
      <c r="K22" s="56">
        <v>6541.2</v>
      </c>
      <c r="L22" s="56">
        <v>7510.71</v>
      </c>
      <c r="M22" s="56">
        <v>8248.83</v>
      </c>
      <c r="N22" s="56">
        <v>8699.39</v>
      </c>
      <c r="O22" s="56">
        <v>9099.4</v>
      </c>
      <c r="P22" s="56">
        <v>9755.9599999999991</v>
      </c>
      <c r="Q22" s="56">
        <v>10090.65</v>
      </c>
      <c r="R22" s="56">
        <v>9893.7000000000007</v>
      </c>
      <c r="S22" s="56">
        <v>9618.14</v>
      </c>
      <c r="T22" s="56">
        <v>9558.23</v>
      </c>
      <c r="U22" s="56">
        <v>9520.25</v>
      </c>
      <c r="V22" s="56">
        <v>9933.7199999999993</v>
      </c>
      <c r="W22" s="56">
        <v>10983.6</v>
      </c>
      <c r="X22" s="56">
        <v>11530.9</v>
      </c>
      <c r="Y22" s="56">
        <v>10991.33</v>
      </c>
      <c r="Z22" s="56">
        <v>10355.530000000001</v>
      </c>
      <c r="AA22" s="56">
        <v>9274.74</v>
      </c>
      <c r="AB22" s="56">
        <v>8096.48</v>
      </c>
      <c r="AC22" s="68"/>
    </row>
    <row r="23" spans="2:31" ht="12.5" x14ac:dyDescent="0.25">
      <c r="B23" s="65" t="s">
        <v>36</v>
      </c>
      <c r="C23" s="4" t="s">
        <v>29</v>
      </c>
      <c r="D23" s="5">
        <v>21</v>
      </c>
      <c r="E23" s="56">
        <v>6450.05</v>
      </c>
      <c r="F23" s="56">
        <v>6110.03</v>
      </c>
      <c r="G23" s="56">
        <v>5824.31</v>
      </c>
      <c r="H23" s="56">
        <v>5742.82</v>
      </c>
      <c r="I23" s="56">
        <v>6185.39</v>
      </c>
      <c r="J23" s="56">
        <v>7528.46</v>
      </c>
      <c r="K23" s="56">
        <v>8649.81</v>
      </c>
      <c r="L23" s="56">
        <v>8899.06</v>
      </c>
      <c r="M23" s="56">
        <v>9229.85</v>
      </c>
      <c r="N23" s="56">
        <v>9662.2999999999993</v>
      </c>
      <c r="O23" s="56">
        <v>10274.700000000001</v>
      </c>
      <c r="P23" s="56">
        <v>10900.72</v>
      </c>
      <c r="Q23" s="56">
        <v>10693.57</v>
      </c>
      <c r="R23" s="56">
        <v>10599.56</v>
      </c>
      <c r="S23" s="56">
        <v>10758.02</v>
      </c>
      <c r="T23" s="56">
        <v>10754.82</v>
      </c>
      <c r="U23" s="56">
        <v>10567.36</v>
      </c>
      <c r="V23" s="56">
        <v>11063.18</v>
      </c>
      <c r="W23" s="56">
        <v>12133.59</v>
      </c>
      <c r="X23" s="56">
        <v>12460.73</v>
      </c>
      <c r="Y23" s="56">
        <v>11888.35</v>
      </c>
      <c r="Z23" s="56">
        <v>10633.36</v>
      </c>
      <c r="AA23" s="56">
        <v>9117.89</v>
      </c>
      <c r="AB23" s="56">
        <v>7716.87</v>
      </c>
      <c r="AC23" s="66">
        <f>+SUM(E23:AB23)*D23+SUM(E24:AB24)*D24+SUM(E25:AB25)*D25+SUM(E26:AB26)*D26</f>
        <v>6781357.5600000005</v>
      </c>
    </row>
    <row r="24" spans="2:31" ht="12.5" x14ac:dyDescent="0.25">
      <c r="B24" s="65" t="s">
        <v>36</v>
      </c>
      <c r="C24" s="4" t="s">
        <v>30</v>
      </c>
      <c r="D24" s="5">
        <v>4</v>
      </c>
      <c r="E24" s="56">
        <v>6815.67</v>
      </c>
      <c r="F24" s="56">
        <v>6281.2</v>
      </c>
      <c r="G24" s="56">
        <v>5964.39</v>
      </c>
      <c r="H24" s="56">
        <v>5840.04</v>
      </c>
      <c r="I24" s="56">
        <v>6005.17</v>
      </c>
      <c r="J24" s="56">
        <v>6399.39</v>
      </c>
      <c r="K24" s="56">
        <v>7241.97</v>
      </c>
      <c r="L24" s="56">
        <v>8355.3700000000008</v>
      </c>
      <c r="M24" s="56">
        <v>9167.32</v>
      </c>
      <c r="N24" s="56">
        <v>9767.0499999999993</v>
      </c>
      <c r="O24" s="56">
        <v>10280.879999999999</v>
      </c>
      <c r="P24" s="56">
        <v>10716.38</v>
      </c>
      <c r="Q24" s="56">
        <v>10712.03</v>
      </c>
      <c r="R24" s="56">
        <v>10418.959999999999</v>
      </c>
      <c r="S24" s="56">
        <v>10224.75</v>
      </c>
      <c r="T24" s="56">
        <v>10021.02</v>
      </c>
      <c r="U24" s="56">
        <v>10089.49</v>
      </c>
      <c r="V24" s="56">
        <v>10479.82</v>
      </c>
      <c r="W24" s="56">
        <v>11354.24</v>
      </c>
      <c r="X24" s="56">
        <v>11719.48</v>
      </c>
      <c r="Y24" s="56">
        <v>11143.41</v>
      </c>
      <c r="Z24" s="56">
        <v>10233.33</v>
      </c>
      <c r="AA24" s="56">
        <v>9179.02</v>
      </c>
      <c r="AB24" s="56">
        <v>7977.73</v>
      </c>
      <c r="AC24" s="67"/>
    </row>
    <row r="25" spans="2:31" ht="12.5" x14ac:dyDescent="0.25">
      <c r="B25" s="65" t="s">
        <v>36</v>
      </c>
      <c r="C25" s="4" t="s">
        <v>31</v>
      </c>
      <c r="D25" s="5">
        <v>4</v>
      </c>
      <c r="E25" s="56">
        <v>6841.16</v>
      </c>
      <c r="F25" s="56">
        <v>6291.97</v>
      </c>
      <c r="G25" s="56">
        <v>5956.71</v>
      </c>
      <c r="H25" s="56">
        <v>5735.23</v>
      </c>
      <c r="I25" s="56">
        <v>5784.54</v>
      </c>
      <c r="J25" s="56">
        <v>5816.12</v>
      </c>
      <c r="K25" s="56">
        <v>6307.39</v>
      </c>
      <c r="L25" s="56">
        <v>7110.14</v>
      </c>
      <c r="M25" s="56">
        <v>7956.18</v>
      </c>
      <c r="N25" s="56">
        <v>8579.9500000000007</v>
      </c>
      <c r="O25" s="56">
        <v>9103.27</v>
      </c>
      <c r="P25" s="56">
        <v>9511.25</v>
      </c>
      <c r="Q25" s="56">
        <v>9648.93</v>
      </c>
      <c r="R25" s="56">
        <v>9532.2800000000007</v>
      </c>
      <c r="S25" s="56">
        <v>9187.52</v>
      </c>
      <c r="T25" s="56">
        <v>9035.5</v>
      </c>
      <c r="U25" s="56">
        <v>9094.56</v>
      </c>
      <c r="V25" s="56">
        <v>9586.2199999999993</v>
      </c>
      <c r="W25" s="56">
        <v>10664.05</v>
      </c>
      <c r="X25" s="56">
        <v>11194.12</v>
      </c>
      <c r="Y25" s="56">
        <v>10786.54</v>
      </c>
      <c r="Z25" s="56">
        <v>9922.42</v>
      </c>
      <c r="AA25" s="56">
        <v>8549.01</v>
      </c>
      <c r="AB25" s="56">
        <v>7379.48</v>
      </c>
      <c r="AC25" s="67"/>
    </row>
    <row r="26" spans="2:31" ht="12.5" x14ac:dyDescent="0.25">
      <c r="B26" s="65" t="s">
        <v>36</v>
      </c>
      <c r="C26" s="4" t="s">
        <v>32</v>
      </c>
      <c r="D26" s="5">
        <v>2</v>
      </c>
      <c r="E26" s="56">
        <v>6676</v>
      </c>
      <c r="F26" s="56">
        <v>6159.59</v>
      </c>
      <c r="G26" s="56">
        <v>5884.47</v>
      </c>
      <c r="H26" s="56">
        <v>5727.33</v>
      </c>
      <c r="I26" s="56">
        <v>5830.56</v>
      </c>
      <c r="J26" s="56">
        <v>6026.85</v>
      </c>
      <c r="K26" s="56">
        <v>6489.55</v>
      </c>
      <c r="L26" s="56">
        <v>7362.75</v>
      </c>
      <c r="M26" s="56">
        <v>8147.66</v>
      </c>
      <c r="N26" s="56">
        <v>8936.17</v>
      </c>
      <c r="O26" s="56">
        <v>9577.7900000000009</v>
      </c>
      <c r="P26" s="56">
        <v>10371.25</v>
      </c>
      <c r="Q26" s="56">
        <v>10608.32</v>
      </c>
      <c r="R26" s="56">
        <v>10331.64</v>
      </c>
      <c r="S26" s="56">
        <v>9852.6</v>
      </c>
      <c r="T26" s="56">
        <v>9771.44</v>
      </c>
      <c r="U26" s="56">
        <v>9609.4599999999991</v>
      </c>
      <c r="V26" s="56">
        <v>10218.719999999999</v>
      </c>
      <c r="W26" s="56">
        <v>11285.45</v>
      </c>
      <c r="X26" s="56">
        <v>11729.51</v>
      </c>
      <c r="Y26" s="56">
        <v>11184.98</v>
      </c>
      <c r="Z26" s="56">
        <v>10230.42</v>
      </c>
      <c r="AA26" s="56">
        <v>8811.08</v>
      </c>
      <c r="AB26" s="56">
        <v>7559.49</v>
      </c>
      <c r="AC26" s="68"/>
    </row>
    <row r="27" spans="2:31" ht="12.5" x14ac:dyDescent="0.25">
      <c r="B27" s="65" t="s">
        <v>37</v>
      </c>
      <c r="C27" s="4" t="s">
        <v>29</v>
      </c>
      <c r="D27" s="5">
        <v>20</v>
      </c>
      <c r="E27" s="56">
        <v>6568.31</v>
      </c>
      <c r="F27" s="56">
        <v>6108.85</v>
      </c>
      <c r="G27" s="56">
        <v>5883.15</v>
      </c>
      <c r="H27" s="56">
        <v>5814.65</v>
      </c>
      <c r="I27" s="56">
        <v>6228.86</v>
      </c>
      <c r="J27" s="56">
        <v>7353.21</v>
      </c>
      <c r="K27" s="56">
        <v>8558.59</v>
      </c>
      <c r="L27" s="56">
        <v>9203.75</v>
      </c>
      <c r="M27" s="56">
        <v>9619.52</v>
      </c>
      <c r="N27" s="56">
        <v>10160.049999999999</v>
      </c>
      <c r="O27" s="56">
        <v>10822.22</v>
      </c>
      <c r="P27" s="56">
        <v>11468.71</v>
      </c>
      <c r="Q27" s="56">
        <v>11311.71</v>
      </c>
      <c r="R27" s="56">
        <v>11096.56</v>
      </c>
      <c r="S27" s="56">
        <v>11153.71</v>
      </c>
      <c r="T27" s="56">
        <v>11054.68</v>
      </c>
      <c r="U27" s="56">
        <v>11014.77</v>
      </c>
      <c r="V27" s="56">
        <v>11259.82</v>
      </c>
      <c r="W27" s="56">
        <v>12244.1</v>
      </c>
      <c r="X27" s="56">
        <v>12782.13</v>
      </c>
      <c r="Y27" s="56">
        <v>12125.09</v>
      </c>
      <c r="Z27" s="56">
        <v>10978.24</v>
      </c>
      <c r="AA27" s="56">
        <v>9339.65</v>
      </c>
      <c r="AB27" s="56">
        <v>7860.57</v>
      </c>
      <c r="AC27" s="66">
        <f>+SUM(E27:AB27)*D27+SUM(E28:AB28)*D28+SUM(E29:AB29)*D29+SUM(E30:AB30)*D30</f>
        <v>6744570.5399999991</v>
      </c>
    </row>
    <row r="28" spans="2:31" ht="12.5" x14ac:dyDescent="0.25">
      <c r="B28" s="65" t="s">
        <v>37</v>
      </c>
      <c r="C28" s="4" t="s">
        <v>30</v>
      </c>
      <c r="D28" s="5">
        <v>4</v>
      </c>
      <c r="E28" s="56">
        <v>6800.58</v>
      </c>
      <c r="F28" s="56">
        <v>6277.97</v>
      </c>
      <c r="G28" s="56">
        <v>5981.28</v>
      </c>
      <c r="H28" s="56">
        <v>5841.33</v>
      </c>
      <c r="I28" s="56">
        <v>6052.06</v>
      </c>
      <c r="J28" s="56">
        <v>6498.39</v>
      </c>
      <c r="K28" s="56">
        <v>7456.55</v>
      </c>
      <c r="L28" s="56">
        <v>8713.5300000000007</v>
      </c>
      <c r="M28" s="56">
        <v>9553.31</v>
      </c>
      <c r="N28" s="56">
        <v>10150.969999999999</v>
      </c>
      <c r="O28" s="56">
        <v>10732.09</v>
      </c>
      <c r="P28" s="56">
        <v>11193</v>
      </c>
      <c r="Q28" s="56">
        <v>11199.77</v>
      </c>
      <c r="R28" s="56">
        <v>10826.86</v>
      </c>
      <c r="S28" s="56">
        <v>10491.74</v>
      </c>
      <c r="T28" s="56">
        <v>10345.59</v>
      </c>
      <c r="U28" s="56">
        <v>10255.700000000001</v>
      </c>
      <c r="V28" s="56">
        <v>10663.89</v>
      </c>
      <c r="W28" s="56">
        <v>11600.03</v>
      </c>
      <c r="X28" s="56">
        <v>12244.51</v>
      </c>
      <c r="Y28" s="56">
        <v>11682.68</v>
      </c>
      <c r="Z28" s="56">
        <v>10766.07</v>
      </c>
      <c r="AA28" s="56">
        <v>9564.7999999999993</v>
      </c>
      <c r="AB28" s="56">
        <v>8267.5300000000007</v>
      </c>
      <c r="AC28" s="67"/>
    </row>
    <row r="29" spans="2:31" ht="12.5" x14ac:dyDescent="0.25">
      <c r="B29" s="65" t="s">
        <v>37</v>
      </c>
      <c r="C29" s="4" t="s">
        <v>31</v>
      </c>
      <c r="D29" s="5">
        <v>4</v>
      </c>
      <c r="E29" s="56">
        <v>7149.18</v>
      </c>
      <c r="F29" s="56">
        <v>6527.05</v>
      </c>
      <c r="G29" s="56">
        <v>6162.69</v>
      </c>
      <c r="H29" s="56">
        <v>5974.91</v>
      </c>
      <c r="I29" s="56">
        <v>5950.1</v>
      </c>
      <c r="J29" s="56">
        <v>6016.57</v>
      </c>
      <c r="K29" s="56">
        <v>6461.77</v>
      </c>
      <c r="L29" s="56">
        <v>7417.09</v>
      </c>
      <c r="M29" s="56">
        <v>8356.5499999999993</v>
      </c>
      <c r="N29" s="56">
        <v>9112.1299999999992</v>
      </c>
      <c r="O29" s="56">
        <v>9622.4</v>
      </c>
      <c r="P29" s="56">
        <v>10079.48</v>
      </c>
      <c r="Q29" s="56">
        <v>10198.98</v>
      </c>
      <c r="R29" s="56">
        <v>9979.73</v>
      </c>
      <c r="S29" s="56">
        <v>9607.65</v>
      </c>
      <c r="T29" s="56">
        <v>9483.74</v>
      </c>
      <c r="U29" s="56">
        <v>9479.58</v>
      </c>
      <c r="V29" s="56">
        <v>9864.81</v>
      </c>
      <c r="W29" s="56">
        <v>10834.82</v>
      </c>
      <c r="X29" s="56">
        <v>11563.78</v>
      </c>
      <c r="Y29" s="56">
        <v>11179.54</v>
      </c>
      <c r="Z29" s="56">
        <v>10309.56</v>
      </c>
      <c r="AA29" s="56">
        <v>9038.44</v>
      </c>
      <c r="AB29" s="56">
        <v>7730.16</v>
      </c>
      <c r="AC29" s="67"/>
    </row>
    <row r="30" spans="2:31" ht="12.5" x14ac:dyDescent="0.25">
      <c r="B30" s="65" t="s">
        <v>37</v>
      </c>
      <c r="C30" s="4" t="s">
        <v>32</v>
      </c>
      <c r="D30" s="5">
        <v>2</v>
      </c>
      <c r="E30" s="56">
        <v>6754.4</v>
      </c>
      <c r="F30" s="56">
        <v>6235.51</v>
      </c>
      <c r="G30" s="56">
        <v>5932.53</v>
      </c>
      <c r="H30" s="56">
        <v>5786.02</v>
      </c>
      <c r="I30" s="56">
        <v>5858.03</v>
      </c>
      <c r="J30" s="56">
        <v>6025</v>
      </c>
      <c r="K30" s="56">
        <v>6392.69</v>
      </c>
      <c r="L30" s="56">
        <v>7316.94</v>
      </c>
      <c r="M30" s="56">
        <v>8033.63</v>
      </c>
      <c r="N30" s="56">
        <v>8745.6200000000008</v>
      </c>
      <c r="O30" s="56">
        <v>9676.0300000000007</v>
      </c>
      <c r="P30" s="56">
        <v>10335.870000000001</v>
      </c>
      <c r="Q30" s="56">
        <v>10666.94</v>
      </c>
      <c r="R30" s="56">
        <v>10371.14</v>
      </c>
      <c r="S30" s="56">
        <v>10054.870000000001</v>
      </c>
      <c r="T30" s="56">
        <v>9853.74</v>
      </c>
      <c r="U30" s="56">
        <v>9753.82</v>
      </c>
      <c r="V30" s="56">
        <v>10133.57</v>
      </c>
      <c r="W30" s="56">
        <v>11212.51</v>
      </c>
      <c r="X30" s="56">
        <v>11982.66</v>
      </c>
      <c r="Y30" s="56">
        <v>11490.53</v>
      </c>
      <c r="Z30" s="56">
        <v>10483.15</v>
      </c>
      <c r="AA30" s="56">
        <v>8980.2099999999991</v>
      </c>
      <c r="AB30" s="56">
        <v>7578.98</v>
      </c>
      <c r="AC30" s="68"/>
    </row>
    <row r="31" spans="2:31" ht="12.5" x14ac:dyDescent="0.25">
      <c r="B31" s="65" t="s">
        <v>38</v>
      </c>
      <c r="C31" s="4" t="s">
        <v>29</v>
      </c>
      <c r="D31" s="5">
        <v>18</v>
      </c>
      <c r="E31" s="56">
        <v>6584.02</v>
      </c>
      <c r="F31" s="56">
        <v>6122.1</v>
      </c>
      <c r="G31" s="56">
        <v>5890.74</v>
      </c>
      <c r="H31" s="56">
        <v>5835.53</v>
      </c>
      <c r="I31" s="56">
        <v>6251.43</v>
      </c>
      <c r="J31" s="56">
        <v>7544.51</v>
      </c>
      <c r="K31" s="56">
        <v>8695.35</v>
      </c>
      <c r="L31" s="56">
        <v>9043.06</v>
      </c>
      <c r="M31" s="56">
        <v>9426.9</v>
      </c>
      <c r="N31" s="56">
        <v>9930.82</v>
      </c>
      <c r="O31" s="56">
        <v>10486.11</v>
      </c>
      <c r="P31" s="56">
        <v>11238.06</v>
      </c>
      <c r="Q31" s="56">
        <v>11001.43</v>
      </c>
      <c r="R31" s="56">
        <v>10838.5</v>
      </c>
      <c r="S31" s="56">
        <v>10927.14</v>
      </c>
      <c r="T31" s="56">
        <v>10855.36</v>
      </c>
      <c r="U31" s="56">
        <v>10746.77</v>
      </c>
      <c r="V31" s="56">
        <v>11020</v>
      </c>
      <c r="W31" s="56">
        <v>11833.88</v>
      </c>
      <c r="X31" s="56">
        <v>12675.05</v>
      </c>
      <c r="Y31" s="56">
        <v>12089.55</v>
      </c>
      <c r="Z31" s="56">
        <v>10980.13</v>
      </c>
      <c r="AA31" s="56">
        <v>9296.92</v>
      </c>
      <c r="AB31" s="56">
        <v>7866.76</v>
      </c>
      <c r="AC31" s="66">
        <f>+SUM(E31:AB31)*D31+SUM(E32:AB32)*D32+SUM(E33:AB33)*D33+SUM(E34:AB34)*D34</f>
        <v>6817972.2800000003</v>
      </c>
    </row>
    <row r="32" spans="2:31" ht="12.5" x14ac:dyDescent="0.25">
      <c r="B32" s="65" t="s">
        <v>38</v>
      </c>
      <c r="C32" s="4" t="s">
        <v>30</v>
      </c>
      <c r="D32" s="5">
        <v>5</v>
      </c>
      <c r="E32" s="56">
        <v>6886.42</v>
      </c>
      <c r="F32" s="56">
        <v>6357.48</v>
      </c>
      <c r="G32" s="56">
        <v>6044.15</v>
      </c>
      <c r="H32" s="56">
        <v>5932.84</v>
      </c>
      <c r="I32" s="56">
        <v>6091.41</v>
      </c>
      <c r="J32" s="56">
        <v>6502.35</v>
      </c>
      <c r="K32" s="56">
        <v>7374.69</v>
      </c>
      <c r="L32" s="56">
        <v>8558.8700000000008</v>
      </c>
      <c r="M32" s="56">
        <v>9405.34</v>
      </c>
      <c r="N32" s="56">
        <v>10010.25</v>
      </c>
      <c r="O32" s="56">
        <v>10475.370000000001</v>
      </c>
      <c r="P32" s="56">
        <v>11011.36</v>
      </c>
      <c r="Q32" s="56">
        <v>11063.89</v>
      </c>
      <c r="R32" s="56">
        <v>10718.9</v>
      </c>
      <c r="S32" s="56">
        <v>10434.65</v>
      </c>
      <c r="T32" s="56">
        <v>10195.379999999999</v>
      </c>
      <c r="U32" s="56">
        <v>10056.030000000001</v>
      </c>
      <c r="V32" s="56">
        <v>10476.57</v>
      </c>
      <c r="W32" s="56">
        <v>11229.38</v>
      </c>
      <c r="X32" s="56">
        <v>12018.9</v>
      </c>
      <c r="Y32" s="56">
        <v>11440.65</v>
      </c>
      <c r="Z32" s="56">
        <v>10511.19</v>
      </c>
      <c r="AA32" s="56">
        <v>9282.2199999999993</v>
      </c>
      <c r="AB32" s="56">
        <v>8095.06</v>
      </c>
      <c r="AC32" s="67"/>
    </row>
    <row r="33" spans="2:29" ht="12.5" x14ac:dyDescent="0.25">
      <c r="B33" s="65" t="s">
        <v>38</v>
      </c>
      <c r="C33" s="4" t="s">
        <v>31</v>
      </c>
      <c r="D33" s="5">
        <v>5</v>
      </c>
      <c r="E33" s="56">
        <v>6847.95</v>
      </c>
      <c r="F33" s="56">
        <v>6283.37</v>
      </c>
      <c r="G33" s="56">
        <v>5942.61</v>
      </c>
      <c r="H33" s="56">
        <v>5774.04</v>
      </c>
      <c r="I33" s="56">
        <v>5748.86</v>
      </c>
      <c r="J33" s="56">
        <v>5825.49</v>
      </c>
      <c r="K33" s="56">
        <v>6271.47</v>
      </c>
      <c r="L33" s="56">
        <v>7115.74</v>
      </c>
      <c r="M33" s="56">
        <v>8047.12</v>
      </c>
      <c r="N33" s="56">
        <v>8693.59</v>
      </c>
      <c r="O33" s="56">
        <v>9196.17</v>
      </c>
      <c r="P33" s="56">
        <v>9824.7099999999991</v>
      </c>
      <c r="Q33" s="56">
        <v>9944.34</v>
      </c>
      <c r="R33" s="56">
        <v>9817.15</v>
      </c>
      <c r="S33" s="56">
        <v>9539.61</v>
      </c>
      <c r="T33" s="56">
        <v>9372.09</v>
      </c>
      <c r="U33" s="56">
        <v>9278.7999999999993</v>
      </c>
      <c r="V33" s="56">
        <v>9605.5300000000007</v>
      </c>
      <c r="W33" s="56">
        <v>10555.07</v>
      </c>
      <c r="X33" s="56">
        <v>11551.63</v>
      </c>
      <c r="Y33" s="56">
        <v>11191.39</v>
      </c>
      <c r="Z33" s="56">
        <v>10230.299999999999</v>
      </c>
      <c r="AA33" s="56">
        <v>8741.81</v>
      </c>
      <c r="AB33" s="56">
        <v>7420.56</v>
      </c>
      <c r="AC33" s="67"/>
    </row>
    <row r="34" spans="2:29" ht="12.5" x14ac:dyDescent="0.25">
      <c r="B34" s="65" t="s">
        <v>38</v>
      </c>
      <c r="C34" s="4" t="s">
        <v>32</v>
      </c>
      <c r="D34" s="5">
        <v>3</v>
      </c>
      <c r="E34" s="56">
        <v>7111.36</v>
      </c>
      <c r="F34" s="56">
        <v>6530.39</v>
      </c>
      <c r="G34" s="56">
        <v>6144.84</v>
      </c>
      <c r="H34" s="56">
        <v>5883.37</v>
      </c>
      <c r="I34" s="56">
        <v>5908.71</v>
      </c>
      <c r="J34" s="56">
        <v>5917.28</v>
      </c>
      <c r="K34" s="56">
        <v>6389.46</v>
      </c>
      <c r="L34" s="56">
        <v>7266.23</v>
      </c>
      <c r="M34" s="56">
        <v>8224.5300000000007</v>
      </c>
      <c r="N34" s="56">
        <v>8784.2000000000007</v>
      </c>
      <c r="O34" s="56">
        <v>9098.64</v>
      </c>
      <c r="P34" s="56">
        <v>9816.49</v>
      </c>
      <c r="Q34" s="56">
        <v>10026.33</v>
      </c>
      <c r="R34" s="56">
        <v>9907.99</v>
      </c>
      <c r="S34" s="56">
        <v>9418.1299999999992</v>
      </c>
      <c r="T34" s="56">
        <v>9258.75</v>
      </c>
      <c r="U34" s="56">
        <v>9210.3799999999992</v>
      </c>
      <c r="V34" s="56">
        <v>9598.11</v>
      </c>
      <c r="W34" s="56">
        <v>10462.58</v>
      </c>
      <c r="X34" s="56">
        <v>11550.08</v>
      </c>
      <c r="Y34" s="56">
        <v>11305.78</v>
      </c>
      <c r="Z34" s="56">
        <v>10303.82</v>
      </c>
      <c r="AA34" s="56">
        <v>8850.51</v>
      </c>
      <c r="AB34" s="56">
        <v>7620.83</v>
      </c>
      <c r="AC34" s="68"/>
    </row>
    <row r="35" spans="2:29" ht="12.5" x14ac:dyDescent="0.25">
      <c r="B35" s="65" t="s">
        <v>39</v>
      </c>
      <c r="C35" s="4" t="s">
        <v>29</v>
      </c>
      <c r="D35" s="5">
        <v>22</v>
      </c>
      <c r="E35" s="56">
        <v>6608.11</v>
      </c>
      <c r="F35" s="56">
        <v>6122.21</v>
      </c>
      <c r="G35" s="56">
        <v>5896.41</v>
      </c>
      <c r="H35" s="56">
        <v>5830.89</v>
      </c>
      <c r="I35" s="56">
        <v>6293.31</v>
      </c>
      <c r="J35" s="56">
        <v>7738.83</v>
      </c>
      <c r="K35" s="56">
        <v>8955.91</v>
      </c>
      <c r="L35" s="56">
        <v>9177.56</v>
      </c>
      <c r="M35" s="56">
        <v>9466.7099999999991</v>
      </c>
      <c r="N35" s="56">
        <v>9888.2099999999991</v>
      </c>
      <c r="O35" s="56">
        <v>10466.34</v>
      </c>
      <c r="P35" s="56">
        <v>11092.48</v>
      </c>
      <c r="Q35" s="56">
        <v>10896.97</v>
      </c>
      <c r="R35" s="56">
        <v>10761.51</v>
      </c>
      <c r="S35" s="56">
        <v>10891.65</v>
      </c>
      <c r="T35" s="56">
        <v>10847.78</v>
      </c>
      <c r="U35" s="56">
        <v>10795.61</v>
      </c>
      <c r="V35" s="56">
        <v>11129.45</v>
      </c>
      <c r="W35" s="56">
        <v>12136.38</v>
      </c>
      <c r="X35" s="56">
        <v>12817.13</v>
      </c>
      <c r="Y35" s="56">
        <v>12209.91</v>
      </c>
      <c r="Z35" s="56">
        <v>11034.72</v>
      </c>
      <c r="AA35" s="56">
        <v>9298.8700000000008</v>
      </c>
      <c r="AB35" s="56">
        <v>7874.41</v>
      </c>
      <c r="AC35" s="66">
        <f>+SUM(E35:AB35)*D35+SUM(E36:AB36)*D36+SUM(E37:AB37)*D37+SUM(E38:AB38)*D38</f>
        <v>6942448.0599999996</v>
      </c>
    </row>
    <row r="36" spans="2:29" ht="12.5" x14ac:dyDescent="0.25">
      <c r="B36" s="65" t="s">
        <v>39</v>
      </c>
      <c r="C36" s="4" t="s">
        <v>30</v>
      </c>
      <c r="D36" s="5">
        <v>4</v>
      </c>
      <c r="E36" s="56">
        <v>6909.7</v>
      </c>
      <c r="F36" s="56">
        <v>6381.93</v>
      </c>
      <c r="G36" s="56">
        <v>6079.5</v>
      </c>
      <c r="H36" s="56">
        <v>5932.83</v>
      </c>
      <c r="I36" s="56">
        <v>6095.89</v>
      </c>
      <c r="J36" s="56">
        <v>6535.1</v>
      </c>
      <c r="K36" s="56">
        <v>7467.3</v>
      </c>
      <c r="L36" s="56">
        <v>8625.9699999999993</v>
      </c>
      <c r="M36" s="56">
        <v>9528.92</v>
      </c>
      <c r="N36" s="56">
        <v>10036.77</v>
      </c>
      <c r="O36" s="56">
        <v>10491.77</v>
      </c>
      <c r="P36" s="56">
        <v>10960.67</v>
      </c>
      <c r="Q36" s="56">
        <v>10981.55</v>
      </c>
      <c r="R36" s="56">
        <v>10804.74</v>
      </c>
      <c r="S36" s="56">
        <v>10463.66</v>
      </c>
      <c r="T36" s="56">
        <v>10287.56</v>
      </c>
      <c r="U36" s="56">
        <v>10194.959999999999</v>
      </c>
      <c r="V36" s="56">
        <v>10669.36</v>
      </c>
      <c r="W36" s="56">
        <v>11601.72</v>
      </c>
      <c r="X36" s="56">
        <v>12141.51</v>
      </c>
      <c r="Y36" s="56">
        <v>11511.1</v>
      </c>
      <c r="Z36" s="56">
        <v>10585.69</v>
      </c>
      <c r="AA36" s="56">
        <v>9252.7000000000007</v>
      </c>
      <c r="AB36" s="56">
        <v>8085.18</v>
      </c>
      <c r="AC36" s="67"/>
    </row>
    <row r="37" spans="2:29" ht="12.5" x14ac:dyDescent="0.25">
      <c r="B37" s="65" t="s">
        <v>39</v>
      </c>
      <c r="C37" s="4" t="s">
        <v>31</v>
      </c>
      <c r="D37" s="5">
        <v>3</v>
      </c>
      <c r="E37" s="56">
        <v>6945.94</v>
      </c>
      <c r="F37" s="56">
        <v>6392.09</v>
      </c>
      <c r="G37" s="56">
        <v>6028.11</v>
      </c>
      <c r="H37" s="56">
        <v>5832.16</v>
      </c>
      <c r="I37" s="56">
        <v>5826.63</v>
      </c>
      <c r="J37" s="56">
        <v>5984.84</v>
      </c>
      <c r="K37" s="56">
        <v>6320.07</v>
      </c>
      <c r="L37" s="56">
        <v>7203.03</v>
      </c>
      <c r="M37" s="56">
        <v>8106.01</v>
      </c>
      <c r="N37" s="56">
        <v>8798.5400000000009</v>
      </c>
      <c r="O37" s="56">
        <v>9322.7900000000009</v>
      </c>
      <c r="P37" s="56">
        <v>9899.2800000000007</v>
      </c>
      <c r="Q37" s="56">
        <v>10090.31</v>
      </c>
      <c r="R37" s="56">
        <v>9881.5400000000009</v>
      </c>
      <c r="S37" s="56">
        <v>9560.4699999999993</v>
      </c>
      <c r="T37" s="56">
        <v>9423.56</v>
      </c>
      <c r="U37" s="56">
        <v>9438.86</v>
      </c>
      <c r="V37" s="56">
        <v>9817.94</v>
      </c>
      <c r="W37" s="56">
        <v>10917.56</v>
      </c>
      <c r="X37" s="56">
        <v>11655.87</v>
      </c>
      <c r="Y37" s="56">
        <v>11216.66</v>
      </c>
      <c r="Z37" s="56">
        <v>10184.93</v>
      </c>
      <c r="AA37" s="56">
        <v>8761.93</v>
      </c>
      <c r="AB37" s="56">
        <v>7525.58</v>
      </c>
      <c r="AC37" s="67"/>
    </row>
    <row r="38" spans="2:29" ht="12.5" x14ac:dyDescent="0.25">
      <c r="B38" s="65" t="s">
        <v>39</v>
      </c>
      <c r="C38" s="4" t="s">
        <v>32</v>
      </c>
      <c r="D38" s="5">
        <v>2</v>
      </c>
      <c r="E38" s="56">
        <v>6730.6</v>
      </c>
      <c r="F38" s="56">
        <v>6183.25</v>
      </c>
      <c r="G38" s="56">
        <v>5919.5</v>
      </c>
      <c r="H38" s="56">
        <v>5806.48</v>
      </c>
      <c r="I38" s="56">
        <v>5940.86</v>
      </c>
      <c r="J38" s="56">
        <v>6184.44</v>
      </c>
      <c r="K38" s="56">
        <v>6585.8</v>
      </c>
      <c r="L38" s="56">
        <v>7431.55</v>
      </c>
      <c r="M38" s="56">
        <v>8229.76</v>
      </c>
      <c r="N38" s="56">
        <v>8900.8700000000008</v>
      </c>
      <c r="O38" s="56">
        <v>9646.3799999999992</v>
      </c>
      <c r="P38" s="56">
        <v>10185.950000000001</v>
      </c>
      <c r="Q38" s="56">
        <v>10308.469999999999</v>
      </c>
      <c r="R38" s="56">
        <v>10317.14</v>
      </c>
      <c r="S38" s="56">
        <v>10060.09</v>
      </c>
      <c r="T38" s="56">
        <v>9774.19</v>
      </c>
      <c r="U38" s="56">
        <v>9857.41</v>
      </c>
      <c r="V38" s="56">
        <v>10403.99</v>
      </c>
      <c r="W38" s="56">
        <v>11368.92</v>
      </c>
      <c r="X38" s="56">
        <v>11996.87</v>
      </c>
      <c r="Y38" s="56">
        <v>11409.49</v>
      </c>
      <c r="Z38" s="56">
        <v>10263.23</v>
      </c>
      <c r="AA38" s="56">
        <v>8767.83</v>
      </c>
      <c r="AB38" s="56">
        <v>7451.79</v>
      </c>
      <c r="AC38" s="68"/>
    </row>
    <row r="39" spans="2:29" ht="12.5" x14ac:dyDescent="0.25">
      <c r="B39" s="65" t="s">
        <v>40</v>
      </c>
      <c r="C39" s="4" t="s">
        <v>29</v>
      </c>
      <c r="D39" s="5">
        <v>22</v>
      </c>
      <c r="E39" s="56">
        <v>6611.82</v>
      </c>
      <c r="F39" s="56">
        <v>6154.18</v>
      </c>
      <c r="G39" s="56">
        <v>5938.64</v>
      </c>
      <c r="H39" s="56">
        <v>5845.13</v>
      </c>
      <c r="I39" s="56">
        <v>6308.37</v>
      </c>
      <c r="J39" s="56">
        <v>7684.62</v>
      </c>
      <c r="K39" s="56">
        <v>8942.19</v>
      </c>
      <c r="L39" s="56">
        <v>9190.5</v>
      </c>
      <c r="M39" s="56">
        <v>9495.56</v>
      </c>
      <c r="N39" s="56">
        <v>9951.26</v>
      </c>
      <c r="O39" s="56">
        <v>10549.59</v>
      </c>
      <c r="P39" s="56">
        <v>11232.81</v>
      </c>
      <c r="Q39" s="56">
        <v>11017.14</v>
      </c>
      <c r="R39" s="56">
        <v>10827.66</v>
      </c>
      <c r="S39" s="56">
        <v>10961.57</v>
      </c>
      <c r="T39" s="56">
        <v>10956.78</v>
      </c>
      <c r="U39" s="56">
        <v>10886.25</v>
      </c>
      <c r="V39" s="56">
        <v>11324.66</v>
      </c>
      <c r="W39" s="56">
        <v>12555.86</v>
      </c>
      <c r="X39" s="56">
        <v>12834.46</v>
      </c>
      <c r="Y39" s="56">
        <v>12171.46</v>
      </c>
      <c r="Z39" s="56">
        <v>11034.14</v>
      </c>
      <c r="AA39" s="56">
        <v>9301.5499999999993</v>
      </c>
      <c r="AB39" s="56">
        <v>7846.7</v>
      </c>
      <c r="AC39" s="66">
        <f>+SUM(E39:AB39)*D39+SUM(E40:AB40)*D40+SUM(E41:AB41)*D41+SUM(E42:AB42)*D42</f>
        <v>6764735.2000000002</v>
      </c>
    </row>
    <row r="40" spans="2:29" ht="12.5" x14ac:dyDescent="0.25">
      <c r="B40" s="65" t="s">
        <v>40</v>
      </c>
      <c r="C40" s="4" t="s">
        <v>30</v>
      </c>
      <c r="D40" s="5">
        <v>4</v>
      </c>
      <c r="E40" s="56">
        <v>6863.22</v>
      </c>
      <c r="F40" s="56">
        <v>6299.01</v>
      </c>
      <c r="G40" s="56">
        <v>6024.24</v>
      </c>
      <c r="H40" s="56">
        <v>5894.78</v>
      </c>
      <c r="I40" s="56">
        <v>6080.94</v>
      </c>
      <c r="J40" s="56">
        <v>6595.98</v>
      </c>
      <c r="K40" s="56">
        <v>7509.7</v>
      </c>
      <c r="L40" s="56">
        <v>8670.68</v>
      </c>
      <c r="M40" s="56">
        <v>9501.3700000000008</v>
      </c>
      <c r="N40" s="56">
        <v>10081.23</v>
      </c>
      <c r="O40" s="56">
        <v>10649.62</v>
      </c>
      <c r="P40" s="56">
        <v>11081.13</v>
      </c>
      <c r="Q40" s="56">
        <v>11055.05</v>
      </c>
      <c r="R40" s="56">
        <v>10784.66</v>
      </c>
      <c r="S40" s="56">
        <v>10479.77</v>
      </c>
      <c r="T40" s="56">
        <v>10342.959999999999</v>
      </c>
      <c r="U40" s="56">
        <v>10409.26</v>
      </c>
      <c r="V40" s="56">
        <v>10797.23</v>
      </c>
      <c r="W40" s="56">
        <v>11981.97</v>
      </c>
      <c r="X40" s="56">
        <v>12156.78</v>
      </c>
      <c r="Y40" s="56">
        <v>11527.86</v>
      </c>
      <c r="Z40" s="56">
        <v>10512.4</v>
      </c>
      <c r="AA40" s="56">
        <v>9328.7999999999993</v>
      </c>
      <c r="AB40" s="56">
        <v>8104.56</v>
      </c>
      <c r="AC40" s="67"/>
    </row>
    <row r="41" spans="2:29" ht="12.5" x14ac:dyDescent="0.25">
      <c r="B41" s="65" t="s">
        <v>40</v>
      </c>
      <c r="C41" s="4" t="s">
        <v>31</v>
      </c>
      <c r="D41" s="5">
        <v>4</v>
      </c>
      <c r="E41" s="56">
        <v>7006.49</v>
      </c>
      <c r="F41" s="56">
        <v>6430.89</v>
      </c>
      <c r="G41" s="56">
        <v>6050.94</v>
      </c>
      <c r="H41" s="56">
        <v>5875.01</v>
      </c>
      <c r="I41" s="56">
        <v>5823.43</v>
      </c>
      <c r="J41" s="56">
        <v>5895.42</v>
      </c>
      <c r="K41" s="56">
        <v>6344.2</v>
      </c>
      <c r="L41" s="56">
        <v>7204.75</v>
      </c>
      <c r="M41" s="56">
        <v>8030.41</v>
      </c>
      <c r="N41" s="56">
        <v>8691.24</v>
      </c>
      <c r="O41" s="56">
        <v>9292.7199999999993</v>
      </c>
      <c r="P41" s="56">
        <v>9881.7999999999993</v>
      </c>
      <c r="Q41" s="56">
        <v>10144.129999999999</v>
      </c>
      <c r="R41" s="56">
        <v>9982.49</v>
      </c>
      <c r="S41" s="56">
        <v>9681.42</v>
      </c>
      <c r="T41" s="56">
        <v>9489.43</v>
      </c>
      <c r="U41" s="56">
        <v>9456.7099999999991</v>
      </c>
      <c r="V41" s="56">
        <v>10024.74</v>
      </c>
      <c r="W41" s="56">
        <v>11210.12</v>
      </c>
      <c r="X41" s="56">
        <v>11689.96</v>
      </c>
      <c r="Y41" s="56">
        <v>11138.07</v>
      </c>
      <c r="Z41" s="56">
        <v>10159.43</v>
      </c>
      <c r="AA41" s="56">
        <v>8642.49</v>
      </c>
      <c r="AB41" s="56">
        <v>7378.36</v>
      </c>
      <c r="AC41" s="67"/>
    </row>
    <row r="42" spans="2:29" ht="12.5" x14ac:dyDescent="0.25">
      <c r="B42" s="65" t="s">
        <v>40</v>
      </c>
      <c r="C42" s="4" t="s">
        <v>32</v>
      </c>
      <c r="D42" s="5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68"/>
    </row>
    <row r="43" spans="2:29" ht="12.5" x14ac:dyDescent="0.25">
      <c r="B43" s="65" t="s">
        <v>41</v>
      </c>
      <c r="C43" s="4" t="s">
        <v>29</v>
      </c>
      <c r="D43" s="5">
        <v>20</v>
      </c>
      <c r="E43" s="56">
        <v>6512.84</v>
      </c>
      <c r="F43" s="56">
        <v>6048.32</v>
      </c>
      <c r="G43" s="56">
        <v>5833.98</v>
      </c>
      <c r="H43" s="56">
        <v>5771.93</v>
      </c>
      <c r="I43" s="56">
        <v>6227.66</v>
      </c>
      <c r="J43" s="56">
        <v>7533.9</v>
      </c>
      <c r="K43" s="56">
        <v>8813.18</v>
      </c>
      <c r="L43" s="56">
        <v>9184.8700000000008</v>
      </c>
      <c r="M43" s="56">
        <v>9513.91</v>
      </c>
      <c r="N43" s="56">
        <v>9956.6299999999992</v>
      </c>
      <c r="O43" s="56">
        <v>10564.27</v>
      </c>
      <c r="P43" s="56">
        <v>11266.86</v>
      </c>
      <c r="Q43" s="56">
        <v>11068.47</v>
      </c>
      <c r="R43" s="56">
        <v>10899.2</v>
      </c>
      <c r="S43" s="56">
        <v>10973.15</v>
      </c>
      <c r="T43" s="56">
        <v>10981.96</v>
      </c>
      <c r="U43" s="56">
        <v>10967.93</v>
      </c>
      <c r="V43" s="56">
        <v>11617.83</v>
      </c>
      <c r="W43" s="56">
        <v>12791.63</v>
      </c>
      <c r="X43" s="56">
        <v>12710.02</v>
      </c>
      <c r="Y43" s="56">
        <v>11994.55</v>
      </c>
      <c r="Z43" s="56">
        <v>10882.21</v>
      </c>
      <c r="AA43" s="56">
        <v>9181.68</v>
      </c>
      <c r="AB43" s="56">
        <v>7743.07</v>
      </c>
      <c r="AC43" s="66">
        <f>+SUM(E43:AB43)*D43+SUM(E44:AB44)*D44+SUM(E45:AB45)*D45+SUM(E46:AB46)*D46</f>
        <v>6939066.5199999986</v>
      </c>
    </row>
    <row r="44" spans="2:29" ht="12.5" x14ac:dyDescent="0.25">
      <c r="B44" s="65" t="s">
        <v>41</v>
      </c>
      <c r="C44" s="4" t="s">
        <v>30</v>
      </c>
      <c r="D44" s="5">
        <v>5</v>
      </c>
      <c r="E44" s="56">
        <v>6796.6</v>
      </c>
      <c r="F44" s="56">
        <v>6258.06</v>
      </c>
      <c r="G44" s="56">
        <v>5968.57</v>
      </c>
      <c r="H44" s="56">
        <v>5839.51</v>
      </c>
      <c r="I44" s="56">
        <v>6001.65</v>
      </c>
      <c r="J44" s="56">
        <v>6459.16</v>
      </c>
      <c r="K44" s="56">
        <v>7446.79</v>
      </c>
      <c r="L44" s="56">
        <v>8614.31</v>
      </c>
      <c r="M44" s="56">
        <v>9415.33</v>
      </c>
      <c r="N44" s="56">
        <v>10042.959999999999</v>
      </c>
      <c r="O44" s="56">
        <v>10554.59</v>
      </c>
      <c r="P44" s="56">
        <v>11103.47</v>
      </c>
      <c r="Q44" s="56">
        <v>11182.22</v>
      </c>
      <c r="R44" s="56">
        <v>10848.2</v>
      </c>
      <c r="S44" s="56">
        <v>10644.09</v>
      </c>
      <c r="T44" s="56">
        <v>10466.4</v>
      </c>
      <c r="U44" s="56">
        <v>10456.450000000001</v>
      </c>
      <c r="V44" s="56">
        <v>11037.74</v>
      </c>
      <c r="W44" s="56">
        <v>12275.62</v>
      </c>
      <c r="X44" s="56">
        <v>12211.57</v>
      </c>
      <c r="Y44" s="56">
        <v>11561.17</v>
      </c>
      <c r="Z44" s="56">
        <v>10601.27</v>
      </c>
      <c r="AA44" s="56">
        <v>9354.49</v>
      </c>
      <c r="AB44" s="56">
        <v>8122.87</v>
      </c>
      <c r="AC44" s="67"/>
    </row>
    <row r="45" spans="2:29" ht="12.5" x14ac:dyDescent="0.25">
      <c r="B45" s="65" t="s">
        <v>41</v>
      </c>
      <c r="C45" s="4" t="s">
        <v>31</v>
      </c>
      <c r="D45" s="5">
        <v>5</v>
      </c>
      <c r="E45" s="56">
        <v>6970.03</v>
      </c>
      <c r="F45" s="56">
        <v>6354.63</v>
      </c>
      <c r="G45" s="56">
        <v>5986.19</v>
      </c>
      <c r="H45" s="56">
        <v>5810.92</v>
      </c>
      <c r="I45" s="56">
        <v>5858.31</v>
      </c>
      <c r="J45" s="56">
        <v>5911.54</v>
      </c>
      <c r="K45" s="56">
        <v>6359.53</v>
      </c>
      <c r="L45" s="56">
        <v>7132.54</v>
      </c>
      <c r="M45" s="56">
        <v>8061.42</v>
      </c>
      <c r="N45" s="56">
        <v>8780.48</v>
      </c>
      <c r="O45" s="56">
        <v>9430.9</v>
      </c>
      <c r="P45" s="56">
        <v>10014.030000000001</v>
      </c>
      <c r="Q45" s="56">
        <v>10215.23</v>
      </c>
      <c r="R45" s="56">
        <v>10029.6</v>
      </c>
      <c r="S45" s="56">
        <v>9652.6200000000008</v>
      </c>
      <c r="T45" s="56">
        <v>9558.92</v>
      </c>
      <c r="U45" s="56">
        <v>9531.0400000000009</v>
      </c>
      <c r="V45" s="56">
        <v>10185.44</v>
      </c>
      <c r="W45" s="56">
        <v>11537</v>
      </c>
      <c r="X45" s="56">
        <v>11686.86</v>
      </c>
      <c r="Y45" s="56">
        <v>11155.49</v>
      </c>
      <c r="Z45" s="56">
        <v>10137.25</v>
      </c>
      <c r="AA45" s="56">
        <v>8757.4699999999993</v>
      </c>
      <c r="AB45" s="56">
        <v>7511.43</v>
      </c>
      <c r="AC45" s="67"/>
    </row>
    <row r="46" spans="2:29" ht="12.5" x14ac:dyDescent="0.25">
      <c r="B46" s="65" t="s">
        <v>41</v>
      </c>
      <c r="C46" s="4" t="s">
        <v>32</v>
      </c>
      <c r="D46" s="5">
        <v>1</v>
      </c>
      <c r="E46" s="56">
        <v>6635.34</v>
      </c>
      <c r="F46" s="56">
        <v>6113.26</v>
      </c>
      <c r="G46" s="56">
        <v>5815.04</v>
      </c>
      <c r="H46" s="56">
        <v>5713.6</v>
      </c>
      <c r="I46" s="56">
        <v>5843.1</v>
      </c>
      <c r="J46" s="56">
        <v>5930.53</v>
      </c>
      <c r="K46" s="56">
        <v>6392.14</v>
      </c>
      <c r="L46" s="56">
        <v>7208.7</v>
      </c>
      <c r="M46" s="56">
        <v>8027.04</v>
      </c>
      <c r="N46" s="56">
        <v>8905.67</v>
      </c>
      <c r="O46" s="56">
        <v>9622.7800000000007</v>
      </c>
      <c r="P46" s="56">
        <v>10257.82</v>
      </c>
      <c r="Q46" s="56">
        <v>10571.32</v>
      </c>
      <c r="R46" s="56">
        <v>10292.73</v>
      </c>
      <c r="S46" s="56">
        <v>9958.9500000000007</v>
      </c>
      <c r="T46" s="56">
        <v>9743.69</v>
      </c>
      <c r="U46" s="56">
        <v>9742.31</v>
      </c>
      <c r="V46" s="56">
        <v>10542.04</v>
      </c>
      <c r="W46" s="56">
        <v>12016.07</v>
      </c>
      <c r="X46" s="56">
        <v>11892.42</v>
      </c>
      <c r="Y46" s="56">
        <v>11373.52</v>
      </c>
      <c r="Z46" s="56">
        <v>10231.33</v>
      </c>
      <c r="AA46" s="56">
        <v>8669.99</v>
      </c>
      <c r="AB46" s="56">
        <v>7306.33</v>
      </c>
      <c r="AC46" s="68"/>
    </row>
    <row r="47" spans="2:29" ht="12.5" x14ac:dyDescent="0.25">
      <c r="B47" s="65" t="s">
        <v>42</v>
      </c>
      <c r="C47" s="4" t="s">
        <v>29</v>
      </c>
      <c r="D47" s="5">
        <v>20</v>
      </c>
      <c r="E47" s="56">
        <v>6585.31</v>
      </c>
      <c r="F47" s="56">
        <v>6106.61</v>
      </c>
      <c r="G47" s="56">
        <v>5943.32</v>
      </c>
      <c r="H47" s="56">
        <v>5865.68</v>
      </c>
      <c r="I47" s="56">
        <v>6339.72</v>
      </c>
      <c r="J47" s="56">
        <v>7670.3</v>
      </c>
      <c r="K47" s="56">
        <v>9099.9599999999991</v>
      </c>
      <c r="L47" s="56">
        <v>9424.85</v>
      </c>
      <c r="M47" s="56">
        <v>9742.9500000000007</v>
      </c>
      <c r="N47" s="56">
        <v>10165.15</v>
      </c>
      <c r="O47" s="56">
        <v>10842.85</v>
      </c>
      <c r="P47" s="56">
        <v>11473.28</v>
      </c>
      <c r="Q47" s="56">
        <v>11249.99</v>
      </c>
      <c r="R47" s="56">
        <v>11054.54</v>
      </c>
      <c r="S47" s="56">
        <v>11178.28</v>
      </c>
      <c r="T47" s="56">
        <v>11200.11</v>
      </c>
      <c r="U47" s="56">
        <v>11189.11</v>
      </c>
      <c r="V47" s="56">
        <v>11919.41</v>
      </c>
      <c r="W47" s="56">
        <v>13063.63</v>
      </c>
      <c r="X47" s="56">
        <v>12909</v>
      </c>
      <c r="Y47" s="56">
        <v>12273.08</v>
      </c>
      <c r="Z47" s="56">
        <v>11122.84</v>
      </c>
      <c r="AA47" s="56">
        <v>9358.68</v>
      </c>
      <c r="AB47" s="56">
        <v>7895.04</v>
      </c>
      <c r="AC47" s="66">
        <f>+SUM(E47:AB47)*D47+SUM(E48:AB48)*D48+SUM(E49:AB49)*D49+SUM(E50:AB50)*D50</f>
        <v>6848945.5600000005</v>
      </c>
    </row>
    <row r="48" spans="2:29" ht="12.5" x14ac:dyDescent="0.25">
      <c r="B48" s="65" t="s">
        <v>42</v>
      </c>
      <c r="C48" s="4" t="s">
        <v>30</v>
      </c>
      <c r="D48" s="5">
        <v>4</v>
      </c>
      <c r="E48" s="56">
        <v>6894.77</v>
      </c>
      <c r="F48" s="56">
        <v>6352.94</v>
      </c>
      <c r="G48" s="56">
        <v>6047.1</v>
      </c>
      <c r="H48" s="56">
        <v>5937.25</v>
      </c>
      <c r="I48" s="56">
        <v>6167.25</v>
      </c>
      <c r="J48" s="56">
        <v>6646.02</v>
      </c>
      <c r="K48" s="56">
        <v>7699.48</v>
      </c>
      <c r="L48" s="56">
        <v>8824.89</v>
      </c>
      <c r="M48" s="56">
        <v>9643.18</v>
      </c>
      <c r="N48" s="56">
        <v>10236.129999999999</v>
      </c>
      <c r="O48" s="56">
        <v>10749</v>
      </c>
      <c r="P48" s="56">
        <v>11225.72</v>
      </c>
      <c r="Q48" s="56">
        <v>11237.8</v>
      </c>
      <c r="R48" s="56">
        <v>10900.67</v>
      </c>
      <c r="S48" s="56">
        <v>10643.18</v>
      </c>
      <c r="T48" s="56">
        <v>10507.29</v>
      </c>
      <c r="U48" s="56">
        <v>10507.36</v>
      </c>
      <c r="V48" s="56">
        <v>11250.58</v>
      </c>
      <c r="W48" s="56">
        <v>12520.67</v>
      </c>
      <c r="X48" s="56">
        <v>12421.81</v>
      </c>
      <c r="Y48" s="56">
        <v>11792.57</v>
      </c>
      <c r="Z48" s="56">
        <v>10788.2</v>
      </c>
      <c r="AA48" s="56">
        <v>9565.84</v>
      </c>
      <c r="AB48" s="56">
        <v>8284.66</v>
      </c>
      <c r="AC48" s="67"/>
    </row>
    <row r="49" spans="2:29" ht="12.5" x14ac:dyDescent="0.25">
      <c r="B49" s="65" t="s">
        <v>42</v>
      </c>
      <c r="C49" s="4" t="s">
        <v>31</v>
      </c>
      <c r="D49" s="5">
        <v>4</v>
      </c>
      <c r="E49" s="56">
        <v>7116.68</v>
      </c>
      <c r="F49" s="56">
        <v>6556.15</v>
      </c>
      <c r="G49" s="56">
        <v>6176.17</v>
      </c>
      <c r="H49" s="56">
        <v>5982.84</v>
      </c>
      <c r="I49" s="56">
        <v>5964.95</v>
      </c>
      <c r="J49" s="56">
        <v>6103.68</v>
      </c>
      <c r="K49" s="56">
        <v>6477.95</v>
      </c>
      <c r="L49" s="56">
        <v>7370.23</v>
      </c>
      <c r="M49" s="56">
        <v>8372.58</v>
      </c>
      <c r="N49" s="56">
        <v>9073.99</v>
      </c>
      <c r="O49" s="56">
        <v>9573.4</v>
      </c>
      <c r="P49" s="56">
        <v>10109.09</v>
      </c>
      <c r="Q49" s="56">
        <v>10364.18</v>
      </c>
      <c r="R49" s="56">
        <v>10192.98</v>
      </c>
      <c r="S49" s="56">
        <v>9933.18</v>
      </c>
      <c r="T49" s="56">
        <v>9761.76</v>
      </c>
      <c r="U49" s="56">
        <v>9807.49</v>
      </c>
      <c r="V49" s="56">
        <v>10434.85</v>
      </c>
      <c r="W49" s="56">
        <v>11733.5</v>
      </c>
      <c r="X49" s="56">
        <v>11817.07</v>
      </c>
      <c r="Y49" s="56">
        <v>11294.68</v>
      </c>
      <c r="Z49" s="56">
        <v>10327.469999999999</v>
      </c>
      <c r="AA49" s="56">
        <v>8887.81</v>
      </c>
      <c r="AB49" s="56">
        <v>7638.07</v>
      </c>
      <c r="AC49" s="67"/>
    </row>
    <row r="50" spans="2:29" ht="12.5" x14ac:dyDescent="0.25">
      <c r="B50" s="65" t="s">
        <v>42</v>
      </c>
      <c r="C50" s="4" t="s">
        <v>32</v>
      </c>
      <c r="D50" s="5">
        <v>2</v>
      </c>
      <c r="E50" s="56">
        <v>6722.47</v>
      </c>
      <c r="F50" s="56">
        <v>6178.37</v>
      </c>
      <c r="G50" s="56">
        <v>5918.58</v>
      </c>
      <c r="H50" s="56">
        <v>5750.57</v>
      </c>
      <c r="I50" s="56">
        <v>5826.45</v>
      </c>
      <c r="J50" s="56">
        <v>6047.53</v>
      </c>
      <c r="K50" s="56">
        <v>6457.93</v>
      </c>
      <c r="L50" s="56">
        <v>7350.73</v>
      </c>
      <c r="M50" s="56">
        <v>8150.23</v>
      </c>
      <c r="N50" s="56">
        <v>8913.2900000000009</v>
      </c>
      <c r="O50" s="56">
        <v>9712.9</v>
      </c>
      <c r="P50" s="56">
        <v>10429.99</v>
      </c>
      <c r="Q50" s="56">
        <v>10625.69</v>
      </c>
      <c r="R50" s="56">
        <v>10407.120000000001</v>
      </c>
      <c r="S50" s="56">
        <v>10155.790000000001</v>
      </c>
      <c r="T50" s="56">
        <v>10033.17</v>
      </c>
      <c r="U50" s="56">
        <v>10105.43</v>
      </c>
      <c r="V50" s="56">
        <v>10870.49</v>
      </c>
      <c r="W50" s="56">
        <v>12163.1</v>
      </c>
      <c r="X50" s="56">
        <v>12212.32</v>
      </c>
      <c r="Y50" s="56">
        <v>11514.88</v>
      </c>
      <c r="Z50" s="56">
        <v>10281.27</v>
      </c>
      <c r="AA50" s="56">
        <v>8647.81</v>
      </c>
      <c r="AB50" s="56">
        <v>7429.55</v>
      </c>
      <c r="AC50" s="68"/>
    </row>
    <row r="51" spans="2:29" ht="12.5" x14ac:dyDescent="0.25">
      <c r="B51" s="65" t="s">
        <v>43</v>
      </c>
      <c r="C51" s="4" t="s">
        <v>29</v>
      </c>
      <c r="D51" s="5">
        <v>21</v>
      </c>
      <c r="E51" s="56">
        <v>6817.83</v>
      </c>
      <c r="F51" s="56">
        <v>6257.41</v>
      </c>
      <c r="G51" s="56">
        <v>5983.53</v>
      </c>
      <c r="H51" s="56">
        <v>5881.88</v>
      </c>
      <c r="I51" s="56">
        <v>6197.84</v>
      </c>
      <c r="J51" s="56">
        <v>6976.91</v>
      </c>
      <c r="K51" s="56">
        <v>8005.09</v>
      </c>
      <c r="L51" s="56">
        <v>8905.65</v>
      </c>
      <c r="M51" s="56">
        <v>9550.9</v>
      </c>
      <c r="N51" s="56">
        <v>10088.64</v>
      </c>
      <c r="O51" s="56">
        <v>10692.32</v>
      </c>
      <c r="P51" s="56">
        <v>11366.94</v>
      </c>
      <c r="Q51" s="56">
        <v>11238.51</v>
      </c>
      <c r="R51" s="56">
        <v>10871.4</v>
      </c>
      <c r="S51" s="56">
        <v>11030.41</v>
      </c>
      <c r="T51" s="56">
        <v>10983.16</v>
      </c>
      <c r="U51" s="56">
        <v>10918.37</v>
      </c>
      <c r="V51" s="56">
        <v>11345.34</v>
      </c>
      <c r="W51" s="56">
        <v>12707.41</v>
      </c>
      <c r="X51" s="56">
        <v>12773.62</v>
      </c>
      <c r="Y51" s="56">
        <v>12136.28</v>
      </c>
      <c r="Z51" s="56">
        <v>11129.1</v>
      </c>
      <c r="AA51" s="56">
        <v>9572.7199999999993</v>
      </c>
      <c r="AB51" s="56">
        <v>8200.11</v>
      </c>
      <c r="AC51" s="66">
        <f>+SUM(E51:AB51)*D51+SUM(E52:AB52)*D52+SUM(E53:AB53)*D53+SUM(E54:AB54)*D54</f>
        <v>6978631.3499999996</v>
      </c>
    </row>
    <row r="52" spans="2:29" ht="12.5" x14ac:dyDescent="0.25">
      <c r="B52" s="65" t="s">
        <v>43</v>
      </c>
      <c r="C52" s="4" t="s">
        <v>30</v>
      </c>
      <c r="D52" s="5">
        <v>5</v>
      </c>
      <c r="E52" s="56">
        <v>6991.05</v>
      </c>
      <c r="F52" s="56">
        <v>6413.22</v>
      </c>
      <c r="G52" s="56">
        <v>6101.07</v>
      </c>
      <c r="H52" s="56">
        <v>5915.06</v>
      </c>
      <c r="I52" s="56">
        <v>6150.48</v>
      </c>
      <c r="J52" s="56">
        <v>6601.29</v>
      </c>
      <c r="K52" s="56">
        <v>7428.31</v>
      </c>
      <c r="L52" s="56">
        <v>8548.7199999999993</v>
      </c>
      <c r="M52" s="56">
        <v>9381.02</v>
      </c>
      <c r="N52" s="56">
        <v>9983.14</v>
      </c>
      <c r="O52" s="56">
        <v>10477.299999999999</v>
      </c>
      <c r="P52" s="56">
        <v>10971.27</v>
      </c>
      <c r="Q52" s="56">
        <v>10970.29</v>
      </c>
      <c r="R52" s="56">
        <v>10690.95</v>
      </c>
      <c r="S52" s="56">
        <v>10528.97</v>
      </c>
      <c r="T52" s="56">
        <v>10337.08</v>
      </c>
      <c r="U52" s="56">
        <v>10347.200000000001</v>
      </c>
      <c r="V52" s="56">
        <v>10768.36</v>
      </c>
      <c r="W52" s="56">
        <v>12227.38</v>
      </c>
      <c r="X52" s="56">
        <v>12325.85</v>
      </c>
      <c r="Y52" s="56">
        <v>11769.98</v>
      </c>
      <c r="Z52" s="56">
        <v>10906.57</v>
      </c>
      <c r="AA52" s="56">
        <v>9659.14</v>
      </c>
      <c r="AB52" s="56">
        <v>8442.2199999999993</v>
      </c>
      <c r="AC52" s="67"/>
    </row>
    <row r="53" spans="2:29" ht="12.5" x14ac:dyDescent="0.25">
      <c r="B53" s="65" t="s">
        <v>43</v>
      </c>
      <c r="C53" s="4" t="s">
        <v>31</v>
      </c>
      <c r="D53" s="5">
        <v>3</v>
      </c>
      <c r="E53" s="56">
        <v>7239.21</v>
      </c>
      <c r="F53" s="56">
        <v>6595.39</v>
      </c>
      <c r="G53" s="56">
        <v>6193.15</v>
      </c>
      <c r="H53" s="56">
        <v>5995.69</v>
      </c>
      <c r="I53" s="56">
        <v>5965.46</v>
      </c>
      <c r="J53" s="56">
        <v>6136.36</v>
      </c>
      <c r="K53" s="56">
        <v>6478.88</v>
      </c>
      <c r="L53" s="56">
        <v>7537.56</v>
      </c>
      <c r="M53" s="56">
        <v>8509.69</v>
      </c>
      <c r="N53" s="56">
        <v>9129.1</v>
      </c>
      <c r="O53" s="56">
        <v>9691.56</v>
      </c>
      <c r="P53" s="56">
        <v>10239.459999999999</v>
      </c>
      <c r="Q53" s="56">
        <v>10498.61</v>
      </c>
      <c r="R53" s="56">
        <v>10184.34</v>
      </c>
      <c r="S53" s="56">
        <v>9733.76</v>
      </c>
      <c r="T53" s="56">
        <v>9747.17</v>
      </c>
      <c r="U53" s="56">
        <v>9683.84</v>
      </c>
      <c r="V53" s="56">
        <v>10198.49</v>
      </c>
      <c r="W53" s="56">
        <v>11501.97</v>
      </c>
      <c r="X53" s="56">
        <v>11657.14</v>
      </c>
      <c r="Y53" s="56">
        <v>11214.06</v>
      </c>
      <c r="Z53" s="56">
        <v>10469.15</v>
      </c>
      <c r="AA53" s="56">
        <v>9145.18</v>
      </c>
      <c r="AB53" s="56">
        <v>7969.1</v>
      </c>
      <c r="AC53" s="67"/>
    </row>
    <row r="54" spans="2:29" ht="12.5" x14ac:dyDescent="0.25">
      <c r="B54" s="65" t="s">
        <v>43</v>
      </c>
      <c r="C54" s="4" t="s">
        <v>32</v>
      </c>
      <c r="D54" s="5">
        <v>2</v>
      </c>
      <c r="E54" s="56">
        <v>7304.28</v>
      </c>
      <c r="F54" s="56">
        <v>6735.68</v>
      </c>
      <c r="G54" s="56">
        <v>6308.48</v>
      </c>
      <c r="H54" s="56">
        <v>6059.89</v>
      </c>
      <c r="I54" s="56">
        <v>5927.43</v>
      </c>
      <c r="J54" s="56">
        <v>5971.79</v>
      </c>
      <c r="K54" s="56">
        <v>6124.63</v>
      </c>
      <c r="L54" s="56">
        <v>6653.43</v>
      </c>
      <c r="M54" s="56">
        <v>7282.68</v>
      </c>
      <c r="N54" s="56">
        <v>7932.05</v>
      </c>
      <c r="O54" s="56">
        <v>8683.01</v>
      </c>
      <c r="P54" s="56">
        <v>9369.01</v>
      </c>
      <c r="Q54" s="56">
        <v>9744.7000000000007</v>
      </c>
      <c r="R54" s="56">
        <v>9701.91</v>
      </c>
      <c r="S54" s="56">
        <v>9371.89</v>
      </c>
      <c r="T54" s="56">
        <v>9297.56</v>
      </c>
      <c r="U54" s="56">
        <v>9298.15</v>
      </c>
      <c r="V54" s="56">
        <v>9900.86</v>
      </c>
      <c r="W54" s="56">
        <v>11083</v>
      </c>
      <c r="X54" s="56">
        <v>11277.86</v>
      </c>
      <c r="Y54" s="56">
        <v>10702.26</v>
      </c>
      <c r="Z54" s="56">
        <v>9902.39</v>
      </c>
      <c r="AA54" s="56">
        <v>8667.52</v>
      </c>
      <c r="AB54" s="56">
        <v>7474.55</v>
      </c>
      <c r="AC54" s="68"/>
    </row>
    <row r="55" spans="2:29" x14ac:dyDescent="0.25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69" t="s">
        <v>46</v>
      </c>
      <c r="AA55" s="69"/>
      <c r="AB55" s="69"/>
      <c r="AC55" s="14">
        <f>SUM(AC7:AC54)</f>
        <v>81784018.989999995</v>
      </c>
    </row>
  </sheetData>
  <mergeCells count="28"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2:AC2"/>
    <mergeCell ref="B3:AC3"/>
    <mergeCell ref="B4:AC4"/>
    <mergeCell ref="B7:B10"/>
    <mergeCell ref="AC7:AC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Oferta Producto 1</vt:lpstr>
      <vt:lpstr>Cantidad Producto 1-2029</vt:lpstr>
      <vt:lpstr>Cantidad Producto 1-2030</vt:lpstr>
      <vt:lpstr>Cantidad Producto 1-2031</vt:lpstr>
      <vt:lpstr>Cantidad Producto 1-2032</vt:lpstr>
      <vt:lpstr>Cantidad Producto 1-2033</vt:lpstr>
      <vt:lpstr>Cantidad Producto 1-2034</vt:lpstr>
      <vt:lpstr>Cantidad Producto 1-2035 </vt:lpstr>
      <vt:lpstr>Cantidad Producto 1-2036</vt:lpstr>
      <vt:lpstr>Cantidad Producto 1-2037</vt:lpstr>
      <vt:lpstr>Cantidad Producto 1-2038</vt:lpstr>
      <vt:lpstr>Cantidad Producto 1-2039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ELENA QUICENO PEREZ</dc:creator>
  <cp:lastModifiedBy>VALENTINA HINCAPIE BEDOYA</cp:lastModifiedBy>
  <dcterms:created xsi:type="dcterms:W3CDTF">2024-09-16T15:42:34Z</dcterms:created>
  <dcterms:modified xsi:type="dcterms:W3CDTF">2026-06-19T15:51:33Z</dcterms:modified>
</cp:coreProperties>
</file>