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vatiasaesp.sharepoint.com/sites/300.COMERCIAL/Documentos compartidos/330-MEM/Ulises/LICITACIONES/LICITACIONES 2025/VATIA/CP-GNCC2025-002/1. PLIEGOS DE CONDICIONES/Consulta/"/>
    </mc:Choice>
  </mc:AlternateContent>
  <xr:revisionPtr revIDLastSave="285" documentId="14_{21DD504B-CFE5-4A8C-AA99-75B8C27FF60A}" xr6:coauthVersionLast="47" xr6:coauthVersionMax="47" xr10:uidLastSave="{A5A69359-7F20-4544-98F7-3A9C070F62BE}"/>
  <bookViews>
    <workbookView xWindow="-110" yWindow="-110" windowWidth="19420" windowHeight="10300" tabRatio="802" xr2:uid="{00000000-000D-0000-FFFF-FFFF00000000}"/>
  </bookViews>
  <sheets>
    <sheet name="PRODUCTO 01" sheetId="78" r:id="rId1"/>
    <sheet name="Cantidades horarias PROD 01" sheetId="81" r:id="rId2"/>
    <sheet name="PRODUCTO 02" sheetId="82" r:id="rId3"/>
    <sheet name="Cantidades horarias PROD 02" sheetId="83" r:id="rId4"/>
    <sheet name="PRODUCTO 03" sheetId="84" r:id="rId5"/>
    <sheet name="Cantidades horarias PROD 03" sheetId="85" r:id="rId6"/>
    <sheet name="PRODUCTO 04 " sheetId="86" r:id="rId7"/>
    <sheet name="Cantidades horarias PROD 04" sheetId="87" r:id="rId8"/>
    <sheet name="PRODUCTO 05" sheetId="88" r:id="rId9"/>
    <sheet name="Cantidades horarias PROD 05" sheetId="89" r:id="rId10"/>
    <sheet name="calendario" sheetId="17" state="hidden" r:id="rId11"/>
    <sheet name="curvas típicas de referencia" sheetId="3" state="hidden" r:id="rId12"/>
  </sheets>
  <definedNames>
    <definedName name="_xlnm._FilterDatabase" localSheetId="10" hidden="1">calendario!$A$2:$D$38</definedName>
    <definedName name="_xlnm._FilterDatabase" localSheetId="1" hidden="1">'Cantidades horarias PROD 01'!$E$8:$AG$68</definedName>
    <definedName name="_xlnm._FilterDatabase" localSheetId="3" hidden="1">'Cantidades horarias PROD 02'!$B$8:$AG$68</definedName>
    <definedName name="_xlnm._FilterDatabase" localSheetId="5" hidden="1">'Cantidades horarias PROD 03'!$B$8:$AG$68</definedName>
    <definedName name="_xlnm._FilterDatabase" localSheetId="7" hidden="1">'Cantidades horarias PROD 04'!$B$8:$AG$68</definedName>
    <definedName name="_xlnm._FilterDatabase" localSheetId="9" hidden="1">'Cantidades horarias PROD 05'!$B$8:$AG$68</definedName>
    <definedName name="_xlnm._FilterDatabase" localSheetId="4" hidden="1">'PRODUCTO 03'!$D$10:$D$21</definedName>
    <definedName name="_xlnm._FilterDatabase" localSheetId="6" hidden="1">'PRODUCTO 04 '!$D$10:$D$21</definedName>
    <definedName name="_xlnm._FilterDatabase" localSheetId="8" hidden="1">'PRODUCTO 05'!$D$10:$D$21</definedName>
    <definedName name="_xlnm.Print_Area" localSheetId="1">'Cantidades horarias PROD 01'!$E$1:$AG$68</definedName>
    <definedName name="_xlnm.Print_Area" localSheetId="3">'Cantidades horarias PROD 02'!$E$1:$AG$68</definedName>
    <definedName name="_xlnm.Print_Area" localSheetId="5">'Cantidades horarias PROD 03'!$E$1:$AG$68</definedName>
    <definedName name="_xlnm.Print_Area" localSheetId="7">'Cantidades horarias PROD 04'!$E$1:$AG$68</definedName>
    <definedName name="_xlnm.Print_Area" localSheetId="9">'Cantidades horarias PROD 05'!$E$1:$AG$68</definedName>
    <definedName name="_xlnm.Print_Area" localSheetId="0">'PRODUCTO 01'!$A$1:$I$35</definedName>
    <definedName name="_xlnm.Print_Area" localSheetId="2">'PRODUCTO 02'!$A$1:$I$35</definedName>
    <definedName name="_xlnm.Print_Area" localSheetId="4">'PRODUCTO 03'!$A$1:$J$35</definedName>
    <definedName name="_xlnm.Print_Area" localSheetId="6">'PRODUCTO 04 '!$A$1:$J$35</definedName>
    <definedName name="_xlnm.Print_Area" localSheetId="8">'PRODUCTO 05'!$A$1:$J$35</definedName>
    <definedName name="Z_5E23C26A_5DA4_4377_864E_D3BECE131DEC_.wvu.PrintArea" localSheetId="0" hidden="1">'PRODUCTO 01'!#REF!</definedName>
    <definedName name="Z_5E23C26A_5DA4_4377_864E_D3BECE131DEC_.wvu.PrintArea" localSheetId="2" hidden="1">'PRODUCTO 02'!#REF!</definedName>
    <definedName name="Z_5E23C26A_5DA4_4377_864E_D3BECE131DEC_.wvu.PrintArea" localSheetId="4" hidden="1">'PRODUCTO 03'!#REF!</definedName>
    <definedName name="Z_5E23C26A_5DA4_4377_864E_D3BECE131DEC_.wvu.PrintArea" localSheetId="6" hidden="1">'PRODUCTO 04 '!#REF!</definedName>
    <definedName name="Z_5E23C26A_5DA4_4377_864E_D3BECE131DEC_.wvu.PrintArea" localSheetId="8" hidden="1">'PRODUCTO 05'!#REF!</definedName>
    <definedName name="Z_66AA70F6_2777_42C7_BDA0_CD16FFB959D9_.wvu.PrintArea" localSheetId="0" hidden="1">'PRODUCTO 01'!#REF!</definedName>
    <definedName name="Z_66AA70F6_2777_42C7_BDA0_CD16FFB959D9_.wvu.PrintArea" localSheetId="2" hidden="1">'PRODUCTO 02'!#REF!</definedName>
    <definedName name="Z_66AA70F6_2777_42C7_BDA0_CD16FFB959D9_.wvu.PrintArea" localSheetId="4" hidden="1">'PRODUCTO 03'!#REF!</definedName>
    <definedName name="Z_66AA70F6_2777_42C7_BDA0_CD16FFB959D9_.wvu.PrintArea" localSheetId="6" hidden="1">'PRODUCTO 04 '!#REF!</definedName>
    <definedName name="Z_66AA70F6_2777_42C7_BDA0_CD16FFB959D9_.wvu.PrintArea" localSheetId="8" hidden="1">'PRODUCTO 05'!#REF!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88" l="1"/>
  <c r="D12" i="88"/>
  <c r="D13" i="88"/>
  <c r="F13" i="88" s="1"/>
  <c r="D14" i="88"/>
  <c r="D15" i="88"/>
  <c r="D16" i="88"/>
  <c r="D17" i="88"/>
  <c r="D18" i="88"/>
  <c r="D19" i="88"/>
  <c r="F19" i="88" s="1"/>
  <c r="D20" i="88"/>
  <c r="F20" i="88" s="1"/>
  <c r="D21" i="88"/>
  <c r="F21" i="88" s="1"/>
  <c r="D10" i="88"/>
  <c r="F10" i="88" s="1"/>
  <c r="D11" i="86"/>
  <c r="D12" i="86"/>
  <c r="F12" i="86" s="1"/>
  <c r="D13" i="86"/>
  <c r="F13" i="86" s="1"/>
  <c r="D14" i="86"/>
  <c r="D15" i="86"/>
  <c r="D16" i="86"/>
  <c r="F16" i="86" s="1"/>
  <c r="D17" i="86"/>
  <c r="D18" i="86"/>
  <c r="F18" i="86" s="1"/>
  <c r="D19" i="86"/>
  <c r="F19" i="86" s="1"/>
  <c r="D20" i="86"/>
  <c r="F20" i="86" s="1"/>
  <c r="D21" i="86"/>
  <c r="F21" i="86" s="1"/>
  <c r="D10" i="86"/>
  <c r="D11" i="84"/>
  <c r="D12" i="84"/>
  <c r="D13" i="84"/>
  <c r="D14" i="84"/>
  <c r="D15" i="84"/>
  <c r="D16" i="84"/>
  <c r="D17" i="84"/>
  <c r="D18" i="84"/>
  <c r="D19" i="84"/>
  <c r="D20" i="84"/>
  <c r="D21" i="84"/>
  <c r="D10" i="84"/>
  <c r="D11" i="82"/>
  <c r="D12" i="82"/>
  <c r="D13" i="82"/>
  <c r="D14" i="82"/>
  <c r="D15" i="82"/>
  <c r="D16" i="82"/>
  <c r="D17" i="82"/>
  <c r="D18" i="82"/>
  <c r="D19" i="82"/>
  <c r="D20" i="82"/>
  <c r="D21" i="82"/>
  <c r="D10" i="82"/>
  <c r="D11" i="78"/>
  <c r="D12" i="78"/>
  <c r="D13" i="78"/>
  <c r="D14" i="78"/>
  <c r="D15" i="78"/>
  <c r="D16" i="78"/>
  <c r="D17" i="78"/>
  <c r="D18" i="78"/>
  <c r="D19" i="78"/>
  <c r="D20" i="78"/>
  <c r="D21" i="78"/>
  <c r="D10" i="78"/>
  <c r="F19" i="83"/>
  <c r="F24" i="83"/>
  <c r="F29" i="83"/>
  <c r="F34" i="83"/>
  <c r="F39" i="83"/>
  <c r="F44" i="83"/>
  <c r="F49" i="83"/>
  <c r="F54" i="83"/>
  <c r="F59" i="83"/>
  <c r="F64" i="83"/>
  <c r="F19" i="85"/>
  <c r="F24" i="85"/>
  <c r="F29" i="85"/>
  <c r="F34" i="85"/>
  <c r="F39" i="85"/>
  <c r="F44" i="85"/>
  <c r="F49" i="85"/>
  <c r="F54" i="85"/>
  <c r="F59" i="85"/>
  <c r="F64" i="85"/>
  <c r="F19" i="87"/>
  <c r="F24" i="87"/>
  <c r="F29" i="87"/>
  <c r="F34" i="87"/>
  <c r="F39" i="87"/>
  <c r="F44" i="87"/>
  <c r="F49" i="87"/>
  <c r="F54" i="87"/>
  <c r="F59" i="87"/>
  <c r="F64" i="87"/>
  <c r="F19" i="89"/>
  <c r="F24" i="89"/>
  <c r="F29" i="89"/>
  <c r="F34" i="89"/>
  <c r="F39" i="89"/>
  <c r="F44" i="89"/>
  <c r="F49" i="89"/>
  <c r="F54" i="89"/>
  <c r="F59" i="89"/>
  <c r="F64" i="89"/>
  <c r="F14" i="83"/>
  <c r="F14" i="85"/>
  <c r="F14" i="87"/>
  <c r="F14" i="89"/>
  <c r="F9" i="83"/>
  <c r="F9" i="85"/>
  <c r="F9" i="87"/>
  <c r="F9" i="89"/>
  <c r="H68" i="89"/>
  <c r="E65" i="89"/>
  <c r="H63" i="89"/>
  <c r="E60" i="89"/>
  <c r="E61" i="89" s="1"/>
  <c r="H58" i="89"/>
  <c r="E55" i="89"/>
  <c r="E56" i="89" s="1"/>
  <c r="E57" i="89" s="1"/>
  <c r="E58" i="89" s="1"/>
  <c r="H53" i="89"/>
  <c r="E50" i="89"/>
  <c r="E51" i="89" s="1"/>
  <c r="E52" i="89" s="1"/>
  <c r="H48" i="89"/>
  <c r="E45" i="89"/>
  <c r="H43" i="89"/>
  <c r="E40" i="89"/>
  <c r="E41" i="89" s="1"/>
  <c r="H38" i="89"/>
  <c r="E35" i="89"/>
  <c r="H33" i="89"/>
  <c r="E30" i="89"/>
  <c r="E31" i="89" s="1"/>
  <c r="H28" i="89"/>
  <c r="E25" i="89"/>
  <c r="H23" i="89"/>
  <c r="E20" i="89"/>
  <c r="H18" i="89"/>
  <c r="E15" i="89"/>
  <c r="H13" i="89"/>
  <c r="E25" i="88"/>
  <c r="G22" i="88"/>
  <c r="F18" i="88"/>
  <c r="F17" i="88"/>
  <c r="F16" i="88"/>
  <c r="F15" i="88"/>
  <c r="F14" i="88"/>
  <c r="F12" i="88"/>
  <c r="F11" i="88"/>
  <c r="H68" i="87"/>
  <c r="E65" i="87"/>
  <c r="E66" i="87" s="1"/>
  <c r="H63" i="87"/>
  <c r="E60" i="87"/>
  <c r="E61" i="87" s="1"/>
  <c r="H58" i="87"/>
  <c r="E55" i="87"/>
  <c r="E56" i="87" s="1"/>
  <c r="E57" i="87" s="1"/>
  <c r="E58" i="87" s="1"/>
  <c r="H53" i="87"/>
  <c r="E50" i="87"/>
  <c r="H48" i="87"/>
  <c r="E45" i="87"/>
  <c r="H43" i="87"/>
  <c r="E40" i="87"/>
  <c r="H38" i="87"/>
  <c r="E35" i="87"/>
  <c r="E36" i="87" s="1"/>
  <c r="H33" i="87"/>
  <c r="E30" i="87"/>
  <c r="E31" i="87" s="1"/>
  <c r="H28" i="87"/>
  <c r="E25" i="87"/>
  <c r="E26" i="87" s="1"/>
  <c r="E27" i="87" s="1"/>
  <c r="H23" i="87"/>
  <c r="E20" i="87"/>
  <c r="E21" i="87" s="1"/>
  <c r="H18" i="87"/>
  <c r="E15" i="87"/>
  <c r="H13" i="87"/>
  <c r="E25" i="86"/>
  <c r="G22" i="86"/>
  <c r="F17" i="86"/>
  <c r="F15" i="86"/>
  <c r="F14" i="86"/>
  <c r="F11" i="86"/>
  <c r="D22" i="88" l="1"/>
  <c r="D22" i="86"/>
  <c r="F10" i="86"/>
  <c r="F22" i="86" s="1"/>
  <c r="E22" i="86" s="1"/>
  <c r="E16" i="89"/>
  <c r="E17" i="89" s="1"/>
  <c r="E42" i="89"/>
  <c r="F22" i="88"/>
  <c r="E21" i="89"/>
  <c r="E26" i="89"/>
  <c r="E32" i="89"/>
  <c r="E46" i="89"/>
  <c r="E62" i="89"/>
  <c r="E66" i="89"/>
  <c r="E36" i="89"/>
  <c r="E53" i="89"/>
  <c r="E51" i="87"/>
  <c r="E41" i="87"/>
  <c r="E28" i="87"/>
  <c r="E22" i="87"/>
  <c r="E46" i="87"/>
  <c r="E32" i="87"/>
  <c r="E37" i="87"/>
  <c r="E16" i="87"/>
  <c r="E62" i="87"/>
  <c r="E67" i="87"/>
  <c r="E15" i="85"/>
  <c r="E20" i="85"/>
  <c r="E21" i="85"/>
  <c r="E22" i="85"/>
  <c r="E23" i="85"/>
  <c r="E25" i="85"/>
  <c r="E30" i="85"/>
  <c r="E35" i="85"/>
  <c r="E40" i="85"/>
  <c r="E41" i="85" s="1"/>
  <c r="E42" i="85" s="1"/>
  <c r="E43" i="85" s="1"/>
  <c r="E45" i="85"/>
  <c r="E50" i="85"/>
  <c r="E55" i="85"/>
  <c r="E60" i="85"/>
  <c r="E61" i="85" s="1"/>
  <c r="E62" i="85"/>
  <c r="E65" i="85"/>
  <c r="E15" i="83"/>
  <c r="E20" i="83"/>
  <c r="E25" i="83"/>
  <c r="E26" i="83" s="1"/>
  <c r="E30" i="83"/>
  <c r="E31" i="83"/>
  <c r="E35" i="83"/>
  <c r="E40" i="83"/>
  <c r="E41" i="83" s="1"/>
  <c r="E45" i="83"/>
  <c r="E46" i="83" s="1"/>
  <c r="E50" i="83"/>
  <c r="E55" i="83"/>
  <c r="E56" i="83" s="1"/>
  <c r="E60" i="83"/>
  <c r="E65" i="83"/>
  <c r="H68" i="85"/>
  <c r="H63" i="85"/>
  <c r="H58" i="85"/>
  <c r="H53" i="85"/>
  <c r="H48" i="85"/>
  <c r="H43" i="85"/>
  <c r="H38" i="85"/>
  <c r="H33" i="85"/>
  <c r="H28" i="85"/>
  <c r="H23" i="85"/>
  <c r="H18" i="85"/>
  <c r="H13" i="85"/>
  <c r="E25" i="84"/>
  <c r="G22" i="84"/>
  <c r="F21" i="84"/>
  <c r="F20" i="84"/>
  <c r="F19" i="84"/>
  <c r="F18" i="84"/>
  <c r="F17" i="84"/>
  <c r="F16" i="84"/>
  <c r="F15" i="84"/>
  <c r="F13" i="84"/>
  <c r="F12" i="84"/>
  <c r="F11" i="84"/>
  <c r="F10" i="84"/>
  <c r="E22" i="88" l="1"/>
  <c r="E51" i="85"/>
  <c r="E52" i="85" s="1"/>
  <c r="E32" i="83"/>
  <c r="E16" i="85"/>
  <c r="E61" i="83"/>
  <c r="E36" i="85"/>
  <c r="E37" i="85" s="1"/>
  <c r="E18" i="89"/>
  <c r="E43" i="89"/>
  <c r="E63" i="89"/>
  <c r="E22" i="89"/>
  <c r="E67" i="89"/>
  <c r="E33" i="89"/>
  <c r="E27" i="89"/>
  <c r="E37" i="89"/>
  <c r="E47" i="89"/>
  <c r="E52" i="87"/>
  <c r="E42" i="87"/>
  <c r="E23" i="87"/>
  <c r="E47" i="87"/>
  <c r="E68" i="87"/>
  <c r="E38" i="87"/>
  <c r="E63" i="87"/>
  <c r="E17" i="87"/>
  <c r="E33" i="87"/>
  <c r="E63" i="85"/>
  <c r="E56" i="85"/>
  <c r="E38" i="85"/>
  <c r="E31" i="85"/>
  <c r="E66" i="85"/>
  <c r="E26" i="85"/>
  <c r="E46" i="85"/>
  <c r="E53" i="85"/>
  <c r="E16" i="83"/>
  <c r="E47" i="83"/>
  <c r="E48" i="83" s="1"/>
  <c r="E17" i="83"/>
  <c r="E51" i="83"/>
  <c r="E66" i="83"/>
  <c r="E21" i="83"/>
  <c r="E36" i="83"/>
  <c r="E27" i="83"/>
  <c r="E42" i="83"/>
  <c r="E57" i="83"/>
  <c r="E33" i="83"/>
  <c r="E18" i="83"/>
  <c r="E62" i="83" l="1"/>
  <c r="E17" i="85"/>
  <c r="E53" i="87"/>
  <c r="E68" i="89"/>
  <c r="E38" i="89"/>
  <c r="E23" i="89"/>
  <c r="E28" i="89"/>
  <c r="E48" i="89"/>
  <c r="E43" i="87"/>
  <c r="E48" i="87"/>
  <c r="E18" i="87"/>
  <c r="E32" i="85"/>
  <c r="E47" i="85"/>
  <c r="E57" i="85"/>
  <c r="E27" i="85"/>
  <c r="E67" i="85"/>
  <c r="E33" i="85"/>
  <c r="E67" i="83"/>
  <c r="E52" i="83"/>
  <c r="E37" i="83"/>
  <c r="E22" i="83"/>
  <c r="E58" i="83"/>
  <c r="E43" i="83"/>
  <c r="E28" i="83"/>
  <c r="E68" i="83" l="1"/>
  <c r="E63" i="83"/>
  <c r="E18" i="85"/>
  <c r="E28" i="85"/>
  <c r="E48" i="85"/>
  <c r="E58" i="85"/>
  <c r="E68" i="85"/>
  <c r="E53" i="83"/>
  <c r="E38" i="83"/>
  <c r="E23" i="83"/>
  <c r="F14" i="84" l="1"/>
  <c r="D22" i="84"/>
  <c r="H13" i="81"/>
  <c r="H18" i="81"/>
  <c r="H23" i="81"/>
  <c r="H28" i="81"/>
  <c r="H33" i="81"/>
  <c r="H38" i="81"/>
  <c r="H43" i="81"/>
  <c r="H48" i="81"/>
  <c r="H53" i="81"/>
  <c r="H58" i="81"/>
  <c r="H13" i="83"/>
  <c r="H18" i="83"/>
  <c r="H23" i="83"/>
  <c r="H28" i="83"/>
  <c r="H33" i="83"/>
  <c r="H38" i="83"/>
  <c r="H43" i="83"/>
  <c r="H48" i="83"/>
  <c r="H53" i="83"/>
  <c r="H58" i="83"/>
  <c r="H63" i="81"/>
  <c r="H63" i="83"/>
  <c r="H68" i="83"/>
  <c r="E25" i="82"/>
  <c r="G22" i="82"/>
  <c r="D22" i="82"/>
  <c r="F21" i="82"/>
  <c r="F20" i="82"/>
  <c r="F19" i="82"/>
  <c r="F18" i="82"/>
  <c r="F17" i="82"/>
  <c r="F16" i="82"/>
  <c r="F15" i="82"/>
  <c r="F14" i="82"/>
  <c r="F13" i="82"/>
  <c r="F12" i="82"/>
  <c r="F11" i="82"/>
  <c r="F10" i="82"/>
  <c r="F22" i="84" l="1"/>
  <c r="E22" i="84" s="1"/>
  <c r="F22" i="82"/>
  <c r="E22" i="82" s="1"/>
  <c r="H68" i="81"/>
  <c r="F21" i="78"/>
  <c r="F16" i="78"/>
  <c r="F13" i="78"/>
  <c r="F11" i="78"/>
  <c r="E25" i="78"/>
  <c r="G22" i="78"/>
  <c r="F18" i="78"/>
  <c r="F17" i="78"/>
  <c r="F14" i="78" l="1"/>
  <c r="D22" i="78"/>
  <c r="D36" i="17" l="1"/>
  <c r="C36" i="17"/>
  <c r="D33" i="17"/>
  <c r="C33" i="17"/>
  <c r="D30" i="17"/>
  <c r="C30" i="17"/>
  <c r="D27" i="17"/>
  <c r="C27" i="17"/>
  <c r="D24" i="17"/>
  <c r="C24" i="17"/>
  <c r="D21" i="17"/>
  <c r="C21" i="17"/>
  <c r="D18" i="17"/>
  <c r="C18" i="17"/>
  <c r="D15" i="17"/>
  <c r="C15" i="17"/>
  <c r="D12" i="17"/>
  <c r="C12" i="17"/>
  <c r="D9" i="17"/>
  <c r="C9" i="17"/>
  <c r="D6" i="17"/>
  <c r="C6" i="17"/>
  <c r="D3" i="17"/>
  <c r="C3" i="17"/>
  <c r="AA53" i="89" l="1"/>
  <c r="O58" i="89"/>
  <c r="AE43" i="89"/>
  <c r="AD43" i="89"/>
  <c r="U53" i="89"/>
  <c r="M43" i="89"/>
  <c r="L43" i="89"/>
  <c r="R58" i="89"/>
  <c r="S43" i="89"/>
  <c r="M53" i="89"/>
  <c r="AA43" i="89"/>
  <c r="Y43" i="89"/>
  <c r="P58" i="89"/>
  <c r="AE58" i="89"/>
  <c r="T43" i="89"/>
  <c r="AB43" i="89"/>
  <c r="V33" i="89"/>
  <c r="J33" i="89"/>
  <c r="K13" i="89"/>
  <c r="AA33" i="89"/>
  <c r="X13" i="89"/>
  <c r="AF33" i="89"/>
  <c r="Q63" i="89"/>
  <c r="Z63" i="89"/>
  <c r="O63" i="89"/>
  <c r="Y63" i="89"/>
  <c r="Y13" i="89"/>
  <c r="AD63" i="89"/>
  <c r="T13" i="89"/>
  <c r="S63" i="89"/>
  <c r="V13" i="89"/>
  <c r="R13" i="89"/>
  <c r="AF63" i="89"/>
  <c r="R63" i="89"/>
  <c r="J13" i="89"/>
  <c r="P13" i="89"/>
  <c r="Y33" i="89"/>
  <c r="M13" i="89"/>
  <c r="P63" i="89"/>
  <c r="O13" i="89"/>
  <c r="N63" i="89"/>
  <c r="AB13" i="89"/>
  <c r="Y38" i="89"/>
  <c r="L68" i="89"/>
  <c r="N28" i="89"/>
  <c r="K28" i="89"/>
  <c r="AC68" i="89"/>
  <c r="W28" i="89"/>
  <c r="P23" i="89"/>
  <c r="W23" i="89"/>
  <c r="M48" i="89"/>
  <c r="K23" i="89"/>
  <c r="X48" i="89"/>
  <c r="AA28" i="89"/>
  <c r="O28" i="89"/>
  <c r="Z48" i="89"/>
  <c r="X23" i="89"/>
  <c r="T23" i="89"/>
  <c r="AF23" i="89"/>
  <c r="AA68" i="89"/>
  <c r="AE28" i="89"/>
  <c r="R23" i="89"/>
  <c r="K48" i="89"/>
  <c r="N48" i="89"/>
  <c r="Z23" i="89"/>
  <c r="AC28" i="89"/>
  <c r="Q68" i="89"/>
  <c r="P68" i="89"/>
  <c r="P28" i="89"/>
  <c r="AD68" i="89"/>
  <c r="V48" i="89"/>
  <c r="AF58" i="87"/>
  <c r="K68" i="87"/>
  <c r="P53" i="87"/>
  <c r="AB33" i="83"/>
  <c r="Y23" i="87"/>
  <c r="L53" i="85"/>
  <c r="S48" i="87"/>
  <c r="K48" i="87"/>
  <c r="AF68" i="89" l="1"/>
  <c r="O23" i="89"/>
  <c r="AA23" i="89"/>
  <c r="P48" i="89"/>
  <c r="AF28" i="89"/>
  <c r="P33" i="89"/>
  <c r="R33" i="89"/>
  <c r="W13" i="89"/>
  <c r="AC58" i="89"/>
  <c r="Z38" i="89"/>
  <c r="AC18" i="89"/>
  <c r="S38" i="87"/>
  <c r="T28" i="89"/>
  <c r="S68" i="89"/>
  <c r="AD28" i="89"/>
  <c r="R68" i="89"/>
  <c r="AB23" i="89"/>
  <c r="Z28" i="89"/>
  <c r="K33" i="89"/>
  <c r="N13" i="89"/>
  <c r="O33" i="89"/>
  <c r="J43" i="89"/>
  <c r="M58" i="89"/>
  <c r="J18" i="89"/>
  <c r="AG10" i="89"/>
  <c r="J53" i="89"/>
  <c r="M38" i="89"/>
  <c r="V68" i="87"/>
  <c r="R48" i="89"/>
  <c r="U28" i="89"/>
  <c r="M28" i="89"/>
  <c r="J48" i="89"/>
  <c r="S33" i="89"/>
  <c r="AC33" i="89"/>
  <c r="L58" i="89"/>
  <c r="N53" i="89"/>
  <c r="Q18" i="89"/>
  <c r="AE13" i="89"/>
  <c r="W33" i="89"/>
  <c r="K53" i="89"/>
  <c r="AC43" i="89"/>
  <c r="O68" i="89"/>
  <c r="U18" i="89"/>
  <c r="AD48" i="87"/>
  <c r="N68" i="87"/>
  <c r="R38" i="89"/>
  <c r="AD48" i="89"/>
  <c r="W63" i="89"/>
  <c r="AB53" i="89"/>
  <c r="AE18" i="89"/>
  <c r="T18" i="89"/>
  <c r="AE43" i="87"/>
  <c r="AB28" i="89"/>
  <c r="Q33" i="89"/>
  <c r="AC13" i="89"/>
  <c r="AA58" i="89"/>
  <c r="AF58" i="89"/>
  <c r="Y48" i="89"/>
  <c r="Y23" i="89"/>
  <c r="J28" i="89"/>
  <c r="L33" i="89"/>
  <c r="S58" i="89"/>
  <c r="AG17" i="89"/>
  <c r="S18" i="89"/>
  <c r="M18" i="89"/>
  <c r="AG20" i="89"/>
  <c r="V53" i="89"/>
  <c r="X38" i="89"/>
  <c r="AG9" i="89"/>
  <c r="I13" i="89"/>
  <c r="T38" i="89"/>
  <c r="P38" i="89"/>
  <c r="AG29" i="89"/>
  <c r="I33" i="89"/>
  <c r="AG27" i="89"/>
  <c r="L28" i="89"/>
  <c r="Q48" i="89"/>
  <c r="U33" i="89"/>
  <c r="T63" i="89"/>
  <c r="AG62" i="89"/>
  <c r="U13" i="89"/>
  <c r="Z53" i="89"/>
  <c r="AG21" i="89"/>
  <c r="AG55" i="89"/>
  <c r="AG41" i="89"/>
  <c r="N18" i="89"/>
  <c r="AB38" i="89"/>
  <c r="AG35" i="89"/>
  <c r="S28" i="89"/>
  <c r="O38" i="89"/>
  <c r="AC48" i="89"/>
  <c r="AA48" i="89"/>
  <c r="S13" i="89"/>
  <c r="V43" i="89"/>
  <c r="AG31" i="89"/>
  <c r="W58" i="89"/>
  <c r="N43" i="89"/>
  <c r="AG39" i="89"/>
  <c r="I43" i="89"/>
  <c r="V38" i="89"/>
  <c r="AF53" i="89"/>
  <c r="AG22" i="89"/>
  <c r="U68" i="89"/>
  <c r="S38" i="89"/>
  <c r="U48" i="89"/>
  <c r="AG47" i="89"/>
  <c r="M68" i="89"/>
  <c r="AE33" i="89"/>
  <c r="AG12" i="89"/>
  <c r="W43" i="89"/>
  <c r="T58" i="89"/>
  <c r="AG60" i="89"/>
  <c r="AF43" i="89"/>
  <c r="AG59" i="89"/>
  <c r="I63" i="89"/>
  <c r="AG11" i="89"/>
  <c r="N38" i="89"/>
  <c r="AG34" i="89"/>
  <c r="I38" i="89"/>
  <c r="AE38" i="89"/>
  <c r="P53" i="89"/>
  <c r="AG52" i="89"/>
  <c r="T48" i="89"/>
  <c r="AC38" i="89"/>
  <c r="AB68" i="89"/>
  <c r="Y28" i="89"/>
  <c r="O48" i="89"/>
  <c r="X68" i="89"/>
  <c r="M33" i="89"/>
  <c r="AG32" i="89"/>
  <c r="AG36" i="89"/>
  <c r="AG46" i="89"/>
  <c r="AB58" i="89"/>
  <c r="Q43" i="89"/>
  <c r="W18" i="89"/>
  <c r="K18" i="89"/>
  <c r="AG54" i="89"/>
  <c r="I58" i="89"/>
  <c r="I18" i="89"/>
  <c r="AG14" i="89"/>
  <c r="V18" i="89"/>
  <c r="AG57" i="89"/>
  <c r="O18" i="89"/>
  <c r="L38" i="89"/>
  <c r="I23" i="89"/>
  <c r="AG44" i="89"/>
  <c r="I48" i="89"/>
  <c r="L23" i="89"/>
  <c r="Z68" i="89"/>
  <c r="AE68" i="89"/>
  <c r="Y68" i="89"/>
  <c r="K68" i="89"/>
  <c r="V23" i="89"/>
  <c r="J68" i="89"/>
  <c r="AG37" i="89"/>
  <c r="M63" i="89"/>
  <c r="AD13" i="89"/>
  <c r="AB63" i="89"/>
  <c r="J58" i="89"/>
  <c r="X43" i="89"/>
  <c r="U43" i="89"/>
  <c r="AE53" i="89"/>
  <c r="AG15" i="89"/>
  <c r="AG19" i="89"/>
  <c r="AD18" i="89"/>
  <c r="AG67" i="89"/>
  <c r="S48" i="89"/>
  <c r="N68" i="89"/>
  <c r="Q38" i="89"/>
  <c r="V28" i="89"/>
  <c r="W48" i="89"/>
  <c r="AD38" i="89"/>
  <c r="AG26" i="89"/>
  <c r="AA13" i="89"/>
  <c r="X33" i="89"/>
  <c r="V63" i="89"/>
  <c r="AG65" i="89"/>
  <c r="P43" i="89"/>
  <c r="AG45" i="89"/>
  <c r="V58" i="89"/>
  <c r="K58" i="89"/>
  <c r="AF18" i="89"/>
  <c r="AG30" i="89"/>
  <c r="M23" i="89"/>
  <c r="T33" i="89"/>
  <c r="X63" i="89"/>
  <c r="AA63" i="89"/>
  <c r="N58" i="89"/>
  <c r="Z58" i="89"/>
  <c r="AD58" i="89"/>
  <c r="AG50" i="89"/>
  <c r="X53" i="89"/>
  <c r="R53" i="89"/>
  <c r="AG64" i="89"/>
  <c r="I68" i="89"/>
  <c r="W38" i="89"/>
  <c r="AG24" i="89"/>
  <c r="I28" i="89"/>
  <c r="AG61" i="89"/>
  <c r="U23" i="89"/>
  <c r="AE48" i="89"/>
  <c r="AB48" i="89"/>
  <c r="X28" i="89"/>
  <c r="J23" i="89"/>
  <c r="L48" i="89"/>
  <c r="W68" i="89"/>
  <c r="AE63" i="89"/>
  <c r="AF13" i="89"/>
  <c r="N33" i="89"/>
  <c r="U63" i="89"/>
  <c r="J63" i="89"/>
  <c r="AC63" i="89"/>
  <c r="R43" i="89"/>
  <c r="K43" i="89"/>
  <c r="X58" i="89"/>
  <c r="U58" i="89"/>
  <c r="X18" i="89"/>
  <c r="Q28" i="89"/>
  <c r="AA18" i="89"/>
  <c r="Y53" i="89"/>
  <c r="V68" i="89"/>
  <c r="R28" i="89"/>
  <c r="AA38" i="89"/>
  <c r="AF48" i="89"/>
  <c r="AC23" i="89"/>
  <c r="T68" i="89"/>
  <c r="AD23" i="89"/>
  <c r="AD33" i="89"/>
  <c r="AB33" i="89"/>
  <c r="Q13" i="89"/>
  <c r="AG66" i="89"/>
  <c r="K63" i="89"/>
  <c r="O43" i="89"/>
  <c r="T53" i="89"/>
  <c r="AG51" i="89"/>
  <c r="Q58" i="89"/>
  <c r="S53" i="89"/>
  <c r="Z43" i="89"/>
  <c r="Y58" i="89"/>
  <c r="L18" i="89"/>
  <c r="P18" i="89"/>
  <c r="L53" i="89"/>
  <c r="Q53" i="89"/>
  <c r="AF38" i="89"/>
  <c r="O53" i="89"/>
  <c r="AD53" i="89"/>
  <c r="S23" i="89"/>
  <c r="AE23" i="89"/>
  <c r="N23" i="89"/>
  <c r="Q23" i="89"/>
  <c r="L63" i="89"/>
  <c r="L13" i="89"/>
  <c r="Z13" i="89"/>
  <c r="AG42" i="89"/>
  <c r="AG56" i="89"/>
  <c r="AB18" i="89"/>
  <c r="AG40" i="89"/>
  <c r="AG25" i="89"/>
  <c r="AG16" i="89"/>
  <c r="W53" i="89"/>
  <c r="U38" i="89"/>
  <c r="R18" i="89"/>
  <c r="J38" i="89"/>
  <c r="Z33" i="89"/>
  <c r="AG49" i="89"/>
  <c r="I53" i="89"/>
  <c r="AC53" i="89"/>
  <c r="Y18" i="89"/>
  <c r="K38" i="89"/>
  <c r="Z18" i="89"/>
  <c r="T43" i="87"/>
  <c r="M23" i="87"/>
  <c r="W53" i="87"/>
  <c r="R13" i="87"/>
  <c r="AB38" i="87"/>
  <c r="X23" i="87"/>
  <c r="R53" i="87"/>
  <c r="P48" i="81"/>
  <c r="J63" i="87"/>
  <c r="U63" i="87"/>
  <c r="U28" i="87"/>
  <c r="AD58" i="87"/>
  <c r="O63" i="83"/>
  <c r="AD48" i="83"/>
  <c r="R28" i="87"/>
  <c r="AB68" i="87"/>
  <c r="W63" i="87"/>
  <c r="O68" i="81"/>
  <c r="X43" i="81"/>
  <c r="K43" i="81"/>
  <c r="AE38" i="87"/>
  <c r="O33" i="85"/>
  <c r="M68" i="87"/>
  <c r="U68" i="81"/>
  <c r="AD43" i="87"/>
  <c r="Z13" i="87"/>
  <c r="L33" i="85"/>
  <c r="N33" i="83"/>
  <c r="K33" i="81"/>
  <c r="AE58" i="85"/>
  <c r="T33" i="85"/>
  <c r="AC38" i="87"/>
  <c r="X53" i="85"/>
  <c r="AC38" i="85"/>
  <c r="K23" i="87"/>
  <c r="P68" i="83"/>
  <c r="U33" i="83"/>
  <c r="X38" i="83"/>
  <c r="M33" i="83"/>
  <c r="AD28" i="83"/>
  <c r="R13" i="83"/>
  <c r="K63" i="83"/>
  <c r="T38" i="83"/>
  <c r="AA63" i="83"/>
  <c r="W13" i="85"/>
  <c r="O53" i="81"/>
  <c r="R53" i="81"/>
  <c r="S48" i="81"/>
  <c r="V23" i="81"/>
  <c r="U53" i="81"/>
  <c r="P58" i="81"/>
  <c r="AE63" i="87"/>
  <c r="K28" i="85"/>
  <c r="Q58" i="85"/>
  <c r="N38" i="85"/>
  <c r="AC13" i="87"/>
  <c r="AD53" i="85"/>
  <c r="L38" i="87"/>
  <c r="N13" i="87"/>
  <c r="V18" i="87"/>
  <c r="AC68" i="83"/>
  <c r="Z43" i="83"/>
  <c r="AC18" i="83"/>
  <c r="AC13" i="83"/>
  <c r="Z33" i="85"/>
  <c r="S33" i="83"/>
  <c r="M63" i="85"/>
  <c r="W23" i="85"/>
  <c r="AD13" i="83"/>
  <c r="V68" i="83"/>
  <c r="T18" i="85"/>
  <c r="Y63" i="87"/>
  <c r="X33" i="81"/>
  <c r="AC58" i="81"/>
  <c r="J63" i="81"/>
  <c r="Q23" i="81"/>
  <c r="L28" i="81"/>
  <c r="AA48" i="81"/>
  <c r="T43" i="81"/>
  <c r="U58" i="81"/>
  <c r="V58" i="85"/>
  <c r="O68" i="85"/>
  <c r="T68" i="85"/>
  <c r="L18" i="87"/>
  <c r="R38" i="87"/>
  <c r="U38" i="87"/>
  <c r="AF18" i="83"/>
  <c r="X68" i="83"/>
  <c r="AB23" i="83"/>
  <c r="AF58" i="83"/>
  <c r="AB63" i="83"/>
  <c r="W58" i="83"/>
  <c r="Y28" i="87"/>
  <c r="AF18" i="81"/>
  <c r="X58" i="81"/>
  <c r="M18" i="81"/>
  <c r="Q28" i="81"/>
  <c r="AA28" i="87"/>
  <c r="X48" i="85"/>
  <c r="O58" i="85"/>
  <c r="K43" i="87"/>
  <c r="T18" i="87"/>
  <c r="AA18" i="85"/>
  <c r="O23" i="83"/>
  <c r="J23" i="85"/>
  <c r="M63" i="87"/>
  <c r="AD48" i="81"/>
  <c r="AA28" i="81"/>
  <c r="X53" i="81"/>
  <c r="Q18" i="81"/>
  <c r="AD28" i="87"/>
  <c r="M68" i="85"/>
  <c r="AF23" i="81"/>
  <c r="U48" i="87"/>
  <c r="R58" i="87"/>
  <c r="S48" i="85"/>
  <c r="U18" i="87"/>
  <c r="M43" i="87"/>
  <c r="R53" i="85"/>
  <c r="O48" i="85"/>
  <c r="Q38" i="85"/>
  <c r="Y13" i="87"/>
  <c r="AF53" i="85"/>
  <c r="T53" i="87"/>
  <c r="AC68" i="81"/>
  <c r="V68" i="85"/>
  <c r="V38" i="85"/>
  <c r="T13" i="87"/>
  <c r="K48" i="83"/>
  <c r="AD23" i="83"/>
  <c r="AB63" i="87"/>
  <c r="Z38" i="83"/>
  <c r="AC53" i="85"/>
  <c r="AD53" i="87"/>
  <c r="L23" i="85"/>
  <c r="T58" i="81"/>
  <c r="Z48" i="85"/>
  <c r="R28" i="85"/>
  <c r="AE33" i="85"/>
  <c r="AB13" i="87"/>
  <c r="AB53" i="85"/>
  <c r="O38" i="85"/>
  <c r="L13" i="87"/>
  <c r="AE53" i="85"/>
  <c r="AA43" i="85"/>
  <c r="V13" i="81"/>
  <c r="O28" i="81"/>
  <c r="R23" i="81"/>
  <c r="W68" i="81"/>
  <c r="O68" i="83"/>
  <c r="P38" i="87"/>
  <c r="L38" i="85"/>
  <c r="Q33" i="85"/>
  <c r="Y38" i="85"/>
  <c r="AD33" i="81"/>
  <c r="T48" i="87"/>
  <c r="AA23" i="81"/>
  <c r="N38" i="81"/>
  <c r="AE48" i="85"/>
  <c r="T38" i="85"/>
  <c r="X18" i="87"/>
  <c r="M48" i="85"/>
  <c r="AB48" i="85"/>
  <c r="Z53" i="87"/>
  <c r="J33" i="85"/>
  <c r="U38" i="85"/>
  <c r="U23" i="83"/>
  <c r="S53" i="81"/>
  <c r="T48" i="81"/>
  <c r="R58" i="81"/>
  <c r="Y53" i="87"/>
  <c r="X68" i="85"/>
  <c r="Z18" i="87"/>
  <c r="O58" i="83"/>
  <c r="P28" i="83"/>
  <c r="R38" i="85"/>
  <c r="AF58" i="85"/>
  <c r="V63" i="81"/>
  <c r="AF38" i="87"/>
  <c r="AF13" i="87"/>
  <c r="AE48" i="87"/>
  <c r="AA23" i="87"/>
  <c r="Y43" i="87"/>
  <c r="R23" i="87"/>
  <c r="AC48" i="81"/>
  <c r="R48" i="85"/>
  <c r="AG22" i="83"/>
  <c r="AA53" i="85"/>
  <c r="J48" i="83"/>
  <c r="AG15" i="83"/>
  <c r="S13" i="81"/>
  <c r="AB33" i="85"/>
  <c r="S43" i="87"/>
  <c r="T38" i="87"/>
  <c r="R48" i="83"/>
  <c r="N28" i="83"/>
  <c r="R68" i="87"/>
  <c r="AB33" i="81"/>
  <c r="AG51" i="87"/>
  <c r="X48" i="87"/>
  <c r="K38" i="87"/>
  <c r="AD38" i="87"/>
  <c r="O63" i="87"/>
  <c r="J23" i="81"/>
  <c r="W23" i="81"/>
  <c r="Q38" i="81"/>
  <c r="P58" i="85"/>
  <c r="AG67" i="85"/>
  <c r="P63" i="85"/>
  <c r="X53" i="87"/>
  <c r="O43" i="83"/>
  <c r="AD13" i="81"/>
  <c r="Y23" i="81"/>
  <c r="AG31" i="87"/>
  <c r="AG32" i="87"/>
  <c r="AA13" i="85"/>
  <c r="AC38" i="81"/>
  <c r="N43" i="87"/>
  <c r="L13" i="85"/>
  <c r="S13" i="87"/>
  <c r="T33" i="81"/>
  <c r="AE43" i="81"/>
  <c r="V13" i="87"/>
  <c r="M13" i="87"/>
  <c r="V68" i="81"/>
  <c r="V48" i="87"/>
  <c r="AB48" i="87"/>
  <c r="AA23" i="85"/>
  <c r="O48" i="81"/>
  <c r="N33" i="81"/>
  <c r="AG41" i="85"/>
  <c r="AA63" i="85"/>
  <c r="S28" i="87"/>
  <c r="Z58" i="81"/>
  <c r="Q68" i="83"/>
  <c r="J53" i="87"/>
  <c r="AC23" i="87"/>
  <c r="AD13" i="87"/>
  <c r="Y68" i="87"/>
  <c r="AA53" i="87"/>
  <c r="R33" i="83"/>
  <c r="Q63" i="85"/>
  <c r="V28" i="85"/>
  <c r="R43" i="87"/>
  <c r="Q23" i="87"/>
  <c r="AF33" i="85"/>
  <c r="L23" i="87"/>
  <c r="V53" i="85"/>
  <c r="U68" i="83"/>
  <c r="T58" i="85"/>
  <c r="P63" i="87"/>
  <c r="V28" i="83"/>
  <c r="L68" i="87"/>
  <c r="K28" i="87"/>
  <c r="P33" i="83"/>
  <c r="J48" i="87"/>
  <c r="L23" i="81"/>
  <c r="M68" i="81"/>
  <c r="AA48" i="87"/>
  <c r="AB18" i="85"/>
  <c r="Z38" i="87"/>
  <c r="AD68" i="87"/>
  <c r="W53" i="85"/>
  <c r="AB23" i="87"/>
  <c r="R43" i="85"/>
  <c r="P13" i="87"/>
  <c r="AC33" i="83"/>
  <c r="V53" i="87"/>
  <c r="P43" i="85"/>
  <c r="U68" i="87"/>
  <c r="X58" i="85"/>
  <c r="AC33" i="85"/>
  <c r="AF43" i="87"/>
  <c r="U43" i="87"/>
  <c r="L48" i="87"/>
  <c r="P48" i="87"/>
  <c r="N23" i="87"/>
  <c r="AA43" i="87"/>
  <c r="N53" i="85"/>
  <c r="S23" i="87"/>
  <c r="J18" i="85"/>
  <c r="P13" i="85"/>
  <c r="J68" i="87"/>
  <c r="Z28" i="87"/>
  <c r="AC23" i="81"/>
  <c r="T43" i="83"/>
  <c r="K58" i="87"/>
  <c r="Y43" i="81"/>
  <c r="K53" i="87"/>
  <c r="R43" i="81"/>
  <c r="O38" i="87"/>
  <c r="O53" i="83"/>
  <c r="J53" i="81"/>
  <c r="M33" i="81"/>
  <c r="X43" i="85"/>
  <c r="X28" i="85"/>
  <c r="Z58" i="85"/>
  <c r="AC48" i="87"/>
  <c r="Q43" i="87"/>
  <c r="AC18" i="87"/>
  <c r="O13" i="87"/>
  <c r="O18" i="85"/>
  <c r="W18" i="87"/>
  <c r="Z18" i="83"/>
  <c r="W48" i="83"/>
  <c r="T68" i="87"/>
  <c r="M58" i="87"/>
  <c r="J58" i="87"/>
  <c r="R13" i="81"/>
  <c r="U13" i="83"/>
  <c r="N68" i="83"/>
  <c r="U43" i="85"/>
  <c r="AF53" i="83"/>
  <c r="N53" i="87"/>
  <c r="S53" i="87"/>
  <c r="U58" i="87"/>
  <c r="Y48" i="87"/>
  <c r="O53" i="85"/>
  <c r="Z38" i="85"/>
  <c r="Z28" i="85"/>
  <c r="Z48" i="87"/>
  <c r="AD33" i="85"/>
  <c r="AD18" i="87"/>
  <c r="AA38" i="87"/>
  <c r="AB43" i="87"/>
  <c r="V43" i="85"/>
  <c r="N38" i="87"/>
  <c r="Z43" i="85"/>
  <c r="J23" i="87"/>
  <c r="Q43" i="85"/>
  <c r="V23" i="87"/>
  <c r="AC58" i="87"/>
  <c r="S68" i="83"/>
  <c r="Q68" i="87"/>
  <c r="AC68" i="87"/>
  <c r="N23" i="81"/>
  <c r="T23" i="81"/>
  <c r="N48" i="81"/>
  <c r="AG60" i="85"/>
  <c r="P53" i="85"/>
  <c r="AC63" i="83"/>
  <c r="W63" i="81"/>
  <c r="L68" i="85"/>
  <c r="AE28" i="85"/>
  <c r="AC13" i="85"/>
  <c r="R58" i="83"/>
  <c r="AG39" i="83"/>
  <c r="I43" i="83"/>
  <c r="Y68" i="81"/>
  <c r="J68" i="85"/>
  <c r="AD58" i="85"/>
  <c r="Q38" i="87"/>
  <c r="AC48" i="85"/>
  <c r="M48" i="87"/>
  <c r="M18" i="87"/>
  <c r="J38" i="87"/>
  <c r="AG55" i="83"/>
  <c r="AG9" i="83"/>
  <c r="I13" i="83"/>
  <c r="AG30" i="85"/>
  <c r="AG17" i="81"/>
  <c r="AG9" i="85"/>
  <c r="I13" i="85"/>
  <c r="AG42" i="85"/>
  <c r="Z33" i="83"/>
  <c r="K58" i="85"/>
  <c r="AG36" i="81"/>
  <c r="K53" i="81"/>
  <c r="I23" i="81"/>
  <c r="AG19" i="81"/>
  <c r="L53" i="83"/>
  <c r="Y28" i="81"/>
  <c r="AF13" i="81"/>
  <c r="I28" i="81"/>
  <c r="AG24" i="81"/>
  <c r="X28" i="81"/>
  <c r="AG31" i="81"/>
  <c r="AF48" i="81"/>
  <c r="K58" i="81"/>
  <c r="V33" i="87"/>
  <c r="AG34" i="87"/>
  <c r="I38" i="87"/>
  <c r="N53" i="81"/>
  <c r="AG10" i="81"/>
  <c r="AE28" i="87"/>
  <c r="AC43" i="83"/>
  <c r="N68" i="81"/>
  <c r="U53" i="83"/>
  <c r="AG22" i="81"/>
  <c r="Y38" i="81"/>
  <c r="V48" i="81"/>
  <c r="I33" i="87"/>
  <c r="AA43" i="83"/>
  <c r="AG22" i="85"/>
  <c r="AD58" i="83"/>
  <c r="AG25" i="85"/>
  <c r="Y28" i="85"/>
  <c r="N28" i="85"/>
  <c r="N48" i="87"/>
  <c r="AG66" i="85"/>
  <c r="Q48" i="87"/>
  <c r="AG56" i="85"/>
  <c r="P43" i="87"/>
  <c r="AF33" i="83"/>
  <c r="I58" i="81"/>
  <c r="AG54" i="81"/>
  <c r="AG12" i="87"/>
  <c r="Y38" i="87"/>
  <c r="AG57" i="87"/>
  <c r="AG46" i="87"/>
  <c r="Z38" i="81"/>
  <c r="R33" i="87"/>
  <c r="Q48" i="85"/>
  <c r="M28" i="85"/>
  <c r="AB38" i="85"/>
  <c r="AG67" i="83"/>
  <c r="AG21" i="83"/>
  <c r="AA38" i="85"/>
  <c r="AG16" i="85"/>
  <c r="AE38" i="83"/>
  <c r="AA58" i="85"/>
  <c r="AG27" i="83"/>
  <c r="AA68" i="83"/>
  <c r="O43" i="87"/>
  <c r="K38" i="83"/>
  <c r="AE38" i="81"/>
  <c r="Y68" i="83"/>
  <c r="N23" i="85"/>
  <c r="S53" i="85"/>
  <c r="O13" i="81"/>
  <c r="AC53" i="83"/>
  <c r="AA63" i="81"/>
  <c r="L58" i="85"/>
  <c r="T28" i="85"/>
  <c r="X43" i="87"/>
  <c r="O48" i="87"/>
  <c r="K13" i="85"/>
  <c r="I43" i="87"/>
  <c r="AG42" i="87"/>
  <c r="U18" i="85"/>
  <c r="AG31" i="85"/>
  <c r="Y18" i="85"/>
  <c r="W38" i="85"/>
  <c r="X38" i="87"/>
  <c r="I68" i="83"/>
  <c r="AG64" i="83"/>
  <c r="J43" i="83"/>
  <c r="AG21" i="87"/>
  <c r="U58" i="85"/>
  <c r="X63" i="83"/>
  <c r="U23" i="85"/>
  <c r="L48" i="85"/>
  <c r="V33" i="85"/>
  <c r="V18" i="85"/>
  <c r="S63" i="85"/>
  <c r="AG15" i="81"/>
  <c r="AG51" i="83"/>
  <c r="W28" i="83"/>
  <c r="AG61" i="85"/>
  <c r="AG46" i="81"/>
  <c r="T28" i="81"/>
  <c r="AG52" i="83"/>
  <c r="AC28" i="85"/>
  <c r="AG36" i="85"/>
  <c r="AG26" i="85"/>
  <c r="AG47" i="83"/>
  <c r="Y43" i="85"/>
  <c r="K53" i="85"/>
  <c r="X18" i="85"/>
  <c r="AG52" i="85"/>
  <c r="P18" i="87"/>
  <c r="P18" i="83"/>
  <c r="AG35" i="81"/>
  <c r="U28" i="85"/>
  <c r="AG16" i="87"/>
  <c r="X23" i="81"/>
  <c r="AG37" i="81"/>
  <c r="I18" i="87"/>
  <c r="AG17" i="87"/>
  <c r="AA48" i="85"/>
  <c r="W68" i="85"/>
  <c r="U13" i="85"/>
  <c r="Q53" i="85"/>
  <c r="AE18" i="85"/>
  <c r="N18" i="87"/>
  <c r="T43" i="85"/>
  <c r="AG55" i="81"/>
  <c r="AG56" i="81"/>
  <c r="M13" i="81"/>
  <c r="Y58" i="85"/>
  <c r="K63" i="85"/>
  <c r="X48" i="83"/>
  <c r="Z28" i="81"/>
  <c r="AG45" i="87"/>
  <c r="AG32" i="85"/>
  <c r="AG17" i="83"/>
  <c r="AG35" i="85"/>
  <c r="U43" i="83"/>
  <c r="W58" i="81"/>
  <c r="J28" i="81"/>
  <c r="J28" i="85"/>
  <c r="AG27" i="85"/>
  <c r="AF48" i="85"/>
  <c r="AF68" i="85"/>
  <c r="Y33" i="85"/>
  <c r="J58" i="85"/>
  <c r="R58" i="85"/>
  <c r="M33" i="85"/>
  <c r="U33" i="85"/>
  <c r="AD28" i="85"/>
  <c r="AB58" i="85"/>
  <c r="V48" i="85"/>
  <c r="K33" i="85"/>
  <c r="AB13" i="85"/>
  <c r="Z18" i="85"/>
  <c r="O43" i="85"/>
  <c r="Z23" i="87"/>
  <c r="S28" i="83"/>
  <c r="AB68" i="83"/>
  <c r="L18" i="83"/>
  <c r="AE63" i="83"/>
  <c r="AF23" i="83"/>
  <c r="AC28" i="83"/>
  <c r="K18" i="83"/>
  <c r="AF48" i="83"/>
  <c r="X28" i="83"/>
  <c r="AD63" i="85"/>
  <c r="Y48" i="83"/>
  <c r="AG14" i="85"/>
  <c r="N38" i="83"/>
  <c r="W48" i="85"/>
  <c r="M58" i="85"/>
  <c r="W28" i="85"/>
  <c r="AC58" i="85"/>
  <c r="U48" i="85"/>
  <c r="AB28" i="85"/>
  <c r="K68" i="85"/>
  <c r="S33" i="85"/>
  <c r="S18" i="87"/>
  <c r="R33" i="85"/>
  <c r="W33" i="85"/>
  <c r="Y68" i="85"/>
  <c r="AE13" i="87"/>
  <c r="AG12" i="83"/>
  <c r="W43" i="87"/>
  <c r="U13" i="87"/>
  <c r="R18" i="85"/>
  <c r="Z43" i="87"/>
  <c r="M53" i="85"/>
  <c r="AG11" i="85"/>
  <c r="AB18" i="87"/>
  <c r="W43" i="85"/>
  <c r="T23" i="87"/>
  <c r="W38" i="87"/>
  <c r="AG16" i="83"/>
  <c r="L43" i="85"/>
  <c r="T53" i="85"/>
  <c r="Q18" i="87"/>
  <c r="AG42" i="83"/>
  <c r="S38" i="85"/>
  <c r="M43" i="85"/>
  <c r="AF23" i="87"/>
  <c r="AB18" i="83"/>
  <c r="J33" i="83"/>
  <c r="V18" i="83"/>
  <c r="L48" i="83"/>
  <c r="T53" i="83"/>
  <c r="AG50" i="83"/>
  <c r="AC48" i="83"/>
  <c r="J63" i="85"/>
  <c r="AG61" i="83"/>
  <c r="AE33" i="83"/>
  <c r="M23" i="85"/>
  <c r="Q58" i="87"/>
  <c r="AB23" i="85"/>
  <c r="V58" i="83"/>
  <c r="M23" i="83"/>
  <c r="AG30" i="83"/>
  <c r="AG29" i="83"/>
  <c r="I33" i="83"/>
  <c r="R28" i="83"/>
  <c r="K68" i="83"/>
  <c r="Z63" i="83"/>
  <c r="Y13" i="83"/>
  <c r="AF13" i="83"/>
  <c r="K33" i="83"/>
  <c r="Z23" i="83"/>
  <c r="AG49" i="83"/>
  <c r="I53" i="83"/>
  <c r="M53" i="87"/>
  <c r="Y38" i="83"/>
  <c r="N63" i="85"/>
  <c r="T63" i="85"/>
  <c r="Z58" i="87"/>
  <c r="V38" i="83"/>
  <c r="Y63" i="85"/>
  <c r="AG11" i="87"/>
  <c r="K23" i="85"/>
  <c r="W68" i="87"/>
  <c r="Y58" i="87"/>
  <c r="Y53" i="81"/>
  <c r="AC63" i="81"/>
  <c r="T13" i="83"/>
  <c r="AB68" i="81"/>
  <c r="AF68" i="81"/>
  <c r="R33" i="81"/>
  <c r="AD43" i="81"/>
  <c r="AG60" i="81"/>
  <c r="AG61" i="81"/>
  <c r="P28" i="81"/>
  <c r="W18" i="81"/>
  <c r="AB23" i="81"/>
  <c r="AF63" i="81"/>
  <c r="AB38" i="81"/>
  <c r="V58" i="81"/>
  <c r="T68" i="81"/>
  <c r="U33" i="81"/>
  <c r="O43" i="81"/>
  <c r="W13" i="81"/>
  <c r="AG27" i="87"/>
  <c r="V28" i="81"/>
  <c r="V18" i="81"/>
  <c r="Y53" i="83"/>
  <c r="AG49" i="87"/>
  <c r="I53" i="87"/>
  <c r="P68" i="85"/>
  <c r="Y58" i="81"/>
  <c r="Q13" i="81"/>
  <c r="AG39" i="81"/>
  <c r="I43" i="81"/>
  <c r="AG20" i="81"/>
  <c r="AA58" i="81"/>
  <c r="AG54" i="85"/>
  <c r="U43" i="81"/>
  <c r="Y33" i="87"/>
  <c r="J33" i="87"/>
  <c r="Q33" i="87"/>
  <c r="J28" i="87"/>
  <c r="AG54" i="87"/>
  <c r="I58" i="87"/>
  <c r="L63" i="87"/>
  <c r="AA18" i="87"/>
  <c r="AA33" i="87"/>
  <c r="X33" i="87"/>
  <c r="K63" i="81"/>
  <c r="J33" i="81"/>
  <c r="R63" i="87"/>
  <c r="U23" i="87"/>
  <c r="Q63" i="87"/>
  <c r="M38" i="85"/>
  <c r="J18" i="87"/>
  <c r="Q18" i="85"/>
  <c r="AE38" i="85"/>
  <c r="N18" i="85"/>
  <c r="V38" i="87"/>
  <c r="AG37" i="87"/>
  <c r="Y13" i="85"/>
  <c r="Q13" i="87"/>
  <c r="L43" i="87"/>
  <c r="M38" i="87"/>
  <c r="AG25" i="83"/>
  <c r="M68" i="83"/>
  <c r="M18" i="85"/>
  <c r="T48" i="83"/>
  <c r="X18" i="83"/>
  <c r="T23" i="83"/>
  <c r="I28" i="83"/>
  <c r="AG24" i="83"/>
  <c r="AG35" i="83"/>
  <c r="AG49" i="85"/>
  <c r="I53" i="85"/>
  <c r="Z23" i="85"/>
  <c r="AA48" i="83"/>
  <c r="Z28" i="83"/>
  <c r="P58" i="87"/>
  <c r="T58" i="83"/>
  <c r="M38" i="83"/>
  <c r="AB58" i="87"/>
  <c r="Z68" i="83"/>
  <c r="Y23" i="83"/>
  <c r="V48" i="83"/>
  <c r="AE48" i="83"/>
  <c r="AE18" i="83"/>
  <c r="W23" i="83"/>
  <c r="W18" i="83"/>
  <c r="O33" i="83"/>
  <c r="AC38" i="83"/>
  <c r="Q23" i="85"/>
  <c r="Z68" i="87"/>
  <c r="I68" i="87"/>
  <c r="AG67" i="87"/>
  <c r="P43" i="83"/>
  <c r="AG55" i="85"/>
  <c r="N63" i="83"/>
  <c r="L58" i="87"/>
  <c r="X23" i="85"/>
  <c r="AC28" i="87"/>
  <c r="O58" i="87"/>
  <c r="AB43" i="83"/>
  <c r="S23" i="85"/>
  <c r="AE68" i="87"/>
  <c r="O63" i="81"/>
  <c r="L33" i="81"/>
  <c r="AB63" i="81"/>
  <c r="R18" i="81"/>
  <c r="W38" i="81"/>
  <c r="X68" i="81"/>
  <c r="R28" i="81"/>
  <c r="AD28" i="81"/>
  <c r="L18" i="81"/>
  <c r="AG39" i="85"/>
  <c r="I43" i="85"/>
  <c r="AG66" i="81"/>
  <c r="AD68" i="81"/>
  <c r="AE33" i="81"/>
  <c r="AA43" i="81"/>
  <c r="P38" i="81"/>
  <c r="J68" i="81"/>
  <c r="AF28" i="81"/>
  <c r="Q68" i="85"/>
  <c r="AF58" i="81"/>
  <c r="Q63" i="81"/>
  <c r="U23" i="81"/>
  <c r="S33" i="81"/>
  <c r="AG64" i="85"/>
  <c r="I68" i="85"/>
  <c r="I18" i="81"/>
  <c r="AG14" i="81"/>
  <c r="Z43" i="81"/>
  <c r="AG36" i="87"/>
  <c r="K38" i="81"/>
  <c r="AA53" i="83"/>
  <c r="AG50" i="87"/>
  <c r="AF33" i="81"/>
  <c r="Q48" i="81"/>
  <c r="AG21" i="81"/>
  <c r="S13" i="83"/>
  <c r="T13" i="85"/>
  <c r="Q53" i="81"/>
  <c r="P33" i="87"/>
  <c r="R13" i="85"/>
  <c r="T63" i="87"/>
  <c r="Q28" i="87"/>
  <c r="R18" i="87"/>
  <c r="AG11" i="83"/>
  <c r="U53" i="85"/>
  <c r="K13" i="87"/>
  <c r="M18" i="83"/>
  <c r="Y28" i="83"/>
  <c r="K28" i="83"/>
  <c r="AB58" i="83"/>
  <c r="W63" i="83"/>
  <c r="J23" i="83"/>
  <c r="AA18" i="83"/>
  <c r="N58" i="83"/>
  <c r="AE68" i="83"/>
  <c r="L63" i="83"/>
  <c r="O28" i="83"/>
  <c r="Z48" i="83"/>
  <c r="AE13" i="83"/>
  <c r="AA13" i="83"/>
  <c r="AB13" i="83"/>
  <c r="L33" i="83"/>
  <c r="N18" i="83"/>
  <c r="AD33" i="83"/>
  <c r="AG62" i="85"/>
  <c r="O53" i="87"/>
  <c r="U63" i="83"/>
  <c r="AB38" i="83"/>
  <c r="R38" i="83"/>
  <c r="W58" i="87"/>
  <c r="T28" i="87"/>
  <c r="Q43" i="83"/>
  <c r="AF63" i="85"/>
  <c r="AG52" i="87"/>
  <c r="L68" i="81"/>
  <c r="J58" i="81"/>
  <c r="AC33" i="81"/>
  <c r="M23" i="81"/>
  <c r="R68" i="81"/>
  <c r="O33" i="81"/>
  <c r="V43" i="81"/>
  <c r="AG30" i="81"/>
  <c r="M53" i="81"/>
  <c r="AE28" i="81"/>
  <c r="S68" i="81"/>
  <c r="P33" i="81"/>
  <c r="M43" i="81"/>
  <c r="M58" i="81"/>
  <c r="X48" i="81"/>
  <c r="X63" i="81"/>
  <c r="Y63" i="81"/>
  <c r="AF13" i="85"/>
  <c r="M48" i="81"/>
  <c r="W53" i="83"/>
  <c r="S38" i="81"/>
  <c r="J43" i="81"/>
  <c r="O13" i="85"/>
  <c r="Y18" i="81"/>
  <c r="K18" i="81"/>
  <c r="L43" i="81"/>
  <c r="AG52" i="81"/>
  <c r="Y33" i="81"/>
  <c r="J53" i="83"/>
  <c r="AA68" i="85"/>
  <c r="AG35" i="87"/>
  <c r="AD33" i="87"/>
  <c r="AG24" i="87"/>
  <c r="I28" i="87"/>
  <c r="AG19" i="87"/>
  <c r="X63" i="87"/>
  <c r="AF63" i="87"/>
  <c r="AD48" i="85"/>
  <c r="AG47" i="85"/>
  <c r="AE43" i="85"/>
  <c r="J13" i="87"/>
  <c r="S13" i="85"/>
  <c r="AG66" i="83"/>
  <c r="Z58" i="83"/>
  <c r="U18" i="83"/>
  <c r="S23" i="83"/>
  <c r="K58" i="83"/>
  <c r="X13" i="83"/>
  <c r="J18" i="83"/>
  <c r="Y63" i="83"/>
  <c r="AG19" i="85"/>
  <c r="Q28" i="83"/>
  <c r="L23" i="83"/>
  <c r="AE58" i="83"/>
  <c r="L38" i="83"/>
  <c r="AG44" i="83"/>
  <c r="I48" i="83"/>
  <c r="AC23" i="83"/>
  <c r="K43" i="83"/>
  <c r="AG34" i="85"/>
  <c r="I38" i="85"/>
  <c r="AG32" i="83"/>
  <c r="M13" i="83"/>
  <c r="O23" i="85"/>
  <c r="T68" i="83"/>
  <c r="Y23" i="85"/>
  <c r="AE28" i="83"/>
  <c r="P13" i="83"/>
  <c r="AG20" i="83"/>
  <c r="J28" i="83"/>
  <c r="AG59" i="83"/>
  <c r="I63" i="83"/>
  <c r="L13" i="83"/>
  <c r="AE63" i="85"/>
  <c r="AG12" i="85"/>
  <c r="O63" i="85"/>
  <c r="AD23" i="85"/>
  <c r="J38" i="83"/>
  <c r="R23" i="85"/>
  <c r="U53" i="87"/>
  <c r="S43" i="83"/>
  <c r="AG59" i="85"/>
  <c r="I63" i="85"/>
  <c r="AG15" i="85"/>
  <c r="AG41" i="87"/>
  <c r="P53" i="83"/>
  <c r="S68" i="87"/>
  <c r="P18" i="81"/>
  <c r="O38" i="81"/>
  <c r="AG41" i="81"/>
  <c r="U28" i="81"/>
  <c r="AE53" i="83"/>
  <c r="W53" i="81"/>
  <c r="L53" i="81"/>
  <c r="AB53" i="81"/>
  <c r="AA38" i="81"/>
  <c r="AC53" i="81"/>
  <c r="AD58" i="81"/>
  <c r="Z18" i="81"/>
  <c r="AE18" i="81"/>
  <c r="N43" i="85"/>
  <c r="U18" i="81"/>
  <c r="W28" i="81"/>
  <c r="AF53" i="87"/>
  <c r="AG50" i="81"/>
  <c r="AG32" i="81"/>
  <c r="AF43" i="81"/>
  <c r="AG24" i="85"/>
  <c r="I28" i="85"/>
  <c r="L13" i="81"/>
  <c r="AG40" i="87"/>
  <c r="AG29" i="87"/>
  <c r="U33" i="87"/>
  <c r="U13" i="81"/>
  <c r="V53" i="83"/>
  <c r="M33" i="87"/>
  <c r="AG66" i="87"/>
  <c r="AG59" i="87"/>
  <c r="I63" i="87"/>
  <c r="O28" i="87"/>
  <c r="AF28" i="87"/>
  <c r="P28" i="87"/>
  <c r="AC63" i="87"/>
  <c r="K33" i="87"/>
  <c r="O28" i="85"/>
  <c r="J53" i="85"/>
  <c r="P18" i="85"/>
  <c r="K38" i="85"/>
  <c r="AA28" i="85"/>
  <c r="P33" i="85"/>
  <c r="V43" i="87"/>
  <c r="AG47" i="87"/>
  <c r="AB43" i="85"/>
  <c r="X13" i="87"/>
  <c r="I23" i="87"/>
  <c r="AG22" i="87"/>
  <c r="S43" i="85"/>
  <c r="AG10" i="85"/>
  <c r="W13" i="87"/>
  <c r="AF18" i="85"/>
  <c r="AB48" i="83"/>
  <c r="J58" i="83"/>
  <c r="AE23" i="83"/>
  <c r="U58" i="83"/>
  <c r="AA38" i="83"/>
  <c r="N23" i="83"/>
  <c r="Q13" i="83"/>
  <c r="P38" i="83"/>
  <c r="S18" i="83"/>
  <c r="U38" i="83"/>
  <c r="V28" i="87"/>
  <c r="M53" i="83"/>
  <c r="U28" i="83"/>
  <c r="AC63" i="85"/>
  <c r="AG20" i="87"/>
  <c r="AG56" i="87"/>
  <c r="K63" i="87"/>
  <c r="X68" i="87"/>
  <c r="P23" i="85"/>
  <c r="AG45" i="85"/>
  <c r="AD53" i="81"/>
  <c r="AC28" i="81"/>
  <c r="AB58" i="81"/>
  <c r="K48" i="81"/>
  <c r="T18" i="81"/>
  <c r="I68" i="81"/>
  <c r="AG64" i="81"/>
  <c r="AD63" i="81"/>
  <c r="J38" i="81"/>
  <c r="S63" i="81"/>
  <c r="L38" i="81"/>
  <c r="Z53" i="81"/>
  <c r="T38" i="81"/>
  <c r="T63" i="81"/>
  <c r="M38" i="81"/>
  <c r="AB48" i="81"/>
  <c r="R68" i="85"/>
  <c r="N43" i="81"/>
  <c r="AC43" i="81"/>
  <c r="N13" i="85"/>
  <c r="AG10" i="87"/>
  <c r="L58" i="81"/>
  <c r="T13" i="81"/>
  <c r="AG16" i="81"/>
  <c r="X13" i="81"/>
  <c r="K53" i="83"/>
  <c r="S68" i="85"/>
  <c r="AG15" i="87"/>
  <c r="V38" i="81"/>
  <c r="Z13" i="81"/>
  <c r="Z53" i="83"/>
  <c r="AG26" i="87"/>
  <c r="AE58" i="87"/>
  <c r="N63" i="87"/>
  <c r="AG14" i="87"/>
  <c r="AA58" i="87"/>
  <c r="L28" i="85"/>
  <c r="I58" i="85"/>
  <c r="AG57" i="85"/>
  <c r="J48" i="85"/>
  <c r="S58" i="85"/>
  <c r="AA33" i="85"/>
  <c r="R48" i="87"/>
  <c r="W18" i="85"/>
  <c r="K18" i="87"/>
  <c r="AA13" i="87"/>
  <c r="AG45" i="83"/>
  <c r="AF38" i="85"/>
  <c r="AD18" i="85"/>
  <c r="AG36" i="83"/>
  <c r="AG54" i="83"/>
  <c r="I58" i="83"/>
  <c r="P48" i="85"/>
  <c r="N58" i="85"/>
  <c r="T48" i="85"/>
  <c r="W58" i="85"/>
  <c r="AG57" i="83"/>
  <c r="X38" i="85"/>
  <c r="J43" i="85"/>
  <c r="J13" i="85"/>
  <c r="AG65" i="83"/>
  <c r="AG65" i="85"/>
  <c r="P38" i="85"/>
  <c r="AF63" i="83"/>
  <c r="U48" i="83"/>
  <c r="Q33" i="83"/>
  <c r="X33" i="83"/>
  <c r="Y18" i="83"/>
  <c r="T63" i="83"/>
  <c r="AD63" i="83"/>
  <c r="S58" i="87"/>
  <c r="AA23" i="83"/>
  <c r="T18" i="83"/>
  <c r="AD68" i="83"/>
  <c r="AG46" i="83"/>
  <c r="Y58" i="83"/>
  <c r="Q63" i="83"/>
  <c r="W43" i="83"/>
  <c r="N48" i="85"/>
  <c r="S28" i="85"/>
  <c r="P28" i="85"/>
  <c r="Y48" i="85"/>
  <c r="AF28" i="85"/>
  <c r="K48" i="85"/>
  <c r="Q28" i="85"/>
  <c r="X33" i="85"/>
  <c r="AG37" i="83"/>
  <c r="N33" i="85"/>
  <c r="AC43" i="87"/>
  <c r="O18" i="87"/>
  <c r="AB68" i="85"/>
  <c r="AF48" i="87"/>
  <c r="W48" i="87"/>
  <c r="J43" i="87"/>
  <c r="AD43" i="85"/>
  <c r="Y18" i="87"/>
  <c r="AC43" i="85"/>
  <c r="J38" i="85"/>
  <c r="Y53" i="85"/>
  <c r="AC18" i="85"/>
  <c r="K18" i="85"/>
  <c r="M13" i="85"/>
  <c r="O23" i="87"/>
  <c r="AF43" i="85"/>
  <c r="W23" i="87"/>
  <c r="AG26" i="83"/>
  <c r="AD23" i="87"/>
  <c r="AF18" i="87"/>
  <c r="K43" i="85"/>
  <c r="L18" i="85"/>
  <c r="AB53" i="83"/>
  <c r="AG31" i="83"/>
  <c r="AF28" i="83"/>
  <c r="M48" i="83"/>
  <c r="P58" i="83"/>
  <c r="S38" i="83"/>
  <c r="S58" i="83"/>
  <c r="AD38" i="83"/>
  <c r="P68" i="87"/>
  <c r="Q23" i="83"/>
  <c r="Y43" i="83"/>
  <c r="L63" i="85"/>
  <c r="Q58" i="83"/>
  <c r="T28" i="83"/>
  <c r="R63" i="85"/>
  <c r="R63" i="83"/>
  <c r="V33" i="83"/>
  <c r="W63" i="85"/>
  <c r="AA58" i="83"/>
  <c r="AF68" i="83"/>
  <c r="AD18" i="83"/>
  <c r="Z13" i="83"/>
  <c r="Q38" i="83"/>
  <c r="AD38" i="85"/>
  <c r="O48" i="83"/>
  <c r="AE43" i="83"/>
  <c r="U63" i="85"/>
  <c r="AG29" i="85"/>
  <c r="I33" i="85"/>
  <c r="AG25" i="87"/>
  <c r="O13" i="83"/>
  <c r="AB53" i="87"/>
  <c r="L53" i="87"/>
  <c r="AD23" i="81"/>
  <c r="AG57" i="81"/>
  <c r="Q33" i="81"/>
  <c r="U63" i="81"/>
  <c r="AE58" i="81"/>
  <c r="AA18" i="81"/>
  <c r="AA53" i="81"/>
  <c r="O58" i="81"/>
  <c r="R38" i="81"/>
  <c r="P13" i="81"/>
  <c r="Y48" i="81"/>
  <c r="AD38" i="81"/>
  <c r="AC13" i="81"/>
  <c r="AA33" i="81"/>
  <c r="AE63" i="81"/>
  <c r="AE23" i="81"/>
  <c r="AG45" i="81"/>
  <c r="AF38" i="81"/>
  <c r="X38" i="81"/>
  <c r="AE53" i="81"/>
  <c r="R63" i="81"/>
  <c r="AG27" i="81"/>
  <c r="M28" i="81"/>
  <c r="L48" i="81"/>
  <c r="S58" i="81"/>
  <c r="O18" i="81"/>
  <c r="S28" i="81"/>
  <c r="AG62" i="81"/>
  <c r="Z48" i="81"/>
  <c r="AE13" i="81"/>
  <c r="K23" i="81"/>
  <c r="AA13" i="81"/>
  <c r="AB13" i="81"/>
  <c r="P68" i="81"/>
  <c r="AG44" i="81"/>
  <c r="I48" i="81"/>
  <c r="AG47" i="81"/>
  <c r="S53" i="83"/>
  <c r="Z63" i="87"/>
  <c r="N68" i="85"/>
  <c r="T33" i="87"/>
  <c r="P53" i="81"/>
  <c r="AD63" i="87"/>
  <c r="V53" i="81"/>
  <c r="X28" i="87"/>
  <c r="AG44" i="87"/>
  <c r="I48" i="87"/>
  <c r="S63" i="87"/>
  <c r="S18" i="85"/>
  <c r="Z53" i="85"/>
  <c r="AA28" i="83"/>
  <c r="AG40" i="85"/>
  <c r="AA33" i="83"/>
  <c r="O38" i="83"/>
  <c r="K13" i="83"/>
  <c r="N13" i="83"/>
  <c r="AA68" i="87"/>
  <c r="AG19" i="83"/>
  <c r="I23" i="83"/>
  <c r="AB28" i="83"/>
  <c r="Q53" i="87"/>
  <c r="AG34" i="83"/>
  <c r="I38" i="83"/>
  <c r="S48" i="83"/>
  <c r="W33" i="83"/>
  <c r="L28" i="83"/>
  <c r="W38" i="83"/>
  <c r="AG21" i="85"/>
  <c r="V23" i="85"/>
  <c r="AG60" i="83"/>
  <c r="J68" i="83"/>
  <c r="Q18" i="83"/>
  <c r="Y33" i="83"/>
  <c r="N53" i="83"/>
  <c r="O68" i="87"/>
  <c r="R23" i="83"/>
  <c r="P48" i="83"/>
  <c r="L58" i="83"/>
  <c r="AG50" i="85"/>
  <c r="Z63" i="85"/>
  <c r="M63" i="83"/>
  <c r="I23" i="85"/>
  <c r="AG20" i="85"/>
  <c r="AE23" i="85"/>
  <c r="AF23" i="85"/>
  <c r="V63" i="85"/>
  <c r="AC23" i="85"/>
  <c r="J13" i="83"/>
  <c r="AA63" i="87"/>
  <c r="T58" i="87"/>
  <c r="X58" i="87"/>
  <c r="AE53" i="87"/>
  <c r="AG30" i="87"/>
  <c r="M63" i="81"/>
  <c r="AG40" i="81"/>
  <c r="R48" i="81"/>
  <c r="AF53" i="81"/>
  <c r="AG55" i="87"/>
  <c r="J13" i="81"/>
  <c r="Z23" i="81"/>
  <c r="O23" i="81"/>
  <c r="Q58" i="81"/>
  <c r="AD18" i="81"/>
  <c r="P23" i="81"/>
  <c r="Z68" i="81"/>
  <c r="Z33" i="81"/>
  <c r="I63" i="81"/>
  <c r="AG59" i="81"/>
  <c r="AG25" i="81"/>
  <c r="J48" i="81"/>
  <c r="X53" i="83"/>
  <c r="N13" i="81"/>
  <c r="N33" i="87"/>
  <c r="AG51" i="81"/>
  <c r="P43" i="81"/>
  <c r="X18" i="81"/>
  <c r="N18" i="81"/>
  <c r="AD68" i="85"/>
  <c r="AD13" i="85"/>
  <c r="Q13" i="85"/>
  <c r="S18" i="81"/>
  <c r="M28" i="87"/>
  <c r="O33" i="87"/>
  <c r="AG9" i="87"/>
  <c r="I13" i="87"/>
  <c r="L28" i="87"/>
  <c r="AE23" i="87"/>
  <c r="AG41" i="83"/>
  <c r="I18" i="85"/>
  <c r="AG17" i="85"/>
  <c r="AG46" i="85"/>
  <c r="J63" i="83"/>
  <c r="AG37" i="85"/>
  <c r="AC58" i="83"/>
  <c r="N28" i="87"/>
  <c r="M28" i="83"/>
  <c r="AG14" i="83"/>
  <c r="I18" i="83"/>
  <c r="W68" i="83"/>
  <c r="X23" i="83"/>
  <c r="AF43" i="83"/>
  <c r="AC53" i="87"/>
  <c r="V23" i="83"/>
  <c r="X43" i="83"/>
  <c r="L68" i="83"/>
  <c r="V13" i="83"/>
  <c r="R68" i="83"/>
  <c r="AG10" i="83"/>
  <c r="R18" i="83"/>
  <c r="S63" i="83"/>
  <c r="T33" i="83"/>
  <c r="N48" i="83"/>
  <c r="P23" i="83"/>
  <c r="X58" i="83"/>
  <c r="N58" i="87"/>
  <c r="M43" i="83"/>
  <c r="P63" i="83"/>
  <c r="R43" i="83"/>
  <c r="AB63" i="85"/>
  <c r="T23" i="85"/>
  <c r="V58" i="87"/>
  <c r="AC18" i="81"/>
  <c r="N28" i="81"/>
  <c r="U38" i="81"/>
  <c r="Y13" i="81"/>
  <c r="AG67" i="81"/>
  <c r="AE33" i="87"/>
  <c r="P63" i="81"/>
  <c r="AE68" i="81"/>
  <c r="I33" i="81"/>
  <c r="AG29" i="81"/>
  <c r="AB43" i="81"/>
  <c r="AG44" i="85"/>
  <c r="I48" i="85"/>
  <c r="AB28" i="81"/>
  <c r="AD53" i="83"/>
  <c r="AE48" i="81"/>
  <c r="K28" i="81"/>
  <c r="Q43" i="81"/>
  <c r="Z13" i="85"/>
  <c r="AG60" i="87"/>
  <c r="S43" i="81"/>
  <c r="Z68" i="85"/>
  <c r="AG39" i="87"/>
  <c r="V63" i="87"/>
  <c r="AG64" i="87"/>
  <c r="AE68" i="85"/>
  <c r="AG56" i="83"/>
  <c r="AG62" i="83"/>
  <c r="P23" i="87"/>
  <c r="AE18" i="87"/>
  <c r="O18" i="83"/>
  <c r="AF38" i="83"/>
  <c r="M58" i="83"/>
  <c r="Q48" i="83"/>
  <c r="AD43" i="83"/>
  <c r="AF68" i="87"/>
  <c r="L43" i="83"/>
  <c r="K23" i="83"/>
  <c r="N43" i="83"/>
  <c r="AG40" i="83"/>
  <c r="W13" i="83"/>
  <c r="X63" i="85"/>
  <c r="W28" i="87"/>
  <c r="AG51" i="85"/>
  <c r="V43" i="83"/>
  <c r="V63" i="83"/>
  <c r="AG62" i="87"/>
  <c r="AG61" i="87"/>
  <c r="AC68" i="85"/>
  <c r="AG9" i="81"/>
  <c r="Q68" i="81"/>
  <c r="Q53" i="83"/>
  <c r="AG11" i="81"/>
  <c r="AA68" i="81"/>
  <c r="W33" i="81"/>
  <c r="AE13" i="85"/>
  <c r="N63" i="81"/>
  <c r="I38" i="81"/>
  <c r="AG34" i="81"/>
  <c r="AG42" i="81"/>
  <c r="N58" i="81"/>
  <c r="S23" i="81"/>
  <c r="W48" i="81"/>
  <c r="U48" i="81"/>
  <c r="AG49" i="81"/>
  <c r="I53" i="81"/>
  <c r="AG26" i="81"/>
  <c r="T53" i="81"/>
  <c r="K68" i="81"/>
  <c r="V33" i="81"/>
  <c r="V13" i="85"/>
  <c r="AB18" i="81"/>
  <c r="U68" i="85"/>
  <c r="L33" i="87"/>
  <c r="R53" i="83"/>
  <c r="J18" i="81"/>
  <c r="AG65" i="81"/>
  <c r="Z63" i="81"/>
  <c r="K13" i="81"/>
  <c r="L63" i="81"/>
  <c r="X13" i="85"/>
  <c r="S33" i="87"/>
  <c r="W43" i="81"/>
  <c r="AB33" i="87"/>
  <c r="AG65" i="87"/>
  <c r="Z33" i="87"/>
  <c r="AF33" i="87"/>
  <c r="W33" i="87"/>
  <c r="AB28" i="87"/>
  <c r="AC33" i="87"/>
  <c r="AG23" i="89" l="1"/>
  <c r="AG68" i="89"/>
  <c r="AG13" i="89"/>
  <c r="AG53" i="89"/>
  <c r="AG38" i="89"/>
  <c r="AG43" i="89"/>
  <c r="AG28" i="89"/>
  <c r="AG18" i="89"/>
  <c r="AG48" i="89"/>
  <c r="AG58" i="89"/>
  <c r="AG33" i="89"/>
  <c r="AG63" i="89"/>
  <c r="AG58" i="85"/>
  <c r="AG33" i="81"/>
  <c r="F29" i="81" s="1"/>
  <c r="AG28" i="81"/>
  <c r="F24" i="81" s="1"/>
  <c r="AG38" i="83"/>
  <c r="AG53" i="87"/>
  <c r="AG53" i="83"/>
  <c r="AG68" i="83"/>
  <c r="AG43" i="83"/>
  <c r="AG53" i="85"/>
  <c r="AG13" i="83"/>
  <c r="AG48" i="81"/>
  <c r="F44" i="81" s="1"/>
  <c r="AG23" i="87"/>
  <c r="AG18" i="87"/>
  <c r="AG38" i="87"/>
  <c r="AG63" i="81"/>
  <c r="AG23" i="83"/>
  <c r="AG58" i="81"/>
  <c r="AG23" i="81"/>
  <c r="AG48" i="87"/>
  <c r="AG43" i="87"/>
  <c r="AG18" i="85"/>
  <c r="AG23" i="85"/>
  <c r="AG28" i="85"/>
  <c r="AG38" i="85"/>
  <c r="AG33" i="87"/>
  <c r="AG63" i="83"/>
  <c r="AG18" i="81"/>
  <c r="F14" i="81" s="1"/>
  <c r="AG28" i="83"/>
  <c r="AG68" i="85"/>
  <c r="AG68" i="87"/>
  <c r="AG43" i="81"/>
  <c r="F39" i="81" s="1"/>
  <c r="AG68" i="81"/>
  <c r="F64" i="81" s="1"/>
  <c r="AG28" i="87"/>
  <c r="AG48" i="83"/>
  <c r="AG43" i="85"/>
  <c r="AG58" i="87"/>
  <c r="AG53" i="81"/>
  <c r="F49" i="81" s="1"/>
  <c r="AG33" i="85"/>
  <c r="AG63" i="87"/>
  <c r="AG63" i="85"/>
  <c r="AG48" i="85"/>
  <c r="AG18" i="83"/>
  <c r="AG13" i="87"/>
  <c r="AG33" i="83"/>
  <c r="AG38" i="81"/>
  <c r="AG58" i="83"/>
  <c r="AG13" i="85"/>
  <c r="F15" i="78" l="1"/>
  <c r="F34" i="81"/>
  <c r="F12" i="78"/>
  <c r="F19" i="81"/>
  <c r="F19" i="78"/>
  <c r="F54" i="81"/>
  <c r="F20" i="78"/>
  <c r="F59" i="81"/>
  <c r="AG12" i="81"/>
  <c r="I13" i="81"/>
  <c r="AG13" i="81" s="1"/>
  <c r="F10" i="78" l="1"/>
  <c r="F22" i="78" s="1"/>
  <c r="E22" i="78" s="1"/>
  <c r="F9" i="8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3E0D4-DE08-44C9-9D2A-53EBE165255F}" keepAlive="1" name="Consulta - PROD1" description="Conexión a la consulta 'PROD1' en el libro." type="5" refreshedVersion="0" background="1">
    <dbPr connection="Provider=Microsoft.Mashup.OleDb.1;Data Source=$Workbook$;Location=PROD1;Extended Properties=&quot;&quot;" command="SELECT * FROM [PROD1]"/>
  </connection>
  <connection id="2" xr16:uid="{5FA8A21C-641D-4A93-B889-E6ADF802C5DA}" keepAlive="1" name="Consulta - PROD10" description="Conexión a la consulta 'PROD10' en el libro." type="5" refreshedVersion="0" background="1">
    <dbPr connection="Provider=Microsoft.Mashup.OleDb.1;Data Source=$Workbook$;Location=PROD10;Extended Properties=&quot;&quot;" command="SELECT * FROM [PROD10]"/>
  </connection>
  <connection id="3" xr16:uid="{F446239A-AC23-475C-904C-54486C698534}" keepAlive="1" name="Consulta - PROD2" description="Conexión a la consulta 'PROD2' en el libro." type="5" refreshedVersion="0" background="1">
    <dbPr connection="Provider=Microsoft.Mashup.OleDb.1;Data Source=$Workbook$;Location=PROD2;Extended Properties=&quot;&quot;" command="SELECT * FROM [PROD2]"/>
  </connection>
  <connection id="4" xr16:uid="{FCF87F2C-C9BF-4B14-B85C-61AF1DCA3940}" keepAlive="1" name="Consulta - PROD3" description="Conexión a la consulta 'PROD3' en el libro." type="5" refreshedVersion="0" background="1">
    <dbPr connection="Provider=Microsoft.Mashup.OleDb.1;Data Source=$Workbook$;Location=PROD3;Extended Properties=&quot;&quot;" command="SELECT * FROM [PROD3]"/>
  </connection>
  <connection id="5" xr16:uid="{B8FA39C5-8B46-4D46-BBED-BA548A17F249}" keepAlive="1" name="Consulta - PROD4" description="Conexión a la consulta 'PROD4' en el libro." type="5" refreshedVersion="0" background="1">
    <dbPr connection="Provider=Microsoft.Mashup.OleDb.1;Data Source=$Workbook$;Location=PROD4;Extended Properties=&quot;&quot;" command="SELECT * FROM [PROD4]"/>
  </connection>
  <connection id="6" xr16:uid="{8C8475CF-9379-4D48-822D-C7D5A52F38A9}" keepAlive="1" name="Consulta - PROD5" description="Conexión a la consulta 'PROD5' en el libro." type="5" refreshedVersion="0" background="1">
    <dbPr connection="Provider=Microsoft.Mashup.OleDb.1;Data Source=$Workbook$;Location=PROD5;Extended Properties=&quot;&quot;" command="SELECT * FROM [PROD5]"/>
  </connection>
  <connection id="7" xr16:uid="{7DD54380-FFD8-4E45-BA62-06FEF9DCA097}" keepAlive="1" name="Consulta - PROD6" description="Conexión a la consulta 'PROD6' en el libro." type="5" refreshedVersion="0" background="1">
    <dbPr connection="Provider=Microsoft.Mashup.OleDb.1;Data Source=$Workbook$;Location=PROD6;Extended Properties=&quot;&quot;" command="SELECT * FROM [PROD6]"/>
  </connection>
  <connection id="8" xr16:uid="{FE6BB54F-53B2-405E-B85A-7B6473ADB1E6}" keepAlive="1" name="Consulta - PROD7" description="Conexión a la consulta 'PROD7' en el libro." type="5" refreshedVersion="0" background="1">
    <dbPr connection="Provider=Microsoft.Mashup.OleDb.1;Data Source=$Workbook$;Location=PROD7;Extended Properties=&quot;&quot;" command="SELECT * FROM [PROD7]"/>
  </connection>
  <connection id="9" xr16:uid="{667A10F4-3319-41ED-B3C6-4E8B7406CD07}" keepAlive="1" name="Consulta - PROD8" description="Conexión a la consulta 'PROD8' en el libro." type="5" refreshedVersion="0" background="1">
    <dbPr connection="Provider=Microsoft.Mashup.OleDb.1;Data Source=$Workbook$;Location=PROD8;Extended Properties=&quot;&quot;" command="SELECT * FROM [PROD8]"/>
  </connection>
  <connection id="10" xr16:uid="{2BFA1283-5640-4897-BBF8-72575EEB46AF}" keepAlive="1" name="Consulta - PROD9" description="Conexión a la consulta 'PROD9' en el libro." type="5" refreshedVersion="0" background="1">
    <dbPr connection="Provider=Microsoft.Mashup.OleDb.1;Data Source=$Workbook$;Location=PROD9;Extended Properties=&quot;&quot;" command="SELECT * FROM [PROD9]"/>
  </connection>
  <connection id="11" xr16:uid="{65868055-7E64-477C-B9B1-1ADC21CEF35A}" keepAlive="1" name="Consulta - RESUMEN" description="Conexión a la consulta 'RESUMEN' en el libro." type="5" refreshedVersion="7" background="1" saveData="1">
    <dbPr connection="Provider=Microsoft.Mashup.OleDb.1;Data Source=$Workbook$;Location=RESUMEN;Extended Properties=&quot;&quot;" command="SELECT * FROM [RESUMEN]"/>
  </connection>
  <connection id="12" xr16:uid="{E5DB1A28-8BB4-4A7D-88F0-7F5321FB06EF}" keepAlive="1" name="Consulta - TIPO" description="Conexión a la consulta 'TIPO' en el libro." type="5" refreshedVersion="0" background="1">
    <dbPr connection="Provider=Microsoft.Mashup.OleDb.1;Data Source=$Workbook$;Location=TIPO;Extended Properties=&quot;&quot;" command="SELECT * FROM [TIPO]"/>
  </connection>
</connections>
</file>

<file path=xl/sharedStrings.xml><?xml version="1.0" encoding="utf-8"?>
<sst xmlns="http://schemas.openxmlformats.org/spreadsheetml/2006/main" count="637" uniqueCount="73">
  <si>
    <t>CANTIDAD EN:</t>
  </si>
  <si>
    <t>KWh</t>
  </si>
  <si>
    <t>MODALIDAD:</t>
  </si>
  <si>
    <t>PAGUE LO CONTRATADO</t>
  </si>
  <si>
    <t>OFERENTE:</t>
  </si>
  <si>
    <t>MES DE SUMINISTRO</t>
  </si>
  <si>
    <t xml:space="preserve">ENERGÍA SOLICITADA (KWh) </t>
  </si>
  <si>
    <t>% ENERGÍA OFRECIDA</t>
  </si>
  <si>
    <t>ENERGÍA OFRECIDA (KWh)</t>
  </si>
  <si>
    <t>PRECIO OFERTADO ($/KWh)</t>
  </si>
  <si>
    <t>TOTAL</t>
  </si>
  <si>
    <t>Relacion ≥</t>
  </si>
  <si>
    <t>Relacion:</t>
  </si>
  <si>
    <t>Nota</t>
  </si>
  <si>
    <t>2. La energia ofertada se despachara conforme a las cantidades horarias de este anexo</t>
  </si>
  <si>
    <t>XXXXXXXXXXXXXXXXXXXXXXXX</t>
  </si>
  <si>
    <t>REPRESENTANTE LEGAL</t>
  </si>
  <si>
    <t xml:space="preserve">XXXXXXXXXXXXXXXXXXXXXX S.A E.S.P </t>
  </si>
  <si>
    <t>CUADRO DE CANTIDADES HORARIAS OFRECIDAS</t>
  </si>
  <si>
    <t>Cantidad Ofrecida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</si>
  <si>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</si>
  <si>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</si>
  <si>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</si>
  <si>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</si>
  <si>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</si>
  <si>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</si>
  <si>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</si>
  <si>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</si>
  <si>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</si>
  <si>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</si>
  <si>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</si>
  <si>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</si>
  <si>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</si>
  <si>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</si>
  <si>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</si>
  <si>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</si>
  <si>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</si>
  <si>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</si>
  <si>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</si>
  <si>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</si>
  <si>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</si>
  <si>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</si>
  <si>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</si>
  <si>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</si>
  <si>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</si>
  <si>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</si>
  <si>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 xml:space="preserve"> CANTIDADES DE ENERGIA (KWh)  - PRODUCTO 2</t>
  </si>
  <si>
    <t xml:space="preserve"> CANTIDADES DE ENERGIA (KWh)  - PRODUCTO 3</t>
  </si>
  <si>
    <t xml:space="preserve"> CANTIDADES DE ENERGIA (KWh)  - PRODUCTO 4</t>
  </si>
  <si>
    <t>Cuenta de TIPO</t>
  </si>
  <si>
    <t>MES</t>
  </si>
  <si>
    <t>TIPO</t>
  </si>
  <si>
    <t>1ORD</t>
  </si>
  <si>
    <t>2SÁB</t>
  </si>
  <si>
    <t>3FES</t>
  </si>
  <si>
    <t>tipo día</t>
  </si>
  <si>
    <t>Habil</t>
  </si>
  <si>
    <t>Sabado</t>
  </si>
  <si>
    <t>Festivo</t>
  </si>
  <si>
    <t>CURVA ACTUALIZADA CON DEMANDAS PROYECCION DEMANDA REGULADA MATRICIAL 2014 (Enero 2014)</t>
  </si>
  <si>
    <t>OR</t>
  </si>
  <si>
    <t>DO</t>
  </si>
  <si>
    <t>FE</t>
  </si>
  <si>
    <t>SA</t>
  </si>
  <si>
    <t xml:space="preserve"> CANTIDADES DE ENERGIA (KWh)  - PRODUCTO 1</t>
  </si>
  <si>
    <t xml:space="preserve"> CANTIDADES DE ENERGIA (KWh)  - PRODUCTO 5</t>
  </si>
  <si>
    <t>CP-GNCC2025-002</t>
  </si>
  <si>
    <t>CP-GNCC2025-002-PROD02</t>
  </si>
  <si>
    <t>CP-GNCC2025-002-PROD05</t>
  </si>
  <si>
    <t>CP-GNCC2025-002-PROD04</t>
  </si>
  <si>
    <t>CP-GNCC2025-002-PROD03</t>
  </si>
  <si>
    <t>1. $/kWh expresados en pesos de julio de 2025.</t>
  </si>
  <si>
    <t>CP-GNCC2025-002-PROD01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</si>
</sst>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&quot;$&quot;\ * #,##0_);_(&quot;$&quot;\ * \(#,##0\);_(&quot;$&quot;\ * &quot;-&quot;_);_(@_)"/>
    <numFmt numFmtId="166" formatCode="_(&quot;$&quot;\ * #,##0.00_);_(&quot;$&quot;\ * \(#,##0.00\);_(&quot;$&quot;\ * &quot;-&quot;??_);_(@_)"/>
    <numFmt numFmtId="167" formatCode="_(* #,##0.00_);_(* \(#,##0.00\);_(* &quot;-&quot;??_);_(@_)"/>
    <numFmt numFmtId="168" formatCode="_ * #,##0.00_ ;_ * \-#,##0.00_ ;_ * &quot;-&quot;??_ ;_ @_ "/>
    <numFmt numFmtId="169" formatCode="mmm"/>
    <numFmt numFmtId="170" formatCode="#0"/>
    <numFmt numFmtId="171" formatCode="_ * #,##0_ ;_ * \-#,##0_ ;_ * &quot;-&quot;??_ ;_ @_ "/>
    <numFmt numFmtId="172" formatCode="_(* #,##0_);_(* \(#,##0\);_(* &quot;-&quot;??_);_(@_)"/>
    <numFmt numFmtId="173" formatCode="_ * #,##0.00000_ ;_ * \-#,##0.00000_ ;_ * &quot;-&quot;??_ ;_ @_ "/>
    <numFmt numFmtId="174" formatCode="#,##0_ ;\-#,##0\ "/>
    <numFmt numFmtId="175" formatCode="[$-C0A]mmm\-yy;@"/>
    <numFmt numFmtId="176" formatCode="#,##0.0000"/>
  </numFmts>
  <fonts count="3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name val="Frutiger CE 55 Roman"/>
    </font>
    <font>
      <b/>
      <sz val="11"/>
      <name val="Frutiger CE 55 Roman"/>
    </font>
    <font>
      <b/>
      <i/>
      <sz val="11"/>
      <name val="Frutiger CE 55 Roman"/>
    </font>
    <font>
      <b/>
      <sz val="11"/>
      <color indexed="9"/>
      <name val="Frutiger CE 55 Roman"/>
    </font>
    <font>
      <b/>
      <i/>
      <sz val="11"/>
      <color indexed="9"/>
      <name val="Frutiger CE 55 Roman"/>
    </font>
    <font>
      <i/>
      <sz val="11"/>
      <name val="Frutiger CE 55 Roman"/>
    </font>
    <font>
      <b/>
      <sz val="18"/>
      <name val="Frutiger CE 55 Roman"/>
    </font>
    <font>
      <sz val="18"/>
      <name val="Frutiger CE 55 Roman"/>
    </font>
    <font>
      <b/>
      <sz val="18"/>
      <color indexed="10"/>
      <name val="Frutiger CE 55 Roman"/>
    </font>
    <font>
      <b/>
      <sz val="16"/>
      <name val="Frutiger CE 55 Roman"/>
    </font>
    <font>
      <b/>
      <sz val="10"/>
      <name val="Arial"/>
      <family val="2"/>
    </font>
    <font>
      <b/>
      <sz val="13"/>
      <name val="Frutiger CE 55 Roman"/>
    </font>
    <font>
      <sz val="13"/>
      <name val="Frutiger CE 55 Roman"/>
    </font>
    <font>
      <sz val="13"/>
      <color indexed="10"/>
      <name val="Frutiger CE 55 Roman"/>
    </font>
    <font>
      <i/>
      <sz val="13"/>
      <name val="Frutiger CE 55 Roman"/>
    </font>
    <font>
      <sz val="10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Frutiger CE 55 Roman"/>
    </font>
    <font>
      <b/>
      <sz val="13"/>
      <color theme="0"/>
      <name val="Frutiger CE 55 Roman"/>
    </font>
    <font>
      <sz val="10"/>
      <name val="Arial"/>
      <family val="2"/>
    </font>
    <font>
      <b/>
      <sz val="12"/>
      <color theme="0"/>
      <name val="Frutiger CE 55 Roman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/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168" fontId="2" fillId="0" borderId="0" applyFont="0" applyFill="0" applyBorder="0" applyAlignment="0" applyProtection="0"/>
    <xf numFmtId="41" fontId="25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8" fontId="22" fillId="0" borderId="0" applyFont="0" applyFill="0" applyBorder="0" applyAlignment="0" applyProtection="0"/>
    <xf numFmtId="168" fontId="5" fillId="0" borderId="0" applyFont="0" applyFill="0" applyBorder="0" applyAlignment="0" applyProtection="0"/>
    <xf numFmtId="176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3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25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1" fillId="0" borderId="0"/>
    <xf numFmtId="0" fontId="23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25" fillId="0" borderId="0"/>
    <xf numFmtId="0" fontId="23" fillId="0" borderId="0"/>
    <xf numFmtId="0" fontId="3" fillId="0" borderId="0"/>
    <xf numFmtId="0" fontId="4" fillId="0" borderId="0"/>
    <xf numFmtId="166" fontId="24" fillId="4" borderId="1"/>
    <xf numFmtId="166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168" fontId="0" fillId="0" borderId="0" xfId="1" applyFont="1"/>
    <xf numFmtId="0" fontId="0" fillId="0" borderId="2" xfId="0" applyBorder="1"/>
    <xf numFmtId="0" fontId="0" fillId="0" borderId="2" xfId="0" applyBorder="1" applyAlignment="1">
      <alignment horizontal="center"/>
    </xf>
    <xf numFmtId="173" fontId="0" fillId="0" borderId="0" xfId="1" applyNumberFormat="1" applyFont="1"/>
    <xf numFmtId="173" fontId="0" fillId="0" borderId="0" xfId="0" applyNumberFormat="1"/>
    <xf numFmtId="168" fontId="16" fillId="0" borderId="0" xfId="1" applyFont="1"/>
    <xf numFmtId="0" fontId="7" fillId="2" borderId="4" xfId="32" applyFont="1" applyFill="1" applyBorder="1" applyAlignment="1" applyProtection="1">
      <alignment horizontal="center" vertical="center" wrapText="1"/>
      <protection locked="0"/>
    </xf>
    <xf numFmtId="0" fontId="7" fillId="2" borderId="5" xfId="32" applyFont="1" applyFill="1" applyBorder="1" applyAlignment="1" applyProtection="1">
      <alignment horizontal="center" vertical="center" wrapText="1"/>
      <protection locked="0"/>
    </xf>
    <xf numFmtId="0" fontId="7" fillId="2" borderId="6" xfId="32" applyFont="1" applyFill="1" applyBorder="1" applyAlignment="1" applyProtection="1">
      <alignment horizontal="center" vertical="center" wrapText="1"/>
      <protection locked="0"/>
    </xf>
    <xf numFmtId="0" fontId="7" fillId="2" borderId="7" xfId="32" applyFont="1" applyFill="1" applyBorder="1" applyAlignment="1" applyProtection="1">
      <alignment horizontal="center" vertical="center" wrapText="1"/>
      <protection locked="0"/>
    </xf>
    <xf numFmtId="0" fontId="7" fillId="2" borderId="8" xfId="32" applyFont="1" applyFill="1" applyBorder="1" applyAlignment="1" applyProtection="1">
      <alignment horizontal="center" vertical="center" wrapText="1"/>
      <protection locked="0"/>
    </xf>
    <xf numFmtId="0" fontId="7" fillId="2" borderId="9" xfId="32" applyFont="1" applyFill="1" applyBorder="1" applyAlignment="1" applyProtection="1">
      <alignment horizontal="center" vertical="center" wrapText="1"/>
      <protection locked="0"/>
    </xf>
    <xf numFmtId="0" fontId="7" fillId="2" borderId="10" xfId="32" applyFont="1" applyFill="1" applyBorder="1" applyAlignment="1" applyProtection="1">
      <alignment horizontal="center" vertical="center" wrapText="1"/>
      <protection locked="0"/>
    </xf>
    <xf numFmtId="0" fontId="17" fillId="2" borderId="0" xfId="33" applyFont="1" applyFill="1" applyAlignment="1">
      <alignment vertical="top"/>
    </xf>
    <xf numFmtId="0" fontId="17" fillId="2" borderId="0" xfId="33" applyFont="1" applyFill="1" applyAlignment="1">
      <alignment vertical="center"/>
    </xf>
    <xf numFmtId="0" fontId="18" fillId="2" borderId="0" xfId="33" applyFont="1" applyFill="1" applyAlignment="1">
      <alignment vertical="top"/>
    </xf>
    <xf numFmtId="0" fontId="18" fillId="2" borderId="0" xfId="33" applyFont="1" applyFill="1"/>
    <xf numFmtId="0" fontId="17" fillId="2" borderId="0" xfId="32" applyFont="1" applyFill="1" applyAlignment="1">
      <alignment horizontal="left"/>
    </xf>
    <xf numFmtId="4" fontId="17" fillId="2" borderId="0" xfId="32" applyNumberFormat="1" applyFont="1" applyFill="1" applyAlignment="1">
      <alignment horizontal="left"/>
    </xf>
    <xf numFmtId="0" fontId="17" fillId="2" borderId="0" xfId="33" applyFont="1" applyFill="1"/>
    <xf numFmtId="4" fontId="17" fillId="2" borderId="0" xfId="33" applyNumberFormat="1" applyFont="1" applyFill="1"/>
    <xf numFmtId="171" fontId="18" fillId="2" borderId="0" xfId="1" applyNumberFormat="1" applyFont="1" applyFill="1" applyProtection="1"/>
    <xf numFmtId="4" fontId="19" fillId="2" borderId="0" xfId="33" applyNumberFormat="1" applyFont="1" applyFill="1" applyAlignment="1">
      <alignment horizontal="center" vertical="center" wrapText="1"/>
    </xf>
    <xf numFmtId="0" fontId="18" fillId="0" borderId="0" xfId="33" applyFont="1"/>
    <xf numFmtId="0" fontId="18" fillId="0" borderId="0" xfId="33" applyFont="1" applyAlignment="1">
      <alignment horizontal="left" wrapText="1"/>
    </xf>
    <xf numFmtId="0" fontId="17" fillId="0" borderId="0" xfId="33" applyFont="1"/>
    <xf numFmtId="0" fontId="20" fillId="0" borderId="0" xfId="33" applyFont="1"/>
    <xf numFmtId="10" fontId="26" fillId="6" borderId="2" xfId="36" applyNumberFormat="1" applyFont="1" applyFill="1" applyBorder="1" applyAlignment="1" applyProtection="1">
      <alignment horizontal="center" vertical="center"/>
      <protection locked="0"/>
    </xf>
    <xf numFmtId="0" fontId="29" fillId="5" borderId="2" xfId="32" applyFont="1" applyFill="1" applyBorder="1" applyAlignment="1">
      <alignment horizontal="center" vertical="center" wrapText="1"/>
    </xf>
    <xf numFmtId="172" fontId="17" fillId="2" borderId="0" xfId="15" applyNumberFormat="1" applyFont="1" applyFill="1" applyBorder="1" applyProtection="1"/>
    <xf numFmtId="0" fontId="17" fillId="2" borderId="0" xfId="32" applyFont="1" applyFill="1" applyAlignment="1">
      <alignment horizontal="center" vertical="center"/>
    </xf>
    <xf numFmtId="10" fontId="18" fillId="0" borderId="2" xfId="33" applyNumberFormat="1" applyFont="1" applyBorder="1" applyAlignment="1">
      <alignment vertical="center"/>
    </xf>
    <xf numFmtId="171" fontId="26" fillId="2" borderId="2" xfId="1" applyNumberFormat="1" applyFont="1" applyFill="1" applyBorder="1" applyProtection="1"/>
    <xf numFmtId="167" fontId="17" fillId="2" borderId="0" xfId="15" applyFont="1" applyFill="1" applyBorder="1" applyProtection="1"/>
    <xf numFmtId="10" fontId="17" fillId="2" borderId="0" xfId="36" applyNumberFormat="1" applyFont="1" applyFill="1" applyBorder="1" applyAlignment="1" applyProtection="1">
      <alignment horizontal="center"/>
    </xf>
    <xf numFmtId="10" fontId="26" fillId="6" borderId="2" xfId="36" applyNumberFormat="1" applyFont="1" applyFill="1" applyBorder="1" applyAlignment="1" applyProtection="1">
      <alignment horizontal="right" vertical="center"/>
    </xf>
    <xf numFmtId="0" fontId="18" fillId="2" borderId="0" xfId="33" applyFont="1" applyFill="1" applyProtection="1">
      <protection locked="0"/>
    </xf>
    <xf numFmtId="4" fontId="17" fillId="2" borderId="0" xfId="33" applyNumberFormat="1" applyFont="1" applyFill="1" applyProtection="1">
      <protection locked="0"/>
    </xf>
    <xf numFmtId="0" fontId="9" fillId="3" borderId="13" xfId="32" applyFont="1" applyFill="1" applyBorder="1" applyAlignment="1" applyProtection="1">
      <alignment horizontal="center" vertical="center"/>
      <protection locked="0"/>
    </xf>
    <xf numFmtId="172" fontId="7" fillId="2" borderId="15" xfId="41" applyNumberFormat="1" applyFont="1" applyFill="1" applyBorder="1" applyAlignment="1" applyProtection="1">
      <alignment vertical="center"/>
      <protection locked="0"/>
    </xf>
    <xf numFmtId="0" fontId="9" fillId="3" borderId="16" xfId="32" applyFont="1" applyFill="1" applyBorder="1" applyAlignment="1" applyProtection="1">
      <alignment horizontal="center" vertical="center"/>
      <protection locked="0"/>
    </xf>
    <xf numFmtId="172" fontId="7" fillId="2" borderId="17" xfId="41" applyNumberFormat="1" applyFont="1" applyFill="1" applyBorder="1" applyAlignment="1" applyProtection="1">
      <alignment vertical="center"/>
      <protection locked="0"/>
    </xf>
    <xf numFmtId="0" fontId="9" fillId="3" borderId="18" xfId="32" applyFont="1" applyFill="1" applyBorder="1" applyAlignment="1" applyProtection="1">
      <alignment horizontal="center" vertical="center"/>
      <protection locked="0"/>
    </xf>
    <xf numFmtId="0" fontId="9" fillId="3" borderId="19" xfId="32" applyFont="1" applyFill="1" applyBorder="1" applyAlignment="1" applyProtection="1">
      <alignment horizontal="center" vertical="center"/>
      <protection locked="0"/>
    </xf>
    <xf numFmtId="172" fontId="7" fillId="2" borderId="20" xfId="41" applyNumberFormat="1" applyFont="1" applyFill="1" applyBorder="1" applyAlignment="1" applyProtection="1">
      <alignment vertical="center"/>
      <protection locked="0"/>
    </xf>
    <xf numFmtId="0" fontId="10" fillId="3" borderId="12" xfId="32" applyFont="1" applyFill="1" applyBorder="1" applyAlignment="1" applyProtection="1">
      <alignment horizontal="center" vertical="center"/>
      <protection locked="0"/>
    </xf>
    <xf numFmtId="172" fontId="11" fillId="2" borderId="21" xfId="41" applyNumberFormat="1" applyFont="1" applyFill="1" applyBorder="1" applyAlignment="1" applyProtection="1">
      <alignment vertical="center"/>
      <protection locked="0"/>
    </xf>
    <xf numFmtId="172" fontId="8" fillId="2" borderId="22" xfId="41" applyNumberFormat="1" applyFont="1" applyFill="1" applyBorder="1" applyAlignment="1" applyProtection="1">
      <alignment vertical="center"/>
      <protection locked="0"/>
    </xf>
    <xf numFmtId="0" fontId="17" fillId="2" borderId="28" xfId="32" applyFont="1" applyFill="1" applyBorder="1" applyAlignment="1">
      <alignment horizontal="center" vertical="center"/>
    </xf>
    <xf numFmtId="172" fontId="17" fillId="2" borderId="28" xfId="15" applyNumberFormat="1" applyFont="1" applyFill="1" applyBorder="1" applyProtection="1"/>
    <xf numFmtId="167" fontId="17" fillId="2" borderId="28" xfId="15" applyFont="1" applyFill="1" applyBorder="1" applyProtection="1"/>
    <xf numFmtId="10" fontId="17" fillId="2" borderId="28" xfId="36" applyNumberFormat="1" applyFont="1" applyFill="1" applyBorder="1" applyAlignment="1" applyProtection="1">
      <alignment horizontal="center"/>
    </xf>
    <xf numFmtId="0" fontId="27" fillId="5" borderId="2" xfId="32" applyFont="1" applyFill="1" applyBorder="1" applyAlignment="1">
      <alignment horizontal="center" vertical="center" wrapText="1"/>
    </xf>
    <xf numFmtId="175" fontId="17" fillId="2" borderId="2" xfId="32" applyNumberFormat="1" applyFont="1" applyFill="1" applyBorder="1" applyAlignment="1">
      <alignment horizontal="center" vertical="center"/>
    </xf>
    <xf numFmtId="0" fontId="20" fillId="0" borderId="0" xfId="33" applyFont="1" applyAlignment="1" applyProtection="1">
      <alignment horizontal="left" wrapText="1"/>
      <protection locked="0"/>
    </xf>
    <xf numFmtId="4" fontId="17" fillId="2" borderId="11" xfId="33" applyNumberFormat="1" applyFont="1" applyFill="1" applyBorder="1"/>
    <xf numFmtId="0" fontId="18" fillId="2" borderId="11" xfId="33" applyFont="1" applyFill="1" applyBorder="1"/>
    <xf numFmtId="0" fontId="15" fillId="0" borderId="0" xfId="32" applyFont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2" fillId="0" borderId="0" xfId="32" applyFont="1" applyAlignment="1" applyProtection="1">
      <alignment horizontal="left" vertical="center"/>
      <protection locked="0"/>
    </xf>
    <xf numFmtId="0" fontId="13" fillId="0" borderId="0" xfId="33" applyFont="1" applyAlignment="1" applyProtection="1">
      <alignment vertical="center"/>
      <protection locked="0"/>
    </xf>
    <xf numFmtId="3" fontId="14" fillId="0" borderId="0" xfId="32" applyNumberFormat="1" applyFont="1" applyAlignment="1" applyProtection="1">
      <alignment horizontal="left" vertical="center"/>
      <protection locked="0"/>
    </xf>
    <xf numFmtId="169" fontId="14" fillId="0" borderId="0" xfId="32" applyNumberFormat="1" applyFont="1" applyAlignment="1" applyProtection="1">
      <alignment horizontal="left" vertical="center"/>
      <protection locked="0"/>
    </xf>
    <xf numFmtId="0" fontId="6" fillId="0" borderId="0" xfId="33" applyFont="1" applyAlignment="1" applyProtection="1">
      <alignment vertical="center"/>
      <protection locked="0"/>
    </xf>
    <xf numFmtId="14" fontId="0" fillId="0" borderId="0" xfId="0" applyNumberFormat="1"/>
    <xf numFmtId="9" fontId="30" fillId="0" borderId="0" xfId="36" applyFont="1"/>
    <xf numFmtId="10" fontId="30" fillId="0" borderId="0" xfId="36" applyNumberFormat="1" applyFont="1"/>
    <xf numFmtId="174" fontId="0" fillId="0" borderId="0" xfId="0" applyNumberFormat="1"/>
    <xf numFmtId="172" fontId="0" fillId="0" borderId="0" xfId="0" applyNumberFormat="1"/>
    <xf numFmtId="0" fontId="2" fillId="0" borderId="0" xfId="0" applyFont="1"/>
    <xf numFmtId="0" fontId="2" fillId="0" borderId="2" xfId="0" applyFont="1" applyBorder="1"/>
    <xf numFmtId="168" fontId="6" fillId="2" borderId="14" xfId="1" applyFont="1" applyFill="1" applyBorder="1" applyAlignment="1" applyProtection="1">
      <alignment vertical="center"/>
      <protection locked="0"/>
    </xf>
    <xf numFmtId="168" fontId="0" fillId="0" borderId="0" xfId="0" applyNumberFormat="1"/>
    <xf numFmtId="43" fontId="0" fillId="0" borderId="0" xfId="0" applyNumberFormat="1"/>
    <xf numFmtId="0" fontId="17" fillId="2" borderId="0" xfId="33" applyFont="1" applyFill="1" applyAlignment="1">
      <alignment horizontal="center" vertical="center"/>
    </xf>
    <xf numFmtId="166" fontId="26" fillId="6" borderId="2" xfId="35" applyFont="1" applyFill="1" applyBorder="1" applyAlignment="1" applyProtection="1">
      <alignment horizontal="center" vertical="center"/>
      <protection locked="0"/>
    </xf>
    <xf numFmtId="0" fontId="20" fillId="0" borderId="0" xfId="33" applyFont="1" applyAlignment="1" applyProtection="1">
      <alignment horizontal="left" wrapText="1"/>
      <protection locked="0"/>
    </xf>
    <xf numFmtId="174" fontId="7" fillId="0" borderId="24" xfId="40" applyNumberFormat="1" applyFont="1" applyBorder="1" applyAlignment="1" applyProtection="1">
      <alignment horizontal="center" vertical="center"/>
      <protection locked="0"/>
    </xf>
    <xf numFmtId="174" fontId="7" fillId="0" borderId="25" xfId="40" applyNumberFormat="1" applyFont="1" applyBorder="1" applyAlignment="1" applyProtection="1">
      <alignment horizontal="center" vertical="center"/>
      <protection locked="0"/>
    </xf>
    <xf numFmtId="174" fontId="7" fillId="0" borderId="26" xfId="40" applyNumberFormat="1" applyFont="1" applyBorder="1" applyAlignment="1" applyProtection="1">
      <alignment horizontal="center" vertical="center"/>
      <protection locked="0"/>
    </xf>
    <xf numFmtId="170" fontId="7" fillId="0" borderId="0" xfId="32" applyNumberFormat="1" applyFont="1" applyAlignment="1" applyProtection="1">
      <alignment horizontal="center" vertical="center"/>
      <protection locked="0"/>
    </xf>
    <xf numFmtId="0" fontId="12" fillId="0" borderId="0" xfId="33" applyFont="1" applyAlignment="1" applyProtection="1">
      <alignment horizontal="center" vertical="center"/>
      <protection locked="0"/>
    </xf>
    <xf numFmtId="17" fontId="9" fillId="3" borderId="29" xfId="33" applyNumberFormat="1" applyFont="1" applyFill="1" applyBorder="1" applyAlignment="1" applyProtection="1">
      <alignment horizontal="center" vertical="center"/>
      <protection locked="0"/>
    </xf>
    <xf numFmtId="17" fontId="9" fillId="3" borderId="23" xfId="33" applyNumberFormat="1" applyFont="1" applyFill="1" applyBorder="1" applyAlignment="1" applyProtection="1">
      <alignment horizontal="center" vertical="center"/>
      <protection locked="0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3">
    <cellStyle name="Millares" xfId="1" builtinId="3"/>
    <cellStyle name="Millares [0] 2" xfId="2" xr:uid="{00000000-0005-0000-0000-000001000000}"/>
    <cellStyle name="Millares 10" xfId="3" xr:uid="{00000000-0005-0000-0000-000002000000}"/>
    <cellStyle name="Millares 11" xfId="4" xr:uid="{00000000-0005-0000-0000-000003000000}"/>
    <cellStyle name="Millares 12" xfId="5" xr:uid="{00000000-0005-0000-0000-000004000000}"/>
    <cellStyle name="Millares 2" xfId="6" xr:uid="{00000000-0005-0000-0000-000005000000}"/>
    <cellStyle name="Millares 2 2" xfId="40" xr:uid="{C4535CAD-B510-4F9C-BDB4-24FC3952C885}"/>
    <cellStyle name="Millares 3" xfId="7" xr:uid="{00000000-0005-0000-0000-000006000000}"/>
    <cellStyle name="Millares 4" xfId="8" xr:uid="{00000000-0005-0000-0000-000007000000}"/>
    <cellStyle name="Millares 4 2" xfId="9" xr:uid="{00000000-0005-0000-0000-000008000000}"/>
    <cellStyle name="Millares 5" xfId="10" xr:uid="{00000000-0005-0000-0000-000009000000}"/>
    <cellStyle name="Millares 6" xfId="11" xr:uid="{00000000-0005-0000-0000-00000A000000}"/>
    <cellStyle name="Millares 7" xfId="12" xr:uid="{00000000-0005-0000-0000-00000B000000}"/>
    <cellStyle name="Millares 8" xfId="13" xr:uid="{00000000-0005-0000-0000-00000C000000}"/>
    <cellStyle name="Millares 9" xfId="14" xr:uid="{00000000-0005-0000-0000-00000D000000}"/>
    <cellStyle name="Millares_DEMANDA COMERCIAL MR(2008-2009) 2 2" xfId="41" xr:uid="{84FEBE0B-726F-4E89-8C0C-1CCDAC1DEF4E}"/>
    <cellStyle name="Millares_PLIEGOS_GR-07-006" xfId="15" xr:uid="{00000000-0005-0000-0000-000010000000}"/>
    <cellStyle name="Moneda" xfId="35" builtinId="4"/>
    <cellStyle name="Moneda [0] 2" xfId="16" xr:uid="{00000000-0005-0000-0000-000011000000}"/>
    <cellStyle name="Moneda 2" xfId="17" xr:uid="{00000000-0005-0000-0000-000012000000}"/>
    <cellStyle name="Moneda 3" xfId="18" xr:uid="{00000000-0005-0000-0000-000013000000}"/>
    <cellStyle name="Moneda 4" xfId="19" xr:uid="{00000000-0005-0000-0000-000014000000}"/>
    <cellStyle name="Moneda 5" xfId="20" xr:uid="{00000000-0005-0000-0000-000015000000}"/>
    <cellStyle name="Moneda 6" xfId="21" xr:uid="{00000000-0005-0000-0000-000016000000}"/>
    <cellStyle name="Moneda 7" xfId="22" xr:uid="{00000000-0005-0000-0000-000017000000}"/>
    <cellStyle name="Moneda 8" xfId="23" xr:uid="{00000000-0005-0000-0000-000018000000}"/>
    <cellStyle name="Moneda 9" xfId="39" xr:uid="{AFB9D481-D75F-4DFA-A693-CA725493BB3F}"/>
    <cellStyle name="Normal" xfId="0" builtinId="0"/>
    <cellStyle name="Normal 2" xfId="24" xr:uid="{00000000-0005-0000-0000-00001A000000}"/>
    <cellStyle name="Normal 2 2 2" xfId="25" xr:uid="{00000000-0005-0000-0000-00001B000000}"/>
    <cellStyle name="Normal 2 2 2 2" xfId="26" xr:uid="{00000000-0005-0000-0000-00001C000000}"/>
    <cellStyle name="Normal 2 3 2" xfId="27" xr:uid="{00000000-0005-0000-0000-00001D000000}"/>
    <cellStyle name="Normal 3" xfId="28" xr:uid="{00000000-0005-0000-0000-00001E000000}"/>
    <cellStyle name="Normal 3 2" xfId="29" xr:uid="{00000000-0005-0000-0000-00001F000000}"/>
    <cellStyle name="Normal 4" xfId="30" xr:uid="{00000000-0005-0000-0000-000020000000}"/>
    <cellStyle name="Normal 5" xfId="31" xr:uid="{00000000-0005-0000-0000-000021000000}"/>
    <cellStyle name="Normal 6" xfId="37" xr:uid="{0B31D6B2-1DA3-4045-B6BF-0AF1E292263B}"/>
    <cellStyle name="Normal 7" xfId="42" xr:uid="{A61CEFDC-F97E-4F68-A712-7CAA996D650B}"/>
    <cellStyle name="Normal_ENE99" xfId="32" xr:uid="{00000000-0005-0000-0000-000022000000}"/>
    <cellStyle name="Normal_GC00-001" xfId="33" xr:uid="{00000000-0005-0000-0000-000023000000}"/>
    <cellStyle name="Opción" xfId="34" xr:uid="{00000000-0005-0000-0000-000024000000}"/>
    <cellStyle name="Porcentaje" xfId="36" builtinId="5"/>
    <cellStyle name="Porcentaje 2" xfId="38" xr:uid="{1D38ABE4-5A48-401C-9A62-33FE9D047EBB}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2009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32F-4D05-B477-0D33C90AA502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32F-4D05-B477-0D33C90AA502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32F-4D05-B477-0D33C90AA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26896"/>
        <c:axId val="1"/>
      </c:lineChart>
      <c:catAx>
        <c:axId val="141942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19426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" r="0.75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2010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CC0-452A-8A2D-29DC9241F481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CC0-452A-8A2D-29DC9241F481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CC0-452A-8A2D-29DC9241F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36096"/>
        <c:axId val="1"/>
      </c:lineChart>
      <c:catAx>
        <c:axId val="141943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19436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9525</xdr:colOff>
      <xdr:row>0</xdr:row>
      <xdr:rowOff>0</xdr:rowOff>
    </xdr:to>
    <xdr:graphicFrame macro="">
      <xdr:nvGraphicFramePr>
        <xdr:cNvPr id="11879" name="Chart 1">
          <a:extLst>
            <a:ext uri="{FF2B5EF4-FFF2-40B4-BE49-F238E27FC236}">
              <a16:creationId xmlns:a16="http://schemas.microsoft.com/office/drawing/2014/main" id="{D59D3E89-6814-4CA2-8941-287393E1B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0</xdr:row>
      <xdr:rowOff>0</xdr:rowOff>
    </xdr:from>
    <xdr:to>
      <xdr:col>16</xdr:col>
      <xdr:colOff>733425</xdr:colOff>
      <xdr:row>0</xdr:row>
      <xdr:rowOff>0</xdr:rowOff>
    </xdr:to>
    <xdr:graphicFrame macro="">
      <xdr:nvGraphicFramePr>
        <xdr:cNvPr id="11880" name="Chart 2">
          <a:extLst>
            <a:ext uri="{FF2B5EF4-FFF2-40B4-BE49-F238E27FC236}">
              <a16:creationId xmlns:a16="http://schemas.microsoft.com/office/drawing/2014/main" id="{14A02008-8B25-44AA-B7DB-8593368B8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E760-D73B-4716-9F49-2D2C0876A43B}">
  <sheetPr>
    <pageSetUpPr fitToPage="1"/>
  </sheetPr>
  <dimension ref="A1:IU35"/>
  <sheetViews>
    <sheetView showGridLines="0" tabSelected="1" topLeftCell="A9" zoomScale="85" zoomScaleNormal="85" zoomScaleSheetLayoutView="100" workbookViewId="0">
      <selection activeCell="E11" sqref="E11"/>
    </sheetView>
  </sheetViews>
  <sheetFormatPr baseColWidth="10" defaultColWidth="0" defaultRowHeight="0" customHeight="1" zeroHeight="1"/>
  <cols>
    <col min="1" max="1" width="5.453125" style="18" customWidth="1"/>
    <col min="2" max="2" width="1" style="18" customWidth="1"/>
    <col min="3" max="3" width="19" style="18" customWidth="1"/>
    <col min="4" max="4" width="23.54296875" style="18" customWidth="1"/>
    <col min="5" max="5" width="19.54296875" style="18" customWidth="1"/>
    <col min="6" max="6" width="22.54296875" style="18" bestFit="1" customWidth="1"/>
    <col min="7" max="7" width="16.54296875" style="18" customWidth="1"/>
    <col min="8" max="8" width="1.453125" style="18" customWidth="1"/>
    <col min="9" max="9" width="8.453125" style="18" customWidth="1"/>
    <col min="10" max="10" width="1.54296875" style="18" hidden="1" customWidth="1"/>
    <col min="11" max="255" width="3.453125" style="18" hidden="1" customWidth="1"/>
    <col min="256" max="16384" width="5.54296875" style="18" hidden="1"/>
  </cols>
  <sheetData>
    <row r="1" spans="1:12" s="17" customFormat="1" ht="26.25" customHeight="1">
      <c r="A1" s="15"/>
      <c r="B1" s="15"/>
      <c r="C1" s="76" t="s">
        <v>66</v>
      </c>
      <c r="D1" s="76"/>
      <c r="E1" s="76"/>
      <c r="F1" s="76"/>
      <c r="G1" s="76"/>
      <c r="H1" s="16"/>
      <c r="I1" s="16"/>
    </row>
    <row r="2" spans="1:12" ht="34.5" customHeight="1">
      <c r="C2" s="76" t="s">
        <v>72</v>
      </c>
      <c r="D2" s="76"/>
      <c r="E2" s="76"/>
      <c r="F2" s="76"/>
      <c r="G2" s="76"/>
      <c r="H2" s="16"/>
      <c r="I2" s="16"/>
    </row>
    <row r="3" spans="1:12" ht="16.5">
      <c r="C3" s="19" t="s">
        <v>0</v>
      </c>
      <c r="D3" s="20" t="s">
        <v>1</v>
      </c>
    </row>
    <row r="4" spans="1:12" ht="16.5">
      <c r="C4" s="21" t="s">
        <v>2</v>
      </c>
      <c r="D4" s="22" t="s">
        <v>3</v>
      </c>
    </row>
    <row r="5" spans="1:12" ht="16.5">
      <c r="C5" s="21" t="s">
        <v>4</v>
      </c>
      <c r="D5" s="39"/>
      <c r="E5" s="38"/>
      <c r="F5" s="38"/>
      <c r="G5" s="38"/>
    </row>
    <row r="6" spans="1:12" ht="16.5">
      <c r="C6" s="21"/>
      <c r="D6" s="39"/>
      <c r="E6" s="38"/>
      <c r="F6" s="38"/>
      <c r="G6" s="38"/>
    </row>
    <row r="7" spans="1:12" ht="16.5">
      <c r="B7" s="23"/>
      <c r="C7" s="19"/>
      <c r="D7" s="20"/>
      <c r="E7" s="20"/>
    </row>
    <row r="8" spans="1:12" ht="19.5" customHeight="1">
      <c r="C8"/>
      <c r="D8"/>
      <c r="E8"/>
      <c r="F8"/>
      <c r="G8"/>
      <c r="H8" s="71"/>
      <c r="I8" s="71"/>
      <c r="J8" s="71"/>
      <c r="K8" s="24"/>
      <c r="L8" s="24"/>
    </row>
    <row r="9" spans="1:12" ht="49.5" customHeight="1">
      <c r="C9" s="54" t="s">
        <v>5</v>
      </c>
      <c r="D9" s="30" t="s">
        <v>6</v>
      </c>
      <c r="E9" s="54" t="s">
        <v>7</v>
      </c>
      <c r="F9" s="54" t="s">
        <v>8</v>
      </c>
      <c r="G9" s="54" t="s">
        <v>9</v>
      </c>
      <c r="H9" s="71"/>
      <c r="I9" s="71"/>
      <c r="J9" s="71"/>
      <c r="K9" s="24"/>
      <c r="L9" s="24"/>
    </row>
    <row r="10" spans="1:12" ht="16.5">
      <c r="C10" s="55">
        <v>46023</v>
      </c>
      <c r="D10" s="34">
        <f>+_xlfn.XLOOKUP(C10,'Cantidades horarias PROD 01'!E:E,'Cantidades horarias PROD 01'!F:F)</f>
        <v>39045740.971252725</v>
      </c>
      <c r="E10" s="29">
        <v>1</v>
      </c>
      <c r="F10" s="34">
        <f t="shared" ref="F10:F21" si="0">ROUND(D10*$E10,2)</f>
        <v>39045740.969999999</v>
      </c>
      <c r="G10" s="77"/>
      <c r="H10" s="71"/>
      <c r="I10" s="71"/>
      <c r="J10" s="71"/>
      <c r="K10" s="24"/>
      <c r="L10" s="24"/>
    </row>
    <row r="11" spans="1:12" ht="16.5">
      <c r="C11" s="55">
        <v>46054</v>
      </c>
      <c r="D11" s="34">
        <f>+_xlfn.XLOOKUP(C11,'Cantidades horarias PROD 01'!E:E,'Cantidades horarias PROD 01'!F:F)</f>
        <v>36042922.568964928</v>
      </c>
      <c r="E11" s="29">
        <v>1</v>
      </c>
      <c r="F11" s="34">
        <f t="shared" si="0"/>
        <v>36042922.57</v>
      </c>
      <c r="G11" s="77"/>
      <c r="H11" s="71"/>
      <c r="I11" s="71"/>
      <c r="J11" s="71"/>
      <c r="K11" s="24"/>
      <c r="L11" s="24"/>
    </row>
    <row r="12" spans="1:12" ht="16.5">
      <c r="C12" s="55">
        <v>46082</v>
      </c>
      <c r="D12" s="34">
        <f>+_xlfn.XLOOKUP(C12,'Cantidades horarias PROD 01'!E:E,'Cantidades horarias PROD 01'!F:F)</f>
        <v>39294896.650885567</v>
      </c>
      <c r="E12" s="29">
        <v>1</v>
      </c>
      <c r="F12" s="34">
        <f t="shared" si="0"/>
        <v>39294896.649999999</v>
      </c>
      <c r="G12" s="77"/>
      <c r="H12" s="71"/>
      <c r="I12" s="71"/>
      <c r="J12" s="71"/>
      <c r="K12" s="24"/>
      <c r="L12" s="24"/>
    </row>
    <row r="13" spans="1:12" ht="16.5">
      <c r="C13" s="55">
        <v>46113</v>
      </c>
      <c r="D13" s="34">
        <f>+_xlfn.XLOOKUP(C13,'Cantidades horarias PROD 01'!E:E,'Cantidades horarias PROD 01'!F:F)</f>
        <v>37825628.345146559</v>
      </c>
      <c r="E13" s="29">
        <v>1</v>
      </c>
      <c r="F13" s="34">
        <f t="shared" si="0"/>
        <v>37825628.350000001</v>
      </c>
      <c r="G13" s="77"/>
      <c r="H13" s="71"/>
      <c r="I13" s="71"/>
      <c r="J13" s="71"/>
      <c r="K13" s="24"/>
      <c r="L13" s="24"/>
    </row>
    <row r="14" spans="1:12" ht="16.5">
      <c r="C14" s="55">
        <v>46143</v>
      </c>
      <c r="D14" s="34">
        <f>+_xlfn.XLOOKUP(C14,'Cantidades horarias PROD 01'!E:E,'Cantidades horarias PROD 01'!F:F)</f>
        <v>39202113.509121925</v>
      </c>
      <c r="E14" s="29">
        <v>1</v>
      </c>
      <c r="F14" s="34">
        <f t="shared" si="0"/>
        <v>39202113.509999998</v>
      </c>
      <c r="G14" s="77"/>
      <c r="H14" s="71"/>
      <c r="I14" s="71"/>
      <c r="J14" s="71"/>
      <c r="K14" s="24"/>
      <c r="L14" s="24"/>
    </row>
    <row r="15" spans="1:12" ht="16.5">
      <c r="C15" s="55">
        <v>46174</v>
      </c>
      <c r="D15" s="34">
        <f>+_xlfn.XLOOKUP(C15,'Cantidades horarias PROD 01'!E:E,'Cantidades horarias PROD 01'!F:F)</f>
        <v>37941685.596027456</v>
      </c>
      <c r="E15" s="29">
        <v>1</v>
      </c>
      <c r="F15" s="34">
        <f t="shared" si="0"/>
        <v>37941685.600000001</v>
      </c>
      <c r="G15" s="77"/>
      <c r="H15" s="71"/>
      <c r="I15" s="71"/>
      <c r="J15" s="71"/>
      <c r="K15" s="24"/>
      <c r="L15" s="24"/>
    </row>
    <row r="16" spans="1:12" ht="16.5">
      <c r="C16" s="55">
        <v>46204</v>
      </c>
      <c r="D16" s="34">
        <f>+_xlfn.XLOOKUP(C16,'Cantidades horarias PROD 01'!E:E,'Cantidades horarias PROD 01'!F:F)</f>
        <v>40137511.14618811</v>
      </c>
      <c r="E16" s="29">
        <v>1</v>
      </c>
      <c r="F16" s="34">
        <f t="shared" si="0"/>
        <v>40137511.149999999</v>
      </c>
      <c r="G16" s="77"/>
      <c r="H16" s="71"/>
      <c r="I16" s="71"/>
      <c r="J16" s="71"/>
      <c r="K16" s="24"/>
      <c r="L16" s="24"/>
    </row>
    <row r="17" spans="3:12" ht="16.5">
      <c r="C17" s="55">
        <v>46235</v>
      </c>
      <c r="D17" s="34">
        <f>+_xlfn.XLOOKUP(C17,'Cantidades horarias PROD 01'!E:E,'Cantidades horarias PROD 01'!F:F)</f>
        <v>38908847.41321142</v>
      </c>
      <c r="E17" s="29">
        <v>1</v>
      </c>
      <c r="F17" s="34">
        <f t="shared" si="0"/>
        <v>38908847.409999996</v>
      </c>
      <c r="G17" s="77"/>
      <c r="H17" s="71"/>
      <c r="I17" s="71"/>
      <c r="J17" s="71"/>
      <c r="K17" s="24"/>
      <c r="L17" s="24"/>
    </row>
    <row r="18" spans="3:12" ht="16.5">
      <c r="C18" s="55">
        <v>46266</v>
      </c>
      <c r="D18" s="34">
        <f>+_xlfn.XLOOKUP(C18,'Cantidades horarias PROD 01'!E:E,'Cantidades horarias PROD 01'!F:F)</f>
        <v>38535132.591741346</v>
      </c>
      <c r="E18" s="29">
        <v>1</v>
      </c>
      <c r="F18" s="34">
        <f t="shared" si="0"/>
        <v>38535132.590000004</v>
      </c>
      <c r="G18" s="77"/>
      <c r="H18" s="71"/>
      <c r="I18" s="71"/>
      <c r="J18" s="71"/>
      <c r="K18" s="24"/>
      <c r="L18" s="24"/>
    </row>
    <row r="19" spans="3:12" ht="16.5">
      <c r="C19" s="55">
        <v>46296</v>
      </c>
      <c r="D19" s="34">
        <f>+_xlfn.XLOOKUP(C19,'Cantidades horarias PROD 01'!E:E,'Cantidades horarias PROD 01'!F:F)</f>
        <v>39571326.8174043</v>
      </c>
      <c r="E19" s="29">
        <v>1</v>
      </c>
      <c r="F19" s="34">
        <f t="shared" si="0"/>
        <v>39571326.82</v>
      </c>
      <c r="G19" s="77"/>
      <c r="H19" s="71"/>
      <c r="I19" s="71"/>
      <c r="J19" s="71"/>
      <c r="K19" s="24"/>
      <c r="L19" s="24"/>
    </row>
    <row r="20" spans="3:12" ht="16.5">
      <c r="C20" s="55">
        <v>46327</v>
      </c>
      <c r="D20" s="34">
        <f>+_xlfn.XLOOKUP(C20,'Cantidades horarias PROD 01'!E:E,'Cantidades horarias PROD 01'!F:F)</f>
        <v>38022246.437598482</v>
      </c>
      <c r="E20" s="29">
        <v>1</v>
      </c>
      <c r="F20" s="34">
        <f t="shared" si="0"/>
        <v>38022246.439999998</v>
      </c>
      <c r="G20" s="77"/>
      <c r="H20" s="71"/>
      <c r="I20" s="71"/>
      <c r="J20" s="71"/>
      <c r="K20" s="24"/>
      <c r="L20" s="24"/>
    </row>
    <row r="21" spans="3:12" ht="16.5">
      <c r="C21" s="55">
        <v>46357</v>
      </c>
      <c r="D21" s="34">
        <f>+_xlfn.XLOOKUP(C21,'Cantidades horarias PROD 01'!E:E,'Cantidades horarias PROD 01'!F:F)</f>
        <v>38156820.683951899</v>
      </c>
      <c r="E21" s="29">
        <v>1</v>
      </c>
      <c r="F21" s="34">
        <f t="shared" si="0"/>
        <v>38156820.68</v>
      </c>
      <c r="G21" s="77"/>
      <c r="H21" s="71"/>
      <c r="I21" s="71"/>
      <c r="J21" s="71"/>
      <c r="K21" s="24"/>
      <c r="L21" s="24"/>
    </row>
    <row r="22" spans="3:12" ht="16.5">
      <c r="C22" s="50" t="s">
        <v>10</v>
      </c>
      <c r="D22" s="51">
        <f>SUM(D10:D21)</f>
        <v>462684872.73149472</v>
      </c>
      <c r="E22" s="53">
        <f>IFERROR(F22/D22,0)</f>
        <v>1.0000000000183824</v>
      </c>
      <c r="F22" s="51">
        <f>SUM(F10:F21)</f>
        <v>462684872.73999995</v>
      </c>
      <c r="G22" s="52">
        <f>G10</f>
        <v>0</v>
      </c>
      <c r="H22" s="71"/>
      <c r="I22" s="71"/>
      <c r="J22" s="71"/>
      <c r="K22" s="24"/>
      <c r="L22" s="24"/>
    </row>
    <row r="23" spans="3:12" ht="16.5">
      <c r="C23" s="32"/>
      <c r="D23" s="31"/>
      <c r="E23" s="36"/>
      <c r="F23" s="31"/>
      <c r="G23" s="35"/>
      <c r="H23" s="71"/>
      <c r="I23" s="71"/>
      <c r="J23" s="71"/>
      <c r="K23" s="24"/>
      <c r="L23" s="24"/>
    </row>
    <row r="24" spans="3:12" ht="19.5" customHeight="1">
      <c r="C24"/>
      <c r="D24" s="30" t="s">
        <v>11</v>
      </c>
      <c r="E24" s="37">
        <v>0.8</v>
      </c>
      <c r="F24"/>
      <c r="G24"/>
      <c r="H24" s="71"/>
      <c r="I24" s="71"/>
      <c r="J24" s="71"/>
      <c r="K24" s="24"/>
      <c r="L24" s="24"/>
    </row>
    <row r="25" spans="3:12" ht="16.5">
      <c r="D25" s="30" t="s">
        <v>12</v>
      </c>
      <c r="E25" s="33">
        <f>MIN(E10:E21)/MAX(E10:E21)</f>
        <v>1</v>
      </c>
      <c r="F25" s="25"/>
      <c r="G25" s="26"/>
      <c r="H25" s="26"/>
      <c r="I25" s="25"/>
      <c r="J25" s="25"/>
    </row>
    <row r="26" spans="3:12" ht="16.5">
      <c r="C26" s="27" t="s">
        <v>13</v>
      </c>
      <c r="D26" s="26"/>
      <c r="E26" s="26"/>
      <c r="F26" s="26"/>
      <c r="G26" s="26"/>
      <c r="H26" s="26"/>
      <c r="I26" s="25"/>
      <c r="J26" s="25"/>
    </row>
    <row r="27" spans="3:12" ht="16.5">
      <c r="C27" s="28" t="s">
        <v>71</v>
      </c>
      <c r="D27" s="26"/>
      <c r="E27" s="26"/>
      <c r="F27" s="26"/>
      <c r="G27" s="26"/>
      <c r="H27" s="26"/>
      <c r="I27" s="25"/>
      <c r="J27" s="25"/>
    </row>
    <row r="28" spans="3:12" ht="16.5">
      <c r="C28" s="28" t="s">
        <v>14</v>
      </c>
      <c r="I28" s="25"/>
      <c r="J28" s="25"/>
    </row>
    <row r="29" spans="3:12" ht="16.5">
      <c r="C29" s="78"/>
      <c r="D29" s="78"/>
      <c r="E29" s="78"/>
      <c r="F29" s="78"/>
      <c r="G29" s="78"/>
      <c r="H29" s="25"/>
      <c r="I29" s="25"/>
      <c r="J29" s="25"/>
    </row>
    <row r="30" spans="3:12" ht="16.5">
      <c r="C30" s="78"/>
      <c r="D30" s="78"/>
      <c r="E30" s="78"/>
      <c r="F30" s="78"/>
      <c r="G30" s="78"/>
    </row>
    <row r="31" spans="3:12" ht="16.5">
      <c r="E31" s="38"/>
      <c r="F31" s="56"/>
      <c r="G31" s="56"/>
    </row>
    <row r="32" spans="3:12" ht="15" customHeight="1">
      <c r="C32" s="57" t="s">
        <v>15</v>
      </c>
      <c r="D32" s="58"/>
      <c r="E32" s="38"/>
      <c r="F32" s="38"/>
      <c r="G32" s="38"/>
    </row>
    <row r="33" spans="3:8" ht="15" customHeight="1">
      <c r="C33" s="22" t="s">
        <v>16</v>
      </c>
      <c r="F33" s="38"/>
      <c r="G33" s="38"/>
    </row>
    <row r="34" spans="3:8" ht="16.5">
      <c r="C34" s="22" t="s">
        <v>17</v>
      </c>
    </row>
    <row r="35" spans="3:8" ht="16.5">
      <c r="G35" s="22"/>
      <c r="H35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9:G9 C10:E21" name="Rango1"/>
    <protectedRange algorithmName="SHA-512" hashValue="ae/Js8yeMw6wHjGREqu83BjAYnjwv1NHxpvnTe57rDwDMNDPGlnZwgp89HjM7G0cg/2ItV/6+CjQlsfmX7La6g==" saltValue="fv5wd7mgDmwpGOJN+Z7vlA==" spinCount="100000" sqref="G10:G21" name="Rango1_1_1"/>
  </protectedRanges>
  <mergeCells count="4">
    <mergeCell ref="C1:G1"/>
    <mergeCell ref="C2:G2"/>
    <mergeCell ref="G10:G21"/>
    <mergeCell ref="C29:G30"/>
  </mergeCells>
  <conditionalFormatting sqref="E25">
    <cfRule type="cellIs" dxfId="14" priority="1" operator="equal">
      <formula>$E$24</formula>
    </cfRule>
    <cfRule type="cellIs" dxfId="13" priority="2" operator="greaterThan">
      <formula>$E$24</formula>
    </cfRule>
    <cfRule type="cellIs" dxfId="12" priority="3" operator="lessThan">
      <formula>$E$24</formula>
    </cfRule>
  </conditionalFormatting>
  <dataValidations count="1">
    <dataValidation type="textLength" allowBlank="1" showInputMessage="1" showErrorMessage="1" errorTitle="SOLO 2 DECIMALES" error="Por favor introduzca un valor con maximo 2 decimales" sqref="E10:E21" xr:uid="{5C824E16-90A8-497E-AB20-B249C6E8C909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2" fitToHeight="0" orientation="portrait" cellComments="asDisplayed" r:id="rId1"/>
  <headerFooter alignWithMargins="0">
    <oddHeader>&amp;R&amp;11 1 de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7EE0-3581-4D15-BFC8-A3F213F19E9D}">
  <dimension ref="A1:AK76"/>
  <sheetViews>
    <sheetView showGridLines="0" zoomScaleNormal="100" workbookViewId="0">
      <selection activeCell="E1" sqref="E1:AG68"/>
    </sheetView>
  </sheetViews>
  <sheetFormatPr baseColWidth="10" defaultColWidth="11.453125" defaultRowHeight="12.5"/>
  <cols>
    <col min="4" max="4" width="10.36328125" bestFit="1" customWidth="1"/>
    <col min="6" max="6" width="13.6328125" bestFit="1" customWidth="1"/>
    <col min="9" max="9" width="14.453125" bestFit="1" customWidth="1"/>
    <col min="10" max="32" width="11.81640625" bestFit="1" customWidth="1"/>
    <col min="33" max="33" width="14.453125" bestFit="1" customWidth="1"/>
    <col min="34" max="34" width="2.453125" customWidth="1"/>
    <col min="36" max="36" width="12.81640625" bestFit="1" customWidth="1"/>
    <col min="37" max="37" width="5.90625" bestFit="1" customWidth="1"/>
  </cols>
  <sheetData>
    <row r="1" spans="1:37" ht="23">
      <c r="E1" s="83" t="s">
        <v>18</v>
      </c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</row>
    <row r="2" spans="1:37" ht="23">
      <c r="E2" s="83" t="s">
        <v>64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</row>
    <row r="3" spans="1:37" ht="23">
      <c r="E3" s="83" t="s">
        <v>3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</row>
    <row r="4" spans="1:37" ht="23"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</row>
    <row r="5" spans="1:37" ht="23">
      <c r="E5" s="83" t="s">
        <v>4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</row>
    <row r="6" spans="1:37" ht="23">
      <c r="E6" s="61"/>
      <c r="F6" s="62"/>
      <c r="G6" s="62"/>
      <c r="H6" s="63"/>
      <c r="I6" s="67"/>
      <c r="J6" s="64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</row>
    <row r="7" spans="1:37" ht="14.5" thickBot="1">
      <c r="E7" s="65"/>
      <c r="F7" s="65"/>
      <c r="G7" s="82"/>
      <c r="H7" s="82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</row>
    <row r="8" spans="1:37" ht="28.5" thickBot="1">
      <c r="B8" s="71"/>
      <c r="C8" s="71"/>
      <c r="D8" s="71"/>
      <c r="E8" s="8"/>
      <c r="F8" s="9" t="s">
        <v>19</v>
      </c>
      <c r="G8" s="9" t="s">
        <v>20</v>
      </c>
      <c r="H8" s="10" t="s">
        <v>21</v>
      </c>
      <c r="I8" s="11" t="s">
        <v>22</v>
      </c>
      <c r="J8" s="12" t="s">
        <v>23</v>
      </c>
      <c r="K8" s="12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2" t="s">
        <v>29</v>
      </c>
      <c r="Q8" s="12" t="s">
        <v>30</v>
      </c>
      <c r="R8" s="12" t="s">
        <v>31</v>
      </c>
      <c r="S8" s="12" t="s">
        <v>32</v>
      </c>
      <c r="T8" s="12" t="s">
        <v>33</v>
      </c>
      <c r="U8" s="12" t="s">
        <v>34</v>
      </c>
      <c r="V8" s="12" t="s">
        <v>35</v>
      </c>
      <c r="W8" s="12" t="s">
        <v>36</v>
      </c>
      <c r="X8" s="12" t="s">
        <v>37</v>
      </c>
      <c r="Y8" s="12" t="s">
        <v>38</v>
      </c>
      <c r="Z8" s="12" t="s">
        <v>39</v>
      </c>
      <c r="AA8" s="12" t="s">
        <v>40</v>
      </c>
      <c r="AB8" s="12" t="s">
        <v>41</v>
      </c>
      <c r="AC8" s="12" t="s">
        <v>42</v>
      </c>
      <c r="AD8" s="12" t="s">
        <v>43</v>
      </c>
      <c r="AE8" s="12" t="s">
        <v>44</v>
      </c>
      <c r="AF8" s="13" t="s">
        <v>45</v>
      </c>
      <c r="AG8" s="14" t="s">
        <v>10</v>
      </c>
    </row>
    <row r="9" spans="1:37" ht="14">
      <c r="A9" s="66"/>
      <c r="E9" s="84">
        <v>46023</v>
      </c>
      <c r="F9" s="79">
        <f>+AG13</f>
        <v>39045740.971252725</v>
      </c>
      <c r="G9" s="40" t="s">
        <v>60</v>
      </c>
      <c r="H9" s="40">
        <v>20</v>
      </c>
      <c r="I9" s="73">
        <v>46531.807419268909</v>
      </c>
      <c r="J9" s="73">
        <v>45464.634550001661</v>
      </c>
      <c r="K9" s="73">
        <v>44892.081614813811</v>
      </c>
      <c r="L9" s="73">
        <v>44894.445114315182</v>
      </c>
      <c r="M9" s="73">
        <v>44638.29318916014</v>
      </c>
      <c r="N9" s="73">
        <v>46081.402988457849</v>
      </c>
      <c r="O9" s="73">
        <v>49363.983466451886</v>
      </c>
      <c r="P9" s="73">
        <v>56329.076812614672</v>
      </c>
      <c r="Q9" s="73">
        <v>61907.059365631874</v>
      </c>
      <c r="R9" s="73">
        <v>63611.527813165085</v>
      </c>
      <c r="S9" s="73">
        <v>64667.697637126061</v>
      </c>
      <c r="T9" s="73">
        <v>64235.098376930553</v>
      </c>
      <c r="U9" s="73">
        <v>62105.256753667039</v>
      </c>
      <c r="V9" s="73">
        <v>61214.617142611802</v>
      </c>
      <c r="W9" s="73">
        <v>63059.359396602355</v>
      </c>
      <c r="X9" s="73">
        <v>64186.175973890218</v>
      </c>
      <c r="Y9" s="73">
        <v>63490.423125591056</v>
      </c>
      <c r="Z9" s="73">
        <v>63548.96278783567</v>
      </c>
      <c r="AA9" s="73">
        <v>60555.11774614649</v>
      </c>
      <c r="AB9" s="73">
        <v>58586.028728478399</v>
      </c>
      <c r="AC9" s="73">
        <v>55680.97550415781</v>
      </c>
      <c r="AD9" s="73">
        <v>52286.071624818331</v>
      </c>
      <c r="AE9" s="73">
        <v>49739.851861673036</v>
      </c>
      <c r="AF9" s="73">
        <v>48446.831215906983</v>
      </c>
      <c r="AG9" s="41">
        <f>ROUND(SUM(I9:AF9)*H9,2)</f>
        <v>26710335.600000001</v>
      </c>
      <c r="AJ9" s="74"/>
    </row>
    <row r="10" spans="1:37" ht="14">
      <c r="A10" s="66"/>
      <c r="E10" s="85"/>
      <c r="F10" s="80"/>
      <c r="G10" s="42" t="s">
        <v>63</v>
      </c>
      <c r="H10" s="42">
        <v>5</v>
      </c>
      <c r="I10" s="73">
        <v>45437.722002169867</v>
      </c>
      <c r="J10" s="73">
        <v>44363.603910873426</v>
      </c>
      <c r="K10" s="73">
        <v>43958.12037531066</v>
      </c>
      <c r="L10" s="73">
        <v>43768.70163402961</v>
      </c>
      <c r="M10" s="73">
        <v>43450.757378936687</v>
      </c>
      <c r="N10" s="73">
        <v>44531.573823600018</v>
      </c>
      <c r="O10" s="73">
        <v>47965.668772392404</v>
      </c>
      <c r="P10" s="73">
        <v>56599.476287023354</v>
      </c>
      <c r="Q10" s="73">
        <v>57593.085858215054</v>
      </c>
      <c r="R10" s="73">
        <v>55870.048031003753</v>
      </c>
      <c r="S10" s="73">
        <v>60910.343984301981</v>
      </c>
      <c r="T10" s="73">
        <v>60882.835039273217</v>
      </c>
      <c r="U10" s="73">
        <v>57733.247922004157</v>
      </c>
      <c r="V10" s="73">
        <v>57559.075084331897</v>
      </c>
      <c r="W10" s="73">
        <v>59494.369917198106</v>
      </c>
      <c r="X10" s="73">
        <v>58760.90870907146</v>
      </c>
      <c r="Y10" s="73">
        <v>58674.256912781137</v>
      </c>
      <c r="Z10" s="73">
        <v>59557.762674491933</v>
      </c>
      <c r="AA10" s="73">
        <v>56696.882182577174</v>
      </c>
      <c r="AB10" s="73">
        <v>55913.585812681529</v>
      </c>
      <c r="AC10" s="73">
        <v>53391.134413699037</v>
      </c>
      <c r="AD10" s="73">
        <v>50052.733116138501</v>
      </c>
      <c r="AE10" s="73">
        <v>47317.133441398692</v>
      </c>
      <c r="AF10" s="73">
        <v>45879.755067623802</v>
      </c>
      <c r="AG10" s="43">
        <f>ROUND(SUM(I10:AF10)*H10,2)</f>
        <v>6331813.9100000001</v>
      </c>
      <c r="AJ10" s="74"/>
      <c r="AK10" s="75"/>
    </row>
    <row r="11" spans="1:37" ht="14">
      <c r="A11" s="66"/>
      <c r="E11" s="85"/>
      <c r="F11" s="80"/>
      <c r="G11" s="44" t="s">
        <v>61</v>
      </c>
      <c r="H11" s="44">
        <v>4</v>
      </c>
      <c r="I11" s="73">
        <v>41998.110961675331</v>
      </c>
      <c r="J11" s="73">
        <v>41561.923245756385</v>
      </c>
      <c r="K11" s="73">
        <v>41371.286853700636</v>
      </c>
      <c r="L11" s="73">
        <v>41164.563064144721</v>
      </c>
      <c r="M11" s="73">
        <v>41488.392909658331</v>
      </c>
      <c r="N11" s="73">
        <v>41079.540664851447</v>
      </c>
      <c r="O11" s="73">
        <v>43066.106694345021</v>
      </c>
      <c r="P11" s="73">
        <v>40039.386213560545</v>
      </c>
      <c r="Q11" s="73">
        <v>34127.206697635091</v>
      </c>
      <c r="R11" s="73">
        <v>30990.951011555895</v>
      </c>
      <c r="S11" s="73">
        <v>35524.431518163605</v>
      </c>
      <c r="T11" s="73">
        <v>39293.397571834226</v>
      </c>
      <c r="U11" s="73">
        <v>41886.635506592851</v>
      </c>
      <c r="V11" s="73">
        <v>43425.272297414202</v>
      </c>
      <c r="W11" s="73">
        <v>41722.063360820437</v>
      </c>
      <c r="X11" s="73">
        <v>41823.474584335403</v>
      </c>
      <c r="Y11" s="73">
        <v>41910.775610078766</v>
      </c>
      <c r="Z11" s="73">
        <v>42002.278264260407</v>
      </c>
      <c r="AA11" s="73">
        <v>41628.763676282309</v>
      </c>
      <c r="AB11" s="73">
        <v>41745.98234195212</v>
      </c>
      <c r="AC11" s="73">
        <v>41268.055425429273</v>
      </c>
      <c r="AD11" s="73">
        <v>40833.699216176734</v>
      </c>
      <c r="AE11" s="73">
        <v>40687.202349247309</v>
      </c>
      <c r="AF11" s="73">
        <v>40272.839592260076</v>
      </c>
      <c r="AG11" s="43">
        <f>ROUND(SUM(I11:AF11)*H11,2)</f>
        <v>3883649.36</v>
      </c>
      <c r="AJ11" s="74"/>
      <c r="AK11" s="75"/>
    </row>
    <row r="12" spans="1:37" ht="14">
      <c r="A12" s="66"/>
      <c r="E12" s="85"/>
      <c r="F12" s="80"/>
      <c r="G12" s="45" t="s">
        <v>62</v>
      </c>
      <c r="H12" s="45">
        <v>2</v>
      </c>
      <c r="I12" s="73">
        <v>45535.495178613477</v>
      </c>
      <c r="J12" s="73">
        <v>44988.562103860691</v>
      </c>
      <c r="K12" s="73">
        <v>44762.5231426174</v>
      </c>
      <c r="L12" s="73">
        <v>44775.143468449831</v>
      </c>
      <c r="M12" s="73">
        <v>45064.268511306283</v>
      </c>
      <c r="N12" s="73">
        <v>43522.70871397922</v>
      </c>
      <c r="O12" s="73">
        <v>44777.932977041914</v>
      </c>
      <c r="P12" s="73">
        <v>45761.318856431128</v>
      </c>
      <c r="Q12" s="73">
        <v>41659.230455506506</v>
      </c>
      <c r="R12" s="73">
        <v>39509.735149423796</v>
      </c>
      <c r="S12" s="73">
        <v>44276.367059558906</v>
      </c>
      <c r="T12" s="73">
        <v>48716.460339803918</v>
      </c>
      <c r="U12" s="73">
        <v>50615.966469608509</v>
      </c>
      <c r="V12" s="73">
        <v>49758.92294697537</v>
      </c>
      <c r="W12" s="73">
        <v>46112.202605863189</v>
      </c>
      <c r="X12" s="73">
        <v>43322.167197815776</v>
      </c>
      <c r="Y12" s="73">
        <v>43257.199473208995</v>
      </c>
      <c r="Z12" s="73">
        <v>43951.743385812195</v>
      </c>
      <c r="AA12" s="73">
        <v>43897.39162379218</v>
      </c>
      <c r="AB12" s="73">
        <v>44005.467576657415</v>
      </c>
      <c r="AC12" s="73">
        <v>42814.910040898983</v>
      </c>
      <c r="AD12" s="73">
        <v>40020.749548773289</v>
      </c>
      <c r="AE12" s="73">
        <v>39677.972829550534</v>
      </c>
      <c r="AF12" s="73">
        <v>39186.608736364491</v>
      </c>
      <c r="AG12" s="46">
        <f>ROUND(SUM(I12:AF12)*H12,2)</f>
        <v>2119942.1</v>
      </c>
      <c r="AJ12" s="74"/>
      <c r="AK12" s="75"/>
    </row>
    <row r="13" spans="1:37" ht="15" thickBot="1">
      <c r="A13" s="66"/>
      <c r="E13" s="85"/>
      <c r="F13" s="81"/>
      <c r="G13" s="47" t="s">
        <v>10</v>
      </c>
      <c r="H13" s="47">
        <f>+SUM(H9:H12)</f>
        <v>31</v>
      </c>
      <c r="I13" s="48">
        <f t="shared" ref="I13:AF13" si="0">+SUMPRODUCT(I9:I12,$H9:$H12)</f>
        <v>1416888.1926001559</v>
      </c>
      <c r="J13" s="48">
        <f t="shared" si="0"/>
        <v>1387335.527745147</v>
      </c>
      <c r="K13" s="48">
        <f t="shared" si="0"/>
        <v>1372642.4278728671</v>
      </c>
      <c r="L13" s="48">
        <f t="shared" si="0"/>
        <v>1370940.9496499305</v>
      </c>
      <c r="M13" s="48">
        <f t="shared" si="0"/>
        <v>1366101.7593391321</v>
      </c>
      <c r="N13" s="48">
        <f t="shared" si="0"/>
        <v>1395649.5089745212</v>
      </c>
      <c r="O13" s="48">
        <f t="shared" si="0"/>
        <v>1488928.3059224635</v>
      </c>
      <c r="P13" s="48">
        <f t="shared" si="0"/>
        <v>1661259.1002545147</v>
      </c>
      <c r="Q13" s="48">
        <f t="shared" si="0"/>
        <v>1745933.904305266</v>
      </c>
      <c r="R13" s="48">
        <f t="shared" si="0"/>
        <v>1754564.0707633917</v>
      </c>
      <c r="S13" s="48">
        <f t="shared" si="0"/>
        <v>1828556.1328558032</v>
      </c>
      <c r="T13" s="48">
        <f t="shared" si="0"/>
        <v>1843722.6537019219</v>
      </c>
      <c r="U13" s="48">
        <f t="shared" si="0"/>
        <v>1799549.8496489499</v>
      </c>
      <c r="V13" s="48">
        <f t="shared" si="0"/>
        <v>1785306.653357503</v>
      </c>
      <c r="W13" s="48">
        <f t="shared" si="0"/>
        <v>1817771.6961730456</v>
      </c>
      <c r="X13" s="48">
        <f t="shared" si="0"/>
        <v>1831466.2957561347</v>
      </c>
      <c r="Y13" s="48">
        <f t="shared" si="0"/>
        <v>1817337.2484624598</v>
      </c>
      <c r="Z13" s="48">
        <f t="shared" si="0"/>
        <v>1824680.668957839</v>
      </c>
      <c r="AA13" s="48">
        <f t="shared" si="0"/>
        <v>1748896.6037885291</v>
      </c>
      <c r="AB13" s="48">
        <f t="shared" si="0"/>
        <v>1706283.368154099</v>
      </c>
      <c r="AC13" s="48">
        <f t="shared" si="0"/>
        <v>1631277.2239351664</v>
      </c>
      <c r="AD13" s="48">
        <f t="shared" si="0"/>
        <v>1539361.3940393126</v>
      </c>
      <c r="AE13" s="48">
        <f t="shared" si="0"/>
        <v>1473487.4594965442</v>
      </c>
      <c r="AF13" s="48">
        <f t="shared" si="0"/>
        <v>1437799.9754980279</v>
      </c>
      <c r="AG13" s="49">
        <f>SUM(I13:AF13)</f>
        <v>39045740.971252725</v>
      </c>
    </row>
    <row r="14" spans="1:37" ht="14">
      <c r="A14" s="66"/>
      <c r="E14" s="84">
        <v>46054</v>
      </c>
      <c r="F14" s="79">
        <f>+AG18</f>
        <v>36042922.568964928</v>
      </c>
      <c r="G14" s="40" t="s">
        <v>60</v>
      </c>
      <c r="H14" s="40">
        <v>20</v>
      </c>
      <c r="I14" s="73">
        <v>47285.377633074575</v>
      </c>
      <c r="J14" s="73">
        <v>46205.820955985015</v>
      </c>
      <c r="K14" s="73">
        <v>45610.855575134454</v>
      </c>
      <c r="L14" s="73">
        <v>45617.717235280383</v>
      </c>
      <c r="M14" s="73">
        <v>45183.113610765067</v>
      </c>
      <c r="N14" s="73">
        <v>46617.122644141862</v>
      </c>
      <c r="O14" s="73">
        <v>49798.301303656561</v>
      </c>
      <c r="P14" s="73">
        <v>56495.407514960374</v>
      </c>
      <c r="Q14" s="73">
        <v>62462.84619983317</v>
      </c>
      <c r="R14" s="73">
        <v>62046.562683988108</v>
      </c>
      <c r="S14" s="73">
        <v>65453.149347040497</v>
      </c>
      <c r="T14" s="73">
        <v>65450.122044325071</v>
      </c>
      <c r="U14" s="73">
        <v>63155.502678532641</v>
      </c>
      <c r="V14" s="73">
        <v>62633.198302741825</v>
      </c>
      <c r="W14" s="73">
        <v>63701.525198583688</v>
      </c>
      <c r="X14" s="73">
        <v>64825.531872180545</v>
      </c>
      <c r="Y14" s="73">
        <v>64152.576731084569</v>
      </c>
      <c r="Z14" s="73">
        <v>64083.298914985477</v>
      </c>
      <c r="AA14" s="73">
        <v>61156.394079185768</v>
      </c>
      <c r="AB14" s="73">
        <v>59231.351355081038</v>
      </c>
      <c r="AC14" s="73">
        <v>56338.25527357003</v>
      </c>
      <c r="AD14" s="73">
        <v>52989.372949982004</v>
      </c>
      <c r="AE14" s="73">
        <v>50326.45471391458</v>
      </c>
      <c r="AF14" s="73">
        <v>49084.491311790051</v>
      </c>
      <c r="AG14" s="41">
        <f>+SUM(I14:AF14)*H14</f>
        <v>26998087.002596349</v>
      </c>
      <c r="AJ14" s="74"/>
    </row>
    <row r="15" spans="1:37" ht="14">
      <c r="A15" s="66"/>
      <c r="E15" s="85">
        <v>46054</v>
      </c>
      <c r="F15" s="80"/>
      <c r="G15" s="42" t="s">
        <v>63</v>
      </c>
      <c r="H15" s="42">
        <v>4</v>
      </c>
      <c r="I15" s="73">
        <v>46448.0305381785</v>
      </c>
      <c r="J15" s="73">
        <v>45385.643665750751</v>
      </c>
      <c r="K15" s="73">
        <v>44978.292472426503</v>
      </c>
      <c r="L15" s="73">
        <v>44756.383984079293</v>
      </c>
      <c r="M15" s="73">
        <v>44348.887131981144</v>
      </c>
      <c r="N15" s="73">
        <v>45419.54135188635</v>
      </c>
      <c r="O15" s="73">
        <v>48776.13219128325</v>
      </c>
      <c r="P15" s="73">
        <v>57796.135654651975</v>
      </c>
      <c r="Q15" s="73">
        <v>57520.428328361762</v>
      </c>
      <c r="R15" s="73">
        <v>54464.034632970499</v>
      </c>
      <c r="S15" s="73">
        <v>57761.487662769759</v>
      </c>
      <c r="T15" s="73">
        <v>59124.563244808676</v>
      </c>
      <c r="U15" s="73">
        <v>57662.181244988547</v>
      </c>
      <c r="V15" s="73">
        <v>61889.651518961269</v>
      </c>
      <c r="W15" s="73">
        <v>61402.473963201439</v>
      </c>
      <c r="X15" s="73">
        <v>60067.946731807293</v>
      </c>
      <c r="Y15" s="73">
        <v>59749.338358944078</v>
      </c>
      <c r="Z15" s="73">
        <v>60602.271737356583</v>
      </c>
      <c r="AA15" s="73">
        <v>58175.593107446461</v>
      </c>
      <c r="AB15" s="73">
        <v>56917.733016331709</v>
      </c>
      <c r="AC15" s="73">
        <v>54461.405919262208</v>
      </c>
      <c r="AD15" s="73">
        <v>51094.740088136707</v>
      </c>
      <c r="AE15" s="73">
        <v>48330.09333883076</v>
      </c>
      <c r="AF15" s="73">
        <v>46897.292229823768</v>
      </c>
      <c r="AG15" s="43">
        <f>+SUM(I15:AF15)*H15</f>
        <v>5136121.1284569576</v>
      </c>
      <c r="AJ15" s="74"/>
      <c r="AK15" s="75"/>
    </row>
    <row r="16" spans="1:37" ht="14">
      <c r="A16" s="66"/>
      <c r="E16" s="85">
        <v>46054</v>
      </c>
      <c r="F16" s="80"/>
      <c r="G16" s="44" t="s">
        <v>61</v>
      </c>
      <c r="H16" s="44">
        <v>4</v>
      </c>
      <c r="I16" s="73">
        <v>42428.397267886445</v>
      </c>
      <c r="J16" s="73">
        <v>41965.620275539688</v>
      </c>
      <c r="K16" s="73">
        <v>41744.49619858501</v>
      </c>
      <c r="L16" s="73">
        <v>41563.244748743193</v>
      </c>
      <c r="M16" s="73">
        <v>41908.140299648177</v>
      </c>
      <c r="N16" s="73">
        <v>41646.643913552885</v>
      </c>
      <c r="O16" s="73">
        <v>43285.057507088946</v>
      </c>
      <c r="P16" s="73">
        <v>39993.347158104632</v>
      </c>
      <c r="Q16" s="73">
        <v>34646.41916778178</v>
      </c>
      <c r="R16" s="73">
        <v>30227.297613522642</v>
      </c>
      <c r="S16" s="73">
        <v>33060.495196631418</v>
      </c>
      <c r="T16" s="73">
        <v>38146.465777369689</v>
      </c>
      <c r="U16" s="73">
        <v>42317.788829577243</v>
      </c>
      <c r="V16" s="73">
        <v>46387.572756054506</v>
      </c>
      <c r="W16" s="73">
        <v>42650.270503719636</v>
      </c>
      <c r="X16" s="73">
        <v>42171.893095243518</v>
      </c>
      <c r="Y16" s="73">
        <v>42219.848392390988</v>
      </c>
      <c r="Z16" s="73">
        <v>42358.007609352491</v>
      </c>
      <c r="AA16" s="73">
        <v>41929.965348787802</v>
      </c>
      <c r="AB16" s="73">
        <v>42206.587946561835</v>
      </c>
      <c r="AC16" s="73">
        <v>41648.820637905214</v>
      </c>
      <c r="AD16" s="73">
        <v>41152.534555932267</v>
      </c>
      <c r="AE16" s="73">
        <v>40987.302217710072</v>
      </c>
      <c r="AF16" s="73">
        <v>40532.392460215342</v>
      </c>
      <c r="AG16" s="43">
        <f>+SUM(I16:AF16)*H16</f>
        <v>3908714.4379116222</v>
      </c>
      <c r="AJ16" s="74"/>
      <c r="AK16" s="75"/>
    </row>
    <row r="17" spans="1:37" ht="14">
      <c r="A17" s="66"/>
      <c r="E17" s="85">
        <v>46054</v>
      </c>
      <c r="F17" s="80"/>
      <c r="G17" s="45" t="s">
        <v>62</v>
      </c>
      <c r="H17" s="45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46">
        <f>+SUM(I17:AF17)*H17</f>
        <v>0</v>
      </c>
      <c r="AJ17" s="74"/>
      <c r="AK17" s="75"/>
    </row>
    <row r="18" spans="1:37" ht="15" thickBot="1">
      <c r="A18" s="66"/>
      <c r="E18" s="85">
        <v>46054</v>
      </c>
      <c r="F18" s="81"/>
      <c r="G18" s="47" t="s">
        <v>10</v>
      </c>
      <c r="H18" s="47">
        <f>+SUM(H14:H17)</f>
        <v>28</v>
      </c>
      <c r="I18" s="48">
        <f t="shared" ref="I18:AF18" si="1">+SUMPRODUCT(I14:I17,$H14:$H17)</f>
        <v>1301213.2638857514</v>
      </c>
      <c r="J18" s="48">
        <f t="shared" si="1"/>
        <v>1273521.4748848621</v>
      </c>
      <c r="K18" s="48">
        <f t="shared" si="1"/>
        <v>1259108.2661867351</v>
      </c>
      <c r="L18" s="48">
        <f t="shared" si="1"/>
        <v>1257632.8596368975</v>
      </c>
      <c r="M18" s="48">
        <f t="shared" si="1"/>
        <v>1248690.3819418186</v>
      </c>
      <c r="N18" s="48">
        <f t="shared" si="1"/>
        <v>1280607.1939445941</v>
      </c>
      <c r="O18" s="48">
        <f t="shared" si="1"/>
        <v>1364210.7848666201</v>
      </c>
      <c r="P18" s="48">
        <f t="shared" si="1"/>
        <v>1521066.081550234</v>
      </c>
      <c r="Q18" s="48">
        <f t="shared" si="1"/>
        <v>1617924.3139812376</v>
      </c>
      <c r="R18" s="48">
        <f t="shared" si="1"/>
        <v>1579696.5826657347</v>
      </c>
      <c r="S18" s="48">
        <f t="shared" si="1"/>
        <v>1672350.9183784146</v>
      </c>
      <c r="T18" s="48">
        <f t="shared" si="1"/>
        <v>1698086.556975215</v>
      </c>
      <c r="U18" s="48">
        <f t="shared" si="1"/>
        <v>1663029.9338689162</v>
      </c>
      <c r="V18" s="48">
        <f t="shared" si="1"/>
        <v>1685772.8631548996</v>
      </c>
      <c r="W18" s="48">
        <f t="shared" si="1"/>
        <v>1690241.4818393581</v>
      </c>
      <c r="X18" s="48">
        <f t="shared" si="1"/>
        <v>1705469.9967518141</v>
      </c>
      <c r="Y18" s="48">
        <f t="shared" si="1"/>
        <v>1690928.2816270315</v>
      </c>
      <c r="Z18" s="48">
        <f t="shared" si="1"/>
        <v>1693507.0956865456</v>
      </c>
      <c r="AA18" s="48">
        <f t="shared" si="1"/>
        <v>1623550.1154086522</v>
      </c>
      <c r="AB18" s="48">
        <f t="shared" si="1"/>
        <v>1581124.3109531952</v>
      </c>
      <c r="AC18" s="48">
        <f t="shared" si="1"/>
        <v>1511206.0117000702</v>
      </c>
      <c r="AD18" s="48">
        <f t="shared" si="1"/>
        <v>1428776.5575759159</v>
      </c>
      <c r="AE18" s="48">
        <f t="shared" si="1"/>
        <v>1363798.6765044548</v>
      </c>
      <c r="AF18" s="48">
        <f t="shared" si="1"/>
        <v>1331408.5649959575</v>
      </c>
      <c r="AG18" s="49">
        <f>SUM(I18:AF18)</f>
        <v>36042922.568964928</v>
      </c>
    </row>
    <row r="19" spans="1:37" ht="14">
      <c r="A19" s="66"/>
      <c r="E19" s="84">
        <v>46082</v>
      </c>
      <c r="F19" s="79">
        <f t="shared" ref="F19" si="2">+AG23</f>
        <v>39294896.650885567</v>
      </c>
      <c r="G19" s="40" t="s">
        <v>60</v>
      </c>
      <c r="H19" s="40">
        <v>21</v>
      </c>
      <c r="I19" s="73">
        <v>47448.9626169439</v>
      </c>
      <c r="J19" s="73">
        <v>46381.12622869933</v>
      </c>
      <c r="K19" s="73">
        <v>45790.526946739381</v>
      </c>
      <c r="L19" s="73">
        <v>45786.690677509963</v>
      </c>
      <c r="M19" s="73">
        <v>45375.465392972932</v>
      </c>
      <c r="N19" s="73">
        <v>46685.020560919977</v>
      </c>
      <c r="O19" s="73">
        <v>49677.66298509905</v>
      </c>
      <c r="P19" s="73">
        <v>54609.619042866965</v>
      </c>
      <c r="Q19" s="73">
        <v>58688.470805356534</v>
      </c>
      <c r="R19" s="73">
        <v>61558.935750665856</v>
      </c>
      <c r="S19" s="73">
        <v>62389.447655356402</v>
      </c>
      <c r="T19" s="73">
        <v>62003.334762063721</v>
      </c>
      <c r="U19" s="73">
        <v>60067.543952413151</v>
      </c>
      <c r="V19" s="73">
        <v>61387.675355404128</v>
      </c>
      <c r="W19" s="73">
        <v>63256.699120178906</v>
      </c>
      <c r="X19" s="73">
        <v>64424.955732930306</v>
      </c>
      <c r="Y19" s="73">
        <v>63752.96590161643</v>
      </c>
      <c r="Z19" s="73">
        <v>63742.090197647456</v>
      </c>
      <c r="AA19" s="73">
        <v>60904.760519615818</v>
      </c>
      <c r="AB19" s="73">
        <v>59100.32330203148</v>
      </c>
      <c r="AC19" s="73">
        <v>56245.038532325896</v>
      </c>
      <c r="AD19" s="73">
        <v>52985.045920809163</v>
      </c>
      <c r="AE19" s="73">
        <v>50390.876897563925</v>
      </c>
      <c r="AF19" s="73">
        <v>49152.465394624713</v>
      </c>
      <c r="AG19" s="41">
        <f>+SUM(I19:AF19)*H19</f>
        <v>27967919.789299466</v>
      </c>
      <c r="AJ19" s="74"/>
    </row>
    <row r="20" spans="1:37" ht="14">
      <c r="A20" s="66"/>
      <c r="E20" s="85">
        <v>46082</v>
      </c>
      <c r="F20" s="80"/>
      <c r="G20" s="42" t="s">
        <v>63</v>
      </c>
      <c r="H20" s="42">
        <v>4</v>
      </c>
      <c r="I20" s="73">
        <v>46418.222961023515</v>
      </c>
      <c r="J20" s="73">
        <v>45365.056056243244</v>
      </c>
      <c r="K20" s="73">
        <v>44992.234059832852</v>
      </c>
      <c r="L20" s="73">
        <v>44815.293223901688</v>
      </c>
      <c r="M20" s="73">
        <v>44434.043593462426</v>
      </c>
      <c r="N20" s="73">
        <v>45443.274067432299</v>
      </c>
      <c r="O20" s="73">
        <v>47887.926085789491</v>
      </c>
      <c r="P20" s="73">
        <v>54761.102849991366</v>
      </c>
      <c r="Q20" s="73">
        <v>60542.34061586504</v>
      </c>
      <c r="R20" s="73">
        <v>61433.365473732316</v>
      </c>
      <c r="S20" s="73">
        <v>63897.726070707417</v>
      </c>
      <c r="T20" s="73">
        <v>63909.494896117954</v>
      </c>
      <c r="U20" s="73">
        <v>61192.759226296635</v>
      </c>
      <c r="V20" s="73">
        <v>60738.775646986483</v>
      </c>
      <c r="W20" s="73">
        <v>59542.37748632938</v>
      </c>
      <c r="X20" s="73">
        <v>59841.711086758703</v>
      </c>
      <c r="Y20" s="73">
        <v>59499.179440090003</v>
      </c>
      <c r="Z20" s="73">
        <v>60379.537349484919</v>
      </c>
      <c r="AA20" s="73">
        <v>58023.595414927389</v>
      </c>
      <c r="AB20" s="73">
        <v>56849.319417632127</v>
      </c>
      <c r="AC20" s="73">
        <v>54438.820719804673</v>
      </c>
      <c r="AD20" s="73">
        <v>51163.590269523469</v>
      </c>
      <c r="AE20" s="73">
        <v>48498.364850598809</v>
      </c>
      <c r="AF20" s="73">
        <v>47094.122831002453</v>
      </c>
      <c r="AG20" s="43">
        <f>+SUM(I20:AF20)*H20</f>
        <v>5204648.9347741371</v>
      </c>
      <c r="AJ20" s="74"/>
      <c r="AK20" s="75"/>
    </row>
    <row r="21" spans="1:37" ht="14">
      <c r="A21" s="66"/>
      <c r="E21" s="85">
        <v>46082</v>
      </c>
      <c r="F21" s="80"/>
      <c r="G21" s="44" t="s">
        <v>61</v>
      </c>
      <c r="H21" s="44">
        <v>5</v>
      </c>
      <c r="I21" s="73">
        <v>43990.728143144952</v>
      </c>
      <c r="J21" s="73">
        <v>43535.398889168042</v>
      </c>
      <c r="K21" s="73">
        <v>43288.412202000407</v>
      </c>
      <c r="L21" s="73">
        <v>43088.633835662273</v>
      </c>
      <c r="M21" s="73">
        <v>43239.141780444712</v>
      </c>
      <c r="N21" s="73">
        <v>42204.153461755232</v>
      </c>
      <c r="O21" s="73">
        <v>42157.455253789536</v>
      </c>
      <c r="P21" s="73">
        <v>43868.905088375737</v>
      </c>
      <c r="Q21" s="73">
        <v>40082.897944941345</v>
      </c>
      <c r="R21" s="73">
        <v>36567.898454284448</v>
      </c>
      <c r="S21" s="73">
        <v>39159.991113408621</v>
      </c>
      <c r="T21" s="73">
        <v>42335.137428678965</v>
      </c>
      <c r="U21" s="73">
        <v>45361.586810885332</v>
      </c>
      <c r="V21" s="73">
        <v>43328.214504020762</v>
      </c>
      <c r="W21" s="73">
        <v>41504.206527872106</v>
      </c>
      <c r="X21" s="73">
        <v>42318.220337262755</v>
      </c>
      <c r="Y21" s="73">
        <v>42188.899243501095</v>
      </c>
      <c r="Z21" s="73">
        <v>42611.09753070763</v>
      </c>
      <c r="AA21" s="73">
        <v>42282.711004290366</v>
      </c>
      <c r="AB21" s="73">
        <v>42620.061527385173</v>
      </c>
      <c r="AC21" s="73">
        <v>41983.220731627458</v>
      </c>
      <c r="AD21" s="73">
        <v>41561.433176777311</v>
      </c>
      <c r="AE21" s="73">
        <v>41380.758780501979</v>
      </c>
      <c r="AF21" s="73">
        <v>40990.61698602698</v>
      </c>
      <c r="AG21" s="43">
        <f>+SUM(I21:AF21)*H21</f>
        <v>5058248.9037825661</v>
      </c>
      <c r="AJ21" s="74"/>
      <c r="AK21" s="75"/>
    </row>
    <row r="22" spans="1:37" ht="14">
      <c r="A22" s="66"/>
      <c r="E22" s="85">
        <v>46082</v>
      </c>
      <c r="F22" s="80"/>
      <c r="G22" s="45" t="s">
        <v>62</v>
      </c>
      <c r="H22" s="45">
        <v>1</v>
      </c>
      <c r="I22" s="73">
        <v>45702.534860357977</v>
      </c>
      <c r="J22" s="73">
        <v>45167.195132163892</v>
      </c>
      <c r="K22" s="73">
        <v>44909.556089794554</v>
      </c>
      <c r="L22" s="73">
        <v>44694.201434030547</v>
      </c>
      <c r="M22" s="73">
        <v>44629.094466903029</v>
      </c>
      <c r="N22" s="73">
        <v>42633.949288795156</v>
      </c>
      <c r="O22" s="73">
        <v>42433.091500502233</v>
      </c>
      <c r="P22" s="73">
        <v>46967.585828113733</v>
      </c>
      <c r="Q22" s="73">
        <v>47622.081702812764</v>
      </c>
      <c r="R22" s="73">
        <v>45092.962592152347</v>
      </c>
      <c r="S22" s="73">
        <v>47918.016654803905</v>
      </c>
      <c r="T22" s="73">
        <v>51709.934574526633</v>
      </c>
      <c r="U22" s="73">
        <v>49093.616340792505</v>
      </c>
      <c r="V22" s="73">
        <v>46463.780446904297</v>
      </c>
      <c r="W22" s="73">
        <v>42247.539241960993</v>
      </c>
      <c r="X22" s="73">
        <v>42176.43921345094</v>
      </c>
      <c r="Y22" s="73">
        <v>41773.423582082847</v>
      </c>
      <c r="Z22" s="73">
        <v>42539.199332589218</v>
      </c>
      <c r="AA22" s="73">
        <v>42401.904316072367</v>
      </c>
      <c r="AB22" s="73">
        <v>42878.310108168509</v>
      </c>
      <c r="AC22" s="73">
        <v>41916.957005802949</v>
      </c>
      <c r="AD22" s="73">
        <v>41372.364173598013</v>
      </c>
      <c r="AE22" s="73">
        <v>41078.241624808194</v>
      </c>
      <c r="AF22" s="73">
        <v>40657.04351819594</v>
      </c>
      <c r="AG22" s="46">
        <f>+SUM(I22:AF22)*H22</f>
        <v>1064079.0230293833</v>
      </c>
      <c r="AJ22" s="74"/>
      <c r="AK22" s="75"/>
    </row>
    <row r="23" spans="1:37" ht="15" thickBot="1">
      <c r="A23" s="66"/>
      <c r="E23" s="85">
        <v>46082</v>
      </c>
      <c r="F23" s="81"/>
      <c r="G23" s="47" t="s">
        <v>10</v>
      </c>
      <c r="H23" s="47">
        <f>+SUM(H19:H22)</f>
        <v>31</v>
      </c>
      <c r="I23" s="48">
        <f t="shared" ref="I23:AF23" si="3">+SUMPRODUCT(I19:I22,$H19:$H22)</f>
        <v>1447757.2823759986</v>
      </c>
      <c r="J23" s="48">
        <f t="shared" si="3"/>
        <v>1418308.0646056628</v>
      </c>
      <c r="K23" s="48">
        <f t="shared" si="3"/>
        <v>1402921.6192206552</v>
      </c>
      <c r="L23" s="48">
        <f t="shared" si="3"/>
        <v>1400919.047735658</v>
      </c>
      <c r="M23" s="48">
        <f t="shared" si="3"/>
        <v>1391445.7509954078</v>
      </c>
      <c r="N23" s="48">
        <f t="shared" si="3"/>
        <v>1415813.24464662</v>
      </c>
      <c r="O23" s="48">
        <f t="shared" si="3"/>
        <v>1488002.994799688</v>
      </c>
      <c r="P23" s="48">
        <f t="shared" si="3"/>
        <v>1632158.5225701642</v>
      </c>
      <c r="Q23" s="48">
        <f t="shared" si="3"/>
        <v>1722663.820803467</v>
      </c>
      <c r="R23" s="48">
        <f t="shared" si="3"/>
        <v>1766403.5675224867</v>
      </c>
      <c r="S23" s="48">
        <f t="shared" si="3"/>
        <v>1809487.2772671611</v>
      </c>
      <c r="T23" s="48">
        <f t="shared" si="3"/>
        <v>1821093.6313057314</v>
      </c>
      <c r="U23" s="48">
        <f t="shared" si="3"/>
        <v>1782091.0103010817</v>
      </c>
      <c r="V23" s="48">
        <f t="shared" si="3"/>
        <v>1795201.1380184407</v>
      </c>
      <c r="W23" s="48">
        <f t="shared" si="3"/>
        <v>1816328.7633503962</v>
      </c>
      <c r="X23" s="48">
        <f t="shared" si="3"/>
        <v>1846058.455638336</v>
      </c>
      <c r="Y23" s="48">
        <f t="shared" si="3"/>
        <v>1829526.9214938935</v>
      </c>
      <c r="Z23" s="48">
        <f t="shared" si="3"/>
        <v>1835696.7305346637</v>
      </c>
      <c r="AA23" s="48">
        <f t="shared" si="3"/>
        <v>1764909.8119091659</v>
      </c>
      <c r="AB23" s="48">
        <f t="shared" si="3"/>
        <v>1724482.6847582841</v>
      </c>
      <c r="AC23" s="48">
        <f t="shared" si="3"/>
        <v>1650734.1527220029</v>
      </c>
      <c r="AD23" s="48">
        <f t="shared" si="3"/>
        <v>1566519.8554725712</v>
      </c>
      <c r="AE23" s="48">
        <f t="shared" si="3"/>
        <v>1500183.9097785556</v>
      </c>
      <c r="AF23" s="48">
        <f t="shared" si="3"/>
        <v>1466188.3930594595</v>
      </c>
      <c r="AG23" s="49">
        <f>SUM(I23:AF23)</f>
        <v>39294896.650885567</v>
      </c>
    </row>
    <row r="24" spans="1:37" ht="14">
      <c r="A24" s="66"/>
      <c r="E24" s="84">
        <v>46113</v>
      </c>
      <c r="F24" s="79">
        <f t="shared" ref="F24" si="4">+AG28</f>
        <v>37825628.345146559</v>
      </c>
      <c r="G24" s="40" t="s">
        <v>60</v>
      </c>
      <c r="H24" s="40">
        <v>20</v>
      </c>
      <c r="I24" s="73">
        <v>48589.290227911442</v>
      </c>
      <c r="J24" s="73">
        <v>47504.826122774626</v>
      </c>
      <c r="K24" s="73">
        <v>46896.955055029743</v>
      </c>
      <c r="L24" s="73">
        <v>46881.77028255722</v>
      </c>
      <c r="M24" s="73">
        <v>46460.388889115973</v>
      </c>
      <c r="N24" s="73">
        <v>47814.913441064869</v>
      </c>
      <c r="O24" s="73">
        <v>50946.603983667999</v>
      </c>
      <c r="P24" s="73">
        <v>56036.337058381512</v>
      </c>
      <c r="Q24" s="73">
        <v>60502.753270316149</v>
      </c>
      <c r="R24" s="73">
        <v>57655.591131029665</v>
      </c>
      <c r="S24" s="73">
        <v>59729.777209405183</v>
      </c>
      <c r="T24" s="73">
        <v>59590.433780249419</v>
      </c>
      <c r="U24" s="73">
        <v>60416.597821358802</v>
      </c>
      <c r="V24" s="73">
        <v>63169.580328677221</v>
      </c>
      <c r="W24" s="73">
        <v>65051.573213146083</v>
      </c>
      <c r="X24" s="73">
        <v>66186.195294835517</v>
      </c>
      <c r="Y24" s="73">
        <v>65493.16298410399</v>
      </c>
      <c r="Z24" s="73">
        <v>65398.698900110074</v>
      </c>
      <c r="AA24" s="73">
        <v>62450.268631745152</v>
      </c>
      <c r="AB24" s="73">
        <v>60585.264635275445</v>
      </c>
      <c r="AC24" s="73">
        <v>57652.009105580779</v>
      </c>
      <c r="AD24" s="73">
        <v>54301.761018688776</v>
      </c>
      <c r="AE24" s="73">
        <v>51633.69827072684</v>
      </c>
      <c r="AF24" s="73">
        <v>50367.184365128727</v>
      </c>
      <c r="AG24" s="41">
        <f>+SUM(I24:AF24)*H24</f>
        <v>27026312.700417623</v>
      </c>
      <c r="AJ24" s="74"/>
    </row>
    <row r="25" spans="1:37" ht="14">
      <c r="A25" s="66"/>
      <c r="E25" s="85">
        <v>46113</v>
      </c>
      <c r="F25" s="80"/>
      <c r="G25" s="42" t="s">
        <v>63</v>
      </c>
      <c r="H25" s="42">
        <v>4</v>
      </c>
      <c r="I25" s="73">
        <v>47490.137814210815</v>
      </c>
      <c r="J25" s="73">
        <v>46416.193842103348</v>
      </c>
      <c r="K25" s="73">
        <v>46022.106635576296</v>
      </c>
      <c r="L25" s="73">
        <v>45821.527833155429</v>
      </c>
      <c r="M25" s="73">
        <v>45424.939630306384</v>
      </c>
      <c r="N25" s="73">
        <v>46440.258617107094</v>
      </c>
      <c r="O25" s="73">
        <v>49125.483426849707</v>
      </c>
      <c r="P25" s="73">
        <v>56191.442227809763</v>
      </c>
      <c r="Q25" s="73">
        <v>54130.089565137801</v>
      </c>
      <c r="R25" s="73">
        <v>49931.013080012075</v>
      </c>
      <c r="S25" s="73">
        <v>50903.098797734739</v>
      </c>
      <c r="T25" s="73">
        <v>49558.573691449776</v>
      </c>
      <c r="U25" s="73">
        <v>48033.240650200896</v>
      </c>
      <c r="V25" s="73">
        <v>48120.144486744452</v>
      </c>
      <c r="W25" s="73">
        <v>56452.588954096311</v>
      </c>
      <c r="X25" s="73">
        <v>61153.674552228127</v>
      </c>
      <c r="Y25" s="73">
        <v>60804.787676163804</v>
      </c>
      <c r="Z25" s="73">
        <v>61647.629918055332</v>
      </c>
      <c r="AA25" s="73">
        <v>59258.595297312917</v>
      </c>
      <c r="AB25" s="73">
        <v>58040.206685495927</v>
      </c>
      <c r="AC25" s="73">
        <v>55552.58189280027</v>
      </c>
      <c r="AD25" s="73">
        <v>52174.457494970338</v>
      </c>
      <c r="AE25" s="73">
        <v>49408.538547542252</v>
      </c>
      <c r="AF25" s="73">
        <v>47982.111602969584</v>
      </c>
      <c r="AG25" s="43">
        <f>+SUM(I25:AF25)*H25</f>
        <v>4984333.6916801333</v>
      </c>
      <c r="AJ25" s="74"/>
      <c r="AK25" s="75"/>
    </row>
    <row r="26" spans="1:37" ht="14">
      <c r="A26" s="66"/>
      <c r="E26" s="85">
        <v>46113</v>
      </c>
      <c r="F26" s="80"/>
      <c r="G26" s="44" t="s">
        <v>61</v>
      </c>
      <c r="H26" s="44">
        <v>4</v>
      </c>
      <c r="I26" s="73">
        <v>44299.376468458067</v>
      </c>
      <c r="J26" s="73">
        <v>43853.842090507671</v>
      </c>
      <c r="K26" s="73">
        <v>43589.512126988142</v>
      </c>
      <c r="L26" s="73">
        <v>43382.347756515228</v>
      </c>
      <c r="M26" s="73">
        <v>43678.468581807305</v>
      </c>
      <c r="N26" s="73">
        <v>43248.31635405805</v>
      </c>
      <c r="O26" s="73">
        <v>41542.633118019214</v>
      </c>
      <c r="P26" s="73">
        <v>35674.918586528467</v>
      </c>
      <c r="Q26" s="73">
        <v>30920.870404557812</v>
      </c>
      <c r="R26" s="73">
        <v>25320.686060564214</v>
      </c>
      <c r="S26" s="73">
        <v>25803.986331596385</v>
      </c>
      <c r="T26" s="73">
        <v>28227.096224010791</v>
      </c>
      <c r="U26" s="73">
        <v>32402.77823478957</v>
      </c>
      <c r="V26" s="73">
        <v>34175.221699826769</v>
      </c>
      <c r="W26" s="73">
        <v>43222.266763075953</v>
      </c>
      <c r="X26" s="73">
        <v>43991.873586578047</v>
      </c>
      <c r="Y26" s="73">
        <v>44028.003204395289</v>
      </c>
      <c r="Z26" s="73">
        <v>44212.120873299173</v>
      </c>
      <c r="AA26" s="73">
        <v>43758.651257320489</v>
      </c>
      <c r="AB26" s="73">
        <v>43959.158832895017</v>
      </c>
      <c r="AC26" s="73">
        <v>43441.56109176344</v>
      </c>
      <c r="AD26" s="73">
        <v>43032.499638591784</v>
      </c>
      <c r="AE26" s="73">
        <v>42881.837724850164</v>
      </c>
      <c r="AF26" s="73">
        <v>42482.417694387055</v>
      </c>
      <c r="AG26" s="43">
        <f>+SUM(I26:AF26)*H26</f>
        <v>3804521.7788215368</v>
      </c>
      <c r="AJ26" s="74"/>
      <c r="AK26" s="75"/>
    </row>
    <row r="27" spans="1:37" ht="14">
      <c r="A27" s="66"/>
      <c r="E27" s="85">
        <v>46113</v>
      </c>
      <c r="F27" s="80"/>
      <c r="G27" s="45" t="s">
        <v>62</v>
      </c>
      <c r="H27" s="45">
        <v>2</v>
      </c>
      <c r="I27" s="73">
        <v>46098.861692795246</v>
      </c>
      <c r="J27" s="73">
        <v>45547.091964601161</v>
      </c>
      <c r="K27" s="73">
        <v>45284.452922231831</v>
      </c>
      <c r="L27" s="73">
        <v>45060.048266467813</v>
      </c>
      <c r="M27" s="73">
        <v>45004.301299340288</v>
      </c>
      <c r="N27" s="73">
        <v>42984.396121232436</v>
      </c>
      <c r="O27" s="73">
        <v>43063.418332939509</v>
      </c>
      <c r="P27" s="73">
        <v>41392.97122939906</v>
      </c>
      <c r="Q27" s="73">
        <v>38444.45416242924</v>
      </c>
      <c r="R27" s="73">
        <v>33837.530198432112</v>
      </c>
      <c r="S27" s="73">
        <v>34553.721872991679</v>
      </c>
      <c r="T27" s="73">
        <v>37645.808991980484</v>
      </c>
      <c r="U27" s="73">
        <v>41127.369197805223</v>
      </c>
      <c r="V27" s="73">
        <v>43013.190419885446</v>
      </c>
      <c r="W27" s="73">
        <v>42035.03607439826</v>
      </c>
      <c r="X27" s="73">
        <v>42579.696045888209</v>
      </c>
      <c r="Y27" s="73">
        <v>42174.960414520123</v>
      </c>
      <c r="Z27" s="73">
        <v>42934.756165026483</v>
      </c>
      <c r="AA27" s="73">
        <v>42797.731148509643</v>
      </c>
      <c r="AB27" s="73">
        <v>43264.59694060577</v>
      </c>
      <c r="AC27" s="73">
        <v>42279.933838240206</v>
      </c>
      <c r="AD27" s="73">
        <v>41715.161006035298</v>
      </c>
      <c r="AE27" s="73">
        <v>41413.558457245475</v>
      </c>
      <c r="AF27" s="73">
        <v>40977.040350633222</v>
      </c>
      <c r="AG27" s="46">
        <f>+SUM(I27:AF27)*H27</f>
        <v>2010460.1742272684</v>
      </c>
      <c r="AJ27" s="74"/>
      <c r="AK27" s="75"/>
    </row>
    <row r="28" spans="1:37" ht="15" thickBot="1">
      <c r="A28" s="66"/>
      <c r="E28" s="85">
        <v>46113</v>
      </c>
      <c r="F28" s="81"/>
      <c r="G28" s="47" t="s">
        <v>10</v>
      </c>
      <c r="H28" s="47">
        <f>+SUM(H24:H27)</f>
        <v>30</v>
      </c>
      <c r="I28" s="48">
        <f t="shared" ref="I28:AF28" si="5">+SUMPRODUCT(I24:I27,$H24:$H27)</f>
        <v>1431141.5850744951</v>
      </c>
      <c r="J28" s="48">
        <f t="shared" si="5"/>
        <v>1402270.850115139</v>
      </c>
      <c r="K28" s="48">
        <f t="shared" si="5"/>
        <v>1386954.4819953165</v>
      </c>
      <c r="L28" s="48">
        <f t="shared" si="5"/>
        <v>1384571.0045427629</v>
      </c>
      <c r="M28" s="48">
        <f t="shared" si="5"/>
        <v>1375630.0132294549</v>
      </c>
      <c r="N28" s="48">
        <f t="shared" si="5"/>
        <v>1401021.3609484229</v>
      </c>
      <c r="O28" s="48">
        <f t="shared" si="5"/>
        <v>1467731.3825187148</v>
      </c>
      <c r="P28" s="48">
        <f t="shared" si="5"/>
        <v>1570978.1268837813</v>
      </c>
      <c r="Q28" s="48">
        <f t="shared" si="5"/>
        <v>1627147.8136099637</v>
      </c>
      <c r="R28" s="48">
        <f t="shared" si="5"/>
        <v>1521793.6795797625</v>
      </c>
      <c r="S28" s="48">
        <f t="shared" si="5"/>
        <v>1570531.3284514113</v>
      </c>
      <c r="T28" s="48">
        <f t="shared" si="5"/>
        <v>1578242.9732507917</v>
      </c>
      <c r="U28" s="48">
        <f t="shared" si="5"/>
        <v>1612330.7703627481</v>
      </c>
      <c r="V28" s="48">
        <f t="shared" si="5"/>
        <v>1678599.4521596001</v>
      </c>
      <c r="W28" s="48">
        <f t="shared" si="5"/>
        <v>1783800.9592804071</v>
      </c>
      <c r="X28" s="48">
        <f t="shared" si="5"/>
        <v>1829465.4905437115</v>
      </c>
      <c r="Y28" s="48">
        <f t="shared" si="5"/>
        <v>1813544.3440333565</v>
      </c>
      <c r="Z28" s="48">
        <f t="shared" si="5"/>
        <v>1817282.4934976725</v>
      </c>
      <c r="AA28" s="48">
        <f t="shared" si="5"/>
        <v>1746669.8211504561</v>
      </c>
      <c r="AB28" s="48">
        <f t="shared" si="5"/>
        <v>1706231.948660284</v>
      </c>
      <c r="AC28" s="48">
        <f t="shared" si="5"/>
        <v>1633576.6217263509</v>
      </c>
      <c r="AD28" s="48">
        <f t="shared" si="5"/>
        <v>1550293.3709200947</v>
      </c>
      <c r="AE28" s="48">
        <f t="shared" si="5"/>
        <v>1484662.5874185974</v>
      </c>
      <c r="AF28" s="48">
        <f t="shared" si="5"/>
        <v>1451155.8851932674</v>
      </c>
      <c r="AG28" s="49">
        <f>SUM(I28:AF28)</f>
        <v>37825628.345146559</v>
      </c>
    </row>
    <row r="29" spans="1:37" ht="14">
      <c r="A29" s="66"/>
      <c r="E29" s="84">
        <v>46143</v>
      </c>
      <c r="F29" s="79">
        <f t="shared" ref="F29" si="6">+AG33</f>
        <v>39202113.509121925</v>
      </c>
      <c r="G29" s="40" t="s">
        <v>60</v>
      </c>
      <c r="H29" s="40">
        <v>19</v>
      </c>
      <c r="I29" s="73">
        <v>49318.952809881557</v>
      </c>
      <c r="J29" s="73">
        <v>48237.890350973459</v>
      </c>
      <c r="K29" s="73">
        <v>47630.447324789158</v>
      </c>
      <c r="L29" s="73">
        <v>47612.318555336227</v>
      </c>
      <c r="M29" s="73">
        <v>47182.857432975805</v>
      </c>
      <c r="N29" s="73">
        <v>48464.221957447393</v>
      </c>
      <c r="O29" s="73">
        <v>51466.90198674288</v>
      </c>
      <c r="P29" s="73">
        <v>56484.070603068954</v>
      </c>
      <c r="Q29" s="73">
        <v>59356.372227456675</v>
      </c>
      <c r="R29" s="73">
        <v>57007.965826270156</v>
      </c>
      <c r="S29" s="73">
        <v>61419.181724525275</v>
      </c>
      <c r="T29" s="73">
        <v>63208.112502337812</v>
      </c>
      <c r="U29" s="73">
        <v>62115.235096945245</v>
      </c>
      <c r="V29" s="73">
        <v>63459.309927208364</v>
      </c>
      <c r="W29" s="73">
        <v>65344.013841962798</v>
      </c>
      <c r="X29" s="73">
        <v>66494.689921334662</v>
      </c>
      <c r="Y29" s="73">
        <v>65802.362027698604</v>
      </c>
      <c r="Z29" s="73">
        <v>65747.97384505278</v>
      </c>
      <c r="AA29" s="73">
        <v>62862.149157386921</v>
      </c>
      <c r="AB29" s="73">
        <v>61069.962366542721</v>
      </c>
      <c r="AC29" s="73">
        <v>58177.098714321997</v>
      </c>
      <c r="AD29" s="73">
        <v>54897.242117344336</v>
      </c>
      <c r="AE29" s="73">
        <v>52290.966824137628</v>
      </c>
      <c r="AF29" s="73">
        <v>51039.143289283442</v>
      </c>
      <c r="AG29" s="41">
        <f>+SUM(I29:AF29)*H29</f>
        <v>25967099.368189473</v>
      </c>
      <c r="AJ29" s="74"/>
    </row>
    <row r="30" spans="1:37" ht="14">
      <c r="A30" s="66"/>
      <c r="E30" s="85">
        <v>46143</v>
      </c>
      <c r="F30" s="80"/>
      <c r="G30" s="42" t="s">
        <v>63</v>
      </c>
      <c r="H30" s="42">
        <v>5</v>
      </c>
      <c r="I30" s="73">
        <v>47959.355339509188</v>
      </c>
      <c r="J30" s="73">
        <v>46900.994724145174</v>
      </c>
      <c r="K30" s="73">
        <v>46531.510149552923</v>
      </c>
      <c r="L30" s="73">
        <v>46357.071359038535</v>
      </c>
      <c r="M30" s="73">
        <v>45957.562675046589</v>
      </c>
      <c r="N30" s="73">
        <v>46924.133071470838</v>
      </c>
      <c r="O30" s="73">
        <v>49552.766493867253</v>
      </c>
      <c r="P30" s="73">
        <v>55671.09145888382</v>
      </c>
      <c r="Q30" s="73">
        <v>50084.236119569279</v>
      </c>
      <c r="R30" s="73">
        <v>49133.307775252528</v>
      </c>
      <c r="S30" s="73">
        <v>52529.623312854827</v>
      </c>
      <c r="T30" s="73">
        <v>53243.647431250349</v>
      </c>
      <c r="U30" s="73">
        <v>52040.850996154717</v>
      </c>
      <c r="V30" s="73">
        <v>54783.143719526372</v>
      </c>
      <c r="W30" s="73">
        <v>57518.408445678375</v>
      </c>
      <c r="X30" s="73">
        <v>61438.359895266847</v>
      </c>
      <c r="Y30" s="73">
        <v>61079.750317542021</v>
      </c>
      <c r="Z30" s="73">
        <v>61942.75892276891</v>
      </c>
      <c r="AA30" s="73">
        <v>59584.62811189871</v>
      </c>
      <c r="AB30" s="73">
        <v>58443.666991616614</v>
      </c>
      <c r="AC30" s="73">
        <v>56007.330815828769</v>
      </c>
      <c r="AD30" s="73">
        <v>52701.852220308429</v>
      </c>
      <c r="AE30" s="73">
        <v>50008.153203027934</v>
      </c>
      <c r="AF30" s="73">
        <v>48608.336125011258</v>
      </c>
      <c r="AG30" s="43">
        <f>+SUM(I30:AF30)*H30</f>
        <v>6325012.6983753517</v>
      </c>
      <c r="AJ30" s="74"/>
      <c r="AK30" s="75"/>
    </row>
    <row r="31" spans="1:37" ht="14">
      <c r="A31" s="66"/>
      <c r="E31" s="85">
        <v>46143</v>
      </c>
      <c r="F31" s="80"/>
      <c r="G31" s="44" t="s">
        <v>61</v>
      </c>
      <c r="H31" s="44">
        <v>5</v>
      </c>
      <c r="I31" s="73">
        <v>44773.394223937139</v>
      </c>
      <c r="J31" s="73">
        <v>44351.988340034128</v>
      </c>
      <c r="K31" s="73">
        <v>44082.138932651025</v>
      </c>
      <c r="L31" s="73">
        <v>43893.736704307368</v>
      </c>
      <c r="M31" s="73">
        <v>44179.893875738293</v>
      </c>
      <c r="N31" s="73">
        <v>43800.484326184422</v>
      </c>
      <c r="O31" s="73">
        <v>41676.618084260437</v>
      </c>
      <c r="P31" s="73">
        <v>35367.537731833188</v>
      </c>
      <c r="Q31" s="73">
        <v>26728.516958989272</v>
      </c>
      <c r="R31" s="73">
        <v>24362.830755804658</v>
      </c>
      <c r="S31" s="73">
        <v>27259.230846716469</v>
      </c>
      <c r="T31" s="73">
        <v>31759.349963811379</v>
      </c>
      <c r="U31" s="73">
        <v>36285.798580743394</v>
      </c>
      <c r="V31" s="73">
        <v>40731.190932608704</v>
      </c>
      <c r="W31" s="73">
        <v>43590.548165574568</v>
      </c>
      <c r="X31" s="73">
        <v>44342.089321271196</v>
      </c>
      <c r="Y31" s="73">
        <v>44380.166760221073</v>
      </c>
      <c r="Z31" s="73">
        <v>44598.865710006023</v>
      </c>
      <c r="AA31" s="73">
        <v>44121.657415019981</v>
      </c>
      <c r="AB31" s="73">
        <v>44376.25023485806</v>
      </c>
      <c r="AC31" s="73">
        <v>43914.115800239975</v>
      </c>
      <c r="AD31" s="73">
        <v>43570.260849505918</v>
      </c>
      <c r="AE31" s="73">
        <v>43443.463690266908</v>
      </c>
      <c r="AF31" s="73">
        <v>43079.658375902087</v>
      </c>
      <c r="AG31" s="43">
        <f>+SUM(I31:AF31)*H31</f>
        <v>4843348.9329024274</v>
      </c>
      <c r="AJ31" s="74"/>
      <c r="AK31" s="75"/>
    </row>
    <row r="32" spans="1:37" ht="14">
      <c r="A32" s="66"/>
      <c r="E32" s="85">
        <v>46143</v>
      </c>
      <c r="F32" s="80"/>
      <c r="G32" s="45" t="s">
        <v>62</v>
      </c>
      <c r="H32" s="45">
        <v>2</v>
      </c>
      <c r="I32" s="73">
        <v>47377.551091683716</v>
      </c>
      <c r="J32" s="73">
        <v>46830.977049834568</v>
      </c>
      <c r="K32" s="73">
        <v>46553.067155118624</v>
      </c>
      <c r="L32" s="73">
        <v>46071.898040368156</v>
      </c>
      <c r="M32" s="73">
        <v>46389.36236011923</v>
      </c>
      <c r="N32" s="73">
        <v>44287.005337685951</v>
      </c>
      <c r="O32" s="73">
        <v>44518.461258715201</v>
      </c>
      <c r="P32" s="73">
        <v>41096.410374703773</v>
      </c>
      <c r="Q32" s="73">
        <v>34263.770716860701</v>
      </c>
      <c r="R32" s="73">
        <v>32886.374893672553</v>
      </c>
      <c r="S32" s="73">
        <v>36015.556388111756</v>
      </c>
      <c r="T32" s="73">
        <v>41186.152731781076</v>
      </c>
      <c r="U32" s="73">
        <v>45019.719543759064</v>
      </c>
      <c r="V32" s="73">
        <v>47083.138484609175</v>
      </c>
      <c r="W32" s="73">
        <v>43078.916495861704</v>
      </c>
      <c r="X32" s="73">
        <v>43582.463271309971</v>
      </c>
      <c r="Y32" s="73">
        <v>43135.587201233866</v>
      </c>
      <c r="Z32" s="73">
        <v>44019.375400861391</v>
      </c>
      <c r="AA32" s="73">
        <v>43887.26831505404</v>
      </c>
      <c r="AB32" s="73">
        <v>44495.941881288658</v>
      </c>
      <c r="AC32" s="73">
        <v>43531.130551856244</v>
      </c>
      <c r="AD32" s="73">
        <v>42987.140336575882</v>
      </c>
      <c r="AE32" s="73">
        <v>42709.550813838563</v>
      </c>
      <c r="AF32" s="73">
        <v>42319.435132432256</v>
      </c>
      <c r="AG32" s="46">
        <f>+SUM(I32:AF32)*H32</f>
        <v>2066652.5096546724</v>
      </c>
      <c r="AJ32" s="74"/>
      <c r="AK32" s="75"/>
    </row>
    <row r="33" spans="1:37" ht="15" thickBot="1">
      <c r="A33" s="66"/>
      <c r="E33" s="85">
        <v>46143</v>
      </c>
      <c r="F33" s="81"/>
      <c r="G33" s="47" t="s">
        <v>10</v>
      </c>
      <c r="H33" s="47">
        <f>+SUM(H29:H32)</f>
        <v>31</v>
      </c>
      <c r="I33" s="48">
        <f t="shared" ref="I33:AF33" si="7">+SUMPRODUCT(I29:I32,$H29:$H32)</f>
        <v>1495478.9533883485</v>
      </c>
      <c r="J33" s="48">
        <f t="shared" si="7"/>
        <v>1466446.7860890613</v>
      </c>
      <c r="K33" s="48">
        <f t="shared" si="7"/>
        <v>1451152.8788922508</v>
      </c>
      <c r="L33" s="48">
        <f t="shared" si="7"/>
        <v>1448031.8889488541</v>
      </c>
      <c r="M33" s="48">
        <f t="shared" si="7"/>
        <v>1439940.2987007031</v>
      </c>
      <c r="N33" s="48">
        <f t="shared" si="7"/>
        <v>1463017.3148551488</v>
      </c>
      <c r="O33" s="48">
        <f t="shared" si="7"/>
        <v>1523054.9831561837</v>
      </c>
      <c r="P33" s="48">
        <f t="shared" si="7"/>
        <v>1610583.3081613029</v>
      </c>
      <c r="Q33" s="48">
        <f t="shared" si="7"/>
        <v>1580362.3791481908</v>
      </c>
      <c r="R33" s="48">
        <f t="shared" si="7"/>
        <v>1516404.7931417641</v>
      </c>
      <c r="S33" s="48">
        <f t="shared" si="7"/>
        <v>1637939.8363400602</v>
      </c>
      <c r="T33" s="48">
        <f t="shared" si="7"/>
        <v>1708341.4299832892</v>
      </c>
      <c r="U33" s="48">
        <f t="shared" si="7"/>
        <v>1711862.1538139684</v>
      </c>
      <c r="V33" s="48">
        <f t="shared" si="7"/>
        <v>1777464.8388468528</v>
      </c>
      <c r="W33" s="48">
        <f t="shared" si="7"/>
        <v>1833238.8790452813</v>
      </c>
      <c r="X33" s="48">
        <f t="shared" si="7"/>
        <v>1879466.2811306687</v>
      </c>
      <c r="Y33" s="48">
        <f t="shared" si="7"/>
        <v>1863815.6383175566</v>
      </c>
      <c r="Z33" s="48">
        <f t="shared" si="7"/>
        <v>1869958.3770216003</v>
      </c>
      <c r="AA33" s="48">
        <f t="shared" si="7"/>
        <v>1800686.7982550531</v>
      </c>
      <c r="AB33" s="48">
        <f t="shared" si="7"/>
        <v>1763420.7548592624</v>
      </c>
      <c r="AC33" s="48">
        <f t="shared" si="7"/>
        <v>1692034.3697561743</v>
      </c>
      <c r="AD33" s="48">
        <f t="shared" si="7"/>
        <v>1610382.4462517658</v>
      </c>
      <c r="AE33" s="48">
        <f t="shared" si="7"/>
        <v>1546205.5557527663</v>
      </c>
      <c r="AF33" s="48">
        <f t="shared" si="7"/>
        <v>1512822.5652658169</v>
      </c>
      <c r="AG33" s="49">
        <f>SUM(I33:AF33)</f>
        <v>39202113.509121925</v>
      </c>
    </row>
    <row r="34" spans="1:37" ht="14">
      <c r="A34" s="66"/>
      <c r="E34" s="84">
        <v>46174</v>
      </c>
      <c r="F34" s="79">
        <f t="shared" ref="F34" si="8">+AG38</f>
        <v>37941685.596027456</v>
      </c>
      <c r="G34" s="40" t="s">
        <v>60</v>
      </c>
      <c r="H34" s="40">
        <v>19</v>
      </c>
      <c r="I34" s="73">
        <v>50264.024072120192</v>
      </c>
      <c r="J34" s="73">
        <v>49179.971874507522</v>
      </c>
      <c r="K34" s="73">
        <v>48570.454291359783</v>
      </c>
      <c r="L34" s="73">
        <v>48557.679954477557</v>
      </c>
      <c r="M34" s="73">
        <v>48113.627231178914</v>
      </c>
      <c r="N34" s="73">
        <v>49414.018785688437</v>
      </c>
      <c r="O34" s="73">
        <v>52445.651470640929</v>
      </c>
      <c r="P34" s="73">
        <v>57818.586940384324</v>
      </c>
      <c r="Q34" s="73">
        <v>58883.935118262671</v>
      </c>
      <c r="R34" s="73">
        <v>53334.923309840517</v>
      </c>
      <c r="S34" s="73">
        <v>55126.27401601884</v>
      </c>
      <c r="T34" s="73">
        <v>58430.825818041485</v>
      </c>
      <c r="U34" s="73">
        <v>58023.833110735963</v>
      </c>
      <c r="V34" s="73">
        <v>64523.564458401619</v>
      </c>
      <c r="W34" s="73">
        <v>66406.673430251336</v>
      </c>
      <c r="X34" s="73">
        <v>67540.342471351527</v>
      </c>
      <c r="Y34" s="73">
        <v>66846.393881558281</v>
      </c>
      <c r="Z34" s="73">
        <v>66770.998769494254</v>
      </c>
      <c r="AA34" s="73">
        <v>63868.004586725714</v>
      </c>
      <c r="AB34" s="73">
        <v>62055.452982605413</v>
      </c>
      <c r="AC34" s="73">
        <v>59157.820092742892</v>
      </c>
      <c r="AD34" s="73">
        <v>55863.4348561722</v>
      </c>
      <c r="AE34" s="73">
        <v>53248.606543289723</v>
      </c>
      <c r="AF34" s="73">
        <v>51997.054139645508</v>
      </c>
      <c r="AG34" s="41">
        <f>+SUM(I34:AF34)*H34</f>
        <v>25962400.891904414</v>
      </c>
      <c r="AJ34" s="74"/>
    </row>
    <row r="35" spans="1:37" ht="14">
      <c r="A35" s="66"/>
      <c r="E35" s="85">
        <v>46174</v>
      </c>
      <c r="F35" s="80"/>
      <c r="G35" s="42" t="s">
        <v>63</v>
      </c>
      <c r="H35" s="42">
        <v>4</v>
      </c>
      <c r="I35" s="73">
        <v>49121.84742957558</v>
      </c>
      <c r="J35" s="73">
        <v>48059.618764211111</v>
      </c>
      <c r="K35" s="73">
        <v>47683.877910280782</v>
      </c>
      <c r="L35" s="73">
        <v>47496.227919731587</v>
      </c>
      <c r="M35" s="73">
        <v>47082.006848646379</v>
      </c>
      <c r="N35" s="73">
        <v>48055.537590691813</v>
      </c>
      <c r="O35" s="73">
        <v>51911.308871622627</v>
      </c>
      <c r="P35" s="73">
        <v>55136.237486786427</v>
      </c>
      <c r="Q35" s="73">
        <v>50858.849010375234</v>
      </c>
      <c r="R35" s="73">
        <v>45636.13525882292</v>
      </c>
      <c r="S35" s="73">
        <v>46326.035604348406</v>
      </c>
      <c r="T35" s="73">
        <v>48427.5757292419</v>
      </c>
      <c r="U35" s="73">
        <v>45886.365939578063</v>
      </c>
      <c r="V35" s="73">
        <v>52071.620700573287</v>
      </c>
      <c r="W35" s="73">
        <v>59212.138170398233</v>
      </c>
      <c r="X35" s="73">
        <v>62655.673028480283</v>
      </c>
      <c r="Y35" s="73">
        <v>62303.850124342498</v>
      </c>
      <c r="Z35" s="73">
        <v>63154.297860949511</v>
      </c>
      <c r="AA35" s="73">
        <v>60779.590463987581</v>
      </c>
      <c r="AB35" s="73">
        <v>59625.212319017788</v>
      </c>
      <c r="AC35" s="73">
        <v>57173.959676942191</v>
      </c>
      <c r="AD35" s="73">
        <v>53840.993673658064</v>
      </c>
      <c r="AE35" s="73">
        <v>51115.899615067348</v>
      </c>
      <c r="AF35" s="73">
        <v>49709.984439693537</v>
      </c>
      <c r="AG35" s="43">
        <f>+SUM(I35:AF35)*H35</f>
        <v>5053299.3777480917</v>
      </c>
      <c r="AJ35" s="74"/>
      <c r="AK35" s="75"/>
    </row>
    <row r="36" spans="1:37" ht="14">
      <c r="A36" s="66"/>
      <c r="E36" s="85">
        <v>46174</v>
      </c>
      <c r="F36" s="80"/>
      <c r="G36" s="44" t="s">
        <v>61</v>
      </c>
      <c r="H36" s="44">
        <v>4</v>
      </c>
      <c r="I36" s="73">
        <v>45824.627168039122</v>
      </c>
      <c r="J36" s="73">
        <v>45390.564196199019</v>
      </c>
      <c r="K36" s="73">
        <v>45115.738272049624</v>
      </c>
      <c r="L36" s="73">
        <v>44920.700490786265</v>
      </c>
      <c r="M36" s="73">
        <v>45216.788618469014</v>
      </c>
      <c r="N36" s="73">
        <v>45211.388320486752</v>
      </c>
      <c r="O36" s="73">
        <v>40461.227411881024</v>
      </c>
      <c r="P36" s="73">
        <v>34667.633845505145</v>
      </c>
      <c r="Q36" s="73">
        <v>27710.36984979525</v>
      </c>
      <c r="R36" s="73">
        <v>21090.58823937508</v>
      </c>
      <c r="S36" s="73">
        <v>21295.353138210048</v>
      </c>
      <c r="T36" s="73">
        <v>27157.188261802898</v>
      </c>
      <c r="U36" s="73">
        <v>30307.13352416674</v>
      </c>
      <c r="V36" s="73">
        <v>38171.817913655614</v>
      </c>
      <c r="W36" s="73">
        <v>44603.3393660414</v>
      </c>
      <c r="X36" s="73">
        <v>45369.834941814348</v>
      </c>
      <c r="Y36" s="73">
        <v>45407.62094912061</v>
      </c>
      <c r="Z36" s="73">
        <v>45625.331650604232</v>
      </c>
      <c r="AA36" s="73">
        <v>45144.352411431428</v>
      </c>
      <c r="AB36" s="73">
        <v>45399.87988960441</v>
      </c>
      <c r="AC36" s="73">
        <v>44926.470135132789</v>
      </c>
      <c r="AD36" s="73">
        <v>44574.345963538406</v>
      </c>
      <c r="AE36" s="73">
        <v>44446.260344546572</v>
      </c>
      <c r="AF36" s="73">
        <v>44071.805651329458</v>
      </c>
      <c r="AG36" s="43">
        <f>+SUM(I36:AF36)*H36</f>
        <v>3848441.4422143404</v>
      </c>
      <c r="AJ36" s="74"/>
      <c r="AK36" s="75"/>
    </row>
    <row r="37" spans="1:37" ht="14">
      <c r="A37" s="66"/>
      <c r="E37" s="85">
        <v>46174</v>
      </c>
      <c r="F37" s="80"/>
      <c r="G37" s="45" t="s">
        <v>62</v>
      </c>
      <c r="H37" s="45">
        <v>3</v>
      </c>
      <c r="I37" s="73">
        <v>48369.69422079283</v>
      </c>
      <c r="J37" s="73">
        <v>47806.086151492374</v>
      </c>
      <c r="K37" s="73">
        <v>46444.730556074261</v>
      </c>
      <c r="L37" s="73">
        <v>45729.658040368151</v>
      </c>
      <c r="M37" s="73">
        <v>46046.232360119233</v>
      </c>
      <c r="N37" s="73">
        <v>45681.43978633744</v>
      </c>
      <c r="O37" s="73">
        <v>43302.380586335777</v>
      </c>
      <c r="P37" s="73">
        <v>40382.966488375721</v>
      </c>
      <c r="Q37" s="73">
        <v>35230.143607666665</v>
      </c>
      <c r="R37" s="73">
        <v>29605.442377242973</v>
      </c>
      <c r="S37" s="73">
        <v>30043.008679605337</v>
      </c>
      <c r="T37" s="73">
        <v>36573.171029772595</v>
      </c>
      <c r="U37" s="73">
        <v>39028.754487182385</v>
      </c>
      <c r="V37" s="73">
        <v>47007.346633714275</v>
      </c>
      <c r="W37" s="73">
        <v>45051.662720731634</v>
      </c>
      <c r="X37" s="73">
        <v>44607.657883644009</v>
      </c>
      <c r="Y37" s="73">
        <v>44160.959127641923</v>
      </c>
      <c r="Z37" s="73">
        <v>45034.000749795872</v>
      </c>
      <c r="AA37" s="73">
        <v>44901.758852390514</v>
      </c>
      <c r="AB37" s="73">
        <v>45495.891727540526</v>
      </c>
      <c r="AC37" s="73">
        <v>44506.343979451136</v>
      </c>
      <c r="AD37" s="73">
        <v>43939.3392318935</v>
      </c>
      <c r="AE37" s="73">
        <v>43653.04206666071</v>
      </c>
      <c r="AF37" s="73">
        <v>43246.250042037551</v>
      </c>
      <c r="AG37" s="46">
        <f>+SUM(I37:AF37)*H37</f>
        <v>3077543.8841606025</v>
      </c>
      <c r="AJ37" s="74"/>
      <c r="AK37" s="75"/>
    </row>
    <row r="38" spans="1:37" ht="15" thickBot="1">
      <c r="A38" s="66"/>
      <c r="E38" s="85">
        <v>46174</v>
      </c>
      <c r="F38" s="81"/>
      <c r="G38" s="47" t="s">
        <v>10</v>
      </c>
      <c r="H38" s="47">
        <f>+SUM(H34:H37)</f>
        <v>30</v>
      </c>
      <c r="I38" s="48">
        <f t="shared" ref="I38:AF38" si="9">+SUMPRODUCT(I34:I37,$H34:$H37)</f>
        <v>1479911.4384231209</v>
      </c>
      <c r="J38" s="48">
        <f t="shared" si="9"/>
        <v>1451638.4559117607</v>
      </c>
      <c r="K38" s="48">
        <f t="shared" si="9"/>
        <v>1433371.2879333803</v>
      </c>
      <c r="L38" s="48">
        <f t="shared" si="9"/>
        <v>1429452.6068982496</v>
      </c>
      <c r="M38" s="48">
        <f t="shared" si="9"/>
        <v>1421492.7963412188</v>
      </c>
      <c r="N38" s="48">
        <f t="shared" si="9"/>
        <v>1448978.3799318071</v>
      </c>
      <c r="O38" s="48">
        <f t="shared" si="9"/>
        <v>1495864.6648351995</v>
      </c>
      <c r="P38" s="48">
        <f t="shared" si="9"/>
        <v>1578917.5366615956</v>
      </c>
      <c r="Q38" s="48">
        <f t="shared" si="9"/>
        <v>1538762.0735106724</v>
      </c>
      <c r="R38" s="48">
        <f t="shared" si="9"/>
        <v>1369086.7640114909</v>
      </c>
      <c r="S38" s="48">
        <f t="shared" si="9"/>
        <v>1408013.7873134075</v>
      </c>
      <c r="T38" s="48">
        <f t="shared" si="9"/>
        <v>1522244.2595962852</v>
      </c>
      <c r="U38" s="48">
        <f t="shared" si="9"/>
        <v>1524313.0904205095</v>
      </c>
      <c r="V38" s="48">
        <f t="shared" si="9"/>
        <v>1727943.5190676888</v>
      </c>
      <c r="W38" s="48">
        <f t="shared" si="9"/>
        <v>1812143.6934827289</v>
      </c>
      <c r="X38" s="48">
        <f t="shared" si="9"/>
        <v>1849191.5124877896</v>
      </c>
      <c r="Y38" s="48">
        <f t="shared" si="9"/>
        <v>1833410.2454263854</v>
      </c>
      <c r="Z38" s="48">
        <f t="shared" si="9"/>
        <v>1838869.4969159933</v>
      </c>
      <c r="AA38" s="48">
        <f t="shared" si="9"/>
        <v>1771893.135206636</v>
      </c>
      <c r="AB38" s="48">
        <f t="shared" si="9"/>
        <v>1735641.6506866133</v>
      </c>
      <c r="AC38" s="48">
        <f t="shared" si="9"/>
        <v>1665919.3329487683</v>
      </c>
      <c r="AD38" s="48">
        <f t="shared" si="9"/>
        <v>1586884.638511738</v>
      </c>
      <c r="AE38" s="48">
        <f t="shared" si="9"/>
        <v>1524931.2903609427</v>
      </c>
      <c r="AF38" s="48">
        <f t="shared" si="9"/>
        <v>1492809.9391434693</v>
      </c>
      <c r="AG38" s="49">
        <f>SUM(I38:AF38)</f>
        <v>37941685.596027456</v>
      </c>
    </row>
    <row r="39" spans="1:37" ht="14">
      <c r="A39" s="66"/>
      <c r="E39" s="84">
        <v>46204</v>
      </c>
      <c r="F39" s="79">
        <f t="shared" ref="F39" si="10">+AG43</f>
        <v>40137511.14618811</v>
      </c>
      <c r="G39" s="40" t="s">
        <v>60</v>
      </c>
      <c r="H39" s="40">
        <v>22</v>
      </c>
      <c r="I39" s="73">
        <v>50077.11217060114</v>
      </c>
      <c r="J39" s="73">
        <v>48995.240526392598</v>
      </c>
      <c r="K39" s="73">
        <v>48386.94089195878</v>
      </c>
      <c r="L39" s="73">
        <v>48367.779935252045</v>
      </c>
      <c r="M39" s="73">
        <v>47939.078013199505</v>
      </c>
      <c r="N39" s="73">
        <v>49223.18394217069</v>
      </c>
      <c r="O39" s="73">
        <v>52234.554766778128</v>
      </c>
      <c r="P39" s="73">
        <v>57260.448748701878</v>
      </c>
      <c r="Q39" s="73">
        <v>61472.711842799647</v>
      </c>
      <c r="R39" s="73">
        <v>55222.389111705583</v>
      </c>
      <c r="S39" s="73">
        <v>59118.588475167773</v>
      </c>
      <c r="T39" s="73">
        <v>59610.943115858914</v>
      </c>
      <c r="U39" s="73">
        <v>58207.188703623506</v>
      </c>
      <c r="V39" s="73">
        <v>64255.292206747836</v>
      </c>
      <c r="W39" s="73">
        <v>66140.834244841535</v>
      </c>
      <c r="X39" s="73">
        <v>67290.555942041115</v>
      </c>
      <c r="Y39" s="73">
        <v>66597.098899636636</v>
      </c>
      <c r="Z39" s="73">
        <v>66538.618967602481</v>
      </c>
      <c r="AA39" s="73">
        <v>63646.254444945596</v>
      </c>
      <c r="AB39" s="73">
        <v>61850.554529340559</v>
      </c>
      <c r="AC39" s="73">
        <v>58952.603289163897</v>
      </c>
      <c r="AD39" s="73">
        <v>55667.046963851571</v>
      </c>
      <c r="AE39" s="73">
        <v>53055.748512077349</v>
      </c>
      <c r="AF39" s="73">
        <v>51801.915911913391</v>
      </c>
      <c r="AG39" s="41">
        <f>+SUM(I39:AF39)*H39</f>
        <v>30182079.051440187</v>
      </c>
      <c r="AJ39" s="74"/>
    </row>
    <row r="40" spans="1:37" ht="14">
      <c r="A40" s="66"/>
      <c r="E40" s="85">
        <v>46204</v>
      </c>
      <c r="F40" s="80"/>
      <c r="G40" s="42" t="s">
        <v>63</v>
      </c>
      <c r="H40" s="42">
        <v>4</v>
      </c>
      <c r="I40" s="73">
        <v>48792.955929885044</v>
      </c>
      <c r="J40" s="73">
        <v>47733.57450753123</v>
      </c>
      <c r="K40" s="73">
        <v>47363.113649792118</v>
      </c>
      <c r="L40" s="73">
        <v>47187.982983185328</v>
      </c>
      <c r="M40" s="73">
        <v>46788.61638514432</v>
      </c>
      <c r="N40" s="73">
        <v>47755.561059939733</v>
      </c>
      <c r="O40" s="73">
        <v>50831.600683460027</v>
      </c>
      <c r="P40" s="73">
        <v>57163.555442255558</v>
      </c>
      <c r="Q40" s="73">
        <v>53305.985734912196</v>
      </c>
      <c r="R40" s="73">
        <v>47386.121060687976</v>
      </c>
      <c r="S40" s="73">
        <v>50176.180063497392</v>
      </c>
      <c r="T40" s="73">
        <v>49453.203027059295</v>
      </c>
      <c r="U40" s="73">
        <v>45934.111532465628</v>
      </c>
      <c r="V40" s="73">
        <v>52364.443026719222</v>
      </c>
      <c r="W40" s="73">
        <v>56969.120546801547</v>
      </c>
      <c r="X40" s="73">
        <v>62283.161523650007</v>
      </c>
      <c r="Y40" s="73">
        <v>61923.859749143769</v>
      </c>
      <c r="Z40" s="73">
        <v>62785.45845161975</v>
      </c>
      <c r="AA40" s="73">
        <v>60426.321295505331</v>
      </c>
      <c r="AB40" s="73">
        <v>59283.073614442852</v>
      </c>
      <c r="AC40" s="73">
        <v>56843.045577669742</v>
      </c>
      <c r="AD40" s="73">
        <v>53533.106097223674</v>
      </c>
      <c r="AE40" s="73">
        <v>50835.293363041215</v>
      </c>
      <c r="AF40" s="73">
        <v>49434.40174574939</v>
      </c>
      <c r="AG40" s="43">
        <f>+SUM(I40:AF40)*H40</f>
        <v>5066215.3882055311</v>
      </c>
      <c r="AJ40" s="74"/>
      <c r="AK40" s="75"/>
    </row>
    <row r="41" spans="1:37" ht="14">
      <c r="A41" s="66"/>
      <c r="E41" s="85">
        <v>46204</v>
      </c>
      <c r="F41" s="80"/>
      <c r="G41" s="44" t="s">
        <v>61</v>
      </c>
      <c r="H41" s="44">
        <v>4</v>
      </c>
      <c r="I41" s="73">
        <v>45258.395581719196</v>
      </c>
      <c r="J41" s="73">
        <v>44843.208412333137</v>
      </c>
      <c r="K41" s="73">
        <v>44572.589817175518</v>
      </c>
      <c r="L41" s="73">
        <v>44388.546952183933</v>
      </c>
      <c r="M41" s="73">
        <v>44675.534131352921</v>
      </c>
      <c r="N41" s="73">
        <v>44337.672557826176</v>
      </c>
      <c r="O41" s="73">
        <v>41582.7759160188</v>
      </c>
      <c r="P41" s="73">
        <v>36445.861800974257</v>
      </c>
      <c r="Q41" s="73">
        <v>29833.096574332209</v>
      </c>
      <c r="R41" s="73">
        <v>22487.12404124012</v>
      </c>
      <c r="S41" s="73">
        <v>24770.307597359031</v>
      </c>
      <c r="T41" s="73">
        <v>27848.745559620285</v>
      </c>
      <c r="U41" s="73">
        <v>30079.649117054316</v>
      </c>
      <c r="V41" s="73">
        <v>38225.520239801539</v>
      </c>
      <c r="W41" s="73">
        <v>44021.262875110231</v>
      </c>
      <c r="X41" s="73">
        <v>44772.379693207949</v>
      </c>
      <c r="Y41" s="73">
        <v>44812.599000439615</v>
      </c>
      <c r="Z41" s="73">
        <v>45041.019320691565</v>
      </c>
      <c r="AA41" s="73">
        <v>44555.899856994714</v>
      </c>
      <c r="AB41" s="73">
        <v>44829.701331618387</v>
      </c>
      <c r="AC41" s="73">
        <v>44388.107232916402</v>
      </c>
      <c r="AD41" s="73">
        <v>44065.597959580111</v>
      </c>
      <c r="AE41" s="73">
        <v>43949.355842358476</v>
      </c>
      <c r="AF41" s="73">
        <v>43594.141072866085</v>
      </c>
      <c r="AG41" s="43">
        <f>+SUM(I41:AF41)*H41</f>
        <v>3853516.3699390995</v>
      </c>
      <c r="AJ41" s="74"/>
      <c r="AK41" s="75"/>
    </row>
    <row r="42" spans="1:37" ht="14">
      <c r="A42" s="66"/>
      <c r="E42" s="85">
        <v>46204</v>
      </c>
      <c r="F42" s="80"/>
      <c r="G42" s="45" t="s">
        <v>62</v>
      </c>
      <c r="H42" s="45">
        <v>1</v>
      </c>
      <c r="I42" s="73">
        <v>48057.955812243192</v>
      </c>
      <c r="J42" s="73">
        <v>47508.785276026138</v>
      </c>
      <c r="K42" s="73">
        <v>47140.690556074253</v>
      </c>
      <c r="L42" s="73">
        <v>46259.568040368169</v>
      </c>
      <c r="M42" s="73">
        <v>46576.722360119224</v>
      </c>
      <c r="N42" s="73">
        <v>45259.385389898736</v>
      </c>
      <c r="O42" s="73">
        <v>44426.279090473559</v>
      </c>
      <c r="P42" s="73">
        <v>42184.794443844839</v>
      </c>
      <c r="Q42" s="73">
        <v>37379.760332203638</v>
      </c>
      <c r="R42" s="73">
        <v>31017.878179108007</v>
      </c>
      <c r="S42" s="73">
        <v>33533.943138754315</v>
      </c>
      <c r="T42" s="73">
        <v>37284.408327590005</v>
      </c>
      <c r="U42" s="73">
        <v>38823.390080069963</v>
      </c>
      <c r="V42" s="73">
        <v>47082.218959860198</v>
      </c>
      <c r="W42" s="73">
        <v>45756.483315490957</v>
      </c>
      <c r="X42" s="73">
        <v>44354.535317831338</v>
      </c>
      <c r="Y42" s="73">
        <v>43913.626596296112</v>
      </c>
      <c r="Z42" s="73">
        <v>44782.520281808829</v>
      </c>
      <c r="AA42" s="73">
        <v>44649.028748357014</v>
      </c>
      <c r="AB42" s="73">
        <v>45242.322239111949</v>
      </c>
      <c r="AC42" s="73">
        <v>44272.063959698142</v>
      </c>
      <c r="AD42" s="73">
        <v>43717.336848628031</v>
      </c>
      <c r="AE42" s="73">
        <v>43435.515116003415</v>
      </c>
      <c r="AF42" s="73">
        <v>43041.1241934395</v>
      </c>
      <c r="AG42" s="46">
        <f>+SUM(I42:AF42)*H42</f>
        <v>1035700.3366032996</v>
      </c>
      <c r="AJ42" s="74"/>
      <c r="AK42" s="75"/>
    </row>
    <row r="43" spans="1:37" ht="15" thickBot="1">
      <c r="A43" s="66"/>
      <c r="E43" s="85">
        <v>46204</v>
      </c>
      <c r="F43" s="81"/>
      <c r="G43" s="47" t="s">
        <v>10</v>
      </c>
      <c r="H43" s="47">
        <f>+SUM(H39:H42)</f>
        <v>31</v>
      </c>
      <c r="I43" s="48">
        <f t="shared" ref="I43:AF43" si="11">+SUMPRODUCT(I39:I42,$H39:$H42)</f>
        <v>1525959.8296118851</v>
      </c>
      <c r="J43" s="48">
        <f t="shared" si="11"/>
        <v>1495711.2085361211</v>
      </c>
      <c r="K43" s="48">
        <f t="shared" si="11"/>
        <v>1479396.204047038</v>
      </c>
      <c r="L43" s="48">
        <f t="shared" si="11"/>
        <v>1476656.8463573903</v>
      </c>
      <c r="M43" s="48">
        <f t="shared" si="11"/>
        <v>1467093.0407164972</v>
      </c>
      <c r="N43" s="48">
        <f t="shared" si="11"/>
        <v>1496542.3665887173</v>
      </c>
      <c r="O43" s="48">
        <f t="shared" si="11"/>
        <v>1563243.9903575077</v>
      </c>
      <c r="P43" s="48">
        <f t="shared" si="11"/>
        <v>1676352.3358882053</v>
      </c>
      <c r="Q43" s="48">
        <f t="shared" si="11"/>
        <v>1722335.7501107736</v>
      </c>
      <c r="R43" s="48">
        <f t="shared" si="11"/>
        <v>1525403.4190443433</v>
      </c>
      <c r="S43" s="48">
        <f t="shared" si="11"/>
        <v>1633928.840235871</v>
      </c>
      <c r="T43" s="48">
        <f t="shared" si="11"/>
        <v>1657932.9512232044</v>
      </c>
      <c r="U43" s="48">
        <f t="shared" si="11"/>
        <v>1623436.5841578667</v>
      </c>
      <c r="V43" s="48">
        <f t="shared" si="11"/>
        <v>1823058.5005743958</v>
      </c>
      <c r="W43" s="48">
        <f t="shared" si="11"/>
        <v>1904816.3703896517</v>
      </c>
      <c r="X43" s="48">
        <f t="shared" si="11"/>
        <v>1952968.9309101677</v>
      </c>
      <c r="Y43" s="48">
        <f t="shared" si="11"/>
        <v>1935995.6373866359</v>
      </c>
      <c r="Z43" s="48">
        <f t="shared" si="11"/>
        <v>1939938.048658309</v>
      </c>
      <c r="AA43" s="48">
        <f t="shared" si="11"/>
        <v>1864795.5111471603</v>
      </c>
      <c r="AB43" s="48">
        <f t="shared" si="11"/>
        <v>1822405.6216688489</v>
      </c>
      <c r="AC43" s="48">
        <f t="shared" si="11"/>
        <v>1746153.9475636485</v>
      </c>
      <c r="AD43" s="48">
        <f t="shared" si="11"/>
        <v>1658787.1862805777</v>
      </c>
      <c r="AE43" s="48">
        <f t="shared" si="11"/>
        <v>1589800.5792033037</v>
      </c>
      <c r="AF43" s="48">
        <f t="shared" si="11"/>
        <v>1554797.4455299962</v>
      </c>
      <c r="AG43" s="49">
        <f>SUM(I43:AF43)</f>
        <v>40137511.14618811</v>
      </c>
    </row>
    <row r="44" spans="1:37" ht="14">
      <c r="A44" s="66"/>
      <c r="E44" s="84">
        <v>46235</v>
      </c>
      <c r="F44" s="79">
        <f t="shared" ref="F44" si="12">+AG48</f>
        <v>38908847.41321142</v>
      </c>
      <c r="G44" s="40" t="s">
        <v>60</v>
      </c>
      <c r="H44" s="40">
        <v>19</v>
      </c>
      <c r="I44" s="73">
        <v>49753.481123802165</v>
      </c>
      <c r="J44" s="73">
        <v>48670.999616506982</v>
      </c>
      <c r="K44" s="73">
        <v>48061.896259621215</v>
      </c>
      <c r="L44" s="73">
        <v>48042.126795369069</v>
      </c>
      <c r="M44" s="73">
        <v>47612.038076882047</v>
      </c>
      <c r="N44" s="73">
        <v>48893.491942503482</v>
      </c>
      <c r="O44" s="73">
        <v>51902.835843624278</v>
      </c>
      <c r="P44" s="73">
        <v>57241.610235682565</v>
      </c>
      <c r="Q44" s="73">
        <v>55194.337503587616</v>
      </c>
      <c r="R44" s="73">
        <v>53493.922089794411</v>
      </c>
      <c r="S44" s="73">
        <v>56024.936192130219</v>
      </c>
      <c r="T44" s="73">
        <v>60374.778006434062</v>
      </c>
      <c r="U44" s="73">
        <v>62242.541702226757</v>
      </c>
      <c r="V44" s="73">
        <v>63932.944343623167</v>
      </c>
      <c r="W44" s="73">
        <v>65819.230407733499</v>
      </c>
      <c r="X44" s="73">
        <v>66968.114860007801</v>
      </c>
      <c r="Y44" s="73">
        <v>66273.721711815699</v>
      </c>
      <c r="Z44" s="73">
        <v>66213.711500078411</v>
      </c>
      <c r="AA44" s="73">
        <v>63320.240178901018</v>
      </c>
      <c r="AB44" s="73">
        <v>61526.411037030382</v>
      </c>
      <c r="AC44" s="73">
        <v>58627.606599027276</v>
      </c>
      <c r="AD44" s="73">
        <v>55342.538768892962</v>
      </c>
      <c r="AE44" s="73">
        <v>52732.01217591366</v>
      </c>
      <c r="AF44" s="73">
        <v>51477.935087040038</v>
      </c>
      <c r="AG44" s="41">
        <f>+SUM(I44:AF44)*H44</f>
        <v>25835125.779106345</v>
      </c>
      <c r="AJ44" s="74"/>
    </row>
    <row r="45" spans="1:37" ht="14">
      <c r="A45" s="66"/>
      <c r="E45" s="85">
        <v>46235</v>
      </c>
      <c r="F45" s="80"/>
      <c r="G45" s="42" t="s">
        <v>63</v>
      </c>
      <c r="H45" s="42">
        <v>5</v>
      </c>
      <c r="I45" s="73">
        <v>48490.796918718821</v>
      </c>
      <c r="J45" s="73">
        <v>47430.745657036576</v>
      </c>
      <c r="K45" s="73">
        <v>47059.995077456078</v>
      </c>
      <c r="L45" s="73">
        <v>46884.666231576673</v>
      </c>
      <c r="M45" s="73">
        <v>46484.574029962983</v>
      </c>
      <c r="N45" s="73">
        <v>47449.852931946312</v>
      </c>
      <c r="O45" s="73">
        <v>50825.517100265337</v>
      </c>
      <c r="P45" s="73">
        <v>54788.981413539419</v>
      </c>
      <c r="Q45" s="73">
        <v>47080.681395700187</v>
      </c>
      <c r="R45" s="73">
        <v>45707.504038776795</v>
      </c>
      <c r="S45" s="73">
        <v>47134.847780459771</v>
      </c>
      <c r="T45" s="73">
        <v>50273.787917634458</v>
      </c>
      <c r="U45" s="73">
        <v>49752.444531068904</v>
      </c>
      <c r="V45" s="73">
        <v>51203.72060848758</v>
      </c>
      <c r="W45" s="73">
        <v>59955.147744347341</v>
      </c>
      <c r="X45" s="73">
        <v>61988.289554067262</v>
      </c>
      <c r="Y45" s="73">
        <v>61628.009345815772</v>
      </c>
      <c r="Z45" s="73">
        <v>62488.246284680485</v>
      </c>
      <c r="AA45" s="73">
        <v>60128.559848065488</v>
      </c>
      <c r="AB45" s="73">
        <v>58985.752806534918</v>
      </c>
      <c r="AC45" s="73">
        <v>56542.991495417387</v>
      </c>
      <c r="AD45" s="73">
        <v>53229.780964733611</v>
      </c>
      <c r="AE45" s="73">
        <v>50528.938256885776</v>
      </c>
      <c r="AF45" s="73">
        <v>49127.78490364601</v>
      </c>
      <c r="AG45" s="43">
        <f>+SUM(I45:AF45)*H45</f>
        <v>6275858.0841841195</v>
      </c>
      <c r="AJ45" s="74"/>
      <c r="AK45" s="75"/>
    </row>
    <row r="46" spans="1:37" ht="14">
      <c r="A46" s="66"/>
      <c r="E46" s="85">
        <v>46235</v>
      </c>
      <c r="F46" s="80"/>
      <c r="G46" s="44" t="s">
        <v>61</v>
      </c>
      <c r="H46" s="44">
        <v>5</v>
      </c>
      <c r="I46" s="73">
        <v>45211.036100346726</v>
      </c>
      <c r="J46" s="73">
        <v>44789.460525024391</v>
      </c>
      <c r="K46" s="73">
        <v>44517.103700883177</v>
      </c>
      <c r="L46" s="73">
        <v>44329.724192038753</v>
      </c>
      <c r="M46" s="73">
        <v>44615.417582072449</v>
      </c>
      <c r="N46" s="73">
        <v>44441.705909273616</v>
      </c>
      <c r="O46" s="73">
        <v>40959.279506637497</v>
      </c>
      <c r="P46" s="73">
        <v>34160.27777225813</v>
      </c>
      <c r="Q46" s="73">
        <v>23723.412235120195</v>
      </c>
      <c r="R46" s="73">
        <v>20935.66701932895</v>
      </c>
      <c r="S46" s="73">
        <v>21862.965314321424</v>
      </c>
      <c r="T46" s="73">
        <v>28788.090450195472</v>
      </c>
      <c r="U46" s="73">
        <v>33996.122115657578</v>
      </c>
      <c r="V46" s="73">
        <v>37150.607821569909</v>
      </c>
      <c r="W46" s="73">
        <v>44017.563854246058</v>
      </c>
      <c r="X46" s="73">
        <v>44768.486252042734</v>
      </c>
      <c r="Y46" s="73">
        <v>44805.836447900649</v>
      </c>
      <c r="Z46" s="73">
        <v>45028.608609906063</v>
      </c>
      <c r="AA46" s="73">
        <v>44548.041058099443</v>
      </c>
      <c r="AB46" s="73">
        <v>44807.500063489744</v>
      </c>
      <c r="AC46" s="73">
        <v>44346.52227467479</v>
      </c>
      <c r="AD46" s="73">
        <v>44006.923373036829</v>
      </c>
      <c r="AE46" s="73">
        <v>43880.693320932602</v>
      </c>
      <c r="AF46" s="73">
        <v>43519.168858680066</v>
      </c>
      <c r="AG46" s="43">
        <f>+SUM(I46:AF46)*H46</f>
        <v>4766051.0717886854</v>
      </c>
      <c r="AJ46" s="74"/>
      <c r="AK46" s="75"/>
    </row>
    <row r="47" spans="1:37" ht="14">
      <c r="A47" s="66"/>
      <c r="E47" s="85">
        <v>46235</v>
      </c>
      <c r="F47" s="80"/>
      <c r="G47" s="45" t="s">
        <v>62</v>
      </c>
      <c r="H47" s="45">
        <v>2</v>
      </c>
      <c r="I47" s="73">
        <v>47537.153144504082</v>
      </c>
      <c r="J47" s="73">
        <v>46989.847131161732</v>
      </c>
      <c r="K47" s="73">
        <v>46710.127931129078</v>
      </c>
      <c r="L47" s="73">
        <v>46078.198040368166</v>
      </c>
      <c r="M47" s="73">
        <v>46395.712360119229</v>
      </c>
      <c r="N47" s="73">
        <v>44629.002330584692</v>
      </c>
      <c r="O47" s="73">
        <v>43800.732681092253</v>
      </c>
      <c r="P47" s="73">
        <v>39888.860415128715</v>
      </c>
      <c r="Q47" s="73">
        <v>31258.425992991615</v>
      </c>
      <c r="R47" s="73">
        <v>29458.991157196844</v>
      </c>
      <c r="S47" s="73">
        <v>30619.090855716699</v>
      </c>
      <c r="T47" s="73">
        <v>38214.68321816517</v>
      </c>
      <c r="U47" s="73">
        <v>42729.813078673236</v>
      </c>
      <c r="V47" s="73">
        <v>45997.606541628556</v>
      </c>
      <c r="W47" s="73">
        <v>43675.849288014033</v>
      </c>
      <c r="X47" s="73">
        <v>43706.645789171947</v>
      </c>
      <c r="Y47" s="73">
        <v>43255.048698423314</v>
      </c>
      <c r="Z47" s="73">
        <v>44151.434000271242</v>
      </c>
      <c r="AA47" s="73">
        <v>44019.955258053698</v>
      </c>
      <c r="AB47" s="73">
        <v>44642.606747219936</v>
      </c>
      <c r="AC47" s="73">
        <v>43678.101212231115</v>
      </c>
      <c r="AD47" s="73">
        <v>43135.410063345313</v>
      </c>
      <c r="AE47" s="73">
        <v>42859.847697039142</v>
      </c>
      <c r="AF47" s="73">
        <v>42473.095433908849</v>
      </c>
      <c r="AG47" s="46">
        <f>+SUM(I47:AF47)*H47</f>
        <v>2031812.4781322773</v>
      </c>
      <c r="AJ47" s="74"/>
      <c r="AK47" s="75"/>
    </row>
    <row r="48" spans="1:37" ht="15" thickBot="1">
      <c r="A48" s="66"/>
      <c r="E48" s="85">
        <v>46235</v>
      </c>
      <c r="F48" s="81"/>
      <c r="G48" s="47" t="s">
        <v>10</v>
      </c>
      <c r="H48" s="47">
        <f>+SUM(H44:H47)</f>
        <v>31</v>
      </c>
      <c r="I48" s="48">
        <f t="shared" ref="I48:AF48" si="13">+SUMPRODUCT(I44:I47,$H44:$H47)</f>
        <v>1508899.6127365772</v>
      </c>
      <c r="J48" s="48">
        <f t="shared" si="13"/>
        <v>1479829.7178862609</v>
      </c>
      <c r="K48" s="48">
        <f t="shared" si="13"/>
        <v>1464481.7786867574</v>
      </c>
      <c r="L48" s="48">
        <f t="shared" si="13"/>
        <v>1461028.7573108256</v>
      </c>
      <c r="M48" s="48">
        <f t="shared" si="13"/>
        <v>1452920.1062411745</v>
      </c>
      <c r="N48" s="48">
        <f t="shared" si="13"/>
        <v>1477692.1457748353</v>
      </c>
      <c r="O48" s="48">
        <f t="shared" si="13"/>
        <v>1532679.3294255598</v>
      </c>
      <c r="P48" s="48">
        <f t="shared" si="13"/>
        <v>1612114.6112372139</v>
      </c>
      <c r="Q48" s="48">
        <f t="shared" si="13"/>
        <v>1465229.7327082499</v>
      </c>
      <c r="R48" s="48">
        <f t="shared" si="13"/>
        <v>1408518.3573110162</v>
      </c>
      <c r="S48" s="48">
        <f t="shared" si="13"/>
        <v>1470701.0348358136</v>
      </c>
      <c r="T48" s="48">
        <f t="shared" si="13"/>
        <v>1618859.5403977272</v>
      </c>
      <c r="U48" s="48">
        <f t="shared" si="13"/>
        <v>1686810.7517332872</v>
      </c>
      <c r="V48" s="48">
        <f t="shared" si="13"/>
        <v>1748492.7977623849</v>
      </c>
      <c r="W48" s="48">
        <f t="shared" si="13"/>
        <v>1857780.6343159315</v>
      </c>
      <c r="X48" s="48">
        <f t="shared" si="13"/>
        <v>1893591.3529490421</v>
      </c>
      <c r="Y48" s="48">
        <f t="shared" si="13"/>
        <v>1877880.0388899271</v>
      </c>
      <c r="Z48" s="48">
        <f t="shared" si="13"/>
        <v>1883947.6609749652</v>
      </c>
      <c r="AA48" s="48">
        <f t="shared" si="13"/>
        <v>1814507.4784460515</v>
      </c>
      <c r="AB48" s="48">
        <f t="shared" si="13"/>
        <v>1777253.2875481404</v>
      </c>
      <c r="AC48" s="48">
        <f t="shared" si="13"/>
        <v>1705728.2966564414</v>
      </c>
      <c r="AD48" s="48">
        <f t="shared" si="13"/>
        <v>1623962.5784245091</v>
      </c>
      <c r="AE48" s="48">
        <f t="shared" si="13"/>
        <v>1559676.0846255298</v>
      </c>
      <c r="AF48" s="48">
        <f t="shared" si="13"/>
        <v>1526261.7263332088</v>
      </c>
      <c r="AG48" s="49">
        <f>SUM(I48:AF48)</f>
        <v>38908847.41321142</v>
      </c>
    </row>
    <row r="49" spans="1:37" ht="14">
      <c r="A49" s="66"/>
      <c r="E49" s="84">
        <v>46266</v>
      </c>
      <c r="F49" s="79">
        <f t="shared" ref="F49" si="14">+AG53</f>
        <v>38535132.591741346</v>
      </c>
      <c r="G49" s="40" t="s">
        <v>60</v>
      </c>
      <c r="H49" s="40">
        <v>22</v>
      </c>
      <c r="I49" s="73">
        <v>50281.960487735596</v>
      </c>
      <c r="J49" s="73">
        <v>49195.768449713934</v>
      </c>
      <c r="K49" s="73">
        <v>48583.960310869064</v>
      </c>
      <c r="L49" s="73">
        <v>48136.621517212508</v>
      </c>
      <c r="M49" s="73">
        <v>48126.063909898287</v>
      </c>
      <c r="N49" s="73">
        <v>49432.765649917565</v>
      </c>
      <c r="O49" s="73">
        <v>53159.614394705532</v>
      </c>
      <c r="P49" s="73">
        <v>51966.414046444668</v>
      </c>
      <c r="Q49" s="73">
        <v>49394.56470025528</v>
      </c>
      <c r="R49" s="73">
        <v>49921.210939062439</v>
      </c>
      <c r="S49" s="73">
        <v>56596.69717807199</v>
      </c>
      <c r="T49" s="73">
        <v>59418.038935293232</v>
      </c>
      <c r="U49" s="73">
        <v>60538.712204798845</v>
      </c>
      <c r="V49" s="73">
        <v>63787.598588561086</v>
      </c>
      <c r="W49" s="73">
        <v>66521.492700789575</v>
      </c>
      <c r="X49" s="73">
        <v>67652.607782777472</v>
      </c>
      <c r="Y49" s="73">
        <v>66955.677854716065</v>
      </c>
      <c r="Z49" s="73">
        <v>66869.7491881811</v>
      </c>
      <c r="AA49" s="73">
        <v>63950.25215135896</v>
      </c>
      <c r="AB49" s="73">
        <v>62129.263733915279</v>
      </c>
      <c r="AC49" s="73">
        <v>59218.749349789905</v>
      </c>
      <c r="AD49" s="73">
        <v>55910.2537434888</v>
      </c>
      <c r="AE49" s="73">
        <v>53283.036196439389</v>
      </c>
      <c r="AF49" s="73">
        <v>52026.447268716845</v>
      </c>
      <c r="AG49" s="41">
        <f>+SUM(I49:AF49)*H49</f>
        <v>29767265.46821969</v>
      </c>
      <c r="AJ49" s="74"/>
    </row>
    <row r="50" spans="1:37" ht="14">
      <c r="A50" s="66"/>
      <c r="E50" s="85">
        <v>46266</v>
      </c>
      <c r="F50" s="80"/>
      <c r="G50" s="42" t="s">
        <v>63</v>
      </c>
      <c r="H50" s="42">
        <v>4</v>
      </c>
      <c r="I50" s="73">
        <v>49250.974774024187</v>
      </c>
      <c r="J50" s="73">
        <v>48182.602794425911</v>
      </c>
      <c r="K50" s="73">
        <v>47800.003243832572</v>
      </c>
      <c r="L50" s="73">
        <v>47754.615024232691</v>
      </c>
      <c r="M50" s="73">
        <v>47196.312377841081</v>
      </c>
      <c r="N50" s="73">
        <v>48595.416666314632</v>
      </c>
      <c r="O50" s="73">
        <v>53095.663738897623</v>
      </c>
      <c r="P50" s="73">
        <v>46590.810612150257</v>
      </c>
      <c r="Q50" s="73">
        <v>41705.768592367829</v>
      </c>
      <c r="R50" s="73">
        <v>42540.802888044869</v>
      </c>
      <c r="S50" s="73">
        <v>48129.188766401567</v>
      </c>
      <c r="T50" s="73">
        <v>49775.578846493649</v>
      </c>
      <c r="U50" s="73">
        <v>48714.505033640984</v>
      </c>
      <c r="V50" s="73">
        <v>47429.115405704528</v>
      </c>
      <c r="W50" s="73">
        <v>55664.143608415412</v>
      </c>
      <c r="X50" s="73">
        <v>62822.343337047627</v>
      </c>
      <c r="Y50" s="73">
        <v>62497.865323891921</v>
      </c>
      <c r="Z50" s="73">
        <v>63340.975060622375</v>
      </c>
      <c r="AA50" s="73">
        <v>60959.750847454612</v>
      </c>
      <c r="AB50" s="73">
        <v>59786.580522006807</v>
      </c>
      <c r="AC50" s="73">
        <v>57313.943166326637</v>
      </c>
      <c r="AD50" s="73">
        <v>53954.875704061102</v>
      </c>
      <c r="AE50" s="73">
        <v>51205.896171789667</v>
      </c>
      <c r="AF50" s="73">
        <v>49792.469057745206</v>
      </c>
      <c r="AG50" s="43">
        <f>+SUM(I50:AF50)*H50</f>
        <v>4976400.8062549345</v>
      </c>
      <c r="AJ50" s="74"/>
      <c r="AK50" s="75"/>
    </row>
    <row r="51" spans="1:37" ht="14">
      <c r="A51" s="66"/>
      <c r="E51" s="85">
        <v>46266</v>
      </c>
      <c r="F51" s="80"/>
      <c r="G51" s="44" t="s">
        <v>61</v>
      </c>
      <c r="H51" s="44">
        <v>4</v>
      </c>
      <c r="I51" s="73">
        <v>46058.45553741217</v>
      </c>
      <c r="J51" s="73">
        <v>45615.666475834441</v>
      </c>
      <c r="K51" s="73">
        <v>45439.429582020479</v>
      </c>
      <c r="L51" s="73">
        <v>45429.959682568035</v>
      </c>
      <c r="M51" s="73">
        <v>45877.77847095747</v>
      </c>
      <c r="N51" s="73">
        <v>44017.70531017278</v>
      </c>
      <c r="O51" s="73">
        <v>38832.999734330275</v>
      </c>
      <c r="P51" s="73">
        <v>26695.016970868986</v>
      </c>
      <c r="Q51" s="73">
        <v>19297.91943178785</v>
      </c>
      <c r="R51" s="73">
        <v>18804.785868596995</v>
      </c>
      <c r="S51" s="73">
        <v>23951.876300263197</v>
      </c>
      <c r="T51" s="73">
        <v>29262.401379054674</v>
      </c>
      <c r="U51" s="73">
        <v>33763.022618229683</v>
      </c>
      <c r="V51" s="73">
        <v>34078.992618786862</v>
      </c>
      <c r="W51" s="73">
        <v>43499.610707337066</v>
      </c>
      <c r="X51" s="73">
        <v>45661.728545867314</v>
      </c>
      <c r="Y51" s="73">
        <v>45695.540107598841</v>
      </c>
      <c r="Z51" s="73">
        <v>45905.941134137283</v>
      </c>
      <c r="AA51" s="73">
        <v>45430.84222618358</v>
      </c>
      <c r="AB51" s="73">
        <v>45667.328253107305</v>
      </c>
      <c r="AC51" s="73">
        <v>45167.653160425471</v>
      </c>
      <c r="AD51" s="73">
        <v>44792.659264870323</v>
      </c>
      <c r="AE51" s="73">
        <v>44651.057299891232</v>
      </c>
      <c r="AF51" s="73">
        <v>44268.208636378426</v>
      </c>
      <c r="AG51" s="43">
        <f>+SUM(I51:AF51)*H51</f>
        <v>3791466.3172667236</v>
      </c>
      <c r="AJ51" s="74"/>
      <c r="AK51" s="75"/>
    </row>
    <row r="52" spans="1:37" ht="14">
      <c r="A52" s="66"/>
      <c r="E52" s="85">
        <v>46266</v>
      </c>
      <c r="F52" s="80"/>
      <c r="G52" s="45" t="s">
        <v>62</v>
      </c>
      <c r="H52" s="45">
        <v>0</v>
      </c>
      <c r="I52" s="73">
        <v>0</v>
      </c>
      <c r="J52" s="73">
        <v>0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  <c r="Z52" s="73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0</v>
      </c>
      <c r="AF52" s="73">
        <v>0</v>
      </c>
      <c r="AG52" s="46">
        <f>+SUM(I52:AF52)*H52</f>
        <v>0</v>
      </c>
      <c r="AJ52" s="74"/>
      <c r="AK52" s="75"/>
    </row>
    <row r="53" spans="1:37" ht="15" thickBot="1">
      <c r="A53" s="66"/>
      <c r="E53" s="85">
        <v>46266</v>
      </c>
      <c r="F53" s="81"/>
      <c r="G53" s="47" t="s">
        <v>10</v>
      </c>
      <c r="H53" s="47">
        <f>+SUM(H49:H52)</f>
        <v>30</v>
      </c>
      <c r="I53" s="48">
        <f t="shared" ref="I53:AF53" si="15">+SUMPRODUCT(I49:I52,$H49:$H52)</f>
        <v>1487440.8519759285</v>
      </c>
      <c r="J53" s="48">
        <f t="shared" si="15"/>
        <v>1457499.9829747479</v>
      </c>
      <c r="K53" s="48">
        <f t="shared" si="15"/>
        <v>1441804.8581425317</v>
      </c>
      <c r="L53" s="48">
        <f t="shared" si="15"/>
        <v>1431743.9722058782</v>
      </c>
      <c r="M53" s="48">
        <f t="shared" si="15"/>
        <v>1431069.7694129567</v>
      </c>
      <c r="N53" s="48">
        <f t="shared" si="15"/>
        <v>1457973.3322041361</v>
      </c>
      <c r="O53" s="48">
        <f t="shared" si="15"/>
        <v>1537226.1705764334</v>
      </c>
      <c r="P53" s="48">
        <f t="shared" si="15"/>
        <v>1436404.4193538595</v>
      </c>
      <c r="Q53" s="48">
        <f t="shared" si="15"/>
        <v>1330695.1755022388</v>
      </c>
      <c r="R53" s="48">
        <f t="shared" si="15"/>
        <v>1343648.9956859411</v>
      </c>
      <c r="S53" s="48">
        <f t="shared" si="15"/>
        <v>1533451.5981842428</v>
      </c>
      <c r="T53" s="48">
        <f t="shared" si="15"/>
        <v>1623348.7774786442</v>
      </c>
      <c r="U53" s="48">
        <f t="shared" si="15"/>
        <v>1661761.7791130573</v>
      </c>
      <c r="V53" s="48">
        <f t="shared" si="15"/>
        <v>1729359.6010463096</v>
      </c>
      <c r="W53" s="48">
        <f t="shared" si="15"/>
        <v>1860127.8566803806</v>
      </c>
      <c r="X53" s="48">
        <f t="shared" si="15"/>
        <v>1922293.6587527641</v>
      </c>
      <c r="Y53" s="48">
        <f t="shared" si="15"/>
        <v>1905798.5345297165</v>
      </c>
      <c r="Z53" s="48">
        <f t="shared" si="15"/>
        <v>1908122.1469190228</v>
      </c>
      <c r="AA53" s="48">
        <f t="shared" si="15"/>
        <v>1832467.9196244497</v>
      </c>
      <c r="AB53" s="48">
        <f t="shared" si="15"/>
        <v>1788659.4372465925</v>
      </c>
      <c r="AC53" s="48">
        <f t="shared" si="15"/>
        <v>1712738.8710023863</v>
      </c>
      <c r="AD53" s="48">
        <f t="shared" si="15"/>
        <v>1625015.7222324794</v>
      </c>
      <c r="AE53" s="48">
        <f t="shared" si="15"/>
        <v>1555654.6102083903</v>
      </c>
      <c r="AF53" s="48">
        <f t="shared" si="15"/>
        <v>1520824.5506882649</v>
      </c>
      <c r="AG53" s="49">
        <f>SUM(I53:AF53)</f>
        <v>38535132.591741346</v>
      </c>
    </row>
    <row r="54" spans="1:37" ht="14">
      <c r="A54" s="66"/>
      <c r="E54" s="84">
        <v>46296</v>
      </c>
      <c r="F54" s="79">
        <f t="shared" ref="F54" si="16">+AG58</f>
        <v>39571326.8174043</v>
      </c>
      <c r="G54" s="40" t="s">
        <v>60</v>
      </c>
      <c r="H54" s="40">
        <v>21</v>
      </c>
      <c r="I54" s="73">
        <v>50201.510364965427</v>
      </c>
      <c r="J54" s="73">
        <v>49118.742079295793</v>
      </c>
      <c r="K54" s="73">
        <v>48509.36500964532</v>
      </c>
      <c r="L54" s="73">
        <v>48489.156675376806</v>
      </c>
      <c r="M54" s="73">
        <v>48059.987275853251</v>
      </c>
      <c r="N54" s="73">
        <v>49343.94203386247</v>
      </c>
      <c r="O54" s="73">
        <v>52522.95641708374</v>
      </c>
      <c r="P54" s="73">
        <v>55463.695324222572</v>
      </c>
      <c r="Q54" s="73">
        <v>54851.930058334357</v>
      </c>
      <c r="R54" s="73">
        <v>51102.094351535859</v>
      </c>
      <c r="S54" s="73">
        <v>55878.975356124261</v>
      </c>
      <c r="T54" s="73">
        <v>58077.918311681497</v>
      </c>
      <c r="U54" s="73">
        <v>59130.933493544493</v>
      </c>
      <c r="V54" s="73">
        <v>64403.462391779511</v>
      </c>
      <c r="W54" s="73">
        <v>66290.010846180812</v>
      </c>
      <c r="X54" s="73">
        <v>67438.589643968749</v>
      </c>
      <c r="Y54" s="73">
        <v>66743.823204551911</v>
      </c>
      <c r="Z54" s="73">
        <v>66681.810199030224</v>
      </c>
      <c r="AA54" s="73">
        <v>63784.741848698141</v>
      </c>
      <c r="AB54" s="73">
        <v>61988.179478847975</v>
      </c>
      <c r="AC54" s="73">
        <v>59086.57223700374</v>
      </c>
      <c r="AD54" s="73">
        <v>55797.892030296825</v>
      </c>
      <c r="AE54" s="73">
        <v>53184.077531467876</v>
      </c>
      <c r="AF54" s="73">
        <v>51928.873332076451</v>
      </c>
      <c r="AG54" s="41">
        <f>+SUM(I54:AF54)*H54</f>
        <v>28519664.029403988</v>
      </c>
      <c r="AJ54" s="74"/>
    </row>
    <row r="55" spans="1:37" ht="14">
      <c r="A55" s="66"/>
      <c r="E55" s="85">
        <v>46296</v>
      </c>
      <c r="F55" s="80"/>
      <c r="G55" s="42" t="s">
        <v>63</v>
      </c>
      <c r="H55" s="42">
        <v>5</v>
      </c>
      <c r="I55" s="73">
        <v>49017.781125731075</v>
      </c>
      <c r="J55" s="73">
        <v>47955.177111916018</v>
      </c>
      <c r="K55" s="73">
        <v>47581.240934650858</v>
      </c>
      <c r="L55" s="73">
        <v>47403.674595024844</v>
      </c>
      <c r="M55" s="73">
        <v>47005.610254243118</v>
      </c>
      <c r="N55" s="73">
        <v>48000.883366841568</v>
      </c>
      <c r="O55" s="73">
        <v>52311.956436221546</v>
      </c>
      <c r="P55" s="73">
        <v>50035.301889928189</v>
      </c>
      <c r="Q55" s="73">
        <v>47091.26395044689</v>
      </c>
      <c r="R55" s="73">
        <v>43650.556300518256</v>
      </c>
      <c r="S55" s="73">
        <v>47338.496944453844</v>
      </c>
      <c r="T55" s="73">
        <v>48356.01822288191</v>
      </c>
      <c r="U55" s="73">
        <v>47236.426322386615</v>
      </c>
      <c r="V55" s="73">
        <v>49118.151179460045</v>
      </c>
      <c r="W55" s="73">
        <v>56076.989910495773</v>
      </c>
      <c r="X55" s="73">
        <v>62543.301400823504</v>
      </c>
      <c r="Y55" s="73">
        <v>62182.466787354067</v>
      </c>
      <c r="Z55" s="73">
        <v>63040.086077458946</v>
      </c>
      <c r="AA55" s="73">
        <v>60677.573670564743</v>
      </c>
      <c r="AB55" s="73">
        <v>59525.105703307505</v>
      </c>
      <c r="AC55" s="73">
        <v>57073.78926639854</v>
      </c>
      <c r="AD55" s="73">
        <v>53750.069793009628</v>
      </c>
      <c r="AE55" s="73">
        <v>51039.650526539306</v>
      </c>
      <c r="AF55" s="73">
        <v>49634.969765644339</v>
      </c>
      <c r="AG55" s="43">
        <f>+SUM(I55:AF55)*H55</f>
        <v>6238232.7076815059</v>
      </c>
      <c r="AJ55" s="74"/>
      <c r="AK55" s="75"/>
    </row>
    <row r="56" spans="1:37" ht="14">
      <c r="A56" s="66"/>
      <c r="E56" s="85">
        <v>46296</v>
      </c>
      <c r="F56" s="80"/>
      <c r="G56" s="44" t="s">
        <v>61</v>
      </c>
      <c r="H56" s="44">
        <v>4</v>
      </c>
      <c r="I56" s="73">
        <v>45713.49706345395</v>
      </c>
      <c r="J56" s="73">
        <v>45289.956594161667</v>
      </c>
      <c r="K56" s="73">
        <v>45017.581103189521</v>
      </c>
      <c r="L56" s="73">
        <v>44828.944751368625</v>
      </c>
      <c r="M56" s="73">
        <v>45437.051732321714</v>
      </c>
      <c r="N56" s="73">
        <v>44439.853108765405</v>
      </c>
      <c r="O56" s="73">
        <v>39282.813884536925</v>
      </c>
      <c r="P56" s="73">
        <v>30010.078248646907</v>
      </c>
      <c r="Q56" s="73">
        <v>24513.67478986692</v>
      </c>
      <c r="R56" s="73">
        <v>19729.90928107041</v>
      </c>
      <c r="S56" s="73">
        <v>22964.134478315496</v>
      </c>
      <c r="T56" s="73">
        <v>27666.970755442933</v>
      </c>
      <c r="U56" s="73">
        <v>32140.783906975292</v>
      </c>
      <c r="V56" s="73">
        <v>35643.62839254237</v>
      </c>
      <c r="W56" s="73">
        <v>44535.855813863534</v>
      </c>
      <c r="X56" s="73">
        <v>45286.839097310163</v>
      </c>
      <c r="Y56" s="73">
        <v>45323.449493602842</v>
      </c>
      <c r="Z56" s="73">
        <v>45543.604551486467</v>
      </c>
      <c r="AA56" s="73">
        <v>45065.153182124253</v>
      </c>
      <c r="AB56" s="73">
        <v>45319.147622810342</v>
      </c>
      <c r="AC56" s="73">
        <v>44851.859205387875</v>
      </c>
      <c r="AD56" s="73">
        <v>44506.043551055925</v>
      </c>
      <c r="AE56" s="73">
        <v>44376.582848284532</v>
      </c>
      <c r="AF56" s="73">
        <v>44012.608485177232</v>
      </c>
      <c r="AG56" s="43">
        <f>+SUM(I56:AF56)*H56</f>
        <v>3806000.087767045</v>
      </c>
      <c r="AJ56" s="74"/>
      <c r="AK56" s="75"/>
    </row>
    <row r="57" spans="1:37" ht="14">
      <c r="A57" s="66"/>
      <c r="E57" s="85">
        <v>46296</v>
      </c>
      <c r="F57" s="80"/>
      <c r="G57" s="45" t="s">
        <v>62</v>
      </c>
      <c r="H57" s="45">
        <v>1</v>
      </c>
      <c r="I57" s="73">
        <v>47977.000597584985</v>
      </c>
      <c r="J57" s="73">
        <v>47143.384546109883</v>
      </c>
      <c r="K57" s="73">
        <v>45487.490556074255</v>
      </c>
      <c r="L57" s="73">
        <v>44784.328040368164</v>
      </c>
      <c r="M57" s="73">
        <v>45103.312360119227</v>
      </c>
      <c r="N57" s="73">
        <v>44930.484574616094</v>
      </c>
      <c r="O57" s="73">
        <v>42118.407058991688</v>
      </c>
      <c r="P57" s="73">
        <v>35676.960891517476</v>
      </c>
      <c r="Q57" s="73">
        <v>31977.06854773833</v>
      </c>
      <c r="R57" s="73">
        <v>28209.013418938302</v>
      </c>
      <c r="S57" s="73">
        <v>31675.270019710781</v>
      </c>
      <c r="T57" s="73">
        <v>37038.53352341264</v>
      </c>
      <c r="U57" s="73">
        <v>40813.664869990957</v>
      </c>
      <c r="V57" s="73">
        <v>44433.197112601025</v>
      </c>
      <c r="W57" s="73">
        <v>44068.177724557652</v>
      </c>
      <c r="X57" s="73">
        <v>44163.752617905498</v>
      </c>
      <c r="Y57" s="73">
        <v>43713.40811281799</v>
      </c>
      <c r="Z57" s="73">
        <v>44606.607708159529</v>
      </c>
      <c r="AA57" s="73">
        <v>44474.865349002939</v>
      </c>
      <c r="AB57" s="73">
        <v>45094.174812953926</v>
      </c>
      <c r="AC57" s="73">
        <v>44128.7420278024</v>
      </c>
      <c r="AD57" s="73">
        <v>43584.186413954681</v>
      </c>
      <c r="AE57" s="73">
        <v>43307.811015459622</v>
      </c>
      <c r="AF57" s="73">
        <v>42920.15065137238</v>
      </c>
      <c r="AG57" s="46">
        <f>+SUM(I57:AF57)*H57</f>
        <v>1007429.9925517605</v>
      </c>
      <c r="AJ57" s="74"/>
      <c r="AK57" s="75"/>
    </row>
    <row r="58" spans="1:37" ht="15" thickBot="1">
      <c r="A58" s="66"/>
      <c r="E58" s="85">
        <v>46296</v>
      </c>
      <c r="F58" s="81"/>
      <c r="G58" s="47" t="s">
        <v>10</v>
      </c>
      <c r="H58" s="47">
        <f>+SUM(H54:H57)</f>
        <v>31</v>
      </c>
      <c r="I58" s="48">
        <f t="shared" ref="I58:AF58" si="17">+SUMPRODUCT(I54:I57,$H54:$H57)</f>
        <v>1530151.6121443301</v>
      </c>
      <c r="J58" s="48">
        <f t="shared" si="17"/>
        <v>1499572.6801475484</v>
      </c>
      <c r="K58" s="48">
        <f t="shared" si="17"/>
        <v>1482160.6848446382</v>
      </c>
      <c r="L58" s="48">
        <f t="shared" si="17"/>
        <v>1479390.7702038798</v>
      </c>
      <c r="M58" s="48">
        <f t="shared" si="17"/>
        <v>1471139.3033535401</v>
      </c>
      <c r="N58" s="48">
        <f t="shared" si="17"/>
        <v>1498917.0965549974</v>
      </c>
      <c r="O58" s="48">
        <f t="shared" si="17"/>
        <v>1563791.5295370056</v>
      </c>
      <c r="P58" s="48">
        <f t="shared" si="17"/>
        <v>1570631.3851444202</v>
      </c>
      <c r="Q58" s="48">
        <f t="shared" si="17"/>
        <v>1517378.6186844618</v>
      </c>
      <c r="R58" s="48">
        <f t="shared" si="17"/>
        <v>1398525.4134280642</v>
      </c>
      <c r="S58" s="48">
        <f t="shared" si="17"/>
        <v>1533682.7751338514</v>
      </c>
      <c r="T58" s="48">
        <f t="shared" si="17"/>
        <v>1609122.7922049053</v>
      </c>
      <c r="U58" s="48">
        <f t="shared" si="17"/>
        <v>1647308.5354742594</v>
      </c>
      <c r="V58" s="48">
        <f t="shared" si="17"/>
        <v>1785071.1768074406</v>
      </c>
      <c r="W58" s="48">
        <f t="shared" si="17"/>
        <v>1894686.7783022877</v>
      </c>
      <c r="X58" s="48">
        <f t="shared" si="17"/>
        <v>1954237.9985346072</v>
      </c>
      <c r="Y58" s="48">
        <f t="shared" si="17"/>
        <v>1937539.8273195899</v>
      </c>
      <c r="Z58" s="48">
        <f t="shared" si="17"/>
        <v>1942299.4704810346</v>
      </c>
      <c r="AA58" s="48">
        <f t="shared" si="17"/>
        <v>1867602.9252529845</v>
      </c>
      <c r="AB58" s="48">
        <f t="shared" si="17"/>
        <v>1825748.0628765402</v>
      </c>
      <c r="AC58" s="48">
        <f t="shared" si="17"/>
        <v>1749723.1421584252</v>
      </c>
      <c r="AD58" s="48">
        <f t="shared" si="17"/>
        <v>1662114.4422194599</v>
      </c>
      <c r="AE58" s="48">
        <f t="shared" si="17"/>
        <v>1592878.0232021199</v>
      </c>
      <c r="AF58" s="48">
        <f t="shared" si="17"/>
        <v>1557651.7733939083</v>
      </c>
      <c r="AG58" s="49">
        <f>SUM(I58:AF58)</f>
        <v>39571326.8174043</v>
      </c>
    </row>
    <row r="59" spans="1:37" ht="14">
      <c r="A59" s="66"/>
      <c r="E59" s="84">
        <v>46327</v>
      </c>
      <c r="F59" s="79">
        <f t="shared" ref="F59" si="18">+AG63</f>
        <v>38022246.437598482</v>
      </c>
      <c r="G59" s="40" t="s">
        <v>60</v>
      </c>
      <c r="H59" s="40">
        <v>19</v>
      </c>
      <c r="I59" s="73">
        <v>50324.892803369803</v>
      </c>
      <c r="J59" s="73">
        <v>49238.550648702934</v>
      </c>
      <c r="K59" s="73">
        <v>48362.619733547544</v>
      </c>
      <c r="L59" s="73">
        <v>47751.606400209268</v>
      </c>
      <c r="M59" s="73">
        <v>48167.85318869535</v>
      </c>
      <c r="N59" s="73">
        <v>49473.195305606947</v>
      </c>
      <c r="O59" s="73">
        <v>52988.35959256866</v>
      </c>
      <c r="P59" s="73">
        <v>58134.788678933022</v>
      </c>
      <c r="Q59" s="73">
        <v>58337.484401958784</v>
      </c>
      <c r="R59" s="73">
        <v>56725.07745037217</v>
      </c>
      <c r="S59" s="73">
        <v>59566.340350248756</v>
      </c>
      <c r="T59" s="73">
        <v>59145.864564371201</v>
      </c>
      <c r="U59" s="73">
        <v>58274.049598760204</v>
      </c>
      <c r="V59" s="73">
        <v>64032.105892221749</v>
      </c>
      <c r="W59" s="73">
        <v>66560.934226691912</v>
      </c>
      <c r="X59" s="73">
        <v>67691.824669840644</v>
      </c>
      <c r="Y59" s="73">
        <v>66994.632065278303</v>
      </c>
      <c r="Z59" s="73">
        <v>66908.568791140235</v>
      </c>
      <c r="AA59" s="73">
        <v>63989.352473673876</v>
      </c>
      <c r="AB59" s="73">
        <v>62169.497403639507</v>
      </c>
      <c r="AC59" s="73">
        <v>59259.218163214682</v>
      </c>
      <c r="AD59" s="73">
        <v>55951.539027939587</v>
      </c>
      <c r="AE59" s="73">
        <v>53325.189760495829</v>
      </c>
      <c r="AF59" s="73">
        <v>52068.727189132645</v>
      </c>
      <c r="AG59" s="41">
        <f>+SUM(I59:AF59)*H59</f>
        <v>26133403.175231662</v>
      </c>
      <c r="AJ59" s="74"/>
    </row>
    <row r="60" spans="1:37" ht="14">
      <c r="A60" s="66"/>
      <c r="E60" s="85">
        <v>46327</v>
      </c>
      <c r="F60" s="80"/>
      <c r="G60" s="42" t="s">
        <v>63</v>
      </c>
      <c r="H60" s="42">
        <v>4</v>
      </c>
      <c r="I60" s="73">
        <v>49102.851742964805</v>
      </c>
      <c r="J60" s="73">
        <v>48036.923181596016</v>
      </c>
      <c r="K60" s="73">
        <v>47692.009072818066</v>
      </c>
      <c r="L60" s="73">
        <v>47644.851953055026</v>
      </c>
      <c r="M60" s="73">
        <v>47053.764929443816</v>
      </c>
      <c r="N60" s="73">
        <v>48347.783166779074</v>
      </c>
      <c r="O60" s="73">
        <v>52622.296986752517</v>
      </c>
      <c r="P60" s="73">
        <v>52933.006352114338</v>
      </c>
      <c r="Q60" s="73">
        <v>50736.128294071343</v>
      </c>
      <c r="R60" s="73">
        <v>49428.029399354593</v>
      </c>
      <c r="S60" s="73">
        <v>51185.641938578301</v>
      </c>
      <c r="T60" s="73">
        <v>49597.494475571599</v>
      </c>
      <c r="U60" s="73">
        <v>46477.252427602332</v>
      </c>
      <c r="V60" s="73">
        <v>46451.628872620917</v>
      </c>
      <c r="W60" s="73">
        <v>50725.989237707196</v>
      </c>
      <c r="X60" s="73">
        <v>61990.346042687765</v>
      </c>
      <c r="Y60" s="73">
        <v>62323.169839672541</v>
      </c>
      <c r="Z60" s="73">
        <v>63168.55928636335</v>
      </c>
      <c r="AA60" s="73">
        <v>60790.105823969439</v>
      </c>
      <c r="AB60" s="73">
        <v>59627.182043358371</v>
      </c>
      <c r="AC60" s="73">
        <v>57162.550804322636</v>
      </c>
      <c r="AD60" s="73">
        <v>53813.362120138074</v>
      </c>
      <c r="AE60" s="73">
        <v>51073.36613053827</v>
      </c>
      <c r="AF60" s="73">
        <v>49663.524869845263</v>
      </c>
      <c r="AG60" s="43">
        <f>+SUM(I60:AF60)*H60</f>
        <v>5030591.2759677023</v>
      </c>
      <c r="AJ60" s="74"/>
      <c r="AK60" s="75"/>
    </row>
    <row r="61" spans="1:37" ht="14">
      <c r="A61" s="66"/>
      <c r="E61" s="85">
        <v>46327</v>
      </c>
      <c r="F61" s="80"/>
      <c r="G61" s="44" t="s">
        <v>61</v>
      </c>
      <c r="H61" s="44">
        <v>5</v>
      </c>
      <c r="I61" s="73">
        <v>45822.340284353166</v>
      </c>
      <c r="J61" s="73">
        <v>45384.619068959961</v>
      </c>
      <c r="K61" s="73">
        <v>45193.646940004219</v>
      </c>
      <c r="L61" s="73">
        <v>45147.461072171325</v>
      </c>
      <c r="M61" s="73">
        <v>45376.463998647465</v>
      </c>
      <c r="N61" s="73">
        <v>43824.653750645302</v>
      </c>
      <c r="O61" s="73">
        <v>38940.944196179757</v>
      </c>
      <c r="P61" s="73">
        <v>33188.152710833056</v>
      </c>
      <c r="Q61" s="73">
        <v>28522.669133491356</v>
      </c>
      <c r="R61" s="73">
        <v>25903.462379906741</v>
      </c>
      <c r="S61" s="73">
        <v>27231.349472439957</v>
      </c>
      <c r="T61" s="73">
        <v>29282.407008132595</v>
      </c>
      <c r="U61" s="73">
        <v>31690.360012191035</v>
      </c>
      <c r="V61" s="73">
        <v>33245.776085703241</v>
      </c>
      <c r="W61" s="73">
        <v>40478.226336628839</v>
      </c>
      <c r="X61" s="73">
        <v>45381.571194631761</v>
      </c>
      <c r="Y61" s="73">
        <v>45417.174053664072</v>
      </c>
      <c r="Z61" s="73">
        <v>45635.306797531157</v>
      </c>
      <c r="AA61" s="73">
        <v>45153.916074752953</v>
      </c>
      <c r="AB61" s="73">
        <v>45405.827157068052</v>
      </c>
      <c r="AC61" s="73">
        <v>44922.812739653607</v>
      </c>
      <c r="AD61" s="73">
        <v>44565.012865898236</v>
      </c>
      <c r="AE61" s="73">
        <v>44431.955881458271</v>
      </c>
      <c r="AF61" s="73">
        <v>44056.000711358007</v>
      </c>
      <c r="AG61" s="43">
        <f>+SUM(I61:AF61)*H61</f>
        <v>4821010.5496315211</v>
      </c>
      <c r="AJ61" s="74"/>
      <c r="AK61" s="75"/>
    </row>
    <row r="62" spans="1:37" ht="14">
      <c r="A62" s="66"/>
      <c r="E62" s="85">
        <v>46327</v>
      </c>
      <c r="F62" s="80"/>
      <c r="G62" s="45" t="s">
        <v>62</v>
      </c>
      <c r="H62" s="45">
        <v>2</v>
      </c>
      <c r="I62" s="73">
        <v>47915.190775726769</v>
      </c>
      <c r="J62" s="73">
        <v>46505.534546109877</v>
      </c>
      <c r="K62" s="73">
        <v>44873.410556074261</v>
      </c>
      <c r="L62" s="73">
        <v>44179.198040368152</v>
      </c>
      <c r="M62" s="73">
        <v>44497.622360119225</v>
      </c>
      <c r="N62" s="73">
        <v>44329.295216495986</v>
      </c>
      <c r="O62" s="73">
        <v>41774.897370634513</v>
      </c>
      <c r="P62" s="73">
        <v>38829.18535370363</v>
      </c>
      <c r="Q62" s="73">
        <v>35956.222891362777</v>
      </c>
      <c r="R62" s="73">
        <v>34364.986517774647</v>
      </c>
      <c r="S62" s="73">
        <v>35924.75501383526</v>
      </c>
      <c r="T62" s="73">
        <v>38632.059776102295</v>
      </c>
      <c r="U62" s="73">
        <v>40338.690975206671</v>
      </c>
      <c r="V62" s="73">
        <v>42012.114805761885</v>
      </c>
      <c r="W62" s="73">
        <v>43347.183480014624</v>
      </c>
      <c r="X62" s="73">
        <v>44095.92395532821</v>
      </c>
      <c r="Y62" s="73">
        <v>43642.453296394124</v>
      </c>
      <c r="Z62" s="73">
        <v>44533.407594549419</v>
      </c>
      <c r="AA62" s="73">
        <v>44402.161421497534</v>
      </c>
      <c r="AB62" s="73">
        <v>45016.008444481617</v>
      </c>
      <c r="AC62" s="73">
        <v>44027.603039747133</v>
      </c>
      <c r="AD62" s="73">
        <v>43463.711946279625</v>
      </c>
      <c r="AE62" s="73">
        <v>43180.533506587497</v>
      </c>
      <c r="AF62" s="73">
        <v>42778.567499642464</v>
      </c>
      <c r="AG62" s="46">
        <f>+SUM(I62:AF62)*H62</f>
        <v>2037241.4367675965</v>
      </c>
      <c r="AJ62" s="74"/>
      <c r="AK62" s="75"/>
    </row>
    <row r="63" spans="1:37" ht="15" thickBot="1">
      <c r="A63" s="66"/>
      <c r="E63" s="85">
        <v>46327</v>
      </c>
      <c r="F63" s="81"/>
      <c r="G63" s="47" t="s">
        <v>10</v>
      </c>
      <c r="H63" s="47">
        <f>+SUM(H59:H62)</f>
        <v>30</v>
      </c>
      <c r="I63" s="48">
        <f t="shared" ref="I63:AF63" si="19">+SUMPRODUCT(I59:I62,$H59:$H62)</f>
        <v>1477526.4532091049</v>
      </c>
      <c r="J63" s="48">
        <f t="shared" si="19"/>
        <v>1447614.3194887594</v>
      </c>
      <c r="K63" s="48">
        <f t="shared" si="19"/>
        <v>1425372.8670408453</v>
      </c>
      <c r="L63" s="48">
        <f t="shared" si="19"/>
        <v>1411955.6308577892</v>
      </c>
      <c r="M63" s="48">
        <f t="shared" si="19"/>
        <v>1419281.8350164627</v>
      </c>
      <c r="N63" s="48">
        <f t="shared" si="19"/>
        <v>1441163.7026598665</v>
      </c>
      <c r="O63" s="48">
        <f t="shared" si="19"/>
        <v>1495522.5359279823</v>
      </c>
      <c r="P63" s="48">
        <f t="shared" si="19"/>
        <v>1559892.1445697574</v>
      </c>
      <c r="Q63" s="48">
        <f t="shared" si="19"/>
        <v>1525882.5082636846</v>
      </c>
      <c r="R63" s="48">
        <f t="shared" si="19"/>
        <v>1473735.8740895726</v>
      </c>
      <c r="S63" s="48">
        <f t="shared" si="19"/>
        <v>1544509.2917989097</v>
      </c>
      <c r="T63" s="48">
        <f t="shared" si="19"/>
        <v>1545837.5592182067</v>
      </c>
      <c r="U63" s="48">
        <f t="shared" si="19"/>
        <v>1532245.1340982218</v>
      </c>
      <c r="V63" s="48">
        <f t="shared" si="19"/>
        <v>1652669.637482737</v>
      </c>
      <c r="W63" s="48">
        <f t="shared" si="19"/>
        <v>1756647.2059011485</v>
      </c>
      <c r="X63" s="48">
        <f t="shared" si="19"/>
        <v>1849205.7567815385</v>
      </c>
      <c r="Y63" s="48">
        <f t="shared" si="19"/>
        <v>1836561.4654600865</v>
      </c>
      <c r="Z63" s="48">
        <f t="shared" si="19"/>
        <v>1841180.3933538727</v>
      </c>
      <c r="AA63" s="48">
        <f t="shared" si="19"/>
        <v>1773532.0235124414</v>
      </c>
      <c r="AB63" s="48">
        <f t="shared" si="19"/>
        <v>1736790.3315168878</v>
      </c>
      <c r="AC63" s="48">
        <f t="shared" si="19"/>
        <v>1667244.6180961318</v>
      </c>
      <c r="AD63" s="48">
        <f t="shared" si="19"/>
        <v>1588085.1782334549</v>
      </c>
      <c r="AE63" s="48">
        <f t="shared" si="19"/>
        <v>1525992.9163920402</v>
      </c>
      <c r="AF63" s="48">
        <f t="shared" si="19"/>
        <v>1493797.0546289764</v>
      </c>
      <c r="AG63" s="49">
        <f>SUM(I63:AF63)</f>
        <v>38022246.437598482</v>
      </c>
    </row>
    <row r="64" spans="1:37" ht="14">
      <c r="A64" s="66"/>
      <c r="E64" s="84">
        <v>46357</v>
      </c>
      <c r="F64" s="79">
        <f t="shared" ref="F64" si="20">+AG68</f>
        <v>38156820.683951899</v>
      </c>
      <c r="G64" s="40" t="s">
        <v>60</v>
      </c>
      <c r="H64" s="40">
        <v>21</v>
      </c>
      <c r="I64" s="73">
        <v>48405.573162777029</v>
      </c>
      <c r="J64" s="73">
        <v>47320.002400775804</v>
      </c>
      <c r="K64" s="73">
        <v>46708.04228043594</v>
      </c>
      <c r="L64" s="73">
        <v>46683.935314526752</v>
      </c>
      <c r="M64" s="73">
        <v>46261.278899459743</v>
      </c>
      <c r="N64" s="73">
        <v>47563.828384176159</v>
      </c>
      <c r="O64" s="73">
        <v>50625.713751559611</v>
      </c>
      <c r="P64" s="73">
        <v>54235.894603755078</v>
      </c>
      <c r="Q64" s="73">
        <v>52419.226483807448</v>
      </c>
      <c r="R64" s="73">
        <v>49779.586078878921</v>
      </c>
      <c r="S64" s="73">
        <v>55751.964114912109</v>
      </c>
      <c r="T64" s="73">
        <v>58210.089942918778</v>
      </c>
      <c r="U64" s="73">
        <v>58861.736986772637</v>
      </c>
      <c r="V64" s="73">
        <v>62790.511943559926</v>
      </c>
      <c r="W64" s="73">
        <v>64679.651733141611</v>
      </c>
      <c r="X64" s="73">
        <v>65825.179099826913</v>
      </c>
      <c r="Y64" s="73">
        <v>65126.803885995323</v>
      </c>
      <c r="Z64" s="73">
        <v>65047.688432589894</v>
      </c>
      <c r="AA64" s="73">
        <v>62120.757655026842</v>
      </c>
      <c r="AB64" s="73">
        <v>60303.210501492642</v>
      </c>
      <c r="AC64" s="73">
        <v>57378.280962556266</v>
      </c>
      <c r="AD64" s="73">
        <v>54060.754663758897</v>
      </c>
      <c r="AE64" s="73">
        <v>51420.785943715047</v>
      </c>
      <c r="AF64" s="73">
        <v>50156.248988331565</v>
      </c>
      <c r="AG64" s="41">
        <f>+SUM(I64:AF64)*H64</f>
        <v>27756471.670509774</v>
      </c>
      <c r="AJ64" s="74"/>
    </row>
    <row r="65" spans="1:37" ht="14">
      <c r="A65" s="66"/>
      <c r="E65" s="85">
        <v>46357</v>
      </c>
      <c r="F65" s="80"/>
      <c r="G65" s="42" t="s">
        <v>63</v>
      </c>
      <c r="H65" s="42">
        <v>4</v>
      </c>
      <c r="I65" s="73">
        <v>47253.062922403857</v>
      </c>
      <c r="J65" s="73">
        <v>46182.94145881127</v>
      </c>
      <c r="K65" s="73">
        <v>45799.928243127368</v>
      </c>
      <c r="L65" s="73">
        <v>45616.014313455642</v>
      </c>
      <c r="M65" s="73">
        <v>45223.129167679937</v>
      </c>
      <c r="N65" s="73">
        <v>46205.721476734128</v>
      </c>
      <c r="O65" s="73">
        <v>48897.775860714086</v>
      </c>
      <c r="P65" s="73">
        <v>48504.391169460672</v>
      </c>
      <c r="Q65" s="73">
        <v>44261.840375920008</v>
      </c>
      <c r="R65" s="73">
        <v>41947.438027861295</v>
      </c>
      <c r="S65" s="73">
        <v>46816.495703241693</v>
      </c>
      <c r="T65" s="73">
        <v>47913.459854119188</v>
      </c>
      <c r="U65" s="73">
        <v>45543.939815614765</v>
      </c>
      <c r="V65" s="73">
        <v>47964.896771120337</v>
      </c>
      <c r="W65" s="73">
        <v>52970.497128000468</v>
      </c>
      <c r="X65" s="73">
        <v>60861.361716026251</v>
      </c>
      <c r="Y65" s="73">
        <v>60498.319922414579</v>
      </c>
      <c r="Z65" s="73">
        <v>61347.768990594697</v>
      </c>
      <c r="AA65" s="73">
        <v>58977.052766620196</v>
      </c>
      <c r="AB65" s="73">
        <v>57797.99041425233</v>
      </c>
      <c r="AC65" s="73">
        <v>55321.059658000187</v>
      </c>
      <c r="AD65" s="73">
        <v>51965.97204346826</v>
      </c>
      <c r="AE65" s="73">
        <v>49226.900857561071</v>
      </c>
      <c r="AF65" s="73">
        <v>47812.245744814427</v>
      </c>
      <c r="AG65" s="43">
        <f>+SUM(I65:AF65)*H65</f>
        <v>4819640.8176080659</v>
      </c>
      <c r="AJ65" s="74"/>
      <c r="AK65" s="75"/>
    </row>
    <row r="66" spans="1:37" ht="14">
      <c r="A66" s="66"/>
      <c r="E66" s="85">
        <v>46357</v>
      </c>
      <c r="F66" s="80"/>
      <c r="G66" s="44" t="s">
        <v>61</v>
      </c>
      <c r="H66" s="44">
        <v>4</v>
      </c>
      <c r="I66" s="73">
        <v>43758.605469394737</v>
      </c>
      <c r="J66" s="73">
        <v>43331.529870483551</v>
      </c>
      <c r="K66" s="73">
        <v>43058.025471705136</v>
      </c>
      <c r="L66" s="73">
        <v>42867.623372409173</v>
      </c>
      <c r="M66" s="73">
        <v>43152.281634885956</v>
      </c>
      <c r="N66" s="73">
        <v>42766.715605828984</v>
      </c>
      <c r="O66" s="73">
        <v>40696.015263573034</v>
      </c>
      <c r="P66" s="73">
        <v>27786.097528179402</v>
      </c>
      <c r="Q66" s="73">
        <v>20794.631215340014</v>
      </c>
      <c r="R66" s="73">
        <v>17063.141008413444</v>
      </c>
      <c r="S66" s="73">
        <v>21425.413237103356</v>
      </c>
      <c r="T66" s="73">
        <v>26320.282386680199</v>
      </c>
      <c r="U66" s="73">
        <v>29695.627400203448</v>
      </c>
      <c r="V66" s="73">
        <v>33830.113984202668</v>
      </c>
      <c r="W66" s="73">
        <v>40942.094226922112</v>
      </c>
      <c r="X66" s="73">
        <v>43354.975797512903</v>
      </c>
      <c r="Y66" s="73">
        <v>43389.95190646869</v>
      </c>
      <c r="Z66" s="73">
        <v>43607.320190640312</v>
      </c>
      <c r="AA66" s="73">
        <v>43131.111803379594</v>
      </c>
      <c r="AB66" s="73">
        <v>43377.587149026709</v>
      </c>
      <c r="AC66" s="73">
        <v>42899.73514204684</v>
      </c>
      <c r="AD66" s="73">
        <v>42544.860455206166</v>
      </c>
      <c r="AE66" s="73">
        <v>42409.954302653736</v>
      </c>
      <c r="AF66" s="73">
        <v>42042.672558838101</v>
      </c>
      <c r="AG66" s="43">
        <f>+SUM(I66:AF66)*H66</f>
        <v>3616985.4679243932</v>
      </c>
      <c r="AJ66" s="74"/>
      <c r="AK66" s="75"/>
    </row>
    <row r="67" spans="1:37" ht="14">
      <c r="A67" s="66"/>
      <c r="E67" s="85">
        <v>46357</v>
      </c>
      <c r="F67" s="80"/>
      <c r="G67" s="45" t="s">
        <v>62</v>
      </c>
      <c r="H67" s="45">
        <v>2</v>
      </c>
      <c r="I67" s="73">
        <v>46636.477233928366</v>
      </c>
      <c r="J67" s="73">
        <v>46078.431531599243</v>
      </c>
      <c r="K67" s="73">
        <v>45798.425410414595</v>
      </c>
      <c r="L67" s="73">
        <v>45577.199758856921</v>
      </c>
      <c r="M67" s="73">
        <v>45505.872161651991</v>
      </c>
      <c r="N67" s="73">
        <v>43560.991768924992</v>
      </c>
      <c r="O67" s="73">
        <v>43528.198438027786</v>
      </c>
      <c r="P67" s="73">
        <v>33513.15017104998</v>
      </c>
      <c r="Q67" s="73">
        <v>28331.044973211443</v>
      </c>
      <c r="R67" s="73">
        <v>25585.52514628135</v>
      </c>
      <c r="S67" s="73">
        <v>30180.878778498627</v>
      </c>
      <c r="T67" s="73">
        <v>35747.125154649904</v>
      </c>
      <c r="U67" s="73">
        <v>38429.268363219104</v>
      </c>
      <c r="V67" s="73">
        <v>42675.162704261318</v>
      </c>
      <c r="W67" s="73">
        <v>43924.410262999576</v>
      </c>
      <c r="X67" s="73">
        <v>43257.892465993464</v>
      </c>
      <c r="Y67" s="73">
        <v>42838.542940025705</v>
      </c>
      <c r="Z67" s="73">
        <v>43653.403640418335</v>
      </c>
      <c r="AA67" s="73">
        <v>43515.039081880474</v>
      </c>
      <c r="AB67" s="73">
        <v>44052.330855893772</v>
      </c>
      <c r="AC67" s="73">
        <v>43063.107314747365</v>
      </c>
      <c r="AD67" s="73">
        <v>42470.868236370312</v>
      </c>
      <c r="AE67" s="73">
        <v>42173.9071408358</v>
      </c>
      <c r="AF67" s="73">
        <v>41764.11042109759</v>
      </c>
      <c r="AG67" s="46">
        <f>+SUM(I67:AF67)*H67</f>
        <v>1963722.727909676</v>
      </c>
      <c r="AJ67" s="74"/>
      <c r="AK67" s="75"/>
    </row>
    <row r="68" spans="1:37" ht="15" thickBot="1">
      <c r="A68" s="66"/>
      <c r="E68" s="85">
        <v>46357</v>
      </c>
      <c r="F68" s="81"/>
      <c r="G68" s="47" t="s">
        <v>10</v>
      </c>
      <c r="H68" s="47">
        <f>+SUM(H64:H67)</f>
        <v>31</v>
      </c>
      <c r="I68" s="48">
        <f t="shared" ref="I68:AF68" si="21">+SUMPRODUCT(I64:I67,$H64:$H67)</f>
        <v>1473836.6644533686</v>
      </c>
      <c r="J68" s="48">
        <f t="shared" si="21"/>
        <v>1443934.7987966698</v>
      </c>
      <c r="K68" s="48">
        <f t="shared" si="21"/>
        <v>1427897.5535693138</v>
      </c>
      <c r="L68" s="48">
        <f t="shared" si="21"/>
        <v>1425451.591866235</v>
      </c>
      <c r="M68" s="48">
        <f t="shared" si="21"/>
        <v>1416000.244422222</v>
      </c>
      <c r="N68" s="48">
        <f t="shared" si="21"/>
        <v>1441852.1279358016</v>
      </c>
      <c r="O68" s="48">
        <f t="shared" si="21"/>
        <v>1508571.5501559558</v>
      </c>
      <c r="P68" s="48">
        <f t="shared" si="21"/>
        <v>1511142.041811517</v>
      </c>
      <c r="Q68" s="48">
        <f t="shared" si="21"/>
        <v>1417691.7324714193</v>
      </c>
      <c r="R68" s="48">
        <f t="shared" si="21"/>
        <v>1332584.6740941189</v>
      </c>
      <c r="S68" s="48">
        <f t="shared" si="21"/>
        <v>1504120.6397315317</v>
      </c>
      <c r="T68" s="48">
        <f t="shared" si="21"/>
        <v>1590841.1080737917</v>
      </c>
      <c r="U68" s="48">
        <f t="shared" si="21"/>
        <v>1613913.2823119364</v>
      </c>
      <c r="V68" s="48">
        <f t="shared" si="21"/>
        <v>1731131.1192445732</v>
      </c>
      <c r="W68" s="48">
        <f t="shared" si="21"/>
        <v>1821771.8723416636</v>
      </c>
      <c r="X68" s="48">
        <f t="shared" si="21"/>
        <v>1885709.8960825088</v>
      </c>
      <c r="Y68" s="48">
        <f t="shared" si="21"/>
        <v>1868893.0548014864</v>
      </c>
      <c r="Z68" s="48">
        <f t="shared" si="21"/>
        <v>1873128.6210901644</v>
      </c>
      <c r="AA68" s="48">
        <f t="shared" si="21"/>
        <v>1799998.6471993239</v>
      </c>
      <c r="AB68" s="48">
        <f t="shared" si="21"/>
        <v>1759174.3924962492</v>
      </c>
      <c r="AC68" s="48">
        <f t="shared" si="21"/>
        <v>1683953.2940433645</v>
      </c>
      <c r="AD68" s="48">
        <f t="shared" si="21"/>
        <v>1598260.9144063753</v>
      </c>
      <c r="AE68" s="48">
        <f t="shared" si="21"/>
        <v>1530731.7397405468</v>
      </c>
      <c r="AF68" s="48">
        <f t="shared" si="21"/>
        <v>1496229.122811768</v>
      </c>
      <c r="AG68" s="49">
        <f>SUM(I68:AF68)</f>
        <v>38156820.683951899</v>
      </c>
    </row>
    <row r="72" spans="1:37">
      <c r="F72" s="69"/>
      <c r="AG72" s="70"/>
    </row>
    <row r="74" spans="1:37" ht="20">
      <c r="E74" s="59"/>
    </row>
    <row r="75" spans="1:37">
      <c r="E75" s="60"/>
    </row>
    <row r="76" spans="1:37">
      <c r="E76" s="60"/>
    </row>
  </sheetData>
  <protectedRanges>
    <protectedRange algorithmName="SHA-512" hashValue="ddMXVrQS0fgB43c0atEM6OKu6oDWAMpeJLqJjfuwWmQe8OHAIs2JeDVHZWeRY9WToyZdUZnhWoqdJcb06CPmZw==" saltValue="nLR4AFgxssXjR1gopeih9Q==" spinCount="100000" sqref="E6:AG8 E13:AG13 E9:H12 AG9:AG12 AG14:AG17 AG19:AG22 AG24:AG27 AG29:AG32 AG34:AG37 AG39:AG42 AG44:AG47 AG49:AG52 AG54:AG57 AG59:AG62 E14:F68 AG64:AG67 G18:AG18 G14:H17 G23:AG23 G19:H22 G28:AG28 G24:H27 G33:AG33 G29:H32 G38:AG38 G34:H37 G43:AG43 G39:H42 G48:AG48 G44:H47 G53:AG53 G49:H52 G58:AG58 G54:H57 G63:AG63 G59:H62 G68:AG68 G64:H67" name="Rango2_1"/>
    <protectedRange algorithmName="SHA-512" hashValue="ddMXVrQS0fgB43c0atEM6OKu6oDWAMpeJLqJjfuwWmQe8OHAIs2JeDVHZWeRY9WToyZdUZnhWoqdJcb06CPmZw==" saltValue="nLR4AFgxssXjR1gopeih9Q==" spinCount="100000" sqref="E1:AG5" name="Rango2_1_2_2"/>
  </protectedRanges>
  <autoFilter ref="E8:AG68" xr:uid="{A4417EE0-3581-4D15-BFC8-A3F213F19E9D}"/>
  <mergeCells count="30">
    <mergeCell ref="F59:F63"/>
    <mergeCell ref="E34:E38"/>
    <mergeCell ref="E39:E43"/>
    <mergeCell ref="E44:E48"/>
    <mergeCell ref="F34:F38"/>
    <mergeCell ref="F39:F43"/>
    <mergeCell ref="F44:F48"/>
    <mergeCell ref="F49:F53"/>
    <mergeCell ref="F54:F58"/>
    <mergeCell ref="F9:F13"/>
    <mergeCell ref="F14:F18"/>
    <mergeCell ref="F19:F23"/>
    <mergeCell ref="F24:F28"/>
    <mergeCell ref="F29:F33"/>
    <mergeCell ref="F64:F68"/>
    <mergeCell ref="G7:H7"/>
    <mergeCell ref="E1:AG1"/>
    <mergeCell ref="E2:AG2"/>
    <mergeCell ref="E3:AG3"/>
    <mergeCell ref="E4:AG4"/>
    <mergeCell ref="E5:AG5"/>
    <mergeCell ref="E49:E53"/>
    <mergeCell ref="E54:E58"/>
    <mergeCell ref="E9:E13"/>
    <mergeCell ref="E14:E18"/>
    <mergeCell ref="E19:E23"/>
    <mergeCell ref="E24:E28"/>
    <mergeCell ref="E29:E33"/>
    <mergeCell ref="E59:E63"/>
    <mergeCell ref="E64:E6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9A9E-423B-4EF5-98EF-6B40ED72C697}">
  <sheetPr>
    <pageSetUpPr fitToPage="1"/>
  </sheetPr>
  <dimension ref="A1:IU35"/>
  <sheetViews>
    <sheetView showGridLines="0" zoomScale="85" zoomScaleNormal="85" zoomScaleSheetLayoutView="100" workbookViewId="0">
      <selection sqref="A1:I35"/>
    </sheetView>
  </sheetViews>
  <sheetFormatPr baseColWidth="10" defaultColWidth="0" defaultRowHeight="0" customHeight="1" zeroHeight="1"/>
  <cols>
    <col min="1" max="1" width="5.453125" style="18" customWidth="1"/>
    <col min="2" max="2" width="1" style="18" customWidth="1"/>
    <col min="3" max="3" width="19" style="18" customWidth="1"/>
    <col min="4" max="4" width="23.54296875" style="18" customWidth="1"/>
    <col min="5" max="5" width="19.54296875" style="18" customWidth="1"/>
    <col min="6" max="6" width="22.54296875" style="18" bestFit="1" customWidth="1"/>
    <col min="7" max="7" width="16.54296875" style="18" customWidth="1"/>
    <col min="8" max="8" width="1.453125" style="18" customWidth="1"/>
    <col min="9" max="9" width="8.453125" style="18" customWidth="1"/>
    <col min="10" max="10" width="1.54296875" style="18" hidden="1" customWidth="1"/>
    <col min="11" max="255" width="3.453125" style="18" hidden="1" customWidth="1"/>
    <col min="256" max="16384" width="5.54296875" style="18" hidden="1"/>
  </cols>
  <sheetData>
    <row r="1" spans="1:12" s="17" customFormat="1" ht="26.25" customHeight="1">
      <c r="A1" s="15"/>
      <c r="B1" s="15"/>
      <c r="C1" s="76" t="s">
        <v>66</v>
      </c>
      <c r="D1" s="76"/>
      <c r="E1" s="76"/>
      <c r="F1" s="76"/>
      <c r="G1" s="76"/>
      <c r="H1" s="16"/>
      <c r="I1" s="16"/>
    </row>
    <row r="2" spans="1:12" ht="34.5" customHeight="1">
      <c r="C2" s="76" t="s">
        <v>67</v>
      </c>
      <c r="D2" s="76"/>
      <c r="E2" s="76"/>
      <c r="F2" s="76"/>
      <c r="G2" s="76"/>
      <c r="H2" s="16"/>
      <c r="I2" s="16"/>
    </row>
    <row r="3" spans="1:12" ht="16.5">
      <c r="C3" s="19" t="s">
        <v>0</v>
      </c>
      <c r="D3" s="20" t="s">
        <v>1</v>
      </c>
    </row>
    <row r="4" spans="1:12" ht="16.5">
      <c r="C4" s="21" t="s">
        <v>2</v>
      </c>
      <c r="D4" s="22" t="s">
        <v>3</v>
      </c>
    </row>
    <row r="5" spans="1:12" ht="16.5">
      <c r="C5" s="21" t="s">
        <v>4</v>
      </c>
      <c r="D5" s="39"/>
      <c r="E5" s="38"/>
      <c r="F5" s="38"/>
      <c r="G5" s="38"/>
    </row>
    <row r="6" spans="1:12" ht="16.5">
      <c r="C6" s="21"/>
      <c r="D6" s="39"/>
      <c r="E6" s="38"/>
      <c r="F6" s="38"/>
      <c r="G6" s="38"/>
    </row>
    <row r="7" spans="1:12" ht="16.5">
      <c r="B7" s="23"/>
      <c r="C7" s="19"/>
      <c r="D7" s="20"/>
      <c r="E7" s="20"/>
    </row>
    <row r="8" spans="1:12" ht="19.5" customHeight="1">
      <c r="C8"/>
      <c r="D8"/>
      <c r="E8"/>
      <c r="F8"/>
      <c r="G8"/>
      <c r="H8" s="71"/>
      <c r="I8" s="71"/>
      <c r="J8" s="71"/>
      <c r="K8" s="24"/>
      <c r="L8" s="24"/>
    </row>
    <row r="9" spans="1:12" ht="49.5" customHeight="1">
      <c r="C9" s="54" t="s">
        <v>5</v>
      </c>
      <c r="D9" s="30" t="s">
        <v>6</v>
      </c>
      <c r="E9" s="54" t="s">
        <v>7</v>
      </c>
      <c r="F9" s="54" t="s">
        <v>8</v>
      </c>
      <c r="G9" s="54" t="s">
        <v>9</v>
      </c>
      <c r="H9" s="71"/>
      <c r="I9" s="71"/>
      <c r="J9" s="71"/>
      <c r="K9" s="24"/>
      <c r="L9" s="24"/>
    </row>
    <row r="10" spans="1:12" ht="16.5">
      <c r="C10" s="55">
        <v>46388</v>
      </c>
      <c r="D10" s="34">
        <f>+_xlfn.XLOOKUP(C10,'Cantidades horarias PROD 02'!E:E,'Cantidades horarias PROD 02'!F:F)</f>
        <v>11440517.946075017</v>
      </c>
      <c r="E10" s="29">
        <v>1</v>
      </c>
      <c r="F10" s="34">
        <f t="shared" ref="F10:F21" si="0">ROUND(D10*$E10,2)</f>
        <v>11440517.949999999</v>
      </c>
      <c r="G10" s="77"/>
      <c r="H10" s="71"/>
      <c r="I10" s="71"/>
      <c r="J10" s="71"/>
      <c r="K10" s="24"/>
      <c r="L10" s="24"/>
    </row>
    <row r="11" spans="1:12" ht="16.5">
      <c r="C11" s="55">
        <v>46419</v>
      </c>
      <c r="D11" s="34">
        <f>+_xlfn.XLOOKUP(C11,'Cantidades horarias PROD 02'!E:E,'Cantidades horarias PROD 02'!F:F)</f>
        <v>10200417.606743844</v>
      </c>
      <c r="E11" s="29">
        <v>1</v>
      </c>
      <c r="F11" s="34">
        <f t="shared" si="0"/>
        <v>10200417.609999999</v>
      </c>
      <c r="G11" s="77"/>
      <c r="H11" s="71"/>
      <c r="I11" s="71"/>
      <c r="J11" s="71"/>
      <c r="K11" s="24"/>
      <c r="L11" s="24"/>
    </row>
    <row r="12" spans="1:12" ht="16.5">
      <c r="C12" s="55">
        <v>46447</v>
      </c>
      <c r="D12" s="34">
        <f>+_xlfn.XLOOKUP(C12,'Cantidades horarias PROD 02'!E:E,'Cantidades horarias PROD 02'!F:F)</f>
        <v>11568662.538138175</v>
      </c>
      <c r="E12" s="29">
        <v>1</v>
      </c>
      <c r="F12" s="34">
        <f t="shared" si="0"/>
        <v>11568662.539999999</v>
      </c>
      <c r="G12" s="77"/>
      <c r="H12" s="71"/>
      <c r="I12" s="71"/>
      <c r="J12" s="71"/>
      <c r="K12" s="24"/>
      <c r="L12" s="24"/>
    </row>
    <row r="13" spans="1:12" ht="16.5">
      <c r="C13" s="55">
        <v>46478</v>
      </c>
      <c r="D13" s="34">
        <f>+_xlfn.XLOOKUP(C13,'Cantidades horarias PROD 02'!E:E,'Cantidades horarias PROD 02'!F:F)</f>
        <v>11416736.570556594</v>
      </c>
      <c r="E13" s="29">
        <v>1</v>
      </c>
      <c r="F13" s="34">
        <f t="shared" si="0"/>
        <v>11416736.57</v>
      </c>
      <c r="G13" s="77"/>
      <c r="H13" s="71"/>
      <c r="I13" s="71"/>
      <c r="J13" s="71"/>
      <c r="K13" s="24"/>
      <c r="L13" s="24"/>
    </row>
    <row r="14" spans="1:12" ht="16.5">
      <c r="C14" s="55">
        <v>46508</v>
      </c>
      <c r="D14" s="34">
        <f>+_xlfn.XLOOKUP(C14,'Cantidades horarias PROD 02'!E:E,'Cantidades horarias PROD 02'!F:F)</f>
        <v>12949903.778691592</v>
      </c>
      <c r="E14" s="29">
        <v>1</v>
      </c>
      <c r="F14" s="34">
        <f t="shared" si="0"/>
        <v>12949903.779999999</v>
      </c>
      <c r="G14" s="77"/>
      <c r="H14" s="71"/>
      <c r="I14" s="71"/>
      <c r="J14" s="71"/>
      <c r="K14" s="24"/>
      <c r="L14" s="24"/>
    </row>
    <row r="15" spans="1:12" ht="16.5">
      <c r="C15" s="55">
        <v>46539</v>
      </c>
      <c r="D15" s="34">
        <f>+_xlfn.XLOOKUP(C15,'Cantidades horarias PROD 02'!E:E,'Cantidades horarias PROD 02'!F:F)</f>
        <v>11118311.965990597</v>
      </c>
      <c r="E15" s="29">
        <v>1</v>
      </c>
      <c r="F15" s="34">
        <f t="shared" si="0"/>
        <v>11118311.970000001</v>
      </c>
      <c r="G15" s="77"/>
      <c r="H15" s="71"/>
      <c r="I15" s="71"/>
      <c r="J15" s="71"/>
      <c r="K15" s="24"/>
      <c r="L15" s="24"/>
    </row>
    <row r="16" spans="1:12" ht="16.5">
      <c r="C16" s="55">
        <v>46569</v>
      </c>
      <c r="D16" s="34">
        <f>+_xlfn.XLOOKUP(C16,'Cantidades horarias PROD 02'!E:E,'Cantidades horarias PROD 02'!F:F)</f>
        <v>11391157.827409184</v>
      </c>
      <c r="E16" s="29">
        <v>1</v>
      </c>
      <c r="F16" s="34">
        <f t="shared" si="0"/>
        <v>11391157.83</v>
      </c>
      <c r="G16" s="77"/>
      <c r="H16" s="71"/>
      <c r="I16" s="71"/>
      <c r="J16" s="71"/>
      <c r="K16" s="24"/>
      <c r="L16" s="24"/>
    </row>
    <row r="17" spans="3:12" ht="16.5">
      <c r="C17" s="55">
        <v>46600</v>
      </c>
      <c r="D17" s="34">
        <f>+_xlfn.XLOOKUP(C17,'Cantidades horarias PROD 02'!E:E,'Cantidades horarias PROD 02'!F:F)</f>
        <v>11268128.340303766</v>
      </c>
      <c r="E17" s="29">
        <v>1</v>
      </c>
      <c r="F17" s="34">
        <f t="shared" si="0"/>
        <v>11268128.34</v>
      </c>
      <c r="G17" s="77"/>
      <c r="H17" s="71"/>
      <c r="I17" s="71"/>
      <c r="J17" s="71"/>
      <c r="K17" s="24"/>
      <c r="L17" s="24"/>
    </row>
    <row r="18" spans="3:12" ht="16.5">
      <c r="C18" s="55">
        <v>46631</v>
      </c>
      <c r="D18" s="34">
        <f>+_xlfn.XLOOKUP(C18,'Cantidades horarias PROD 02'!E:E,'Cantidades horarias PROD 02'!F:F)</f>
        <v>11165384.805903094</v>
      </c>
      <c r="E18" s="29">
        <v>1</v>
      </c>
      <c r="F18" s="34">
        <f t="shared" si="0"/>
        <v>11165384.810000001</v>
      </c>
      <c r="G18" s="77"/>
      <c r="H18" s="71"/>
      <c r="I18" s="71"/>
      <c r="J18" s="71"/>
      <c r="K18" s="24"/>
      <c r="L18" s="24"/>
    </row>
    <row r="19" spans="3:12" ht="16.5">
      <c r="C19" s="55">
        <v>46661</v>
      </c>
      <c r="D19" s="34">
        <f>+_xlfn.XLOOKUP(C19,'Cantidades horarias PROD 02'!E:E,'Cantidades horarias PROD 02'!F:F)</f>
        <v>11392404.722065046</v>
      </c>
      <c r="E19" s="29">
        <v>1</v>
      </c>
      <c r="F19" s="34">
        <f t="shared" si="0"/>
        <v>11392404.720000001</v>
      </c>
      <c r="G19" s="77"/>
      <c r="H19" s="71"/>
      <c r="I19" s="71"/>
      <c r="J19" s="71"/>
      <c r="K19" s="24"/>
      <c r="L19" s="24"/>
    </row>
    <row r="20" spans="3:12" ht="16.5">
      <c r="C20" s="55">
        <v>46692</v>
      </c>
      <c r="D20" s="34">
        <f>+_xlfn.XLOOKUP(C20,'Cantidades horarias PROD 02'!E:E,'Cantidades horarias PROD 02'!F:F)</f>
        <v>11092068.326524898</v>
      </c>
      <c r="E20" s="29">
        <v>1</v>
      </c>
      <c r="F20" s="34">
        <f t="shared" si="0"/>
        <v>11092068.33</v>
      </c>
      <c r="G20" s="77"/>
      <c r="H20" s="71"/>
      <c r="I20" s="71"/>
      <c r="J20" s="71"/>
      <c r="K20" s="24"/>
      <c r="L20" s="24"/>
    </row>
    <row r="21" spans="3:12" ht="16.5">
      <c r="C21" s="55">
        <v>46722</v>
      </c>
      <c r="D21" s="34">
        <f>+_xlfn.XLOOKUP(C21,'Cantidades horarias PROD 02'!E:E,'Cantidades horarias PROD 02'!F:F)</f>
        <v>11426855.519850831</v>
      </c>
      <c r="E21" s="29">
        <v>1</v>
      </c>
      <c r="F21" s="34">
        <f t="shared" si="0"/>
        <v>11426855.52</v>
      </c>
      <c r="G21" s="77"/>
      <c r="H21" s="71"/>
      <c r="I21" s="71"/>
      <c r="J21" s="71"/>
      <c r="K21" s="24"/>
      <c r="L21" s="24"/>
    </row>
    <row r="22" spans="3:12" ht="16.5">
      <c r="C22" s="50" t="s">
        <v>10</v>
      </c>
      <c r="D22" s="51">
        <f>SUM(D10:D21)</f>
        <v>136430549.94825262</v>
      </c>
      <c r="E22" s="53">
        <f>IFERROR(F22/D22,0)</f>
        <v>1.0000000001594025</v>
      </c>
      <c r="F22" s="51">
        <f>SUM(F10:F21)</f>
        <v>136430549.97</v>
      </c>
      <c r="G22" s="52">
        <f>G10</f>
        <v>0</v>
      </c>
      <c r="H22" s="71"/>
      <c r="I22" s="71"/>
      <c r="J22" s="71"/>
      <c r="K22" s="24"/>
      <c r="L22" s="24"/>
    </row>
    <row r="23" spans="3:12" ht="16.5">
      <c r="C23" s="32"/>
      <c r="D23" s="31"/>
      <c r="E23" s="36"/>
      <c r="F23" s="31"/>
      <c r="G23" s="35"/>
      <c r="H23" s="71"/>
      <c r="I23" s="71"/>
      <c r="J23" s="71"/>
      <c r="K23" s="24"/>
      <c r="L23" s="24"/>
    </row>
    <row r="24" spans="3:12" ht="19.5" customHeight="1">
      <c r="C24"/>
      <c r="D24" s="30" t="s">
        <v>11</v>
      </c>
      <c r="E24" s="37">
        <v>0.8</v>
      </c>
      <c r="F24"/>
      <c r="G24"/>
      <c r="H24" s="71"/>
      <c r="I24" s="71"/>
      <c r="J24" s="71"/>
      <c r="K24" s="24"/>
      <c r="L24" s="24"/>
    </row>
    <row r="25" spans="3:12" ht="16.5">
      <c r="D25" s="30" t="s">
        <v>12</v>
      </c>
      <c r="E25" s="33">
        <f>MIN(E10:E21)/MAX(E10:E21)</f>
        <v>1</v>
      </c>
      <c r="F25" s="25"/>
      <c r="G25" s="26"/>
      <c r="H25" s="26"/>
      <c r="I25" s="25"/>
      <c r="J25" s="25"/>
    </row>
    <row r="26" spans="3:12" ht="16.5">
      <c r="C26" s="27" t="s">
        <v>13</v>
      </c>
      <c r="D26" s="26"/>
      <c r="E26" s="26"/>
      <c r="F26" s="26"/>
      <c r="G26" s="26"/>
      <c r="H26" s="26"/>
      <c r="I26" s="25"/>
      <c r="J26" s="25"/>
    </row>
    <row r="27" spans="3:12" ht="16.5">
      <c r="C27" s="28" t="s">
        <v>71</v>
      </c>
      <c r="D27" s="26"/>
      <c r="E27" s="26"/>
      <c r="F27" s="26"/>
      <c r="G27" s="26"/>
      <c r="H27" s="26"/>
      <c r="I27" s="25"/>
      <c r="J27" s="25"/>
    </row>
    <row r="28" spans="3:12" ht="16.5">
      <c r="C28" s="28" t="s">
        <v>14</v>
      </c>
      <c r="I28" s="25"/>
      <c r="J28" s="25"/>
    </row>
    <row r="29" spans="3:12" ht="16.5">
      <c r="C29" s="78"/>
      <c r="D29" s="78"/>
      <c r="E29" s="78"/>
      <c r="F29" s="78"/>
      <c r="G29" s="78"/>
      <c r="H29" s="25"/>
      <c r="I29" s="25"/>
      <c r="J29" s="25"/>
    </row>
    <row r="30" spans="3:12" ht="16.5">
      <c r="C30" s="78"/>
      <c r="D30" s="78"/>
      <c r="E30" s="78"/>
      <c r="F30" s="78"/>
      <c r="G30" s="78"/>
    </row>
    <row r="31" spans="3:12" ht="16.5">
      <c r="E31" s="38"/>
      <c r="F31" s="56"/>
      <c r="G31" s="56"/>
    </row>
    <row r="32" spans="3:12" ht="15" customHeight="1">
      <c r="C32" s="57" t="s">
        <v>15</v>
      </c>
      <c r="D32" s="58"/>
      <c r="E32" s="38"/>
      <c r="F32" s="38"/>
      <c r="G32" s="38"/>
    </row>
    <row r="33" spans="3:8" ht="15" customHeight="1">
      <c r="C33" s="22" t="s">
        <v>16</v>
      </c>
      <c r="F33" s="38"/>
      <c r="G33" s="38"/>
    </row>
    <row r="34" spans="3:8" ht="16.5">
      <c r="C34" s="22" t="s">
        <v>17</v>
      </c>
    </row>
    <row r="35" spans="3:8" ht="16.5">
      <c r="G35" s="22"/>
      <c r="H35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9:G9 C10:C21 E10:E21" name="Rango1"/>
    <protectedRange algorithmName="SHA-512" hashValue="ae/Js8yeMw6wHjGREqu83BjAYnjwv1NHxpvnTe57rDwDMNDPGlnZwgp89HjM7G0cg/2ItV/6+CjQlsfmX7La6g==" saltValue="fv5wd7mgDmwpGOJN+Z7vlA==" spinCount="100000" sqref="G10:G21" name="Rango1_1_1"/>
    <protectedRange algorithmName="SHA-512" hashValue="ae/Js8yeMw6wHjGREqu83BjAYnjwv1NHxpvnTe57rDwDMNDPGlnZwgp89HjM7G0cg/2ItV/6+CjQlsfmX7La6g==" saltValue="fv5wd7mgDmwpGOJN+Z7vlA==" spinCount="100000" sqref="D10:D21" name="Rango1_1"/>
  </protectedRanges>
  <mergeCells count="4">
    <mergeCell ref="C1:G1"/>
    <mergeCell ref="C2:G2"/>
    <mergeCell ref="G10:G21"/>
    <mergeCell ref="C29:G30"/>
  </mergeCells>
  <conditionalFormatting sqref="E25">
    <cfRule type="cellIs" dxfId="11" priority="1" operator="equal">
      <formula>$E$24</formula>
    </cfRule>
    <cfRule type="cellIs" dxfId="10" priority="2" operator="greaterThan">
      <formula>$E$24</formula>
    </cfRule>
    <cfRule type="cellIs" dxfId="9" priority="3" operator="lessThan">
      <formula>$E$24</formula>
    </cfRule>
  </conditionalFormatting>
  <dataValidations count="1">
    <dataValidation type="textLength" allowBlank="1" showInputMessage="1" showErrorMessage="1" errorTitle="SOLO 2 DECIMALES" error="Por favor introduzca un valor con maximo 2 decimales" sqref="E10:E21" xr:uid="{BC8DF266-7836-41D7-9DA7-E1C2D77C4946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2" fitToHeight="0" orientation="portrait" cellComments="asDisplayed" r:id="rId1"/>
  <headerFooter alignWithMargins="0">
    <oddHeader>&amp;R&amp;11 1 de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A96D-C0DD-4602-9537-F8264B6F5472}">
  <dimension ref="A1:AK76"/>
  <sheetViews>
    <sheetView showGridLines="0" workbookViewId="0">
      <selection activeCell="E1" sqref="E1:AG68"/>
    </sheetView>
  </sheetViews>
  <sheetFormatPr baseColWidth="10" defaultColWidth="11.453125" defaultRowHeight="12.5"/>
  <cols>
    <col min="4" max="4" width="10.36328125" bestFit="1" customWidth="1"/>
    <col min="6" max="6" width="12.81640625" bestFit="1" customWidth="1"/>
    <col min="9" max="32" width="11.81640625" bestFit="1" customWidth="1"/>
    <col min="33" max="33" width="14.453125" bestFit="1" customWidth="1"/>
    <col min="34" max="34" width="4.54296875" customWidth="1"/>
    <col min="36" max="36" width="12.81640625" bestFit="1" customWidth="1"/>
    <col min="37" max="37" width="5.90625" bestFit="1" customWidth="1"/>
  </cols>
  <sheetData>
    <row r="1" spans="1:37" ht="23">
      <c r="E1" s="83" t="s">
        <v>18</v>
      </c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</row>
    <row r="2" spans="1:37" ht="23">
      <c r="E2" s="83" t="s">
        <v>46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</row>
    <row r="4" spans="1:37" ht="23">
      <c r="E4" s="83" t="s">
        <v>3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</row>
    <row r="5" spans="1:37" ht="23">
      <c r="E5" s="83" t="s">
        <v>4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</row>
    <row r="6" spans="1:37" ht="13">
      <c r="I6" s="68"/>
    </row>
    <row r="7" spans="1:37" ht="14.5" thickBot="1">
      <c r="E7" s="65"/>
      <c r="F7" s="65"/>
      <c r="G7" s="82"/>
      <c r="H7" s="82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</row>
    <row r="8" spans="1:37" ht="28.5" thickBot="1">
      <c r="B8" s="71"/>
      <c r="C8" s="71"/>
      <c r="D8" s="71"/>
      <c r="E8" s="8" t="s">
        <v>50</v>
      </c>
      <c r="F8" s="9" t="s">
        <v>19</v>
      </c>
      <c r="G8" s="9" t="s">
        <v>20</v>
      </c>
      <c r="H8" s="10" t="s">
        <v>21</v>
      </c>
      <c r="I8" s="11" t="s">
        <v>22</v>
      </c>
      <c r="J8" s="12" t="s">
        <v>23</v>
      </c>
      <c r="K8" s="12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2" t="s">
        <v>29</v>
      </c>
      <c r="Q8" s="12" t="s">
        <v>30</v>
      </c>
      <c r="R8" s="12" t="s">
        <v>31</v>
      </c>
      <c r="S8" s="12" t="s">
        <v>32</v>
      </c>
      <c r="T8" s="12" t="s">
        <v>33</v>
      </c>
      <c r="U8" s="12" t="s">
        <v>34</v>
      </c>
      <c r="V8" s="12" t="s">
        <v>35</v>
      </c>
      <c r="W8" s="12" t="s">
        <v>36</v>
      </c>
      <c r="X8" s="12" t="s">
        <v>37</v>
      </c>
      <c r="Y8" s="12" t="s">
        <v>38</v>
      </c>
      <c r="Z8" s="12" t="s">
        <v>39</v>
      </c>
      <c r="AA8" s="12" t="s">
        <v>40</v>
      </c>
      <c r="AB8" s="12" t="s">
        <v>41</v>
      </c>
      <c r="AC8" s="12" t="s">
        <v>42</v>
      </c>
      <c r="AD8" s="12" t="s">
        <v>43</v>
      </c>
      <c r="AE8" s="12" t="s">
        <v>44</v>
      </c>
      <c r="AF8" s="13" t="s">
        <v>45</v>
      </c>
      <c r="AG8" s="14" t="s">
        <v>10</v>
      </c>
    </row>
    <row r="9" spans="1:37" ht="14">
      <c r="A9" s="66"/>
      <c r="E9" s="84">
        <v>46388</v>
      </c>
      <c r="F9" s="79">
        <f>+AG13</f>
        <v>11440517.946075017</v>
      </c>
      <c r="G9" s="40" t="s">
        <v>60</v>
      </c>
      <c r="H9" s="40">
        <v>19</v>
      </c>
      <c r="I9" s="73">
        <v>14619.285134972826</v>
      </c>
      <c r="J9" s="73">
        <v>14324.808427410231</v>
      </c>
      <c r="K9" s="73">
        <v>14148.610331680313</v>
      </c>
      <c r="L9" s="73">
        <v>14098.365317639249</v>
      </c>
      <c r="M9" s="73">
        <v>14101.83702098546</v>
      </c>
      <c r="N9" s="73">
        <v>14389.626483396913</v>
      </c>
      <c r="O9" s="73">
        <v>15199.684361815107</v>
      </c>
      <c r="P9" s="73">
        <v>16068.33254687119</v>
      </c>
      <c r="Q9" s="73">
        <v>16626.620364423223</v>
      </c>
      <c r="R9" s="73">
        <v>16341.103024668822</v>
      </c>
      <c r="S9" s="73">
        <v>16876.252239501282</v>
      </c>
      <c r="T9" s="73">
        <v>17113.526682277479</v>
      </c>
      <c r="U9" s="73">
        <v>16945.573302057535</v>
      </c>
      <c r="V9" s="73">
        <v>17439.310653196582</v>
      </c>
      <c r="W9" s="73">
        <v>18320.416838672598</v>
      </c>
      <c r="X9" s="73">
        <v>19179.923737795631</v>
      </c>
      <c r="Y9" s="73">
        <v>19625.981271357061</v>
      </c>
      <c r="Z9" s="73">
        <v>19809.920395429464</v>
      </c>
      <c r="AA9" s="73">
        <v>19140.61385921359</v>
      </c>
      <c r="AB9" s="73">
        <v>18553.633433892544</v>
      </c>
      <c r="AC9" s="73">
        <v>17718.056993032729</v>
      </c>
      <c r="AD9" s="73">
        <v>16607.472166876771</v>
      </c>
      <c r="AE9" s="73">
        <v>15661.910467386881</v>
      </c>
      <c r="AF9" s="73">
        <v>15169.485534762987</v>
      </c>
      <c r="AG9" s="41">
        <f>ROUND(SUM(I9:AF9)*H9,2)</f>
        <v>7563526.6600000001</v>
      </c>
      <c r="AJ9" s="74"/>
    </row>
    <row r="10" spans="1:37" ht="14">
      <c r="A10" s="66"/>
      <c r="E10" s="85"/>
      <c r="F10" s="80"/>
      <c r="G10" s="42" t="s">
        <v>63</v>
      </c>
      <c r="H10" s="42">
        <v>5</v>
      </c>
      <c r="I10" s="73">
        <v>14632.925154925924</v>
      </c>
      <c r="J10" s="73">
        <v>14318.894271115158</v>
      </c>
      <c r="K10" s="73">
        <v>14123.7795216586</v>
      </c>
      <c r="L10" s="73">
        <v>14039.773441975796</v>
      </c>
      <c r="M10" s="73">
        <v>14010.899170290862</v>
      </c>
      <c r="N10" s="73">
        <v>14152.925041670431</v>
      </c>
      <c r="O10" s="73">
        <v>14645.998941549629</v>
      </c>
      <c r="P10" s="73">
        <v>15116.821480695111</v>
      </c>
      <c r="Q10" s="73">
        <v>13733.815628456821</v>
      </c>
      <c r="R10" s="73">
        <v>12131.125801288037</v>
      </c>
      <c r="S10" s="73">
        <v>13525.767426889395</v>
      </c>
      <c r="T10" s="73">
        <v>13534.426486902867</v>
      </c>
      <c r="U10" s="73">
        <v>13112.450290391247</v>
      </c>
      <c r="V10" s="73">
        <v>13967.518649064365</v>
      </c>
      <c r="W10" s="73">
        <v>16119.030333090937</v>
      </c>
      <c r="X10" s="73">
        <v>16891.266840994951</v>
      </c>
      <c r="Y10" s="73">
        <v>17490.386091353706</v>
      </c>
      <c r="Z10" s="73">
        <v>18163.905060430283</v>
      </c>
      <c r="AA10" s="73">
        <v>17899.323334549423</v>
      </c>
      <c r="AB10" s="73">
        <v>17521.795635347917</v>
      </c>
      <c r="AC10" s="73">
        <v>16856.11030403095</v>
      </c>
      <c r="AD10" s="73">
        <v>15829.622183390897</v>
      </c>
      <c r="AE10" s="73">
        <v>14951.039206725236</v>
      </c>
      <c r="AF10" s="73">
        <v>14464.096603509242</v>
      </c>
      <c r="AG10" s="43">
        <f>ROUND(SUM(I10:AF10)*H10,2)</f>
        <v>1806168.48</v>
      </c>
      <c r="AJ10" s="74"/>
      <c r="AK10" s="75"/>
    </row>
    <row r="11" spans="1:37" ht="14">
      <c r="A11" s="66"/>
      <c r="E11" s="85"/>
      <c r="F11" s="80"/>
      <c r="G11" s="44" t="s">
        <v>61</v>
      </c>
      <c r="H11" s="44">
        <v>5</v>
      </c>
      <c r="I11" s="73">
        <v>13882.9264110899</v>
      </c>
      <c r="J11" s="73">
        <v>13636.019843940721</v>
      </c>
      <c r="K11" s="73">
        <v>13473.960273435552</v>
      </c>
      <c r="L11" s="73">
        <v>13365.200823721378</v>
      </c>
      <c r="M11" s="73">
        <v>13357.170762409554</v>
      </c>
      <c r="N11" s="73">
        <v>13213.700091302166</v>
      </c>
      <c r="O11" s="73">
        <v>12903.948679784538</v>
      </c>
      <c r="P11" s="73">
        <v>9402.7605672647169</v>
      </c>
      <c r="Q11" s="73">
        <v>5641.9479761930907</v>
      </c>
      <c r="R11" s="73">
        <v>3743.7537569869078</v>
      </c>
      <c r="S11" s="73">
        <v>4855.3641595817544</v>
      </c>
      <c r="T11" s="73">
        <v>6587.8234119518111</v>
      </c>
      <c r="U11" s="73">
        <v>8500.4519504051168</v>
      </c>
      <c r="V11" s="73">
        <v>10583.807836517912</v>
      </c>
      <c r="W11" s="73">
        <v>13342.986432821996</v>
      </c>
      <c r="X11" s="73">
        <v>14153.514335265354</v>
      </c>
      <c r="Y11" s="73">
        <v>14914.817427357741</v>
      </c>
      <c r="Z11" s="73">
        <v>15658.426153094721</v>
      </c>
      <c r="AA11" s="73">
        <v>15731.04019016542</v>
      </c>
      <c r="AB11" s="73">
        <v>15564.127158225843</v>
      </c>
      <c r="AC11" s="73">
        <v>15093.303366926299</v>
      </c>
      <c r="AD11" s="73">
        <v>14577.94086457905</v>
      </c>
      <c r="AE11" s="73">
        <v>14149.14321791043</v>
      </c>
      <c r="AF11" s="73">
        <v>13822.532801656187</v>
      </c>
      <c r="AG11" s="43">
        <f>ROUND(SUM(I11:AF11)*H11,2)</f>
        <v>1450783.34</v>
      </c>
      <c r="AJ11" s="74"/>
      <c r="AK11" s="75"/>
    </row>
    <row r="12" spans="1:37" ht="14">
      <c r="A12" s="66"/>
      <c r="E12" s="85"/>
      <c r="F12" s="80"/>
      <c r="G12" s="45" t="s">
        <v>62</v>
      </c>
      <c r="H12" s="45">
        <v>2</v>
      </c>
      <c r="I12" s="73">
        <v>14123.324587781708</v>
      </c>
      <c r="J12" s="73">
        <v>13886.326249298874</v>
      </c>
      <c r="K12" s="73">
        <v>13737.981820809944</v>
      </c>
      <c r="L12" s="73">
        <v>13638.780205649931</v>
      </c>
      <c r="M12" s="73">
        <v>13630.761740459147</v>
      </c>
      <c r="N12" s="73">
        <v>13389.667332966652</v>
      </c>
      <c r="O12" s="73">
        <v>13086.598278130839</v>
      </c>
      <c r="P12" s="73">
        <v>10335.678011103068</v>
      </c>
      <c r="Q12" s="73">
        <v>8511.9382946373134</v>
      </c>
      <c r="R12" s="73">
        <v>7444.2836830086353</v>
      </c>
      <c r="S12" s="73">
        <v>8283.2700308376643</v>
      </c>
      <c r="T12" s="73">
        <v>9254.0063858703652</v>
      </c>
      <c r="U12" s="73">
        <v>9875.251698728458</v>
      </c>
      <c r="V12" s="73">
        <v>12019.637622552922</v>
      </c>
      <c r="W12" s="73">
        <v>13603.663686287255</v>
      </c>
      <c r="X12" s="73">
        <v>14437.679674067171</v>
      </c>
      <c r="Y12" s="73">
        <v>15135.97899720432</v>
      </c>
      <c r="Z12" s="73">
        <v>15897.716996502144</v>
      </c>
      <c r="AA12" s="73">
        <v>15938.102819222389</v>
      </c>
      <c r="AB12" s="73">
        <v>15787.617674191884</v>
      </c>
      <c r="AC12" s="73">
        <v>15254.67690482246</v>
      </c>
      <c r="AD12" s="73">
        <v>14677.22467070711</v>
      </c>
      <c r="AE12" s="73">
        <v>14206.509562076935</v>
      </c>
      <c r="AF12" s="73">
        <v>13863.052029868184</v>
      </c>
      <c r="AG12" s="46">
        <f>ROUND(SUM(I12:AF12)*H12,2)</f>
        <v>620039.46</v>
      </c>
      <c r="AJ12" s="74"/>
      <c r="AK12" s="75"/>
    </row>
    <row r="13" spans="1:37" ht="15" thickBot="1">
      <c r="A13" s="66"/>
      <c r="E13" s="85"/>
      <c r="F13" s="81"/>
      <c r="G13" s="47" t="s">
        <v>10</v>
      </c>
      <c r="H13" s="47">
        <f>+SUM(H9:H12)</f>
        <v>31</v>
      </c>
      <c r="I13" s="48">
        <f t="shared" ref="I13:AF13" si="0">+SUMPRODUCT(I9:I12,$H9:$H12)</f>
        <v>448592.32457012631</v>
      </c>
      <c r="J13" s="48">
        <f t="shared" si="0"/>
        <v>439718.58319467155</v>
      </c>
      <c r="K13" s="48">
        <f t="shared" si="0"/>
        <v>434288.25891901657</v>
      </c>
      <c r="L13" s="48">
        <f t="shared" si="0"/>
        <v>432171.37277493143</v>
      </c>
      <c r="M13" s="48">
        <f t="shared" si="0"/>
        <v>432036.77654314419</v>
      </c>
      <c r="N13" s="48">
        <f t="shared" si="0"/>
        <v>437015.36351533758</v>
      </c>
      <c r="O13" s="48">
        <f t="shared" si="0"/>
        <v>452716.93753741949</v>
      </c>
      <c r="P13" s="48">
        <f t="shared" si="0"/>
        <v>448567.58465255785</v>
      </c>
      <c r="Q13" s="48">
        <f t="shared" si="0"/>
        <v>429808.48153656541</v>
      </c>
      <c r="R13" s="48">
        <f t="shared" si="0"/>
        <v>404743.92262609961</v>
      </c>
      <c r="S13" s="48">
        <f t="shared" si="0"/>
        <v>429120.99054455536</v>
      </c>
      <c r="T13" s="48">
        <f t="shared" si="0"/>
        <v>444276.26922928623</v>
      </c>
      <c r="U13" s="48">
        <f t="shared" si="0"/>
        <v>449780.90734053188</v>
      </c>
      <c r="V13" s="48">
        <f t="shared" si="0"/>
        <v>478142.81008375232</v>
      </c>
      <c r="W13" s="48">
        <f t="shared" si="0"/>
        <v>522605.33113691851</v>
      </c>
      <c r="X13" s="48">
        <f t="shared" si="0"/>
        <v>548517.81624755287</v>
      </c>
      <c r="Y13" s="48">
        <f t="shared" si="0"/>
        <v>565191.61974375008</v>
      </c>
      <c r="Z13" s="48">
        <f t="shared" si="0"/>
        <v>577295.57757378905</v>
      </c>
      <c r="AA13" s="48">
        <f t="shared" si="0"/>
        <v>563699.68658707722</v>
      </c>
      <c r="AB13" s="48">
        <f t="shared" si="0"/>
        <v>549523.88456021086</v>
      </c>
      <c r="AC13" s="48">
        <f t="shared" si="0"/>
        <v>526899.50503205298</v>
      </c>
      <c r="AD13" s="48">
        <f t="shared" si="0"/>
        <v>496934.23575192259</v>
      </c>
      <c r="AE13" s="48">
        <f t="shared" si="0"/>
        <v>471490.23012768291</v>
      </c>
      <c r="AF13" s="48">
        <f t="shared" si="0"/>
        <v>457379.47624606034</v>
      </c>
      <c r="AG13" s="49">
        <f>SUM(I13:AF13)</f>
        <v>11440517.946075017</v>
      </c>
    </row>
    <row r="14" spans="1:37" ht="14">
      <c r="A14" s="66"/>
      <c r="E14" s="84">
        <v>46419</v>
      </c>
      <c r="F14" s="79">
        <f>+AG18</f>
        <v>10200417.606743844</v>
      </c>
      <c r="G14" s="40" t="s">
        <v>60</v>
      </c>
      <c r="H14" s="40">
        <v>20</v>
      </c>
      <c r="I14" s="73">
        <v>14355.851474159159</v>
      </c>
      <c r="J14" s="73">
        <v>14043.257752632426</v>
      </c>
      <c r="K14" s="73">
        <v>13842.248299342124</v>
      </c>
      <c r="L14" s="73">
        <v>13780.028031373105</v>
      </c>
      <c r="M14" s="73">
        <v>13708.103176347267</v>
      </c>
      <c r="N14" s="73">
        <v>13927.918638237581</v>
      </c>
      <c r="O14" s="73">
        <v>14348.048969511679</v>
      </c>
      <c r="P14" s="73">
        <v>14762.610673988276</v>
      </c>
      <c r="Q14" s="73">
        <v>15055.728049398769</v>
      </c>
      <c r="R14" s="73">
        <v>14962.979782612359</v>
      </c>
      <c r="S14" s="73">
        <v>15213.16043415039</v>
      </c>
      <c r="T14" s="73">
        <v>15557.76568855269</v>
      </c>
      <c r="U14" s="73">
        <v>15648.226524725056</v>
      </c>
      <c r="V14" s="73">
        <v>16062.041149391041</v>
      </c>
      <c r="W14" s="73">
        <v>16721.349613230152</v>
      </c>
      <c r="X14" s="73">
        <v>17585.339423088233</v>
      </c>
      <c r="Y14" s="73">
        <v>18230.674049909991</v>
      </c>
      <c r="Z14" s="73">
        <v>18905.846114878212</v>
      </c>
      <c r="AA14" s="73">
        <v>18541.904085100101</v>
      </c>
      <c r="AB14" s="73">
        <v>18083.715908174134</v>
      </c>
      <c r="AC14" s="73">
        <v>17273.459408317802</v>
      </c>
      <c r="AD14" s="73">
        <v>16299.445557164607</v>
      </c>
      <c r="AE14" s="73">
        <v>15489.733737560256</v>
      </c>
      <c r="AF14" s="73">
        <v>15036.970440852576</v>
      </c>
      <c r="AG14" s="41">
        <f>+SUM(I14:AF14)*H14</f>
        <v>7548728.1396539602</v>
      </c>
      <c r="AJ14" s="74"/>
    </row>
    <row r="15" spans="1:37" ht="14">
      <c r="A15" s="66"/>
      <c r="E15" s="85">
        <f t="shared" ref="E15:E18" si="1">+E14</f>
        <v>46419</v>
      </c>
      <c r="F15" s="80"/>
      <c r="G15" s="42" t="s">
        <v>63</v>
      </c>
      <c r="H15" s="42">
        <v>4</v>
      </c>
      <c r="I15" s="73">
        <v>14479.458783063503</v>
      </c>
      <c r="J15" s="73">
        <v>14186.218595742597</v>
      </c>
      <c r="K15" s="73">
        <v>14035.517007340446</v>
      </c>
      <c r="L15" s="73">
        <v>13953.539187456799</v>
      </c>
      <c r="M15" s="73">
        <v>13948.814603157103</v>
      </c>
      <c r="N15" s="73">
        <v>14186.989634806909</v>
      </c>
      <c r="O15" s="73">
        <v>14902.434834664335</v>
      </c>
      <c r="P15" s="73">
        <v>15699.455085206302</v>
      </c>
      <c r="Q15" s="73">
        <v>14140.353584963208</v>
      </c>
      <c r="R15" s="73">
        <v>12130.139527122998</v>
      </c>
      <c r="S15" s="73">
        <v>12968.002831335529</v>
      </c>
      <c r="T15" s="73">
        <v>13257.814169310655</v>
      </c>
      <c r="U15" s="73">
        <v>13324.757929739744</v>
      </c>
      <c r="V15" s="73">
        <v>15024.66853208688</v>
      </c>
      <c r="W15" s="73">
        <v>16861.144689784909</v>
      </c>
      <c r="X15" s="73">
        <v>18453.307655205306</v>
      </c>
      <c r="Y15" s="73">
        <v>18950.762431076626</v>
      </c>
      <c r="Z15" s="73">
        <v>19265.153412824635</v>
      </c>
      <c r="AA15" s="73">
        <v>18671.96201244379</v>
      </c>
      <c r="AB15" s="73">
        <v>18182.037009544223</v>
      </c>
      <c r="AC15" s="73">
        <v>17412.218451606397</v>
      </c>
      <c r="AD15" s="73">
        <v>16304.43465370935</v>
      </c>
      <c r="AE15" s="73">
        <v>15351.361188966996</v>
      </c>
      <c r="AF15" s="73">
        <v>14835.355531297133</v>
      </c>
      <c r="AG15" s="43">
        <f>+SUM(I15:AF15)*H15</f>
        <v>1482103.6053698256</v>
      </c>
      <c r="AJ15" s="74"/>
      <c r="AK15" s="75"/>
    </row>
    <row r="16" spans="1:37" ht="14">
      <c r="A16" s="66"/>
      <c r="E16" s="85">
        <f t="shared" si="1"/>
        <v>46419</v>
      </c>
      <c r="F16" s="80"/>
      <c r="G16" s="44" t="s">
        <v>61</v>
      </c>
      <c r="H16" s="44">
        <v>4</v>
      </c>
      <c r="I16" s="73">
        <v>13979.566694731704</v>
      </c>
      <c r="J16" s="73">
        <v>13728.886138500804</v>
      </c>
      <c r="K16" s="73">
        <v>13560.619331477814</v>
      </c>
      <c r="L16" s="73">
        <v>13449.120035514787</v>
      </c>
      <c r="M16" s="73">
        <v>13444.8003436483</v>
      </c>
      <c r="N16" s="73">
        <v>13294.343032566001</v>
      </c>
      <c r="O16" s="73">
        <v>12972.425266619766</v>
      </c>
      <c r="P16" s="73">
        <v>9696.899712877148</v>
      </c>
      <c r="Q16" s="73">
        <v>6014.6104354823037</v>
      </c>
      <c r="R16" s="73">
        <v>3726.1693232638281</v>
      </c>
      <c r="S16" s="73">
        <v>4263.2146832349063</v>
      </c>
      <c r="T16" s="73">
        <v>6268.4198951400513</v>
      </c>
      <c r="U16" s="73">
        <v>8655.8665083826254</v>
      </c>
      <c r="V16" s="73">
        <v>11592.116473288852</v>
      </c>
      <c r="W16" s="73">
        <v>13414.320134307101</v>
      </c>
      <c r="X16" s="73">
        <v>14230.415917378061</v>
      </c>
      <c r="Y16" s="73">
        <v>14991.201961728453</v>
      </c>
      <c r="Z16" s="73">
        <v>15738.087889446912</v>
      </c>
      <c r="AA16" s="73">
        <v>15805.310898929287</v>
      </c>
      <c r="AB16" s="73">
        <v>15643.698414804327</v>
      </c>
      <c r="AC16" s="73">
        <v>15167.175964117772</v>
      </c>
      <c r="AD16" s="73">
        <v>14649.868309772915</v>
      </c>
      <c r="AE16" s="73">
        <v>14219.816426307234</v>
      </c>
      <c r="AF16" s="73">
        <v>13889.511638494087</v>
      </c>
      <c r="AG16" s="43">
        <f>+SUM(I16:AF16)*H16</f>
        <v>1169585.8617200602</v>
      </c>
      <c r="AJ16" s="74"/>
      <c r="AK16" s="75"/>
    </row>
    <row r="17" spans="1:37" ht="14">
      <c r="A17" s="66"/>
      <c r="E17" s="85">
        <f t="shared" si="1"/>
        <v>46419</v>
      </c>
      <c r="F17" s="80"/>
      <c r="G17" s="45" t="s">
        <v>62</v>
      </c>
      <c r="H17" s="45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46">
        <f>+SUM(I17:AF17)*H17</f>
        <v>0</v>
      </c>
      <c r="AJ17" s="74"/>
      <c r="AK17" s="75"/>
    </row>
    <row r="18" spans="1:37" ht="15" thickBot="1">
      <c r="A18" s="66"/>
      <c r="E18" s="85">
        <f t="shared" si="1"/>
        <v>46419</v>
      </c>
      <c r="F18" s="81"/>
      <c r="G18" s="47" t="s">
        <v>10</v>
      </c>
      <c r="H18" s="47">
        <f>+SUM(H14:H17)</f>
        <v>28</v>
      </c>
      <c r="I18" s="48">
        <f t="shared" ref="I18:AF18" si="2">+SUMPRODUCT(I14:I17,$H14:$H17)</f>
        <v>400953.131394364</v>
      </c>
      <c r="J18" s="48">
        <f t="shared" si="2"/>
        <v>392525.57398962212</v>
      </c>
      <c r="K18" s="48">
        <f t="shared" si="2"/>
        <v>387229.51134211547</v>
      </c>
      <c r="L18" s="48">
        <f t="shared" si="2"/>
        <v>385211.19751934847</v>
      </c>
      <c r="M18" s="48">
        <f t="shared" si="2"/>
        <v>383736.52331416699</v>
      </c>
      <c r="N18" s="48">
        <f t="shared" si="2"/>
        <v>388483.70343424327</v>
      </c>
      <c r="O18" s="48">
        <f t="shared" si="2"/>
        <v>398460.41979537002</v>
      </c>
      <c r="P18" s="48">
        <f t="shared" si="2"/>
        <v>396837.63267209928</v>
      </c>
      <c r="Q18" s="48">
        <f t="shared" si="2"/>
        <v>381734.41706975742</v>
      </c>
      <c r="R18" s="48">
        <f t="shared" si="2"/>
        <v>362684.83105379448</v>
      </c>
      <c r="S18" s="48">
        <f t="shared" si="2"/>
        <v>373188.07874128956</v>
      </c>
      <c r="T18" s="48">
        <f t="shared" si="2"/>
        <v>389260.25002885662</v>
      </c>
      <c r="U18" s="48">
        <f t="shared" si="2"/>
        <v>400887.02824699058</v>
      </c>
      <c r="V18" s="48">
        <f t="shared" si="2"/>
        <v>427707.96300932381</v>
      </c>
      <c r="W18" s="48">
        <f t="shared" si="2"/>
        <v>455528.85156097106</v>
      </c>
      <c r="X18" s="48">
        <f t="shared" si="2"/>
        <v>482441.68275209819</v>
      </c>
      <c r="Y18" s="48">
        <f t="shared" si="2"/>
        <v>500381.3385694201</v>
      </c>
      <c r="Z18" s="48">
        <f t="shared" si="2"/>
        <v>518129.88750665041</v>
      </c>
      <c r="AA18" s="48">
        <f t="shared" si="2"/>
        <v>508747.17334749433</v>
      </c>
      <c r="AB18" s="48">
        <f t="shared" si="2"/>
        <v>496977.25986087689</v>
      </c>
      <c r="AC18" s="48">
        <f t="shared" si="2"/>
        <v>475786.76582925278</v>
      </c>
      <c r="AD18" s="48">
        <f t="shared" si="2"/>
        <v>449806.12299722119</v>
      </c>
      <c r="AE18" s="48">
        <f t="shared" si="2"/>
        <v>428079.38521230209</v>
      </c>
      <c r="AF18" s="48">
        <f t="shared" si="2"/>
        <v>415638.87749621639</v>
      </c>
      <c r="AG18" s="49">
        <f>SUM(I18:AF18)</f>
        <v>10200417.606743844</v>
      </c>
    </row>
    <row r="19" spans="1:37" ht="14">
      <c r="A19" s="66"/>
      <c r="E19" s="84">
        <v>46447</v>
      </c>
      <c r="F19" s="79">
        <f t="shared" ref="F19" si="3">+AG23</f>
        <v>11568662.538138175</v>
      </c>
      <c r="G19" s="40" t="s">
        <v>60</v>
      </c>
      <c r="H19" s="40">
        <v>20</v>
      </c>
      <c r="I19" s="73">
        <v>14529.85858778902</v>
      </c>
      <c r="J19" s="73">
        <v>14236.508327200214</v>
      </c>
      <c r="K19" s="73">
        <v>14058.461453042521</v>
      </c>
      <c r="L19" s="73">
        <v>14008.626099949683</v>
      </c>
      <c r="M19" s="73">
        <v>14003.945175947298</v>
      </c>
      <c r="N19" s="73">
        <v>14276.59473633726</v>
      </c>
      <c r="O19" s="73">
        <v>15054.051156217412</v>
      </c>
      <c r="P19" s="73">
        <v>15909.530647332238</v>
      </c>
      <c r="Q19" s="73">
        <v>16456.001126209278</v>
      </c>
      <c r="R19" s="73">
        <v>16402.234681591442</v>
      </c>
      <c r="S19" s="73">
        <v>16685.887261867108</v>
      </c>
      <c r="T19" s="73">
        <v>16916.932291114113</v>
      </c>
      <c r="U19" s="73">
        <v>16751.404980830263</v>
      </c>
      <c r="V19" s="73">
        <v>17250.998757849629</v>
      </c>
      <c r="W19" s="73">
        <v>18132.449748578478</v>
      </c>
      <c r="X19" s="73">
        <v>18990.126154129099</v>
      </c>
      <c r="Y19" s="73">
        <v>19435.222715314183</v>
      </c>
      <c r="Z19" s="73">
        <v>19625.37352895573</v>
      </c>
      <c r="AA19" s="73">
        <v>18970.798116618353</v>
      </c>
      <c r="AB19" s="73">
        <v>18402.083352272512</v>
      </c>
      <c r="AC19" s="73">
        <v>17574.676844467467</v>
      </c>
      <c r="AD19" s="73">
        <v>16481.911884576512</v>
      </c>
      <c r="AE19" s="73">
        <v>15553.659021089839</v>
      </c>
      <c r="AF19" s="73">
        <v>15065.999995239665</v>
      </c>
      <c r="AG19" s="41">
        <f>+SUM(I19:AF19)*H19</f>
        <v>7895466.7328903861</v>
      </c>
      <c r="AJ19" s="74"/>
    </row>
    <row r="20" spans="1:37" ht="14">
      <c r="A20" s="66"/>
      <c r="E20" s="85">
        <f t="shared" ref="E20:E23" si="4">+E19</f>
        <v>46447</v>
      </c>
      <c r="F20" s="80"/>
      <c r="G20" s="42" t="s">
        <v>63</v>
      </c>
      <c r="H20" s="42">
        <v>4</v>
      </c>
      <c r="I20" s="73">
        <v>14572.675193744939</v>
      </c>
      <c r="J20" s="73">
        <v>14263.351248466151</v>
      </c>
      <c r="K20" s="73">
        <v>14072.347772322548</v>
      </c>
      <c r="L20" s="73">
        <v>13992.0795270819</v>
      </c>
      <c r="M20" s="73">
        <v>13956.548900311123</v>
      </c>
      <c r="N20" s="73">
        <v>14088.069563353663</v>
      </c>
      <c r="O20" s="73">
        <v>14565.232545396781</v>
      </c>
      <c r="P20" s="73">
        <v>15030.790634946949</v>
      </c>
      <c r="Q20" s="73">
        <v>15338.984097671171</v>
      </c>
      <c r="R20" s="73">
        <v>15143.739302119377</v>
      </c>
      <c r="S20" s="73">
        <v>15467.778727892641</v>
      </c>
      <c r="T20" s="73">
        <v>15465.952105525916</v>
      </c>
      <c r="U20" s="73">
        <v>15387.839626100938</v>
      </c>
      <c r="V20" s="73">
        <v>15585.234742558623</v>
      </c>
      <c r="W20" s="73">
        <v>16035.811694118225</v>
      </c>
      <c r="X20" s="73">
        <v>16803.99852521584</v>
      </c>
      <c r="Y20" s="73">
        <v>17402.424343557239</v>
      </c>
      <c r="Z20" s="73">
        <v>18074.841777408379</v>
      </c>
      <c r="AA20" s="73">
        <v>17811.875350741953</v>
      </c>
      <c r="AB20" s="73">
        <v>17453.747829642703</v>
      </c>
      <c r="AC20" s="73">
        <v>16795.215524980264</v>
      </c>
      <c r="AD20" s="73">
        <v>15778.572760346518</v>
      </c>
      <c r="AE20" s="73">
        <v>14909.005055520876</v>
      </c>
      <c r="AF20" s="73">
        <v>14427.893957154482</v>
      </c>
      <c r="AG20" s="43">
        <f>+SUM(I20:AF20)*H20</f>
        <v>1489696.043224717</v>
      </c>
      <c r="AJ20" s="74"/>
      <c r="AK20" s="75"/>
    </row>
    <row r="21" spans="1:37" ht="14">
      <c r="A21" s="66"/>
      <c r="E21" s="85">
        <f t="shared" si="4"/>
        <v>46447</v>
      </c>
      <c r="F21" s="80"/>
      <c r="G21" s="44" t="s">
        <v>61</v>
      </c>
      <c r="H21" s="44">
        <v>4</v>
      </c>
      <c r="I21" s="73">
        <v>13980.280390349471</v>
      </c>
      <c r="J21" s="73">
        <v>13729.895556118967</v>
      </c>
      <c r="K21" s="73">
        <v>13560.119183358491</v>
      </c>
      <c r="L21" s="73">
        <v>13452.840348820911</v>
      </c>
      <c r="M21" s="73">
        <v>13422.925590083189</v>
      </c>
      <c r="N21" s="73">
        <v>13195.175448095784</v>
      </c>
      <c r="O21" s="73">
        <v>12807.406658217118</v>
      </c>
      <c r="P21" s="73">
        <v>12189.945616550574</v>
      </c>
      <c r="Q21" s="73">
        <v>9126.0922363967475</v>
      </c>
      <c r="R21" s="73">
        <v>6535.7475713164677</v>
      </c>
      <c r="S21" s="73">
        <v>6938.0641864674935</v>
      </c>
      <c r="T21" s="73">
        <v>8534.3118007579305</v>
      </c>
      <c r="U21" s="73">
        <v>10819.698914107104</v>
      </c>
      <c r="V21" s="73">
        <v>12650.060787059272</v>
      </c>
      <c r="W21" s="73">
        <v>13215.103799623188</v>
      </c>
      <c r="X21" s="73">
        <v>14031.496341184942</v>
      </c>
      <c r="Y21" s="73">
        <v>14766.07552671174</v>
      </c>
      <c r="Z21" s="73">
        <v>15554.280824137217</v>
      </c>
      <c r="AA21" s="73">
        <v>15635.407840849812</v>
      </c>
      <c r="AB21" s="73">
        <v>15498.802195544687</v>
      </c>
      <c r="AC21" s="73">
        <v>15004.961153950606</v>
      </c>
      <c r="AD21" s="73">
        <v>14491.827920983269</v>
      </c>
      <c r="AE21" s="73">
        <v>14055.898150798734</v>
      </c>
      <c r="AF21" s="73">
        <v>13733.024990244194</v>
      </c>
      <c r="AG21" s="43">
        <f>+SUM(I21:AF21)*H21</f>
        <v>1227717.7721269114</v>
      </c>
      <c r="AJ21" s="74"/>
      <c r="AK21" s="75"/>
    </row>
    <row r="22" spans="1:37" ht="14">
      <c r="A22" s="66"/>
      <c r="E22" s="85">
        <f t="shared" si="4"/>
        <v>46447</v>
      </c>
      <c r="F22" s="80"/>
      <c r="G22" s="45" t="s">
        <v>62</v>
      </c>
      <c r="H22" s="45">
        <v>3</v>
      </c>
      <c r="I22" s="73">
        <v>14018.302110821196</v>
      </c>
      <c r="J22" s="73">
        <v>13783.684871433548</v>
      </c>
      <c r="K22" s="73">
        <v>13630.857247540969</v>
      </c>
      <c r="L22" s="73">
        <v>13535.222812319445</v>
      </c>
      <c r="M22" s="73">
        <v>13516.033055932297</v>
      </c>
      <c r="N22" s="73">
        <v>13239.044866024024</v>
      </c>
      <c r="O22" s="73">
        <v>12891.283493757821</v>
      </c>
      <c r="P22" s="73">
        <v>12595.519666619957</v>
      </c>
      <c r="Q22" s="73">
        <v>10444.655083185608</v>
      </c>
      <c r="R22" s="73">
        <v>9022.9049677942421</v>
      </c>
      <c r="S22" s="73">
        <v>9411.2869345577237</v>
      </c>
      <c r="T22" s="73">
        <v>10352.612407906103</v>
      </c>
      <c r="U22" s="73">
        <v>12423.223803375418</v>
      </c>
      <c r="V22" s="73">
        <v>12966.866323498814</v>
      </c>
      <c r="W22" s="73">
        <v>13361.276531129841</v>
      </c>
      <c r="X22" s="73">
        <v>14193.01232128242</v>
      </c>
      <c r="Y22" s="73">
        <v>14877.001866220387</v>
      </c>
      <c r="Z22" s="73">
        <v>15675.299855259216</v>
      </c>
      <c r="AA22" s="73">
        <v>15714.94893223707</v>
      </c>
      <c r="AB22" s="73">
        <v>15604.93441335669</v>
      </c>
      <c r="AC22" s="73">
        <v>15074.798063721706</v>
      </c>
      <c r="AD22" s="73">
        <v>14508.217939851516</v>
      </c>
      <c r="AE22" s="73">
        <v>14042.964308001852</v>
      </c>
      <c r="AF22" s="73">
        <v>13710.044756225179</v>
      </c>
      <c r="AG22" s="46">
        <f>+SUM(I22:AF22)*H22</f>
        <v>955781.98989615915</v>
      </c>
      <c r="AJ22" s="74"/>
      <c r="AK22" s="75"/>
    </row>
    <row r="23" spans="1:37" ht="15" thickBot="1">
      <c r="A23" s="66"/>
      <c r="E23" s="85">
        <f t="shared" si="4"/>
        <v>46447</v>
      </c>
      <c r="F23" s="81"/>
      <c r="G23" s="47" t="s">
        <v>10</v>
      </c>
      <c r="H23" s="47">
        <f>+SUM(H19:H22)</f>
        <v>31</v>
      </c>
      <c r="I23" s="48">
        <f t="shared" ref="I23:AF23" si="5">+SUMPRODUCT(I19:I22,$H19:$H22)</f>
        <v>446863.90042462165</v>
      </c>
      <c r="J23" s="48">
        <f t="shared" si="5"/>
        <v>438054.2083766454</v>
      </c>
      <c r="K23" s="48">
        <f t="shared" si="5"/>
        <v>432591.6686261975</v>
      </c>
      <c r="L23" s="48">
        <f t="shared" si="5"/>
        <v>430557.86993956327</v>
      </c>
      <c r="M23" s="48">
        <f t="shared" si="5"/>
        <v>430144.90064832015</v>
      </c>
      <c r="N23" s="48">
        <f t="shared" si="5"/>
        <v>434382.00937061512</v>
      </c>
      <c r="O23" s="48">
        <f t="shared" si="5"/>
        <v>449245.43042007729</v>
      </c>
      <c r="P23" s="48">
        <f t="shared" si="5"/>
        <v>464860.11695249472</v>
      </c>
      <c r="Q23" s="48">
        <f t="shared" si="5"/>
        <v>458314.29311001406</v>
      </c>
      <c r="R23" s="48">
        <f t="shared" si="5"/>
        <v>441831.35602895496</v>
      </c>
      <c r="S23" s="48">
        <f t="shared" si="5"/>
        <v>451574.97769845591</v>
      </c>
      <c r="T23" s="48">
        <f t="shared" si="5"/>
        <v>465397.53867113596</v>
      </c>
      <c r="U23" s="48">
        <f t="shared" si="5"/>
        <v>477127.9251875637</v>
      </c>
      <c r="V23" s="48">
        <f t="shared" si="5"/>
        <v>496861.7562459606</v>
      </c>
      <c r="W23" s="48">
        <f t="shared" si="5"/>
        <v>519736.48653992475</v>
      </c>
      <c r="X23" s="48">
        <f t="shared" si="5"/>
        <v>545723.53951203241</v>
      </c>
      <c r="Y23" s="48">
        <f t="shared" si="5"/>
        <v>562009.45938602078</v>
      </c>
      <c r="Z23" s="48">
        <f t="shared" si="5"/>
        <v>574049.86055107461</v>
      </c>
      <c r="AA23" s="48">
        <f t="shared" si="5"/>
        <v>560349.94189544534</v>
      </c>
      <c r="AB23" s="48">
        <f t="shared" si="5"/>
        <v>546666.67038626992</v>
      </c>
      <c r="AC23" s="48">
        <f t="shared" si="5"/>
        <v>523918.63779623789</v>
      </c>
      <c r="AD23" s="48">
        <f t="shared" si="5"/>
        <v>494244.49423640396</v>
      </c>
      <c r="AE23" s="48">
        <f t="shared" si="5"/>
        <v>469061.6861710808</v>
      </c>
      <c r="AF23" s="48">
        <f t="shared" si="5"/>
        <v>455093.80996306351</v>
      </c>
      <c r="AG23" s="49">
        <f>SUM(I23:AF23)</f>
        <v>11568662.538138175</v>
      </c>
    </row>
    <row r="24" spans="1:37" ht="14">
      <c r="A24" s="66"/>
      <c r="E24" s="84">
        <v>46478</v>
      </c>
      <c r="F24" s="79">
        <f t="shared" ref="F24" si="6">+AG28</f>
        <v>11416736.570556594</v>
      </c>
      <c r="G24" s="40" t="s">
        <v>60</v>
      </c>
      <c r="H24" s="40">
        <v>22</v>
      </c>
      <c r="I24" s="73">
        <v>14822.221209866113</v>
      </c>
      <c r="J24" s="73">
        <v>14508.073294096544</v>
      </c>
      <c r="K24" s="73">
        <v>14304.518207737246</v>
      </c>
      <c r="L24" s="73">
        <v>14237.87391880147</v>
      </c>
      <c r="M24" s="73">
        <v>14167.086160158213</v>
      </c>
      <c r="N24" s="73">
        <v>14375.248510157497</v>
      </c>
      <c r="O24" s="73">
        <v>14787.650772624511</v>
      </c>
      <c r="P24" s="73">
        <v>15209.71526923392</v>
      </c>
      <c r="Q24" s="73">
        <v>15508.03745067556</v>
      </c>
      <c r="R24" s="73">
        <v>15424.868766274927</v>
      </c>
      <c r="S24" s="73">
        <v>15674.916304864375</v>
      </c>
      <c r="T24" s="73">
        <v>16021.266961824027</v>
      </c>
      <c r="U24" s="73">
        <v>16110.480954620465</v>
      </c>
      <c r="V24" s="73">
        <v>16527.391948479108</v>
      </c>
      <c r="W24" s="73">
        <v>17190.194899414488</v>
      </c>
      <c r="X24" s="73">
        <v>18056.295346997857</v>
      </c>
      <c r="Y24" s="73">
        <v>18698.281098633168</v>
      </c>
      <c r="Z24" s="73">
        <v>19371.985701639027</v>
      </c>
      <c r="AA24" s="73">
        <v>19004.483815678108</v>
      </c>
      <c r="AB24" s="73">
        <v>18555.347988896658</v>
      </c>
      <c r="AC24" s="73">
        <v>17739.610566988409</v>
      </c>
      <c r="AD24" s="73">
        <v>16766.668874933679</v>
      </c>
      <c r="AE24" s="73">
        <v>15957.587227783008</v>
      </c>
      <c r="AF24" s="73">
        <v>15502.235159300495</v>
      </c>
      <c r="AG24" s="41">
        <f>+SUM(I24:AF24)*H24</f>
        <v>8547484.8890129346</v>
      </c>
      <c r="AJ24" s="74"/>
    </row>
    <row r="25" spans="1:37" ht="14">
      <c r="A25" s="66"/>
      <c r="E25" s="85">
        <f t="shared" ref="E25:E28" si="7">+E24</f>
        <v>46478</v>
      </c>
      <c r="F25" s="80"/>
      <c r="G25" s="42" t="s">
        <v>63</v>
      </c>
      <c r="H25" s="42">
        <v>4</v>
      </c>
      <c r="I25" s="73">
        <v>14800.774748175323</v>
      </c>
      <c r="J25" s="73">
        <v>14506.537509624326</v>
      </c>
      <c r="K25" s="73">
        <v>14356.957156926308</v>
      </c>
      <c r="L25" s="73">
        <v>14278.625357501127</v>
      </c>
      <c r="M25" s="73">
        <v>14276.064506317191</v>
      </c>
      <c r="N25" s="73">
        <v>14506.093799592623</v>
      </c>
      <c r="O25" s="73">
        <v>15214.638183647319</v>
      </c>
      <c r="P25" s="73">
        <v>16012.430689355288</v>
      </c>
      <c r="Q25" s="73">
        <v>16491.908085508785</v>
      </c>
      <c r="R25" s="73">
        <v>16390.756647210663</v>
      </c>
      <c r="S25" s="73">
        <v>16657.082046309784</v>
      </c>
      <c r="T25" s="73">
        <v>16736.458729469359</v>
      </c>
      <c r="U25" s="73">
        <v>16502.119718298276</v>
      </c>
      <c r="V25" s="73">
        <v>16412.756025254905</v>
      </c>
      <c r="W25" s="73">
        <v>17943.421572933301</v>
      </c>
      <c r="X25" s="73">
        <v>18781.278536332462</v>
      </c>
      <c r="Y25" s="73">
        <v>19273.173732088129</v>
      </c>
      <c r="Z25" s="73">
        <v>19586.973073296311</v>
      </c>
      <c r="AA25" s="73">
        <v>18997.326210832696</v>
      </c>
      <c r="AB25" s="73">
        <v>18513.493399544441</v>
      </c>
      <c r="AC25" s="73">
        <v>17739.336831096956</v>
      </c>
      <c r="AD25" s="73">
        <v>16629.463795955991</v>
      </c>
      <c r="AE25" s="73">
        <v>15676.331588824984</v>
      </c>
      <c r="AF25" s="73">
        <v>15161.444240923383</v>
      </c>
      <c r="AG25" s="43">
        <f>+SUM(I25:AF25)*H25</f>
        <v>1581781.7847400797</v>
      </c>
      <c r="AJ25" s="74"/>
      <c r="AK25" s="75"/>
    </row>
    <row r="26" spans="1:37" ht="14">
      <c r="A26" s="66"/>
      <c r="E26" s="85">
        <f t="shared" si="7"/>
        <v>46478</v>
      </c>
      <c r="F26" s="80"/>
      <c r="G26" s="44" t="s">
        <v>61</v>
      </c>
      <c r="H26" s="44">
        <v>4</v>
      </c>
      <c r="I26" s="73">
        <v>14289.937443957853</v>
      </c>
      <c r="J26" s="73">
        <v>14040.969016600402</v>
      </c>
      <c r="K26" s="73">
        <v>13868.680496200199</v>
      </c>
      <c r="L26" s="73">
        <v>13760.33344434738</v>
      </c>
      <c r="M26" s="73">
        <v>13751.50683216875</v>
      </c>
      <c r="N26" s="73">
        <v>13611.360564216297</v>
      </c>
      <c r="O26" s="73">
        <v>13291.63195749294</v>
      </c>
      <c r="P26" s="73">
        <v>12433.309449313716</v>
      </c>
      <c r="Q26" s="73">
        <v>10354.154397176349</v>
      </c>
      <c r="R26" s="73">
        <v>8264.1851987224563</v>
      </c>
      <c r="S26" s="73">
        <v>8695.8287808641908</v>
      </c>
      <c r="T26" s="73">
        <v>9751.479112955798</v>
      </c>
      <c r="U26" s="73">
        <v>11845.700747420256</v>
      </c>
      <c r="V26" s="73">
        <v>13017.031505332709</v>
      </c>
      <c r="W26" s="73">
        <v>13728.890187750898</v>
      </c>
      <c r="X26" s="73">
        <v>14538.852287170588</v>
      </c>
      <c r="Y26" s="73">
        <v>15297.393564688582</v>
      </c>
      <c r="Z26" s="73">
        <v>16051.118473895651</v>
      </c>
      <c r="AA26" s="73">
        <v>16114.127196542317</v>
      </c>
      <c r="AB26" s="73">
        <v>15957.702375379171</v>
      </c>
      <c r="AC26" s="73">
        <v>15481.13362366929</v>
      </c>
      <c r="AD26" s="73">
        <v>14969.843138417353</v>
      </c>
      <c r="AE26" s="73">
        <v>14538.260251819362</v>
      </c>
      <c r="AF26" s="73">
        <v>14214.044154792175</v>
      </c>
      <c r="AG26" s="43">
        <f>+SUM(I26:AF26)*H26</f>
        <v>1287469.8968035786</v>
      </c>
      <c r="AJ26" s="74"/>
      <c r="AK26" s="75"/>
    </row>
    <row r="27" spans="1:37" ht="14">
      <c r="A27" s="66"/>
      <c r="E27" s="85">
        <f t="shared" si="7"/>
        <v>46478</v>
      </c>
      <c r="F27" s="80"/>
      <c r="G27" s="45" t="s">
        <v>62</v>
      </c>
      <c r="H27" s="45">
        <v>0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  <c r="Z27" s="73">
        <v>0</v>
      </c>
      <c r="AA27" s="73">
        <v>0</v>
      </c>
      <c r="AB27" s="73">
        <v>0</v>
      </c>
      <c r="AC27" s="73">
        <v>0</v>
      </c>
      <c r="AD27" s="73">
        <v>0</v>
      </c>
      <c r="AE27" s="73">
        <v>0</v>
      </c>
      <c r="AF27" s="73">
        <v>0</v>
      </c>
      <c r="AG27" s="46">
        <f>+SUM(I27:AF27)*H27</f>
        <v>0</v>
      </c>
      <c r="AJ27" s="74"/>
      <c r="AK27" s="75"/>
    </row>
    <row r="28" spans="1:37" ht="15" thickBot="1">
      <c r="A28" s="66"/>
      <c r="E28" s="85">
        <f t="shared" si="7"/>
        <v>46478</v>
      </c>
      <c r="F28" s="81"/>
      <c r="G28" s="47" t="s">
        <v>10</v>
      </c>
      <c r="H28" s="47">
        <f>+SUM(H24:H27)</f>
        <v>30</v>
      </c>
      <c r="I28" s="48">
        <f t="shared" ref="I28:AF28" si="8">+SUMPRODUCT(I24:I27,$H24:$H27)</f>
        <v>442451.71538558719</v>
      </c>
      <c r="J28" s="48">
        <f t="shared" si="8"/>
        <v>433367.63857502287</v>
      </c>
      <c r="K28" s="48">
        <f t="shared" si="8"/>
        <v>427601.95118272549</v>
      </c>
      <c r="L28" s="48">
        <f t="shared" si="8"/>
        <v>425389.06142102636</v>
      </c>
      <c r="M28" s="48">
        <f t="shared" si="8"/>
        <v>423786.18087742443</v>
      </c>
      <c r="N28" s="48">
        <f t="shared" si="8"/>
        <v>428725.28467870061</v>
      </c>
      <c r="O28" s="48">
        <f t="shared" si="8"/>
        <v>439353.39756230026</v>
      </c>
      <c r="P28" s="48">
        <f t="shared" si="8"/>
        <v>448396.69647782226</v>
      </c>
      <c r="Q28" s="48">
        <f t="shared" si="8"/>
        <v>448561.0738456028</v>
      </c>
      <c r="R28" s="48">
        <f t="shared" si="8"/>
        <v>437966.88024178083</v>
      </c>
      <c r="S28" s="48">
        <f t="shared" si="8"/>
        <v>446259.80201571214</v>
      </c>
      <c r="T28" s="48">
        <f t="shared" si="8"/>
        <v>458419.62452982925</v>
      </c>
      <c r="U28" s="48">
        <f t="shared" si="8"/>
        <v>467821.86286452436</v>
      </c>
      <c r="V28" s="48">
        <f t="shared" si="8"/>
        <v>481321.77298889082</v>
      </c>
      <c r="W28" s="48">
        <f t="shared" si="8"/>
        <v>504873.53482985555</v>
      </c>
      <c r="X28" s="48">
        <f t="shared" si="8"/>
        <v>530519.02092796506</v>
      </c>
      <c r="Y28" s="48">
        <f t="shared" si="8"/>
        <v>549644.45335703657</v>
      </c>
      <c r="Z28" s="48">
        <f t="shared" si="8"/>
        <v>568736.05162482639</v>
      </c>
      <c r="AA28" s="48">
        <f t="shared" si="8"/>
        <v>558544.4575744184</v>
      </c>
      <c r="AB28" s="48">
        <f t="shared" si="8"/>
        <v>546102.43885542091</v>
      </c>
      <c r="AC28" s="48">
        <f t="shared" si="8"/>
        <v>523153.31429280998</v>
      </c>
      <c r="AD28" s="48">
        <f t="shared" si="8"/>
        <v>495263.94298603432</v>
      </c>
      <c r="AE28" s="48">
        <f t="shared" si="8"/>
        <v>471925.28637380351</v>
      </c>
      <c r="AF28" s="48">
        <f t="shared" si="8"/>
        <v>458551.12708747317</v>
      </c>
      <c r="AG28" s="49">
        <f>SUM(I28:AF28)</f>
        <v>11416736.570556594</v>
      </c>
    </row>
    <row r="29" spans="1:37" ht="14">
      <c r="A29" s="66"/>
      <c r="E29" s="84">
        <v>46508</v>
      </c>
      <c r="F29" s="79">
        <f t="shared" ref="F29" si="9">+AG33</f>
        <v>12949903.778691592</v>
      </c>
      <c r="G29" s="40" t="s">
        <v>60</v>
      </c>
      <c r="H29" s="40">
        <v>19</v>
      </c>
      <c r="I29" s="73">
        <v>16451.819474976874</v>
      </c>
      <c r="J29" s="73">
        <v>16156.554983479879</v>
      </c>
      <c r="K29" s="73">
        <v>15976.07029359323</v>
      </c>
      <c r="L29" s="73">
        <v>15924.163894053203</v>
      </c>
      <c r="M29" s="73">
        <v>15916.841968780016</v>
      </c>
      <c r="N29" s="73">
        <v>16185.407332327772</v>
      </c>
      <c r="O29" s="73">
        <v>16964.319697103434</v>
      </c>
      <c r="P29" s="73">
        <v>17832.141331395691</v>
      </c>
      <c r="Q29" s="73">
        <v>18390.700039501164</v>
      </c>
      <c r="R29" s="73">
        <v>18347.983026047827</v>
      </c>
      <c r="S29" s="73">
        <v>18634.769630727718</v>
      </c>
      <c r="T29" s="73">
        <v>18869.067663736107</v>
      </c>
      <c r="U29" s="73">
        <v>18699.103426893427</v>
      </c>
      <c r="V29" s="73">
        <v>19202.165607783318</v>
      </c>
      <c r="W29" s="73">
        <v>20085.886527895123</v>
      </c>
      <c r="X29" s="73">
        <v>20941.018835532166</v>
      </c>
      <c r="Y29" s="73">
        <v>21383.169889966641</v>
      </c>
      <c r="Z29" s="73">
        <v>21567.01969470426</v>
      </c>
      <c r="AA29" s="73">
        <v>20905.415679806207</v>
      </c>
      <c r="AB29" s="73">
        <v>20338.479416818267</v>
      </c>
      <c r="AC29" s="73">
        <v>19505.630880532717</v>
      </c>
      <c r="AD29" s="73">
        <v>18409.990141907889</v>
      </c>
      <c r="AE29" s="73">
        <v>17479.980867265098</v>
      </c>
      <c r="AF29" s="73">
        <v>16990.379025076702</v>
      </c>
      <c r="AG29" s="41">
        <f>+SUM(I29:AF29)*H29</f>
        <v>8382003.5072681895</v>
      </c>
      <c r="AJ29" s="74"/>
    </row>
    <row r="30" spans="1:37" ht="14">
      <c r="A30" s="66"/>
      <c r="E30" s="85">
        <f t="shared" ref="E30:E33" si="10">+E29</f>
        <v>46508</v>
      </c>
      <c r="F30" s="80"/>
      <c r="G30" s="42" t="s">
        <v>63</v>
      </c>
      <c r="H30" s="42">
        <v>4</v>
      </c>
      <c r="I30" s="73">
        <v>16462.316195147203</v>
      </c>
      <c r="J30" s="73">
        <v>16152.240474007922</v>
      </c>
      <c r="K30" s="73">
        <v>15961.718803776197</v>
      </c>
      <c r="L30" s="73">
        <v>15881.817566547223</v>
      </c>
      <c r="M30" s="73">
        <v>15843.642001736391</v>
      </c>
      <c r="N30" s="73">
        <v>15968.98152518912</v>
      </c>
      <c r="O30" s="73">
        <v>16444.029941037068</v>
      </c>
      <c r="P30" s="73">
        <v>16916.112706778451</v>
      </c>
      <c r="Q30" s="73">
        <v>17229.469979656424</v>
      </c>
      <c r="R30" s="73">
        <v>17148.221902952864</v>
      </c>
      <c r="S30" s="73">
        <v>17368.653140981249</v>
      </c>
      <c r="T30" s="73">
        <v>17487.764811579262</v>
      </c>
      <c r="U30" s="73">
        <v>17319.043624854832</v>
      </c>
      <c r="V30" s="73">
        <v>17490.565517760151</v>
      </c>
      <c r="W30" s="73">
        <v>17938.237040246517</v>
      </c>
      <c r="X30" s="73">
        <v>18701.681361740346</v>
      </c>
      <c r="Y30" s="73">
        <v>19297.775355805381</v>
      </c>
      <c r="Z30" s="73">
        <v>19967.681825271302</v>
      </c>
      <c r="AA30" s="73">
        <v>19704.399975094646</v>
      </c>
      <c r="AB30" s="73">
        <v>19351.096667073056</v>
      </c>
      <c r="AC30" s="73">
        <v>18688.823676430129</v>
      </c>
      <c r="AD30" s="73">
        <v>17667.802552860867</v>
      </c>
      <c r="AE30" s="73">
        <v>16794.108067059573</v>
      </c>
      <c r="AF30" s="73">
        <v>16313.635914898896</v>
      </c>
      <c r="AG30" s="43">
        <f>+SUM(I30:AF30)*H30</f>
        <v>1672399.2825139405</v>
      </c>
      <c r="AJ30" s="74"/>
      <c r="AK30" s="75"/>
    </row>
    <row r="31" spans="1:37" ht="14">
      <c r="A31" s="66"/>
      <c r="E31" s="85">
        <f t="shared" si="10"/>
        <v>46508</v>
      </c>
      <c r="F31" s="80"/>
      <c r="G31" s="44" t="s">
        <v>61</v>
      </c>
      <c r="H31" s="44">
        <v>5</v>
      </c>
      <c r="I31" s="73">
        <v>15744.760098678706</v>
      </c>
      <c r="J31" s="73">
        <v>15499.285415319357</v>
      </c>
      <c r="K31" s="73">
        <v>15326.198728430021</v>
      </c>
      <c r="L31" s="73">
        <v>15220.569027089989</v>
      </c>
      <c r="M31" s="73">
        <v>15210.302541292631</v>
      </c>
      <c r="N31" s="73">
        <v>15077.002471469363</v>
      </c>
      <c r="O31" s="73">
        <v>14758.338604175518</v>
      </c>
      <c r="P31" s="73">
        <v>13879.730496916492</v>
      </c>
      <c r="Q31" s="73">
        <v>10999.793626011815</v>
      </c>
      <c r="R31" s="73">
        <v>9934.5227265787144</v>
      </c>
      <c r="S31" s="73">
        <v>10498.24027271773</v>
      </c>
      <c r="T31" s="73">
        <v>12221.286825934953</v>
      </c>
      <c r="U31" s="73">
        <v>14400.273925449834</v>
      </c>
      <c r="V31" s="73">
        <v>14767.253295996406</v>
      </c>
      <c r="W31" s="73">
        <v>15168.399654225761</v>
      </c>
      <c r="X31" s="73">
        <v>15975.744633831036</v>
      </c>
      <c r="Y31" s="73">
        <v>16734.568253172292</v>
      </c>
      <c r="Z31" s="73">
        <v>17493.300993004606</v>
      </c>
      <c r="AA31" s="73">
        <v>17552.872514731436</v>
      </c>
      <c r="AB31" s="73">
        <v>17404.280655878138</v>
      </c>
      <c r="AC31" s="73">
        <v>16935.743872289633</v>
      </c>
      <c r="AD31" s="73">
        <v>16433.898282703285</v>
      </c>
      <c r="AE31" s="73">
        <v>16005.772279932764</v>
      </c>
      <c r="AF31" s="73">
        <v>15686.713979396989</v>
      </c>
      <c r="AG31" s="43">
        <f>+SUM(I31:AF31)*H31</f>
        <v>1794644.2658761374</v>
      </c>
      <c r="AJ31" s="74"/>
      <c r="AK31" s="75"/>
    </row>
    <row r="32" spans="1:37" ht="14">
      <c r="A32" s="66"/>
      <c r="E32" s="85">
        <f t="shared" si="10"/>
        <v>46508</v>
      </c>
      <c r="F32" s="80"/>
      <c r="G32" s="45" t="s">
        <v>62</v>
      </c>
      <c r="H32" s="45">
        <v>3</v>
      </c>
      <c r="I32" s="73">
        <v>15878.003825304499</v>
      </c>
      <c r="J32" s="73">
        <v>15641.758848122125</v>
      </c>
      <c r="K32" s="73">
        <v>15485.99680177743</v>
      </c>
      <c r="L32" s="73">
        <v>15391.058309242848</v>
      </c>
      <c r="M32" s="73">
        <v>15367.330655967015</v>
      </c>
      <c r="N32" s="73">
        <v>15082.038149105761</v>
      </c>
      <c r="O32" s="73">
        <v>14713.707319230574</v>
      </c>
      <c r="P32" s="73">
        <v>14420.073800895714</v>
      </c>
      <c r="Q32" s="73">
        <v>12522.500132648551</v>
      </c>
      <c r="R32" s="73">
        <v>11552.406624953312</v>
      </c>
      <c r="S32" s="73">
        <v>12173.118951498145</v>
      </c>
      <c r="T32" s="73">
        <v>14201.137724020293</v>
      </c>
      <c r="U32" s="73">
        <v>14565.844143747978</v>
      </c>
      <c r="V32" s="73">
        <v>14804.203360360998</v>
      </c>
      <c r="W32" s="73">
        <v>15188.500134275186</v>
      </c>
      <c r="X32" s="73">
        <v>16013.75299190097</v>
      </c>
      <c r="Y32" s="73">
        <v>16691.388516287629</v>
      </c>
      <c r="Z32" s="73">
        <v>17506.782862611813</v>
      </c>
      <c r="AA32" s="73">
        <v>17547.181993711565</v>
      </c>
      <c r="AB32" s="73">
        <v>17456.323804622527</v>
      </c>
      <c r="AC32" s="73">
        <v>16925.687536096117</v>
      </c>
      <c r="AD32" s="73">
        <v>16359.191599605821</v>
      </c>
      <c r="AE32" s="73">
        <v>15896.336844485244</v>
      </c>
      <c r="AF32" s="73">
        <v>15567.916080635374</v>
      </c>
      <c r="AG32" s="46">
        <f>+SUM(I32:AF32)*H32</f>
        <v>1100856.7230333227</v>
      </c>
      <c r="AJ32" s="74"/>
      <c r="AK32" s="75"/>
    </row>
    <row r="33" spans="1:37" ht="15" thickBot="1">
      <c r="A33" s="66"/>
      <c r="E33" s="85">
        <f t="shared" si="10"/>
        <v>46508</v>
      </c>
      <c r="F33" s="81"/>
      <c r="G33" s="47" t="s">
        <v>10</v>
      </c>
      <c r="H33" s="47">
        <f>+SUM(H29:H32)</f>
        <v>31</v>
      </c>
      <c r="I33" s="48">
        <f t="shared" ref="I33:AF33" si="11">+SUMPRODUCT(I29:I32,$H29:$H32)</f>
        <v>504791.64677445643</v>
      </c>
      <c r="J33" s="48">
        <f t="shared" si="11"/>
        <v>496005.21020311251</v>
      </c>
      <c r="K33" s="48">
        <f t="shared" si="11"/>
        <v>490481.19484085857</v>
      </c>
      <c r="L33" s="48">
        <f t="shared" si="11"/>
        <v>488362.40431637823</v>
      </c>
      <c r="M33" s="48">
        <f t="shared" si="11"/>
        <v>487948.07008813007</v>
      </c>
      <c r="N33" s="48">
        <f t="shared" si="11"/>
        <v>492029.7922196482</v>
      </c>
      <c r="O33" s="48">
        <f t="shared" si="11"/>
        <v>506031.00898768281</v>
      </c>
      <c r="P33" s="48">
        <f t="shared" si="11"/>
        <v>519134.01001090155</v>
      </c>
      <c r="Q33" s="48">
        <f t="shared" si="11"/>
        <v>510907.64919715252</v>
      </c>
      <c r="R33" s="48">
        <f t="shared" si="11"/>
        <v>501534.39861447364</v>
      </c>
      <c r="S33" s="48">
        <f t="shared" si="11"/>
        <v>512545.79376583477</v>
      </c>
      <c r="T33" s="48">
        <f t="shared" si="11"/>
        <v>532173.19215903874</v>
      </c>
      <c r="U33" s="48">
        <f t="shared" si="11"/>
        <v>540258.0416688876</v>
      </c>
      <c r="V33" s="48">
        <f t="shared" si="11"/>
        <v>553052.28517998871</v>
      </c>
      <c r="W33" s="48">
        <f t="shared" si="11"/>
        <v>574792.29086494783</v>
      </c>
      <c r="X33" s="48">
        <f t="shared" si="11"/>
        <v>600606.06546693062</v>
      </c>
      <c r="Y33" s="48">
        <f t="shared" si="11"/>
        <v>617218.33614731207</v>
      </c>
      <c r="Z33" s="48">
        <f t="shared" si="11"/>
        <v>629630.95505332458</v>
      </c>
      <c r="AA33" s="48">
        <f t="shared" si="11"/>
        <v>616426.40637148847</v>
      </c>
      <c r="AB33" s="48">
        <f t="shared" si="11"/>
        <v>603225.87028109748</v>
      </c>
      <c r="AC33" s="48">
        <f t="shared" si="11"/>
        <v>580818.06340557861</v>
      </c>
      <c r="AD33" s="48">
        <f t="shared" si="11"/>
        <v>551708.08912002726</v>
      </c>
      <c r="AE33" s="48">
        <f t="shared" si="11"/>
        <v>527013.94067939476</v>
      </c>
      <c r="AF33" s="48">
        <f t="shared" si="11"/>
        <v>513209.06327494403</v>
      </c>
      <c r="AG33" s="49">
        <f>SUM(I33:AF33)</f>
        <v>12949903.778691592</v>
      </c>
    </row>
    <row r="34" spans="1:37" ht="14">
      <c r="A34" s="66"/>
      <c r="E34" s="84">
        <v>46539</v>
      </c>
      <c r="F34" s="79">
        <f t="shared" ref="F34" si="12">+AG38</f>
        <v>11118311.965990597</v>
      </c>
      <c r="G34" s="40" t="s">
        <v>60</v>
      </c>
      <c r="H34" s="40">
        <v>21</v>
      </c>
      <c r="I34" s="73">
        <v>14165.188042603977</v>
      </c>
      <c r="J34" s="73">
        <v>13869.491695501541</v>
      </c>
      <c r="K34" s="73">
        <v>13688.704784179838</v>
      </c>
      <c r="L34" s="73">
        <v>13637.574206380063</v>
      </c>
      <c r="M34" s="73">
        <v>13628.139798624916</v>
      </c>
      <c r="N34" s="73">
        <v>13899.459714936625</v>
      </c>
      <c r="O34" s="73">
        <v>14682.564114601055</v>
      </c>
      <c r="P34" s="73">
        <v>15554.245402884517</v>
      </c>
      <c r="Q34" s="73">
        <v>16117.55079345886</v>
      </c>
      <c r="R34" s="73">
        <v>16077.027200478165</v>
      </c>
      <c r="S34" s="73">
        <v>16365.665121206453</v>
      </c>
      <c r="T34" s="73">
        <v>16601.066734590273</v>
      </c>
      <c r="U34" s="73">
        <v>16429.055968179768</v>
      </c>
      <c r="V34" s="73">
        <v>16932.79759258591</v>
      </c>
      <c r="W34" s="73">
        <v>17816.287668728211</v>
      </c>
      <c r="X34" s="73">
        <v>18668.954369726689</v>
      </c>
      <c r="Y34" s="73">
        <v>19110.869887531975</v>
      </c>
      <c r="Z34" s="73">
        <v>19291.679199751987</v>
      </c>
      <c r="AA34" s="73">
        <v>18627.590973253995</v>
      </c>
      <c r="AB34" s="73">
        <v>18057.704213655325</v>
      </c>
      <c r="AC34" s="73">
        <v>17224.161832107282</v>
      </c>
      <c r="AD34" s="73">
        <v>16126.415450843824</v>
      </c>
      <c r="AE34" s="73">
        <v>15195.166074535191</v>
      </c>
      <c r="AF34" s="73">
        <v>14705.609252087212</v>
      </c>
      <c r="AG34" s="41">
        <f>+SUM(I34:AF34)*H34</f>
        <v>8115932.3719411064</v>
      </c>
      <c r="AJ34" s="74"/>
    </row>
    <row r="35" spans="1:37" ht="14">
      <c r="A35" s="66"/>
      <c r="E35" s="85">
        <f t="shared" ref="E35:E38" si="13">+E34</f>
        <v>46539</v>
      </c>
      <c r="F35" s="80"/>
      <c r="G35" s="42" t="s">
        <v>63</v>
      </c>
      <c r="H35" s="42">
        <v>4</v>
      </c>
      <c r="I35" s="73">
        <v>14191.866129745056</v>
      </c>
      <c r="J35" s="73">
        <v>13881.23096543338</v>
      </c>
      <c r="K35" s="73">
        <v>13689.80185387876</v>
      </c>
      <c r="L35" s="73">
        <v>13607.984857778152</v>
      </c>
      <c r="M35" s="73">
        <v>13567.678703193536</v>
      </c>
      <c r="N35" s="73">
        <v>13694.025181348028</v>
      </c>
      <c r="O35" s="73">
        <v>14173.09440856794</v>
      </c>
      <c r="P35" s="73">
        <v>14650.546474674889</v>
      </c>
      <c r="Q35" s="73">
        <v>14968.73904297911</v>
      </c>
      <c r="R35" s="73">
        <v>14887.770099037965</v>
      </c>
      <c r="S35" s="73">
        <v>15112.042556580196</v>
      </c>
      <c r="T35" s="73">
        <v>15232.244994205184</v>
      </c>
      <c r="U35" s="73">
        <v>15060.539978174242</v>
      </c>
      <c r="V35" s="73">
        <v>15229.729093088848</v>
      </c>
      <c r="W35" s="73">
        <v>15676.60880833082</v>
      </c>
      <c r="X35" s="73">
        <v>16439.170245845424</v>
      </c>
      <c r="Y35" s="73">
        <v>17036.249248808592</v>
      </c>
      <c r="Z35" s="73">
        <v>17704.335381368724</v>
      </c>
      <c r="AA35" s="73">
        <v>17438.650615128903</v>
      </c>
      <c r="AB35" s="73">
        <v>17083.405982347616</v>
      </c>
      <c r="AC35" s="73">
        <v>16418.971398286318</v>
      </c>
      <c r="AD35" s="73">
        <v>15393.965343838814</v>
      </c>
      <c r="AE35" s="73">
        <v>14515.726608042334</v>
      </c>
      <c r="AF35" s="73">
        <v>14034.373282659793</v>
      </c>
      <c r="AG35" s="43">
        <f>+SUM(I35:AF35)*H35</f>
        <v>1454755.0050133702</v>
      </c>
      <c r="AJ35" s="74"/>
      <c r="AK35" s="75"/>
    </row>
    <row r="36" spans="1:37" ht="14">
      <c r="A36" s="66"/>
      <c r="E36" s="85">
        <f t="shared" si="13"/>
        <v>46539</v>
      </c>
      <c r="F36" s="80"/>
      <c r="G36" s="44" t="s">
        <v>61</v>
      </c>
      <c r="H36" s="44">
        <v>4</v>
      </c>
      <c r="I36" s="73">
        <v>13473.505997824514</v>
      </c>
      <c r="J36" s="73">
        <v>13226.197209511962</v>
      </c>
      <c r="K36" s="73">
        <v>13052.390678206588</v>
      </c>
      <c r="L36" s="73">
        <v>12945.797153757798</v>
      </c>
      <c r="M36" s="73">
        <v>12936.969738001459</v>
      </c>
      <c r="N36" s="73">
        <v>12800.757446427078</v>
      </c>
      <c r="O36" s="73">
        <v>12478.406953870432</v>
      </c>
      <c r="P36" s="73">
        <v>12089.336987960509</v>
      </c>
      <c r="Q36" s="73">
        <v>10373.846799371368</v>
      </c>
      <c r="R36" s="73">
        <v>8244.2447150254338</v>
      </c>
      <c r="S36" s="73">
        <v>8252.655391114331</v>
      </c>
      <c r="T36" s="73">
        <v>10914.319289968198</v>
      </c>
      <c r="U36" s="73">
        <v>12223.397430007086</v>
      </c>
      <c r="V36" s="73">
        <v>12490.161543483568</v>
      </c>
      <c r="W36" s="73">
        <v>12891.577560850492</v>
      </c>
      <c r="X36" s="73">
        <v>13701.086503189501</v>
      </c>
      <c r="Y36" s="73">
        <v>14459.870970998234</v>
      </c>
      <c r="Z36" s="73">
        <v>15218.458268920846</v>
      </c>
      <c r="AA36" s="73">
        <v>15277.484379596815</v>
      </c>
      <c r="AB36" s="73">
        <v>15129.02795670165</v>
      </c>
      <c r="AC36" s="73">
        <v>14658.860156735531</v>
      </c>
      <c r="AD36" s="73">
        <v>14155.814322161134</v>
      </c>
      <c r="AE36" s="73">
        <v>13727.501110574149</v>
      </c>
      <c r="AF36" s="73">
        <v>13406.899950085004</v>
      </c>
      <c r="AG36" s="43">
        <f>+SUM(I36:AF36)*H36</f>
        <v>1232514.2740573748</v>
      </c>
      <c r="AJ36" s="74"/>
      <c r="AK36" s="75"/>
    </row>
    <row r="37" spans="1:37" ht="14">
      <c r="A37" s="66"/>
      <c r="E37" s="85">
        <f t="shared" si="13"/>
        <v>46539</v>
      </c>
      <c r="F37" s="80"/>
      <c r="G37" s="45" t="s">
        <v>62</v>
      </c>
      <c r="H37" s="45">
        <v>1</v>
      </c>
      <c r="I37" s="73">
        <v>13632.210021797833</v>
      </c>
      <c r="J37" s="73">
        <v>13393.500334855509</v>
      </c>
      <c r="K37" s="73">
        <v>13237.011187939233</v>
      </c>
      <c r="L37" s="73">
        <v>13140.669367236776</v>
      </c>
      <c r="M37" s="73">
        <v>13118.539425357782</v>
      </c>
      <c r="N37" s="73">
        <v>12830.6252420208</v>
      </c>
      <c r="O37" s="73">
        <v>12459.875119509034</v>
      </c>
      <c r="P37" s="73">
        <v>12168.035221773936</v>
      </c>
      <c r="Q37" s="73">
        <v>11835.47493853177</v>
      </c>
      <c r="R37" s="73">
        <v>9798.6731225698986</v>
      </c>
      <c r="S37" s="73">
        <v>9859.8337159328494</v>
      </c>
      <c r="T37" s="73">
        <v>12061.519370407106</v>
      </c>
      <c r="U37" s="73">
        <v>12322.490334044596</v>
      </c>
      <c r="V37" s="73">
        <v>12561.557291660456</v>
      </c>
      <c r="W37" s="73">
        <v>12945.385240286798</v>
      </c>
      <c r="X37" s="73">
        <v>13772.74962314838</v>
      </c>
      <c r="Y37" s="73">
        <v>14450.411157099506</v>
      </c>
      <c r="Z37" s="73">
        <v>15264.24560485147</v>
      </c>
      <c r="AA37" s="73">
        <v>15304.628408391112</v>
      </c>
      <c r="AB37" s="73">
        <v>15211.663965554621</v>
      </c>
      <c r="AC37" s="73">
        <v>14677.442226867113</v>
      </c>
      <c r="AD37" s="73">
        <v>14107.614584502442</v>
      </c>
      <c r="AE37" s="73">
        <v>13643.497498687508</v>
      </c>
      <c r="AF37" s="73">
        <v>13312.661975718014</v>
      </c>
      <c r="AG37" s="46">
        <f>+SUM(I37:AF37)*H37</f>
        <v>315110.31497874449</v>
      </c>
      <c r="AJ37" s="74"/>
      <c r="AK37" s="75"/>
    </row>
    <row r="38" spans="1:37" ht="15" thickBot="1">
      <c r="A38" s="66"/>
      <c r="E38" s="85">
        <f t="shared" si="13"/>
        <v>46539</v>
      </c>
      <c r="F38" s="81"/>
      <c r="G38" s="47" t="s">
        <v>10</v>
      </c>
      <c r="H38" s="47">
        <f>+SUM(H34:H37)</f>
        <v>30</v>
      </c>
      <c r="I38" s="48">
        <f t="shared" ref="I38:AF38" si="14">+SUMPRODUCT(I34:I37,$H34:$H37)</f>
        <v>421762.64742675965</v>
      </c>
      <c r="J38" s="48">
        <f t="shared" si="14"/>
        <v>413082.53864016925</v>
      </c>
      <c r="K38" s="48">
        <f t="shared" si="14"/>
        <v>407668.5817840572</v>
      </c>
      <c r="L38" s="48">
        <f t="shared" si="14"/>
        <v>405744.8557473619</v>
      </c>
      <c r="M38" s="48">
        <f t="shared" si="14"/>
        <v>405328.06896126096</v>
      </c>
      <c r="N38" s="48">
        <f t="shared" si="14"/>
        <v>410698.40976679034</v>
      </c>
      <c r="O38" s="48">
        <f t="shared" si="14"/>
        <v>427399.7269758847</v>
      </c>
      <c r="P38" s="48">
        <f t="shared" si="14"/>
        <v>445766.72253289045</v>
      </c>
      <c r="Q38" s="48">
        <f t="shared" si="14"/>
        <v>451674.38497056975</v>
      </c>
      <c r="R38" s="48">
        <f t="shared" si="14"/>
        <v>439944.30358886498</v>
      </c>
      <c r="S38" s="48">
        <f t="shared" si="14"/>
        <v>446997.59305204649</v>
      </c>
      <c r="T38" s="48">
        <f t="shared" si="14"/>
        <v>465270.17793349642</v>
      </c>
      <c r="U38" s="48">
        <f t="shared" si="14"/>
        <v>466468.41529854503</v>
      </c>
      <c r="V38" s="48">
        <f t="shared" si="14"/>
        <v>479029.86928225419</v>
      </c>
      <c r="W38" s="48">
        <f t="shared" si="14"/>
        <v>501360.17176030454</v>
      </c>
      <c r="X38" s="48">
        <f t="shared" si="14"/>
        <v>526381.81838354853</v>
      </c>
      <c r="Y38" s="48">
        <f t="shared" si="14"/>
        <v>541763.15967449825</v>
      </c>
      <c r="Z38" s="48">
        <f t="shared" si="14"/>
        <v>552080.6834008015</v>
      </c>
      <c r="AA38" s="48">
        <f t="shared" si="14"/>
        <v>537348.57882562792</v>
      </c>
      <c r="AB38" s="48">
        <f t="shared" si="14"/>
        <v>523273.18820851349</v>
      </c>
      <c r="AC38" s="48">
        <f t="shared" si="14"/>
        <v>500696.16692120745</v>
      </c>
      <c r="AD38" s="48">
        <f t="shared" si="14"/>
        <v>470961.45771622256</v>
      </c>
      <c r="AE38" s="48">
        <f t="shared" si="14"/>
        <v>445714.89593839244</v>
      </c>
      <c r="AF38" s="48">
        <f t="shared" si="14"/>
        <v>431895.54920052865</v>
      </c>
      <c r="AG38" s="49">
        <f>SUM(I38:AF38)</f>
        <v>11118311.965990597</v>
      </c>
    </row>
    <row r="39" spans="1:37" ht="14">
      <c r="A39" s="66"/>
      <c r="E39" s="84">
        <v>46569</v>
      </c>
      <c r="F39" s="79">
        <f t="shared" ref="F39" si="15">+AG43</f>
        <v>11391157.827409184</v>
      </c>
      <c r="G39" s="40" t="s">
        <v>60</v>
      </c>
      <c r="H39" s="40">
        <v>20</v>
      </c>
      <c r="I39" s="73">
        <v>14132.399259684546</v>
      </c>
      <c r="J39" s="73">
        <v>13837.015856821617</v>
      </c>
      <c r="K39" s="73">
        <v>13656.404086680215</v>
      </c>
      <c r="L39" s="73">
        <v>13604.351071875102</v>
      </c>
      <c r="M39" s="73">
        <v>13597.139125884385</v>
      </c>
      <c r="N39" s="73">
        <v>13866.098116185985</v>
      </c>
      <c r="O39" s="73">
        <v>14646.270771981854</v>
      </c>
      <c r="P39" s="73">
        <v>15515.357037565791</v>
      </c>
      <c r="Q39" s="73">
        <v>16075.099308727664</v>
      </c>
      <c r="R39" s="73">
        <v>16033.233401411915</v>
      </c>
      <c r="S39" s="73">
        <v>16320.7291676075</v>
      </c>
      <c r="T39" s="73">
        <v>16555.470058136099</v>
      </c>
      <c r="U39" s="73">
        <v>16385.120563377532</v>
      </c>
      <c r="V39" s="73">
        <v>16888.224369542502</v>
      </c>
      <c r="W39" s="73">
        <v>17772.063884677791</v>
      </c>
      <c r="X39" s="73">
        <v>18627.054880918811</v>
      </c>
      <c r="Y39" s="73">
        <v>19069.045330951201</v>
      </c>
      <c r="Z39" s="73">
        <v>19252.301823159236</v>
      </c>
      <c r="AA39" s="73">
        <v>18589.753561546306</v>
      </c>
      <c r="AB39" s="73">
        <v>18022.306984162769</v>
      </c>
      <c r="AC39" s="73">
        <v>17188.717432410464</v>
      </c>
      <c r="AD39" s="73">
        <v>16092.251632894908</v>
      </c>
      <c r="AE39" s="73">
        <v>15161.514577639615</v>
      </c>
      <c r="AF39" s="73">
        <v>14671.624065303442</v>
      </c>
      <c r="AG39" s="41">
        <f>+SUM(I39:AF39)*H39</f>
        <v>7711190.9273829451</v>
      </c>
      <c r="AJ39" s="74"/>
    </row>
    <row r="40" spans="1:37" ht="14">
      <c r="A40" s="66"/>
      <c r="E40" s="85">
        <f t="shared" ref="E40:E43" si="16">+E39</f>
        <v>46569</v>
      </c>
      <c r="F40" s="80"/>
      <c r="G40" s="42" t="s">
        <v>63</v>
      </c>
      <c r="H40" s="42">
        <v>5</v>
      </c>
      <c r="I40" s="73">
        <v>14138.511477007365</v>
      </c>
      <c r="J40" s="73">
        <v>13828.28657291178</v>
      </c>
      <c r="K40" s="73">
        <v>13637.623025011966</v>
      </c>
      <c r="L40" s="73">
        <v>13557.619947978057</v>
      </c>
      <c r="M40" s="73">
        <v>13519.465856500237</v>
      </c>
      <c r="N40" s="73">
        <v>13644.860273739901</v>
      </c>
      <c r="O40" s="73">
        <v>14120.339491400609</v>
      </c>
      <c r="P40" s="73">
        <v>14593.021173659607</v>
      </c>
      <c r="Q40" s="73">
        <v>14906.978142577884</v>
      </c>
      <c r="R40" s="73">
        <v>14826.279598030675</v>
      </c>
      <c r="S40" s="73">
        <v>15047.19829742239</v>
      </c>
      <c r="T40" s="73">
        <v>15166.464652727815</v>
      </c>
      <c r="U40" s="73">
        <v>14997.30512289605</v>
      </c>
      <c r="V40" s="73">
        <v>15168.658313637197</v>
      </c>
      <c r="W40" s="73">
        <v>15616.218973200701</v>
      </c>
      <c r="X40" s="73">
        <v>16379.497447925809</v>
      </c>
      <c r="Y40" s="73">
        <v>16975.495464360069</v>
      </c>
      <c r="Z40" s="73">
        <v>17645.196422053934</v>
      </c>
      <c r="AA40" s="73">
        <v>17381.766718008661</v>
      </c>
      <c r="AB40" s="73">
        <v>17028.130803131564</v>
      </c>
      <c r="AC40" s="73">
        <v>16365.324043742416</v>
      </c>
      <c r="AD40" s="73">
        <v>15343.653266979065</v>
      </c>
      <c r="AE40" s="73">
        <v>14469.364882555154</v>
      </c>
      <c r="AF40" s="73">
        <v>13988.739456794545</v>
      </c>
      <c r="AG40" s="43">
        <f>+SUM(I40:AF40)*H40</f>
        <v>1811729.9971212675</v>
      </c>
      <c r="AJ40" s="74"/>
      <c r="AK40" s="75"/>
    </row>
    <row r="41" spans="1:37" ht="14">
      <c r="A41" s="66"/>
      <c r="E41" s="85">
        <f t="shared" si="16"/>
        <v>46569</v>
      </c>
      <c r="F41" s="80"/>
      <c r="G41" s="44" t="s">
        <v>61</v>
      </c>
      <c r="H41" s="44">
        <v>4</v>
      </c>
      <c r="I41" s="73">
        <v>13385.77239619087</v>
      </c>
      <c r="J41" s="73">
        <v>13141.202900706681</v>
      </c>
      <c r="K41" s="73">
        <v>12968.000280565735</v>
      </c>
      <c r="L41" s="73">
        <v>12863.004884909022</v>
      </c>
      <c r="M41" s="73">
        <v>12852.854576618225</v>
      </c>
      <c r="N41" s="73">
        <v>12720.822894546076</v>
      </c>
      <c r="O41" s="73">
        <v>12401.627025695907</v>
      </c>
      <c r="P41" s="73">
        <v>12009.89421097603</v>
      </c>
      <c r="Q41" s="73">
        <v>11193.738525593513</v>
      </c>
      <c r="R41" s="73">
        <v>8816.5819682322799</v>
      </c>
      <c r="S41" s="73">
        <v>9527.6750123150396</v>
      </c>
      <c r="T41" s="73">
        <v>10904.810870183263</v>
      </c>
      <c r="U41" s="73">
        <v>12133.400395094885</v>
      </c>
      <c r="V41" s="73">
        <v>12399.251989850614</v>
      </c>
      <c r="W41" s="73">
        <v>12801.55176154059</v>
      </c>
      <c r="X41" s="73">
        <v>13608.832893161903</v>
      </c>
      <c r="Y41" s="73">
        <v>14367.969848425186</v>
      </c>
      <c r="Z41" s="73">
        <v>15128.111993173867</v>
      </c>
      <c r="AA41" s="73">
        <v>15186.536309000709</v>
      </c>
      <c r="AB41" s="73">
        <v>15040.726296561423</v>
      </c>
      <c r="AC41" s="73">
        <v>14575.165485506552</v>
      </c>
      <c r="AD41" s="73">
        <v>14076.410655951982</v>
      </c>
      <c r="AE41" s="73">
        <v>13649.81132699959</v>
      </c>
      <c r="AF41" s="73">
        <v>13331.998348625193</v>
      </c>
      <c r="AG41" s="43">
        <f>+SUM(I41:AF41)*H41</f>
        <v>1236343.0114017003</v>
      </c>
      <c r="AJ41" s="74"/>
      <c r="AK41" s="75"/>
    </row>
    <row r="42" spans="1:37" ht="14">
      <c r="A42" s="66"/>
      <c r="E42" s="85">
        <f t="shared" si="16"/>
        <v>46569</v>
      </c>
      <c r="F42" s="80"/>
      <c r="G42" s="45" t="s">
        <v>62</v>
      </c>
      <c r="H42" s="45">
        <v>2</v>
      </c>
      <c r="I42" s="73">
        <v>13581.34065186638</v>
      </c>
      <c r="J42" s="73">
        <v>13344.721383693304</v>
      </c>
      <c r="K42" s="73">
        <v>13188.879084719712</v>
      </c>
      <c r="L42" s="73">
        <v>13093.598140925127</v>
      </c>
      <c r="M42" s="73">
        <v>13070.665873208505</v>
      </c>
      <c r="N42" s="73">
        <v>12788.808200609157</v>
      </c>
      <c r="O42" s="73">
        <v>12423.856729763003</v>
      </c>
      <c r="P42" s="73">
        <v>12132.144858054107</v>
      </c>
      <c r="Q42" s="73">
        <v>11895.00702418682</v>
      </c>
      <c r="R42" s="73">
        <v>10275.752668248539</v>
      </c>
      <c r="S42" s="73">
        <v>11034.56434972496</v>
      </c>
      <c r="T42" s="73">
        <v>12023.135803356363</v>
      </c>
      <c r="U42" s="73">
        <v>12283.266901898729</v>
      </c>
      <c r="V42" s="73">
        <v>12521.743917700986</v>
      </c>
      <c r="W42" s="73">
        <v>12905.561154152474</v>
      </c>
      <c r="X42" s="73">
        <v>13730.368741093618</v>
      </c>
      <c r="Y42" s="73">
        <v>14408.867342532987</v>
      </c>
      <c r="Z42" s="73">
        <v>15222.103655813415</v>
      </c>
      <c r="AA42" s="73">
        <v>15262.304857838857</v>
      </c>
      <c r="AB42" s="73">
        <v>15169.218465477772</v>
      </c>
      <c r="AC42" s="73">
        <v>14637.790731055298</v>
      </c>
      <c r="AD42" s="73">
        <v>14069.740758873761</v>
      </c>
      <c r="AE42" s="73">
        <v>13606.271702088583</v>
      </c>
      <c r="AF42" s="73">
        <v>13277.232754752438</v>
      </c>
      <c r="AG42" s="46">
        <f>+SUM(I42:AF42)*H42</f>
        <v>631893.89150326978</v>
      </c>
      <c r="AJ42" s="74"/>
      <c r="AK42" s="75"/>
    </row>
    <row r="43" spans="1:37" ht="15" thickBot="1">
      <c r="A43" s="66"/>
      <c r="E43" s="85">
        <f t="shared" si="16"/>
        <v>46569</v>
      </c>
      <c r="F43" s="81"/>
      <c r="G43" s="47" t="s">
        <v>10</v>
      </c>
      <c r="H43" s="47">
        <f>+SUM(H39:H42)</f>
        <v>31</v>
      </c>
      <c r="I43" s="48">
        <f t="shared" ref="I43:AF43" si="17">+SUMPRODUCT(I39:I42,$H39:$H42)</f>
        <v>434046.31346722395</v>
      </c>
      <c r="J43" s="48">
        <f t="shared" si="17"/>
        <v>425136.00437120459</v>
      </c>
      <c r="K43" s="48">
        <f t="shared" si="17"/>
        <v>419565.95615036652</v>
      </c>
      <c r="L43" s="48">
        <f t="shared" si="17"/>
        <v>417514.33699887869</v>
      </c>
      <c r="M43" s="48">
        <f t="shared" si="17"/>
        <v>417092.86185307882</v>
      </c>
      <c r="N43" s="48">
        <f t="shared" si="17"/>
        <v>422007.17167182185</v>
      </c>
      <c r="O43" s="48">
        <f t="shared" si="17"/>
        <v>437981.3344589498</v>
      </c>
      <c r="P43" s="48">
        <f t="shared" si="17"/>
        <v>455576.11317962618</v>
      </c>
      <c r="Q43" s="48">
        <f t="shared" si="17"/>
        <v>464601.84503819037</v>
      </c>
      <c r="R43" s="48">
        <f t="shared" si="17"/>
        <v>450613.89922781783</v>
      </c>
      <c r="S43" s="48">
        <f t="shared" si="17"/>
        <v>461830.40358797205</v>
      </c>
      <c r="T43" s="48">
        <f t="shared" si="17"/>
        <v>474607.23951380682</v>
      </c>
      <c r="U43" s="48">
        <f t="shared" si="17"/>
        <v>475789.07226620789</v>
      </c>
      <c r="V43" s="48">
        <f t="shared" si="17"/>
        <v>488248.27475384041</v>
      </c>
      <c r="W43" s="48">
        <f t="shared" si="17"/>
        <v>510539.70191402658</v>
      </c>
      <c r="X43" s="48">
        <f t="shared" si="17"/>
        <v>536334.65391284018</v>
      </c>
      <c r="Y43" s="48">
        <f t="shared" si="17"/>
        <v>552547.99801959097</v>
      </c>
      <c r="Z43" s="48">
        <f t="shared" si="17"/>
        <v>564228.6738577768</v>
      </c>
      <c r="AA43" s="48">
        <f t="shared" si="17"/>
        <v>549974.65977264987</v>
      </c>
      <c r="AB43" s="48">
        <f t="shared" si="17"/>
        <v>536088.13581611437</v>
      </c>
      <c r="AC43" s="48">
        <f t="shared" si="17"/>
        <v>513177.21227105812</v>
      </c>
      <c r="AD43" s="48">
        <f t="shared" si="17"/>
        <v>483008.42313434894</v>
      </c>
      <c r="AE43" s="48">
        <f t="shared" si="17"/>
        <v>457388.90467774362</v>
      </c>
      <c r="AF43" s="48">
        <f t="shared" si="17"/>
        <v>443258.63749404723</v>
      </c>
      <c r="AG43" s="49">
        <f>SUM(I43:AF43)</f>
        <v>11391157.827409184</v>
      </c>
    </row>
    <row r="44" spans="1:37" ht="14">
      <c r="A44" s="66"/>
      <c r="E44" s="84">
        <v>46600</v>
      </c>
      <c r="F44" s="79">
        <f t="shared" ref="F44" si="18">+AG48</f>
        <v>11268128.340303766</v>
      </c>
      <c r="G44" s="40" t="s">
        <v>60</v>
      </c>
      <c r="H44" s="40">
        <v>21</v>
      </c>
      <c r="I44" s="73">
        <v>14035.056044406116</v>
      </c>
      <c r="J44" s="73">
        <v>13739.583316788023</v>
      </c>
      <c r="K44" s="73">
        <v>13558.857241433343</v>
      </c>
      <c r="L44" s="73">
        <v>13506.715305668647</v>
      </c>
      <c r="M44" s="73">
        <v>13499.30175208268</v>
      </c>
      <c r="N44" s="73">
        <v>13767.878834774025</v>
      </c>
      <c r="O44" s="73">
        <v>14547.757500736745</v>
      </c>
      <c r="P44" s="73">
        <v>15417.246033421945</v>
      </c>
      <c r="Q44" s="73">
        <v>15977.398072721675</v>
      </c>
      <c r="R44" s="73">
        <v>15935.977193737632</v>
      </c>
      <c r="S44" s="73">
        <v>16223.456175939666</v>
      </c>
      <c r="T44" s="73">
        <v>16458.268703867165</v>
      </c>
      <c r="U44" s="73">
        <v>16287.753893304542</v>
      </c>
      <c r="V44" s="73">
        <v>16791.066791415196</v>
      </c>
      <c r="W44" s="73">
        <v>17675.014744488522</v>
      </c>
      <c r="X44" s="73">
        <v>18529.887407372495</v>
      </c>
      <c r="Y44" s="73">
        <v>18971.736032569486</v>
      </c>
      <c r="Z44" s="73">
        <v>19154.774985311724</v>
      </c>
      <c r="AA44" s="73">
        <v>18492.066819400603</v>
      </c>
      <c r="AB44" s="73">
        <v>17924.888569119892</v>
      </c>
      <c r="AC44" s="73">
        <v>17091.178910729821</v>
      </c>
      <c r="AD44" s="73">
        <v>15994.781176530529</v>
      </c>
      <c r="AE44" s="73">
        <v>15064.157871332796</v>
      </c>
      <c r="AF44" s="73">
        <v>14574.230275660891</v>
      </c>
      <c r="AG44" s="41">
        <f>+SUM(I44:AF44)*H44</f>
        <v>8047599.7067090962</v>
      </c>
      <c r="AJ44" s="74"/>
    </row>
    <row r="45" spans="1:37" ht="14">
      <c r="A45" s="66"/>
      <c r="E45" s="85">
        <f t="shared" ref="E45:E48" si="19">+E44</f>
        <v>46600</v>
      </c>
      <c r="F45" s="80"/>
      <c r="G45" s="42" t="s">
        <v>63</v>
      </c>
      <c r="H45" s="42">
        <v>3</v>
      </c>
      <c r="I45" s="73">
        <v>14044.278788892305</v>
      </c>
      <c r="J45" s="73">
        <v>13733.958609416135</v>
      </c>
      <c r="K45" s="73">
        <v>13543.250461605829</v>
      </c>
      <c r="L45" s="73">
        <v>13463.22111727765</v>
      </c>
      <c r="M45" s="73">
        <v>13424.961096782625</v>
      </c>
      <c r="N45" s="73">
        <v>13550.112507430431</v>
      </c>
      <c r="O45" s="73">
        <v>14025.691381012693</v>
      </c>
      <c r="P45" s="73">
        <v>14498.9139585905</v>
      </c>
      <c r="Q45" s="73">
        <v>14813.357233856159</v>
      </c>
      <c r="R45" s="73">
        <v>14733.281105735407</v>
      </c>
      <c r="S45" s="73">
        <v>14954.479101001896</v>
      </c>
      <c r="T45" s="73">
        <v>15073.961324875587</v>
      </c>
      <c r="U45" s="73">
        <v>14904.485310782744</v>
      </c>
      <c r="V45" s="73">
        <v>15075.934215491527</v>
      </c>
      <c r="W45" s="73">
        <v>15523.323186840151</v>
      </c>
      <c r="X45" s="73">
        <v>16286.321370761245</v>
      </c>
      <c r="Y45" s="73">
        <v>16882.173890044804</v>
      </c>
      <c r="Z45" s="73">
        <v>17551.677718197938</v>
      </c>
      <c r="AA45" s="73">
        <v>17288.170778346506</v>
      </c>
      <c r="AB45" s="73">
        <v>16934.597609854187</v>
      </c>
      <c r="AC45" s="73">
        <v>16271.396666712208</v>
      </c>
      <c r="AD45" s="73">
        <v>15249.251939738699</v>
      </c>
      <c r="AE45" s="73">
        <v>14374.525672015356</v>
      </c>
      <c r="AF45" s="73">
        <v>13893.861004074499</v>
      </c>
      <c r="AG45" s="43">
        <f>+SUM(I45:AF45)*H45</f>
        <v>1080285.5581480109</v>
      </c>
      <c r="AJ45" s="74"/>
      <c r="AK45" s="75"/>
    </row>
    <row r="46" spans="1:37" ht="14">
      <c r="A46" s="66"/>
      <c r="E46" s="85">
        <f t="shared" si="19"/>
        <v>46600</v>
      </c>
      <c r="F46" s="80"/>
      <c r="G46" s="44" t="s">
        <v>61</v>
      </c>
      <c r="H46" s="44">
        <v>5</v>
      </c>
      <c r="I46" s="73">
        <v>13328.447535869844</v>
      </c>
      <c r="J46" s="73">
        <v>13082.946134770207</v>
      </c>
      <c r="K46" s="73">
        <v>12909.496797529113</v>
      </c>
      <c r="L46" s="73">
        <v>12804.013870002174</v>
      </c>
      <c r="M46" s="73">
        <v>12793.680723053758</v>
      </c>
      <c r="N46" s="73">
        <v>12660.788123378294</v>
      </c>
      <c r="O46" s="73">
        <v>12341.683440268458</v>
      </c>
      <c r="P46" s="73">
        <v>11952.399768811925</v>
      </c>
      <c r="Q46" s="73">
        <v>8969.7915823472485</v>
      </c>
      <c r="R46" s="73">
        <v>8076.2645211942681</v>
      </c>
      <c r="S46" s="73">
        <v>8605.9457481697846</v>
      </c>
      <c r="T46" s="73">
        <v>10710.436257031028</v>
      </c>
      <c r="U46" s="73">
        <v>12083.275542249845</v>
      </c>
      <c r="V46" s="73">
        <v>12349.368513472875</v>
      </c>
      <c r="W46" s="73">
        <v>12750.548160900322</v>
      </c>
      <c r="X46" s="73">
        <v>13557.801166117792</v>
      </c>
      <c r="Y46" s="73">
        <v>14316.521346904745</v>
      </c>
      <c r="Z46" s="73">
        <v>15075.841877319932</v>
      </c>
      <c r="AA46" s="73">
        <v>15134.928067663608</v>
      </c>
      <c r="AB46" s="73">
        <v>14987.041060305992</v>
      </c>
      <c r="AC46" s="73">
        <v>14518.673072077387</v>
      </c>
      <c r="AD46" s="73">
        <v>14017.442927798857</v>
      </c>
      <c r="AE46" s="73">
        <v>13589.399471123772</v>
      </c>
      <c r="AF46" s="73">
        <v>13270.669098064836</v>
      </c>
      <c r="AG46" s="43">
        <f>+SUM(I46:AF46)*H46</f>
        <v>1519437.0240321301</v>
      </c>
      <c r="AJ46" s="74"/>
      <c r="AK46" s="75"/>
    </row>
    <row r="47" spans="1:37" ht="14">
      <c r="A47" s="66"/>
      <c r="E47" s="85">
        <f t="shared" si="19"/>
        <v>46600</v>
      </c>
      <c r="F47" s="80"/>
      <c r="G47" s="45" t="s">
        <v>62</v>
      </c>
      <c r="H47" s="45">
        <v>2</v>
      </c>
      <c r="I47" s="73">
        <v>13455.441684975289</v>
      </c>
      <c r="J47" s="73">
        <v>13219.09186071819</v>
      </c>
      <c r="K47" s="73">
        <v>13063.06490354179</v>
      </c>
      <c r="L47" s="73">
        <v>12968.233826076736</v>
      </c>
      <c r="M47" s="73">
        <v>12943.99744304902</v>
      </c>
      <c r="N47" s="73">
        <v>12657.538248142781</v>
      </c>
      <c r="O47" s="73">
        <v>12286.920385179834</v>
      </c>
      <c r="P47" s="73">
        <v>11993.261447649969</v>
      </c>
      <c r="Q47" s="73">
        <v>10511.318471627159</v>
      </c>
      <c r="R47" s="73">
        <v>9712.3372857320755</v>
      </c>
      <c r="S47" s="73">
        <v>10297.514930899177</v>
      </c>
      <c r="T47" s="73">
        <v>11879.947552734198</v>
      </c>
      <c r="U47" s="73">
        <v>12139.951705002864</v>
      </c>
      <c r="V47" s="73">
        <v>12377.934849432053</v>
      </c>
      <c r="W47" s="73">
        <v>12761.35376199967</v>
      </c>
      <c r="X47" s="73">
        <v>13586.06140812677</v>
      </c>
      <c r="Y47" s="73">
        <v>14263.011492666543</v>
      </c>
      <c r="Z47" s="73">
        <v>15080.228032793437</v>
      </c>
      <c r="AA47" s="73">
        <v>15120.721993715477</v>
      </c>
      <c r="AB47" s="73">
        <v>15031.888804796614</v>
      </c>
      <c r="AC47" s="73">
        <v>14501.295966267286</v>
      </c>
      <c r="AD47" s="73">
        <v>13934.990398154327</v>
      </c>
      <c r="AE47" s="73">
        <v>13472.426723406281</v>
      </c>
      <c r="AF47" s="73">
        <v>13144.49253057526</v>
      </c>
      <c r="AG47" s="46">
        <f>+SUM(I47:AF47)*H47</f>
        <v>620806.0514145256</v>
      </c>
      <c r="AJ47" s="74"/>
      <c r="AK47" s="75"/>
    </row>
    <row r="48" spans="1:37" ht="15" thickBot="1">
      <c r="A48" s="66"/>
      <c r="E48" s="85">
        <f t="shared" si="19"/>
        <v>46600</v>
      </c>
      <c r="F48" s="81"/>
      <c r="G48" s="47" t="s">
        <v>10</v>
      </c>
      <c r="H48" s="47">
        <f>+SUM(H44:H47)</f>
        <v>31</v>
      </c>
      <c r="I48" s="48">
        <f t="shared" ref="I48:AF48" si="20">+SUMPRODUCT(I44:I47,$H44:$H47)</f>
        <v>430422.13434850512</v>
      </c>
      <c r="J48" s="48">
        <f t="shared" si="20"/>
        <v>421586.03987608425</v>
      </c>
      <c r="K48" s="48">
        <f t="shared" si="20"/>
        <v>416039.36724964686</v>
      </c>
      <c r="L48" s="48">
        <f t="shared" si="20"/>
        <v>413987.22177303891</v>
      </c>
      <c r="M48" s="48">
        <f t="shared" si="20"/>
        <v>413616.61858545098</v>
      </c>
      <c r="N48" s="48">
        <f t="shared" si="20"/>
        <v>418394.81016572285</v>
      </c>
      <c r="O48" s="48">
        <f t="shared" si="20"/>
        <v>433862.23963021167</v>
      </c>
      <c r="P48" s="48">
        <f t="shared" si="20"/>
        <v>451007.43031699193</v>
      </c>
      <c r="Q48" s="48">
        <f t="shared" si="20"/>
        <v>445837.02608371427</v>
      </c>
      <c r="R48" s="48">
        <f t="shared" si="20"/>
        <v>438661.36156313197</v>
      </c>
      <c r="S48" s="48">
        <f t="shared" si="20"/>
        <v>449180.77560038591</v>
      </c>
      <c r="T48" s="48">
        <f t="shared" si="20"/>
        <v>468157.60314646078</v>
      </c>
      <c r="U48" s="48">
        <f t="shared" si="20"/>
        <v>471452.56881299854</v>
      </c>
      <c r="V48" s="48">
        <f t="shared" si="20"/>
        <v>484342.91753242217</v>
      </c>
      <c r="W48" s="48">
        <f t="shared" si="20"/>
        <v>507020.72752328037</v>
      </c>
      <c r="X48" s="48">
        <f t="shared" si="20"/>
        <v>532947.72831394861</v>
      </c>
      <c r="Y48" s="48">
        <f t="shared" si="20"/>
        <v>549161.6080739504</v>
      </c>
      <c r="Z48" s="48">
        <f t="shared" si="20"/>
        <v>560444.97329832648</v>
      </c>
      <c r="AA48" s="48">
        <f t="shared" si="20"/>
        <v>546113.99986820121</v>
      </c>
      <c r="AB48" s="48">
        <f t="shared" si="20"/>
        <v>532225.43569220346</v>
      </c>
      <c r="AC48" s="48">
        <f t="shared" si="20"/>
        <v>509324.90441838442</v>
      </c>
      <c r="AD48" s="48">
        <f t="shared" si="20"/>
        <v>479595.3559616601</v>
      </c>
      <c r="AE48" s="48">
        <f t="shared" si="20"/>
        <v>454362.74311646615</v>
      </c>
      <c r="AF48" s="48">
        <f t="shared" si="20"/>
        <v>440382.74935257691</v>
      </c>
      <c r="AG48" s="49">
        <f>SUM(I48:AF48)</f>
        <v>11268128.340303766</v>
      </c>
    </row>
    <row r="49" spans="1:37" ht="14">
      <c r="A49" s="66"/>
      <c r="E49" s="84">
        <v>46631</v>
      </c>
      <c r="F49" s="79">
        <f t="shared" ref="F49" si="21">+AG53</f>
        <v>11165384.805903094</v>
      </c>
      <c r="G49" s="40" t="s">
        <v>60</v>
      </c>
      <c r="H49" s="40">
        <v>22</v>
      </c>
      <c r="I49" s="73">
        <v>14145.064834198854</v>
      </c>
      <c r="J49" s="73">
        <v>13849.055755247535</v>
      </c>
      <c r="K49" s="73">
        <v>13667.938025895366</v>
      </c>
      <c r="L49" s="73">
        <v>13616.416976863031</v>
      </c>
      <c r="M49" s="73">
        <v>13607.218336440659</v>
      </c>
      <c r="N49" s="73">
        <v>13879.449836517046</v>
      </c>
      <c r="O49" s="73">
        <v>14665.642131284434</v>
      </c>
      <c r="P49" s="73">
        <v>15540.555396454969</v>
      </c>
      <c r="Q49" s="73">
        <v>16106.897408918825</v>
      </c>
      <c r="R49" s="73">
        <v>16068.587363211242</v>
      </c>
      <c r="S49" s="73">
        <v>16358.984829175148</v>
      </c>
      <c r="T49" s="73">
        <v>16595.508568685331</v>
      </c>
      <c r="U49" s="73">
        <v>16422.499972318652</v>
      </c>
      <c r="V49" s="73">
        <v>16926.382336585721</v>
      </c>
      <c r="W49" s="73">
        <v>17810.192721630563</v>
      </c>
      <c r="X49" s="73">
        <v>18662.491844555941</v>
      </c>
      <c r="Y49" s="73">
        <v>19103.975030269568</v>
      </c>
      <c r="Z49" s="73">
        <v>19283.258111789411</v>
      </c>
      <c r="AA49" s="73">
        <v>18616.779996352216</v>
      </c>
      <c r="AB49" s="73">
        <v>18045.669878124394</v>
      </c>
      <c r="AC49" s="73">
        <v>17210.262290530973</v>
      </c>
      <c r="AD49" s="73">
        <v>16110.472307124461</v>
      </c>
      <c r="AE49" s="73">
        <v>15177.429890451143</v>
      </c>
      <c r="AF49" s="73">
        <v>14687.141306003694</v>
      </c>
      <c r="AG49" s="41">
        <f>+SUM(I49:AF49)*H49</f>
        <v>8495473.25326984</v>
      </c>
      <c r="AJ49" s="74"/>
    </row>
    <row r="50" spans="1:37" ht="14">
      <c r="A50" s="66"/>
      <c r="E50" s="85">
        <f t="shared" ref="E50:E53" si="22">+E49</f>
        <v>46631</v>
      </c>
      <c r="F50" s="80"/>
      <c r="G50" s="42" t="s">
        <v>63</v>
      </c>
      <c r="H50" s="42">
        <v>4</v>
      </c>
      <c r="I50" s="73">
        <v>14187.843889413052</v>
      </c>
      <c r="J50" s="73">
        <v>13876.320040146878</v>
      </c>
      <c r="K50" s="73">
        <v>13683.896380495913</v>
      </c>
      <c r="L50" s="73">
        <v>13601.382860725766</v>
      </c>
      <c r="M50" s="73">
        <v>13561.511149173597</v>
      </c>
      <c r="N50" s="73">
        <v>13688.910218272444</v>
      </c>
      <c r="O50" s="73">
        <v>14171.047126210391</v>
      </c>
      <c r="P50" s="73">
        <v>14651.711788822124</v>
      </c>
      <c r="Q50" s="73">
        <v>14973.287845807174</v>
      </c>
      <c r="R50" s="73">
        <v>14894.920030756499</v>
      </c>
      <c r="S50" s="73">
        <v>15122.252664428701</v>
      </c>
      <c r="T50" s="73">
        <v>15243.082448066563</v>
      </c>
      <c r="U50" s="73">
        <v>15068.817476864077</v>
      </c>
      <c r="V50" s="73">
        <v>15236.461376696725</v>
      </c>
      <c r="W50" s="73">
        <v>15682.949201047622</v>
      </c>
      <c r="X50" s="73">
        <v>16444.92551563658</v>
      </c>
      <c r="Y50" s="73">
        <v>17041.624645459313</v>
      </c>
      <c r="Z50" s="73">
        <v>17708.65090275637</v>
      </c>
      <c r="AA50" s="73">
        <v>17442.02278905288</v>
      </c>
      <c r="AB50" s="73">
        <v>17084.054836632644</v>
      </c>
      <c r="AC50" s="73">
        <v>16416.523821936582</v>
      </c>
      <c r="AD50" s="73">
        <v>15387.737170554441</v>
      </c>
      <c r="AE50" s="73">
        <v>14506.038357846714</v>
      </c>
      <c r="AF50" s="73">
        <v>14023.597174231016</v>
      </c>
      <c r="AG50" s="43">
        <f>+SUM(I50:AF50)*H50</f>
        <v>1454798.2788441363</v>
      </c>
      <c r="AJ50" s="74"/>
      <c r="AK50" s="75"/>
    </row>
    <row r="51" spans="1:37" ht="14">
      <c r="A51" s="66"/>
      <c r="E51" s="85">
        <f t="shared" si="22"/>
        <v>46631</v>
      </c>
      <c r="F51" s="80"/>
      <c r="G51" s="44" t="s">
        <v>61</v>
      </c>
      <c r="H51" s="44">
        <v>4</v>
      </c>
      <c r="I51" s="73">
        <v>13484.649394875127</v>
      </c>
      <c r="J51" s="73">
        <v>13236.07575956037</v>
      </c>
      <c r="K51" s="73">
        <v>13061.893604139948</v>
      </c>
      <c r="L51" s="73">
        <v>12954.656016828885</v>
      </c>
      <c r="M51" s="73">
        <v>12945.570845910457</v>
      </c>
      <c r="N51" s="73">
        <v>12808.226386097676</v>
      </c>
      <c r="O51" s="73">
        <v>12485.959855820534</v>
      </c>
      <c r="P51" s="73">
        <v>10325.063446831646</v>
      </c>
      <c r="Q51" s="73">
        <v>7565.8715029374825</v>
      </c>
      <c r="R51" s="73">
        <v>7262.520314554783</v>
      </c>
      <c r="S51" s="73">
        <v>8844.7854501406964</v>
      </c>
      <c r="T51" s="73">
        <v>11276.358192580919</v>
      </c>
      <c r="U51" s="73">
        <v>12244.217200767385</v>
      </c>
      <c r="V51" s="73">
        <v>12511.280703027509</v>
      </c>
      <c r="W51" s="73">
        <v>12911.179644177686</v>
      </c>
      <c r="X51" s="73">
        <v>13720.640756851313</v>
      </c>
      <c r="Y51" s="73">
        <v>14478.848982084566</v>
      </c>
      <c r="Z51" s="73">
        <v>15236.378884617383</v>
      </c>
      <c r="AA51" s="73">
        <v>15296.254066584954</v>
      </c>
      <c r="AB51" s="73">
        <v>15145.041773912712</v>
      </c>
      <c r="AC51" s="73">
        <v>14671.068390636814</v>
      </c>
      <c r="AD51" s="73">
        <v>14164.713134473279</v>
      </c>
      <c r="AE51" s="73">
        <v>13734.440927193447</v>
      </c>
      <c r="AF51" s="73">
        <v>13412.623212673463</v>
      </c>
      <c r="AG51" s="43">
        <f>+SUM(I51:AF51)*H51</f>
        <v>1215113.2737891164</v>
      </c>
      <c r="AJ51" s="74"/>
      <c r="AK51" s="75"/>
    </row>
    <row r="52" spans="1:37" ht="14">
      <c r="A52" s="66"/>
      <c r="E52" s="85">
        <f t="shared" si="22"/>
        <v>46631</v>
      </c>
      <c r="F52" s="80"/>
      <c r="G52" s="45" t="s">
        <v>62</v>
      </c>
      <c r="H52" s="45">
        <v>0</v>
      </c>
      <c r="I52" s="73">
        <v>0</v>
      </c>
      <c r="J52" s="73">
        <v>0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  <c r="Z52" s="73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0</v>
      </c>
      <c r="AF52" s="73">
        <v>0</v>
      </c>
      <c r="AG52" s="46">
        <f>+SUM(I52:AF52)*H52</f>
        <v>0</v>
      </c>
      <c r="AJ52" s="74"/>
      <c r="AK52" s="75"/>
    </row>
    <row r="53" spans="1:37" ht="15" thickBot="1">
      <c r="A53" s="66"/>
      <c r="E53" s="85">
        <f t="shared" si="22"/>
        <v>46631</v>
      </c>
      <c r="F53" s="81"/>
      <c r="G53" s="47" t="s">
        <v>10</v>
      </c>
      <c r="H53" s="47">
        <f>+SUM(H49:H52)</f>
        <v>30</v>
      </c>
      <c r="I53" s="48">
        <f t="shared" ref="I53:AF53" si="23">+SUMPRODUCT(I49:I52,$H49:$H52)</f>
        <v>421881.39948952751</v>
      </c>
      <c r="J53" s="48">
        <f t="shared" si="23"/>
        <v>413128.80981427472</v>
      </c>
      <c r="K53" s="48">
        <f t="shared" si="23"/>
        <v>407677.79650824144</v>
      </c>
      <c r="L53" s="48">
        <f t="shared" si="23"/>
        <v>405785.32900120527</v>
      </c>
      <c r="M53" s="48">
        <f t="shared" si="23"/>
        <v>405387.13138203078</v>
      </c>
      <c r="N53" s="48">
        <f t="shared" si="23"/>
        <v>411336.44282085553</v>
      </c>
      <c r="O53" s="48">
        <f t="shared" si="23"/>
        <v>429272.15481638128</v>
      </c>
      <c r="P53" s="48">
        <f t="shared" si="23"/>
        <v>441799.3196646244</v>
      </c>
      <c r="Q53" s="48">
        <f t="shared" si="23"/>
        <v>444508.3803911928</v>
      </c>
      <c r="R53" s="48">
        <f t="shared" si="23"/>
        <v>442138.68337189249</v>
      </c>
      <c r="S53" s="48">
        <f t="shared" si="23"/>
        <v>455765.81870013085</v>
      </c>
      <c r="T53" s="48">
        <f t="shared" si="23"/>
        <v>471178.95107366715</v>
      </c>
      <c r="U53" s="48">
        <f t="shared" si="23"/>
        <v>470547.13810153614</v>
      </c>
      <c r="V53" s="48">
        <f t="shared" si="23"/>
        <v>483371.37972378283</v>
      </c>
      <c r="W53" s="48">
        <f t="shared" si="23"/>
        <v>506200.75525677361</v>
      </c>
      <c r="X53" s="48">
        <f t="shared" si="23"/>
        <v>531237.08567018236</v>
      </c>
      <c r="Y53" s="48">
        <f t="shared" si="23"/>
        <v>546369.34517610609</v>
      </c>
      <c r="Z53" s="48">
        <f t="shared" si="23"/>
        <v>556011.79760886205</v>
      </c>
      <c r="AA53" s="48">
        <f t="shared" si="23"/>
        <v>540522.26734230004</v>
      </c>
      <c r="AB53" s="48">
        <f t="shared" si="23"/>
        <v>525921.12376091804</v>
      </c>
      <c r="AC53" s="48">
        <f t="shared" si="23"/>
        <v>502976.13924197503</v>
      </c>
      <c r="AD53" s="48">
        <f t="shared" si="23"/>
        <v>472640.19197684899</v>
      </c>
      <c r="AE53" s="48">
        <f t="shared" si="23"/>
        <v>446865.37473008578</v>
      </c>
      <c r="AF53" s="48">
        <f t="shared" si="23"/>
        <v>432861.99027969921</v>
      </c>
      <c r="AG53" s="49">
        <f>SUM(I53:AF53)</f>
        <v>11165384.805903094</v>
      </c>
    </row>
    <row r="54" spans="1:37" ht="14">
      <c r="A54" s="66"/>
      <c r="E54" s="84">
        <v>46661</v>
      </c>
      <c r="F54" s="79">
        <f t="shared" ref="F54" si="24">+AG58</f>
        <v>11392404.722065046</v>
      </c>
      <c r="G54" s="40" t="s">
        <v>60</v>
      </c>
      <c r="H54" s="40">
        <v>20</v>
      </c>
      <c r="I54" s="73">
        <v>14162.68172433711</v>
      </c>
      <c r="J54" s="73">
        <v>13867.168252474887</v>
      </c>
      <c r="K54" s="73">
        <v>13686.402346075634</v>
      </c>
      <c r="L54" s="73">
        <v>13634.19819103854</v>
      </c>
      <c r="M54" s="73">
        <v>13626.918482891317</v>
      </c>
      <c r="N54" s="73">
        <v>13895.856272421524</v>
      </c>
      <c r="O54" s="73">
        <v>14676.590012323806</v>
      </c>
      <c r="P54" s="73">
        <v>15546.716210332761</v>
      </c>
      <c r="Q54" s="73">
        <v>16107.453726913745</v>
      </c>
      <c r="R54" s="73">
        <v>16066.407547662855</v>
      </c>
      <c r="S54" s="73">
        <v>16354.320331320105</v>
      </c>
      <c r="T54" s="73">
        <v>16589.37767444543</v>
      </c>
      <c r="U54" s="73">
        <v>16418.681620839365</v>
      </c>
      <c r="V54" s="73">
        <v>16921.95097931183</v>
      </c>
      <c r="W54" s="73">
        <v>17805.938369484451</v>
      </c>
      <c r="X54" s="73">
        <v>18660.764665211223</v>
      </c>
      <c r="Y54" s="73">
        <v>19102.561669528852</v>
      </c>
      <c r="Z54" s="73">
        <v>19285.307862614856</v>
      </c>
      <c r="AA54" s="73">
        <v>18622.079282693281</v>
      </c>
      <c r="AB54" s="73">
        <v>18054.506862471149</v>
      </c>
      <c r="AC54" s="73">
        <v>17220.388266227565</v>
      </c>
      <c r="AD54" s="73">
        <v>16123.471503952867</v>
      </c>
      <c r="AE54" s="73">
        <v>15192.369227508785</v>
      </c>
      <c r="AF54" s="73">
        <v>14702.278655748038</v>
      </c>
      <c r="AG54" s="41">
        <f>+SUM(I54:AF54)*H54</f>
        <v>7726487.7947566006</v>
      </c>
      <c r="AJ54" s="74"/>
    </row>
    <row r="55" spans="1:37" ht="14">
      <c r="A55" s="66"/>
      <c r="E55" s="85">
        <f t="shared" ref="E55:E58" si="25">+E54</f>
        <v>46661</v>
      </c>
      <c r="F55" s="80"/>
      <c r="G55" s="42" t="s">
        <v>63</v>
      </c>
      <c r="H55" s="42">
        <v>5</v>
      </c>
      <c r="I55" s="73">
        <v>14183.338779444119</v>
      </c>
      <c r="J55" s="73">
        <v>13872.651381436081</v>
      </c>
      <c r="K55" s="73">
        <v>13681.482823055374</v>
      </c>
      <c r="L55" s="73">
        <v>13601.12655165756</v>
      </c>
      <c r="M55" s="73">
        <v>13563.160800216912</v>
      </c>
      <c r="N55" s="73">
        <v>13689.019452907331</v>
      </c>
      <c r="O55" s="73">
        <v>14166.04572087377</v>
      </c>
      <c r="P55" s="73">
        <v>14640.458549593208</v>
      </c>
      <c r="Q55" s="73">
        <v>14956.213350702066</v>
      </c>
      <c r="R55" s="73">
        <v>14876.962037424233</v>
      </c>
      <c r="S55" s="73">
        <v>15099.466325828489</v>
      </c>
      <c r="T55" s="73">
        <v>15219.09957981524</v>
      </c>
      <c r="U55" s="73">
        <v>15048.588759025744</v>
      </c>
      <c r="V55" s="73">
        <v>15219.201599379443</v>
      </c>
      <c r="W55" s="73">
        <v>15666.524286301563</v>
      </c>
      <c r="X55" s="73">
        <v>16429.440832577788</v>
      </c>
      <c r="Y55" s="73">
        <v>17025.214589478073</v>
      </c>
      <c r="Z55" s="73">
        <v>17694.34080391299</v>
      </c>
      <c r="AA55" s="73">
        <v>17430.42398297324</v>
      </c>
      <c r="AB55" s="73">
        <v>17075.453457451367</v>
      </c>
      <c r="AC55" s="73">
        <v>16411.008806411672</v>
      </c>
      <c r="AD55" s="73">
        <v>15387.3451802171</v>
      </c>
      <c r="AE55" s="73">
        <v>14511.228814062264</v>
      </c>
      <c r="AF55" s="73">
        <v>14030.055534766569</v>
      </c>
      <c r="AG55" s="43">
        <f>+SUM(I55:AF55)*H55</f>
        <v>1817389.2599975611</v>
      </c>
      <c r="AJ55" s="74"/>
      <c r="AK55" s="75"/>
    </row>
    <row r="56" spans="1:37" ht="14">
      <c r="A56" s="66"/>
      <c r="E56" s="85">
        <f t="shared" si="25"/>
        <v>46661</v>
      </c>
      <c r="F56" s="80"/>
      <c r="G56" s="44" t="s">
        <v>61</v>
      </c>
      <c r="H56" s="44">
        <v>5</v>
      </c>
      <c r="I56" s="73">
        <v>13463.955769336497</v>
      </c>
      <c r="J56" s="73">
        <v>13218.172898371846</v>
      </c>
      <c r="K56" s="73">
        <v>13044.720979410675</v>
      </c>
      <c r="L56" s="73">
        <v>12939.054303532235</v>
      </c>
      <c r="M56" s="73">
        <v>12928.677543495507</v>
      </c>
      <c r="N56" s="73">
        <v>12795.430495794662</v>
      </c>
      <c r="O56" s="73">
        <v>12476.448097783596</v>
      </c>
      <c r="P56" s="73">
        <v>11422.80951935725</v>
      </c>
      <c r="Q56" s="73">
        <v>9170.7832767521049</v>
      </c>
      <c r="R56" s="73">
        <v>7789.8887471490425</v>
      </c>
      <c r="S56" s="73">
        <v>9220.1718454552847</v>
      </c>
      <c r="T56" s="73">
        <v>11208.885189528382</v>
      </c>
      <c r="U56" s="73">
        <v>12221.303514581661</v>
      </c>
      <c r="V56" s="73">
        <v>12487.52599423527</v>
      </c>
      <c r="W56" s="73">
        <v>12888.35040672938</v>
      </c>
      <c r="X56" s="73">
        <v>13695.612612322764</v>
      </c>
      <c r="Y56" s="73">
        <v>14454.225614168716</v>
      </c>
      <c r="Z56" s="73">
        <v>15213.168693105254</v>
      </c>
      <c r="AA56" s="73">
        <v>15272.560567941899</v>
      </c>
      <c r="AB56" s="73">
        <v>15123.879826375505</v>
      </c>
      <c r="AC56" s="73">
        <v>14654.600122389977</v>
      </c>
      <c r="AD56" s="73">
        <v>14152.471332336829</v>
      </c>
      <c r="AE56" s="73">
        <v>13723.957023329018</v>
      </c>
      <c r="AF56" s="73">
        <v>13404.875175348157</v>
      </c>
      <c r="AG56" s="43">
        <f>+SUM(I56:AF56)*H56</f>
        <v>1534857.6477441576</v>
      </c>
      <c r="AJ56" s="74"/>
      <c r="AK56" s="75"/>
    </row>
    <row r="57" spans="1:37" ht="14">
      <c r="A57" s="66"/>
      <c r="E57" s="85">
        <f t="shared" si="25"/>
        <v>46661</v>
      </c>
      <c r="F57" s="80"/>
      <c r="G57" s="45" t="s">
        <v>62</v>
      </c>
      <c r="H57" s="45">
        <v>1</v>
      </c>
      <c r="I57" s="73">
        <v>13581.884228288891</v>
      </c>
      <c r="J57" s="73">
        <v>13345.476722144844</v>
      </c>
      <c r="K57" s="73">
        <v>13189.454212522483</v>
      </c>
      <c r="L57" s="73">
        <v>13094.558698392922</v>
      </c>
      <c r="M57" s="73">
        <v>13070.480460520765</v>
      </c>
      <c r="N57" s="73">
        <v>12784.659151392632</v>
      </c>
      <c r="O57" s="73">
        <v>12414.733556699181</v>
      </c>
      <c r="P57" s="73">
        <v>12121.396585088181</v>
      </c>
      <c r="Q57" s="73">
        <v>10729.003648832319</v>
      </c>
      <c r="R57" s="73">
        <v>9443.3550245474835</v>
      </c>
      <c r="S57" s="73">
        <v>10930.454172180309</v>
      </c>
      <c r="T57" s="73">
        <v>12008.89616041905</v>
      </c>
      <c r="U57" s="73">
        <v>12268.928993572434</v>
      </c>
      <c r="V57" s="73">
        <v>12506.950211935904</v>
      </c>
      <c r="W57" s="73">
        <v>12890.337558448609</v>
      </c>
      <c r="X57" s="73">
        <v>13715.003021714512</v>
      </c>
      <c r="Y57" s="73">
        <v>14392.135586414839</v>
      </c>
      <c r="Z57" s="73">
        <v>15208.891683554963</v>
      </c>
      <c r="AA57" s="73">
        <v>15249.345841977472</v>
      </c>
      <c r="AB57" s="73">
        <v>15160.026497011846</v>
      </c>
      <c r="AC57" s="73">
        <v>14629.30042930874</v>
      </c>
      <c r="AD57" s="73">
        <v>14062.725434531165</v>
      </c>
      <c r="AE57" s="73">
        <v>13600.041702486307</v>
      </c>
      <c r="AF57" s="73">
        <v>13271.979984745194</v>
      </c>
      <c r="AG57" s="46">
        <f>+SUM(I57:AF57)*H57</f>
        <v>313670.01956673106</v>
      </c>
      <c r="AJ57" s="74"/>
      <c r="AK57" s="75"/>
    </row>
    <row r="58" spans="1:37" ht="15" thickBot="1">
      <c r="A58" s="66"/>
      <c r="E58" s="85">
        <f t="shared" si="25"/>
        <v>46661</v>
      </c>
      <c r="F58" s="81"/>
      <c r="G58" s="47" t="s">
        <v>10</v>
      </c>
      <c r="H58" s="47">
        <f>+SUM(H54:H57)</f>
        <v>31</v>
      </c>
      <c r="I58" s="48">
        <f t="shared" ref="I58:AF58" si="26">+SUMPRODUCT(I54:I57,$H54:$H57)</f>
        <v>435071.99145893415</v>
      </c>
      <c r="J58" s="48">
        <f t="shared" si="26"/>
        <v>426142.96317068225</v>
      </c>
      <c r="K58" s="48">
        <f t="shared" si="26"/>
        <v>420548.52014636545</v>
      </c>
      <c r="L58" s="48">
        <f t="shared" si="26"/>
        <v>418479.42679511267</v>
      </c>
      <c r="M58" s="48">
        <f t="shared" si="26"/>
        <v>418068.04183690919</v>
      </c>
      <c r="N58" s="48">
        <f t="shared" si="26"/>
        <v>423124.0343433331</v>
      </c>
      <c r="O58" s="48">
        <f t="shared" si="26"/>
        <v>439159.00289646216</v>
      </c>
      <c r="P58" s="48">
        <f t="shared" si="26"/>
        <v>453372.06113649567</v>
      </c>
      <c r="Q58" s="48">
        <f t="shared" si="26"/>
        <v>453513.06132437807</v>
      </c>
      <c r="R58" s="48">
        <f t="shared" si="26"/>
        <v>444105.75990067096</v>
      </c>
      <c r="S58" s="48">
        <f t="shared" si="26"/>
        <v>459615.0516550013</v>
      </c>
      <c r="T58" s="48">
        <f t="shared" si="26"/>
        <v>475936.37349604571</v>
      </c>
      <c r="U58" s="48">
        <f t="shared" si="26"/>
        <v>476992.02277839679</v>
      </c>
      <c r="V58" s="48">
        <f t="shared" si="26"/>
        <v>489479.60776624607</v>
      </c>
      <c r="W58" s="48">
        <f t="shared" si="26"/>
        <v>511783.47841329232</v>
      </c>
      <c r="X58" s="48">
        <f t="shared" si="26"/>
        <v>537555.56355044176</v>
      </c>
      <c r="Y58" s="48">
        <f t="shared" si="26"/>
        <v>553840.56999522576</v>
      </c>
      <c r="Z58" s="48">
        <f t="shared" si="26"/>
        <v>565452.59642094339</v>
      </c>
      <c r="AA58" s="48">
        <f t="shared" si="26"/>
        <v>551205.85425041872</v>
      </c>
      <c r="AB58" s="48">
        <f t="shared" si="26"/>
        <v>537246.8301655692</v>
      </c>
      <c r="AC58" s="48">
        <f t="shared" si="26"/>
        <v>514365.11039786821</v>
      </c>
      <c r="AD58" s="48">
        <f t="shared" si="26"/>
        <v>484231.23807635816</v>
      </c>
      <c r="AE58" s="48">
        <f t="shared" si="26"/>
        <v>458623.3554396184</v>
      </c>
      <c r="AF58" s="48">
        <f t="shared" si="26"/>
        <v>444492.20665027958</v>
      </c>
      <c r="AG58" s="49">
        <f>SUM(I58:AF58)</f>
        <v>11392404.722065046</v>
      </c>
    </row>
    <row r="59" spans="1:37" ht="14">
      <c r="A59" s="66"/>
      <c r="E59" s="84">
        <v>46692</v>
      </c>
      <c r="F59" s="79">
        <f t="shared" ref="F59" si="27">+AG63</f>
        <v>11092068.326524898</v>
      </c>
      <c r="G59" s="40" t="s">
        <v>60</v>
      </c>
      <c r="H59" s="40">
        <v>20</v>
      </c>
      <c r="I59" s="73">
        <v>14190.815506480934</v>
      </c>
      <c r="J59" s="73">
        <v>13894.785540823508</v>
      </c>
      <c r="K59" s="73">
        <v>13713.634533722221</v>
      </c>
      <c r="L59" s="73">
        <v>13662.094865801602</v>
      </c>
      <c r="M59" s="73">
        <v>13652.804267271489</v>
      </c>
      <c r="N59" s="73">
        <v>13924.839275431328</v>
      </c>
      <c r="O59" s="73">
        <v>14710.774061064993</v>
      </c>
      <c r="P59" s="73">
        <v>15585.70480304939</v>
      </c>
      <c r="Q59" s="73">
        <v>16152.07784160212</v>
      </c>
      <c r="R59" s="73">
        <v>16113.853052441933</v>
      </c>
      <c r="S59" s="73">
        <v>16404.165399545029</v>
      </c>
      <c r="T59" s="73">
        <v>16640.664682068025</v>
      </c>
      <c r="U59" s="73">
        <v>16467.63457201545</v>
      </c>
      <c r="V59" s="73">
        <v>16971.5976959621</v>
      </c>
      <c r="W59" s="73">
        <v>17855.436753938804</v>
      </c>
      <c r="X59" s="73">
        <v>18707.70470650971</v>
      </c>
      <c r="Y59" s="73">
        <v>19149.151348717663</v>
      </c>
      <c r="Z59" s="73">
        <v>19328.412205741817</v>
      </c>
      <c r="AA59" s="73">
        <v>18661.976008508489</v>
      </c>
      <c r="AB59" s="73">
        <v>18091.030724246772</v>
      </c>
      <c r="AC59" s="73">
        <v>17255.654457398494</v>
      </c>
      <c r="AD59" s="73">
        <v>16155.985555667216</v>
      </c>
      <c r="AE59" s="73">
        <v>15223.06773826947</v>
      </c>
      <c r="AF59" s="73">
        <v>14732.795941543587</v>
      </c>
      <c r="AG59" s="41">
        <f>+SUM(I59:AF59)*H59</f>
        <v>7744933.2307564421</v>
      </c>
      <c r="AJ59" s="74"/>
    </row>
    <row r="60" spans="1:37" ht="14">
      <c r="A60" s="66"/>
      <c r="E60" s="85">
        <f t="shared" ref="E60:E63" si="28">+E59</f>
        <v>46692</v>
      </c>
      <c r="F60" s="80"/>
      <c r="G60" s="42" t="s">
        <v>63</v>
      </c>
      <c r="H60" s="42">
        <v>4</v>
      </c>
      <c r="I60" s="73">
        <v>14244.056889775424</v>
      </c>
      <c r="J60" s="73">
        <v>13932.885563204818</v>
      </c>
      <c r="K60" s="73">
        <v>13740.93120424707</v>
      </c>
      <c r="L60" s="73">
        <v>13658.745685747228</v>
      </c>
      <c r="M60" s="73">
        <v>13618.533081235873</v>
      </c>
      <c r="N60" s="73">
        <v>13745.11414252877</v>
      </c>
      <c r="O60" s="73">
        <v>14225.765896142933</v>
      </c>
      <c r="P60" s="73">
        <v>14705.376123895137</v>
      </c>
      <c r="Q60" s="73">
        <v>15025.742866448347</v>
      </c>
      <c r="R60" s="73">
        <v>14946.726568654065</v>
      </c>
      <c r="S60" s="73">
        <v>15172.785761862913</v>
      </c>
      <c r="T60" s="73">
        <v>15293.533541799978</v>
      </c>
      <c r="U60" s="73">
        <v>15120.24110701784</v>
      </c>
      <c r="V60" s="73">
        <v>15288.793279456075</v>
      </c>
      <c r="W60" s="73">
        <v>15735.288378001629</v>
      </c>
      <c r="X60" s="73">
        <v>16497.253481505537</v>
      </c>
      <c r="Y60" s="73">
        <v>17093.99121800698</v>
      </c>
      <c r="Z60" s="73">
        <v>17761.345062550798</v>
      </c>
      <c r="AA60" s="73">
        <v>17495.11633856863</v>
      </c>
      <c r="AB60" s="73">
        <v>17138.633803715577</v>
      </c>
      <c r="AC60" s="73">
        <v>16472.263384240639</v>
      </c>
      <c r="AD60" s="73">
        <v>15444.906217500846</v>
      </c>
      <c r="AE60" s="73">
        <v>14564.510218129404</v>
      </c>
      <c r="AF60" s="73">
        <v>14082.589098269844</v>
      </c>
      <c r="AG60" s="43">
        <f>+SUM(I60:AF60)*H60</f>
        <v>1460020.5156500251</v>
      </c>
      <c r="AJ60" s="74"/>
      <c r="AK60" s="75"/>
    </row>
    <row r="61" spans="1:37" ht="14">
      <c r="A61" s="66"/>
      <c r="E61" s="85">
        <f t="shared" si="28"/>
        <v>46692</v>
      </c>
      <c r="F61" s="80"/>
      <c r="G61" s="44" t="s">
        <v>61</v>
      </c>
      <c r="H61" s="44">
        <v>4</v>
      </c>
      <c r="I61" s="73">
        <v>13488.952270225131</v>
      </c>
      <c r="J61" s="73">
        <v>13241.113769596937</v>
      </c>
      <c r="K61" s="73">
        <v>13066.858562273925</v>
      </c>
      <c r="L61" s="73">
        <v>12960.12560179556</v>
      </c>
      <c r="M61" s="73">
        <v>12951.139386321127</v>
      </c>
      <c r="N61" s="73">
        <v>12814.807952696356</v>
      </c>
      <c r="O61" s="73">
        <v>12492.130657268934</v>
      </c>
      <c r="P61" s="73">
        <v>12103.860445866329</v>
      </c>
      <c r="Q61" s="73">
        <v>10557.482643210182</v>
      </c>
      <c r="R61" s="73">
        <v>9526.7629917655049</v>
      </c>
      <c r="S61" s="73">
        <v>10386.328341615861</v>
      </c>
      <c r="T61" s="73">
        <v>11914.697479657474</v>
      </c>
      <c r="U61" s="73">
        <v>12241.662485489531</v>
      </c>
      <c r="V61" s="73">
        <v>12508.318743364149</v>
      </c>
      <c r="W61" s="73">
        <v>12909.149314835091</v>
      </c>
      <c r="X61" s="73">
        <v>13718.565286508445</v>
      </c>
      <c r="Y61" s="73">
        <v>14477.033058253201</v>
      </c>
      <c r="Z61" s="73">
        <v>15235.680541597887</v>
      </c>
      <c r="AA61" s="73">
        <v>15294.649612154773</v>
      </c>
      <c r="AB61" s="73">
        <v>15145.667006196229</v>
      </c>
      <c r="AC61" s="73">
        <v>14674.106693642076</v>
      </c>
      <c r="AD61" s="73">
        <v>14170.239976365554</v>
      </c>
      <c r="AE61" s="73">
        <v>13741.208454863623</v>
      </c>
      <c r="AF61" s="73">
        <v>13420.389696171675</v>
      </c>
      <c r="AG61" s="43">
        <f>+SUM(I61:AF61)*H61</f>
        <v>1252163.7238869423</v>
      </c>
      <c r="AJ61" s="74"/>
      <c r="AK61" s="75"/>
    </row>
    <row r="62" spans="1:37" ht="14">
      <c r="A62" s="66"/>
      <c r="E62" s="85">
        <f t="shared" si="28"/>
        <v>46692</v>
      </c>
      <c r="F62" s="80"/>
      <c r="G62" s="45" t="s">
        <v>62</v>
      </c>
      <c r="H62" s="45">
        <v>2</v>
      </c>
      <c r="I62" s="73">
        <v>13588.687977770789</v>
      </c>
      <c r="J62" s="73">
        <v>13349.896932082387</v>
      </c>
      <c r="K62" s="73">
        <v>13193.090371402659</v>
      </c>
      <c r="L62" s="73">
        <v>13096.925108529809</v>
      </c>
      <c r="M62" s="73">
        <v>13074.041273053417</v>
      </c>
      <c r="N62" s="73">
        <v>12784.187864369351</v>
      </c>
      <c r="O62" s="73">
        <v>12410.094265548325</v>
      </c>
      <c r="P62" s="73">
        <v>12117.957159973157</v>
      </c>
      <c r="Q62" s="73">
        <v>11881.170880972353</v>
      </c>
      <c r="R62" s="73">
        <v>11217.080638850335</v>
      </c>
      <c r="S62" s="73">
        <v>11764.352172434226</v>
      </c>
      <c r="T62" s="73">
        <v>12011.817926008915</v>
      </c>
      <c r="U62" s="73">
        <v>12272.8356560598</v>
      </c>
      <c r="V62" s="73">
        <v>12511.408678334747</v>
      </c>
      <c r="W62" s="73">
        <v>12894.199864225082</v>
      </c>
      <c r="X62" s="73">
        <v>13720.93729194337</v>
      </c>
      <c r="Y62" s="73">
        <v>14397.618216954887</v>
      </c>
      <c r="Z62" s="73">
        <v>15214.048041348055</v>
      </c>
      <c r="AA62" s="73">
        <v>15254.572556099552</v>
      </c>
      <c r="AB62" s="73">
        <v>15164.463088406239</v>
      </c>
      <c r="AC62" s="73">
        <v>14630.411842294588</v>
      </c>
      <c r="AD62" s="73">
        <v>14061.032116127122</v>
      </c>
      <c r="AE62" s="73">
        <v>13597.367436070419</v>
      </c>
      <c r="AF62" s="73">
        <v>13267.230756886773</v>
      </c>
      <c r="AG62" s="46">
        <f>+SUM(I62:AF62)*H62</f>
        <v>634950.85623149283</v>
      </c>
      <c r="AJ62" s="74"/>
      <c r="AK62" s="75"/>
    </row>
    <row r="63" spans="1:37" ht="15" thickBot="1">
      <c r="A63" s="66"/>
      <c r="E63" s="85">
        <f t="shared" si="28"/>
        <v>46692</v>
      </c>
      <c r="F63" s="81"/>
      <c r="G63" s="47" t="s">
        <v>10</v>
      </c>
      <c r="H63" s="47">
        <f>+SUM(H59:H62)</f>
        <v>30</v>
      </c>
      <c r="I63" s="48">
        <f t="shared" ref="I63:AF63" si="29">+SUMPRODUCT(I59:I62,$H59:$H62)</f>
        <v>421925.72272516246</v>
      </c>
      <c r="J63" s="48">
        <f t="shared" si="29"/>
        <v>413291.50201184198</v>
      </c>
      <c r="K63" s="48">
        <f t="shared" si="29"/>
        <v>407890.03048333368</v>
      </c>
      <c r="L63" s="48">
        <f t="shared" si="29"/>
        <v>405911.23268326279</v>
      </c>
      <c r="M63" s="48">
        <f t="shared" si="29"/>
        <v>405482.85776176461</v>
      </c>
      <c r="N63" s="48">
        <f t="shared" si="29"/>
        <v>410304.84961826575</v>
      </c>
      <c r="O63" s="48">
        <f t="shared" si="29"/>
        <v>425907.25596604397</v>
      </c>
      <c r="P63" s="48">
        <f t="shared" si="29"/>
        <v>443186.95665998</v>
      </c>
      <c r="Q63" s="48">
        <f t="shared" si="29"/>
        <v>449136.80063262122</v>
      </c>
      <c r="R63" s="48">
        <f t="shared" si="29"/>
        <v>442605.18056821759</v>
      </c>
      <c r="S63" s="48">
        <f t="shared" si="29"/>
        <v>453848.46874968411</v>
      </c>
      <c r="T63" s="48">
        <f t="shared" si="29"/>
        <v>465669.85357920814</v>
      </c>
      <c r="U63" s="48">
        <f t="shared" si="29"/>
        <v>463345.97712245805</v>
      </c>
      <c r="V63" s="48">
        <f t="shared" si="29"/>
        <v>475643.21936719242</v>
      </c>
      <c r="W63" s="48">
        <f t="shared" si="29"/>
        <v>497474.8855785731</v>
      </c>
      <c r="X63" s="48">
        <f t="shared" si="29"/>
        <v>522459.24378613691</v>
      </c>
      <c r="Y63" s="48">
        <f t="shared" si="29"/>
        <v>538062.36051330378</v>
      </c>
      <c r="Z63" s="48">
        <f t="shared" si="29"/>
        <v>548984.44261412718</v>
      </c>
      <c r="AA63" s="48">
        <f t="shared" si="29"/>
        <v>534907.7290852624</v>
      </c>
      <c r="AB63" s="48">
        <f t="shared" si="29"/>
        <v>521286.74390139512</v>
      </c>
      <c r="AC63" s="48">
        <f t="shared" si="29"/>
        <v>498959.3931440899</v>
      </c>
      <c r="AD63" s="48">
        <f t="shared" si="29"/>
        <v>469702.36012106412</v>
      </c>
      <c r="AE63" s="48">
        <f t="shared" si="29"/>
        <v>444878.96432950237</v>
      </c>
      <c r="AF63" s="48">
        <f t="shared" si="29"/>
        <v>431202.29552241135</v>
      </c>
      <c r="AG63" s="49">
        <f>SUM(I63:AF63)</f>
        <v>11092068.326524898</v>
      </c>
    </row>
    <row r="64" spans="1:37" ht="14">
      <c r="A64" s="66"/>
      <c r="E64" s="84">
        <v>46722</v>
      </c>
      <c r="F64" s="79">
        <f t="shared" ref="F64" si="30">+AG68</f>
        <v>11426855.519850831</v>
      </c>
      <c r="G64" s="40" t="s">
        <v>60</v>
      </c>
      <c r="H64" s="40">
        <v>22</v>
      </c>
      <c r="I64" s="73">
        <v>14192.179143539573</v>
      </c>
      <c r="J64" s="73">
        <v>13896.259810235404</v>
      </c>
      <c r="K64" s="73">
        <v>13715.11765981475</v>
      </c>
      <c r="L64" s="73">
        <v>13662.347930640628</v>
      </c>
      <c r="M64" s="73">
        <v>13656.013407387269</v>
      </c>
      <c r="N64" s="73">
        <v>13927.642507675713</v>
      </c>
      <c r="O64" s="73">
        <v>14715.132575540261</v>
      </c>
      <c r="P64" s="73">
        <v>15590.665660008262</v>
      </c>
      <c r="Q64" s="73">
        <v>16156.401588429098</v>
      </c>
      <c r="R64" s="73">
        <v>16118.662990497582</v>
      </c>
      <c r="S64" s="73">
        <v>16410.074010285705</v>
      </c>
      <c r="T64" s="73">
        <v>16647.162388458106</v>
      </c>
      <c r="U64" s="73">
        <v>16474.890820056411</v>
      </c>
      <c r="V64" s="73">
        <v>16977.94729291739</v>
      </c>
      <c r="W64" s="73">
        <v>17862.310416086795</v>
      </c>
      <c r="X64" s="73">
        <v>18716.698394365241</v>
      </c>
      <c r="Y64" s="73">
        <v>19157.971485934049</v>
      </c>
      <c r="Z64" s="73">
        <v>19338.241524384528</v>
      </c>
      <c r="AA64" s="73">
        <v>18670.686929309508</v>
      </c>
      <c r="AB64" s="73">
        <v>18100.074655752087</v>
      </c>
      <c r="AC64" s="73">
        <v>17262.580336692743</v>
      </c>
      <c r="AD64" s="73">
        <v>16161.482431272156</v>
      </c>
      <c r="AE64" s="73">
        <v>15226.592777362506</v>
      </c>
      <c r="AF64" s="73">
        <v>14735.15196498449</v>
      </c>
      <c r="AG64" s="41">
        <f>+SUM(I64:AF64)*H64</f>
        <v>8522190.3514358662</v>
      </c>
      <c r="AJ64" s="74"/>
    </row>
    <row r="65" spans="1:37" ht="14">
      <c r="A65" s="66"/>
      <c r="E65" s="85">
        <f t="shared" ref="E65:E68" si="31">+E64</f>
        <v>46722</v>
      </c>
      <c r="F65" s="80"/>
      <c r="G65" s="42" t="s">
        <v>63</v>
      </c>
      <c r="H65" s="42">
        <v>3</v>
      </c>
      <c r="I65" s="73">
        <v>14217.35779672679</v>
      </c>
      <c r="J65" s="73">
        <v>13905.58089880879</v>
      </c>
      <c r="K65" s="73">
        <v>13713.09954920675</v>
      </c>
      <c r="L65" s="73">
        <v>13631.82055178912</v>
      </c>
      <c r="M65" s="73">
        <v>13594.608209936834</v>
      </c>
      <c r="N65" s="73">
        <v>13722.26584946097</v>
      </c>
      <c r="O65" s="73">
        <v>14203.394387295577</v>
      </c>
      <c r="P65" s="73">
        <v>14681.461282520066</v>
      </c>
      <c r="Q65" s="73">
        <v>15001.189742128676</v>
      </c>
      <c r="R65" s="73">
        <v>14437.283238264388</v>
      </c>
      <c r="S65" s="73">
        <v>15150.965698790505</v>
      </c>
      <c r="T65" s="73">
        <v>15271.154367023417</v>
      </c>
      <c r="U65" s="73">
        <v>15097.56437610733</v>
      </c>
      <c r="V65" s="73">
        <v>15265.904198610284</v>
      </c>
      <c r="W65" s="73">
        <v>15712.938273632704</v>
      </c>
      <c r="X65" s="73">
        <v>16475.449285117727</v>
      </c>
      <c r="Y65" s="73">
        <v>17070.90514492042</v>
      </c>
      <c r="Z65" s="73">
        <v>17738.845710421676</v>
      </c>
      <c r="AA65" s="73">
        <v>17473.739190753557</v>
      </c>
      <c r="AB65" s="73">
        <v>17114.918683066298</v>
      </c>
      <c r="AC65" s="73">
        <v>16446.764075464413</v>
      </c>
      <c r="AD65" s="73">
        <v>15418.555275880559</v>
      </c>
      <c r="AE65" s="73">
        <v>14538.29177691583</v>
      </c>
      <c r="AF65" s="73">
        <v>14055.67245837776</v>
      </c>
      <c r="AG65" s="43">
        <f>+SUM(I65:AF65)*H65</f>
        <v>1091819.1900636614</v>
      </c>
      <c r="AJ65" s="74"/>
      <c r="AK65" s="75"/>
    </row>
    <row r="66" spans="1:37" ht="14">
      <c r="A66" s="66"/>
      <c r="E66" s="85">
        <f t="shared" si="31"/>
        <v>46722</v>
      </c>
      <c r="F66" s="80"/>
      <c r="G66" s="44" t="s">
        <v>61</v>
      </c>
      <c r="H66" s="44">
        <v>4</v>
      </c>
      <c r="I66" s="73">
        <v>13470.431317260809</v>
      </c>
      <c r="J66" s="73">
        <v>13224.137534683139</v>
      </c>
      <c r="K66" s="73">
        <v>13050.516146544978</v>
      </c>
      <c r="L66" s="73">
        <v>12944.597535068244</v>
      </c>
      <c r="M66" s="73">
        <v>12934.113918130824</v>
      </c>
      <c r="N66" s="73">
        <v>12800.424667488247</v>
      </c>
      <c r="O66" s="73">
        <v>12481.457875587232</v>
      </c>
      <c r="P66" s="73">
        <v>9839.8069865436373</v>
      </c>
      <c r="Q66" s="73">
        <v>7007.6157458589178</v>
      </c>
      <c r="R66" s="73">
        <v>5884.6236707405014</v>
      </c>
      <c r="S66" s="73">
        <v>8094.1742569289663</v>
      </c>
      <c r="T66" s="73">
        <v>10042.366407972673</v>
      </c>
      <c r="U66" s="73">
        <v>11769.223076440267</v>
      </c>
      <c r="V66" s="73">
        <v>12497.971232490254</v>
      </c>
      <c r="W66" s="73">
        <v>12898.183898276224</v>
      </c>
      <c r="X66" s="73">
        <v>13705.423965612079</v>
      </c>
      <c r="Y66" s="73">
        <v>14463.800361069789</v>
      </c>
      <c r="Z66" s="73">
        <v>15222.339277289962</v>
      </c>
      <c r="AA66" s="73">
        <v>15282.053756392921</v>
      </c>
      <c r="AB66" s="73">
        <v>15132.286003668965</v>
      </c>
      <c r="AC66" s="73">
        <v>14661.477079680222</v>
      </c>
      <c r="AD66" s="73">
        <v>14158.031925544656</v>
      </c>
      <c r="AE66" s="73">
        <v>13728.729576379485</v>
      </c>
      <c r="AF66" s="73">
        <v>13409.168913584057</v>
      </c>
      <c r="AG66" s="43">
        <f>+SUM(I66:AF66)*H66</f>
        <v>1194811.8205169481</v>
      </c>
      <c r="AJ66" s="74"/>
      <c r="AK66" s="75"/>
    </row>
    <row r="67" spans="1:37" ht="14">
      <c r="A67" s="66"/>
      <c r="E67" s="85">
        <f t="shared" si="31"/>
        <v>46722</v>
      </c>
      <c r="F67" s="80"/>
      <c r="G67" s="45" t="s">
        <v>62</v>
      </c>
      <c r="H67" s="45">
        <v>2</v>
      </c>
      <c r="I67" s="73">
        <v>13677.340516872275</v>
      </c>
      <c r="J67" s="73">
        <v>13439.432846020747</v>
      </c>
      <c r="K67" s="73">
        <v>13283.368080920229</v>
      </c>
      <c r="L67" s="73">
        <v>13186.881397588904</v>
      </c>
      <c r="M67" s="73">
        <v>13166.791840412261</v>
      </c>
      <c r="N67" s="73">
        <v>12897.082409773877</v>
      </c>
      <c r="O67" s="73">
        <v>12544.280806129071</v>
      </c>
      <c r="P67" s="73">
        <v>10998.31284088643</v>
      </c>
      <c r="Q67" s="73">
        <v>8292.97929468037</v>
      </c>
      <c r="R67" s="73">
        <v>7502.3884150622762</v>
      </c>
      <c r="S67" s="73">
        <v>9515.3173590771621</v>
      </c>
      <c r="T67" s="73">
        <v>11803.514773684981</v>
      </c>
      <c r="U67" s="73">
        <v>12428.780729159338</v>
      </c>
      <c r="V67" s="73">
        <v>12667.731456121655</v>
      </c>
      <c r="W67" s="73">
        <v>13050.055385866075</v>
      </c>
      <c r="X67" s="73">
        <v>13873.415310837134</v>
      </c>
      <c r="Y67" s="73">
        <v>14555.038487683258</v>
      </c>
      <c r="Z67" s="73">
        <v>15360.445490470418</v>
      </c>
      <c r="AA67" s="73">
        <v>15399.939803604731</v>
      </c>
      <c r="AB67" s="73">
        <v>15298.741487706013</v>
      </c>
      <c r="AC67" s="73">
        <v>14764.57164267673</v>
      </c>
      <c r="AD67" s="73">
        <v>14191.087659655044</v>
      </c>
      <c r="AE67" s="73">
        <v>13725.426358077619</v>
      </c>
      <c r="AF67" s="73">
        <v>13394.154524210355</v>
      </c>
      <c r="AG67" s="46">
        <f>+SUM(I67:AF67)*H67</f>
        <v>618034.15783435397</v>
      </c>
      <c r="AJ67" s="74"/>
      <c r="AK67" s="75"/>
    </row>
    <row r="68" spans="1:37" ht="15" thickBot="1">
      <c r="A68" s="66"/>
      <c r="E68" s="85">
        <f t="shared" si="31"/>
        <v>46722</v>
      </c>
      <c r="F68" s="81"/>
      <c r="G68" s="47" t="s">
        <v>10</v>
      </c>
      <c r="H68" s="47">
        <f>+SUM(H64:H67)</f>
        <v>31</v>
      </c>
      <c r="I68" s="48">
        <f t="shared" ref="I68:AF68" si="32">+SUMPRODUCT(I64:I67,$H64:$H67)</f>
        <v>436116.42085083877</v>
      </c>
      <c r="J68" s="48">
        <f t="shared" si="32"/>
        <v>427209.87435237924</v>
      </c>
      <c r="K68" s="48">
        <f t="shared" si="32"/>
        <v>421640.68791156512</v>
      </c>
      <c r="L68" s="48">
        <f t="shared" si="32"/>
        <v>419619.26906491193</v>
      </c>
      <c r="M68" s="48">
        <f t="shared" si="32"/>
        <v>419286.15894567827</v>
      </c>
      <c r="N68" s="48">
        <f t="shared" si="32"/>
        <v>424570.79620674928</v>
      </c>
      <c r="O68" s="48">
        <f t="shared" si="32"/>
        <v>441357.49293837952</v>
      </c>
      <c r="P68" s="48">
        <f t="shared" si="32"/>
        <v>448394.88199568941</v>
      </c>
      <c r="Q68" s="48">
        <f t="shared" si="32"/>
        <v>445060.82574462262</v>
      </c>
      <c r="R68" s="48">
        <f t="shared" si="32"/>
        <v>436465.70701882651</v>
      </c>
      <c r="S68" s="48">
        <f t="shared" si="32"/>
        <v>457881.8570685272</v>
      </c>
      <c r="T68" s="48">
        <f t="shared" si="32"/>
        <v>475827.53082640929</v>
      </c>
      <c r="U68" s="48">
        <f t="shared" si="32"/>
        <v>479674.7449336428</v>
      </c>
      <c r="V68" s="48">
        <f t="shared" si="32"/>
        <v>494639.90088221774</v>
      </c>
      <c r="W68" s="48">
        <f t="shared" si="32"/>
        <v>517802.49033964466</v>
      </c>
      <c r="X68" s="48">
        <f t="shared" si="32"/>
        <v>543762.23901551112</v>
      </c>
      <c r="Y68" s="48">
        <f t="shared" si="32"/>
        <v>559653.36654495599</v>
      </c>
      <c r="Z68" s="48">
        <f t="shared" si="32"/>
        <v>570268.09875782533</v>
      </c>
      <c r="AA68" s="48">
        <f t="shared" si="32"/>
        <v>555104.42464985093</v>
      </c>
      <c r="AB68" s="48">
        <f t="shared" si="32"/>
        <v>540673.02546583267</v>
      </c>
      <c r="AC68" s="48">
        <f t="shared" si="32"/>
        <v>517292.1112377079</v>
      </c>
      <c r="AD68" s="48">
        <f t="shared" si="32"/>
        <v>486822.58233711781</v>
      </c>
      <c r="AE68" s="48">
        <f t="shared" si="32"/>
        <v>460965.68745439581</v>
      </c>
      <c r="AF68" s="48">
        <f t="shared" si="32"/>
        <v>446765.345307549</v>
      </c>
      <c r="AG68" s="49">
        <f>SUM(I68:AF68)</f>
        <v>11426855.519850831</v>
      </c>
    </row>
    <row r="72" spans="1:37">
      <c r="F72" s="69"/>
      <c r="AG72" s="70"/>
    </row>
    <row r="74" spans="1:37" ht="20">
      <c r="E74" s="59"/>
    </row>
    <row r="75" spans="1:37">
      <c r="E75" s="60"/>
    </row>
    <row r="76" spans="1:37">
      <c r="E76" s="60"/>
    </row>
  </sheetData>
  <protectedRanges>
    <protectedRange algorithmName="SHA-512" hashValue="ddMXVrQS0fgB43c0atEM6OKu6oDWAMpeJLqJjfuwWmQe8OHAIs2JeDVHZWeRY9WToyZdUZnhWoqdJcb06CPmZw==" saltValue="nLR4AFgxssXjR1gopeih9Q==" spinCount="100000" sqref="E1:AG1 E13:AG13 E9:H12 AG9:AG12 AG14:AG17 AG19:AG22 AG24:AG27 AG29:AG32 AG34:AG37 AG39:AG42 AG44:AG47 AG49:AG52 AG54:AG57 AG59:AG62 E14:F68 AG64:AG67 E7:AG8 G18:AG18 G14:H17 G23:AG23 G19:H22 G28:AG28 G24:H27 G33:AG33 G29:H32 G38:AG38 G34:H37 G43:AG43 G39:H42 G48:AG48 G44:H47 G53:AG53 G49:H52 G58:AG58 G54:H57 G63:AG63 G59:H62 G68:AG68 G64:H67" name="Rango2_1"/>
    <protectedRange algorithmName="SHA-512" hashValue="ddMXVrQS0fgB43c0atEM6OKu6oDWAMpeJLqJjfuwWmQe8OHAIs2JeDVHZWeRY9WToyZdUZnhWoqdJcb06CPmZw==" saltValue="nLR4AFgxssXjR1gopeih9Q==" spinCount="100000" sqref="E2:AG2 E4:AG5" name="Rango2_1_2"/>
  </protectedRanges>
  <autoFilter ref="B8:AG68" xr:uid="{C827A96D-C0DD-4602-9537-F8264B6F5472}"/>
  <mergeCells count="29">
    <mergeCell ref="F59:F63"/>
    <mergeCell ref="E29:E33"/>
    <mergeCell ref="E34:E38"/>
    <mergeCell ref="F34:F38"/>
    <mergeCell ref="F39:F43"/>
    <mergeCell ref="F44:F48"/>
    <mergeCell ref="F49:F53"/>
    <mergeCell ref="F54:F58"/>
    <mergeCell ref="F9:F13"/>
    <mergeCell ref="F14:F18"/>
    <mergeCell ref="F19:F23"/>
    <mergeCell ref="F24:F28"/>
    <mergeCell ref="F29:F33"/>
    <mergeCell ref="F64:F68"/>
    <mergeCell ref="E39:E43"/>
    <mergeCell ref="E44:E48"/>
    <mergeCell ref="E49:E53"/>
    <mergeCell ref="E1:AG1"/>
    <mergeCell ref="G7:H7"/>
    <mergeCell ref="E2:AG2"/>
    <mergeCell ref="E4:AG4"/>
    <mergeCell ref="E5:AG5"/>
    <mergeCell ref="E9:E13"/>
    <mergeCell ref="E14:E18"/>
    <mergeCell ref="E19:E23"/>
    <mergeCell ref="E24:E28"/>
    <mergeCell ref="E54:E58"/>
    <mergeCell ref="E59:E63"/>
    <mergeCell ref="E64:E6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424E-7471-4F57-B54A-34813F47B44E}">
  <sheetPr>
    <pageSetUpPr fitToPage="1"/>
  </sheetPr>
  <dimension ref="A1:IU35"/>
  <sheetViews>
    <sheetView showGridLines="0" topLeftCell="A16" zoomScale="85" zoomScaleNormal="85" zoomScaleSheetLayoutView="100" workbookViewId="0">
      <selection sqref="A1:I35"/>
    </sheetView>
  </sheetViews>
  <sheetFormatPr baseColWidth="10" defaultColWidth="0" defaultRowHeight="0" customHeight="1" zeroHeight="1"/>
  <cols>
    <col min="1" max="1" width="5.453125" style="18" customWidth="1"/>
    <col min="2" max="2" width="1" style="18" customWidth="1"/>
    <col min="3" max="3" width="19" style="18" customWidth="1"/>
    <col min="4" max="4" width="23.54296875" style="18" customWidth="1"/>
    <col min="5" max="5" width="19.54296875" style="18" customWidth="1"/>
    <col min="6" max="6" width="22.54296875" style="18" bestFit="1" customWidth="1"/>
    <col min="7" max="7" width="16.54296875" style="18" customWidth="1"/>
    <col min="8" max="8" width="1.453125" style="18" customWidth="1"/>
    <col min="9" max="9" width="8.453125" style="18" customWidth="1"/>
    <col min="10" max="10" width="1.54296875" style="18" hidden="1" customWidth="1"/>
    <col min="11" max="255" width="3.453125" style="18" hidden="1" customWidth="1"/>
    <col min="256" max="16384" width="5.54296875" style="18" hidden="1"/>
  </cols>
  <sheetData>
    <row r="1" spans="1:12" s="17" customFormat="1" ht="26.25" customHeight="1">
      <c r="A1" s="15"/>
      <c r="B1" s="15"/>
      <c r="C1" s="76" t="s">
        <v>66</v>
      </c>
      <c r="D1" s="76"/>
      <c r="E1" s="76"/>
      <c r="F1" s="76"/>
      <c r="G1" s="76"/>
      <c r="H1" s="16"/>
      <c r="I1" s="16"/>
    </row>
    <row r="2" spans="1:12" ht="34.5" customHeight="1">
      <c r="C2" s="76" t="s">
        <v>70</v>
      </c>
      <c r="D2" s="76"/>
      <c r="E2" s="76"/>
      <c r="F2" s="76"/>
      <c r="G2" s="76"/>
      <c r="H2" s="16"/>
      <c r="I2" s="16"/>
    </row>
    <row r="3" spans="1:12" ht="16.5">
      <c r="C3" s="19" t="s">
        <v>0</v>
      </c>
      <c r="D3" s="20" t="s">
        <v>1</v>
      </c>
    </row>
    <row r="4" spans="1:12" ht="16.5">
      <c r="C4" s="21" t="s">
        <v>2</v>
      </c>
      <c r="D4" s="22" t="s">
        <v>3</v>
      </c>
    </row>
    <row r="5" spans="1:12" ht="16.5">
      <c r="C5" s="21" t="s">
        <v>4</v>
      </c>
      <c r="D5" s="39"/>
      <c r="E5" s="38"/>
      <c r="F5" s="38"/>
      <c r="G5" s="38"/>
    </row>
    <row r="6" spans="1:12" ht="16.5">
      <c r="C6" s="21"/>
      <c r="D6" s="39"/>
      <c r="E6" s="38"/>
      <c r="F6" s="38"/>
      <c r="G6" s="38"/>
    </row>
    <row r="7" spans="1:12" ht="16.5">
      <c r="B7" s="23"/>
      <c r="C7" s="19"/>
      <c r="D7" s="20"/>
      <c r="E7" s="20"/>
    </row>
    <row r="8" spans="1:12" ht="19.5" customHeight="1">
      <c r="C8"/>
      <c r="D8"/>
      <c r="E8"/>
      <c r="F8"/>
      <c r="G8"/>
      <c r="H8" s="71"/>
      <c r="I8" s="71"/>
      <c r="J8" s="71"/>
      <c r="K8" s="24"/>
      <c r="L8" s="24"/>
    </row>
    <row r="9" spans="1:12" ht="49.5" customHeight="1">
      <c r="C9" s="54" t="s">
        <v>5</v>
      </c>
      <c r="D9" s="30" t="s">
        <v>6</v>
      </c>
      <c r="E9" s="54" t="s">
        <v>7</v>
      </c>
      <c r="F9" s="54" t="s">
        <v>8</v>
      </c>
      <c r="G9" s="54" t="s">
        <v>9</v>
      </c>
      <c r="H9" s="71"/>
      <c r="I9" s="71"/>
      <c r="J9" s="71"/>
      <c r="K9" s="24"/>
      <c r="L9" s="24"/>
    </row>
    <row r="10" spans="1:12" ht="16.5">
      <c r="C10" s="55">
        <v>46753</v>
      </c>
      <c r="D10" s="34">
        <f>+_xlfn.XLOOKUP(C10,'Cantidades horarias PROD 03'!E:E,'Cantidades horarias PROD 03'!F:F)</f>
        <v>17638373.615816515</v>
      </c>
      <c r="E10" s="29">
        <v>1</v>
      </c>
      <c r="F10" s="34">
        <f t="shared" ref="F10:F21" si="0">ROUND(D10*$E10,2)</f>
        <v>17638373.620000001</v>
      </c>
      <c r="G10" s="77"/>
      <c r="H10" s="71"/>
      <c r="I10" s="71"/>
      <c r="J10" s="71"/>
      <c r="K10" s="24"/>
      <c r="L10" s="24"/>
    </row>
    <row r="11" spans="1:12" ht="16.5">
      <c r="C11" s="55">
        <v>46784</v>
      </c>
      <c r="D11" s="34">
        <f>+_xlfn.XLOOKUP(C11,'Cantidades horarias PROD 03'!E:E,'Cantidades horarias PROD 03'!F:F)</f>
        <v>16702855.152226487</v>
      </c>
      <c r="E11" s="29">
        <v>1</v>
      </c>
      <c r="F11" s="34">
        <f t="shared" si="0"/>
        <v>16702855.15</v>
      </c>
      <c r="G11" s="77"/>
      <c r="H11" s="71"/>
      <c r="I11" s="71"/>
      <c r="J11" s="71"/>
      <c r="K11" s="24"/>
      <c r="L11" s="24"/>
    </row>
    <row r="12" spans="1:12" ht="16.5">
      <c r="C12" s="55">
        <v>46813</v>
      </c>
      <c r="D12" s="34">
        <f>+_xlfn.XLOOKUP(C12,'Cantidades horarias PROD 03'!E:E,'Cantidades horarias PROD 03'!F:F)</f>
        <v>17698009.054015383</v>
      </c>
      <c r="E12" s="29">
        <v>1</v>
      </c>
      <c r="F12" s="34">
        <f t="shared" si="0"/>
        <v>17698009.050000001</v>
      </c>
      <c r="G12" s="77"/>
      <c r="H12" s="71"/>
      <c r="I12" s="71"/>
      <c r="J12" s="71"/>
      <c r="K12" s="24"/>
      <c r="L12" s="24"/>
    </row>
    <row r="13" spans="1:12" ht="16.5">
      <c r="C13" s="55">
        <v>46844</v>
      </c>
      <c r="D13" s="34">
        <f>+_xlfn.XLOOKUP(C13,'Cantidades horarias PROD 03'!E:E,'Cantidades horarias PROD 03'!F:F)</f>
        <v>16890741.60360175</v>
      </c>
      <c r="E13" s="29">
        <v>1</v>
      </c>
      <c r="F13" s="34">
        <f t="shared" si="0"/>
        <v>16890741.600000001</v>
      </c>
      <c r="G13" s="77"/>
      <c r="H13" s="71"/>
      <c r="I13" s="71"/>
      <c r="J13" s="71"/>
      <c r="K13" s="24"/>
      <c r="L13" s="24"/>
    </row>
    <row r="14" spans="1:12" ht="16.5">
      <c r="C14" s="55">
        <v>46874</v>
      </c>
      <c r="D14" s="34">
        <f>+_xlfn.XLOOKUP(C14,'Cantidades horarias PROD 03'!E:E,'Cantidades horarias PROD 03'!F:F)</f>
        <v>17388735.42427199</v>
      </c>
      <c r="E14" s="29">
        <v>1</v>
      </c>
      <c r="F14" s="34">
        <f t="shared" si="0"/>
        <v>17388735.420000002</v>
      </c>
      <c r="G14" s="77"/>
      <c r="H14" s="71"/>
      <c r="I14" s="71"/>
      <c r="J14" s="71"/>
      <c r="K14" s="24"/>
      <c r="L14" s="24"/>
    </row>
    <row r="15" spans="1:12" ht="16.5">
      <c r="C15" s="55">
        <v>46905</v>
      </c>
      <c r="D15" s="34">
        <f>+_xlfn.XLOOKUP(C15,'Cantidades horarias PROD 03'!E:E,'Cantidades horarias PROD 03'!F:F)</f>
        <v>16766444.126765475</v>
      </c>
      <c r="E15" s="29">
        <v>1</v>
      </c>
      <c r="F15" s="34">
        <f t="shared" si="0"/>
        <v>16766444.130000001</v>
      </c>
      <c r="G15" s="77"/>
      <c r="H15" s="71"/>
      <c r="I15" s="71"/>
      <c r="J15" s="71"/>
      <c r="K15" s="24"/>
      <c r="L15" s="24"/>
    </row>
    <row r="16" spans="1:12" ht="16.5">
      <c r="C16" s="55">
        <v>46935</v>
      </c>
      <c r="D16" s="34">
        <f>+_xlfn.XLOOKUP(C16,'Cantidades horarias PROD 03'!E:E,'Cantidades horarias PROD 03'!F:F)</f>
        <v>17160882.671246756</v>
      </c>
      <c r="E16" s="29">
        <v>1</v>
      </c>
      <c r="F16" s="34">
        <f t="shared" si="0"/>
        <v>17160882.670000002</v>
      </c>
      <c r="G16" s="77"/>
      <c r="H16" s="71"/>
      <c r="I16" s="71"/>
      <c r="J16" s="71"/>
      <c r="K16" s="24"/>
      <c r="L16" s="24"/>
    </row>
    <row r="17" spans="3:12" ht="16.5">
      <c r="C17" s="55">
        <v>46966</v>
      </c>
      <c r="D17" s="34">
        <f>+_xlfn.XLOOKUP(C17,'Cantidades horarias PROD 03'!E:E,'Cantidades horarias PROD 03'!F:F)</f>
        <v>17403558.492620979</v>
      </c>
      <c r="E17" s="29">
        <v>1</v>
      </c>
      <c r="F17" s="34">
        <f t="shared" si="0"/>
        <v>17403558.489999998</v>
      </c>
      <c r="G17" s="77"/>
      <c r="H17" s="71"/>
      <c r="I17" s="71"/>
      <c r="J17" s="71"/>
      <c r="K17" s="24"/>
      <c r="L17" s="24"/>
    </row>
    <row r="18" spans="3:12" ht="16.5">
      <c r="C18" s="55">
        <v>46997</v>
      </c>
      <c r="D18" s="34">
        <f>+_xlfn.XLOOKUP(C18,'Cantidades horarias PROD 03'!E:E,'Cantidades horarias PROD 03'!F:F)</f>
        <v>17115134.87392994</v>
      </c>
      <c r="E18" s="29">
        <v>1</v>
      </c>
      <c r="F18" s="34">
        <f t="shared" si="0"/>
        <v>17115134.870000001</v>
      </c>
      <c r="G18" s="77"/>
      <c r="H18" s="71"/>
      <c r="I18" s="71"/>
      <c r="J18" s="71"/>
      <c r="K18" s="24"/>
      <c r="L18" s="24"/>
    </row>
    <row r="19" spans="3:12" ht="16.5">
      <c r="C19" s="55">
        <v>47027</v>
      </c>
      <c r="D19" s="34">
        <f>+_xlfn.XLOOKUP(C19,'Cantidades horarias PROD 03'!E:E,'Cantidades horarias PROD 03'!F:F)</f>
        <v>17420937.379998654</v>
      </c>
      <c r="E19" s="29">
        <v>1</v>
      </c>
      <c r="F19" s="34">
        <f t="shared" si="0"/>
        <v>17420937.379999999</v>
      </c>
      <c r="G19" s="77"/>
      <c r="H19" s="71"/>
      <c r="I19" s="71"/>
      <c r="J19" s="71"/>
      <c r="K19" s="24"/>
      <c r="L19" s="24"/>
    </row>
    <row r="20" spans="3:12" ht="16.5">
      <c r="C20" s="55">
        <v>47058</v>
      </c>
      <c r="D20" s="34">
        <f>+_xlfn.XLOOKUP(C20,'Cantidades horarias PROD 03'!E:E,'Cantidades horarias PROD 03'!F:F)</f>
        <v>16804655.645060077</v>
      </c>
      <c r="E20" s="29">
        <v>1</v>
      </c>
      <c r="F20" s="34">
        <f t="shared" si="0"/>
        <v>16804655.649999999</v>
      </c>
      <c r="G20" s="77"/>
      <c r="H20" s="71"/>
      <c r="I20" s="71"/>
      <c r="J20" s="71"/>
      <c r="K20" s="24"/>
      <c r="L20" s="24"/>
    </row>
    <row r="21" spans="3:12" ht="16.5">
      <c r="C21" s="55">
        <v>47088</v>
      </c>
      <c r="D21" s="34">
        <f>+_xlfn.XLOOKUP(C21,'Cantidades horarias PROD 03'!E:E,'Cantidades horarias PROD 03'!F:F)</f>
        <v>17276321.266086925</v>
      </c>
      <c r="E21" s="29">
        <v>1</v>
      </c>
      <c r="F21" s="34">
        <f t="shared" si="0"/>
        <v>17276321.27</v>
      </c>
      <c r="G21" s="77"/>
      <c r="H21" s="71"/>
      <c r="I21" s="71"/>
      <c r="J21" s="71"/>
      <c r="K21" s="24"/>
      <c r="L21" s="24"/>
    </row>
    <row r="22" spans="3:12" ht="16.5">
      <c r="C22" s="50" t="s">
        <v>10</v>
      </c>
      <c r="D22" s="51">
        <f>SUM(D10:D21)</f>
        <v>206266649.30564094</v>
      </c>
      <c r="E22" s="53">
        <f>IFERROR(F22/D22,0)</f>
        <v>0.99999999997265243</v>
      </c>
      <c r="F22" s="51">
        <f>SUM(F10:F21)</f>
        <v>206266649.30000004</v>
      </c>
      <c r="G22" s="52">
        <f>G10</f>
        <v>0</v>
      </c>
      <c r="H22" s="71"/>
      <c r="I22" s="71"/>
      <c r="J22" s="71"/>
      <c r="K22" s="24"/>
      <c r="L22" s="24"/>
    </row>
    <row r="23" spans="3:12" ht="16.5">
      <c r="C23" s="32"/>
      <c r="D23" s="31"/>
      <c r="E23" s="36"/>
      <c r="F23" s="31"/>
      <c r="G23" s="35"/>
      <c r="H23" s="71"/>
      <c r="I23" s="71"/>
      <c r="J23" s="71"/>
      <c r="K23" s="24"/>
      <c r="L23" s="24"/>
    </row>
    <row r="24" spans="3:12" ht="19.5" customHeight="1">
      <c r="C24"/>
      <c r="D24" s="30" t="s">
        <v>11</v>
      </c>
      <c r="E24" s="37">
        <v>0.8</v>
      </c>
      <c r="F24"/>
      <c r="G24"/>
      <c r="H24" s="71"/>
      <c r="I24" s="71"/>
      <c r="J24" s="71"/>
      <c r="K24" s="24"/>
      <c r="L24" s="24"/>
    </row>
    <row r="25" spans="3:12" ht="16.5">
      <c r="D25" s="30" t="s">
        <v>12</v>
      </c>
      <c r="E25" s="33">
        <f>MIN(E10:E21)/MAX(E10:E21)</f>
        <v>1</v>
      </c>
      <c r="F25" s="25"/>
      <c r="G25" s="26"/>
      <c r="H25" s="26"/>
      <c r="I25" s="25"/>
      <c r="J25" s="25"/>
    </row>
    <row r="26" spans="3:12" ht="16.5">
      <c r="C26" s="27" t="s">
        <v>13</v>
      </c>
      <c r="D26" s="26"/>
      <c r="E26" s="26"/>
      <c r="F26" s="26"/>
      <c r="G26" s="26"/>
      <c r="H26" s="26"/>
      <c r="I26" s="25"/>
      <c r="J26" s="25"/>
    </row>
    <row r="27" spans="3:12" ht="16.5">
      <c r="C27" s="28" t="s">
        <v>71</v>
      </c>
      <c r="D27" s="26"/>
      <c r="E27" s="26"/>
      <c r="F27" s="26"/>
      <c r="G27" s="26"/>
      <c r="H27" s="26"/>
      <c r="I27" s="25"/>
      <c r="J27" s="25"/>
    </row>
    <row r="28" spans="3:12" ht="16.5">
      <c r="C28" s="28" t="s">
        <v>14</v>
      </c>
      <c r="I28" s="25"/>
      <c r="J28" s="25"/>
    </row>
    <row r="29" spans="3:12" ht="16.5">
      <c r="C29" s="78"/>
      <c r="D29" s="78"/>
      <c r="E29" s="78"/>
      <c r="F29" s="78"/>
      <c r="G29" s="78"/>
      <c r="H29" s="25"/>
      <c r="I29" s="25"/>
      <c r="J29" s="25"/>
    </row>
    <row r="30" spans="3:12" ht="16.5">
      <c r="C30" s="78"/>
      <c r="D30" s="78"/>
      <c r="E30" s="78"/>
      <c r="F30" s="78"/>
      <c r="G30" s="78"/>
    </row>
    <row r="31" spans="3:12" ht="16.5">
      <c r="E31" s="38"/>
      <c r="F31" s="56"/>
      <c r="G31" s="56"/>
    </row>
    <row r="32" spans="3:12" ht="15" customHeight="1">
      <c r="C32" s="57" t="s">
        <v>15</v>
      </c>
      <c r="D32" s="58"/>
      <c r="E32" s="38"/>
      <c r="F32" s="38"/>
      <c r="G32" s="38"/>
    </row>
    <row r="33" spans="3:8" ht="15" customHeight="1">
      <c r="C33" s="22" t="s">
        <v>16</v>
      </c>
      <c r="F33" s="38"/>
      <c r="G33" s="38"/>
    </row>
    <row r="34" spans="3:8" ht="16.5">
      <c r="C34" s="22" t="s">
        <v>17</v>
      </c>
    </row>
    <row r="35" spans="3:8" ht="16.5">
      <c r="G35" s="22"/>
      <c r="H35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9:G9 C10:C21 E10:E21" name="Rango1"/>
    <protectedRange algorithmName="SHA-512" hashValue="ae/Js8yeMw6wHjGREqu83BjAYnjwv1NHxpvnTe57rDwDMNDPGlnZwgp89HjM7G0cg/2ItV/6+CjQlsfmX7La6g==" saltValue="fv5wd7mgDmwpGOJN+Z7vlA==" spinCount="100000" sqref="G10:G21" name="Rango1_1_1"/>
    <protectedRange algorithmName="SHA-512" hashValue="ae/Js8yeMw6wHjGREqu83BjAYnjwv1NHxpvnTe57rDwDMNDPGlnZwgp89HjM7G0cg/2ItV/6+CjQlsfmX7La6g==" saltValue="fv5wd7mgDmwpGOJN+Z7vlA==" spinCount="100000" sqref="D10:D21" name="Rango1_1"/>
  </protectedRanges>
  <mergeCells count="4">
    <mergeCell ref="C1:G1"/>
    <mergeCell ref="C2:G2"/>
    <mergeCell ref="G10:G21"/>
    <mergeCell ref="C29:G30"/>
  </mergeCells>
  <conditionalFormatting sqref="E25">
    <cfRule type="cellIs" dxfId="8" priority="1" operator="equal">
      <formula>$E$24</formula>
    </cfRule>
    <cfRule type="cellIs" dxfId="7" priority="2" operator="greaterThan">
      <formula>$E$24</formula>
    </cfRule>
    <cfRule type="cellIs" dxfId="6" priority="3" operator="lessThan">
      <formula>$E$24</formula>
    </cfRule>
  </conditionalFormatting>
  <dataValidations count="1">
    <dataValidation type="textLength" allowBlank="1" showInputMessage="1" showErrorMessage="1" errorTitle="SOLO 2 DECIMALES" error="Por favor introduzca un valor con maximo 2 decimales" sqref="E10:E21" xr:uid="{91E24DB1-A4AC-409D-A9E5-97517B142A3F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2" fitToHeight="0" orientation="portrait" cellComments="asDisplayed" r:id="rId1"/>
  <headerFooter alignWithMargins="0">
    <oddHeader>&amp;R&amp;11 1 de 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5E0E-5F56-42D8-9FCA-AAAB2573C3B5}">
  <dimension ref="A1:AK76"/>
  <sheetViews>
    <sheetView showGridLines="0" workbookViewId="0">
      <selection activeCell="E1" sqref="E1:AG68"/>
    </sheetView>
  </sheetViews>
  <sheetFormatPr baseColWidth="10" defaultColWidth="11.453125" defaultRowHeight="12.5"/>
  <cols>
    <col min="4" max="4" width="13.90625" customWidth="1"/>
    <col min="6" max="6" width="14.54296875" bestFit="1" customWidth="1"/>
    <col min="9" max="32" width="11.54296875" bestFit="1" customWidth="1"/>
    <col min="33" max="33" width="14.453125" bestFit="1" customWidth="1"/>
    <col min="34" max="34" width="3.81640625" customWidth="1"/>
  </cols>
  <sheetData>
    <row r="1" spans="1:37" ht="23">
      <c r="E1" s="83" t="s">
        <v>18</v>
      </c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</row>
    <row r="2" spans="1:37" ht="23">
      <c r="E2" s="83" t="s">
        <v>47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</row>
    <row r="3" spans="1:37" ht="23">
      <c r="E3" s="83" t="s">
        <v>3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</row>
    <row r="4" spans="1:37" ht="23"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</row>
    <row r="5" spans="1:37" ht="23">
      <c r="E5" s="83" t="s">
        <v>4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</row>
    <row r="6" spans="1:37" ht="23">
      <c r="E6" s="61"/>
      <c r="F6" s="62"/>
      <c r="G6" s="62"/>
      <c r="H6" s="63"/>
      <c r="I6" s="68"/>
      <c r="J6" s="64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</row>
    <row r="7" spans="1:37" ht="14.5" thickBot="1">
      <c r="E7" s="65"/>
      <c r="F7" s="65"/>
      <c r="G7" s="82"/>
      <c r="H7" s="82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</row>
    <row r="8" spans="1:37" ht="28.5" thickBot="1">
      <c r="B8" s="71"/>
      <c r="C8" s="71"/>
      <c r="D8" s="71"/>
      <c r="E8" s="8" t="s">
        <v>50</v>
      </c>
      <c r="F8" s="9" t="s">
        <v>19</v>
      </c>
      <c r="G8" s="9" t="s">
        <v>20</v>
      </c>
      <c r="H8" s="10" t="s">
        <v>21</v>
      </c>
      <c r="I8" s="11" t="s">
        <v>22</v>
      </c>
      <c r="J8" s="12" t="s">
        <v>23</v>
      </c>
      <c r="K8" s="12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2" t="s">
        <v>29</v>
      </c>
      <c r="Q8" s="12" t="s">
        <v>30</v>
      </c>
      <c r="R8" s="12" t="s">
        <v>31</v>
      </c>
      <c r="S8" s="12" t="s">
        <v>32</v>
      </c>
      <c r="T8" s="12" t="s">
        <v>33</v>
      </c>
      <c r="U8" s="12" t="s">
        <v>34</v>
      </c>
      <c r="V8" s="12" t="s">
        <v>35</v>
      </c>
      <c r="W8" s="12" t="s">
        <v>36</v>
      </c>
      <c r="X8" s="12" t="s">
        <v>37</v>
      </c>
      <c r="Y8" s="12" t="s">
        <v>38</v>
      </c>
      <c r="Z8" s="12" t="s">
        <v>39</v>
      </c>
      <c r="AA8" s="12" t="s">
        <v>40</v>
      </c>
      <c r="AB8" s="12" t="s">
        <v>41</v>
      </c>
      <c r="AC8" s="12" t="s">
        <v>42</v>
      </c>
      <c r="AD8" s="12" t="s">
        <v>43</v>
      </c>
      <c r="AE8" s="12" t="s">
        <v>44</v>
      </c>
      <c r="AF8" s="13" t="s">
        <v>45</v>
      </c>
      <c r="AG8" s="14" t="s">
        <v>10</v>
      </c>
    </row>
    <row r="9" spans="1:37" ht="14">
      <c r="A9" s="66"/>
      <c r="E9" s="84">
        <v>46753</v>
      </c>
      <c r="F9" s="79">
        <f>+AG13</f>
        <v>17638373.615816515</v>
      </c>
      <c r="G9" s="40" t="s">
        <v>60</v>
      </c>
      <c r="H9" s="40">
        <v>20</v>
      </c>
      <c r="I9" s="73">
        <v>21592.930447222043</v>
      </c>
      <c r="J9" s="73">
        <v>21082.225013727966</v>
      </c>
      <c r="K9" s="73">
        <v>20749.200731165838</v>
      </c>
      <c r="L9" s="73">
        <v>20687.654256533358</v>
      </c>
      <c r="M9" s="73">
        <v>20691.726957667368</v>
      </c>
      <c r="N9" s="73">
        <v>21243.448160230819</v>
      </c>
      <c r="O9" s="73">
        <v>22997.190387299863</v>
      </c>
      <c r="P9" s="73">
        <v>24741.596462900452</v>
      </c>
      <c r="Q9" s="73">
        <v>26005.714664610696</v>
      </c>
      <c r="R9" s="73">
        <v>26300.528697205351</v>
      </c>
      <c r="S9" s="73">
        <v>27297.483341312258</v>
      </c>
      <c r="T9" s="73">
        <v>27838.270868873689</v>
      </c>
      <c r="U9" s="73">
        <v>27252.447872762794</v>
      </c>
      <c r="V9" s="73">
        <v>28159.688892704442</v>
      </c>
      <c r="W9" s="73">
        <v>29609.414553919534</v>
      </c>
      <c r="X9" s="73">
        <v>30662.949647162801</v>
      </c>
      <c r="Y9" s="73">
        <v>31301.629744899332</v>
      </c>
      <c r="Z9" s="73">
        <v>31106.413979509565</v>
      </c>
      <c r="AA9" s="73">
        <v>29794.230065834137</v>
      </c>
      <c r="AB9" s="73">
        <v>28814.638252840778</v>
      </c>
      <c r="AC9" s="73">
        <v>27217.29372756217</v>
      </c>
      <c r="AD9" s="73">
        <v>25278.700825591401</v>
      </c>
      <c r="AE9" s="73">
        <v>23459.664200662653</v>
      </c>
      <c r="AF9" s="73">
        <v>22606.075894256235</v>
      </c>
      <c r="AG9" s="41">
        <f>ROUND(SUM(I9:AF9)*H9,2)</f>
        <v>12329822.35</v>
      </c>
      <c r="AJ9" s="74"/>
    </row>
    <row r="10" spans="1:37" ht="14">
      <c r="A10" s="66"/>
      <c r="E10" s="85"/>
      <c r="F10" s="80"/>
      <c r="G10" s="42" t="s">
        <v>63</v>
      </c>
      <c r="H10" s="42">
        <v>4</v>
      </c>
      <c r="I10" s="73">
        <v>21477.650470090528</v>
      </c>
      <c r="J10" s="73">
        <v>20888.610210471397</v>
      </c>
      <c r="K10" s="73">
        <v>20578.162078357047</v>
      </c>
      <c r="L10" s="73">
        <v>20505.390054092604</v>
      </c>
      <c r="M10" s="73">
        <v>20473.089130148226</v>
      </c>
      <c r="N10" s="73">
        <v>20710.741687674119</v>
      </c>
      <c r="O10" s="73">
        <v>21668.98435761463</v>
      </c>
      <c r="P10" s="73">
        <v>22438.655169873673</v>
      </c>
      <c r="Q10" s="73">
        <v>23078.787192880383</v>
      </c>
      <c r="R10" s="73">
        <v>23291.917508208335</v>
      </c>
      <c r="S10" s="73">
        <v>24081.397188423958</v>
      </c>
      <c r="T10" s="73">
        <v>24334.312554901258</v>
      </c>
      <c r="U10" s="73">
        <v>23771.60496449317</v>
      </c>
      <c r="V10" s="73">
        <v>23828.132178903401</v>
      </c>
      <c r="W10" s="73">
        <v>24135.940472768241</v>
      </c>
      <c r="X10" s="73">
        <v>24886.788491581203</v>
      </c>
      <c r="Y10" s="73">
        <v>25838.774918082756</v>
      </c>
      <c r="Z10" s="73">
        <v>26880.129946016499</v>
      </c>
      <c r="AA10" s="73">
        <v>26648.951077438414</v>
      </c>
      <c r="AB10" s="73">
        <v>26162.242920856184</v>
      </c>
      <c r="AC10" s="73">
        <v>25050.994453599138</v>
      </c>
      <c r="AD10" s="73">
        <v>23255.300749282167</v>
      </c>
      <c r="AE10" s="73">
        <v>21657.971111615741</v>
      </c>
      <c r="AF10" s="73">
        <v>20747.874054797052</v>
      </c>
      <c r="AG10" s="43">
        <f>ROUND(SUM(I10:AF10)*H10,2)</f>
        <v>2225569.61</v>
      </c>
      <c r="AJ10" s="74"/>
      <c r="AK10" s="75"/>
    </row>
    <row r="11" spans="1:37" ht="14">
      <c r="A11" s="66"/>
      <c r="E11" s="85"/>
      <c r="F11" s="80"/>
      <c r="G11" s="44" t="s">
        <v>61</v>
      </c>
      <c r="H11" s="44">
        <v>5</v>
      </c>
      <c r="I11" s="73">
        <v>18479.72163306037</v>
      </c>
      <c r="J11" s="73">
        <v>18032.211548149826</v>
      </c>
      <c r="K11" s="73">
        <v>17680.169312385551</v>
      </c>
      <c r="L11" s="73">
        <v>17479.099155542968</v>
      </c>
      <c r="M11" s="73">
        <v>17362.199705831317</v>
      </c>
      <c r="N11" s="73">
        <v>17190.756361252174</v>
      </c>
      <c r="O11" s="73">
        <v>16679.614750952696</v>
      </c>
      <c r="P11" s="73">
        <v>15886.03653300199</v>
      </c>
      <c r="Q11" s="73">
        <v>15527.436108028249</v>
      </c>
      <c r="R11" s="73">
        <v>15370.248309717677</v>
      </c>
      <c r="S11" s="73">
        <v>15848.023587500627</v>
      </c>
      <c r="T11" s="73">
        <v>16521.535940348032</v>
      </c>
      <c r="U11" s="73">
        <v>16915.397354344394</v>
      </c>
      <c r="V11" s="73">
        <v>17372.587729518964</v>
      </c>
      <c r="W11" s="73">
        <v>17969.566866304915</v>
      </c>
      <c r="X11" s="73">
        <v>19040.051191744511</v>
      </c>
      <c r="Y11" s="73">
        <v>20452.49356451226</v>
      </c>
      <c r="Z11" s="73">
        <v>21974.528996189867</v>
      </c>
      <c r="AA11" s="73">
        <v>22169.744826670394</v>
      </c>
      <c r="AB11" s="73">
        <v>21941.871187057623</v>
      </c>
      <c r="AC11" s="73">
        <v>20975.662729462056</v>
      </c>
      <c r="AD11" s="73">
        <v>19940.005724646253</v>
      </c>
      <c r="AE11" s="73">
        <v>19041.766018425726</v>
      </c>
      <c r="AF11" s="73">
        <v>18405.248448580398</v>
      </c>
      <c r="AG11" s="43">
        <f>ROUND(SUM(I11:AF11)*H11,2)</f>
        <v>2191279.89</v>
      </c>
      <c r="AJ11" s="74"/>
      <c r="AK11" s="75"/>
    </row>
    <row r="12" spans="1:37" ht="14">
      <c r="A12" s="66"/>
      <c r="E12" s="85"/>
      <c r="F12" s="80"/>
      <c r="G12" s="45" t="s">
        <v>62</v>
      </c>
      <c r="H12" s="45">
        <v>2</v>
      </c>
      <c r="I12" s="73">
        <v>18909.920076826471</v>
      </c>
      <c r="J12" s="73">
        <v>18479.675959620119</v>
      </c>
      <c r="K12" s="73">
        <v>18159.391634760912</v>
      </c>
      <c r="L12" s="73">
        <v>17970.325386883491</v>
      </c>
      <c r="M12" s="73">
        <v>17839.433790203857</v>
      </c>
      <c r="N12" s="73">
        <v>17448.346169894652</v>
      </c>
      <c r="O12" s="73">
        <v>16910.327457954318</v>
      </c>
      <c r="P12" s="73">
        <v>16262.753644874454</v>
      </c>
      <c r="Q12" s="73">
        <v>16016.523016380024</v>
      </c>
      <c r="R12" s="73">
        <v>15890.483439911037</v>
      </c>
      <c r="S12" s="73">
        <v>16427.527076974777</v>
      </c>
      <c r="T12" s="73">
        <v>16954.996270378571</v>
      </c>
      <c r="U12" s="73">
        <v>17246.252286787781</v>
      </c>
      <c r="V12" s="73">
        <v>17641.825679312249</v>
      </c>
      <c r="W12" s="73">
        <v>18256.597920763747</v>
      </c>
      <c r="X12" s="73">
        <v>19396.800829018415</v>
      </c>
      <c r="Y12" s="73">
        <v>20712.368802658646</v>
      </c>
      <c r="Z12" s="73">
        <v>22274.132373564844</v>
      </c>
      <c r="AA12" s="73">
        <v>22368.793897295254</v>
      </c>
      <c r="AB12" s="73">
        <v>22178.341652309049</v>
      </c>
      <c r="AC12" s="73">
        <v>21097.196530840927</v>
      </c>
      <c r="AD12" s="73">
        <v>19976.148432033253</v>
      </c>
      <c r="AE12" s="73">
        <v>19034.91973514048</v>
      </c>
      <c r="AF12" s="73">
        <v>18397.799536903876</v>
      </c>
      <c r="AG12" s="46">
        <f>ROUND(SUM(I12:AF12)*H12,2)</f>
        <v>891701.76000000001</v>
      </c>
      <c r="AJ12" s="74"/>
      <c r="AK12" s="75"/>
    </row>
    <row r="13" spans="1:37" ht="15" thickBot="1">
      <c r="A13" s="66"/>
      <c r="E13" s="85"/>
      <c r="F13" s="81"/>
      <c r="G13" s="47" t="s">
        <v>10</v>
      </c>
      <c r="H13" s="47">
        <f>+SUM(H9:H12)</f>
        <v>31</v>
      </c>
      <c r="I13" s="48">
        <f t="shared" ref="I13:AF13" si="0">+SUMPRODUCT(I9:I12,$H9:$H12)</f>
        <v>647987.65914375777</v>
      </c>
      <c r="J13" s="48">
        <f t="shared" si="0"/>
        <v>632319.35077643418</v>
      </c>
      <c r="K13" s="48">
        <f t="shared" si="0"/>
        <v>622016.29276819457</v>
      </c>
      <c r="L13" s="48">
        <f t="shared" si="0"/>
        <v>619110.7918985195</v>
      </c>
      <c r="M13" s="48">
        <f t="shared" si="0"/>
        <v>618216.76178350463</v>
      </c>
      <c r="N13" s="48">
        <f t="shared" si="0"/>
        <v>628562.40410136315</v>
      </c>
      <c r="O13" s="48">
        <f t="shared" si="0"/>
        <v>663838.47384712787</v>
      </c>
      <c r="P13" s="48">
        <f t="shared" si="0"/>
        <v>696542.23989226262</v>
      </c>
      <c r="Q13" s="48">
        <f t="shared" si="0"/>
        <v>722099.66863663681</v>
      </c>
      <c r="R13" s="48">
        <f t="shared" si="0"/>
        <v>727810.45240535086</v>
      </c>
      <c r="S13" s="48">
        <f t="shared" si="0"/>
        <v>754370.42767139373</v>
      </c>
      <c r="T13" s="48">
        <f t="shared" si="0"/>
        <v>770620.33983957616</v>
      </c>
      <c r="U13" s="48">
        <f t="shared" si="0"/>
        <v>759204.8686585261</v>
      </c>
      <c r="V13" s="48">
        <f t="shared" si="0"/>
        <v>780652.89657592168</v>
      </c>
      <c r="W13" s="48">
        <f t="shared" si="0"/>
        <v>815093.08314251574</v>
      </c>
      <c r="X13" s="48">
        <f t="shared" si="0"/>
        <v>846800.00452634017</v>
      </c>
      <c r="Y13" s="48">
        <f t="shared" si="0"/>
        <v>873074.89999819617</v>
      </c>
      <c r="Z13" s="48">
        <f t="shared" si="0"/>
        <v>884069.70910233632</v>
      </c>
      <c r="AA13" s="48">
        <f t="shared" si="0"/>
        <v>858066.71755437891</v>
      </c>
      <c r="AB13" s="48">
        <f t="shared" si="0"/>
        <v>835007.7759801466</v>
      </c>
      <c r="AC13" s="48">
        <f t="shared" si="0"/>
        <v>791622.55907463212</v>
      </c>
      <c r="AD13" s="48">
        <f t="shared" si="0"/>
        <v>738247.54499625438</v>
      </c>
      <c r="AE13" s="48">
        <f t="shared" si="0"/>
        <v>689103.83802212554</v>
      </c>
      <c r="AF13" s="48">
        <f t="shared" si="0"/>
        <v>663934.85542102274</v>
      </c>
      <c r="AG13" s="49">
        <f>SUM(I13:AF13)</f>
        <v>17638373.615816515</v>
      </c>
    </row>
    <row r="14" spans="1:37" ht="14">
      <c r="A14" s="66"/>
      <c r="E14" s="84">
        <v>46784</v>
      </c>
      <c r="F14" s="79">
        <f>+AG18</f>
        <v>16702855.152226487</v>
      </c>
      <c r="G14" s="40" t="s">
        <v>60</v>
      </c>
      <c r="H14" s="40">
        <v>21</v>
      </c>
      <c r="I14" s="73">
        <v>21328.865028067266</v>
      </c>
      <c r="J14" s="73">
        <v>20822.215627500984</v>
      </c>
      <c r="K14" s="73">
        <v>20487.938015914515</v>
      </c>
      <c r="L14" s="73">
        <v>20428.704014111358</v>
      </c>
      <c r="M14" s="73">
        <v>20422.68359976136</v>
      </c>
      <c r="N14" s="73">
        <v>20957.238407749515</v>
      </c>
      <c r="O14" s="73">
        <v>22661.259004426676</v>
      </c>
      <c r="P14" s="73">
        <v>24375.694902561278</v>
      </c>
      <c r="Q14" s="73">
        <v>25611.80707539514</v>
      </c>
      <c r="R14" s="73">
        <v>25889.695765107299</v>
      </c>
      <c r="S14" s="73">
        <v>26861.315845087011</v>
      </c>
      <c r="T14" s="73">
        <v>27390.295122298885</v>
      </c>
      <c r="U14" s="73">
        <v>26811.543603986862</v>
      </c>
      <c r="V14" s="73">
        <v>27725.041474590886</v>
      </c>
      <c r="W14" s="73">
        <v>29173.148053342076</v>
      </c>
      <c r="X14" s="73">
        <v>30225.423036072636</v>
      </c>
      <c r="Y14" s="73">
        <v>30865.030541444135</v>
      </c>
      <c r="Z14" s="73">
        <v>30684.90979793288</v>
      </c>
      <c r="AA14" s="73">
        <v>29401.087555471862</v>
      </c>
      <c r="AB14" s="73">
        <v>28447.647413241139</v>
      </c>
      <c r="AC14" s="73">
        <v>26865.44397309855</v>
      </c>
      <c r="AD14" s="73">
        <v>24955.74312661216</v>
      </c>
      <c r="AE14" s="73">
        <v>23164.003605313606</v>
      </c>
      <c r="AF14" s="73">
        <v>22319.237660793846</v>
      </c>
      <c r="AG14" s="41">
        <f>+SUM(I14:AF14)*H14</f>
        <v>12765395.417247521</v>
      </c>
      <c r="AJ14" s="74"/>
    </row>
    <row r="15" spans="1:37" ht="14">
      <c r="A15" s="66"/>
      <c r="E15" s="85">
        <f t="shared" ref="E15:E18" si="1">+E14</f>
        <v>46784</v>
      </c>
      <c r="F15" s="80"/>
      <c r="G15" s="42" t="s">
        <v>63</v>
      </c>
      <c r="H15" s="42">
        <v>4</v>
      </c>
      <c r="I15" s="73">
        <v>21249.455039214543</v>
      </c>
      <c r="J15" s="73">
        <v>20670.050382178415</v>
      </c>
      <c r="K15" s="73">
        <v>20365.847183326925</v>
      </c>
      <c r="L15" s="73">
        <v>20299.220972587475</v>
      </c>
      <c r="M15" s="73">
        <v>20257.939633819915</v>
      </c>
      <c r="N15" s="73">
        <v>20485.172181758237</v>
      </c>
      <c r="O15" s="73">
        <v>21418.372660050383</v>
      </c>
      <c r="P15" s="73">
        <v>22171.641729721876</v>
      </c>
      <c r="Q15" s="73">
        <v>22793.677128637242</v>
      </c>
      <c r="R15" s="73">
        <v>23001.778570800536</v>
      </c>
      <c r="S15" s="73">
        <v>23769.809666516012</v>
      </c>
      <c r="T15" s="73">
        <v>24025.186274298638</v>
      </c>
      <c r="U15" s="73">
        <v>23475.349225363563</v>
      </c>
      <c r="V15" s="73">
        <v>23551.280711307892</v>
      </c>
      <c r="W15" s="73">
        <v>23855.537321514461</v>
      </c>
      <c r="X15" s="73">
        <v>24604.603372866899</v>
      </c>
      <c r="Y15" s="73">
        <v>25558.266618131674</v>
      </c>
      <c r="Z15" s="73">
        <v>26599.69927901655</v>
      </c>
      <c r="AA15" s="73">
        <v>26370.92689270767</v>
      </c>
      <c r="AB15" s="73">
        <v>25912.738307602114</v>
      </c>
      <c r="AC15" s="73">
        <v>24817.569466043369</v>
      </c>
      <c r="AD15" s="73">
        <v>23043.519246049393</v>
      </c>
      <c r="AE15" s="73">
        <v>21466.209555932131</v>
      </c>
      <c r="AF15" s="73">
        <v>20565.555427899602</v>
      </c>
      <c r="AG15" s="43">
        <f>+SUM(I15:AF15)*H15</f>
        <v>2201317.6273893816</v>
      </c>
      <c r="AJ15" s="74"/>
      <c r="AK15" s="75"/>
    </row>
    <row r="16" spans="1:37" ht="14">
      <c r="A16" s="66"/>
      <c r="E16" s="85">
        <f t="shared" si="1"/>
        <v>46784</v>
      </c>
      <c r="F16" s="80"/>
      <c r="G16" s="44" t="s">
        <v>61</v>
      </c>
      <c r="H16" s="44">
        <v>4</v>
      </c>
      <c r="I16" s="73">
        <v>18321.519827023538</v>
      </c>
      <c r="J16" s="73">
        <v>17882.077356179205</v>
      </c>
      <c r="K16" s="73">
        <v>17521.958273504086</v>
      </c>
      <c r="L16" s="73">
        <v>17323.959506463892</v>
      </c>
      <c r="M16" s="73">
        <v>17205.718625765359</v>
      </c>
      <c r="N16" s="73">
        <v>17043.733774995315</v>
      </c>
      <c r="O16" s="73">
        <v>16530.402564386975</v>
      </c>
      <c r="P16" s="73">
        <v>15723.529442159635</v>
      </c>
      <c r="Q16" s="73">
        <v>15348.181784423005</v>
      </c>
      <c r="R16" s="73">
        <v>15183.855249746666</v>
      </c>
      <c r="S16" s="73">
        <v>15654.168371946756</v>
      </c>
      <c r="T16" s="73">
        <v>16325.396063724414</v>
      </c>
      <c r="U16" s="73">
        <v>16719.051752772855</v>
      </c>
      <c r="V16" s="73">
        <v>17166.87921502065</v>
      </c>
      <c r="W16" s="73">
        <v>17766.541275048097</v>
      </c>
      <c r="X16" s="73">
        <v>18834.005220188345</v>
      </c>
      <c r="Y16" s="73">
        <v>20247.037812670322</v>
      </c>
      <c r="Z16" s="73">
        <v>21781.702941766478</v>
      </c>
      <c r="AA16" s="73">
        <v>21965.412546936488</v>
      </c>
      <c r="AB16" s="73">
        <v>21757.839741474123</v>
      </c>
      <c r="AC16" s="73">
        <v>20802.381920542641</v>
      </c>
      <c r="AD16" s="73">
        <v>19782.238869995639</v>
      </c>
      <c r="AE16" s="73">
        <v>18888.64218578691</v>
      </c>
      <c r="AF16" s="73">
        <v>18259.292574875031</v>
      </c>
      <c r="AG16" s="43">
        <f>+SUM(I16:AF16)*H16</f>
        <v>1736142.1075895859</v>
      </c>
      <c r="AJ16" s="74"/>
      <c r="AK16" s="75"/>
    </row>
    <row r="17" spans="1:37" ht="14">
      <c r="A17" s="66"/>
      <c r="E17" s="85">
        <f t="shared" si="1"/>
        <v>46784</v>
      </c>
      <c r="F17" s="80"/>
      <c r="G17" s="45" t="s">
        <v>62</v>
      </c>
      <c r="H17" s="45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46">
        <f>+SUM(I17:AF17)*H17</f>
        <v>0</v>
      </c>
      <c r="AJ17" s="74"/>
      <c r="AK17" s="75"/>
    </row>
    <row r="18" spans="1:37" ht="15" thickBot="1">
      <c r="A18" s="66"/>
      <c r="E18" s="85">
        <f t="shared" si="1"/>
        <v>46784</v>
      </c>
      <c r="F18" s="81"/>
      <c r="G18" s="47" t="s">
        <v>10</v>
      </c>
      <c r="H18" s="47">
        <f>+SUM(H14:H17)</f>
        <v>29</v>
      </c>
      <c r="I18" s="48">
        <f t="shared" ref="I18:AF18" si="2">+SUMPRODUCT(I14:I17,$H14:$H17)</f>
        <v>606190.06505436485</v>
      </c>
      <c r="J18" s="48">
        <f t="shared" si="2"/>
        <v>591475.03913095116</v>
      </c>
      <c r="K18" s="48">
        <f t="shared" si="2"/>
        <v>581797.92016152886</v>
      </c>
      <c r="L18" s="48">
        <f t="shared" si="2"/>
        <v>579495.50621254393</v>
      </c>
      <c r="M18" s="48">
        <f t="shared" si="2"/>
        <v>578730.98863332963</v>
      </c>
      <c r="N18" s="48">
        <f t="shared" si="2"/>
        <v>590217.63038975408</v>
      </c>
      <c r="O18" s="48">
        <f t="shared" si="2"/>
        <v>627681.53999070963</v>
      </c>
      <c r="P18" s="48">
        <f t="shared" si="2"/>
        <v>663470.27764131292</v>
      </c>
      <c r="Q18" s="48">
        <f t="shared" si="2"/>
        <v>690415.38423553889</v>
      </c>
      <c r="R18" s="48">
        <f t="shared" si="2"/>
        <v>696426.14634944208</v>
      </c>
      <c r="S18" s="48">
        <f t="shared" si="2"/>
        <v>721783.54490067821</v>
      </c>
      <c r="T18" s="48">
        <f t="shared" si="2"/>
        <v>736598.52692036878</v>
      </c>
      <c r="U18" s="48">
        <f t="shared" si="2"/>
        <v>723820.0195962697</v>
      </c>
      <c r="V18" s="48">
        <f t="shared" si="2"/>
        <v>745098.51067172282</v>
      </c>
      <c r="W18" s="48">
        <f t="shared" si="2"/>
        <v>779124.42350643384</v>
      </c>
      <c r="X18" s="48">
        <f t="shared" si="2"/>
        <v>808488.31812974636</v>
      </c>
      <c r="Y18" s="48">
        <f t="shared" si="2"/>
        <v>831386.85909353488</v>
      </c>
      <c r="Z18" s="48">
        <f t="shared" si="2"/>
        <v>837908.7146397226</v>
      </c>
      <c r="AA18" s="48">
        <f t="shared" si="2"/>
        <v>810768.19642348576</v>
      </c>
      <c r="AB18" s="48">
        <f t="shared" si="2"/>
        <v>788082.90787436895</v>
      </c>
      <c r="AC18" s="48">
        <f t="shared" si="2"/>
        <v>746654.12898141355</v>
      </c>
      <c r="AD18" s="48">
        <f t="shared" si="2"/>
        <v>695373.63812303543</v>
      </c>
      <c r="AE18" s="48">
        <f t="shared" si="2"/>
        <v>647863.48267846194</v>
      </c>
      <c r="AF18" s="48">
        <f t="shared" si="2"/>
        <v>624003.38288776926</v>
      </c>
      <c r="AG18" s="49">
        <f>SUM(I18:AF18)</f>
        <v>16702855.152226487</v>
      </c>
    </row>
    <row r="19" spans="1:37" ht="14">
      <c r="A19" s="66"/>
      <c r="E19" s="84">
        <v>46813</v>
      </c>
      <c r="F19" s="79">
        <f t="shared" ref="F19" si="3">+AG23</f>
        <v>17698009.054015383</v>
      </c>
      <c r="G19" s="40" t="s">
        <v>60</v>
      </c>
      <c r="H19" s="40">
        <v>22</v>
      </c>
      <c r="I19" s="73">
        <v>21284.094279452082</v>
      </c>
      <c r="J19" s="73">
        <v>20775.741230503554</v>
      </c>
      <c r="K19" s="73">
        <v>20438.864960926239</v>
      </c>
      <c r="L19" s="73">
        <v>20378.170514991463</v>
      </c>
      <c r="M19" s="73">
        <v>20365.260487733936</v>
      </c>
      <c r="N19" s="73">
        <v>20885.428826299281</v>
      </c>
      <c r="O19" s="73">
        <v>22571.251235611995</v>
      </c>
      <c r="P19" s="73">
        <v>24288.218262983079</v>
      </c>
      <c r="Q19" s="73">
        <v>25527.709783259801</v>
      </c>
      <c r="R19" s="73">
        <v>25812.498909972041</v>
      </c>
      <c r="S19" s="73">
        <v>26778.338673624268</v>
      </c>
      <c r="T19" s="73">
        <v>27306.153254806533</v>
      </c>
      <c r="U19" s="73">
        <v>26725.373258550128</v>
      </c>
      <c r="V19" s="73">
        <v>27644.8185423256</v>
      </c>
      <c r="W19" s="73">
        <v>29095.266829843247</v>
      </c>
      <c r="X19" s="73">
        <v>30144.983349297425</v>
      </c>
      <c r="Y19" s="73">
        <v>30781.662437290219</v>
      </c>
      <c r="Z19" s="73">
        <v>30599.392673486171</v>
      </c>
      <c r="AA19" s="73">
        <v>29317.900321387569</v>
      </c>
      <c r="AB19" s="73">
        <v>28376.368042038826</v>
      </c>
      <c r="AC19" s="73">
        <v>26796.048756045195</v>
      </c>
      <c r="AD19" s="73">
        <v>24894.580998804362</v>
      </c>
      <c r="AE19" s="73">
        <v>23111.610476625625</v>
      </c>
      <c r="AF19" s="73">
        <v>22267.950590009768</v>
      </c>
      <c r="AG19" s="41">
        <f>+SUM(I19:AF19)*H19</f>
        <v>13335689.107309105</v>
      </c>
      <c r="AJ19" s="74"/>
    </row>
    <row r="20" spans="1:37" ht="14">
      <c r="A20" s="66"/>
      <c r="E20" s="85">
        <f t="shared" ref="E20:E23" si="4">+E19</f>
        <v>46813</v>
      </c>
      <c r="F20" s="80"/>
      <c r="G20" s="42" t="s">
        <v>63</v>
      </c>
      <c r="H20" s="42">
        <v>4</v>
      </c>
      <c r="I20" s="73">
        <v>21229.626918931735</v>
      </c>
      <c r="J20" s="73">
        <v>20650.401878742323</v>
      </c>
      <c r="K20" s="73">
        <v>20348.506273341663</v>
      </c>
      <c r="L20" s="73">
        <v>20283.533599100647</v>
      </c>
      <c r="M20" s="73">
        <v>20237.365235048859</v>
      </c>
      <c r="N20" s="73">
        <v>20453.126355947377</v>
      </c>
      <c r="O20" s="73">
        <v>21378.20582112671</v>
      </c>
      <c r="P20" s="73">
        <v>22136.911990809309</v>
      </c>
      <c r="Q20" s="73">
        <v>22761.944108182637</v>
      </c>
      <c r="R20" s="73">
        <v>22980.257430169109</v>
      </c>
      <c r="S20" s="73">
        <v>23745.883760930876</v>
      </c>
      <c r="T20" s="73">
        <v>24005.7954028024</v>
      </c>
      <c r="U20" s="73">
        <v>23455.307539881873</v>
      </c>
      <c r="V20" s="73">
        <v>23539.830178116605</v>
      </c>
      <c r="W20" s="73">
        <v>23840.060221903543</v>
      </c>
      <c r="X20" s="73">
        <v>24582.473717180284</v>
      </c>
      <c r="Y20" s="73">
        <v>25533.01335122302</v>
      </c>
      <c r="Z20" s="73">
        <v>26572.077848038844</v>
      </c>
      <c r="AA20" s="73">
        <v>26344.258991562547</v>
      </c>
      <c r="AB20" s="73">
        <v>25897.972056871258</v>
      </c>
      <c r="AC20" s="73">
        <v>24801.629276501408</v>
      </c>
      <c r="AD20" s="73">
        <v>23026.447022388373</v>
      </c>
      <c r="AE20" s="73">
        <v>21447.90511086383</v>
      </c>
      <c r="AF20" s="73">
        <v>20549.96133442584</v>
      </c>
      <c r="AG20" s="43">
        <f>+SUM(I20:AF20)*H20</f>
        <v>2199209.9816963645</v>
      </c>
      <c r="AJ20" s="74"/>
      <c r="AK20" s="75"/>
    </row>
    <row r="21" spans="1:37" ht="14">
      <c r="A21" s="66"/>
      <c r="E21" s="85">
        <f t="shared" si="4"/>
        <v>46813</v>
      </c>
      <c r="F21" s="80"/>
      <c r="G21" s="44" t="s">
        <v>61</v>
      </c>
      <c r="H21" s="44">
        <v>4</v>
      </c>
      <c r="I21" s="73">
        <v>18560.078701335842</v>
      </c>
      <c r="J21" s="73">
        <v>18105.319800992893</v>
      </c>
      <c r="K21" s="73">
        <v>17737.200120619833</v>
      </c>
      <c r="L21" s="73">
        <v>17539.211197277757</v>
      </c>
      <c r="M21" s="73">
        <v>17376.718943193973</v>
      </c>
      <c r="N21" s="73">
        <v>17029.671444696203</v>
      </c>
      <c r="O21" s="73">
        <v>16355.980117390016</v>
      </c>
      <c r="P21" s="73">
        <v>15543.793579296242</v>
      </c>
      <c r="Q21" s="73">
        <v>15208.572757655162</v>
      </c>
      <c r="R21" s="73">
        <v>15054.772048013207</v>
      </c>
      <c r="S21" s="73">
        <v>15549.757133307587</v>
      </c>
      <c r="T21" s="73">
        <v>16177.910277807592</v>
      </c>
      <c r="U21" s="73">
        <v>16554.838159968876</v>
      </c>
      <c r="V21" s="73">
        <v>17002.276241387608</v>
      </c>
      <c r="W21" s="73">
        <v>17580.626728562111</v>
      </c>
      <c r="X21" s="73">
        <v>18663.330326473842</v>
      </c>
      <c r="Y21" s="73">
        <v>20020.090307072245</v>
      </c>
      <c r="Z21" s="73">
        <v>21635.051532658184</v>
      </c>
      <c r="AA21" s="73">
        <v>21848.006571522012</v>
      </c>
      <c r="AB21" s="73">
        <v>21683.267289677151</v>
      </c>
      <c r="AC21" s="73">
        <v>20669.113372361673</v>
      </c>
      <c r="AD21" s="73">
        <v>19638.101635366813</v>
      </c>
      <c r="AE21" s="73">
        <v>18724.999883530156</v>
      </c>
      <c r="AF21" s="73">
        <v>18096.264275725465</v>
      </c>
      <c r="AG21" s="43">
        <f>+SUM(I21:AF21)*H21</f>
        <v>1729419.80978357</v>
      </c>
      <c r="AJ21" s="74"/>
      <c r="AK21" s="75"/>
    </row>
    <row r="22" spans="1:37" ht="14">
      <c r="A22" s="66"/>
      <c r="E22" s="85">
        <f t="shared" si="4"/>
        <v>46813</v>
      </c>
      <c r="F22" s="80"/>
      <c r="G22" s="45" t="s">
        <v>62</v>
      </c>
      <c r="H22" s="45">
        <v>1</v>
      </c>
      <c r="I22" s="73">
        <v>18568.611112238697</v>
      </c>
      <c r="J22" s="73">
        <v>18143.327816447636</v>
      </c>
      <c r="K22" s="73">
        <v>17813.707899094923</v>
      </c>
      <c r="L22" s="73">
        <v>17632.063830420127</v>
      </c>
      <c r="M22" s="73">
        <v>17477.900312135251</v>
      </c>
      <c r="N22" s="73">
        <v>17012.027393721077</v>
      </c>
      <c r="O22" s="73">
        <v>16380.8861509456</v>
      </c>
      <c r="P22" s="73">
        <v>15709.837645139576</v>
      </c>
      <c r="Q22" s="73">
        <v>15464.247511677693</v>
      </c>
      <c r="R22" s="73">
        <v>15337.833965073609</v>
      </c>
      <c r="S22" s="73">
        <v>15872.220342943114</v>
      </c>
      <c r="T22" s="73">
        <v>16370.938467015778</v>
      </c>
      <c r="U22" s="73">
        <v>16654.850603944127</v>
      </c>
      <c r="V22" s="73">
        <v>17033.388201499823</v>
      </c>
      <c r="W22" s="73">
        <v>17629.080615930787</v>
      </c>
      <c r="X22" s="73">
        <v>18764.528861124367</v>
      </c>
      <c r="Y22" s="73">
        <v>20050.28409770006</v>
      </c>
      <c r="Z22" s="73">
        <v>21688.224566071371</v>
      </c>
      <c r="AA22" s="73">
        <v>21781.349260133502</v>
      </c>
      <c r="AB22" s="73">
        <v>21675.221696859684</v>
      </c>
      <c r="AC22" s="73">
        <v>20599.919830304934</v>
      </c>
      <c r="AD22" s="73">
        <v>19501.520729759955</v>
      </c>
      <c r="AE22" s="73">
        <v>18571.671152017854</v>
      </c>
      <c r="AF22" s="73">
        <v>17956.513164142441</v>
      </c>
      <c r="AG22" s="46">
        <f>+SUM(I22:AF22)*H22</f>
        <v>433690.15522634191</v>
      </c>
      <c r="AJ22" s="74"/>
      <c r="AK22" s="75"/>
    </row>
    <row r="23" spans="1:37" ht="15" thickBot="1">
      <c r="A23" s="66"/>
      <c r="E23" s="85">
        <f t="shared" si="4"/>
        <v>46813</v>
      </c>
      <c r="F23" s="81"/>
      <c r="G23" s="47" t="s">
        <v>10</v>
      </c>
      <c r="H23" s="47">
        <f>+SUM(H19:H22)</f>
        <v>31</v>
      </c>
      <c r="I23" s="48">
        <f t="shared" ref="I23:AF23" si="5">+SUMPRODUCT(I19:I22,$H19:$H22)</f>
        <v>645977.50774125487</v>
      </c>
      <c r="J23" s="48">
        <f t="shared" si="5"/>
        <v>630232.52160646673</v>
      </c>
      <c r="K23" s="48">
        <f t="shared" si="5"/>
        <v>619811.56261531811</v>
      </c>
      <c r="L23" s="48">
        <f t="shared" si="5"/>
        <v>617242.79434574605</v>
      </c>
      <c r="M23" s="48">
        <f t="shared" si="5"/>
        <v>615969.96775525308</v>
      </c>
      <c r="N23" s="48">
        <f t="shared" si="5"/>
        <v>626422.65277487959</v>
      </c>
      <c r="O23" s="48">
        <f t="shared" si="5"/>
        <v>663885.15708847635</v>
      </c>
      <c r="P23" s="48">
        <f t="shared" si="5"/>
        <v>700773.46171118948</v>
      </c>
      <c r="Q23" s="48">
        <f t="shared" si="5"/>
        <v>728955.93020674447</v>
      </c>
      <c r="R23" s="48">
        <f t="shared" si="5"/>
        <v>735352.92789718776</v>
      </c>
      <c r="S23" s="48">
        <f t="shared" si="5"/>
        <v>762178.23473963083</v>
      </c>
      <c r="T23" s="48">
        <f t="shared" si="5"/>
        <v>777841.13279519952</v>
      </c>
      <c r="U23" s="48">
        <f t="shared" si="5"/>
        <v>764653.64509144996</v>
      </c>
      <c r="V23" s="48">
        <f t="shared" si="5"/>
        <v>787387.82181067986</v>
      </c>
      <c r="W23" s="48">
        <f t="shared" si="5"/>
        <v>823407.69867434492</v>
      </c>
      <c r="X23" s="48">
        <f t="shared" si="5"/>
        <v>854937.37872028421</v>
      </c>
      <c r="Y23" s="48">
        <f t="shared" si="5"/>
        <v>879459.27235126588</v>
      </c>
      <c r="Z23" s="48">
        <f t="shared" si="5"/>
        <v>887703.38090555533</v>
      </c>
      <c r="AA23" s="48">
        <f t="shared" si="5"/>
        <v>859544.21858299826</v>
      </c>
      <c r="AB23" s="48">
        <f t="shared" si="5"/>
        <v>836280.27600790747</v>
      </c>
      <c r="AC23" s="48">
        <f t="shared" si="5"/>
        <v>791995.96305875154</v>
      </c>
      <c r="AD23" s="48">
        <f t="shared" si="5"/>
        <v>737840.49733447668</v>
      </c>
      <c r="AE23" s="48">
        <f t="shared" si="5"/>
        <v>687718.72161535767</v>
      </c>
      <c r="AF23" s="48">
        <f t="shared" si="5"/>
        <v>662436.32858496264</v>
      </c>
      <c r="AG23" s="49">
        <f>SUM(I23:AF23)</f>
        <v>17698009.054015383</v>
      </c>
    </row>
    <row r="24" spans="1:37" ht="14">
      <c r="A24" s="66"/>
      <c r="E24" s="84">
        <v>46844</v>
      </c>
      <c r="F24" s="79">
        <f t="shared" ref="F24" si="6">+AG28</f>
        <v>16890741.60360175</v>
      </c>
      <c r="G24" s="40" t="s">
        <v>60</v>
      </c>
      <c r="H24" s="40">
        <v>18</v>
      </c>
      <c r="I24" s="73">
        <v>21541.059568131615</v>
      </c>
      <c r="J24" s="73">
        <v>21028.766690852652</v>
      </c>
      <c r="K24" s="73">
        <v>20687.458465898635</v>
      </c>
      <c r="L24" s="73">
        <v>20621.990912918227</v>
      </c>
      <c r="M24" s="73">
        <v>20609.85053281299</v>
      </c>
      <c r="N24" s="73">
        <v>21136.289411676516</v>
      </c>
      <c r="O24" s="73">
        <v>22851.674273724566</v>
      </c>
      <c r="P24" s="73">
        <v>24605.513732326908</v>
      </c>
      <c r="Q24" s="73">
        <v>25879.900307189164</v>
      </c>
      <c r="R24" s="73">
        <v>26191.374459752467</v>
      </c>
      <c r="S24" s="73">
        <v>27175.342035350684</v>
      </c>
      <c r="T24" s="73">
        <v>27715.365736615724</v>
      </c>
      <c r="U24" s="73">
        <v>27122.860940661925</v>
      </c>
      <c r="V24" s="73">
        <v>28045.528065636041</v>
      </c>
      <c r="W24" s="73">
        <v>29500.205448920897</v>
      </c>
      <c r="X24" s="73">
        <v>30545.096588889501</v>
      </c>
      <c r="Y24" s="73">
        <v>31176.140337408979</v>
      </c>
      <c r="Z24" s="73">
        <v>30976.212843892914</v>
      </c>
      <c r="AA24" s="73">
        <v>29668.591522053277</v>
      </c>
      <c r="AB24" s="73">
        <v>28716.631310623736</v>
      </c>
      <c r="AC24" s="73">
        <v>27115.958482526414</v>
      </c>
      <c r="AD24" s="73">
        <v>25193.867886423905</v>
      </c>
      <c r="AE24" s="73">
        <v>23393.209507825031</v>
      </c>
      <c r="AF24" s="73">
        <v>22541.68794493725</v>
      </c>
      <c r="AG24" s="41">
        <f>+SUM(I24:AF24)*H24</f>
        <v>11052730.386126902</v>
      </c>
      <c r="AJ24" s="74"/>
    </row>
    <row r="25" spans="1:37" ht="14">
      <c r="A25" s="66"/>
      <c r="E25" s="85">
        <f t="shared" ref="E25:E28" si="7">+E24</f>
        <v>46844</v>
      </c>
      <c r="F25" s="80"/>
      <c r="G25" s="42" t="s">
        <v>63</v>
      </c>
      <c r="H25" s="42">
        <v>5</v>
      </c>
      <c r="I25" s="73">
        <v>21448.921410125353</v>
      </c>
      <c r="J25" s="73">
        <v>20864.673644979495</v>
      </c>
      <c r="K25" s="73">
        <v>20558.371437520043</v>
      </c>
      <c r="L25" s="73">
        <v>20490.329754027513</v>
      </c>
      <c r="M25" s="73">
        <v>20443.895437127579</v>
      </c>
      <c r="N25" s="73">
        <v>20659.203940611766</v>
      </c>
      <c r="O25" s="73">
        <v>21597.349249470459</v>
      </c>
      <c r="P25" s="73">
        <v>22377.6083744143</v>
      </c>
      <c r="Q25" s="73">
        <v>23023.782000577299</v>
      </c>
      <c r="R25" s="73">
        <v>23262.852028905487</v>
      </c>
      <c r="S25" s="73">
        <v>24044.700608646112</v>
      </c>
      <c r="T25" s="73">
        <v>24310.794827441307</v>
      </c>
      <c r="U25" s="73">
        <v>23745.221803344786</v>
      </c>
      <c r="V25" s="73">
        <v>23825.720634533562</v>
      </c>
      <c r="W25" s="73">
        <v>24121.415392446343</v>
      </c>
      <c r="X25" s="73">
        <v>24856.702936224607</v>
      </c>
      <c r="Y25" s="73">
        <v>25803.287765592602</v>
      </c>
      <c r="Z25" s="73">
        <v>26834.907955996703</v>
      </c>
      <c r="AA25" s="73">
        <v>26602.204846135304</v>
      </c>
      <c r="AB25" s="73">
        <v>26147.000086972566</v>
      </c>
      <c r="AC25" s="73">
        <v>25032.173413609416</v>
      </c>
      <c r="AD25" s="73">
        <v>23234.605468535614</v>
      </c>
      <c r="AE25" s="73">
        <v>21635.468995265037</v>
      </c>
      <c r="AF25" s="73">
        <v>20732.797607346984</v>
      </c>
      <c r="AG25" s="43">
        <f>+SUM(I25:AF25)*H25</f>
        <v>2778269.9480992509</v>
      </c>
      <c r="AJ25" s="74"/>
      <c r="AK25" s="75"/>
    </row>
    <row r="26" spans="1:37" ht="14">
      <c r="A26" s="66"/>
      <c r="E26" s="85">
        <f t="shared" si="7"/>
        <v>46844</v>
      </c>
      <c r="F26" s="80"/>
      <c r="G26" s="44" t="s">
        <v>61</v>
      </c>
      <c r="H26" s="44">
        <v>5</v>
      </c>
      <c r="I26" s="73">
        <v>18515.067473649244</v>
      </c>
      <c r="J26" s="73">
        <v>18068.220587163836</v>
      </c>
      <c r="K26" s="73">
        <v>17696.375790922677</v>
      </c>
      <c r="L26" s="73">
        <v>17498.895285279876</v>
      </c>
      <c r="M26" s="73">
        <v>17377.519116135671</v>
      </c>
      <c r="N26" s="73">
        <v>17220.468311332719</v>
      </c>
      <c r="O26" s="73">
        <v>16695.74882298736</v>
      </c>
      <c r="P26" s="73">
        <v>15889.396779153642</v>
      </c>
      <c r="Q26" s="73">
        <v>15514.927875615365</v>
      </c>
      <c r="R26" s="73">
        <v>15361.462352597513</v>
      </c>
      <c r="S26" s="73">
        <v>15852.23515376354</v>
      </c>
      <c r="T26" s="73">
        <v>16540.319248331849</v>
      </c>
      <c r="U26" s="73">
        <v>16928.91528880853</v>
      </c>
      <c r="V26" s="73">
        <v>17370.949502018357</v>
      </c>
      <c r="W26" s="73">
        <v>17963.396949429243</v>
      </c>
      <c r="X26" s="73">
        <v>19028.155072696685</v>
      </c>
      <c r="Y26" s="73">
        <v>20435.360062448464</v>
      </c>
      <c r="Z26" s="73">
        <v>21980.274399890975</v>
      </c>
      <c r="AA26" s="73">
        <v>22155.401094941579</v>
      </c>
      <c r="AB26" s="73">
        <v>21952.251095482679</v>
      </c>
      <c r="AC26" s="73">
        <v>20981.118571832023</v>
      </c>
      <c r="AD26" s="73">
        <v>19960.033599188264</v>
      </c>
      <c r="AE26" s="73">
        <v>19058.244726078672</v>
      </c>
      <c r="AF26" s="73">
        <v>18431.339083895931</v>
      </c>
      <c r="AG26" s="43">
        <f>+SUM(I26:AF26)*H26</f>
        <v>2192380.3812182234</v>
      </c>
      <c r="AJ26" s="74"/>
      <c r="AK26" s="75"/>
    </row>
    <row r="27" spans="1:37" ht="14">
      <c r="A27" s="66"/>
      <c r="E27" s="85">
        <f t="shared" si="7"/>
        <v>46844</v>
      </c>
      <c r="F27" s="80"/>
      <c r="G27" s="45" t="s">
        <v>62</v>
      </c>
      <c r="H27" s="45">
        <v>2</v>
      </c>
      <c r="I27" s="73">
        <v>18568.208295575943</v>
      </c>
      <c r="J27" s="73">
        <v>18142.924999784875</v>
      </c>
      <c r="K27" s="73">
        <v>17813.299638963752</v>
      </c>
      <c r="L27" s="73">
        <v>17631.661013757373</v>
      </c>
      <c r="M27" s="73">
        <v>17477.497495472497</v>
      </c>
      <c r="N27" s="73">
        <v>17011.619133589906</v>
      </c>
      <c r="O27" s="73">
        <v>16380.483334282842</v>
      </c>
      <c r="P27" s="73">
        <v>15709.429385008405</v>
      </c>
      <c r="Q27" s="73">
        <v>15463.844695014935</v>
      </c>
      <c r="R27" s="73">
        <v>15337.425704942436</v>
      </c>
      <c r="S27" s="73">
        <v>15871.817526280358</v>
      </c>
      <c r="T27" s="73">
        <v>16370.535650353022</v>
      </c>
      <c r="U27" s="73">
        <v>16654.44778728137</v>
      </c>
      <c r="V27" s="73">
        <v>17032.979941368652</v>
      </c>
      <c r="W27" s="73">
        <v>17628.677799268033</v>
      </c>
      <c r="X27" s="73">
        <v>18764.126044461613</v>
      </c>
      <c r="Y27" s="73">
        <v>20049.881281037306</v>
      </c>
      <c r="Z27" s="73">
        <v>21687.821749408617</v>
      </c>
      <c r="AA27" s="73">
        <v>21780.946443470748</v>
      </c>
      <c r="AB27" s="73">
        <v>21674.818880196926</v>
      </c>
      <c r="AC27" s="73">
        <v>20599.511570173763</v>
      </c>
      <c r="AD27" s="73">
        <v>19501.117913097201</v>
      </c>
      <c r="AE27" s="73">
        <v>18571.262891886679</v>
      </c>
      <c r="AF27" s="73">
        <v>17956.10490401127</v>
      </c>
      <c r="AG27" s="46">
        <f>+SUM(I27:AF27)*H27</f>
        <v>867360.88815737725</v>
      </c>
      <c r="AJ27" s="74"/>
      <c r="AK27" s="75"/>
    </row>
    <row r="28" spans="1:37" ht="15" thickBot="1">
      <c r="A28" s="66"/>
      <c r="E28" s="85">
        <f t="shared" si="7"/>
        <v>46844</v>
      </c>
      <c r="F28" s="81"/>
      <c r="G28" s="47" t="s">
        <v>10</v>
      </c>
      <c r="H28" s="47">
        <f>+SUM(H24:H27)</f>
        <v>30</v>
      </c>
      <c r="I28" s="48">
        <f t="shared" ref="I28:AF28" si="8">+SUMPRODUCT(I24:I27,$H24:$H27)</f>
        <v>624695.43323639384</v>
      </c>
      <c r="J28" s="48">
        <f t="shared" si="8"/>
        <v>609468.12159563403</v>
      </c>
      <c r="K28" s="48">
        <f t="shared" si="8"/>
        <v>599274.58780631656</v>
      </c>
      <c r="L28" s="48">
        <f t="shared" si="8"/>
        <v>596405.28365657968</v>
      </c>
      <c r="M28" s="48">
        <f t="shared" si="8"/>
        <v>595039.37734789506</v>
      </c>
      <c r="N28" s="48">
        <f t="shared" si="8"/>
        <v>603874.80893707951</v>
      </c>
      <c r="O28" s="48">
        <f t="shared" si="8"/>
        <v>635556.59395789693</v>
      </c>
      <c r="P28" s="48">
        <f t="shared" si="8"/>
        <v>665653.13171974081</v>
      </c>
      <c r="Q28" s="48">
        <f t="shared" si="8"/>
        <v>689459.44430039811</v>
      </c>
      <c r="R28" s="48">
        <f t="shared" si="8"/>
        <v>695241.16359294427</v>
      </c>
      <c r="S28" s="48">
        <f t="shared" si="8"/>
        <v>720384.47050092125</v>
      </c>
      <c r="T28" s="48">
        <f t="shared" si="8"/>
        <v>735873.22493865481</v>
      </c>
      <c r="U28" s="48">
        <f t="shared" si="8"/>
        <v>724891.07796724397</v>
      </c>
      <c r="V28" s="48">
        <f t="shared" si="8"/>
        <v>744868.81574694556</v>
      </c>
      <c r="W28" s="48">
        <f t="shared" si="8"/>
        <v>776685.11538849026</v>
      </c>
      <c r="X28" s="48">
        <f t="shared" si="8"/>
        <v>806764.28073354077</v>
      </c>
      <c r="Y28" s="48">
        <f t="shared" si="8"/>
        <v>832463.52777564153</v>
      </c>
      <c r="Z28" s="48">
        <f t="shared" si="8"/>
        <v>845023.38646832807</v>
      </c>
      <c r="AA28" s="48">
        <f t="shared" si="8"/>
        <v>821384.56998928497</v>
      </c>
      <c r="AB28" s="48">
        <f t="shared" si="8"/>
        <v>800745.25726389734</v>
      </c>
      <c r="AC28" s="48">
        <f t="shared" si="8"/>
        <v>759352.73575303028</v>
      </c>
      <c r="AD28" s="48">
        <f t="shared" si="8"/>
        <v>708465.05312044406</v>
      </c>
      <c r="AE28" s="48">
        <f t="shared" si="8"/>
        <v>661688.86553134257</v>
      </c>
      <c r="AF28" s="48">
        <f t="shared" si="8"/>
        <v>637483.27627310762</v>
      </c>
      <c r="AG28" s="49">
        <f>SUM(I28:AF28)</f>
        <v>16890741.60360175</v>
      </c>
    </row>
    <row r="29" spans="1:37" ht="14">
      <c r="A29" s="66"/>
      <c r="E29" s="84">
        <v>46874</v>
      </c>
      <c r="F29" s="79">
        <f t="shared" ref="F29" si="9">+AG33</f>
        <v>17388735.42427199</v>
      </c>
      <c r="G29" s="40" t="s">
        <v>60</v>
      </c>
      <c r="H29" s="40">
        <v>21</v>
      </c>
      <c r="I29" s="73">
        <v>21105.015031573424</v>
      </c>
      <c r="J29" s="73">
        <v>20592.668615729715</v>
      </c>
      <c r="K29" s="73">
        <v>20250.70610849552</v>
      </c>
      <c r="L29" s="73">
        <v>20185.70451805519</v>
      </c>
      <c r="M29" s="73">
        <v>20167.287966428736</v>
      </c>
      <c r="N29" s="73">
        <v>20678.953257055062</v>
      </c>
      <c r="O29" s="73">
        <v>22367.806374627929</v>
      </c>
      <c r="P29" s="73">
        <v>24110.484296069077</v>
      </c>
      <c r="Q29" s="73">
        <v>25375.168280582948</v>
      </c>
      <c r="R29" s="73">
        <v>25682.973984523964</v>
      </c>
      <c r="S29" s="73">
        <v>26655.35185227777</v>
      </c>
      <c r="T29" s="73">
        <v>27189.938287469624</v>
      </c>
      <c r="U29" s="73">
        <v>26599.923579499697</v>
      </c>
      <c r="V29" s="73">
        <v>27526.588768019057</v>
      </c>
      <c r="W29" s="73">
        <v>28981.767511230828</v>
      </c>
      <c r="X29" s="73">
        <v>30026.181802104733</v>
      </c>
      <c r="Y29" s="73">
        <v>30656.721712493465</v>
      </c>
      <c r="Z29" s="73">
        <v>30461.326397079403</v>
      </c>
      <c r="AA29" s="73">
        <v>29165.193831432651</v>
      </c>
      <c r="AB29" s="73">
        <v>28227.363342901175</v>
      </c>
      <c r="AC29" s="73">
        <v>26635.70047702872</v>
      </c>
      <c r="AD29" s="73">
        <v>24728.237291589201</v>
      </c>
      <c r="AE29" s="73">
        <v>22941.610789069851</v>
      </c>
      <c r="AF29" s="73">
        <v>22093.905299354708</v>
      </c>
      <c r="AG29" s="41">
        <f>+SUM(I29:AF29)*H29</f>
        <v>12650538.166868541</v>
      </c>
      <c r="AJ29" s="74"/>
    </row>
    <row r="30" spans="1:37" ht="14">
      <c r="A30" s="66"/>
      <c r="E30" s="85">
        <f t="shared" ref="E30:E33" si="10">+E29</f>
        <v>46874</v>
      </c>
      <c r="F30" s="80"/>
      <c r="G30" s="42" t="s">
        <v>63</v>
      </c>
      <c r="H30" s="42">
        <v>4</v>
      </c>
      <c r="I30" s="73">
        <v>20980.389793466104</v>
      </c>
      <c r="J30" s="73">
        <v>20399.595014528451</v>
      </c>
      <c r="K30" s="73">
        <v>20098.710490827943</v>
      </c>
      <c r="L30" s="73">
        <v>20034.49012864444</v>
      </c>
      <c r="M30" s="73">
        <v>19982.808046283229</v>
      </c>
      <c r="N30" s="73">
        <v>20185.695322167066</v>
      </c>
      <c r="O30" s="73">
        <v>21106.377229150887</v>
      </c>
      <c r="P30" s="73">
        <v>21878.67755185311</v>
      </c>
      <c r="Q30" s="73">
        <v>22514.45774533126</v>
      </c>
      <c r="R30" s="73">
        <v>22751.395136033327</v>
      </c>
      <c r="S30" s="73">
        <v>23520.048404697231</v>
      </c>
      <c r="T30" s="73">
        <v>23787.162297739658</v>
      </c>
      <c r="U30" s="73">
        <v>23230.651654827387</v>
      </c>
      <c r="V30" s="73">
        <v>23323.281379982051</v>
      </c>
      <c r="W30" s="73">
        <v>23617.456369912692</v>
      </c>
      <c r="X30" s="73">
        <v>24349.989644191974</v>
      </c>
      <c r="Y30" s="73">
        <v>25295.674830631036</v>
      </c>
      <c r="Z30" s="73">
        <v>26329.503089604961</v>
      </c>
      <c r="AA30" s="73">
        <v>26101.026185126022</v>
      </c>
      <c r="AB30" s="73">
        <v>25664.790547916691</v>
      </c>
      <c r="AC30" s="73">
        <v>24560.648650171541</v>
      </c>
      <c r="AD30" s="73">
        <v>22776.344152627124</v>
      </c>
      <c r="AE30" s="73">
        <v>21189.205045720668</v>
      </c>
      <c r="AF30" s="73">
        <v>20292.597608977801</v>
      </c>
      <c r="AG30" s="43">
        <f>+SUM(I30:AF30)*H30</f>
        <v>2175883.9052816508</v>
      </c>
      <c r="AJ30" s="74"/>
      <c r="AK30" s="75"/>
    </row>
    <row r="31" spans="1:37" ht="14">
      <c r="A31" s="66"/>
      <c r="E31" s="85">
        <f t="shared" si="10"/>
        <v>46874</v>
      </c>
      <c r="F31" s="80"/>
      <c r="G31" s="44" t="s">
        <v>61</v>
      </c>
      <c r="H31" s="44">
        <v>4</v>
      </c>
      <c r="I31" s="73">
        <v>18081.951187800227</v>
      </c>
      <c r="J31" s="73">
        <v>17637.433286036165</v>
      </c>
      <c r="K31" s="73">
        <v>17262.409806971376</v>
      </c>
      <c r="L31" s="73">
        <v>17067.859053397464</v>
      </c>
      <c r="M31" s="73">
        <v>16946.301260827786</v>
      </c>
      <c r="N31" s="73">
        <v>16796.039919006322</v>
      </c>
      <c r="O31" s="73">
        <v>16266.336570002743</v>
      </c>
      <c r="P31" s="73">
        <v>15446.381714381887</v>
      </c>
      <c r="Q31" s="73">
        <v>15062.568473276498</v>
      </c>
      <c r="R31" s="73">
        <v>14904.651974088953</v>
      </c>
      <c r="S31" s="73">
        <v>15387.548523774045</v>
      </c>
      <c r="T31" s="73">
        <v>16073.519769926739</v>
      </c>
      <c r="U31" s="73">
        <v>16461.575987706245</v>
      </c>
      <c r="V31" s="73">
        <v>16899.984170308493</v>
      </c>
      <c r="W31" s="73">
        <v>17495.918032715912</v>
      </c>
      <c r="X31" s="73">
        <v>18559.769454974354</v>
      </c>
      <c r="Y31" s="73">
        <v>19967.049467224391</v>
      </c>
      <c r="Z31" s="73">
        <v>21520.592399349232</v>
      </c>
      <c r="AA31" s="73">
        <v>21688.637861069281</v>
      </c>
      <c r="AB31" s="73">
        <v>21498.925196358457</v>
      </c>
      <c r="AC31" s="73">
        <v>20537.494733314616</v>
      </c>
      <c r="AD31" s="73">
        <v>19530.000197417659</v>
      </c>
      <c r="AE31" s="73">
        <v>18633.156581727933</v>
      </c>
      <c r="AF31" s="73">
        <v>18012.371965237577</v>
      </c>
      <c r="AG31" s="43">
        <f>+SUM(I31:AF31)*H31</f>
        <v>1710953.9103475774</v>
      </c>
      <c r="AJ31" s="74"/>
      <c r="AK31" s="75"/>
    </row>
    <row r="32" spans="1:37" ht="14">
      <c r="A32" s="66"/>
      <c r="E32" s="85">
        <f t="shared" si="10"/>
        <v>46874</v>
      </c>
      <c r="F32" s="80"/>
      <c r="G32" s="45" t="s">
        <v>62</v>
      </c>
      <c r="H32" s="45">
        <v>2</v>
      </c>
      <c r="I32" s="73">
        <v>18274.706982235726</v>
      </c>
      <c r="J32" s="73">
        <v>17846.035500965641</v>
      </c>
      <c r="K32" s="73">
        <v>17510.296661141565</v>
      </c>
      <c r="L32" s="73">
        <v>17330.11485978878</v>
      </c>
      <c r="M32" s="73">
        <v>17166.488571726048</v>
      </c>
      <c r="N32" s="73">
        <v>16683.306740423846</v>
      </c>
      <c r="O32" s="73">
        <v>16009.313620256022</v>
      </c>
      <c r="P32" s="73">
        <v>15342.702327177389</v>
      </c>
      <c r="Q32" s="73">
        <v>15098.031394465617</v>
      </c>
      <c r="R32" s="73">
        <v>14980.894995951663</v>
      </c>
      <c r="S32" s="73">
        <v>15536.218325683449</v>
      </c>
      <c r="T32" s="73">
        <v>16036.957433406358</v>
      </c>
      <c r="U32" s="73">
        <v>16322.604785996766</v>
      </c>
      <c r="V32" s="73">
        <v>16692.888965155842</v>
      </c>
      <c r="W32" s="73">
        <v>17267.509286688572</v>
      </c>
      <c r="X32" s="73">
        <v>18389.450546987773</v>
      </c>
      <c r="Y32" s="73">
        <v>19661.972473035748</v>
      </c>
      <c r="Z32" s="73">
        <v>21335.52544495348</v>
      </c>
      <c r="AA32" s="73">
        <v>21430.216731507564</v>
      </c>
      <c r="AB32" s="73">
        <v>21364.004910484877</v>
      </c>
      <c r="AC32" s="73">
        <v>20287.653419616465</v>
      </c>
      <c r="AD32" s="73">
        <v>19189.440821512253</v>
      </c>
      <c r="AE32" s="73">
        <v>18264.584551529395</v>
      </c>
      <c r="AF32" s="73">
        <v>17658.801536418898</v>
      </c>
      <c r="AG32" s="46">
        <f>+SUM(I32:AF32)*H32</f>
        <v>851359.44177421951</v>
      </c>
      <c r="AJ32" s="74"/>
      <c r="AK32" s="75"/>
    </row>
    <row r="33" spans="1:37" ht="15" thickBot="1">
      <c r="A33" s="66"/>
      <c r="E33" s="85">
        <f t="shared" si="10"/>
        <v>46874</v>
      </c>
      <c r="F33" s="81"/>
      <c r="G33" s="47" t="s">
        <v>10</v>
      </c>
      <c r="H33" s="47">
        <f>+SUM(H29:H32)</f>
        <v>31</v>
      </c>
      <c r="I33" s="48">
        <f t="shared" ref="I33:AF33" si="11">+SUMPRODUCT(I29:I32,$H29:$H32)</f>
        <v>636004.09355257871</v>
      </c>
      <c r="J33" s="48">
        <f t="shared" si="11"/>
        <v>620286.22513451381</v>
      </c>
      <c r="K33" s="48">
        <f t="shared" si="11"/>
        <v>609729.90279188636</v>
      </c>
      <c r="L33" s="48">
        <f t="shared" si="11"/>
        <v>606969.42132690421</v>
      </c>
      <c r="M33" s="48">
        <f t="shared" si="11"/>
        <v>605562.4616668995</v>
      </c>
      <c r="N33" s="48">
        <f t="shared" si="11"/>
        <v>615551.5728436975</v>
      </c>
      <c r="O33" s="48">
        <f t="shared" si="11"/>
        <v>651233.41630431311</v>
      </c>
      <c r="P33" s="48">
        <f t="shared" si="11"/>
        <v>686305.81193674542</v>
      </c>
      <c r="Q33" s="48">
        <f t="shared" si="11"/>
        <v>713382.70155560412</v>
      </c>
      <c r="R33" s="48">
        <f t="shared" si="11"/>
        <v>719928.43210739573</v>
      </c>
      <c r="S33" s="48">
        <f t="shared" si="11"/>
        <v>746465.21326308523</v>
      </c>
      <c r="T33" s="48">
        <f t="shared" si="11"/>
        <v>762505.34717434039</v>
      </c>
      <c r="U33" s="48">
        <f t="shared" si="11"/>
        <v>750012.51531162171</v>
      </c>
      <c r="V33" s="48">
        <f t="shared" si="11"/>
        <v>772337.20425987407</v>
      </c>
      <c r="W33" s="48">
        <f t="shared" si="11"/>
        <v>807605.63391973893</v>
      </c>
      <c r="X33" s="48">
        <f t="shared" si="11"/>
        <v>838967.75533484027</v>
      </c>
      <c r="Y33" s="48">
        <f t="shared" si="11"/>
        <v>864165.99809985596</v>
      </c>
      <c r="Z33" s="48">
        <f t="shared" si="11"/>
        <v>873759.28718439117</v>
      </c>
      <c r="AA33" s="48">
        <f t="shared" si="11"/>
        <v>846488.16010788199</v>
      </c>
      <c r="AB33" s="48">
        <f t="shared" si="11"/>
        <v>824157.50299899513</v>
      </c>
      <c r="AC33" s="48">
        <f t="shared" si="11"/>
        <v>780317.59039078059</v>
      </c>
      <c r="AD33" s="48">
        <f t="shared" si="11"/>
        <v>726897.24216657691</v>
      </c>
      <c r="AE33" s="48">
        <f t="shared" si="11"/>
        <v>677592.44218332006</v>
      </c>
      <c r="AF33" s="48">
        <f t="shared" si="11"/>
        <v>652509.49265614816</v>
      </c>
      <c r="AG33" s="49">
        <f>SUM(I33:AF33)</f>
        <v>17388735.42427199</v>
      </c>
    </row>
    <row r="34" spans="1:37" ht="14">
      <c r="A34" s="66"/>
      <c r="E34" s="84">
        <v>46905</v>
      </c>
      <c r="F34" s="79">
        <f t="shared" ref="F34" si="12">+AG38</f>
        <v>16766444.126765475</v>
      </c>
      <c r="G34" s="40" t="s">
        <v>60</v>
      </c>
      <c r="H34" s="40">
        <v>20</v>
      </c>
      <c r="I34" s="73">
        <v>21081.47514145495</v>
      </c>
      <c r="J34" s="73">
        <v>20569.303058835907</v>
      </c>
      <c r="K34" s="73">
        <v>20227.501375085496</v>
      </c>
      <c r="L34" s="73">
        <v>20162.763483984985</v>
      </c>
      <c r="M34" s="73">
        <v>20143.774496709222</v>
      </c>
      <c r="N34" s="73">
        <v>20653.881338679214</v>
      </c>
      <c r="O34" s="73">
        <v>22339.06700413848</v>
      </c>
      <c r="P34" s="73">
        <v>24079.043252413103</v>
      </c>
      <c r="Q34" s="73">
        <v>25341.236636122587</v>
      </c>
      <c r="R34" s="73">
        <v>25647.465535830121</v>
      </c>
      <c r="S34" s="73">
        <v>26617.989829407081</v>
      </c>
      <c r="T34" s="73">
        <v>27151.533686827122</v>
      </c>
      <c r="U34" s="73">
        <v>26562.286400617671</v>
      </c>
      <c r="V34" s="73">
        <v>27489.148039012198</v>
      </c>
      <c r="W34" s="73">
        <v>28944.166230985324</v>
      </c>
      <c r="X34" s="73">
        <v>29988.767211992807</v>
      </c>
      <c r="Y34" s="73">
        <v>30619.529925635656</v>
      </c>
      <c r="Z34" s="73">
        <v>30425.36106207663</v>
      </c>
      <c r="AA34" s="73">
        <v>29131.449706382693</v>
      </c>
      <c r="AB34" s="73">
        <v>28195.320403373633</v>
      </c>
      <c r="AC34" s="73">
        <v>26605.394418913063</v>
      </c>
      <c r="AD34" s="73">
        <v>24700.158352588769</v>
      </c>
      <c r="AE34" s="73">
        <v>22915.571506974331</v>
      </c>
      <c r="AF34" s="73">
        <v>22068.563396986941</v>
      </c>
      <c r="AG34" s="41">
        <f>+SUM(I34:AF34)*H34</f>
        <v>12033215.02990056</v>
      </c>
      <c r="AJ34" s="74"/>
    </row>
    <row r="35" spans="1:37" ht="14">
      <c r="A35" s="66"/>
      <c r="E35" s="85">
        <f t="shared" ref="E35:E38" si="13">+E34</f>
        <v>46905</v>
      </c>
      <c r="F35" s="80"/>
      <c r="G35" s="42" t="s">
        <v>63</v>
      </c>
      <c r="H35" s="42">
        <v>4</v>
      </c>
      <c r="I35" s="73">
        <v>20976.352009319566</v>
      </c>
      <c r="J35" s="73">
        <v>20395.645387352644</v>
      </c>
      <c r="K35" s="73">
        <v>20094.871758351026</v>
      </c>
      <c r="L35" s="73">
        <v>20030.732394958603</v>
      </c>
      <c r="M35" s="73">
        <v>19978.972804632886</v>
      </c>
      <c r="N35" s="73">
        <v>20181.680634196811</v>
      </c>
      <c r="O35" s="73">
        <v>21102.007550033592</v>
      </c>
      <c r="P35" s="73">
        <v>21874.032832963159</v>
      </c>
      <c r="Q35" s="73">
        <v>22509.509324692572</v>
      </c>
      <c r="R35" s="73">
        <v>22746.260030730577</v>
      </c>
      <c r="S35" s="73">
        <v>23514.600283031839</v>
      </c>
      <c r="T35" s="73">
        <v>23781.687886020329</v>
      </c>
      <c r="U35" s="73">
        <v>23225.418546024794</v>
      </c>
      <c r="V35" s="73">
        <v>23318.259949880176</v>
      </c>
      <c r="W35" s="73">
        <v>23612.441419776998</v>
      </c>
      <c r="X35" s="73">
        <v>24344.983490501247</v>
      </c>
      <c r="Y35" s="73">
        <v>25290.688640091576</v>
      </c>
      <c r="Z35" s="73">
        <v>26324.603521729678</v>
      </c>
      <c r="AA35" s="73">
        <v>26096.226458032383</v>
      </c>
      <c r="AB35" s="73">
        <v>25660.335378935106</v>
      </c>
      <c r="AC35" s="73">
        <v>24556.483908581089</v>
      </c>
      <c r="AD35" s="73">
        <v>22772.540091027699</v>
      </c>
      <c r="AE35" s="73">
        <v>21185.730291473286</v>
      </c>
      <c r="AF35" s="73">
        <v>20289.243646733201</v>
      </c>
      <c r="AG35" s="43">
        <f>+SUM(I35:AF35)*H35</f>
        <v>2175453.2329562833</v>
      </c>
      <c r="AJ35" s="74"/>
      <c r="AK35" s="75"/>
    </row>
    <row r="36" spans="1:37" ht="14">
      <c r="A36" s="66"/>
      <c r="E36" s="85">
        <f t="shared" si="13"/>
        <v>46905</v>
      </c>
      <c r="F36" s="80"/>
      <c r="G36" s="44" t="s">
        <v>61</v>
      </c>
      <c r="H36" s="44">
        <v>4</v>
      </c>
      <c r="I36" s="73">
        <v>18028.519836141826</v>
      </c>
      <c r="J36" s="73">
        <v>17585.130317512048</v>
      </c>
      <c r="K36" s="73">
        <v>17210.119621471367</v>
      </c>
      <c r="L36" s="73">
        <v>17016.295269950842</v>
      </c>
      <c r="M36" s="73">
        <v>16894.917632371533</v>
      </c>
      <c r="N36" s="73">
        <v>16746.06270608155</v>
      </c>
      <c r="O36" s="73">
        <v>16215.88251131242</v>
      </c>
      <c r="P36" s="73">
        <v>15392.359553606762</v>
      </c>
      <c r="Q36" s="73">
        <v>15006.061608503878</v>
      </c>
      <c r="R36" s="73">
        <v>14846.21631527689</v>
      </c>
      <c r="S36" s="73">
        <v>15325.609138461228</v>
      </c>
      <c r="T36" s="73">
        <v>16009.831552156544</v>
      </c>
      <c r="U36" s="73">
        <v>16398.10788464699</v>
      </c>
      <c r="V36" s="73">
        <v>16835.988685479086</v>
      </c>
      <c r="W36" s="73">
        <v>17433.340704976974</v>
      </c>
      <c r="X36" s="73">
        <v>18497.156429011091</v>
      </c>
      <c r="Y36" s="73">
        <v>19904.865695955275</v>
      </c>
      <c r="Z36" s="73">
        <v>21459.917422362894</v>
      </c>
      <c r="AA36" s="73">
        <v>21626.737589724336</v>
      </c>
      <c r="AB36" s="73">
        <v>21440.1955593813</v>
      </c>
      <c r="AC36" s="73">
        <v>20482.398437393636</v>
      </c>
      <c r="AD36" s="73">
        <v>19478.491571304792</v>
      </c>
      <c r="AE36" s="73">
        <v>18583.515903710315</v>
      </c>
      <c r="AF36" s="73">
        <v>17964.141483659394</v>
      </c>
      <c r="AG36" s="43">
        <f>+SUM(I36:AF36)*H36</f>
        <v>1705527.4537218122</v>
      </c>
      <c r="AJ36" s="74"/>
      <c r="AK36" s="75"/>
    </row>
    <row r="37" spans="1:37" ht="14">
      <c r="A37" s="66"/>
      <c r="E37" s="85">
        <f t="shared" si="13"/>
        <v>46905</v>
      </c>
      <c r="F37" s="80"/>
      <c r="G37" s="45" t="s">
        <v>62</v>
      </c>
      <c r="H37" s="45">
        <v>2</v>
      </c>
      <c r="I37" s="73">
        <v>18288.508009686833</v>
      </c>
      <c r="J37" s="73">
        <v>17859.654701628624</v>
      </c>
      <c r="K37" s="73">
        <v>17523.915385135813</v>
      </c>
      <c r="L37" s="73">
        <v>17343.53164698328</v>
      </c>
      <c r="M37" s="73">
        <v>17180.413514903983</v>
      </c>
      <c r="N37" s="73">
        <v>16699.245241886743</v>
      </c>
      <c r="O37" s="73">
        <v>16027.412328286398</v>
      </c>
      <c r="P37" s="73">
        <v>15361.830494164638</v>
      </c>
      <c r="Q37" s="73">
        <v>15117.343628051667</v>
      </c>
      <c r="R37" s="73">
        <v>15000.686240327843</v>
      </c>
      <c r="S37" s="73">
        <v>15556.785019837624</v>
      </c>
      <c r="T37" s="73">
        <v>16058.696461117022</v>
      </c>
      <c r="U37" s="73">
        <v>16344.430060732033</v>
      </c>
      <c r="V37" s="73">
        <v>16714.837200017064</v>
      </c>
      <c r="W37" s="73">
        <v>17289.341115220352</v>
      </c>
      <c r="X37" s="73">
        <v>18411.134524093515</v>
      </c>
      <c r="Y37" s="73">
        <v>19684.226552249806</v>
      </c>
      <c r="Z37" s="73">
        <v>21356.338868078848</v>
      </c>
      <c r="AA37" s="73">
        <v>21450.907779149606</v>
      </c>
      <c r="AB37" s="73">
        <v>21383.187741186062</v>
      </c>
      <c r="AC37" s="73">
        <v>20306.413609273997</v>
      </c>
      <c r="AD37" s="73">
        <v>19207.338476029283</v>
      </c>
      <c r="AE37" s="73">
        <v>18282.107890025902</v>
      </c>
      <c r="AF37" s="73">
        <v>17675.918605342584</v>
      </c>
      <c r="AG37" s="46">
        <f>+SUM(I37:AF37)*H37</f>
        <v>852248.41018681892</v>
      </c>
      <c r="AJ37" s="74"/>
      <c r="AK37" s="75"/>
    </row>
    <row r="38" spans="1:37" ht="15" thickBot="1">
      <c r="A38" s="66"/>
      <c r="E38" s="85">
        <f t="shared" si="13"/>
        <v>46905</v>
      </c>
      <c r="F38" s="81"/>
      <c r="G38" s="47" t="s">
        <v>10</v>
      </c>
      <c r="H38" s="47">
        <f>+SUM(H34:H37)</f>
        <v>30</v>
      </c>
      <c r="I38" s="48">
        <f t="shared" ref="I38:AF38" si="14">+SUMPRODUCT(I34:I37,$H34:$H37)</f>
        <v>614226.00623031822</v>
      </c>
      <c r="J38" s="48">
        <f t="shared" si="14"/>
        <v>599028.47339943412</v>
      </c>
      <c r="K38" s="48">
        <f t="shared" si="14"/>
        <v>588817.82379127108</v>
      </c>
      <c r="L38" s="48">
        <f t="shared" si="14"/>
        <v>586130.44363330398</v>
      </c>
      <c r="M38" s="48">
        <f t="shared" si="14"/>
        <v>584731.8787120101</v>
      </c>
      <c r="N38" s="48">
        <f t="shared" si="14"/>
        <v>594187.09061847127</v>
      </c>
      <c r="O38" s="48">
        <f t="shared" si="14"/>
        <v>628107.72498472652</v>
      </c>
      <c r="P38" s="48">
        <f t="shared" si="14"/>
        <v>661370.09558287112</v>
      </c>
      <c r="Q38" s="48">
        <f t="shared" si="14"/>
        <v>687121.7037113409</v>
      </c>
      <c r="R38" s="48">
        <f t="shared" si="14"/>
        <v>693320.588581288</v>
      </c>
      <c r="S38" s="48">
        <f t="shared" si="14"/>
        <v>718834.20431378915</v>
      </c>
      <c r="T38" s="48">
        <f t="shared" si="14"/>
        <v>734314.14441148401</v>
      </c>
      <c r="U38" s="48">
        <f t="shared" si="14"/>
        <v>722428.69385650475</v>
      </c>
      <c r="V38" s="48">
        <f t="shared" si="14"/>
        <v>743829.62972171523</v>
      </c>
      <c r="W38" s="48">
        <f t="shared" si="14"/>
        <v>777645.13534916309</v>
      </c>
      <c r="X38" s="48">
        <f t="shared" si="14"/>
        <v>807966.17296609248</v>
      </c>
      <c r="Y38" s="48">
        <f t="shared" si="14"/>
        <v>832541.26896140014</v>
      </c>
      <c r="Z38" s="48">
        <f t="shared" si="14"/>
        <v>842357.98275406053</v>
      </c>
      <c r="AA38" s="48">
        <f t="shared" si="14"/>
        <v>816422.66587697994</v>
      </c>
      <c r="AB38" s="48">
        <f t="shared" si="14"/>
        <v>795074.90730311035</v>
      </c>
      <c r="AC38" s="48">
        <f t="shared" si="14"/>
        <v>752876.24498070811</v>
      </c>
      <c r="AD38" s="48">
        <f t="shared" si="14"/>
        <v>701421.97065316397</v>
      </c>
      <c r="AE38" s="48">
        <f t="shared" si="14"/>
        <v>653952.63070027286</v>
      </c>
      <c r="AF38" s="48">
        <f t="shared" si="14"/>
        <v>629736.64567199431</v>
      </c>
      <c r="AG38" s="49">
        <f>SUM(I38:AF38)</f>
        <v>16766444.126765475</v>
      </c>
    </row>
    <row r="39" spans="1:37" ht="14">
      <c r="A39" s="66"/>
      <c r="E39" s="84">
        <v>46935</v>
      </c>
      <c r="F39" s="79">
        <f t="shared" ref="F39" si="15">+AG43</f>
        <v>17160882.671246756</v>
      </c>
      <c r="G39" s="40" t="s">
        <v>60</v>
      </c>
      <c r="H39" s="40">
        <v>19</v>
      </c>
      <c r="I39" s="73">
        <v>21124.995631394631</v>
      </c>
      <c r="J39" s="73">
        <v>20612.399259482961</v>
      </c>
      <c r="K39" s="73">
        <v>20270.177312053456</v>
      </c>
      <c r="L39" s="73">
        <v>20204.864253288757</v>
      </c>
      <c r="M39" s="73">
        <v>20186.675892025865</v>
      </c>
      <c r="N39" s="73">
        <v>20699.163910917861</v>
      </c>
      <c r="O39" s="73">
        <v>22390.641213192612</v>
      </c>
      <c r="P39" s="73">
        <v>24135.956694093078</v>
      </c>
      <c r="Q39" s="73">
        <v>25403.102878930345</v>
      </c>
      <c r="R39" s="73">
        <v>25712.6870522928</v>
      </c>
      <c r="S39" s="73">
        <v>26686.540456144543</v>
      </c>
      <c r="T39" s="73">
        <v>27222.050469445046</v>
      </c>
      <c r="U39" s="73">
        <v>26631.222882718135</v>
      </c>
      <c r="V39" s="73">
        <v>27557.980466489844</v>
      </c>
      <c r="W39" s="73">
        <v>29013.40858769439</v>
      </c>
      <c r="X39" s="73">
        <v>30057.531989320585</v>
      </c>
      <c r="Y39" s="73">
        <v>30687.734868032785</v>
      </c>
      <c r="Z39" s="73">
        <v>30491.10293301435</v>
      </c>
      <c r="AA39" s="73">
        <v>29192.999921623261</v>
      </c>
      <c r="AB39" s="73">
        <v>28254.100812328641</v>
      </c>
      <c r="AC39" s="73">
        <v>26660.904201351517</v>
      </c>
      <c r="AD39" s="73">
        <v>24751.726471241258</v>
      </c>
      <c r="AE39" s="73">
        <v>22963.57952167769</v>
      </c>
      <c r="AF39" s="73">
        <v>22115.275759232518</v>
      </c>
      <c r="AG39" s="41">
        <f>+SUM(I39:AF39)*H39</f>
        <v>11457509.645321751</v>
      </c>
      <c r="AJ39" s="74"/>
    </row>
    <row r="40" spans="1:37" ht="14">
      <c r="A40" s="66"/>
      <c r="E40" s="85">
        <f t="shared" ref="E40:E43" si="16">+E39</f>
        <v>46935</v>
      </c>
      <c r="F40" s="80"/>
      <c r="G40" s="42" t="s">
        <v>63</v>
      </c>
      <c r="H40" s="42">
        <v>5</v>
      </c>
      <c r="I40" s="73">
        <v>20994.027129955921</v>
      </c>
      <c r="J40" s="73">
        <v>20412.927077504632</v>
      </c>
      <c r="K40" s="73">
        <v>20111.745186298544</v>
      </c>
      <c r="L40" s="73">
        <v>20047.316951070268</v>
      </c>
      <c r="M40" s="73">
        <v>19995.679551937192</v>
      </c>
      <c r="N40" s="73">
        <v>20198.678026107169</v>
      </c>
      <c r="O40" s="73">
        <v>21120.256037473351</v>
      </c>
      <c r="P40" s="73">
        <v>21893.803220348749</v>
      </c>
      <c r="Q40" s="73">
        <v>22530.837141946166</v>
      </c>
      <c r="R40" s="73">
        <v>22768.914818835052</v>
      </c>
      <c r="S40" s="73">
        <v>23538.584060342284</v>
      </c>
      <c r="T40" s="73">
        <v>23806.018724110694</v>
      </c>
      <c r="U40" s="73">
        <v>23248.598196068247</v>
      </c>
      <c r="V40" s="73">
        <v>23340.881535393994</v>
      </c>
      <c r="W40" s="73">
        <v>23634.821276753264</v>
      </c>
      <c r="X40" s="73">
        <v>24367.002496135472</v>
      </c>
      <c r="Y40" s="73">
        <v>25312.485078432128</v>
      </c>
      <c r="Z40" s="73">
        <v>26345.894243275292</v>
      </c>
      <c r="AA40" s="73">
        <v>26117.103607083009</v>
      </c>
      <c r="AB40" s="73">
        <v>25680.178521513237</v>
      </c>
      <c r="AC40" s="73">
        <v>24574.925143189845</v>
      </c>
      <c r="AD40" s="73">
        <v>22789.275627240244</v>
      </c>
      <c r="AE40" s="73">
        <v>21200.893386251184</v>
      </c>
      <c r="AF40" s="73">
        <v>20303.962313931694</v>
      </c>
      <c r="AG40" s="43">
        <f>+SUM(I40:AF40)*H40</f>
        <v>2721674.0467559882</v>
      </c>
      <c r="AJ40" s="74"/>
      <c r="AK40" s="75"/>
    </row>
    <row r="41" spans="1:37" ht="14">
      <c r="A41" s="66"/>
      <c r="E41" s="85">
        <f t="shared" si="16"/>
        <v>46935</v>
      </c>
      <c r="F41" s="80"/>
      <c r="G41" s="44" t="s">
        <v>61</v>
      </c>
      <c r="H41" s="44">
        <v>5</v>
      </c>
      <c r="I41" s="73">
        <v>17990.393914893117</v>
      </c>
      <c r="J41" s="73">
        <v>17547.747866515405</v>
      </c>
      <c r="K41" s="73">
        <v>17172.490760441116</v>
      </c>
      <c r="L41" s="73">
        <v>16979.256979666501</v>
      </c>
      <c r="M41" s="73">
        <v>16857.949590856129</v>
      </c>
      <c r="N41" s="73">
        <v>16710.332672941422</v>
      </c>
      <c r="O41" s="73">
        <v>16179.51562920387</v>
      </c>
      <c r="P41" s="73">
        <v>15353.157070826845</v>
      </c>
      <c r="Q41" s="73">
        <v>14964.890448672322</v>
      </c>
      <c r="R41" s="73">
        <v>14803.735800058188</v>
      </c>
      <c r="S41" s="73">
        <v>15280.770852256601</v>
      </c>
      <c r="T41" s="73">
        <v>15963.960321840965</v>
      </c>
      <c r="U41" s="73">
        <v>16352.307575151402</v>
      </c>
      <c r="V41" s="73">
        <v>16789.642219648082</v>
      </c>
      <c r="W41" s="73">
        <v>17387.972300925838</v>
      </c>
      <c r="X41" s="73">
        <v>18451.69616225245</v>
      </c>
      <c r="Y41" s="73">
        <v>19859.624964237239</v>
      </c>
      <c r="Z41" s="73">
        <v>21416.10267184749</v>
      </c>
      <c r="AA41" s="73">
        <v>21581.763258217448</v>
      </c>
      <c r="AB41" s="73">
        <v>21397.847155106061</v>
      </c>
      <c r="AC41" s="73">
        <v>20442.611541974085</v>
      </c>
      <c r="AD41" s="73">
        <v>19441.559719686353</v>
      </c>
      <c r="AE41" s="73">
        <v>18547.897834157593</v>
      </c>
      <c r="AF41" s="73">
        <v>17929.710048701072</v>
      </c>
      <c r="AG41" s="43">
        <f>+SUM(I41:AF41)*H41</f>
        <v>2127014.6868003877</v>
      </c>
      <c r="AJ41" s="74"/>
      <c r="AK41" s="75"/>
    </row>
    <row r="42" spans="1:37" ht="14">
      <c r="A42" s="66"/>
      <c r="E42" s="85">
        <f t="shared" si="16"/>
        <v>46935</v>
      </c>
      <c r="F42" s="80"/>
      <c r="G42" s="45" t="s">
        <v>62</v>
      </c>
      <c r="H42" s="45">
        <v>2</v>
      </c>
      <c r="I42" s="73">
        <v>18327.180270655062</v>
      </c>
      <c r="J42" s="73">
        <v>17897.726838212879</v>
      </c>
      <c r="K42" s="73">
        <v>17561.819573137262</v>
      </c>
      <c r="L42" s="73">
        <v>17380.924890570066</v>
      </c>
      <c r="M42" s="73">
        <v>17218.953475850518</v>
      </c>
      <c r="N42" s="73">
        <v>16742.930205141536</v>
      </c>
      <c r="O42" s="73">
        <v>16075.977941294554</v>
      </c>
      <c r="P42" s="73">
        <v>15413.373566383421</v>
      </c>
      <c r="Q42" s="73">
        <v>15169.442738294372</v>
      </c>
      <c r="R42" s="73">
        <v>15054.341266998063</v>
      </c>
      <c r="S42" s="73">
        <v>15613.166067763897</v>
      </c>
      <c r="T42" s="73">
        <v>16118.399466501158</v>
      </c>
      <c r="U42" s="73">
        <v>16404.421882381204</v>
      </c>
      <c r="V42" s="73">
        <v>16774.948541779697</v>
      </c>
      <c r="W42" s="73">
        <v>17348.572813848805</v>
      </c>
      <c r="X42" s="73">
        <v>18469.591529759557</v>
      </c>
      <c r="Y42" s="73">
        <v>19743.908357071286</v>
      </c>
      <c r="Z42" s="73">
        <v>21412.968010301989</v>
      </c>
      <c r="AA42" s="73">
        <v>21507.243172195271</v>
      </c>
      <c r="AB42" s="73">
        <v>21436.388031526916</v>
      </c>
      <c r="AC42" s="73">
        <v>20358.394273464986</v>
      </c>
      <c r="AD42" s="73">
        <v>19256.939057952102</v>
      </c>
      <c r="AE42" s="73">
        <v>18330.802369946403</v>
      </c>
      <c r="AF42" s="73">
        <v>17723.731843282229</v>
      </c>
      <c r="AG42" s="46">
        <f>+SUM(I42:AF42)*H42</f>
        <v>854684.29236862645</v>
      </c>
      <c r="AJ42" s="74"/>
      <c r="AK42" s="75"/>
    </row>
    <row r="43" spans="1:37" ht="15" thickBot="1">
      <c r="A43" s="66"/>
      <c r="E43" s="85">
        <f t="shared" si="16"/>
        <v>46935</v>
      </c>
      <c r="F43" s="81"/>
      <c r="G43" s="47" t="s">
        <v>10</v>
      </c>
      <c r="H43" s="47">
        <f>+SUM(H39:H42)</f>
        <v>31</v>
      </c>
      <c r="I43" s="48">
        <f t="shared" ref="I43:AF43" si="17">+SUMPRODUCT(I39:I42,$H39:$H42)</f>
        <v>632951.38276205328</v>
      </c>
      <c r="J43" s="48">
        <f t="shared" si="17"/>
        <v>617234.41432670213</v>
      </c>
      <c r="K43" s="48">
        <f t="shared" si="17"/>
        <v>606678.1878089885</v>
      </c>
      <c r="L43" s="48">
        <f t="shared" si="17"/>
        <v>603787.1402473104</v>
      </c>
      <c r="M43" s="48">
        <f t="shared" si="17"/>
        <v>602252.89461415913</v>
      </c>
      <c r="N43" s="48">
        <f t="shared" si="17"/>
        <v>611315.02821296547</v>
      </c>
      <c r="O43" s="48">
        <f t="shared" si="17"/>
        <v>644072.99726663483</v>
      </c>
      <c r="P43" s="48">
        <f t="shared" si="17"/>
        <v>675644.72577641334</v>
      </c>
      <c r="Q43" s="48">
        <f t="shared" si="17"/>
        <v>700476.47812935768</v>
      </c>
      <c r="R43" s="48">
        <f t="shared" si="17"/>
        <v>706512.98962202563</v>
      </c>
      <c r="S43" s="48">
        <f t="shared" si="17"/>
        <v>732367.37536526856</v>
      </c>
      <c r="T43" s="48">
        <f t="shared" si="17"/>
        <v>748305.65308221651</v>
      </c>
      <c r="U43" s="48">
        <f t="shared" si="17"/>
        <v>736806.60739250516</v>
      </c>
      <c r="V43" s="48">
        <f t="shared" si="17"/>
        <v>757804.14472207683</v>
      </c>
      <c r="W43" s="48">
        <f t="shared" si="17"/>
        <v>791065.8766822865</v>
      </c>
      <c r="X43" s="48">
        <f t="shared" si="17"/>
        <v>822125.78414854989</v>
      </c>
      <c r="Y43" s="48">
        <f t="shared" si="17"/>
        <v>848415.32942011231</v>
      </c>
      <c r="Z43" s="48">
        <f t="shared" si="17"/>
        <v>860966.87632349052</v>
      </c>
      <c r="AA43" s="48">
        <f t="shared" si="17"/>
        <v>836175.81918173493</v>
      </c>
      <c r="AB43" s="48">
        <f t="shared" si="17"/>
        <v>815090.81988039461</v>
      </c>
      <c r="AC43" s="48">
        <f t="shared" si="17"/>
        <v>772361.65179842839</v>
      </c>
      <c r="AD43" s="48">
        <f t="shared" si="17"/>
        <v>719950.85780412098</v>
      </c>
      <c r="AE43" s="48">
        <f t="shared" si="17"/>
        <v>671713.57175381272</v>
      </c>
      <c r="AF43" s="48">
        <f t="shared" si="17"/>
        <v>646806.06492514617</v>
      </c>
      <c r="AG43" s="49">
        <f>SUM(I43:AF43)</f>
        <v>17160882.671246756</v>
      </c>
    </row>
    <row r="44" spans="1:37" ht="14">
      <c r="A44" s="66"/>
      <c r="E44" s="84">
        <v>46966</v>
      </c>
      <c r="F44" s="79">
        <f t="shared" ref="F44" si="18">+AG48</f>
        <v>17403558.492620979</v>
      </c>
      <c r="G44" s="40" t="s">
        <v>60</v>
      </c>
      <c r="H44" s="40">
        <v>21</v>
      </c>
      <c r="I44" s="73">
        <v>21126.839160879044</v>
      </c>
      <c r="J44" s="73">
        <v>20614.063229038013</v>
      </c>
      <c r="K44" s="73">
        <v>20271.599742693237</v>
      </c>
      <c r="L44" s="73">
        <v>20206.102418415358</v>
      </c>
      <c r="M44" s="73">
        <v>20187.496653935239</v>
      </c>
      <c r="N44" s="73">
        <v>20699.188803260626</v>
      </c>
      <c r="O44" s="73">
        <v>22390.052668294753</v>
      </c>
      <c r="P44" s="73">
        <v>24136.201223118238</v>
      </c>
      <c r="Q44" s="73">
        <v>25404.205075996921</v>
      </c>
      <c r="R44" s="73">
        <v>25714.71679434734</v>
      </c>
      <c r="S44" s="73">
        <v>26688.534084136896</v>
      </c>
      <c r="T44" s="73">
        <v>27224.191335993586</v>
      </c>
      <c r="U44" s="73">
        <v>26633.023551576181</v>
      </c>
      <c r="V44" s="73">
        <v>27560.217658723232</v>
      </c>
      <c r="W44" s="73">
        <v>29015.871153682248</v>
      </c>
      <c r="X44" s="73">
        <v>30059.740212009161</v>
      </c>
      <c r="Y44" s="73">
        <v>30689.656706697529</v>
      </c>
      <c r="Z44" s="73">
        <v>30492.561924608264</v>
      </c>
      <c r="AA44" s="73">
        <v>29194.128604359048</v>
      </c>
      <c r="AB44" s="73">
        <v>28255.796036959517</v>
      </c>
      <c r="AC44" s="73">
        <v>26662.34728570858</v>
      </c>
      <c r="AD44" s="73">
        <v>24753.310266632001</v>
      </c>
      <c r="AE44" s="73">
        <v>22965.398398039459</v>
      </c>
      <c r="AF44" s="73">
        <v>22117.015983621528</v>
      </c>
      <c r="AG44" s="41">
        <f>+SUM(I44:AF44)*H44</f>
        <v>12664307.438427245</v>
      </c>
      <c r="AJ44" s="74"/>
    </row>
    <row r="45" spans="1:37" ht="14">
      <c r="A45" s="66"/>
      <c r="E45" s="85">
        <f t="shared" ref="E45:E48" si="19">+E44</f>
        <v>46966</v>
      </c>
      <c r="F45" s="80"/>
      <c r="G45" s="42" t="s">
        <v>63</v>
      </c>
      <c r="H45" s="42">
        <v>4</v>
      </c>
      <c r="I45" s="73">
        <v>21002.354938413606</v>
      </c>
      <c r="J45" s="73">
        <v>20421.053565092006</v>
      </c>
      <c r="K45" s="73">
        <v>20119.784729806026</v>
      </c>
      <c r="L45" s="73">
        <v>20055.297607532382</v>
      </c>
      <c r="M45" s="73">
        <v>20003.444862844</v>
      </c>
      <c r="N45" s="73">
        <v>20205.933952039297</v>
      </c>
      <c r="O45" s="73">
        <v>21127.715845683699</v>
      </c>
      <c r="P45" s="73">
        <v>21902.398418970799</v>
      </c>
      <c r="Q45" s="73">
        <v>22540.44075929972</v>
      </c>
      <c r="R45" s="73">
        <v>22779.819126365535</v>
      </c>
      <c r="S45" s="73">
        <v>23550.064066853793</v>
      </c>
      <c r="T45" s="73">
        <v>23817.953080873875</v>
      </c>
      <c r="U45" s="73">
        <v>23259.872566442755</v>
      </c>
      <c r="V45" s="73">
        <v>23352.347141163529</v>
      </c>
      <c r="W45" s="73">
        <v>23645.929596601098</v>
      </c>
      <c r="X45" s="73">
        <v>24377.5332988968</v>
      </c>
      <c r="Y45" s="73">
        <v>25322.717343016426</v>
      </c>
      <c r="Z45" s="73">
        <v>26355.711844243775</v>
      </c>
      <c r="AA45" s="73">
        <v>26126.763739124668</v>
      </c>
      <c r="AB45" s="73">
        <v>25689.964201455645</v>
      </c>
      <c r="AC45" s="73">
        <v>24583.892520490852</v>
      </c>
      <c r="AD45" s="73">
        <v>22797.25172159604</v>
      </c>
      <c r="AE45" s="73">
        <v>21207.96043571673</v>
      </c>
      <c r="AF45" s="73">
        <v>20310.946766413224</v>
      </c>
      <c r="AG45" s="43">
        <f>+SUM(I45:AF45)*H45</f>
        <v>2178228.608515745</v>
      </c>
      <c r="AJ45" s="74"/>
      <c r="AK45" s="75"/>
    </row>
    <row r="46" spans="1:37" ht="14">
      <c r="A46" s="66"/>
      <c r="E46" s="85">
        <f t="shared" si="19"/>
        <v>46966</v>
      </c>
      <c r="F46" s="80"/>
      <c r="G46" s="44" t="s">
        <v>61</v>
      </c>
      <c r="H46" s="44">
        <v>4</v>
      </c>
      <c r="I46" s="73">
        <v>18075.61590223472</v>
      </c>
      <c r="J46" s="73">
        <v>17631.038290293003</v>
      </c>
      <c r="K46" s="73">
        <v>17255.265018766422</v>
      </c>
      <c r="L46" s="73">
        <v>17061.020579774606</v>
      </c>
      <c r="M46" s="73">
        <v>16939.324642102896</v>
      </c>
      <c r="N46" s="73">
        <v>16789.911325572582</v>
      </c>
      <c r="O46" s="73">
        <v>16259.293572881163</v>
      </c>
      <c r="P46" s="73">
        <v>15438.03106483925</v>
      </c>
      <c r="Q46" s="73">
        <v>15053.345689134672</v>
      </c>
      <c r="R46" s="73">
        <v>14895.406103055702</v>
      </c>
      <c r="S46" s="73">
        <v>15378.315390103133</v>
      </c>
      <c r="T46" s="73">
        <v>16064.723178186139</v>
      </c>
      <c r="U46" s="73">
        <v>16452.537431206074</v>
      </c>
      <c r="V46" s="73">
        <v>16890.373038365648</v>
      </c>
      <c r="W46" s="73">
        <v>17486.373175977915</v>
      </c>
      <c r="X46" s="73">
        <v>18550.03475297504</v>
      </c>
      <c r="Y46" s="73">
        <v>19957.098527202634</v>
      </c>
      <c r="Z46" s="73">
        <v>21511.867988283062</v>
      </c>
      <c r="AA46" s="73">
        <v>21678.901369425173</v>
      </c>
      <c r="AB46" s="73">
        <v>21490.661808272376</v>
      </c>
      <c r="AC46" s="73">
        <v>20529.572457892256</v>
      </c>
      <c r="AD46" s="73">
        <v>19523.365873347739</v>
      </c>
      <c r="AE46" s="73">
        <v>18626.689430456856</v>
      </c>
      <c r="AF46" s="73">
        <v>18006.591154831498</v>
      </c>
      <c r="AG46" s="43">
        <f>+SUM(I46:AF46)*H46</f>
        <v>1710181.4310607219</v>
      </c>
      <c r="AJ46" s="74"/>
      <c r="AK46" s="75"/>
    </row>
    <row r="47" spans="1:37" ht="14">
      <c r="A47" s="66"/>
      <c r="E47" s="85">
        <f t="shared" si="19"/>
        <v>46966</v>
      </c>
      <c r="F47" s="80"/>
      <c r="G47" s="45" t="s">
        <v>62</v>
      </c>
      <c r="H47" s="45">
        <v>2</v>
      </c>
      <c r="I47" s="73">
        <v>18269.531251471399</v>
      </c>
      <c r="J47" s="73">
        <v>17840.640958288594</v>
      </c>
      <c r="K47" s="73">
        <v>17504.352706303194</v>
      </c>
      <c r="L47" s="73">
        <v>17324.383522607168</v>
      </c>
      <c r="M47" s="73">
        <v>17159.702396451095</v>
      </c>
      <c r="N47" s="73">
        <v>16674.089201742765</v>
      </c>
      <c r="O47" s="73">
        <v>15995.334371055756</v>
      </c>
      <c r="P47" s="73">
        <v>15328.665740724291</v>
      </c>
      <c r="Q47" s="73">
        <v>15083.989049156433</v>
      </c>
      <c r="R47" s="73">
        <v>14967.477667049585</v>
      </c>
      <c r="S47" s="73">
        <v>15524.320496950151</v>
      </c>
      <c r="T47" s="73">
        <v>16024.725517303463</v>
      </c>
      <c r="U47" s="73">
        <v>16310.488737821381</v>
      </c>
      <c r="V47" s="73">
        <v>16679.982267438158</v>
      </c>
      <c r="W47" s="73">
        <v>17252.775227839418</v>
      </c>
      <c r="X47" s="73">
        <v>18373.584097399082</v>
      </c>
      <c r="Y47" s="73">
        <v>19644.673835653877</v>
      </c>
      <c r="Z47" s="73">
        <v>21322.035658065379</v>
      </c>
      <c r="AA47" s="73">
        <v>21416.911120883942</v>
      </c>
      <c r="AB47" s="73">
        <v>21354.916857237753</v>
      </c>
      <c r="AC47" s="73">
        <v>20278.66650298789</v>
      </c>
      <c r="AD47" s="73">
        <v>19180.839882936012</v>
      </c>
      <c r="AE47" s="73">
        <v>18256.591733527988</v>
      </c>
      <c r="AF47" s="73">
        <v>17651.828507738963</v>
      </c>
      <c r="AG47" s="46">
        <f>+SUM(I47:AF47)*H47</f>
        <v>850841.01461726765</v>
      </c>
      <c r="AJ47" s="74"/>
      <c r="AK47" s="75"/>
    </row>
    <row r="48" spans="1:37" ht="15" thickBot="1">
      <c r="A48" s="66"/>
      <c r="E48" s="85">
        <f t="shared" si="19"/>
        <v>46966</v>
      </c>
      <c r="F48" s="81"/>
      <c r="G48" s="47" t="s">
        <v>10</v>
      </c>
      <c r="H48" s="47">
        <f>+SUM(H44:H47)</f>
        <v>31</v>
      </c>
      <c r="I48" s="48">
        <f t="shared" ref="I48:AF48" si="20">+SUMPRODUCT(I44:I47,$H44:$H47)</f>
        <v>636514.56824399601</v>
      </c>
      <c r="J48" s="48">
        <f t="shared" si="20"/>
        <v>620784.9771479154</v>
      </c>
      <c r="K48" s="48">
        <f t="shared" si="20"/>
        <v>610212.49900345411</v>
      </c>
      <c r="L48" s="48">
        <f t="shared" si="20"/>
        <v>607442.19058116479</v>
      </c>
      <c r="M48" s="48">
        <f t="shared" si="20"/>
        <v>606027.91254532977</v>
      </c>
      <c r="N48" s="48">
        <f t="shared" si="20"/>
        <v>616014.52438240615</v>
      </c>
      <c r="O48" s="48">
        <f t="shared" si="20"/>
        <v>651729.81245056086</v>
      </c>
      <c r="P48" s="48">
        <f t="shared" si="20"/>
        <v>686879.27510217181</v>
      </c>
      <c r="Q48" s="48">
        <f t="shared" si="20"/>
        <v>714031.43048798584</v>
      </c>
      <c r="R48" s="48">
        <f t="shared" si="20"/>
        <v>720644.90893307817</v>
      </c>
      <c r="S48" s="48">
        <f t="shared" si="20"/>
        <v>747221.3745886028</v>
      </c>
      <c r="T48" s="48">
        <f t="shared" si="20"/>
        <v>763288.17412671226</v>
      </c>
      <c r="U48" s="48">
        <f t="shared" si="20"/>
        <v>750764.11204933806</v>
      </c>
      <c r="V48" s="48">
        <f t="shared" si="20"/>
        <v>773095.41608618095</v>
      </c>
      <c r="W48" s="48">
        <f t="shared" si="20"/>
        <v>808368.05577332212</v>
      </c>
      <c r="X48" s="48">
        <f t="shared" si="20"/>
        <v>839711.98485447792</v>
      </c>
      <c r="Y48" s="48">
        <f t="shared" si="20"/>
        <v>864891.40199283208</v>
      </c>
      <c r="Z48" s="48">
        <f t="shared" si="20"/>
        <v>874458.19106301165</v>
      </c>
      <c r="AA48" s="48">
        <f t="shared" si="20"/>
        <v>847133.1833675073</v>
      </c>
      <c r="AB48" s="48">
        <f t="shared" si="20"/>
        <v>824804.05452953745</v>
      </c>
      <c r="AC48" s="48">
        <f t="shared" si="20"/>
        <v>780920.48591938848</v>
      </c>
      <c r="AD48" s="48">
        <f t="shared" si="20"/>
        <v>727463.66574491921</v>
      </c>
      <c r="AE48" s="48">
        <f t="shared" si="20"/>
        <v>678125.14929057902</v>
      </c>
      <c r="AF48" s="48">
        <f t="shared" si="20"/>
        <v>653031.14435650886</v>
      </c>
      <c r="AG48" s="49">
        <f>SUM(I48:AF48)</f>
        <v>17403558.492620979</v>
      </c>
    </row>
    <row r="49" spans="1:37" ht="14">
      <c r="A49" s="66"/>
      <c r="E49" s="84">
        <v>46997</v>
      </c>
      <c r="F49" s="79">
        <f t="shared" ref="F49" si="21">+AG53</f>
        <v>17115134.87392994</v>
      </c>
      <c r="G49" s="40" t="s">
        <v>60</v>
      </c>
      <c r="H49" s="40">
        <v>21</v>
      </c>
      <c r="I49" s="73">
        <v>21131.693420249489</v>
      </c>
      <c r="J49" s="73">
        <v>20618.879095230233</v>
      </c>
      <c r="K49" s="73">
        <v>20276.38034503067</v>
      </c>
      <c r="L49" s="73">
        <v>20210.830935443038</v>
      </c>
      <c r="M49" s="73">
        <v>20192.332660856791</v>
      </c>
      <c r="N49" s="73">
        <v>20704.339374285486</v>
      </c>
      <c r="O49" s="73">
        <v>22395.957074595906</v>
      </c>
      <c r="P49" s="73">
        <v>24142.672196434756</v>
      </c>
      <c r="Q49" s="73">
        <v>25411.187589374145</v>
      </c>
      <c r="R49" s="73">
        <v>25722.027583302133</v>
      </c>
      <c r="S49" s="73">
        <v>26696.224471284553</v>
      </c>
      <c r="T49" s="73">
        <v>27232.101930519326</v>
      </c>
      <c r="U49" s="73">
        <v>26640.775395133311</v>
      </c>
      <c r="V49" s="73">
        <v>27567.926878368431</v>
      </c>
      <c r="W49" s="73">
        <v>29023.617489240009</v>
      </c>
      <c r="X49" s="73">
        <v>30067.448786070625</v>
      </c>
      <c r="Y49" s="73">
        <v>30697.318042411243</v>
      </c>
      <c r="Z49" s="73">
        <v>30499.968258432473</v>
      </c>
      <c r="AA49" s="73">
        <v>29201.074575543178</v>
      </c>
      <c r="AB49" s="73">
        <v>28262.394020504551</v>
      </c>
      <c r="AC49" s="73">
        <v>26668.586029666349</v>
      </c>
      <c r="AD49" s="73">
        <v>24759.092969779453</v>
      </c>
      <c r="AE49" s="73">
        <v>22970.761434773871</v>
      </c>
      <c r="AF49" s="73">
        <v>22122.236489205508</v>
      </c>
      <c r="AG49" s="41">
        <f>+SUM(I49:AF49)*H49</f>
        <v>12667532.367960447</v>
      </c>
      <c r="AJ49" s="74"/>
    </row>
    <row r="50" spans="1:37" ht="14">
      <c r="A50" s="66"/>
      <c r="E50" s="85">
        <f t="shared" ref="E50:E53" si="22">+E49</f>
        <v>46997</v>
      </c>
      <c r="F50" s="80"/>
      <c r="G50" s="42" t="s">
        <v>63</v>
      </c>
      <c r="H50" s="42">
        <v>5</v>
      </c>
      <c r="I50" s="73">
        <v>21060.118889567042</v>
      </c>
      <c r="J50" s="73">
        <v>20477.559684246105</v>
      </c>
      <c r="K50" s="73">
        <v>20174.718246713921</v>
      </c>
      <c r="L50" s="73">
        <v>20109.126441265187</v>
      </c>
      <c r="M50" s="73">
        <v>20058.275052651821</v>
      </c>
      <c r="N50" s="73">
        <v>20263.173087005769</v>
      </c>
      <c r="O50" s="73">
        <v>21189.895098500016</v>
      </c>
      <c r="P50" s="73">
        <v>21968.61295289607</v>
      </c>
      <c r="Q50" s="73">
        <v>22611.13240388647</v>
      </c>
      <c r="R50" s="73">
        <v>22853.305885699658</v>
      </c>
      <c r="S50" s="73">
        <v>23628.016633050171</v>
      </c>
      <c r="T50" s="73">
        <v>23896.41393440199</v>
      </c>
      <c r="U50" s="73">
        <v>23334.813388722694</v>
      </c>
      <c r="V50" s="73">
        <v>23424.433737169056</v>
      </c>
      <c r="W50" s="73">
        <v>23717.80109433502</v>
      </c>
      <c r="X50" s="73">
        <v>24449.12695437326</v>
      </c>
      <c r="Y50" s="73">
        <v>25394.039952129402</v>
      </c>
      <c r="Z50" s="73">
        <v>26425.740430883212</v>
      </c>
      <c r="AA50" s="73">
        <v>26195.400008176173</v>
      </c>
      <c r="AB50" s="73">
        <v>25753.835648053493</v>
      </c>
      <c r="AC50" s="73">
        <v>24643.536545259609</v>
      </c>
      <c r="AD50" s="73">
        <v>22851.715234716878</v>
      </c>
      <c r="AE50" s="73">
        <v>21257.695303399363</v>
      </c>
      <c r="AF50" s="73">
        <v>20358.94312048913</v>
      </c>
      <c r="AG50" s="43">
        <f>+SUM(I50:AF50)*H50</f>
        <v>2730487.1486379579</v>
      </c>
      <c r="AJ50" s="74"/>
      <c r="AK50" s="75"/>
    </row>
    <row r="51" spans="1:37" ht="14">
      <c r="A51" s="66"/>
      <c r="E51" s="85">
        <f t="shared" si="22"/>
        <v>46997</v>
      </c>
      <c r="F51" s="80"/>
      <c r="G51" s="44" t="s">
        <v>61</v>
      </c>
      <c r="H51" s="44">
        <v>4</v>
      </c>
      <c r="I51" s="73">
        <v>18143.886608456418</v>
      </c>
      <c r="J51" s="73">
        <v>17697.864579652454</v>
      </c>
      <c r="K51" s="73">
        <v>17322.074939794489</v>
      </c>
      <c r="L51" s="73">
        <v>17126.904898545767</v>
      </c>
      <c r="M51" s="73">
        <v>17004.985481404419</v>
      </c>
      <c r="N51" s="73">
        <v>16853.773159160613</v>
      </c>
      <c r="O51" s="73">
        <v>16323.768168553346</v>
      </c>
      <c r="P51" s="73">
        <v>15507.064220649183</v>
      </c>
      <c r="Q51" s="73">
        <v>15125.552014916908</v>
      </c>
      <c r="R51" s="73">
        <v>14970.082671490141</v>
      </c>
      <c r="S51" s="73">
        <v>15457.463316573532</v>
      </c>
      <c r="T51" s="73">
        <v>16146.104941498128</v>
      </c>
      <c r="U51" s="73">
        <v>16533.639209430527</v>
      </c>
      <c r="V51" s="73">
        <v>16972.143313392262</v>
      </c>
      <c r="W51" s="73">
        <v>17566.331141113747</v>
      </c>
      <c r="X51" s="73">
        <v>18630.048575637076</v>
      </c>
      <c r="Y51" s="73">
        <v>20036.557859595265</v>
      </c>
      <c r="Z51" s="73">
        <v>21589.399714768697</v>
      </c>
      <c r="AA51" s="73">
        <v>21757.994633131708</v>
      </c>
      <c r="AB51" s="73">
        <v>21565.708953627232</v>
      </c>
      <c r="AC51" s="73">
        <v>20599.977792320125</v>
      </c>
      <c r="AD51" s="73">
        <v>19589.17964547818</v>
      </c>
      <c r="AE51" s="73">
        <v>18690.117922153859</v>
      </c>
      <c r="AF51" s="73">
        <v>18068.215571540164</v>
      </c>
      <c r="AG51" s="43">
        <f>+SUM(I51:AF51)*H51</f>
        <v>1717115.3573315372</v>
      </c>
      <c r="AJ51" s="74"/>
      <c r="AK51" s="75"/>
    </row>
    <row r="52" spans="1:37" ht="14">
      <c r="A52" s="66"/>
      <c r="E52" s="85">
        <f t="shared" si="22"/>
        <v>46997</v>
      </c>
      <c r="F52" s="80"/>
      <c r="G52" s="45" t="s">
        <v>62</v>
      </c>
      <c r="H52" s="45">
        <v>0</v>
      </c>
      <c r="I52" s="73">
        <v>0</v>
      </c>
      <c r="J52" s="73">
        <v>0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  <c r="Z52" s="73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0</v>
      </c>
      <c r="AF52" s="73">
        <v>0</v>
      </c>
      <c r="AG52" s="46">
        <f>+SUM(I52:AF52)*H52</f>
        <v>0</v>
      </c>
      <c r="AJ52" s="74"/>
      <c r="AK52" s="75"/>
    </row>
    <row r="53" spans="1:37" ht="15" thickBot="1">
      <c r="A53" s="66"/>
      <c r="E53" s="85">
        <f t="shared" si="22"/>
        <v>46997</v>
      </c>
      <c r="F53" s="81"/>
      <c r="G53" s="47" t="s">
        <v>10</v>
      </c>
      <c r="H53" s="47">
        <f>+SUM(H49:H52)</f>
        <v>30</v>
      </c>
      <c r="I53" s="48">
        <f t="shared" ref="I53:AF53" si="23">+SUMPRODUCT(I49:I52,$H49:$H52)</f>
        <v>621641.70270690008</v>
      </c>
      <c r="J53" s="48">
        <f t="shared" si="23"/>
        <v>606175.71773967531</v>
      </c>
      <c r="K53" s="48">
        <f t="shared" si="23"/>
        <v>595965.8782383916</v>
      </c>
      <c r="L53" s="48">
        <f t="shared" si="23"/>
        <v>593480.70144481282</v>
      </c>
      <c r="M53" s="48">
        <f t="shared" si="23"/>
        <v>592350.30306686938</v>
      </c>
      <c r="N53" s="48">
        <f t="shared" si="23"/>
        <v>603522.0849316665</v>
      </c>
      <c r="O53" s="48">
        <f t="shared" si="23"/>
        <v>641559.64673322742</v>
      </c>
      <c r="P53" s="48">
        <f t="shared" si="23"/>
        <v>678867.43777220696</v>
      </c>
      <c r="Q53" s="48">
        <f t="shared" si="23"/>
        <v>707192.80945595703</v>
      </c>
      <c r="R53" s="48">
        <f t="shared" si="23"/>
        <v>714309.43936380371</v>
      </c>
      <c r="S53" s="48">
        <f t="shared" si="23"/>
        <v>740590.65032852057</v>
      </c>
      <c r="T53" s="48">
        <f t="shared" si="23"/>
        <v>755940.62997890834</v>
      </c>
      <c r="U53" s="48">
        <f t="shared" si="23"/>
        <v>742264.90707913507</v>
      </c>
      <c r="V53" s="48">
        <f t="shared" si="23"/>
        <v>763937.20638515137</v>
      </c>
      <c r="W53" s="48">
        <f t="shared" si="23"/>
        <v>798350.29731017025</v>
      </c>
      <c r="X53" s="48">
        <f t="shared" si="23"/>
        <v>828182.2535818977</v>
      </c>
      <c r="Y53" s="48">
        <f t="shared" si="23"/>
        <v>851760.11008966411</v>
      </c>
      <c r="Z53" s="48">
        <f t="shared" si="23"/>
        <v>858985.6344405727</v>
      </c>
      <c r="AA53" s="48">
        <f t="shared" si="23"/>
        <v>831231.54465981445</v>
      </c>
      <c r="AB53" s="48">
        <f t="shared" si="23"/>
        <v>808542.28848537197</v>
      </c>
      <c r="AC53" s="48">
        <f t="shared" si="23"/>
        <v>765657.90051857196</v>
      </c>
      <c r="AD53" s="48">
        <f t="shared" si="23"/>
        <v>712556.2471208655</v>
      </c>
      <c r="AE53" s="48">
        <f t="shared" si="23"/>
        <v>663434.93833586352</v>
      </c>
      <c r="AF53" s="48">
        <f t="shared" si="23"/>
        <v>638634.54416192207</v>
      </c>
      <c r="AG53" s="49">
        <f>SUM(I53:AF53)</f>
        <v>17115134.87392994</v>
      </c>
    </row>
    <row r="54" spans="1:37" ht="14">
      <c r="A54" s="66"/>
      <c r="E54" s="84">
        <v>47027</v>
      </c>
      <c r="F54" s="79">
        <f t="shared" ref="F54" si="24">+AG58</f>
        <v>17420937.379998654</v>
      </c>
      <c r="G54" s="40" t="s">
        <v>60</v>
      </c>
      <c r="H54" s="40">
        <v>21</v>
      </c>
      <c r="I54" s="73">
        <v>21138.341374573589</v>
      </c>
      <c r="J54" s="73">
        <v>20625.474657451148</v>
      </c>
      <c r="K54" s="73">
        <v>20282.938384985253</v>
      </c>
      <c r="L54" s="73">
        <v>20217.311032568436</v>
      </c>
      <c r="M54" s="73">
        <v>20198.977070788977</v>
      </c>
      <c r="N54" s="73">
        <v>20711.420904524224</v>
      </c>
      <c r="O54" s="73">
        <v>22404.070489628539</v>
      </c>
      <c r="P54" s="73">
        <v>24151.547600031408</v>
      </c>
      <c r="Q54" s="73">
        <v>25420.768311135478</v>
      </c>
      <c r="R54" s="73">
        <v>25732.057284113958</v>
      </c>
      <c r="S54" s="73">
        <v>26706.781603215793</v>
      </c>
      <c r="T54" s="73">
        <v>27242.951545042433</v>
      </c>
      <c r="U54" s="73">
        <v>26651.403571012208</v>
      </c>
      <c r="V54" s="73">
        <v>27578.507228122493</v>
      </c>
      <c r="W54" s="73">
        <v>29034.238232786662</v>
      </c>
      <c r="X54" s="73">
        <v>30078.017117617132</v>
      </c>
      <c r="Y54" s="73">
        <v>30707.822951369446</v>
      </c>
      <c r="Z54" s="73">
        <v>30510.127866966755</v>
      </c>
      <c r="AA54" s="73">
        <v>29210.60202673624</v>
      </c>
      <c r="AB54" s="73">
        <v>28271.445738465485</v>
      </c>
      <c r="AC54" s="73">
        <v>26677.14627987962</v>
      </c>
      <c r="AD54" s="73">
        <v>24767.02471690856</v>
      </c>
      <c r="AE54" s="73">
        <v>22978.117833540091</v>
      </c>
      <c r="AF54" s="73">
        <v>22129.394053492477</v>
      </c>
      <c r="AG54" s="41">
        <f>+SUM(I54:AF54)*H54</f>
        <v>12671956.245374084</v>
      </c>
      <c r="AJ54" s="74"/>
    </row>
    <row r="55" spans="1:37" ht="14">
      <c r="A55" s="66"/>
      <c r="E55" s="85">
        <f t="shared" ref="E55:E58" si="25">+E54</f>
        <v>47027</v>
      </c>
      <c r="F55" s="80"/>
      <c r="G55" s="42" t="s">
        <v>63</v>
      </c>
      <c r="H55" s="42">
        <v>4</v>
      </c>
      <c r="I55" s="73">
        <v>21037.685916507569</v>
      </c>
      <c r="J55" s="73">
        <v>20455.610072556148</v>
      </c>
      <c r="K55" s="73">
        <v>20153.380139747045</v>
      </c>
      <c r="L55" s="73">
        <v>20088.219391660987</v>
      </c>
      <c r="M55" s="73">
        <v>20036.980594454199</v>
      </c>
      <c r="N55" s="73">
        <v>20240.941712156764</v>
      </c>
      <c r="O55" s="73">
        <v>21165.738689099424</v>
      </c>
      <c r="P55" s="73">
        <v>21942.890240858746</v>
      </c>
      <c r="Q55" s="73">
        <v>22583.677608294041</v>
      </c>
      <c r="R55" s="73">
        <v>22824.764626941418</v>
      </c>
      <c r="S55" s="73">
        <v>23597.73958897014</v>
      </c>
      <c r="T55" s="73">
        <v>23865.942695414145</v>
      </c>
      <c r="U55" s="73">
        <v>23305.709918091285</v>
      </c>
      <c r="V55" s="73">
        <v>23396.438953785771</v>
      </c>
      <c r="W55" s="73">
        <v>23689.88939600551</v>
      </c>
      <c r="X55" s="73">
        <v>24421.322142110745</v>
      </c>
      <c r="Y55" s="73">
        <v>25366.340484211414</v>
      </c>
      <c r="Z55" s="73">
        <v>26398.541518940256</v>
      </c>
      <c r="AA55" s="73">
        <v>26168.740982845688</v>
      </c>
      <c r="AB55" s="73">
        <v>25729.034129126307</v>
      </c>
      <c r="AC55" s="73">
        <v>24620.374010455726</v>
      </c>
      <c r="AD55" s="73">
        <v>22830.560245009718</v>
      </c>
      <c r="AE55" s="73">
        <v>21238.374907236266</v>
      </c>
      <c r="AF55" s="73">
        <v>20340.301172726431</v>
      </c>
      <c r="AG55" s="43">
        <f>+SUM(I55:AF55)*H55</f>
        <v>2181996.7965488229</v>
      </c>
      <c r="AJ55" s="74"/>
      <c r="AK55" s="75"/>
    </row>
    <row r="56" spans="1:37" ht="14">
      <c r="A56" s="66"/>
      <c r="E56" s="85">
        <f t="shared" si="25"/>
        <v>47027</v>
      </c>
      <c r="F56" s="80"/>
      <c r="G56" s="44" t="s">
        <v>61</v>
      </c>
      <c r="H56" s="44">
        <v>5</v>
      </c>
      <c r="I56" s="73">
        <v>18103.54744094238</v>
      </c>
      <c r="J56" s="73">
        <v>17658.379270394697</v>
      </c>
      <c r="K56" s="73">
        <v>17282.595837637651</v>
      </c>
      <c r="L56" s="73">
        <v>17087.972074372527</v>
      </c>
      <c r="M56" s="73">
        <v>16966.185552443381</v>
      </c>
      <c r="N56" s="73">
        <v>16816.037432149853</v>
      </c>
      <c r="O56" s="73">
        <v>16285.66491365328</v>
      </c>
      <c r="P56" s="73">
        <v>15466.269933815242</v>
      </c>
      <c r="Q56" s="73">
        <v>15082.87831310675</v>
      </c>
      <c r="R56" s="73">
        <v>14925.948359078064</v>
      </c>
      <c r="S56" s="73">
        <v>15410.689014764555</v>
      </c>
      <c r="T56" s="73">
        <v>16098.012597240964</v>
      </c>
      <c r="U56" s="73">
        <v>16485.710355054594</v>
      </c>
      <c r="V56" s="73">
        <v>16923.820726525937</v>
      </c>
      <c r="W56" s="73">
        <v>17519.079178933291</v>
      </c>
      <c r="X56" s="73">
        <v>18582.763011904837</v>
      </c>
      <c r="Y56" s="73">
        <v>19989.598269565005</v>
      </c>
      <c r="Z56" s="73">
        <v>21543.585447555735</v>
      </c>
      <c r="AA56" s="73">
        <v>21711.253636428151</v>
      </c>
      <c r="AB56" s="73">
        <v>21521.356776094686</v>
      </c>
      <c r="AC56" s="73">
        <v>20558.372756525412</v>
      </c>
      <c r="AD56" s="73">
        <v>19550.289943038271</v>
      </c>
      <c r="AE56" s="73">
        <v>18652.63876511237</v>
      </c>
      <c r="AF56" s="73">
        <v>18031.805675220301</v>
      </c>
      <c r="AG56" s="43">
        <f>+SUM(I56:AF56)*H56</f>
        <v>2141272.2764077899</v>
      </c>
      <c r="AJ56" s="74"/>
      <c r="AK56" s="75"/>
    </row>
    <row r="57" spans="1:37" ht="14">
      <c r="A57" s="66"/>
      <c r="E57" s="85">
        <f t="shared" si="25"/>
        <v>47027</v>
      </c>
      <c r="F57" s="80"/>
      <c r="G57" s="45" t="s">
        <v>62</v>
      </c>
      <c r="H57" s="45">
        <v>1</v>
      </c>
      <c r="I57" s="73">
        <v>18278.56660063667</v>
      </c>
      <c r="J57" s="73">
        <v>17849.554570804405</v>
      </c>
      <c r="K57" s="73">
        <v>17513.274446153118</v>
      </c>
      <c r="L57" s="73">
        <v>17333.176625787117</v>
      </c>
      <c r="M57" s="73">
        <v>17168.822593881843</v>
      </c>
      <c r="N57" s="73">
        <v>16684.543801073301</v>
      </c>
      <c r="O57" s="73">
        <v>16007.222749308432</v>
      </c>
      <c r="P57" s="73">
        <v>15341.229565860007</v>
      </c>
      <c r="Q57" s="73">
        <v>15096.673858259948</v>
      </c>
      <c r="R57" s="73">
        <v>14980.468845427535</v>
      </c>
      <c r="S57" s="73">
        <v>15537.810026773357</v>
      </c>
      <c r="T57" s="73">
        <v>16038.982706695679</v>
      </c>
      <c r="U57" s="73">
        <v>16324.798337848868</v>
      </c>
      <c r="V57" s="73">
        <v>16694.383216566937</v>
      </c>
      <c r="W57" s="73">
        <v>17267.107607117916</v>
      </c>
      <c r="X57" s="73">
        <v>18387.823062508185</v>
      </c>
      <c r="Y57" s="73">
        <v>19659.295251048541</v>
      </c>
      <c r="Z57" s="73">
        <v>21335.695916700162</v>
      </c>
      <c r="AA57" s="73">
        <v>21430.493202091558</v>
      </c>
      <c r="AB57" s="73">
        <v>21367.490794368954</v>
      </c>
      <c r="AC57" s="73">
        <v>20290.958876626722</v>
      </c>
      <c r="AD57" s="73">
        <v>19192.574592308538</v>
      </c>
      <c r="AE57" s="73">
        <v>18268.074392790943</v>
      </c>
      <c r="AF57" s="73">
        <v>17663.040027319228</v>
      </c>
      <c r="AG57" s="46">
        <f>+SUM(I57:AF57)*H57</f>
        <v>425712.06166795798</v>
      </c>
      <c r="AJ57" s="74"/>
      <c r="AK57" s="75"/>
    </row>
    <row r="58" spans="1:37" ht="15" thickBot="1">
      <c r="A58" s="66"/>
      <c r="E58" s="85">
        <f t="shared" si="25"/>
        <v>47027</v>
      </c>
      <c r="F58" s="81"/>
      <c r="G58" s="47" t="s">
        <v>10</v>
      </c>
      <c r="H58" s="47">
        <f>+SUM(H54:H57)</f>
        <v>31</v>
      </c>
      <c r="I58" s="48">
        <f t="shared" ref="I58:AF58" si="26">+SUMPRODUCT(I54:I57,$H54:$H57)</f>
        <v>636852.21633742424</v>
      </c>
      <c r="J58" s="48">
        <f t="shared" si="26"/>
        <v>621098.85901947657</v>
      </c>
      <c r="K58" s="48">
        <f t="shared" si="26"/>
        <v>610481.48027801979</v>
      </c>
      <c r="L58" s="48">
        <f t="shared" si="26"/>
        <v>607689.44624823087</v>
      </c>
      <c r="M58" s="48">
        <f t="shared" si="26"/>
        <v>606326.19122048409</v>
      </c>
      <c r="N58" s="48">
        <f t="shared" si="26"/>
        <v>616668.33680545841</v>
      </c>
      <c r="O58" s="48">
        <f t="shared" si="26"/>
        <v>652583.98235617194</v>
      </c>
      <c r="P58" s="48">
        <f t="shared" si="26"/>
        <v>687626.63979903073</v>
      </c>
      <c r="Q58" s="48">
        <f t="shared" si="26"/>
        <v>714681.91039081477</v>
      </c>
      <c r="R58" s="48">
        <f t="shared" si="26"/>
        <v>721282.4721149765</v>
      </c>
      <c r="S58" s="48">
        <f t="shared" si="26"/>
        <v>747824.62712400837</v>
      </c>
      <c r="T58" s="48">
        <f t="shared" si="26"/>
        <v>764094.79892044829</v>
      </c>
      <c r="U58" s="48">
        <f t="shared" si="26"/>
        <v>751655.66477674327</v>
      </c>
      <c r="V58" s="48">
        <f t="shared" si="26"/>
        <v>774047.89445491217</v>
      </c>
      <c r="W58" s="48">
        <f t="shared" si="26"/>
        <v>809341.06397432636</v>
      </c>
      <c r="X58" s="48">
        <f t="shared" si="26"/>
        <v>840625.28616043495</v>
      </c>
      <c r="Y58" s="48">
        <f t="shared" si="26"/>
        <v>865936.93051447766</v>
      </c>
      <c r="Z58" s="48">
        <f t="shared" si="26"/>
        <v>875360.47443654179</v>
      </c>
      <c r="AA58" s="48">
        <f t="shared" si="26"/>
        <v>848084.36787707615</v>
      </c>
      <c r="AB58" s="48">
        <f t="shared" si="26"/>
        <v>825590.77169912285</v>
      </c>
      <c r="AC58" s="48">
        <f t="shared" si="26"/>
        <v>781784.39057854866</v>
      </c>
      <c r="AD58" s="48">
        <f t="shared" si="26"/>
        <v>728373.78434261843</v>
      </c>
      <c r="AE58" s="48">
        <f t="shared" si="26"/>
        <v>679025.24235163978</v>
      </c>
      <c r="AF58" s="48">
        <f t="shared" si="26"/>
        <v>653900.54821766843</v>
      </c>
      <c r="AG58" s="49">
        <f>SUM(I58:AF58)</f>
        <v>17420937.379998654</v>
      </c>
    </row>
    <row r="59" spans="1:37" ht="14">
      <c r="A59" s="66"/>
      <c r="E59" s="84">
        <v>47058</v>
      </c>
      <c r="F59" s="79">
        <f t="shared" ref="F59" si="27">+AG63</f>
        <v>16804655.645060077</v>
      </c>
      <c r="G59" s="40" t="s">
        <v>60</v>
      </c>
      <c r="H59" s="40">
        <v>20</v>
      </c>
      <c r="I59" s="73">
        <v>21130.204300488524</v>
      </c>
      <c r="J59" s="73">
        <v>20617.346364226527</v>
      </c>
      <c r="K59" s="73">
        <v>20274.781359743658</v>
      </c>
      <c r="L59" s="73">
        <v>20209.192483059203</v>
      </c>
      <c r="M59" s="73">
        <v>20190.504392961393</v>
      </c>
      <c r="N59" s="73">
        <v>20702.097607950607</v>
      </c>
      <c r="O59" s="73">
        <v>22393.179421752684</v>
      </c>
      <c r="P59" s="73">
        <v>24139.931923693919</v>
      </c>
      <c r="Q59" s="73">
        <v>25408.514899764963</v>
      </c>
      <c r="R59" s="73">
        <v>25719.527019494839</v>
      </c>
      <c r="S59" s="73">
        <v>26693.546589811547</v>
      </c>
      <c r="T59" s="73">
        <v>27229.379357041566</v>
      </c>
      <c r="U59" s="73">
        <v>26638.00806468771</v>
      </c>
      <c r="V59" s="73">
        <v>27565.323456276023</v>
      </c>
      <c r="W59" s="73">
        <v>29021.077350186864</v>
      </c>
      <c r="X59" s="73">
        <v>30064.84080025896</v>
      </c>
      <c r="Y59" s="73">
        <v>30694.632391096948</v>
      </c>
      <c r="Z59" s="73">
        <v>30497.236551236641</v>
      </c>
      <c r="AA59" s="73">
        <v>29198.430355421042</v>
      </c>
      <c r="AB59" s="73">
        <v>28260.094561044294</v>
      </c>
      <c r="AC59" s="73">
        <v>26666.354691784247</v>
      </c>
      <c r="AD59" s="73">
        <v>24757.110110458623</v>
      </c>
      <c r="AE59" s="73">
        <v>22969.038925445751</v>
      </c>
      <c r="AF59" s="73">
        <v>22120.550100752043</v>
      </c>
      <c r="AG59" s="41">
        <f>+SUM(I59:AF59)*H59</f>
        <v>12063218.061572772</v>
      </c>
      <c r="AJ59" s="74"/>
    </row>
    <row r="60" spans="1:37" ht="14">
      <c r="A60" s="66"/>
      <c r="E60" s="85">
        <f t="shared" ref="E60:E63" si="28">+E59</f>
        <v>47058</v>
      </c>
      <c r="F60" s="80"/>
      <c r="G60" s="42" t="s">
        <v>63</v>
      </c>
      <c r="H60" s="42">
        <v>4</v>
      </c>
      <c r="I60" s="73">
        <v>21026.029937985848</v>
      </c>
      <c r="J60" s="73">
        <v>20444.202018135034</v>
      </c>
      <c r="K60" s="73">
        <v>20142.337923684263</v>
      </c>
      <c r="L60" s="73">
        <v>20077.432593948608</v>
      </c>
      <c r="M60" s="73">
        <v>20025.865728247125</v>
      </c>
      <c r="N60" s="73">
        <v>20229.056663068968</v>
      </c>
      <c r="O60" s="73">
        <v>21152.68914635387</v>
      </c>
      <c r="P60" s="73">
        <v>21929.213426441624</v>
      </c>
      <c r="Q60" s="73">
        <v>22569.218176307117</v>
      </c>
      <c r="R60" s="73">
        <v>22810.043335094735</v>
      </c>
      <c r="S60" s="73">
        <v>23582.094981887043</v>
      </c>
      <c r="T60" s="73">
        <v>23850.320658128188</v>
      </c>
      <c r="U60" s="73">
        <v>23290.74769746705</v>
      </c>
      <c r="V60" s="73">
        <v>23382.256423185474</v>
      </c>
      <c r="W60" s="73">
        <v>23675.642516476863</v>
      </c>
      <c r="X60" s="73">
        <v>24406.94788969625</v>
      </c>
      <c r="Y60" s="73">
        <v>25351.931436202081</v>
      </c>
      <c r="Z60" s="73">
        <v>26384.323077562523</v>
      </c>
      <c r="AA60" s="73">
        <v>26154.810470736029</v>
      </c>
      <c r="AB60" s="73">
        <v>25716.34156333463</v>
      </c>
      <c r="AC60" s="73">
        <v>24608.457246624956</v>
      </c>
      <c r="AD60" s="73">
        <v>22819.618291626222</v>
      </c>
      <c r="AE60" s="73">
        <v>21228.305692553393</v>
      </c>
      <c r="AF60" s="73">
        <v>20330.639946111245</v>
      </c>
      <c r="AG60" s="43">
        <f>+SUM(I60:AF60)*H60</f>
        <v>2180754.1073634364</v>
      </c>
      <c r="AJ60" s="74"/>
      <c r="AK60" s="75"/>
    </row>
    <row r="61" spans="1:37" ht="14">
      <c r="A61" s="66"/>
      <c r="E61" s="85">
        <f t="shared" si="28"/>
        <v>47058</v>
      </c>
      <c r="F61" s="80"/>
      <c r="G61" s="44" t="s">
        <v>61</v>
      </c>
      <c r="H61" s="44">
        <v>4</v>
      </c>
      <c r="I61" s="73">
        <v>18069.639980834647</v>
      </c>
      <c r="J61" s="73">
        <v>17625.151837701233</v>
      </c>
      <c r="K61" s="73">
        <v>17249.206930994736</v>
      </c>
      <c r="L61" s="73">
        <v>17055.089673749608</v>
      </c>
      <c r="M61" s="73">
        <v>16933.383745790492</v>
      </c>
      <c r="N61" s="73">
        <v>16784.27844188629</v>
      </c>
      <c r="O61" s="73">
        <v>16253.408517856971</v>
      </c>
      <c r="P61" s="73">
        <v>15431.553860654778</v>
      </c>
      <c r="Q61" s="73">
        <v>15046.456093189478</v>
      </c>
      <c r="R61" s="73">
        <v>14888.351344865443</v>
      </c>
      <c r="S61" s="73">
        <v>15370.962336064713</v>
      </c>
      <c r="T61" s="73">
        <v>16057.32105006134</v>
      </c>
      <c r="U61" s="73">
        <v>16445.097531426811</v>
      </c>
      <c r="V61" s="73">
        <v>16882.759466117441</v>
      </c>
      <c r="W61" s="73">
        <v>17478.89468474247</v>
      </c>
      <c r="X61" s="73">
        <v>18542.51329947697</v>
      </c>
      <c r="Y61" s="73">
        <v>19949.562192989888</v>
      </c>
      <c r="Z61" s="73">
        <v>21504.740230936044</v>
      </c>
      <c r="AA61" s="73">
        <v>21671.439834396431</v>
      </c>
      <c r="AB61" s="73">
        <v>21483.800185336822</v>
      </c>
      <c r="AC61" s="73">
        <v>20523.099156425425</v>
      </c>
      <c r="AD61" s="73">
        <v>19517.485380769165</v>
      </c>
      <c r="AE61" s="73">
        <v>18621.012016083012</v>
      </c>
      <c r="AF61" s="73">
        <v>18001.185528563754</v>
      </c>
      <c r="AG61" s="43">
        <f>+SUM(I61:AF61)*H61</f>
        <v>1709545.573283656</v>
      </c>
      <c r="AJ61" s="74"/>
      <c r="AK61" s="75"/>
    </row>
    <row r="62" spans="1:37" ht="14">
      <c r="A62" s="66"/>
      <c r="E62" s="85">
        <f t="shared" si="28"/>
        <v>47058</v>
      </c>
      <c r="F62" s="80"/>
      <c r="G62" s="45" t="s">
        <v>62</v>
      </c>
      <c r="H62" s="45">
        <v>2</v>
      </c>
      <c r="I62" s="73">
        <v>18274.765308020389</v>
      </c>
      <c r="J62" s="73">
        <v>17845.741553423464</v>
      </c>
      <c r="K62" s="73">
        <v>17509.335108527292</v>
      </c>
      <c r="L62" s="73">
        <v>17329.322998360713</v>
      </c>
      <c r="M62" s="73">
        <v>17164.636701109259</v>
      </c>
      <c r="N62" s="73">
        <v>16679.429387068114</v>
      </c>
      <c r="O62" s="73">
        <v>16000.63207514816</v>
      </c>
      <c r="P62" s="73">
        <v>15334.425479822765</v>
      </c>
      <c r="Q62" s="73">
        <v>15089.836084174438</v>
      </c>
      <c r="R62" s="73">
        <v>14973.674064466681</v>
      </c>
      <c r="S62" s="73">
        <v>15531.209243460313</v>
      </c>
      <c r="T62" s="73">
        <v>16032.083092634744</v>
      </c>
      <c r="U62" s="73">
        <v>16317.907595335597</v>
      </c>
      <c r="V62" s="73">
        <v>16687.292374882712</v>
      </c>
      <c r="W62" s="73">
        <v>17259.629565846571</v>
      </c>
      <c r="X62" s="73">
        <v>18380.119434088807</v>
      </c>
      <c r="Y62" s="73">
        <v>19651.1636822658</v>
      </c>
      <c r="Z62" s="73">
        <v>21328.68826237286</v>
      </c>
      <c r="AA62" s="73">
        <v>21423.55423677179</v>
      </c>
      <c r="AB62" s="73">
        <v>21361.786167646915</v>
      </c>
      <c r="AC62" s="73">
        <v>20285.356249842873</v>
      </c>
      <c r="AD62" s="73">
        <v>19187.224825726491</v>
      </c>
      <c r="AE62" s="73">
        <v>18262.935266011089</v>
      </c>
      <c r="AF62" s="73">
        <v>17658.202663098829</v>
      </c>
      <c r="AG62" s="46">
        <f>+SUM(I62:AF62)*H62</f>
        <v>851137.90284021315</v>
      </c>
      <c r="AJ62" s="74"/>
      <c r="AK62" s="75"/>
    </row>
    <row r="63" spans="1:37" ht="15" thickBot="1">
      <c r="A63" s="66"/>
      <c r="E63" s="85">
        <f t="shared" si="28"/>
        <v>47058</v>
      </c>
      <c r="F63" s="81"/>
      <c r="G63" s="47" t="s">
        <v>10</v>
      </c>
      <c r="H63" s="47">
        <f>+SUM(H59:H62)</f>
        <v>30</v>
      </c>
      <c r="I63" s="48">
        <f t="shared" ref="I63:AF63" si="29">+SUMPRODUCT(I59:I62,$H59:$H62)</f>
        <v>615536.29630109319</v>
      </c>
      <c r="J63" s="48">
        <f t="shared" si="29"/>
        <v>600315.82581472257</v>
      </c>
      <c r="K63" s="48">
        <f t="shared" si="29"/>
        <v>590080.47683064372</v>
      </c>
      <c r="L63" s="48">
        <f t="shared" si="29"/>
        <v>587372.58472869836</v>
      </c>
      <c r="M63" s="48">
        <f t="shared" si="29"/>
        <v>585976.35915759683</v>
      </c>
      <c r="N63" s="48">
        <f t="shared" si="29"/>
        <v>595454.15135296946</v>
      </c>
      <c r="O63" s="48">
        <f t="shared" si="29"/>
        <v>629489.24324219336</v>
      </c>
      <c r="P63" s="48">
        <f t="shared" si="29"/>
        <v>662910.55858190963</v>
      </c>
      <c r="Q63" s="48">
        <f t="shared" si="29"/>
        <v>688812.66724163457</v>
      </c>
      <c r="R63" s="48">
        <f t="shared" si="29"/>
        <v>695131.46723867091</v>
      </c>
      <c r="S63" s="48">
        <f t="shared" si="29"/>
        <v>720745.57955495873</v>
      </c>
      <c r="T63" s="48">
        <f t="shared" si="29"/>
        <v>736282.3201588589</v>
      </c>
      <c r="U63" s="48">
        <f t="shared" si="29"/>
        <v>724339.35740000091</v>
      </c>
      <c r="V63" s="48">
        <f t="shared" si="29"/>
        <v>745741.11743249756</v>
      </c>
      <c r="W63" s="48">
        <f t="shared" si="29"/>
        <v>779558.95494030777</v>
      </c>
      <c r="X63" s="48">
        <f t="shared" si="29"/>
        <v>809854.89963004971</v>
      </c>
      <c r="Y63" s="48">
        <f t="shared" si="29"/>
        <v>834400.94970323844</v>
      </c>
      <c r="Z63" s="48">
        <f t="shared" si="29"/>
        <v>844158.36078347277</v>
      </c>
      <c r="AA63" s="48">
        <f t="shared" si="29"/>
        <v>818120.71680249425</v>
      </c>
      <c r="AB63" s="48">
        <f t="shared" si="29"/>
        <v>796726.03055086557</v>
      </c>
      <c r="AC63" s="48">
        <f t="shared" si="29"/>
        <v>754424.03194757213</v>
      </c>
      <c r="AD63" s="48">
        <f t="shared" si="29"/>
        <v>702865.06655020698</v>
      </c>
      <c r="AE63" s="48">
        <f t="shared" si="29"/>
        <v>655303.91987548291</v>
      </c>
      <c r="AF63" s="48">
        <f t="shared" si="29"/>
        <v>631054.70923993841</v>
      </c>
      <c r="AG63" s="49">
        <f>SUM(I63:AF63)</f>
        <v>16804655.645060077</v>
      </c>
    </row>
    <row r="64" spans="1:37" ht="14">
      <c r="A64" s="66"/>
      <c r="E64" s="84">
        <v>47088</v>
      </c>
      <c r="F64" s="79">
        <f t="shared" ref="F64" si="30">+AG68</f>
        <v>17276321.266086925</v>
      </c>
      <c r="G64" s="40" t="s">
        <v>60</v>
      </c>
      <c r="H64" s="40">
        <v>19</v>
      </c>
      <c r="I64" s="73">
        <v>21232.681204957196</v>
      </c>
      <c r="J64" s="73">
        <v>20718.969402247069</v>
      </c>
      <c r="K64" s="73">
        <v>20375.642166227783</v>
      </c>
      <c r="L64" s="73">
        <v>20308.839769495225</v>
      </c>
      <c r="M64" s="73">
        <v>20292.472524393335</v>
      </c>
      <c r="N64" s="73">
        <v>20810.525703564806</v>
      </c>
      <c r="O64" s="73">
        <v>22517.252633717508</v>
      </c>
      <c r="P64" s="73">
        <v>24275.998219529094</v>
      </c>
      <c r="Q64" s="73">
        <v>25555.63754520817</v>
      </c>
      <c r="R64" s="73">
        <v>25873.814436082972</v>
      </c>
      <c r="S64" s="73">
        <v>26855.824061491996</v>
      </c>
      <c r="T64" s="73">
        <v>27396.222588658031</v>
      </c>
      <c r="U64" s="73">
        <v>26801.398190381358</v>
      </c>
      <c r="V64" s="73">
        <v>27728.058391679024</v>
      </c>
      <c r="W64" s="73">
        <v>29184.573982596288</v>
      </c>
      <c r="X64" s="73">
        <v>30227.437585716711</v>
      </c>
      <c r="Y64" s="73">
        <v>30856.149949460883</v>
      </c>
      <c r="Z64" s="73">
        <v>30653.293124502419</v>
      </c>
      <c r="AA64" s="73">
        <v>29344.757022788526</v>
      </c>
      <c r="AB64" s="73">
        <v>28399.267376767122</v>
      </c>
      <c r="AC64" s="73">
        <v>26797.933706573433</v>
      </c>
      <c r="AD64" s="73">
        <v>24879.099277927136</v>
      </c>
      <c r="AE64" s="73">
        <v>23082.302511019454</v>
      </c>
      <c r="AF64" s="73">
        <v>22230.768401053796</v>
      </c>
      <c r="AG64" s="41">
        <f>+SUM(I64:AF64)*H64</f>
        <v>11521579.475744747</v>
      </c>
      <c r="AJ64" s="74"/>
    </row>
    <row r="65" spans="1:37" ht="14">
      <c r="A65" s="66"/>
      <c r="E65" s="85">
        <f t="shared" ref="E65:E68" si="31">+E64</f>
        <v>47088</v>
      </c>
      <c r="F65" s="80"/>
      <c r="G65" s="42" t="s">
        <v>63</v>
      </c>
      <c r="H65" s="42">
        <v>5</v>
      </c>
      <c r="I65" s="73">
        <v>21141.442402283468</v>
      </c>
      <c r="J65" s="73">
        <v>20557.098020208276</v>
      </c>
      <c r="K65" s="73">
        <v>20252.131634913516</v>
      </c>
      <c r="L65" s="73">
        <v>20185.050654327744</v>
      </c>
      <c r="M65" s="73">
        <v>20135.373694360322</v>
      </c>
      <c r="N65" s="73">
        <v>20343.090367862882</v>
      </c>
      <c r="O65" s="73">
        <v>21276.43430581643</v>
      </c>
      <c r="P65" s="73">
        <v>22061.204915104699</v>
      </c>
      <c r="Q65" s="73">
        <v>22710.260675036639</v>
      </c>
      <c r="R65" s="73">
        <v>22956.974560224116</v>
      </c>
      <c r="S65" s="73">
        <v>23737.919155434814</v>
      </c>
      <c r="T65" s="73">
        <v>24007.278740298159</v>
      </c>
      <c r="U65" s="73">
        <v>23440.629871898494</v>
      </c>
      <c r="V65" s="73">
        <v>23526.628251588849</v>
      </c>
      <c r="W65" s="73">
        <v>23819.475084050988</v>
      </c>
      <c r="X65" s="73">
        <v>24550.057898012441</v>
      </c>
      <c r="Y65" s="73">
        <v>25494.408228478656</v>
      </c>
      <c r="Z65" s="73">
        <v>26524.14869467957</v>
      </c>
      <c r="AA65" s="73">
        <v>26291.869302640298</v>
      </c>
      <c r="AB65" s="73">
        <v>25844.136389455165</v>
      </c>
      <c r="AC65" s="73">
        <v>24727.744194413564</v>
      </c>
      <c r="AD65" s="73">
        <v>22928.465249255703</v>
      </c>
      <c r="AE65" s="73">
        <v>21327.640082267259</v>
      </c>
      <c r="AF65" s="73">
        <v>20426.553740806852</v>
      </c>
      <c r="AG65" s="43">
        <f>+SUM(I65:AF65)*H65</f>
        <v>2741330.080567095</v>
      </c>
      <c r="AJ65" s="74"/>
      <c r="AK65" s="75"/>
    </row>
    <row r="66" spans="1:37" ht="14">
      <c r="A66" s="66"/>
      <c r="E66" s="85">
        <f t="shared" si="31"/>
        <v>47088</v>
      </c>
      <c r="F66" s="80"/>
      <c r="G66" s="44" t="s">
        <v>61</v>
      </c>
      <c r="H66" s="44">
        <v>5</v>
      </c>
      <c r="I66" s="73">
        <v>18149.911593478035</v>
      </c>
      <c r="J66" s="73">
        <v>17703.679154297442</v>
      </c>
      <c r="K66" s="73">
        <v>17327.553377562435</v>
      </c>
      <c r="L66" s="73">
        <v>17132.3984692411</v>
      </c>
      <c r="M66" s="73">
        <v>17010.389462700274</v>
      </c>
      <c r="N66" s="73">
        <v>16859.318960456254</v>
      </c>
      <c r="O66" s="73">
        <v>16328.980403590976</v>
      </c>
      <c r="P66" s="73">
        <v>15512.288165819849</v>
      </c>
      <c r="Q66" s="73">
        <v>15130.802755302395</v>
      </c>
      <c r="R66" s="73">
        <v>14975.64004604941</v>
      </c>
      <c r="S66" s="73">
        <v>15463.607794160844</v>
      </c>
      <c r="T66" s="73">
        <v>16152.731818574368</v>
      </c>
      <c r="U66" s="73">
        <v>16540.120121758646</v>
      </c>
      <c r="V66" s="73">
        <v>16978.462350643851</v>
      </c>
      <c r="W66" s="73">
        <v>17572.43961041492</v>
      </c>
      <c r="X66" s="73">
        <v>18636.077545094133</v>
      </c>
      <c r="Y66" s="73">
        <v>20042.420556798599</v>
      </c>
      <c r="Z66" s="73">
        <v>21595.560309936172</v>
      </c>
      <c r="AA66" s="73">
        <v>21763.910555658065</v>
      </c>
      <c r="AB66" s="73">
        <v>21571.749705076381</v>
      </c>
      <c r="AC66" s="73">
        <v>20605.57385905131</v>
      </c>
      <c r="AD66" s="73">
        <v>19594.753507601927</v>
      </c>
      <c r="AE66" s="73">
        <v>18695.460879111826</v>
      </c>
      <c r="AF66" s="73">
        <v>18073.627616834423</v>
      </c>
      <c r="AG66" s="43">
        <f>+SUM(I66:AF66)*H66</f>
        <v>2147087.2930960678</v>
      </c>
      <c r="AJ66" s="74"/>
      <c r="AK66" s="75"/>
    </row>
    <row r="67" spans="1:37" ht="14">
      <c r="A67" s="66"/>
      <c r="E67" s="85">
        <f t="shared" si="31"/>
        <v>47088</v>
      </c>
      <c r="F67" s="80"/>
      <c r="G67" s="45" t="s">
        <v>62</v>
      </c>
      <c r="H67" s="45">
        <v>2</v>
      </c>
      <c r="I67" s="73">
        <v>18510.334324133932</v>
      </c>
      <c r="J67" s="73">
        <v>18078.19989307447</v>
      </c>
      <c r="K67" s="73">
        <v>17741.826221555621</v>
      </c>
      <c r="L67" s="73">
        <v>17558.41248358861</v>
      </c>
      <c r="M67" s="73">
        <v>17402.37062571969</v>
      </c>
      <c r="N67" s="73">
        <v>16951.660371750011</v>
      </c>
      <c r="O67" s="73">
        <v>16310.0240945605</v>
      </c>
      <c r="P67" s="73">
        <v>15661.328459347676</v>
      </c>
      <c r="Q67" s="73">
        <v>15419.979989941025</v>
      </c>
      <c r="R67" s="73">
        <v>15311.826856995267</v>
      </c>
      <c r="S67" s="73">
        <v>15882.540351602664</v>
      </c>
      <c r="T67" s="73">
        <v>16403.440624784023</v>
      </c>
      <c r="U67" s="73">
        <v>16690.739627555464</v>
      </c>
      <c r="V67" s="73">
        <v>17062.262576534216</v>
      </c>
      <c r="W67" s="73">
        <v>17632.766092554732</v>
      </c>
      <c r="X67" s="73">
        <v>18750.769236188338</v>
      </c>
      <c r="Y67" s="73">
        <v>20031.590570366436</v>
      </c>
      <c r="Z67" s="73">
        <v>21684.345410751634</v>
      </c>
      <c r="AA67" s="73">
        <v>21777.143746008245</v>
      </c>
      <c r="AB67" s="73">
        <v>21689.391144874884</v>
      </c>
      <c r="AC67" s="73">
        <v>20605.678880769021</v>
      </c>
      <c r="AD67" s="73">
        <v>19492.905623522722</v>
      </c>
      <c r="AE67" s="73">
        <v>18562.196768845879</v>
      </c>
      <c r="AF67" s="73">
        <v>17950.474364481233</v>
      </c>
      <c r="AG67" s="46">
        <f>+SUM(I67:AF67)*H67</f>
        <v>866324.41667901259</v>
      </c>
      <c r="AJ67" s="74"/>
      <c r="AK67" s="75"/>
    </row>
    <row r="68" spans="1:37" ht="15" thickBot="1">
      <c r="A68" s="66"/>
      <c r="E68" s="85">
        <f t="shared" si="31"/>
        <v>47088</v>
      </c>
      <c r="F68" s="81"/>
      <c r="G68" s="47" t="s">
        <v>10</v>
      </c>
      <c r="H68" s="47">
        <f>+SUM(H64:H67)</f>
        <v>31</v>
      </c>
      <c r="I68" s="48">
        <f t="shared" ref="I68:AF68" si="32">+SUMPRODUCT(I64:I67,$H64:$H67)</f>
        <v>636898.38152126211</v>
      </c>
      <c r="J68" s="48">
        <f t="shared" si="32"/>
        <v>621120.70430137182</v>
      </c>
      <c r="K68" s="48">
        <f t="shared" si="32"/>
        <v>610519.27866381884</v>
      </c>
      <c r="L68" s="48">
        <f t="shared" si="32"/>
        <v>607572.02620543074</v>
      </c>
      <c r="M68" s="48">
        <f t="shared" si="32"/>
        <v>606090.53500021575</v>
      </c>
      <c r="N68" s="48">
        <f t="shared" si="32"/>
        <v>615315.35575282702</v>
      </c>
      <c r="O68" s="48">
        <f t="shared" si="32"/>
        <v>648474.92177679064</v>
      </c>
      <c r="P68" s="48">
        <f t="shared" si="32"/>
        <v>680434.08849437081</v>
      </c>
      <c r="Q68" s="48">
        <f t="shared" si="32"/>
        <v>705602.3904905325</v>
      </c>
      <c r="R68" s="48">
        <f t="shared" si="32"/>
        <v>711889.20103093481</v>
      </c>
      <c r="S68" s="48">
        <f t="shared" si="32"/>
        <v>738033.37261953147</v>
      </c>
      <c r="T68" s="48">
        <f t="shared" si="32"/>
        <v>754135.16322843323</v>
      </c>
      <c r="U68" s="48">
        <f t="shared" si="32"/>
        <v>742511.79484064237</v>
      </c>
      <c r="V68" s="48">
        <f t="shared" si="32"/>
        <v>763483.08760613343</v>
      </c>
      <c r="W68" s="48">
        <f t="shared" si="32"/>
        <v>796732.01132676844</v>
      </c>
      <c r="X68" s="48">
        <f t="shared" si="32"/>
        <v>827753.52981652704</v>
      </c>
      <c r="Y68" s="48">
        <f t="shared" si="32"/>
        <v>854014.1741068759</v>
      </c>
      <c r="Z68" s="48">
        <f t="shared" si="32"/>
        <v>866379.80521012808</v>
      </c>
      <c r="AA68" s="48">
        <f t="shared" si="32"/>
        <v>841383.57021649031</v>
      </c>
      <c r="AB68" s="48">
        <f t="shared" si="32"/>
        <v>820044.29292098293</v>
      </c>
      <c r="AC68" s="48">
        <f t="shared" si="32"/>
        <v>777038.68845375755</v>
      </c>
      <c r="AD68" s="48">
        <f t="shared" si="32"/>
        <v>724304.79131194914</v>
      </c>
      <c r="AE68" s="48">
        <f t="shared" si="32"/>
        <v>675803.64605395682</v>
      </c>
      <c r="AF68" s="48">
        <f t="shared" si="32"/>
        <v>650786.45513719099</v>
      </c>
      <c r="AG68" s="49">
        <f>SUM(I68:AF68)</f>
        <v>17276321.266086925</v>
      </c>
    </row>
    <row r="72" spans="1:37">
      <c r="F72" s="69"/>
      <c r="AG72" s="70"/>
    </row>
    <row r="74" spans="1:37" ht="20">
      <c r="E74" s="59"/>
    </row>
    <row r="75" spans="1:37">
      <c r="E75" s="60"/>
    </row>
    <row r="76" spans="1:37">
      <c r="E76" s="60"/>
    </row>
  </sheetData>
  <protectedRanges>
    <protectedRange algorithmName="SHA-512" hashValue="ddMXVrQS0fgB43c0atEM6OKu6oDWAMpeJLqJjfuwWmQe8OHAIs2JeDVHZWeRY9WToyZdUZnhWoqdJcb06CPmZw==" saltValue="nLR4AFgxssXjR1gopeih9Q==" spinCount="100000" sqref="E1:AG8 E13:AG13 E9:H12 AG9:AG12 AG14:AG17 AG19:AG22 AG24:AG27 AG29:AG32 AG34:AG37 AG39:AG42 AG44:AG47 AG49:AG52 AG54:AG57 AG59:AG62 E14:F68 AG64:AG67 G18:AG18 G14:H17 G23:AG23 G19:H22 G28:AG28 G24:H27 G33:AG33 G29:H32 G38:AG38 G34:H37 G43:AG43 G39:H42 G48:AG48 G44:H47 G53:AG53 G49:H52 G58:AG58 G54:H57 G63:AG63 G59:H62 G68:AG68 G64:H67" name="Rango2_1"/>
  </protectedRanges>
  <autoFilter ref="B8:AG68" xr:uid="{98D85E0E-5F56-42D8-9FCA-AAAB2573C3B5}"/>
  <mergeCells count="30">
    <mergeCell ref="F59:F63"/>
    <mergeCell ref="E34:E38"/>
    <mergeCell ref="E39:E43"/>
    <mergeCell ref="E44:E48"/>
    <mergeCell ref="F34:F38"/>
    <mergeCell ref="F39:F43"/>
    <mergeCell ref="F44:F48"/>
    <mergeCell ref="F49:F53"/>
    <mergeCell ref="F54:F58"/>
    <mergeCell ref="F9:F13"/>
    <mergeCell ref="F14:F18"/>
    <mergeCell ref="F19:F23"/>
    <mergeCell ref="F24:F28"/>
    <mergeCell ref="F29:F33"/>
    <mergeCell ref="F64:F68"/>
    <mergeCell ref="G7:H7"/>
    <mergeCell ref="E1:AG1"/>
    <mergeCell ref="E2:AG2"/>
    <mergeCell ref="E3:AG3"/>
    <mergeCell ref="E4:AG4"/>
    <mergeCell ref="E5:AG5"/>
    <mergeCell ref="E49:E53"/>
    <mergeCell ref="E54:E58"/>
    <mergeCell ref="E9:E13"/>
    <mergeCell ref="E14:E18"/>
    <mergeCell ref="E19:E23"/>
    <mergeCell ref="E24:E28"/>
    <mergeCell ref="E29:E33"/>
    <mergeCell ref="E59:E63"/>
    <mergeCell ref="E64:E6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E53E-D29A-451F-9864-0D0947E67067}">
  <sheetPr>
    <pageSetUpPr fitToPage="1"/>
  </sheetPr>
  <dimension ref="A1:IU35"/>
  <sheetViews>
    <sheetView showGridLines="0" topLeftCell="A16" zoomScale="85" zoomScaleNormal="85" zoomScaleSheetLayoutView="100" workbookViewId="0">
      <selection sqref="A1:I35"/>
    </sheetView>
  </sheetViews>
  <sheetFormatPr baseColWidth="10" defaultColWidth="0" defaultRowHeight="0" customHeight="1" zeroHeight="1"/>
  <cols>
    <col min="1" max="1" width="5.453125" style="18" customWidth="1"/>
    <col min="2" max="2" width="1" style="18" customWidth="1"/>
    <col min="3" max="3" width="19" style="18" customWidth="1"/>
    <col min="4" max="4" width="23.54296875" style="18" customWidth="1"/>
    <col min="5" max="5" width="19.54296875" style="18" customWidth="1"/>
    <col min="6" max="6" width="22.54296875" style="18" bestFit="1" customWidth="1"/>
    <col min="7" max="7" width="16.54296875" style="18" customWidth="1"/>
    <col min="8" max="8" width="1.453125" style="18" customWidth="1"/>
    <col min="9" max="9" width="8.453125" style="18" customWidth="1"/>
    <col min="10" max="10" width="1.54296875" style="18" hidden="1" customWidth="1"/>
    <col min="11" max="255" width="3.453125" style="18" hidden="1" customWidth="1"/>
    <col min="256" max="16384" width="5.54296875" style="18" hidden="1"/>
  </cols>
  <sheetData>
    <row r="1" spans="1:12" s="17" customFormat="1" ht="26.25" customHeight="1">
      <c r="A1" s="15"/>
      <c r="B1" s="15"/>
      <c r="C1" s="76" t="s">
        <v>66</v>
      </c>
      <c r="D1" s="76"/>
      <c r="E1" s="76"/>
      <c r="F1" s="76"/>
      <c r="G1" s="76"/>
      <c r="H1" s="16"/>
      <c r="I1" s="16"/>
    </row>
    <row r="2" spans="1:12" ht="34.5" customHeight="1">
      <c r="C2" s="76" t="s">
        <v>69</v>
      </c>
      <c r="D2" s="76"/>
      <c r="E2" s="76"/>
      <c r="F2" s="76"/>
      <c r="G2" s="76"/>
      <c r="H2" s="16"/>
      <c r="I2" s="16"/>
    </row>
    <row r="3" spans="1:12" ht="16.5">
      <c r="C3" s="19" t="s">
        <v>0</v>
      </c>
      <c r="D3" s="20" t="s">
        <v>1</v>
      </c>
    </row>
    <row r="4" spans="1:12" ht="16.5">
      <c r="C4" s="21" t="s">
        <v>2</v>
      </c>
      <c r="D4" s="22" t="s">
        <v>3</v>
      </c>
    </row>
    <row r="5" spans="1:12" ht="16.5">
      <c r="C5" s="21" t="s">
        <v>4</v>
      </c>
      <c r="D5" s="39"/>
      <c r="E5" s="38"/>
      <c r="F5" s="38"/>
      <c r="G5" s="38"/>
    </row>
    <row r="6" spans="1:12" ht="16.5">
      <c r="C6" s="21"/>
      <c r="D6" s="39"/>
      <c r="E6" s="38"/>
      <c r="F6" s="38"/>
      <c r="G6" s="38"/>
    </row>
    <row r="7" spans="1:12" ht="16.5">
      <c r="B7" s="23"/>
      <c r="C7" s="19"/>
      <c r="D7" s="20"/>
      <c r="E7" s="20"/>
    </row>
    <row r="8" spans="1:12" ht="19.5" customHeight="1">
      <c r="C8"/>
      <c r="D8"/>
      <c r="E8"/>
      <c r="F8"/>
      <c r="G8"/>
      <c r="H8" s="71"/>
      <c r="I8" s="71"/>
      <c r="J8" s="71"/>
      <c r="K8" s="24"/>
      <c r="L8" s="24"/>
    </row>
    <row r="9" spans="1:12" ht="49.5" customHeight="1">
      <c r="C9" s="54" t="s">
        <v>5</v>
      </c>
      <c r="D9" s="30" t="s">
        <v>6</v>
      </c>
      <c r="E9" s="54" t="s">
        <v>7</v>
      </c>
      <c r="F9" s="54" t="s">
        <v>8</v>
      </c>
      <c r="G9" s="54" t="s">
        <v>9</v>
      </c>
      <c r="H9" s="71"/>
      <c r="I9" s="71"/>
      <c r="J9" s="71"/>
      <c r="K9" s="24"/>
      <c r="L9" s="24"/>
    </row>
    <row r="10" spans="1:12" ht="16.5">
      <c r="C10" s="55">
        <v>47119</v>
      </c>
      <c r="D10" s="34">
        <f>+_xlfn.XLOOKUP(C10,'Cantidades horarias PROD 04'!E:E,'Cantidades horarias PROD 04'!F:F)</f>
        <v>31438022.350921277</v>
      </c>
      <c r="E10" s="29">
        <v>1</v>
      </c>
      <c r="F10" s="34">
        <f t="shared" ref="F10:F21" si="0">ROUND(D10*$E10,2)</f>
        <v>31438022.350000001</v>
      </c>
      <c r="G10" s="77"/>
      <c r="H10" s="71"/>
      <c r="I10" s="71"/>
      <c r="J10" s="71"/>
      <c r="K10" s="24"/>
      <c r="L10" s="24"/>
    </row>
    <row r="11" spans="1:12" ht="16.5">
      <c r="C11" s="55">
        <v>47150</v>
      </c>
      <c r="D11" s="34">
        <f>+_xlfn.XLOOKUP(C11,'Cantidades horarias PROD 04'!E:E,'Cantidades horarias PROD 04'!F:F)</f>
        <v>28472450.236795787</v>
      </c>
      <c r="E11" s="29">
        <v>1</v>
      </c>
      <c r="F11" s="34">
        <f t="shared" si="0"/>
        <v>28472450.239999998</v>
      </c>
      <c r="G11" s="77"/>
      <c r="H11" s="71"/>
      <c r="I11" s="71"/>
      <c r="J11" s="71"/>
      <c r="K11" s="24"/>
      <c r="L11" s="24"/>
    </row>
    <row r="12" spans="1:12" ht="16.5">
      <c r="C12" s="55">
        <v>47178</v>
      </c>
      <c r="D12" s="34">
        <f>+_xlfn.XLOOKUP(C12,'Cantidades horarias PROD 04'!E:E,'Cantidades horarias PROD 04'!F:F)</f>
        <v>29981998.055945076</v>
      </c>
      <c r="E12" s="29">
        <v>1</v>
      </c>
      <c r="F12" s="34">
        <f t="shared" si="0"/>
        <v>29981998.059999999</v>
      </c>
      <c r="G12" s="77"/>
      <c r="H12" s="71"/>
      <c r="I12" s="71"/>
      <c r="J12" s="71"/>
      <c r="K12" s="24"/>
      <c r="L12" s="24"/>
    </row>
    <row r="13" spans="1:12" ht="16.5">
      <c r="C13" s="55">
        <v>47209</v>
      </c>
      <c r="D13" s="34">
        <f>+_xlfn.XLOOKUP(C13,'Cantidades horarias PROD 04'!E:E,'Cantidades horarias PROD 04'!F:F)</f>
        <v>30519283.829282589</v>
      </c>
      <c r="E13" s="29">
        <v>1</v>
      </c>
      <c r="F13" s="34">
        <f t="shared" si="0"/>
        <v>30519283.829999998</v>
      </c>
      <c r="G13" s="77"/>
      <c r="H13" s="71"/>
      <c r="I13" s="71"/>
      <c r="J13" s="71"/>
      <c r="K13" s="24"/>
      <c r="L13" s="24"/>
    </row>
    <row r="14" spans="1:12" ht="16.5">
      <c r="C14" s="55">
        <v>47239</v>
      </c>
      <c r="D14" s="34">
        <f>+_xlfn.XLOOKUP(C14,'Cantidades horarias PROD 04'!E:E,'Cantidades horarias PROD 04'!F:F)</f>
        <v>30810328.626854271</v>
      </c>
      <c r="E14" s="29">
        <v>1</v>
      </c>
      <c r="F14" s="34">
        <f t="shared" si="0"/>
        <v>30810328.629999999</v>
      </c>
      <c r="G14" s="77"/>
      <c r="H14" s="71"/>
      <c r="I14" s="71"/>
      <c r="J14" s="71"/>
      <c r="K14" s="24"/>
      <c r="L14" s="24"/>
    </row>
    <row r="15" spans="1:12" ht="16.5">
      <c r="C15" s="55">
        <v>47270</v>
      </c>
      <c r="D15" s="34">
        <f>+_xlfn.XLOOKUP(C15,'Cantidades horarias PROD 04'!E:E,'Cantidades horarias PROD 04'!F:F)</f>
        <v>29973624.764254104</v>
      </c>
      <c r="E15" s="29">
        <v>1</v>
      </c>
      <c r="F15" s="34">
        <f t="shared" si="0"/>
        <v>29973624.760000002</v>
      </c>
      <c r="G15" s="77"/>
      <c r="H15" s="71"/>
      <c r="I15" s="71"/>
      <c r="J15" s="71"/>
      <c r="K15" s="24"/>
      <c r="L15" s="24"/>
    </row>
    <row r="16" spans="1:12" ht="16.5">
      <c r="C16" s="55">
        <v>47300</v>
      </c>
      <c r="D16" s="34">
        <f>+_xlfn.XLOOKUP(C16,'Cantidades horarias PROD 04'!E:E,'Cantidades horarias PROD 04'!F:F)</f>
        <v>30372144.626415633</v>
      </c>
      <c r="E16" s="29">
        <v>1</v>
      </c>
      <c r="F16" s="34">
        <f t="shared" si="0"/>
        <v>30372144.629999999</v>
      </c>
      <c r="G16" s="77"/>
      <c r="H16" s="71"/>
      <c r="I16" s="71"/>
      <c r="J16" s="71"/>
      <c r="K16" s="24"/>
      <c r="L16" s="24"/>
    </row>
    <row r="17" spans="3:12" ht="16.5">
      <c r="C17" s="55">
        <v>47331</v>
      </c>
      <c r="D17" s="34">
        <f>+_xlfn.XLOOKUP(C17,'Cantidades horarias PROD 04'!E:E,'Cantidades horarias PROD 04'!F:F)</f>
        <v>30851783.208432823</v>
      </c>
      <c r="E17" s="29">
        <v>1</v>
      </c>
      <c r="F17" s="34">
        <f t="shared" si="0"/>
        <v>30851783.210000001</v>
      </c>
      <c r="G17" s="77"/>
      <c r="H17" s="71"/>
      <c r="I17" s="71"/>
      <c r="J17" s="71"/>
      <c r="K17" s="24"/>
      <c r="L17" s="24"/>
    </row>
    <row r="18" spans="3:12" ht="16.5">
      <c r="C18" s="55">
        <v>47362</v>
      </c>
      <c r="D18" s="34">
        <f>+_xlfn.XLOOKUP(C18,'Cantidades horarias PROD 04'!E:E,'Cantidades horarias PROD 04'!F:F)</f>
        <v>30132090.492888212</v>
      </c>
      <c r="E18" s="29">
        <v>1</v>
      </c>
      <c r="F18" s="34">
        <f t="shared" si="0"/>
        <v>30132090.489999998</v>
      </c>
      <c r="G18" s="77"/>
      <c r="H18" s="71"/>
      <c r="I18" s="71"/>
      <c r="J18" s="71"/>
      <c r="K18" s="24"/>
      <c r="L18" s="24"/>
    </row>
    <row r="19" spans="3:12" ht="16.5">
      <c r="C19" s="55">
        <v>47392</v>
      </c>
      <c r="D19" s="34">
        <f>+_xlfn.XLOOKUP(C19,'Cantidades horarias PROD 04'!E:E,'Cantidades horarias PROD 04'!F:F)</f>
        <v>31354398.310760178</v>
      </c>
      <c r="E19" s="29">
        <v>1</v>
      </c>
      <c r="F19" s="34">
        <f t="shared" si="0"/>
        <v>31354398.309999999</v>
      </c>
      <c r="G19" s="77"/>
      <c r="H19" s="71"/>
      <c r="I19" s="71"/>
      <c r="J19" s="71"/>
      <c r="K19" s="24"/>
      <c r="L19" s="24"/>
    </row>
    <row r="20" spans="3:12" ht="16.5">
      <c r="C20" s="55">
        <v>47423</v>
      </c>
      <c r="D20" s="34">
        <f>+_xlfn.XLOOKUP(C20,'Cantidades horarias PROD 04'!E:E,'Cantidades horarias PROD 04'!F:F)</f>
        <v>29761780.814067788</v>
      </c>
      <c r="E20" s="29">
        <v>1</v>
      </c>
      <c r="F20" s="34">
        <f t="shared" si="0"/>
        <v>29761780.809999999</v>
      </c>
      <c r="G20" s="77"/>
      <c r="H20" s="71"/>
      <c r="I20" s="71"/>
      <c r="J20" s="71"/>
      <c r="K20" s="24"/>
      <c r="L20" s="24"/>
    </row>
    <row r="21" spans="3:12" ht="16.5">
      <c r="C21" s="55">
        <v>47453</v>
      </c>
      <c r="D21" s="34">
        <f>+_xlfn.XLOOKUP(C21,'Cantidades horarias PROD 04'!E:E,'Cantidades horarias PROD 04'!F:F)</f>
        <v>30693421.758397151</v>
      </c>
      <c r="E21" s="29">
        <v>1</v>
      </c>
      <c r="F21" s="34">
        <f t="shared" si="0"/>
        <v>30693421.760000002</v>
      </c>
      <c r="G21" s="77"/>
      <c r="H21" s="71"/>
      <c r="I21" s="71"/>
      <c r="J21" s="71"/>
      <c r="K21" s="24"/>
      <c r="L21" s="24"/>
    </row>
    <row r="22" spans="3:12" ht="16.5">
      <c r="C22" s="50" t="s">
        <v>10</v>
      </c>
      <c r="D22" s="51">
        <f>SUM(D10:D21)</f>
        <v>364361327.07501489</v>
      </c>
      <c r="E22" s="53">
        <f>IFERROR(F22/D22,0)</f>
        <v>1.0000000000136817</v>
      </c>
      <c r="F22" s="51">
        <f>SUM(F10:F21)</f>
        <v>364361327.07999998</v>
      </c>
      <c r="G22" s="52">
        <f>G10</f>
        <v>0</v>
      </c>
      <c r="H22" s="71"/>
      <c r="I22" s="71"/>
      <c r="J22" s="71"/>
      <c r="K22" s="24"/>
      <c r="L22" s="24"/>
    </row>
    <row r="23" spans="3:12" ht="16.5">
      <c r="C23" s="32"/>
      <c r="D23" s="31"/>
      <c r="E23" s="36"/>
      <c r="F23" s="31"/>
      <c r="G23" s="35"/>
      <c r="H23" s="71"/>
      <c r="I23" s="71"/>
      <c r="J23" s="71"/>
      <c r="K23" s="24"/>
      <c r="L23" s="24"/>
    </row>
    <row r="24" spans="3:12" ht="19.5" customHeight="1">
      <c r="C24"/>
      <c r="D24" s="30" t="s">
        <v>11</v>
      </c>
      <c r="E24" s="37">
        <v>0.8</v>
      </c>
      <c r="F24"/>
      <c r="G24"/>
      <c r="H24" s="71"/>
      <c r="I24" s="71"/>
      <c r="J24" s="71"/>
      <c r="K24" s="24"/>
      <c r="L24" s="24"/>
    </row>
    <row r="25" spans="3:12" ht="16.5">
      <c r="D25" s="30" t="s">
        <v>12</v>
      </c>
      <c r="E25" s="33">
        <f>MIN(E10:E21)/MAX(E10:E21)</f>
        <v>1</v>
      </c>
      <c r="F25" s="25"/>
      <c r="G25" s="26"/>
      <c r="H25" s="26"/>
      <c r="I25" s="25"/>
      <c r="J25" s="25"/>
    </row>
    <row r="26" spans="3:12" ht="16.5">
      <c r="C26" s="27" t="s">
        <v>13</v>
      </c>
      <c r="D26" s="26"/>
      <c r="E26" s="26"/>
      <c r="F26" s="26"/>
      <c r="G26" s="26"/>
      <c r="H26" s="26"/>
      <c r="I26" s="25"/>
      <c r="J26" s="25"/>
    </row>
    <row r="27" spans="3:12" ht="16.5">
      <c r="C27" s="28" t="s">
        <v>71</v>
      </c>
      <c r="D27" s="26"/>
      <c r="E27" s="26"/>
      <c r="F27" s="26"/>
      <c r="G27" s="26"/>
      <c r="H27" s="26"/>
      <c r="I27" s="25"/>
      <c r="J27" s="25"/>
    </row>
    <row r="28" spans="3:12" ht="16.5">
      <c r="C28" s="28" t="s">
        <v>14</v>
      </c>
      <c r="I28" s="25"/>
      <c r="J28" s="25"/>
    </row>
    <row r="29" spans="3:12" ht="16.5">
      <c r="C29" s="78"/>
      <c r="D29" s="78"/>
      <c r="E29" s="78"/>
      <c r="F29" s="78"/>
      <c r="G29" s="78"/>
      <c r="H29" s="25"/>
      <c r="I29" s="25"/>
      <c r="J29" s="25"/>
    </row>
    <row r="30" spans="3:12" ht="16.5">
      <c r="C30" s="78"/>
      <c r="D30" s="78"/>
      <c r="E30" s="78"/>
      <c r="F30" s="78"/>
      <c r="G30" s="78"/>
    </row>
    <row r="31" spans="3:12" ht="16.5">
      <c r="E31" s="38"/>
      <c r="F31" s="56"/>
      <c r="G31" s="56"/>
    </row>
    <row r="32" spans="3:12" ht="15" customHeight="1">
      <c r="C32" s="57" t="s">
        <v>15</v>
      </c>
      <c r="D32" s="58"/>
      <c r="E32" s="38"/>
      <c r="F32" s="38"/>
      <c r="G32" s="38"/>
    </row>
    <row r="33" spans="3:8" ht="15" customHeight="1">
      <c r="C33" s="22" t="s">
        <v>16</v>
      </c>
      <c r="F33" s="38"/>
      <c r="G33" s="38"/>
    </row>
    <row r="34" spans="3:8" ht="16.5">
      <c r="C34" s="22" t="s">
        <v>17</v>
      </c>
    </row>
    <row r="35" spans="3:8" ht="16.5">
      <c r="G35" s="22"/>
      <c r="H35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9:G9 C10:C21 E10:E21" name="Rango1"/>
    <protectedRange algorithmName="SHA-512" hashValue="ae/Js8yeMw6wHjGREqu83BjAYnjwv1NHxpvnTe57rDwDMNDPGlnZwgp89HjM7G0cg/2ItV/6+CjQlsfmX7La6g==" saltValue="fv5wd7mgDmwpGOJN+Z7vlA==" spinCount="100000" sqref="G10:G21" name="Rango1_1_1"/>
    <protectedRange algorithmName="SHA-512" hashValue="ae/Js8yeMw6wHjGREqu83BjAYnjwv1NHxpvnTe57rDwDMNDPGlnZwgp89HjM7G0cg/2ItV/6+CjQlsfmX7La6g==" saltValue="fv5wd7mgDmwpGOJN+Z7vlA==" spinCount="100000" sqref="D10:D21" name="Rango1_1"/>
  </protectedRanges>
  <mergeCells count="4">
    <mergeCell ref="C1:G1"/>
    <mergeCell ref="C2:G2"/>
    <mergeCell ref="G10:G21"/>
    <mergeCell ref="C29:G30"/>
  </mergeCells>
  <conditionalFormatting sqref="E25">
    <cfRule type="cellIs" dxfId="5" priority="1" operator="equal">
      <formula>$E$24</formula>
    </cfRule>
    <cfRule type="cellIs" dxfId="4" priority="2" operator="greaterThan">
      <formula>$E$24</formula>
    </cfRule>
    <cfRule type="cellIs" dxfId="3" priority="3" operator="lessThan">
      <formula>$E$24</formula>
    </cfRule>
  </conditionalFormatting>
  <dataValidations count="1">
    <dataValidation type="textLength" allowBlank="1" showInputMessage="1" showErrorMessage="1" errorTitle="SOLO 2 DECIMALES" error="Por favor introduzca un valor con maximo 2 decimales" sqref="E10:E21" xr:uid="{F7D413D9-C72F-4C7F-82BF-0FFE8D3FF39D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2" fitToHeight="0" orientation="portrait" cellComments="asDisplayed" r:id="rId1"/>
  <headerFooter alignWithMargins="0">
    <oddHeader>&amp;R&amp;11 1 de 1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2888-B419-47D1-8214-847B346D5E2E}">
  <dimension ref="A1:AK76"/>
  <sheetViews>
    <sheetView showGridLines="0" workbookViewId="0">
      <selection activeCell="E1" sqref="E1:AG68"/>
    </sheetView>
  </sheetViews>
  <sheetFormatPr baseColWidth="10" defaultColWidth="11.453125" defaultRowHeight="12.5"/>
  <cols>
    <col min="4" max="4" width="13.90625" customWidth="1"/>
    <col min="6" max="6" width="14.54296875" bestFit="1" customWidth="1"/>
    <col min="9" max="32" width="11.54296875" bestFit="1" customWidth="1"/>
    <col min="33" max="33" width="14.453125" bestFit="1" customWidth="1"/>
    <col min="34" max="34" width="3.81640625" customWidth="1"/>
    <col min="36" max="36" width="12.54296875" bestFit="1" customWidth="1"/>
  </cols>
  <sheetData>
    <row r="1" spans="1:37" ht="23">
      <c r="E1" s="83" t="s">
        <v>18</v>
      </c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</row>
    <row r="2" spans="1:37" ht="23">
      <c r="E2" s="83" t="s">
        <v>48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</row>
    <row r="3" spans="1:37" ht="23">
      <c r="E3" s="83" t="s">
        <v>3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</row>
    <row r="4" spans="1:37" ht="23"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</row>
    <row r="5" spans="1:37" ht="23">
      <c r="E5" s="83" t="s">
        <v>4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</row>
    <row r="6" spans="1:37" ht="23">
      <c r="E6" s="61"/>
      <c r="F6" s="62"/>
      <c r="G6" s="62"/>
      <c r="H6" s="63"/>
      <c r="I6" s="68"/>
      <c r="J6" s="64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</row>
    <row r="7" spans="1:37" ht="14.5" thickBot="1">
      <c r="E7" s="65"/>
      <c r="F7" s="65"/>
      <c r="G7" s="82"/>
      <c r="H7" s="82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</row>
    <row r="8" spans="1:37" ht="28.5" thickBot="1">
      <c r="B8" s="71"/>
      <c r="C8" s="71"/>
      <c r="D8" s="71"/>
      <c r="E8" s="8" t="s">
        <v>50</v>
      </c>
      <c r="F8" s="9" t="s">
        <v>19</v>
      </c>
      <c r="G8" s="9" t="s">
        <v>20</v>
      </c>
      <c r="H8" s="10" t="s">
        <v>21</v>
      </c>
      <c r="I8" s="11" t="s">
        <v>22</v>
      </c>
      <c r="J8" s="12" t="s">
        <v>23</v>
      </c>
      <c r="K8" s="12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2" t="s">
        <v>29</v>
      </c>
      <c r="Q8" s="12" t="s">
        <v>30</v>
      </c>
      <c r="R8" s="12" t="s">
        <v>31</v>
      </c>
      <c r="S8" s="12" t="s">
        <v>32</v>
      </c>
      <c r="T8" s="12" t="s">
        <v>33</v>
      </c>
      <c r="U8" s="12" t="s">
        <v>34</v>
      </c>
      <c r="V8" s="12" t="s">
        <v>35</v>
      </c>
      <c r="W8" s="12" t="s">
        <v>36</v>
      </c>
      <c r="X8" s="12" t="s">
        <v>37</v>
      </c>
      <c r="Y8" s="12" t="s">
        <v>38</v>
      </c>
      <c r="Z8" s="12" t="s">
        <v>39</v>
      </c>
      <c r="AA8" s="12" t="s">
        <v>40</v>
      </c>
      <c r="AB8" s="12" t="s">
        <v>41</v>
      </c>
      <c r="AC8" s="12" t="s">
        <v>42</v>
      </c>
      <c r="AD8" s="12" t="s">
        <v>43</v>
      </c>
      <c r="AE8" s="12" t="s">
        <v>44</v>
      </c>
      <c r="AF8" s="13" t="s">
        <v>45</v>
      </c>
      <c r="AG8" s="14" t="s">
        <v>10</v>
      </c>
    </row>
    <row r="9" spans="1:37" ht="14">
      <c r="A9" s="66"/>
      <c r="E9" s="84">
        <v>47119</v>
      </c>
      <c r="F9" s="79">
        <f>+AG13</f>
        <v>31438022.350921277</v>
      </c>
      <c r="G9" s="40" t="s">
        <v>60</v>
      </c>
      <c r="H9" s="40">
        <v>21</v>
      </c>
      <c r="I9" s="73">
        <v>37057.054612580454</v>
      </c>
      <c r="J9" s="73">
        <v>36049.279149436356</v>
      </c>
      <c r="K9" s="73">
        <v>35386.600973402143</v>
      </c>
      <c r="L9" s="73">
        <v>35368.56864107478</v>
      </c>
      <c r="M9" s="73">
        <v>35249.244157942245</v>
      </c>
      <c r="N9" s="73">
        <v>36553.473935198053</v>
      </c>
      <c r="O9" s="73">
        <v>40698.175141831307</v>
      </c>
      <c r="P9" s="73">
        <v>45964.273391379851</v>
      </c>
      <c r="Q9" s="73">
        <v>49781.303723157354</v>
      </c>
      <c r="R9" s="73">
        <v>51136.37129343229</v>
      </c>
      <c r="S9" s="73">
        <v>53272.39470187181</v>
      </c>
      <c r="T9" s="73">
        <v>54369.015299058388</v>
      </c>
      <c r="U9" s="73">
        <v>52778.19223848531</v>
      </c>
      <c r="V9" s="73">
        <v>54345.08521896576</v>
      </c>
      <c r="W9" s="73">
        <v>56619.033978528132</v>
      </c>
      <c r="X9" s="73">
        <v>57882.004044145833</v>
      </c>
      <c r="Y9" s="73">
        <v>57755.473623603801</v>
      </c>
      <c r="Z9" s="73">
        <v>55810.812281273669</v>
      </c>
      <c r="AA9" s="73">
        <v>52703.343038651859</v>
      </c>
      <c r="AB9" s="73">
        <v>50904.038927914124</v>
      </c>
      <c r="AC9" s="73">
        <v>47610.05659596355</v>
      </c>
      <c r="AD9" s="73">
        <v>44036.553978512326</v>
      </c>
      <c r="AE9" s="73">
        <v>40491.014610853294</v>
      </c>
      <c r="AF9" s="73">
        <v>39017.026608215652</v>
      </c>
      <c r="AG9" s="41">
        <f>ROUND(SUM(I9:AF9)*H9,2)</f>
        <v>23537606.190000001</v>
      </c>
      <c r="AJ9" s="74"/>
    </row>
    <row r="10" spans="1:37" ht="14">
      <c r="A10" s="66"/>
      <c r="E10" s="85"/>
      <c r="F10" s="80"/>
      <c r="G10" s="42" t="s">
        <v>63</v>
      </c>
      <c r="H10" s="42">
        <v>4</v>
      </c>
      <c r="I10" s="73">
        <v>36039.827881631005</v>
      </c>
      <c r="J10" s="73">
        <v>34837.014611154082</v>
      </c>
      <c r="K10" s="73">
        <v>34378.942329705271</v>
      </c>
      <c r="L10" s="73">
        <v>34377.893420205233</v>
      </c>
      <c r="M10" s="73">
        <v>34261.470353534351</v>
      </c>
      <c r="N10" s="73">
        <v>34936.865496985563</v>
      </c>
      <c r="O10" s="73">
        <v>37317.200501398285</v>
      </c>
      <c r="P10" s="73">
        <v>40586.510250399144</v>
      </c>
      <c r="Q10" s="73">
        <v>42997.115777908803</v>
      </c>
      <c r="R10" s="73">
        <v>44056.925994671205</v>
      </c>
      <c r="S10" s="73">
        <v>45661.396819755966</v>
      </c>
      <c r="T10" s="73">
        <v>46212.800490897978</v>
      </c>
      <c r="U10" s="73">
        <v>44780.664498062841</v>
      </c>
      <c r="V10" s="73">
        <v>44557.741063795664</v>
      </c>
      <c r="W10" s="73">
        <v>44386.979999038056</v>
      </c>
      <c r="X10" s="73">
        <v>44950.803625318069</v>
      </c>
      <c r="Y10" s="73">
        <v>45436.294300407266</v>
      </c>
      <c r="Z10" s="73">
        <v>46143.641869148814</v>
      </c>
      <c r="AA10" s="73">
        <v>45356.523959679129</v>
      </c>
      <c r="AB10" s="73">
        <v>44650.344811047216</v>
      </c>
      <c r="AC10" s="73">
        <v>42524.489291089747</v>
      </c>
      <c r="AD10" s="73">
        <v>39147.615123344425</v>
      </c>
      <c r="AE10" s="73">
        <v>36114.376748172181</v>
      </c>
      <c r="AF10" s="73">
        <v>34364.422082047553</v>
      </c>
      <c r="AG10" s="43">
        <f>ROUND(SUM(I10:AF10)*H10,2)</f>
        <v>3912311.45</v>
      </c>
      <c r="AJ10" s="74"/>
      <c r="AK10" s="75"/>
    </row>
    <row r="11" spans="1:37" ht="14">
      <c r="A11" s="66"/>
      <c r="E11" s="85"/>
      <c r="F11" s="80"/>
      <c r="G11" s="44" t="s">
        <v>61</v>
      </c>
      <c r="H11" s="44">
        <v>4</v>
      </c>
      <c r="I11" s="73">
        <v>27131.597672571239</v>
      </c>
      <c r="J11" s="73">
        <v>26408.696811884045</v>
      </c>
      <c r="K11" s="73">
        <v>25786.032961504865</v>
      </c>
      <c r="L11" s="73">
        <v>25445.815444978507</v>
      </c>
      <c r="M11" s="73">
        <v>25224.447688886266</v>
      </c>
      <c r="N11" s="73">
        <v>25130.252202073556</v>
      </c>
      <c r="O11" s="73">
        <v>24477.475581678802</v>
      </c>
      <c r="P11" s="73">
        <v>24123.321099267516</v>
      </c>
      <c r="Q11" s="73">
        <v>24279.937904024715</v>
      </c>
      <c r="R11" s="73">
        <v>24510.068594107517</v>
      </c>
      <c r="S11" s="73">
        <v>25270.495857960686</v>
      </c>
      <c r="T11" s="73">
        <v>26341.877459378033</v>
      </c>
      <c r="U11" s="73">
        <v>26677.942684831902</v>
      </c>
      <c r="V11" s="73">
        <v>27143.125590478561</v>
      </c>
      <c r="W11" s="73">
        <v>27779.094014950031</v>
      </c>
      <c r="X11" s="73">
        <v>29136.352739451726</v>
      </c>
      <c r="Y11" s="73">
        <v>30721.155899746787</v>
      </c>
      <c r="Z11" s="73">
        <v>32440.989433706873</v>
      </c>
      <c r="AA11" s="73">
        <v>32511.294053687521</v>
      </c>
      <c r="AB11" s="73">
        <v>32391.086435276015</v>
      </c>
      <c r="AC11" s="73">
        <v>30798.194766820958</v>
      </c>
      <c r="AD11" s="73">
        <v>29133.373343872969</v>
      </c>
      <c r="AE11" s="73">
        <v>27728.456605342017</v>
      </c>
      <c r="AF11" s="73">
        <v>26685.190935828523</v>
      </c>
      <c r="AG11" s="43">
        <f>ROUND(SUM(I11:AF11)*H11,2)</f>
        <v>2629105.1</v>
      </c>
      <c r="AJ11" s="74"/>
      <c r="AK11" s="75"/>
    </row>
    <row r="12" spans="1:37" ht="14">
      <c r="A12" s="66"/>
      <c r="E12" s="85"/>
      <c r="F12" s="80"/>
      <c r="G12" s="45" t="s">
        <v>62</v>
      </c>
      <c r="H12" s="45">
        <v>2</v>
      </c>
      <c r="I12" s="73">
        <v>29160.067200257454</v>
      </c>
      <c r="J12" s="73">
        <v>28399.10112529654</v>
      </c>
      <c r="K12" s="73">
        <v>27798.288410841345</v>
      </c>
      <c r="L12" s="73">
        <v>27457.810572519298</v>
      </c>
      <c r="M12" s="73">
        <v>27078.646845405998</v>
      </c>
      <c r="N12" s="73">
        <v>26091.611890834443</v>
      </c>
      <c r="O12" s="73">
        <v>24924.848490107066</v>
      </c>
      <c r="P12" s="73">
        <v>24773.832218757336</v>
      </c>
      <c r="Q12" s="73">
        <v>25221.455686964669</v>
      </c>
      <c r="R12" s="73">
        <v>25525.730142249296</v>
      </c>
      <c r="S12" s="73">
        <v>26457.59810221626</v>
      </c>
      <c r="T12" s="73">
        <v>27219.770611899588</v>
      </c>
      <c r="U12" s="73">
        <v>27381.349570178907</v>
      </c>
      <c r="V12" s="73">
        <v>27795.911136288065</v>
      </c>
      <c r="W12" s="73">
        <v>28397.358484383003</v>
      </c>
      <c r="X12" s="73">
        <v>29905.878722376343</v>
      </c>
      <c r="Y12" s="73">
        <v>31199.887223473932</v>
      </c>
      <c r="Z12" s="73">
        <v>33161.594694544736</v>
      </c>
      <c r="AA12" s="73">
        <v>33236.027321424932</v>
      </c>
      <c r="AB12" s="73">
        <v>33194.060531931071</v>
      </c>
      <c r="AC12" s="73">
        <v>31218.958089617499</v>
      </c>
      <c r="AD12" s="73">
        <v>29363.262090709664</v>
      </c>
      <c r="AE12" s="73">
        <v>27809.376776790356</v>
      </c>
      <c r="AF12" s="73">
        <v>26727.378620636046</v>
      </c>
      <c r="AG12" s="46">
        <f>ROUND(SUM(I12:AF12)*H12,2)</f>
        <v>1358999.61</v>
      </c>
      <c r="AJ12" s="74"/>
      <c r="AK12" s="75"/>
    </row>
    <row r="13" spans="1:37" ht="15" thickBot="1">
      <c r="A13" s="66"/>
      <c r="E13" s="85"/>
      <c r="F13" s="81"/>
      <c r="G13" s="47" t="s">
        <v>10</v>
      </c>
      <c r="H13" s="47">
        <f>+SUM(H9:H12)</f>
        <v>31</v>
      </c>
      <c r="I13" s="48">
        <f t="shared" ref="I13:AF13" si="0">+SUMPRODUCT(I9:I12,$H9:$H12)</f>
        <v>1089203.9834815133</v>
      </c>
      <c r="J13" s="48">
        <f t="shared" si="0"/>
        <v>1058815.910080909</v>
      </c>
      <c r="K13" s="48">
        <f t="shared" si="0"/>
        <v>1039375.0984279682</v>
      </c>
      <c r="L13" s="48">
        <f t="shared" si="0"/>
        <v>1036950.3980683439</v>
      </c>
      <c r="M13" s="48">
        <f t="shared" si="0"/>
        <v>1032335.0931772816</v>
      </c>
      <c r="N13" s="48">
        <f t="shared" si="0"/>
        <v>1060074.6472170644</v>
      </c>
      <c r="O13" s="48">
        <f t="shared" si="0"/>
        <v>1151690.07929098</v>
      </c>
      <c r="P13" s="48">
        <f t="shared" si="0"/>
        <v>1273636.7310551582</v>
      </c>
      <c r="Q13" s="48">
        <f t="shared" si="0"/>
        <v>1364958.5042879679</v>
      </c>
      <c r="R13" s="48">
        <f t="shared" si="0"/>
        <v>1399183.2358016914</v>
      </c>
      <c r="S13" s="48">
        <f t="shared" si="0"/>
        <v>1455363.055654607</v>
      </c>
      <c r="T13" s="48">
        <f t="shared" si="0"/>
        <v>1486407.5743051292</v>
      </c>
      <c r="U13" s="48">
        <f t="shared" si="0"/>
        <v>1448939.1648801283</v>
      </c>
      <c r="V13" s="48">
        <f t="shared" si="0"/>
        <v>1483642.0784879539</v>
      </c>
      <c r="W13" s="48">
        <f t="shared" si="0"/>
        <v>1534458.7265738091</v>
      </c>
      <c r="X13" s="48">
        <f t="shared" si="0"/>
        <v>1571682.4678308943</v>
      </c>
      <c r="Y13" s="48">
        <f t="shared" si="0"/>
        <v>1579894.5213432442</v>
      </c>
      <c r="Z13" s="48">
        <f t="shared" si="0"/>
        <v>1552688.7725072592</v>
      </c>
      <c r="AA13" s="48">
        <f t="shared" si="0"/>
        <v>1484713.5305080055</v>
      </c>
      <c r="AB13" s="48">
        <f t="shared" si="0"/>
        <v>1443538.6635353516</v>
      </c>
      <c r="AC13" s="48">
        <f t="shared" si="0"/>
        <v>1355539.8409261124</v>
      </c>
      <c r="AD13" s="48">
        <f t="shared" si="0"/>
        <v>1256618.1115990477</v>
      </c>
      <c r="AE13" s="48">
        <f t="shared" si="0"/>
        <v>1161301.3937955569</v>
      </c>
      <c r="AF13" s="48">
        <f t="shared" si="0"/>
        <v>1117010.7680853051</v>
      </c>
      <c r="AG13" s="49">
        <f>SUM(I13:AF13)</f>
        <v>31438022.350921277</v>
      </c>
    </row>
    <row r="14" spans="1:37" ht="14">
      <c r="A14" s="66"/>
      <c r="E14" s="84">
        <v>47150</v>
      </c>
      <c r="F14" s="79">
        <f>+AG18</f>
        <v>28472450.236795787</v>
      </c>
      <c r="G14" s="40" t="s">
        <v>60</v>
      </c>
      <c r="H14" s="40">
        <v>20</v>
      </c>
      <c r="I14" s="73">
        <v>36419.812767550218</v>
      </c>
      <c r="J14" s="73">
        <v>35419.411703579128</v>
      </c>
      <c r="K14" s="73">
        <v>34751.847890065364</v>
      </c>
      <c r="L14" s="73">
        <v>34738.713362172552</v>
      </c>
      <c r="M14" s="73">
        <v>34594.899084854216</v>
      </c>
      <c r="N14" s="73">
        <v>35852.570958515622</v>
      </c>
      <c r="O14" s="73">
        <v>39922.420402978278</v>
      </c>
      <c r="P14" s="73">
        <v>45187.359065566823</v>
      </c>
      <c r="Q14" s="73">
        <v>48952.859955178697</v>
      </c>
      <c r="R14" s="73">
        <v>50172.178560634602</v>
      </c>
      <c r="S14" s="73">
        <v>52124.578429697438</v>
      </c>
      <c r="T14" s="73">
        <v>53260.521910686315</v>
      </c>
      <c r="U14" s="73">
        <v>51795.218637815888</v>
      </c>
      <c r="V14" s="73">
        <v>53575.486167056581</v>
      </c>
      <c r="W14" s="73">
        <v>55780.821829072454</v>
      </c>
      <c r="X14" s="73">
        <v>57040.70542399001</v>
      </c>
      <c r="Y14" s="73">
        <v>56689.923620128058</v>
      </c>
      <c r="Z14" s="73">
        <v>54792.788439516313</v>
      </c>
      <c r="AA14" s="73">
        <v>51792.305394934723</v>
      </c>
      <c r="AB14" s="73">
        <v>50052.276670921274</v>
      </c>
      <c r="AC14" s="73">
        <v>46788.206638491101</v>
      </c>
      <c r="AD14" s="73">
        <v>43275.050456229001</v>
      </c>
      <c r="AE14" s="73">
        <v>39787.593781939249</v>
      </c>
      <c r="AF14" s="73">
        <v>38329.934484829049</v>
      </c>
      <c r="AG14" s="41">
        <f>+SUM(I14:AF14)*H14</f>
        <v>22021949.712728061</v>
      </c>
      <c r="AJ14" s="74"/>
    </row>
    <row r="15" spans="1:37" ht="14">
      <c r="A15" s="66"/>
      <c r="E15" s="85">
        <f t="shared" ref="E15:E18" si="1">+E14</f>
        <v>47150</v>
      </c>
      <c r="F15" s="80"/>
      <c r="G15" s="42" t="s">
        <v>63</v>
      </c>
      <c r="H15" s="42">
        <v>4</v>
      </c>
      <c r="I15" s="73">
        <v>35495.587681582205</v>
      </c>
      <c r="J15" s="73">
        <v>34313.855098972926</v>
      </c>
      <c r="K15" s="73">
        <v>33868.901583019542</v>
      </c>
      <c r="L15" s="73">
        <v>33882.042330481258</v>
      </c>
      <c r="M15" s="73">
        <v>33743.323747973976</v>
      </c>
      <c r="N15" s="73">
        <v>34387.344432222824</v>
      </c>
      <c r="O15" s="73">
        <v>36751.124062527146</v>
      </c>
      <c r="P15" s="73">
        <v>40048.259435640619</v>
      </c>
      <c r="Q15" s="73">
        <v>42429.602203096307</v>
      </c>
      <c r="R15" s="73">
        <v>43383.579725739008</v>
      </c>
      <c r="S15" s="73">
        <v>44813.657039333215</v>
      </c>
      <c r="T15" s="73">
        <v>45438.296237933151</v>
      </c>
      <c r="U15" s="73">
        <v>44145.695743709577</v>
      </c>
      <c r="V15" s="73">
        <v>44164.931219687627</v>
      </c>
      <c r="W15" s="73">
        <v>43915.581804644702</v>
      </c>
      <c r="X15" s="73">
        <v>44473.920243448483</v>
      </c>
      <c r="Y15" s="73">
        <v>44738.743653473968</v>
      </c>
      <c r="Z15" s="73">
        <v>45461.705966557332</v>
      </c>
      <c r="AA15" s="73">
        <v>44721.681463024637</v>
      </c>
      <c r="AB15" s="73">
        <v>44082.715660649563</v>
      </c>
      <c r="AC15" s="73">
        <v>41990.652590234371</v>
      </c>
      <c r="AD15" s="73">
        <v>38657.249897318623</v>
      </c>
      <c r="AE15" s="73">
        <v>35664.73838594056</v>
      </c>
      <c r="AF15" s="73">
        <v>33933.209328038974</v>
      </c>
      <c r="AG15" s="43">
        <f>+SUM(I15:AF15)*H15</f>
        <v>3858025.598141002</v>
      </c>
      <c r="AJ15" s="74"/>
      <c r="AK15" s="75"/>
    </row>
    <row r="16" spans="1:37" ht="14">
      <c r="A16" s="66"/>
      <c r="E16" s="85">
        <f t="shared" si="1"/>
        <v>47150</v>
      </c>
      <c r="F16" s="80"/>
      <c r="G16" s="44" t="s">
        <v>61</v>
      </c>
      <c r="H16" s="44">
        <v>4</v>
      </c>
      <c r="I16" s="73">
        <v>26761.29515440276</v>
      </c>
      <c r="J16" s="73">
        <v>26055.288726461993</v>
      </c>
      <c r="K16" s="73">
        <v>25410.218505748788</v>
      </c>
      <c r="L16" s="73">
        <v>25076.287395137333</v>
      </c>
      <c r="M16" s="73">
        <v>24850.886736663411</v>
      </c>
      <c r="N16" s="73">
        <v>24772.517315514269</v>
      </c>
      <c r="O16" s="73">
        <v>24152.968579583863</v>
      </c>
      <c r="P16" s="73">
        <v>23828.772342621753</v>
      </c>
      <c r="Q16" s="73">
        <v>23955.58935953621</v>
      </c>
      <c r="R16" s="73">
        <v>24073.150511348507</v>
      </c>
      <c r="S16" s="73">
        <v>24693.562464931831</v>
      </c>
      <c r="T16" s="73">
        <v>25830.221409483933</v>
      </c>
      <c r="U16" s="73">
        <v>26278.95482967373</v>
      </c>
      <c r="V16" s="73">
        <v>26917.228056076514</v>
      </c>
      <c r="W16" s="73">
        <v>27490.489594425893</v>
      </c>
      <c r="X16" s="73">
        <v>28840.051605144232</v>
      </c>
      <c r="Y16" s="73">
        <v>30202.956675286328</v>
      </c>
      <c r="Z16" s="73">
        <v>31971.985601025935</v>
      </c>
      <c r="AA16" s="73">
        <v>32056.891756027984</v>
      </c>
      <c r="AB16" s="73">
        <v>31984.4001592317</v>
      </c>
      <c r="AC16" s="73">
        <v>30411.498918347126</v>
      </c>
      <c r="AD16" s="73">
        <v>28777.845685444368</v>
      </c>
      <c r="AE16" s="73">
        <v>27377.794781629127</v>
      </c>
      <c r="AF16" s="73">
        <v>26347.875317935599</v>
      </c>
      <c r="AG16" s="43">
        <f>+SUM(I16:AF16)*H16</f>
        <v>2592474.9259267333</v>
      </c>
      <c r="AJ16" s="74"/>
      <c r="AK16" s="75"/>
    </row>
    <row r="17" spans="1:37" ht="14">
      <c r="A17" s="66"/>
      <c r="E17" s="85">
        <f t="shared" si="1"/>
        <v>47150</v>
      </c>
      <c r="F17" s="80"/>
      <c r="G17" s="45" t="s">
        <v>62</v>
      </c>
      <c r="H17" s="45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46">
        <f>+SUM(I17:AF17)*H17</f>
        <v>0</v>
      </c>
      <c r="AJ17" s="74"/>
      <c r="AK17" s="75"/>
    </row>
    <row r="18" spans="1:37" ht="15" thickBot="1">
      <c r="A18" s="66"/>
      <c r="E18" s="85">
        <f t="shared" si="1"/>
        <v>47150</v>
      </c>
      <c r="F18" s="81"/>
      <c r="G18" s="47" t="s">
        <v>10</v>
      </c>
      <c r="H18" s="47">
        <f>+SUM(H14:H17)</f>
        <v>28</v>
      </c>
      <c r="I18" s="48">
        <f t="shared" ref="I18:AF18" si="2">+SUMPRODUCT(I14:I17,$H14:$H17)</f>
        <v>977423.78669494425</v>
      </c>
      <c r="J18" s="48">
        <f t="shared" si="2"/>
        <v>949864.80937332218</v>
      </c>
      <c r="K18" s="48">
        <f t="shared" si="2"/>
        <v>932153.43815638055</v>
      </c>
      <c r="L18" s="48">
        <f t="shared" si="2"/>
        <v>930607.58614592534</v>
      </c>
      <c r="M18" s="48">
        <f t="shared" si="2"/>
        <v>926274.82363563392</v>
      </c>
      <c r="N18" s="48">
        <f t="shared" si="2"/>
        <v>953690.86616126087</v>
      </c>
      <c r="O18" s="48">
        <f t="shared" si="2"/>
        <v>1042064.7786280096</v>
      </c>
      <c r="P18" s="48">
        <f t="shared" si="2"/>
        <v>1159255.308424386</v>
      </c>
      <c r="Q18" s="48">
        <f t="shared" si="2"/>
        <v>1244597.9653541038</v>
      </c>
      <c r="R18" s="48">
        <f t="shared" si="2"/>
        <v>1273270.4921610421</v>
      </c>
      <c r="S18" s="48">
        <f t="shared" si="2"/>
        <v>1320520.4466110088</v>
      </c>
      <c r="T18" s="48">
        <f t="shared" si="2"/>
        <v>1350284.5088033946</v>
      </c>
      <c r="U18" s="48">
        <f t="shared" si="2"/>
        <v>1317602.975049851</v>
      </c>
      <c r="V18" s="48">
        <f t="shared" si="2"/>
        <v>1355838.3604441881</v>
      </c>
      <c r="W18" s="48">
        <f t="shared" si="2"/>
        <v>1401240.7221777316</v>
      </c>
      <c r="X18" s="48">
        <f t="shared" si="2"/>
        <v>1434069.9958741709</v>
      </c>
      <c r="Y18" s="48">
        <f t="shared" si="2"/>
        <v>1433565.2737176025</v>
      </c>
      <c r="Z18" s="48">
        <f t="shared" si="2"/>
        <v>1405590.5350606593</v>
      </c>
      <c r="AA18" s="48">
        <f t="shared" si="2"/>
        <v>1342960.400774905</v>
      </c>
      <c r="AB18" s="48">
        <f t="shared" si="2"/>
        <v>1305313.9966979504</v>
      </c>
      <c r="AC18" s="48">
        <f t="shared" si="2"/>
        <v>1225372.738804148</v>
      </c>
      <c r="AD18" s="48">
        <f t="shared" si="2"/>
        <v>1135241.3914556322</v>
      </c>
      <c r="AE18" s="48">
        <f t="shared" si="2"/>
        <v>1047922.0083090637</v>
      </c>
      <c r="AF18" s="48">
        <f t="shared" si="2"/>
        <v>1007723.0282804793</v>
      </c>
      <c r="AG18" s="49">
        <f>SUM(I18:AF18)</f>
        <v>28472450.236795787</v>
      </c>
    </row>
    <row r="19" spans="1:37" ht="14">
      <c r="A19" s="66"/>
      <c r="E19" s="84">
        <v>47178</v>
      </c>
      <c r="F19" s="79">
        <f t="shared" ref="F19" si="3">+AG23</f>
        <v>29981998.055945076</v>
      </c>
      <c r="G19" s="40" t="s">
        <v>60</v>
      </c>
      <c r="H19" s="40">
        <v>19</v>
      </c>
      <c r="I19" s="73">
        <v>36108.437458449851</v>
      </c>
      <c r="J19" s="73">
        <v>35107.239003297509</v>
      </c>
      <c r="K19" s="73">
        <v>34433.795198454136</v>
      </c>
      <c r="L19" s="73">
        <v>34418.144805141339</v>
      </c>
      <c r="M19" s="73">
        <v>34251.321032404383</v>
      </c>
      <c r="N19" s="73">
        <v>35467.316501451896</v>
      </c>
      <c r="O19" s="73">
        <v>39422.066080837896</v>
      </c>
      <c r="P19" s="73">
        <v>44611.426900704748</v>
      </c>
      <c r="Q19" s="73">
        <v>48359.574103824998</v>
      </c>
      <c r="R19" s="73">
        <v>49686.611450574506</v>
      </c>
      <c r="S19" s="73">
        <v>51735.620967603514</v>
      </c>
      <c r="T19" s="73">
        <v>52795.949645558743</v>
      </c>
      <c r="U19" s="73">
        <v>51219.244285346365</v>
      </c>
      <c r="V19" s="73">
        <v>52820.275578008739</v>
      </c>
      <c r="W19" s="73">
        <v>55096.228064456045</v>
      </c>
      <c r="X19" s="73">
        <v>56348.523911847951</v>
      </c>
      <c r="Y19" s="73">
        <v>56216.399509014773</v>
      </c>
      <c r="Z19" s="73">
        <v>54307.945406092585</v>
      </c>
      <c r="AA19" s="73">
        <v>51286.307554388288</v>
      </c>
      <c r="AB19" s="73">
        <v>49593.438712369061</v>
      </c>
      <c r="AC19" s="73">
        <v>46347.06787568632</v>
      </c>
      <c r="AD19" s="73">
        <v>42877.396946122142</v>
      </c>
      <c r="AE19" s="73">
        <v>39432.718079556587</v>
      </c>
      <c r="AF19" s="73">
        <v>37986.506967192625</v>
      </c>
      <c r="AG19" s="41">
        <f>+SUM(I19:AF19)*H19</f>
        <v>20708661.564729311</v>
      </c>
      <c r="AJ19" s="74"/>
    </row>
    <row r="20" spans="1:37" ht="14">
      <c r="A20" s="66"/>
      <c r="E20" s="85">
        <f t="shared" ref="E20:E23" si="4">+E19</f>
        <v>47178</v>
      </c>
      <c r="F20" s="80"/>
      <c r="G20" s="42" t="s">
        <v>63</v>
      </c>
      <c r="H20" s="42">
        <v>5</v>
      </c>
      <c r="I20" s="73">
        <v>35261.231468719758</v>
      </c>
      <c r="J20" s="73">
        <v>34085.862056636579</v>
      </c>
      <c r="K20" s="73">
        <v>33651.722011749793</v>
      </c>
      <c r="L20" s="73">
        <v>33672.473530685951</v>
      </c>
      <c r="M20" s="73">
        <v>33517.270112057071</v>
      </c>
      <c r="N20" s="73">
        <v>34131.431565178747</v>
      </c>
      <c r="O20" s="73">
        <v>36419.047155972541</v>
      </c>
      <c r="P20" s="73">
        <v>39657.683550587928</v>
      </c>
      <c r="Q20" s="73">
        <v>42026.051214275372</v>
      </c>
      <c r="R20" s="73">
        <v>43100.362713770584</v>
      </c>
      <c r="S20" s="73">
        <v>44638.125847924683</v>
      </c>
      <c r="T20" s="73">
        <v>45209.083911314803</v>
      </c>
      <c r="U20" s="73">
        <v>43811.136306814034</v>
      </c>
      <c r="V20" s="73">
        <v>43666.50348891758</v>
      </c>
      <c r="W20" s="73">
        <v>43474.540237222609</v>
      </c>
      <c r="X20" s="73">
        <v>44014.780984872108</v>
      </c>
      <c r="Y20" s="73">
        <v>44496.222954290533</v>
      </c>
      <c r="Z20" s="73">
        <v>45197.165497272981</v>
      </c>
      <c r="AA20" s="73">
        <v>44419.451655398931</v>
      </c>
      <c r="AB20" s="73">
        <v>43826.311457174757</v>
      </c>
      <c r="AC20" s="73">
        <v>41742.140523592432</v>
      </c>
      <c r="AD20" s="73">
        <v>38422.634140427683</v>
      </c>
      <c r="AE20" s="73">
        <v>35441.93955795993</v>
      </c>
      <c r="AF20" s="73">
        <v>33725.962532590973</v>
      </c>
      <c r="AG20" s="43">
        <f>+SUM(I20:AF20)*H20</f>
        <v>4788045.6723770415</v>
      </c>
      <c r="AJ20" s="74"/>
      <c r="AK20" s="75"/>
    </row>
    <row r="21" spans="1:37" ht="14">
      <c r="A21" s="66"/>
      <c r="E21" s="85">
        <f t="shared" si="4"/>
        <v>47178</v>
      </c>
      <c r="F21" s="80"/>
      <c r="G21" s="44" t="s">
        <v>61</v>
      </c>
      <c r="H21" s="44">
        <v>4</v>
      </c>
      <c r="I21" s="73">
        <v>27271.368782524558</v>
      </c>
      <c r="J21" s="73">
        <v>26528.197609519269</v>
      </c>
      <c r="K21" s="73">
        <v>25860.5681152777</v>
      </c>
      <c r="L21" s="73">
        <v>25528.977458238594</v>
      </c>
      <c r="M21" s="73">
        <v>25180.087020719118</v>
      </c>
      <c r="N21" s="73">
        <v>24594.793831917374</v>
      </c>
      <c r="O21" s="73">
        <v>23487.415172942368</v>
      </c>
      <c r="P21" s="73">
        <v>23081.2207764251</v>
      </c>
      <c r="Q21" s="73">
        <v>23303.225335873925</v>
      </c>
      <c r="R21" s="73">
        <v>23542.827917808081</v>
      </c>
      <c r="S21" s="73">
        <v>24351.398584022791</v>
      </c>
      <c r="T21" s="73">
        <v>25295.919726424672</v>
      </c>
      <c r="U21" s="73">
        <v>25584.62748165099</v>
      </c>
      <c r="V21" s="73">
        <v>26022.528298411082</v>
      </c>
      <c r="W21" s="73">
        <v>26606.401669476301</v>
      </c>
      <c r="X21" s="73">
        <v>27997.836980387063</v>
      </c>
      <c r="Y21" s="73">
        <v>29426.912310300326</v>
      </c>
      <c r="Z21" s="73">
        <v>31406.620999216477</v>
      </c>
      <c r="AA21" s="73">
        <v>31526.531833052632</v>
      </c>
      <c r="AB21" s="73">
        <v>31582.907585335313</v>
      </c>
      <c r="AC21" s="73">
        <v>29855.915945676639</v>
      </c>
      <c r="AD21" s="73">
        <v>28204.090332485441</v>
      </c>
      <c r="AE21" s="73">
        <v>26757.608053691154</v>
      </c>
      <c r="AF21" s="73">
        <v>25736.107726776187</v>
      </c>
      <c r="AG21" s="43">
        <f>+SUM(I21:AF21)*H21</f>
        <v>2554936.358192612</v>
      </c>
      <c r="AJ21" s="74"/>
      <c r="AK21" s="75"/>
    </row>
    <row r="22" spans="1:37" ht="14">
      <c r="A22" s="66"/>
      <c r="E22" s="85">
        <f t="shared" si="4"/>
        <v>47178</v>
      </c>
      <c r="F22" s="80"/>
      <c r="G22" s="45" t="s">
        <v>62</v>
      </c>
      <c r="H22" s="45">
        <v>3</v>
      </c>
      <c r="I22" s="73">
        <v>28120.592699149329</v>
      </c>
      <c r="J22" s="73">
        <v>27373.48888651203</v>
      </c>
      <c r="K22" s="73">
        <v>26746.569697670358</v>
      </c>
      <c r="L22" s="73">
        <v>26426.85976299367</v>
      </c>
      <c r="M22" s="73">
        <v>25982.607249485256</v>
      </c>
      <c r="N22" s="73">
        <v>24786.41761553564</v>
      </c>
      <c r="O22" s="73">
        <v>23359.228826327973</v>
      </c>
      <c r="P22" s="73">
        <v>23142.555927691315</v>
      </c>
      <c r="Q22" s="73">
        <v>23591.973047655367</v>
      </c>
      <c r="R22" s="73">
        <v>23895.189987497</v>
      </c>
      <c r="S22" s="73">
        <v>24819.653920077526</v>
      </c>
      <c r="T22" s="73">
        <v>25501.407100553381</v>
      </c>
      <c r="U22" s="73">
        <v>25642.446900292201</v>
      </c>
      <c r="V22" s="73">
        <v>26009.363330450491</v>
      </c>
      <c r="W22" s="73">
        <v>26557.458822485041</v>
      </c>
      <c r="X22" s="73">
        <v>28052.682499420815</v>
      </c>
      <c r="Y22" s="73">
        <v>29263.314744961401</v>
      </c>
      <c r="Z22" s="73">
        <v>31438.049220830366</v>
      </c>
      <c r="AA22" s="73">
        <v>31508.18651920493</v>
      </c>
      <c r="AB22" s="73">
        <v>31702.049785726256</v>
      </c>
      <c r="AC22" s="73">
        <v>29743.291153358416</v>
      </c>
      <c r="AD22" s="73">
        <v>27950.942558769133</v>
      </c>
      <c r="AE22" s="73">
        <v>26428.869913454939</v>
      </c>
      <c r="AF22" s="73">
        <v>25408.286711932142</v>
      </c>
      <c r="AG22" s="46">
        <f>+SUM(I22:AF22)*H22</f>
        <v>1930354.460646105</v>
      </c>
      <c r="AJ22" s="74"/>
      <c r="AK22" s="75"/>
    </row>
    <row r="23" spans="1:37" ht="15" thickBot="1">
      <c r="A23" s="66"/>
      <c r="E23" s="85">
        <f t="shared" si="4"/>
        <v>47178</v>
      </c>
      <c r="F23" s="81"/>
      <c r="G23" s="47" t="s">
        <v>10</v>
      </c>
      <c r="H23" s="47">
        <f>+SUM(H19:H22)</f>
        <v>31</v>
      </c>
      <c r="I23" s="48">
        <f t="shared" ref="I23:AF23" si="5">+SUMPRODUCT(I19:I22,$H19:$H22)</f>
        <v>1055813.7222816921</v>
      </c>
      <c r="J23" s="48">
        <f t="shared" si="5"/>
        <v>1025700.1084434488</v>
      </c>
      <c r="K23" s="48">
        <f t="shared" si="5"/>
        <v>1006182.7003834995</v>
      </c>
      <c r="L23" s="48">
        <f t="shared" si="5"/>
        <v>1003703.6080730506</v>
      </c>
      <c r="M23" s="48">
        <f t="shared" si="5"/>
        <v>997029.62000730098</v>
      </c>
      <c r="N23" s="48">
        <f t="shared" si="5"/>
        <v>1017274.5995277561</v>
      </c>
      <c r="O23" s="48">
        <f t="shared" si="5"/>
        <v>1095141.8384865362</v>
      </c>
      <c r="P23" s="48">
        <f t="shared" si="5"/>
        <v>1207658.0797551041</v>
      </c>
      <c r="Q23" s="48">
        <f t="shared" si="5"/>
        <v>1292950.9845305136</v>
      </c>
      <c r="R23" s="48">
        <f t="shared" si="5"/>
        <v>1325404.3127634919</v>
      </c>
      <c r="S23" s="48">
        <f t="shared" si="5"/>
        <v>1378031.9837204139</v>
      </c>
      <c r="T23" s="48">
        <f t="shared" si="5"/>
        <v>1406856.3630295491</v>
      </c>
      <c r="U23" s="48">
        <f t="shared" si="5"/>
        <v>1371487.1735831317</v>
      </c>
      <c r="V23" s="48">
        <f t="shared" si="5"/>
        <v>1404035.9566117497</v>
      </c>
      <c r="W23" s="48">
        <f t="shared" si="5"/>
        <v>1450299.0175561383</v>
      </c>
      <c r="X23" s="48">
        <f t="shared" si="5"/>
        <v>1486845.2546692824</v>
      </c>
      <c r="Y23" s="48">
        <f t="shared" si="5"/>
        <v>1496090.2989188188</v>
      </c>
      <c r="Z23" s="48">
        <f t="shared" si="5"/>
        <v>1477777.4218614809</v>
      </c>
      <c r="AA23" s="48">
        <f t="shared" si="5"/>
        <v>1417167.7887001976</v>
      </c>
      <c r="AB23" s="48">
        <f t="shared" si="5"/>
        <v>1382844.6725194058</v>
      </c>
      <c r="AC23" s="48">
        <f t="shared" si="5"/>
        <v>1297958.5294987841</v>
      </c>
      <c r="AD23" s="48">
        <f t="shared" si="5"/>
        <v>1203452.9016847082</v>
      </c>
      <c r="AE23" s="48">
        <f t="shared" si="5"/>
        <v>1112748.3832565043</v>
      </c>
      <c r="AF23" s="48">
        <f t="shared" si="5"/>
        <v>1069542.7360825159</v>
      </c>
      <c r="AG23" s="49">
        <f>SUM(I23:AF23)</f>
        <v>29981998.055945076</v>
      </c>
    </row>
    <row r="24" spans="1:37" ht="14">
      <c r="A24" s="66"/>
      <c r="E24" s="84">
        <v>47209</v>
      </c>
      <c r="F24" s="79">
        <f t="shared" ref="F24" si="6">+AG28</f>
        <v>30519283.829282589</v>
      </c>
      <c r="G24" s="40" t="s">
        <v>60</v>
      </c>
      <c r="H24" s="40">
        <v>21</v>
      </c>
      <c r="I24" s="73">
        <v>36828.151745427735</v>
      </c>
      <c r="J24" s="73">
        <v>35815.943323580119</v>
      </c>
      <c r="K24" s="73">
        <v>35130.105175611992</v>
      </c>
      <c r="L24" s="73">
        <v>35101.10504389101</v>
      </c>
      <c r="M24" s="73">
        <v>34936.43588193004</v>
      </c>
      <c r="N24" s="73">
        <v>36169.9674530134</v>
      </c>
      <c r="O24" s="73">
        <v>40207.385379304076</v>
      </c>
      <c r="P24" s="73">
        <v>45499.878779177896</v>
      </c>
      <c r="Q24" s="73">
        <v>49345.611828465924</v>
      </c>
      <c r="R24" s="73">
        <v>50747.270909471205</v>
      </c>
      <c r="S24" s="73">
        <v>52846.98203959853</v>
      </c>
      <c r="T24" s="73">
        <v>53941.459747158136</v>
      </c>
      <c r="U24" s="73">
        <v>52331.958953597386</v>
      </c>
      <c r="V24" s="73">
        <v>53941.989984925814</v>
      </c>
      <c r="W24" s="73">
        <v>56229.785874213812</v>
      </c>
      <c r="X24" s="73">
        <v>57468.581298966325</v>
      </c>
      <c r="Y24" s="73">
        <v>57320.703272711333</v>
      </c>
      <c r="Z24" s="73">
        <v>55362.858016225378</v>
      </c>
      <c r="AA24" s="73">
        <v>52268.145620284282</v>
      </c>
      <c r="AB24" s="73">
        <v>50546.11915526598</v>
      </c>
      <c r="AC24" s="73">
        <v>47242.828057485021</v>
      </c>
      <c r="AD24" s="73">
        <v>43715.469525093802</v>
      </c>
      <c r="AE24" s="73">
        <v>40221.334171097245</v>
      </c>
      <c r="AF24" s="73">
        <v>38753.133163383238</v>
      </c>
      <c r="AG24" s="41">
        <f>+SUM(I24:AF24)*H24</f>
        <v>23351437.292397469</v>
      </c>
      <c r="AJ24" s="74"/>
    </row>
    <row r="25" spans="1:37" ht="14">
      <c r="A25" s="66"/>
      <c r="E25" s="85">
        <f t="shared" ref="E25:E28" si="7">+E24</f>
        <v>47209</v>
      </c>
      <c r="F25" s="80"/>
      <c r="G25" s="42" t="s">
        <v>63</v>
      </c>
      <c r="H25" s="42">
        <v>4</v>
      </c>
      <c r="I25" s="73">
        <v>35875.646188723658</v>
      </c>
      <c r="J25" s="73">
        <v>34686.242479938315</v>
      </c>
      <c r="K25" s="73">
        <v>34239.762794590511</v>
      </c>
      <c r="L25" s="73">
        <v>34251.939823641384</v>
      </c>
      <c r="M25" s="73">
        <v>34095.983871262521</v>
      </c>
      <c r="N25" s="73">
        <v>34708.904016010427</v>
      </c>
      <c r="O25" s="73">
        <v>37033.038468038721</v>
      </c>
      <c r="P25" s="73">
        <v>40331.950272068847</v>
      </c>
      <c r="Q25" s="73">
        <v>42759.445855483173</v>
      </c>
      <c r="R25" s="73">
        <v>43891.810823416483</v>
      </c>
      <c r="S25" s="73">
        <v>45474.939504393136</v>
      </c>
      <c r="T25" s="73">
        <v>46063.19486915195</v>
      </c>
      <c r="U25" s="73">
        <v>44623.0530643897</v>
      </c>
      <c r="V25" s="73">
        <v>44467.16429693102</v>
      </c>
      <c r="W25" s="73">
        <v>44262.529254193934</v>
      </c>
      <c r="X25" s="73">
        <v>44782.831448427969</v>
      </c>
      <c r="Y25" s="73">
        <v>45253.219546299275</v>
      </c>
      <c r="Z25" s="73">
        <v>45933.331511459633</v>
      </c>
      <c r="AA25" s="73">
        <v>45141.965357761444</v>
      </c>
      <c r="AB25" s="73">
        <v>44523.889745444721</v>
      </c>
      <c r="AC25" s="73">
        <v>42388.029275956134</v>
      </c>
      <c r="AD25" s="73">
        <v>39005.902612473074</v>
      </c>
      <c r="AE25" s="73">
        <v>35967.617821812819</v>
      </c>
      <c r="AF25" s="73">
        <v>34238.423362099609</v>
      </c>
      <c r="AG25" s="43">
        <f>+SUM(I25:AF25)*H25</f>
        <v>3896003.2650558744</v>
      </c>
      <c r="AJ25" s="74"/>
      <c r="AK25" s="75"/>
    </row>
    <row r="26" spans="1:37" ht="14">
      <c r="A26" s="66"/>
      <c r="E26" s="85">
        <f t="shared" si="7"/>
        <v>47209</v>
      </c>
      <c r="F26" s="80"/>
      <c r="G26" s="44" t="s">
        <v>61</v>
      </c>
      <c r="H26" s="44">
        <v>4</v>
      </c>
      <c r="I26" s="73">
        <v>27197.37214904503</v>
      </c>
      <c r="J26" s="73">
        <v>26476.322549613564</v>
      </c>
      <c r="K26" s="73">
        <v>25798.291676332941</v>
      </c>
      <c r="L26" s="73">
        <v>25468.102347043972</v>
      </c>
      <c r="M26" s="73">
        <v>25234.208704939141</v>
      </c>
      <c r="N26" s="73">
        <v>25180.26889862497</v>
      </c>
      <c r="O26" s="73">
        <v>24489.517347849247</v>
      </c>
      <c r="P26" s="73">
        <v>24099.640652650956</v>
      </c>
      <c r="Q26" s="73">
        <v>24211.871764824478</v>
      </c>
      <c r="R26" s="73">
        <v>24452.423535084752</v>
      </c>
      <c r="S26" s="73">
        <v>25249.207941492205</v>
      </c>
      <c r="T26" s="73">
        <v>26361.326232763717</v>
      </c>
      <c r="U26" s="73">
        <v>26682.67419098266</v>
      </c>
      <c r="V26" s="73">
        <v>27105.470067346025</v>
      </c>
      <c r="W26" s="73">
        <v>27728.764778902208</v>
      </c>
      <c r="X26" s="73">
        <v>29069.999741266751</v>
      </c>
      <c r="Y26" s="73">
        <v>30640.160073812567</v>
      </c>
      <c r="Z26" s="73">
        <v>32423.98240370733</v>
      </c>
      <c r="AA26" s="73">
        <v>32438.095030546865</v>
      </c>
      <c r="AB26" s="73">
        <v>32387.041358525366</v>
      </c>
      <c r="AC26" s="73">
        <v>30780.365323319376</v>
      </c>
      <c r="AD26" s="73">
        <v>29156.303549369313</v>
      </c>
      <c r="AE26" s="73">
        <v>27741.463056265176</v>
      </c>
      <c r="AF26" s="73">
        <v>26725.072862492587</v>
      </c>
      <c r="AG26" s="43">
        <f>+SUM(I26:AF26)*H26</f>
        <v>2628391.7849472049</v>
      </c>
      <c r="AJ26" s="74"/>
      <c r="AK26" s="75"/>
    </row>
    <row r="27" spans="1:37" ht="14">
      <c r="A27" s="66"/>
      <c r="E27" s="85">
        <f t="shared" si="7"/>
        <v>47209</v>
      </c>
      <c r="F27" s="80"/>
      <c r="G27" s="45" t="s">
        <v>62</v>
      </c>
      <c r="H27" s="45">
        <v>1</v>
      </c>
      <c r="I27" s="73">
        <v>28120.592699149329</v>
      </c>
      <c r="J27" s="73">
        <v>27373.48888651203</v>
      </c>
      <c r="K27" s="73">
        <v>26746.569697670358</v>
      </c>
      <c r="L27" s="73">
        <v>26426.85976299367</v>
      </c>
      <c r="M27" s="73">
        <v>25982.607249485256</v>
      </c>
      <c r="N27" s="73">
        <v>24786.41761553564</v>
      </c>
      <c r="O27" s="73">
        <v>23359.228826327973</v>
      </c>
      <c r="P27" s="73">
        <v>23142.555927691315</v>
      </c>
      <c r="Q27" s="73">
        <v>23591.973047655367</v>
      </c>
      <c r="R27" s="73">
        <v>23895.189987497</v>
      </c>
      <c r="S27" s="73">
        <v>24819.653920077522</v>
      </c>
      <c r="T27" s="73">
        <v>25501.407100553381</v>
      </c>
      <c r="U27" s="73">
        <v>25642.446900292201</v>
      </c>
      <c r="V27" s="73">
        <v>26009.363330450491</v>
      </c>
      <c r="W27" s="73">
        <v>26557.458822485041</v>
      </c>
      <c r="X27" s="73">
        <v>28052.682499420815</v>
      </c>
      <c r="Y27" s="73">
        <v>29263.314744961397</v>
      </c>
      <c r="Z27" s="73">
        <v>31438.049220830369</v>
      </c>
      <c r="AA27" s="73">
        <v>31508.18651920493</v>
      </c>
      <c r="AB27" s="73">
        <v>31702.049785726256</v>
      </c>
      <c r="AC27" s="73">
        <v>29743.291153358416</v>
      </c>
      <c r="AD27" s="73">
        <v>27950.942558769133</v>
      </c>
      <c r="AE27" s="73">
        <v>26428.869913454939</v>
      </c>
      <c r="AF27" s="73">
        <v>25408.286711932138</v>
      </c>
      <c r="AG27" s="46">
        <f>+SUM(I27:AF27)*H27</f>
        <v>643451.48688203504</v>
      </c>
      <c r="AJ27" s="74"/>
      <c r="AK27" s="75"/>
    </row>
    <row r="28" spans="1:37" ht="15" thickBot="1">
      <c r="A28" s="66"/>
      <c r="E28" s="85">
        <f t="shared" si="7"/>
        <v>47209</v>
      </c>
      <c r="F28" s="81"/>
      <c r="G28" s="47" t="s">
        <v>10</v>
      </c>
      <c r="H28" s="47">
        <f>+SUM(H24:H27)</f>
        <v>30</v>
      </c>
      <c r="I28" s="48">
        <f t="shared" ref="I28:AF28" si="8">+SUMPRODUCT(I24:I27,$H24:$H27)</f>
        <v>1053803.8527042065</v>
      </c>
      <c r="J28" s="48">
        <f t="shared" si="8"/>
        <v>1024158.5587999021</v>
      </c>
      <c r="K28" s="48">
        <f t="shared" si="8"/>
        <v>1004630.9962692161</v>
      </c>
      <c r="L28" s="48">
        <f t="shared" si="8"/>
        <v>1002430.2343674463</v>
      </c>
      <c r="M28" s="48">
        <f t="shared" si="8"/>
        <v>996968.53107482265</v>
      </c>
      <c r="N28" s="48">
        <f t="shared" si="8"/>
        <v>1023912.4257873588</v>
      </c>
      <c r="O28" s="48">
        <f t="shared" si="8"/>
        <v>1113804.5450552655</v>
      </c>
      <c r="P28" s="48">
        <f t="shared" si="8"/>
        <v>1236366.3739893064</v>
      </c>
      <c r="Q28" s="48">
        <f t="shared" si="8"/>
        <v>1327735.0919266704</v>
      </c>
      <c r="R28" s="48">
        <f t="shared" si="8"/>
        <v>1362964.8165203973</v>
      </c>
      <c r="S28" s="48">
        <f t="shared" si="8"/>
        <v>1417502.8665351879</v>
      </c>
      <c r="T28" s="48">
        <f t="shared" si="8"/>
        <v>1447970.146198537</v>
      </c>
      <c r="U28" s="48">
        <f t="shared" si="8"/>
        <v>1409836.4939473267</v>
      </c>
      <c r="V28" s="48">
        <f t="shared" si="8"/>
        <v>1445081.6904710005</v>
      </c>
      <c r="W28" s="48">
        <f t="shared" si="8"/>
        <v>1495348.1383133598</v>
      </c>
      <c r="X28" s="48">
        <f t="shared" si="8"/>
        <v>1530304.2145364927</v>
      </c>
      <c r="Y28" s="48">
        <f t="shared" si="8"/>
        <v>1536571.6019523467</v>
      </c>
      <c r="Z28" s="48">
        <f t="shared" si="8"/>
        <v>1507487.3232222314</v>
      </c>
      <c r="AA28" s="48">
        <f t="shared" si="8"/>
        <v>1439459.486098408</v>
      </c>
      <c r="AB28" s="48">
        <f t="shared" si="8"/>
        <v>1400814.2764621919</v>
      </c>
      <c r="AC28" s="48">
        <f t="shared" si="8"/>
        <v>1314516.2587576462</v>
      </c>
      <c r="AD28" s="48">
        <f t="shared" si="8"/>
        <v>1218624.6272331085</v>
      </c>
      <c r="AE28" s="48">
        <f t="shared" si="8"/>
        <v>1125913.2110188091</v>
      </c>
      <c r="AF28" s="48">
        <f t="shared" si="8"/>
        <v>1083078.0680413488</v>
      </c>
      <c r="AG28" s="49">
        <f>SUM(I28:AF28)</f>
        <v>30519283.829282589</v>
      </c>
    </row>
    <row r="29" spans="1:37" ht="14">
      <c r="A29" s="66"/>
      <c r="E29" s="84">
        <v>47239</v>
      </c>
      <c r="F29" s="79">
        <f t="shared" ref="F29" si="9">+AG33</f>
        <v>30810328.626854271</v>
      </c>
      <c r="G29" s="40" t="s">
        <v>60</v>
      </c>
      <c r="H29" s="40">
        <v>21</v>
      </c>
      <c r="I29" s="73">
        <v>36457.200450397482</v>
      </c>
      <c r="J29" s="73">
        <v>35444.834362617803</v>
      </c>
      <c r="K29" s="73">
        <v>34757.17122381831</v>
      </c>
      <c r="L29" s="73">
        <v>34729.460272178643</v>
      </c>
      <c r="M29" s="73">
        <v>34547.249148584451</v>
      </c>
      <c r="N29" s="73">
        <v>35739.454494110432</v>
      </c>
      <c r="O29" s="73">
        <v>39702.676402581405</v>
      </c>
      <c r="P29" s="73">
        <v>44963.963043178861</v>
      </c>
      <c r="Q29" s="73">
        <v>48782.556350363528</v>
      </c>
      <c r="R29" s="73">
        <v>50173.957981141553</v>
      </c>
      <c r="S29" s="73">
        <v>52241.252146015628</v>
      </c>
      <c r="T29" s="73">
        <v>53320.522190123345</v>
      </c>
      <c r="U29" s="73">
        <v>51717.979590147712</v>
      </c>
      <c r="V29" s="73">
        <v>53339.211462367923</v>
      </c>
      <c r="W29" s="73">
        <v>55628.395671177386</v>
      </c>
      <c r="X29" s="73">
        <v>56865.86226664784</v>
      </c>
      <c r="Y29" s="73">
        <v>56716.57068525067</v>
      </c>
      <c r="Z29" s="73">
        <v>54771.399650227264</v>
      </c>
      <c r="AA29" s="73">
        <v>51708.823582713812</v>
      </c>
      <c r="AB29" s="73">
        <v>50026.309191821718</v>
      </c>
      <c r="AC29" s="73">
        <v>46748.219309384709</v>
      </c>
      <c r="AD29" s="73">
        <v>43261.780006467947</v>
      </c>
      <c r="AE29" s="73">
        <v>39806.879320521497</v>
      </c>
      <c r="AF29" s="73">
        <v>38349.344264776017</v>
      </c>
      <c r="AG29" s="41">
        <f>+SUM(I29:AF29)*H29</f>
        <v>23095822.534398936</v>
      </c>
      <c r="AJ29" s="74"/>
    </row>
    <row r="30" spans="1:37" ht="14">
      <c r="A30" s="66"/>
      <c r="E30" s="85">
        <f t="shared" ref="E30:E33" si="10">+E29</f>
        <v>47239</v>
      </c>
      <c r="F30" s="80"/>
      <c r="G30" s="42" t="s">
        <v>63</v>
      </c>
      <c r="H30" s="42">
        <v>4</v>
      </c>
      <c r="I30" s="73">
        <v>35413.834527560459</v>
      </c>
      <c r="J30" s="73">
        <v>34234.078900980116</v>
      </c>
      <c r="K30" s="73">
        <v>33802.758181467281</v>
      </c>
      <c r="L30" s="73">
        <v>33825.623616146295</v>
      </c>
      <c r="M30" s="73">
        <v>33655.002704055987</v>
      </c>
      <c r="N30" s="73">
        <v>34233.162277903248</v>
      </c>
      <c r="O30" s="73">
        <v>36508.464631558316</v>
      </c>
      <c r="P30" s="73">
        <v>39785.126876930233</v>
      </c>
      <c r="Q30" s="73">
        <v>42183.563042376612</v>
      </c>
      <c r="R30" s="73">
        <v>43309.942171690564</v>
      </c>
      <c r="S30" s="73">
        <v>44856.173711664705</v>
      </c>
      <c r="T30" s="73">
        <v>45447.279999728773</v>
      </c>
      <c r="U30" s="73">
        <v>44032.48458277493</v>
      </c>
      <c r="V30" s="73">
        <v>43910.527504862403</v>
      </c>
      <c r="W30" s="73">
        <v>43701.626215699413</v>
      </c>
      <c r="X30" s="73">
        <v>44214.236518452846</v>
      </c>
      <c r="Y30" s="73">
        <v>44682.108168657476</v>
      </c>
      <c r="Z30" s="73">
        <v>45368.403411278945</v>
      </c>
      <c r="AA30" s="73">
        <v>44588.849331675439</v>
      </c>
      <c r="AB30" s="73">
        <v>44023.823461171305</v>
      </c>
      <c r="AC30" s="73">
        <v>41917.841012779274</v>
      </c>
      <c r="AD30" s="73">
        <v>38572.823995734638</v>
      </c>
      <c r="AE30" s="73">
        <v>35568.08272575814</v>
      </c>
      <c r="AF30" s="73">
        <v>33855.846890119421</v>
      </c>
      <c r="AG30" s="43">
        <f>+SUM(I30:AF30)*H30</f>
        <v>3846766.6578441076</v>
      </c>
      <c r="AJ30" s="74"/>
      <c r="AK30" s="75"/>
    </row>
    <row r="31" spans="1:37" ht="14">
      <c r="A31" s="66"/>
      <c r="E31" s="85">
        <f t="shared" si="10"/>
        <v>47239</v>
      </c>
      <c r="F31" s="80"/>
      <c r="G31" s="44" t="s">
        <v>61</v>
      </c>
      <c r="H31" s="44">
        <v>4</v>
      </c>
      <c r="I31" s="73">
        <v>26783.848164889128</v>
      </c>
      <c r="J31" s="73">
        <v>26069.311575046668</v>
      </c>
      <c r="K31" s="73">
        <v>25382.382514046887</v>
      </c>
      <c r="L31" s="73">
        <v>25060.401864978448</v>
      </c>
      <c r="M31" s="73">
        <v>24825.996372692334</v>
      </c>
      <c r="N31" s="73">
        <v>24791.055905233032</v>
      </c>
      <c r="O31" s="73">
        <v>24086.355812022208</v>
      </c>
      <c r="P31" s="73">
        <v>23658.427263458423</v>
      </c>
      <c r="Q31" s="73">
        <v>23744.5314730586</v>
      </c>
      <c r="R31" s="73">
        <v>23972.623794185885</v>
      </c>
      <c r="S31" s="73">
        <v>24747.380482023163</v>
      </c>
      <c r="T31" s="73">
        <v>25853.601497177613</v>
      </c>
      <c r="U31" s="73">
        <v>26173.441814049984</v>
      </c>
      <c r="V31" s="73">
        <v>26586.092349204035</v>
      </c>
      <c r="W31" s="73">
        <v>27219.137898198569</v>
      </c>
      <c r="X31" s="73">
        <v>28557.854732804197</v>
      </c>
      <c r="Y31" s="73">
        <v>30128.200750725118</v>
      </c>
      <c r="Z31" s="73">
        <v>31936.164747339844</v>
      </c>
      <c r="AA31" s="73">
        <v>31930.475980131163</v>
      </c>
      <c r="AB31" s="73">
        <v>31917.001769410566</v>
      </c>
      <c r="AC31" s="73">
        <v>30337.459260854313</v>
      </c>
      <c r="AD31" s="73">
        <v>28751.402477989435</v>
      </c>
      <c r="AE31" s="73">
        <v>27350.396723558784</v>
      </c>
      <c r="AF31" s="73">
        <v>26351.126499145787</v>
      </c>
      <c r="AG31" s="43">
        <f>+SUM(I31:AF31)*H31</f>
        <v>2584858.6868888969</v>
      </c>
      <c r="AJ31" s="74"/>
      <c r="AK31" s="75"/>
    </row>
    <row r="32" spans="1:37" ht="14">
      <c r="A32" s="66"/>
      <c r="E32" s="85">
        <f t="shared" si="10"/>
        <v>47239</v>
      </c>
      <c r="F32" s="80"/>
      <c r="G32" s="45" t="s">
        <v>62</v>
      </c>
      <c r="H32" s="45">
        <v>2</v>
      </c>
      <c r="I32" s="73">
        <v>28148.284712669094</v>
      </c>
      <c r="J32" s="73">
        <v>27391.707866888864</v>
      </c>
      <c r="K32" s="73">
        <v>26747.676561433116</v>
      </c>
      <c r="L32" s="73">
        <v>26432.037099102006</v>
      </c>
      <c r="M32" s="73">
        <v>25961.336199797744</v>
      </c>
      <c r="N32" s="73">
        <v>24716.74710472496</v>
      </c>
      <c r="O32" s="73">
        <v>23169.707977717091</v>
      </c>
      <c r="P32" s="73">
        <v>22965.451885452843</v>
      </c>
      <c r="Q32" s="73">
        <v>23417.422796757455</v>
      </c>
      <c r="R32" s="73">
        <v>23746.606097171894</v>
      </c>
      <c r="S32" s="73">
        <v>24729.599929215878</v>
      </c>
      <c r="T32" s="73">
        <v>25417.018853986516</v>
      </c>
      <c r="U32" s="73">
        <v>25562.900267471749</v>
      </c>
      <c r="V32" s="73">
        <v>25906.745129875831</v>
      </c>
      <c r="W32" s="73">
        <v>26395.898217804119</v>
      </c>
      <c r="X32" s="73">
        <v>27853.356674063292</v>
      </c>
      <c r="Y32" s="73">
        <v>29026.972938885359</v>
      </c>
      <c r="Z32" s="73">
        <v>31301.314257411599</v>
      </c>
      <c r="AA32" s="73">
        <v>31375.823167973889</v>
      </c>
      <c r="AB32" s="73">
        <v>31681.315785908639</v>
      </c>
      <c r="AC32" s="73">
        <v>29719.635415945402</v>
      </c>
      <c r="AD32" s="73">
        <v>27927.79241996452</v>
      </c>
      <c r="AE32" s="73">
        <v>26419.689475770447</v>
      </c>
      <c r="AF32" s="73">
        <v>25425.333025169723</v>
      </c>
      <c r="AG32" s="46">
        <f>+SUM(I32:AF32)*H32</f>
        <v>1282880.7477223242</v>
      </c>
      <c r="AJ32" s="74"/>
      <c r="AK32" s="75"/>
    </row>
    <row r="33" spans="1:37" ht="15" thickBot="1">
      <c r="A33" s="66"/>
      <c r="E33" s="85">
        <f t="shared" si="10"/>
        <v>47239</v>
      </c>
      <c r="F33" s="81"/>
      <c r="G33" s="47" t="s">
        <v>10</v>
      </c>
      <c r="H33" s="47">
        <f>+SUM(H29:H32)</f>
        <v>31</v>
      </c>
      <c r="I33" s="48">
        <f t="shared" ref="I33:AF33" si="11">+SUMPRODUCT(I29:I32,$H29:$H32)</f>
        <v>1070688.5096534838</v>
      </c>
      <c r="J33" s="48">
        <f t="shared" si="11"/>
        <v>1040338.4992528588</v>
      </c>
      <c r="K33" s="48">
        <f t="shared" si="11"/>
        <v>1020136.5116051073</v>
      </c>
      <c r="L33" s="48">
        <f t="shared" si="11"/>
        <v>1017726.8418384545</v>
      </c>
      <c r="M33" s="48">
        <f t="shared" si="11"/>
        <v>1011338.9008268623</v>
      </c>
      <c r="N33" s="48">
        <f t="shared" si="11"/>
        <v>1036058.911318314</v>
      </c>
      <c r="O33" s="48">
        <f t="shared" si="11"/>
        <v>1122474.9021839658</v>
      </c>
      <c r="P33" s="48">
        <f t="shared" si="11"/>
        <v>1243948.3442392163</v>
      </c>
      <c r="Q33" s="48">
        <f t="shared" si="11"/>
        <v>1334980.9070128899</v>
      </c>
      <c r="R33" s="48">
        <f t="shared" si="11"/>
        <v>1370276.5936618221</v>
      </c>
      <c r="S33" s="48">
        <f t="shared" si="11"/>
        <v>1424939.7116995114</v>
      </c>
      <c r="T33" s="48">
        <f t="shared" si="11"/>
        <v>1455768.5296881888</v>
      </c>
      <c r="U33" s="48">
        <f t="shared" si="11"/>
        <v>1418027.0775153451</v>
      </c>
      <c r="V33" s="48">
        <f t="shared" si="11"/>
        <v>1453923.4103857439</v>
      </c>
      <c r="W33" s="48">
        <f t="shared" si="11"/>
        <v>1504671.1619859254</v>
      </c>
      <c r="X33" s="48">
        <f t="shared" si="11"/>
        <v>1540978.1859527591</v>
      </c>
      <c r="Y33" s="48">
        <f t="shared" si="11"/>
        <v>1548343.1659455651</v>
      </c>
      <c r="Z33" s="48">
        <f t="shared" si="11"/>
        <v>1522020.2938040711</v>
      </c>
      <c r="AA33" s="48">
        <f t="shared" si="11"/>
        <v>1454714.2428201644</v>
      </c>
      <c r="AB33" s="48">
        <f t="shared" si="11"/>
        <v>1417678.4255224008</v>
      </c>
      <c r="AC33" s="48">
        <f t="shared" si="11"/>
        <v>1330173.0774235041</v>
      </c>
      <c r="AD33" s="48">
        <f t="shared" si="11"/>
        <v>1233649.8708706524</v>
      </c>
      <c r="AE33" s="48">
        <f t="shared" si="11"/>
        <v>1140457.76247976</v>
      </c>
      <c r="AF33" s="48">
        <f t="shared" si="11"/>
        <v>1097014.7891676966</v>
      </c>
      <c r="AG33" s="49">
        <f>SUM(I33:AF33)</f>
        <v>30810328.626854271</v>
      </c>
    </row>
    <row r="34" spans="1:37" ht="14">
      <c r="A34" s="66"/>
      <c r="E34" s="84">
        <v>47270</v>
      </c>
      <c r="F34" s="79">
        <f t="shared" ref="F34" si="12">+AG38</f>
        <v>29973624.764254104</v>
      </c>
      <c r="G34" s="40" t="s">
        <v>60</v>
      </c>
      <c r="H34" s="40">
        <v>20</v>
      </c>
      <c r="I34" s="73">
        <v>36391.357032841996</v>
      </c>
      <c r="J34" s="73">
        <v>35379.50087361694</v>
      </c>
      <c r="K34" s="73">
        <v>34692.271299231688</v>
      </c>
      <c r="L34" s="73">
        <v>34665.304872214314</v>
      </c>
      <c r="M34" s="73">
        <v>34481.495529419291</v>
      </c>
      <c r="N34" s="73">
        <v>35669.343401094855</v>
      </c>
      <c r="O34" s="73">
        <v>39622.308896260693</v>
      </c>
      <c r="P34" s="73">
        <v>44876.032009723356</v>
      </c>
      <c r="Q34" s="73">
        <v>48687.672253933277</v>
      </c>
      <c r="R34" s="73">
        <v>50074.651997046341</v>
      </c>
      <c r="S34" s="73">
        <v>52136.77181317949</v>
      </c>
      <c r="T34" s="73">
        <v>53213.121787777964</v>
      </c>
      <c r="U34" s="73">
        <v>51612.731482935691</v>
      </c>
      <c r="V34" s="73">
        <v>53234.490633073707</v>
      </c>
      <c r="W34" s="73">
        <v>55523.230232298272</v>
      </c>
      <c r="X34" s="73">
        <v>56761.225278595208</v>
      </c>
      <c r="Y34" s="73">
        <v>56612.562032224843</v>
      </c>
      <c r="Z34" s="73">
        <v>54670.819594596876</v>
      </c>
      <c r="AA34" s="73">
        <v>51614.457471561509</v>
      </c>
      <c r="AB34" s="73">
        <v>49936.698306128375</v>
      </c>
      <c r="AC34" s="73">
        <v>46663.463099198852</v>
      </c>
      <c r="AD34" s="73">
        <v>43183.255218025399</v>
      </c>
      <c r="AE34" s="73">
        <v>39734.051035379103</v>
      </c>
      <c r="AF34" s="73">
        <v>38278.470779155265</v>
      </c>
      <c r="AG34" s="41">
        <f>+SUM(I34:AF34)*H34</f>
        <v>21954305.738590267</v>
      </c>
      <c r="AJ34" s="74"/>
    </row>
    <row r="35" spans="1:37" ht="14">
      <c r="A35" s="66"/>
      <c r="E35" s="85">
        <f t="shared" ref="E35:E38" si="13">+E34</f>
        <v>47270</v>
      </c>
      <c r="F35" s="80"/>
      <c r="G35" s="42" t="s">
        <v>63</v>
      </c>
      <c r="H35" s="42">
        <v>5</v>
      </c>
      <c r="I35" s="73">
        <v>35402.541377142792</v>
      </c>
      <c r="J35" s="73">
        <v>34223.030416905473</v>
      </c>
      <c r="K35" s="73">
        <v>33792.023337419399</v>
      </c>
      <c r="L35" s="73">
        <v>33815.108997276693</v>
      </c>
      <c r="M35" s="73">
        <v>33644.277156633536</v>
      </c>
      <c r="N35" s="73">
        <v>34221.93280992598</v>
      </c>
      <c r="O35" s="73">
        <v>36496.248374874274</v>
      </c>
      <c r="P35" s="73">
        <v>39772.142966823034</v>
      </c>
      <c r="Q35" s="73">
        <v>42169.719347971593</v>
      </c>
      <c r="R35" s="73">
        <v>43295.587024835433</v>
      </c>
      <c r="S35" s="73">
        <v>44840.943423915218</v>
      </c>
      <c r="T35" s="73">
        <v>45431.965713448466</v>
      </c>
      <c r="U35" s="73">
        <v>44017.851866808174</v>
      </c>
      <c r="V35" s="73">
        <v>43896.477562842629</v>
      </c>
      <c r="W35" s="73">
        <v>43687.605673354294</v>
      </c>
      <c r="X35" s="73">
        <v>44200.247786206004</v>
      </c>
      <c r="Y35" s="73">
        <v>44668.162866081111</v>
      </c>
      <c r="Z35" s="73">
        <v>45354.701178515235</v>
      </c>
      <c r="AA35" s="73">
        <v>44575.420915587791</v>
      </c>
      <c r="AB35" s="73">
        <v>44011.359649186867</v>
      </c>
      <c r="AC35" s="73">
        <v>41906.19485125161</v>
      </c>
      <c r="AD35" s="73">
        <v>38562.181870925553</v>
      </c>
      <c r="AE35" s="73">
        <v>35558.355350427446</v>
      </c>
      <c r="AF35" s="73">
        <v>33846.466110418041</v>
      </c>
      <c r="AG35" s="43">
        <f>+SUM(I35:AF35)*H35</f>
        <v>4806952.7331438828</v>
      </c>
      <c r="AJ35" s="74"/>
      <c r="AK35" s="75"/>
    </row>
    <row r="36" spans="1:37" ht="14">
      <c r="A36" s="66"/>
      <c r="E36" s="85">
        <f t="shared" si="13"/>
        <v>47270</v>
      </c>
      <c r="F36" s="80"/>
      <c r="G36" s="44" t="s">
        <v>61</v>
      </c>
      <c r="H36" s="44">
        <v>4</v>
      </c>
      <c r="I36" s="73">
        <v>26634.416297377276</v>
      </c>
      <c r="J36" s="73">
        <v>25923.047660637716</v>
      </c>
      <c r="K36" s="73">
        <v>25236.154557991111</v>
      </c>
      <c r="L36" s="73">
        <v>24916.198557369102</v>
      </c>
      <c r="M36" s="73">
        <v>24682.286394591723</v>
      </c>
      <c r="N36" s="73">
        <v>24651.284647648961</v>
      </c>
      <c r="O36" s="73">
        <v>23945.244400163596</v>
      </c>
      <c r="P36" s="73">
        <v>23507.349737000422</v>
      </c>
      <c r="Q36" s="73">
        <v>23586.507019577835</v>
      </c>
      <c r="R36" s="73">
        <v>23809.199451622237</v>
      </c>
      <c r="S36" s="73">
        <v>24574.158967306961</v>
      </c>
      <c r="T36" s="73">
        <v>25675.484550091976</v>
      </c>
      <c r="U36" s="73">
        <v>25995.944740185758</v>
      </c>
      <c r="V36" s="73">
        <v>26407.123236375573</v>
      </c>
      <c r="W36" s="73">
        <v>27044.136716309738</v>
      </c>
      <c r="X36" s="73">
        <v>28382.742769980658</v>
      </c>
      <c r="Y36" s="73">
        <v>29954.300121851429</v>
      </c>
      <c r="Z36" s="73">
        <v>31766.473632327452</v>
      </c>
      <c r="AA36" s="73">
        <v>31757.368800618737</v>
      </c>
      <c r="AB36" s="73">
        <v>31752.750417386174</v>
      </c>
      <c r="AC36" s="73">
        <v>30183.372185419852</v>
      </c>
      <c r="AD36" s="73">
        <v>28607.352856502017</v>
      </c>
      <c r="AE36" s="73">
        <v>27211.570393035177</v>
      </c>
      <c r="AF36" s="73">
        <v>26216.248487609788</v>
      </c>
      <c r="AG36" s="43">
        <f>+SUM(I36:AF36)*H36</f>
        <v>2569682.8663959252</v>
      </c>
      <c r="AJ36" s="74"/>
      <c r="AK36" s="75"/>
    </row>
    <row r="37" spans="1:37" ht="14">
      <c r="A37" s="66"/>
      <c r="E37" s="85">
        <f t="shared" si="13"/>
        <v>47270</v>
      </c>
      <c r="F37" s="80"/>
      <c r="G37" s="45" t="s">
        <v>62</v>
      </c>
      <c r="H37" s="45">
        <v>1</v>
      </c>
      <c r="I37" s="73">
        <v>28186.877009809486</v>
      </c>
      <c r="J37" s="73">
        <v>27429.788102237959</v>
      </c>
      <c r="K37" s="73">
        <v>26785.756300782163</v>
      </c>
      <c r="L37" s="73">
        <v>26469.561194172984</v>
      </c>
      <c r="M37" s="73">
        <v>26000.267014517478</v>
      </c>
      <c r="N37" s="73">
        <v>24761.31328032503</v>
      </c>
      <c r="O37" s="73">
        <v>23220.322664306696</v>
      </c>
      <c r="P37" s="73">
        <v>23018.939005333043</v>
      </c>
      <c r="Q37" s="73">
        <v>23471.441301760213</v>
      </c>
      <c r="R37" s="73">
        <v>23801.944352362993</v>
      </c>
      <c r="S37" s="73">
        <v>24787.115825819266</v>
      </c>
      <c r="T37" s="73">
        <v>25477.816407265032</v>
      </c>
      <c r="U37" s="73">
        <v>25623.940499689274</v>
      </c>
      <c r="V37" s="73">
        <v>25968.128549545767</v>
      </c>
      <c r="W37" s="73">
        <v>26456.96226229248</v>
      </c>
      <c r="X37" s="73">
        <v>27914.0006522771</v>
      </c>
      <c r="Y37" s="73">
        <v>29089.207043893857</v>
      </c>
      <c r="Z37" s="73">
        <v>31359.523034665046</v>
      </c>
      <c r="AA37" s="73">
        <v>31433.695030356084</v>
      </c>
      <c r="AB37" s="73">
        <v>31734.967406728883</v>
      </c>
      <c r="AC37" s="73">
        <v>29772.093913139652</v>
      </c>
      <c r="AD37" s="73">
        <v>27977.852381384153</v>
      </c>
      <c r="AE37" s="73">
        <v>26468.702890290944</v>
      </c>
      <c r="AF37" s="73">
        <v>25473.210001078667</v>
      </c>
      <c r="AG37" s="46">
        <f>+SUM(I37:AF37)*H37</f>
        <v>642683.4261240341</v>
      </c>
      <c r="AJ37" s="74"/>
      <c r="AK37" s="75"/>
    </row>
    <row r="38" spans="1:37" ht="15" thickBot="1">
      <c r="A38" s="66"/>
      <c r="E38" s="85">
        <f t="shared" si="13"/>
        <v>47270</v>
      </c>
      <c r="F38" s="81"/>
      <c r="G38" s="47" t="s">
        <v>10</v>
      </c>
      <c r="H38" s="47">
        <f>+SUM(H34:H37)</f>
        <v>30</v>
      </c>
      <c r="I38" s="48">
        <f t="shared" ref="I38:AF38" si="14">+SUMPRODUCT(I34:I37,$H34:$H37)</f>
        <v>1039564.3897418724</v>
      </c>
      <c r="J38" s="48">
        <f t="shared" si="14"/>
        <v>1009827.148301655</v>
      </c>
      <c r="K38" s="48">
        <f t="shared" si="14"/>
        <v>990535.91720447736</v>
      </c>
      <c r="L38" s="48">
        <f t="shared" si="14"/>
        <v>988515.99785431917</v>
      </c>
      <c r="M38" s="48">
        <f t="shared" si="14"/>
        <v>982580.70896443783</v>
      </c>
      <c r="N38" s="48">
        <f t="shared" si="14"/>
        <v>1007862.9839424478</v>
      </c>
      <c r="O38" s="48">
        <f t="shared" si="14"/>
        <v>1093928.7200645462</v>
      </c>
      <c r="P38" s="48">
        <f t="shared" si="14"/>
        <v>1213429.6929819169</v>
      </c>
      <c r="Q38" s="48">
        <f t="shared" si="14"/>
        <v>1302419.5111985952</v>
      </c>
      <c r="R38" s="48">
        <f t="shared" si="14"/>
        <v>1337009.717223956</v>
      </c>
      <c r="S38" s="48">
        <f t="shared" si="14"/>
        <v>1390023.905078213</v>
      </c>
      <c r="T38" s="48">
        <f t="shared" si="14"/>
        <v>1419602.0189304345</v>
      </c>
      <c r="U38" s="48">
        <f t="shared" si="14"/>
        <v>1381951.6084531869</v>
      </c>
      <c r="V38" s="48">
        <f t="shared" si="14"/>
        <v>1415768.8219707352</v>
      </c>
      <c r="W38" s="48">
        <f t="shared" si="14"/>
        <v>1463536.1421402683</v>
      </c>
      <c r="X38" s="48">
        <f t="shared" si="14"/>
        <v>1497670.7162351341</v>
      </c>
      <c r="Y38" s="48">
        <f t="shared" si="14"/>
        <v>1504498.462506202</v>
      </c>
      <c r="Z38" s="48">
        <f t="shared" si="14"/>
        <v>1478615.3153484885</v>
      </c>
      <c r="AA38" s="48">
        <f t="shared" si="14"/>
        <v>1413629.4242420001</v>
      </c>
      <c r="AB38" s="48">
        <f t="shared" si="14"/>
        <v>1377536.7334447755</v>
      </c>
      <c r="AC38" s="48">
        <f t="shared" si="14"/>
        <v>1293305.818895054</v>
      </c>
      <c r="AD38" s="48">
        <f t="shared" si="14"/>
        <v>1198883.2775225281</v>
      </c>
      <c r="AE38" s="48">
        <f t="shared" si="14"/>
        <v>1107787.7819221509</v>
      </c>
      <c r="AF38" s="48">
        <f t="shared" si="14"/>
        <v>1065139.9500867133</v>
      </c>
      <c r="AG38" s="49">
        <f>SUM(I38:AF38)</f>
        <v>29973624.764254104</v>
      </c>
    </row>
    <row r="39" spans="1:37" ht="14">
      <c r="A39" s="66"/>
      <c r="E39" s="84">
        <v>47300</v>
      </c>
      <c r="F39" s="79">
        <f t="shared" ref="F39" si="15">+AG43</f>
        <v>30372144.626415633</v>
      </c>
      <c r="G39" s="40" t="s">
        <v>60</v>
      </c>
      <c r="H39" s="40">
        <v>20</v>
      </c>
      <c r="I39" s="73">
        <v>36513.064265589921</v>
      </c>
      <c r="J39" s="73">
        <v>35500.013267645139</v>
      </c>
      <c r="K39" s="73">
        <v>34811.627028782576</v>
      </c>
      <c r="L39" s="73">
        <v>34783.042547067547</v>
      </c>
      <c r="M39" s="73">
        <v>34601.476692540615</v>
      </c>
      <c r="N39" s="73">
        <v>35795.982510314658</v>
      </c>
      <c r="O39" s="73">
        <v>39766.540044973241</v>
      </c>
      <c r="P39" s="73">
        <v>45035.193221614143</v>
      </c>
      <c r="Q39" s="73">
        <v>48860.687382597353</v>
      </c>
      <c r="R39" s="73">
        <v>50257.06059846306</v>
      </c>
      <c r="S39" s="73">
        <v>52328.47302794407</v>
      </c>
      <c r="T39" s="73">
        <v>53410.324075188058</v>
      </c>
      <c r="U39" s="73">
        <v>51805.525237290072</v>
      </c>
      <c r="V39" s="73">
        <v>53426.994857561789</v>
      </c>
      <c r="W39" s="73">
        <v>55716.880367702324</v>
      </c>
      <c r="X39" s="73">
        <v>56953.540160585559</v>
      </c>
      <c r="Y39" s="73">
        <v>56803.303135212031</v>
      </c>
      <c r="Z39" s="73">
        <v>54854.670265777291</v>
      </c>
      <c r="AA39" s="73">
        <v>51786.582997550584</v>
      </c>
      <c r="AB39" s="73">
        <v>50101.093116842312</v>
      </c>
      <c r="AC39" s="73">
        <v>46818.705451329472</v>
      </c>
      <c r="AD39" s="73">
        <v>43327.463036654946</v>
      </c>
      <c r="AE39" s="73">
        <v>39868.323718822809</v>
      </c>
      <c r="AF39" s="73">
        <v>38409.101252460889</v>
      </c>
      <c r="AG39" s="41">
        <f>+SUM(I39:AF39)*H39</f>
        <v>22030713.365210213</v>
      </c>
      <c r="AJ39" s="74"/>
    </row>
    <row r="40" spans="1:37" ht="14">
      <c r="A40" s="66"/>
      <c r="E40" s="85">
        <f t="shared" ref="E40:E43" si="16">+E39</f>
        <v>47300</v>
      </c>
      <c r="F40" s="80"/>
      <c r="G40" s="42" t="s">
        <v>63</v>
      </c>
      <c r="H40" s="42">
        <v>4</v>
      </c>
      <c r="I40" s="73">
        <v>35451.978948061813</v>
      </c>
      <c r="J40" s="73">
        <v>34271.361901675802</v>
      </c>
      <c r="K40" s="73">
        <v>33839.210645906984</v>
      </c>
      <c r="L40" s="73">
        <v>33861.497266633392</v>
      </c>
      <c r="M40" s="73">
        <v>33690.996484868541</v>
      </c>
      <c r="N40" s="73">
        <v>34269.470014641811</v>
      </c>
      <c r="O40" s="73">
        <v>36547.273805454482</v>
      </c>
      <c r="P40" s="73">
        <v>39827.425533797978</v>
      </c>
      <c r="Q40" s="73">
        <v>42229.363992919993</v>
      </c>
      <c r="R40" s="73">
        <v>43358.934789574509</v>
      </c>
      <c r="S40" s="73">
        <v>44908.013401339515</v>
      </c>
      <c r="T40" s="73">
        <v>45500.019891824602</v>
      </c>
      <c r="U40" s="73">
        <v>44082.674712716878</v>
      </c>
      <c r="V40" s="73">
        <v>43959.739800404503</v>
      </c>
      <c r="W40" s="73">
        <v>43750.202890405759</v>
      </c>
      <c r="X40" s="73">
        <v>44261.823795553704</v>
      </c>
      <c r="Y40" s="73">
        <v>44729.127778616843</v>
      </c>
      <c r="Z40" s="73">
        <v>45414.233588370305</v>
      </c>
      <c r="AA40" s="73">
        <v>44633.814951967383</v>
      </c>
      <c r="AB40" s="73">
        <v>44066.865191879006</v>
      </c>
      <c r="AC40" s="73">
        <v>41957.772028021893</v>
      </c>
      <c r="AD40" s="73">
        <v>38608.976469430061</v>
      </c>
      <c r="AE40" s="73">
        <v>35600.766586369238</v>
      </c>
      <c r="AF40" s="73">
        <v>33887.633231503154</v>
      </c>
      <c r="AG40" s="43">
        <f>+SUM(I40:AF40)*H40</f>
        <v>3850836.7108077523</v>
      </c>
      <c r="AJ40" s="74"/>
      <c r="AK40" s="75"/>
    </row>
    <row r="41" spans="1:37" ht="14">
      <c r="A41" s="66"/>
      <c r="E41" s="85">
        <f t="shared" si="16"/>
        <v>47300</v>
      </c>
      <c r="F41" s="80"/>
      <c r="G41" s="44" t="s">
        <v>61</v>
      </c>
      <c r="H41" s="44">
        <v>5</v>
      </c>
      <c r="I41" s="73">
        <v>26527.78733568106</v>
      </c>
      <c r="J41" s="73">
        <v>25818.500757385998</v>
      </c>
      <c r="K41" s="73">
        <v>25130.920770189787</v>
      </c>
      <c r="L41" s="73">
        <v>24812.615844704313</v>
      </c>
      <c r="M41" s="73">
        <v>24578.907056887449</v>
      </c>
      <c r="N41" s="73">
        <v>24551.357260991866</v>
      </c>
      <c r="O41" s="73">
        <v>23843.54981259345</v>
      </c>
      <c r="P41" s="73">
        <v>23397.714365768643</v>
      </c>
      <c r="Q41" s="73">
        <v>23471.367952283159</v>
      </c>
      <c r="R41" s="73">
        <v>23690.403915537681</v>
      </c>
      <c r="S41" s="73">
        <v>24448.77515411477</v>
      </c>
      <c r="T41" s="73">
        <v>25547.213348657951</v>
      </c>
      <c r="U41" s="73">
        <v>25867.860620333315</v>
      </c>
      <c r="V41" s="73">
        <v>26277.507891992507</v>
      </c>
      <c r="W41" s="73">
        <v>26917.25536020198</v>
      </c>
      <c r="X41" s="73">
        <v>28255.607227278546</v>
      </c>
      <c r="Y41" s="73">
        <v>29827.778184963518</v>
      </c>
      <c r="Z41" s="73">
        <v>31643.944760483329</v>
      </c>
      <c r="AA41" s="73">
        <v>31631.582870301605</v>
      </c>
      <c r="AB41" s="73">
        <v>31634.318919139732</v>
      </c>
      <c r="AC41" s="73">
        <v>30072.11480381326</v>
      </c>
      <c r="AD41" s="73">
        <v>28504.067818659845</v>
      </c>
      <c r="AE41" s="73">
        <v>27111.963422870504</v>
      </c>
      <c r="AF41" s="73">
        <v>26119.949383593612</v>
      </c>
      <c r="AG41" s="43">
        <f>+SUM(I41:AF41)*H41</f>
        <v>3198415.3241921393</v>
      </c>
      <c r="AJ41" s="74"/>
      <c r="AK41" s="75"/>
    </row>
    <row r="42" spans="1:37" ht="14">
      <c r="A42" s="66"/>
      <c r="E42" s="85">
        <f t="shared" si="16"/>
        <v>47300</v>
      </c>
      <c r="F42" s="80"/>
      <c r="G42" s="45" t="s">
        <v>62</v>
      </c>
      <c r="H42" s="45">
        <v>2</v>
      </c>
      <c r="I42" s="73">
        <v>28295.031722629232</v>
      </c>
      <c r="J42" s="73">
        <v>27536.264806150164</v>
      </c>
      <c r="K42" s="73">
        <v>26891.775033537575</v>
      </c>
      <c r="L42" s="73">
        <v>26574.141984621841</v>
      </c>
      <c r="M42" s="73">
        <v>26108.057492752807</v>
      </c>
      <c r="N42" s="73">
        <v>24883.497524935909</v>
      </c>
      <c r="O42" s="73">
        <v>23356.144142507947</v>
      </c>
      <c r="P42" s="73">
        <v>23163.086776400396</v>
      </c>
      <c r="Q42" s="73">
        <v>23617.136244027039</v>
      </c>
      <c r="R42" s="73">
        <v>23952.005462013534</v>
      </c>
      <c r="S42" s="73">
        <v>24944.799783501243</v>
      </c>
      <c r="T42" s="73">
        <v>25644.78553539536</v>
      </c>
      <c r="U42" s="73">
        <v>25791.714273354344</v>
      </c>
      <c r="V42" s="73">
        <v>26136.241931140998</v>
      </c>
      <c r="W42" s="73">
        <v>26622.613992477774</v>
      </c>
      <c r="X42" s="73">
        <v>28077.47552855836</v>
      </c>
      <c r="Y42" s="73">
        <v>29256.12012630239</v>
      </c>
      <c r="Z42" s="73">
        <v>31517.889965236871</v>
      </c>
      <c r="AA42" s="73">
        <v>31591.240853969724</v>
      </c>
      <c r="AB42" s="73">
        <v>31883.745353559581</v>
      </c>
      <c r="AC42" s="73">
        <v>29917.473022010014</v>
      </c>
      <c r="AD42" s="73">
        <v>28116.56901897522</v>
      </c>
      <c r="AE42" s="73">
        <v>26604.879366509133</v>
      </c>
      <c r="AF42" s="73">
        <v>25606.923162198989</v>
      </c>
      <c r="AG42" s="46">
        <f>+SUM(I42:AF42)*H42</f>
        <v>1292179.2262055331</v>
      </c>
      <c r="AJ42" s="74"/>
      <c r="AK42" s="75"/>
    </row>
    <row r="43" spans="1:37" ht="15" thickBot="1">
      <c r="A43" s="66"/>
      <c r="E43" s="85">
        <f t="shared" si="16"/>
        <v>47300</v>
      </c>
      <c r="F43" s="81"/>
      <c r="G43" s="47" t="s">
        <v>10</v>
      </c>
      <c r="H43" s="47">
        <f>+SUM(H39:H42)</f>
        <v>31</v>
      </c>
      <c r="I43" s="48">
        <f t="shared" ref="I43:AF43" si="17">+SUMPRODUCT(I39:I42,$H39:$H42)</f>
        <v>1061298.2012277094</v>
      </c>
      <c r="J43" s="48">
        <f t="shared" si="17"/>
        <v>1031250.7463588363</v>
      </c>
      <c r="K43" s="48">
        <f t="shared" si="17"/>
        <v>1011027.5370773035</v>
      </c>
      <c r="L43" s="48">
        <f t="shared" si="17"/>
        <v>1008318.2032006496</v>
      </c>
      <c r="M43" s="48">
        <f t="shared" si="17"/>
        <v>1001904.1700602294</v>
      </c>
      <c r="N43" s="48">
        <f t="shared" si="17"/>
        <v>1025521.3116196917</v>
      </c>
      <c r="O43" s="48">
        <f t="shared" si="17"/>
        <v>1107449.9334692659</v>
      </c>
      <c r="P43" s="48">
        <f t="shared" si="17"/>
        <v>1223328.311949119</v>
      </c>
      <c r="Q43" s="48">
        <f t="shared" si="17"/>
        <v>1310722.3158730969</v>
      </c>
      <c r="R43" s="48">
        <f t="shared" si="17"/>
        <v>1344932.9816292746</v>
      </c>
      <c r="S43" s="48">
        <f t="shared" si="17"/>
        <v>1398334.9895018155</v>
      </c>
      <c r="T43" s="48">
        <f t="shared" si="17"/>
        <v>1429232.1988851402</v>
      </c>
      <c r="U43" s="48">
        <f t="shared" si="17"/>
        <v>1393363.9352450443</v>
      </c>
      <c r="V43" s="48">
        <f t="shared" si="17"/>
        <v>1428038.8796750985</v>
      </c>
      <c r="W43" s="48">
        <f t="shared" si="17"/>
        <v>1477169.9237016351</v>
      </c>
      <c r="X43" s="48">
        <f t="shared" si="17"/>
        <v>1513551.0855874354</v>
      </c>
      <c r="Y43" s="48">
        <f t="shared" si="17"/>
        <v>1522633.7049961304</v>
      </c>
      <c r="Z43" s="48">
        <f t="shared" si="17"/>
        <v>1500005.8434019175</v>
      </c>
      <c r="AA43" s="48">
        <f t="shared" si="17"/>
        <v>1435607.3158183286</v>
      </c>
      <c r="AB43" s="48">
        <f t="shared" si="17"/>
        <v>1400228.4084071801</v>
      </c>
      <c r="AC43" s="48">
        <f t="shared" si="17"/>
        <v>1314400.7172017633</v>
      </c>
      <c r="AD43" s="48">
        <f t="shared" si="17"/>
        <v>1219738.6437420689</v>
      </c>
      <c r="AE43" s="48">
        <f t="shared" si="17"/>
        <v>1128539.1165693039</v>
      </c>
      <c r="AF43" s="48">
        <f t="shared" si="17"/>
        <v>1085546.1512175964</v>
      </c>
      <c r="AG43" s="49">
        <f>SUM(I43:AF43)</f>
        <v>30372144.626415633</v>
      </c>
    </row>
    <row r="44" spans="1:37" ht="14">
      <c r="A44" s="66"/>
      <c r="E44" s="84">
        <v>47331</v>
      </c>
      <c r="F44" s="79">
        <f t="shared" ref="F44" si="18">+AG48</f>
        <v>30851783.208432823</v>
      </c>
      <c r="G44" s="40" t="s">
        <v>60</v>
      </c>
      <c r="H44" s="40">
        <v>21</v>
      </c>
      <c r="I44" s="73">
        <v>36518.228162275758</v>
      </c>
      <c r="J44" s="73">
        <v>35504.673125559268</v>
      </c>
      <c r="K44" s="73">
        <v>34815.599406585337</v>
      </c>
      <c r="L44" s="73">
        <v>34786.511653908143</v>
      </c>
      <c r="M44" s="73">
        <v>34603.763790230114</v>
      </c>
      <c r="N44" s="73">
        <v>35796.042397536767</v>
      </c>
      <c r="O44" s="73">
        <v>39764.891077843029</v>
      </c>
      <c r="P44" s="73">
        <v>45035.883813099346</v>
      </c>
      <c r="Q44" s="73">
        <v>48863.765781144466</v>
      </c>
      <c r="R44" s="73">
        <v>50262.729792131002</v>
      </c>
      <c r="S44" s="73">
        <v>52334.048000660128</v>
      </c>
      <c r="T44" s="73">
        <v>53416.318476453904</v>
      </c>
      <c r="U44" s="73">
        <v>51810.559571711201</v>
      </c>
      <c r="V44" s="73">
        <v>53433.248089395427</v>
      </c>
      <c r="W44" s="73">
        <v>55723.76460930983</v>
      </c>
      <c r="X44" s="73">
        <v>56959.723598415709</v>
      </c>
      <c r="Y44" s="73">
        <v>56808.678794159889</v>
      </c>
      <c r="Z44" s="73">
        <v>54858.759986460929</v>
      </c>
      <c r="AA44" s="73">
        <v>51789.745598176974</v>
      </c>
      <c r="AB44" s="73">
        <v>50105.830811209009</v>
      </c>
      <c r="AC44" s="73">
        <v>46822.733305831331</v>
      </c>
      <c r="AD44" s="73">
        <v>43331.892199003618</v>
      </c>
      <c r="AE44" s="73">
        <v>39873.399656066569</v>
      </c>
      <c r="AF44" s="73">
        <v>38413.970734976618</v>
      </c>
      <c r="AG44" s="41">
        <f>+SUM(I44:AF44)*H44</f>
        <v>23134330.011075035</v>
      </c>
      <c r="AJ44" s="74"/>
    </row>
    <row r="45" spans="1:37" ht="14">
      <c r="A45" s="66"/>
      <c r="E45" s="85">
        <f t="shared" ref="E45:E48" si="19">+E44</f>
        <v>47331</v>
      </c>
      <c r="F45" s="80"/>
      <c r="G45" s="42" t="s">
        <v>63</v>
      </c>
      <c r="H45" s="42">
        <v>4</v>
      </c>
      <c r="I45" s="73">
        <v>35475.269528475495</v>
      </c>
      <c r="J45" s="73">
        <v>34294.086150263196</v>
      </c>
      <c r="K45" s="73">
        <v>33861.691490230995</v>
      </c>
      <c r="L45" s="73">
        <v>33883.814879637008</v>
      </c>
      <c r="M45" s="73">
        <v>33712.704851447881</v>
      </c>
      <c r="N45" s="73">
        <v>34289.770382739407</v>
      </c>
      <c r="O45" s="73">
        <v>36568.143170664203</v>
      </c>
      <c r="P45" s="73">
        <v>39851.458815111553</v>
      </c>
      <c r="Q45" s="73">
        <v>42256.225157098823</v>
      </c>
      <c r="R45" s="73">
        <v>43389.432077458616</v>
      </c>
      <c r="S45" s="73">
        <v>44940.123632557305</v>
      </c>
      <c r="T45" s="73">
        <v>45533.390227213771</v>
      </c>
      <c r="U45" s="73">
        <v>44114.2027933793</v>
      </c>
      <c r="V45" s="73">
        <v>43991.812389944673</v>
      </c>
      <c r="W45" s="73">
        <v>43781.269310714859</v>
      </c>
      <c r="X45" s="73">
        <v>44291.269716462026</v>
      </c>
      <c r="Y45" s="73">
        <v>44757.741945121132</v>
      </c>
      <c r="Z45" s="73">
        <v>45441.696917571186</v>
      </c>
      <c r="AA45" s="73">
        <v>44660.819886213336</v>
      </c>
      <c r="AB45" s="73">
        <v>44094.232998984437</v>
      </c>
      <c r="AC45" s="73">
        <v>41982.838303756427</v>
      </c>
      <c r="AD45" s="73">
        <v>38631.289335311078</v>
      </c>
      <c r="AE45" s="73">
        <v>35620.524900183904</v>
      </c>
      <c r="AF45" s="73">
        <v>33907.158328675177</v>
      </c>
      <c r="AG45" s="43">
        <f>+SUM(I45:AF45)*H45</f>
        <v>3853323.8687568628</v>
      </c>
      <c r="AJ45" s="74"/>
      <c r="AK45" s="75"/>
    </row>
    <row r="46" spans="1:37" ht="14">
      <c r="A46" s="66"/>
      <c r="E46" s="85">
        <f t="shared" si="19"/>
        <v>47331</v>
      </c>
      <c r="F46" s="80"/>
      <c r="G46" s="44" t="s">
        <v>61</v>
      </c>
      <c r="H46" s="44">
        <v>4</v>
      </c>
      <c r="I46" s="73">
        <v>26766.125743045646</v>
      </c>
      <c r="J46" s="73">
        <v>26051.43639382505</v>
      </c>
      <c r="K46" s="73">
        <v>25362.401703088708</v>
      </c>
      <c r="L46" s="73">
        <v>25041.27222865825</v>
      </c>
      <c r="M46" s="73">
        <v>24806.485091203383</v>
      </c>
      <c r="N46" s="73">
        <v>24773.911068537211</v>
      </c>
      <c r="O46" s="73">
        <v>24066.65084713633</v>
      </c>
      <c r="P46" s="73">
        <v>23635.084594497592</v>
      </c>
      <c r="Q46" s="73">
        <v>23718.746294188237</v>
      </c>
      <c r="R46" s="73">
        <v>23946.780606764874</v>
      </c>
      <c r="S46" s="73">
        <v>24721.567541213408</v>
      </c>
      <c r="T46" s="73">
        <v>25829.001808859477</v>
      </c>
      <c r="U46" s="73">
        <v>26148.159866734411</v>
      </c>
      <c r="V46" s="73">
        <v>26559.212037224959</v>
      </c>
      <c r="W46" s="73">
        <v>27192.439833782952</v>
      </c>
      <c r="X46" s="73">
        <v>28530.624934478117</v>
      </c>
      <c r="Y46" s="73">
        <v>30100.372105770304</v>
      </c>
      <c r="Z46" s="73">
        <v>31911.764780007823</v>
      </c>
      <c r="AA46" s="73">
        <v>31903.244319581223</v>
      </c>
      <c r="AB46" s="73">
        <v>31893.885842275969</v>
      </c>
      <c r="AC46" s="73">
        <v>30315.315681101092</v>
      </c>
      <c r="AD46" s="73">
        <v>28732.847781123754</v>
      </c>
      <c r="AE46" s="73">
        <v>27332.316183289036</v>
      </c>
      <c r="AF46" s="73">
        <v>26334.966614940317</v>
      </c>
      <c r="AG46" s="43">
        <f>+SUM(I46:AF46)*H46</f>
        <v>2582698.4556053118</v>
      </c>
      <c r="AJ46" s="74"/>
      <c r="AK46" s="75"/>
    </row>
    <row r="47" spans="1:37" ht="14">
      <c r="A47" s="66"/>
      <c r="E47" s="85">
        <f t="shared" si="19"/>
        <v>47331</v>
      </c>
      <c r="F47" s="80"/>
      <c r="G47" s="45" t="s">
        <v>62</v>
      </c>
      <c r="H47" s="45">
        <v>2</v>
      </c>
      <c r="I47" s="73">
        <v>28133.802329361133</v>
      </c>
      <c r="J47" s="73">
        <v>27376.606965992709</v>
      </c>
      <c r="K47" s="73">
        <v>26731.052376597061</v>
      </c>
      <c r="L47" s="73">
        <v>26416.019322161716</v>
      </c>
      <c r="M47" s="73">
        <v>25942.345946210738</v>
      </c>
      <c r="N47" s="73">
        <v>24690.973048273408</v>
      </c>
      <c r="O47" s="73">
        <v>23130.607370026766</v>
      </c>
      <c r="P47" s="73">
        <v>22926.19532331486</v>
      </c>
      <c r="Q47" s="73">
        <v>23378.1602422129</v>
      </c>
      <c r="R47" s="73">
        <v>23709.075774196033</v>
      </c>
      <c r="S47" s="73">
        <v>24696.324245534721</v>
      </c>
      <c r="T47" s="73">
        <v>25382.806454270703</v>
      </c>
      <c r="U47" s="73">
        <v>25529.012346929023</v>
      </c>
      <c r="V47" s="73">
        <v>25870.652423273212</v>
      </c>
      <c r="W47" s="73">
        <v>26354.698088174733</v>
      </c>
      <c r="X47" s="73">
        <v>27808.978756968932</v>
      </c>
      <c r="Y47" s="73">
        <v>28978.601162676652</v>
      </c>
      <c r="Z47" s="73">
        <v>31263.578260663311</v>
      </c>
      <c r="AA47" s="73">
        <v>31338.62433468967</v>
      </c>
      <c r="AB47" s="73">
        <v>31655.908699536474</v>
      </c>
      <c r="AC47" s="73">
        <v>29694.492166182197</v>
      </c>
      <c r="AD47" s="73">
        <v>27903.747501684498</v>
      </c>
      <c r="AE47" s="73">
        <v>26397.347879559467</v>
      </c>
      <c r="AF47" s="73">
        <v>25405.825479320047</v>
      </c>
      <c r="AG47" s="46">
        <f>+SUM(I47:AF47)*H47</f>
        <v>1281430.8729956218</v>
      </c>
      <c r="AJ47" s="74"/>
      <c r="AK47" s="75"/>
    </row>
    <row r="48" spans="1:37" ht="15" thickBot="1">
      <c r="A48" s="66"/>
      <c r="E48" s="85">
        <f t="shared" si="19"/>
        <v>47331</v>
      </c>
      <c r="F48" s="81"/>
      <c r="G48" s="47" t="s">
        <v>10</v>
      </c>
      <c r="H48" s="47">
        <f>+SUM(H44:H47)</f>
        <v>31</v>
      </c>
      <c r="I48" s="48">
        <f t="shared" ref="I48:AF48" si="20">+SUMPRODUCT(I44:I47,$H44:$H47)</f>
        <v>1072115.9771525979</v>
      </c>
      <c r="J48" s="48">
        <f t="shared" si="20"/>
        <v>1041733.4397450831</v>
      </c>
      <c r="K48" s="48">
        <f t="shared" si="20"/>
        <v>1021486.065064765</v>
      </c>
      <c r="L48" s="48">
        <f t="shared" si="20"/>
        <v>1019049.1318095755</v>
      </c>
      <c r="M48" s="48">
        <f t="shared" si="20"/>
        <v>1012640.4912578589</v>
      </c>
      <c r="N48" s="48">
        <f t="shared" si="20"/>
        <v>1037353.5622499253</v>
      </c>
      <c r="O48" s="48">
        <f t="shared" si="20"/>
        <v>1123863.1034459593</v>
      </c>
      <c r="P48" s="48">
        <f t="shared" si="20"/>
        <v>1245552.1243601525</v>
      </c>
      <c r="Q48" s="48">
        <f t="shared" si="20"/>
        <v>1336795.2876936081</v>
      </c>
      <c r="R48" s="48">
        <f t="shared" si="20"/>
        <v>1372280.3279200371</v>
      </c>
      <c r="S48" s="48">
        <f t="shared" si="20"/>
        <v>1427054.4212000149</v>
      </c>
      <c r="T48" s="48">
        <f t="shared" si="20"/>
        <v>1457957.8690583664</v>
      </c>
      <c r="U48" s="48">
        <f t="shared" si="20"/>
        <v>1420129.2263402482</v>
      </c>
      <c r="V48" s="48">
        <f t="shared" si="20"/>
        <v>1456043.612432529</v>
      </c>
      <c r="W48" s="48">
        <f t="shared" si="20"/>
        <v>1506803.2895498471</v>
      </c>
      <c r="X48" s="48">
        <f t="shared" si="20"/>
        <v>1543059.7316844284</v>
      </c>
      <c r="Y48" s="48">
        <f t="shared" si="20"/>
        <v>1550371.9132062767</v>
      </c>
      <c r="Z48" s="48">
        <f t="shared" si="20"/>
        <v>1523974.9630273222</v>
      </c>
      <c r="AA48" s="48">
        <f t="shared" si="20"/>
        <v>1456518.1630542739</v>
      </c>
      <c r="AB48" s="48">
        <f t="shared" si="20"/>
        <v>1419486.7397995039</v>
      </c>
      <c r="AC48" s="48">
        <f t="shared" si="20"/>
        <v>1331858.9996942524</v>
      </c>
      <c r="AD48" s="48">
        <f t="shared" si="20"/>
        <v>1235233.7796481843</v>
      </c>
      <c r="AE48" s="48">
        <f t="shared" si="20"/>
        <v>1141947.4528704088</v>
      </c>
      <c r="AF48" s="48">
        <f t="shared" si="20"/>
        <v>1098473.5361676111</v>
      </c>
      <c r="AG48" s="49">
        <f>SUM(I48:AF48)</f>
        <v>30851783.208432823</v>
      </c>
    </row>
    <row r="49" spans="1:37" ht="14">
      <c r="A49" s="66"/>
      <c r="E49" s="84">
        <v>47362</v>
      </c>
      <c r="F49" s="79">
        <f t="shared" ref="F49" si="21">+AG53</f>
        <v>30132090.492888212</v>
      </c>
      <c r="G49" s="40" t="s">
        <v>60</v>
      </c>
      <c r="H49" s="40">
        <v>20</v>
      </c>
      <c r="I49" s="73">
        <v>36531.798285622506</v>
      </c>
      <c r="J49" s="73">
        <v>35518.135327951873</v>
      </c>
      <c r="K49" s="73">
        <v>34828.968272713668</v>
      </c>
      <c r="L49" s="73">
        <v>34799.724366296155</v>
      </c>
      <c r="M49" s="73">
        <v>34617.297928214663</v>
      </c>
      <c r="N49" s="73">
        <v>35810.458951153312</v>
      </c>
      <c r="O49" s="73">
        <v>39781.406139510342</v>
      </c>
      <c r="P49" s="73">
        <v>45053.968330417636</v>
      </c>
      <c r="Q49" s="73">
        <v>48883.294524800134</v>
      </c>
      <c r="R49" s="73">
        <v>50283.18354010363</v>
      </c>
      <c r="S49" s="73">
        <v>52355.565120379477</v>
      </c>
      <c r="T49" s="73">
        <v>53438.438573134932</v>
      </c>
      <c r="U49" s="73">
        <v>51832.231267858973</v>
      </c>
      <c r="V49" s="73">
        <v>53454.818790734527</v>
      </c>
      <c r="W49" s="73">
        <v>55745.430574081242</v>
      </c>
      <c r="X49" s="73">
        <v>56981.276635304428</v>
      </c>
      <c r="Y49" s="73">
        <v>56830.09771352393</v>
      </c>
      <c r="Z49" s="73">
        <v>54879.466088291629</v>
      </c>
      <c r="AA49" s="73">
        <v>51809.168346930324</v>
      </c>
      <c r="AB49" s="73">
        <v>50124.285387247575</v>
      </c>
      <c r="AC49" s="73">
        <v>46840.18534397069</v>
      </c>
      <c r="AD49" s="73">
        <v>43348.065381167326</v>
      </c>
      <c r="AE49" s="73">
        <v>39888.405466784447</v>
      </c>
      <c r="AF49" s="73">
        <v>38428.573343916069</v>
      </c>
      <c r="AG49" s="41">
        <f>+SUM(I49:AF49)*H49</f>
        <v>22041284.874002188</v>
      </c>
      <c r="AJ49" s="74"/>
    </row>
    <row r="50" spans="1:37" ht="14">
      <c r="A50" s="66"/>
      <c r="E50" s="85">
        <f t="shared" ref="E50:E53" si="22">+E49</f>
        <v>47362</v>
      </c>
      <c r="F50" s="80"/>
      <c r="G50" s="42" t="s">
        <v>63</v>
      </c>
      <c r="H50" s="42">
        <v>5</v>
      </c>
      <c r="I50" s="73">
        <v>35636.816762772818</v>
      </c>
      <c r="J50" s="73">
        <v>34452.121156343557</v>
      </c>
      <c r="K50" s="73">
        <v>34015.320309502</v>
      </c>
      <c r="L50" s="73">
        <v>34034.351384971524</v>
      </c>
      <c r="M50" s="73">
        <v>33866.050562108365</v>
      </c>
      <c r="N50" s="73">
        <v>34449.836919246256</v>
      </c>
      <c r="O50" s="73">
        <v>36742.033433610843</v>
      </c>
      <c r="P50" s="73">
        <v>40036.645288155902</v>
      </c>
      <c r="Q50" s="73">
        <v>42453.920930565961</v>
      </c>
      <c r="R50" s="73">
        <v>43594.958536016144</v>
      </c>
      <c r="S50" s="73">
        <v>45158.130636627633</v>
      </c>
      <c r="T50" s="73">
        <v>45752.815416064688</v>
      </c>
      <c r="U50" s="73">
        <v>44323.791187177623</v>
      </c>
      <c r="V50" s="73">
        <v>44193.412297975039</v>
      </c>
      <c r="W50" s="73">
        <v>43982.260229633262</v>
      </c>
      <c r="X50" s="73">
        <v>44491.495730045972</v>
      </c>
      <c r="Y50" s="73">
        <v>44957.198796415498</v>
      </c>
      <c r="Z50" s="73">
        <v>45637.547240185842</v>
      </c>
      <c r="AA50" s="73">
        <v>44852.774479138985</v>
      </c>
      <c r="AB50" s="73">
        <v>44272.857802532286</v>
      </c>
      <c r="AC50" s="73">
        <v>42149.644103201616</v>
      </c>
      <c r="AD50" s="73">
        <v>38783.596448219243</v>
      </c>
      <c r="AE50" s="73">
        <v>35759.613502857494</v>
      </c>
      <c r="AF50" s="73">
        <v>34041.38489322448</v>
      </c>
      <c r="AG50" s="43">
        <f>+SUM(I50:AF50)*H50</f>
        <v>4838192.8902329654</v>
      </c>
      <c r="AJ50" s="74"/>
      <c r="AK50" s="75"/>
    </row>
    <row r="51" spans="1:37" ht="14">
      <c r="A51" s="66"/>
      <c r="E51" s="85">
        <f t="shared" si="22"/>
        <v>47362</v>
      </c>
      <c r="F51" s="80"/>
      <c r="G51" s="44" t="s">
        <v>61</v>
      </c>
      <c r="H51" s="44">
        <v>5</v>
      </c>
      <c r="I51" s="73">
        <v>26957.059889933676</v>
      </c>
      <c r="J51" s="73">
        <v>26238.324306981212</v>
      </c>
      <c r="K51" s="73">
        <v>25549.249927182238</v>
      </c>
      <c r="L51" s="73">
        <v>25225.531679149532</v>
      </c>
      <c r="M51" s="73">
        <v>24990.115503028377</v>
      </c>
      <c r="N51" s="73">
        <v>24952.50321230615</v>
      </c>
      <c r="O51" s="73">
        <v>24246.962471176786</v>
      </c>
      <c r="P51" s="73">
        <v>23828.137541558535</v>
      </c>
      <c r="Q51" s="73">
        <v>23920.680364086573</v>
      </c>
      <c r="R51" s="73">
        <v>24155.61257049059</v>
      </c>
      <c r="S51" s="73">
        <v>24942.914147895284</v>
      </c>
      <c r="T51" s="73">
        <v>26056.598155905216</v>
      </c>
      <c r="U51" s="73">
        <v>26374.966421799752</v>
      </c>
      <c r="V51" s="73">
        <v>26787.903687940532</v>
      </c>
      <c r="W51" s="73">
        <v>27416.06238002907</v>
      </c>
      <c r="X51" s="73">
        <v>28754.390566978247</v>
      </c>
      <c r="Y51" s="73">
        <v>30322.592177594684</v>
      </c>
      <c r="Z51" s="73">
        <v>32128.597527523183</v>
      </c>
      <c r="AA51" s="73">
        <v>32124.449083225034</v>
      </c>
      <c r="AB51" s="73">
        <v>32103.766126389801</v>
      </c>
      <c r="AC51" s="73">
        <v>30512.209416774811</v>
      </c>
      <c r="AD51" s="73">
        <v>28916.909210930888</v>
      </c>
      <c r="AE51" s="73">
        <v>27509.704068611609</v>
      </c>
      <c r="AF51" s="73">
        <v>26507.305293119141</v>
      </c>
      <c r="AG51" s="43">
        <f>+SUM(I51:AF51)*H51</f>
        <v>3252612.7286530547</v>
      </c>
      <c r="AJ51" s="74"/>
      <c r="AK51" s="75"/>
    </row>
    <row r="52" spans="1:37" ht="14">
      <c r="A52" s="66"/>
      <c r="E52" s="85">
        <f t="shared" si="22"/>
        <v>47362</v>
      </c>
      <c r="F52" s="80"/>
      <c r="G52" s="45" t="s">
        <v>62</v>
      </c>
      <c r="H52" s="45">
        <v>0</v>
      </c>
      <c r="I52" s="73">
        <v>0</v>
      </c>
      <c r="J52" s="73">
        <v>0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  <c r="Z52" s="73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0</v>
      </c>
      <c r="AF52" s="73">
        <v>0</v>
      </c>
      <c r="AG52" s="46">
        <f>+SUM(I52:AF52)*H52</f>
        <v>0</v>
      </c>
      <c r="AJ52" s="74"/>
      <c r="AK52" s="75"/>
    </row>
    <row r="53" spans="1:37" ht="15" thickBot="1">
      <c r="A53" s="66"/>
      <c r="E53" s="85">
        <f t="shared" si="22"/>
        <v>47362</v>
      </c>
      <c r="F53" s="81"/>
      <c r="G53" s="47" t="s">
        <v>10</v>
      </c>
      <c r="H53" s="47">
        <f>+SUM(H49:H52)</f>
        <v>30</v>
      </c>
      <c r="I53" s="48">
        <f t="shared" ref="I53:AF53" si="23">+SUMPRODUCT(I49:I52,$H49:$H52)</f>
        <v>1043605.3489759826</v>
      </c>
      <c r="J53" s="48">
        <f t="shared" si="23"/>
        <v>1013814.9338756613</v>
      </c>
      <c r="K53" s="48">
        <f t="shared" si="23"/>
        <v>994402.21663769451</v>
      </c>
      <c r="L53" s="48">
        <f t="shared" si="23"/>
        <v>992293.90264652832</v>
      </c>
      <c r="M53" s="48">
        <f t="shared" si="23"/>
        <v>986626.78888997703</v>
      </c>
      <c r="N53" s="48">
        <f t="shared" si="23"/>
        <v>1013220.8796808283</v>
      </c>
      <c r="O53" s="48">
        <f t="shared" si="23"/>
        <v>1100573.1023141448</v>
      </c>
      <c r="P53" s="48">
        <f t="shared" si="23"/>
        <v>1220403.280756925</v>
      </c>
      <c r="Q53" s="48">
        <f t="shared" si="23"/>
        <v>1309538.8969692653</v>
      </c>
      <c r="R53" s="48">
        <f t="shared" si="23"/>
        <v>1344416.5263346063</v>
      </c>
      <c r="S53" s="48">
        <f t="shared" si="23"/>
        <v>1397616.5263302042</v>
      </c>
      <c r="T53" s="48">
        <f t="shared" si="23"/>
        <v>1427815.8393225481</v>
      </c>
      <c r="U53" s="48">
        <f t="shared" si="23"/>
        <v>1390138.4134020661</v>
      </c>
      <c r="V53" s="48">
        <f t="shared" si="23"/>
        <v>1424002.9557442684</v>
      </c>
      <c r="W53" s="48">
        <f t="shared" si="23"/>
        <v>1471900.2245299364</v>
      </c>
      <c r="X53" s="48">
        <f t="shared" si="23"/>
        <v>1505854.9641912095</v>
      </c>
      <c r="Y53" s="48">
        <f t="shared" si="23"/>
        <v>1513000.9091405296</v>
      </c>
      <c r="Z53" s="48">
        <f t="shared" si="23"/>
        <v>1486420.0456043778</v>
      </c>
      <c r="AA53" s="48">
        <f t="shared" si="23"/>
        <v>1421069.4847504264</v>
      </c>
      <c r="AB53" s="48">
        <f t="shared" si="23"/>
        <v>1384368.827389562</v>
      </c>
      <c r="AC53" s="48">
        <f t="shared" si="23"/>
        <v>1300112.974479296</v>
      </c>
      <c r="AD53" s="48">
        <f t="shared" si="23"/>
        <v>1205463.8359190973</v>
      </c>
      <c r="AE53" s="48">
        <f t="shared" si="23"/>
        <v>1114114.6971930345</v>
      </c>
      <c r="AF53" s="48">
        <f t="shared" si="23"/>
        <v>1071314.9178100396</v>
      </c>
      <c r="AG53" s="49">
        <f>SUM(I53:AF53)</f>
        <v>30132090.492888212</v>
      </c>
    </row>
    <row r="54" spans="1:37" ht="14">
      <c r="A54" s="66"/>
      <c r="E54" s="84">
        <v>47392</v>
      </c>
      <c r="F54" s="79">
        <f t="shared" ref="F54" si="24">+AG58</f>
        <v>31354398.310760178</v>
      </c>
      <c r="G54" s="40" t="s">
        <v>60</v>
      </c>
      <c r="H54" s="40">
        <v>22</v>
      </c>
      <c r="I54" s="73">
        <v>36550.401150887563</v>
      </c>
      <c r="J54" s="73">
        <v>35536.593048697847</v>
      </c>
      <c r="K54" s="73">
        <v>34847.301986052196</v>
      </c>
      <c r="L54" s="73">
        <v>34817.846698581205</v>
      </c>
      <c r="M54" s="73">
        <v>34635.868784203201</v>
      </c>
      <c r="N54" s="73">
        <v>35830.254989922476</v>
      </c>
      <c r="O54" s="73">
        <v>39804.094128472025</v>
      </c>
      <c r="P54" s="73">
        <v>45078.797296744531</v>
      </c>
      <c r="Q54" s="73">
        <v>48910.09221525734</v>
      </c>
      <c r="R54" s="73">
        <v>50311.235745701932</v>
      </c>
      <c r="S54" s="73">
        <v>52385.078087835929</v>
      </c>
      <c r="T54" s="73">
        <v>53468.776993825893</v>
      </c>
      <c r="U54" s="73">
        <v>51861.959766159795</v>
      </c>
      <c r="V54" s="73">
        <v>53484.401231439646</v>
      </c>
      <c r="W54" s="73">
        <v>55775.140010174822</v>
      </c>
      <c r="X54" s="73">
        <v>57010.835241946719</v>
      </c>
      <c r="Y54" s="73">
        <v>56859.477040907208</v>
      </c>
      <c r="Z54" s="73">
        <v>54907.874374927014</v>
      </c>
      <c r="AA54" s="73">
        <v>51835.81997877721</v>
      </c>
      <c r="AB54" s="73">
        <v>50149.598022472135</v>
      </c>
      <c r="AC54" s="73">
        <v>46864.125617258942</v>
      </c>
      <c r="AD54" s="73">
        <v>43370.247137894163</v>
      </c>
      <c r="AE54" s="73">
        <v>39908.980309243423</v>
      </c>
      <c r="AF54" s="73">
        <v>38448.595770232139</v>
      </c>
      <c r="AG54" s="41">
        <f>+SUM(I54:AF54)*H54</f>
        <v>24258374.70380754</v>
      </c>
      <c r="AJ54" s="74"/>
    </row>
    <row r="55" spans="1:37" ht="14">
      <c r="A55" s="66"/>
      <c r="E55" s="85">
        <f t="shared" ref="E55:E58" si="25">+E54</f>
        <v>47392</v>
      </c>
      <c r="F55" s="80"/>
      <c r="G55" s="42" t="s">
        <v>63</v>
      </c>
      <c r="H55" s="42">
        <v>4</v>
      </c>
      <c r="I55" s="73">
        <v>35574.073647861245</v>
      </c>
      <c r="J55" s="73">
        <v>34390.741968235918</v>
      </c>
      <c r="K55" s="73">
        <v>33955.653629084176</v>
      </c>
      <c r="L55" s="73">
        <v>33975.886585822635</v>
      </c>
      <c r="M55" s="73">
        <v>33806.491607147953</v>
      </c>
      <c r="N55" s="73">
        <v>34387.660424748668</v>
      </c>
      <c r="O55" s="73">
        <v>36674.483618897684</v>
      </c>
      <c r="P55" s="73">
        <v>39964.712834408623</v>
      </c>
      <c r="Q55" s="73">
        <v>42377.133129516835</v>
      </c>
      <c r="R55" s="73">
        <v>43515.137029550904</v>
      </c>
      <c r="S55" s="73">
        <v>45073.461259425356</v>
      </c>
      <c r="T55" s="73">
        <v>45667.598450448808</v>
      </c>
      <c r="U55" s="73">
        <v>44242.393428369767</v>
      </c>
      <c r="V55" s="73">
        <v>44115.122348018624</v>
      </c>
      <c r="W55" s="73">
        <v>43904.20400418291</v>
      </c>
      <c r="X55" s="73">
        <v>44413.731980735363</v>
      </c>
      <c r="Y55" s="73">
        <v>44879.731583225912</v>
      </c>
      <c r="Z55" s="73">
        <v>45561.478838418174</v>
      </c>
      <c r="AA55" s="73">
        <v>44778.219449453616</v>
      </c>
      <c r="AB55" s="73">
        <v>44203.486877514122</v>
      </c>
      <c r="AC55" s="73">
        <v>42084.861723554604</v>
      </c>
      <c r="AD55" s="73">
        <v>38724.443172399406</v>
      </c>
      <c r="AE55" s="73">
        <v>35705.592168472627</v>
      </c>
      <c r="AF55" s="73">
        <v>33989.253345446908</v>
      </c>
      <c r="AG55" s="43">
        <f>+SUM(I55:AF55)*H55</f>
        <v>3863862.2124197632</v>
      </c>
      <c r="AJ55" s="74"/>
      <c r="AK55" s="75"/>
    </row>
    <row r="56" spans="1:37" ht="14">
      <c r="A56" s="66"/>
      <c r="E56" s="85">
        <f t="shared" si="25"/>
        <v>47392</v>
      </c>
      <c r="F56" s="80"/>
      <c r="G56" s="44" t="s">
        <v>61</v>
      </c>
      <c r="H56" s="44">
        <v>4</v>
      </c>
      <c r="I56" s="73">
        <v>26844.236598870986</v>
      </c>
      <c r="J56" s="73">
        <v>26127.89052291778</v>
      </c>
      <c r="K56" s="73">
        <v>25438.833930405472</v>
      </c>
      <c r="L56" s="73">
        <v>25116.647033485006</v>
      </c>
      <c r="M56" s="73">
        <v>24881.601375505084</v>
      </c>
      <c r="N56" s="73">
        <v>24846.971305037838</v>
      </c>
      <c r="O56" s="73">
        <v>24140.408073118342</v>
      </c>
      <c r="P56" s="73">
        <v>23714.047681838314</v>
      </c>
      <c r="Q56" s="73">
        <v>23801.33828879704</v>
      </c>
      <c r="R56" s="73">
        <v>24032.196082535535</v>
      </c>
      <c r="S56" s="73">
        <v>24812.105938499622</v>
      </c>
      <c r="T56" s="73">
        <v>25922.10178144139</v>
      </c>
      <c r="U56" s="73">
        <v>26240.934707425145</v>
      </c>
      <c r="V56" s="73">
        <v>26652.754244706663</v>
      </c>
      <c r="W56" s="73">
        <v>27283.907504488248</v>
      </c>
      <c r="X56" s="73">
        <v>28622.149749119206</v>
      </c>
      <c r="Y56" s="73">
        <v>30191.262640367757</v>
      </c>
      <c r="Z56" s="73">
        <v>32000.459234299564</v>
      </c>
      <c r="AA56" s="73">
        <v>31993.720843450494</v>
      </c>
      <c r="AB56" s="73">
        <v>31979.73777026431</v>
      </c>
      <c r="AC56" s="73">
        <v>30395.854206845652</v>
      </c>
      <c r="AD56" s="73">
        <v>28808.143070770577</v>
      </c>
      <c r="AE56" s="73">
        <v>27404.88094632158</v>
      </c>
      <c r="AF56" s="73">
        <v>26405.469655013985</v>
      </c>
      <c r="AG56" s="43">
        <f>+SUM(I56:AF56)*H56</f>
        <v>2590630.6127421018</v>
      </c>
      <c r="AJ56" s="74"/>
      <c r="AK56" s="75"/>
    </row>
    <row r="57" spans="1:37" ht="14">
      <c r="A57" s="66"/>
      <c r="E57" s="85">
        <f t="shared" si="25"/>
        <v>47392</v>
      </c>
      <c r="F57" s="80"/>
      <c r="G57" s="45" t="s">
        <v>62</v>
      </c>
      <c r="H57" s="45">
        <v>1</v>
      </c>
      <c r="I57" s="73">
        <v>28159.069610811617</v>
      </c>
      <c r="J57" s="73">
        <v>27401.543661542069</v>
      </c>
      <c r="K57" s="73">
        <v>26755.997529084663</v>
      </c>
      <c r="L57" s="73">
        <v>26440.598387755552</v>
      </c>
      <c r="M57" s="73">
        <v>25967.860115342744</v>
      </c>
      <c r="N57" s="73">
        <v>24720.203733839629</v>
      </c>
      <c r="O57" s="73">
        <v>23163.861891506262</v>
      </c>
      <c r="P57" s="73">
        <v>22961.325179701034</v>
      </c>
      <c r="Q57" s="73">
        <v>23413.636893978557</v>
      </c>
      <c r="R57" s="73">
        <v>23745.403657510054</v>
      </c>
      <c r="S57" s="73">
        <v>24734.048646336152</v>
      </c>
      <c r="T57" s="73">
        <v>25422.677733430039</v>
      </c>
      <c r="U57" s="73">
        <v>25569.040118347759</v>
      </c>
      <c r="V57" s="73">
        <v>25910.916854165735</v>
      </c>
      <c r="W57" s="73">
        <v>26394.783548027346</v>
      </c>
      <c r="X57" s="73">
        <v>27848.808415845753</v>
      </c>
      <c r="Y57" s="73">
        <v>29019.4914968312</v>
      </c>
      <c r="Z57" s="73">
        <v>31301.780518287553</v>
      </c>
      <c r="AA57" s="73">
        <v>31376.603638691653</v>
      </c>
      <c r="AB57" s="73">
        <v>31691.066070695266</v>
      </c>
      <c r="AC57" s="73">
        <v>29728.869431400231</v>
      </c>
      <c r="AD57" s="73">
        <v>27936.553246595027</v>
      </c>
      <c r="AE57" s="73">
        <v>26429.460871111063</v>
      </c>
      <c r="AF57" s="73">
        <v>25437.180539934976</v>
      </c>
      <c r="AG57" s="46">
        <f>+SUM(I57:AF57)*H57</f>
        <v>641530.78179077187</v>
      </c>
      <c r="AJ57" s="74"/>
      <c r="AK57" s="75"/>
    </row>
    <row r="58" spans="1:37" ht="15" thickBot="1">
      <c r="A58" s="66"/>
      <c r="E58" s="85">
        <f t="shared" si="25"/>
        <v>47392</v>
      </c>
      <c r="F58" s="81"/>
      <c r="G58" s="47" t="s">
        <v>10</v>
      </c>
      <c r="H58" s="47">
        <f>+SUM(H54:H57)</f>
        <v>31</v>
      </c>
      <c r="I58" s="48">
        <f t="shared" ref="I58:AF58" si="26">+SUMPRODUCT(I54:I57,$H54:$H57)</f>
        <v>1081941.1359172668</v>
      </c>
      <c r="J58" s="48">
        <f t="shared" si="26"/>
        <v>1051281.1206975095</v>
      </c>
      <c r="K58" s="48">
        <f t="shared" si="26"/>
        <v>1030974.5914601915</v>
      </c>
      <c r="L58" s="48">
        <f t="shared" si="26"/>
        <v>1028803.3602337727</v>
      </c>
      <c r="M58" s="48">
        <f t="shared" si="26"/>
        <v>1022709.3452984253</v>
      </c>
      <c r="N58" s="48">
        <f t="shared" si="26"/>
        <v>1049924.3404312802</v>
      </c>
      <c r="O58" s="48">
        <f t="shared" si="26"/>
        <v>1142113.4994859549</v>
      </c>
      <c r="P58" s="48">
        <f t="shared" si="26"/>
        <v>1269409.9077730686</v>
      </c>
      <c r="Q58" s="48">
        <f t="shared" si="26"/>
        <v>1364149.5513028956</v>
      </c>
      <c r="R58" s="48">
        <f t="shared" si="26"/>
        <v>1400781.9225112982</v>
      </c>
      <c r="S58" s="48">
        <f t="shared" si="26"/>
        <v>1456748.0353704267</v>
      </c>
      <c r="T58" s="48">
        <f t="shared" si="26"/>
        <v>1488094.5725251604</v>
      </c>
      <c r="U58" s="48">
        <f t="shared" si="26"/>
        <v>1448465.467517043</v>
      </c>
      <c r="V58" s="48">
        <f t="shared" si="26"/>
        <v>1485639.2503167391</v>
      </c>
      <c r="W58" s="48">
        <f t="shared" si="26"/>
        <v>1538200.3098065578</v>
      </c>
      <c r="X58" s="48">
        <f t="shared" si="26"/>
        <v>1574230.7106580918</v>
      </c>
      <c r="Y58" s="48">
        <f t="shared" si="26"/>
        <v>1580211.9632911645</v>
      </c>
      <c r="Z58" s="48">
        <f t="shared" si="26"/>
        <v>1549522.7690575528</v>
      </c>
      <c r="AA58" s="48">
        <f t="shared" si="26"/>
        <v>1478852.4043434069</v>
      </c>
      <c r="AB58" s="48">
        <f t="shared" si="26"/>
        <v>1439715.1211561959</v>
      </c>
      <c r="AC58" s="48">
        <f t="shared" si="26"/>
        <v>1350662.4967326978</v>
      </c>
      <c r="AD58" s="48">
        <f t="shared" si="26"/>
        <v>1252212.3352529465</v>
      </c>
      <c r="AE58" s="48">
        <f t="shared" si="26"/>
        <v>1156868.9201336433</v>
      </c>
      <c r="AF58" s="48">
        <f t="shared" si="26"/>
        <v>1112885.1794868857</v>
      </c>
      <c r="AG58" s="49">
        <f>SUM(I58:AF58)</f>
        <v>31354398.310760178</v>
      </c>
    </row>
    <row r="59" spans="1:37" ht="14">
      <c r="A59" s="66"/>
      <c r="E59" s="84">
        <v>47423</v>
      </c>
      <c r="F59" s="79">
        <f t="shared" ref="F59" si="27">+AG63</f>
        <v>29761780.814067788</v>
      </c>
      <c r="G59" s="40" t="s">
        <v>60</v>
      </c>
      <c r="H59" s="40">
        <v>20</v>
      </c>
      <c r="I59" s="73">
        <v>36527.637565325233</v>
      </c>
      <c r="J59" s="73">
        <v>35513.84992856055</v>
      </c>
      <c r="K59" s="73">
        <v>34824.489319072214</v>
      </c>
      <c r="L59" s="73">
        <v>34795.142038457518</v>
      </c>
      <c r="M59" s="73">
        <v>34612.172568965114</v>
      </c>
      <c r="N59" s="73">
        <v>35804.189631258763</v>
      </c>
      <c r="O59" s="73">
        <v>39773.638938318581</v>
      </c>
      <c r="P59" s="73">
        <v>45046.313660247244</v>
      </c>
      <c r="Q59" s="73">
        <v>48875.823463162982</v>
      </c>
      <c r="R59" s="73">
        <v>50276.19178893455</v>
      </c>
      <c r="S59" s="73">
        <v>52348.077327865736</v>
      </c>
      <c r="T59" s="73">
        <v>53430.830641163149</v>
      </c>
      <c r="U59" s="73">
        <v>51824.49180037481</v>
      </c>
      <c r="V59" s="73">
        <v>53447.538754554364</v>
      </c>
      <c r="W59" s="73">
        <v>55738.324007723262</v>
      </c>
      <c r="X59" s="73">
        <v>56973.980521866608</v>
      </c>
      <c r="Y59" s="73">
        <v>56822.584843377837</v>
      </c>
      <c r="Z59" s="73">
        <v>54871.825995270381</v>
      </c>
      <c r="AA59" s="73">
        <v>51801.772223187385</v>
      </c>
      <c r="AB59" s="73">
        <v>50117.848414143758</v>
      </c>
      <c r="AC59" s="73">
        <v>46833.943868140006</v>
      </c>
      <c r="AD59" s="73">
        <v>43342.518606531397</v>
      </c>
      <c r="AE59" s="73">
        <v>39883.588403134156</v>
      </c>
      <c r="AF59" s="73">
        <v>38423.861836763092</v>
      </c>
      <c r="AG59" s="41">
        <f>+SUM(I59:AF59)*H59</f>
        <v>22038212.722927973</v>
      </c>
      <c r="AJ59" s="74"/>
    </row>
    <row r="60" spans="1:37" ht="14">
      <c r="A60" s="66"/>
      <c r="E60" s="85">
        <f t="shared" ref="E60:E63" si="28">+E59</f>
        <v>47423</v>
      </c>
      <c r="F60" s="80"/>
      <c r="G60" s="42" t="s">
        <v>63</v>
      </c>
      <c r="H60" s="42">
        <v>4</v>
      </c>
      <c r="I60" s="73">
        <v>35541.480103984031</v>
      </c>
      <c r="J60" s="73">
        <v>34358.836884378339</v>
      </c>
      <c r="K60" s="73">
        <v>33924.7692779668</v>
      </c>
      <c r="L60" s="73">
        <v>33945.721149817451</v>
      </c>
      <c r="M60" s="73">
        <v>33775.418374991925</v>
      </c>
      <c r="N60" s="73">
        <v>34354.432024361755</v>
      </c>
      <c r="O60" s="73">
        <v>36637.987383909895</v>
      </c>
      <c r="P60" s="73">
        <v>39926.453699983686</v>
      </c>
      <c r="Q60" s="73">
        <v>42336.694559426265</v>
      </c>
      <c r="R60" s="73">
        <v>43473.96151314662</v>
      </c>
      <c r="S60" s="73">
        <v>45029.705013417806</v>
      </c>
      <c r="T60" s="73">
        <v>45623.911003383524</v>
      </c>
      <c r="U60" s="73">
        <v>44200.548059421017</v>
      </c>
      <c r="V60" s="73">
        <v>44075.459032691317</v>
      </c>
      <c r="W60" s="73">
        <v>43864.354781460475</v>
      </c>
      <c r="X60" s="73">
        <v>44373.529314612744</v>
      </c>
      <c r="Y60" s="73">
        <v>44839.441732317602</v>
      </c>
      <c r="Z60" s="73">
        <v>45521.704520982945</v>
      </c>
      <c r="AA60" s="73">
        <v>44739.265847269031</v>
      </c>
      <c r="AB60" s="73">
        <v>44167.990826031033</v>
      </c>
      <c r="AC60" s="73">
        <v>42051.549344177831</v>
      </c>
      <c r="AD60" s="73">
        <v>38693.833076965806</v>
      </c>
      <c r="AE60" s="73">
        <v>35677.430875777667</v>
      </c>
      <c r="AF60" s="73">
        <v>33962.23027955195</v>
      </c>
      <c r="AG60" s="43">
        <f>+SUM(I60:AF60)*H60</f>
        <v>3860386.8347201096</v>
      </c>
      <c r="AJ60" s="74"/>
      <c r="AK60" s="75"/>
    </row>
    <row r="61" spans="1:37" ht="14">
      <c r="A61" s="66"/>
      <c r="E61" s="85">
        <f t="shared" si="28"/>
        <v>47423</v>
      </c>
      <c r="F61" s="80"/>
      <c r="G61" s="44" t="s">
        <v>61</v>
      </c>
      <c r="H61" s="44">
        <v>4</v>
      </c>
      <c r="I61" s="73">
        <v>26749.417317188494</v>
      </c>
      <c r="J61" s="73">
        <v>26034.962670893394</v>
      </c>
      <c r="K61" s="73">
        <v>25345.45484443647</v>
      </c>
      <c r="L61" s="73">
        <v>25024.689942972069</v>
      </c>
      <c r="M61" s="73">
        <v>24789.858424703511</v>
      </c>
      <c r="N61" s="73">
        <v>24758.154336268555</v>
      </c>
      <c r="O61" s="73">
        <v>24050.201235364006</v>
      </c>
      <c r="P61" s="73">
        <v>23616.965272476711</v>
      </c>
      <c r="Q61" s="73">
        <v>23699.484163082489</v>
      </c>
      <c r="R61" s="73">
        <v>23927.046411154999</v>
      </c>
      <c r="S61" s="73">
        <v>24701.007507584378</v>
      </c>
      <c r="T61" s="73">
        <v>25808.300083290404</v>
      </c>
      <c r="U61" s="73">
        <v>26127.356531169182</v>
      </c>
      <c r="V61" s="73">
        <v>26537.922117571157</v>
      </c>
      <c r="W61" s="73">
        <v>27171.528370944448</v>
      </c>
      <c r="X61" s="73">
        <v>28509.583803616755</v>
      </c>
      <c r="Y61" s="73">
        <v>30079.298498021668</v>
      </c>
      <c r="Z61" s="73">
        <v>31891.824347507605</v>
      </c>
      <c r="AA61" s="73">
        <v>31882.373157521964</v>
      </c>
      <c r="AB61" s="73">
        <v>31874.698132452355</v>
      </c>
      <c r="AC61" s="73">
        <v>30297.211748529295</v>
      </c>
      <c r="AD61" s="73">
        <v>28716.408581055424</v>
      </c>
      <c r="AE61" s="73">
        <v>27316.428150965101</v>
      </c>
      <c r="AF61" s="73">
        <v>26319.84851672997</v>
      </c>
      <c r="AG61" s="43">
        <f>+SUM(I61:AF61)*H61</f>
        <v>2580920.0966620021</v>
      </c>
      <c r="AJ61" s="74"/>
      <c r="AK61" s="75"/>
    </row>
    <row r="62" spans="1:37" ht="14">
      <c r="A62" s="66"/>
      <c r="E62" s="85">
        <f t="shared" si="28"/>
        <v>47423</v>
      </c>
      <c r="F62" s="80"/>
      <c r="G62" s="45" t="s">
        <v>62</v>
      </c>
      <c r="H62" s="45">
        <v>2</v>
      </c>
      <c r="I62" s="73">
        <v>28148.441695738496</v>
      </c>
      <c r="J62" s="73">
        <v>27390.875225064607</v>
      </c>
      <c r="K62" s="73">
        <v>26744.98807299454</v>
      </c>
      <c r="L62" s="73">
        <v>26429.831052008303</v>
      </c>
      <c r="M62" s="73">
        <v>25956.157959476444</v>
      </c>
      <c r="N62" s="73">
        <v>24705.904102787939</v>
      </c>
      <c r="O62" s="73">
        <v>23145.420585512962</v>
      </c>
      <c r="P62" s="73">
        <v>22942.299296295529</v>
      </c>
      <c r="Q62" s="73">
        <v>23394.507985565451</v>
      </c>
      <c r="R62" s="73">
        <v>23726.410113461792</v>
      </c>
      <c r="S62" s="73">
        <v>24715.59115698493</v>
      </c>
      <c r="T62" s="73">
        <v>25403.382521010368</v>
      </c>
      <c r="U62" s="73">
        <v>25549.771129946508</v>
      </c>
      <c r="V62" s="73">
        <v>25891.08846941193</v>
      </c>
      <c r="W62" s="73">
        <v>26373.872553401248</v>
      </c>
      <c r="X62" s="73">
        <v>27827.266189398051</v>
      </c>
      <c r="Y62" s="73">
        <v>28996.75063252381</v>
      </c>
      <c r="Z62" s="73">
        <v>31282.191628720211</v>
      </c>
      <c r="AA62" s="73">
        <v>31357.199508382255</v>
      </c>
      <c r="AB62" s="73">
        <v>31675.110072827621</v>
      </c>
      <c r="AC62" s="73">
        <v>29713.200825386499</v>
      </c>
      <c r="AD62" s="73">
        <v>27921.589565342441</v>
      </c>
      <c r="AE62" s="73">
        <v>26415.078882774396</v>
      </c>
      <c r="AF62" s="73">
        <v>25423.650653834658</v>
      </c>
      <c r="AG62" s="46">
        <f>+SUM(I62:AF62)*H62</f>
        <v>1282261.1597577021</v>
      </c>
      <c r="AJ62" s="74"/>
      <c r="AK62" s="75"/>
    </row>
    <row r="63" spans="1:37" ht="15" thickBot="1">
      <c r="A63" s="66"/>
      <c r="E63" s="85">
        <f t="shared" si="28"/>
        <v>47423</v>
      </c>
      <c r="F63" s="81"/>
      <c r="G63" s="47" t="s">
        <v>10</v>
      </c>
      <c r="H63" s="47">
        <f>+SUM(H59:H62)</f>
        <v>30</v>
      </c>
      <c r="I63" s="48">
        <f t="shared" ref="I63:AF63" si="29">+SUMPRODUCT(I59:I62,$H59:$H62)</f>
        <v>1036013.2243826718</v>
      </c>
      <c r="J63" s="48">
        <f t="shared" si="29"/>
        <v>1006633.9472424272</v>
      </c>
      <c r="K63" s="48">
        <f t="shared" si="29"/>
        <v>987060.65901704633</v>
      </c>
      <c r="L63" s="48">
        <f t="shared" si="29"/>
        <v>984644.14724432502</v>
      </c>
      <c r="M63" s="48">
        <f t="shared" si="29"/>
        <v>978416.87449703692</v>
      </c>
      <c r="N63" s="48">
        <f t="shared" si="29"/>
        <v>1001945.9462732724</v>
      </c>
      <c r="O63" s="48">
        <f t="shared" si="29"/>
        <v>1084516.3744144933</v>
      </c>
      <c r="P63" s="48">
        <f t="shared" si="29"/>
        <v>1200984.5476873775</v>
      </c>
      <c r="Q63" s="48">
        <f t="shared" si="29"/>
        <v>1288450.2001244256</v>
      </c>
      <c r="R63" s="48">
        <f t="shared" si="29"/>
        <v>1322580.6877028211</v>
      </c>
      <c r="S63" s="48">
        <f t="shared" si="29"/>
        <v>1375315.5789552932</v>
      </c>
      <c r="T63" s="48">
        <f t="shared" si="29"/>
        <v>1405152.2222119793</v>
      </c>
      <c r="U63" s="48">
        <f t="shared" si="29"/>
        <v>1368900.9966297501</v>
      </c>
      <c r="V63" s="48">
        <f t="shared" si="29"/>
        <v>1403186.4766309611</v>
      </c>
      <c r="W63" s="48">
        <f t="shared" si="29"/>
        <v>1451657.7578708874</v>
      </c>
      <c r="X63" s="48">
        <f t="shared" si="29"/>
        <v>1486666.5952890462</v>
      </c>
      <c r="Y63" s="48">
        <f t="shared" si="29"/>
        <v>1494120.1590539615</v>
      </c>
      <c r="Z63" s="48">
        <f t="shared" si="29"/>
        <v>1469655.0186368104</v>
      </c>
      <c r="AA63" s="48">
        <f t="shared" si="29"/>
        <v>1405236.399499676</v>
      </c>
      <c r="AB63" s="48">
        <f t="shared" si="29"/>
        <v>1369877.9442624641</v>
      </c>
      <c r="AC63" s="48">
        <f t="shared" si="29"/>
        <v>1285500.3233844014</v>
      </c>
      <c r="AD63" s="48">
        <f t="shared" si="29"/>
        <v>1192334.5178933977</v>
      </c>
      <c r="AE63" s="48">
        <f t="shared" si="29"/>
        <v>1102477.361935203</v>
      </c>
      <c r="AF63" s="48">
        <f t="shared" si="29"/>
        <v>1060452.8532280589</v>
      </c>
      <c r="AG63" s="49">
        <f>SUM(I63:AF63)</f>
        <v>29761780.814067788</v>
      </c>
    </row>
    <row r="64" spans="1:37" ht="14">
      <c r="A64" s="66"/>
      <c r="E64" s="84">
        <v>47453</v>
      </c>
      <c r="F64" s="79">
        <f t="shared" ref="F64" si="30">+AG68</f>
        <v>30693421.758397151</v>
      </c>
      <c r="G64" s="40" t="s">
        <v>60</v>
      </c>
      <c r="H64" s="40">
        <v>20</v>
      </c>
      <c r="I64" s="73">
        <v>36814.22295637145</v>
      </c>
      <c r="J64" s="73">
        <v>35798.051468311802</v>
      </c>
      <c r="K64" s="73">
        <v>35106.572285545444</v>
      </c>
      <c r="L64" s="73">
        <v>35073.826856476844</v>
      </c>
      <c r="M64" s="73">
        <v>34897.350598284669</v>
      </c>
      <c r="N64" s="73">
        <v>36107.423729601745</v>
      </c>
      <c r="O64" s="73">
        <v>40120.624148361698</v>
      </c>
      <c r="P64" s="73">
        <v>45426.837934803698</v>
      </c>
      <c r="Q64" s="73">
        <v>49287.263788253265</v>
      </c>
      <c r="R64" s="73">
        <v>50707.673367929761</v>
      </c>
      <c r="S64" s="73">
        <v>52801.903292341354</v>
      </c>
      <c r="T64" s="73">
        <v>53897.433741587112</v>
      </c>
      <c r="U64" s="73">
        <v>52281.446694024147</v>
      </c>
      <c r="V64" s="73">
        <v>53902.645055624154</v>
      </c>
      <c r="W64" s="73">
        <v>56195.576647004891</v>
      </c>
      <c r="X64" s="73">
        <v>57428.699508499609</v>
      </c>
      <c r="Y64" s="73">
        <v>57274.300311039166</v>
      </c>
      <c r="Z64" s="73">
        <v>55308.25814047434</v>
      </c>
      <c r="AA64" s="73">
        <v>52211.002217585577</v>
      </c>
      <c r="AB64" s="73">
        <v>50507.071173891098</v>
      </c>
      <c r="AC64" s="73">
        <v>47201.919938287436</v>
      </c>
      <c r="AD64" s="73">
        <v>43683.687490575125</v>
      </c>
      <c r="AE64" s="73">
        <v>40200.350437305897</v>
      </c>
      <c r="AF64" s="73">
        <v>38732.096724068753</v>
      </c>
      <c r="AG64" s="41">
        <f>+SUM(I64:AF64)*H64</f>
        <v>22219324.770124983</v>
      </c>
      <c r="AJ64" s="74"/>
    </row>
    <row r="65" spans="1:37" ht="14">
      <c r="A65" s="66"/>
      <c r="E65" s="85">
        <f t="shared" ref="E65:E68" si="31">+E64</f>
        <v>47453</v>
      </c>
      <c r="F65" s="80"/>
      <c r="G65" s="42" t="s">
        <v>63</v>
      </c>
      <c r="H65" s="42">
        <v>4</v>
      </c>
      <c r="I65" s="73">
        <v>35864.244876530851</v>
      </c>
      <c r="J65" s="73">
        <v>34674.565041436792</v>
      </c>
      <c r="K65" s="73">
        <v>34231.82034307198</v>
      </c>
      <c r="L65" s="73">
        <v>34246.684976394019</v>
      </c>
      <c r="M65" s="73">
        <v>34081.667990261834</v>
      </c>
      <c r="N65" s="73">
        <v>34673.343496293768</v>
      </c>
      <c r="O65" s="73">
        <v>36984.059150214802</v>
      </c>
      <c r="P65" s="73">
        <v>40295.589657344259</v>
      </c>
      <c r="Q65" s="73">
        <v>42731.153743864932</v>
      </c>
      <c r="R65" s="73">
        <v>43884.874129625976</v>
      </c>
      <c r="S65" s="73">
        <v>45465.493173717965</v>
      </c>
      <c r="T65" s="73">
        <v>46062.872866360733</v>
      </c>
      <c r="U65" s="73">
        <v>44619.719734149832</v>
      </c>
      <c r="V65" s="73">
        <v>44479.216723002981</v>
      </c>
      <c r="W65" s="73">
        <v>44266.599750851703</v>
      </c>
      <c r="X65" s="73">
        <v>44773.759298425968</v>
      </c>
      <c r="Y65" s="73">
        <v>45237.902631251709</v>
      </c>
      <c r="Z65" s="73">
        <v>45912.75639484675</v>
      </c>
      <c r="AA65" s="73">
        <v>45122.567492536757</v>
      </c>
      <c r="AB65" s="73">
        <v>44525.396428302171</v>
      </c>
      <c r="AC65" s="73">
        <v>42385.148468181185</v>
      </c>
      <c r="AD65" s="73">
        <v>38998.250702419522</v>
      </c>
      <c r="AE65" s="73">
        <v>35955.229348938483</v>
      </c>
      <c r="AF65" s="73">
        <v>34230.46535337792</v>
      </c>
      <c r="AG65" s="43">
        <f>+SUM(I65:AF65)*H65</f>
        <v>3894813.5270856116</v>
      </c>
      <c r="AJ65" s="74"/>
      <c r="AK65" s="75"/>
    </row>
    <row r="66" spans="1:37" ht="14">
      <c r="A66" s="66"/>
      <c r="E66" s="85">
        <f t="shared" si="31"/>
        <v>47453</v>
      </c>
      <c r="F66" s="80"/>
      <c r="G66" s="44" t="s">
        <v>61</v>
      </c>
      <c r="H66" s="44">
        <v>5</v>
      </c>
      <c r="I66" s="73">
        <v>26973.909996841619</v>
      </c>
      <c r="J66" s="73">
        <v>26254.581631246489</v>
      </c>
      <c r="K66" s="73">
        <v>25564.562738559278</v>
      </c>
      <c r="L66" s="73">
        <v>25240.888558311726</v>
      </c>
      <c r="M66" s="73">
        <v>25005.220561098296</v>
      </c>
      <c r="N66" s="73">
        <v>24968.010732163122</v>
      </c>
      <c r="O66" s="73">
        <v>24261.550809929417</v>
      </c>
      <c r="P66" s="73">
        <v>23842.755058033817</v>
      </c>
      <c r="Q66" s="73">
        <v>23935.359747826999</v>
      </c>
      <c r="R66" s="73">
        <v>24171.160454106757</v>
      </c>
      <c r="S66" s="73">
        <v>24960.098169840094</v>
      </c>
      <c r="T66" s="73">
        <v>26075.133775307604</v>
      </c>
      <c r="U66" s="73">
        <v>26393.095266576438</v>
      </c>
      <c r="V66" s="73">
        <v>26805.563888692785</v>
      </c>
      <c r="W66" s="73">
        <v>27433.146626859489</v>
      </c>
      <c r="X66" s="73">
        <v>28771.256148367152</v>
      </c>
      <c r="Y66" s="73">
        <v>30338.990203682741</v>
      </c>
      <c r="Z66" s="73">
        <v>32145.826641838532</v>
      </c>
      <c r="AA66" s="73">
        <v>32140.981792386541</v>
      </c>
      <c r="AB66" s="73">
        <v>32120.666624502999</v>
      </c>
      <c r="AC66" s="73">
        <v>30527.85986823617</v>
      </c>
      <c r="AD66" s="73">
        <v>28932.496907678276</v>
      </c>
      <c r="AE66" s="73">
        <v>27524.63800716235</v>
      </c>
      <c r="AF66" s="73">
        <v>26522.441399136391</v>
      </c>
      <c r="AG66" s="43">
        <f>+SUM(I66:AF66)*H66</f>
        <v>3254550.9780419255</v>
      </c>
      <c r="AJ66" s="74"/>
      <c r="AK66" s="75"/>
    </row>
    <row r="67" spans="1:37" ht="14">
      <c r="A67" s="66"/>
      <c r="E67" s="85">
        <f t="shared" si="31"/>
        <v>47453</v>
      </c>
      <c r="F67" s="80"/>
      <c r="G67" s="45" t="s">
        <v>62</v>
      </c>
      <c r="H67" s="45">
        <v>2</v>
      </c>
      <c r="I67" s="73">
        <v>28807.239804770608</v>
      </c>
      <c r="J67" s="73">
        <v>28040.98185221769</v>
      </c>
      <c r="K67" s="73">
        <v>27395.179780704751</v>
      </c>
      <c r="L67" s="73">
        <v>27070.513082187299</v>
      </c>
      <c r="M67" s="73">
        <v>26621.003807885951</v>
      </c>
      <c r="N67" s="73">
        <v>25467.236290549241</v>
      </c>
      <c r="O67" s="73">
        <v>24010.684113193056</v>
      </c>
      <c r="P67" s="73">
        <v>23856.540701193302</v>
      </c>
      <c r="Q67" s="73">
        <v>24317.808637764843</v>
      </c>
      <c r="R67" s="73">
        <v>24672.103067671596</v>
      </c>
      <c r="S67" s="73">
        <v>25698.146574798051</v>
      </c>
      <c r="T67" s="73">
        <v>26441.940064255541</v>
      </c>
      <c r="U67" s="73">
        <v>26592.445859755164</v>
      </c>
      <c r="V67" s="73">
        <v>26939.749129759555</v>
      </c>
      <c r="W67" s="73">
        <v>27417.402228168492</v>
      </c>
      <c r="X67" s="73">
        <v>28863.829841900457</v>
      </c>
      <c r="Y67" s="73">
        <v>30060.667485434606</v>
      </c>
      <c r="Z67" s="73">
        <v>32276.832931135996</v>
      </c>
      <c r="AA67" s="73">
        <v>32346.064212385361</v>
      </c>
      <c r="AB67" s="73">
        <v>32591.305418276024</v>
      </c>
      <c r="AC67" s="73">
        <v>30609.039989747478</v>
      </c>
      <c r="AD67" s="73">
        <v>28776.471835945369</v>
      </c>
      <c r="AE67" s="73">
        <v>27252.015373655584</v>
      </c>
      <c r="AF67" s="73">
        <v>26241.039488960352</v>
      </c>
      <c r="AG67" s="46">
        <f>+SUM(I67:AF67)*H67</f>
        <v>1324732.4831446328</v>
      </c>
      <c r="AJ67" s="74"/>
      <c r="AK67" s="75"/>
    </row>
    <row r="68" spans="1:37" ht="15" thickBot="1">
      <c r="A68" s="66"/>
      <c r="E68" s="85">
        <f t="shared" si="31"/>
        <v>47453</v>
      </c>
      <c r="F68" s="81"/>
      <c r="G68" s="47" t="s">
        <v>10</v>
      </c>
      <c r="H68" s="47">
        <f>+SUM(H64:H67)</f>
        <v>31</v>
      </c>
      <c r="I68" s="48">
        <f t="shared" ref="I68:AF68" si="32">+SUMPRODUCT(I64:I67,$H64:$H67)</f>
        <v>1072225.4682273015</v>
      </c>
      <c r="J68" s="48">
        <f t="shared" si="32"/>
        <v>1042014.161392651</v>
      </c>
      <c r="K68" s="48">
        <f t="shared" si="32"/>
        <v>1021671.9003374026</v>
      </c>
      <c r="L68" s="48">
        <f t="shared" si="32"/>
        <v>1018808.7459910461</v>
      </c>
      <c r="M68" s="48">
        <f t="shared" si="32"/>
        <v>1012541.794348004</v>
      </c>
      <c r="N68" s="48">
        <f t="shared" si="32"/>
        <v>1036616.374819124</v>
      </c>
      <c r="O68" s="48">
        <f t="shared" si="32"/>
        <v>1119677.8418441263</v>
      </c>
      <c r="P68" s="48">
        <f t="shared" si="32"/>
        <v>1236645.9740180066</v>
      </c>
      <c r="Q68" s="48">
        <f t="shared" si="32"/>
        <v>1324982.3067551898</v>
      </c>
      <c r="R68" s="48">
        <f t="shared" si="32"/>
        <v>1359892.9722829761</v>
      </c>
      <c r="S68" s="48">
        <f t="shared" si="32"/>
        <v>1414096.8225404955</v>
      </c>
      <c r="T68" s="48">
        <f t="shared" si="32"/>
        <v>1445459.7153022343</v>
      </c>
      <c r="U68" s="48">
        <f t="shared" si="32"/>
        <v>1409258.1808694748</v>
      </c>
      <c r="V68" s="48">
        <f t="shared" si="32"/>
        <v>1443877.0857074782</v>
      </c>
      <c r="W68" s="48">
        <f t="shared" si="32"/>
        <v>1492978.4695341389</v>
      </c>
      <c r="X68" s="48">
        <f t="shared" si="32"/>
        <v>1529252.9677893328</v>
      </c>
      <c r="Y68" s="48">
        <f t="shared" si="32"/>
        <v>1538253.9027350731</v>
      </c>
      <c r="Z68" s="48">
        <f t="shared" si="32"/>
        <v>1515098.9874603385</v>
      </c>
      <c r="AA68" s="48">
        <f t="shared" si="32"/>
        <v>1450107.3517085619</v>
      </c>
      <c r="AB68" s="48">
        <f t="shared" si="32"/>
        <v>1414028.9531500977</v>
      </c>
      <c r="AC68" s="48">
        <f t="shared" si="32"/>
        <v>1327436.3719591491</v>
      </c>
      <c r="AD68" s="48">
        <f t="shared" si="32"/>
        <v>1231882.1808314628</v>
      </c>
      <c r="AE68" s="48">
        <f t="shared" si="32"/>
        <v>1139955.1469249949</v>
      </c>
      <c r="AF68" s="48">
        <f t="shared" si="32"/>
        <v>1096658.0818684895</v>
      </c>
      <c r="AG68" s="49">
        <f>SUM(I68:AF68)</f>
        <v>30693421.758397151</v>
      </c>
    </row>
    <row r="72" spans="1:37">
      <c r="F72" s="69"/>
      <c r="AG72" s="70"/>
    </row>
    <row r="74" spans="1:37" ht="20">
      <c r="E74" s="59"/>
    </row>
    <row r="75" spans="1:37">
      <c r="E75" s="60"/>
    </row>
    <row r="76" spans="1:37">
      <c r="E76" s="60"/>
    </row>
  </sheetData>
  <protectedRanges>
    <protectedRange algorithmName="SHA-512" hashValue="ddMXVrQS0fgB43c0atEM6OKu6oDWAMpeJLqJjfuwWmQe8OHAIs2JeDVHZWeRY9WToyZdUZnhWoqdJcb06CPmZw==" saltValue="nLR4AFgxssXjR1gopeih9Q==" spinCount="100000" sqref="E1:AG8 E13:AG13 E9:H12 AG9:AG12 AG14:AG17 AG19:AG22 AG24:AG27 AG29:AG32 AG34:AG37 AG39:AG42 AG44:AG47 AG49:AG52 AG54:AG57 AG59:AG62 E14:F68 AG64:AG67 G18:AG18 G14:H17 G23:AG23 G19:H22 G28:AG28 G24:H27 G33:AG33 G29:H32 G38:AG38 G34:H37 G43:AG43 G39:H42 G48:AG48 G44:H47 G53:AG53 G49:H52 G58:AG58 G54:H57 G63:AG63 G59:H62 G68:AG68 G64:H67" name="Rango2_1"/>
  </protectedRanges>
  <autoFilter ref="B8:AG68" xr:uid="{98D85E0E-5F56-42D8-9FCA-AAAB2573C3B5}"/>
  <mergeCells count="30">
    <mergeCell ref="E64:E68"/>
    <mergeCell ref="F9:F13"/>
    <mergeCell ref="F14:F18"/>
    <mergeCell ref="F19:F23"/>
    <mergeCell ref="F24:F28"/>
    <mergeCell ref="F29:F33"/>
    <mergeCell ref="F34:F38"/>
    <mergeCell ref="F39:F43"/>
    <mergeCell ref="F44:F48"/>
    <mergeCell ref="F49:F53"/>
    <mergeCell ref="F54:F58"/>
    <mergeCell ref="F59:F63"/>
    <mergeCell ref="E29:E33"/>
    <mergeCell ref="E34:E38"/>
    <mergeCell ref="F64:F68"/>
    <mergeCell ref="E1:AG1"/>
    <mergeCell ref="E2:AG2"/>
    <mergeCell ref="E3:AG3"/>
    <mergeCell ref="E4:AG4"/>
    <mergeCell ref="E5:AG5"/>
    <mergeCell ref="E39:E43"/>
    <mergeCell ref="E44:E48"/>
    <mergeCell ref="E49:E53"/>
    <mergeCell ref="G7:H7"/>
    <mergeCell ref="E9:E13"/>
    <mergeCell ref="E14:E18"/>
    <mergeCell ref="E19:E23"/>
    <mergeCell ref="E24:E28"/>
    <mergeCell ref="E54:E58"/>
    <mergeCell ref="E59:E6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C8A9-BC51-4DCE-B2C6-14DA807DB1F2}">
  <sheetPr>
    <pageSetUpPr fitToPage="1"/>
  </sheetPr>
  <dimension ref="A1:IU35"/>
  <sheetViews>
    <sheetView showGridLines="0" topLeftCell="A16" zoomScale="85" zoomScaleNormal="85" zoomScaleSheetLayoutView="100" workbookViewId="0">
      <selection sqref="A1:I35"/>
    </sheetView>
  </sheetViews>
  <sheetFormatPr baseColWidth="10" defaultColWidth="0" defaultRowHeight="0" customHeight="1" zeroHeight="1"/>
  <cols>
    <col min="1" max="1" width="5.453125" style="18" customWidth="1"/>
    <col min="2" max="2" width="1" style="18" customWidth="1"/>
    <col min="3" max="3" width="19" style="18" customWidth="1"/>
    <col min="4" max="4" width="23.54296875" style="18" customWidth="1"/>
    <col min="5" max="5" width="19.54296875" style="18" customWidth="1"/>
    <col min="6" max="6" width="22.54296875" style="18" bestFit="1" customWidth="1"/>
    <col min="7" max="7" width="16.54296875" style="18" customWidth="1"/>
    <col min="8" max="8" width="1.453125" style="18" customWidth="1"/>
    <col min="9" max="9" width="8.453125" style="18" customWidth="1"/>
    <col min="10" max="10" width="1.54296875" style="18" hidden="1" customWidth="1"/>
    <col min="11" max="255" width="3.453125" style="18" hidden="1" customWidth="1"/>
    <col min="256" max="16384" width="5.54296875" style="18" hidden="1"/>
  </cols>
  <sheetData>
    <row r="1" spans="1:12" s="17" customFormat="1" ht="26.25" customHeight="1">
      <c r="A1" s="15"/>
      <c r="B1" s="15"/>
      <c r="C1" s="76" t="s">
        <v>66</v>
      </c>
      <c r="D1" s="76"/>
      <c r="E1" s="76"/>
      <c r="F1" s="76"/>
      <c r="G1" s="76"/>
      <c r="H1" s="16"/>
      <c r="I1" s="16"/>
    </row>
    <row r="2" spans="1:12" ht="34.5" customHeight="1">
      <c r="C2" s="76" t="s">
        <v>68</v>
      </c>
      <c r="D2" s="76"/>
      <c r="E2" s="76"/>
      <c r="F2" s="76"/>
      <c r="G2" s="76"/>
      <c r="H2" s="16"/>
      <c r="I2" s="16"/>
    </row>
    <row r="3" spans="1:12" ht="16.5">
      <c r="C3" s="19" t="s">
        <v>0</v>
      </c>
      <c r="D3" s="20" t="s">
        <v>1</v>
      </c>
    </row>
    <row r="4" spans="1:12" ht="16.5">
      <c r="C4" s="21" t="s">
        <v>2</v>
      </c>
      <c r="D4" s="22" t="s">
        <v>3</v>
      </c>
    </row>
    <row r="5" spans="1:12" ht="16.5">
      <c r="C5" s="21" t="s">
        <v>4</v>
      </c>
      <c r="D5" s="39"/>
      <c r="E5" s="38"/>
      <c r="F5" s="38"/>
      <c r="G5" s="38"/>
    </row>
    <row r="6" spans="1:12" ht="16.5">
      <c r="C6" s="21"/>
      <c r="D6" s="39"/>
      <c r="E6" s="38"/>
      <c r="F6" s="38"/>
      <c r="G6" s="38"/>
    </row>
    <row r="7" spans="1:12" ht="16.5">
      <c r="B7" s="23"/>
      <c r="C7" s="19"/>
      <c r="D7" s="20"/>
      <c r="E7" s="20"/>
    </row>
    <row r="8" spans="1:12" ht="19.5" customHeight="1">
      <c r="C8"/>
      <c r="D8"/>
      <c r="E8"/>
      <c r="F8"/>
      <c r="G8"/>
      <c r="H8" s="71"/>
      <c r="I8" s="71"/>
      <c r="J8" s="71"/>
      <c r="K8" s="24"/>
      <c r="L8" s="24"/>
    </row>
    <row r="9" spans="1:12" ht="49.5" customHeight="1">
      <c r="C9" s="54" t="s">
        <v>5</v>
      </c>
      <c r="D9" s="30" t="s">
        <v>6</v>
      </c>
      <c r="E9" s="54" t="s">
        <v>7</v>
      </c>
      <c r="F9" s="54" t="s">
        <v>8</v>
      </c>
      <c r="G9" s="54" t="s">
        <v>9</v>
      </c>
      <c r="H9" s="71"/>
      <c r="I9" s="71"/>
      <c r="J9" s="71"/>
      <c r="K9" s="24"/>
      <c r="L9" s="24"/>
    </row>
    <row r="10" spans="1:12" ht="16.5">
      <c r="C10" s="55">
        <v>47484</v>
      </c>
      <c r="D10" s="34">
        <f>+_xlfn.XLOOKUP(C10,'Cantidades horarias PROD 05'!E:E,'Cantidades horarias PROD 05'!F:F)</f>
        <v>18343339.323833194</v>
      </c>
      <c r="E10" s="29">
        <v>1</v>
      </c>
      <c r="F10" s="34">
        <f t="shared" ref="F10:F21" si="0">ROUND(D10*$E10,2)</f>
        <v>18343339.32</v>
      </c>
      <c r="G10" s="77"/>
      <c r="H10" s="71"/>
      <c r="I10" s="71"/>
      <c r="J10" s="71"/>
      <c r="K10" s="24"/>
      <c r="L10" s="24"/>
    </row>
    <row r="11" spans="1:12" ht="16.5">
      <c r="C11" s="55">
        <v>47515</v>
      </c>
      <c r="D11" s="34">
        <f>+_xlfn.XLOOKUP(C11,'Cantidades horarias PROD 05'!E:E,'Cantidades horarias PROD 05'!F:F)</f>
        <v>16603405.919043483</v>
      </c>
      <c r="E11" s="29">
        <v>1</v>
      </c>
      <c r="F11" s="34">
        <f t="shared" si="0"/>
        <v>16603405.92</v>
      </c>
      <c r="G11" s="77"/>
      <c r="H11" s="71"/>
      <c r="I11" s="71"/>
      <c r="J11" s="71"/>
      <c r="K11" s="24"/>
      <c r="L11" s="24"/>
    </row>
    <row r="12" spans="1:12" ht="16.5">
      <c r="C12" s="55">
        <v>47543</v>
      </c>
      <c r="D12" s="34">
        <f>+_xlfn.XLOOKUP(C12,'Cantidades horarias PROD 05'!E:E,'Cantidades horarias PROD 05'!F:F)</f>
        <v>18020657.610718589</v>
      </c>
      <c r="E12" s="29">
        <v>1</v>
      </c>
      <c r="F12" s="34">
        <f t="shared" si="0"/>
        <v>18020657.609999999</v>
      </c>
      <c r="G12" s="77"/>
      <c r="H12" s="71"/>
      <c r="I12" s="71"/>
      <c r="J12" s="71"/>
      <c r="K12" s="24"/>
      <c r="L12" s="24"/>
    </row>
    <row r="13" spans="1:12" ht="16.5">
      <c r="C13" s="55">
        <v>47574</v>
      </c>
      <c r="D13" s="34">
        <f>+_xlfn.XLOOKUP(C13,'Cantidades horarias PROD 05'!E:E,'Cantidades horarias PROD 05'!F:F)</f>
        <v>17787523.207464568</v>
      </c>
      <c r="E13" s="29">
        <v>1</v>
      </c>
      <c r="F13" s="34">
        <f t="shared" si="0"/>
        <v>17787523.210000001</v>
      </c>
      <c r="G13" s="77"/>
      <c r="H13" s="71"/>
      <c r="I13" s="71"/>
      <c r="J13" s="71"/>
      <c r="K13" s="24"/>
      <c r="L13" s="24"/>
    </row>
    <row r="14" spans="1:12" ht="16.5">
      <c r="C14" s="55">
        <v>47604</v>
      </c>
      <c r="D14" s="34">
        <f>+_xlfn.XLOOKUP(C14,'Cantidades horarias PROD 05'!E:E,'Cantidades horarias PROD 05'!F:F)</f>
        <v>18544408.13822097</v>
      </c>
      <c r="E14" s="29">
        <v>1</v>
      </c>
      <c r="F14" s="34">
        <f t="shared" si="0"/>
        <v>18544408.140000001</v>
      </c>
      <c r="G14" s="77"/>
      <c r="H14" s="71"/>
      <c r="I14" s="71"/>
      <c r="J14" s="71"/>
      <c r="K14" s="24"/>
      <c r="L14" s="24"/>
    </row>
    <row r="15" spans="1:12" ht="16.5">
      <c r="C15" s="55">
        <v>47635</v>
      </c>
      <c r="D15" s="34">
        <f>+_xlfn.XLOOKUP(C15,'Cantidades horarias PROD 05'!E:E,'Cantidades horarias PROD 05'!F:F)</f>
        <v>17304308.648144223</v>
      </c>
      <c r="E15" s="29">
        <v>1</v>
      </c>
      <c r="F15" s="34">
        <f t="shared" si="0"/>
        <v>17304308.649999999</v>
      </c>
      <c r="G15" s="77"/>
      <c r="H15" s="71"/>
      <c r="I15" s="71"/>
      <c r="J15" s="71"/>
      <c r="K15" s="24"/>
      <c r="L15" s="24"/>
    </row>
    <row r="16" spans="1:12" ht="16.5">
      <c r="C16" s="55">
        <v>47665</v>
      </c>
      <c r="D16" s="34">
        <f>+_xlfn.XLOOKUP(C16,'Cantidades horarias PROD 05'!E:E,'Cantidades horarias PROD 05'!F:F)</f>
        <v>18365232.120161667</v>
      </c>
      <c r="E16" s="29">
        <v>1</v>
      </c>
      <c r="F16" s="34">
        <f t="shared" si="0"/>
        <v>18365232.120000001</v>
      </c>
      <c r="G16" s="77"/>
      <c r="H16" s="71"/>
      <c r="I16" s="71"/>
      <c r="J16" s="71"/>
      <c r="K16" s="24"/>
      <c r="L16" s="24"/>
    </row>
    <row r="17" spans="3:12" ht="16.5">
      <c r="C17" s="55">
        <v>47696</v>
      </c>
      <c r="D17" s="34">
        <f>+_xlfn.XLOOKUP(C17,'Cantidades horarias PROD 05'!E:E,'Cantidades horarias PROD 05'!F:F)</f>
        <v>18267634.69213964</v>
      </c>
      <c r="E17" s="29">
        <v>1</v>
      </c>
      <c r="F17" s="34">
        <f t="shared" si="0"/>
        <v>18267634.690000001</v>
      </c>
      <c r="G17" s="77"/>
      <c r="H17" s="71"/>
      <c r="I17" s="71"/>
      <c r="J17" s="71"/>
      <c r="K17" s="24"/>
      <c r="L17" s="24"/>
    </row>
    <row r="18" spans="3:12" ht="16.5">
      <c r="C18" s="55">
        <v>47727</v>
      </c>
      <c r="D18" s="34">
        <f>+_xlfn.XLOOKUP(C18,'Cantidades horarias PROD 05'!E:E,'Cantidades horarias PROD 05'!F:F)</f>
        <v>17976425.175128318</v>
      </c>
      <c r="E18" s="29">
        <v>1</v>
      </c>
      <c r="F18" s="34">
        <f t="shared" si="0"/>
        <v>17976425.18</v>
      </c>
      <c r="G18" s="77"/>
      <c r="H18" s="71"/>
      <c r="I18" s="71"/>
      <c r="J18" s="71"/>
      <c r="K18" s="24"/>
      <c r="L18" s="24"/>
    </row>
    <row r="19" spans="3:12" ht="16.5">
      <c r="C19" s="55">
        <v>47757</v>
      </c>
      <c r="D19" s="34">
        <f>+_xlfn.XLOOKUP(C19,'Cantidades horarias PROD 05'!E:E,'Cantidades horarias PROD 05'!F:F)</f>
        <v>18660829.544907231</v>
      </c>
      <c r="E19" s="29">
        <v>1</v>
      </c>
      <c r="F19" s="34">
        <f t="shared" si="0"/>
        <v>18660829.539999999</v>
      </c>
      <c r="G19" s="77"/>
      <c r="H19" s="71"/>
      <c r="I19" s="71"/>
      <c r="J19" s="71"/>
      <c r="K19" s="24"/>
      <c r="L19" s="24"/>
    </row>
    <row r="20" spans="3:12" ht="16.5">
      <c r="C20" s="55">
        <v>47788</v>
      </c>
      <c r="D20" s="34">
        <f>+_xlfn.XLOOKUP(C20,'Cantidades horarias PROD 05'!E:E,'Cantidades horarias PROD 05'!F:F)</f>
        <v>17702443.656102452</v>
      </c>
      <c r="E20" s="29">
        <v>1</v>
      </c>
      <c r="F20" s="34">
        <f t="shared" si="0"/>
        <v>17702443.66</v>
      </c>
      <c r="G20" s="77"/>
      <c r="H20" s="71"/>
      <c r="I20" s="71"/>
      <c r="J20" s="71"/>
      <c r="K20" s="24"/>
      <c r="L20" s="24"/>
    </row>
    <row r="21" spans="3:12" ht="16.5">
      <c r="C21" s="55">
        <v>47818</v>
      </c>
      <c r="D21" s="34">
        <f>+_xlfn.XLOOKUP(C21,'Cantidades horarias PROD 05'!E:E,'Cantidades horarias PROD 05'!F:F)</f>
        <v>18488167.494170375</v>
      </c>
      <c r="E21" s="29">
        <v>1</v>
      </c>
      <c r="F21" s="34">
        <f t="shared" si="0"/>
        <v>18488167.489999998</v>
      </c>
      <c r="G21" s="77"/>
      <c r="H21" s="71"/>
      <c r="I21" s="71"/>
      <c r="J21" s="71"/>
      <c r="K21" s="24"/>
      <c r="L21" s="24"/>
    </row>
    <row r="22" spans="3:12" ht="16.5">
      <c r="C22" s="50" t="s">
        <v>10</v>
      </c>
      <c r="D22" s="51">
        <f>SUM(D10:D21)</f>
        <v>216064375.53003469</v>
      </c>
      <c r="E22" s="53">
        <f>IFERROR(F22/D22,0)</f>
        <v>0.99999999999983946</v>
      </c>
      <c r="F22" s="51">
        <f>SUM(F10:F21)</f>
        <v>216064375.53</v>
      </c>
      <c r="G22" s="52">
        <f>G10</f>
        <v>0</v>
      </c>
      <c r="H22" s="71"/>
      <c r="I22" s="71"/>
      <c r="J22" s="71"/>
      <c r="K22" s="24"/>
      <c r="L22" s="24"/>
    </row>
    <row r="23" spans="3:12" ht="16.5">
      <c r="C23" s="32"/>
      <c r="D23" s="31"/>
      <c r="E23" s="36"/>
      <c r="F23" s="31"/>
      <c r="G23" s="35"/>
      <c r="H23" s="71"/>
      <c r="I23" s="71"/>
      <c r="J23" s="71"/>
      <c r="K23" s="24"/>
      <c r="L23" s="24"/>
    </row>
    <row r="24" spans="3:12" ht="19.5" customHeight="1">
      <c r="C24"/>
      <c r="D24" s="30" t="s">
        <v>11</v>
      </c>
      <c r="E24" s="37">
        <v>0.8</v>
      </c>
      <c r="F24"/>
      <c r="G24"/>
      <c r="H24" s="71"/>
      <c r="I24" s="71"/>
      <c r="J24" s="71"/>
      <c r="K24" s="24"/>
      <c r="L24" s="24"/>
    </row>
    <row r="25" spans="3:12" ht="16.5">
      <c r="D25" s="30" t="s">
        <v>12</v>
      </c>
      <c r="E25" s="33">
        <f>MIN(E10:E21)/MAX(E10:E21)</f>
        <v>1</v>
      </c>
      <c r="F25" s="25"/>
      <c r="G25" s="26"/>
      <c r="H25" s="26"/>
      <c r="I25" s="25"/>
      <c r="J25" s="25"/>
    </row>
    <row r="26" spans="3:12" ht="16.5">
      <c r="C26" s="27" t="s">
        <v>13</v>
      </c>
      <c r="D26" s="26"/>
      <c r="E26" s="26"/>
      <c r="F26" s="26"/>
      <c r="G26" s="26"/>
      <c r="H26" s="26"/>
      <c r="I26" s="25"/>
      <c r="J26" s="25"/>
    </row>
    <row r="27" spans="3:12" ht="16.5">
      <c r="C27" s="28" t="s">
        <v>71</v>
      </c>
      <c r="D27" s="26"/>
      <c r="E27" s="26"/>
      <c r="F27" s="26"/>
      <c r="G27" s="26"/>
      <c r="H27" s="26"/>
      <c r="I27" s="25"/>
      <c r="J27" s="25"/>
    </row>
    <row r="28" spans="3:12" ht="16.5">
      <c r="C28" s="28" t="s">
        <v>14</v>
      </c>
      <c r="I28" s="25"/>
      <c r="J28" s="25"/>
    </row>
    <row r="29" spans="3:12" ht="16.5">
      <c r="C29" s="78"/>
      <c r="D29" s="78"/>
      <c r="E29" s="78"/>
      <c r="F29" s="78"/>
      <c r="G29" s="78"/>
      <c r="H29" s="25"/>
      <c r="I29" s="25"/>
      <c r="J29" s="25"/>
    </row>
    <row r="30" spans="3:12" ht="16.5">
      <c r="C30" s="78"/>
      <c r="D30" s="78"/>
      <c r="E30" s="78"/>
      <c r="F30" s="78"/>
      <c r="G30" s="78"/>
    </row>
    <row r="31" spans="3:12" ht="16.5">
      <c r="E31" s="38"/>
      <c r="F31" s="56"/>
      <c r="G31" s="56"/>
    </row>
    <row r="32" spans="3:12" ht="15" customHeight="1">
      <c r="C32" s="57" t="s">
        <v>15</v>
      </c>
      <c r="D32" s="58"/>
      <c r="E32" s="38"/>
      <c r="F32" s="38"/>
      <c r="G32" s="38"/>
    </row>
    <row r="33" spans="3:8" ht="15" customHeight="1">
      <c r="C33" s="22" t="s">
        <v>16</v>
      </c>
      <c r="F33" s="38"/>
      <c r="G33" s="38"/>
    </row>
    <row r="34" spans="3:8" ht="16.5">
      <c r="C34" s="22" t="s">
        <v>17</v>
      </c>
    </row>
    <row r="35" spans="3:8" ht="16.5">
      <c r="G35" s="22"/>
      <c r="H35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9:G9 C10:C21 E10:E21" name="Rango1"/>
    <protectedRange algorithmName="SHA-512" hashValue="ae/Js8yeMw6wHjGREqu83BjAYnjwv1NHxpvnTe57rDwDMNDPGlnZwgp89HjM7G0cg/2ItV/6+CjQlsfmX7La6g==" saltValue="fv5wd7mgDmwpGOJN+Z7vlA==" spinCount="100000" sqref="G10:G21" name="Rango1_1_1"/>
    <protectedRange algorithmName="SHA-512" hashValue="ae/Js8yeMw6wHjGREqu83BjAYnjwv1NHxpvnTe57rDwDMNDPGlnZwgp89HjM7G0cg/2ItV/6+CjQlsfmX7La6g==" saltValue="fv5wd7mgDmwpGOJN+Z7vlA==" spinCount="100000" sqref="D10:D21" name="Rango1_1"/>
  </protectedRanges>
  <mergeCells count="4">
    <mergeCell ref="C1:G1"/>
    <mergeCell ref="C2:G2"/>
    <mergeCell ref="G10:G21"/>
    <mergeCell ref="C29:G30"/>
  </mergeCells>
  <conditionalFormatting sqref="E25">
    <cfRule type="cellIs" dxfId="2" priority="1" operator="equal">
      <formula>$E$24</formula>
    </cfRule>
    <cfRule type="cellIs" dxfId="1" priority="2" operator="greaterThan">
      <formula>$E$24</formula>
    </cfRule>
    <cfRule type="cellIs" dxfId="0" priority="3" operator="lessThan">
      <formula>$E$24</formula>
    </cfRule>
  </conditionalFormatting>
  <dataValidations count="1">
    <dataValidation type="textLength" allowBlank="1" showInputMessage="1" showErrorMessage="1" errorTitle="SOLO 2 DECIMALES" error="Por favor introduzca un valor con maximo 2 decimales" sqref="E10:E21" xr:uid="{FC10CEE4-E1DD-45C0-A020-5975B0CF71F0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2" fitToHeight="0" orientation="portrait" cellComments="asDisplayed" r:id="rId1"/>
  <headerFooter alignWithMargins="0">
    <oddHeader>&amp;R&amp;11 1 de 1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98D0-92A9-4C47-8911-C8EFA84EF48D}">
  <dimension ref="A1:AK76"/>
  <sheetViews>
    <sheetView showGridLines="0" workbookViewId="0">
      <selection activeCell="E1" sqref="E1:AG68"/>
    </sheetView>
  </sheetViews>
  <sheetFormatPr baseColWidth="10" defaultColWidth="11.453125" defaultRowHeight="12.5"/>
  <cols>
    <col min="4" max="4" width="13.90625" customWidth="1"/>
    <col min="6" max="6" width="14.54296875" bestFit="1" customWidth="1"/>
    <col min="9" max="32" width="11.54296875" bestFit="1" customWidth="1"/>
    <col min="33" max="33" width="14.453125" bestFit="1" customWidth="1"/>
    <col min="34" max="34" width="3.81640625" customWidth="1"/>
    <col min="36" max="36" width="12.81640625" bestFit="1" customWidth="1"/>
  </cols>
  <sheetData>
    <row r="1" spans="1:37" ht="23">
      <c r="E1" s="83" t="s">
        <v>18</v>
      </c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</row>
    <row r="2" spans="1:37" ht="23">
      <c r="E2" s="83" t="s">
        <v>65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</row>
    <row r="3" spans="1:37" ht="23">
      <c r="E3" s="83" t="s">
        <v>3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</row>
    <row r="4" spans="1:37" ht="23"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</row>
    <row r="5" spans="1:37" ht="23">
      <c r="E5" s="83" t="s">
        <v>4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</row>
    <row r="6" spans="1:37" ht="23">
      <c r="E6" s="61"/>
      <c r="F6" s="62"/>
      <c r="G6" s="62"/>
      <c r="H6" s="63"/>
      <c r="I6" s="68"/>
      <c r="J6" s="64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</row>
    <row r="7" spans="1:37" ht="14.5" thickBot="1">
      <c r="E7" s="65"/>
      <c r="F7" s="65"/>
      <c r="G7" s="82"/>
      <c r="H7" s="82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</row>
    <row r="8" spans="1:37" ht="28.5" thickBot="1">
      <c r="B8" s="71"/>
      <c r="C8" s="71"/>
      <c r="D8" s="71"/>
      <c r="E8" s="8" t="s">
        <v>50</v>
      </c>
      <c r="F8" s="9" t="s">
        <v>19</v>
      </c>
      <c r="G8" s="9" t="s">
        <v>20</v>
      </c>
      <c r="H8" s="10" t="s">
        <v>21</v>
      </c>
      <c r="I8" s="11" t="s">
        <v>22</v>
      </c>
      <c r="J8" s="12" t="s">
        <v>23</v>
      </c>
      <c r="K8" s="12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2" t="s">
        <v>29</v>
      </c>
      <c r="Q8" s="12" t="s">
        <v>30</v>
      </c>
      <c r="R8" s="12" t="s">
        <v>31</v>
      </c>
      <c r="S8" s="12" t="s">
        <v>32</v>
      </c>
      <c r="T8" s="12" t="s">
        <v>33</v>
      </c>
      <c r="U8" s="12" t="s">
        <v>34</v>
      </c>
      <c r="V8" s="12" t="s">
        <v>35</v>
      </c>
      <c r="W8" s="12" t="s">
        <v>36</v>
      </c>
      <c r="X8" s="12" t="s">
        <v>37</v>
      </c>
      <c r="Y8" s="12" t="s">
        <v>38</v>
      </c>
      <c r="Z8" s="12" t="s">
        <v>39</v>
      </c>
      <c r="AA8" s="12" t="s">
        <v>40</v>
      </c>
      <c r="AB8" s="12" t="s">
        <v>41</v>
      </c>
      <c r="AC8" s="12" t="s">
        <v>42</v>
      </c>
      <c r="AD8" s="12" t="s">
        <v>43</v>
      </c>
      <c r="AE8" s="12" t="s">
        <v>44</v>
      </c>
      <c r="AF8" s="13" t="s">
        <v>45</v>
      </c>
      <c r="AG8" s="14" t="s">
        <v>10</v>
      </c>
    </row>
    <row r="9" spans="1:37" ht="14">
      <c r="A9" s="66"/>
      <c r="E9" s="84">
        <v>47484</v>
      </c>
      <c r="F9" s="79">
        <f>+AG13</f>
        <v>18343339.323833194</v>
      </c>
      <c r="G9" s="40" t="s">
        <v>60</v>
      </c>
      <c r="H9" s="40">
        <v>21</v>
      </c>
      <c r="I9" s="73">
        <v>21905.306652577987</v>
      </c>
      <c r="J9" s="73">
        <v>21379.832386824768</v>
      </c>
      <c r="K9" s="73">
        <v>21034.14537706547</v>
      </c>
      <c r="L9" s="73">
        <v>21027.613381329091</v>
      </c>
      <c r="M9" s="73">
        <v>20961.860126480358</v>
      </c>
      <c r="N9" s="73">
        <v>21652.60552595272</v>
      </c>
      <c r="O9" s="73">
        <v>23852.034861924465</v>
      </c>
      <c r="P9" s="73">
        <v>26688.597132057235</v>
      </c>
      <c r="Q9" s="73">
        <v>28744.266113121983</v>
      </c>
      <c r="R9" s="73">
        <v>29491.63800475451</v>
      </c>
      <c r="S9" s="73">
        <v>30616.758298049059</v>
      </c>
      <c r="T9" s="73">
        <v>31190.477041557504</v>
      </c>
      <c r="U9" s="73">
        <v>30342.468007116655</v>
      </c>
      <c r="V9" s="73">
        <v>31143.113726335352</v>
      </c>
      <c r="W9" s="73">
        <v>32297.579728446974</v>
      </c>
      <c r="X9" s="73">
        <v>32911.021873206235</v>
      </c>
      <c r="Y9" s="73">
        <v>32775.067020523129</v>
      </c>
      <c r="Z9" s="73">
        <v>31684.328367965496</v>
      </c>
      <c r="AA9" s="73">
        <v>30044.519079433976</v>
      </c>
      <c r="AB9" s="73">
        <v>29110.03749670968</v>
      </c>
      <c r="AC9" s="73">
        <v>27388.548536944902</v>
      </c>
      <c r="AD9" s="73">
        <v>25532.244967622108</v>
      </c>
      <c r="AE9" s="73">
        <v>23684.749626703684</v>
      </c>
      <c r="AF9" s="73">
        <v>22922.022545338605</v>
      </c>
      <c r="AG9" s="41">
        <f>ROUND(SUM(I9:AF9)*H9,2)</f>
        <v>13615997.550000001</v>
      </c>
      <c r="AJ9" s="74"/>
    </row>
    <row r="10" spans="1:37" ht="14">
      <c r="A10" s="66"/>
      <c r="E10" s="85"/>
      <c r="F10" s="80"/>
      <c r="G10" s="42" t="s">
        <v>63</v>
      </c>
      <c r="H10" s="42">
        <v>4</v>
      </c>
      <c r="I10" s="73">
        <v>21352.982964427847</v>
      </c>
      <c r="J10" s="73">
        <v>20724.688733190669</v>
      </c>
      <c r="K10" s="73">
        <v>20490.130187567298</v>
      </c>
      <c r="L10" s="73">
        <v>20493.540009568562</v>
      </c>
      <c r="M10" s="73">
        <v>20431.372322196105</v>
      </c>
      <c r="N10" s="73">
        <v>20793.978528083757</v>
      </c>
      <c r="O10" s="73">
        <v>22068.030288464539</v>
      </c>
      <c r="P10" s="73">
        <v>23861.390655680425</v>
      </c>
      <c r="Q10" s="73">
        <v>25178.860742196914</v>
      </c>
      <c r="R10" s="73">
        <v>25768.557946871992</v>
      </c>
      <c r="S10" s="73">
        <v>26613.125807780641</v>
      </c>
      <c r="T10" s="73">
        <v>26903.191382010533</v>
      </c>
      <c r="U10" s="73">
        <v>26141.063604357198</v>
      </c>
      <c r="V10" s="73">
        <v>26005.378897222159</v>
      </c>
      <c r="W10" s="73">
        <v>25879.812234274934</v>
      </c>
      <c r="X10" s="73">
        <v>26125.878039439063</v>
      </c>
      <c r="Y10" s="73">
        <v>26308.87057154347</v>
      </c>
      <c r="Z10" s="73">
        <v>26606.824160228469</v>
      </c>
      <c r="AA10" s="73">
        <v>26182.089263354705</v>
      </c>
      <c r="AB10" s="73">
        <v>25820.930411838865</v>
      </c>
      <c r="AC10" s="73">
        <v>24714.325253661606</v>
      </c>
      <c r="AD10" s="73">
        <v>22958.17844415384</v>
      </c>
      <c r="AE10" s="73">
        <v>21379.88351649182</v>
      </c>
      <c r="AF10" s="73">
        <v>20468.696886538692</v>
      </c>
      <c r="AG10" s="43">
        <f>ROUND(SUM(I10:AF10)*H10,2)</f>
        <v>2293087.12</v>
      </c>
      <c r="AJ10" s="74"/>
      <c r="AK10" s="75"/>
    </row>
    <row r="11" spans="1:37" ht="14">
      <c r="A11" s="66"/>
      <c r="E11" s="85"/>
      <c r="F11" s="80"/>
      <c r="G11" s="44" t="s">
        <v>61</v>
      </c>
      <c r="H11" s="44">
        <v>4</v>
      </c>
      <c r="I11" s="73">
        <v>16624.990242253614</v>
      </c>
      <c r="J11" s="73">
        <v>16252.501103029994</v>
      </c>
      <c r="K11" s="73">
        <v>15929.830821676433</v>
      </c>
      <c r="L11" s="73">
        <v>15754.004329804284</v>
      </c>
      <c r="M11" s="73">
        <v>15638.836862671846</v>
      </c>
      <c r="N11" s="73">
        <v>15601.209129436167</v>
      </c>
      <c r="O11" s="73">
        <v>15290.027122192465</v>
      </c>
      <c r="P11" s="73">
        <v>15179.087198399257</v>
      </c>
      <c r="Q11" s="73">
        <v>15313.42151734497</v>
      </c>
      <c r="R11" s="73">
        <v>13862.272914710076</v>
      </c>
      <c r="S11" s="73">
        <v>15140.214321881092</v>
      </c>
      <c r="T11" s="73">
        <v>16418.460529258355</v>
      </c>
      <c r="U11" s="73">
        <v>16574.994310145295</v>
      </c>
      <c r="V11" s="73">
        <v>16795.25644099473</v>
      </c>
      <c r="W11" s="73">
        <v>17096.888550287527</v>
      </c>
      <c r="X11" s="73">
        <v>17761.183452036126</v>
      </c>
      <c r="Y11" s="73">
        <v>18522.672676903399</v>
      </c>
      <c r="Z11" s="73">
        <v>19350.332564985292</v>
      </c>
      <c r="AA11" s="73">
        <v>19373.119461556915</v>
      </c>
      <c r="AB11" s="73">
        <v>19319.585771404774</v>
      </c>
      <c r="AC11" s="73">
        <v>18497.7280451033</v>
      </c>
      <c r="AD11" s="73">
        <v>17640.172142499425</v>
      </c>
      <c r="AE11" s="73">
        <v>16917.823394607996</v>
      </c>
      <c r="AF11" s="73">
        <v>16379.749624356013</v>
      </c>
      <c r="AG11" s="43">
        <f>ROUND(SUM(I11:AF11)*H11,2)</f>
        <v>1604937.45</v>
      </c>
      <c r="AJ11" s="74"/>
      <c r="AK11" s="75"/>
    </row>
    <row r="12" spans="1:37" ht="14">
      <c r="A12" s="66"/>
      <c r="E12" s="85"/>
      <c r="F12" s="80"/>
      <c r="G12" s="45" t="s">
        <v>62</v>
      </c>
      <c r="H12" s="45">
        <v>2</v>
      </c>
      <c r="I12" s="73">
        <v>17715.416758477713</v>
      </c>
      <c r="J12" s="73">
        <v>17321.077131904167</v>
      </c>
      <c r="K12" s="73">
        <v>17008.667585654643</v>
      </c>
      <c r="L12" s="73">
        <v>16832.040596327301</v>
      </c>
      <c r="M12" s="73">
        <v>16630.981771419589</v>
      </c>
      <c r="N12" s="73">
        <v>16115.057137300581</v>
      </c>
      <c r="O12" s="73">
        <v>15523.077420226129</v>
      </c>
      <c r="P12" s="73">
        <v>15515.699202807376</v>
      </c>
      <c r="Q12" s="73">
        <v>15803.692857168426</v>
      </c>
      <c r="R12" s="73">
        <v>15301.471020267103</v>
      </c>
      <c r="S12" s="73">
        <v>16486.060716128919</v>
      </c>
      <c r="T12" s="73">
        <v>16876.837619413069</v>
      </c>
      <c r="U12" s="73">
        <v>16943.167344410187</v>
      </c>
      <c r="V12" s="73">
        <v>17139.004464695707</v>
      </c>
      <c r="W12" s="73">
        <v>17420.703906612856</v>
      </c>
      <c r="X12" s="73">
        <v>18164.249467548587</v>
      </c>
      <c r="Y12" s="73">
        <v>18771.347047957235</v>
      </c>
      <c r="Z12" s="73">
        <v>19729.66230773797</v>
      </c>
      <c r="AA12" s="73">
        <v>19760.224090676998</v>
      </c>
      <c r="AB12" s="73">
        <v>19747.608612423544</v>
      </c>
      <c r="AC12" s="73">
        <v>18722.145098160945</v>
      </c>
      <c r="AD12" s="73">
        <v>17764.442329817393</v>
      </c>
      <c r="AE12" s="73">
        <v>16962.637871585226</v>
      </c>
      <c r="AF12" s="73">
        <v>16403.326081067389</v>
      </c>
      <c r="AG12" s="46">
        <f>ROUND(SUM(I12:AF12)*H12,2)</f>
        <v>829317.2</v>
      </c>
      <c r="AJ12" s="74"/>
      <c r="AK12" s="75"/>
    </row>
    <row r="13" spans="1:37" ht="15" thickBot="1">
      <c r="A13" s="66"/>
      <c r="E13" s="85"/>
      <c r="F13" s="81"/>
      <c r="G13" s="47" t="s">
        <v>10</v>
      </c>
      <c r="H13" s="47">
        <f>+SUM(H9:H12)</f>
        <v>31</v>
      </c>
      <c r="I13" s="48">
        <f t="shared" ref="I13:AF13" si="0">+SUMPRODUCT(I9:I12,$H9:$H12)</f>
        <v>647354.16604781896</v>
      </c>
      <c r="J13" s="48">
        <f t="shared" si="0"/>
        <v>631527.39373201109</v>
      </c>
      <c r="K13" s="48">
        <f t="shared" si="0"/>
        <v>621414.23212665913</v>
      </c>
      <c r="L13" s="48">
        <f t="shared" si="0"/>
        <v>620234.13955805684</v>
      </c>
      <c r="M13" s="48">
        <f t="shared" si="0"/>
        <v>617741.8629383985</v>
      </c>
      <c r="N13" s="48">
        <f t="shared" si="0"/>
        <v>632515.5809496881</v>
      </c>
      <c r="O13" s="48">
        <f t="shared" si="0"/>
        <v>681371.116583494</v>
      </c>
      <c r="P13" s="48">
        <f t="shared" si="0"/>
        <v>747653.84959513543</v>
      </c>
      <c r="Q13" s="48">
        <f t="shared" si="0"/>
        <v>797206.10312806605</v>
      </c>
      <c r="R13" s="48">
        <f t="shared" si="0"/>
        <v>808450.6635867072</v>
      </c>
      <c r="S13" s="48">
        <f t="shared" si="0"/>
        <v>842937.40620993508</v>
      </c>
      <c r="T13" s="48">
        <f t="shared" si="0"/>
        <v>862040.3007566093</v>
      </c>
      <c r="U13" s="48">
        <f t="shared" si="0"/>
        <v>841942.39449628012</v>
      </c>
      <c r="V13" s="48">
        <f t="shared" si="0"/>
        <v>859485.93853530136</v>
      </c>
      <c r="W13" s="48">
        <f t="shared" si="0"/>
        <v>884997.38524886197</v>
      </c>
      <c r="X13" s="48">
        <f t="shared" si="0"/>
        <v>903008.20423832873</v>
      </c>
      <c r="Y13" s="48">
        <f t="shared" si="0"/>
        <v>905145.27452068764</v>
      </c>
      <c r="Z13" s="48">
        <f t="shared" si="0"/>
        <v>888658.84724360646</v>
      </c>
      <c r="AA13" s="48">
        <f t="shared" si="0"/>
        <v>852676.18374911405</v>
      </c>
      <c r="AB13" s="48">
        <f t="shared" si="0"/>
        <v>831368.06938872486</v>
      </c>
      <c r="AC13" s="48">
        <f t="shared" si="0"/>
        <v>785452.02266722452</v>
      </c>
      <c r="AD13" s="48">
        <f t="shared" si="0"/>
        <v>734099.43132631201</v>
      </c>
      <c r="AE13" s="48">
        <f t="shared" si="0"/>
        <v>684495.84554834699</v>
      </c>
      <c r="AF13" s="48">
        <f t="shared" si="0"/>
        <v>661562.9116578243</v>
      </c>
      <c r="AG13" s="49">
        <f>SUM(I13:AF13)</f>
        <v>18343339.323833194</v>
      </c>
    </row>
    <row r="14" spans="1:37" ht="14">
      <c r="A14" s="66"/>
      <c r="E14" s="84">
        <v>47515</v>
      </c>
      <c r="F14" s="79">
        <f>+AG18</f>
        <v>16603405.919043483</v>
      </c>
      <c r="G14" s="40" t="s">
        <v>60</v>
      </c>
      <c r="H14" s="40">
        <v>20</v>
      </c>
      <c r="I14" s="73">
        <v>21561.281579205235</v>
      </c>
      <c r="J14" s="73">
        <v>21039.782764970376</v>
      </c>
      <c r="K14" s="73">
        <v>20691.520677721077</v>
      </c>
      <c r="L14" s="73">
        <v>20687.613023198672</v>
      </c>
      <c r="M14" s="73">
        <v>20608.796243337627</v>
      </c>
      <c r="N14" s="73">
        <v>21275.008233106735</v>
      </c>
      <c r="O14" s="73">
        <v>23432.420510606244</v>
      </c>
      <c r="P14" s="73">
        <v>26264.964458903531</v>
      </c>
      <c r="Q14" s="73">
        <v>28292.44964420683</v>
      </c>
      <c r="R14" s="73">
        <v>28972.18812441394</v>
      </c>
      <c r="S14" s="73">
        <v>30005.644268068321</v>
      </c>
      <c r="T14" s="73">
        <v>30596.990195622941</v>
      </c>
      <c r="U14" s="73">
        <v>29810.425706942573</v>
      </c>
      <c r="V14" s="73">
        <v>30715.062070184729</v>
      </c>
      <c r="W14" s="73">
        <v>31836.437986695481</v>
      </c>
      <c r="X14" s="73">
        <v>32448.407486927659</v>
      </c>
      <c r="Y14" s="73">
        <v>32204.371574789064</v>
      </c>
      <c r="Z14" s="73">
        <v>31138.483346205197</v>
      </c>
      <c r="AA14" s="73">
        <v>29553.708036723772</v>
      </c>
      <c r="AB14" s="73">
        <v>28650.916751090503</v>
      </c>
      <c r="AC14" s="73">
        <v>26945.49987156265</v>
      </c>
      <c r="AD14" s="73">
        <v>25121.551578503804</v>
      </c>
      <c r="AE14" s="73">
        <v>23305.177490943766</v>
      </c>
      <c r="AF14" s="73">
        <v>22551.245784605198</v>
      </c>
      <c r="AG14" s="41">
        <f>+SUM(I14:AF14)*H14</f>
        <v>12754198.94817072</v>
      </c>
      <c r="AJ14" s="74"/>
    </row>
    <row r="15" spans="1:37" ht="14">
      <c r="A15" s="66"/>
      <c r="E15" s="85">
        <f t="shared" ref="E15:E18" si="1">+E14</f>
        <v>47515</v>
      </c>
      <c r="F15" s="80"/>
      <c r="G15" s="42" t="s">
        <v>63</v>
      </c>
      <c r="H15" s="42">
        <v>4</v>
      </c>
      <c r="I15" s="73">
        <v>21058.472523702658</v>
      </c>
      <c r="J15" s="73">
        <v>20441.462642620314</v>
      </c>
      <c r="K15" s="73">
        <v>20213.936207264174</v>
      </c>
      <c r="L15" s="73">
        <v>20224.92699762134</v>
      </c>
      <c r="M15" s="73">
        <v>20150.874597191552</v>
      </c>
      <c r="N15" s="73">
        <v>20497.066925242882</v>
      </c>
      <c r="O15" s="73">
        <v>21760.227166937431</v>
      </c>
      <c r="P15" s="73">
        <v>23565.097899177585</v>
      </c>
      <c r="Q15" s="73">
        <v>24866.292787418271</v>
      </c>
      <c r="R15" s="73">
        <v>25404.29788348643</v>
      </c>
      <c r="S15" s="73">
        <v>26162.129424379957</v>
      </c>
      <c r="T15" s="73">
        <v>26487.924453724274</v>
      </c>
      <c r="U15" s="73">
        <v>25794.718607856285</v>
      </c>
      <c r="V15" s="73">
        <v>25778.432179202697</v>
      </c>
      <c r="W15" s="73">
        <v>25614.543757751599</v>
      </c>
      <c r="X15" s="73">
        <v>25857.876801410748</v>
      </c>
      <c r="Y15" s="73">
        <v>25934.67045699968</v>
      </c>
      <c r="Z15" s="73">
        <v>26240.374362888415</v>
      </c>
      <c r="AA15" s="73">
        <v>25838.671284839562</v>
      </c>
      <c r="AB15" s="73">
        <v>25513.399962794709</v>
      </c>
      <c r="AC15" s="73">
        <v>24424.909149665349</v>
      </c>
      <c r="AD15" s="73">
        <v>22692.103914229261</v>
      </c>
      <c r="AE15" s="73">
        <v>21135.666342380311</v>
      </c>
      <c r="AF15" s="73">
        <v>20234.384295022781</v>
      </c>
      <c r="AG15" s="43">
        <f>+SUM(I15:AF15)*H15</f>
        <v>2263569.8424952333</v>
      </c>
      <c r="AJ15" s="74"/>
      <c r="AK15" s="75"/>
    </row>
    <row r="16" spans="1:37" ht="14">
      <c r="A16" s="66"/>
      <c r="E16" s="85">
        <f t="shared" si="1"/>
        <v>47515</v>
      </c>
      <c r="F16" s="80"/>
      <c r="G16" s="44" t="s">
        <v>61</v>
      </c>
      <c r="H16" s="44">
        <v>4</v>
      </c>
      <c r="I16" s="73">
        <v>16423.206964895024</v>
      </c>
      <c r="J16" s="73">
        <v>16059.774823387597</v>
      </c>
      <c r="K16" s="73">
        <v>15725.199108167182</v>
      </c>
      <c r="L16" s="73">
        <v>15552.745542304225</v>
      </c>
      <c r="M16" s="73">
        <v>15435.439626391913</v>
      </c>
      <c r="N16" s="73">
        <v>15406.594464447926</v>
      </c>
      <c r="O16" s="73">
        <v>15111.173418800674</v>
      </c>
      <c r="P16" s="73">
        <v>15012.974373074936</v>
      </c>
      <c r="Q16" s="73">
        <v>15130.81219048702</v>
      </c>
      <c r="R16" s="73">
        <v>13963.127424367938</v>
      </c>
      <c r="S16" s="73">
        <v>14693.626940663815</v>
      </c>
      <c r="T16" s="73">
        <v>16143.614208284802</v>
      </c>
      <c r="U16" s="73">
        <v>16354.655953457706</v>
      </c>
      <c r="V16" s="73">
        <v>16657.459950162607</v>
      </c>
      <c r="W16" s="73">
        <v>16929.228692868346</v>
      </c>
      <c r="X16" s="73">
        <v>17589.59720593398</v>
      </c>
      <c r="Y16" s="73">
        <v>18244.206502306395</v>
      </c>
      <c r="Z16" s="73">
        <v>19097.477666325587</v>
      </c>
      <c r="AA16" s="73">
        <v>19125.942325486019</v>
      </c>
      <c r="AB16" s="73">
        <v>19097.887637793392</v>
      </c>
      <c r="AC16" s="73">
        <v>18286.795258857703</v>
      </c>
      <c r="AD16" s="73">
        <v>17445.973748718283</v>
      </c>
      <c r="AE16" s="73">
        <v>16726.327515842542</v>
      </c>
      <c r="AF16" s="73">
        <v>16195.440551357535</v>
      </c>
      <c r="AG16" s="43">
        <f>+SUM(I16:AF16)*H16</f>
        <v>1585637.1283775326</v>
      </c>
      <c r="AJ16" s="74"/>
      <c r="AK16" s="75"/>
    </row>
    <row r="17" spans="1:37" ht="14">
      <c r="A17" s="66"/>
      <c r="E17" s="85">
        <f t="shared" si="1"/>
        <v>47515</v>
      </c>
      <c r="F17" s="80"/>
      <c r="G17" s="45" t="s">
        <v>62</v>
      </c>
      <c r="H17" s="45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46">
        <f>+SUM(I17:AF17)*H17</f>
        <v>0</v>
      </c>
      <c r="AJ17" s="74"/>
      <c r="AK17" s="75"/>
    </row>
    <row r="18" spans="1:37" ht="15" thickBot="1">
      <c r="A18" s="66"/>
      <c r="E18" s="85">
        <f t="shared" si="1"/>
        <v>47515</v>
      </c>
      <c r="F18" s="81"/>
      <c r="G18" s="47" t="s">
        <v>10</v>
      </c>
      <c r="H18" s="47">
        <f>+SUM(H14:H17)</f>
        <v>28</v>
      </c>
      <c r="I18" s="48">
        <f t="shared" ref="I18:AF18" si="2">+SUMPRODUCT(I14:I17,$H14:$H17)</f>
        <v>581152.34953849541</v>
      </c>
      <c r="J18" s="48">
        <f t="shared" si="2"/>
        <v>566800.60516343918</v>
      </c>
      <c r="K18" s="48">
        <f t="shared" si="2"/>
        <v>557586.95481614687</v>
      </c>
      <c r="L18" s="48">
        <f t="shared" si="2"/>
        <v>556862.95062367572</v>
      </c>
      <c r="M18" s="48">
        <f t="shared" si="2"/>
        <v>554521.18176108634</v>
      </c>
      <c r="N18" s="48">
        <f t="shared" si="2"/>
        <v>569114.8102208979</v>
      </c>
      <c r="O18" s="48">
        <f t="shared" si="2"/>
        <v>616134.01255507732</v>
      </c>
      <c r="P18" s="48">
        <f t="shared" si="2"/>
        <v>679611.57826708071</v>
      </c>
      <c r="Q18" s="48">
        <f t="shared" si="2"/>
        <v>725837.41279575776</v>
      </c>
      <c r="R18" s="48">
        <f t="shared" si="2"/>
        <v>736913.46371969627</v>
      </c>
      <c r="S18" s="48">
        <f t="shared" si="2"/>
        <v>763535.91082154156</v>
      </c>
      <c r="T18" s="48">
        <f t="shared" si="2"/>
        <v>782465.95856049506</v>
      </c>
      <c r="U18" s="48">
        <f t="shared" si="2"/>
        <v>764806.01238410734</v>
      </c>
      <c r="V18" s="48">
        <f t="shared" si="2"/>
        <v>784044.80992115592</v>
      </c>
      <c r="W18" s="48">
        <f t="shared" si="2"/>
        <v>806903.84953638946</v>
      </c>
      <c r="X18" s="48">
        <f t="shared" si="2"/>
        <v>822758.04576793208</v>
      </c>
      <c r="Y18" s="48">
        <f t="shared" si="2"/>
        <v>820802.93933300558</v>
      </c>
      <c r="Z18" s="48">
        <f t="shared" si="2"/>
        <v>804121.07504095999</v>
      </c>
      <c r="AA18" s="48">
        <f t="shared" si="2"/>
        <v>770932.61517577781</v>
      </c>
      <c r="AB18" s="48">
        <f t="shared" si="2"/>
        <v>751463.48542416235</v>
      </c>
      <c r="AC18" s="48">
        <f t="shared" si="2"/>
        <v>709756.81506534526</v>
      </c>
      <c r="AD18" s="48">
        <f t="shared" si="2"/>
        <v>662983.34222186625</v>
      </c>
      <c r="AE18" s="48">
        <f t="shared" si="2"/>
        <v>617551.52525176678</v>
      </c>
      <c r="AF18" s="48">
        <f t="shared" si="2"/>
        <v>596744.21507762524</v>
      </c>
      <c r="AG18" s="49">
        <f>SUM(I18:AF18)</f>
        <v>16603405.919043483</v>
      </c>
    </row>
    <row r="19" spans="1:37" ht="14">
      <c r="A19" s="66"/>
      <c r="E19" s="84">
        <v>47543</v>
      </c>
      <c r="F19" s="79">
        <f t="shared" ref="F19" si="3">+AG23</f>
        <v>18020657.610718589</v>
      </c>
      <c r="G19" s="40" t="s">
        <v>60</v>
      </c>
      <c r="H19" s="40">
        <v>20</v>
      </c>
      <c r="I19" s="73">
        <v>21540.803838312215</v>
      </c>
      <c r="J19" s="73">
        <v>21015.299086476218</v>
      </c>
      <c r="K19" s="73">
        <v>20662.474133647611</v>
      </c>
      <c r="L19" s="73">
        <v>20656.067316505832</v>
      </c>
      <c r="M19" s="73">
        <v>20568.547200226996</v>
      </c>
      <c r="N19" s="73">
        <v>21224.261839178966</v>
      </c>
      <c r="O19" s="73">
        <v>23385.558362513137</v>
      </c>
      <c r="P19" s="73">
        <v>26432.944059497859</v>
      </c>
      <c r="Q19" s="73">
        <v>28532.419314950828</v>
      </c>
      <c r="R19" s="73">
        <v>29217.835769644484</v>
      </c>
      <c r="S19" s="73">
        <v>30207.83316449558</v>
      </c>
      <c r="T19" s="73">
        <v>30747.822891871368</v>
      </c>
      <c r="U19" s="73">
        <v>29942.80106375572</v>
      </c>
      <c r="V19" s="73">
        <v>30734.54243409885</v>
      </c>
      <c r="W19" s="73">
        <v>31900.35142202094</v>
      </c>
      <c r="X19" s="73">
        <v>32627.969674075557</v>
      </c>
      <c r="Y19" s="73">
        <v>32384.427812366986</v>
      </c>
      <c r="Z19" s="73">
        <v>31155.682234024734</v>
      </c>
      <c r="AA19" s="73">
        <v>29511.049743504838</v>
      </c>
      <c r="AB19" s="73">
        <v>28620.266082670529</v>
      </c>
      <c r="AC19" s="73">
        <v>26912.385878548044</v>
      </c>
      <c r="AD19" s="73">
        <v>25091.903664135498</v>
      </c>
      <c r="AE19" s="73">
        <v>23280.816141505187</v>
      </c>
      <c r="AF19" s="73">
        <v>22524.736755361377</v>
      </c>
      <c r="AG19" s="41">
        <f>+SUM(I19:AF19)*H19</f>
        <v>12777575.997667786</v>
      </c>
      <c r="AJ19" s="74"/>
    </row>
    <row r="20" spans="1:37" ht="14">
      <c r="A20" s="66"/>
      <c r="E20" s="85">
        <f t="shared" ref="E20:E23" si="4">+E19</f>
        <v>47543</v>
      </c>
      <c r="F20" s="80"/>
      <c r="G20" s="42" t="s">
        <v>63</v>
      </c>
      <c r="H20" s="42">
        <v>5</v>
      </c>
      <c r="I20" s="73">
        <v>21073.313594564668</v>
      </c>
      <c r="J20" s="73">
        <v>20454.662249321587</v>
      </c>
      <c r="K20" s="73">
        <v>20228.618177297434</v>
      </c>
      <c r="L20" s="73">
        <v>20241.071022492048</v>
      </c>
      <c r="M20" s="73">
        <v>20160.601297350728</v>
      </c>
      <c r="N20" s="73">
        <v>20499.117496883497</v>
      </c>
      <c r="O20" s="73">
        <v>21777.488017993855</v>
      </c>
      <c r="P20" s="73">
        <v>23797.976175204771</v>
      </c>
      <c r="Q20" s="73">
        <v>25169.115403803204</v>
      </c>
      <c r="R20" s="73">
        <v>25717.367812521425</v>
      </c>
      <c r="S20" s="73">
        <v>26435.916575199859</v>
      </c>
      <c r="T20" s="73">
        <v>26716.864712920673</v>
      </c>
      <c r="U20" s="73">
        <v>26006.716210582203</v>
      </c>
      <c r="V20" s="73">
        <v>25878.518103263035</v>
      </c>
      <c r="W20" s="73">
        <v>25747.375928453632</v>
      </c>
      <c r="X20" s="73">
        <v>26100.232972368431</v>
      </c>
      <c r="Y20" s="73">
        <v>26178.345603144218</v>
      </c>
      <c r="Z20" s="73">
        <v>26324.406201643123</v>
      </c>
      <c r="AA20" s="73">
        <v>25864.087615226876</v>
      </c>
      <c r="AB20" s="73">
        <v>25552.078448999087</v>
      </c>
      <c r="AC20" s="73">
        <v>24458.004331412627</v>
      </c>
      <c r="AD20" s="73">
        <v>22717.007183997659</v>
      </c>
      <c r="AE20" s="73">
        <v>21153.085243380345</v>
      </c>
      <c r="AF20" s="73">
        <v>20252.138601484479</v>
      </c>
      <c r="AG20" s="43">
        <f>+SUM(I20:AF20)*H20</f>
        <v>2842520.544897547</v>
      </c>
      <c r="AJ20" s="74"/>
      <c r="AK20" s="75"/>
    </row>
    <row r="21" spans="1:37" ht="14">
      <c r="A21" s="66"/>
      <c r="E21" s="85">
        <f t="shared" si="4"/>
        <v>47543</v>
      </c>
      <c r="F21" s="80"/>
      <c r="G21" s="44" t="s">
        <v>61</v>
      </c>
      <c r="H21" s="44">
        <v>5</v>
      </c>
      <c r="I21" s="73">
        <v>16781.165616428669</v>
      </c>
      <c r="J21" s="73">
        <v>16395.31348855585</v>
      </c>
      <c r="K21" s="73">
        <v>16048.672497145522</v>
      </c>
      <c r="L21" s="73">
        <v>15875.359494838962</v>
      </c>
      <c r="M21" s="73">
        <v>15698.837669631428</v>
      </c>
      <c r="N21" s="73">
        <v>15430.170359328597</v>
      </c>
      <c r="O21" s="73">
        <v>14943.137641711746</v>
      </c>
      <c r="P21" s="73">
        <v>15042.781363636572</v>
      </c>
      <c r="Q21" s="73">
        <v>15277.454556535242</v>
      </c>
      <c r="R21" s="73">
        <v>15386.271721647568</v>
      </c>
      <c r="S21" s="73">
        <v>15712.381431740341</v>
      </c>
      <c r="T21" s="73">
        <v>16190.777426238772</v>
      </c>
      <c r="U21" s="73">
        <v>16367.186577270517</v>
      </c>
      <c r="V21" s="73">
        <v>16547.881927756109</v>
      </c>
      <c r="W21" s="73">
        <v>16829.620337215569</v>
      </c>
      <c r="X21" s="73">
        <v>17629.13269567629</v>
      </c>
      <c r="Y21" s="73">
        <v>18215.381028516113</v>
      </c>
      <c r="Z21" s="73">
        <v>19020.218354259359</v>
      </c>
      <c r="AA21" s="73">
        <v>19029.055451784425</v>
      </c>
      <c r="AB21" s="73">
        <v>19055.999776346343</v>
      </c>
      <c r="AC21" s="73">
        <v>18162.573555458424</v>
      </c>
      <c r="AD21" s="73">
        <v>17302.499308419909</v>
      </c>
      <c r="AE21" s="73">
        <v>16552.631474095975</v>
      </c>
      <c r="AF21" s="73">
        <v>16019.676301514201</v>
      </c>
      <c r="AG21" s="43">
        <f>+SUM(I21:AF21)*H21</f>
        <v>1997570.9002787622</v>
      </c>
      <c r="AJ21" s="74"/>
      <c r="AK21" s="75"/>
    </row>
    <row r="22" spans="1:37" ht="14">
      <c r="A22" s="66"/>
      <c r="E22" s="85">
        <f t="shared" si="4"/>
        <v>47543</v>
      </c>
      <c r="F22" s="80"/>
      <c r="G22" s="45" t="s">
        <v>62</v>
      </c>
      <c r="H22" s="45">
        <v>1</v>
      </c>
      <c r="I22" s="73">
        <v>17306.940986974434</v>
      </c>
      <c r="J22" s="73">
        <v>16915.995585946297</v>
      </c>
      <c r="K22" s="73">
        <v>16589.017137562918</v>
      </c>
      <c r="L22" s="73">
        <v>16420.890060087691</v>
      </c>
      <c r="M22" s="73">
        <v>16188.836070898304</v>
      </c>
      <c r="N22" s="73">
        <v>15577.225800862429</v>
      </c>
      <c r="O22" s="73">
        <v>14904.258446996064</v>
      </c>
      <c r="P22" s="73">
        <v>15102.412132323441</v>
      </c>
      <c r="Q22" s="73">
        <v>15460.810886423444</v>
      </c>
      <c r="R22" s="73">
        <v>15603.753955274909</v>
      </c>
      <c r="S22" s="73">
        <v>15994.418802534674</v>
      </c>
      <c r="T22" s="73">
        <v>16332.289069928633</v>
      </c>
      <c r="U22" s="73">
        <v>16430.430187363367</v>
      </c>
      <c r="V22" s="73">
        <v>16576.217260949285</v>
      </c>
      <c r="W22" s="73">
        <v>16837.957522319928</v>
      </c>
      <c r="X22" s="73">
        <v>17694.517631181789</v>
      </c>
      <c r="Y22" s="73">
        <v>18160.747665445651</v>
      </c>
      <c r="Z22" s="73">
        <v>19073.242112155225</v>
      </c>
      <c r="AA22" s="73">
        <v>19062.402012002585</v>
      </c>
      <c r="AB22" s="73">
        <v>19158.612535897119</v>
      </c>
      <c r="AC22" s="73">
        <v>18133.275363852859</v>
      </c>
      <c r="AD22" s="73">
        <v>17196.580281981085</v>
      </c>
      <c r="AE22" s="73">
        <v>16402.235778170525</v>
      </c>
      <c r="AF22" s="73">
        <v>15867.100587360294</v>
      </c>
      <c r="AG22" s="46">
        <f>+SUM(I22:AF22)*H22</f>
        <v>402990.16787449294</v>
      </c>
      <c r="AJ22" s="74"/>
      <c r="AK22" s="75"/>
    </row>
    <row r="23" spans="1:37" ht="15" thickBot="1">
      <c r="A23" s="66"/>
      <c r="E23" s="85">
        <f t="shared" si="4"/>
        <v>47543</v>
      </c>
      <c r="F23" s="81"/>
      <c r="G23" s="47" t="s">
        <v>10</v>
      </c>
      <c r="H23" s="47">
        <f>+SUM(H19:H22)</f>
        <v>31</v>
      </c>
      <c r="I23" s="48">
        <f t="shared" ref="I23:AF23" si="5">+SUMPRODUCT(I19:I22,$H19:$H22)</f>
        <v>637395.41380818537</v>
      </c>
      <c r="J23" s="48">
        <f t="shared" si="5"/>
        <v>621471.85600485781</v>
      </c>
      <c r="K23" s="48">
        <f t="shared" si="5"/>
        <v>611224.95318273001</v>
      </c>
      <c r="L23" s="48">
        <f t="shared" si="5"/>
        <v>610124.38897685928</v>
      </c>
      <c r="M23" s="48">
        <f t="shared" si="5"/>
        <v>606856.974910349</v>
      </c>
      <c r="N23" s="48">
        <f t="shared" si="5"/>
        <v>619708.90186550224</v>
      </c>
      <c r="O23" s="48">
        <f t="shared" si="5"/>
        <v>666218.55399578682</v>
      </c>
      <c r="P23" s="48">
        <f t="shared" si="5"/>
        <v>737965.08101648744</v>
      </c>
      <c r="Q23" s="48">
        <f t="shared" si="5"/>
        <v>788342.04698713229</v>
      </c>
      <c r="R23" s="48">
        <f t="shared" si="5"/>
        <v>805478.66701900959</v>
      </c>
      <c r="S23" s="48">
        <f t="shared" si="5"/>
        <v>830892.57212714723</v>
      </c>
      <c r="T23" s="48">
        <f t="shared" si="5"/>
        <v>845826.95760315319</v>
      </c>
      <c r="U23" s="48">
        <f t="shared" si="5"/>
        <v>827155.96540174144</v>
      </c>
      <c r="V23" s="48">
        <f t="shared" si="5"/>
        <v>843399.06609802204</v>
      </c>
      <c r="W23" s="48">
        <f t="shared" si="5"/>
        <v>867729.96729108482</v>
      </c>
      <c r="X23" s="48">
        <f t="shared" si="5"/>
        <v>888900.73945291655</v>
      </c>
      <c r="Y23" s="48">
        <f t="shared" si="5"/>
        <v>887817.93707108696</v>
      </c>
      <c r="Z23" s="48">
        <f t="shared" si="5"/>
        <v>868910.00957216229</v>
      </c>
      <c r="AA23" s="48">
        <f t="shared" si="5"/>
        <v>833749.11221715587</v>
      </c>
      <c r="AB23" s="48">
        <f t="shared" si="5"/>
        <v>814604.32531603496</v>
      </c>
      <c r="AC23" s="48">
        <f t="shared" si="5"/>
        <v>769483.88236916903</v>
      </c>
      <c r="AD23" s="48">
        <f t="shared" si="5"/>
        <v>719132.18602677877</v>
      </c>
      <c r="AE23" s="48">
        <f t="shared" si="5"/>
        <v>670547.14219565585</v>
      </c>
      <c r="AF23" s="48">
        <f t="shared" si="5"/>
        <v>647720.91020958126</v>
      </c>
      <c r="AG23" s="49">
        <f>SUM(I23:AF23)</f>
        <v>18020657.610718589</v>
      </c>
    </row>
    <row r="24" spans="1:37" ht="14">
      <c r="A24" s="66"/>
      <c r="E24" s="84">
        <v>47574</v>
      </c>
      <c r="F24" s="79">
        <f t="shared" ref="F24" si="6">+AG28</f>
        <v>17787523.207464568</v>
      </c>
      <c r="G24" s="40" t="s">
        <v>60</v>
      </c>
      <c r="H24" s="40">
        <v>20</v>
      </c>
      <c r="I24" s="73">
        <v>21881.285506073389</v>
      </c>
      <c r="J24" s="73">
        <v>21349.670670340169</v>
      </c>
      <c r="K24" s="73">
        <v>20990.394060850253</v>
      </c>
      <c r="L24" s="73">
        <v>20977.389955745537</v>
      </c>
      <c r="M24" s="73">
        <v>20891.089301111115</v>
      </c>
      <c r="N24" s="73">
        <v>21562.855990851407</v>
      </c>
      <c r="O24" s="73">
        <v>23785.089483351978</v>
      </c>
      <c r="P24" s="73">
        <v>27022.992532154494</v>
      </c>
      <c r="Q24" s="73">
        <v>29237.138575924786</v>
      </c>
      <c r="R24" s="73">
        <v>29974.906459542999</v>
      </c>
      <c r="S24" s="73">
        <v>30997.894843029546</v>
      </c>
      <c r="T24" s="73">
        <v>31503.076840090325</v>
      </c>
      <c r="U24" s="73">
        <v>30658.786492504983</v>
      </c>
      <c r="V24" s="73">
        <v>31377.598696578883</v>
      </c>
      <c r="W24" s="73">
        <v>32694.609322911489</v>
      </c>
      <c r="X24" s="73">
        <v>33350.989878148263</v>
      </c>
      <c r="Y24" s="73">
        <v>33046.368084002759</v>
      </c>
      <c r="Z24" s="73">
        <v>31684.852330545615</v>
      </c>
      <c r="AA24" s="73">
        <v>29989.643728806044</v>
      </c>
      <c r="AB24" s="73">
        <v>29083.120082856465</v>
      </c>
      <c r="AC24" s="73">
        <v>27345.654522103774</v>
      </c>
      <c r="AD24" s="73">
        <v>25494.057683904288</v>
      </c>
      <c r="AE24" s="73">
        <v>23656.273030433218</v>
      </c>
      <c r="AF24" s="73">
        <v>22887.970471652443</v>
      </c>
      <c r="AG24" s="41">
        <f>+SUM(I24:AF24)*H24</f>
        <v>13028874.170870285</v>
      </c>
      <c r="AJ24" s="74"/>
    </row>
    <row r="25" spans="1:37" ht="14">
      <c r="A25" s="66"/>
      <c r="E25" s="85">
        <f t="shared" ref="E25:E28" si="7">+E24</f>
        <v>47574</v>
      </c>
      <c r="F25" s="80"/>
      <c r="G25" s="42" t="s">
        <v>63</v>
      </c>
      <c r="H25" s="42">
        <v>4</v>
      </c>
      <c r="I25" s="73">
        <v>21364.717956488181</v>
      </c>
      <c r="J25" s="73">
        <v>20738.442098959793</v>
      </c>
      <c r="K25" s="73">
        <v>20505.775999280417</v>
      </c>
      <c r="L25" s="73">
        <v>20513.821688062639</v>
      </c>
      <c r="M25" s="73">
        <v>20433.018881819218</v>
      </c>
      <c r="N25" s="73">
        <v>20778.138496569474</v>
      </c>
      <c r="O25" s="73">
        <v>22094.430691453781</v>
      </c>
      <c r="P25" s="73">
        <v>24283.50388582905</v>
      </c>
      <c r="Q25" s="73">
        <v>25750.224998480673</v>
      </c>
      <c r="R25" s="73">
        <v>26343.010169799178</v>
      </c>
      <c r="S25" s="73">
        <v>27091.833502052687</v>
      </c>
      <c r="T25" s="73">
        <v>27329.436240218532</v>
      </c>
      <c r="U25" s="73">
        <v>26575.429427483523</v>
      </c>
      <c r="V25" s="73">
        <v>26363.372873925589</v>
      </c>
      <c r="W25" s="73">
        <v>26370.100194404746</v>
      </c>
      <c r="X25" s="73">
        <v>26648.28893976226</v>
      </c>
      <c r="Y25" s="73">
        <v>26668.102778137112</v>
      </c>
      <c r="Z25" s="73">
        <v>26696.78560158308</v>
      </c>
      <c r="AA25" s="73">
        <v>26215.711080876506</v>
      </c>
      <c r="AB25" s="73">
        <v>25890.641461962856</v>
      </c>
      <c r="AC25" s="73">
        <v>24770.001548557295</v>
      </c>
      <c r="AD25" s="73">
        <v>22995.921269558869</v>
      </c>
      <c r="AE25" s="73">
        <v>21401.716942296964</v>
      </c>
      <c r="AF25" s="73">
        <v>20492.8542626665</v>
      </c>
      <c r="AG25" s="43">
        <f>+SUM(I25:AF25)*H25</f>
        <v>2313261.123960916</v>
      </c>
      <c r="AJ25" s="74"/>
      <c r="AK25" s="75"/>
    </row>
    <row r="26" spans="1:37" ht="14">
      <c r="A26" s="66"/>
      <c r="E26" s="85">
        <f t="shared" si="7"/>
        <v>47574</v>
      </c>
      <c r="F26" s="80"/>
      <c r="G26" s="44" t="s">
        <v>61</v>
      </c>
      <c r="H26" s="44">
        <v>3</v>
      </c>
      <c r="I26" s="73">
        <v>16744.716183023582</v>
      </c>
      <c r="J26" s="73">
        <v>16368.368066061732</v>
      </c>
      <c r="K26" s="73">
        <v>16016.079486677445</v>
      </c>
      <c r="L26" s="73">
        <v>15843.00194557201</v>
      </c>
      <c r="M26" s="73">
        <v>15720.892239919378</v>
      </c>
      <c r="N26" s="73">
        <v>15711.053021135251</v>
      </c>
      <c r="O26" s="73">
        <v>15440.160271861891</v>
      </c>
      <c r="P26" s="73">
        <v>15685.600578577918</v>
      </c>
      <c r="Q26" s="73">
        <v>15934.31842809732</v>
      </c>
      <c r="R26" s="73">
        <v>16060.053061265551</v>
      </c>
      <c r="S26" s="73">
        <v>16389.079140990063</v>
      </c>
      <c r="T26" s="73">
        <v>16896.700003764898</v>
      </c>
      <c r="U26" s="73">
        <v>17066.62178325736</v>
      </c>
      <c r="V26" s="73">
        <v>17162.479167860925</v>
      </c>
      <c r="W26" s="73">
        <v>17606.986402545488</v>
      </c>
      <c r="X26" s="73">
        <v>18317.768069792935</v>
      </c>
      <c r="Y26" s="73">
        <v>18918.50371174957</v>
      </c>
      <c r="Z26" s="73">
        <v>19523.53631790472</v>
      </c>
      <c r="AA26" s="73">
        <v>19468.562581289705</v>
      </c>
      <c r="AB26" s="73">
        <v>19443.598773543697</v>
      </c>
      <c r="AC26" s="73">
        <v>18605.204909841734</v>
      </c>
      <c r="AD26" s="73">
        <v>17755.980168581224</v>
      </c>
      <c r="AE26" s="73">
        <v>17019.061474894352</v>
      </c>
      <c r="AF26" s="73">
        <v>16487.125204634369</v>
      </c>
      <c r="AG26" s="43">
        <f>+SUM(I26:AF26)*H26</f>
        <v>1230556.3529785296</v>
      </c>
      <c r="AJ26" s="74"/>
      <c r="AK26" s="75"/>
    </row>
    <row r="27" spans="1:37" ht="14">
      <c r="A27" s="66"/>
      <c r="E27" s="85">
        <f t="shared" si="7"/>
        <v>47574</v>
      </c>
      <c r="F27" s="80"/>
      <c r="G27" s="45" t="s">
        <v>62</v>
      </c>
      <c r="H27" s="45">
        <v>3</v>
      </c>
      <c r="I27" s="73">
        <v>17304.764371614292</v>
      </c>
      <c r="J27" s="73">
        <v>16912.948261382029</v>
      </c>
      <c r="K27" s="73">
        <v>16585.374613544031</v>
      </c>
      <c r="L27" s="73">
        <v>16416.871890148839</v>
      </c>
      <c r="M27" s="73">
        <v>16184.773461928789</v>
      </c>
      <c r="N27" s="73">
        <v>15579.89685002744</v>
      </c>
      <c r="O27" s="73">
        <v>14925.804619849658</v>
      </c>
      <c r="P27" s="73">
        <v>15262.381245622391</v>
      </c>
      <c r="Q27" s="73">
        <v>15687.058579456299</v>
      </c>
      <c r="R27" s="73">
        <v>15846.50450436891</v>
      </c>
      <c r="S27" s="73">
        <v>16245.711215692363</v>
      </c>
      <c r="T27" s="73">
        <v>16532.983244204101</v>
      </c>
      <c r="U27" s="73">
        <v>16608.915213625231</v>
      </c>
      <c r="V27" s="73">
        <v>16676.830667341961</v>
      </c>
      <c r="W27" s="73">
        <v>17082.74899131179</v>
      </c>
      <c r="X27" s="73">
        <v>17874.524706731976</v>
      </c>
      <c r="Y27" s="73">
        <v>18288.207195849354</v>
      </c>
      <c r="Z27" s="73">
        <v>19093.765571967666</v>
      </c>
      <c r="AA27" s="73">
        <v>19068.899171578971</v>
      </c>
      <c r="AB27" s="73">
        <v>19164.276796983446</v>
      </c>
      <c r="AC27" s="73">
        <v>18136.84446182055</v>
      </c>
      <c r="AD27" s="73">
        <v>17197.693841343204</v>
      </c>
      <c r="AE27" s="73">
        <v>16401.283454546603</v>
      </c>
      <c r="AF27" s="73">
        <v>15864.790287338699</v>
      </c>
      <c r="AG27" s="46">
        <f>+SUM(I27:AF27)*H27</f>
        <v>1214831.5596548361</v>
      </c>
      <c r="AJ27" s="74"/>
      <c r="AK27" s="75"/>
    </row>
    <row r="28" spans="1:37" ht="15" thickBot="1">
      <c r="A28" s="66"/>
      <c r="E28" s="85">
        <f t="shared" si="7"/>
        <v>47574</v>
      </c>
      <c r="F28" s="81"/>
      <c r="G28" s="47" t="s">
        <v>10</v>
      </c>
      <c r="H28" s="47">
        <f>+SUM(H24:H27)</f>
        <v>30</v>
      </c>
      <c r="I28" s="48">
        <f t="shared" ref="I28:AF28" si="8">+SUMPRODUCT(I24:I27,$H24:$H27)</f>
        <v>625233.02361133404</v>
      </c>
      <c r="J28" s="48">
        <f t="shared" si="8"/>
        <v>609791.13078497373</v>
      </c>
      <c r="K28" s="48">
        <f t="shared" si="8"/>
        <v>599635.34751479118</v>
      </c>
      <c r="L28" s="48">
        <f t="shared" si="8"/>
        <v>598382.70737432386</v>
      </c>
      <c r="M28" s="48">
        <f t="shared" si="8"/>
        <v>595270.85865504376</v>
      </c>
      <c r="N28" s="48">
        <f t="shared" si="8"/>
        <v>608242.52341679414</v>
      </c>
      <c r="O28" s="48">
        <f t="shared" si="8"/>
        <v>655177.4071079893</v>
      </c>
      <c r="P28" s="48">
        <f t="shared" si="8"/>
        <v>730437.81165900687</v>
      </c>
      <c r="Q28" s="48">
        <f t="shared" si="8"/>
        <v>782607.8025350793</v>
      </c>
      <c r="R28" s="48">
        <f t="shared" si="8"/>
        <v>800589.84256696003</v>
      </c>
      <c r="S28" s="48">
        <f t="shared" si="8"/>
        <v>826229.60193884908</v>
      </c>
      <c r="T28" s="48">
        <f t="shared" si="8"/>
        <v>839668.33150658768</v>
      </c>
      <c r="U28" s="48">
        <f t="shared" si="8"/>
        <v>820504.05855068145</v>
      </c>
      <c r="V28" s="48">
        <f t="shared" si="8"/>
        <v>834523.39493288868</v>
      </c>
      <c r="W28" s="48">
        <f t="shared" si="8"/>
        <v>863441.79341742059</v>
      </c>
      <c r="X28" s="48">
        <f t="shared" si="8"/>
        <v>882189.8316515889</v>
      </c>
      <c r="Y28" s="48">
        <f t="shared" si="8"/>
        <v>879219.90551540034</v>
      </c>
      <c r="Z28" s="48">
        <f t="shared" si="8"/>
        <v>856336.09468686173</v>
      </c>
      <c r="AA28" s="48">
        <f t="shared" si="8"/>
        <v>820268.10415823292</v>
      </c>
      <c r="AB28" s="48">
        <f t="shared" si="8"/>
        <v>801048.59421656211</v>
      </c>
      <c r="AC28" s="48">
        <f t="shared" si="8"/>
        <v>756219.24475129147</v>
      </c>
      <c r="AD28" s="48">
        <f t="shared" si="8"/>
        <v>706725.86078609456</v>
      </c>
      <c r="AE28" s="48">
        <f t="shared" si="8"/>
        <v>658993.36316617508</v>
      </c>
      <c r="AF28" s="48">
        <f t="shared" si="8"/>
        <v>636786.57295963413</v>
      </c>
      <c r="AG28" s="49">
        <f>SUM(I28:AF28)</f>
        <v>17787523.207464568</v>
      </c>
    </row>
    <row r="29" spans="1:37" ht="14">
      <c r="A29" s="66"/>
      <c r="E29" s="84">
        <v>47604</v>
      </c>
      <c r="F29" s="79">
        <f t="shared" ref="F29" si="9">+AG33</f>
        <v>18544408.13822097</v>
      </c>
      <c r="G29" s="40" t="s">
        <v>60</v>
      </c>
      <c r="H29" s="40">
        <v>22</v>
      </c>
      <c r="I29" s="73">
        <v>21718.594315945516</v>
      </c>
      <c r="J29" s="73">
        <v>21186.02153575193</v>
      </c>
      <c r="K29" s="73">
        <v>20825.312183130245</v>
      </c>
      <c r="L29" s="73">
        <v>20812.664677277087</v>
      </c>
      <c r="M29" s="73">
        <v>20718.230326225326</v>
      </c>
      <c r="N29" s="73">
        <v>21376.409482223025</v>
      </c>
      <c r="O29" s="73">
        <v>23493.603525493745</v>
      </c>
      <c r="P29" s="73">
        <v>26720.68745217922</v>
      </c>
      <c r="Q29" s="73">
        <v>28897.542529007242</v>
      </c>
      <c r="R29" s="73">
        <v>29794.235505792534</v>
      </c>
      <c r="S29" s="73">
        <v>30819.294536853569</v>
      </c>
      <c r="T29" s="73">
        <v>31423.615748031178</v>
      </c>
      <c r="U29" s="73">
        <v>30617.770883995679</v>
      </c>
      <c r="V29" s="73">
        <v>31408.340729342654</v>
      </c>
      <c r="W29" s="73">
        <v>32491.129377206675</v>
      </c>
      <c r="X29" s="73">
        <v>32979.055279463028</v>
      </c>
      <c r="Y29" s="73">
        <v>32602.244165287193</v>
      </c>
      <c r="Z29" s="73">
        <v>31414.24834238975</v>
      </c>
      <c r="AA29" s="73">
        <v>29751.562590557427</v>
      </c>
      <c r="AB29" s="73">
        <v>28861.90542717314</v>
      </c>
      <c r="AC29" s="73">
        <v>27133.851090012457</v>
      </c>
      <c r="AD29" s="73">
        <v>25297.960488242617</v>
      </c>
      <c r="AE29" s="73">
        <v>23475.591418311054</v>
      </c>
      <c r="AF29" s="73">
        <v>22710.570097078293</v>
      </c>
      <c r="AG29" s="41">
        <f>+SUM(I29:AF29)*H29</f>
        <v>14223669.717553353</v>
      </c>
      <c r="AJ29" s="74"/>
    </row>
    <row r="30" spans="1:37" ht="14">
      <c r="A30" s="66"/>
      <c r="E30" s="85">
        <f t="shared" ref="E30:E33" si="10">+E29</f>
        <v>47604</v>
      </c>
      <c r="F30" s="80"/>
      <c r="G30" s="42" t="s">
        <v>63</v>
      </c>
      <c r="H30" s="42">
        <v>4</v>
      </c>
      <c r="I30" s="73">
        <v>21159.826987421868</v>
      </c>
      <c r="J30" s="73">
        <v>20537.171387278653</v>
      </c>
      <c r="K30" s="73">
        <v>20310.940366724324</v>
      </c>
      <c r="L30" s="73">
        <v>20323.727411780565</v>
      </c>
      <c r="M30" s="73">
        <v>20235.984885521277</v>
      </c>
      <c r="N30" s="73">
        <v>20570.103919440764</v>
      </c>
      <c r="O30" s="73">
        <v>21792.30375022495</v>
      </c>
      <c r="P30" s="73">
        <v>23973.231602060412</v>
      </c>
      <c r="Q30" s="73">
        <v>25400.926846708451</v>
      </c>
      <c r="R30" s="73">
        <v>26154.71727226827</v>
      </c>
      <c r="S30" s="73">
        <v>26903.301556942668</v>
      </c>
      <c r="T30" s="73">
        <v>27248.084105164678</v>
      </c>
      <c r="U30" s="73">
        <v>26541.12881662164</v>
      </c>
      <c r="V30" s="73">
        <v>26410.311880772901</v>
      </c>
      <c r="W30" s="73">
        <v>26178.439578990117</v>
      </c>
      <c r="X30" s="73">
        <v>26284.778565866247</v>
      </c>
      <c r="Y30" s="73">
        <v>26232.429877015438</v>
      </c>
      <c r="Z30" s="73">
        <v>26433.382049334221</v>
      </c>
      <c r="AA30" s="73">
        <v>25976.778115943238</v>
      </c>
      <c r="AB30" s="73">
        <v>25675.679503495812</v>
      </c>
      <c r="AC30" s="73">
        <v>24567.20823748373</v>
      </c>
      <c r="AD30" s="73">
        <v>22807.401089969513</v>
      </c>
      <c r="AE30" s="73">
        <v>21226.189256821974</v>
      </c>
      <c r="AF30" s="73">
        <v>20323.73641501457</v>
      </c>
      <c r="AG30" s="43">
        <f>+SUM(I30:AF30)*H30</f>
        <v>2293071.1339154649</v>
      </c>
      <c r="AJ30" s="74"/>
      <c r="AK30" s="75"/>
    </row>
    <row r="31" spans="1:37" ht="14">
      <c r="A31" s="66"/>
      <c r="E31" s="85">
        <f t="shared" si="10"/>
        <v>47604</v>
      </c>
      <c r="F31" s="80"/>
      <c r="G31" s="44" t="s">
        <v>61</v>
      </c>
      <c r="H31" s="44">
        <v>4</v>
      </c>
      <c r="I31" s="73">
        <v>16561.907750271701</v>
      </c>
      <c r="J31" s="73">
        <v>16187.644772545375</v>
      </c>
      <c r="K31" s="73">
        <v>15830.421621396881</v>
      </c>
      <c r="L31" s="73">
        <v>15660.81152056137</v>
      </c>
      <c r="M31" s="73">
        <v>15538.243809361726</v>
      </c>
      <c r="N31" s="73">
        <v>15542.160669866893</v>
      </c>
      <c r="O31" s="73">
        <v>15191.391302271029</v>
      </c>
      <c r="P31" s="73">
        <v>15419.268532400605</v>
      </c>
      <c r="Q31" s="73">
        <v>15629.043045448832</v>
      </c>
      <c r="R31" s="73">
        <v>15912.217706547923</v>
      </c>
      <c r="S31" s="73">
        <v>16247.854889789862</v>
      </c>
      <c r="T31" s="73">
        <v>16859.680198157381</v>
      </c>
      <c r="U31" s="73">
        <v>17065.731027416554</v>
      </c>
      <c r="V31" s="73">
        <v>17222.749692668462</v>
      </c>
      <c r="W31" s="73">
        <v>17435.46785638572</v>
      </c>
      <c r="X31" s="73">
        <v>17977.170147399527</v>
      </c>
      <c r="Y31" s="73">
        <v>18507.545114161672</v>
      </c>
      <c r="Z31" s="73">
        <v>19294.105200287853</v>
      </c>
      <c r="AA31" s="73">
        <v>19249.309051825057</v>
      </c>
      <c r="AB31" s="73">
        <v>19241.309966361023</v>
      </c>
      <c r="AC31" s="73">
        <v>18413.673333302264</v>
      </c>
      <c r="AD31" s="73">
        <v>17580.148540453265</v>
      </c>
      <c r="AE31" s="73">
        <v>16847.710922042363</v>
      </c>
      <c r="AF31" s="73">
        <v>16322.490830065764</v>
      </c>
      <c r="AG31" s="43">
        <f>+SUM(I31:AF31)*H31</f>
        <v>1622952.2300039565</v>
      </c>
      <c r="AJ31" s="74"/>
      <c r="AK31" s="75"/>
    </row>
    <row r="32" spans="1:37" ht="14">
      <c r="A32" s="66"/>
      <c r="E32" s="85">
        <f t="shared" si="10"/>
        <v>47604</v>
      </c>
      <c r="F32" s="80"/>
      <c r="G32" s="45" t="s">
        <v>62</v>
      </c>
      <c r="H32" s="45">
        <v>1</v>
      </c>
      <c r="I32" s="73">
        <v>17330.5877290266</v>
      </c>
      <c r="J32" s="73">
        <v>16933.399701695987</v>
      </c>
      <c r="K32" s="73">
        <v>16597.102986068945</v>
      </c>
      <c r="L32" s="73">
        <v>16430.157407275026</v>
      </c>
      <c r="M32" s="73">
        <v>16185.454834714035</v>
      </c>
      <c r="N32" s="73">
        <v>15562.640291560954</v>
      </c>
      <c r="O32" s="73">
        <v>14779.027617435164</v>
      </c>
      <c r="P32" s="73">
        <v>15122.38513560383</v>
      </c>
      <c r="Q32" s="73">
        <v>15521.82777229111</v>
      </c>
      <c r="R32" s="73">
        <v>15856.99665494406</v>
      </c>
      <c r="S32" s="73">
        <v>16301.094207593384</v>
      </c>
      <c r="T32" s="73">
        <v>16697.849661347685</v>
      </c>
      <c r="U32" s="73">
        <v>16812.707889381556</v>
      </c>
      <c r="V32" s="73">
        <v>16935.437075572136</v>
      </c>
      <c r="W32" s="73">
        <v>17077.082910427245</v>
      </c>
      <c r="X32" s="73">
        <v>17683.14256891088</v>
      </c>
      <c r="Y32" s="73">
        <v>18008.782496285094</v>
      </c>
      <c r="Z32" s="73">
        <v>19031.521064744295</v>
      </c>
      <c r="AA32" s="73">
        <v>19027.837450356023</v>
      </c>
      <c r="AB32" s="73">
        <v>19175.386668165418</v>
      </c>
      <c r="AC32" s="73">
        <v>18144.464738738585</v>
      </c>
      <c r="AD32" s="73">
        <v>17203.090397439915</v>
      </c>
      <c r="AE32" s="73">
        <v>16411.240700999148</v>
      </c>
      <c r="AF32" s="73">
        <v>15885.838787617096</v>
      </c>
      <c r="AG32" s="46">
        <f>+SUM(I32:AF32)*H32</f>
        <v>404715.05674819421</v>
      </c>
      <c r="AJ32" s="74"/>
      <c r="AK32" s="75"/>
    </row>
    <row r="33" spans="1:37" ht="15" thickBot="1">
      <c r="A33" s="66"/>
      <c r="E33" s="85">
        <f t="shared" si="10"/>
        <v>47604</v>
      </c>
      <c r="F33" s="81"/>
      <c r="G33" s="47" t="s">
        <v>10</v>
      </c>
      <c r="H33" s="47">
        <f>+SUM(H29:H32)</f>
        <v>31</v>
      </c>
      <c r="I33" s="48">
        <f t="shared" ref="I33:AF33" si="11">+SUMPRODUCT(I29:I32,$H29:$H32)</f>
        <v>646026.60163060215</v>
      </c>
      <c r="J33" s="48">
        <f t="shared" si="11"/>
        <v>629925.13812753465</v>
      </c>
      <c r="K33" s="48">
        <f t="shared" si="11"/>
        <v>619319.41896741907</v>
      </c>
      <c r="L33" s="48">
        <f t="shared" si="11"/>
        <v>618246.9360367388</v>
      </c>
      <c r="M33" s="48">
        <f t="shared" si="11"/>
        <v>615083.43679120333</v>
      </c>
      <c r="N33" s="48">
        <f t="shared" si="11"/>
        <v>630292.70725769806</v>
      </c>
      <c r="O33" s="48">
        <f t="shared" si="11"/>
        <v>679573.0853882815</v>
      </c>
      <c r="P33" s="48">
        <f t="shared" si="11"/>
        <v>760547.50962139072</v>
      </c>
      <c r="Q33" s="48">
        <f t="shared" si="11"/>
        <v>815387.64297907962</v>
      </c>
      <c r="R33" s="48">
        <f t="shared" si="11"/>
        <v>839597.91769764456</v>
      </c>
      <c r="S33" s="48">
        <f t="shared" si="11"/>
        <v>866930.19980530196</v>
      </c>
      <c r="T33" s="48">
        <f t="shared" si="11"/>
        <v>884448.45333132183</v>
      </c>
      <c r="U33" s="48">
        <f t="shared" si="11"/>
        <v>864831.10671343934</v>
      </c>
      <c r="V33" s="48">
        <f t="shared" si="11"/>
        <v>882451.17941487592</v>
      </c>
      <c r="W33" s="48">
        <f t="shared" si="11"/>
        <v>906337.55895047751</v>
      </c>
      <c r="X33" s="48">
        <f t="shared" si="11"/>
        <v>920270.15357016062</v>
      </c>
      <c r="Y33" s="48">
        <f t="shared" si="11"/>
        <v>914218.0540973118</v>
      </c>
      <c r="Z33" s="48">
        <f t="shared" si="11"/>
        <v>893054.93359580718</v>
      </c>
      <c r="AA33" s="48">
        <f t="shared" si="11"/>
        <v>854466.56311369257</v>
      </c>
      <c r="AB33" s="48">
        <f t="shared" si="11"/>
        <v>833805.26394540188</v>
      </c>
      <c r="AC33" s="48">
        <f t="shared" si="11"/>
        <v>787012.71500215656</v>
      </c>
      <c r="AD33" s="48">
        <f t="shared" si="11"/>
        <v>735308.41966046847</v>
      </c>
      <c r="AE33" s="48">
        <f t="shared" si="11"/>
        <v>685169.85261929978</v>
      </c>
      <c r="AF33" s="48">
        <f t="shared" si="11"/>
        <v>662103.28990366089</v>
      </c>
      <c r="AG33" s="49">
        <f>SUM(I33:AF33)</f>
        <v>18544408.13822097</v>
      </c>
    </row>
    <row r="34" spans="1:37" ht="14">
      <c r="A34" s="66"/>
      <c r="E34" s="84">
        <v>47635</v>
      </c>
      <c r="F34" s="79">
        <f t="shared" ref="F34" si="12">+AG38</f>
        <v>17304308.648144223</v>
      </c>
      <c r="G34" s="40" t="s">
        <v>60</v>
      </c>
      <c r="H34" s="40">
        <v>18</v>
      </c>
      <c r="I34" s="73">
        <v>21693.986798816073</v>
      </c>
      <c r="J34" s="73">
        <v>21161.11084432359</v>
      </c>
      <c r="K34" s="73">
        <v>20800.25519800547</v>
      </c>
      <c r="L34" s="73">
        <v>20787.822007293715</v>
      </c>
      <c r="M34" s="73">
        <v>20692.720323993126</v>
      </c>
      <c r="N34" s="73">
        <v>21338.590282736237</v>
      </c>
      <c r="O34" s="73">
        <v>23469.062292998409</v>
      </c>
      <c r="P34" s="73">
        <v>26611.810850092967</v>
      </c>
      <c r="Q34" s="73">
        <v>28792.305581051722</v>
      </c>
      <c r="R34" s="73">
        <v>29562.96248435475</v>
      </c>
      <c r="S34" s="73">
        <v>30521.190268243146</v>
      </c>
      <c r="T34" s="73">
        <v>31196.21691103273</v>
      </c>
      <c r="U34" s="73">
        <v>30333.32021224605</v>
      </c>
      <c r="V34" s="73">
        <v>31295.6690763851</v>
      </c>
      <c r="W34" s="73">
        <v>32517.561200971184</v>
      </c>
      <c r="X34" s="73">
        <v>33132.067247879408</v>
      </c>
      <c r="Y34" s="73">
        <v>32824.915537814828</v>
      </c>
      <c r="Z34" s="73">
        <v>31386.49400926182</v>
      </c>
      <c r="AA34" s="73">
        <v>29724.038669050497</v>
      </c>
      <c r="AB34" s="73">
        <v>28835.503375044656</v>
      </c>
      <c r="AC34" s="73">
        <v>27108.148362841705</v>
      </c>
      <c r="AD34" s="73">
        <v>25272.973826114656</v>
      </c>
      <c r="AE34" s="73">
        <v>23451.339373571107</v>
      </c>
      <c r="AF34" s="73">
        <v>22686.188897580534</v>
      </c>
      <c r="AG34" s="41">
        <f>+SUM(I34:AF34)*H34</f>
        <v>11613532.565370662</v>
      </c>
      <c r="AJ34" s="74"/>
    </row>
    <row r="35" spans="1:37" ht="14">
      <c r="A35" s="66"/>
      <c r="E35" s="85">
        <f t="shared" ref="E35:E38" si="13">+E34</f>
        <v>47635</v>
      </c>
      <c r="F35" s="80"/>
      <c r="G35" s="42" t="s">
        <v>63</v>
      </c>
      <c r="H35" s="42">
        <v>5</v>
      </c>
      <c r="I35" s="73">
        <v>21161.550398960604</v>
      </c>
      <c r="J35" s="73">
        <v>20538.410856038587</v>
      </c>
      <c r="K35" s="73">
        <v>20311.890384187878</v>
      </c>
      <c r="L35" s="73">
        <v>20324.604289969167</v>
      </c>
      <c r="M35" s="73">
        <v>20236.762575936074</v>
      </c>
      <c r="N35" s="73">
        <v>20560.073739552176</v>
      </c>
      <c r="O35" s="73">
        <v>21799.241474769598</v>
      </c>
      <c r="P35" s="73">
        <v>23898.071920963233</v>
      </c>
      <c r="Q35" s="73">
        <v>25331.755870823701</v>
      </c>
      <c r="R35" s="73">
        <v>25961.374065692831</v>
      </c>
      <c r="S35" s="73">
        <v>26645.032502373564</v>
      </c>
      <c r="T35" s="73">
        <v>27061.545330974157</v>
      </c>
      <c r="U35" s="73">
        <v>26296.786377958102</v>
      </c>
      <c r="V35" s="73">
        <v>26336.945078169818</v>
      </c>
      <c r="W35" s="73">
        <v>26243.314343833528</v>
      </c>
      <c r="X35" s="73">
        <v>26475.744857893442</v>
      </c>
      <c r="Y35" s="73">
        <v>26493.11674440368</v>
      </c>
      <c r="Z35" s="73">
        <v>26443.302555630031</v>
      </c>
      <c r="AA35" s="73">
        <v>25985.13101450646</v>
      </c>
      <c r="AB35" s="73">
        <v>25683.796997463523</v>
      </c>
      <c r="AC35" s="73">
        <v>24574.481489494352</v>
      </c>
      <c r="AD35" s="73">
        <v>22813.11880938608</v>
      </c>
      <c r="AE35" s="73">
        <v>21230.554029361418</v>
      </c>
      <c r="AF35" s="73">
        <v>20327.263053197181</v>
      </c>
      <c r="AG35" s="43">
        <f>+SUM(I35:AF35)*H35</f>
        <v>2863669.3438076954</v>
      </c>
      <c r="AJ35" s="74"/>
      <c r="AK35" s="75"/>
    </row>
    <row r="36" spans="1:37" ht="14">
      <c r="A36" s="66"/>
      <c r="E36" s="85">
        <f t="shared" si="13"/>
        <v>47635</v>
      </c>
      <c r="F36" s="80"/>
      <c r="G36" s="44" t="s">
        <v>61</v>
      </c>
      <c r="H36" s="44">
        <v>5</v>
      </c>
      <c r="I36" s="73">
        <v>16496.922936908813</v>
      </c>
      <c r="J36" s="73">
        <v>16123.575212121181</v>
      </c>
      <c r="K36" s="73">
        <v>15765.941738665231</v>
      </c>
      <c r="L36" s="73">
        <v>15597.038172451657</v>
      </c>
      <c r="M36" s="73">
        <v>15474.573162910374</v>
      </c>
      <c r="N36" s="73">
        <v>15469.332424675367</v>
      </c>
      <c r="O36" s="73">
        <v>15133.888765035877</v>
      </c>
      <c r="P36" s="73">
        <v>15274.00498564718</v>
      </c>
      <c r="Q36" s="73">
        <v>15486.007286837426</v>
      </c>
      <c r="R36" s="73">
        <v>15642.360329202482</v>
      </c>
      <c r="S36" s="73">
        <v>15908.663198894817</v>
      </c>
      <c r="T36" s="73">
        <v>16590.598786357648</v>
      </c>
      <c r="U36" s="73">
        <v>16739.920260028968</v>
      </c>
      <c r="V36" s="73">
        <v>17067.434424623265</v>
      </c>
      <c r="W36" s="73">
        <v>17420.409513390467</v>
      </c>
      <c r="X36" s="73">
        <v>18088.36427155296</v>
      </c>
      <c r="Y36" s="73">
        <v>18689.373241058649</v>
      </c>
      <c r="Z36" s="73">
        <v>19227.521612496526</v>
      </c>
      <c r="AA36" s="73">
        <v>19179.847778483178</v>
      </c>
      <c r="AB36" s="73">
        <v>19175.583769346631</v>
      </c>
      <c r="AC36" s="73">
        <v>18351.524174204256</v>
      </c>
      <c r="AD36" s="73">
        <v>17521.398188451774</v>
      </c>
      <c r="AE36" s="73">
        <v>16790.226085845905</v>
      </c>
      <c r="AF36" s="73">
        <v>16266.054219587986</v>
      </c>
      <c r="AG36" s="43">
        <f>+SUM(I36:AF36)*H36</f>
        <v>2017402.8226938935</v>
      </c>
      <c r="AJ36" s="74"/>
      <c r="AK36" s="75"/>
    </row>
    <row r="37" spans="1:37" ht="14">
      <c r="A37" s="66"/>
      <c r="E37" s="85">
        <f t="shared" si="13"/>
        <v>47635</v>
      </c>
      <c r="F37" s="80"/>
      <c r="G37" s="45" t="s">
        <v>62</v>
      </c>
      <c r="H37" s="45">
        <v>2</v>
      </c>
      <c r="I37" s="73">
        <v>17354.513156089746</v>
      </c>
      <c r="J37" s="73">
        <v>16956.561436502325</v>
      </c>
      <c r="K37" s="73">
        <v>16619.899899298183</v>
      </c>
      <c r="L37" s="73">
        <v>16452.465189667793</v>
      </c>
      <c r="M37" s="73">
        <v>16208.373004147916</v>
      </c>
      <c r="N37" s="73">
        <v>15577.284851433293</v>
      </c>
      <c r="O37" s="73">
        <v>14812.79145024675</v>
      </c>
      <c r="P37" s="73">
        <v>15074.700178828019</v>
      </c>
      <c r="Q37" s="73">
        <v>15479.995286184878</v>
      </c>
      <c r="R37" s="73">
        <v>15691.558570480816</v>
      </c>
      <c r="S37" s="73">
        <v>16072.034490688155</v>
      </c>
      <c r="T37" s="73">
        <v>16542.639538194915</v>
      </c>
      <c r="U37" s="73">
        <v>16600.460279844763</v>
      </c>
      <c r="V37" s="73">
        <v>16894.431335968387</v>
      </c>
      <c r="W37" s="73">
        <v>17174.36316119726</v>
      </c>
      <c r="X37" s="73">
        <v>17906.592570463275</v>
      </c>
      <c r="Y37" s="73">
        <v>18303.009935871345</v>
      </c>
      <c r="Z37" s="73">
        <v>19073.359959040838</v>
      </c>
      <c r="AA37" s="73">
        <v>19068.014159881313</v>
      </c>
      <c r="AB37" s="73">
        <v>19213.131362069907</v>
      </c>
      <c r="AC37" s="73">
        <v>18180.378672527328</v>
      </c>
      <c r="AD37" s="73">
        <v>17236.421694178032</v>
      </c>
      <c r="AE37" s="73">
        <v>16442.859877292762</v>
      </c>
      <c r="AF37" s="73">
        <v>15916.118075887905</v>
      </c>
      <c r="AG37" s="46">
        <f>+SUM(I37:AF37)*H37</f>
        <v>809703.91627197189</v>
      </c>
      <c r="AJ37" s="74"/>
      <c r="AK37" s="75"/>
    </row>
    <row r="38" spans="1:37" ht="15" thickBot="1">
      <c r="A38" s="66"/>
      <c r="E38" s="85">
        <f t="shared" si="13"/>
        <v>47635</v>
      </c>
      <c r="F38" s="81"/>
      <c r="G38" s="47" t="s">
        <v>10</v>
      </c>
      <c r="H38" s="47">
        <f>+SUM(H34:H37)</f>
        <v>30</v>
      </c>
      <c r="I38" s="48">
        <f t="shared" ref="I38:AF38" si="14">+SUMPRODUCT(I34:I37,$H34:$H37)</f>
        <v>613493.15537021589</v>
      </c>
      <c r="J38" s="48">
        <f t="shared" si="14"/>
        <v>598123.04841162811</v>
      </c>
      <c r="K38" s="48">
        <f t="shared" si="14"/>
        <v>588033.55397696048</v>
      </c>
      <c r="L38" s="48">
        <f t="shared" si="14"/>
        <v>586693.9388227266</v>
      </c>
      <c r="M38" s="48">
        <f t="shared" si="14"/>
        <v>583442.39053440432</v>
      </c>
      <c r="N38" s="48">
        <f t="shared" si="14"/>
        <v>595396.22561325657</v>
      </c>
      <c r="O38" s="48">
        <f t="shared" si="14"/>
        <v>636734.35537349223</v>
      </c>
      <c r="P38" s="48">
        <f t="shared" si="14"/>
        <v>705022.38019238156</v>
      </c>
      <c r="Q38" s="48">
        <f t="shared" si="14"/>
        <v>753310.30681960634</v>
      </c>
      <c r="R38" s="48">
        <f t="shared" si="14"/>
        <v>771535.11383382371</v>
      </c>
      <c r="S38" s="48">
        <f t="shared" si="14"/>
        <v>794293.97231609491</v>
      </c>
      <c r="T38" s="48">
        <f t="shared" si="14"/>
        <v>812877.90406163805</v>
      </c>
      <c r="U38" s="48">
        <f t="shared" si="14"/>
        <v>794384.21757005376</v>
      </c>
      <c r="V38" s="48">
        <f t="shared" si="14"/>
        <v>814132.80356083391</v>
      </c>
      <c r="W38" s="48">
        <f t="shared" si="14"/>
        <v>837983.44722599583</v>
      </c>
      <c r="X38" s="48">
        <f t="shared" si="14"/>
        <v>855010.94124998781</v>
      </c>
      <c r="Y38" s="48">
        <f t="shared" si="14"/>
        <v>853366.94947972125</v>
      </c>
      <c r="Z38" s="48">
        <f t="shared" si="14"/>
        <v>831457.73292542726</v>
      </c>
      <c r="AA38" s="48">
        <f t="shared" si="14"/>
        <v>798993.61832761974</v>
      </c>
      <c r="AB38" s="48">
        <f t="shared" si="14"/>
        <v>781762.22730899439</v>
      </c>
      <c r="AC38" s="48">
        <f t="shared" si="14"/>
        <v>738937.45619469834</v>
      </c>
      <c r="AD38" s="48">
        <f t="shared" si="14"/>
        <v>691058.95724760916</v>
      </c>
      <c r="AE38" s="48">
        <f t="shared" si="14"/>
        <v>645113.72905490198</v>
      </c>
      <c r="AF38" s="48">
        <f t="shared" si="14"/>
        <v>623150.22267215129</v>
      </c>
      <c r="AG38" s="49">
        <f>SUM(I38:AF38)</f>
        <v>17304308.648144223</v>
      </c>
    </row>
    <row r="39" spans="1:37" ht="14">
      <c r="A39" s="66"/>
      <c r="E39" s="84">
        <v>47665</v>
      </c>
      <c r="F39" s="79">
        <f t="shared" ref="F39" si="15">+AG43</f>
        <v>18365232.120161667</v>
      </c>
      <c r="G39" s="40" t="s">
        <v>60</v>
      </c>
      <c r="H39" s="40">
        <v>22</v>
      </c>
      <c r="I39" s="73">
        <v>21753.976375471622</v>
      </c>
      <c r="J39" s="73">
        <v>21220.187720379661</v>
      </c>
      <c r="K39" s="73">
        <v>20858.55703515363</v>
      </c>
      <c r="L39" s="73">
        <v>20845.288500835191</v>
      </c>
      <c r="M39" s="73">
        <v>20751.281227980395</v>
      </c>
      <c r="N39" s="73">
        <v>21402.428176393107</v>
      </c>
      <c r="O39" s="73">
        <v>23574.656935062507</v>
      </c>
      <c r="P39" s="73">
        <v>26814.569617952613</v>
      </c>
      <c r="Q39" s="73">
        <v>28974.877628186288</v>
      </c>
      <c r="R39" s="73">
        <v>29722.575102840889</v>
      </c>
      <c r="S39" s="73">
        <v>30762.799555214544</v>
      </c>
      <c r="T39" s="73">
        <v>31297.992532088061</v>
      </c>
      <c r="U39" s="73">
        <v>30369.133510005664</v>
      </c>
      <c r="V39" s="73">
        <v>31295.617091581258</v>
      </c>
      <c r="W39" s="73">
        <v>32427.701515968223</v>
      </c>
      <c r="X39" s="73">
        <v>32986.714834371618</v>
      </c>
      <c r="Y39" s="73">
        <v>32657.055515545548</v>
      </c>
      <c r="Z39" s="73">
        <v>31431.167321872195</v>
      </c>
      <c r="AA39" s="73">
        <v>29813.662801143935</v>
      </c>
      <c r="AB39" s="73">
        <v>28920.771217933496</v>
      </c>
      <c r="AC39" s="73">
        <v>27188.027266719499</v>
      </c>
      <c r="AD39" s="73">
        <v>25346.247869939416</v>
      </c>
      <c r="AE39" s="73">
        <v>23518.663330853804</v>
      </c>
      <c r="AF39" s="73">
        <v>22751.15567923139</v>
      </c>
      <c r="AG39" s="41">
        <f>+SUM(I39:AF39)*H39</f>
        <v>14227072.383979943</v>
      </c>
      <c r="AJ39" s="74"/>
    </row>
    <row r="40" spans="1:37" ht="14">
      <c r="A40" s="66"/>
      <c r="E40" s="85">
        <f t="shared" ref="E40:E43" si="16">+E39</f>
        <v>47665</v>
      </c>
      <c r="F40" s="80"/>
      <c r="G40" s="42" t="s">
        <v>63</v>
      </c>
      <c r="H40" s="42">
        <v>3</v>
      </c>
      <c r="I40" s="73">
        <v>21187.335737091296</v>
      </c>
      <c r="J40" s="73">
        <v>20563.285153709967</v>
      </c>
      <c r="K40" s="73">
        <v>20335.97545381181</v>
      </c>
      <c r="L40" s="73">
        <v>20348.228539896245</v>
      </c>
      <c r="M40" s="73">
        <v>20260.530640960184</v>
      </c>
      <c r="N40" s="73">
        <v>20586.136723514031</v>
      </c>
      <c r="O40" s="73">
        <v>21859.880897062976</v>
      </c>
      <c r="P40" s="73">
        <v>24050.167762524576</v>
      </c>
      <c r="Q40" s="73">
        <v>25458.778175921558</v>
      </c>
      <c r="R40" s="73">
        <v>26062.715350791008</v>
      </c>
      <c r="S40" s="73">
        <v>26825.616241345288</v>
      </c>
      <c r="T40" s="73">
        <v>27099.955096562961</v>
      </c>
      <c r="U40" s="73">
        <v>26269.782808565633</v>
      </c>
      <c r="V40" s="73">
        <v>26272.92955163795</v>
      </c>
      <c r="W40" s="73">
        <v>26087.902750982994</v>
      </c>
      <c r="X40" s="73">
        <v>26264.808329768333</v>
      </c>
      <c r="Y40" s="73">
        <v>26260.343397332243</v>
      </c>
      <c r="Z40" s="73">
        <v>26426.435337667561</v>
      </c>
      <c r="AA40" s="73">
        <v>26018.922786381361</v>
      </c>
      <c r="AB40" s="73">
        <v>25715.837046861216</v>
      </c>
      <c r="AC40" s="73">
        <v>24603.890206458691</v>
      </c>
      <c r="AD40" s="73">
        <v>22839.004649436352</v>
      </c>
      <c r="AE40" s="73">
        <v>21253.252056722395</v>
      </c>
      <c r="AF40" s="73">
        <v>20348.747315908466</v>
      </c>
      <c r="AG40" s="43">
        <f>+SUM(I40:AF40)*H40</f>
        <v>1719001.3860327457</v>
      </c>
      <c r="AJ40" s="74"/>
      <c r="AK40" s="75"/>
    </row>
    <row r="41" spans="1:37" ht="14">
      <c r="A41" s="66"/>
      <c r="E41" s="85">
        <f t="shared" si="16"/>
        <v>47665</v>
      </c>
      <c r="F41" s="80"/>
      <c r="G41" s="44" t="s">
        <v>61</v>
      </c>
      <c r="H41" s="44">
        <v>4</v>
      </c>
      <c r="I41" s="73">
        <v>16447.31414767071</v>
      </c>
      <c r="J41" s="73">
        <v>16074.614318072658</v>
      </c>
      <c r="K41" s="73">
        <v>15716.393399211947</v>
      </c>
      <c r="L41" s="73">
        <v>15548.127110692012</v>
      </c>
      <c r="M41" s="73">
        <v>15425.676315627432</v>
      </c>
      <c r="N41" s="73">
        <v>15423.709697382666</v>
      </c>
      <c r="O41" s="73">
        <v>15119.39164413218</v>
      </c>
      <c r="P41" s="73">
        <v>15344.241090386451</v>
      </c>
      <c r="Q41" s="73">
        <v>15525.874319254466</v>
      </c>
      <c r="R41" s="73">
        <v>15652.818999690206</v>
      </c>
      <c r="S41" s="73">
        <v>15993.319114153226</v>
      </c>
      <c r="T41" s="73">
        <v>16531.602207966243</v>
      </c>
      <c r="U41" s="73">
        <v>16617.806855019688</v>
      </c>
      <c r="V41" s="73">
        <v>16908.605778696816</v>
      </c>
      <c r="W41" s="73">
        <v>17171.939161427294</v>
      </c>
      <c r="X41" s="73">
        <v>17784.911518417608</v>
      </c>
      <c r="Y41" s="73">
        <v>18364.929319548519</v>
      </c>
      <c r="Z41" s="73">
        <v>19121.879212909545</v>
      </c>
      <c r="AA41" s="73">
        <v>19124.134612529328</v>
      </c>
      <c r="AB41" s="73">
        <v>19123.137703196935</v>
      </c>
      <c r="AC41" s="73">
        <v>18301.756858811026</v>
      </c>
      <c r="AD41" s="73">
        <v>17474.631443873979</v>
      </c>
      <c r="AE41" s="73">
        <v>16744.508960354327</v>
      </c>
      <c r="AF41" s="73">
        <v>16221.429484430599</v>
      </c>
      <c r="AG41" s="43">
        <f>+SUM(I41:AF41)*H41</f>
        <v>1607051.0130938233</v>
      </c>
      <c r="AJ41" s="74"/>
      <c r="AK41" s="75"/>
    </row>
    <row r="42" spans="1:37" ht="14">
      <c r="A42" s="66"/>
      <c r="E42" s="85">
        <f t="shared" si="16"/>
        <v>47665</v>
      </c>
      <c r="F42" s="80"/>
      <c r="G42" s="45" t="s">
        <v>62</v>
      </c>
      <c r="H42" s="45">
        <v>2</v>
      </c>
      <c r="I42" s="73">
        <v>17406.874381531488</v>
      </c>
      <c r="J42" s="73">
        <v>17007.813622351896</v>
      </c>
      <c r="K42" s="73">
        <v>16670.706765177107</v>
      </c>
      <c r="L42" s="73">
        <v>16502.456582575371</v>
      </c>
      <c r="M42" s="73">
        <v>16259.822744358824</v>
      </c>
      <c r="N42" s="73">
        <v>15637.144470990157</v>
      </c>
      <c r="O42" s="73">
        <v>14911.162072575929</v>
      </c>
      <c r="P42" s="73">
        <v>15265.652842275787</v>
      </c>
      <c r="Q42" s="73">
        <v>15643.993498876762</v>
      </c>
      <c r="R42" s="73">
        <v>15829.97962691168</v>
      </c>
      <c r="S42" s="73">
        <v>16291.433170904747</v>
      </c>
      <c r="T42" s="73">
        <v>16624.065080355082</v>
      </c>
      <c r="U42" s="73">
        <v>16618.986069042385</v>
      </c>
      <c r="V42" s="73">
        <v>16877.069783321775</v>
      </c>
      <c r="W42" s="73">
        <v>17064.911757160742</v>
      </c>
      <c r="X42" s="73">
        <v>17741.286445813803</v>
      </c>
      <c r="Y42" s="73">
        <v>18118.004494186251</v>
      </c>
      <c r="Z42" s="73">
        <v>19101.205169508543</v>
      </c>
      <c r="AA42" s="73">
        <v>19146.834091288591</v>
      </c>
      <c r="AB42" s="73">
        <v>19287.604670394434</v>
      </c>
      <c r="AC42" s="73">
        <v>18252.469038854197</v>
      </c>
      <c r="AD42" s="73">
        <v>17304.507223740147</v>
      </c>
      <c r="AE42" s="73">
        <v>16509.031588601563</v>
      </c>
      <c r="AF42" s="73">
        <v>15980.653336783895</v>
      </c>
      <c r="AG42" s="46">
        <f>+SUM(I42:AF42)*H42</f>
        <v>812107.33705516218</v>
      </c>
      <c r="AJ42" s="74"/>
      <c r="AK42" s="75"/>
    </row>
    <row r="43" spans="1:37" ht="15" thickBot="1">
      <c r="A43" s="66"/>
      <c r="E43" s="85">
        <f t="shared" si="16"/>
        <v>47665</v>
      </c>
      <c r="F43" s="81"/>
      <c r="G43" s="47" t="s">
        <v>10</v>
      </c>
      <c r="H43" s="47">
        <f>+SUM(H39:H42)</f>
        <v>31</v>
      </c>
      <c r="I43" s="48">
        <f t="shared" ref="I43:AF43" si="17">+SUMPRODUCT(I39:I42,$H39:$H42)</f>
        <v>642752.49282539543</v>
      </c>
      <c r="J43" s="48">
        <f t="shared" si="17"/>
        <v>626848.06982647686</v>
      </c>
      <c r="K43" s="48">
        <f t="shared" si="17"/>
        <v>616103.16826201743</v>
      </c>
      <c r="L43" s="48">
        <f t="shared" si="17"/>
        <v>614838.45424598176</v>
      </c>
      <c r="M43" s="48">
        <f t="shared" si="17"/>
        <v>611532.12968967657</v>
      </c>
      <c r="N43" s="48">
        <f t="shared" si="17"/>
        <v>625580.95778270147</v>
      </c>
      <c r="O43" s="48">
        <f t="shared" si="17"/>
        <v>674521.98598424473</v>
      </c>
      <c r="P43" s="48">
        <f t="shared" si="17"/>
        <v>753979.30492862849</v>
      </c>
      <c r="Q43" s="48">
        <f t="shared" si="17"/>
        <v>807215.12662263447</v>
      </c>
      <c r="R43" s="48">
        <f t="shared" si="17"/>
        <v>826356.03356745676</v>
      </c>
      <c r="S43" s="48">
        <f t="shared" si="17"/>
        <v>853814.58173717826</v>
      </c>
      <c r="T43" s="48">
        <f t="shared" si="17"/>
        <v>869230.23998820141</v>
      </c>
      <c r="U43" s="48">
        <f t="shared" si="17"/>
        <v>846639.48520398512</v>
      </c>
      <c r="V43" s="48">
        <f t="shared" si="17"/>
        <v>868710.92735113238</v>
      </c>
      <c r="W43" s="48">
        <f t="shared" si="17"/>
        <v>894490.72176428046</v>
      </c>
      <c r="X43" s="48">
        <f t="shared" si="17"/>
        <v>911124.37031077861</v>
      </c>
      <c r="Y43" s="48">
        <f t="shared" si="17"/>
        <v>906931.97780056531</v>
      </c>
      <c r="Z43" s="48">
        <f t="shared" si="17"/>
        <v>885454.91428484616</v>
      </c>
      <c r="AA43" s="48">
        <f t="shared" si="17"/>
        <v>848747.55661700526</v>
      </c>
      <c r="AB43" s="48">
        <f t="shared" si="17"/>
        <v>828472.2380886972</v>
      </c>
      <c r="AC43" s="48">
        <f t="shared" si="17"/>
        <v>781660.23600015754</v>
      </c>
      <c r="AD43" s="48">
        <f t="shared" si="17"/>
        <v>730642.0073099524</v>
      </c>
      <c r="AE43" s="48">
        <f t="shared" si="17"/>
        <v>681166.44846757129</v>
      </c>
      <c r="AF43" s="48">
        <f t="shared" si="17"/>
        <v>658418.69150210614</v>
      </c>
      <c r="AG43" s="49">
        <f>SUM(I43:AF43)</f>
        <v>18365232.120161667</v>
      </c>
    </row>
    <row r="44" spans="1:37" ht="14">
      <c r="A44" s="66"/>
      <c r="E44" s="84">
        <v>47696</v>
      </c>
      <c r="F44" s="79">
        <f t="shared" ref="F44" si="18">+AG48</f>
        <v>18267634.69213964</v>
      </c>
      <c r="G44" s="40" t="s">
        <v>60</v>
      </c>
      <c r="H44" s="40">
        <v>20</v>
      </c>
      <c r="I44" s="73">
        <v>21797.312789777709</v>
      </c>
      <c r="J44" s="73">
        <v>21262.391222854825</v>
      </c>
      <c r="K44" s="73">
        <v>20899.861569627832</v>
      </c>
      <c r="L44" s="73">
        <v>20886.094440765752</v>
      </c>
      <c r="M44" s="73">
        <v>20791.726643439866</v>
      </c>
      <c r="N44" s="73">
        <v>21448.341857746658</v>
      </c>
      <c r="O44" s="73">
        <v>23589.682035630201</v>
      </c>
      <c r="P44" s="73">
        <v>26692.415232296462</v>
      </c>
      <c r="Q44" s="73">
        <v>28800.787811429549</v>
      </c>
      <c r="R44" s="73">
        <v>29718.318037878063</v>
      </c>
      <c r="S44" s="73">
        <v>30742.858885521429</v>
      </c>
      <c r="T44" s="73">
        <v>31360.195533558424</v>
      </c>
      <c r="U44" s="73">
        <v>30589.254284247832</v>
      </c>
      <c r="V44" s="73">
        <v>31412.593714367435</v>
      </c>
      <c r="W44" s="73">
        <v>32687.632387205878</v>
      </c>
      <c r="X44" s="73">
        <v>33212.201336415361</v>
      </c>
      <c r="Y44" s="73">
        <v>32846.294685178196</v>
      </c>
      <c r="Z44" s="73">
        <v>31529.437810447347</v>
      </c>
      <c r="AA44" s="73">
        <v>29868.14002676219</v>
      </c>
      <c r="AB44" s="73">
        <v>28974.074312247529</v>
      </c>
      <c r="AC44" s="73">
        <v>27238.406212794845</v>
      </c>
      <c r="AD44" s="73">
        <v>25393.044651528169</v>
      </c>
      <c r="AE44" s="73">
        <v>23562.510821831293</v>
      </c>
      <c r="AF44" s="73">
        <v>22793.09889546247</v>
      </c>
      <c r="AG44" s="41">
        <f>+SUM(I44:AF44)*H44</f>
        <v>12961933.503980305</v>
      </c>
      <c r="AJ44" s="74"/>
    </row>
    <row r="45" spans="1:37" ht="14">
      <c r="A45" s="66"/>
      <c r="E45" s="85">
        <f t="shared" ref="E45:E48" si="19">+E44</f>
        <v>47696</v>
      </c>
      <c r="F45" s="80"/>
      <c r="G45" s="42" t="s">
        <v>63</v>
      </c>
      <c r="H45" s="42">
        <v>5</v>
      </c>
      <c r="I45" s="73">
        <v>21240.249016830272</v>
      </c>
      <c r="J45" s="73">
        <v>20614.956237635692</v>
      </c>
      <c r="K45" s="73">
        <v>20386.756944894038</v>
      </c>
      <c r="L45" s="73">
        <v>20398.592474499033</v>
      </c>
      <c r="M45" s="73">
        <v>20310.631327169489</v>
      </c>
      <c r="N45" s="73">
        <v>20641.557277620006</v>
      </c>
      <c r="O45" s="73">
        <v>21884.383451661586</v>
      </c>
      <c r="P45" s="73">
        <v>23936.283862486394</v>
      </c>
      <c r="Q45" s="73">
        <v>25292.33588876692</v>
      </c>
      <c r="R45" s="73">
        <v>26066.654872064413</v>
      </c>
      <c r="S45" s="73">
        <v>26814.499357910776</v>
      </c>
      <c r="T45" s="73">
        <v>27170.838648080673</v>
      </c>
      <c r="U45" s="73">
        <v>26498.036072632851</v>
      </c>
      <c r="V45" s="73">
        <v>26396.389601546303</v>
      </c>
      <c r="W45" s="73">
        <v>26351.828399518348</v>
      </c>
      <c r="X45" s="73">
        <v>26493.475839881437</v>
      </c>
      <c r="Y45" s="73">
        <v>26453.309292056794</v>
      </c>
      <c r="Z45" s="73">
        <v>26530.349624321225</v>
      </c>
      <c r="AA45" s="73">
        <v>26080.884734126543</v>
      </c>
      <c r="AB45" s="73">
        <v>25776.731615411321</v>
      </c>
      <c r="AC45" s="73">
        <v>24661.64645211228</v>
      </c>
      <c r="AD45" s="73">
        <v>22892.061621768826</v>
      </c>
      <c r="AE45" s="73">
        <v>21302.122405323542</v>
      </c>
      <c r="AF45" s="73">
        <v>20395.842860386114</v>
      </c>
      <c r="AG45" s="43">
        <f>+SUM(I45:AF45)*H45</f>
        <v>2872952.0893935245</v>
      </c>
      <c r="AJ45" s="74"/>
      <c r="AK45" s="75"/>
    </row>
    <row r="46" spans="1:37" ht="14">
      <c r="A46" s="66"/>
      <c r="E46" s="85">
        <f t="shared" si="19"/>
        <v>47696</v>
      </c>
      <c r="F46" s="80"/>
      <c r="G46" s="44" t="s">
        <v>61</v>
      </c>
      <c r="H46" s="44">
        <v>4</v>
      </c>
      <c r="I46" s="73">
        <v>16601.523472844608</v>
      </c>
      <c r="J46" s="73">
        <v>16225.236761023361</v>
      </c>
      <c r="K46" s="73">
        <v>15865.60808956469</v>
      </c>
      <c r="L46" s="73">
        <v>15695.563082572357</v>
      </c>
      <c r="M46" s="73">
        <v>15572.382975548724</v>
      </c>
      <c r="N46" s="73">
        <v>15573.232945992831</v>
      </c>
      <c r="O46" s="73">
        <v>15235.607917888126</v>
      </c>
      <c r="P46" s="73">
        <v>15325.413253668588</v>
      </c>
      <c r="Q46" s="73">
        <v>15456.574614049388</v>
      </c>
      <c r="R46" s="73">
        <v>15755.95253777648</v>
      </c>
      <c r="S46" s="73">
        <v>16088.213745151348</v>
      </c>
      <c r="T46" s="73">
        <v>16713.366278482183</v>
      </c>
      <c r="U46" s="73">
        <v>16958.961669578672</v>
      </c>
      <c r="V46" s="73">
        <v>17146.242310767149</v>
      </c>
      <c r="W46" s="73">
        <v>17547.576628358591</v>
      </c>
      <c r="X46" s="73">
        <v>18126.297339809968</v>
      </c>
      <c r="Y46" s="73">
        <v>18670.381216870421</v>
      </c>
      <c r="Z46" s="73">
        <v>19337.295467980613</v>
      </c>
      <c r="AA46" s="73">
        <v>19300.370880485134</v>
      </c>
      <c r="AB46" s="73">
        <v>19292.734240778602</v>
      </c>
      <c r="AC46" s="73">
        <v>18461.424256384151</v>
      </c>
      <c r="AD46" s="73">
        <v>17625.069651747835</v>
      </c>
      <c r="AE46" s="73">
        <v>16888.828825198656</v>
      </c>
      <c r="AF46" s="73">
        <v>16361.782664496157</v>
      </c>
      <c r="AG46" s="43">
        <f>+SUM(I46:AF46)*H46</f>
        <v>1623302.5633080746</v>
      </c>
      <c r="AJ46" s="74"/>
      <c r="AK46" s="75"/>
    </row>
    <row r="47" spans="1:37" ht="14">
      <c r="A47" s="66"/>
      <c r="E47" s="85">
        <f t="shared" si="19"/>
        <v>47696</v>
      </c>
      <c r="F47" s="80"/>
      <c r="G47" s="45" t="s">
        <v>62</v>
      </c>
      <c r="H47" s="45">
        <v>2</v>
      </c>
      <c r="I47" s="73">
        <v>17370.372792381473</v>
      </c>
      <c r="J47" s="73">
        <v>16971.174891870469</v>
      </c>
      <c r="K47" s="73">
        <v>16632.959467125555</v>
      </c>
      <c r="L47" s="73">
        <v>16465.562850766531</v>
      </c>
      <c r="M47" s="73">
        <v>16219.282393507898</v>
      </c>
      <c r="N47" s="73">
        <v>15589.394829265126</v>
      </c>
      <c r="O47" s="73">
        <v>14814.829703498779</v>
      </c>
      <c r="P47" s="73">
        <v>15022.485076008181</v>
      </c>
      <c r="Q47" s="73">
        <v>15344.697928149737</v>
      </c>
      <c r="R47" s="73">
        <v>15696.998884911949</v>
      </c>
      <c r="S47" s="73">
        <v>16139.802307379807</v>
      </c>
      <c r="T47" s="73">
        <v>16548.402437177643</v>
      </c>
      <c r="U47" s="73">
        <v>16702.857100875673</v>
      </c>
      <c r="V47" s="73">
        <v>16855.172694184563</v>
      </c>
      <c r="W47" s="73">
        <v>17183.151274297739</v>
      </c>
      <c r="X47" s="73">
        <v>17825.182516334688</v>
      </c>
      <c r="Y47" s="73">
        <v>18162.819859326941</v>
      </c>
      <c r="Z47" s="73">
        <v>19069.082589519548</v>
      </c>
      <c r="AA47" s="73">
        <v>19074.029894095809</v>
      </c>
      <c r="AB47" s="73">
        <v>19225.711926634169</v>
      </c>
      <c r="AC47" s="73">
        <v>18190.755164925871</v>
      </c>
      <c r="AD47" s="73">
        <v>17245.123906732024</v>
      </c>
      <c r="AE47" s="73">
        <v>16450.060842549206</v>
      </c>
      <c r="AF47" s="73">
        <v>15923.356397348261</v>
      </c>
      <c r="AG47" s="46">
        <f>+SUM(I47:AF47)*H47</f>
        <v>809446.5354577353</v>
      </c>
      <c r="AJ47" s="74"/>
      <c r="AK47" s="75"/>
    </row>
    <row r="48" spans="1:37" ht="15" thickBot="1">
      <c r="A48" s="66"/>
      <c r="E48" s="85">
        <f t="shared" si="19"/>
        <v>47696</v>
      </c>
      <c r="F48" s="81"/>
      <c r="G48" s="47" t="s">
        <v>10</v>
      </c>
      <c r="H48" s="47">
        <f>+SUM(H44:H47)</f>
        <v>31</v>
      </c>
      <c r="I48" s="48">
        <f t="shared" ref="I48:AF48" si="20">+SUMPRODUCT(I44:I47,$H44:$H47)</f>
        <v>643294.3403558468</v>
      </c>
      <c r="J48" s="48">
        <f t="shared" si="20"/>
        <v>627165.90247310931</v>
      </c>
      <c r="K48" s="48">
        <f t="shared" si="20"/>
        <v>616659.36740953662</v>
      </c>
      <c r="L48" s="48">
        <f t="shared" si="20"/>
        <v>615428.22921963269</v>
      </c>
      <c r="M48" s="48">
        <f t="shared" si="20"/>
        <v>612115.78619385534</v>
      </c>
      <c r="N48" s="48">
        <f t="shared" si="20"/>
        <v>625646.34498553479</v>
      </c>
      <c r="O48" s="48">
        <f t="shared" si="20"/>
        <v>671787.64904946205</v>
      </c>
      <c r="P48" s="48">
        <f t="shared" si="20"/>
        <v>744876.34712505189</v>
      </c>
      <c r="Q48" s="48">
        <f t="shared" si="20"/>
        <v>794993.12998492259</v>
      </c>
      <c r="R48" s="48">
        <f t="shared" si="20"/>
        <v>819117.44303881319</v>
      </c>
      <c r="S48" s="48">
        <f t="shared" si="20"/>
        <v>845562.13409534749</v>
      </c>
      <c r="T48" s="48">
        <f t="shared" si="20"/>
        <v>863008.373899856</v>
      </c>
      <c r="U48" s="48">
        <f t="shared" si="20"/>
        <v>845516.82692818705</v>
      </c>
      <c r="V48" s="48">
        <f t="shared" si="20"/>
        <v>862529.13692651794</v>
      </c>
      <c r="W48" s="48">
        <f t="shared" si="20"/>
        <v>890068.39880373911</v>
      </c>
      <c r="X48" s="48">
        <f t="shared" si="20"/>
        <v>904866.9603196237</v>
      </c>
      <c r="Y48" s="48">
        <f t="shared" si="20"/>
        <v>900199.60474998353</v>
      </c>
      <c r="Z48" s="48">
        <f t="shared" si="20"/>
        <v>878727.85138151469</v>
      </c>
      <c r="AA48" s="48">
        <f t="shared" si="20"/>
        <v>843116.76751600858</v>
      </c>
      <c r="AB48" s="48">
        <f t="shared" si="20"/>
        <v>823987.50513839</v>
      </c>
      <c r="AC48" s="48">
        <f t="shared" si="20"/>
        <v>778303.56387184665</v>
      </c>
      <c r="AD48" s="48">
        <f t="shared" si="20"/>
        <v>727311.72755986277</v>
      </c>
      <c r="AE48" s="48">
        <f t="shared" si="20"/>
        <v>678216.26544913661</v>
      </c>
      <c r="AF48" s="48">
        <f t="shared" si="20"/>
        <v>655135.0356638612</v>
      </c>
      <c r="AG48" s="49">
        <f>SUM(I48:AF48)</f>
        <v>18267634.69213964</v>
      </c>
    </row>
    <row r="49" spans="1:37" ht="14">
      <c r="A49" s="66"/>
      <c r="E49" s="84">
        <v>47727</v>
      </c>
      <c r="F49" s="79">
        <f t="shared" ref="F49" si="21">+AG53</f>
        <v>17976425.175128318</v>
      </c>
      <c r="G49" s="40" t="s">
        <v>60</v>
      </c>
      <c r="H49" s="40">
        <v>21</v>
      </c>
      <c r="I49" s="73">
        <v>21834.594913973699</v>
      </c>
      <c r="J49" s="73">
        <v>21299.015179727347</v>
      </c>
      <c r="K49" s="73">
        <v>20936.049982946119</v>
      </c>
      <c r="L49" s="73">
        <v>20922.049167942492</v>
      </c>
      <c r="M49" s="73">
        <v>20827.945001110998</v>
      </c>
      <c r="N49" s="73">
        <v>21486.278190916735</v>
      </c>
      <c r="O49" s="73">
        <v>23553.039131427955</v>
      </c>
      <c r="P49" s="73">
        <v>26523.768019311778</v>
      </c>
      <c r="Q49" s="73">
        <v>28728.272234217271</v>
      </c>
      <c r="R49" s="73">
        <v>29716.944953059421</v>
      </c>
      <c r="S49" s="73">
        <v>30862.934897374744</v>
      </c>
      <c r="T49" s="73">
        <v>31599.776546687204</v>
      </c>
      <c r="U49" s="73">
        <v>30691.160854297297</v>
      </c>
      <c r="V49" s="73">
        <v>31401.613886519091</v>
      </c>
      <c r="W49" s="73">
        <v>32692.974181360831</v>
      </c>
      <c r="X49" s="73">
        <v>33159.279337536878</v>
      </c>
      <c r="Y49" s="73">
        <v>32878.33413008925</v>
      </c>
      <c r="Z49" s="73">
        <v>31621.570586139445</v>
      </c>
      <c r="AA49" s="73">
        <v>29917.121525573653</v>
      </c>
      <c r="AB49" s="73">
        <v>29021.320651844388</v>
      </c>
      <c r="AC49" s="73">
        <v>27283.396872573754</v>
      </c>
      <c r="AD49" s="73">
        <v>25434.914180878532</v>
      </c>
      <c r="AE49" s="73">
        <v>23601.627924022483</v>
      </c>
      <c r="AF49" s="73">
        <v>22830.834515796803</v>
      </c>
      <c r="AG49" s="41">
        <f>+SUM(I49:AF49)*H49</f>
        <v>13625321.154171895</v>
      </c>
      <c r="AJ49" s="74"/>
    </row>
    <row r="50" spans="1:37" ht="14">
      <c r="A50" s="66"/>
      <c r="E50" s="85">
        <f t="shared" ref="E50:E53" si="22">+E49</f>
        <v>47727</v>
      </c>
      <c r="F50" s="80"/>
      <c r="G50" s="42" t="s">
        <v>63</v>
      </c>
      <c r="H50" s="42">
        <v>4</v>
      </c>
      <c r="I50" s="73">
        <v>21348.324332239004</v>
      </c>
      <c r="J50" s="73">
        <v>20720.6975656469</v>
      </c>
      <c r="K50" s="73">
        <v>20489.907982843961</v>
      </c>
      <c r="L50" s="73">
        <v>20500.069599994546</v>
      </c>
      <c r="M50" s="73">
        <v>20413.44791408176</v>
      </c>
      <c r="N50" s="73">
        <v>20748.498768766709</v>
      </c>
      <c r="O50" s="73">
        <v>21921.531146545592</v>
      </c>
      <c r="P50" s="73">
        <v>23844.949228034766</v>
      </c>
      <c r="Q50" s="73">
        <v>25301.792105815308</v>
      </c>
      <c r="R50" s="73">
        <v>26150.547919939316</v>
      </c>
      <c r="S50" s="73">
        <v>27025.118722293224</v>
      </c>
      <c r="T50" s="73">
        <v>27500.989154784304</v>
      </c>
      <c r="U50" s="73">
        <v>26685.986942677628</v>
      </c>
      <c r="V50" s="73">
        <v>26466.790496690344</v>
      </c>
      <c r="W50" s="73">
        <v>26437.01913024874</v>
      </c>
      <c r="X50" s="73">
        <v>26519.818455785655</v>
      </c>
      <c r="Y50" s="73">
        <v>26564.689312190014</v>
      </c>
      <c r="Z50" s="73">
        <v>26701.741277682278</v>
      </c>
      <c r="AA50" s="73">
        <v>26209.012705797268</v>
      </c>
      <c r="AB50" s="73">
        <v>25897.739334277958</v>
      </c>
      <c r="AC50" s="73">
        <v>24775.665199428586</v>
      </c>
      <c r="AD50" s="73">
        <v>22996.922378790561</v>
      </c>
      <c r="AE50" s="73">
        <v>21398.708730488703</v>
      </c>
      <c r="AF50" s="73">
        <v>20489.00057734954</v>
      </c>
      <c r="AG50" s="43">
        <f>+SUM(I50:AF50)*H50</f>
        <v>2308435.8759295703</v>
      </c>
      <c r="AJ50" s="74"/>
      <c r="AK50" s="75"/>
    </row>
    <row r="51" spans="1:37" ht="14">
      <c r="A51" s="66"/>
      <c r="E51" s="85">
        <f t="shared" si="22"/>
        <v>47727</v>
      </c>
      <c r="F51" s="80"/>
      <c r="G51" s="44" t="s">
        <v>61</v>
      </c>
      <c r="H51" s="44">
        <v>5</v>
      </c>
      <c r="I51" s="73">
        <v>16722.491092858938</v>
      </c>
      <c r="J51" s="73">
        <v>16343.617390683998</v>
      </c>
      <c r="K51" s="73">
        <v>15983.49116123575</v>
      </c>
      <c r="L51" s="73">
        <v>15811.930700478692</v>
      </c>
      <c r="M51" s="73">
        <v>15688.305158134963</v>
      </c>
      <c r="N51" s="73">
        <v>15687.178811167807</v>
      </c>
      <c r="O51" s="73">
        <v>15272.377581065255</v>
      </c>
      <c r="P51" s="73">
        <v>15232.978765581141</v>
      </c>
      <c r="Q51" s="73">
        <v>15462.257499919269</v>
      </c>
      <c r="R51" s="73">
        <v>15835.271610064152</v>
      </c>
      <c r="S51" s="73">
        <v>16294.096346964847</v>
      </c>
      <c r="T51" s="73">
        <v>17041.833079594213</v>
      </c>
      <c r="U51" s="73">
        <v>17150.761384337889</v>
      </c>
      <c r="V51" s="73">
        <v>17225.742019911588</v>
      </c>
      <c r="W51" s="73">
        <v>17639.894741142201</v>
      </c>
      <c r="X51" s="73">
        <v>18160.442593541607</v>
      </c>
      <c r="Y51" s="73">
        <v>18789.583125626996</v>
      </c>
      <c r="Z51" s="73">
        <v>19516.181498393111</v>
      </c>
      <c r="AA51" s="73">
        <v>19440.412443678637</v>
      </c>
      <c r="AB51" s="73">
        <v>19426.852498211734</v>
      </c>
      <c r="AC51" s="73">
        <v>18587.965383126255</v>
      </c>
      <c r="AD51" s="73">
        <v>17743.970200045369</v>
      </c>
      <c r="AE51" s="73">
        <v>17003.185884824896</v>
      </c>
      <c r="AF51" s="73">
        <v>16472.808034781687</v>
      </c>
      <c r="AG51" s="43">
        <f>+SUM(I51:AF51)*H51</f>
        <v>2042668.1450268552</v>
      </c>
      <c r="AJ51" s="74"/>
      <c r="AK51" s="75"/>
    </row>
    <row r="52" spans="1:37" ht="14">
      <c r="A52" s="66"/>
      <c r="E52" s="85">
        <f t="shared" si="22"/>
        <v>47727</v>
      </c>
      <c r="F52" s="80"/>
      <c r="G52" s="45" t="s">
        <v>62</v>
      </c>
      <c r="H52" s="45">
        <v>0</v>
      </c>
      <c r="I52" s="73">
        <v>0</v>
      </c>
      <c r="J52" s="73">
        <v>0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  <c r="Z52" s="73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0</v>
      </c>
      <c r="AF52" s="73">
        <v>0</v>
      </c>
      <c r="AG52" s="46">
        <f>+SUM(I52:AF52)*H52</f>
        <v>0</v>
      </c>
      <c r="AJ52" s="74"/>
      <c r="AK52" s="75"/>
    </row>
    <row r="53" spans="1:37" ht="15" thickBot="1">
      <c r="A53" s="66"/>
      <c r="E53" s="85">
        <f t="shared" si="22"/>
        <v>47727</v>
      </c>
      <c r="F53" s="81"/>
      <c r="G53" s="47" t="s">
        <v>10</v>
      </c>
      <c r="H53" s="47">
        <f>+SUM(H49:H52)</f>
        <v>30</v>
      </c>
      <c r="I53" s="48">
        <f t="shared" ref="I53:AF53" si="23">+SUMPRODUCT(I49:I52,$H49:$H52)</f>
        <v>627532.24598669831</v>
      </c>
      <c r="J53" s="48">
        <f t="shared" si="23"/>
        <v>611880.19599028188</v>
      </c>
      <c r="K53" s="48">
        <f t="shared" si="23"/>
        <v>601534.13737942313</v>
      </c>
      <c r="L53" s="48">
        <f t="shared" si="23"/>
        <v>600422.96442916396</v>
      </c>
      <c r="M53" s="48">
        <f t="shared" si="23"/>
        <v>597482.16247033281</v>
      </c>
      <c r="N53" s="48">
        <f t="shared" si="23"/>
        <v>612641.73114015732</v>
      </c>
      <c r="O53" s="48">
        <f t="shared" si="23"/>
        <v>658661.83425149578</v>
      </c>
      <c r="P53" s="48">
        <f t="shared" si="23"/>
        <v>728543.81914559216</v>
      </c>
      <c r="Q53" s="48">
        <f t="shared" si="23"/>
        <v>781812.17284142028</v>
      </c>
      <c r="R53" s="48">
        <f t="shared" si="23"/>
        <v>807834.39374432596</v>
      </c>
      <c r="S53" s="48">
        <f t="shared" si="23"/>
        <v>837692.58946886682</v>
      </c>
      <c r="T53" s="48">
        <f t="shared" si="23"/>
        <v>858808.42949753953</v>
      </c>
      <c r="U53" s="48">
        <f t="shared" si="23"/>
        <v>837012.1326326431</v>
      </c>
      <c r="V53" s="48">
        <f t="shared" si="23"/>
        <v>851429.76370322029</v>
      </c>
      <c r="W53" s="48">
        <f t="shared" si="23"/>
        <v>880500.00803528342</v>
      </c>
      <c r="X53" s="48">
        <f t="shared" si="23"/>
        <v>893226.35287912504</v>
      </c>
      <c r="Y53" s="48">
        <f t="shared" si="23"/>
        <v>890651.68960876926</v>
      </c>
      <c r="Z53" s="48">
        <f t="shared" si="23"/>
        <v>868440.85491162306</v>
      </c>
      <c r="AA53" s="48">
        <f t="shared" si="23"/>
        <v>830297.66507862904</v>
      </c>
      <c r="AB53" s="48">
        <f t="shared" si="23"/>
        <v>810172.95351690263</v>
      </c>
      <c r="AC53" s="48">
        <f t="shared" si="23"/>
        <v>764993.82203739451</v>
      </c>
      <c r="AD53" s="48">
        <f t="shared" si="23"/>
        <v>714840.73831383826</v>
      </c>
      <c r="AE53" s="48">
        <f t="shared" si="23"/>
        <v>666244.95075055142</v>
      </c>
      <c r="AF53" s="48">
        <f t="shared" si="23"/>
        <v>643767.56731503946</v>
      </c>
      <c r="AG53" s="49">
        <f>SUM(I53:AF53)</f>
        <v>17976425.175128318</v>
      </c>
    </row>
    <row r="54" spans="1:37" ht="14">
      <c r="A54" s="66"/>
      <c r="E54" s="84">
        <v>47757</v>
      </c>
      <c r="F54" s="79">
        <f t="shared" ref="F54" si="24">+AG58</f>
        <v>18660829.544907231</v>
      </c>
      <c r="G54" s="40" t="s">
        <v>60</v>
      </c>
      <c r="H54" s="40">
        <v>22</v>
      </c>
      <c r="I54" s="73">
        <v>21859.696915870769</v>
      </c>
      <c r="J54" s="73">
        <v>21323.120932266753</v>
      </c>
      <c r="K54" s="73">
        <v>20959.502921040621</v>
      </c>
      <c r="L54" s="73">
        <v>20945.130636916791</v>
      </c>
      <c r="M54" s="73">
        <v>20851.450447149822</v>
      </c>
      <c r="N54" s="73">
        <v>21516.962845067377</v>
      </c>
      <c r="O54" s="73">
        <v>23606.6041775864</v>
      </c>
      <c r="P54" s="73">
        <v>26679.013651061923</v>
      </c>
      <c r="Q54" s="73">
        <v>28949.15097026982</v>
      </c>
      <c r="R54" s="73">
        <v>29824.903253897137</v>
      </c>
      <c r="S54" s="73">
        <v>30959.081331436602</v>
      </c>
      <c r="T54" s="73">
        <v>31566.786797270655</v>
      </c>
      <c r="U54" s="73">
        <v>30695.373456892325</v>
      </c>
      <c r="V54" s="73">
        <v>31528.53910679169</v>
      </c>
      <c r="W54" s="73">
        <v>32773.735167743995</v>
      </c>
      <c r="X54" s="73">
        <v>33365.780572626747</v>
      </c>
      <c r="Y54" s="73">
        <v>33043.650230510983</v>
      </c>
      <c r="Z54" s="73">
        <v>31710.653680477259</v>
      </c>
      <c r="AA54" s="73">
        <v>29961.365342113466</v>
      </c>
      <c r="AB54" s="73">
        <v>29062.930446483082</v>
      </c>
      <c r="AC54" s="73">
        <v>27321.672103747424</v>
      </c>
      <c r="AD54" s="73">
        <v>25468.433705033691</v>
      </c>
      <c r="AE54" s="73">
        <v>23631.003024271395</v>
      </c>
      <c r="AF54" s="73">
        <v>22858.068801157988</v>
      </c>
      <c r="AG54" s="41">
        <f>+SUM(I54:AF54)*H54</f>
        <v>14310177.431389062</v>
      </c>
      <c r="AJ54" s="74"/>
    </row>
    <row r="55" spans="1:37" ht="14">
      <c r="A55" s="66"/>
      <c r="E55" s="85">
        <f t="shared" ref="E55:E58" si="25">+E54</f>
        <v>47757</v>
      </c>
      <c r="F55" s="80"/>
      <c r="G55" s="42" t="s">
        <v>63</v>
      </c>
      <c r="H55" s="42">
        <v>4</v>
      </c>
      <c r="I55" s="73">
        <v>21335.808494953664</v>
      </c>
      <c r="J55" s="73">
        <v>20707.820073001418</v>
      </c>
      <c r="K55" s="73">
        <v>20477.037764254535</v>
      </c>
      <c r="L55" s="73">
        <v>20487.414772160293</v>
      </c>
      <c r="M55" s="73">
        <v>20400.301652880353</v>
      </c>
      <c r="N55" s="73">
        <v>20740.148847525103</v>
      </c>
      <c r="O55" s="73">
        <v>21930.985595843016</v>
      </c>
      <c r="P55" s="73">
        <v>23951.327953714266</v>
      </c>
      <c r="Q55" s="73">
        <v>25469.702424257095</v>
      </c>
      <c r="R55" s="73">
        <v>26203.55784513507</v>
      </c>
      <c r="S55" s="73">
        <v>27063.131867624816</v>
      </c>
      <c r="T55" s="73">
        <v>27408.650248470738</v>
      </c>
      <c r="U55" s="73">
        <v>26632.818084720235</v>
      </c>
      <c r="V55" s="73">
        <v>26536.502220220544</v>
      </c>
      <c r="W55" s="73">
        <v>26458.84486716866</v>
      </c>
      <c r="X55" s="73">
        <v>26667.205600861413</v>
      </c>
      <c r="Y55" s="73">
        <v>26671.695650116206</v>
      </c>
      <c r="Z55" s="73">
        <v>26735.559904665959</v>
      </c>
      <c r="AA55" s="73">
        <v>26201.221689317965</v>
      </c>
      <c r="AB55" s="73">
        <v>25891.118773492643</v>
      </c>
      <c r="AC55" s="73">
        <v>24769.100064538223</v>
      </c>
      <c r="AD55" s="73">
        <v>22989.507875138454</v>
      </c>
      <c r="AE55" s="73">
        <v>21390.643504819127</v>
      </c>
      <c r="AF55" s="73">
        <v>20480.104729189017</v>
      </c>
      <c r="AG55" s="43">
        <f>+SUM(I55:AF55)*H55</f>
        <v>2310400.8420162755</v>
      </c>
      <c r="AJ55" s="74"/>
      <c r="AK55" s="75"/>
    </row>
    <row r="56" spans="1:37" ht="14">
      <c r="A56" s="66"/>
      <c r="E56" s="85">
        <f t="shared" si="25"/>
        <v>47757</v>
      </c>
      <c r="F56" s="80"/>
      <c r="G56" s="44" t="s">
        <v>61</v>
      </c>
      <c r="H56" s="44">
        <v>4</v>
      </c>
      <c r="I56" s="73">
        <v>16685.370139489987</v>
      </c>
      <c r="J56" s="73">
        <v>16306.569037370493</v>
      </c>
      <c r="K56" s="73">
        <v>15945.706365296006</v>
      </c>
      <c r="L56" s="73">
        <v>15774.418327958761</v>
      </c>
      <c r="M56" s="73">
        <v>15650.743254155494</v>
      </c>
      <c r="N56" s="73">
        <v>15656.255784008405</v>
      </c>
      <c r="O56" s="73">
        <v>15258.858677591459</v>
      </c>
      <c r="P56" s="73">
        <v>15312.891191786002</v>
      </c>
      <c r="Q56" s="73">
        <v>15602.144566550638</v>
      </c>
      <c r="R56" s="73">
        <v>15859.252191645628</v>
      </c>
      <c r="S56" s="73">
        <v>16301.654533178107</v>
      </c>
      <c r="T56" s="73">
        <v>16918.793152156457</v>
      </c>
      <c r="U56" s="73">
        <v>17067.224010148624</v>
      </c>
      <c r="V56" s="73">
        <v>17263.980025290301</v>
      </c>
      <c r="W56" s="73">
        <v>17631.713602564399</v>
      </c>
      <c r="X56" s="73">
        <v>18277.968158275329</v>
      </c>
      <c r="Y56" s="73">
        <v>18867.560307927284</v>
      </c>
      <c r="Z56" s="73">
        <v>19522.58512076025</v>
      </c>
      <c r="AA56" s="73">
        <v>19404.015588736245</v>
      </c>
      <c r="AB56" s="73">
        <v>19392.701970377002</v>
      </c>
      <c r="AC56" s="73">
        <v>18555.215737511524</v>
      </c>
      <c r="AD56" s="73">
        <v>17712.347736698452</v>
      </c>
      <c r="AE56" s="73">
        <v>16971.233618620288</v>
      </c>
      <c r="AF56" s="73">
        <v>16440.783736831519</v>
      </c>
      <c r="AG56" s="43">
        <f>+SUM(I56:AF56)*H56</f>
        <v>1633519.9473397145</v>
      </c>
      <c r="AJ56" s="74"/>
      <c r="AK56" s="75"/>
    </row>
    <row r="57" spans="1:37" ht="14">
      <c r="A57" s="66"/>
      <c r="E57" s="85">
        <f t="shared" si="25"/>
        <v>47757</v>
      </c>
      <c r="F57" s="80"/>
      <c r="G57" s="45" t="s">
        <v>62</v>
      </c>
      <c r="H57" s="45">
        <v>1</v>
      </c>
      <c r="I57" s="73">
        <v>17427.670779013471</v>
      </c>
      <c r="J57" s="73">
        <v>17026.812564158943</v>
      </c>
      <c r="K57" s="73">
        <v>16687.568342981031</v>
      </c>
      <c r="L57" s="73">
        <v>16519.349551002855</v>
      </c>
      <c r="M57" s="73">
        <v>16273.416979612432</v>
      </c>
      <c r="N57" s="73">
        <v>15651.399360316816</v>
      </c>
      <c r="O57" s="73">
        <v>14819.69252067898</v>
      </c>
      <c r="P57" s="73">
        <v>14990.633085500631</v>
      </c>
      <c r="Q57" s="73">
        <v>15469.544862191582</v>
      </c>
      <c r="R57" s="73">
        <v>15778.699806408713</v>
      </c>
      <c r="S57" s="73">
        <v>16329.9193894868</v>
      </c>
      <c r="T57" s="73">
        <v>16729.930457264902</v>
      </c>
      <c r="U57" s="73">
        <v>16787.074010051336</v>
      </c>
      <c r="V57" s="73">
        <v>16948.260252527842</v>
      </c>
      <c r="W57" s="73">
        <v>17243.768416998042</v>
      </c>
      <c r="X57" s="73">
        <v>17953.365090088242</v>
      </c>
      <c r="Y57" s="73">
        <v>18337.272269887151</v>
      </c>
      <c r="Z57" s="73">
        <v>19231.119616791777</v>
      </c>
      <c r="AA57" s="73">
        <v>19152.677081544549</v>
      </c>
      <c r="AB57" s="73">
        <v>19301.616703866152</v>
      </c>
      <c r="AC57" s="73">
        <v>18262.661418711155</v>
      </c>
      <c r="AD57" s="73">
        <v>17312.058412279785</v>
      </c>
      <c r="AE57" s="73">
        <v>16513.109375964937</v>
      </c>
      <c r="AF57" s="73">
        <v>15983.703814853434</v>
      </c>
      <c r="AG57" s="46">
        <f>+SUM(I57:AF57)*H57</f>
        <v>406731.32416218147</v>
      </c>
      <c r="AJ57" s="74"/>
      <c r="AK57" s="75"/>
    </row>
    <row r="58" spans="1:37" ht="15" thickBot="1">
      <c r="A58" s="66"/>
      <c r="E58" s="85">
        <f t="shared" si="25"/>
        <v>47757</v>
      </c>
      <c r="F58" s="81"/>
      <c r="G58" s="47" t="s">
        <v>10</v>
      </c>
      <c r="H58" s="47">
        <f>+SUM(H54:H57)</f>
        <v>31</v>
      </c>
      <c r="I58" s="48">
        <f t="shared" ref="I58:AF58" si="26">+SUMPRODUCT(I54:I57,$H54:$H57)</f>
        <v>650425.71746594494</v>
      </c>
      <c r="J58" s="48">
        <f t="shared" si="26"/>
        <v>634193.0295155152</v>
      </c>
      <c r="K58" s="48">
        <f t="shared" si="26"/>
        <v>623487.60912407679</v>
      </c>
      <c r="L58" s="48">
        <f t="shared" si="26"/>
        <v>622359.55596364848</v>
      </c>
      <c r="M58" s="48">
        <f t="shared" si="26"/>
        <v>619209.50644505199</v>
      </c>
      <c r="N58" s="48">
        <f t="shared" si="26"/>
        <v>634610.20047793305</v>
      </c>
      <c r="O58" s="48">
        <f t="shared" si="26"/>
        <v>682924.36152131774</v>
      </c>
      <c r="P58" s="48">
        <f t="shared" si="26"/>
        <v>758985.80999086413</v>
      </c>
      <c r="Q58" s="48">
        <f t="shared" si="26"/>
        <v>816638.25417135854</v>
      </c>
      <c r="R58" s="48">
        <f t="shared" si="26"/>
        <v>840177.81153926847</v>
      </c>
      <c r="S58" s="48">
        <f t="shared" si="26"/>
        <v>870888.85428430373</v>
      </c>
      <c r="T58" s="48">
        <f t="shared" si="26"/>
        <v>888509.01359972812</v>
      </c>
      <c r="U58" s="48">
        <f t="shared" si="26"/>
        <v>866885.45844115783</v>
      </c>
      <c r="V58" s="48">
        <f t="shared" si="26"/>
        <v>885778.0495839885</v>
      </c>
      <c r="W58" s="48">
        <f t="shared" si="26"/>
        <v>914628.17598629824</v>
      </c>
      <c r="X58" s="48">
        <f t="shared" si="26"/>
        <v>931781.23272442352</v>
      </c>
      <c r="Y58" s="48">
        <f t="shared" si="26"/>
        <v>927454.60117330274</v>
      </c>
      <c r="Z58" s="48">
        <f t="shared" si="26"/>
        <v>901898.08068899624</v>
      </c>
      <c r="AA58" s="48">
        <f t="shared" si="26"/>
        <v>860723.66372025758</v>
      </c>
      <c r="AB58" s="48">
        <f t="shared" si="26"/>
        <v>839821.36950197257</v>
      </c>
      <c r="AC58" s="48">
        <f t="shared" si="26"/>
        <v>792636.71090935345</v>
      </c>
      <c r="AD58" s="48">
        <f t="shared" si="26"/>
        <v>740425.02237036871</v>
      </c>
      <c r="AE58" s="48">
        <f t="shared" si="26"/>
        <v>689842.6844036933</v>
      </c>
      <c r="AF58" s="48">
        <f t="shared" si="26"/>
        <v>666544.77130441135</v>
      </c>
      <c r="AG58" s="49">
        <f>SUM(I58:AF58)</f>
        <v>18660829.544907231</v>
      </c>
    </row>
    <row r="59" spans="1:37" ht="14">
      <c r="A59" s="66"/>
      <c r="E59" s="84">
        <v>47788</v>
      </c>
      <c r="F59" s="79">
        <f t="shared" ref="F59" si="27">+AG63</f>
        <v>17702443.656102452</v>
      </c>
      <c r="G59" s="40" t="s">
        <v>60</v>
      </c>
      <c r="H59" s="40">
        <v>19</v>
      </c>
      <c r="I59" s="73">
        <v>21845.36233122526</v>
      </c>
      <c r="J59" s="73">
        <v>21307.980122924429</v>
      </c>
      <c r="K59" s="73">
        <v>20943.805616227743</v>
      </c>
      <c r="L59" s="73">
        <v>20929.252448932715</v>
      </c>
      <c r="M59" s="73">
        <v>20835.277544152745</v>
      </c>
      <c r="N59" s="73">
        <v>21504.502226233442</v>
      </c>
      <c r="O59" s="73">
        <v>23653.12723791624</v>
      </c>
      <c r="P59" s="73">
        <v>26802.237004234859</v>
      </c>
      <c r="Q59" s="73">
        <v>29096.052129111064</v>
      </c>
      <c r="R59" s="73">
        <v>30013.081385603517</v>
      </c>
      <c r="S59" s="73">
        <v>31087.370496098069</v>
      </c>
      <c r="T59" s="73">
        <v>31654.310162510479</v>
      </c>
      <c r="U59" s="73">
        <v>30753.699049601026</v>
      </c>
      <c r="V59" s="73">
        <v>31523.269665410051</v>
      </c>
      <c r="W59" s="73">
        <v>32702.680418541375</v>
      </c>
      <c r="X59" s="73">
        <v>33227.049325193388</v>
      </c>
      <c r="Y59" s="73">
        <v>33060.009453893217</v>
      </c>
      <c r="Z59" s="73">
        <v>31712.810810354491</v>
      </c>
      <c r="AA59" s="73">
        <v>29955.065770160418</v>
      </c>
      <c r="AB59" s="73">
        <v>29055.975212356836</v>
      </c>
      <c r="AC59" s="73">
        <v>27313.092097265122</v>
      </c>
      <c r="AD59" s="73">
        <v>25457.587146541675</v>
      </c>
      <c r="AE59" s="73">
        <v>23618.295832183809</v>
      </c>
      <c r="AF59" s="73">
        <v>22844.035147630839</v>
      </c>
      <c r="AG59" s="41">
        <f>+SUM(I59:AF59)*H59</f>
        <v>12367022.644051755</v>
      </c>
      <c r="AJ59" s="74"/>
    </row>
    <row r="60" spans="1:37" ht="14">
      <c r="A60" s="66"/>
      <c r="E60" s="85">
        <f t="shared" ref="E60:E63" si="28">+E59</f>
        <v>47788</v>
      </c>
      <c r="F60" s="80"/>
      <c r="G60" s="42" t="s">
        <v>63</v>
      </c>
      <c r="H60" s="42">
        <v>5</v>
      </c>
      <c r="I60" s="73">
        <v>21317.647764813293</v>
      </c>
      <c r="J60" s="73">
        <v>20689.096086535763</v>
      </c>
      <c r="K60" s="73">
        <v>20458.099723281874</v>
      </c>
      <c r="L60" s="73">
        <v>20468.515001127904</v>
      </c>
      <c r="M60" s="73">
        <v>20380.991084034413</v>
      </c>
      <c r="N60" s="73">
        <v>20724.160993616002</v>
      </c>
      <c r="O60" s="73">
        <v>21973.490852040108</v>
      </c>
      <c r="P60" s="73">
        <v>24069.196220379687</v>
      </c>
      <c r="Q60" s="73">
        <v>25610.292446919673</v>
      </c>
      <c r="R60" s="73">
        <v>26385.484834459912</v>
      </c>
      <c r="S60" s="73">
        <v>27184.699929946401</v>
      </c>
      <c r="T60" s="73">
        <v>27489.440806569073</v>
      </c>
      <c r="U60" s="73">
        <v>26684.946717742416</v>
      </c>
      <c r="V60" s="73">
        <v>26524.566516088846</v>
      </c>
      <c r="W60" s="73">
        <v>26379.440702508193</v>
      </c>
      <c r="X60" s="73">
        <v>26519.625860022101</v>
      </c>
      <c r="Y60" s="73">
        <v>26679.691327480734</v>
      </c>
      <c r="Z60" s="73">
        <v>26730.899737639549</v>
      </c>
      <c r="AA60" s="73">
        <v>26189.031016687233</v>
      </c>
      <c r="AB60" s="73">
        <v>25879.452765790109</v>
      </c>
      <c r="AC60" s="73">
        <v>24756.606961878933</v>
      </c>
      <c r="AD60" s="73">
        <v>22975.209763372804</v>
      </c>
      <c r="AE60" s="73">
        <v>21374.799404232232</v>
      </c>
      <c r="AF60" s="73">
        <v>20463.284483969681</v>
      </c>
      <c r="AG60" s="43">
        <f>+SUM(I60:AF60)*H60</f>
        <v>2889543.3550056838</v>
      </c>
      <c r="AJ60" s="74"/>
      <c r="AK60" s="75"/>
    </row>
    <row r="61" spans="1:37" ht="14">
      <c r="A61" s="66"/>
      <c r="E61" s="85">
        <f t="shared" si="28"/>
        <v>47788</v>
      </c>
      <c r="F61" s="80"/>
      <c r="G61" s="44" t="s">
        <v>61</v>
      </c>
      <c r="H61" s="44">
        <v>4</v>
      </c>
      <c r="I61" s="73">
        <v>16636.758744550836</v>
      </c>
      <c r="J61" s="73">
        <v>16257.931536061384</v>
      </c>
      <c r="K61" s="73">
        <v>15896.202374376217</v>
      </c>
      <c r="L61" s="73">
        <v>15725.193337497854</v>
      </c>
      <c r="M61" s="73">
        <v>15601.421825148311</v>
      </c>
      <c r="N61" s="73">
        <v>15611.956797494406</v>
      </c>
      <c r="O61" s="73">
        <v>15271.766988906898</v>
      </c>
      <c r="P61" s="73">
        <v>15396.943116897794</v>
      </c>
      <c r="Q61" s="73">
        <v>15706.463976857547</v>
      </c>
      <c r="R61" s="73">
        <v>16003.235482053808</v>
      </c>
      <c r="S61" s="73">
        <v>16383.475544032051</v>
      </c>
      <c r="T61" s="73">
        <v>16959.596375764428</v>
      </c>
      <c r="U61" s="73">
        <v>17080.282680436892</v>
      </c>
      <c r="V61" s="73">
        <v>17212.126142064713</v>
      </c>
      <c r="W61" s="73">
        <v>17513.796950771943</v>
      </c>
      <c r="X61" s="73">
        <v>18092.252166606668</v>
      </c>
      <c r="Y61" s="73">
        <v>18838.234565345785</v>
      </c>
      <c r="Z61" s="73">
        <v>19482.617275671651</v>
      </c>
      <c r="AA61" s="73">
        <v>19355.505522820335</v>
      </c>
      <c r="AB61" s="73">
        <v>19346.38719434465</v>
      </c>
      <c r="AC61" s="73">
        <v>18509.984892726665</v>
      </c>
      <c r="AD61" s="73">
        <v>17668.243417319725</v>
      </c>
      <c r="AE61" s="73">
        <v>16926.773291987116</v>
      </c>
      <c r="AF61" s="73">
        <v>16396.370838147497</v>
      </c>
      <c r="AG61" s="43">
        <f>+SUM(I61:AF61)*H61</f>
        <v>1631494.0841515407</v>
      </c>
      <c r="AJ61" s="74"/>
      <c r="AK61" s="75"/>
    </row>
    <row r="62" spans="1:37" ht="14">
      <c r="A62" s="66"/>
      <c r="E62" s="85">
        <f t="shared" si="28"/>
        <v>47788</v>
      </c>
      <c r="F62" s="80"/>
      <c r="G62" s="45" t="s">
        <v>62</v>
      </c>
      <c r="H62" s="45">
        <v>2</v>
      </c>
      <c r="I62" s="73">
        <v>17418.223958529947</v>
      </c>
      <c r="J62" s="73">
        <v>17016.544127532321</v>
      </c>
      <c r="K62" s="73">
        <v>16676.588242318176</v>
      </c>
      <c r="L62" s="73">
        <v>16508.138244167134</v>
      </c>
      <c r="M62" s="73">
        <v>16261.71564984494</v>
      </c>
      <c r="N62" s="73">
        <v>15642.364537506912</v>
      </c>
      <c r="O62" s="73">
        <v>14867.135853824226</v>
      </c>
      <c r="P62" s="73">
        <v>15112.549083552289</v>
      </c>
      <c r="Q62" s="73">
        <v>15614.029626728176</v>
      </c>
      <c r="R62" s="73">
        <v>15964.508815899011</v>
      </c>
      <c r="S62" s="73">
        <v>16456.666136802014</v>
      </c>
      <c r="T62" s="73">
        <v>16816.345835690627</v>
      </c>
      <c r="U62" s="73">
        <v>16845.450667405337</v>
      </c>
      <c r="V62" s="73">
        <v>16941.864472402915</v>
      </c>
      <c r="W62" s="73">
        <v>17169.757389850674</v>
      </c>
      <c r="X62" s="73">
        <v>17811.439573497522</v>
      </c>
      <c r="Y62" s="73">
        <v>18350.863656747708</v>
      </c>
      <c r="Z62" s="73">
        <v>19233.82142062443</v>
      </c>
      <c r="AA62" s="73">
        <v>19147.783256792325</v>
      </c>
      <c r="AB62" s="73">
        <v>19297.599221011104</v>
      </c>
      <c r="AC62" s="73">
        <v>18256.845583855345</v>
      </c>
      <c r="AD62" s="73">
        <v>17304.317867593953</v>
      </c>
      <c r="AE62" s="73">
        <v>16503.743022941031</v>
      </c>
      <c r="AF62" s="73">
        <v>15973.490201619505</v>
      </c>
      <c r="AG62" s="46">
        <f>+SUM(I62:AF62)*H62</f>
        <v>814383.57289347518</v>
      </c>
      <c r="AJ62" s="74"/>
      <c r="AK62" s="75"/>
    </row>
    <row r="63" spans="1:37" ht="15" thickBot="1">
      <c r="A63" s="66"/>
      <c r="E63" s="85">
        <f t="shared" si="28"/>
        <v>47788</v>
      </c>
      <c r="F63" s="81"/>
      <c r="G63" s="47" t="s">
        <v>10</v>
      </c>
      <c r="H63" s="47">
        <f>+SUM(H59:H62)</f>
        <v>30</v>
      </c>
      <c r="I63" s="48">
        <f t="shared" ref="I63:AF63" si="29">+SUMPRODUCT(I59:I62,$H59:$H62)</f>
        <v>623033.60601260967</v>
      </c>
      <c r="J63" s="48">
        <f t="shared" si="29"/>
        <v>607361.91716755321</v>
      </c>
      <c r="K63" s="48">
        <f t="shared" si="29"/>
        <v>597160.79130687774</v>
      </c>
      <c r="L63" s="48">
        <f t="shared" si="29"/>
        <v>595915.42137368687</v>
      </c>
      <c r="M63" s="48">
        <f t="shared" si="29"/>
        <v>592704.3473593574</v>
      </c>
      <c r="N63" s="48">
        <f t="shared" si="29"/>
        <v>605938.90353150677</v>
      </c>
      <c r="O63" s="48">
        <f t="shared" si="29"/>
        <v>650098.21144388511</v>
      </c>
      <c r="P63" s="48">
        <f t="shared" si="29"/>
        <v>721401.35481705656</v>
      </c>
      <c r="Q63" s="48">
        <f t="shared" si="29"/>
        <v>774930.36784859502</v>
      </c>
      <c r="R63" s="48">
        <f t="shared" si="29"/>
        <v>798117.93005877966</v>
      </c>
      <c r="S63" s="48">
        <f t="shared" si="29"/>
        <v>825030.77352532756</v>
      </c>
      <c r="T63" s="48">
        <f t="shared" si="29"/>
        <v>840350.17429498339</v>
      </c>
      <c r="U63" s="48">
        <f t="shared" si="29"/>
        <v>819757.04758768971</v>
      </c>
      <c r="V63" s="48">
        <f t="shared" si="29"/>
        <v>834297.18973629992</v>
      </c>
      <c r="W63" s="48">
        <f t="shared" si="29"/>
        <v>857642.83404761623</v>
      </c>
      <c r="X63" s="48">
        <f t="shared" si="29"/>
        <v>871903.95429220656</v>
      </c>
      <c r="Y63" s="48">
        <f t="shared" si="29"/>
        <v>873593.30183625338</v>
      </c>
      <c r="Z63" s="48">
        <f t="shared" si="29"/>
        <v>852596.0160288685</v>
      </c>
      <c r="AA63" s="48">
        <f t="shared" si="29"/>
        <v>815808.99332135019</v>
      </c>
      <c r="AB63" s="48">
        <f t="shared" si="29"/>
        <v>797441.54008313129</v>
      </c>
      <c r="AC63" s="48">
        <f t="shared" si="29"/>
        <v>753285.41539604939</v>
      </c>
      <c r="AD63" s="48">
        <f t="shared" si="29"/>
        <v>703851.81400562264</v>
      </c>
      <c r="AE63" s="48">
        <f t="shared" si="29"/>
        <v>656336.1970464841</v>
      </c>
      <c r="AF63" s="48">
        <f t="shared" si="29"/>
        <v>633885.55398066342</v>
      </c>
      <c r="AG63" s="49">
        <f>SUM(I63:AF63)</f>
        <v>17702443.656102452</v>
      </c>
    </row>
    <row r="64" spans="1:37" ht="14">
      <c r="A64" s="66"/>
      <c r="E64" s="84">
        <v>47818</v>
      </c>
      <c r="F64" s="79">
        <f t="shared" ref="F64" si="30">+AG68</f>
        <v>18488167.494170375</v>
      </c>
      <c r="G64" s="40" t="s">
        <v>60</v>
      </c>
      <c r="H64" s="40">
        <v>21</v>
      </c>
      <c r="I64" s="73">
        <v>21997.091111729325</v>
      </c>
      <c r="J64" s="73">
        <v>21458.913687423123</v>
      </c>
      <c r="K64" s="73">
        <v>21093.938913151229</v>
      </c>
      <c r="L64" s="73">
        <v>21077.940321403028</v>
      </c>
      <c r="M64" s="73">
        <v>20986.866552537536</v>
      </c>
      <c r="N64" s="73">
        <v>21657.258195695867</v>
      </c>
      <c r="O64" s="73">
        <v>23767.214365294843</v>
      </c>
      <c r="P64" s="73">
        <v>26677.592284947877</v>
      </c>
      <c r="Q64" s="73">
        <v>28895.02056845191</v>
      </c>
      <c r="R64" s="73">
        <v>29805.085159288097</v>
      </c>
      <c r="S64" s="73">
        <v>31033.365186407336</v>
      </c>
      <c r="T64" s="73">
        <v>31642.505006933668</v>
      </c>
      <c r="U64" s="73">
        <v>30747.394179838953</v>
      </c>
      <c r="V64" s="73">
        <v>31579.836596073474</v>
      </c>
      <c r="W64" s="73">
        <v>32687.373741049327</v>
      </c>
      <c r="X64" s="73">
        <v>33332.333212419886</v>
      </c>
      <c r="Y64" s="73">
        <v>33146.01880493958</v>
      </c>
      <c r="Z64" s="73">
        <v>31904.488865980962</v>
      </c>
      <c r="AA64" s="73">
        <v>30159.38823989495</v>
      </c>
      <c r="AB64" s="73">
        <v>29251.648016738131</v>
      </c>
      <c r="AC64" s="73">
        <v>27499.555292908401</v>
      </c>
      <c r="AD64" s="73">
        <v>25632.947176674956</v>
      </c>
      <c r="AE64" s="73">
        <v>23783.350936902516</v>
      </c>
      <c r="AF64" s="73">
        <v>23005.877483520148</v>
      </c>
      <c r="AG64" s="41">
        <f>+SUM(I64:AF64)*H64</f>
        <v>13709283.081904311</v>
      </c>
      <c r="AJ64" s="74"/>
    </row>
    <row r="65" spans="1:37" ht="14">
      <c r="A65" s="66"/>
      <c r="E65" s="85">
        <f t="shared" ref="E65:E68" si="31">+E64</f>
        <v>47818</v>
      </c>
      <c r="F65" s="80"/>
      <c r="G65" s="42" t="s">
        <v>63</v>
      </c>
      <c r="H65" s="42">
        <v>4</v>
      </c>
      <c r="I65" s="73">
        <v>21485.645572181726</v>
      </c>
      <c r="J65" s="73">
        <v>20854.0969332028</v>
      </c>
      <c r="K65" s="73">
        <v>20619.388128511779</v>
      </c>
      <c r="L65" s="73">
        <v>20627.147634149485</v>
      </c>
      <c r="M65" s="73">
        <v>20542.07312375485</v>
      </c>
      <c r="N65" s="73">
        <v>20884.049261290802</v>
      </c>
      <c r="O65" s="73">
        <v>22087.133615930103</v>
      </c>
      <c r="P65" s="73">
        <v>23939.688914717219</v>
      </c>
      <c r="Q65" s="73">
        <v>25401.929654387426</v>
      </c>
      <c r="R65" s="73">
        <v>26168.346680210223</v>
      </c>
      <c r="S65" s="73">
        <v>27122.742262294381</v>
      </c>
      <c r="T65" s="73">
        <v>27465.358367872948</v>
      </c>
      <c r="U65" s="73">
        <v>26661.682369875554</v>
      </c>
      <c r="V65" s="73">
        <v>26558.166117089153</v>
      </c>
      <c r="W65" s="73">
        <v>26339.926554735233</v>
      </c>
      <c r="X65" s="73">
        <v>26601.012129335333</v>
      </c>
      <c r="Y65" s="73">
        <v>26742.175183684485</v>
      </c>
      <c r="Z65" s="73">
        <v>26902.235376605044</v>
      </c>
      <c r="AA65" s="73">
        <v>26381.761521379449</v>
      </c>
      <c r="AB65" s="73">
        <v>26060.568013379088</v>
      </c>
      <c r="AC65" s="73">
        <v>24927.23905098761</v>
      </c>
      <c r="AD65" s="73">
        <v>23133.389018580267</v>
      </c>
      <c r="AE65" s="73">
        <v>21521.549976592349</v>
      </c>
      <c r="AF65" s="73">
        <v>20606.164888775944</v>
      </c>
      <c r="AG65" s="43">
        <f>+SUM(I65:AF65)*H65</f>
        <v>2318533.881398093</v>
      </c>
      <c r="AJ65" s="74"/>
      <c r="AK65" s="75"/>
    </row>
    <row r="66" spans="1:37" ht="14">
      <c r="A66" s="66"/>
      <c r="E66" s="85">
        <f t="shared" si="31"/>
        <v>47818</v>
      </c>
      <c r="F66" s="80"/>
      <c r="G66" s="44" t="s">
        <v>61</v>
      </c>
      <c r="H66" s="44">
        <v>4</v>
      </c>
      <c r="I66" s="73">
        <v>16756.301735205448</v>
      </c>
      <c r="J66" s="73">
        <v>16375.662230550057</v>
      </c>
      <c r="K66" s="73">
        <v>16013.995523836458</v>
      </c>
      <c r="L66" s="73">
        <v>15841.815527811936</v>
      </c>
      <c r="M66" s="73">
        <v>15717.732062027255</v>
      </c>
      <c r="N66" s="73">
        <v>15718.809859358245</v>
      </c>
      <c r="O66" s="73">
        <v>15321.000211017348</v>
      </c>
      <c r="P66" s="73">
        <v>15199.254280822348</v>
      </c>
      <c r="Q66" s="73">
        <v>15422.963140366877</v>
      </c>
      <c r="R66" s="73">
        <v>15179.58801561228</v>
      </c>
      <c r="S66" s="73">
        <v>16237.80664332376</v>
      </c>
      <c r="T66" s="73">
        <v>16853.298581837778</v>
      </c>
      <c r="U66" s="73">
        <v>16982.889462159717</v>
      </c>
      <c r="V66" s="73">
        <v>17179.381456457213</v>
      </c>
      <c r="W66" s="73">
        <v>17405.914876299859</v>
      </c>
      <c r="X66" s="73">
        <v>18106.258248192822</v>
      </c>
      <c r="Y66" s="73">
        <v>18833.175534249269</v>
      </c>
      <c r="Z66" s="73">
        <v>19587.024011835696</v>
      </c>
      <c r="AA66" s="73">
        <v>19486.888968808817</v>
      </c>
      <c r="AB66" s="73">
        <v>19472.369181032249</v>
      </c>
      <c r="AC66" s="73">
        <v>18629.733463822919</v>
      </c>
      <c r="AD66" s="73">
        <v>17782.268950023401</v>
      </c>
      <c r="AE66" s="73">
        <v>17038.12057144547</v>
      </c>
      <c r="AF66" s="73">
        <v>16505.756302720438</v>
      </c>
      <c r="AG66" s="43">
        <f>+SUM(I66:AF66)*H66</f>
        <v>1630592.0353552706</v>
      </c>
      <c r="AJ66" s="74"/>
      <c r="AK66" s="75"/>
    </row>
    <row r="67" spans="1:37" ht="14">
      <c r="A67" s="66"/>
      <c r="E67" s="85">
        <f t="shared" si="31"/>
        <v>47818</v>
      </c>
      <c r="F67" s="80"/>
      <c r="G67" s="45" t="s">
        <v>62</v>
      </c>
      <c r="H67" s="45">
        <v>2</v>
      </c>
      <c r="I67" s="73">
        <v>17745.092968993755</v>
      </c>
      <c r="J67" s="73">
        <v>17339.68282480416</v>
      </c>
      <c r="K67" s="73">
        <v>17000.006151435296</v>
      </c>
      <c r="L67" s="73">
        <v>16827.213290554428</v>
      </c>
      <c r="M67" s="73">
        <v>16592.174245916071</v>
      </c>
      <c r="N67" s="73">
        <v>16011.279607314402</v>
      </c>
      <c r="O67" s="73">
        <v>15226.422967457856</v>
      </c>
      <c r="P67" s="73">
        <v>15241.123257812162</v>
      </c>
      <c r="Q67" s="73">
        <v>15656.340855984268</v>
      </c>
      <c r="R67" s="73">
        <v>16000.966551873189</v>
      </c>
      <c r="S67" s="73">
        <v>16653.975843534517</v>
      </c>
      <c r="T67" s="73">
        <v>17075.987903036206</v>
      </c>
      <c r="U67" s="73">
        <v>17116.577291009336</v>
      </c>
      <c r="V67" s="73">
        <v>17279.70450838879</v>
      </c>
      <c r="W67" s="73">
        <v>17432.749319705476</v>
      </c>
      <c r="X67" s="73">
        <v>18192.945456595218</v>
      </c>
      <c r="Y67" s="73">
        <v>18727.143775033954</v>
      </c>
      <c r="Z67" s="73">
        <v>19689.612666933328</v>
      </c>
      <c r="AA67" s="73">
        <v>19625.966835750954</v>
      </c>
      <c r="AB67" s="73">
        <v>19741.920745581712</v>
      </c>
      <c r="AC67" s="73">
        <v>18692.419997869602</v>
      </c>
      <c r="AD67" s="73">
        <v>17721.65261612655</v>
      </c>
      <c r="AE67" s="73">
        <v>16913.577106166285</v>
      </c>
      <c r="AF67" s="73">
        <v>16374.710968474217</v>
      </c>
      <c r="AG67" s="46">
        <f>+SUM(I67:AF67)*H67</f>
        <v>829758.49551270355</v>
      </c>
      <c r="AJ67" s="74"/>
      <c r="AK67" s="75"/>
    </row>
    <row r="68" spans="1:37" ht="15" thickBot="1">
      <c r="A68" s="66"/>
      <c r="E68" s="85">
        <f t="shared" si="31"/>
        <v>47818</v>
      </c>
      <c r="F68" s="81"/>
      <c r="G68" s="47" t="s">
        <v>10</v>
      </c>
      <c r="H68" s="47">
        <f>+SUM(H64:H67)</f>
        <v>31</v>
      </c>
      <c r="I68" s="48">
        <f t="shared" ref="I68:AF68" si="32">+SUMPRODUCT(I64:I67,$H64:$H67)</f>
        <v>650396.88851385214</v>
      </c>
      <c r="J68" s="48">
        <f t="shared" si="32"/>
        <v>634235.58974050533</v>
      </c>
      <c r="K68" s="48">
        <f t="shared" si="32"/>
        <v>623506.26408843941</v>
      </c>
      <c r="L68" s="48">
        <f t="shared" si="32"/>
        <v>622167.02597841818</v>
      </c>
      <c r="M68" s="48">
        <f t="shared" si="32"/>
        <v>618947.76683824882</v>
      </c>
      <c r="N68" s="48">
        <f t="shared" si="32"/>
        <v>633236.41780683817</v>
      </c>
      <c r="O68" s="48">
        <f t="shared" si="32"/>
        <v>679196.88291389728</v>
      </c>
      <c r="P68" s="48">
        <f t="shared" si="32"/>
        <v>747267.45728168811</v>
      </c>
      <c r="Q68" s="48">
        <f t="shared" si="32"/>
        <v>801407.68482847593</v>
      </c>
      <c r="R68" s="48">
        <f t="shared" si="32"/>
        <v>823300.46023208648</v>
      </c>
      <c r="S68" s="48">
        <f t="shared" si="32"/>
        <v>858450.81622409564</v>
      </c>
      <c r="T68" s="48">
        <f t="shared" si="32"/>
        <v>875919.20875052223</v>
      </c>
      <c r="U68" s="48">
        <f t="shared" si="32"/>
        <v>854506.7196867778</v>
      </c>
      <c r="V68" s="48">
        <f t="shared" si="32"/>
        <v>872686.16782850598</v>
      </c>
      <c r="W68" s="48">
        <f t="shared" si="32"/>
        <v>896283.71292558708</v>
      </c>
      <c r="X68" s="48">
        <f t="shared" si="32"/>
        <v>915193.96988412063</v>
      </c>
      <c r="Y68" s="48">
        <f t="shared" si="32"/>
        <v>915822.08532553411</v>
      </c>
      <c r="Z68" s="48">
        <f t="shared" si="32"/>
        <v>895330.52907322976</v>
      </c>
      <c r="AA68" s="48">
        <f t="shared" si="32"/>
        <v>856073.68867004896</v>
      </c>
      <c r="AB68" s="48">
        <f t="shared" si="32"/>
        <v>835900.19862030959</v>
      </c>
      <c r="AC68" s="48">
        <f t="shared" si="32"/>
        <v>789103.39120605774</v>
      </c>
      <c r="AD68" s="48">
        <f t="shared" si="32"/>
        <v>737397.82781684189</v>
      </c>
      <c r="AE68" s="48">
        <f t="shared" si="32"/>
        <v>687516.2060794367</v>
      </c>
      <c r="AF68" s="48">
        <f t="shared" si="32"/>
        <v>664320.53385685699</v>
      </c>
      <c r="AG68" s="49">
        <f>SUM(I68:AF68)</f>
        <v>18488167.494170375</v>
      </c>
    </row>
    <row r="72" spans="1:37">
      <c r="F72" s="69"/>
      <c r="AG72" s="70"/>
    </row>
    <row r="74" spans="1:37" ht="20">
      <c r="E74" s="59"/>
    </row>
    <row r="75" spans="1:37">
      <c r="E75" s="60"/>
    </row>
    <row r="76" spans="1:37">
      <c r="E76" s="60"/>
    </row>
  </sheetData>
  <protectedRanges>
    <protectedRange algorithmName="SHA-512" hashValue="ddMXVrQS0fgB43c0atEM6OKu6oDWAMpeJLqJjfuwWmQe8OHAIs2JeDVHZWeRY9WToyZdUZnhWoqdJcb06CPmZw==" saltValue="nLR4AFgxssXjR1gopeih9Q==" spinCount="100000" sqref="E1:AG8 E13:AG13 E9:H12 AG9:AG12 AG14:AG17 AG19:AG22 AG24:AG27 AG29:AG32 AG34:AG37 AG39:AG42 AG44:AG47 AG49:AG52 AG54:AG57 AG59:AG62 E14:F68 AG64:AG67 G18:AG18 G14:H17 G23:AG23 G19:H22 G28:AG28 G24:H27 G33:AG33 G29:H32 G38:AG38 G34:H37 G43:AG43 G39:H42 G48:AG48 G44:H47 G53:AG53 G49:H52 G58:AG58 G54:H57 G63:AG63 G59:H62 G68:AG68 G64:H67" name="Rango2_1"/>
  </protectedRanges>
  <autoFilter ref="B8:AG68" xr:uid="{98D85E0E-5F56-42D8-9FCA-AAAB2573C3B5}"/>
  <mergeCells count="30">
    <mergeCell ref="E64:E68"/>
    <mergeCell ref="F9:F13"/>
    <mergeCell ref="F14:F18"/>
    <mergeCell ref="F19:F23"/>
    <mergeCell ref="F24:F28"/>
    <mergeCell ref="F29:F33"/>
    <mergeCell ref="F34:F38"/>
    <mergeCell ref="F39:F43"/>
    <mergeCell ref="F44:F48"/>
    <mergeCell ref="F49:F53"/>
    <mergeCell ref="F54:F58"/>
    <mergeCell ref="F59:F63"/>
    <mergeCell ref="E29:E33"/>
    <mergeCell ref="E34:E38"/>
    <mergeCell ref="F64:F68"/>
    <mergeCell ref="E1:AG1"/>
    <mergeCell ref="E2:AG2"/>
    <mergeCell ref="E3:AG3"/>
    <mergeCell ref="E4:AG4"/>
    <mergeCell ref="E5:AG5"/>
    <mergeCell ref="E39:E43"/>
    <mergeCell ref="E44:E48"/>
    <mergeCell ref="E49:E53"/>
    <mergeCell ref="G7:H7"/>
    <mergeCell ref="E9:E13"/>
    <mergeCell ref="E14:E18"/>
    <mergeCell ref="E19:E23"/>
    <mergeCell ref="E24:E28"/>
    <mergeCell ref="E54:E58"/>
    <mergeCell ref="E59:E6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1"/>
  <dimension ref="A1:G38"/>
  <sheetViews>
    <sheetView workbookViewId="0">
      <selection activeCell="G36" sqref="G36"/>
    </sheetView>
  </sheetViews>
  <sheetFormatPr baseColWidth="10" defaultColWidth="11.453125" defaultRowHeight="12.5"/>
  <cols>
    <col min="1" max="1" width="6.453125" style="1" customWidth="1"/>
    <col min="2" max="2" width="6" style="1" bestFit="1" customWidth="1"/>
    <col min="3" max="3" width="9.54296875" style="1" bestFit="1" customWidth="1"/>
    <col min="4" max="4" width="9.54296875" bestFit="1" customWidth="1"/>
  </cols>
  <sheetData>
    <row r="1" spans="1:7">
      <c r="A1" s="86" t="s">
        <v>49</v>
      </c>
      <c r="B1" s="87"/>
      <c r="C1" s="87"/>
      <c r="D1" s="87"/>
    </row>
    <row r="2" spans="1:7">
      <c r="A2" s="4" t="s">
        <v>50</v>
      </c>
      <c r="B2" s="4" t="s">
        <v>51</v>
      </c>
      <c r="C2" s="4">
        <v>2014</v>
      </c>
      <c r="D2" s="4">
        <v>2015</v>
      </c>
      <c r="E2" s="4">
        <v>2016</v>
      </c>
      <c r="F2" s="4">
        <v>2017</v>
      </c>
      <c r="G2" s="4">
        <v>2018</v>
      </c>
    </row>
    <row r="3" spans="1:7">
      <c r="A3" s="4">
        <v>1</v>
      </c>
      <c r="B3" s="4" t="s">
        <v>52</v>
      </c>
      <c r="C3" s="3">
        <f>31-C4-C5</f>
        <v>21</v>
      </c>
      <c r="D3" s="3">
        <f>31-D4-D5</f>
        <v>20</v>
      </c>
      <c r="E3" s="3">
        <v>19</v>
      </c>
      <c r="F3" s="72">
        <v>21</v>
      </c>
      <c r="G3" s="72">
        <v>21</v>
      </c>
    </row>
    <row r="4" spans="1:7">
      <c r="A4" s="4">
        <v>1</v>
      </c>
      <c r="B4" s="4" t="s">
        <v>53</v>
      </c>
      <c r="C4" s="3">
        <v>4</v>
      </c>
      <c r="D4" s="3">
        <v>5</v>
      </c>
      <c r="E4" s="3">
        <v>5</v>
      </c>
      <c r="F4" s="72">
        <v>4</v>
      </c>
      <c r="G4" s="72">
        <v>4</v>
      </c>
    </row>
    <row r="5" spans="1:7">
      <c r="A5" s="4">
        <v>1</v>
      </c>
      <c r="B5" s="4" t="s">
        <v>54</v>
      </c>
      <c r="C5" s="3">
        <v>6</v>
      </c>
      <c r="D5" s="3">
        <v>6</v>
      </c>
      <c r="E5" s="3">
        <v>7</v>
      </c>
      <c r="F5" s="72">
        <v>6</v>
      </c>
      <c r="G5" s="72">
        <v>6</v>
      </c>
    </row>
    <row r="6" spans="1:7">
      <c r="A6" s="4">
        <v>2</v>
      </c>
      <c r="B6" s="4" t="s">
        <v>52</v>
      </c>
      <c r="C6" s="3">
        <f>28-C7-C8</f>
        <v>20</v>
      </c>
      <c r="D6" s="3">
        <f>28-D7-D8</f>
        <v>20</v>
      </c>
      <c r="E6" s="3">
        <v>21</v>
      </c>
      <c r="F6" s="72">
        <v>20</v>
      </c>
      <c r="G6" s="72">
        <v>20</v>
      </c>
    </row>
    <row r="7" spans="1:7">
      <c r="A7" s="4">
        <v>2</v>
      </c>
      <c r="B7" s="4" t="s">
        <v>53</v>
      </c>
      <c r="C7" s="3">
        <v>4</v>
      </c>
      <c r="D7" s="3">
        <v>4</v>
      </c>
      <c r="E7" s="3">
        <v>4</v>
      </c>
      <c r="F7" s="72">
        <v>4</v>
      </c>
      <c r="G7" s="72">
        <v>4</v>
      </c>
    </row>
    <row r="8" spans="1:7">
      <c r="A8" s="4">
        <v>2</v>
      </c>
      <c r="B8" s="4" t="s">
        <v>54</v>
      </c>
      <c r="C8" s="3">
        <v>4</v>
      </c>
      <c r="D8" s="3">
        <v>4</v>
      </c>
      <c r="E8" s="3">
        <v>4</v>
      </c>
      <c r="F8" s="72">
        <v>4</v>
      </c>
      <c r="G8" s="72">
        <v>4</v>
      </c>
    </row>
    <row r="9" spans="1:7">
      <c r="A9" s="4">
        <v>3</v>
      </c>
      <c r="B9" s="4" t="s">
        <v>52</v>
      </c>
      <c r="C9" s="3">
        <f>31-C10-C11</f>
        <v>20</v>
      </c>
      <c r="D9" s="3">
        <f>31-D10-D11</f>
        <v>21</v>
      </c>
      <c r="E9" s="3">
        <v>20</v>
      </c>
      <c r="F9" s="72">
        <v>22</v>
      </c>
      <c r="G9" s="72">
        <v>19</v>
      </c>
    </row>
    <row r="10" spans="1:7">
      <c r="A10" s="4">
        <v>3</v>
      </c>
      <c r="B10" s="4" t="s">
        <v>53</v>
      </c>
      <c r="C10" s="3">
        <v>5</v>
      </c>
      <c r="D10" s="3">
        <v>4</v>
      </c>
      <c r="E10" s="3">
        <v>4</v>
      </c>
      <c r="F10" s="72">
        <v>4</v>
      </c>
      <c r="G10" s="72">
        <v>5</v>
      </c>
    </row>
    <row r="11" spans="1:7">
      <c r="A11" s="4">
        <v>3</v>
      </c>
      <c r="B11" s="4" t="s">
        <v>54</v>
      </c>
      <c r="C11" s="3">
        <v>6</v>
      </c>
      <c r="D11" s="3">
        <v>6</v>
      </c>
      <c r="E11" s="3">
        <v>7</v>
      </c>
      <c r="F11" s="72">
        <v>5</v>
      </c>
      <c r="G11" s="72">
        <v>7</v>
      </c>
    </row>
    <row r="12" spans="1:7">
      <c r="A12" s="4">
        <v>4</v>
      </c>
      <c r="B12" s="4" t="s">
        <v>52</v>
      </c>
      <c r="C12" s="3">
        <f>30-C13-C14</f>
        <v>20</v>
      </c>
      <c r="D12" s="3">
        <f>30-D13-D14</f>
        <v>20</v>
      </c>
      <c r="E12" s="3">
        <v>21</v>
      </c>
      <c r="F12" s="72">
        <v>18</v>
      </c>
      <c r="G12" s="72">
        <v>21</v>
      </c>
    </row>
    <row r="13" spans="1:7">
      <c r="A13" s="4">
        <v>4</v>
      </c>
      <c r="B13" s="4" t="s">
        <v>53</v>
      </c>
      <c r="C13" s="3">
        <v>4</v>
      </c>
      <c r="D13" s="3">
        <v>4</v>
      </c>
      <c r="E13" s="3">
        <v>5</v>
      </c>
      <c r="F13" s="72">
        <v>5</v>
      </c>
      <c r="G13" s="72">
        <v>4</v>
      </c>
    </row>
    <row r="14" spans="1:7">
      <c r="A14" s="4">
        <v>4</v>
      </c>
      <c r="B14" s="4" t="s">
        <v>54</v>
      </c>
      <c r="C14" s="3">
        <v>6</v>
      </c>
      <c r="D14" s="3">
        <v>6</v>
      </c>
      <c r="E14" s="3">
        <v>4</v>
      </c>
      <c r="F14" s="72">
        <v>7</v>
      </c>
      <c r="G14" s="72">
        <v>5</v>
      </c>
    </row>
    <row r="15" spans="1:7">
      <c r="A15" s="4">
        <v>5</v>
      </c>
      <c r="B15" s="4" t="s">
        <v>52</v>
      </c>
      <c r="C15" s="3">
        <f>31-C16-C17</f>
        <v>21</v>
      </c>
      <c r="D15" s="3">
        <f>31-D16-D17</f>
        <v>19</v>
      </c>
      <c r="E15" s="3">
        <v>20</v>
      </c>
      <c r="F15" s="72">
        <v>21</v>
      </c>
      <c r="G15" s="72">
        <v>21</v>
      </c>
    </row>
    <row r="16" spans="1:7">
      <c r="A16" s="4">
        <v>5</v>
      </c>
      <c r="B16" s="4" t="s">
        <v>53</v>
      </c>
      <c r="C16" s="3">
        <v>5</v>
      </c>
      <c r="D16" s="3">
        <v>5</v>
      </c>
      <c r="E16" s="3">
        <v>4</v>
      </c>
      <c r="F16" s="72">
        <v>4</v>
      </c>
      <c r="G16" s="72">
        <v>4</v>
      </c>
    </row>
    <row r="17" spans="1:7">
      <c r="A17" s="4">
        <v>5</v>
      </c>
      <c r="B17" s="4" t="s">
        <v>54</v>
      </c>
      <c r="C17" s="3">
        <v>5</v>
      </c>
      <c r="D17" s="3">
        <v>7</v>
      </c>
      <c r="E17" s="3">
        <v>7</v>
      </c>
      <c r="F17" s="72">
        <v>6</v>
      </c>
      <c r="G17" s="72">
        <v>6</v>
      </c>
    </row>
    <row r="18" spans="1:7">
      <c r="A18" s="4">
        <v>6</v>
      </c>
      <c r="B18" s="4" t="s">
        <v>52</v>
      </c>
      <c r="C18" s="3">
        <f>30-C19-C20</f>
        <v>18</v>
      </c>
      <c r="D18" s="3">
        <f>30-D19-D20</f>
        <v>19</v>
      </c>
      <c r="E18" s="3">
        <v>21</v>
      </c>
      <c r="F18" s="72">
        <v>20</v>
      </c>
      <c r="G18" s="72">
        <v>19</v>
      </c>
    </row>
    <row r="19" spans="1:7">
      <c r="A19" s="4">
        <v>6</v>
      </c>
      <c r="B19" s="4" t="s">
        <v>53</v>
      </c>
      <c r="C19" s="3">
        <v>4</v>
      </c>
      <c r="D19" s="3">
        <v>4</v>
      </c>
      <c r="E19" s="3">
        <v>4</v>
      </c>
      <c r="F19" s="72">
        <v>4</v>
      </c>
      <c r="G19" s="72">
        <v>5</v>
      </c>
    </row>
    <row r="20" spans="1:7">
      <c r="A20" s="4">
        <v>6</v>
      </c>
      <c r="B20" s="4" t="s">
        <v>54</v>
      </c>
      <c r="C20" s="3">
        <v>8</v>
      </c>
      <c r="D20" s="3">
        <v>7</v>
      </c>
      <c r="E20" s="3">
        <v>5</v>
      </c>
      <c r="F20" s="72">
        <v>6</v>
      </c>
      <c r="G20" s="72">
        <v>6</v>
      </c>
    </row>
    <row r="21" spans="1:7">
      <c r="A21" s="4">
        <v>7</v>
      </c>
      <c r="B21" s="4" t="s">
        <v>52</v>
      </c>
      <c r="C21" s="3">
        <f>31-C22-C23</f>
        <v>23</v>
      </c>
      <c r="D21" s="3">
        <f>31-D22-D23</f>
        <v>22</v>
      </c>
      <c r="E21" s="3">
        <v>19</v>
      </c>
      <c r="F21" s="72">
        <v>19</v>
      </c>
      <c r="G21" s="72">
        <v>20</v>
      </c>
    </row>
    <row r="22" spans="1:7">
      <c r="A22" s="4">
        <v>7</v>
      </c>
      <c r="B22" s="4" t="s">
        <v>53</v>
      </c>
      <c r="C22" s="3">
        <v>4</v>
      </c>
      <c r="D22" s="3">
        <v>4</v>
      </c>
      <c r="E22" s="3">
        <v>5</v>
      </c>
      <c r="F22" s="72">
        <v>5</v>
      </c>
      <c r="G22" s="72">
        <v>4</v>
      </c>
    </row>
    <row r="23" spans="1:7">
      <c r="A23" s="4">
        <v>7</v>
      </c>
      <c r="B23" s="4" t="s">
        <v>54</v>
      </c>
      <c r="C23" s="3">
        <v>4</v>
      </c>
      <c r="D23" s="3">
        <v>5</v>
      </c>
      <c r="E23" s="3">
        <v>7</v>
      </c>
      <c r="F23" s="72">
        <v>7</v>
      </c>
      <c r="G23" s="72">
        <v>7</v>
      </c>
    </row>
    <row r="24" spans="1:7">
      <c r="A24" s="4">
        <v>8</v>
      </c>
      <c r="B24" s="4" t="s">
        <v>52</v>
      </c>
      <c r="C24" s="3">
        <f>31-C25-C26</f>
        <v>19</v>
      </c>
      <c r="D24" s="3">
        <f>31-D25-D26</f>
        <v>19</v>
      </c>
      <c r="E24" s="3">
        <v>22</v>
      </c>
      <c r="F24" s="72">
        <v>21</v>
      </c>
      <c r="G24" s="72">
        <v>21</v>
      </c>
    </row>
    <row r="25" spans="1:7">
      <c r="A25" s="4">
        <v>8</v>
      </c>
      <c r="B25" s="4" t="s">
        <v>53</v>
      </c>
      <c r="C25" s="3">
        <v>5</v>
      </c>
      <c r="D25" s="3">
        <v>5</v>
      </c>
      <c r="E25" s="3">
        <v>4</v>
      </c>
      <c r="F25" s="72">
        <v>4</v>
      </c>
      <c r="G25" s="72">
        <v>4</v>
      </c>
    </row>
    <row r="26" spans="1:7">
      <c r="A26" s="4">
        <v>8</v>
      </c>
      <c r="B26" s="4" t="s">
        <v>54</v>
      </c>
      <c r="C26" s="3">
        <v>7</v>
      </c>
      <c r="D26" s="3">
        <v>7</v>
      </c>
      <c r="E26" s="3">
        <v>5</v>
      </c>
      <c r="F26" s="72">
        <v>6</v>
      </c>
      <c r="G26" s="72">
        <v>6</v>
      </c>
    </row>
    <row r="27" spans="1:7">
      <c r="A27" s="4">
        <v>9</v>
      </c>
      <c r="B27" s="4" t="s">
        <v>52</v>
      </c>
      <c r="C27" s="3">
        <f>30-C28-C29</f>
        <v>22</v>
      </c>
      <c r="D27" s="3">
        <f>30-D28-D29</f>
        <v>22</v>
      </c>
      <c r="E27" s="3">
        <v>22</v>
      </c>
      <c r="F27" s="72">
        <v>21</v>
      </c>
      <c r="G27" s="72">
        <v>20</v>
      </c>
    </row>
    <row r="28" spans="1:7">
      <c r="A28" s="4">
        <v>9</v>
      </c>
      <c r="B28" s="4" t="s">
        <v>53</v>
      </c>
      <c r="C28" s="3">
        <v>4</v>
      </c>
      <c r="D28" s="3">
        <v>4</v>
      </c>
      <c r="E28" s="3">
        <v>4</v>
      </c>
      <c r="F28" s="72">
        <v>5</v>
      </c>
      <c r="G28" s="72">
        <v>5</v>
      </c>
    </row>
    <row r="29" spans="1:7">
      <c r="A29" s="4">
        <v>9</v>
      </c>
      <c r="B29" s="4" t="s">
        <v>54</v>
      </c>
      <c r="C29" s="3">
        <v>4</v>
      </c>
      <c r="D29" s="3">
        <v>4</v>
      </c>
      <c r="E29" s="3">
        <v>4</v>
      </c>
      <c r="F29" s="72">
        <v>4</v>
      </c>
      <c r="G29" s="72">
        <v>5</v>
      </c>
    </row>
    <row r="30" spans="1:7">
      <c r="A30" s="4">
        <v>10</v>
      </c>
      <c r="B30" s="4" t="s">
        <v>52</v>
      </c>
      <c r="C30" s="3">
        <f>31-C31-C32</f>
        <v>22</v>
      </c>
      <c r="D30" s="3">
        <f>31-D31-D32</f>
        <v>21</v>
      </c>
      <c r="E30" s="3">
        <v>20</v>
      </c>
      <c r="F30" s="72">
        <v>21</v>
      </c>
      <c r="G30" s="72">
        <v>22</v>
      </c>
    </row>
    <row r="31" spans="1:7">
      <c r="A31" s="4">
        <v>10</v>
      </c>
      <c r="B31" s="4" t="s">
        <v>53</v>
      </c>
      <c r="C31" s="3">
        <v>4</v>
      </c>
      <c r="D31" s="3">
        <v>5</v>
      </c>
      <c r="E31" s="3">
        <v>5</v>
      </c>
      <c r="F31" s="72">
        <v>4</v>
      </c>
      <c r="G31" s="72">
        <v>4</v>
      </c>
    </row>
    <row r="32" spans="1:7">
      <c r="A32" s="4">
        <v>10</v>
      </c>
      <c r="B32" s="4" t="s">
        <v>54</v>
      </c>
      <c r="C32" s="3">
        <v>5</v>
      </c>
      <c r="D32" s="3">
        <v>5</v>
      </c>
      <c r="E32" s="3">
        <v>6</v>
      </c>
      <c r="F32" s="72">
        <v>6</v>
      </c>
      <c r="G32" s="72">
        <v>5</v>
      </c>
    </row>
    <row r="33" spans="1:7">
      <c r="A33" s="4">
        <v>11</v>
      </c>
      <c r="B33" s="4" t="s">
        <v>52</v>
      </c>
      <c r="C33" s="3">
        <f>30-C34-C35</f>
        <v>18</v>
      </c>
      <c r="D33" s="3">
        <f>30-D34-D35</f>
        <v>19</v>
      </c>
      <c r="E33" s="3">
        <v>20</v>
      </c>
      <c r="F33" s="72">
        <v>20</v>
      </c>
      <c r="G33" s="72">
        <v>20</v>
      </c>
    </row>
    <row r="34" spans="1:7">
      <c r="A34" s="4">
        <v>11</v>
      </c>
      <c r="B34" s="4" t="s">
        <v>53</v>
      </c>
      <c r="C34" s="3">
        <v>5</v>
      </c>
      <c r="D34" s="3">
        <v>4</v>
      </c>
      <c r="E34" s="3">
        <v>4</v>
      </c>
      <c r="F34" s="72">
        <v>4</v>
      </c>
      <c r="G34" s="72">
        <v>4</v>
      </c>
    </row>
    <row r="35" spans="1:7">
      <c r="A35" s="4">
        <v>11</v>
      </c>
      <c r="B35" s="4" t="s">
        <v>54</v>
      </c>
      <c r="C35" s="3">
        <v>7</v>
      </c>
      <c r="D35" s="3">
        <v>7</v>
      </c>
      <c r="E35" s="3">
        <v>6</v>
      </c>
      <c r="F35" s="72">
        <v>6</v>
      </c>
      <c r="G35" s="72">
        <v>6</v>
      </c>
    </row>
    <row r="36" spans="1:7">
      <c r="A36" s="4">
        <v>12</v>
      </c>
      <c r="B36" s="4" t="s">
        <v>52</v>
      </c>
      <c r="C36" s="3">
        <f>31-C37-C38</f>
        <v>21</v>
      </c>
      <c r="D36" s="3">
        <f>31-D37-D38</f>
        <v>21</v>
      </c>
      <c r="E36" s="3">
        <v>21</v>
      </c>
      <c r="F36" s="72">
        <v>19</v>
      </c>
      <c r="G36" s="72">
        <v>20</v>
      </c>
    </row>
    <row r="37" spans="1:7">
      <c r="A37" s="4">
        <v>12</v>
      </c>
      <c r="B37" s="4" t="s">
        <v>53</v>
      </c>
      <c r="C37" s="3">
        <v>4</v>
      </c>
      <c r="D37" s="3">
        <v>4</v>
      </c>
      <c r="E37" s="3">
        <v>5</v>
      </c>
      <c r="F37" s="72">
        <v>5</v>
      </c>
      <c r="G37" s="72">
        <v>5</v>
      </c>
    </row>
    <row r="38" spans="1:7">
      <c r="A38" s="4">
        <v>12</v>
      </c>
      <c r="B38" s="4" t="s">
        <v>54</v>
      </c>
      <c r="C38" s="3">
        <v>6</v>
      </c>
      <c r="D38" s="3">
        <v>6</v>
      </c>
      <c r="E38" s="3">
        <v>5</v>
      </c>
      <c r="F38" s="72">
        <v>7</v>
      </c>
      <c r="G38" s="72">
        <v>6</v>
      </c>
    </row>
  </sheetData>
  <mergeCells count="1">
    <mergeCell ref="A1:D1"/>
  </mergeCells>
  <phoneticPr fontId="3" type="noConversion"/>
  <pageMargins left="0.75" right="0.75" top="1" bottom="1" header="0" footer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2"/>
  <dimension ref="A2:Z8"/>
  <sheetViews>
    <sheetView workbookViewId="0">
      <selection activeCell="G18" sqref="G18"/>
    </sheetView>
  </sheetViews>
  <sheetFormatPr baseColWidth="10" defaultColWidth="11.453125" defaultRowHeight="12.5"/>
  <cols>
    <col min="1" max="1" width="8.453125" bestFit="1" customWidth="1"/>
  </cols>
  <sheetData>
    <row r="2" spans="1:26">
      <c r="A2" t="s">
        <v>55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</row>
    <row r="3" spans="1:26">
      <c r="A3" s="2" t="s">
        <v>56</v>
      </c>
      <c r="B3" s="5">
        <v>2.783452681817198E-2</v>
      </c>
      <c r="C3" s="5">
        <v>2.668252126108818E-2</v>
      </c>
      <c r="D3" s="5">
        <v>2.5923893384829134E-2</v>
      </c>
      <c r="E3" s="5">
        <v>2.5439158181316032E-2</v>
      </c>
      <c r="F3" s="5">
        <v>2.5556096856230455E-2</v>
      </c>
      <c r="G3" s="5">
        <v>2.7259444786907006E-2</v>
      </c>
      <c r="H3" s="5">
        <v>3.2350134566888754E-2</v>
      </c>
      <c r="I3" s="5">
        <v>4.045576103192499E-2</v>
      </c>
      <c r="J3" s="5">
        <v>4.7464292858427598E-2</v>
      </c>
      <c r="K3" s="5">
        <v>5.169277716438446E-2</v>
      </c>
      <c r="L3" s="5">
        <v>5.4607079437588628E-2</v>
      </c>
      <c r="M3" s="5">
        <v>5.4936429550185031E-2</v>
      </c>
      <c r="N3" s="5">
        <v>5.2911056418191681E-2</v>
      </c>
      <c r="O3" s="5">
        <v>5.4485015191331893E-2</v>
      </c>
      <c r="P3" s="5">
        <v>5.6958238973630178E-2</v>
      </c>
      <c r="Q3" s="5">
        <v>5.7105703269245391E-2</v>
      </c>
      <c r="R3" s="5">
        <v>5.4820803913341029E-2</v>
      </c>
      <c r="S3" s="5">
        <v>5.108054271396599E-2</v>
      </c>
      <c r="T3" s="5">
        <v>4.7845563950176334E-2</v>
      </c>
      <c r="U3" s="5">
        <v>4.457508769852557E-2</v>
      </c>
      <c r="V3" s="5">
        <v>4.0435267573066501E-2</v>
      </c>
      <c r="W3" s="5">
        <v>3.6298963462989185E-2</v>
      </c>
      <c r="X3" s="5">
        <v>3.2954022238606676E-2</v>
      </c>
      <c r="Y3" s="5">
        <v>3.032761869898741E-2</v>
      </c>
      <c r="Z3" s="6"/>
    </row>
    <row r="4" spans="1:26">
      <c r="A4" s="2" t="s">
        <v>57</v>
      </c>
      <c r="B4" s="5">
        <v>3.1933620692589905E-2</v>
      </c>
      <c r="C4" s="5">
        <v>3.028507916146447E-2</v>
      </c>
      <c r="D4" s="5">
        <v>2.9353180394062206E-2</v>
      </c>
      <c r="E4" s="5">
        <v>2.8733579354856629E-2</v>
      </c>
      <c r="F4" s="5">
        <v>2.8654972019213198E-2</v>
      </c>
      <c r="G4" s="5">
        <v>2.9977252709770662E-2</v>
      </c>
      <c r="H4" s="5">
        <v>3.4030119073676562E-2</v>
      </c>
      <c r="I4" s="5">
        <v>4.0020468312107316E-2</v>
      </c>
      <c r="J4" s="5">
        <v>4.6345254196304329E-2</v>
      </c>
      <c r="K4" s="5">
        <v>5.1632170995532432E-2</v>
      </c>
      <c r="L4" s="5">
        <v>5.5400723466864081E-2</v>
      </c>
      <c r="M4" s="5">
        <v>5.5432950534748331E-2</v>
      </c>
      <c r="N4" s="5">
        <v>5.2958110753523802E-2</v>
      </c>
      <c r="O4" s="5">
        <v>5.1848023271953363E-2</v>
      </c>
      <c r="P4" s="5">
        <v>5.0438564407365091E-2</v>
      </c>
      <c r="Q4" s="5">
        <v>4.9277928088675836E-2</v>
      </c>
      <c r="R4" s="5">
        <v>4.7857003747290683E-2</v>
      </c>
      <c r="S4" s="5">
        <v>4.7139299793538647E-2</v>
      </c>
      <c r="T4" s="5">
        <v>4.6673457030399823E-2</v>
      </c>
      <c r="U4" s="5">
        <v>4.4979657301066199E-2</v>
      </c>
      <c r="V4" s="5">
        <v>4.2158325011537622E-2</v>
      </c>
      <c r="W4" s="5">
        <v>3.8032949074158828E-2</v>
      </c>
      <c r="X4" s="5">
        <v>3.4562919866015868E-2</v>
      </c>
      <c r="Y4" s="5">
        <v>3.2274390743284039E-2</v>
      </c>
      <c r="Z4" s="6"/>
    </row>
    <row r="5" spans="1:26">
      <c r="A5" s="2" t="s">
        <v>58</v>
      </c>
      <c r="B5" s="5">
        <v>3.6926199666856431E-2</v>
      </c>
      <c r="C5" s="5">
        <v>3.5565247268949142E-2</v>
      </c>
      <c r="D5" s="5">
        <v>3.4193693308989387E-2</v>
      </c>
      <c r="E5" s="5">
        <v>3.3394424684678396E-2</v>
      </c>
      <c r="F5" s="5">
        <v>3.2854151350900668E-2</v>
      </c>
      <c r="G5" s="5">
        <v>3.2653618991756707E-2</v>
      </c>
      <c r="H5" s="5">
        <v>3.3632199282738529E-2</v>
      </c>
      <c r="I5" s="5">
        <v>3.6341608036133136E-2</v>
      </c>
      <c r="J5" s="5">
        <v>4.0377423292748481E-2</v>
      </c>
      <c r="K5" s="5">
        <v>4.3732240795238811E-2</v>
      </c>
      <c r="L5" s="5">
        <v>4.7238598159283107E-2</v>
      </c>
      <c r="M5" s="5">
        <v>4.9884901021565071E-2</v>
      </c>
      <c r="N5" s="5">
        <v>5.0097655159372999E-2</v>
      </c>
      <c r="O5" s="5">
        <v>4.9054338067127098E-2</v>
      </c>
      <c r="P5" s="5">
        <v>4.794935081160881E-2</v>
      </c>
      <c r="Q5" s="5">
        <v>4.7121268851251244E-2</v>
      </c>
      <c r="R5" s="5">
        <v>4.674481308955606E-2</v>
      </c>
      <c r="S5" s="5">
        <v>4.6327024665165285E-2</v>
      </c>
      <c r="T5" s="5">
        <v>4.7122858145358215E-2</v>
      </c>
      <c r="U5" s="5">
        <v>4.6196154090168702E-2</v>
      </c>
      <c r="V5" s="5">
        <v>4.4346623846216106E-2</v>
      </c>
      <c r="W5" s="5">
        <v>4.1928398559943049E-2</v>
      </c>
      <c r="X5" s="5">
        <v>3.9253216982729003E-2</v>
      </c>
      <c r="Y5" s="5">
        <v>3.7063991871665793E-2</v>
      </c>
      <c r="Z5" s="6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8" spans="1:26" ht="13">
      <c r="A8" s="7" t="s">
        <v>59</v>
      </c>
    </row>
  </sheetData>
  <phoneticPr fontId="3" type="noConversion"/>
  <pageMargins left="0.75" right="0.75" top="1" bottom="1" header="0" footer="0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F128B553CF4D45A32557018C565B05" ma:contentTypeVersion="12" ma:contentTypeDescription="Crear nuevo documento." ma:contentTypeScope="" ma:versionID="9f30e72a29f001e941a1c3ccb0b281d6">
  <xsd:schema xmlns:xsd="http://www.w3.org/2001/XMLSchema" xmlns:xs="http://www.w3.org/2001/XMLSchema" xmlns:p="http://schemas.microsoft.com/office/2006/metadata/properties" xmlns:ns2="392acecb-3b57-4957-8fda-f6aa1cc77d9c" xmlns:ns3="f3c667da-9417-4ddc-85c8-f81090c15048" targetNamespace="http://schemas.microsoft.com/office/2006/metadata/properties" ma:root="true" ma:fieldsID="b640d99ced99b780c2a5ce552686ecbe" ns2:_="" ns3:_="">
    <xsd:import namespace="392acecb-3b57-4957-8fda-f6aa1cc77d9c"/>
    <xsd:import namespace="f3c667da-9417-4ddc-85c8-f81090c150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acecb-3b57-4957-8fda-f6aa1cc77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9e25b11-b3c7-4f85-8ccd-351089f079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667da-9417-4ddc-85c8-f81090c1504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6d04c72-668a-4dc8-8232-5e0773635f0f}" ma:internalName="TaxCatchAll" ma:showField="CatchAllData" ma:web="f3c667da-9417-4ddc-85c8-f81090c150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acecb-3b57-4957-8fda-f6aa1cc77d9c">
      <Terms xmlns="http://schemas.microsoft.com/office/infopath/2007/PartnerControls"/>
    </lcf76f155ced4ddcb4097134ff3c332f>
    <TaxCatchAll xmlns="f3c667da-9417-4ddc-85c8-f81090c15048" xsi:nil="true"/>
  </documentManagement>
</p:properties>
</file>

<file path=customXml/itemProps1.xml><?xml version="1.0" encoding="utf-8"?>
<ds:datastoreItem xmlns:ds="http://schemas.openxmlformats.org/officeDocument/2006/customXml" ds:itemID="{63285D7F-B4FB-4ADD-AC8D-74C77A1FF4D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C70ECC4-AA86-4E17-A3E0-04C76E806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acecb-3b57-4957-8fda-f6aa1cc77d9c"/>
    <ds:schemaRef ds:uri="f3c667da-9417-4ddc-85c8-f81090c150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08B470-77AE-4F45-A3C5-2E42492EEC1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4D02478-90EC-468F-9F9C-14A89ABA6CD1}">
  <ds:schemaRefs>
    <ds:schemaRef ds:uri="http://schemas.microsoft.com/office/2006/metadata/properties"/>
    <ds:schemaRef ds:uri="http://schemas.microsoft.com/office/infopath/2007/PartnerControls"/>
    <ds:schemaRef ds:uri="392acecb-3b57-4957-8fda-f6aa1cc77d9c"/>
    <ds:schemaRef ds:uri="f3c667da-9417-4ddc-85c8-f81090c150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PRODUCTO 01</vt:lpstr>
      <vt:lpstr>Cantidades horarias PROD 01</vt:lpstr>
      <vt:lpstr>PRODUCTO 02</vt:lpstr>
      <vt:lpstr>Cantidades horarias PROD 02</vt:lpstr>
      <vt:lpstr>PRODUCTO 03</vt:lpstr>
      <vt:lpstr>Cantidades horarias PROD 03</vt:lpstr>
      <vt:lpstr>PRODUCTO 04 </vt:lpstr>
      <vt:lpstr>Cantidades horarias PROD 04</vt:lpstr>
      <vt:lpstr>PRODUCTO 05</vt:lpstr>
      <vt:lpstr>Cantidades horarias PROD 05</vt:lpstr>
      <vt:lpstr>calendario</vt:lpstr>
      <vt:lpstr>curvas típicas de referencia</vt:lpstr>
      <vt:lpstr>'Cantidades horarias PROD 01'!Área_de_impresión</vt:lpstr>
      <vt:lpstr>'Cantidades horarias PROD 02'!Área_de_impresión</vt:lpstr>
      <vt:lpstr>'Cantidades horarias PROD 03'!Área_de_impresión</vt:lpstr>
      <vt:lpstr>'Cantidades horarias PROD 04'!Área_de_impresión</vt:lpstr>
      <vt:lpstr>'Cantidades horarias PROD 05'!Área_de_impresión</vt:lpstr>
      <vt:lpstr>'PRODUCTO 01'!Área_de_impresión</vt:lpstr>
      <vt:lpstr>'PRODUCTO 02'!Área_de_impresión</vt:lpstr>
      <vt:lpstr>'PRODUCTO 03'!Área_de_impresión</vt:lpstr>
      <vt:lpstr>'PRODUCTO 04 '!Área_de_impresión</vt:lpstr>
      <vt:lpstr>'PRODUCTO 05'!Área_de_impresión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Andres Ruiz Morales</dc:creator>
  <cp:keywords/>
  <dc:description/>
  <cp:lastModifiedBy>Eder Ortiz Hungría</cp:lastModifiedBy>
  <cp:revision/>
  <dcterms:created xsi:type="dcterms:W3CDTF">2008-04-02T00:00:31Z</dcterms:created>
  <dcterms:modified xsi:type="dcterms:W3CDTF">2025-09-11T14:13:01Z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0x010100EB222227814A704C8B1B1D6EF4F2AD12</vt:lpwstr>
  </property>
  <property fmtid="{D5CDD505-2E9C-101B-9397-08002B2CF9AE}" pid="3" name="MediaServiceImageTags">
    <vt:lpwstr/>
  </property>
</Properties>
</file>