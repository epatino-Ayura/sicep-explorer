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CESO COMPRA ENERGÍA SICEP\AÑO 2026\CP CNSC2026-003\2. PLIEGO DE CONSULTA X\"/>
    </mc:Choice>
  </mc:AlternateContent>
  <xr:revisionPtr revIDLastSave="0" documentId="13_ncr:1_{020992BC-A7F2-46D2-B409-F579C254E095}" xr6:coauthVersionLast="47" xr6:coauthVersionMax="47" xr10:uidLastSave="{00000000-0000-0000-0000-000000000000}"/>
  <bookViews>
    <workbookView xWindow="-110" yWindow="-110" windowWidth="19420" windowHeight="10300" tabRatio="598" xr2:uid="{D0603849-4D70-4D94-86F2-F3E2C6C23002}"/>
  </bookViews>
  <sheets>
    <sheet name="OF P1 " sheetId="30" r:id="rId1"/>
    <sheet name="PLANA P1" sheetId="3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4" i="31" l="1"/>
  <c r="AC54" i="31" s="1"/>
  <c r="AA53" i="31"/>
  <c r="AC53" i="31" s="1"/>
  <c r="AA52" i="31"/>
  <c r="AC52" i="31" s="1"/>
  <c r="AA51" i="31"/>
  <c r="AC51" i="31" s="1"/>
  <c r="AA50" i="31"/>
  <c r="AC50" i="31" s="1"/>
  <c r="AA49" i="31"/>
  <c r="AC49" i="31" s="1"/>
  <c r="AA48" i="31"/>
  <c r="AC48" i="31" s="1"/>
  <c r="AA47" i="31"/>
  <c r="AC47" i="31" s="1"/>
  <c r="AA46" i="31"/>
  <c r="AC46" i="31" s="1"/>
  <c r="AA45" i="31"/>
  <c r="AC45" i="31" s="1"/>
  <c r="AA44" i="31"/>
  <c r="AC44" i="31" s="1"/>
  <c r="AA43" i="31"/>
  <c r="AC43" i="31" s="1"/>
  <c r="AA42" i="31"/>
  <c r="AC42" i="31" s="1"/>
  <c r="AA41" i="31"/>
  <c r="AC41" i="31" s="1"/>
  <c r="AA40" i="31"/>
  <c r="AC40" i="31" s="1"/>
  <c r="AA39" i="31"/>
  <c r="AC39" i="31" s="1"/>
  <c r="AA38" i="31"/>
  <c r="AC38" i="31" s="1"/>
  <c r="AA37" i="31"/>
  <c r="AC37" i="31" s="1"/>
  <c r="AA36" i="31"/>
  <c r="AC36" i="31" s="1"/>
  <c r="AA35" i="31"/>
  <c r="AC35" i="31" s="1"/>
  <c r="AA34" i="31"/>
  <c r="AC34" i="31" s="1"/>
  <c r="AA33" i="31"/>
  <c r="AC33" i="31" s="1"/>
  <c r="AA32" i="31"/>
  <c r="AC32" i="31" s="1"/>
  <c r="AA31" i="31"/>
  <c r="AC31" i="31" s="1"/>
  <c r="AA30" i="31"/>
  <c r="AC30" i="31" s="1"/>
  <c r="AA29" i="31"/>
  <c r="AC29" i="31" s="1"/>
  <c r="AA28" i="31"/>
  <c r="AC28" i="31" s="1"/>
  <c r="AA27" i="31"/>
  <c r="AC27" i="31" s="1"/>
  <c r="AA26" i="31"/>
  <c r="AC26" i="31" s="1"/>
  <c r="AA25" i="31"/>
  <c r="AC25" i="31" s="1"/>
  <c r="AA24" i="31"/>
  <c r="AC24" i="31" s="1"/>
  <c r="AA23" i="31"/>
  <c r="AC23" i="31" s="1"/>
  <c r="AA22" i="31"/>
  <c r="AC22" i="31" s="1"/>
  <c r="AA21" i="31"/>
  <c r="AC21" i="31" s="1"/>
  <c r="AA20" i="31"/>
  <c r="AC20" i="31" s="1"/>
  <c r="AA19" i="31"/>
  <c r="AC19" i="31" s="1"/>
  <c r="AA18" i="31"/>
  <c r="AC18" i="31" s="1"/>
  <c r="AA17" i="31"/>
  <c r="AC17" i="31" s="1"/>
  <c r="AA16" i="31"/>
  <c r="AC16" i="31" s="1"/>
  <c r="AA15" i="31"/>
  <c r="AC15" i="31" s="1"/>
  <c r="AA14" i="31"/>
  <c r="AC14" i="31" s="1"/>
  <c r="AA13" i="31"/>
  <c r="AC13" i="31" s="1"/>
  <c r="AA12" i="31"/>
  <c r="AC12" i="31" s="1"/>
  <c r="AA11" i="31"/>
  <c r="AC11" i="31" s="1"/>
  <c r="AA10" i="31"/>
  <c r="AC10" i="31" s="1"/>
  <c r="AA9" i="31"/>
  <c r="AC9" i="31" s="1"/>
  <c r="AA8" i="31"/>
  <c r="AC8" i="31" s="1"/>
  <c r="AA7" i="31"/>
  <c r="AC7" i="31" s="1"/>
  <c r="AD27" i="31" l="1"/>
  <c r="D11" i="30" s="1"/>
  <c r="AD43" i="31"/>
  <c r="D15" i="30" s="1"/>
  <c r="E15" i="30" s="1"/>
  <c r="F15" i="30" s="1"/>
  <c r="G15" i="30" s="1"/>
  <c r="AD51" i="31"/>
  <c r="D17" i="30" s="1"/>
  <c r="E17" i="30" s="1"/>
  <c r="F17" i="30" s="1"/>
  <c r="G17" i="30" s="1"/>
  <c r="AD47" i="31"/>
  <c r="D16" i="30" s="1"/>
  <c r="E16" i="30" s="1"/>
  <c r="F16" i="30" s="1"/>
  <c r="G16" i="30" s="1"/>
  <c r="AD23" i="31"/>
  <c r="D10" i="30" s="1"/>
  <c r="AD31" i="31"/>
  <c r="D12" i="30" s="1"/>
  <c r="AD39" i="31"/>
  <c r="D14" i="30" s="1"/>
  <c r="E14" i="30" s="1"/>
  <c r="F14" i="30" s="1"/>
  <c r="G14" i="30" s="1"/>
  <c r="AD15" i="31"/>
  <c r="D8" i="30" s="1"/>
  <c r="AD7" i="31"/>
  <c r="D6" i="30" s="1"/>
  <c r="AD11" i="31"/>
  <c r="D7" i="30" s="1"/>
  <c r="AD19" i="31"/>
  <c r="D9" i="30" s="1"/>
  <c r="AD35" i="31"/>
  <c r="D13" i="30" s="1"/>
  <c r="E13" i="30" s="1"/>
  <c r="F13" i="30" s="1"/>
  <c r="G13" i="30" s="1"/>
  <c r="D18" i="30" l="1"/>
  <c r="AD55" i="31"/>
  <c r="C4" i="31" s="1"/>
</calcChain>
</file>

<file path=xl/sharedStrings.xml><?xml version="1.0" encoding="utf-8"?>
<sst xmlns="http://schemas.openxmlformats.org/spreadsheetml/2006/main" count="102" uniqueCount="44">
  <si>
    <t>MES</t>
  </si>
  <si>
    <t>%</t>
  </si>
  <si>
    <t>PRECIO $/kWh</t>
  </si>
  <si>
    <t>$/kWh</t>
  </si>
  <si>
    <t>ENERGIA  SOLICITADA (KWh)</t>
  </si>
  <si>
    <t>ENERGIA  OFERTADA (KWh)</t>
  </si>
  <si>
    <t>Curva de distribucion en kwh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</si>
  <si>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</si>
  <si>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</si>
  <si>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</si>
  <si>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</si>
  <si>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</si>
  <si>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</si>
  <si>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</si>
  <si>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</si>
  <si>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</si>
  <si>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</si>
  <si>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</si>
  <si>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</si>
  <si>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</si>
  <si>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</si>
  <si>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</si>
  <si>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</si>
  <si>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</si>
  <si>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</si>
  <si>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</si>
  <si>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</si>
  <si>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</si>
  <si>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</si>
  <si>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</si>
  <si>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</si>
  <si>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</si>
  <si>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</si>
  <si>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</si>
  <si>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</si>
  <si>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</si>
  <si>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</si>
  <si>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</si>
  <si>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</si>
  <si>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</si>
  <si>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</si>
  <si>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</si>
  <si>
    <t>* La energia a ofertar debe ser expresada únicamente en kilovatio (kWh) redondeado a cero decimales - PLANA</t>
  </si>
  <si>
    <t>OFERTA PRODUCTO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</si>
</sst>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C0A]mmm\-yy;@"/>
    <numFmt numFmtId="167" formatCode="_(* #,##0_);_(* \(#,##0\);_(* &quot;-&quot;??_);_(@_)"/>
    <numFmt numFmtId="168" formatCode="[$-C0A]dd\-mmm\-yy;@"/>
    <numFmt numFmtId="169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rgb="FF00B050"/>
        <bgColor rgb="FFC5E0B3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6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2" fontId="0" fillId="0" borderId="6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164" fontId="0" fillId="0" borderId="0" xfId="0" applyNumberFormat="1"/>
    <xf numFmtId="166" fontId="3" fillId="4" borderId="12" xfId="2" applyNumberFormat="1" applyFont="1" applyFill="1" applyBorder="1" applyAlignment="1">
      <alignment horizontal="center" vertical="center" wrapText="1"/>
    </xf>
    <xf numFmtId="168" fontId="3" fillId="4" borderId="12" xfId="2" applyNumberFormat="1" applyFont="1" applyFill="1" applyBorder="1" applyAlignment="1">
      <alignment horizontal="center" vertical="center" wrapText="1"/>
    </xf>
    <xf numFmtId="166" fontId="3" fillId="0" borderId="12" xfId="2" applyNumberFormat="1" applyFont="1" applyFill="1" applyBorder="1" applyAlignment="1">
      <alignment horizontal="center" vertical="center" wrapText="1"/>
    </xf>
    <xf numFmtId="1" fontId="3" fillId="0" borderId="12" xfId="2" applyNumberFormat="1" applyFont="1" applyFill="1" applyBorder="1" applyAlignment="1">
      <alignment horizontal="center" vertical="center" wrapText="1"/>
    </xf>
    <xf numFmtId="168" fontId="4" fillId="0" borderId="14" xfId="2" applyNumberFormat="1" applyFont="1" applyBorder="1" applyAlignment="1">
      <alignment horizontal="center" vertical="center" wrapText="1"/>
    </xf>
    <xf numFmtId="168" fontId="4" fillId="0" borderId="18" xfId="2" applyNumberFormat="1" applyFont="1" applyBorder="1" applyAlignment="1">
      <alignment horizontal="center" vertical="center" wrapText="1"/>
    </xf>
    <xf numFmtId="168" fontId="4" fillId="0" borderId="21" xfId="2" applyNumberFormat="1" applyFont="1" applyBorder="1" applyAlignment="1">
      <alignment horizontal="center" vertical="center" wrapText="1"/>
    </xf>
    <xf numFmtId="43" fontId="0" fillId="0" borderId="0" xfId="0" applyNumberFormat="1"/>
    <xf numFmtId="164" fontId="0" fillId="0" borderId="0" xfId="1" applyNumberFormat="1" applyFont="1"/>
    <xf numFmtId="0" fontId="7" fillId="6" borderId="23" xfId="4" applyFont="1" applyFill="1" applyBorder="1" applyAlignment="1">
      <alignment horizontal="center" vertical="center" wrapText="1" readingOrder="1"/>
    </xf>
    <xf numFmtId="164" fontId="2" fillId="3" borderId="9" xfId="0" applyNumberFormat="1" applyFont="1" applyFill="1" applyBorder="1"/>
    <xf numFmtId="43" fontId="2" fillId="3" borderId="0" xfId="1" applyFont="1" applyFill="1"/>
    <xf numFmtId="43" fontId="4" fillId="0" borderId="15" xfId="2" applyNumberFormat="1" applyFont="1" applyBorder="1" applyAlignment="1">
      <alignment vertical="center" wrapText="1"/>
    </xf>
    <xf numFmtId="43" fontId="4" fillId="0" borderId="15" xfId="2" applyNumberFormat="1" applyFont="1" applyBorder="1" applyAlignment="1">
      <alignment horizontal="center" vertical="center" wrapText="1"/>
    </xf>
    <xf numFmtId="164" fontId="4" fillId="0" borderId="14" xfId="2" applyNumberFormat="1" applyFont="1" applyBorder="1" applyAlignment="1">
      <alignment vertical="center" wrapText="1"/>
    </xf>
    <xf numFmtId="43" fontId="0" fillId="0" borderId="1" xfId="1" applyFont="1" applyBorder="1" applyAlignment="1">
      <alignment horizontal="center" vertical="center"/>
    </xf>
    <xf numFmtId="17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43" fontId="0" fillId="0" borderId="24" xfId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0" xfId="0" applyAlignment="1">
      <alignment horizontal="justify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4" fillId="0" borderId="16" xfId="1" applyFont="1" applyBorder="1" applyAlignment="1">
      <alignment horizontal="center" vertical="center" wrapText="1"/>
    </xf>
    <xf numFmtId="43" fontId="4" fillId="0" borderId="19" xfId="1" applyFont="1" applyBorder="1" applyAlignment="1">
      <alignment horizontal="center" vertical="center" wrapText="1"/>
    </xf>
    <xf numFmtId="43" fontId="4" fillId="0" borderId="22" xfId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6" fontId="3" fillId="4" borderId="12" xfId="2" applyNumberFormat="1" applyFont="1" applyFill="1" applyBorder="1" applyAlignment="1">
      <alignment horizontal="center" vertical="center" wrapText="1"/>
    </xf>
    <xf numFmtId="167" fontId="3" fillId="5" borderId="10" xfId="2" applyNumberFormat="1" applyFont="1" applyFill="1" applyBorder="1" applyAlignment="1">
      <alignment horizontal="center" vertical="center" wrapText="1"/>
    </xf>
    <xf numFmtId="167" fontId="3" fillId="5" borderId="11" xfId="2" applyNumberFormat="1" applyFont="1" applyFill="1" applyBorder="1" applyAlignment="1">
      <alignment horizontal="center" vertical="center" wrapText="1"/>
    </xf>
    <xf numFmtId="166" fontId="4" fillId="0" borderId="13" xfId="2" applyNumberFormat="1" applyFont="1" applyBorder="1" applyAlignment="1">
      <alignment horizontal="center" vertical="center" wrapText="1"/>
    </xf>
    <xf numFmtId="166" fontId="4" fillId="0" borderId="17" xfId="2" applyNumberFormat="1" applyFont="1" applyBorder="1" applyAlignment="1">
      <alignment horizontal="center" vertical="center" wrapText="1"/>
    </xf>
    <xf numFmtId="166" fontId="4" fillId="0" borderId="20" xfId="2" applyNumberFormat="1" applyFont="1" applyBorder="1" applyAlignment="1">
      <alignment horizontal="center" vertical="center" wrapText="1"/>
    </xf>
  </cellXfs>
  <cellStyles count="14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[0] 2 2" xfId="12" xr:uid="{D63F650E-BB92-42FD-BF7F-190BEE985254}"/>
    <cellStyle name="Millares [0] 3" xfId="10" xr:uid="{6D13AE8C-C3A9-471A-B305-80421A156E9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Millares 4" xfId="11" xr:uid="{EC60B4E2-5804-476B-A910-8F2664BA5089}"/>
    <cellStyle name="Moneda 2" xfId="13" xr:uid="{6053A034-9304-4F93-8CE4-643170D794F5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2CB5CA3-B39B-4241-9A62-2456D1475E40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C336856-12F3-47E7-8DAC-4D692A85C38A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9F6E-D379-495A-BB97-26BFF67AF468}">
  <sheetPr>
    <tabColor rgb="FF92D050"/>
  </sheetPr>
  <dimension ref="C1:G22"/>
  <sheetViews>
    <sheetView showGridLines="0" tabSelected="1" topLeftCell="A9" workbookViewId="0">
      <selection activeCell="D20" sqref="D20:D21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4.453125" bestFit="1" customWidth="1"/>
    <col min="8" max="8" width="2" customWidth="1"/>
    <col min="9" max="9" width="14.1796875" bestFit="1" customWidth="1"/>
  </cols>
  <sheetData>
    <row r="1" spans="3:7" ht="14.5" customHeight="1" x14ac:dyDescent="0.35">
      <c r="C1" s="27" t="s">
        <v>42</v>
      </c>
      <c r="D1" s="27"/>
      <c r="E1" s="27"/>
      <c r="F1" s="27"/>
      <c r="G1" s="27"/>
    </row>
    <row r="2" spans="3:7" x14ac:dyDescent="0.35">
      <c r="C2" s="27"/>
      <c r="D2" s="27"/>
      <c r="E2" s="27"/>
      <c r="F2" s="27"/>
      <c r="G2" s="27"/>
    </row>
    <row r="3" spans="3:7" ht="15" thickBot="1" x14ac:dyDescent="0.4"/>
    <row r="4" spans="3:7" ht="15" thickBot="1" x14ac:dyDescent="0.4">
      <c r="C4" s="28" t="s">
        <v>43</v>
      </c>
      <c r="D4" s="29"/>
      <c r="E4" s="29"/>
      <c r="F4" s="29"/>
      <c r="G4" s="30"/>
    </row>
    <row r="5" spans="3:7" ht="21.5" thickBot="1" x14ac:dyDescent="0.4">
      <c r="C5" s="14" t="s">
        <v>0</v>
      </c>
      <c r="D5" s="14" t="s">
        <v>4</v>
      </c>
      <c r="E5" s="14" t="s">
        <v>1</v>
      </c>
      <c r="F5" s="14" t="s">
        <v>5</v>
      </c>
      <c r="G5" s="14" t="s">
        <v>2</v>
      </c>
    </row>
    <row r="6" spans="3:7" x14ac:dyDescent="0.35">
      <c r="C6" s="21">
        <v>46388</v>
      </c>
      <c r="D6" s="23">
        <f>+VLOOKUP(C6,'PLANA P1'!$A$4:$AD$55,30,FALSE)</f>
        <v>29760000</v>
      </c>
      <c r="E6" s="24" t="s">
        <v>1</v>
      </c>
      <c r="F6" s="22"/>
      <c r="G6" s="22" t="s">
        <v>3</v>
      </c>
    </row>
    <row r="7" spans="3:7" x14ac:dyDescent="0.35">
      <c r="C7" s="2">
        <v>46419</v>
      </c>
      <c r="D7" s="25">
        <f>+VLOOKUP(C7,'PLANA P1'!$A$4:$AD$55,30,FALSE)</f>
        <v>26880000</v>
      </c>
      <c r="E7" s="20" t="s">
        <v>1</v>
      </c>
      <c r="F7" s="1"/>
      <c r="G7" s="1" t="s">
        <v>3</v>
      </c>
    </row>
    <row r="8" spans="3:7" x14ac:dyDescent="0.35">
      <c r="C8" s="2">
        <v>46447</v>
      </c>
      <c r="D8" s="25">
        <f>+VLOOKUP(C8,'PLANA P1'!$A$4:$AD$55,30,FALSE)</f>
        <v>29760000</v>
      </c>
      <c r="E8" s="20" t="s">
        <v>1</v>
      </c>
      <c r="F8" s="1"/>
      <c r="G8" s="1" t="s">
        <v>3</v>
      </c>
    </row>
    <row r="9" spans="3:7" x14ac:dyDescent="0.35">
      <c r="C9" s="2">
        <v>46478</v>
      </c>
      <c r="D9" s="25">
        <f>+VLOOKUP(C9,'PLANA P1'!$A$4:$AD$55,30,FALSE)</f>
        <v>28800000</v>
      </c>
      <c r="E9" s="20" t="s">
        <v>1</v>
      </c>
      <c r="F9" s="1"/>
      <c r="G9" s="1" t="s">
        <v>3</v>
      </c>
    </row>
    <row r="10" spans="3:7" x14ac:dyDescent="0.35">
      <c r="C10" s="2">
        <v>46508</v>
      </c>
      <c r="D10" s="25">
        <f>+VLOOKUP(C10,'PLANA P1'!$A$4:$AD$55,30,FALSE)</f>
        <v>29760000</v>
      </c>
      <c r="E10" s="20" t="s">
        <v>1</v>
      </c>
      <c r="F10" s="1"/>
      <c r="G10" s="1" t="s">
        <v>3</v>
      </c>
    </row>
    <row r="11" spans="3:7" x14ac:dyDescent="0.35">
      <c r="C11" s="2">
        <v>46539</v>
      </c>
      <c r="D11" s="25">
        <f>+VLOOKUP(C11,'PLANA P1'!$A$4:$AD$55,30,FALSE)</f>
        <v>28800000</v>
      </c>
      <c r="E11" s="20" t="s">
        <v>1</v>
      </c>
      <c r="F11" s="1"/>
      <c r="G11" s="1" t="s">
        <v>3</v>
      </c>
    </row>
    <row r="12" spans="3:7" x14ac:dyDescent="0.35">
      <c r="C12" s="2">
        <v>46569</v>
      </c>
      <c r="D12" s="25">
        <f>+VLOOKUP(C12,'PLANA P1'!$A$4:$AD$55,30,FALSE)</f>
        <v>29760000</v>
      </c>
      <c r="E12" s="20" t="s">
        <v>1</v>
      </c>
      <c r="F12" s="1"/>
      <c r="G12" s="1" t="s">
        <v>3</v>
      </c>
    </row>
    <row r="13" spans="3:7" x14ac:dyDescent="0.35">
      <c r="C13" s="2">
        <v>46600</v>
      </c>
      <c r="D13" s="25">
        <f>+VLOOKUP(C13,'PLANA P1'!$A$4:$AD$55,30,FALSE)</f>
        <v>0</v>
      </c>
      <c r="E13" s="25" t="e">
        <f>+VLOOKUP(D13,'PLANA P1'!$A$4:$AD$55,30,FALSE)</f>
        <v>#N/A</v>
      </c>
      <c r="F13" s="25" t="e">
        <f>+VLOOKUP(E13,'PLANA P1'!$A$4:$AD$55,30,FALSE)</f>
        <v>#N/A</v>
      </c>
      <c r="G13" s="25" t="e">
        <f>+VLOOKUP(F13,'PLANA P1'!$A$4:$AD$55,30,FALSE)</f>
        <v>#N/A</v>
      </c>
    </row>
    <row r="14" spans="3:7" x14ac:dyDescent="0.35">
      <c r="C14" s="2">
        <v>46631</v>
      </c>
      <c r="D14" s="25">
        <f>+VLOOKUP(C14,'PLANA P1'!$A$4:$AD$55,30,FALSE)</f>
        <v>0</v>
      </c>
      <c r="E14" s="25" t="e">
        <f>+VLOOKUP(D14,'PLANA P1'!$A$4:$AD$55,30,FALSE)</f>
        <v>#N/A</v>
      </c>
      <c r="F14" s="25" t="e">
        <f>+VLOOKUP(E14,'PLANA P1'!$A$4:$AD$55,30,FALSE)</f>
        <v>#N/A</v>
      </c>
      <c r="G14" s="25" t="e">
        <f>+VLOOKUP(F14,'PLANA P1'!$A$4:$AD$55,30,FALSE)</f>
        <v>#N/A</v>
      </c>
    </row>
    <row r="15" spans="3:7" x14ac:dyDescent="0.35">
      <c r="C15" s="2">
        <v>46661</v>
      </c>
      <c r="D15" s="25">
        <f>+VLOOKUP(C15,'PLANA P1'!$A$4:$AD$55,30,FALSE)</f>
        <v>0</v>
      </c>
      <c r="E15" s="25" t="e">
        <f>+VLOOKUP(D15,'PLANA P1'!$A$4:$AD$55,30,FALSE)</f>
        <v>#N/A</v>
      </c>
      <c r="F15" s="25" t="e">
        <f>+VLOOKUP(E15,'PLANA P1'!$A$4:$AD$55,30,FALSE)</f>
        <v>#N/A</v>
      </c>
      <c r="G15" s="25" t="e">
        <f>+VLOOKUP(F15,'PLANA P1'!$A$4:$AD$55,30,FALSE)</f>
        <v>#N/A</v>
      </c>
    </row>
    <row r="16" spans="3:7" x14ac:dyDescent="0.35">
      <c r="C16" s="2">
        <v>46692</v>
      </c>
      <c r="D16" s="25">
        <f>+VLOOKUP(C16,'PLANA P1'!$A$4:$AD$55,30,FALSE)</f>
        <v>0</v>
      </c>
      <c r="E16" s="25" t="e">
        <f>+VLOOKUP(D16,'PLANA P1'!$A$4:$AD$55,30,FALSE)</f>
        <v>#N/A</v>
      </c>
      <c r="F16" s="25" t="e">
        <f>+VLOOKUP(E16,'PLANA P1'!$A$4:$AD$55,30,FALSE)</f>
        <v>#N/A</v>
      </c>
      <c r="G16" s="25" t="e">
        <f>+VLOOKUP(F16,'PLANA P1'!$A$4:$AD$55,30,FALSE)</f>
        <v>#N/A</v>
      </c>
    </row>
    <row r="17" spans="3:7" ht="15" thickBot="1" x14ac:dyDescent="0.4">
      <c r="C17" s="3">
        <v>46722</v>
      </c>
      <c r="D17" s="26">
        <f>+VLOOKUP(C17,'PLANA P1'!$A$4:$AD$55,30,FALSE)</f>
        <v>0</v>
      </c>
      <c r="E17" s="26" t="e">
        <f>+VLOOKUP(D17,'PLANA P1'!$A$4:$AD$55,30,FALSE)</f>
        <v>#N/A</v>
      </c>
      <c r="F17" s="26" t="e">
        <f>+VLOOKUP(E17,'PLANA P1'!$A$4:$AD$55,30,FALSE)</f>
        <v>#N/A</v>
      </c>
      <c r="G17" s="26" t="e">
        <f>+VLOOKUP(F17,'PLANA P1'!$A$4:$AD$55,30,FALSE)</f>
        <v>#N/A</v>
      </c>
    </row>
    <row r="18" spans="3:7" ht="15" thickBot="1" x14ac:dyDescent="0.4">
      <c r="D18" s="15">
        <f>SUM(D6:D17)</f>
        <v>203520000</v>
      </c>
      <c r="F18" s="4"/>
    </row>
    <row r="19" spans="3:7" x14ac:dyDescent="0.35">
      <c r="D19" s="13"/>
    </row>
    <row r="20" spans="3:7" x14ac:dyDescent="0.35">
      <c r="D20" s="12"/>
    </row>
    <row r="21" spans="3:7" x14ac:dyDescent="0.35">
      <c r="D21" s="4"/>
    </row>
    <row r="22" spans="3:7" x14ac:dyDescent="0.35">
      <c r="F22" s="4"/>
    </row>
  </sheetData>
  <mergeCells count="2">
    <mergeCell ref="C1:G2"/>
    <mergeCell ref="C4:G4"/>
  </mergeCells>
  <pageMargins left="0.7" right="0.7" top="0.75" bottom="0.75" header="0.3" footer="0.3"/>
  <pageSetup orientation="portrait" r:id="rId1"/>
  <ignoredErrors>
    <ignoredError sqref="D13:G1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B2E0-9592-4D63-B204-317ADE41A917}">
  <dimension ref="A1:AD55"/>
  <sheetViews>
    <sheetView showGridLines="0" topLeftCell="A31" zoomScale="84" zoomScaleNormal="84" workbookViewId="0">
      <selection activeCell="C35" sqref="C35:Z54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.54296875" bestFit="1" customWidth="1"/>
    <col min="27" max="27" width="10.453125" bestFit="1" customWidth="1"/>
    <col min="28" max="28" width="10.6328125" bestFit="1" customWidth="1"/>
    <col min="29" max="29" width="12.81640625" bestFit="1" customWidth="1"/>
    <col min="30" max="30" width="16" bestFit="1" customWidth="1"/>
  </cols>
  <sheetData>
    <row r="1" spans="1:30" x14ac:dyDescent="0.35">
      <c r="A1" s="34" t="s">
        <v>6</v>
      </c>
      <c r="B1" s="34"/>
      <c r="C1" s="34"/>
      <c r="D1" s="34"/>
    </row>
    <row r="2" spans="1:30" x14ac:dyDescent="0.35">
      <c r="A2" s="35" t="s">
        <v>41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4" spans="1:30" x14ac:dyDescent="0.35">
      <c r="A4" s="36" t="s">
        <v>7</v>
      </c>
      <c r="B4" s="36"/>
      <c r="C4" s="37">
        <f>+AD55</f>
        <v>203520000</v>
      </c>
      <c r="D4" s="3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5">
      <c r="A5" s="5" t="s">
        <v>0</v>
      </c>
      <c r="B5" s="6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5" t="s">
        <v>25</v>
      </c>
      <c r="T5" s="5" t="s">
        <v>26</v>
      </c>
      <c r="U5" s="5" t="s">
        <v>27</v>
      </c>
      <c r="V5" s="5" t="s">
        <v>28</v>
      </c>
      <c r="W5" s="5" t="s">
        <v>29</v>
      </c>
      <c r="X5" s="5" t="s">
        <v>30</v>
      </c>
      <c r="Y5" s="5" t="s">
        <v>31</v>
      </c>
      <c r="Z5" s="5" t="s">
        <v>32</v>
      </c>
      <c r="AA5" s="5" t="s">
        <v>33</v>
      </c>
      <c r="AB5" s="5" t="s">
        <v>34</v>
      </c>
      <c r="AC5" s="5" t="s">
        <v>35</v>
      </c>
      <c r="AD5" s="5" t="s">
        <v>36</v>
      </c>
    </row>
    <row r="6" spans="1:30" hidden="1" x14ac:dyDescent="0.35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35">
      <c r="A7" s="39">
        <v>46388</v>
      </c>
      <c r="B7" s="9" t="s">
        <v>37</v>
      </c>
      <c r="C7" s="19">
        <v>40000</v>
      </c>
      <c r="D7" s="19">
        <v>40000</v>
      </c>
      <c r="E7" s="19">
        <v>40000</v>
      </c>
      <c r="F7" s="19">
        <v>40000</v>
      </c>
      <c r="G7" s="19">
        <v>40000</v>
      </c>
      <c r="H7" s="19">
        <v>40000</v>
      </c>
      <c r="I7" s="19">
        <v>40000</v>
      </c>
      <c r="J7" s="19">
        <v>40000</v>
      </c>
      <c r="K7" s="19">
        <v>40000</v>
      </c>
      <c r="L7" s="19">
        <v>40000</v>
      </c>
      <c r="M7" s="19">
        <v>40000</v>
      </c>
      <c r="N7" s="19">
        <v>40000</v>
      </c>
      <c r="O7" s="19">
        <v>40000</v>
      </c>
      <c r="P7" s="19">
        <v>40000</v>
      </c>
      <c r="Q7" s="19">
        <v>40000</v>
      </c>
      <c r="R7" s="19">
        <v>40000</v>
      </c>
      <c r="S7" s="19">
        <v>40000</v>
      </c>
      <c r="T7" s="19">
        <v>40000</v>
      </c>
      <c r="U7" s="19">
        <v>40000</v>
      </c>
      <c r="V7" s="19">
        <v>40000</v>
      </c>
      <c r="W7" s="19">
        <v>40000</v>
      </c>
      <c r="X7" s="19">
        <v>40000</v>
      </c>
      <c r="Y7" s="19">
        <v>40000</v>
      </c>
      <c r="Z7" s="19">
        <v>40000</v>
      </c>
      <c r="AA7" s="17">
        <f>SUM(C7:Z7)</f>
        <v>960000</v>
      </c>
      <c r="AB7" s="18">
        <v>19</v>
      </c>
      <c r="AC7" s="17">
        <f>+AA7*AB7</f>
        <v>18240000</v>
      </c>
      <c r="AD7" s="31">
        <f>+SUM(AC7:AC10)</f>
        <v>29760000</v>
      </c>
    </row>
    <row r="8" spans="1:30" x14ac:dyDescent="0.35">
      <c r="A8" s="40"/>
      <c r="B8" s="10" t="s">
        <v>38</v>
      </c>
      <c r="C8" s="19">
        <v>40000</v>
      </c>
      <c r="D8" s="19">
        <v>40000</v>
      </c>
      <c r="E8" s="19">
        <v>40000</v>
      </c>
      <c r="F8" s="19">
        <v>40000</v>
      </c>
      <c r="G8" s="19">
        <v>40000</v>
      </c>
      <c r="H8" s="19">
        <v>40000</v>
      </c>
      <c r="I8" s="19">
        <v>40000</v>
      </c>
      <c r="J8" s="19">
        <v>40000</v>
      </c>
      <c r="K8" s="19">
        <v>40000</v>
      </c>
      <c r="L8" s="19">
        <v>40000</v>
      </c>
      <c r="M8" s="19">
        <v>40000</v>
      </c>
      <c r="N8" s="19">
        <v>40000</v>
      </c>
      <c r="O8" s="19">
        <v>40000</v>
      </c>
      <c r="P8" s="19">
        <v>40000</v>
      </c>
      <c r="Q8" s="19">
        <v>40000</v>
      </c>
      <c r="R8" s="19">
        <v>40000</v>
      </c>
      <c r="S8" s="19">
        <v>40000</v>
      </c>
      <c r="T8" s="19">
        <v>40000</v>
      </c>
      <c r="U8" s="19">
        <v>40000</v>
      </c>
      <c r="V8" s="19">
        <v>40000</v>
      </c>
      <c r="W8" s="19">
        <v>40000</v>
      </c>
      <c r="X8" s="19">
        <v>40000</v>
      </c>
      <c r="Y8" s="19">
        <v>40000</v>
      </c>
      <c r="Z8" s="19">
        <v>40000</v>
      </c>
      <c r="AA8" s="17">
        <f t="shared" ref="AA8:AA54" si="0">SUM(C8:Z8)</f>
        <v>960000</v>
      </c>
      <c r="AB8" s="18">
        <v>5</v>
      </c>
      <c r="AC8" s="17">
        <f t="shared" ref="AC8:AC54" si="1">+AA8*AB8</f>
        <v>4800000</v>
      </c>
      <c r="AD8" s="32"/>
    </row>
    <row r="9" spans="1:30" x14ac:dyDescent="0.35">
      <c r="A9" s="40"/>
      <c r="B9" s="10" t="s">
        <v>39</v>
      </c>
      <c r="C9" s="19">
        <v>40000</v>
      </c>
      <c r="D9" s="19">
        <v>40000</v>
      </c>
      <c r="E9" s="19">
        <v>40000</v>
      </c>
      <c r="F9" s="19">
        <v>40000</v>
      </c>
      <c r="G9" s="19">
        <v>40000</v>
      </c>
      <c r="H9" s="19">
        <v>40000</v>
      </c>
      <c r="I9" s="19">
        <v>40000</v>
      </c>
      <c r="J9" s="19">
        <v>40000</v>
      </c>
      <c r="K9" s="19">
        <v>40000</v>
      </c>
      <c r="L9" s="19">
        <v>40000</v>
      </c>
      <c r="M9" s="19">
        <v>40000</v>
      </c>
      <c r="N9" s="19">
        <v>40000</v>
      </c>
      <c r="O9" s="19">
        <v>40000</v>
      </c>
      <c r="P9" s="19">
        <v>40000</v>
      </c>
      <c r="Q9" s="19">
        <v>40000</v>
      </c>
      <c r="R9" s="19">
        <v>40000</v>
      </c>
      <c r="S9" s="19">
        <v>40000</v>
      </c>
      <c r="T9" s="19">
        <v>40000</v>
      </c>
      <c r="U9" s="19">
        <v>40000</v>
      </c>
      <c r="V9" s="19">
        <v>40000</v>
      </c>
      <c r="W9" s="19">
        <v>40000</v>
      </c>
      <c r="X9" s="19">
        <v>40000</v>
      </c>
      <c r="Y9" s="19">
        <v>40000</v>
      </c>
      <c r="Z9" s="19">
        <v>40000</v>
      </c>
      <c r="AA9" s="17">
        <f t="shared" si="0"/>
        <v>960000</v>
      </c>
      <c r="AB9" s="18">
        <v>5</v>
      </c>
      <c r="AC9" s="17">
        <f t="shared" si="1"/>
        <v>4800000</v>
      </c>
      <c r="AD9" s="32"/>
    </row>
    <row r="10" spans="1:30" x14ac:dyDescent="0.35">
      <c r="A10" s="41"/>
      <c r="B10" s="11" t="s">
        <v>40</v>
      </c>
      <c r="C10" s="19">
        <v>40000</v>
      </c>
      <c r="D10" s="19">
        <v>40000</v>
      </c>
      <c r="E10" s="19">
        <v>40000</v>
      </c>
      <c r="F10" s="19">
        <v>40000</v>
      </c>
      <c r="G10" s="19">
        <v>40000</v>
      </c>
      <c r="H10" s="19">
        <v>40000</v>
      </c>
      <c r="I10" s="19">
        <v>40000</v>
      </c>
      <c r="J10" s="19">
        <v>40000</v>
      </c>
      <c r="K10" s="19">
        <v>40000</v>
      </c>
      <c r="L10" s="19">
        <v>40000</v>
      </c>
      <c r="M10" s="19">
        <v>40000</v>
      </c>
      <c r="N10" s="19">
        <v>40000</v>
      </c>
      <c r="O10" s="19">
        <v>40000</v>
      </c>
      <c r="P10" s="19">
        <v>40000</v>
      </c>
      <c r="Q10" s="19">
        <v>40000</v>
      </c>
      <c r="R10" s="19">
        <v>40000</v>
      </c>
      <c r="S10" s="19">
        <v>40000</v>
      </c>
      <c r="T10" s="19">
        <v>40000</v>
      </c>
      <c r="U10" s="19">
        <v>40000</v>
      </c>
      <c r="V10" s="19">
        <v>40000</v>
      </c>
      <c r="W10" s="19">
        <v>40000</v>
      </c>
      <c r="X10" s="19">
        <v>40000</v>
      </c>
      <c r="Y10" s="19">
        <v>40000</v>
      </c>
      <c r="Z10" s="19">
        <v>40000</v>
      </c>
      <c r="AA10" s="17">
        <f t="shared" si="0"/>
        <v>960000</v>
      </c>
      <c r="AB10" s="18">
        <v>2</v>
      </c>
      <c r="AC10" s="17">
        <f t="shared" si="1"/>
        <v>1920000</v>
      </c>
      <c r="AD10" s="33"/>
    </row>
    <row r="11" spans="1:30" x14ac:dyDescent="0.35">
      <c r="A11" s="39">
        <v>46419</v>
      </c>
      <c r="B11" s="9" t="s">
        <v>37</v>
      </c>
      <c r="C11" s="19">
        <v>40000</v>
      </c>
      <c r="D11" s="19">
        <v>40000</v>
      </c>
      <c r="E11" s="19">
        <v>40000</v>
      </c>
      <c r="F11" s="19">
        <v>40000</v>
      </c>
      <c r="G11" s="19">
        <v>40000</v>
      </c>
      <c r="H11" s="19">
        <v>40000</v>
      </c>
      <c r="I11" s="19">
        <v>40000</v>
      </c>
      <c r="J11" s="19">
        <v>40000</v>
      </c>
      <c r="K11" s="19">
        <v>40000</v>
      </c>
      <c r="L11" s="19">
        <v>40000</v>
      </c>
      <c r="M11" s="19">
        <v>40000</v>
      </c>
      <c r="N11" s="19">
        <v>40000</v>
      </c>
      <c r="O11" s="19">
        <v>40000</v>
      </c>
      <c r="P11" s="19">
        <v>40000</v>
      </c>
      <c r="Q11" s="19">
        <v>40000</v>
      </c>
      <c r="R11" s="19">
        <v>40000</v>
      </c>
      <c r="S11" s="19">
        <v>40000</v>
      </c>
      <c r="T11" s="19">
        <v>40000</v>
      </c>
      <c r="U11" s="19">
        <v>40000</v>
      </c>
      <c r="V11" s="19">
        <v>40000</v>
      </c>
      <c r="W11" s="19">
        <v>40000</v>
      </c>
      <c r="X11" s="19">
        <v>40000</v>
      </c>
      <c r="Y11" s="19">
        <v>40000</v>
      </c>
      <c r="Z11" s="19">
        <v>40000</v>
      </c>
      <c r="AA11" s="17">
        <f t="shared" si="0"/>
        <v>960000</v>
      </c>
      <c r="AB11" s="18">
        <v>20</v>
      </c>
      <c r="AC11" s="17">
        <f t="shared" si="1"/>
        <v>19200000</v>
      </c>
      <c r="AD11" s="31">
        <f>+SUM(AC11:AC14)</f>
        <v>26880000</v>
      </c>
    </row>
    <row r="12" spans="1:30" x14ac:dyDescent="0.35">
      <c r="A12" s="40"/>
      <c r="B12" s="10" t="s">
        <v>38</v>
      </c>
      <c r="C12" s="19">
        <v>40000</v>
      </c>
      <c r="D12" s="19">
        <v>40000</v>
      </c>
      <c r="E12" s="19">
        <v>40000</v>
      </c>
      <c r="F12" s="19">
        <v>40000</v>
      </c>
      <c r="G12" s="19">
        <v>40000</v>
      </c>
      <c r="H12" s="19">
        <v>40000</v>
      </c>
      <c r="I12" s="19">
        <v>40000</v>
      </c>
      <c r="J12" s="19">
        <v>40000</v>
      </c>
      <c r="K12" s="19">
        <v>40000</v>
      </c>
      <c r="L12" s="19">
        <v>40000</v>
      </c>
      <c r="M12" s="19">
        <v>40000</v>
      </c>
      <c r="N12" s="19">
        <v>40000</v>
      </c>
      <c r="O12" s="19">
        <v>40000</v>
      </c>
      <c r="P12" s="19">
        <v>40000</v>
      </c>
      <c r="Q12" s="19">
        <v>40000</v>
      </c>
      <c r="R12" s="19">
        <v>40000</v>
      </c>
      <c r="S12" s="19">
        <v>40000</v>
      </c>
      <c r="T12" s="19">
        <v>40000</v>
      </c>
      <c r="U12" s="19">
        <v>40000</v>
      </c>
      <c r="V12" s="19">
        <v>40000</v>
      </c>
      <c r="W12" s="19">
        <v>40000</v>
      </c>
      <c r="X12" s="19">
        <v>40000</v>
      </c>
      <c r="Y12" s="19">
        <v>40000</v>
      </c>
      <c r="Z12" s="19">
        <v>40000</v>
      </c>
      <c r="AA12" s="17">
        <f t="shared" si="0"/>
        <v>960000</v>
      </c>
      <c r="AB12" s="18">
        <v>4</v>
      </c>
      <c r="AC12" s="17">
        <f t="shared" si="1"/>
        <v>3840000</v>
      </c>
      <c r="AD12" s="32"/>
    </row>
    <row r="13" spans="1:30" x14ac:dyDescent="0.35">
      <c r="A13" s="40"/>
      <c r="B13" s="10" t="s">
        <v>39</v>
      </c>
      <c r="C13" s="19">
        <v>40000</v>
      </c>
      <c r="D13" s="19">
        <v>40000</v>
      </c>
      <c r="E13" s="19">
        <v>40000</v>
      </c>
      <c r="F13" s="19">
        <v>40000</v>
      </c>
      <c r="G13" s="19">
        <v>40000</v>
      </c>
      <c r="H13" s="19">
        <v>40000</v>
      </c>
      <c r="I13" s="19">
        <v>40000</v>
      </c>
      <c r="J13" s="19">
        <v>40000</v>
      </c>
      <c r="K13" s="19">
        <v>40000</v>
      </c>
      <c r="L13" s="19">
        <v>40000</v>
      </c>
      <c r="M13" s="19">
        <v>40000</v>
      </c>
      <c r="N13" s="19">
        <v>40000</v>
      </c>
      <c r="O13" s="19">
        <v>40000</v>
      </c>
      <c r="P13" s="19">
        <v>40000</v>
      </c>
      <c r="Q13" s="19">
        <v>40000</v>
      </c>
      <c r="R13" s="19">
        <v>40000</v>
      </c>
      <c r="S13" s="19">
        <v>40000</v>
      </c>
      <c r="T13" s="19">
        <v>40000</v>
      </c>
      <c r="U13" s="19">
        <v>40000</v>
      </c>
      <c r="V13" s="19">
        <v>40000</v>
      </c>
      <c r="W13" s="19">
        <v>40000</v>
      </c>
      <c r="X13" s="19">
        <v>40000</v>
      </c>
      <c r="Y13" s="19">
        <v>40000</v>
      </c>
      <c r="Z13" s="19">
        <v>40000</v>
      </c>
      <c r="AA13" s="17">
        <f t="shared" si="0"/>
        <v>960000</v>
      </c>
      <c r="AB13" s="18">
        <v>4</v>
      </c>
      <c r="AC13" s="17">
        <f t="shared" si="1"/>
        <v>3840000</v>
      </c>
      <c r="AD13" s="32"/>
    </row>
    <row r="14" spans="1:30" x14ac:dyDescent="0.35">
      <c r="A14" s="41"/>
      <c r="B14" s="11" t="s">
        <v>40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7">
        <f t="shared" si="0"/>
        <v>0</v>
      </c>
      <c r="AB14" s="18">
        <v>0</v>
      </c>
      <c r="AC14" s="17">
        <f t="shared" si="1"/>
        <v>0</v>
      </c>
      <c r="AD14" s="33"/>
    </row>
    <row r="15" spans="1:30" x14ac:dyDescent="0.35">
      <c r="A15" s="39">
        <v>46447</v>
      </c>
      <c r="B15" s="9" t="s">
        <v>37</v>
      </c>
      <c r="C15" s="19">
        <v>40000</v>
      </c>
      <c r="D15" s="19">
        <v>40000</v>
      </c>
      <c r="E15" s="19">
        <v>40000</v>
      </c>
      <c r="F15" s="19">
        <v>40000</v>
      </c>
      <c r="G15" s="19">
        <v>40000</v>
      </c>
      <c r="H15" s="19">
        <v>40000</v>
      </c>
      <c r="I15" s="19">
        <v>40000</v>
      </c>
      <c r="J15" s="19">
        <v>40000</v>
      </c>
      <c r="K15" s="19">
        <v>40000</v>
      </c>
      <c r="L15" s="19">
        <v>40000</v>
      </c>
      <c r="M15" s="19">
        <v>40000</v>
      </c>
      <c r="N15" s="19">
        <v>40000</v>
      </c>
      <c r="O15" s="19">
        <v>40000</v>
      </c>
      <c r="P15" s="19">
        <v>40000</v>
      </c>
      <c r="Q15" s="19">
        <v>40000</v>
      </c>
      <c r="R15" s="19">
        <v>40000</v>
      </c>
      <c r="S15" s="19">
        <v>40000</v>
      </c>
      <c r="T15" s="19">
        <v>40000</v>
      </c>
      <c r="U15" s="19">
        <v>40000</v>
      </c>
      <c r="V15" s="19">
        <v>40000</v>
      </c>
      <c r="W15" s="19">
        <v>40000</v>
      </c>
      <c r="X15" s="19">
        <v>40000</v>
      </c>
      <c r="Y15" s="19">
        <v>40000</v>
      </c>
      <c r="Z15" s="19">
        <v>40000</v>
      </c>
      <c r="AA15" s="17">
        <f t="shared" si="0"/>
        <v>960000</v>
      </c>
      <c r="AB15" s="18">
        <v>20</v>
      </c>
      <c r="AC15" s="17">
        <f t="shared" si="1"/>
        <v>19200000</v>
      </c>
      <c r="AD15" s="31">
        <f>+SUM(AC15:AC18)</f>
        <v>29760000</v>
      </c>
    </row>
    <row r="16" spans="1:30" x14ac:dyDescent="0.35">
      <c r="A16" s="40"/>
      <c r="B16" s="10" t="s">
        <v>38</v>
      </c>
      <c r="C16" s="19">
        <v>40000</v>
      </c>
      <c r="D16" s="19">
        <v>40000</v>
      </c>
      <c r="E16" s="19">
        <v>40000</v>
      </c>
      <c r="F16" s="19">
        <v>40000</v>
      </c>
      <c r="G16" s="19">
        <v>40000</v>
      </c>
      <c r="H16" s="19">
        <v>40000</v>
      </c>
      <c r="I16" s="19">
        <v>40000</v>
      </c>
      <c r="J16" s="19">
        <v>40000</v>
      </c>
      <c r="K16" s="19">
        <v>40000</v>
      </c>
      <c r="L16" s="19">
        <v>40000</v>
      </c>
      <c r="M16" s="19">
        <v>40000</v>
      </c>
      <c r="N16" s="19">
        <v>40000</v>
      </c>
      <c r="O16" s="19">
        <v>40000</v>
      </c>
      <c r="P16" s="19">
        <v>40000</v>
      </c>
      <c r="Q16" s="19">
        <v>40000</v>
      </c>
      <c r="R16" s="19">
        <v>40000</v>
      </c>
      <c r="S16" s="19">
        <v>40000</v>
      </c>
      <c r="T16" s="19">
        <v>40000</v>
      </c>
      <c r="U16" s="19">
        <v>40000</v>
      </c>
      <c r="V16" s="19">
        <v>40000</v>
      </c>
      <c r="W16" s="19">
        <v>40000</v>
      </c>
      <c r="X16" s="19">
        <v>40000</v>
      </c>
      <c r="Y16" s="19">
        <v>40000</v>
      </c>
      <c r="Z16" s="19">
        <v>40000</v>
      </c>
      <c r="AA16" s="17">
        <f t="shared" si="0"/>
        <v>960000</v>
      </c>
      <c r="AB16" s="18">
        <v>4</v>
      </c>
      <c r="AC16" s="17">
        <f t="shared" si="1"/>
        <v>3840000</v>
      </c>
      <c r="AD16" s="32"/>
    </row>
    <row r="17" spans="1:30" x14ac:dyDescent="0.35">
      <c r="A17" s="40"/>
      <c r="B17" s="10" t="s">
        <v>39</v>
      </c>
      <c r="C17" s="19">
        <v>40000</v>
      </c>
      <c r="D17" s="19">
        <v>40000</v>
      </c>
      <c r="E17" s="19">
        <v>40000</v>
      </c>
      <c r="F17" s="19">
        <v>40000</v>
      </c>
      <c r="G17" s="19">
        <v>40000</v>
      </c>
      <c r="H17" s="19">
        <v>40000</v>
      </c>
      <c r="I17" s="19">
        <v>40000</v>
      </c>
      <c r="J17" s="19">
        <v>40000</v>
      </c>
      <c r="K17" s="19">
        <v>40000</v>
      </c>
      <c r="L17" s="19">
        <v>40000</v>
      </c>
      <c r="M17" s="19">
        <v>40000</v>
      </c>
      <c r="N17" s="19">
        <v>40000</v>
      </c>
      <c r="O17" s="19">
        <v>40000</v>
      </c>
      <c r="P17" s="19">
        <v>40000</v>
      </c>
      <c r="Q17" s="19">
        <v>40000</v>
      </c>
      <c r="R17" s="19">
        <v>40000</v>
      </c>
      <c r="S17" s="19">
        <v>40000</v>
      </c>
      <c r="T17" s="19">
        <v>40000</v>
      </c>
      <c r="U17" s="19">
        <v>40000</v>
      </c>
      <c r="V17" s="19">
        <v>40000</v>
      </c>
      <c r="W17" s="19">
        <v>40000</v>
      </c>
      <c r="X17" s="19">
        <v>40000</v>
      </c>
      <c r="Y17" s="19">
        <v>40000</v>
      </c>
      <c r="Z17" s="19">
        <v>40000</v>
      </c>
      <c r="AA17" s="17">
        <f t="shared" si="0"/>
        <v>960000</v>
      </c>
      <c r="AB17" s="18">
        <v>4</v>
      </c>
      <c r="AC17" s="17">
        <f t="shared" si="1"/>
        <v>3840000</v>
      </c>
      <c r="AD17" s="32"/>
    </row>
    <row r="18" spans="1:30" x14ac:dyDescent="0.35">
      <c r="A18" s="41"/>
      <c r="B18" s="11" t="s">
        <v>40</v>
      </c>
      <c r="C18" s="19">
        <v>40000</v>
      </c>
      <c r="D18" s="19">
        <v>40000</v>
      </c>
      <c r="E18" s="19">
        <v>40000</v>
      </c>
      <c r="F18" s="19">
        <v>40000</v>
      </c>
      <c r="G18" s="19">
        <v>40000</v>
      </c>
      <c r="H18" s="19">
        <v>40000</v>
      </c>
      <c r="I18" s="19">
        <v>40000</v>
      </c>
      <c r="J18" s="19">
        <v>40000</v>
      </c>
      <c r="K18" s="19">
        <v>40000</v>
      </c>
      <c r="L18" s="19">
        <v>40000</v>
      </c>
      <c r="M18" s="19">
        <v>40000</v>
      </c>
      <c r="N18" s="19">
        <v>40000</v>
      </c>
      <c r="O18" s="19">
        <v>40000</v>
      </c>
      <c r="P18" s="19">
        <v>40000</v>
      </c>
      <c r="Q18" s="19">
        <v>40000</v>
      </c>
      <c r="R18" s="19">
        <v>40000</v>
      </c>
      <c r="S18" s="19">
        <v>40000</v>
      </c>
      <c r="T18" s="19">
        <v>40000</v>
      </c>
      <c r="U18" s="19">
        <v>40000</v>
      </c>
      <c r="V18" s="19">
        <v>40000</v>
      </c>
      <c r="W18" s="19">
        <v>40000</v>
      </c>
      <c r="X18" s="19">
        <v>40000</v>
      </c>
      <c r="Y18" s="19">
        <v>40000</v>
      </c>
      <c r="Z18" s="19">
        <v>40000</v>
      </c>
      <c r="AA18" s="17">
        <f t="shared" si="0"/>
        <v>960000</v>
      </c>
      <c r="AB18" s="18">
        <v>3</v>
      </c>
      <c r="AC18" s="17">
        <f t="shared" si="1"/>
        <v>2880000</v>
      </c>
      <c r="AD18" s="33"/>
    </row>
    <row r="19" spans="1:30" x14ac:dyDescent="0.35">
      <c r="A19" s="39">
        <v>46478</v>
      </c>
      <c r="B19" s="9" t="s">
        <v>37</v>
      </c>
      <c r="C19" s="19">
        <v>40000</v>
      </c>
      <c r="D19" s="19">
        <v>40000</v>
      </c>
      <c r="E19" s="19">
        <v>40000</v>
      </c>
      <c r="F19" s="19">
        <v>40000</v>
      </c>
      <c r="G19" s="19">
        <v>40000</v>
      </c>
      <c r="H19" s="19">
        <v>40000</v>
      </c>
      <c r="I19" s="19">
        <v>40000</v>
      </c>
      <c r="J19" s="19">
        <v>40000</v>
      </c>
      <c r="K19" s="19">
        <v>40000</v>
      </c>
      <c r="L19" s="19">
        <v>40000</v>
      </c>
      <c r="M19" s="19">
        <v>40000</v>
      </c>
      <c r="N19" s="19">
        <v>40000</v>
      </c>
      <c r="O19" s="19">
        <v>40000</v>
      </c>
      <c r="P19" s="19">
        <v>40000</v>
      </c>
      <c r="Q19" s="19">
        <v>40000</v>
      </c>
      <c r="R19" s="19">
        <v>40000</v>
      </c>
      <c r="S19" s="19">
        <v>40000</v>
      </c>
      <c r="T19" s="19">
        <v>40000</v>
      </c>
      <c r="U19" s="19">
        <v>40000</v>
      </c>
      <c r="V19" s="19">
        <v>40000</v>
      </c>
      <c r="W19" s="19">
        <v>40000</v>
      </c>
      <c r="X19" s="19">
        <v>40000</v>
      </c>
      <c r="Y19" s="19">
        <v>40000</v>
      </c>
      <c r="Z19" s="19">
        <v>40000</v>
      </c>
      <c r="AA19" s="17">
        <f t="shared" si="0"/>
        <v>960000</v>
      </c>
      <c r="AB19" s="18">
        <v>22</v>
      </c>
      <c r="AC19" s="17">
        <f t="shared" si="1"/>
        <v>21120000</v>
      </c>
      <c r="AD19" s="31">
        <f>+SUM(AC19:AC22)</f>
        <v>28800000</v>
      </c>
    </row>
    <row r="20" spans="1:30" x14ac:dyDescent="0.35">
      <c r="A20" s="40"/>
      <c r="B20" s="10" t="s">
        <v>38</v>
      </c>
      <c r="C20" s="19">
        <v>40000</v>
      </c>
      <c r="D20" s="19">
        <v>40000</v>
      </c>
      <c r="E20" s="19">
        <v>40000</v>
      </c>
      <c r="F20" s="19">
        <v>40000</v>
      </c>
      <c r="G20" s="19">
        <v>40000</v>
      </c>
      <c r="H20" s="19">
        <v>40000</v>
      </c>
      <c r="I20" s="19">
        <v>40000</v>
      </c>
      <c r="J20" s="19">
        <v>40000</v>
      </c>
      <c r="K20" s="19">
        <v>40000</v>
      </c>
      <c r="L20" s="19">
        <v>40000</v>
      </c>
      <c r="M20" s="19">
        <v>40000</v>
      </c>
      <c r="N20" s="19">
        <v>40000</v>
      </c>
      <c r="O20" s="19">
        <v>40000</v>
      </c>
      <c r="P20" s="19">
        <v>40000</v>
      </c>
      <c r="Q20" s="19">
        <v>40000</v>
      </c>
      <c r="R20" s="19">
        <v>40000</v>
      </c>
      <c r="S20" s="19">
        <v>40000</v>
      </c>
      <c r="T20" s="19">
        <v>40000</v>
      </c>
      <c r="U20" s="19">
        <v>40000</v>
      </c>
      <c r="V20" s="19">
        <v>40000</v>
      </c>
      <c r="W20" s="19">
        <v>40000</v>
      </c>
      <c r="X20" s="19">
        <v>40000</v>
      </c>
      <c r="Y20" s="19">
        <v>40000</v>
      </c>
      <c r="Z20" s="19">
        <v>40000</v>
      </c>
      <c r="AA20" s="17">
        <f t="shared" si="0"/>
        <v>960000</v>
      </c>
      <c r="AB20" s="18">
        <v>4</v>
      </c>
      <c r="AC20" s="17">
        <f t="shared" si="1"/>
        <v>3840000</v>
      </c>
      <c r="AD20" s="32"/>
    </row>
    <row r="21" spans="1:30" x14ac:dyDescent="0.35">
      <c r="A21" s="40"/>
      <c r="B21" s="10" t="s">
        <v>39</v>
      </c>
      <c r="C21" s="19">
        <v>40000</v>
      </c>
      <c r="D21" s="19">
        <v>40000</v>
      </c>
      <c r="E21" s="19">
        <v>40000</v>
      </c>
      <c r="F21" s="19">
        <v>40000</v>
      </c>
      <c r="G21" s="19">
        <v>40000</v>
      </c>
      <c r="H21" s="19">
        <v>40000</v>
      </c>
      <c r="I21" s="19">
        <v>40000</v>
      </c>
      <c r="J21" s="19">
        <v>40000</v>
      </c>
      <c r="K21" s="19">
        <v>40000</v>
      </c>
      <c r="L21" s="19">
        <v>40000</v>
      </c>
      <c r="M21" s="19">
        <v>40000</v>
      </c>
      <c r="N21" s="19">
        <v>40000</v>
      </c>
      <c r="O21" s="19">
        <v>40000</v>
      </c>
      <c r="P21" s="19">
        <v>40000</v>
      </c>
      <c r="Q21" s="19">
        <v>40000</v>
      </c>
      <c r="R21" s="19">
        <v>40000</v>
      </c>
      <c r="S21" s="19">
        <v>40000</v>
      </c>
      <c r="T21" s="19">
        <v>40000</v>
      </c>
      <c r="U21" s="19">
        <v>40000</v>
      </c>
      <c r="V21" s="19">
        <v>40000</v>
      </c>
      <c r="W21" s="19">
        <v>40000</v>
      </c>
      <c r="X21" s="19">
        <v>40000</v>
      </c>
      <c r="Y21" s="19">
        <v>40000</v>
      </c>
      <c r="Z21" s="19">
        <v>40000</v>
      </c>
      <c r="AA21" s="17">
        <f t="shared" si="0"/>
        <v>960000</v>
      </c>
      <c r="AB21" s="18">
        <v>4</v>
      </c>
      <c r="AC21" s="17">
        <f t="shared" si="1"/>
        <v>3840000</v>
      </c>
      <c r="AD21" s="32"/>
    </row>
    <row r="22" spans="1:30" x14ac:dyDescent="0.35">
      <c r="A22" s="41"/>
      <c r="B22" s="11" t="s">
        <v>40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7">
        <f t="shared" si="0"/>
        <v>0</v>
      </c>
      <c r="AB22" s="18">
        <v>0</v>
      </c>
      <c r="AC22" s="17">
        <f t="shared" si="1"/>
        <v>0</v>
      </c>
      <c r="AD22" s="33"/>
    </row>
    <row r="23" spans="1:30" x14ac:dyDescent="0.35">
      <c r="A23" s="39">
        <v>46508</v>
      </c>
      <c r="B23" s="9" t="s">
        <v>37</v>
      </c>
      <c r="C23" s="19">
        <v>40000</v>
      </c>
      <c r="D23" s="19">
        <v>40000</v>
      </c>
      <c r="E23" s="19">
        <v>40000</v>
      </c>
      <c r="F23" s="19">
        <v>40000</v>
      </c>
      <c r="G23" s="19">
        <v>40000</v>
      </c>
      <c r="H23" s="19">
        <v>40000</v>
      </c>
      <c r="I23" s="19">
        <v>40000</v>
      </c>
      <c r="J23" s="19">
        <v>40000</v>
      </c>
      <c r="K23" s="19">
        <v>40000</v>
      </c>
      <c r="L23" s="19">
        <v>40000</v>
      </c>
      <c r="M23" s="19">
        <v>40000</v>
      </c>
      <c r="N23" s="19">
        <v>40000</v>
      </c>
      <c r="O23" s="19">
        <v>40000</v>
      </c>
      <c r="P23" s="19">
        <v>40000</v>
      </c>
      <c r="Q23" s="19">
        <v>40000</v>
      </c>
      <c r="R23" s="19">
        <v>40000</v>
      </c>
      <c r="S23" s="19">
        <v>40000</v>
      </c>
      <c r="T23" s="19">
        <v>40000</v>
      </c>
      <c r="U23" s="19">
        <v>40000</v>
      </c>
      <c r="V23" s="19">
        <v>40000</v>
      </c>
      <c r="W23" s="19">
        <v>40000</v>
      </c>
      <c r="X23" s="19">
        <v>40000</v>
      </c>
      <c r="Y23" s="19">
        <v>40000</v>
      </c>
      <c r="Z23" s="19">
        <v>40000</v>
      </c>
      <c r="AA23" s="17">
        <f t="shared" si="0"/>
        <v>960000</v>
      </c>
      <c r="AB23" s="18">
        <v>19</v>
      </c>
      <c r="AC23" s="17">
        <f t="shared" si="1"/>
        <v>18240000</v>
      </c>
      <c r="AD23" s="31">
        <f>+SUM(AC23:AC26)</f>
        <v>29760000</v>
      </c>
    </row>
    <row r="24" spans="1:30" x14ac:dyDescent="0.35">
      <c r="A24" s="40"/>
      <c r="B24" s="10" t="s">
        <v>38</v>
      </c>
      <c r="C24" s="19">
        <v>40000</v>
      </c>
      <c r="D24" s="19">
        <v>40000</v>
      </c>
      <c r="E24" s="19">
        <v>40000</v>
      </c>
      <c r="F24" s="19">
        <v>40000</v>
      </c>
      <c r="G24" s="19">
        <v>40000</v>
      </c>
      <c r="H24" s="19">
        <v>40000</v>
      </c>
      <c r="I24" s="19">
        <v>40000</v>
      </c>
      <c r="J24" s="19">
        <v>40000</v>
      </c>
      <c r="K24" s="19">
        <v>40000</v>
      </c>
      <c r="L24" s="19">
        <v>40000</v>
      </c>
      <c r="M24" s="19">
        <v>40000</v>
      </c>
      <c r="N24" s="19">
        <v>40000</v>
      </c>
      <c r="O24" s="19">
        <v>40000</v>
      </c>
      <c r="P24" s="19">
        <v>40000</v>
      </c>
      <c r="Q24" s="19">
        <v>40000</v>
      </c>
      <c r="R24" s="19">
        <v>40000</v>
      </c>
      <c r="S24" s="19">
        <v>40000</v>
      </c>
      <c r="T24" s="19">
        <v>40000</v>
      </c>
      <c r="U24" s="19">
        <v>40000</v>
      </c>
      <c r="V24" s="19">
        <v>40000</v>
      </c>
      <c r="W24" s="19">
        <v>40000</v>
      </c>
      <c r="X24" s="19">
        <v>40000</v>
      </c>
      <c r="Y24" s="19">
        <v>40000</v>
      </c>
      <c r="Z24" s="19">
        <v>40000</v>
      </c>
      <c r="AA24" s="17">
        <f t="shared" si="0"/>
        <v>960000</v>
      </c>
      <c r="AB24" s="18">
        <v>4</v>
      </c>
      <c r="AC24" s="17">
        <f t="shared" si="1"/>
        <v>3840000</v>
      </c>
      <c r="AD24" s="32"/>
    </row>
    <row r="25" spans="1:30" x14ac:dyDescent="0.35">
      <c r="A25" s="40"/>
      <c r="B25" s="10" t="s">
        <v>39</v>
      </c>
      <c r="C25" s="19">
        <v>40000</v>
      </c>
      <c r="D25" s="19">
        <v>40000</v>
      </c>
      <c r="E25" s="19">
        <v>40000</v>
      </c>
      <c r="F25" s="19">
        <v>40000</v>
      </c>
      <c r="G25" s="19">
        <v>40000</v>
      </c>
      <c r="H25" s="19">
        <v>40000</v>
      </c>
      <c r="I25" s="19">
        <v>40000</v>
      </c>
      <c r="J25" s="19">
        <v>40000</v>
      </c>
      <c r="K25" s="19">
        <v>40000</v>
      </c>
      <c r="L25" s="19">
        <v>40000</v>
      </c>
      <c r="M25" s="19">
        <v>40000</v>
      </c>
      <c r="N25" s="19">
        <v>40000</v>
      </c>
      <c r="O25" s="19">
        <v>40000</v>
      </c>
      <c r="P25" s="19">
        <v>40000</v>
      </c>
      <c r="Q25" s="19">
        <v>40000</v>
      </c>
      <c r="R25" s="19">
        <v>40000</v>
      </c>
      <c r="S25" s="19">
        <v>40000</v>
      </c>
      <c r="T25" s="19">
        <v>40000</v>
      </c>
      <c r="U25" s="19">
        <v>40000</v>
      </c>
      <c r="V25" s="19">
        <v>40000</v>
      </c>
      <c r="W25" s="19">
        <v>40000</v>
      </c>
      <c r="X25" s="19">
        <v>40000</v>
      </c>
      <c r="Y25" s="19">
        <v>40000</v>
      </c>
      <c r="Z25" s="19">
        <v>40000</v>
      </c>
      <c r="AA25" s="17">
        <f t="shared" si="0"/>
        <v>960000</v>
      </c>
      <c r="AB25" s="18">
        <v>5</v>
      </c>
      <c r="AC25" s="17">
        <f t="shared" si="1"/>
        <v>4800000</v>
      </c>
      <c r="AD25" s="32"/>
    </row>
    <row r="26" spans="1:30" x14ac:dyDescent="0.35">
      <c r="A26" s="41"/>
      <c r="B26" s="11" t="s">
        <v>40</v>
      </c>
      <c r="C26" s="19">
        <v>40000</v>
      </c>
      <c r="D26" s="19">
        <v>40000</v>
      </c>
      <c r="E26" s="19">
        <v>40000</v>
      </c>
      <c r="F26" s="19">
        <v>40000</v>
      </c>
      <c r="G26" s="19">
        <v>40000</v>
      </c>
      <c r="H26" s="19">
        <v>40000</v>
      </c>
      <c r="I26" s="19">
        <v>40000</v>
      </c>
      <c r="J26" s="19">
        <v>40000</v>
      </c>
      <c r="K26" s="19">
        <v>40000</v>
      </c>
      <c r="L26" s="19">
        <v>40000</v>
      </c>
      <c r="M26" s="19">
        <v>40000</v>
      </c>
      <c r="N26" s="19">
        <v>40000</v>
      </c>
      <c r="O26" s="19">
        <v>40000</v>
      </c>
      <c r="P26" s="19">
        <v>40000</v>
      </c>
      <c r="Q26" s="19">
        <v>40000</v>
      </c>
      <c r="R26" s="19">
        <v>40000</v>
      </c>
      <c r="S26" s="19">
        <v>40000</v>
      </c>
      <c r="T26" s="19">
        <v>40000</v>
      </c>
      <c r="U26" s="19">
        <v>40000</v>
      </c>
      <c r="V26" s="19">
        <v>40000</v>
      </c>
      <c r="W26" s="19">
        <v>40000</v>
      </c>
      <c r="X26" s="19">
        <v>40000</v>
      </c>
      <c r="Y26" s="19">
        <v>40000</v>
      </c>
      <c r="Z26" s="19">
        <v>40000</v>
      </c>
      <c r="AA26" s="17">
        <f t="shared" si="0"/>
        <v>960000</v>
      </c>
      <c r="AB26" s="18">
        <v>3</v>
      </c>
      <c r="AC26" s="17">
        <f t="shared" si="1"/>
        <v>2880000</v>
      </c>
      <c r="AD26" s="33"/>
    </row>
    <row r="27" spans="1:30" x14ac:dyDescent="0.35">
      <c r="A27" s="39">
        <v>46539</v>
      </c>
      <c r="B27" s="9" t="s">
        <v>37</v>
      </c>
      <c r="C27" s="19">
        <v>40000</v>
      </c>
      <c r="D27" s="19">
        <v>40000</v>
      </c>
      <c r="E27" s="19">
        <v>40000</v>
      </c>
      <c r="F27" s="19">
        <v>40000</v>
      </c>
      <c r="G27" s="19">
        <v>40000</v>
      </c>
      <c r="H27" s="19">
        <v>40000</v>
      </c>
      <c r="I27" s="19">
        <v>40000</v>
      </c>
      <c r="J27" s="19">
        <v>40000</v>
      </c>
      <c r="K27" s="19">
        <v>40000</v>
      </c>
      <c r="L27" s="19">
        <v>40000</v>
      </c>
      <c r="M27" s="19">
        <v>40000</v>
      </c>
      <c r="N27" s="19">
        <v>40000</v>
      </c>
      <c r="O27" s="19">
        <v>40000</v>
      </c>
      <c r="P27" s="19">
        <v>40000</v>
      </c>
      <c r="Q27" s="19">
        <v>40000</v>
      </c>
      <c r="R27" s="19">
        <v>40000</v>
      </c>
      <c r="S27" s="19">
        <v>40000</v>
      </c>
      <c r="T27" s="19">
        <v>40000</v>
      </c>
      <c r="U27" s="19">
        <v>40000</v>
      </c>
      <c r="V27" s="19">
        <v>40000</v>
      </c>
      <c r="W27" s="19">
        <v>40000</v>
      </c>
      <c r="X27" s="19">
        <v>40000</v>
      </c>
      <c r="Y27" s="19">
        <v>40000</v>
      </c>
      <c r="Z27" s="19">
        <v>40000</v>
      </c>
      <c r="AA27" s="17">
        <f t="shared" si="0"/>
        <v>960000</v>
      </c>
      <c r="AB27" s="18">
        <v>21</v>
      </c>
      <c r="AC27" s="17">
        <f t="shared" si="1"/>
        <v>20160000</v>
      </c>
      <c r="AD27" s="31">
        <f>+SUM(AC27:AC30)</f>
        <v>28800000</v>
      </c>
    </row>
    <row r="28" spans="1:30" x14ac:dyDescent="0.35">
      <c r="A28" s="40"/>
      <c r="B28" s="10" t="s">
        <v>38</v>
      </c>
      <c r="C28" s="19">
        <v>40000</v>
      </c>
      <c r="D28" s="19">
        <v>40000</v>
      </c>
      <c r="E28" s="19">
        <v>40000</v>
      </c>
      <c r="F28" s="19">
        <v>40000</v>
      </c>
      <c r="G28" s="19">
        <v>40000</v>
      </c>
      <c r="H28" s="19">
        <v>40000</v>
      </c>
      <c r="I28" s="19">
        <v>40000</v>
      </c>
      <c r="J28" s="19">
        <v>40000</v>
      </c>
      <c r="K28" s="19">
        <v>40000</v>
      </c>
      <c r="L28" s="19">
        <v>40000</v>
      </c>
      <c r="M28" s="19">
        <v>40000</v>
      </c>
      <c r="N28" s="19">
        <v>40000</v>
      </c>
      <c r="O28" s="19">
        <v>40000</v>
      </c>
      <c r="P28" s="19">
        <v>40000</v>
      </c>
      <c r="Q28" s="19">
        <v>40000</v>
      </c>
      <c r="R28" s="19">
        <v>40000</v>
      </c>
      <c r="S28" s="19">
        <v>40000</v>
      </c>
      <c r="T28" s="19">
        <v>40000</v>
      </c>
      <c r="U28" s="19">
        <v>40000</v>
      </c>
      <c r="V28" s="19">
        <v>40000</v>
      </c>
      <c r="W28" s="19">
        <v>40000</v>
      </c>
      <c r="X28" s="19">
        <v>40000</v>
      </c>
      <c r="Y28" s="19">
        <v>40000</v>
      </c>
      <c r="Z28" s="19">
        <v>40000</v>
      </c>
      <c r="AA28" s="17">
        <f t="shared" si="0"/>
        <v>960000</v>
      </c>
      <c r="AB28" s="18">
        <v>4</v>
      </c>
      <c r="AC28" s="17">
        <f t="shared" si="1"/>
        <v>3840000</v>
      </c>
      <c r="AD28" s="32"/>
    </row>
    <row r="29" spans="1:30" x14ac:dyDescent="0.35">
      <c r="A29" s="40"/>
      <c r="B29" s="10" t="s">
        <v>39</v>
      </c>
      <c r="C29" s="19">
        <v>40000</v>
      </c>
      <c r="D29" s="19">
        <v>40000</v>
      </c>
      <c r="E29" s="19">
        <v>40000</v>
      </c>
      <c r="F29" s="19">
        <v>40000</v>
      </c>
      <c r="G29" s="19">
        <v>40000</v>
      </c>
      <c r="H29" s="19">
        <v>40000</v>
      </c>
      <c r="I29" s="19">
        <v>40000</v>
      </c>
      <c r="J29" s="19">
        <v>40000</v>
      </c>
      <c r="K29" s="19">
        <v>40000</v>
      </c>
      <c r="L29" s="19">
        <v>40000</v>
      </c>
      <c r="M29" s="19">
        <v>40000</v>
      </c>
      <c r="N29" s="19">
        <v>40000</v>
      </c>
      <c r="O29" s="19">
        <v>40000</v>
      </c>
      <c r="P29" s="19">
        <v>40000</v>
      </c>
      <c r="Q29" s="19">
        <v>40000</v>
      </c>
      <c r="R29" s="19">
        <v>40000</v>
      </c>
      <c r="S29" s="19">
        <v>40000</v>
      </c>
      <c r="T29" s="19">
        <v>40000</v>
      </c>
      <c r="U29" s="19">
        <v>40000</v>
      </c>
      <c r="V29" s="19">
        <v>40000</v>
      </c>
      <c r="W29" s="19">
        <v>40000</v>
      </c>
      <c r="X29" s="19">
        <v>40000</v>
      </c>
      <c r="Y29" s="19">
        <v>40000</v>
      </c>
      <c r="Z29" s="19">
        <v>40000</v>
      </c>
      <c r="AA29" s="17">
        <f t="shared" si="0"/>
        <v>960000</v>
      </c>
      <c r="AB29" s="18">
        <v>4</v>
      </c>
      <c r="AC29" s="17">
        <f t="shared" si="1"/>
        <v>3840000</v>
      </c>
      <c r="AD29" s="32"/>
    </row>
    <row r="30" spans="1:30" x14ac:dyDescent="0.35">
      <c r="A30" s="41"/>
      <c r="B30" s="11" t="s">
        <v>40</v>
      </c>
      <c r="C30" s="19">
        <v>40000</v>
      </c>
      <c r="D30" s="19">
        <v>40000</v>
      </c>
      <c r="E30" s="19">
        <v>40000</v>
      </c>
      <c r="F30" s="19">
        <v>40000</v>
      </c>
      <c r="G30" s="19">
        <v>40000</v>
      </c>
      <c r="H30" s="19">
        <v>40000</v>
      </c>
      <c r="I30" s="19">
        <v>40000</v>
      </c>
      <c r="J30" s="19">
        <v>40000</v>
      </c>
      <c r="K30" s="19">
        <v>40000</v>
      </c>
      <c r="L30" s="19">
        <v>40000</v>
      </c>
      <c r="M30" s="19">
        <v>40000</v>
      </c>
      <c r="N30" s="19">
        <v>40000</v>
      </c>
      <c r="O30" s="19">
        <v>40000</v>
      </c>
      <c r="P30" s="19">
        <v>40000</v>
      </c>
      <c r="Q30" s="19">
        <v>40000</v>
      </c>
      <c r="R30" s="19">
        <v>40000</v>
      </c>
      <c r="S30" s="19">
        <v>40000</v>
      </c>
      <c r="T30" s="19">
        <v>40000</v>
      </c>
      <c r="U30" s="19">
        <v>40000</v>
      </c>
      <c r="V30" s="19">
        <v>40000</v>
      </c>
      <c r="W30" s="19">
        <v>40000</v>
      </c>
      <c r="X30" s="19">
        <v>40000</v>
      </c>
      <c r="Y30" s="19">
        <v>40000</v>
      </c>
      <c r="Z30" s="19">
        <v>40000</v>
      </c>
      <c r="AA30" s="17">
        <f t="shared" si="0"/>
        <v>960000</v>
      </c>
      <c r="AB30" s="18">
        <v>1</v>
      </c>
      <c r="AC30" s="17">
        <f t="shared" si="1"/>
        <v>960000</v>
      </c>
      <c r="AD30" s="33"/>
    </row>
    <row r="31" spans="1:30" x14ac:dyDescent="0.35">
      <c r="A31" s="39">
        <v>46569</v>
      </c>
      <c r="B31" s="9" t="s">
        <v>37</v>
      </c>
      <c r="C31" s="19">
        <v>40000</v>
      </c>
      <c r="D31" s="19">
        <v>40000</v>
      </c>
      <c r="E31" s="19">
        <v>40000</v>
      </c>
      <c r="F31" s="19">
        <v>40000</v>
      </c>
      <c r="G31" s="19">
        <v>40000</v>
      </c>
      <c r="H31" s="19">
        <v>40000</v>
      </c>
      <c r="I31" s="19">
        <v>40000</v>
      </c>
      <c r="J31" s="19">
        <v>40000</v>
      </c>
      <c r="K31" s="19">
        <v>40000</v>
      </c>
      <c r="L31" s="19">
        <v>40000</v>
      </c>
      <c r="M31" s="19">
        <v>40000</v>
      </c>
      <c r="N31" s="19">
        <v>40000</v>
      </c>
      <c r="O31" s="19">
        <v>40000</v>
      </c>
      <c r="P31" s="19">
        <v>40000</v>
      </c>
      <c r="Q31" s="19">
        <v>40000</v>
      </c>
      <c r="R31" s="19">
        <v>40000</v>
      </c>
      <c r="S31" s="19">
        <v>40000</v>
      </c>
      <c r="T31" s="19">
        <v>40000</v>
      </c>
      <c r="U31" s="19">
        <v>40000</v>
      </c>
      <c r="V31" s="19">
        <v>40000</v>
      </c>
      <c r="W31" s="19">
        <v>40000</v>
      </c>
      <c r="X31" s="19">
        <v>40000</v>
      </c>
      <c r="Y31" s="19">
        <v>40000</v>
      </c>
      <c r="Z31" s="19">
        <v>40000</v>
      </c>
      <c r="AA31" s="17">
        <f t="shared" si="0"/>
        <v>960000</v>
      </c>
      <c r="AB31" s="18">
        <v>20</v>
      </c>
      <c r="AC31" s="17">
        <f t="shared" si="1"/>
        <v>19200000</v>
      </c>
      <c r="AD31" s="31">
        <f>+SUM(AC31:AC34)</f>
        <v>29760000</v>
      </c>
    </row>
    <row r="32" spans="1:30" x14ac:dyDescent="0.35">
      <c r="A32" s="40"/>
      <c r="B32" s="10" t="s">
        <v>38</v>
      </c>
      <c r="C32" s="19">
        <v>40000</v>
      </c>
      <c r="D32" s="19">
        <v>40000</v>
      </c>
      <c r="E32" s="19">
        <v>40000</v>
      </c>
      <c r="F32" s="19">
        <v>40000</v>
      </c>
      <c r="G32" s="19">
        <v>40000</v>
      </c>
      <c r="H32" s="19">
        <v>40000</v>
      </c>
      <c r="I32" s="19">
        <v>40000</v>
      </c>
      <c r="J32" s="19">
        <v>40000</v>
      </c>
      <c r="K32" s="19">
        <v>40000</v>
      </c>
      <c r="L32" s="19">
        <v>40000</v>
      </c>
      <c r="M32" s="19">
        <v>40000</v>
      </c>
      <c r="N32" s="19">
        <v>40000</v>
      </c>
      <c r="O32" s="19">
        <v>40000</v>
      </c>
      <c r="P32" s="19">
        <v>40000</v>
      </c>
      <c r="Q32" s="19">
        <v>40000</v>
      </c>
      <c r="R32" s="19">
        <v>40000</v>
      </c>
      <c r="S32" s="19">
        <v>40000</v>
      </c>
      <c r="T32" s="19">
        <v>40000</v>
      </c>
      <c r="U32" s="19">
        <v>40000</v>
      </c>
      <c r="V32" s="19">
        <v>40000</v>
      </c>
      <c r="W32" s="19">
        <v>40000</v>
      </c>
      <c r="X32" s="19">
        <v>40000</v>
      </c>
      <c r="Y32" s="19">
        <v>40000</v>
      </c>
      <c r="Z32" s="19">
        <v>40000</v>
      </c>
      <c r="AA32" s="17">
        <f t="shared" si="0"/>
        <v>960000</v>
      </c>
      <c r="AB32" s="18">
        <v>5</v>
      </c>
      <c r="AC32" s="17">
        <f t="shared" si="1"/>
        <v>4800000</v>
      </c>
      <c r="AD32" s="32"/>
    </row>
    <row r="33" spans="1:30" x14ac:dyDescent="0.35">
      <c r="A33" s="40"/>
      <c r="B33" s="10" t="s">
        <v>39</v>
      </c>
      <c r="C33" s="19">
        <v>40000</v>
      </c>
      <c r="D33" s="19">
        <v>40000</v>
      </c>
      <c r="E33" s="19">
        <v>40000</v>
      </c>
      <c r="F33" s="19">
        <v>40000</v>
      </c>
      <c r="G33" s="19">
        <v>40000</v>
      </c>
      <c r="H33" s="19">
        <v>40000</v>
      </c>
      <c r="I33" s="19">
        <v>40000</v>
      </c>
      <c r="J33" s="19">
        <v>40000</v>
      </c>
      <c r="K33" s="19">
        <v>40000</v>
      </c>
      <c r="L33" s="19">
        <v>40000</v>
      </c>
      <c r="M33" s="19">
        <v>40000</v>
      </c>
      <c r="N33" s="19">
        <v>40000</v>
      </c>
      <c r="O33" s="19">
        <v>40000</v>
      </c>
      <c r="P33" s="19">
        <v>40000</v>
      </c>
      <c r="Q33" s="19">
        <v>40000</v>
      </c>
      <c r="R33" s="19">
        <v>40000</v>
      </c>
      <c r="S33" s="19">
        <v>40000</v>
      </c>
      <c r="T33" s="19">
        <v>40000</v>
      </c>
      <c r="U33" s="19">
        <v>40000</v>
      </c>
      <c r="V33" s="19">
        <v>40000</v>
      </c>
      <c r="W33" s="19">
        <v>40000</v>
      </c>
      <c r="X33" s="19">
        <v>40000</v>
      </c>
      <c r="Y33" s="19">
        <v>40000</v>
      </c>
      <c r="Z33" s="19">
        <v>40000</v>
      </c>
      <c r="AA33" s="17">
        <f t="shared" si="0"/>
        <v>960000</v>
      </c>
      <c r="AB33" s="18">
        <v>4</v>
      </c>
      <c r="AC33" s="17">
        <f t="shared" si="1"/>
        <v>3840000</v>
      </c>
      <c r="AD33" s="32"/>
    </row>
    <row r="34" spans="1:30" x14ac:dyDescent="0.35">
      <c r="A34" s="41"/>
      <c r="B34" s="11" t="s">
        <v>40</v>
      </c>
      <c r="C34" s="19">
        <v>40000</v>
      </c>
      <c r="D34" s="19">
        <v>40000</v>
      </c>
      <c r="E34" s="19">
        <v>40000</v>
      </c>
      <c r="F34" s="19">
        <v>40000</v>
      </c>
      <c r="G34" s="19">
        <v>40000</v>
      </c>
      <c r="H34" s="19">
        <v>40000</v>
      </c>
      <c r="I34" s="19">
        <v>40000</v>
      </c>
      <c r="J34" s="19">
        <v>40000</v>
      </c>
      <c r="K34" s="19">
        <v>40000</v>
      </c>
      <c r="L34" s="19">
        <v>40000</v>
      </c>
      <c r="M34" s="19">
        <v>40000</v>
      </c>
      <c r="N34" s="19">
        <v>40000</v>
      </c>
      <c r="O34" s="19">
        <v>40000</v>
      </c>
      <c r="P34" s="19">
        <v>40000</v>
      </c>
      <c r="Q34" s="19">
        <v>40000</v>
      </c>
      <c r="R34" s="19">
        <v>40000</v>
      </c>
      <c r="S34" s="19">
        <v>40000</v>
      </c>
      <c r="T34" s="19">
        <v>40000</v>
      </c>
      <c r="U34" s="19">
        <v>40000</v>
      </c>
      <c r="V34" s="19">
        <v>40000</v>
      </c>
      <c r="W34" s="19">
        <v>40000</v>
      </c>
      <c r="X34" s="19">
        <v>40000</v>
      </c>
      <c r="Y34" s="19">
        <v>40000</v>
      </c>
      <c r="Z34" s="19">
        <v>40000</v>
      </c>
      <c r="AA34" s="17">
        <f t="shared" si="0"/>
        <v>960000</v>
      </c>
      <c r="AB34" s="18">
        <v>2</v>
      </c>
      <c r="AC34" s="17">
        <f t="shared" si="1"/>
        <v>1920000</v>
      </c>
      <c r="AD34" s="33"/>
    </row>
    <row r="35" spans="1:30" x14ac:dyDescent="0.35">
      <c r="A35" s="39">
        <v>46600</v>
      </c>
      <c r="B35" s="9" t="s">
        <v>37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7">
        <f t="shared" si="0"/>
        <v>0</v>
      </c>
      <c r="AB35" s="18">
        <v>21</v>
      </c>
      <c r="AC35" s="17">
        <f t="shared" si="1"/>
        <v>0</v>
      </c>
      <c r="AD35" s="31">
        <f>+SUM(AC35:AC38)</f>
        <v>0</v>
      </c>
    </row>
    <row r="36" spans="1:30" x14ac:dyDescent="0.35">
      <c r="A36" s="40"/>
      <c r="B36" s="10" t="s">
        <v>38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7">
        <f t="shared" si="0"/>
        <v>0</v>
      </c>
      <c r="AB36" s="18">
        <v>3</v>
      </c>
      <c r="AC36" s="17">
        <f t="shared" si="1"/>
        <v>0</v>
      </c>
      <c r="AD36" s="32"/>
    </row>
    <row r="37" spans="1:30" x14ac:dyDescent="0.35">
      <c r="A37" s="40"/>
      <c r="B37" s="10" t="s">
        <v>39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7">
        <f t="shared" si="0"/>
        <v>0</v>
      </c>
      <c r="AB37" s="18">
        <v>5</v>
      </c>
      <c r="AC37" s="17">
        <f t="shared" si="1"/>
        <v>0</v>
      </c>
      <c r="AD37" s="32"/>
    </row>
    <row r="38" spans="1:30" x14ac:dyDescent="0.35">
      <c r="A38" s="41"/>
      <c r="B38" s="11" t="s">
        <v>40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7">
        <f t="shared" si="0"/>
        <v>0</v>
      </c>
      <c r="AB38" s="18">
        <v>2</v>
      </c>
      <c r="AC38" s="17">
        <f t="shared" si="1"/>
        <v>0</v>
      </c>
      <c r="AD38" s="33"/>
    </row>
    <row r="39" spans="1:30" x14ac:dyDescent="0.35">
      <c r="A39" s="39">
        <v>46631</v>
      </c>
      <c r="B39" s="9" t="s">
        <v>37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7">
        <f t="shared" si="0"/>
        <v>0</v>
      </c>
      <c r="AB39" s="18">
        <v>22</v>
      </c>
      <c r="AC39" s="17">
        <f t="shared" si="1"/>
        <v>0</v>
      </c>
      <c r="AD39" s="31">
        <f>+SUM(AC39:AC42)</f>
        <v>0</v>
      </c>
    </row>
    <row r="40" spans="1:30" x14ac:dyDescent="0.35">
      <c r="A40" s="40"/>
      <c r="B40" s="10" t="s">
        <v>38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7">
        <f t="shared" si="0"/>
        <v>0</v>
      </c>
      <c r="AB40" s="18">
        <v>4</v>
      </c>
      <c r="AC40" s="17">
        <f t="shared" si="1"/>
        <v>0</v>
      </c>
      <c r="AD40" s="32"/>
    </row>
    <row r="41" spans="1:30" x14ac:dyDescent="0.35">
      <c r="A41" s="40"/>
      <c r="B41" s="10" t="s">
        <v>39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7">
        <f t="shared" si="0"/>
        <v>0</v>
      </c>
      <c r="AB41" s="18">
        <v>4</v>
      </c>
      <c r="AC41" s="17">
        <f t="shared" si="1"/>
        <v>0</v>
      </c>
      <c r="AD41" s="32"/>
    </row>
    <row r="42" spans="1:30" x14ac:dyDescent="0.35">
      <c r="A42" s="41"/>
      <c r="B42" s="11" t="s">
        <v>40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7">
        <f t="shared" si="0"/>
        <v>0</v>
      </c>
      <c r="AB42" s="18">
        <v>0</v>
      </c>
      <c r="AC42" s="17">
        <f t="shared" si="1"/>
        <v>0</v>
      </c>
      <c r="AD42" s="33"/>
    </row>
    <row r="43" spans="1:30" x14ac:dyDescent="0.35">
      <c r="A43" s="39">
        <v>46661</v>
      </c>
      <c r="B43" s="9" t="s">
        <v>37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7">
        <f t="shared" si="0"/>
        <v>0</v>
      </c>
      <c r="AB43" s="18">
        <v>20</v>
      </c>
      <c r="AC43" s="17">
        <f t="shared" si="1"/>
        <v>0</v>
      </c>
      <c r="AD43" s="31">
        <f>+SUM(AC43:AC46)</f>
        <v>0</v>
      </c>
    </row>
    <row r="44" spans="1:30" x14ac:dyDescent="0.35">
      <c r="A44" s="40"/>
      <c r="B44" s="10" t="s">
        <v>38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7">
        <f t="shared" si="0"/>
        <v>0</v>
      </c>
      <c r="AB44" s="18">
        <v>5</v>
      </c>
      <c r="AC44" s="17">
        <f t="shared" si="1"/>
        <v>0</v>
      </c>
      <c r="AD44" s="32"/>
    </row>
    <row r="45" spans="1:30" x14ac:dyDescent="0.35">
      <c r="A45" s="40"/>
      <c r="B45" s="10" t="s">
        <v>39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7">
        <f t="shared" si="0"/>
        <v>0</v>
      </c>
      <c r="AB45" s="18">
        <v>5</v>
      </c>
      <c r="AC45" s="17">
        <f t="shared" si="1"/>
        <v>0</v>
      </c>
      <c r="AD45" s="32"/>
    </row>
    <row r="46" spans="1:30" x14ac:dyDescent="0.35">
      <c r="A46" s="41"/>
      <c r="B46" s="11" t="s">
        <v>40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7">
        <f t="shared" si="0"/>
        <v>0</v>
      </c>
      <c r="AB46" s="18">
        <v>1</v>
      </c>
      <c r="AC46" s="17">
        <f t="shared" si="1"/>
        <v>0</v>
      </c>
      <c r="AD46" s="33"/>
    </row>
    <row r="47" spans="1:30" x14ac:dyDescent="0.35">
      <c r="A47" s="39">
        <v>46692</v>
      </c>
      <c r="B47" s="9" t="s">
        <v>37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7">
        <f t="shared" si="0"/>
        <v>0</v>
      </c>
      <c r="AB47" s="18">
        <v>20</v>
      </c>
      <c r="AC47" s="17">
        <f t="shared" si="1"/>
        <v>0</v>
      </c>
      <c r="AD47" s="31">
        <f>+SUM(AC47:AC50)</f>
        <v>0</v>
      </c>
    </row>
    <row r="48" spans="1:30" x14ac:dyDescent="0.35">
      <c r="A48" s="40"/>
      <c r="B48" s="10" t="s">
        <v>38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7">
        <f t="shared" si="0"/>
        <v>0</v>
      </c>
      <c r="AB48" s="18">
        <v>4</v>
      </c>
      <c r="AC48" s="17">
        <f t="shared" si="1"/>
        <v>0</v>
      </c>
      <c r="AD48" s="32"/>
    </row>
    <row r="49" spans="1:30" x14ac:dyDescent="0.35">
      <c r="A49" s="40"/>
      <c r="B49" s="10" t="s">
        <v>39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7">
        <f t="shared" si="0"/>
        <v>0</v>
      </c>
      <c r="AB49" s="18">
        <v>4</v>
      </c>
      <c r="AC49" s="17">
        <f t="shared" si="1"/>
        <v>0</v>
      </c>
      <c r="AD49" s="32"/>
    </row>
    <row r="50" spans="1:30" x14ac:dyDescent="0.35">
      <c r="A50" s="41"/>
      <c r="B50" s="11" t="s">
        <v>40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7">
        <f t="shared" si="0"/>
        <v>0</v>
      </c>
      <c r="AB50" s="18">
        <v>2</v>
      </c>
      <c r="AC50" s="17">
        <f t="shared" si="1"/>
        <v>0</v>
      </c>
      <c r="AD50" s="33"/>
    </row>
    <row r="51" spans="1:30" x14ac:dyDescent="0.35">
      <c r="A51" s="39">
        <v>46722</v>
      </c>
      <c r="B51" s="9" t="s">
        <v>37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7">
        <f t="shared" si="0"/>
        <v>0</v>
      </c>
      <c r="AB51" s="18">
        <v>22</v>
      </c>
      <c r="AC51" s="17">
        <f t="shared" si="1"/>
        <v>0</v>
      </c>
      <c r="AD51" s="31">
        <f>+SUM(AC51:AC54)</f>
        <v>0</v>
      </c>
    </row>
    <row r="52" spans="1:30" x14ac:dyDescent="0.35">
      <c r="A52" s="40"/>
      <c r="B52" s="10" t="s">
        <v>38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7">
        <f t="shared" si="0"/>
        <v>0</v>
      </c>
      <c r="AB52" s="18">
        <v>3</v>
      </c>
      <c r="AC52" s="17">
        <f t="shared" si="1"/>
        <v>0</v>
      </c>
      <c r="AD52" s="32"/>
    </row>
    <row r="53" spans="1:30" x14ac:dyDescent="0.35">
      <c r="A53" s="40"/>
      <c r="B53" s="10" t="s">
        <v>39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7">
        <f t="shared" si="0"/>
        <v>0</v>
      </c>
      <c r="AB53" s="18">
        <v>4</v>
      </c>
      <c r="AC53" s="17">
        <f t="shared" si="1"/>
        <v>0</v>
      </c>
      <c r="AD53" s="32"/>
    </row>
    <row r="54" spans="1:30" x14ac:dyDescent="0.35">
      <c r="A54" s="41"/>
      <c r="B54" s="11" t="s">
        <v>40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7">
        <f t="shared" si="0"/>
        <v>0</v>
      </c>
      <c r="AB54" s="18">
        <v>2</v>
      </c>
      <c r="AC54" s="17">
        <f t="shared" si="1"/>
        <v>0</v>
      </c>
      <c r="AD54" s="33"/>
    </row>
    <row r="55" spans="1:30" x14ac:dyDescent="0.3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6">
        <f>SUM(AD7:AD51)</f>
        <v>203520000</v>
      </c>
    </row>
  </sheetData>
  <mergeCells count="28"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  <mergeCell ref="A23:A26"/>
    <mergeCell ref="AD23:AD26"/>
    <mergeCell ref="A27:A30"/>
    <mergeCell ref="AD27:AD30"/>
    <mergeCell ref="A31:A34"/>
    <mergeCell ref="AD31:AD34"/>
    <mergeCell ref="A11:A14"/>
    <mergeCell ref="AD11:AD14"/>
    <mergeCell ref="A15:A18"/>
    <mergeCell ref="AD15:AD18"/>
    <mergeCell ref="A19:A22"/>
    <mergeCell ref="AD19:AD22"/>
    <mergeCell ref="AD7:AD10"/>
    <mergeCell ref="A1:D1"/>
    <mergeCell ref="A2:L2"/>
    <mergeCell ref="A4:B4"/>
    <mergeCell ref="C4:D4"/>
    <mergeCell ref="A7:A10"/>
  </mergeCells>
  <conditionalFormatting sqref="C7:Z54">
    <cfRule type="cellIs" dxfId="0" priority="1" operator="less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 P1 </vt:lpstr>
      <vt:lpstr>PLANA 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MARCELA VANESSA COLMENARES VILLAMIZAR</cp:lastModifiedBy>
  <dcterms:created xsi:type="dcterms:W3CDTF">2024-08-30T16:40:26Z</dcterms:created>
  <dcterms:modified xsi:type="dcterms:W3CDTF">2026-10-08T19:20:19Z</dcterms:modified>
</cp:coreProperties>
</file>