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atiasaesp.sharepoint.com/sites/300.COMERCIAL/Documentos compartidos/330-MEM/Ulises/LICITACIONES/LICITACIONES 2026/VATIA/CP-GNCC2026-001/1. PLIEGOS DE CONDICIONES/Definitivos/"/>
    </mc:Choice>
  </mc:AlternateContent>
  <xr:revisionPtr revIDLastSave="13" documentId="6_{F2301E68-239F-4765-AA8F-2B0BE2FA84F1}" xr6:coauthVersionLast="47" xr6:coauthVersionMax="47" xr10:uidLastSave="{60654875-128A-4AE6-A847-0DE26DBC168D}"/>
  <bookViews>
    <workbookView xWindow="-28910" yWindow="-110" windowWidth="29020" windowHeight="15700" tabRatio="802" xr2:uid="{00000000-000D-0000-FFFF-FFFF00000000}"/>
  </bookViews>
  <sheets>
    <sheet name="PRODUCTO 01" sheetId="66" r:id="rId1"/>
    <sheet name="Cantidades horarias PROD 01 " sheetId="81" r:id="rId2"/>
    <sheet name="calendario" sheetId="17" state="hidden" r:id="rId3"/>
    <sheet name="curvas típicas de referencia" sheetId="3" state="hidden" r:id="rId4"/>
  </sheets>
  <definedNames>
    <definedName name="_xlnm._FilterDatabase" localSheetId="2" hidden="1">calendario!$A$2:$D$38</definedName>
    <definedName name="_xlnm._FilterDatabase" localSheetId="1" hidden="1">'Cantidades horarias PROD 01 '!$A$8:$AF$137</definedName>
    <definedName name="_xlnm.Print_Area" localSheetId="0">'PRODUCTO 01'!$A$2:$J$152</definedName>
    <definedName name="Z_5E23C26A_5DA4_4377_864E_D3BECE131DEC_.wvu.PrintArea" localSheetId="0" hidden="1">'PRODUCTO 01'!#REF!</definedName>
    <definedName name="Z_66AA70F6_2777_42C7_BDA0_CD16FFB959D9_.wvu.PrintArea" localSheetId="0" hidden="1">'PRODUCTO 01'!#REF!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81" l="1"/>
  <c r="B125" i="81"/>
  <c r="A125" i="81"/>
  <c r="C125" i="81" s="1"/>
  <c r="B124" i="81"/>
  <c r="A124" i="81"/>
  <c r="B123" i="81"/>
  <c r="A123" i="81"/>
  <c r="C123" i="81" s="1"/>
  <c r="B122" i="81"/>
  <c r="A122" i="81"/>
  <c r="B121" i="81"/>
  <c r="A121" i="81"/>
  <c r="C121" i="81" s="1"/>
  <c r="B120" i="81"/>
  <c r="A120" i="81"/>
  <c r="B119" i="81"/>
  <c r="A119" i="81"/>
  <c r="C119" i="81" s="1"/>
  <c r="B118" i="81"/>
  <c r="A118" i="81"/>
  <c r="B117" i="81"/>
  <c r="A117" i="81"/>
  <c r="C117" i="81" s="1"/>
  <c r="B116" i="81"/>
  <c r="A116" i="81"/>
  <c r="B115" i="81"/>
  <c r="A115" i="81"/>
  <c r="C115" i="81" s="1"/>
  <c r="B114" i="81"/>
  <c r="A114" i="81"/>
  <c r="A9" i="81"/>
  <c r="B9" i="81"/>
  <c r="A10" i="81"/>
  <c r="B10" i="81"/>
  <c r="A11" i="81"/>
  <c r="B11" i="81"/>
  <c r="A12" i="81"/>
  <c r="B12" i="81"/>
  <c r="A13" i="81"/>
  <c r="B13" i="81"/>
  <c r="C13" i="81" s="1"/>
  <c r="A14" i="81"/>
  <c r="B14" i="81"/>
  <c r="A15" i="81"/>
  <c r="B15" i="81"/>
  <c r="A16" i="81"/>
  <c r="B16" i="81"/>
  <c r="A17" i="81"/>
  <c r="B17" i="81"/>
  <c r="A18" i="81"/>
  <c r="B18" i="81"/>
  <c r="A19" i="81"/>
  <c r="B19" i="81"/>
  <c r="C19" i="81" s="1"/>
  <c r="A20" i="81"/>
  <c r="B20" i="81"/>
  <c r="A21" i="81"/>
  <c r="B21" i="81"/>
  <c r="A22" i="81"/>
  <c r="B22" i="81"/>
  <c r="A23" i="81"/>
  <c r="B23" i="81"/>
  <c r="A24" i="81"/>
  <c r="B24" i="81"/>
  <c r="A25" i="81"/>
  <c r="B25" i="81"/>
  <c r="C25" i="81" s="1"/>
  <c r="A26" i="81"/>
  <c r="B26" i="81"/>
  <c r="A27" i="81"/>
  <c r="B27" i="81"/>
  <c r="A28" i="81"/>
  <c r="B28" i="81"/>
  <c r="A29" i="81"/>
  <c r="B29" i="81"/>
  <c r="A30" i="81"/>
  <c r="B30" i="81"/>
  <c r="A31" i="81"/>
  <c r="B31" i="81"/>
  <c r="A32" i="81"/>
  <c r="B32" i="81"/>
  <c r="A33" i="81"/>
  <c r="B33" i="81"/>
  <c r="A34" i="81"/>
  <c r="B34" i="81"/>
  <c r="A35" i="81"/>
  <c r="B35" i="81"/>
  <c r="A36" i="81"/>
  <c r="B36" i="81"/>
  <c r="A37" i="81"/>
  <c r="B37" i="81"/>
  <c r="C37" i="81" s="1"/>
  <c r="A38" i="81"/>
  <c r="B38" i="81"/>
  <c r="A39" i="81"/>
  <c r="B39" i="81"/>
  <c r="A40" i="81"/>
  <c r="B40" i="81"/>
  <c r="A41" i="81"/>
  <c r="B41" i="81"/>
  <c r="A42" i="81"/>
  <c r="B42" i="81"/>
  <c r="A43" i="81"/>
  <c r="B43" i="81"/>
  <c r="C43" i="81" s="1"/>
  <c r="A44" i="81"/>
  <c r="B44" i="81"/>
  <c r="A45" i="81"/>
  <c r="B45" i="81"/>
  <c r="A46" i="81"/>
  <c r="B46" i="81"/>
  <c r="A47" i="81"/>
  <c r="B47" i="81"/>
  <c r="A48" i="81"/>
  <c r="B48" i="81"/>
  <c r="A49" i="81"/>
  <c r="B49" i="81"/>
  <c r="C49" i="81" s="1"/>
  <c r="A50" i="81"/>
  <c r="B50" i="81"/>
  <c r="A51" i="81"/>
  <c r="B51" i="81"/>
  <c r="A52" i="81"/>
  <c r="B52" i="81"/>
  <c r="A53" i="81"/>
  <c r="B53" i="81"/>
  <c r="A54" i="81"/>
  <c r="B54" i="81"/>
  <c r="A55" i="81"/>
  <c r="B55" i="81"/>
  <c r="A56" i="81"/>
  <c r="B56" i="81"/>
  <c r="A57" i="81"/>
  <c r="B57" i="81"/>
  <c r="A58" i="81"/>
  <c r="B58" i="81"/>
  <c r="A59" i="81"/>
  <c r="B59" i="81"/>
  <c r="A60" i="81"/>
  <c r="B60" i="81"/>
  <c r="A61" i="81"/>
  <c r="B61" i="81"/>
  <c r="C61" i="81" s="1"/>
  <c r="A62" i="81"/>
  <c r="B62" i="81"/>
  <c r="A63" i="81"/>
  <c r="B63" i="81"/>
  <c r="A64" i="81"/>
  <c r="B64" i="81"/>
  <c r="A65" i="81"/>
  <c r="B65" i="81"/>
  <c r="A66" i="81"/>
  <c r="B66" i="81"/>
  <c r="A67" i="81"/>
  <c r="B67" i="81"/>
  <c r="C67" i="81" s="1"/>
  <c r="A68" i="81"/>
  <c r="B68" i="81"/>
  <c r="A69" i="81"/>
  <c r="B69" i="81"/>
  <c r="A70" i="81"/>
  <c r="B70" i="81"/>
  <c r="A71" i="81"/>
  <c r="B71" i="81"/>
  <c r="A72" i="81"/>
  <c r="B72" i="81"/>
  <c r="A73" i="81"/>
  <c r="B73" i="81"/>
  <c r="C73" i="81" s="1"/>
  <c r="A74" i="81"/>
  <c r="B74" i="81"/>
  <c r="A75" i="81"/>
  <c r="B75" i="81"/>
  <c r="A76" i="81"/>
  <c r="B76" i="81"/>
  <c r="A77" i="81"/>
  <c r="B77" i="81"/>
  <c r="A78" i="81"/>
  <c r="B78" i="81"/>
  <c r="A79" i="81"/>
  <c r="B79" i="81"/>
  <c r="C79" i="81" s="1"/>
  <c r="A80" i="81"/>
  <c r="B80" i="81"/>
  <c r="A81" i="81"/>
  <c r="B81" i="81"/>
  <c r="A82" i="81"/>
  <c r="B82" i="81"/>
  <c r="A83" i="81"/>
  <c r="B83" i="81"/>
  <c r="A84" i="81"/>
  <c r="B84" i="81"/>
  <c r="A85" i="81"/>
  <c r="B85" i="81"/>
  <c r="C85" i="81" s="1"/>
  <c r="A86" i="81"/>
  <c r="B86" i="81"/>
  <c r="A87" i="81"/>
  <c r="B87" i="81"/>
  <c r="A88" i="81"/>
  <c r="B88" i="81"/>
  <c r="A89" i="81"/>
  <c r="B89" i="81"/>
  <c r="A90" i="81"/>
  <c r="B90" i="81"/>
  <c r="A91" i="81"/>
  <c r="B91" i="81"/>
  <c r="A92" i="81"/>
  <c r="B92" i="81"/>
  <c r="A93" i="81"/>
  <c r="B93" i="81"/>
  <c r="A94" i="81"/>
  <c r="B94" i="81"/>
  <c r="A95" i="81"/>
  <c r="B95" i="81"/>
  <c r="A96" i="81"/>
  <c r="B96" i="81"/>
  <c r="A97" i="81"/>
  <c r="B97" i="81"/>
  <c r="C97" i="81" s="1"/>
  <c r="A98" i="81"/>
  <c r="B98" i="81"/>
  <c r="A99" i="81"/>
  <c r="B99" i="81"/>
  <c r="A100" i="81"/>
  <c r="B100" i="81"/>
  <c r="A101" i="81"/>
  <c r="B101" i="81"/>
  <c r="A102" i="81"/>
  <c r="B102" i="81"/>
  <c r="A103" i="81"/>
  <c r="B103" i="81"/>
  <c r="C103" i="81" s="1"/>
  <c r="A104" i="81"/>
  <c r="B104" i="81"/>
  <c r="A105" i="81"/>
  <c r="B105" i="81"/>
  <c r="A106" i="81"/>
  <c r="B106" i="81"/>
  <c r="A107" i="81"/>
  <c r="B107" i="81"/>
  <c r="A108" i="81"/>
  <c r="B108" i="81"/>
  <c r="A109" i="81"/>
  <c r="B109" i="81"/>
  <c r="C109" i="81" s="1"/>
  <c r="A110" i="81"/>
  <c r="B110" i="81"/>
  <c r="A111" i="81"/>
  <c r="B111" i="81"/>
  <c r="A112" i="81"/>
  <c r="B112" i="81"/>
  <c r="A113" i="81"/>
  <c r="B113" i="81"/>
  <c r="B126" i="81"/>
  <c r="A127" i="81"/>
  <c r="B127" i="81"/>
  <c r="A128" i="81"/>
  <c r="B128" i="81"/>
  <c r="A129" i="81"/>
  <c r="B129" i="81"/>
  <c r="A130" i="81"/>
  <c r="B130" i="81"/>
  <c r="A131" i="81"/>
  <c r="B131" i="81"/>
  <c r="A132" i="81"/>
  <c r="B132" i="81"/>
  <c r="A133" i="81"/>
  <c r="B133" i="81"/>
  <c r="A134" i="81"/>
  <c r="B134" i="81"/>
  <c r="A135" i="81"/>
  <c r="B135" i="81"/>
  <c r="A136" i="81"/>
  <c r="B136" i="81"/>
  <c r="A137" i="81"/>
  <c r="B137" i="81"/>
  <c r="C11" i="81"/>
  <c r="C23" i="81"/>
  <c r="C122" i="81" l="1"/>
  <c r="C44" i="81"/>
  <c r="C20" i="81"/>
  <c r="C114" i="81"/>
  <c r="C104" i="81"/>
  <c r="C89" i="81"/>
  <c r="C83" i="81"/>
  <c r="C77" i="81"/>
  <c r="C71" i="81"/>
  <c r="C65" i="81"/>
  <c r="C116" i="81"/>
  <c r="C118" i="81"/>
  <c r="C102" i="81"/>
  <c r="C90" i="81"/>
  <c r="C59" i="81"/>
  <c r="C53" i="81"/>
  <c r="C47" i="81"/>
  <c r="C41" i="81"/>
  <c r="C35" i="81"/>
  <c r="C133" i="81"/>
  <c r="C78" i="81"/>
  <c r="C66" i="81"/>
  <c r="C42" i="81"/>
  <c r="C18" i="81"/>
  <c r="C95" i="81"/>
  <c r="C29" i="81"/>
  <c r="C17" i="81"/>
  <c r="C126" i="81"/>
  <c r="C137" i="81"/>
  <c r="C113" i="81"/>
  <c r="C101" i="81"/>
  <c r="C131" i="81"/>
  <c r="C107" i="81"/>
  <c r="C136" i="81"/>
  <c r="C130" i="81"/>
  <c r="C112" i="81"/>
  <c r="C106" i="81"/>
  <c r="C100" i="81"/>
  <c r="C94" i="81"/>
  <c r="C88" i="81"/>
  <c r="C82" i="81"/>
  <c r="C76" i="81"/>
  <c r="C70" i="81"/>
  <c r="C64" i="81"/>
  <c r="C58" i="81"/>
  <c r="C52" i="81"/>
  <c r="C46" i="81"/>
  <c r="C40" i="81"/>
  <c r="C34" i="81"/>
  <c r="C28" i="81"/>
  <c r="C22" i="81"/>
  <c r="C16" i="81"/>
  <c r="C10" i="81"/>
  <c r="C128" i="81"/>
  <c r="C92" i="81"/>
  <c r="C80" i="81"/>
  <c r="C68" i="81"/>
  <c r="C56" i="81"/>
  <c r="C32" i="81"/>
  <c r="C124" i="81"/>
  <c r="C91" i="81"/>
  <c r="C55" i="81"/>
  <c r="C31" i="81"/>
  <c r="C127" i="81"/>
  <c r="C54" i="81"/>
  <c r="C30" i="81"/>
  <c r="C120" i="81"/>
  <c r="C135" i="81"/>
  <c r="C93" i="81"/>
  <c r="C57" i="81"/>
  <c r="C27" i="81"/>
  <c r="C74" i="81"/>
  <c r="C14" i="81"/>
  <c r="C132" i="81"/>
  <c r="C108" i="81"/>
  <c r="C96" i="81"/>
  <c r="C84" i="81"/>
  <c r="C72" i="81"/>
  <c r="C60" i="81"/>
  <c r="C48" i="81"/>
  <c r="C36" i="81"/>
  <c r="C24" i="81"/>
  <c r="C12" i="81"/>
  <c r="C111" i="81"/>
  <c r="C75" i="81"/>
  <c r="C51" i="81"/>
  <c r="C15" i="81"/>
  <c r="C86" i="81"/>
  <c r="C105" i="81"/>
  <c r="C81" i="81"/>
  <c r="C33" i="81"/>
  <c r="C134" i="81"/>
  <c r="C38" i="81"/>
  <c r="C99" i="81"/>
  <c r="C69" i="81"/>
  <c r="C45" i="81"/>
  <c r="C21" i="81"/>
  <c r="C110" i="81"/>
  <c r="C50" i="81"/>
  <c r="C26" i="81"/>
  <c r="C129" i="81"/>
  <c r="C87" i="81"/>
  <c r="C63" i="81"/>
  <c r="C39" i="81"/>
  <c r="C9" i="81"/>
  <c r="C98" i="81"/>
  <c r="C62" i="81"/>
  <c r="AF114" i="81" l="1"/>
  <c r="D116" i="66" s="1"/>
  <c r="F116" i="66" s="1"/>
  <c r="AF20" i="81"/>
  <c r="D22" i="66" s="1"/>
  <c r="F22" i="66" s="1"/>
  <c r="F20" i="81" s="1"/>
  <c r="AF125" i="81"/>
  <c r="D127" i="66" s="1"/>
  <c r="F127" i="66" s="1"/>
  <c r="AF119" i="81"/>
  <c r="D121" i="66" s="1"/>
  <c r="F121" i="66" s="1"/>
  <c r="AF123" i="81"/>
  <c r="D125" i="66" s="1"/>
  <c r="F125" i="66" s="1"/>
  <c r="AF122" i="81"/>
  <c r="D124" i="66" s="1"/>
  <c r="F124" i="66" s="1"/>
  <c r="AF121" i="81"/>
  <c r="D123" i="66" s="1"/>
  <c r="F123" i="66" s="1"/>
  <c r="AF115" i="81"/>
  <c r="D117" i="66" s="1"/>
  <c r="F117" i="66" s="1"/>
  <c r="AF25" i="81"/>
  <c r="D27" i="66" s="1"/>
  <c r="F27" i="66" s="1"/>
  <c r="F25" i="81" s="1"/>
  <c r="AF37" i="81"/>
  <c r="D39" i="66" s="1"/>
  <c r="F39" i="66" s="1"/>
  <c r="F37" i="81" s="1"/>
  <c r="AF49" i="81"/>
  <c r="D51" i="66" s="1"/>
  <c r="F51" i="66" s="1"/>
  <c r="F49" i="81" s="1"/>
  <c r="AF61" i="81"/>
  <c r="D63" i="66" s="1"/>
  <c r="F63" i="66" s="1"/>
  <c r="F61" i="81" s="1"/>
  <c r="AF67" i="81"/>
  <c r="D69" i="66" s="1"/>
  <c r="F69" i="66" s="1"/>
  <c r="F67" i="81" s="1"/>
  <c r="AF109" i="81"/>
  <c r="D111" i="66" s="1"/>
  <c r="F111" i="66" s="1"/>
  <c r="F109" i="81" s="1"/>
  <c r="AF117" i="81"/>
  <c r="D119" i="66" s="1"/>
  <c r="F119" i="66" s="1"/>
  <c r="AF79" i="81"/>
  <c r="D81" i="66" s="1"/>
  <c r="F81" i="66" s="1"/>
  <c r="F79" i="81" s="1"/>
  <c r="AF44" i="81"/>
  <c r="D46" i="66" s="1"/>
  <c r="F46" i="66" s="1"/>
  <c r="F44" i="81" s="1"/>
  <c r="AF85" i="81"/>
  <c r="D87" i="66" s="1"/>
  <c r="F87" i="66" s="1"/>
  <c r="F85" i="81" s="1"/>
  <c r="AF73" i="81"/>
  <c r="D75" i="66" s="1"/>
  <c r="F75" i="66" s="1"/>
  <c r="F73" i="81" s="1"/>
  <c r="AF103" i="81"/>
  <c r="D105" i="66" s="1"/>
  <c r="F105" i="66" s="1"/>
  <c r="F103" i="81" s="1"/>
  <c r="AF13" i="81"/>
  <c r="D15" i="66" s="1"/>
  <c r="F15" i="66" s="1"/>
  <c r="F13" i="81" s="1"/>
  <c r="AF97" i="81"/>
  <c r="D99" i="66" s="1"/>
  <c r="F99" i="66" s="1"/>
  <c r="F97" i="81" s="1"/>
  <c r="AF43" i="81"/>
  <c r="D45" i="66" s="1"/>
  <c r="F45" i="66" s="1"/>
  <c r="F43" i="81" s="1"/>
  <c r="AF11" i="81"/>
  <c r="D13" i="66" s="1"/>
  <c r="F13" i="66" s="1"/>
  <c r="F11" i="81" s="1"/>
  <c r="AF19" i="81"/>
  <c r="D21" i="66" s="1"/>
  <c r="F21" i="66" s="1"/>
  <c r="F19" i="81" s="1"/>
  <c r="AF23" i="81"/>
  <c r="D25" i="66" s="1"/>
  <c r="F25" i="66" s="1"/>
  <c r="F23" i="81" s="1"/>
  <c r="AF104" i="81" l="1"/>
  <c r="D106" i="66" s="1"/>
  <c r="F106" i="66" s="1"/>
  <c r="F104" i="81" s="1"/>
  <c r="AF65" i="81"/>
  <c r="D67" i="66" s="1"/>
  <c r="F67" i="66" s="1"/>
  <c r="F65" i="81" s="1"/>
  <c r="AF77" i="81"/>
  <c r="D79" i="66" s="1"/>
  <c r="F79" i="66" s="1"/>
  <c r="F77" i="81" s="1"/>
  <c r="AF71" i="81"/>
  <c r="D73" i="66" s="1"/>
  <c r="F73" i="66" s="1"/>
  <c r="F71" i="81" s="1"/>
  <c r="AF116" i="81"/>
  <c r="D118" i="66" s="1"/>
  <c r="F118" i="66" s="1"/>
  <c r="AF89" i="81"/>
  <c r="D91" i="66" s="1"/>
  <c r="F91" i="66" s="1"/>
  <c r="F89" i="81" s="1"/>
  <c r="AF28" i="81"/>
  <c r="D30" i="66" s="1"/>
  <c r="F30" i="66" s="1"/>
  <c r="F28" i="81" s="1"/>
  <c r="AF29" i="81"/>
  <c r="D31" i="66" s="1"/>
  <c r="F31" i="66" s="1"/>
  <c r="F29" i="81" s="1"/>
  <c r="AF83" i="81"/>
  <c r="D85" i="66" s="1"/>
  <c r="F85" i="66" s="1"/>
  <c r="F83" i="81" s="1"/>
  <c r="AF74" i="81"/>
  <c r="D76" i="66" s="1"/>
  <c r="F76" i="66" s="1"/>
  <c r="F74" i="81" s="1"/>
  <c r="AF111" i="81"/>
  <c r="D113" i="66" s="1"/>
  <c r="F113" i="66" s="1"/>
  <c r="F111" i="81" s="1"/>
  <c r="AF86" i="81"/>
  <c r="D88" i="66" s="1"/>
  <c r="F88" i="66" s="1"/>
  <c r="F86" i="81" s="1"/>
  <c r="AF17" i="81"/>
  <c r="D19" i="66" s="1"/>
  <c r="F19" i="66" s="1"/>
  <c r="F17" i="81" s="1"/>
  <c r="AF64" i="81"/>
  <c r="D66" i="66" s="1"/>
  <c r="F66" i="66" s="1"/>
  <c r="F64" i="81" s="1"/>
  <c r="AF51" i="81"/>
  <c r="D53" i="66" s="1"/>
  <c r="F53" i="66" s="1"/>
  <c r="F51" i="81" s="1"/>
  <c r="AF90" i="81"/>
  <c r="D92" i="66" s="1"/>
  <c r="F92" i="66" s="1"/>
  <c r="F90" i="81" s="1"/>
  <c r="AF99" i="81"/>
  <c r="D101" i="66" s="1"/>
  <c r="F101" i="66" s="1"/>
  <c r="F99" i="81" s="1"/>
  <c r="AF126" i="81"/>
  <c r="D128" i="66" s="1"/>
  <c r="F128" i="66" s="1"/>
  <c r="F114" i="81" s="1"/>
  <c r="AF47" i="81"/>
  <c r="D49" i="66" s="1"/>
  <c r="F49" i="66" s="1"/>
  <c r="F47" i="81" s="1"/>
  <c r="AF50" i="81"/>
  <c r="D52" i="66" s="1"/>
  <c r="F52" i="66" s="1"/>
  <c r="F50" i="81" s="1"/>
  <c r="AF133" i="81"/>
  <c r="D135" i="66" s="1"/>
  <c r="F135" i="66" s="1"/>
  <c r="F133" i="81" s="1"/>
  <c r="AF32" i="81"/>
  <c r="D34" i="66" s="1"/>
  <c r="F34" i="66" s="1"/>
  <c r="F32" i="81" s="1"/>
  <c r="AF55" i="81"/>
  <c r="D57" i="66" s="1"/>
  <c r="F57" i="66" s="1"/>
  <c r="F55" i="81" s="1"/>
  <c r="AF45" i="81"/>
  <c r="D47" i="66" s="1"/>
  <c r="F47" i="66" s="1"/>
  <c r="F45" i="81" s="1"/>
  <c r="AF69" i="81"/>
  <c r="D71" i="66" s="1"/>
  <c r="F71" i="66" s="1"/>
  <c r="F69" i="81" s="1"/>
  <c r="AF41" i="81"/>
  <c r="D43" i="66" s="1"/>
  <c r="F43" i="66" s="1"/>
  <c r="F41" i="81" s="1"/>
  <c r="AF75" i="81"/>
  <c r="D77" i="66" s="1"/>
  <c r="F77" i="66" s="1"/>
  <c r="F75" i="81" s="1"/>
  <c r="AF72" i="81"/>
  <c r="D74" i="66" s="1"/>
  <c r="F74" i="66" s="1"/>
  <c r="F72" i="81" s="1"/>
  <c r="AF120" i="81"/>
  <c r="D122" i="66" s="1"/>
  <c r="F122" i="66" s="1"/>
  <c r="AF124" i="81"/>
  <c r="D126" i="66" s="1"/>
  <c r="F126" i="66" s="1"/>
  <c r="AF35" i="81"/>
  <c r="D37" i="66" s="1"/>
  <c r="F37" i="66" s="1"/>
  <c r="F35" i="81" s="1"/>
  <c r="AF82" i="81"/>
  <c r="D84" i="66" s="1"/>
  <c r="F84" i="66" s="1"/>
  <c r="F82" i="81" s="1"/>
  <c r="AF26" i="81"/>
  <c r="D28" i="66" s="1"/>
  <c r="F28" i="66" s="1"/>
  <c r="F26" i="81" s="1"/>
  <c r="AF78" i="81"/>
  <c r="D80" i="66" s="1"/>
  <c r="F80" i="66" s="1"/>
  <c r="F78" i="81" s="1"/>
  <c r="AF93" i="81"/>
  <c r="D95" i="66" s="1"/>
  <c r="F95" i="66" s="1"/>
  <c r="F93" i="81" s="1"/>
  <c r="AF58" i="81"/>
  <c r="D60" i="66" s="1"/>
  <c r="F60" i="66" s="1"/>
  <c r="F58" i="81" s="1"/>
  <c r="AF18" i="81"/>
  <c r="D20" i="66" s="1"/>
  <c r="F20" i="66" s="1"/>
  <c r="F18" i="81" s="1"/>
  <c r="AF102" i="81"/>
  <c r="D104" i="66" s="1"/>
  <c r="F104" i="66" s="1"/>
  <c r="F102" i="81" s="1"/>
  <c r="AF88" i="81"/>
  <c r="D90" i="66" s="1"/>
  <c r="F90" i="66" s="1"/>
  <c r="F88" i="81" s="1"/>
  <c r="AF62" i="81"/>
  <c r="D64" i="66" s="1"/>
  <c r="F64" i="66" s="1"/>
  <c r="F62" i="81" s="1"/>
  <c r="F121" i="81"/>
  <c r="AF42" i="81"/>
  <c r="D44" i="66" s="1"/>
  <c r="F44" i="66" s="1"/>
  <c r="F42" i="81" s="1"/>
  <c r="AF59" i="81"/>
  <c r="D61" i="66" s="1"/>
  <c r="F61" i="66" s="1"/>
  <c r="F59" i="81" s="1"/>
  <c r="AF95" i="81"/>
  <c r="D97" i="66" s="1"/>
  <c r="F97" i="66" s="1"/>
  <c r="F95" i="81" s="1"/>
  <c r="AF53" i="81"/>
  <c r="D55" i="66" s="1"/>
  <c r="F55" i="66" s="1"/>
  <c r="F53" i="81" s="1"/>
  <c r="AF66" i="81"/>
  <c r="D68" i="66" s="1"/>
  <c r="F68" i="66" s="1"/>
  <c r="F66" i="81" s="1"/>
  <c r="AF118" i="81"/>
  <c r="D120" i="66" s="1"/>
  <c r="F120" i="66" s="1"/>
  <c r="AF16" i="81"/>
  <c r="D18" i="66" s="1"/>
  <c r="F18" i="66" s="1"/>
  <c r="F16" i="81" s="1"/>
  <c r="AF33" i="81"/>
  <c r="D35" i="66" s="1"/>
  <c r="F35" i="66" s="1"/>
  <c r="F33" i="81" s="1"/>
  <c r="AF136" i="81"/>
  <c r="D138" i="66" s="1"/>
  <c r="F138" i="66" s="1"/>
  <c r="AF134" i="81"/>
  <c r="D136" i="66" s="1"/>
  <c r="F136" i="66" s="1"/>
  <c r="F122" i="81" s="1"/>
  <c r="AF108" i="81"/>
  <c r="D110" i="66" s="1"/>
  <c r="F110" i="66" s="1"/>
  <c r="F108" i="81" s="1"/>
  <c r="AF39" i="81"/>
  <c r="D41" i="66" s="1"/>
  <c r="F41" i="66" s="1"/>
  <c r="F39" i="81" s="1"/>
  <c r="AF110" i="81"/>
  <c r="D112" i="66" s="1"/>
  <c r="F112" i="66" s="1"/>
  <c r="F110" i="81" s="1"/>
  <c r="AF87" i="81"/>
  <c r="D89" i="66" s="1"/>
  <c r="F89" i="66" s="1"/>
  <c r="F87" i="81" s="1"/>
  <c r="AF38" i="81"/>
  <c r="D40" i="66" s="1"/>
  <c r="F40" i="66" s="1"/>
  <c r="F38" i="81" s="1"/>
  <c r="AF105" i="81"/>
  <c r="D107" i="66" s="1"/>
  <c r="F107" i="66" s="1"/>
  <c r="F105" i="81" s="1"/>
  <c r="AF129" i="81"/>
  <c r="D131" i="66" s="1"/>
  <c r="F131" i="66" s="1"/>
  <c r="F117" i="81" s="1"/>
  <c r="AF132" i="81"/>
  <c r="D134" i="66" s="1"/>
  <c r="F134" i="66" s="1"/>
  <c r="AF107" i="81"/>
  <c r="D109" i="66" s="1"/>
  <c r="F109" i="66" s="1"/>
  <c r="F107" i="81" s="1"/>
  <c r="AF31" i="81"/>
  <c r="D33" i="66" s="1"/>
  <c r="F33" i="66" s="1"/>
  <c r="F31" i="81" s="1"/>
  <c r="AF14" i="81"/>
  <c r="D16" i="66" s="1"/>
  <c r="F16" i="66" s="1"/>
  <c r="F14" i="81" s="1"/>
  <c r="AF48" i="81"/>
  <c r="D50" i="66" s="1"/>
  <c r="F50" i="66" s="1"/>
  <c r="F48" i="81" s="1"/>
  <c r="AF128" i="81"/>
  <c r="D130" i="66" s="1"/>
  <c r="F130" i="66" s="1"/>
  <c r="AF135" i="81"/>
  <c r="D137" i="66" s="1"/>
  <c r="F137" i="66" s="1"/>
  <c r="AF131" i="81"/>
  <c r="D133" i="66" s="1"/>
  <c r="F133" i="66" s="1"/>
  <c r="AF10" i="81"/>
  <c r="D12" i="66" s="1"/>
  <c r="F12" i="66" s="1"/>
  <c r="F10" i="81" s="1"/>
  <c r="AF112" i="81"/>
  <c r="D114" i="66" s="1"/>
  <c r="F114" i="66" s="1"/>
  <c r="F112" i="81" s="1"/>
  <c r="AF70" i="81"/>
  <c r="D72" i="66" s="1"/>
  <c r="F72" i="66" s="1"/>
  <c r="F70" i="81" s="1"/>
  <c r="AF15" i="81"/>
  <c r="D17" i="66" s="1"/>
  <c r="F17" i="66" s="1"/>
  <c r="F15" i="81" s="1"/>
  <c r="AF101" i="81"/>
  <c r="D103" i="66" s="1"/>
  <c r="F103" i="66" s="1"/>
  <c r="F101" i="81" s="1"/>
  <c r="AF84" i="81"/>
  <c r="D86" i="66" s="1"/>
  <c r="F86" i="66" s="1"/>
  <c r="F84" i="81" s="1"/>
  <c r="AF54" i="81"/>
  <c r="D56" i="66" s="1"/>
  <c r="F56" i="66" s="1"/>
  <c r="F54" i="81" s="1"/>
  <c r="AF94" i="81"/>
  <c r="D96" i="66" s="1"/>
  <c r="F96" i="66" s="1"/>
  <c r="F94" i="81" s="1"/>
  <c r="AF57" i="81"/>
  <c r="D59" i="66" s="1"/>
  <c r="F59" i="66" s="1"/>
  <c r="F57" i="81" s="1"/>
  <c r="AF92" i="81"/>
  <c r="D94" i="66" s="1"/>
  <c r="F94" i="66" s="1"/>
  <c r="F92" i="81" s="1"/>
  <c r="AF9" i="81"/>
  <c r="D11" i="66" s="1"/>
  <c r="F11" i="66" s="1"/>
  <c r="AF81" i="81"/>
  <c r="D83" i="66" s="1"/>
  <c r="F83" i="66" s="1"/>
  <c r="F81" i="81" s="1"/>
  <c r="AF63" i="81"/>
  <c r="D65" i="66" s="1"/>
  <c r="F65" i="66" s="1"/>
  <c r="F63" i="81" s="1"/>
  <c r="AF98" i="81"/>
  <c r="D100" i="66" s="1"/>
  <c r="F100" i="66" s="1"/>
  <c r="F98" i="81" s="1"/>
  <c r="AF34" i="81"/>
  <c r="D36" i="66" s="1"/>
  <c r="F36" i="66" s="1"/>
  <c r="F34" i="81" s="1"/>
  <c r="AF40" i="81"/>
  <c r="D42" i="66" s="1"/>
  <c r="F42" i="66" s="1"/>
  <c r="F40" i="81" s="1"/>
  <c r="AF12" i="81"/>
  <c r="D14" i="66" s="1"/>
  <c r="F14" i="66" s="1"/>
  <c r="F12" i="81" s="1"/>
  <c r="AF46" i="81"/>
  <c r="D48" i="66" s="1"/>
  <c r="F48" i="66" s="1"/>
  <c r="F46" i="81" s="1"/>
  <c r="AF76" i="81"/>
  <c r="D78" i="66" s="1"/>
  <c r="F78" i="66" s="1"/>
  <c r="F76" i="81" s="1"/>
  <c r="AF68" i="81"/>
  <c r="D70" i="66" s="1"/>
  <c r="F70" i="66" s="1"/>
  <c r="F68" i="81" s="1"/>
  <c r="AF36" i="81"/>
  <c r="D38" i="66" s="1"/>
  <c r="F38" i="66" s="1"/>
  <c r="F36" i="81" s="1"/>
  <c r="AF27" i="81"/>
  <c r="D29" i="66" s="1"/>
  <c r="F29" i="66" s="1"/>
  <c r="F27" i="81" s="1"/>
  <c r="AF113" i="81"/>
  <c r="D115" i="66" s="1"/>
  <c r="F115" i="66" s="1"/>
  <c r="F113" i="81" s="1"/>
  <c r="AF96" i="81"/>
  <c r="D98" i="66" s="1"/>
  <c r="F98" i="66" s="1"/>
  <c r="F96" i="81" s="1"/>
  <c r="AF127" i="81"/>
  <c r="D129" i="66" s="1"/>
  <c r="F129" i="66" s="1"/>
  <c r="AF21" i="81"/>
  <c r="D23" i="66" s="1"/>
  <c r="F23" i="66" s="1"/>
  <c r="F21" i="81" s="1"/>
  <c r="AF56" i="81"/>
  <c r="D58" i="66" s="1"/>
  <c r="F58" i="66" s="1"/>
  <c r="F56" i="81" s="1"/>
  <c r="AF24" i="81"/>
  <c r="D26" i="66" s="1"/>
  <c r="F26" i="66" s="1"/>
  <c r="F24" i="81" s="1"/>
  <c r="AF80" i="81"/>
  <c r="D82" i="66" s="1"/>
  <c r="F82" i="66" s="1"/>
  <c r="F80" i="81" s="1"/>
  <c r="AF91" i="81"/>
  <c r="D93" i="66" s="1"/>
  <c r="F93" i="66" s="1"/>
  <c r="F91" i="81" s="1"/>
  <c r="AF60" i="81"/>
  <c r="D62" i="66" s="1"/>
  <c r="F62" i="66" s="1"/>
  <c r="F60" i="81" s="1"/>
  <c r="AF100" i="81"/>
  <c r="D102" i="66" s="1"/>
  <c r="F102" i="66" s="1"/>
  <c r="F100" i="81" s="1"/>
  <c r="AF52" i="81"/>
  <c r="D54" i="66" s="1"/>
  <c r="F54" i="66" s="1"/>
  <c r="F52" i="81" s="1"/>
  <c r="AF130" i="81"/>
  <c r="D132" i="66" s="1"/>
  <c r="F132" i="66" s="1"/>
  <c r="AF137" i="81"/>
  <c r="D139" i="66" s="1"/>
  <c r="F139" i="66" s="1"/>
  <c r="AF106" i="81"/>
  <c r="D108" i="66" s="1"/>
  <c r="F108" i="66" s="1"/>
  <c r="F106" i="81" s="1"/>
  <c r="AF30" i="81"/>
  <c r="D32" i="66" s="1"/>
  <c r="F32" i="66" s="1"/>
  <c r="F30" i="81" s="1"/>
  <c r="AF22" i="81"/>
  <c r="D24" i="66" s="1"/>
  <c r="F24" i="66" s="1"/>
  <c r="F22" i="81" s="1"/>
  <c r="F116" i="81" l="1"/>
  <c r="F124" i="81"/>
  <c r="F134" i="81"/>
  <c r="F120" i="81"/>
  <c r="F129" i="81"/>
  <c r="F126" i="81"/>
  <c r="F132" i="81"/>
  <c r="F9" i="81"/>
  <c r="F136" i="81"/>
  <c r="F128" i="81"/>
  <c r="D140" i="66"/>
  <c r="F140" i="66"/>
  <c r="G140" i="66" s="1"/>
  <c r="F119" i="81"/>
  <c r="F131" i="81"/>
  <c r="F123" i="81"/>
  <c r="F135" i="81"/>
  <c r="F115" i="81"/>
  <c r="F127" i="81"/>
  <c r="F118" i="81"/>
  <c r="F130" i="81"/>
  <c r="F125" i="81"/>
  <c r="F137" i="81"/>
  <c r="E140" i="66" l="1"/>
  <c r="D36" i="17"/>
  <c r="C36" i="17"/>
  <c r="D33" i="17"/>
  <c r="C33" i="17"/>
  <c r="D30" i="17"/>
  <c r="C30" i="17"/>
  <c r="D27" i="17"/>
  <c r="C27" i="17"/>
  <c r="D24" i="17"/>
  <c r="C24" i="17"/>
  <c r="D21" i="17"/>
  <c r="C21" i="17"/>
  <c r="D18" i="17"/>
  <c r="C18" i="17"/>
  <c r="D15" i="17"/>
  <c r="C15" i="17"/>
  <c r="D12" i="17"/>
  <c r="C12" i="17"/>
  <c r="D9" i="17"/>
  <c r="C9" i="17"/>
  <c r="D6" i="17"/>
  <c r="C6" i="17"/>
  <c r="D3" i="17"/>
  <c r="C3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E0D4-DE08-44C9-9D2A-53EBE165255F}" keepAlive="1" name="Consulta - PROD1" description="Conexión a la consulta 'PROD1' en el libro." type="5" refreshedVersion="0" background="1">
    <dbPr connection="Provider=Microsoft.Mashup.OleDb.1;Data Source=$Workbook$;Location=PROD1;Extended Properties=&quot;&quot;" command="SELECT * FROM [PROD1]"/>
  </connection>
  <connection id="2" xr16:uid="{5FA8A21C-641D-4A93-B889-E6ADF802C5DA}" keepAlive="1" name="Consulta - PROD10" description="Conexión a la consulta 'PROD10' en el libro." type="5" refreshedVersion="0" background="1">
    <dbPr connection="Provider=Microsoft.Mashup.OleDb.1;Data Source=$Workbook$;Location=PROD10;Extended Properties=&quot;&quot;" command="SELECT * FROM [PROD10]"/>
  </connection>
  <connection id="3" xr16:uid="{F446239A-AC23-475C-904C-54486C698534}" keepAlive="1" name="Consulta - PROD2" description="Conexión a la consulta 'PROD2' en el libro." type="5" refreshedVersion="0" background="1">
    <dbPr connection="Provider=Microsoft.Mashup.OleDb.1;Data Source=$Workbook$;Location=PROD2;Extended Properties=&quot;&quot;" command="SELECT * FROM [PROD2]"/>
  </connection>
  <connection id="4" xr16:uid="{FCF87F2C-C9BF-4B14-B85C-61AF1DCA3940}" keepAlive="1" name="Consulta - PROD3" description="Conexión a la consulta 'PROD3' en el libro." type="5" refreshedVersion="0" background="1">
    <dbPr connection="Provider=Microsoft.Mashup.OleDb.1;Data Source=$Workbook$;Location=PROD3;Extended Properties=&quot;&quot;" command="SELECT * FROM [PROD3]"/>
  </connection>
  <connection id="5" xr16:uid="{B8FA39C5-8B46-4D46-BBED-BA548A17F249}" keepAlive="1" name="Consulta - PROD4" description="Conexión a la consulta 'PROD4' en el libro." type="5" refreshedVersion="0" background="1">
    <dbPr connection="Provider=Microsoft.Mashup.OleDb.1;Data Source=$Workbook$;Location=PROD4;Extended Properties=&quot;&quot;" command="SELECT * FROM [PROD4]"/>
  </connection>
  <connection id="6" xr16:uid="{8C8475CF-9379-4D48-822D-C7D5A52F38A9}" keepAlive="1" name="Consulta - PROD5" description="Conexión a la consulta 'PROD5' en el libro." type="5" refreshedVersion="0" background="1">
    <dbPr connection="Provider=Microsoft.Mashup.OleDb.1;Data Source=$Workbook$;Location=PROD5;Extended Properties=&quot;&quot;" command="SELECT * FROM [PROD5]"/>
  </connection>
  <connection id="7" xr16:uid="{7DD54380-FFD8-4E45-BA62-06FEF9DCA097}" keepAlive="1" name="Consulta - PROD6" description="Conexión a la consulta 'PROD6' en el libro." type="5" refreshedVersion="0" background="1">
    <dbPr connection="Provider=Microsoft.Mashup.OleDb.1;Data Source=$Workbook$;Location=PROD6;Extended Properties=&quot;&quot;" command="SELECT * FROM [PROD6]"/>
  </connection>
  <connection id="8" xr16:uid="{FE6BB54F-53B2-405E-B85A-7B6473ADB1E6}" keepAlive="1" name="Consulta - PROD7" description="Conexión a la consulta 'PROD7' en el libro." type="5" refreshedVersion="0" background="1">
    <dbPr connection="Provider=Microsoft.Mashup.OleDb.1;Data Source=$Workbook$;Location=PROD7;Extended Properties=&quot;&quot;" command="SELECT * FROM [PROD7]"/>
  </connection>
  <connection id="9" xr16:uid="{667A10F4-3319-41ED-B3C6-4E8B7406CD07}" keepAlive="1" name="Consulta - PROD8" description="Conexión a la consulta 'PROD8' en el libro." type="5" refreshedVersion="0" background="1">
    <dbPr connection="Provider=Microsoft.Mashup.OleDb.1;Data Source=$Workbook$;Location=PROD8;Extended Properties=&quot;&quot;" command="SELECT * FROM [PROD8]"/>
  </connection>
  <connection id="10" xr16:uid="{2BFA1283-5640-4897-BBF8-72575EEB46AF}" keepAlive="1" name="Consulta - PROD9" description="Conexión a la consulta 'PROD9' en el libro." type="5" refreshedVersion="0" background="1">
    <dbPr connection="Provider=Microsoft.Mashup.OleDb.1;Data Source=$Workbook$;Location=PROD9;Extended Properties=&quot;&quot;" command="SELECT * FROM [PROD9]"/>
  </connection>
  <connection id="11" xr16:uid="{65868055-7E64-477C-B9B1-1ADC21CEF35A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  <connection id="12" xr16:uid="{E5DB1A28-8BB4-4A7D-88F0-7F5321FB06EF}" keepAlive="1" name="Consulta - TIPO" description="Conexión a la consulta 'TIPO' en el libro." type="5" refreshedVersion="0" background="1">
    <dbPr connection="Provider=Microsoft.Mashup.OleDb.1;Data Source=$Workbook$;Location=TIPO;Extended Properties=&quot;&quot;" command="SELECT * FROM [TIPO]"/>
  </connection>
</connections>
</file>

<file path=xl/sharedStrings.xml><?xml version="1.0" encoding="utf-8"?>
<sst xmlns="http://schemas.openxmlformats.org/spreadsheetml/2006/main" count="120" uniqueCount="60">
  <si>
    <t>CANTIDAD EN:</t>
  </si>
  <si>
    <t>KWh</t>
  </si>
  <si>
    <t>MODALIDAD:</t>
  </si>
  <si>
    <t>PAGUE LO CONTRATADO</t>
  </si>
  <si>
    <t>OFERENTE:</t>
  </si>
  <si>
    <t>MES DE SUMINISTRO</t>
  </si>
  <si>
    <t xml:space="preserve">ENERGÍA SOLICITADA (KWh) </t>
  </si>
  <si>
    <t>% ENERGÍA OFRECIDA</t>
  </si>
  <si>
    <t>ENERGÍA OFRECIDA (KWh)</t>
  </si>
  <si>
    <t>PRECIO OFERTADO ($/KWh)</t>
  </si>
  <si>
    <t>TOTAL</t>
  </si>
  <si>
    <t>Nota</t>
  </si>
  <si>
    <t>2. La energia ofertada se despachara conforme a las cantidades horarias de este anexo</t>
  </si>
  <si>
    <t>XXXXXXXXXXXXXXXXXXXXXXXX</t>
  </si>
  <si>
    <t>REPRESENTANTE LEGAL</t>
  </si>
  <si>
    <t xml:space="preserve">XXXXXXXXXXXXXXXXXXXXXX S.A E.S.P </t>
  </si>
  <si>
    <t>Cantidad Ofrecida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</si>
  <si>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</si>
  <si>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</si>
  <si>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</si>
  <si>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</si>
  <si>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</si>
  <si>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</si>
  <si>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</si>
  <si>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</si>
  <si>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</si>
  <si>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</si>
  <si>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</si>
  <si>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</si>
  <si>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</si>
  <si>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</si>
  <si>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</si>
  <si>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</si>
  <si>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</si>
  <si>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</si>
  <si>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</si>
  <si>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</si>
  <si>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</si>
  <si>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</si>
  <si>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</si>
  <si>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</si>
  <si>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</si>
  <si>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Cuenta de TIPO</t>
  </si>
  <si>
    <t>MES</t>
  </si>
  <si>
    <t>TIPO</t>
  </si>
  <si>
    <t>1ORD</t>
  </si>
  <si>
    <t>2SÁB</t>
  </si>
  <si>
    <t>3FES</t>
  </si>
  <si>
    <t>tipo día</t>
  </si>
  <si>
    <t>Habil</t>
  </si>
  <si>
    <t>Sabado</t>
  </si>
  <si>
    <t>Festivo</t>
  </si>
  <si>
    <t>CURVA ACTUALIZADA CON DEMANDAS PROYECCION DEMANDA REGULADA MATRICIAL 2014 (Enero 2014)</t>
  </si>
  <si>
    <t>LLAVE</t>
  </si>
  <si>
    <t>1. $/kWh expresados en pesos de Diciembre de 2025-Indexación anual</t>
  </si>
  <si>
    <t>CP-GNCC2026-001</t>
  </si>
  <si>
    <t>CP-GNCC2026-001-PROD01</t>
  </si>
  <si>
    <t>ANEXO 1. CANTIDADES Y PRECIOS</t>
  </si>
  <si>
    <t>ANEXO 2.    CANTIDADES HORARIAS OFRECIDAS (KWh)</t>
  </si>
  <si>
    <t xml:space="preserve"> PRODUCTO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</si>
</sst>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&quot;$&quot;\ * #,##0_);_(&quot;$&quot;\ * \(#,##0\);_(&quot;$&quot;\ 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_ * #,##0.00_ ;_ * \-#,##0.00_ ;_ * &quot;-&quot;??_ ;_ @_ "/>
    <numFmt numFmtId="169" formatCode="#0"/>
    <numFmt numFmtId="170" formatCode="_ * #,##0_ ;_ * \-#,##0_ ;_ * &quot;-&quot;??_ ;_ @_ "/>
    <numFmt numFmtId="171" formatCode="_(* #,##0_);_(* \(#,##0\);_(* &quot;-&quot;??_);_(@_)"/>
    <numFmt numFmtId="172" formatCode="_ * #,##0.00000_ ;_ * \-#,##0.00000_ ;_ * &quot;-&quot;??_ ;_ @_ "/>
    <numFmt numFmtId="173" formatCode="#,##0_ ;\-#,##0\ "/>
    <numFmt numFmtId="174" formatCode="[$-C0A]mmm\-yy;@"/>
    <numFmt numFmtId="175" formatCode="#,##0.00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b/>
      <sz val="11"/>
      <name val="Frutiger CE 55 Roman"/>
    </font>
    <font>
      <b/>
      <sz val="11"/>
      <color indexed="9"/>
      <name val="Frutiger CE 55 Roman"/>
    </font>
    <font>
      <b/>
      <sz val="18"/>
      <name val="Frutiger CE 55 Roman"/>
    </font>
    <font>
      <sz val="18"/>
      <name val="Frutiger CE 55 Roman"/>
    </font>
    <font>
      <b/>
      <sz val="18"/>
      <color indexed="10"/>
      <name val="Frutiger CE 55 Roman"/>
    </font>
    <font>
      <b/>
      <sz val="10"/>
      <name val="Arial"/>
      <family val="2"/>
    </font>
    <font>
      <b/>
      <sz val="13"/>
      <name val="Frutiger CE 55 Roman"/>
    </font>
    <font>
      <sz val="13"/>
      <name val="Frutiger CE 55 Roman"/>
    </font>
    <font>
      <sz val="13"/>
      <color indexed="10"/>
      <name val="Frutiger CE 55 Roman"/>
    </font>
    <font>
      <i/>
      <sz val="13"/>
      <name val="Frutiger CE 55 Roman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Frutiger CE 55 Roman"/>
    </font>
    <font>
      <b/>
      <sz val="13"/>
      <color theme="0"/>
      <name val="Frutiger CE 55 Roman"/>
    </font>
    <font>
      <sz val="10"/>
      <name val="Arial"/>
      <family val="2"/>
    </font>
    <font>
      <b/>
      <sz val="12"/>
      <color theme="0"/>
      <name val="Frutiger CE 55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168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5" fillId="0" borderId="0" applyFont="0" applyFill="0" applyBorder="0" applyAlignment="0" applyProtection="0"/>
    <xf numFmtId="175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7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21" fillId="0" borderId="0"/>
    <xf numFmtId="0" fontId="19" fillId="0" borderId="0"/>
    <xf numFmtId="0" fontId="3" fillId="0" borderId="0"/>
    <xf numFmtId="0" fontId="4" fillId="0" borderId="0"/>
    <xf numFmtId="166" fontId="20" fillId="4" borderId="1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168" fontId="0" fillId="0" borderId="0" xfId="1" applyFont="1"/>
    <xf numFmtId="0" fontId="0" fillId="0" borderId="2" xfId="0" applyBorder="1"/>
    <xf numFmtId="0" fontId="0" fillId="0" borderId="2" xfId="0" applyBorder="1" applyAlignment="1">
      <alignment horizontal="center"/>
    </xf>
    <xf numFmtId="172" fontId="0" fillId="0" borderId="0" xfId="1" applyNumberFormat="1" applyFont="1"/>
    <xf numFmtId="172" fontId="0" fillId="0" borderId="0" xfId="0" applyNumberFormat="1"/>
    <xf numFmtId="168" fontId="12" fillId="0" borderId="0" xfId="1" applyFont="1"/>
    <xf numFmtId="0" fontId="7" fillId="2" borderId="4" xfId="32" applyFont="1" applyFill="1" applyBorder="1" applyAlignment="1" applyProtection="1">
      <alignment horizontal="center" vertical="center" wrapText="1"/>
      <protection locked="0"/>
    </xf>
    <xf numFmtId="0" fontId="7" fillId="2" borderId="5" xfId="32" applyFont="1" applyFill="1" applyBorder="1" applyAlignment="1" applyProtection="1">
      <alignment horizontal="center" vertical="center" wrapText="1"/>
      <protection locked="0"/>
    </xf>
    <xf numFmtId="0" fontId="7" fillId="2" borderId="6" xfId="32" applyFont="1" applyFill="1" applyBorder="1" applyAlignment="1" applyProtection="1">
      <alignment horizontal="center" vertical="center" wrapText="1"/>
      <protection locked="0"/>
    </xf>
    <xf numFmtId="0" fontId="7" fillId="2" borderId="7" xfId="32" applyFont="1" applyFill="1" applyBorder="1" applyAlignment="1" applyProtection="1">
      <alignment horizontal="center" vertical="center" wrapText="1"/>
      <protection locked="0"/>
    </xf>
    <xf numFmtId="0" fontId="7" fillId="2" borderId="8" xfId="32" applyFont="1" applyFill="1" applyBorder="1" applyAlignment="1" applyProtection="1">
      <alignment horizontal="center" vertical="center" wrapText="1"/>
      <protection locked="0"/>
    </xf>
    <xf numFmtId="0" fontId="7" fillId="2" borderId="9" xfId="32" applyFont="1" applyFill="1" applyBorder="1" applyAlignment="1" applyProtection="1">
      <alignment horizontal="center" vertical="center" wrapText="1"/>
      <protection locked="0"/>
    </xf>
    <xf numFmtId="0" fontId="7" fillId="2" borderId="10" xfId="32" applyFont="1" applyFill="1" applyBorder="1" applyAlignment="1" applyProtection="1">
      <alignment horizontal="center" vertical="center" wrapText="1"/>
      <protection locked="0"/>
    </xf>
    <xf numFmtId="0" fontId="13" fillId="2" borderId="0" xfId="33" applyFont="1" applyFill="1" applyAlignment="1">
      <alignment vertical="top"/>
    </xf>
    <xf numFmtId="0" fontId="13" fillId="2" borderId="0" xfId="33" applyFont="1" applyFill="1" applyAlignment="1">
      <alignment vertical="center"/>
    </xf>
    <xf numFmtId="0" fontId="14" fillId="2" borderId="0" xfId="33" applyFont="1" applyFill="1" applyAlignment="1">
      <alignment vertical="top"/>
    </xf>
    <xf numFmtId="0" fontId="14" fillId="2" borderId="0" xfId="33" applyFont="1" applyFill="1"/>
    <xf numFmtId="0" fontId="13" fillId="2" borderId="0" xfId="32" applyFont="1" applyFill="1" applyAlignment="1">
      <alignment horizontal="left"/>
    </xf>
    <xf numFmtId="4" fontId="13" fillId="2" borderId="0" xfId="32" applyNumberFormat="1" applyFont="1" applyFill="1" applyAlignment="1">
      <alignment horizontal="left"/>
    </xf>
    <xf numFmtId="0" fontId="13" fillId="2" borderId="0" xfId="33" applyFont="1" applyFill="1"/>
    <xf numFmtId="4" fontId="13" fillId="2" borderId="0" xfId="33" applyNumberFormat="1" applyFont="1" applyFill="1"/>
    <xf numFmtId="170" fontId="14" fillId="2" borderId="0" xfId="1" applyNumberFormat="1" applyFont="1" applyFill="1" applyProtection="1"/>
    <xf numFmtId="4" fontId="15" fillId="2" borderId="0" xfId="33" applyNumberFormat="1" applyFont="1" applyFill="1" applyAlignment="1">
      <alignment horizontal="center" vertical="center" wrapText="1"/>
    </xf>
    <xf numFmtId="0" fontId="14" fillId="0" borderId="0" xfId="33" applyFont="1"/>
    <xf numFmtId="0" fontId="14" fillId="0" borderId="0" xfId="33" applyFont="1" applyAlignment="1">
      <alignment horizontal="left" wrapText="1"/>
    </xf>
    <xf numFmtId="0" fontId="13" fillId="0" borderId="0" xfId="33" applyFont="1"/>
    <xf numFmtId="0" fontId="16" fillId="0" borderId="0" xfId="33" applyFont="1"/>
    <xf numFmtId="10" fontId="22" fillId="6" borderId="2" xfId="36" applyNumberFormat="1" applyFont="1" applyFill="1" applyBorder="1" applyAlignment="1" applyProtection="1">
      <alignment horizontal="center" vertical="center"/>
      <protection locked="0"/>
    </xf>
    <xf numFmtId="0" fontId="25" fillId="5" borderId="2" xfId="32" applyFont="1" applyFill="1" applyBorder="1" applyAlignment="1">
      <alignment horizontal="center" vertical="center" wrapText="1"/>
    </xf>
    <xf numFmtId="171" fontId="13" fillId="2" borderId="0" xfId="15" applyNumberFormat="1" applyFont="1" applyFill="1" applyBorder="1" applyProtection="1"/>
    <xf numFmtId="170" fontId="22" fillId="2" borderId="2" xfId="1" applyNumberFormat="1" applyFont="1" applyFill="1" applyBorder="1" applyProtection="1"/>
    <xf numFmtId="10" fontId="13" fillId="2" borderId="0" xfId="36" applyNumberFormat="1" applyFont="1" applyFill="1" applyBorder="1" applyAlignment="1" applyProtection="1">
      <alignment horizontal="center"/>
    </xf>
    <xf numFmtId="0" fontId="14" fillId="2" borderId="0" xfId="33" applyFont="1" applyFill="1" applyProtection="1">
      <protection locked="0"/>
    </xf>
    <xf numFmtId="4" fontId="13" fillId="2" borderId="0" xfId="33" applyNumberFormat="1" applyFont="1" applyFill="1" applyProtection="1">
      <protection locked="0"/>
    </xf>
    <xf numFmtId="0" fontId="8" fillId="3" borderId="12" xfId="32" applyFont="1" applyFill="1" applyBorder="1" applyAlignment="1" applyProtection="1">
      <alignment horizontal="center" vertical="center"/>
      <protection locked="0"/>
    </xf>
    <xf numFmtId="171" fontId="6" fillId="2" borderId="13" xfId="41" applyNumberFormat="1" applyFont="1" applyFill="1" applyBorder="1" applyAlignment="1" applyProtection="1">
      <alignment vertical="center"/>
      <protection locked="0"/>
    </xf>
    <xf numFmtId="171" fontId="7" fillId="2" borderId="14" xfId="41" applyNumberFormat="1" applyFont="1" applyFill="1" applyBorder="1" applyAlignment="1" applyProtection="1">
      <alignment vertical="center"/>
      <protection locked="0"/>
    </xf>
    <xf numFmtId="0" fontId="13" fillId="2" borderId="17" xfId="32" applyFont="1" applyFill="1" applyBorder="1" applyAlignment="1">
      <alignment horizontal="center" vertical="center"/>
    </xf>
    <xf numFmtId="171" fontId="13" fillId="2" borderId="17" xfId="15" applyNumberFormat="1" applyFont="1" applyFill="1" applyBorder="1" applyProtection="1"/>
    <xf numFmtId="10" fontId="13" fillId="2" borderId="17" xfId="36" applyNumberFormat="1" applyFont="1" applyFill="1" applyBorder="1" applyAlignment="1" applyProtection="1">
      <alignment horizontal="center"/>
    </xf>
    <xf numFmtId="0" fontId="23" fillId="5" borderId="2" xfId="32" applyFont="1" applyFill="1" applyBorder="1" applyAlignment="1">
      <alignment horizontal="center" vertical="center" wrapText="1"/>
    </xf>
    <xf numFmtId="174" fontId="13" fillId="2" borderId="2" xfId="32" applyNumberFormat="1" applyFont="1" applyFill="1" applyBorder="1" applyAlignment="1">
      <alignment horizontal="center" vertical="center"/>
    </xf>
    <xf numFmtId="0" fontId="16" fillId="0" borderId="0" xfId="33" applyFont="1" applyAlignment="1" applyProtection="1">
      <alignment horizontal="left" wrapText="1"/>
      <protection locked="0"/>
    </xf>
    <xf numFmtId="4" fontId="13" fillId="2" borderId="11" xfId="33" applyNumberFormat="1" applyFont="1" applyFill="1" applyBorder="1"/>
    <xf numFmtId="0" fontId="9" fillId="0" borderId="0" xfId="32" applyFont="1" applyAlignment="1" applyProtection="1">
      <alignment horizontal="left" vertical="center"/>
      <protection locked="0"/>
    </xf>
    <xf numFmtId="0" fontId="10" fillId="0" borderId="0" xfId="33" applyFont="1" applyAlignment="1" applyProtection="1">
      <alignment vertical="center"/>
      <protection locked="0"/>
    </xf>
    <xf numFmtId="3" fontId="11" fillId="0" borderId="0" xfId="32" applyNumberFormat="1" applyFont="1" applyAlignment="1" applyProtection="1">
      <alignment horizontal="left" vertical="center"/>
      <protection locked="0"/>
    </xf>
    <xf numFmtId="0" fontId="6" fillId="0" borderId="0" xfId="33" applyFont="1" applyAlignment="1" applyProtection="1">
      <alignment vertical="center"/>
      <protection locked="0"/>
    </xf>
    <xf numFmtId="168" fontId="11" fillId="0" borderId="0" xfId="1" applyFont="1" applyAlignment="1" applyProtection="1">
      <alignment horizontal="left" vertical="center"/>
      <protection locked="0"/>
    </xf>
    <xf numFmtId="168" fontId="10" fillId="0" borderId="0" xfId="1" applyFont="1" applyAlignment="1" applyProtection="1">
      <alignment vertical="center"/>
      <protection locked="0"/>
    </xf>
    <xf numFmtId="43" fontId="6" fillId="0" borderId="0" xfId="33" applyNumberFormat="1" applyFont="1" applyAlignment="1" applyProtection="1">
      <alignment vertical="center"/>
      <protection locked="0"/>
    </xf>
    <xf numFmtId="0" fontId="2" fillId="0" borderId="0" xfId="0" applyFont="1"/>
    <xf numFmtId="0" fontId="2" fillId="0" borderId="2" xfId="0" applyFont="1" applyBorder="1"/>
    <xf numFmtId="173" fontId="7" fillId="0" borderId="15" xfId="40" applyNumberFormat="1" applyFont="1" applyBorder="1" applyAlignment="1" applyProtection="1">
      <alignment horizontal="center" vertical="center"/>
      <protection locked="0"/>
    </xf>
    <xf numFmtId="17" fontId="8" fillId="3" borderId="18" xfId="33" applyNumberFormat="1" applyFont="1" applyFill="1" applyBorder="1" applyAlignment="1" applyProtection="1">
      <alignment horizontal="center" vertical="center"/>
      <protection locked="0"/>
    </xf>
    <xf numFmtId="169" fontId="7" fillId="0" borderId="0" xfId="32" applyNumberFormat="1" applyFont="1" applyAlignment="1" applyProtection="1">
      <alignment horizontal="center" vertical="center"/>
      <protection locked="0"/>
    </xf>
    <xf numFmtId="0" fontId="13" fillId="2" borderId="0" xfId="32" applyFont="1" applyFill="1" applyAlignment="1">
      <alignment horizontal="center" vertical="center"/>
    </xf>
    <xf numFmtId="168" fontId="13" fillId="2" borderId="0" xfId="1" applyFont="1" applyFill="1" applyBorder="1" applyProtection="1"/>
    <xf numFmtId="171" fontId="13" fillId="2" borderId="6" xfId="1" applyNumberFormat="1" applyFont="1" applyFill="1" applyBorder="1" applyProtection="1"/>
    <xf numFmtId="0" fontId="13" fillId="2" borderId="0" xfId="33" applyFont="1" applyFill="1" applyAlignment="1">
      <alignment horizontal="center" vertical="center"/>
    </xf>
    <xf numFmtId="0" fontId="16" fillId="0" borderId="0" xfId="33" applyFont="1" applyAlignment="1" applyProtection="1">
      <alignment horizontal="left" wrapText="1"/>
      <protection locked="0"/>
    </xf>
    <xf numFmtId="166" fontId="22" fillId="6" borderId="2" xfId="35" applyFont="1" applyFill="1" applyBorder="1" applyAlignment="1" applyProtection="1">
      <alignment horizontal="center" vertical="center"/>
      <protection locked="0"/>
    </xf>
    <xf numFmtId="166" fontId="22" fillId="6" borderId="19" xfId="35" applyFont="1" applyFill="1" applyBorder="1" applyAlignment="1" applyProtection="1">
      <alignment horizontal="center" vertical="center"/>
      <protection locked="0"/>
    </xf>
    <xf numFmtId="166" fontId="22" fillId="6" borderId="20" xfId="35" applyFont="1" applyFill="1" applyBorder="1" applyAlignment="1" applyProtection="1">
      <alignment horizontal="center" vertical="center"/>
      <protection locked="0"/>
    </xf>
    <xf numFmtId="166" fontId="22" fillId="6" borderId="17" xfId="35" applyFont="1" applyFill="1" applyBorder="1" applyAlignment="1" applyProtection="1">
      <alignment horizontal="center" vertical="center"/>
      <protection locked="0"/>
    </xf>
    <xf numFmtId="0" fontId="9" fillId="0" borderId="0" xfId="33" applyFont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Millares" xfId="1" builtinId="3"/>
    <cellStyle name="Millares [0] 2" xfId="2" xr:uid="{00000000-0005-0000-0000-000001000000}"/>
    <cellStyle name="Millares 10" xfId="3" xr:uid="{00000000-0005-0000-0000-000002000000}"/>
    <cellStyle name="Millares 11" xfId="4" xr:uid="{00000000-0005-0000-0000-000003000000}"/>
    <cellStyle name="Millares 12" xfId="5" xr:uid="{00000000-0005-0000-0000-000004000000}"/>
    <cellStyle name="Millares 2" xfId="6" xr:uid="{00000000-0005-0000-0000-000005000000}"/>
    <cellStyle name="Millares 2 2" xfId="40" xr:uid="{C4535CAD-B510-4F9C-BDB4-24FC3952C885}"/>
    <cellStyle name="Millares 3" xfId="7" xr:uid="{00000000-0005-0000-0000-000006000000}"/>
    <cellStyle name="Millares 4" xfId="8" xr:uid="{00000000-0005-0000-0000-000007000000}"/>
    <cellStyle name="Millares 4 2" xfId="9" xr:uid="{00000000-0005-0000-0000-000008000000}"/>
    <cellStyle name="Millares 5" xfId="10" xr:uid="{00000000-0005-0000-0000-000009000000}"/>
    <cellStyle name="Millares 6" xfId="11" xr:uid="{00000000-0005-0000-0000-00000A000000}"/>
    <cellStyle name="Millares 7" xfId="12" xr:uid="{00000000-0005-0000-0000-00000B000000}"/>
    <cellStyle name="Millares 8" xfId="13" xr:uid="{00000000-0005-0000-0000-00000C000000}"/>
    <cellStyle name="Millares 9" xfId="14" xr:uid="{00000000-0005-0000-0000-00000D000000}"/>
    <cellStyle name="Millares_DEMANDA COMERCIAL MR(2008-2009) 2 2" xfId="41" xr:uid="{84FEBE0B-726F-4E89-8C0C-1CCDAC1DEF4E}"/>
    <cellStyle name="Millares_PLIEGOS_GR-07-006" xfId="15" xr:uid="{00000000-0005-0000-0000-000010000000}"/>
    <cellStyle name="Moneda" xfId="35" builtinId="4"/>
    <cellStyle name="Moneda [0] 2" xfId="16" xr:uid="{00000000-0005-0000-0000-000011000000}"/>
    <cellStyle name="Moneda 2" xfId="17" xr:uid="{00000000-0005-0000-0000-000012000000}"/>
    <cellStyle name="Moneda 3" xfId="18" xr:uid="{00000000-0005-0000-0000-000013000000}"/>
    <cellStyle name="Moneda 4" xfId="19" xr:uid="{00000000-0005-0000-0000-000014000000}"/>
    <cellStyle name="Moneda 5" xfId="20" xr:uid="{00000000-0005-0000-0000-000015000000}"/>
    <cellStyle name="Moneda 6" xfId="21" xr:uid="{00000000-0005-0000-0000-000016000000}"/>
    <cellStyle name="Moneda 7" xfId="22" xr:uid="{00000000-0005-0000-0000-000017000000}"/>
    <cellStyle name="Moneda 8" xfId="23" xr:uid="{00000000-0005-0000-0000-000018000000}"/>
    <cellStyle name="Moneda 9" xfId="39" xr:uid="{AFB9D481-D75F-4DFA-A693-CA725493BB3F}"/>
    <cellStyle name="Normal" xfId="0" builtinId="0"/>
    <cellStyle name="Normal 2" xfId="24" xr:uid="{00000000-0005-0000-0000-00001A000000}"/>
    <cellStyle name="Normal 2 2 2" xfId="25" xr:uid="{00000000-0005-0000-0000-00001B000000}"/>
    <cellStyle name="Normal 2 2 2 2" xfId="26" xr:uid="{00000000-0005-0000-0000-00001C000000}"/>
    <cellStyle name="Normal 2 3 2" xfId="27" xr:uid="{00000000-0005-0000-0000-00001D000000}"/>
    <cellStyle name="Normal 3" xfId="28" xr:uid="{00000000-0005-0000-0000-00001E000000}"/>
    <cellStyle name="Normal 3 2" xfId="29" xr:uid="{00000000-0005-0000-0000-00001F000000}"/>
    <cellStyle name="Normal 4" xfId="30" xr:uid="{00000000-0005-0000-0000-000020000000}"/>
    <cellStyle name="Normal 5" xfId="31" xr:uid="{00000000-0005-0000-0000-000021000000}"/>
    <cellStyle name="Normal 6" xfId="37" xr:uid="{0B31D6B2-1DA3-4045-B6BF-0AF1E292263B}"/>
    <cellStyle name="Normal 7" xfId="42" xr:uid="{A61CEFDC-F97E-4F68-A712-7CAA996D650B}"/>
    <cellStyle name="Normal_ENE99" xfId="32" xr:uid="{00000000-0005-0000-0000-000022000000}"/>
    <cellStyle name="Normal_GC00-001" xfId="33" xr:uid="{00000000-0005-0000-0000-000023000000}"/>
    <cellStyle name="Opción" xfId="34" xr:uid="{00000000-0005-0000-0000-000024000000}"/>
    <cellStyle name="Porcentaje" xfId="36" builtinId="5"/>
    <cellStyle name="Porcentaje 2" xfId="38" xr:uid="{1D38ABE4-5A48-401C-9A62-33FE9D047E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2009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2F-4D05-B477-0D33C90AA502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2F-4D05-B477-0D33C90AA502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2F-4D05-B477-0D33C90A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26896"/>
        <c:axId val="1"/>
      </c:lineChart>
      <c:catAx>
        <c:axId val="141942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41942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2010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C0-452A-8A2D-29DC9241F481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CC0-452A-8A2D-29DC9241F481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CC0-452A-8A2D-29DC9241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36096"/>
        <c:axId val="1"/>
      </c:lineChart>
      <c:catAx>
        <c:axId val="1419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41943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0</xdr:row>
      <xdr:rowOff>0</xdr:rowOff>
    </xdr:to>
    <xdr:graphicFrame macro="">
      <xdr:nvGraphicFramePr>
        <xdr:cNvPr id="11879" name="Chart 1">
          <a:extLst>
            <a:ext uri="{FF2B5EF4-FFF2-40B4-BE49-F238E27FC236}">
              <a16:creationId xmlns:a16="http://schemas.microsoft.com/office/drawing/2014/main" id="{D59D3E89-6814-4CA2-8941-287393E1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16</xdr:col>
      <xdr:colOff>733425</xdr:colOff>
      <xdr:row>0</xdr:row>
      <xdr:rowOff>0</xdr:rowOff>
    </xdr:to>
    <xdr:graphicFrame macro="">
      <xdr:nvGraphicFramePr>
        <xdr:cNvPr id="11880" name="Chart 2">
          <a:extLst>
            <a:ext uri="{FF2B5EF4-FFF2-40B4-BE49-F238E27FC236}">
              <a16:creationId xmlns:a16="http://schemas.microsoft.com/office/drawing/2014/main" id="{14A02008-8B25-44AA-B7DB-8593368B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1C7A-3C5E-42B3-9B6B-527A39553940}">
  <sheetPr codeName="Hoja5">
    <pageSetUpPr fitToPage="1"/>
  </sheetPr>
  <dimension ref="A1:IU152"/>
  <sheetViews>
    <sheetView showGridLines="0" tabSelected="1" topLeftCell="A111" zoomScale="70" zoomScaleNormal="70" zoomScaleSheetLayoutView="100" workbookViewId="0">
      <selection activeCell="E11" sqref="E11:E139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6.8164062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ht="24" customHeight="1">
      <c r="C1" s="61" t="s">
        <v>57</v>
      </c>
      <c r="D1" s="61"/>
      <c r="E1" s="61"/>
      <c r="F1" s="61"/>
      <c r="G1" s="61"/>
    </row>
    <row r="2" spans="1:12" s="17" customFormat="1" ht="26.25" customHeight="1">
      <c r="A2" s="15"/>
      <c r="B2" s="15"/>
      <c r="C2" s="61" t="s">
        <v>55</v>
      </c>
      <c r="D2" s="61"/>
      <c r="E2" s="61"/>
      <c r="F2" s="61"/>
      <c r="G2" s="61"/>
      <c r="H2" s="16"/>
      <c r="I2" s="16"/>
    </row>
    <row r="3" spans="1:12" ht="34.5" customHeight="1">
      <c r="C3" s="61" t="s">
        <v>56</v>
      </c>
      <c r="D3" s="61"/>
      <c r="E3" s="61"/>
      <c r="F3" s="61"/>
      <c r="G3" s="61"/>
      <c r="H3" s="16"/>
      <c r="I3" s="16"/>
    </row>
    <row r="4" spans="1:12" ht="16.5">
      <c r="C4" s="19" t="s">
        <v>0</v>
      </c>
      <c r="D4" s="20" t="s">
        <v>1</v>
      </c>
    </row>
    <row r="5" spans="1:12" ht="16.5">
      <c r="C5" s="21" t="s">
        <v>2</v>
      </c>
      <c r="D5" s="22" t="s">
        <v>3</v>
      </c>
    </row>
    <row r="6" spans="1:12" ht="16.5">
      <c r="C6" s="21" t="s">
        <v>4</v>
      </c>
      <c r="D6" s="35"/>
      <c r="E6" s="34"/>
      <c r="F6" s="34"/>
      <c r="G6" s="34"/>
    </row>
    <row r="7" spans="1:12" ht="16.5">
      <c r="C7" s="21"/>
      <c r="D7" s="35"/>
      <c r="E7" s="34"/>
      <c r="F7" s="34"/>
      <c r="G7" s="34"/>
    </row>
    <row r="8" spans="1:12" ht="16.5">
      <c r="B8" s="23"/>
      <c r="C8" s="19"/>
      <c r="D8" s="20"/>
      <c r="E8" s="20"/>
    </row>
    <row r="9" spans="1:12" ht="19.5" customHeight="1">
      <c r="C9"/>
      <c r="D9"/>
      <c r="E9"/>
      <c r="F9"/>
      <c r="G9"/>
      <c r="H9" s="53"/>
      <c r="I9" s="53"/>
      <c r="J9" s="53"/>
      <c r="K9" s="24"/>
      <c r="L9" s="24"/>
    </row>
    <row r="10" spans="1:12" ht="49.5" customHeight="1">
      <c r="C10" s="42" t="s">
        <v>5</v>
      </c>
      <c r="D10" s="30" t="s">
        <v>6</v>
      </c>
      <c r="E10" s="42" t="s">
        <v>7</v>
      </c>
      <c r="F10" s="42" t="s">
        <v>8</v>
      </c>
      <c r="G10" s="42" t="s">
        <v>9</v>
      </c>
      <c r="H10" s="53"/>
      <c r="I10" s="53"/>
      <c r="J10" s="53"/>
      <c r="K10" s="24"/>
      <c r="L10" s="24"/>
    </row>
    <row r="11" spans="1:12" ht="16.5">
      <c r="C11" s="43">
        <v>46113</v>
      </c>
      <c r="D11" s="32">
        <f>+_xlfn.XLOOKUP(C11,'Cantidades horarias PROD 01 '!E9:E148,'Cantidades horarias PROD 01 '!AF9:AF148)</f>
        <v>3219265.46</v>
      </c>
      <c r="E11" s="29">
        <v>1</v>
      </c>
      <c r="F11" s="32">
        <f t="shared" ref="F11:F59" si="0">ROUND(D11*$E11,2)</f>
        <v>3219265.46</v>
      </c>
      <c r="G11" s="64"/>
      <c r="H11" s="53"/>
      <c r="I11" s="53"/>
      <c r="J11" s="53"/>
      <c r="K11" s="24"/>
      <c r="L11" s="24"/>
    </row>
    <row r="12" spans="1:12" ht="16.5">
      <c r="C12" s="43">
        <v>46143</v>
      </c>
      <c r="D12" s="32">
        <f>+_xlfn.XLOOKUP(C12,'Cantidades horarias PROD 01 '!E10:E149,'Cantidades horarias PROD 01 '!AF10:AF149)</f>
        <v>3477497.37</v>
      </c>
      <c r="E12" s="29">
        <v>1</v>
      </c>
      <c r="F12" s="32">
        <f t="shared" si="0"/>
        <v>3477497.37</v>
      </c>
      <c r="G12" s="65"/>
      <c r="H12" s="53"/>
      <c r="I12" s="53"/>
      <c r="J12" s="53"/>
      <c r="K12" s="24"/>
      <c r="L12" s="24"/>
    </row>
    <row r="13" spans="1:12" ht="16.5">
      <c r="C13" s="43">
        <v>46174</v>
      </c>
      <c r="D13" s="32">
        <f>+_xlfn.XLOOKUP(C13,'Cantidades horarias PROD 01 '!E11:E150,'Cantidades horarias PROD 01 '!AF11:AF150)</f>
        <v>2965929.28</v>
      </c>
      <c r="E13" s="29">
        <v>1</v>
      </c>
      <c r="F13" s="32">
        <f t="shared" si="0"/>
        <v>2965929.28</v>
      </c>
      <c r="G13" s="65"/>
      <c r="H13" s="53"/>
      <c r="I13" s="53"/>
      <c r="J13" s="53"/>
      <c r="K13" s="24"/>
      <c r="L13" s="24"/>
    </row>
    <row r="14" spans="1:12" ht="16.5">
      <c r="C14" s="43">
        <v>46204</v>
      </c>
      <c r="D14" s="32">
        <f>+_xlfn.XLOOKUP(C14,'Cantidades horarias PROD 01 '!E12:E151,'Cantidades horarias PROD 01 '!AF12:AF151)</f>
        <v>3379412.69</v>
      </c>
      <c r="E14" s="29">
        <v>1</v>
      </c>
      <c r="F14" s="32">
        <f t="shared" si="0"/>
        <v>3379412.69</v>
      </c>
      <c r="G14" s="65"/>
      <c r="H14" s="53"/>
      <c r="I14" s="53"/>
      <c r="J14" s="53"/>
      <c r="K14" s="24"/>
      <c r="L14" s="24"/>
    </row>
    <row r="15" spans="1:12" ht="16.5">
      <c r="C15" s="43">
        <v>46235</v>
      </c>
      <c r="D15" s="32">
        <f>+_xlfn.XLOOKUP(C15,'Cantidades horarias PROD 01 '!E13:E152,'Cantidades horarias PROD 01 '!AF13:AF152)</f>
        <v>3305765.33</v>
      </c>
      <c r="E15" s="29">
        <v>1</v>
      </c>
      <c r="F15" s="32">
        <f t="shared" si="0"/>
        <v>3305765.33</v>
      </c>
      <c r="G15" s="65"/>
      <c r="H15" s="53"/>
      <c r="I15" s="53"/>
      <c r="J15" s="53"/>
      <c r="K15" s="24"/>
      <c r="L15" s="24"/>
    </row>
    <row r="16" spans="1:12" ht="16.5">
      <c r="C16" s="43">
        <v>46266</v>
      </c>
      <c r="D16" s="32">
        <f>+_xlfn.XLOOKUP(C16,'Cantidades horarias PROD 01 '!E14:E153,'Cantidades horarias PROD 01 '!AF14:AF153)</f>
        <v>3246216.1</v>
      </c>
      <c r="E16" s="29">
        <v>1</v>
      </c>
      <c r="F16" s="32">
        <f t="shared" si="0"/>
        <v>3246216.1</v>
      </c>
      <c r="G16" s="65"/>
      <c r="H16" s="53"/>
      <c r="I16" s="53"/>
      <c r="J16" s="53"/>
      <c r="K16" s="24"/>
      <c r="L16" s="24"/>
    </row>
    <row r="17" spans="3:12" ht="16.5">
      <c r="C17" s="43">
        <v>46296</v>
      </c>
      <c r="D17" s="32">
        <f>+_xlfn.XLOOKUP(C17,'Cantidades horarias PROD 01 '!E15:E154,'Cantidades horarias PROD 01 '!AF15:AF154)</f>
        <v>3528348.63</v>
      </c>
      <c r="E17" s="29">
        <v>1</v>
      </c>
      <c r="F17" s="32">
        <f t="shared" si="0"/>
        <v>3528348.63</v>
      </c>
      <c r="G17" s="65"/>
      <c r="H17" s="53"/>
      <c r="I17" s="53"/>
      <c r="J17" s="53"/>
      <c r="K17" s="24"/>
      <c r="L17" s="24"/>
    </row>
    <row r="18" spans="3:12" ht="16.5">
      <c r="C18" s="43">
        <v>46327</v>
      </c>
      <c r="D18" s="32">
        <f>+_xlfn.XLOOKUP(C18,'Cantidades horarias PROD 01 '!E16:E155,'Cantidades horarias PROD 01 '!AF16:AF155)</f>
        <v>3343334.81</v>
      </c>
      <c r="E18" s="29">
        <v>1</v>
      </c>
      <c r="F18" s="32">
        <f t="shared" si="0"/>
        <v>3343334.81</v>
      </c>
      <c r="G18" s="65"/>
      <c r="H18" s="53"/>
      <c r="I18" s="53"/>
      <c r="J18" s="53"/>
      <c r="K18" s="24"/>
      <c r="L18" s="24"/>
    </row>
    <row r="19" spans="3:12" ht="16.5">
      <c r="C19" s="43">
        <v>46357</v>
      </c>
      <c r="D19" s="32">
        <f>+_xlfn.XLOOKUP(C19,'Cantidades horarias PROD 01 '!E17:E156,'Cantidades horarias PROD 01 '!AF17:AF156)</f>
        <v>4049358.78</v>
      </c>
      <c r="E19" s="29">
        <v>1</v>
      </c>
      <c r="F19" s="32">
        <f t="shared" si="0"/>
        <v>4049358.78</v>
      </c>
      <c r="G19" s="66"/>
      <c r="H19" s="53"/>
      <c r="I19" s="53"/>
      <c r="J19" s="53"/>
      <c r="K19" s="24"/>
      <c r="L19" s="24"/>
    </row>
    <row r="20" spans="3:12" ht="16.5">
      <c r="C20" s="43">
        <v>46388</v>
      </c>
      <c r="D20" s="32">
        <f>+_xlfn.XLOOKUP(C20,'Cantidades horarias PROD 01 '!E18:E157,'Cantidades horarias PROD 01 '!AF18:AF157)</f>
        <v>3388412.36</v>
      </c>
      <c r="E20" s="29">
        <v>1</v>
      </c>
      <c r="F20" s="32">
        <f t="shared" si="0"/>
        <v>3388412.36</v>
      </c>
      <c r="G20" s="63"/>
      <c r="H20" s="53"/>
      <c r="I20" s="53"/>
      <c r="J20" s="53"/>
      <c r="K20" s="24"/>
      <c r="L20" s="24"/>
    </row>
    <row r="21" spans="3:12" ht="16.5">
      <c r="C21" s="43">
        <v>46419</v>
      </c>
      <c r="D21" s="32">
        <f>+_xlfn.XLOOKUP(C21,'Cantidades horarias PROD 01 '!E19:E158,'Cantidades horarias PROD 01 '!AF19:AF158)</f>
        <v>2880435.68</v>
      </c>
      <c r="E21" s="29">
        <v>1</v>
      </c>
      <c r="F21" s="32">
        <f t="shared" si="0"/>
        <v>2880435.68</v>
      </c>
      <c r="G21" s="63"/>
      <c r="H21" s="53"/>
      <c r="I21" s="53"/>
      <c r="J21" s="53"/>
      <c r="K21" s="24"/>
      <c r="L21" s="24"/>
    </row>
    <row r="22" spans="3:12" ht="16.5">
      <c r="C22" s="43">
        <v>46447</v>
      </c>
      <c r="D22" s="32">
        <f>+_xlfn.XLOOKUP(C22,'Cantidades horarias PROD 01 '!E20:E159,'Cantidades horarias PROD 01 '!AF20:AF159)</f>
        <v>2908848.79</v>
      </c>
      <c r="E22" s="29">
        <v>1</v>
      </c>
      <c r="F22" s="32">
        <f t="shared" si="0"/>
        <v>2908848.79</v>
      </c>
      <c r="G22" s="63"/>
      <c r="H22" s="53"/>
      <c r="I22" s="53"/>
      <c r="J22" s="53"/>
      <c r="K22" s="24"/>
      <c r="L22" s="24"/>
    </row>
    <row r="23" spans="3:12" ht="16.5">
      <c r="C23" s="43">
        <v>46478</v>
      </c>
      <c r="D23" s="32">
        <f>+_xlfn.XLOOKUP(C23,'Cantidades horarias PROD 01 '!E21:E160,'Cantidades horarias PROD 01 '!AF21:AF160)</f>
        <v>2301653.81</v>
      </c>
      <c r="E23" s="29">
        <v>1</v>
      </c>
      <c r="F23" s="32">
        <f t="shared" si="0"/>
        <v>2301653.81</v>
      </c>
      <c r="G23" s="63"/>
      <c r="H23" s="53"/>
      <c r="I23" s="53"/>
      <c r="J23" s="53"/>
      <c r="K23" s="24"/>
      <c r="L23" s="24"/>
    </row>
    <row r="24" spans="3:12" ht="16.5">
      <c r="C24" s="43">
        <v>46508</v>
      </c>
      <c r="D24" s="32">
        <f>+_xlfn.XLOOKUP(C24,'Cantidades horarias PROD 01 '!E22:E161,'Cantidades horarias PROD 01 '!AF22:AF161)</f>
        <v>2529154.5099999998</v>
      </c>
      <c r="E24" s="29">
        <v>1</v>
      </c>
      <c r="F24" s="32">
        <f t="shared" si="0"/>
        <v>2529154.5099999998</v>
      </c>
      <c r="G24" s="63"/>
      <c r="H24" s="53"/>
      <c r="I24" s="53"/>
      <c r="J24" s="53"/>
      <c r="K24" s="24"/>
      <c r="L24" s="24"/>
    </row>
    <row r="25" spans="3:12" ht="16.5">
      <c r="C25" s="43">
        <v>46539</v>
      </c>
      <c r="D25" s="32">
        <f>+_xlfn.XLOOKUP(C25,'Cantidades horarias PROD 01 '!E23:E162,'Cantidades horarias PROD 01 '!AF23:AF162)</f>
        <v>2064602.74</v>
      </c>
      <c r="E25" s="29">
        <v>1</v>
      </c>
      <c r="F25" s="32">
        <f t="shared" si="0"/>
        <v>2064602.74</v>
      </c>
      <c r="G25" s="63"/>
      <c r="H25" s="53"/>
      <c r="I25" s="53"/>
      <c r="J25" s="53"/>
      <c r="K25" s="24"/>
      <c r="L25" s="24"/>
    </row>
    <row r="26" spans="3:12" ht="16.5">
      <c r="C26" s="43">
        <v>46569</v>
      </c>
      <c r="D26" s="32">
        <f>+_xlfn.XLOOKUP(C26,'Cantidades horarias PROD 01 '!E24:E163,'Cantidades horarias PROD 01 '!AF24:AF163)</f>
        <v>2416274.0299999998</v>
      </c>
      <c r="E26" s="29">
        <v>1</v>
      </c>
      <c r="F26" s="32">
        <f t="shared" si="0"/>
        <v>2416274.0299999998</v>
      </c>
      <c r="G26" s="63"/>
      <c r="H26" s="53"/>
      <c r="I26" s="53"/>
      <c r="J26" s="53"/>
      <c r="K26" s="24"/>
      <c r="L26" s="24"/>
    </row>
    <row r="27" spans="3:12" ht="16.5">
      <c r="C27" s="43">
        <v>46600</v>
      </c>
      <c r="D27" s="32">
        <f>+_xlfn.XLOOKUP(C27,'Cantidades horarias PROD 01 '!E25:E164,'Cantidades horarias PROD 01 '!AF25:AF164)</f>
        <v>2377936.02</v>
      </c>
      <c r="E27" s="29">
        <v>1</v>
      </c>
      <c r="F27" s="32">
        <f t="shared" si="0"/>
        <v>2377936.02</v>
      </c>
      <c r="G27" s="63"/>
      <c r="H27" s="53"/>
      <c r="I27" s="53"/>
      <c r="J27" s="53"/>
      <c r="K27" s="24"/>
      <c r="L27" s="24"/>
    </row>
    <row r="28" spans="3:12" ht="16.5">
      <c r="C28" s="43">
        <v>46631</v>
      </c>
      <c r="D28" s="32">
        <f>+_xlfn.XLOOKUP(C28,'Cantidades horarias PROD 01 '!E26:E165,'Cantidades horarias PROD 01 '!AF26:AF165)</f>
        <v>2350245.3199999998</v>
      </c>
      <c r="E28" s="29">
        <v>1</v>
      </c>
      <c r="F28" s="32">
        <f t="shared" si="0"/>
        <v>2350245.3199999998</v>
      </c>
      <c r="G28" s="63"/>
      <c r="H28" s="53"/>
      <c r="I28" s="53"/>
      <c r="J28" s="53"/>
      <c r="K28" s="24"/>
      <c r="L28" s="24"/>
    </row>
    <row r="29" spans="3:12" ht="16.5">
      <c r="C29" s="43">
        <v>46661</v>
      </c>
      <c r="D29" s="32">
        <f>+_xlfn.XLOOKUP(C29,'Cantidades horarias PROD 01 '!E27:E166,'Cantidades horarias PROD 01 '!AF27:AF166)</f>
        <v>2650855.16</v>
      </c>
      <c r="E29" s="29">
        <v>1</v>
      </c>
      <c r="F29" s="32">
        <f t="shared" si="0"/>
        <v>2650855.16</v>
      </c>
      <c r="G29" s="63"/>
      <c r="H29" s="53"/>
      <c r="I29" s="53"/>
      <c r="J29" s="53"/>
      <c r="K29" s="24"/>
      <c r="L29" s="24"/>
    </row>
    <row r="30" spans="3:12" ht="16.5">
      <c r="C30" s="43">
        <v>46692</v>
      </c>
      <c r="D30" s="32">
        <f>+_xlfn.XLOOKUP(C30,'Cantidades horarias PROD 01 '!E28:E167,'Cantidades horarias PROD 01 '!AF28:AF167)</f>
        <v>2510036.2799999998</v>
      </c>
      <c r="E30" s="29">
        <v>1</v>
      </c>
      <c r="F30" s="32">
        <f t="shared" si="0"/>
        <v>2510036.2799999998</v>
      </c>
      <c r="G30" s="63"/>
      <c r="H30" s="53"/>
      <c r="I30" s="53"/>
      <c r="J30" s="53"/>
      <c r="K30" s="24"/>
      <c r="L30" s="24"/>
    </row>
    <row r="31" spans="3:12" ht="16.5">
      <c r="C31" s="43">
        <v>46722</v>
      </c>
      <c r="D31" s="32">
        <f>+_xlfn.XLOOKUP(C31,'Cantidades horarias PROD 01 '!E29:E168,'Cantidades horarias PROD 01 '!AF29:AF168)</f>
        <v>3071370.58</v>
      </c>
      <c r="E31" s="29">
        <v>1</v>
      </c>
      <c r="F31" s="32">
        <f t="shared" si="0"/>
        <v>3071370.58</v>
      </c>
      <c r="G31" s="63"/>
      <c r="H31" s="53"/>
      <c r="I31" s="53"/>
      <c r="J31" s="53"/>
      <c r="K31" s="24"/>
      <c r="L31" s="24"/>
    </row>
    <row r="32" spans="3:12" ht="16.5">
      <c r="C32" s="43">
        <v>46753</v>
      </c>
      <c r="D32" s="32">
        <f>+_xlfn.XLOOKUP(C32,'Cantidades horarias PROD 01 '!E30:E169,'Cantidades horarias PROD 01 '!AF30:AF169)</f>
        <v>3363403.9</v>
      </c>
      <c r="E32" s="29">
        <v>1</v>
      </c>
      <c r="F32" s="32">
        <f t="shared" si="0"/>
        <v>3363403.9</v>
      </c>
      <c r="G32" s="63"/>
      <c r="H32" s="53"/>
      <c r="I32" s="53"/>
      <c r="J32" s="53"/>
      <c r="K32" s="24"/>
      <c r="L32" s="24"/>
    </row>
    <row r="33" spans="3:12" ht="16.5">
      <c r="C33" s="43">
        <v>46784</v>
      </c>
      <c r="D33" s="32">
        <f>+_xlfn.XLOOKUP(C33,'Cantidades horarias PROD 01 '!E31:E170,'Cantidades horarias PROD 01 '!AF31:AF170)</f>
        <v>2808951.3</v>
      </c>
      <c r="E33" s="29">
        <v>1</v>
      </c>
      <c r="F33" s="32">
        <f t="shared" si="0"/>
        <v>2808951.3</v>
      </c>
      <c r="G33" s="63"/>
      <c r="H33" s="53"/>
      <c r="I33" s="53"/>
      <c r="J33" s="53"/>
      <c r="K33" s="24"/>
      <c r="L33" s="24"/>
    </row>
    <row r="34" spans="3:12" ht="16.5">
      <c r="C34" s="43">
        <v>46813</v>
      </c>
      <c r="D34" s="32">
        <f>+_xlfn.XLOOKUP(C34,'Cantidades horarias PROD 01 '!E32:E171,'Cantidades horarias PROD 01 '!AF32:AF171)</f>
        <v>2815822.21</v>
      </c>
      <c r="E34" s="29">
        <v>1</v>
      </c>
      <c r="F34" s="32">
        <f t="shared" si="0"/>
        <v>2815822.21</v>
      </c>
      <c r="G34" s="63"/>
      <c r="H34" s="53"/>
      <c r="I34" s="53"/>
      <c r="J34" s="53"/>
      <c r="K34" s="24"/>
      <c r="L34" s="24"/>
    </row>
    <row r="35" spans="3:12" ht="16.5">
      <c r="C35" s="43">
        <v>46844</v>
      </c>
      <c r="D35" s="32">
        <f>+_xlfn.XLOOKUP(C35,'Cantidades horarias PROD 01 '!E33:E172,'Cantidades horarias PROD 01 '!AF33:AF172)</f>
        <v>2196626.83</v>
      </c>
      <c r="E35" s="29">
        <v>1</v>
      </c>
      <c r="F35" s="32">
        <f t="shared" si="0"/>
        <v>2196626.83</v>
      </c>
      <c r="G35" s="63"/>
      <c r="H35" s="53"/>
      <c r="I35" s="53"/>
      <c r="J35" s="53"/>
      <c r="K35" s="24"/>
      <c r="L35" s="24"/>
    </row>
    <row r="36" spans="3:12" ht="16.5">
      <c r="C36" s="43">
        <v>46874</v>
      </c>
      <c r="D36" s="32">
        <f>+_xlfn.XLOOKUP(C36,'Cantidades horarias PROD 01 '!E34:E173,'Cantidades horarias PROD 01 '!AF34:AF173)</f>
        <v>2474960.79</v>
      </c>
      <c r="E36" s="29">
        <v>1</v>
      </c>
      <c r="F36" s="32">
        <f t="shared" si="0"/>
        <v>2474960.79</v>
      </c>
      <c r="G36" s="63"/>
      <c r="H36" s="53"/>
      <c r="I36" s="53"/>
      <c r="J36" s="53"/>
      <c r="K36" s="24"/>
      <c r="L36" s="24"/>
    </row>
    <row r="37" spans="3:12" ht="16.5">
      <c r="C37" s="43">
        <v>46905</v>
      </c>
      <c r="D37" s="32">
        <f>+_xlfn.XLOOKUP(C37,'Cantidades horarias PROD 01 '!E35:E174,'Cantidades horarias PROD 01 '!AF35:AF174)</f>
        <v>1884872.84</v>
      </c>
      <c r="E37" s="29">
        <v>1</v>
      </c>
      <c r="F37" s="32">
        <f t="shared" si="0"/>
        <v>1884872.84</v>
      </c>
      <c r="G37" s="63"/>
      <c r="H37" s="53"/>
      <c r="I37" s="53"/>
      <c r="J37" s="53"/>
      <c r="K37" s="24"/>
      <c r="L37" s="24"/>
    </row>
    <row r="38" spans="3:12" ht="16.5">
      <c r="C38" s="43">
        <v>46935</v>
      </c>
      <c r="D38" s="32">
        <f>+_xlfn.XLOOKUP(C38,'Cantidades horarias PROD 01 '!E36:E175,'Cantidades horarias PROD 01 '!AF36:AF175)</f>
        <v>2253865.83</v>
      </c>
      <c r="E38" s="29">
        <v>1</v>
      </c>
      <c r="F38" s="32">
        <f t="shared" si="0"/>
        <v>2253865.83</v>
      </c>
      <c r="G38" s="63"/>
      <c r="H38" s="53"/>
      <c r="I38" s="53"/>
      <c r="J38" s="53"/>
      <c r="K38" s="24"/>
      <c r="L38" s="24"/>
    </row>
    <row r="39" spans="3:12" ht="16.5">
      <c r="C39" s="43">
        <v>46966</v>
      </c>
      <c r="D39" s="32">
        <f>+_xlfn.XLOOKUP(C39,'Cantidades horarias PROD 01 '!E37:E176,'Cantidades horarias PROD 01 '!AF37:AF176)</f>
        <v>2234414.2599999998</v>
      </c>
      <c r="E39" s="29">
        <v>1</v>
      </c>
      <c r="F39" s="32">
        <f t="shared" si="0"/>
        <v>2234414.2599999998</v>
      </c>
      <c r="G39" s="63"/>
      <c r="H39" s="53"/>
      <c r="I39" s="53"/>
      <c r="J39" s="53"/>
      <c r="K39" s="24"/>
      <c r="L39" s="24"/>
    </row>
    <row r="40" spans="3:12" ht="16.5">
      <c r="C40" s="43">
        <v>46997</v>
      </c>
      <c r="D40" s="32">
        <f>+_xlfn.XLOOKUP(C40,'Cantidades horarias PROD 01 '!E38:E177,'Cantidades horarias PROD 01 '!AF38:AF177)</f>
        <v>2246461.62</v>
      </c>
      <c r="E40" s="29">
        <v>1</v>
      </c>
      <c r="F40" s="32">
        <f t="shared" si="0"/>
        <v>2246461.62</v>
      </c>
      <c r="G40" s="63"/>
      <c r="H40" s="53"/>
      <c r="I40" s="53"/>
      <c r="J40" s="53"/>
      <c r="K40" s="24"/>
      <c r="L40" s="24"/>
    </row>
    <row r="41" spans="3:12" ht="16.5">
      <c r="C41" s="43">
        <v>47027</v>
      </c>
      <c r="D41" s="32">
        <f>+_xlfn.XLOOKUP(C41,'Cantidades horarias PROD 01 '!E39:E178,'Cantidades horarias PROD 01 '!AF39:AF178)</f>
        <v>2631347.12</v>
      </c>
      <c r="E41" s="29">
        <v>1</v>
      </c>
      <c r="F41" s="32">
        <f t="shared" si="0"/>
        <v>2631347.12</v>
      </c>
      <c r="G41" s="63"/>
      <c r="H41" s="53"/>
      <c r="I41" s="53"/>
      <c r="J41" s="53"/>
      <c r="K41" s="24"/>
      <c r="L41" s="24"/>
    </row>
    <row r="42" spans="3:12" ht="16.5">
      <c r="C42" s="43">
        <v>47058</v>
      </c>
      <c r="D42" s="32">
        <f>+_xlfn.XLOOKUP(C42,'Cantidades horarias PROD 01 '!E40:E179,'Cantidades horarias PROD 01 '!AF40:AF179)</f>
        <v>2487149.48</v>
      </c>
      <c r="E42" s="29">
        <v>1</v>
      </c>
      <c r="F42" s="32">
        <f t="shared" si="0"/>
        <v>2487149.48</v>
      </c>
      <c r="G42" s="63"/>
      <c r="H42" s="53"/>
      <c r="I42" s="53"/>
      <c r="J42" s="53"/>
      <c r="K42" s="24"/>
      <c r="L42" s="24"/>
    </row>
    <row r="43" spans="3:12" ht="16.5">
      <c r="C43" s="43">
        <v>47088</v>
      </c>
      <c r="D43" s="32">
        <f>+_xlfn.XLOOKUP(C43,'Cantidades horarias PROD 01 '!E41:E180,'Cantidades horarias PROD 01 '!AF41:AF180)</f>
        <v>3093072.46</v>
      </c>
      <c r="E43" s="29">
        <v>1</v>
      </c>
      <c r="F43" s="32">
        <f t="shared" si="0"/>
        <v>3093072.46</v>
      </c>
      <c r="G43" s="63"/>
      <c r="H43" s="53"/>
      <c r="I43" s="53"/>
      <c r="J43" s="53"/>
      <c r="K43" s="24"/>
      <c r="L43" s="24"/>
    </row>
    <row r="44" spans="3:12" ht="16.5">
      <c r="C44" s="43">
        <v>47119</v>
      </c>
      <c r="D44" s="32">
        <f>+_xlfn.XLOOKUP(C44,'Cantidades horarias PROD 01 '!E42:E181,'Cantidades horarias PROD 01 '!AF42:AF181)</f>
        <v>3729831.57</v>
      </c>
      <c r="E44" s="29">
        <v>1</v>
      </c>
      <c r="F44" s="32">
        <f t="shared" si="0"/>
        <v>3729831.57</v>
      </c>
      <c r="G44" s="63"/>
      <c r="H44" s="53"/>
      <c r="I44" s="53"/>
      <c r="J44" s="53"/>
      <c r="K44" s="24"/>
      <c r="L44" s="24"/>
    </row>
    <row r="45" spans="3:12" ht="16.5">
      <c r="C45" s="43">
        <v>47150</v>
      </c>
      <c r="D45" s="32">
        <f>+_xlfn.XLOOKUP(C45,'Cantidades horarias PROD 01 '!E43:E182,'Cantidades horarias PROD 01 '!AF43:AF182)</f>
        <v>3130676.49</v>
      </c>
      <c r="E45" s="29">
        <v>1</v>
      </c>
      <c r="F45" s="32">
        <f t="shared" si="0"/>
        <v>3130676.49</v>
      </c>
      <c r="G45" s="63"/>
      <c r="H45" s="53"/>
      <c r="I45" s="53"/>
      <c r="J45" s="53"/>
      <c r="K45" s="24"/>
      <c r="L45" s="24"/>
    </row>
    <row r="46" spans="3:12" ht="16.5">
      <c r="C46" s="43">
        <v>47178</v>
      </c>
      <c r="D46" s="32">
        <f>+_xlfn.XLOOKUP(C46,'Cantidades horarias PROD 01 '!E44:E183,'Cantidades horarias PROD 01 '!AF44:AF183)</f>
        <v>3148079.82</v>
      </c>
      <c r="E46" s="29">
        <v>1</v>
      </c>
      <c r="F46" s="32">
        <f t="shared" si="0"/>
        <v>3148079.82</v>
      </c>
      <c r="G46" s="63"/>
      <c r="H46" s="53"/>
      <c r="I46" s="53"/>
      <c r="J46" s="53"/>
      <c r="K46" s="24"/>
      <c r="L46" s="24"/>
    </row>
    <row r="47" spans="3:12" ht="16.5">
      <c r="C47" s="43">
        <v>47209</v>
      </c>
      <c r="D47" s="32">
        <f>+_xlfn.XLOOKUP(C47,'Cantidades horarias PROD 01 '!E45:E184,'Cantidades horarias PROD 01 '!AF45:AF184)</f>
        <v>2469305.75</v>
      </c>
      <c r="E47" s="29">
        <v>1</v>
      </c>
      <c r="F47" s="32">
        <f t="shared" si="0"/>
        <v>2469305.75</v>
      </c>
      <c r="G47" s="63"/>
      <c r="H47" s="53"/>
      <c r="I47" s="53"/>
      <c r="J47" s="53"/>
      <c r="K47" s="24"/>
      <c r="L47" s="24"/>
    </row>
    <row r="48" spans="3:12" ht="16.5">
      <c r="C48" s="43">
        <v>47239</v>
      </c>
      <c r="D48" s="32">
        <f>+_xlfn.XLOOKUP(C48,'Cantidades horarias PROD 01 '!E46:E185,'Cantidades horarias PROD 01 '!AF46:AF185)</f>
        <v>2761909.33</v>
      </c>
      <c r="E48" s="29">
        <v>1</v>
      </c>
      <c r="F48" s="32">
        <f t="shared" si="0"/>
        <v>2761909.33</v>
      </c>
      <c r="G48" s="63"/>
      <c r="H48" s="53"/>
      <c r="I48" s="53"/>
      <c r="J48" s="53"/>
      <c r="K48" s="24"/>
      <c r="L48" s="24"/>
    </row>
    <row r="49" spans="3:12" ht="16.5">
      <c r="C49" s="43">
        <v>47270</v>
      </c>
      <c r="D49" s="32">
        <f>+_xlfn.XLOOKUP(C49,'Cantidades horarias PROD 01 '!E47:E186,'Cantidades horarias PROD 01 '!AF47:AF186)</f>
        <v>2153817.4</v>
      </c>
      <c r="E49" s="29">
        <v>1</v>
      </c>
      <c r="F49" s="32">
        <f t="shared" si="0"/>
        <v>2153817.4</v>
      </c>
      <c r="G49" s="63"/>
      <c r="H49" s="53"/>
      <c r="I49" s="53"/>
      <c r="J49" s="53"/>
      <c r="K49" s="24"/>
      <c r="L49" s="24"/>
    </row>
    <row r="50" spans="3:12" ht="16.5">
      <c r="C50" s="43">
        <v>47300</v>
      </c>
      <c r="D50" s="32">
        <f>+_xlfn.XLOOKUP(C50,'Cantidades horarias PROD 01 '!E48:E187,'Cantidades horarias PROD 01 '!AF48:AF187)</f>
        <v>2556868.9700000002</v>
      </c>
      <c r="E50" s="29">
        <v>1</v>
      </c>
      <c r="F50" s="32">
        <f t="shared" si="0"/>
        <v>2556868.9700000002</v>
      </c>
      <c r="G50" s="63"/>
      <c r="H50" s="53"/>
      <c r="I50" s="53"/>
      <c r="J50" s="53"/>
      <c r="K50" s="24"/>
      <c r="L50" s="24"/>
    </row>
    <row r="51" spans="3:12" ht="16.5">
      <c r="C51" s="43">
        <v>47331</v>
      </c>
      <c r="D51" s="32">
        <f>+_xlfn.XLOOKUP(C51,'Cantidades horarias PROD 01 '!E49:E188,'Cantidades horarias PROD 01 '!AF49:AF188)</f>
        <v>2524392.29</v>
      </c>
      <c r="E51" s="29">
        <v>1</v>
      </c>
      <c r="F51" s="32">
        <f t="shared" si="0"/>
        <v>2524392.29</v>
      </c>
      <c r="G51" s="63"/>
      <c r="H51" s="53"/>
      <c r="I51" s="53"/>
      <c r="J51" s="53"/>
      <c r="K51" s="24"/>
      <c r="L51" s="24"/>
    </row>
    <row r="52" spans="3:12" ht="16.5">
      <c r="C52" s="43">
        <v>47362</v>
      </c>
      <c r="D52" s="32">
        <f>+_xlfn.XLOOKUP(C52,'Cantidades horarias PROD 01 '!E50:E189,'Cantidades horarias PROD 01 '!AF50:AF189)</f>
        <v>2527530.23</v>
      </c>
      <c r="E52" s="29">
        <v>1</v>
      </c>
      <c r="F52" s="32">
        <f t="shared" si="0"/>
        <v>2527530.23</v>
      </c>
      <c r="G52" s="63"/>
      <c r="H52" s="53"/>
      <c r="I52" s="53"/>
      <c r="J52" s="53"/>
      <c r="K52" s="24"/>
      <c r="L52" s="24"/>
    </row>
    <row r="53" spans="3:12" ht="16.5">
      <c r="C53" s="43">
        <v>47392</v>
      </c>
      <c r="D53" s="32">
        <f>+_xlfn.XLOOKUP(C53,'Cantidades horarias PROD 01 '!E51:E190,'Cantidades horarias PROD 01 '!AF51:AF190)</f>
        <v>2913144.56</v>
      </c>
      <c r="E53" s="29">
        <v>1</v>
      </c>
      <c r="F53" s="32">
        <f t="shared" si="0"/>
        <v>2913144.56</v>
      </c>
      <c r="G53" s="63"/>
      <c r="H53" s="53"/>
      <c r="I53" s="53"/>
      <c r="J53" s="53"/>
      <c r="K53" s="24"/>
      <c r="L53" s="24"/>
    </row>
    <row r="54" spans="3:12" ht="16.5">
      <c r="C54" s="43">
        <v>47423</v>
      </c>
      <c r="D54" s="32">
        <f>+_xlfn.XLOOKUP(C54,'Cantidades horarias PROD 01 '!E52:E191,'Cantidades horarias PROD 01 '!AF52:AF191)</f>
        <v>2748862.04</v>
      </c>
      <c r="E54" s="29">
        <v>1</v>
      </c>
      <c r="F54" s="32">
        <f t="shared" si="0"/>
        <v>2748862.04</v>
      </c>
      <c r="G54" s="63"/>
      <c r="H54" s="53"/>
      <c r="I54" s="53"/>
      <c r="J54" s="53"/>
      <c r="K54" s="24"/>
      <c r="L54" s="24"/>
    </row>
    <row r="55" spans="3:12" ht="16.5">
      <c r="C55" s="43">
        <v>47453</v>
      </c>
      <c r="D55" s="32">
        <f>+_xlfn.XLOOKUP(C55,'Cantidades horarias PROD 01 '!E53:E192,'Cantidades horarias PROD 01 '!AF53:AF192)</f>
        <v>3408446.86</v>
      </c>
      <c r="E55" s="29">
        <v>1</v>
      </c>
      <c r="F55" s="32">
        <f t="shared" si="0"/>
        <v>3408446.86</v>
      </c>
      <c r="G55" s="63"/>
      <c r="H55" s="53"/>
      <c r="I55" s="53"/>
      <c r="J55" s="53"/>
      <c r="K55" s="24"/>
      <c r="L55" s="24"/>
    </row>
    <row r="56" spans="3:12" ht="16.5">
      <c r="C56" s="43">
        <v>47484</v>
      </c>
      <c r="D56" s="32">
        <f>+_xlfn.XLOOKUP(C56,'Cantidades horarias PROD 01 '!E54:E193,'Cantidades horarias PROD 01 '!AF54:AF193)</f>
        <v>3709781.61</v>
      </c>
      <c r="E56" s="29">
        <v>1</v>
      </c>
      <c r="F56" s="32">
        <f t="shared" si="0"/>
        <v>3709781.61</v>
      </c>
      <c r="G56" s="63"/>
      <c r="H56" s="53"/>
      <c r="I56" s="53"/>
      <c r="J56" s="53"/>
      <c r="K56" s="24"/>
      <c r="L56" s="24"/>
    </row>
    <row r="57" spans="3:12" ht="16.5">
      <c r="C57" s="43">
        <v>47515</v>
      </c>
      <c r="D57" s="32">
        <f>+_xlfn.XLOOKUP(C57,'Cantidades horarias PROD 01 '!E55:E194,'Cantidades horarias PROD 01 '!AF55:AF194)</f>
        <v>3112734.03</v>
      </c>
      <c r="E57" s="29">
        <v>1</v>
      </c>
      <c r="F57" s="32">
        <f t="shared" si="0"/>
        <v>3112734.03</v>
      </c>
      <c r="G57" s="63"/>
      <c r="H57" s="53"/>
      <c r="I57" s="53"/>
      <c r="J57" s="53"/>
      <c r="K57" s="24"/>
      <c r="L57" s="24"/>
    </row>
    <row r="58" spans="3:12" ht="16.5">
      <c r="C58" s="43">
        <v>47543</v>
      </c>
      <c r="D58" s="32">
        <f>+_xlfn.XLOOKUP(C58,'Cantidades horarias PROD 01 '!E56:E195,'Cantidades horarias PROD 01 '!AF56:AF195)</f>
        <v>3130026.45</v>
      </c>
      <c r="E58" s="29">
        <v>1</v>
      </c>
      <c r="F58" s="32">
        <f t="shared" si="0"/>
        <v>3130026.45</v>
      </c>
      <c r="G58" s="63"/>
      <c r="H58" s="53"/>
      <c r="I58" s="53"/>
      <c r="J58" s="53"/>
      <c r="K58" s="24"/>
      <c r="L58" s="24"/>
    </row>
    <row r="59" spans="3:12" ht="16.5">
      <c r="C59" s="43">
        <v>47574</v>
      </c>
      <c r="D59" s="32">
        <f>+_xlfn.XLOOKUP(C59,'Cantidades horarias PROD 01 '!E57:E196,'Cantidades horarias PROD 01 '!AF57:AF196)</f>
        <v>2453943.23</v>
      </c>
      <c r="E59" s="29">
        <v>1</v>
      </c>
      <c r="F59" s="32">
        <f t="shared" si="0"/>
        <v>2453943.23</v>
      </c>
      <c r="G59" s="63"/>
      <c r="H59" s="53"/>
      <c r="I59" s="53"/>
      <c r="J59" s="53"/>
      <c r="K59" s="24"/>
      <c r="L59" s="24"/>
    </row>
    <row r="60" spans="3:12" ht="16.5">
      <c r="C60" s="43">
        <v>47604</v>
      </c>
      <c r="D60" s="32">
        <f>+_xlfn.XLOOKUP(C60,'Cantidades horarias PROD 01 '!E58:E197,'Cantidades horarias PROD 01 '!AF58:AF197)</f>
        <v>2744894.4</v>
      </c>
      <c r="E60" s="29">
        <v>1</v>
      </c>
      <c r="F60" s="32">
        <f t="shared" ref="F60:F123" si="1">ROUND(D60*$E60,2)</f>
        <v>2744894.4</v>
      </c>
      <c r="G60" s="63"/>
      <c r="H60" s="53"/>
      <c r="I60" s="53"/>
      <c r="J60" s="53"/>
      <c r="K60" s="24"/>
      <c r="L60" s="24"/>
    </row>
    <row r="61" spans="3:12" ht="16.5">
      <c r="C61" s="43">
        <v>47635</v>
      </c>
      <c r="D61" s="32">
        <f>+_xlfn.XLOOKUP(C61,'Cantidades horarias PROD 01 '!E59:E198,'Cantidades horarias PROD 01 '!AF59:AF198)</f>
        <v>2139566.59</v>
      </c>
      <c r="E61" s="29">
        <v>1</v>
      </c>
      <c r="F61" s="32">
        <f t="shared" si="1"/>
        <v>2139566.59</v>
      </c>
      <c r="G61" s="63"/>
      <c r="H61" s="53"/>
      <c r="I61" s="53"/>
      <c r="J61" s="53"/>
      <c r="K61" s="24"/>
      <c r="L61" s="24"/>
    </row>
    <row r="62" spans="3:12" ht="16.5">
      <c r="C62" s="43">
        <v>47665</v>
      </c>
      <c r="D62" s="32">
        <f>+_xlfn.XLOOKUP(C62,'Cantidades horarias PROD 01 '!E60:E199,'Cantidades horarias PROD 01 '!AF60:AF199)</f>
        <v>2540739.0099999998</v>
      </c>
      <c r="E62" s="29">
        <v>1</v>
      </c>
      <c r="F62" s="32">
        <f t="shared" si="1"/>
        <v>2540739.0099999998</v>
      </c>
      <c r="G62" s="63"/>
      <c r="H62" s="53"/>
      <c r="I62" s="53"/>
      <c r="J62" s="53"/>
      <c r="K62" s="24"/>
      <c r="L62" s="24"/>
    </row>
    <row r="63" spans="3:12" ht="16.5">
      <c r="C63" s="43">
        <v>47696</v>
      </c>
      <c r="D63" s="32">
        <f>+_xlfn.XLOOKUP(C63,'Cantidades horarias PROD 01 '!E61:E200,'Cantidades horarias PROD 01 '!AF61:AF200)</f>
        <v>2508588.58</v>
      </c>
      <c r="E63" s="29">
        <v>1</v>
      </c>
      <c r="F63" s="32">
        <f t="shared" si="1"/>
        <v>2508588.58</v>
      </c>
      <c r="G63" s="63"/>
      <c r="H63" s="53"/>
      <c r="I63" s="53"/>
      <c r="J63" s="53"/>
      <c r="K63" s="24"/>
      <c r="L63" s="24"/>
    </row>
    <row r="64" spans="3:12" ht="16.5">
      <c r="C64" s="43">
        <v>47727</v>
      </c>
      <c r="D64" s="32">
        <f>+_xlfn.XLOOKUP(C64,'Cantidades horarias PROD 01 '!E62:E201,'Cantidades horarias PROD 01 '!AF62:AF201)</f>
        <v>2511650.52</v>
      </c>
      <c r="E64" s="29">
        <v>1</v>
      </c>
      <c r="F64" s="32">
        <f t="shared" si="1"/>
        <v>2511650.52</v>
      </c>
      <c r="G64" s="63"/>
      <c r="H64" s="53"/>
      <c r="I64" s="53"/>
      <c r="J64" s="53"/>
      <c r="K64" s="24"/>
      <c r="L64" s="24"/>
    </row>
    <row r="65" spans="3:12" ht="16.5">
      <c r="C65" s="43">
        <v>47757</v>
      </c>
      <c r="D65" s="32">
        <f>+_xlfn.XLOOKUP(C65,'Cantidades horarias PROD 01 '!E63:E202,'Cantidades horarias PROD 01 '!AF63:AF202)</f>
        <v>2895976.13</v>
      </c>
      <c r="E65" s="29">
        <v>1</v>
      </c>
      <c r="F65" s="32">
        <f t="shared" si="1"/>
        <v>2895976.13</v>
      </c>
      <c r="G65" s="63"/>
      <c r="H65" s="53"/>
      <c r="I65" s="53"/>
      <c r="J65" s="53"/>
      <c r="K65" s="24"/>
      <c r="L65" s="24"/>
    </row>
    <row r="66" spans="3:12" ht="16.5">
      <c r="C66" s="43">
        <v>47788</v>
      </c>
      <c r="D66" s="32">
        <f>+_xlfn.XLOOKUP(C66,'Cantidades horarias PROD 01 '!E64:E203,'Cantidades horarias PROD 01 '!AF64:AF203)</f>
        <v>2738041.91</v>
      </c>
      <c r="E66" s="29">
        <v>1</v>
      </c>
      <c r="F66" s="32">
        <f t="shared" si="1"/>
        <v>2738041.91</v>
      </c>
      <c r="G66" s="63"/>
      <c r="H66" s="53"/>
      <c r="I66" s="53"/>
      <c r="J66" s="53"/>
      <c r="K66" s="24"/>
      <c r="L66" s="24"/>
    </row>
    <row r="67" spans="3:12" ht="16.5">
      <c r="C67" s="43">
        <v>47818</v>
      </c>
      <c r="D67" s="32">
        <f>+_xlfn.XLOOKUP(C67,'Cantidades horarias PROD 01 '!E65:E204,'Cantidades horarias PROD 01 '!AF65:AF204)</f>
        <v>3390144.91</v>
      </c>
      <c r="E67" s="29">
        <v>1</v>
      </c>
      <c r="F67" s="32">
        <f t="shared" si="1"/>
        <v>3390144.91</v>
      </c>
      <c r="G67" s="63"/>
      <c r="H67" s="53"/>
      <c r="I67" s="53"/>
      <c r="J67" s="53"/>
      <c r="K67" s="24"/>
      <c r="L67" s="24"/>
    </row>
    <row r="68" spans="3:12" ht="16.5">
      <c r="C68" s="43">
        <v>47849</v>
      </c>
      <c r="D68" s="32">
        <f>+_xlfn.XLOOKUP(C68,'Cantidades horarias PROD 01 '!E66:E205,'Cantidades horarias PROD 01 '!AF66:AF205)</f>
        <v>3689680.82</v>
      </c>
      <c r="E68" s="29">
        <v>1</v>
      </c>
      <c r="F68" s="32">
        <f t="shared" si="1"/>
        <v>3689680.82</v>
      </c>
      <c r="G68" s="63"/>
      <c r="H68" s="53"/>
      <c r="I68" s="53"/>
      <c r="J68" s="53"/>
      <c r="K68" s="24"/>
      <c r="L68" s="24"/>
    </row>
    <row r="69" spans="3:12" ht="16.5">
      <c r="C69" s="43">
        <v>47880</v>
      </c>
      <c r="D69" s="32">
        <f>+_xlfn.XLOOKUP(C69,'Cantidades horarias PROD 01 '!E67:E206,'Cantidades horarias PROD 01 '!AF67:AF206)</f>
        <v>3094735.36</v>
      </c>
      <c r="E69" s="29">
        <v>1</v>
      </c>
      <c r="F69" s="32">
        <f t="shared" si="1"/>
        <v>3094735.36</v>
      </c>
      <c r="G69" s="63"/>
      <c r="H69" s="53"/>
      <c r="I69" s="53"/>
      <c r="J69" s="53"/>
      <c r="K69" s="24"/>
      <c r="L69" s="24"/>
    </row>
    <row r="70" spans="3:12" ht="16.5">
      <c r="C70" s="43">
        <v>47908</v>
      </c>
      <c r="D70" s="32">
        <f>+_xlfn.XLOOKUP(C70,'Cantidades horarias PROD 01 '!E68:E207,'Cantidades horarias PROD 01 '!AF68:AF207)</f>
        <v>3111928.29</v>
      </c>
      <c r="E70" s="29">
        <v>1</v>
      </c>
      <c r="F70" s="32">
        <f t="shared" si="1"/>
        <v>3111928.29</v>
      </c>
      <c r="G70" s="63"/>
      <c r="H70" s="53"/>
      <c r="I70" s="53"/>
      <c r="J70" s="53"/>
      <c r="K70" s="24"/>
      <c r="L70" s="24"/>
    </row>
    <row r="71" spans="3:12" ht="16.5">
      <c r="C71" s="43">
        <v>47939</v>
      </c>
      <c r="D71" s="32">
        <f>+_xlfn.XLOOKUP(C71,'Cantidades horarias PROD 01 '!E69:E208,'Cantidades horarias PROD 01 '!AF69:AF208)</f>
        <v>2438544.86</v>
      </c>
      <c r="E71" s="29">
        <v>1</v>
      </c>
      <c r="F71" s="32">
        <f t="shared" si="1"/>
        <v>2438544.86</v>
      </c>
      <c r="G71" s="63"/>
      <c r="H71" s="53"/>
      <c r="I71" s="53"/>
      <c r="J71" s="53"/>
      <c r="K71" s="24"/>
      <c r="L71" s="24"/>
    </row>
    <row r="72" spans="3:12" ht="16.5">
      <c r="C72" s="43">
        <v>47969</v>
      </c>
      <c r="D72" s="32">
        <f>+_xlfn.XLOOKUP(C72,'Cantidades horarias PROD 01 '!E70:E209,'Cantidades horarias PROD 01 '!AF70:AF209)</f>
        <v>2727840.56</v>
      </c>
      <c r="E72" s="29">
        <v>1</v>
      </c>
      <c r="F72" s="32">
        <f t="shared" si="1"/>
        <v>2727840.56</v>
      </c>
      <c r="G72" s="63"/>
      <c r="H72" s="53"/>
      <c r="I72" s="53"/>
      <c r="J72" s="53"/>
      <c r="K72" s="24"/>
      <c r="L72" s="24"/>
    </row>
    <row r="73" spans="3:12" ht="16.5">
      <c r="C73" s="43">
        <v>48000</v>
      </c>
      <c r="D73" s="32">
        <f>+_xlfn.XLOOKUP(C73,'Cantidades horarias PROD 01 '!E71:E210,'Cantidades horarias PROD 01 '!AF71:AF210)</f>
        <v>2125257.16</v>
      </c>
      <c r="E73" s="29">
        <v>1</v>
      </c>
      <c r="F73" s="32">
        <f t="shared" si="1"/>
        <v>2125257.16</v>
      </c>
      <c r="G73" s="63"/>
      <c r="H73" s="53"/>
      <c r="I73" s="53"/>
      <c r="J73" s="53"/>
      <c r="K73" s="24"/>
      <c r="L73" s="24"/>
    </row>
    <row r="74" spans="3:12" ht="16.5">
      <c r="C74" s="43">
        <v>48030</v>
      </c>
      <c r="D74" s="32">
        <f>+_xlfn.XLOOKUP(C74,'Cantidades horarias PROD 01 '!E72:E211,'Cantidades horarias PROD 01 '!AF72:AF211)</f>
        <v>2524558.46</v>
      </c>
      <c r="E74" s="29">
        <v>1</v>
      </c>
      <c r="F74" s="32">
        <f t="shared" si="1"/>
        <v>2524558.46</v>
      </c>
      <c r="G74" s="63"/>
      <c r="H74" s="53"/>
      <c r="I74" s="53"/>
      <c r="J74" s="53"/>
      <c r="K74" s="24"/>
      <c r="L74" s="24"/>
    </row>
    <row r="75" spans="3:12" ht="16.5">
      <c r="C75" s="43">
        <v>48061</v>
      </c>
      <c r="D75" s="32">
        <f>+_xlfn.XLOOKUP(C75,'Cantidades horarias PROD 01 '!E73:E212,'Cantidades horarias PROD 01 '!AF73:AF212)</f>
        <v>2492722.17</v>
      </c>
      <c r="E75" s="29">
        <v>1</v>
      </c>
      <c r="F75" s="32">
        <f t="shared" si="1"/>
        <v>2492722.17</v>
      </c>
      <c r="G75" s="63"/>
      <c r="H75" s="53"/>
      <c r="I75" s="53"/>
      <c r="J75" s="53"/>
      <c r="K75" s="24"/>
      <c r="L75" s="24"/>
    </row>
    <row r="76" spans="3:12" ht="16.5">
      <c r="C76" s="43">
        <v>48092</v>
      </c>
      <c r="D76" s="32">
        <f>+_xlfn.XLOOKUP(C76,'Cantidades horarias PROD 01 '!E74:E213,'Cantidades horarias PROD 01 '!AF74:AF213)</f>
        <v>2495702.9300000002</v>
      </c>
      <c r="E76" s="29">
        <v>1</v>
      </c>
      <c r="F76" s="32">
        <f t="shared" si="1"/>
        <v>2495702.9300000002</v>
      </c>
      <c r="G76" s="63"/>
      <c r="H76" s="53"/>
      <c r="I76" s="53"/>
      <c r="J76" s="53"/>
      <c r="K76" s="24"/>
      <c r="L76" s="24"/>
    </row>
    <row r="77" spans="3:12" ht="16.5">
      <c r="C77" s="43">
        <v>48122</v>
      </c>
      <c r="D77" s="32">
        <f>+_xlfn.XLOOKUP(C77,'Cantidades horarias PROD 01 '!E75:E214,'Cantidades horarias PROD 01 '!AF75:AF214)</f>
        <v>2878755.97</v>
      </c>
      <c r="E77" s="29">
        <v>1</v>
      </c>
      <c r="F77" s="32">
        <f t="shared" si="1"/>
        <v>2878755.97</v>
      </c>
      <c r="G77" s="63"/>
      <c r="H77" s="53"/>
      <c r="I77" s="53"/>
      <c r="J77" s="53"/>
      <c r="K77" s="24"/>
      <c r="L77" s="24"/>
    </row>
    <row r="78" spans="3:12" ht="16.5">
      <c r="C78" s="43">
        <v>48153</v>
      </c>
      <c r="D78" s="32">
        <f>+_xlfn.XLOOKUP(C78,'Cantidades horarias PROD 01 '!E76:E215,'Cantidades horarias PROD 01 '!AF76:AF215)</f>
        <v>2721317.04</v>
      </c>
      <c r="E78" s="29">
        <v>1</v>
      </c>
      <c r="F78" s="32">
        <f t="shared" si="1"/>
        <v>2721317.04</v>
      </c>
      <c r="G78" s="63"/>
      <c r="H78" s="53"/>
      <c r="I78" s="53"/>
      <c r="J78" s="53"/>
      <c r="K78" s="24"/>
      <c r="L78" s="24"/>
    </row>
    <row r="79" spans="3:12" ht="16.5">
      <c r="C79" s="43">
        <v>48183</v>
      </c>
      <c r="D79" s="32">
        <f>+_xlfn.XLOOKUP(C79,'Cantidades horarias PROD 01 '!E77:E216,'Cantidades horarias PROD 01 '!AF77:AF216)</f>
        <v>3371769.02</v>
      </c>
      <c r="E79" s="29">
        <v>1</v>
      </c>
      <c r="F79" s="32">
        <f t="shared" si="1"/>
        <v>3371769.02</v>
      </c>
      <c r="G79" s="63"/>
      <c r="H79" s="53"/>
      <c r="I79" s="53"/>
      <c r="J79" s="53"/>
      <c r="K79" s="24"/>
      <c r="L79" s="24"/>
    </row>
    <row r="80" spans="3:12" ht="16.5">
      <c r="C80" s="43">
        <v>48214</v>
      </c>
      <c r="D80" s="32">
        <f>+_xlfn.XLOOKUP(C80,'Cantidades horarias PROD 01 '!E78:E217,'Cantidades horarias PROD 01 '!AF78:AF217)</f>
        <v>3669495.14</v>
      </c>
      <c r="E80" s="29">
        <v>1</v>
      </c>
      <c r="F80" s="32">
        <f t="shared" si="1"/>
        <v>3669495.14</v>
      </c>
      <c r="G80" s="63"/>
      <c r="H80" s="53"/>
      <c r="I80" s="53"/>
      <c r="J80" s="53"/>
      <c r="K80" s="24"/>
      <c r="L80" s="24"/>
    </row>
    <row r="81" spans="3:12" ht="16.5">
      <c r="C81" s="43">
        <v>48245</v>
      </c>
      <c r="D81" s="32">
        <f>+_xlfn.XLOOKUP(C81,'Cantidades horarias PROD 01 '!E79:E218,'Cantidades horarias PROD 01 '!AF79:AF218)</f>
        <v>3076665.6</v>
      </c>
      <c r="E81" s="29">
        <v>1</v>
      </c>
      <c r="F81" s="32">
        <f t="shared" si="1"/>
        <v>3076665.6</v>
      </c>
      <c r="G81" s="63"/>
      <c r="H81" s="53"/>
      <c r="I81" s="53"/>
      <c r="J81" s="53"/>
      <c r="K81" s="24"/>
      <c r="L81" s="24"/>
    </row>
    <row r="82" spans="3:12" ht="16.5">
      <c r="C82" s="43">
        <v>48274</v>
      </c>
      <c r="D82" s="32">
        <f>+_xlfn.XLOOKUP(C82,'Cantidades horarias PROD 01 '!E80:E219,'Cantidades horarias PROD 01 '!AF80:AF219)</f>
        <v>3093757.46</v>
      </c>
      <c r="E82" s="29">
        <v>1</v>
      </c>
      <c r="F82" s="32">
        <f t="shared" si="1"/>
        <v>3093757.46</v>
      </c>
      <c r="G82" s="63"/>
      <c r="H82" s="53"/>
      <c r="I82" s="53"/>
      <c r="J82" s="53"/>
      <c r="K82" s="24"/>
      <c r="L82" s="24"/>
    </row>
    <row r="83" spans="3:12" ht="16.5">
      <c r="C83" s="43">
        <v>48305</v>
      </c>
      <c r="D83" s="32">
        <f>+_xlfn.XLOOKUP(C83,'Cantidades horarias PROD 01 '!E81:E220,'Cantidades horarias PROD 01 '!AF81:AF220)</f>
        <v>2423081.48</v>
      </c>
      <c r="E83" s="29">
        <v>1</v>
      </c>
      <c r="F83" s="32">
        <f t="shared" si="1"/>
        <v>2423081.48</v>
      </c>
      <c r="G83" s="63"/>
      <c r="H83" s="53"/>
      <c r="I83" s="53"/>
      <c r="J83" s="53"/>
      <c r="K83" s="24"/>
      <c r="L83" s="24"/>
    </row>
    <row r="84" spans="3:12" ht="16.5">
      <c r="C84" s="43">
        <v>48335</v>
      </c>
      <c r="D84" s="32">
        <f>+_xlfn.XLOOKUP(C84,'Cantidades horarias PROD 01 '!E82:E221,'Cantidades horarias PROD 01 '!AF82:AF221)</f>
        <v>2710710.72</v>
      </c>
      <c r="E84" s="29">
        <v>1</v>
      </c>
      <c r="F84" s="32">
        <f t="shared" si="1"/>
        <v>2710710.72</v>
      </c>
      <c r="G84" s="63"/>
      <c r="H84" s="53"/>
      <c r="I84" s="53"/>
      <c r="J84" s="53"/>
      <c r="K84" s="24"/>
      <c r="L84" s="24"/>
    </row>
    <row r="85" spans="3:12" ht="16.5">
      <c r="C85" s="43">
        <v>48366</v>
      </c>
      <c r="D85" s="32">
        <f>+_xlfn.XLOOKUP(C85,'Cantidades horarias PROD 01 '!E83:E222,'Cantidades horarias PROD 01 '!AF83:AF222)</f>
        <v>2110891.46</v>
      </c>
      <c r="E85" s="29">
        <v>1</v>
      </c>
      <c r="F85" s="32">
        <f t="shared" si="1"/>
        <v>2110891.46</v>
      </c>
      <c r="G85" s="63"/>
      <c r="H85" s="53"/>
      <c r="I85" s="53"/>
      <c r="J85" s="53"/>
      <c r="K85" s="24"/>
      <c r="L85" s="24"/>
    </row>
    <row r="86" spans="3:12" ht="16.5">
      <c r="C86" s="43">
        <v>48396</v>
      </c>
      <c r="D86" s="32">
        <f>+_xlfn.XLOOKUP(C86,'Cantidades horarias PROD 01 '!E84:E223,'Cantidades horarias PROD 01 '!AF84:AF223)</f>
        <v>2508315.4900000002</v>
      </c>
      <c r="E86" s="29">
        <v>1</v>
      </c>
      <c r="F86" s="32">
        <f t="shared" si="1"/>
        <v>2508315.4900000002</v>
      </c>
      <c r="G86" s="63"/>
      <c r="H86" s="53"/>
      <c r="I86" s="53"/>
      <c r="J86" s="53"/>
      <c r="K86" s="24"/>
      <c r="L86" s="24"/>
    </row>
    <row r="87" spans="3:12" ht="16.5">
      <c r="C87" s="43">
        <v>48427</v>
      </c>
      <c r="D87" s="32">
        <f>+_xlfn.XLOOKUP(C87,'Cantidades horarias PROD 01 '!E85:E224,'Cantidades horarias PROD 01 '!AF85:AF224)</f>
        <v>2476791.31</v>
      </c>
      <c r="E87" s="29">
        <v>1</v>
      </c>
      <c r="F87" s="32">
        <f t="shared" si="1"/>
        <v>2476791.31</v>
      </c>
      <c r="G87" s="63"/>
      <c r="H87" s="53"/>
      <c r="I87" s="53"/>
      <c r="J87" s="53"/>
      <c r="K87" s="24"/>
      <c r="L87" s="24"/>
    </row>
    <row r="88" spans="3:12" ht="16.5">
      <c r="C88" s="43">
        <v>48458</v>
      </c>
      <c r="D88" s="32">
        <f>+_xlfn.XLOOKUP(C88,'Cantidades horarias PROD 01 '!E86:E225,'Cantidades horarias PROD 01 '!AF86:AF225)</f>
        <v>2479676.4</v>
      </c>
      <c r="E88" s="29">
        <v>1</v>
      </c>
      <c r="F88" s="32">
        <f t="shared" si="1"/>
        <v>2479676.4</v>
      </c>
      <c r="G88" s="63"/>
      <c r="H88" s="53"/>
      <c r="I88" s="53"/>
      <c r="J88" s="53"/>
      <c r="K88" s="24"/>
      <c r="L88" s="24"/>
    </row>
    <row r="89" spans="3:12" ht="16.5">
      <c r="C89" s="43">
        <v>48488</v>
      </c>
      <c r="D89" s="32">
        <f>+_xlfn.XLOOKUP(C89,'Cantidades horarias PROD 01 '!E87:E226,'Cantidades horarias PROD 01 '!AF87:AF226)</f>
        <v>2861456.28</v>
      </c>
      <c r="E89" s="29">
        <v>1</v>
      </c>
      <c r="F89" s="32">
        <f t="shared" si="1"/>
        <v>2861456.28</v>
      </c>
      <c r="G89" s="63"/>
      <c r="H89" s="53"/>
      <c r="I89" s="53"/>
      <c r="J89" s="53"/>
      <c r="K89" s="24"/>
      <c r="L89" s="24"/>
    </row>
    <row r="90" spans="3:12" ht="16.5">
      <c r="C90" s="43">
        <v>48519</v>
      </c>
      <c r="D90" s="32">
        <f>+_xlfn.XLOOKUP(C90,'Cantidades horarias PROD 01 '!E88:E227,'Cantidades horarias PROD 01 '!AF88:AF227)</f>
        <v>2704524.16</v>
      </c>
      <c r="E90" s="29">
        <v>1</v>
      </c>
      <c r="F90" s="32">
        <f t="shared" si="1"/>
        <v>2704524.16</v>
      </c>
      <c r="G90" s="63"/>
      <c r="H90" s="53"/>
      <c r="I90" s="53"/>
      <c r="J90" s="53"/>
      <c r="K90" s="24"/>
      <c r="L90" s="24"/>
    </row>
    <row r="91" spans="3:12" ht="16.5">
      <c r="C91" s="43">
        <v>48549</v>
      </c>
      <c r="D91" s="32">
        <f>+_xlfn.XLOOKUP(C91,'Cantidades horarias PROD 01 '!E89:E228,'Cantidades horarias PROD 01 '!AF89:AF228)</f>
        <v>3353323.81</v>
      </c>
      <c r="E91" s="29">
        <v>1</v>
      </c>
      <c r="F91" s="32">
        <f t="shared" si="1"/>
        <v>3353323.81</v>
      </c>
      <c r="G91" s="63"/>
      <c r="H91" s="53"/>
      <c r="I91" s="53"/>
      <c r="J91" s="53"/>
      <c r="K91" s="24"/>
      <c r="L91" s="24"/>
    </row>
    <row r="92" spans="3:12" ht="16.5">
      <c r="C92" s="43">
        <v>48580</v>
      </c>
      <c r="D92" s="32">
        <f>+_xlfn.XLOOKUP(C92,'Cantidades horarias PROD 01 '!E90:E229,'Cantidades horarias PROD 01 '!AF90:AF229)</f>
        <v>3649196.02</v>
      </c>
      <c r="E92" s="29">
        <v>1</v>
      </c>
      <c r="F92" s="32">
        <f t="shared" si="1"/>
        <v>3649196.02</v>
      </c>
      <c r="G92" s="63"/>
      <c r="H92" s="53"/>
      <c r="I92" s="53"/>
      <c r="J92" s="53"/>
      <c r="K92" s="24"/>
      <c r="L92" s="24"/>
    </row>
    <row r="93" spans="3:12" ht="16.5">
      <c r="C93" s="43">
        <v>48611</v>
      </c>
      <c r="D93" s="32">
        <f>+_xlfn.XLOOKUP(C93,'Cantidades horarias PROD 01 '!E91:E230,'Cantidades horarias PROD 01 '!AF91:AF230)</f>
        <v>3058516.12</v>
      </c>
      <c r="E93" s="29">
        <v>1</v>
      </c>
      <c r="F93" s="32">
        <f t="shared" si="1"/>
        <v>3058516.12</v>
      </c>
      <c r="G93" s="63"/>
      <c r="H93" s="53"/>
      <c r="I93" s="53"/>
      <c r="J93" s="53"/>
      <c r="K93" s="24"/>
      <c r="L93" s="24"/>
    </row>
    <row r="94" spans="3:12" ht="16.5">
      <c r="C94" s="43">
        <v>48639</v>
      </c>
      <c r="D94" s="32">
        <f>+_xlfn.XLOOKUP(C94,'Cantidades horarias PROD 01 '!E92:E231,'Cantidades horarias PROD 01 '!AF92:AF231)</f>
        <v>3075509.42</v>
      </c>
      <c r="E94" s="29">
        <v>1</v>
      </c>
      <c r="F94" s="32">
        <f t="shared" si="1"/>
        <v>3075509.42</v>
      </c>
      <c r="G94" s="63"/>
      <c r="H94" s="53"/>
      <c r="I94" s="53"/>
      <c r="J94" s="53"/>
      <c r="K94" s="24"/>
      <c r="L94" s="24"/>
    </row>
    <row r="95" spans="3:12" ht="16.5">
      <c r="C95" s="43">
        <v>48670</v>
      </c>
      <c r="D95" s="32">
        <f>+_xlfn.XLOOKUP(C95,'Cantidades horarias PROD 01 '!E93:E232,'Cantidades horarias PROD 01 '!AF93:AF232)</f>
        <v>2407547.2000000002</v>
      </c>
      <c r="E95" s="29">
        <v>1</v>
      </c>
      <c r="F95" s="32">
        <f t="shared" si="1"/>
        <v>2407547.2000000002</v>
      </c>
      <c r="G95" s="63"/>
      <c r="H95" s="53"/>
      <c r="I95" s="53"/>
      <c r="J95" s="53"/>
      <c r="K95" s="24"/>
      <c r="L95" s="24"/>
    </row>
    <row r="96" spans="3:12" ht="16.5">
      <c r="C96" s="43">
        <v>48700</v>
      </c>
      <c r="D96" s="32">
        <f>+_xlfn.XLOOKUP(C96,'Cantidades horarias PROD 01 '!E94:E233,'Cantidades horarias PROD 01 '!AF94:AF233)</f>
        <v>2693503.02</v>
      </c>
      <c r="E96" s="29">
        <v>1</v>
      </c>
      <c r="F96" s="32">
        <f t="shared" si="1"/>
        <v>2693503.02</v>
      </c>
      <c r="G96" s="63"/>
      <c r="H96" s="53"/>
      <c r="I96" s="53"/>
      <c r="J96" s="53"/>
      <c r="K96" s="24"/>
      <c r="L96" s="24"/>
    </row>
    <row r="97" spans="3:12" ht="16.5">
      <c r="C97" s="43">
        <v>48731</v>
      </c>
      <c r="D97" s="32">
        <f>+_xlfn.XLOOKUP(C97,'Cantidades horarias PROD 01 '!E95:E234,'Cantidades horarias PROD 01 '!AF95:AF234)</f>
        <v>2096440.5</v>
      </c>
      <c r="E97" s="29">
        <v>1</v>
      </c>
      <c r="F97" s="32">
        <f t="shared" si="1"/>
        <v>2096440.5</v>
      </c>
      <c r="G97" s="63"/>
      <c r="H97" s="53"/>
      <c r="I97" s="53"/>
      <c r="J97" s="53"/>
      <c r="K97" s="24"/>
      <c r="L97" s="24"/>
    </row>
    <row r="98" spans="3:12" ht="16.5">
      <c r="C98" s="43">
        <v>48761</v>
      </c>
      <c r="D98" s="32">
        <f>+_xlfn.XLOOKUP(C98,'Cantidades horarias PROD 01 '!E96:E235,'Cantidades horarias PROD 01 '!AF96:AF235)</f>
        <v>2491982.7200000002</v>
      </c>
      <c r="E98" s="29">
        <v>1</v>
      </c>
      <c r="F98" s="32">
        <f t="shared" si="1"/>
        <v>2491982.7200000002</v>
      </c>
      <c r="G98" s="63"/>
      <c r="H98" s="53"/>
      <c r="I98" s="53"/>
      <c r="J98" s="53"/>
      <c r="K98" s="24"/>
      <c r="L98" s="24"/>
    </row>
    <row r="99" spans="3:12" ht="16.5">
      <c r="C99" s="43">
        <v>48792</v>
      </c>
      <c r="D99" s="32">
        <f>+_xlfn.XLOOKUP(C99,'Cantidades horarias PROD 01 '!E97:E236,'Cantidades horarias PROD 01 '!AF97:AF236)</f>
        <v>2460764.1800000002</v>
      </c>
      <c r="E99" s="29">
        <v>1</v>
      </c>
      <c r="F99" s="32">
        <f t="shared" si="1"/>
        <v>2460764.1800000002</v>
      </c>
      <c r="G99" s="63"/>
      <c r="H99" s="53"/>
      <c r="I99" s="53"/>
      <c r="J99" s="53"/>
      <c r="K99" s="24"/>
      <c r="L99" s="24"/>
    </row>
    <row r="100" spans="3:12" ht="16.5">
      <c r="C100" s="43">
        <v>48823</v>
      </c>
      <c r="D100" s="32">
        <f>+_xlfn.XLOOKUP(C100,'Cantidades horarias PROD 01 '!E98:E237,'Cantidades horarias PROD 01 '!AF98:AF237)</f>
        <v>2463570.65</v>
      </c>
      <c r="E100" s="29">
        <v>1</v>
      </c>
      <c r="F100" s="32">
        <f t="shared" si="1"/>
        <v>2463570.65</v>
      </c>
      <c r="G100" s="63"/>
      <c r="H100" s="53"/>
      <c r="I100" s="53"/>
      <c r="J100" s="53"/>
      <c r="K100" s="24"/>
      <c r="L100" s="24"/>
    </row>
    <row r="101" spans="3:12" ht="16.5">
      <c r="C101" s="43">
        <v>48853</v>
      </c>
      <c r="D101" s="32">
        <f>+_xlfn.XLOOKUP(C101,'Cantidades horarias PROD 01 '!E99:E238,'Cantidades horarias PROD 01 '!AF99:AF238)</f>
        <v>2844049.61</v>
      </c>
      <c r="E101" s="29">
        <v>1</v>
      </c>
      <c r="F101" s="32">
        <f t="shared" si="1"/>
        <v>2844049.61</v>
      </c>
      <c r="G101" s="63"/>
      <c r="H101" s="53"/>
      <c r="I101" s="53"/>
      <c r="J101" s="53"/>
      <c r="K101" s="24"/>
      <c r="L101" s="24"/>
    </row>
    <row r="102" spans="3:12" ht="16.5">
      <c r="C102" s="43">
        <v>48884</v>
      </c>
      <c r="D102" s="32">
        <f>+_xlfn.XLOOKUP(C102,'Cantidades horarias PROD 01 '!E100:E239,'Cantidades horarias PROD 01 '!AF100:AF239)</f>
        <v>2687640.14</v>
      </c>
      <c r="E102" s="29">
        <v>1</v>
      </c>
      <c r="F102" s="32">
        <f t="shared" si="1"/>
        <v>2687640.14</v>
      </c>
      <c r="G102" s="63"/>
      <c r="H102" s="53"/>
      <c r="I102" s="53"/>
      <c r="J102" s="53"/>
      <c r="K102" s="24"/>
      <c r="L102" s="24"/>
    </row>
    <row r="103" spans="3:12" ht="16.5">
      <c r="C103" s="43">
        <v>48914</v>
      </c>
      <c r="D103" s="32">
        <f>+_xlfn.XLOOKUP(C103,'Cantidades horarias PROD 01 '!E101:E240,'Cantidades horarias PROD 01 '!AF101:AF240)</f>
        <v>3334771.76</v>
      </c>
      <c r="E103" s="29">
        <v>1</v>
      </c>
      <c r="F103" s="32">
        <f t="shared" si="1"/>
        <v>3334771.76</v>
      </c>
      <c r="G103" s="63"/>
      <c r="H103" s="53"/>
      <c r="I103" s="53"/>
      <c r="J103" s="53"/>
      <c r="K103" s="24"/>
      <c r="L103" s="24"/>
    </row>
    <row r="104" spans="3:12" ht="16.5">
      <c r="C104" s="43">
        <v>48945</v>
      </c>
      <c r="D104" s="32">
        <f>+_xlfn.XLOOKUP(C104,'Cantidades horarias PROD 01 '!E102:E241,'Cantidades horarias PROD 01 '!AF102:AF241)</f>
        <v>3628814.27</v>
      </c>
      <c r="E104" s="29">
        <v>1</v>
      </c>
      <c r="F104" s="32">
        <f t="shared" si="1"/>
        <v>3628814.27</v>
      </c>
      <c r="G104" s="63"/>
      <c r="H104" s="53"/>
      <c r="I104" s="53"/>
      <c r="J104" s="53"/>
      <c r="K104" s="24"/>
      <c r="L104" s="24"/>
    </row>
    <row r="105" spans="3:12" ht="16.5">
      <c r="C105" s="43">
        <v>48976</v>
      </c>
      <c r="D105" s="32">
        <f>+_xlfn.XLOOKUP(C105,'Cantidades horarias PROD 01 '!E103:E242,'Cantidades horarias PROD 01 '!AF103:AF242)</f>
        <v>3040277.38</v>
      </c>
      <c r="E105" s="29">
        <v>1</v>
      </c>
      <c r="F105" s="32">
        <f t="shared" si="1"/>
        <v>3040277.38</v>
      </c>
      <c r="G105" s="63"/>
      <c r="H105" s="53"/>
      <c r="I105" s="53"/>
      <c r="J105" s="53"/>
      <c r="K105" s="24"/>
      <c r="L105" s="24"/>
    </row>
    <row r="106" spans="3:12" ht="16.5">
      <c r="C106" s="43">
        <v>49004</v>
      </c>
      <c r="D106" s="32">
        <f>+_xlfn.XLOOKUP(C106,'Cantidades horarias PROD 01 '!E104:E243,'Cantidades horarias PROD 01 '!AF104:AF243)</f>
        <v>3057198.61</v>
      </c>
      <c r="E106" s="29">
        <v>1</v>
      </c>
      <c r="F106" s="32">
        <f t="shared" si="1"/>
        <v>3057198.61</v>
      </c>
      <c r="G106" s="63"/>
      <c r="H106" s="53"/>
      <c r="I106" s="53"/>
      <c r="J106" s="53"/>
      <c r="K106" s="24"/>
      <c r="L106" s="24"/>
    </row>
    <row r="107" spans="3:12" ht="16.5">
      <c r="C107" s="43">
        <v>49035</v>
      </c>
      <c r="D107" s="32">
        <f>+_xlfn.XLOOKUP(C107,'Cantidades horarias PROD 01 '!E105:E244,'Cantidades horarias PROD 01 '!AF105:AF244)</f>
        <v>2391948.35</v>
      </c>
      <c r="E107" s="29">
        <v>1</v>
      </c>
      <c r="F107" s="32">
        <f t="shared" si="1"/>
        <v>2391948.35</v>
      </c>
      <c r="G107" s="63"/>
      <c r="H107" s="53"/>
      <c r="I107" s="53"/>
      <c r="J107" s="53"/>
      <c r="K107" s="24"/>
      <c r="L107" s="24"/>
    </row>
    <row r="108" spans="3:12" ht="16.5">
      <c r="C108" s="43">
        <v>49065</v>
      </c>
      <c r="D108" s="32">
        <f>+_xlfn.XLOOKUP(C108,'Cantidades horarias PROD 01 '!E106:E245,'Cantidades horarias PROD 01 '!AF106:AF245)</f>
        <v>2676213.16</v>
      </c>
      <c r="E108" s="29">
        <v>1</v>
      </c>
      <c r="F108" s="32">
        <f t="shared" si="1"/>
        <v>2676213.16</v>
      </c>
      <c r="G108" s="63"/>
      <c r="H108" s="53"/>
      <c r="I108" s="53"/>
      <c r="J108" s="53"/>
      <c r="K108" s="24"/>
      <c r="L108" s="24"/>
    </row>
    <row r="109" spans="3:12" ht="16.5">
      <c r="C109" s="43">
        <v>49096</v>
      </c>
      <c r="D109" s="32">
        <f>+_xlfn.XLOOKUP(C109,'Cantidades horarias PROD 01 '!E107:E246,'Cantidades horarias PROD 01 '!AF107:AF246)</f>
        <v>2081926.5</v>
      </c>
      <c r="E109" s="29">
        <v>1</v>
      </c>
      <c r="F109" s="32">
        <f t="shared" si="1"/>
        <v>2081926.5</v>
      </c>
      <c r="G109" s="63"/>
      <c r="H109" s="53"/>
      <c r="I109" s="53"/>
      <c r="J109" s="53"/>
      <c r="K109" s="24"/>
      <c r="L109" s="24"/>
    </row>
    <row r="110" spans="3:12" ht="16.5">
      <c r="C110" s="43">
        <v>49126</v>
      </c>
      <c r="D110" s="32">
        <f>+_xlfn.XLOOKUP(C110,'Cantidades horarias PROD 01 '!E108:E247,'Cantidades horarias PROD 01 '!AF108:AF247)</f>
        <v>2475586.6</v>
      </c>
      <c r="E110" s="29">
        <v>1</v>
      </c>
      <c r="F110" s="32">
        <f t="shared" si="1"/>
        <v>2475586.6</v>
      </c>
      <c r="G110" s="63"/>
      <c r="H110" s="53"/>
      <c r="I110" s="53"/>
      <c r="J110" s="53"/>
      <c r="K110" s="24"/>
      <c r="L110" s="24"/>
    </row>
    <row r="111" spans="3:12" ht="16.5">
      <c r="C111" s="43">
        <v>49157</v>
      </c>
      <c r="D111" s="32">
        <f>+_xlfn.XLOOKUP(C111,'Cantidades horarias PROD 01 '!E109:E248,'Cantidades horarias PROD 01 '!AF109:AF248)</f>
        <v>2444666.86</v>
      </c>
      <c r="E111" s="29">
        <v>1</v>
      </c>
      <c r="F111" s="32">
        <f t="shared" si="1"/>
        <v>2444666.86</v>
      </c>
      <c r="G111" s="63"/>
      <c r="H111" s="53"/>
      <c r="I111" s="53"/>
      <c r="J111" s="53"/>
      <c r="K111" s="24"/>
      <c r="L111" s="24"/>
    </row>
    <row r="112" spans="3:12" ht="16.5">
      <c r="C112" s="43">
        <v>49188</v>
      </c>
      <c r="D112" s="32">
        <f>+_xlfn.XLOOKUP(C112,'Cantidades horarias PROD 01 '!E110:E249,'Cantidades horarias PROD 01 '!AF110:AF249)</f>
        <v>2447363.5099999998</v>
      </c>
      <c r="E112" s="29">
        <v>1</v>
      </c>
      <c r="F112" s="32">
        <f t="shared" si="1"/>
        <v>2447363.5099999998</v>
      </c>
      <c r="G112" s="63"/>
      <c r="H112" s="53"/>
      <c r="I112" s="53"/>
      <c r="J112" s="53"/>
      <c r="K112" s="24"/>
      <c r="L112" s="24"/>
    </row>
    <row r="113" spans="3:12" ht="16.5">
      <c r="C113" s="43">
        <v>49218</v>
      </c>
      <c r="D113" s="32">
        <f>+_xlfn.XLOOKUP(C113,'Cantidades horarias PROD 01 '!E111:E250,'Cantidades horarias PROD 01 '!AF111:AF250)</f>
        <v>2826563.58</v>
      </c>
      <c r="E113" s="29">
        <v>1</v>
      </c>
      <c r="F113" s="32">
        <f t="shared" si="1"/>
        <v>2826563.58</v>
      </c>
      <c r="G113" s="63"/>
      <c r="H113" s="53"/>
      <c r="I113" s="53"/>
      <c r="J113" s="53"/>
      <c r="K113" s="24"/>
      <c r="L113" s="24"/>
    </row>
    <row r="114" spans="3:12" ht="16.5">
      <c r="C114" s="43">
        <v>49249</v>
      </c>
      <c r="D114" s="32">
        <f>+_xlfn.XLOOKUP(C114,'Cantidades horarias PROD 01 '!E112:E251,'Cantidades horarias PROD 01 '!AF112:AF251)</f>
        <v>2670678.52</v>
      </c>
      <c r="E114" s="29">
        <v>1</v>
      </c>
      <c r="F114" s="32">
        <f t="shared" si="1"/>
        <v>2670678.52</v>
      </c>
      <c r="G114" s="63"/>
      <c r="H114" s="53"/>
      <c r="I114" s="53"/>
      <c r="J114" s="53"/>
      <c r="K114" s="24"/>
      <c r="L114" s="24"/>
    </row>
    <row r="115" spans="3:12" ht="16.5">
      <c r="C115" s="43">
        <v>49279</v>
      </c>
      <c r="D115" s="32">
        <f>+_xlfn.XLOOKUP(C115,'Cantidades horarias PROD 01 '!E113:E252,'Cantidades horarias PROD 01 '!AF113:AF252)</f>
        <v>3316118.13</v>
      </c>
      <c r="E115" s="29">
        <v>1</v>
      </c>
      <c r="F115" s="32">
        <f t="shared" si="1"/>
        <v>3316118.13</v>
      </c>
      <c r="G115" s="63"/>
      <c r="H115" s="53"/>
      <c r="I115" s="53"/>
      <c r="J115" s="53"/>
      <c r="K115" s="24"/>
      <c r="L115" s="24"/>
    </row>
    <row r="116" spans="3:12" ht="16.5">
      <c r="C116" s="43">
        <v>49310</v>
      </c>
      <c r="D116" s="32">
        <f>+_xlfn.XLOOKUP(C116,'Cantidades horarias PROD 01 '!E114:E241,'Cantidades horarias PROD 01 '!AF114:AF241)</f>
        <v>13347978.24</v>
      </c>
      <c r="E116" s="29">
        <v>1</v>
      </c>
      <c r="F116" s="32">
        <f t="shared" si="1"/>
        <v>13347978.24</v>
      </c>
      <c r="G116" s="63"/>
      <c r="H116" s="53"/>
      <c r="I116" s="53"/>
      <c r="J116" s="53"/>
      <c r="K116" s="24"/>
      <c r="L116" s="24"/>
    </row>
    <row r="117" spans="3:12" ht="16.5">
      <c r="C117" s="43">
        <v>49341</v>
      </c>
      <c r="D117" s="32">
        <f>+_xlfn.XLOOKUP(C117,'Cantidades horarias PROD 01 '!E115:E242,'Cantidades horarias PROD 01 '!AF115:AF242)</f>
        <v>11614491.01</v>
      </c>
      <c r="E117" s="29">
        <v>1</v>
      </c>
      <c r="F117" s="32">
        <f t="shared" si="1"/>
        <v>11614491.01</v>
      </c>
      <c r="G117" s="63"/>
      <c r="H117" s="53"/>
      <c r="I117" s="53"/>
      <c r="J117" s="53"/>
      <c r="K117" s="24"/>
      <c r="L117" s="24"/>
    </row>
    <row r="118" spans="3:12" ht="16.5">
      <c r="C118" s="43">
        <v>49369</v>
      </c>
      <c r="D118" s="32">
        <f>+_xlfn.XLOOKUP(C118,'Cantidades horarias PROD 01 '!E116:E243,'Cantidades horarias PROD 01 '!AF116:AF243)</f>
        <v>11404539.26</v>
      </c>
      <c r="E118" s="29">
        <v>1</v>
      </c>
      <c r="F118" s="32">
        <f t="shared" si="1"/>
        <v>11404539.26</v>
      </c>
      <c r="G118" s="63"/>
      <c r="H118" s="53"/>
      <c r="I118" s="53"/>
      <c r="J118" s="53"/>
      <c r="K118" s="24"/>
      <c r="L118" s="24"/>
    </row>
    <row r="119" spans="3:12" ht="16.5">
      <c r="C119" s="43">
        <v>49400</v>
      </c>
      <c r="D119" s="32">
        <f>+_xlfn.XLOOKUP(C119,'Cantidades horarias PROD 01 '!E117:E244,'Cantidades horarias PROD 01 '!AF117:AF244)</f>
        <v>9845237.3900000006</v>
      </c>
      <c r="E119" s="29">
        <v>1</v>
      </c>
      <c r="F119" s="32">
        <f t="shared" si="1"/>
        <v>9845237.3900000006</v>
      </c>
      <c r="G119" s="63"/>
      <c r="H119" s="53"/>
      <c r="I119" s="53"/>
      <c r="J119" s="53"/>
      <c r="K119" s="24"/>
      <c r="L119" s="24"/>
    </row>
    <row r="120" spans="3:12" ht="16.5">
      <c r="C120" s="43">
        <v>49430</v>
      </c>
      <c r="D120" s="32">
        <f>+_xlfn.XLOOKUP(C120,'Cantidades horarias PROD 01 '!E118:E245,'Cantidades horarias PROD 01 '!AF118:AF245)</f>
        <v>10861711.300000001</v>
      </c>
      <c r="E120" s="29">
        <v>1</v>
      </c>
      <c r="F120" s="32">
        <f t="shared" si="1"/>
        <v>10861711.300000001</v>
      </c>
      <c r="G120" s="63"/>
      <c r="H120" s="53"/>
      <c r="I120" s="53"/>
      <c r="J120" s="53"/>
      <c r="K120" s="24"/>
      <c r="L120" s="24"/>
    </row>
    <row r="121" spans="3:12" ht="16.5">
      <c r="C121" s="43">
        <v>49461</v>
      </c>
      <c r="D121" s="32">
        <f>+_xlfn.XLOOKUP(C121,'Cantidades horarias PROD 01 '!E119:E246,'Cantidades horarias PROD 01 '!AF119:AF246)</f>
        <v>9531296.75</v>
      </c>
      <c r="E121" s="29">
        <v>1</v>
      </c>
      <c r="F121" s="32">
        <f t="shared" si="1"/>
        <v>9531296.75</v>
      </c>
      <c r="G121" s="63"/>
      <c r="H121" s="53"/>
      <c r="I121" s="53"/>
      <c r="J121" s="53"/>
      <c r="K121" s="24"/>
      <c r="L121" s="24"/>
    </row>
    <row r="122" spans="3:12" ht="16.5">
      <c r="C122" s="43">
        <v>49491</v>
      </c>
      <c r="D122" s="32">
        <f>+_xlfn.XLOOKUP(C122,'Cantidades horarias PROD 01 '!E120:E247,'Cantidades horarias PROD 01 '!AF120:AF247)</f>
        <v>10340915.58</v>
      </c>
      <c r="E122" s="29">
        <v>1</v>
      </c>
      <c r="F122" s="32">
        <f t="shared" si="1"/>
        <v>10340915.58</v>
      </c>
      <c r="G122" s="63"/>
      <c r="H122" s="53"/>
      <c r="I122" s="53"/>
      <c r="J122" s="53"/>
      <c r="K122" s="24"/>
      <c r="L122" s="24"/>
    </row>
    <row r="123" spans="3:12" ht="16.5">
      <c r="C123" s="43">
        <v>49522</v>
      </c>
      <c r="D123" s="32">
        <f>+_xlfn.XLOOKUP(C123,'Cantidades horarias PROD 01 '!E121:E248,'Cantidades horarias PROD 01 '!AF121:AF248)</f>
        <v>8607947.6600000001</v>
      </c>
      <c r="E123" s="29">
        <v>1</v>
      </c>
      <c r="F123" s="32">
        <f t="shared" si="1"/>
        <v>8607947.6600000001</v>
      </c>
      <c r="G123" s="63"/>
      <c r="H123" s="53"/>
      <c r="I123" s="53"/>
      <c r="J123" s="53"/>
      <c r="K123" s="24"/>
      <c r="L123" s="24"/>
    </row>
    <row r="124" spans="3:12" ht="16.5">
      <c r="C124" s="43">
        <v>49553</v>
      </c>
      <c r="D124" s="32">
        <f>+_xlfn.XLOOKUP(C124,'Cantidades horarias PROD 01 '!E122:E249,'Cantidades horarias PROD 01 '!AF122:AF249)</f>
        <v>7768241.8300000001</v>
      </c>
      <c r="E124" s="29">
        <v>1</v>
      </c>
      <c r="F124" s="32">
        <f t="shared" ref="F124:F127" si="2">ROUND(D124*$E124,2)</f>
        <v>7768241.8300000001</v>
      </c>
      <c r="G124" s="63"/>
      <c r="H124" s="53"/>
      <c r="I124" s="53"/>
      <c r="J124" s="53"/>
      <c r="K124" s="24"/>
      <c r="L124" s="24"/>
    </row>
    <row r="125" spans="3:12" ht="16.5">
      <c r="C125" s="43">
        <v>49583</v>
      </c>
      <c r="D125" s="32">
        <f>+_xlfn.XLOOKUP(C125,'Cantidades horarias PROD 01 '!E123:E250,'Cantidades horarias PROD 01 '!AF123:AF250)</f>
        <v>8332436.2400000002</v>
      </c>
      <c r="E125" s="29">
        <v>1</v>
      </c>
      <c r="F125" s="32">
        <f t="shared" si="2"/>
        <v>8332436.2400000002</v>
      </c>
      <c r="G125" s="63"/>
      <c r="H125" s="53"/>
      <c r="I125" s="53"/>
      <c r="J125" s="53"/>
      <c r="K125" s="24"/>
      <c r="L125" s="24"/>
    </row>
    <row r="126" spans="3:12" ht="16.5">
      <c r="C126" s="43">
        <v>49614</v>
      </c>
      <c r="D126" s="32">
        <f>+_xlfn.XLOOKUP(C126,'Cantidades horarias PROD 01 '!E124:E251,'Cantidades horarias PROD 01 '!AF124:AF251)</f>
        <v>3860735.38</v>
      </c>
      <c r="E126" s="29">
        <v>1</v>
      </c>
      <c r="F126" s="32">
        <f t="shared" si="2"/>
        <v>3860735.38</v>
      </c>
      <c r="G126" s="63"/>
      <c r="H126" s="53"/>
      <c r="I126" s="53"/>
      <c r="J126" s="53"/>
      <c r="K126" s="24"/>
      <c r="L126" s="24"/>
    </row>
    <row r="127" spans="3:12" ht="16.5">
      <c r="C127" s="43">
        <v>49644</v>
      </c>
      <c r="D127" s="32">
        <f>+_xlfn.XLOOKUP(C127,'Cantidades horarias PROD 01 '!E125:E252,'Cantidades horarias PROD 01 '!AF125:AF252)</f>
        <v>1682559.2</v>
      </c>
      <c r="E127" s="29">
        <v>1</v>
      </c>
      <c r="F127" s="32">
        <f t="shared" si="2"/>
        <v>1682559.2</v>
      </c>
      <c r="G127" s="63"/>
      <c r="H127" s="53"/>
      <c r="I127" s="53"/>
      <c r="J127" s="53"/>
      <c r="K127" s="24"/>
      <c r="L127" s="24"/>
    </row>
    <row r="128" spans="3:12" ht="16.5">
      <c r="C128" s="43">
        <v>49675</v>
      </c>
      <c r="D128" s="32">
        <f>+_xlfn.XLOOKUP(C128,'Cantidades horarias PROD 01 '!E126:E253,'Cantidades horarias PROD 01 '!AF126:AF253)</f>
        <v>5719885.3099999996</v>
      </c>
      <c r="E128" s="29">
        <v>1</v>
      </c>
      <c r="F128" s="32">
        <f t="shared" ref="F128:F139" si="3">ROUND(D128*$E128,2)</f>
        <v>5719885.3099999996</v>
      </c>
      <c r="G128" s="63"/>
      <c r="H128" s="53"/>
      <c r="I128" s="53"/>
      <c r="J128" s="53"/>
      <c r="K128" s="24"/>
      <c r="L128" s="24"/>
    </row>
    <row r="129" spans="3:12" ht="16.5">
      <c r="C129" s="43">
        <v>49706</v>
      </c>
      <c r="D129" s="32">
        <f>+_xlfn.XLOOKUP(C129,'Cantidades horarias PROD 01 '!E127:E254,'Cantidades horarias PROD 01 '!AF127:AF254)</f>
        <v>5376001.5599999996</v>
      </c>
      <c r="E129" s="29">
        <v>1</v>
      </c>
      <c r="F129" s="32">
        <f t="shared" si="3"/>
        <v>5376001.5599999996</v>
      </c>
      <c r="G129" s="63"/>
      <c r="H129" s="53"/>
      <c r="I129" s="53"/>
      <c r="J129" s="53"/>
      <c r="K129" s="24"/>
      <c r="L129" s="24"/>
    </row>
    <row r="130" spans="3:12" ht="16.5">
      <c r="C130" s="43">
        <v>49735</v>
      </c>
      <c r="D130" s="32">
        <f>+_xlfn.XLOOKUP(C130,'Cantidades horarias PROD 01 '!E128:E255,'Cantidades horarias PROD 01 '!AF128:AF255)</f>
        <v>5678860.2999999998</v>
      </c>
      <c r="E130" s="29">
        <v>1</v>
      </c>
      <c r="F130" s="32">
        <f t="shared" si="3"/>
        <v>5678860.2999999998</v>
      </c>
      <c r="G130" s="63"/>
      <c r="H130" s="53"/>
      <c r="I130" s="53"/>
      <c r="J130" s="53"/>
      <c r="K130" s="24"/>
      <c r="L130" s="24"/>
    </row>
    <row r="131" spans="3:12" ht="16.5">
      <c r="C131" s="43">
        <v>49766</v>
      </c>
      <c r="D131" s="32">
        <f>+_xlfn.XLOOKUP(C131,'Cantidades horarias PROD 01 '!E129:E256,'Cantidades horarias PROD 01 '!AF129:AF256)</f>
        <v>4931210.5</v>
      </c>
      <c r="E131" s="29">
        <v>1</v>
      </c>
      <c r="F131" s="32">
        <f t="shared" si="3"/>
        <v>4931210.5</v>
      </c>
      <c r="G131" s="63"/>
      <c r="H131" s="53"/>
      <c r="I131" s="53"/>
      <c r="J131" s="53"/>
      <c r="K131" s="24"/>
      <c r="L131" s="24"/>
    </row>
    <row r="132" spans="3:12" ht="16.5">
      <c r="C132" s="43">
        <v>49796</v>
      </c>
      <c r="D132" s="32">
        <f>+_xlfn.XLOOKUP(C132,'Cantidades horarias PROD 01 '!E130:E257,'Cantidades horarias PROD 01 '!AF130:AF257)</f>
        <v>4875739.33</v>
      </c>
      <c r="E132" s="29">
        <v>1</v>
      </c>
      <c r="F132" s="32">
        <f t="shared" si="3"/>
        <v>4875739.33</v>
      </c>
      <c r="G132" s="63"/>
      <c r="H132" s="53"/>
      <c r="I132" s="53"/>
      <c r="J132" s="53"/>
      <c r="K132" s="24"/>
      <c r="L132" s="24"/>
    </row>
    <row r="133" spans="3:12" ht="16.5">
      <c r="C133" s="43">
        <v>49827</v>
      </c>
      <c r="D133" s="32">
        <f>+_xlfn.XLOOKUP(C133,'Cantidades horarias PROD 01 '!E131:E258,'Cantidades horarias PROD 01 '!AF131:AF258)</f>
        <v>4886168.97</v>
      </c>
      <c r="E133" s="29">
        <v>1</v>
      </c>
      <c r="F133" s="32">
        <f t="shared" si="3"/>
        <v>4886168.97</v>
      </c>
      <c r="G133" s="63"/>
      <c r="H133" s="53"/>
      <c r="I133" s="53"/>
      <c r="J133" s="53"/>
      <c r="K133" s="24"/>
      <c r="L133" s="24"/>
    </row>
    <row r="134" spans="3:12" ht="16.5">
      <c r="C134" s="43">
        <v>49857</v>
      </c>
      <c r="D134" s="32">
        <f>+_xlfn.XLOOKUP(C134,'Cantidades horarias PROD 01 '!E132:E259,'Cantidades horarias PROD 01 '!AF132:AF259)</f>
        <v>5230191.97</v>
      </c>
      <c r="E134" s="29">
        <v>1</v>
      </c>
      <c r="F134" s="32">
        <f t="shared" si="3"/>
        <v>5230191.97</v>
      </c>
      <c r="G134" s="63"/>
      <c r="H134" s="53"/>
      <c r="I134" s="53"/>
      <c r="J134" s="53"/>
      <c r="K134" s="24"/>
      <c r="L134" s="24"/>
    </row>
    <row r="135" spans="3:12" ht="16.5">
      <c r="C135" s="43">
        <v>49888</v>
      </c>
      <c r="D135" s="32">
        <f>+_xlfn.XLOOKUP(C135,'Cantidades horarias PROD 01 '!E133:E260,'Cantidades horarias PROD 01 '!AF133:AF260)</f>
        <v>4919951.16</v>
      </c>
      <c r="E135" s="29">
        <v>1</v>
      </c>
      <c r="F135" s="32">
        <f t="shared" si="3"/>
        <v>4919951.16</v>
      </c>
      <c r="G135" s="63"/>
      <c r="H135" s="53"/>
      <c r="I135" s="53"/>
      <c r="J135" s="53"/>
      <c r="K135" s="24"/>
      <c r="L135" s="24"/>
    </row>
    <row r="136" spans="3:12" ht="16.5">
      <c r="C136" s="43">
        <v>49919</v>
      </c>
      <c r="D136" s="32">
        <f>+_xlfn.XLOOKUP(C136,'Cantidades horarias PROD 01 '!E134:E261,'Cantidades horarias PROD 01 '!AF134:AF261)</f>
        <v>4591814.8899999997</v>
      </c>
      <c r="E136" s="29">
        <v>1</v>
      </c>
      <c r="F136" s="32">
        <f t="shared" si="3"/>
        <v>4591814.8899999997</v>
      </c>
      <c r="G136" s="63"/>
      <c r="H136" s="53"/>
      <c r="I136" s="53"/>
      <c r="J136" s="53"/>
      <c r="K136" s="24"/>
      <c r="L136" s="24"/>
    </row>
    <row r="137" spans="3:12" ht="16.5">
      <c r="C137" s="43">
        <v>49949</v>
      </c>
      <c r="D137" s="32">
        <f>+_xlfn.XLOOKUP(C137,'Cantidades horarias PROD 01 '!E135:E262,'Cantidades horarias PROD 01 '!AF135:AF262)</f>
        <v>4499716.5</v>
      </c>
      <c r="E137" s="29">
        <v>1</v>
      </c>
      <c r="F137" s="32">
        <f t="shared" si="3"/>
        <v>4499716.5</v>
      </c>
      <c r="G137" s="63"/>
      <c r="H137" s="53"/>
      <c r="I137" s="53"/>
      <c r="J137" s="53"/>
      <c r="K137" s="24"/>
      <c r="L137" s="24"/>
    </row>
    <row r="138" spans="3:12" ht="16.5">
      <c r="C138" s="43">
        <v>49980</v>
      </c>
      <c r="D138" s="32">
        <f>+_xlfn.XLOOKUP(C138,'Cantidades horarias PROD 01 '!E136:E263,'Cantidades horarias PROD 01 '!AF136:AF263)</f>
        <v>4399738.68</v>
      </c>
      <c r="E138" s="29">
        <v>1</v>
      </c>
      <c r="F138" s="32">
        <f t="shared" si="3"/>
        <v>4399738.68</v>
      </c>
      <c r="G138" s="63"/>
      <c r="H138" s="53"/>
      <c r="I138" s="53"/>
      <c r="J138" s="53"/>
      <c r="K138" s="24"/>
      <c r="L138" s="24"/>
    </row>
    <row r="139" spans="3:12" ht="17" thickBot="1">
      <c r="C139" s="43">
        <v>50010</v>
      </c>
      <c r="D139" s="32">
        <f>+_xlfn.XLOOKUP(C139,'Cantidades horarias PROD 01 '!E137:E264,'Cantidades horarias PROD 01 '!AF137:AF264)</f>
        <v>5019404.18</v>
      </c>
      <c r="E139" s="29">
        <v>1</v>
      </c>
      <c r="F139" s="32">
        <f t="shared" si="3"/>
        <v>5019404.18</v>
      </c>
      <c r="G139" s="63"/>
      <c r="H139" s="53"/>
      <c r="I139" s="53"/>
      <c r="J139" s="53"/>
      <c r="K139" s="24"/>
      <c r="L139" s="24"/>
    </row>
    <row r="140" spans="3:12" ht="17" thickBot="1">
      <c r="C140" s="39" t="s">
        <v>10</v>
      </c>
      <c r="D140" s="40">
        <f>SUM(D11:D139)</f>
        <v>461193977.00000012</v>
      </c>
      <c r="E140" s="41">
        <f>IFERROR(F140/D140,0)</f>
        <v>1</v>
      </c>
      <c r="F140" s="40">
        <f>SUM(F11:F139)</f>
        <v>461193977.00000012</v>
      </c>
      <c r="G140" s="60">
        <f>+(SUM(F11:F19)*G11+SUM(F20:F31)*G20+SUM(F32:F43)*G32+SUM(F44:F55)*G44+SUM(F56:F67)*G56+SUM(F68:F79)*G68+SUM(F80:F91)*G80+SUM(F92:F103)*G92+SUM(F104:F115)*G104+SUM(F116:F127)*G116)+SUM(F128:F139)*G128/F140</f>
        <v>0</v>
      </c>
      <c r="H140" s="53"/>
      <c r="I140" s="53"/>
      <c r="J140" s="53"/>
      <c r="K140" s="24"/>
      <c r="L140" s="24"/>
    </row>
    <row r="141" spans="3:12" ht="16.5">
      <c r="C141" s="58"/>
      <c r="D141" s="31"/>
      <c r="E141" s="33"/>
      <c r="F141" s="31"/>
      <c r="G141" s="59"/>
      <c r="H141" s="53"/>
      <c r="I141" s="53"/>
      <c r="J141" s="53"/>
      <c r="K141" s="24"/>
      <c r="L141" s="24"/>
    </row>
    <row r="142" spans="3:12" ht="16.5">
      <c r="C142" s="58"/>
      <c r="D142" s="31"/>
      <c r="E142" s="33"/>
      <c r="F142" s="31"/>
      <c r="G142" s="59"/>
      <c r="H142" s="53"/>
      <c r="I142" s="53"/>
      <c r="J142" s="53"/>
      <c r="K142" s="24"/>
      <c r="L142" s="24"/>
    </row>
    <row r="143" spans="3:12" ht="16.5">
      <c r="C143" s="27" t="s">
        <v>11</v>
      </c>
      <c r="D143" s="26"/>
      <c r="E143" s="26"/>
      <c r="F143" s="26"/>
      <c r="G143" s="26"/>
      <c r="H143" s="26"/>
      <c r="I143" s="25"/>
      <c r="J143" s="25"/>
    </row>
    <row r="144" spans="3:12" ht="16.5">
      <c r="C144" s="28" t="s">
        <v>54</v>
      </c>
      <c r="D144" s="26"/>
      <c r="E144" s="26"/>
      <c r="F144" s="26"/>
      <c r="G144" s="26"/>
      <c r="H144" s="26"/>
      <c r="I144" s="25"/>
      <c r="J144" s="25"/>
    </row>
    <row r="145" spans="3:10" ht="16.5">
      <c r="C145" s="28" t="s">
        <v>12</v>
      </c>
      <c r="I145" s="25"/>
      <c r="J145" s="25"/>
    </row>
    <row r="146" spans="3:10" ht="16.5">
      <c r="C146" s="62"/>
      <c r="D146" s="62"/>
      <c r="E146" s="62"/>
      <c r="F146" s="62"/>
      <c r="G146" s="62"/>
      <c r="H146" s="25"/>
      <c r="I146" s="25"/>
      <c r="J146" s="25"/>
    </row>
    <row r="147" spans="3:10" ht="16.5">
      <c r="C147" s="62"/>
      <c r="D147" s="62"/>
      <c r="E147" s="62"/>
      <c r="F147" s="62"/>
      <c r="G147" s="62"/>
    </row>
    <row r="148" spans="3:10" ht="16.5">
      <c r="C148"/>
      <c r="D148"/>
      <c r="E148"/>
      <c r="F148" s="44"/>
      <c r="G148" s="44"/>
    </row>
    <row r="149" spans="3:10" ht="15" customHeight="1">
      <c r="C149" s="45" t="s">
        <v>13</v>
      </c>
      <c r="D149"/>
      <c r="E149"/>
      <c r="F149" s="34"/>
      <c r="G149" s="34"/>
    </row>
    <row r="150" spans="3:10" ht="15" customHeight="1">
      <c r="C150" s="22" t="s">
        <v>14</v>
      </c>
      <c r="D150"/>
      <c r="E150"/>
      <c r="F150" s="34"/>
      <c r="G150" s="34"/>
    </row>
    <row r="151" spans="3:10" ht="16.5">
      <c r="C151" s="22" t="s">
        <v>15</v>
      </c>
      <c r="D151"/>
      <c r="E151"/>
    </row>
    <row r="152" spans="3:10" ht="16.5">
      <c r="C152"/>
      <c r="D152"/>
      <c r="E152"/>
      <c r="G152" s="22"/>
      <c r="H152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10:D10 C11:E139" name="Rango1"/>
    <protectedRange algorithmName="SHA-512" hashValue="ae/Js8yeMw6wHjGREqu83BjAYnjwv1NHxpvnTe57rDwDMNDPGlnZwgp89HjM7G0cg/2ItV/6+CjQlsfmX7La6g==" saltValue="fv5wd7mgDmwpGOJN+Z7vlA==" spinCount="100000" sqref="G11:G139" name="Rango1_1_1"/>
    <protectedRange algorithmName="SHA-512" hashValue="ae/Js8yeMw6wHjGREqu83BjAYnjwv1NHxpvnTe57rDwDMNDPGlnZwgp89HjM7G0cg/2ItV/6+CjQlsfmX7La6g==" saltValue="fv5wd7mgDmwpGOJN+Z7vlA==" spinCount="100000" sqref="F10:G10" name="Rango1_1"/>
    <protectedRange algorithmName="SHA-512" hashValue="ae/Js8yeMw6wHjGREqu83BjAYnjwv1NHxpvnTe57rDwDMNDPGlnZwgp89HjM7G0cg/2ItV/6+CjQlsfmX7La6g==" saltValue="fv5wd7mgDmwpGOJN+Z7vlA==" spinCount="100000" sqref="E10" name="Rango1_2"/>
  </protectedRanges>
  <mergeCells count="15">
    <mergeCell ref="C1:G1"/>
    <mergeCell ref="C2:G2"/>
    <mergeCell ref="C3:G3"/>
    <mergeCell ref="C146:G147"/>
    <mergeCell ref="G128:G139"/>
    <mergeCell ref="G20:G31"/>
    <mergeCell ref="G32:G43"/>
    <mergeCell ref="G44:G55"/>
    <mergeCell ref="G56:G67"/>
    <mergeCell ref="G68:G79"/>
    <mergeCell ref="G80:G91"/>
    <mergeCell ref="G92:G103"/>
    <mergeCell ref="G104:G115"/>
    <mergeCell ref="G116:G127"/>
    <mergeCell ref="G11:G19"/>
  </mergeCells>
  <dataValidations count="1">
    <dataValidation type="textLength" allowBlank="1" showInputMessage="1" showErrorMessage="1" errorTitle="SOLO 2 DECIMALES" error="Por favor introduzca un valor con maximo 2 decimales" sqref="E11:E139" xr:uid="{6A66CF97-9A7E-4BBE-BD28-41B448E78296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9944-F70D-47F8-A535-0E42E8324C87}">
  <dimension ref="A1:AF137"/>
  <sheetViews>
    <sheetView showGridLines="0" topLeftCell="E1" zoomScale="84" zoomScaleNormal="84" workbookViewId="0">
      <selection activeCell="F10" sqref="F10"/>
    </sheetView>
  </sheetViews>
  <sheetFormatPr baseColWidth="10" defaultColWidth="11.453125" defaultRowHeight="12.5"/>
  <cols>
    <col min="1" max="3" width="0" hidden="1" customWidth="1"/>
    <col min="4" max="4" width="3.1796875" customWidth="1"/>
    <col min="6" max="6" width="14.453125" bestFit="1" customWidth="1"/>
    <col min="8" max="31" width="11.81640625" bestFit="1" customWidth="1"/>
    <col min="32" max="32" width="14.453125" bestFit="1" customWidth="1"/>
    <col min="33" max="33" width="2.1796875" customWidth="1"/>
  </cols>
  <sheetData>
    <row r="1" spans="1:32" ht="23">
      <c r="E1" s="67" t="s">
        <v>58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</row>
    <row r="2" spans="1:32" ht="23">
      <c r="E2" s="67" t="s">
        <v>59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</row>
    <row r="3" spans="1:32" ht="23">
      <c r="E3" s="67" t="s">
        <v>3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1:32" ht="23"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</row>
    <row r="5" spans="1:32" ht="23">
      <c r="E5" s="67" t="s">
        <v>4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</row>
    <row r="6" spans="1:32" ht="23">
      <c r="E6" s="46"/>
      <c r="F6" s="47"/>
      <c r="G6" s="48"/>
      <c r="H6" s="50"/>
      <c r="I6" s="50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47"/>
    </row>
    <row r="7" spans="1:32" ht="14.5" thickBot="1">
      <c r="E7" s="49"/>
      <c r="F7" s="49"/>
      <c r="G7" s="57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49"/>
    </row>
    <row r="8" spans="1:32" ht="28.5" thickBot="1">
      <c r="C8" t="s">
        <v>53</v>
      </c>
      <c r="E8" s="8"/>
      <c r="F8" s="9" t="s">
        <v>16</v>
      </c>
      <c r="G8" s="10" t="s">
        <v>17</v>
      </c>
      <c r="H8" s="11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2" t="s">
        <v>25</v>
      </c>
      <c r="P8" s="12" t="s">
        <v>26</v>
      </c>
      <c r="Q8" s="12" t="s">
        <v>27</v>
      </c>
      <c r="R8" s="12" t="s">
        <v>28</v>
      </c>
      <c r="S8" s="12" t="s">
        <v>29</v>
      </c>
      <c r="T8" s="12" t="s">
        <v>30</v>
      </c>
      <c r="U8" s="12" t="s">
        <v>31</v>
      </c>
      <c r="V8" s="12" t="s">
        <v>32</v>
      </c>
      <c r="W8" s="12" t="s">
        <v>33</v>
      </c>
      <c r="X8" s="12" t="s">
        <v>34</v>
      </c>
      <c r="Y8" s="12" t="s">
        <v>35</v>
      </c>
      <c r="Z8" s="12" t="s">
        <v>36</v>
      </c>
      <c r="AA8" s="12" t="s">
        <v>37</v>
      </c>
      <c r="AB8" s="12" t="s">
        <v>38</v>
      </c>
      <c r="AC8" s="12" t="s">
        <v>39</v>
      </c>
      <c r="AD8" s="12" t="s">
        <v>40</v>
      </c>
      <c r="AE8" s="13" t="s">
        <v>41</v>
      </c>
      <c r="AF8" s="14" t="s">
        <v>10</v>
      </c>
    </row>
    <row r="9" spans="1:32" ht="14.5" thickBot="1">
      <c r="A9">
        <f t="shared" ref="A9:A62" si="0">+MONTH(E9)</f>
        <v>4</v>
      </c>
      <c r="B9">
        <f t="shared" ref="B9:B62" si="1">+YEAR(E9)</f>
        <v>2026</v>
      </c>
      <c r="C9" t="str">
        <f t="shared" ref="C9:C62" si="2">+_xlfn.CONCAT(A9:B9)</f>
        <v>42026</v>
      </c>
      <c r="E9" s="56">
        <v>46113</v>
      </c>
      <c r="F9" s="55">
        <f>+_xlfn.XLOOKUP(E9,'PRODUCTO 01'!$C$11:$C$139,'PRODUCTO 01'!$F$11:$F$139)</f>
        <v>3219265.46</v>
      </c>
      <c r="G9" s="36">
        <v>30</v>
      </c>
      <c r="H9" s="37">
        <v>0</v>
      </c>
      <c r="I9" s="37">
        <v>0</v>
      </c>
      <c r="J9" s="37">
        <v>0</v>
      </c>
      <c r="K9" s="37">
        <v>1.5088131843823176E-2</v>
      </c>
      <c r="L9" s="37">
        <v>7.369937603804614E-3</v>
      </c>
      <c r="M9" s="37">
        <v>45.39774615732793</v>
      </c>
      <c r="N9" s="37">
        <v>0</v>
      </c>
      <c r="O9" s="37">
        <v>72.999723579949077</v>
      </c>
      <c r="P9" s="37">
        <v>5564.7644445286869</v>
      </c>
      <c r="Q9" s="37">
        <v>11706.742895482235</v>
      </c>
      <c r="R9" s="37">
        <v>13125.115751847323</v>
      </c>
      <c r="S9" s="37">
        <v>13058.85062707856</v>
      </c>
      <c r="T9" s="37">
        <v>13238.939148772311</v>
      </c>
      <c r="U9" s="37">
        <v>14453.939715766779</v>
      </c>
      <c r="V9" s="37">
        <v>12959.616670218051</v>
      </c>
      <c r="W9" s="37">
        <v>14188.094248572243</v>
      </c>
      <c r="X9" s="37">
        <v>7317.4012683551091</v>
      </c>
      <c r="Y9" s="37">
        <v>1532.621268360911</v>
      </c>
      <c r="Z9" s="37">
        <v>44.181932708215868</v>
      </c>
      <c r="AA9" s="37">
        <v>0.16091098675277823</v>
      </c>
      <c r="AB9" s="37">
        <v>0</v>
      </c>
      <c r="AC9" s="37">
        <v>0</v>
      </c>
      <c r="AD9" s="37">
        <v>0</v>
      </c>
      <c r="AE9" s="37">
        <v>0</v>
      </c>
      <c r="AF9" s="38">
        <f t="shared" ref="AF9" si="3">ROUND(SUM(H9:AE9)*G9,2)</f>
        <v>3219265.46</v>
      </c>
    </row>
    <row r="10" spans="1:32" ht="14.5" thickBot="1">
      <c r="A10">
        <f t="shared" si="0"/>
        <v>5</v>
      </c>
      <c r="B10">
        <f t="shared" si="1"/>
        <v>2026</v>
      </c>
      <c r="C10" t="str">
        <f t="shared" si="2"/>
        <v>52026</v>
      </c>
      <c r="E10" s="56">
        <v>46143</v>
      </c>
      <c r="F10" s="55">
        <f>+_xlfn.XLOOKUP(E10,'PRODUCTO 01'!$C$11:$C$139,'PRODUCTO 01'!$F$11:$F$139)</f>
        <v>3477497.37</v>
      </c>
      <c r="G10" s="36">
        <v>31</v>
      </c>
      <c r="H10" s="37">
        <v>1.70464748222648E-3</v>
      </c>
      <c r="I10" s="37">
        <v>0</v>
      </c>
      <c r="J10" s="37">
        <v>2.0792302202749502E-3</v>
      </c>
      <c r="K10" s="37">
        <v>0</v>
      </c>
      <c r="L10" s="37">
        <v>0</v>
      </c>
      <c r="M10" s="37">
        <v>123.62894544668121</v>
      </c>
      <c r="N10" s="37">
        <v>945.08443012683517</v>
      </c>
      <c r="O10" s="37">
        <v>5662.701668570181</v>
      </c>
      <c r="P10" s="37">
        <v>13534.577721387912</v>
      </c>
      <c r="Q10" s="37">
        <v>15145.089753812301</v>
      </c>
      <c r="R10" s="37">
        <v>12327.639109215397</v>
      </c>
      <c r="S10" s="37">
        <v>9851.6429199703962</v>
      </c>
      <c r="T10" s="37">
        <v>8800.0863369583803</v>
      </c>
      <c r="U10" s="37">
        <v>9452.4536866015642</v>
      </c>
      <c r="V10" s="37">
        <v>12129.49755695525</v>
      </c>
      <c r="W10" s="37">
        <v>13305.627660285822</v>
      </c>
      <c r="X10" s="37">
        <v>9218.8745226651481</v>
      </c>
      <c r="Y10" s="37">
        <v>1645.6415560075616</v>
      </c>
      <c r="Z10" s="37">
        <v>32.837999557433655</v>
      </c>
      <c r="AA10" s="37">
        <v>1.9304997388875715</v>
      </c>
      <c r="AB10" s="37">
        <v>4.690873187665325E-3</v>
      </c>
      <c r="AC10" s="37">
        <v>4.5449019228592808E-3</v>
      </c>
      <c r="AD10" s="37">
        <v>4.1812108054611798E-3</v>
      </c>
      <c r="AE10" s="37">
        <v>2.7932467451867895E-3</v>
      </c>
      <c r="AF10" s="38">
        <f t="shared" ref="AF10" si="4">ROUND(SUM(H10:AE10)*G10,2)</f>
        <v>3477497.37</v>
      </c>
    </row>
    <row r="11" spans="1:32" ht="14.5" thickBot="1">
      <c r="A11">
        <f t="shared" si="0"/>
        <v>6</v>
      </c>
      <c r="B11">
        <f t="shared" si="1"/>
        <v>2026</v>
      </c>
      <c r="C11" t="str">
        <f t="shared" si="2"/>
        <v>62026</v>
      </c>
      <c r="E11" s="56">
        <v>46174</v>
      </c>
      <c r="F11" s="55">
        <f>+_xlfn.XLOOKUP(E11,'PRODUCTO 01'!$C$11:$C$139,'PRODUCTO 01'!$F$11:$F$139)</f>
        <v>2965929.28</v>
      </c>
      <c r="G11" s="36">
        <v>30</v>
      </c>
      <c r="H11" s="37">
        <v>8.642523481614147E-3</v>
      </c>
      <c r="I11" s="37">
        <v>8.6319159044657926E-3</v>
      </c>
      <c r="J11" s="37">
        <v>8.2235241842545156E-3</v>
      </c>
      <c r="K11" s="37">
        <v>4.1018407459706085E-2</v>
      </c>
      <c r="L11" s="37">
        <v>3.911575065416345E-2</v>
      </c>
      <c r="M11" s="37">
        <v>109.38072993576972</v>
      </c>
      <c r="N11" s="37">
        <v>0</v>
      </c>
      <c r="O11" s="37">
        <v>3058.8154223378992</v>
      </c>
      <c r="P11" s="37">
        <v>8173.7379071639389</v>
      </c>
      <c r="Q11" s="37">
        <v>14060.291244682652</v>
      </c>
      <c r="R11" s="37">
        <v>14934.291378506521</v>
      </c>
      <c r="S11" s="37">
        <v>14132.069744202177</v>
      </c>
      <c r="T11" s="37">
        <v>15704.446991939503</v>
      </c>
      <c r="U11" s="37">
        <v>12060.684143989274</v>
      </c>
      <c r="V11" s="37">
        <v>9201.1979689612308</v>
      </c>
      <c r="W11" s="37">
        <v>5734.0077447253452</v>
      </c>
      <c r="X11" s="37">
        <v>838.63883877872854</v>
      </c>
      <c r="Y11" s="37">
        <v>834.98040424207932</v>
      </c>
      <c r="Z11" s="37">
        <v>18.52574934417331</v>
      </c>
      <c r="AA11" s="37">
        <v>3.1006897563100586</v>
      </c>
      <c r="AB11" s="37">
        <v>8.8148966102747518E-3</v>
      </c>
      <c r="AC11" s="37">
        <v>8.6292640101787079E-3</v>
      </c>
      <c r="AD11" s="37">
        <v>8.6186564330303674E-3</v>
      </c>
      <c r="AE11" s="37">
        <v>8.6823018959204332E-3</v>
      </c>
      <c r="AF11" s="38">
        <f t="shared" ref="AF11" si="5">ROUND(SUM(H11:AE11)*G11,2)</f>
        <v>2965929.28</v>
      </c>
    </row>
    <row r="12" spans="1:32" ht="14.5" thickBot="1">
      <c r="A12">
        <f t="shared" si="0"/>
        <v>7</v>
      </c>
      <c r="B12">
        <f t="shared" si="1"/>
        <v>2026</v>
      </c>
      <c r="C12" t="str">
        <f t="shared" si="2"/>
        <v>72026</v>
      </c>
      <c r="E12" s="56">
        <v>46204</v>
      </c>
      <c r="F12" s="55">
        <f>+_xlfn.XLOOKUP(E12,'PRODUCTO 01'!$C$11:$C$139,'PRODUCTO 01'!$F$11:$F$139)</f>
        <v>3379412.69</v>
      </c>
      <c r="G12" s="36">
        <v>31</v>
      </c>
      <c r="H12" s="37">
        <v>2.9509004350803071E-3</v>
      </c>
      <c r="I12" s="37">
        <v>0</v>
      </c>
      <c r="J12" s="37">
        <v>0</v>
      </c>
      <c r="K12" s="37">
        <v>0</v>
      </c>
      <c r="L12" s="37">
        <v>1.0605578783730843E-3</v>
      </c>
      <c r="M12" s="37">
        <v>29.769841803690223</v>
      </c>
      <c r="N12" s="37">
        <v>0</v>
      </c>
      <c r="O12" s="37">
        <v>2184.3354054170591</v>
      </c>
      <c r="P12" s="37">
        <v>8802.0468026168928</v>
      </c>
      <c r="Q12" s="37">
        <v>15317.645561759799</v>
      </c>
      <c r="R12" s="37">
        <v>14158.748878861657</v>
      </c>
      <c r="S12" s="37">
        <v>14081.528583366515</v>
      </c>
      <c r="T12" s="37">
        <v>15343.839907224845</v>
      </c>
      <c r="U12" s="37">
        <v>10041.262431983982</v>
      </c>
      <c r="V12" s="37">
        <v>10123.819679939499</v>
      </c>
      <c r="W12" s="37">
        <v>11391.489806551785</v>
      </c>
      <c r="X12" s="37">
        <v>6152.894622710437</v>
      </c>
      <c r="Y12" s="37">
        <v>1380.6967814087172</v>
      </c>
      <c r="Z12" s="37">
        <v>0</v>
      </c>
      <c r="AA12" s="37">
        <v>5.2268412074150552</v>
      </c>
      <c r="AB12" s="37">
        <v>3.4874277869130911E-3</v>
      </c>
      <c r="AC12" s="37">
        <v>0</v>
      </c>
      <c r="AD12" s="37">
        <v>0</v>
      </c>
      <c r="AE12" s="37">
        <v>0</v>
      </c>
      <c r="AF12" s="38">
        <f t="shared" ref="AF12" si="6">ROUND(SUM(H12:AE12)*G12,2)</f>
        <v>3379412.69</v>
      </c>
    </row>
    <row r="13" spans="1:32" ht="14.5" thickBot="1">
      <c r="A13">
        <f t="shared" si="0"/>
        <v>8</v>
      </c>
      <c r="B13">
        <f t="shared" si="1"/>
        <v>2026</v>
      </c>
      <c r="C13" t="str">
        <f t="shared" si="2"/>
        <v>82026</v>
      </c>
      <c r="E13" s="56">
        <v>46235</v>
      </c>
      <c r="F13" s="55">
        <f>+_xlfn.XLOOKUP(E13,'PRODUCTO 01'!$C$11:$C$139,'PRODUCTO 01'!$F$11:$F$139)</f>
        <v>3305765.33</v>
      </c>
      <c r="G13" s="36">
        <v>31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35.492631952542112</v>
      </c>
      <c r="N13" s="37">
        <v>0</v>
      </c>
      <c r="O13" s="37">
        <v>2612.0546749964351</v>
      </c>
      <c r="P13" s="37">
        <v>12429.50849287874</v>
      </c>
      <c r="Q13" s="37">
        <v>15000.904037925517</v>
      </c>
      <c r="R13" s="37">
        <v>16227.361074685423</v>
      </c>
      <c r="S13" s="37">
        <v>11536.624523495706</v>
      </c>
      <c r="T13" s="37">
        <v>11685.799945271163</v>
      </c>
      <c r="U13" s="37">
        <v>12957.785488673195</v>
      </c>
      <c r="V13" s="37">
        <v>9187.7035538098862</v>
      </c>
      <c r="W13" s="37">
        <v>10611.57257890871</v>
      </c>
      <c r="X13" s="37">
        <v>3966.6723134413915</v>
      </c>
      <c r="Y13" s="37">
        <v>385.15115542045731</v>
      </c>
      <c r="Z13" s="37">
        <v>0</v>
      </c>
      <c r="AA13" s="37">
        <v>0.9607995383287844</v>
      </c>
      <c r="AB13" s="37">
        <v>0</v>
      </c>
      <c r="AC13" s="37">
        <v>0</v>
      </c>
      <c r="AD13" s="37">
        <v>0</v>
      </c>
      <c r="AE13" s="37">
        <v>0</v>
      </c>
      <c r="AF13" s="38">
        <f t="shared" ref="AF13" si="7">ROUND(SUM(H13:AE13)*G13,2)</f>
        <v>3305765.33</v>
      </c>
    </row>
    <row r="14" spans="1:32" ht="14.5" thickBot="1">
      <c r="A14">
        <f t="shared" si="0"/>
        <v>9</v>
      </c>
      <c r="B14">
        <f t="shared" si="1"/>
        <v>2026</v>
      </c>
      <c r="C14" t="str">
        <f t="shared" si="2"/>
        <v>92026</v>
      </c>
      <c r="E14" s="56">
        <v>46266</v>
      </c>
      <c r="F14" s="55">
        <f>+_xlfn.XLOOKUP(E14,'PRODUCTO 01'!$C$11:$C$139,'PRODUCTO 01'!$F$11:$F$139)</f>
        <v>3246216.1</v>
      </c>
      <c r="G14" s="36">
        <v>30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129.15080760090103</v>
      </c>
      <c r="N14" s="37">
        <v>0</v>
      </c>
      <c r="O14" s="37">
        <v>9515.8996867483547</v>
      </c>
      <c r="P14" s="37">
        <v>15692.740712491104</v>
      </c>
      <c r="Q14" s="37">
        <v>15484.245781764537</v>
      </c>
      <c r="R14" s="37">
        <v>11041.292432198754</v>
      </c>
      <c r="S14" s="37">
        <v>7478.1411774718508</v>
      </c>
      <c r="T14" s="37">
        <v>9847.5628482427492</v>
      </c>
      <c r="U14" s="37">
        <v>12810.302571114553</v>
      </c>
      <c r="V14" s="37">
        <v>9973.0965298390292</v>
      </c>
      <c r="W14" s="37">
        <v>11190.95337648977</v>
      </c>
      <c r="X14" s="37">
        <v>4642.6585146665002</v>
      </c>
      <c r="Y14" s="37">
        <v>401.14289506043207</v>
      </c>
      <c r="Z14" s="37">
        <v>0</v>
      </c>
      <c r="AA14" s="37">
        <v>1.5878443046770208E-2</v>
      </c>
      <c r="AB14" s="37">
        <v>0</v>
      </c>
      <c r="AC14" s="37">
        <v>0</v>
      </c>
      <c r="AD14" s="37">
        <v>0</v>
      </c>
      <c r="AE14" s="37">
        <v>0</v>
      </c>
      <c r="AF14" s="38">
        <f t="shared" ref="AF14" si="8">ROUND(SUM(H14:AE14)*G14,2)</f>
        <v>3246216.1</v>
      </c>
    </row>
    <row r="15" spans="1:32" ht="14.5" thickBot="1">
      <c r="A15">
        <f t="shared" si="0"/>
        <v>10</v>
      </c>
      <c r="B15">
        <f t="shared" si="1"/>
        <v>2026</v>
      </c>
      <c r="C15" t="str">
        <f t="shared" si="2"/>
        <v>102026</v>
      </c>
      <c r="E15" s="56">
        <v>46296</v>
      </c>
      <c r="F15" s="55">
        <f>+_xlfn.XLOOKUP(E15,'PRODUCTO 01'!$C$11:$C$139,'PRODUCTO 01'!$F$11:$F$139)</f>
        <v>3528348.63</v>
      </c>
      <c r="G15" s="36">
        <v>31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38.06224164898299</v>
      </c>
      <c r="N15" s="37">
        <v>0</v>
      </c>
      <c r="O15" s="37">
        <v>7198.6606900137276</v>
      </c>
      <c r="P15" s="37">
        <v>11605.956058355318</v>
      </c>
      <c r="Q15" s="37">
        <v>16183.542971177008</v>
      </c>
      <c r="R15" s="37">
        <v>15186.39898853631</v>
      </c>
      <c r="S15" s="37">
        <v>13681.976146168176</v>
      </c>
      <c r="T15" s="37">
        <v>12368.921465047051</v>
      </c>
      <c r="U15" s="37">
        <v>12727.001437936962</v>
      </c>
      <c r="V15" s="37">
        <v>11398.583210844108</v>
      </c>
      <c r="W15" s="37">
        <v>8409.9661518246521</v>
      </c>
      <c r="X15" s="37">
        <v>4631.5133476402634</v>
      </c>
      <c r="Y15" s="37">
        <v>387.0978685893561</v>
      </c>
      <c r="Z15" s="37">
        <v>0</v>
      </c>
      <c r="AA15" s="37">
        <v>3.3335975334918165E-3</v>
      </c>
      <c r="AB15" s="37">
        <v>3.3591462576908651E-3</v>
      </c>
      <c r="AC15" s="37">
        <v>3.4122876040248826E-3</v>
      </c>
      <c r="AD15" s="37">
        <v>3.4807581848783323E-3</v>
      </c>
      <c r="AE15" s="37">
        <v>3.491999623525914E-3</v>
      </c>
      <c r="AF15" s="38">
        <f t="shared" ref="AF15" si="9">ROUND(SUM(H15:AE15)*G15,2)</f>
        <v>3528348.63</v>
      </c>
    </row>
    <row r="16" spans="1:32" ht="14.5" thickBot="1">
      <c r="A16">
        <f t="shared" si="0"/>
        <v>11</v>
      </c>
      <c r="B16">
        <f t="shared" si="1"/>
        <v>2026</v>
      </c>
      <c r="C16" t="str">
        <f t="shared" si="2"/>
        <v>112026</v>
      </c>
      <c r="E16" s="56">
        <v>46327</v>
      </c>
      <c r="F16" s="55">
        <f>+_xlfn.XLOOKUP(E16,'PRODUCTO 01'!$C$11:$C$139,'PRODUCTO 01'!$F$11:$F$139)</f>
        <v>3343334.81</v>
      </c>
      <c r="G16" s="36">
        <v>30</v>
      </c>
      <c r="H16" s="37">
        <v>6.6731731435366978E-4</v>
      </c>
      <c r="I16" s="37">
        <v>5.4583049396994619E-4</v>
      </c>
      <c r="J16" s="37">
        <v>4.6810047990475731E-4</v>
      </c>
      <c r="K16" s="37">
        <v>4.2434367358622178E-4</v>
      </c>
      <c r="L16" s="37">
        <v>5.1099708846647982E-4</v>
      </c>
      <c r="M16" s="37">
        <v>97.649716482259791</v>
      </c>
      <c r="N16" s="37">
        <v>0</v>
      </c>
      <c r="O16" s="37">
        <v>4072.6005592839956</v>
      </c>
      <c r="P16" s="37">
        <v>7558.2171510351427</v>
      </c>
      <c r="Q16" s="37">
        <v>9094.3091653859155</v>
      </c>
      <c r="R16" s="37">
        <v>9746.9460478938981</v>
      </c>
      <c r="S16" s="37">
        <v>12329.287145752283</v>
      </c>
      <c r="T16" s="37">
        <v>14212.225235501241</v>
      </c>
      <c r="U16" s="37">
        <v>16508.79593654882</v>
      </c>
      <c r="V16" s="37">
        <v>18414.519393461069</v>
      </c>
      <c r="W16" s="37">
        <v>14593.679649368436</v>
      </c>
      <c r="X16" s="37">
        <v>4384.1287057029895</v>
      </c>
      <c r="Y16" s="37">
        <v>431.50038559738573</v>
      </c>
      <c r="Z16" s="37">
        <v>0</v>
      </c>
      <c r="AA16" s="37">
        <v>0.13116944125351204</v>
      </c>
      <c r="AB16" s="37">
        <v>0.13109515375827829</v>
      </c>
      <c r="AC16" s="37">
        <v>0.12883281060779586</v>
      </c>
      <c r="AD16" s="37">
        <v>0.12315664559847553</v>
      </c>
      <c r="AE16" s="37">
        <v>0.11768089660678607</v>
      </c>
      <c r="AF16" s="38">
        <f t="shared" ref="AF16" si="10">ROUND(SUM(H16:AE16)*G16,2)</f>
        <v>3343334.81</v>
      </c>
    </row>
    <row r="17" spans="1:32" ht="14.5" thickBot="1">
      <c r="A17">
        <f t="shared" si="0"/>
        <v>12</v>
      </c>
      <c r="B17">
        <f t="shared" si="1"/>
        <v>2026</v>
      </c>
      <c r="C17" t="str">
        <f t="shared" si="2"/>
        <v>122026</v>
      </c>
      <c r="E17" s="56">
        <v>46357</v>
      </c>
      <c r="F17" s="55">
        <f>+_xlfn.XLOOKUP(E17,'PRODUCTO 01'!$C$11:$C$139,'PRODUCTO 01'!$F$11:$F$139)</f>
        <v>4049358.78</v>
      </c>
      <c r="G17" s="36">
        <v>31</v>
      </c>
      <c r="H17" s="37">
        <v>2.5780135934411631E-3</v>
      </c>
      <c r="I17" s="37">
        <v>0</v>
      </c>
      <c r="J17" s="37">
        <v>0</v>
      </c>
      <c r="K17" s="37">
        <v>0</v>
      </c>
      <c r="L17" s="37">
        <v>0</v>
      </c>
      <c r="M17" s="37">
        <v>52.546397854292863</v>
      </c>
      <c r="N17" s="37">
        <v>0</v>
      </c>
      <c r="O17" s="37">
        <v>8250.9116941661705</v>
      </c>
      <c r="P17" s="37">
        <v>13888.42519582587</v>
      </c>
      <c r="Q17" s="37">
        <v>18200.812061115725</v>
      </c>
      <c r="R17" s="37">
        <v>18159.447817734705</v>
      </c>
      <c r="S17" s="37">
        <v>16533.19745154402</v>
      </c>
      <c r="T17" s="37">
        <v>16484.747315363045</v>
      </c>
      <c r="U17" s="37">
        <v>16273.114923537467</v>
      </c>
      <c r="V17" s="37">
        <v>14460.477559782268</v>
      </c>
      <c r="W17" s="37">
        <v>8109.3864403056505</v>
      </c>
      <c r="X17" s="37">
        <v>211.39972122994806</v>
      </c>
      <c r="Y17" s="37">
        <v>0</v>
      </c>
      <c r="Z17" s="37">
        <v>0</v>
      </c>
      <c r="AA17" s="37">
        <v>0</v>
      </c>
      <c r="AB17" s="37">
        <v>1.6568891473620383E-3</v>
      </c>
      <c r="AC17" s="37">
        <v>1.9141230789159619E-3</v>
      </c>
      <c r="AD17" s="37">
        <v>1.9141230789159619E-3</v>
      </c>
      <c r="AE17" s="37">
        <v>2.0559800264640816E-3</v>
      </c>
      <c r="AF17" s="38">
        <f t="shared" ref="AF17" si="11">ROUND(SUM(H17:AE17)*G17,2)</f>
        <v>4049358.78</v>
      </c>
    </row>
    <row r="18" spans="1:32" ht="14.5" thickBot="1">
      <c r="A18">
        <f t="shared" si="0"/>
        <v>1</v>
      </c>
      <c r="B18">
        <f t="shared" si="1"/>
        <v>2027</v>
      </c>
      <c r="C18" t="str">
        <f t="shared" si="2"/>
        <v>12027</v>
      </c>
      <c r="E18" s="56">
        <v>46388</v>
      </c>
      <c r="F18" s="55">
        <f>+_xlfn.XLOOKUP(E18,'PRODUCTO 01'!$C$11:$C$139,'PRODUCTO 01'!$F$11:$F$139)</f>
        <v>3388412.36</v>
      </c>
      <c r="G18" s="36">
        <v>31</v>
      </c>
      <c r="H18" s="37">
        <v>0.16128697135893144</v>
      </c>
      <c r="I18" s="37">
        <v>0.14364689127833929</v>
      </c>
      <c r="J18" s="37">
        <v>0.11732574993765892</v>
      </c>
      <c r="K18" s="37">
        <v>0.13848161660557542</v>
      </c>
      <c r="L18" s="37">
        <v>0.15822363634311518</v>
      </c>
      <c r="M18" s="37">
        <v>0.14201623393151716</v>
      </c>
      <c r="N18" s="37">
        <v>0</v>
      </c>
      <c r="O18" s="37">
        <v>2373.1747279611832</v>
      </c>
      <c r="P18" s="37">
        <v>8795.397846259295</v>
      </c>
      <c r="Q18" s="37">
        <v>13551.428669768355</v>
      </c>
      <c r="R18" s="37">
        <v>13464.022395409633</v>
      </c>
      <c r="S18" s="37">
        <v>13730.015621714905</v>
      </c>
      <c r="T18" s="37">
        <v>13613.238270692198</v>
      </c>
      <c r="U18" s="37">
        <v>14076.375178570199</v>
      </c>
      <c r="V18" s="37">
        <v>14153.198898026325</v>
      </c>
      <c r="W18" s="37">
        <v>11992.207232227502</v>
      </c>
      <c r="X18" s="37">
        <v>3529.881180654208</v>
      </c>
      <c r="Y18" s="37">
        <v>23.054110294937018</v>
      </c>
      <c r="Z18" s="37">
        <v>0</v>
      </c>
      <c r="AA18" s="37">
        <v>0.13667697073347168</v>
      </c>
      <c r="AB18" s="37">
        <v>0.18825919248515155</v>
      </c>
      <c r="AC18" s="37">
        <v>0.15806847855645095</v>
      </c>
      <c r="AD18" s="37">
        <v>0.12834904693787577</v>
      </c>
      <c r="AE18" s="37">
        <v>0.15806847855645095</v>
      </c>
      <c r="AF18" s="38">
        <f>ROUND(SUM(H18:AE18)*G18,2)</f>
        <v>3388412.36</v>
      </c>
    </row>
    <row r="19" spans="1:32" ht="14.5" thickBot="1">
      <c r="A19">
        <f t="shared" si="0"/>
        <v>2</v>
      </c>
      <c r="B19">
        <f t="shared" si="1"/>
        <v>2027</v>
      </c>
      <c r="C19" t="str">
        <f t="shared" si="2"/>
        <v>22027</v>
      </c>
      <c r="E19" s="56">
        <v>46419</v>
      </c>
      <c r="F19" s="55">
        <f>+_xlfn.XLOOKUP(E19,'PRODUCTO 01'!$C$11:$C$139,'PRODUCTO 01'!$F$11:$F$139)</f>
        <v>2880435.68</v>
      </c>
      <c r="G19" s="36">
        <v>28</v>
      </c>
      <c r="H19" s="37">
        <v>0</v>
      </c>
      <c r="I19" s="37">
        <v>0</v>
      </c>
      <c r="J19" s="37">
        <v>0</v>
      </c>
      <c r="K19" s="37">
        <v>5.4283961632660034E-3</v>
      </c>
      <c r="L19" s="37">
        <v>0</v>
      </c>
      <c r="M19" s="37">
        <v>0</v>
      </c>
      <c r="N19" s="37">
        <v>0</v>
      </c>
      <c r="O19" s="37">
        <v>2522.0276111057901</v>
      </c>
      <c r="P19" s="37">
        <v>8507.9705856049404</v>
      </c>
      <c r="Q19" s="37">
        <v>14293.021262127906</v>
      </c>
      <c r="R19" s="37">
        <v>15332.8044086305</v>
      </c>
      <c r="S19" s="37">
        <v>13965.415831333588</v>
      </c>
      <c r="T19" s="37">
        <v>12600.546549901241</v>
      </c>
      <c r="U19" s="37">
        <v>8369.8683306096937</v>
      </c>
      <c r="V19" s="37">
        <v>10836.446336684627</v>
      </c>
      <c r="W19" s="37">
        <v>11955.755393201585</v>
      </c>
      <c r="X19" s="37">
        <v>4488.8358687177588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5.1715044683852129E-3</v>
      </c>
      <c r="AF19" s="38">
        <f t="shared" ref="AF19" si="12">ROUND(SUM(H19:AE19)*G19,2)</f>
        <v>2880435.68</v>
      </c>
    </row>
    <row r="20" spans="1:32" ht="14.5" thickBot="1">
      <c r="A20">
        <f t="shared" si="0"/>
        <v>3</v>
      </c>
      <c r="B20">
        <f t="shared" si="1"/>
        <v>2027</v>
      </c>
      <c r="C20" t="str">
        <f t="shared" si="2"/>
        <v>32027</v>
      </c>
      <c r="E20" s="56">
        <v>46447</v>
      </c>
      <c r="F20" s="55">
        <f>+_xlfn.XLOOKUP(E20,'PRODUCTO 01'!$C$11:$C$139,'PRODUCTO 01'!$F$11:$F$139)</f>
        <v>2908848.79</v>
      </c>
      <c r="G20" s="36">
        <v>31</v>
      </c>
      <c r="H20" s="37">
        <v>0</v>
      </c>
      <c r="I20" s="37">
        <v>0</v>
      </c>
      <c r="J20" s="37">
        <v>2.4078976812130122E-3</v>
      </c>
      <c r="K20" s="37">
        <v>0</v>
      </c>
      <c r="L20" s="37">
        <v>0</v>
      </c>
      <c r="M20" s="37">
        <v>11.665496822793331</v>
      </c>
      <c r="N20" s="37">
        <v>0</v>
      </c>
      <c r="O20" s="37">
        <v>1978.3048319426075</v>
      </c>
      <c r="P20" s="37">
        <v>6708.5424364448963</v>
      </c>
      <c r="Q20" s="37">
        <v>10400.008876596836</v>
      </c>
      <c r="R20" s="37">
        <v>10986.013806942654</v>
      </c>
      <c r="S20" s="37">
        <v>11604.824221604968</v>
      </c>
      <c r="T20" s="37">
        <v>11923.854135731077</v>
      </c>
      <c r="U20" s="37">
        <v>12370.307699323157</v>
      </c>
      <c r="V20" s="37">
        <v>13395.652396004303</v>
      </c>
      <c r="W20" s="37">
        <v>10764.895442395513</v>
      </c>
      <c r="X20" s="37">
        <v>3689.5876475940445</v>
      </c>
      <c r="Y20" s="37">
        <v>0</v>
      </c>
      <c r="Z20" s="37">
        <v>0</v>
      </c>
      <c r="AA20" s="37">
        <v>0.17240561987454536</v>
      </c>
      <c r="AB20" s="37">
        <v>0</v>
      </c>
      <c r="AC20" s="37">
        <v>0</v>
      </c>
      <c r="AD20" s="37">
        <v>0</v>
      </c>
      <c r="AE20" s="37">
        <v>0</v>
      </c>
      <c r="AF20" s="38">
        <f t="shared" ref="AF20" si="13">ROUND(SUM(H20:AE20)*G20,2)</f>
        <v>2908848.79</v>
      </c>
    </row>
    <row r="21" spans="1:32" ht="14.5" thickBot="1">
      <c r="A21">
        <f t="shared" si="0"/>
        <v>4</v>
      </c>
      <c r="B21">
        <f t="shared" si="1"/>
        <v>2027</v>
      </c>
      <c r="C21" t="str">
        <f t="shared" si="2"/>
        <v>42027</v>
      </c>
      <c r="E21" s="56">
        <v>46478</v>
      </c>
      <c r="F21" s="55">
        <f>+_xlfn.XLOOKUP(E21,'PRODUCTO 01'!$C$11:$C$139,'PRODUCTO 01'!$F$11:$F$139)</f>
        <v>2301653.81</v>
      </c>
      <c r="G21" s="36">
        <v>30</v>
      </c>
      <c r="H21" s="37">
        <v>0</v>
      </c>
      <c r="I21" s="37">
        <v>0</v>
      </c>
      <c r="J21" s="37">
        <v>0</v>
      </c>
      <c r="K21" s="37">
        <v>1.3275112630012149E-2</v>
      </c>
      <c r="L21" s="37">
        <v>6.484447862951475E-3</v>
      </c>
      <c r="M21" s="37">
        <v>39.532548143462584</v>
      </c>
      <c r="N21" s="37">
        <v>0</v>
      </c>
      <c r="O21" s="37">
        <v>0</v>
      </c>
      <c r="P21" s="37">
        <v>3096.3117231291308</v>
      </c>
      <c r="Q21" s="37">
        <v>8232.7929700072746</v>
      </c>
      <c r="R21" s="37">
        <v>9288.2375408010594</v>
      </c>
      <c r="S21" s="37">
        <v>9234.1023756658815</v>
      </c>
      <c r="T21" s="37">
        <v>9412.5263070645397</v>
      </c>
      <c r="U21" s="37">
        <v>10587.899914312156</v>
      </c>
      <c r="V21" s="37">
        <v>9466.752341803116</v>
      </c>
      <c r="W21" s="37">
        <v>10876.8932734925</v>
      </c>
      <c r="X21" s="37">
        <v>5421.2932204343961</v>
      </c>
      <c r="Y21" s="37">
        <v>1065.294736198781</v>
      </c>
      <c r="Z21" s="37">
        <v>0</v>
      </c>
      <c r="AA21" s="37">
        <v>0.13696980926836011</v>
      </c>
      <c r="AB21" s="37">
        <v>0</v>
      </c>
      <c r="AC21" s="37">
        <v>0</v>
      </c>
      <c r="AD21" s="37">
        <v>0</v>
      </c>
      <c r="AE21" s="37">
        <v>0</v>
      </c>
      <c r="AF21" s="38">
        <f t="shared" ref="AF21" si="14">ROUND(SUM(H21:AE21)*G21,2)</f>
        <v>2301653.81</v>
      </c>
    </row>
    <row r="22" spans="1:32" ht="14.5" thickBot="1">
      <c r="A22">
        <f t="shared" si="0"/>
        <v>5</v>
      </c>
      <c r="B22">
        <f t="shared" si="1"/>
        <v>2027</v>
      </c>
      <c r="C22" t="str">
        <f t="shared" si="2"/>
        <v>52027</v>
      </c>
      <c r="E22" s="56">
        <v>46508</v>
      </c>
      <c r="F22" s="55">
        <f>+_xlfn.XLOOKUP(E22,'PRODUCTO 01'!$C$11:$C$139,'PRODUCTO 01'!$F$11:$F$139)</f>
        <v>2529154.5099999998</v>
      </c>
      <c r="G22" s="36">
        <v>31</v>
      </c>
      <c r="H22" s="37">
        <v>1.4991205503279278E-3</v>
      </c>
      <c r="I22" s="37">
        <v>0</v>
      </c>
      <c r="J22" s="37">
        <v>1.8293311481953295E-3</v>
      </c>
      <c r="K22" s="37">
        <v>0</v>
      </c>
      <c r="L22" s="37">
        <v>0</v>
      </c>
      <c r="M22" s="37">
        <v>105.21895324485479</v>
      </c>
      <c r="N22" s="37">
        <v>587.21398648221395</v>
      </c>
      <c r="O22" s="37">
        <v>4172.8076180889539</v>
      </c>
      <c r="P22" s="37">
        <v>10531.641821561956</v>
      </c>
      <c r="Q22" s="37">
        <v>11462.966568841703</v>
      </c>
      <c r="R22" s="37">
        <v>8758.1773636815997</v>
      </c>
      <c r="S22" s="37">
        <v>6437.8835495577232</v>
      </c>
      <c r="T22" s="37">
        <v>5405.7489665343437</v>
      </c>
      <c r="U22" s="37">
        <v>6345.7693598762071</v>
      </c>
      <c r="V22" s="37">
        <v>8997.0987262826529</v>
      </c>
      <c r="W22" s="37">
        <v>10383.537210409653</v>
      </c>
      <c r="X22" s="37">
        <v>7252.0450268010618</v>
      </c>
      <c r="Y22" s="37">
        <v>1143.8414491437875</v>
      </c>
      <c r="Z22" s="37">
        <v>0</v>
      </c>
      <c r="AA22" s="37">
        <v>1.6611171397518509</v>
      </c>
      <c r="AB22" s="37">
        <v>4.1253012531520311E-3</v>
      </c>
      <c r="AC22" s="37">
        <v>3.9969295369410756E-3</v>
      </c>
      <c r="AD22" s="37">
        <v>3.6770881423137799E-3</v>
      </c>
      <c r="AE22" s="37">
        <v>2.4564689424096207E-3</v>
      </c>
      <c r="AF22" s="38">
        <f t="shared" ref="AF22" si="15">ROUND(SUM(H22:AE22)*G22,2)</f>
        <v>2529154.5099999998</v>
      </c>
    </row>
    <row r="23" spans="1:32" ht="14.5" thickBot="1">
      <c r="A23">
        <f t="shared" si="0"/>
        <v>6</v>
      </c>
      <c r="B23">
        <f t="shared" si="1"/>
        <v>2027</v>
      </c>
      <c r="C23" t="str">
        <f t="shared" si="2"/>
        <v>62027</v>
      </c>
      <c r="E23" s="56">
        <v>46539</v>
      </c>
      <c r="F23" s="55">
        <f>+_xlfn.XLOOKUP(E23,'PRODUCTO 01'!$C$11:$C$139,'PRODUCTO 01'!$F$11:$F$139)</f>
        <v>2064602.74</v>
      </c>
      <c r="G23" s="36">
        <v>30</v>
      </c>
      <c r="H23" s="37">
        <v>7.6005066696001227E-3</v>
      </c>
      <c r="I23" s="37">
        <v>7.5911780330004319E-3</v>
      </c>
      <c r="J23" s="37">
        <v>7.2320255239122369E-3</v>
      </c>
      <c r="K23" s="37">
        <v>3.6087071242144199E-2</v>
      </c>
      <c r="L23" s="37">
        <v>3.4414032261035996E-2</v>
      </c>
      <c r="M23" s="37">
        <v>92.477200417444564</v>
      </c>
      <c r="N23" s="37">
        <v>0</v>
      </c>
      <c r="O23" s="37">
        <v>1793.4911597225878</v>
      </c>
      <c r="P23" s="37">
        <v>5797.5494359130325</v>
      </c>
      <c r="Q23" s="37">
        <v>10492.85293679915</v>
      </c>
      <c r="R23" s="37">
        <v>10898.305790275212</v>
      </c>
      <c r="S23" s="37">
        <v>10021.093790496263</v>
      </c>
      <c r="T23" s="37">
        <v>11439.760087909044</v>
      </c>
      <c r="U23" s="37">
        <v>8396.6063447469642</v>
      </c>
      <c r="V23" s="37">
        <v>6182.1594648513437</v>
      </c>
      <c r="W23" s="37">
        <v>3424.5206398352666</v>
      </c>
      <c r="X23" s="37">
        <v>0</v>
      </c>
      <c r="Y23" s="37">
        <v>278.45397407242746</v>
      </c>
      <c r="Z23" s="37">
        <v>0</v>
      </c>
      <c r="AA23" s="37">
        <v>2.6971272676140132</v>
      </c>
      <c r="AB23" s="37">
        <v>7.7520970143451443E-3</v>
      </c>
      <c r="AC23" s="37">
        <v>7.5888458738505105E-3</v>
      </c>
      <c r="AD23" s="37">
        <v>7.5795172372508058E-3</v>
      </c>
      <c r="AE23" s="37">
        <v>7.6354890568489748E-3</v>
      </c>
      <c r="AF23" s="38">
        <f t="shared" ref="AF23" si="16">ROUND(SUM(H23:AE23)*G23,2)</f>
        <v>2064602.74</v>
      </c>
    </row>
    <row r="24" spans="1:32" ht="14.5" thickBot="1">
      <c r="A24">
        <f t="shared" si="0"/>
        <v>7</v>
      </c>
      <c r="B24">
        <f t="shared" si="1"/>
        <v>2027</v>
      </c>
      <c r="C24" t="str">
        <f t="shared" si="2"/>
        <v>72027</v>
      </c>
      <c r="E24" s="56">
        <v>46569</v>
      </c>
      <c r="F24" s="55">
        <f>+_xlfn.XLOOKUP(E24,'PRODUCTO 01'!$C$11:$C$139,'PRODUCTO 01'!$F$11:$F$139)</f>
        <v>2416274.0299999998</v>
      </c>
      <c r="G24" s="36">
        <v>31</v>
      </c>
      <c r="H24" s="37">
        <v>2.596352220155695E-3</v>
      </c>
      <c r="I24" s="37">
        <v>0</v>
      </c>
      <c r="J24" s="37">
        <v>0</v>
      </c>
      <c r="K24" s="37">
        <v>0</v>
      </c>
      <c r="L24" s="37">
        <v>9.3313273785282206E-4</v>
      </c>
      <c r="M24" s="37">
        <v>25.061386514281079</v>
      </c>
      <c r="N24" s="37">
        <v>0</v>
      </c>
      <c r="O24" s="37">
        <v>887.82460367427313</v>
      </c>
      <c r="P24" s="37">
        <v>6271.0917522767886</v>
      </c>
      <c r="Q24" s="37">
        <v>11572.567143371656</v>
      </c>
      <c r="R24" s="37">
        <v>10321.921681970749</v>
      </c>
      <c r="S24" s="37">
        <v>10149.996502679876</v>
      </c>
      <c r="T24" s="37">
        <v>11316.411683492535</v>
      </c>
      <c r="U24" s="37">
        <v>6772.8748798293182</v>
      </c>
      <c r="V24" s="37">
        <v>7032.5861042894712</v>
      </c>
      <c r="W24" s="37">
        <v>8470.6387862763768</v>
      </c>
      <c r="X24" s="37">
        <v>4357.7730009375928</v>
      </c>
      <c r="Y24" s="37">
        <v>760.97292216450785</v>
      </c>
      <c r="Z24" s="37">
        <v>0</v>
      </c>
      <c r="AA24" s="37">
        <v>4.596648930662333</v>
      </c>
      <c r="AB24" s="37">
        <v>3.068416260184002E-3</v>
      </c>
      <c r="AC24" s="37">
        <v>0</v>
      </c>
      <c r="AD24" s="37">
        <v>0</v>
      </c>
      <c r="AE24" s="37">
        <v>0</v>
      </c>
      <c r="AF24" s="38">
        <f t="shared" ref="AF24" si="17">ROUND(SUM(H24:AE24)*G24,2)</f>
        <v>2416274.0299999998</v>
      </c>
    </row>
    <row r="25" spans="1:32" ht="14.5" thickBot="1">
      <c r="A25">
        <f t="shared" si="0"/>
        <v>8</v>
      </c>
      <c r="B25">
        <f t="shared" si="1"/>
        <v>2027</v>
      </c>
      <c r="C25" t="str">
        <f t="shared" si="2"/>
        <v>82027</v>
      </c>
      <c r="E25" s="56">
        <v>46600</v>
      </c>
      <c r="F25" s="55">
        <f>+_xlfn.XLOOKUP(E25,'PRODUCTO 01'!$C$11:$C$139,'PRODUCTO 01'!$F$11:$F$139)</f>
        <v>2377936.02</v>
      </c>
      <c r="G25" s="36">
        <v>31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30.844919961804717</v>
      </c>
      <c r="N25" s="37">
        <v>0</v>
      </c>
      <c r="O25" s="37">
        <v>1503.8839245094825</v>
      </c>
      <c r="P25" s="37">
        <v>9584.1185177493207</v>
      </c>
      <c r="Q25" s="37">
        <v>11377.506779464096</v>
      </c>
      <c r="R25" s="37">
        <v>12198.606652960258</v>
      </c>
      <c r="S25" s="37">
        <v>8016.0206466474128</v>
      </c>
      <c r="T25" s="37">
        <v>8133.5712600302923</v>
      </c>
      <c r="U25" s="37">
        <v>9336.3781546046303</v>
      </c>
      <c r="V25" s="37">
        <v>6248.6184953068159</v>
      </c>
      <c r="W25" s="37">
        <v>7835.2122937837503</v>
      </c>
      <c r="X25" s="37">
        <v>2442.0069039246214</v>
      </c>
      <c r="Y25" s="37">
        <v>0</v>
      </c>
      <c r="Z25" s="37">
        <v>0</v>
      </c>
      <c r="AA25" s="37">
        <v>0.84495729919067153</v>
      </c>
      <c r="AB25" s="37">
        <v>0</v>
      </c>
      <c r="AC25" s="37">
        <v>0</v>
      </c>
      <c r="AD25" s="37">
        <v>0</v>
      </c>
      <c r="AE25" s="37">
        <v>0</v>
      </c>
      <c r="AF25" s="38">
        <f t="shared" ref="AF25" si="18">ROUND(SUM(H25:AE25)*G25,2)</f>
        <v>2377936.02</v>
      </c>
    </row>
    <row r="26" spans="1:32" ht="14.5" thickBot="1">
      <c r="A26">
        <f t="shared" si="0"/>
        <v>9</v>
      </c>
      <c r="B26">
        <f t="shared" si="1"/>
        <v>2027</v>
      </c>
      <c r="C26" t="str">
        <f t="shared" si="2"/>
        <v>92027</v>
      </c>
      <c r="E26" s="56">
        <v>46631</v>
      </c>
      <c r="F26" s="55">
        <f>+_xlfn.XLOOKUP(E26,'PRODUCTO 01'!$C$11:$C$139,'PRODUCTO 01'!$F$11:$F$139)</f>
        <v>2350245.3199999998</v>
      </c>
      <c r="G26" s="36">
        <v>30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113.28753294163093</v>
      </c>
      <c r="N26" s="37">
        <v>0</v>
      </c>
      <c r="O26" s="37">
        <v>7599.0400344882491</v>
      </c>
      <c r="P26" s="37">
        <v>12295.688855544804</v>
      </c>
      <c r="Q26" s="37">
        <v>11701.747323599295</v>
      </c>
      <c r="R26" s="37">
        <v>7745.7698312483826</v>
      </c>
      <c r="S26" s="37">
        <v>4161.5043121746639</v>
      </c>
      <c r="T26" s="37">
        <v>6511.6442067177804</v>
      </c>
      <c r="U26" s="37">
        <v>9211.4502031686934</v>
      </c>
      <c r="V26" s="37">
        <v>7058.8237311900939</v>
      </c>
      <c r="W26" s="37">
        <v>8454.3204822447951</v>
      </c>
      <c r="X26" s="37">
        <v>3371.0725055397179</v>
      </c>
      <c r="Y26" s="37">
        <v>117.14759353825886</v>
      </c>
      <c r="Z26" s="37">
        <v>0</v>
      </c>
      <c r="AA26" s="37">
        <v>1.3964001664164722E-2</v>
      </c>
      <c r="AB26" s="37">
        <v>0</v>
      </c>
      <c r="AC26" s="37">
        <v>0</v>
      </c>
      <c r="AD26" s="37">
        <v>0</v>
      </c>
      <c r="AE26" s="37">
        <v>0</v>
      </c>
      <c r="AF26" s="38">
        <f t="shared" ref="AF26" si="19">ROUND(SUM(H26:AE26)*G26,2)</f>
        <v>2350245.3199999998</v>
      </c>
    </row>
    <row r="27" spans="1:32" ht="14.5" thickBot="1">
      <c r="A27">
        <f t="shared" si="0"/>
        <v>10</v>
      </c>
      <c r="B27">
        <f t="shared" si="1"/>
        <v>2027</v>
      </c>
      <c r="C27" t="str">
        <f t="shared" si="2"/>
        <v>102027</v>
      </c>
      <c r="E27" s="56">
        <v>46661</v>
      </c>
      <c r="F27" s="55">
        <f>+_xlfn.XLOOKUP(E27,'PRODUCTO 01'!$C$11:$C$139,'PRODUCTO 01'!$F$11:$F$139)</f>
        <v>2650855.16</v>
      </c>
      <c r="G27" s="36">
        <v>31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33.055934568333598</v>
      </c>
      <c r="N27" s="37">
        <v>0</v>
      </c>
      <c r="O27" s="37">
        <v>5586.5744966291559</v>
      </c>
      <c r="P27" s="37">
        <v>8848.0103476000659</v>
      </c>
      <c r="Q27" s="37">
        <v>12530.372230156037</v>
      </c>
      <c r="R27" s="37">
        <v>11439.923082321504</v>
      </c>
      <c r="S27" s="37">
        <v>10095.845053262598</v>
      </c>
      <c r="T27" s="37">
        <v>8983.19143613296</v>
      </c>
      <c r="U27" s="37">
        <v>9441.4932936463283</v>
      </c>
      <c r="V27" s="37">
        <v>8508.4583071371289</v>
      </c>
      <c r="W27" s="37">
        <v>6292.4076035988855</v>
      </c>
      <c r="X27" s="37">
        <v>3523.9007420656721</v>
      </c>
      <c r="Y27" s="37">
        <v>228.20928874739437</v>
      </c>
      <c r="Z27" s="37">
        <v>0</v>
      </c>
      <c r="AA27" s="37">
        <v>2.9316704017025045E-3</v>
      </c>
      <c r="AB27" s="37">
        <v>2.9541387524206395E-3</v>
      </c>
      <c r="AC27" s="37">
        <v>3.0008729219143672E-3</v>
      </c>
      <c r="AD27" s="37">
        <v>3.0610881018389713E-3</v>
      </c>
      <c r="AE27" s="37">
        <v>3.0709741761549554E-3</v>
      </c>
      <c r="AF27" s="38">
        <f t="shared" ref="AF27" si="20">ROUND(SUM(H27:AE27)*G27,2)</f>
        <v>2650855.16</v>
      </c>
    </row>
    <row r="28" spans="1:32" ht="14.5" thickBot="1">
      <c r="A28">
        <f t="shared" si="0"/>
        <v>11</v>
      </c>
      <c r="B28">
        <f t="shared" si="1"/>
        <v>2027</v>
      </c>
      <c r="C28" t="str">
        <f t="shared" si="2"/>
        <v>112027</v>
      </c>
      <c r="E28" s="56">
        <v>46692</v>
      </c>
      <c r="F28" s="55">
        <f>+_xlfn.XLOOKUP(E28,'PRODUCTO 01'!$C$11:$C$139,'PRODUCTO 01'!$F$11:$F$139)</f>
        <v>2510036.2799999998</v>
      </c>
      <c r="G28" s="36">
        <v>30</v>
      </c>
      <c r="H28" s="37">
        <v>5.8685981117374201E-4</v>
      </c>
      <c r="I28" s="37">
        <v>4.8002048460907162E-4</v>
      </c>
      <c r="J28" s="37">
        <v>4.1166226821690325E-4</v>
      </c>
      <c r="K28" s="37">
        <v>3.7318115804440123E-4</v>
      </c>
      <c r="L28" s="37">
        <v>4.4938689345745962E-4</v>
      </c>
      <c r="M28" s="37">
        <v>85.797952928242537</v>
      </c>
      <c r="N28" s="37">
        <v>0</v>
      </c>
      <c r="O28" s="37">
        <v>2869.0334638191889</v>
      </c>
      <c r="P28" s="37">
        <v>5329.8272684086141</v>
      </c>
      <c r="Q28" s="37">
        <v>6319.6503184239073</v>
      </c>
      <c r="R28" s="37">
        <v>6726.0551042075112</v>
      </c>
      <c r="S28" s="37">
        <v>8918.9789737790761</v>
      </c>
      <c r="T28" s="37">
        <v>10633.175850249731</v>
      </c>
      <c r="U28" s="37">
        <v>12785.920470855319</v>
      </c>
      <c r="V28" s="37">
        <v>14678.581027397033</v>
      </c>
      <c r="W28" s="37">
        <v>11705.250915592209</v>
      </c>
      <c r="X28" s="37">
        <v>3319.333240247252</v>
      </c>
      <c r="Y28" s="37">
        <v>295.71336022965318</v>
      </c>
      <c r="Z28" s="37">
        <v>0</v>
      </c>
      <c r="AA28" s="37">
        <v>0.11535452755389461</v>
      </c>
      <c r="AB28" s="37">
        <v>0.11528919679671541</v>
      </c>
      <c r="AC28" s="37">
        <v>0.11329962115474651</v>
      </c>
      <c r="AD28" s="37">
        <v>0.10830782331897897</v>
      </c>
      <c r="AE28" s="37">
        <v>0.10349227762553315</v>
      </c>
      <c r="AF28" s="38">
        <f t="shared" ref="AF28" si="21">ROUND(SUM(H28:AE28)*G28,2)</f>
        <v>2510036.2799999998</v>
      </c>
    </row>
    <row r="29" spans="1:32" ht="14.5" thickBot="1">
      <c r="A29">
        <f t="shared" si="0"/>
        <v>12</v>
      </c>
      <c r="B29">
        <f t="shared" si="1"/>
        <v>2027</v>
      </c>
      <c r="C29" t="str">
        <f t="shared" si="2"/>
        <v>122027</v>
      </c>
      <c r="E29" s="56">
        <v>46722</v>
      </c>
      <c r="F29" s="55">
        <f>+_xlfn.XLOOKUP(E29,'PRODUCTO 01'!$C$11:$C$139,'PRODUCTO 01'!$F$11:$F$139)</f>
        <v>3071370.58</v>
      </c>
      <c r="G29" s="36">
        <v>31</v>
      </c>
      <c r="H29" s="37">
        <v>2.2671861468416574E-3</v>
      </c>
      <c r="I29" s="37">
        <v>0</v>
      </c>
      <c r="J29" s="37">
        <v>0</v>
      </c>
      <c r="K29" s="37">
        <v>0</v>
      </c>
      <c r="L29" s="37">
        <v>0</v>
      </c>
      <c r="M29" s="37">
        <v>46.232382890147882</v>
      </c>
      <c r="N29" s="37">
        <v>0</v>
      </c>
      <c r="O29" s="37">
        <v>6609.310199623138</v>
      </c>
      <c r="P29" s="37">
        <v>10781.347158756002</v>
      </c>
      <c r="Q29" s="37">
        <v>14045.872995505124</v>
      </c>
      <c r="R29" s="37">
        <v>13784.607457150154</v>
      </c>
      <c r="S29" s="37">
        <v>12351.081352341211</v>
      </c>
      <c r="T29" s="37">
        <v>12353.173428251326</v>
      </c>
      <c r="U29" s="37">
        <v>12288.866617158699</v>
      </c>
      <c r="V29" s="37">
        <v>10973.750747054231</v>
      </c>
      <c r="W29" s="37">
        <v>5842.2189518494852</v>
      </c>
      <c r="X29" s="37">
        <v>0</v>
      </c>
      <c r="Y29" s="37">
        <v>0</v>
      </c>
      <c r="Z29" s="37">
        <v>0</v>
      </c>
      <c r="AA29" s="37">
        <v>0</v>
      </c>
      <c r="AB29" s="37">
        <v>1.4571203702371935E-3</v>
      </c>
      <c r="AC29" s="37">
        <v>1.6833399710959338E-3</v>
      </c>
      <c r="AD29" s="37">
        <v>1.6833399710959338E-3</v>
      </c>
      <c r="AE29" s="37">
        <v>1.8080934274518573E-3</v>
      </c>
      <c r="AF29" s="38">
        <f t="shared" ref="AF29" si="22">ROUND(SUM(H29:AE29)*G29,2)</f>
        <v>3071370.58</v>
      </c>
    </row>
    <row r="30" spans="1:32" ht="14.5" thickBot="1">
      <c r="A30">
        <f t="shared" si="0"/>
        <v>1</v>
      </c>
      <c r="B30">
        <f t="shared" si="1"/>
        <v>2028</v>
      </c>
      <c r="C30" t="str">
        <f t="shared" si="2"/>
        <v>12028</v>
      </c>
      <c r="E30" s="56">
        <v>46753</v>
      </c>
      <c r="F30" s="55">
        <f>+_xlfn.XLOOKUP(E30,'PRODUCTO 01'!$C$11:$C$139,'PRODUCTO 01'!$F$11:$F$139)</f>
        <v>3363403.9</v>
      </c>
      <c r="G30" s="36">
        <v>31</v>
      </c>
      <c r="H30" s="37">
        <v>0.19344636712245325</v>
      </c>
      <c r="I30" s="37">
        <v>0.17229158926346436</v>
      </c>
      <c r="J30" s="37">
        <v>0.1407206333677134</v>
      </c>
      <c r="K30" s="37">
        <v>0.16609391146943167</v>
      </c>
      <c r="L30" s="37">
        <v>0.18977075167003307</v>
      </c>
      <c r="M30" s="37">
        <v>0.17033500622222422</v>
      </c>
      <c r="N30" s="37">
        <v>0</v>
      </c>
      <c r="O30" s="37">
        <v>2137.8678890337537</v>
      </c>
      <c r="P30" s="37">
        <v>8751.5439899017747</v>
      </c>
      <c r="Q30" s="37">
        <v>13686.867715271657</v>
      </c>
      <c r="R30" s="37">
        <v>13269.213009290988</v>
      </c>
      <c r="S30" s="37">
        <v>13547.212136351864</v>
      </c>
      <c r="T30" s="37">
        <v>13420.574601780771</v>
      </c>
      <c r="U30" s="37">
        <v>14111.477350592955</v>
      </c>
      <c r="V30" s="37">
        <v>14297.087176965719</v>
      </c>
      <c r="W30" s="37">
        <v>12111.919147108332</v>
      </c>
      <c r="X30" s="37">
        <v>2970.7789688281741</v>
      </c>
      <c r="Y30" s="37">
        <v>47.438408429568831</v>
      </c>
      <c r="Z30" s="37">
        <v>142.96423733556333</v>
      </c>
      <c r="AA30" s="37">
        <v>0.16392424584711132</v>
      </c>
      <c r="AB30" s="37">
        <v>0.2257898999869776</v>
      </c>
      <c r="AC30" s="37">
        <v>0.18958026359901584</v>
      </c>
      <c r="AD30" s="37">
        <v>0.15393610651142639</v>
      </c>
      <c r="AE30" s="37">
        <v>0.18958026359901584</v>
      </c>
      <c r="AF30" s="38">
        <f>ROUND(SUM(H30:AE30)*G30,2)</f>
        <v>3363403.9</v>
      </c>
    </row>
    <row r="31" spans="1:32" ht="14.5" thickBot="1">
      <c r="A31">
        <f t="shared" si="0"/>
        <v>2</v>
      </c>
      <c r="B31">
        <f t="shared" si="1"/>
        <v>2028</v>
      </c>
      <c r="C31" t="str">
        <f t="shared" si="2"/>
        <v>22028</v>
      </c>
      <c r="E31" s="56">
        <v>46784</v>
      </c>
      <c r="F31" s="55">
        <f>+_xlfn.XLOOKUP(E31,'PRODUCTO 01'!$C$11:$C$139,'PRODUCTO 01'!$F$11:$F$139)</f>
        <v>2808951.3</v>
      </c>
      <c r="G31" s="36">
        <v>29</v>
      </c>
      <c r="H31" s="37">
        <v>0</v>
      </c>
      <c r="I31" s="37">
        <v>0</v>
      </c>
      <c r="J31" s="37">
        <v>0</v>
      </c>
      <c r="K31" s="37">
        <v>6.2885187478201069E-3</v>
      </c>
      <c r="L31" s="37">
        <v>0</v>
      </c>
      <c r="M31" s="37">
        <v>0</v>
      </c>
      <c r="N31" s="37">
        <v>0</v>
      </c>
      <c r="O31" s="37">
        <v>2113.880931587918</v>
      </c>
      <c r="P31" s="37">
        <v>7934.5142287893113</v>
      </c>
      <c r="Q31" s="37">
        <v>14118.146873472708</v>
      </c>
      <c r="R31" s="37">
        <v>15126.174398033907</v>
      </c>
      <c r="S31" s="37">
        <v>13457.001829827948</v>
      </c>
      <c r="T31" s="37">
        <v>11902.239862080638</v>
      </c>
      <c r="U31" s="37">
        <v>6970.2917120870343</v>
      </c>
      <c r="V31" s="37">
        <v>9914.8633887469659</v>
      </c>
      <c r="W31" s="37">
        <v>11473.848071689818</v>
      </c>
      <c r="X31" s="37">
        <v>3674.3786953415674</v>
      </c>
      <c r="Y31" s="37">
        <v>0</v>
      </c>
      <c r="Z31" s="37">
        <v>175.03752121723451</v>
      </c>
      <c r="AA31" s="37">
        <v>0</v>
      </c>
      <c r="AB31" s="37">
        <v>0</v>
      </c>
      <c r="AC31" s="37">
        <v>0</v>
      </c>
      <c r="AD31" s="37">
        <v>0</v>
      </c>
      <c r="AE31" s="37">
        <v>5.9910285194964595E-3</v>
      </c>
      <c r="AF31" s="38">
        <f t="shared" ref="AF31" si="23">ROUND(SUM(H31:AE31)*G31,2)</f>
        <v>2808951.3</v>
      </c>
    </row>
    <row r="32" spans="1:32" ht="14.5" thickBot="1">
      <c r="A32">
        <f t="shared" si="0"/>
        <v>3</v>
      </c>
      <c r="B32">
        <f t="shared" si="1"/>
        <v>2028</v>
      </c>
      <c r="C32" t="str">
        <f t="shared" si="2"/>
        <v>32028</v>
      </c>
      <c r="E32" s="56">
        <v>46813</v>
      </c>
      <c r="F32" s="55">
        <f>+_xlfn.XLOOKUP(E32,'PRODUCTO 01'!$C$11:$C$139,'PRODUCTO 01'!$F$11:$F$139)</f>
        <v>2815822.21</v>
      </c>
      <c r="G32" s="36">
        <v>31</v>
      </c>
      <c r="H32" s="37">
        <v>0</v>
      </c>
      <c r="I32" s="37">
        <v>0</v>
      </c>
      <c r="J32" s="37">
        <v>2.8890478901425522E-3</v>
      </c>
      <c r="K32" s="37">
        <v>0</v>
      </c>
      <c r="L32" s="37">
        <v>0</v>
      </c>
      <c r="M32" s="37">
        <v>13.980686839225164</v>
      </c>
      <c r="N32" s="37">
        <v>0</v>
      </c>
      <c r="O32" s="37">
        <v>1625.5431213076167</v>
      </c>
      <c r="P32" s="37">
        <v>6185.5419295257698</v>
      </c>
      <c r="Q32" s="37">
        <v>9998.8595440725403</v>
      </c>
      <c r="R32" s="37">
        <v>10407.709163276666</v>
      </c>
      <c r="S32" s="37">
        <v>11148.432587182753</v>
      </c>
      <c r="T32" s="37">
        <v>11594.397906585669</v>
      </c>
      <c r="U32" s="37">
        <v>12250.955575831964</v>
      </c>
      <c r="V32" s="37">
        <v>13590.683919335575</v>
      </c>
      <c r="W32" s="37">
        <v>10752.704710295478</v>
      </c>
      <c r="X32" s="37">
        <v>3080.4165244075361</v>
      </c>
      <c r="Y32" s="37">
        <v>0</v>
      </c>
      <c r="Z32" s="37">
        <v>183.5391683233623</v>
      </c>
      <c r="AA32" s="37">
        <v>0.20677558967011464</v>
      </c>
      <c r="AB32" s="37">
        <v>0</v>
      </c>
      <c r="AC32" s="37">
        <v>0</v>
      </c>
      <c r="AD32" s="37">
        <v>0</v>
      </c>
      <c r="AE32" s="37">
        <v>0</v>
      </c>
      <c r="AF32" s="38">
        <f t="shared" ref="AF32" si="24">ROUND(SUM(H32:AE32)*G32,2)</f>
        <v>2815822.21</v>
      </c>
    </row>
    <row r="33" spans="1:32" ht="14.5" thickBot="1">
      <c r="A33">
        <f t="shared" si="0"/>
        <v>4</v>
      </c>
      <c r="B33">
        <f t="shared" si="1"/>
        <v>2028</v>
      </c>
      <c r="C33" t="str">
        <f t="shared" si="2"/>
        <v>42028</v>
      </c>
      <c r="E33" s="56">
        <v>46844</v>
      </c>
      <c r="F33" s="55">
        <f>+_xlfn.XLOOKUP(E33,'PRODUCTO 01'!$C$11:$C$139,'PRODUCTO 01'!$F$11:$F$139)</f>
        <v>2196626.83</v>
      </c>
      <c r="G33" s="36">
        <v>30</v>
      </c>
      <c r="H33" s="37">
        <v>0</v>
      </c>
      <c r="I33" s="37">
        <v>0</v>
      </c>
      <c r="J33" s="37">
        <v>0</v>
      </c>
      <c r="K33" s="37">
        <v>1.5928231190476511E-2</v>
      </c>
      <c r="L33" s="37">
        <v>7.7805189789804524E-3</v>
      </c>
      <c r="M33" s="37">
        <v>46.940708064265017</v>
      </c>
      <c r="N33" s="37">
        <v>0</v>
      </c>
      <c r="O33" s="37">
        <v>0</v>
      </c>
      <c r="P33" s="37">
        <v>2294.0987110875558</v>
      </c>
      <c r="Q33" s="37">
        <v>7570.3299252599554</v>
      </c>
      <c r="R33" s="37">
        <v>8631.894668453273</v>
      </c>
      <c r="S33" s="37">
        <v>8569.409804201483</v>
      </c>
      <c r="T33" s="37">
        <v>8805.6518155166959</v>
      </c>
      <c r="U33" s="37">
        <v>10331.453266781564</v>
      </c>
      <c r="V33" s="37">
        <v>9198.1809771350145</v>
      </c>
      <c r="W33" s="37">
        <v>11264.547332320193</v>
      </c>
      <c r="X33" s="37">
        <v>5373.6907183527146</v>
      </c>
      <c r="Y33" s="37">
        <v>995.53016744306012</v>
      </c>
      <c r="Z33" s="37">
        <v>138.97828125160052</v>
      </c>
      <c r="AA33" s="37">
        <v>0.16427546328871079</v>
      </c>
      <c r="AB33" s="37">
        <v>0</v>
      </c>
      <c r="AC33" s="37">
        <v>0</v>
      </c>
      <c r="AD33" s="37">
        <v>0</v>
      </c>
      <c r="AE33" s="37">
        <v>0</v>
      </c>
      <c r="AF33" s="38">
        <f t="shared" ref="AF33" si="25">ROUND(SUM(H33:AE33)*G33,2)</f>
        <v>2196626.83</v>
      </c>
    </row>
    <row r="34" spans="1:32" ht="14.5" thickBot="1">
      <c r="A34">
        <f t="shared" si="0"/>
        <v>5</v>
      </c>
      <c r="B34">
        <f t="shared" si="1"/>
        <v>2028</v>
      </c>
      <c r="C34" t="str">
        <f t="shared" si="2"/>
        <v>52028</v>
      </c>
      <c r="E34" s="56">
        <v>46874</v>
      </c>
      <c r="F34" s="55">
        <f>+_xlfn.XLOOKUP(E34,'PRODUCTO 01'!$C$11:$C$139,'PRODUCTO 01'!$F$11:$F$139)</f>
        <v>2474960.79</v>
      </c>
      <c r="G34" s="36">
        <v>31</v>
      </c>
      <c r="H34" s="37">
        <v>1.7979781401917679E-3</v>
      </c>
      <c r="I34" s="37">
        <v>0</v>
      </c>
      <c r="J34" s="37">
        <v>2.1948713693477916E-3</v>
      </c>
      <c r="K34" s="37">
        <v>0</v>
      </c>
      <c r="L34" s="37">
        <v>0</v>
      </c>
      <c r="M34" s="37">
        <v>121.97023934229986</v>
      </c>
      <c r="N34" s="37">
        <v>475.22753723659855</v>
      </c>
      <c r="O34" s="37">
        <v>4075.2351952720692</v>
      </c>
      <c r="P34" s="37">
        <v>11058.102567587299</v>
      </c>
      <c r="Q34" s="37">
        <v>11620.106310796215</v>
      </c>
      <c r="R34" s="37">
        <v>8115.9473305572174</v>
      </c>
      <c r="S34" s="37">
        <v>5604.4861037081055</v>
      </c>
      <c r="T34" s="37">
        <v>4526.2985935072693</v>
      </c>
      <c r="U34" s="37">
        <v>5419.3485350983001</v>
      </c>
      <c r="V34" s="37">
        <v>8876.5395127083611</v>
      </c>
      <c r="W34" s="37">
        <v>10948.760162917682</v>
      </c>
      <c r="X34" s="37">
        <v>7724.73178353192</v>
      </c>
      <c r="Y34" s="37">
        <v>1113.8259453474348</v>
      </c>
      <c r="Z34" s="37">
        <v>154.85174000039854</v>
      </c>
      <c r="AA34" s="37">
        <v>1.9922696042812449</v>
      </c>
      <c r="AB34" s="37">
        <v>4.9477018197439651E-3</v>
      </c>
      <c r="AC34" s="37">
        <v>4.793738524720286E-3</v>
      </c>
      <c r="AD34" s="37">
        <v>4.4101350608477313E-3</v>
      </c>
      <c r="AE34" s="37">
        <v>2.9461789844361483E-3</v>
      </c>
      <c r="AF34" s="38">
        <f t="shared" ref="AF34" si="26">ROUND(SUM(H34:AE34)*G34,2)</f>
        <v>2474960.79</v>
      </c>
    </row>
    <row r="35" spans="1:32" ht="14.5" thickBot="1">
      <c r="A35">
        <f t="shared" si="0"/>
        <v>6</v>
      </c>
      <c r="B35">
        <f t="shared" si="1"/>
        <v>2028</v>
      </c>
      <c r="C35" t="str">
        <f t="shared" si="2"/>
        <v>62028</v>
      </c>
      <c r="E35" s="56">
        <v>46905</v>
      </c>
      <c r="F35" s="55">
        <f>+_xlfn.XLOOKUP(E35,'PRODUCTO 01'!$C$11:$C$139,'PRODUCTO 01'!$F$11:$F$139)</f>
        <v>1884872.84</v>
      </c>
      <c r="G35" s="36">
        <v>30</v>
      </c>
      <c r="H35" s="37">
        <v>9.115707768353562E-3</v>
      </c>
      <c r="I35" s="37">
        <v>9.1045194188373313E-3</v>
      </c>
      <c r="J35" s="37">
        <v>8.6737679624622373E-3</v>
      </c>
      <c r="K35" s="37">
        <v>4.329658092110851E-2</v>
      </c>
      <c r="L35" s="37">
        <v>4.1290271788082512E-2</v>
      </c>
      <c r="M35" s="37">
        <v>106.32271167308002</v>
      </c>
      <c r="N35" s="37">
        <v>0</v>
      </c>
      <c r="O35" s="37">
        <v>1257.6160803316545</v>
      </c>
      <c r="P35" s="37">
        <v>5303.8463391355426</v>
      </c>
      <c r="Q35" s="37">
        <v>10365.33518887532</v>
      </c>
      <c r="R35" s="37">
        <v>10420.879365732053</v>
      </c>
      <c r="S35" s="37">
        <v>9165.5393453821453</v>
      </c>
      <c r="T35" s="37">
        <v>10910.678398509921</v>
      </c>
      <c r="U35" s="37">
        <v>7453.6810969562521</v>
      </c>
      <c r="V35" s="37">
        <v>5146.9722046651013</v>
      </c>
      <c r="W35" s="37">
        <v>2382.7352615308146</v>
      </c>
      <c r="X35" s="37">
        <v>0</v>
      </c>
      <c r="Y35" s="37">
        <v>147.93309587226665</v>
      </c>
      <c r="Z35" s="37">
        <v>164.17267865348336</v>
      </c>
      <c r="AA35" s="37">
        <v>3.234813816290071</v>
      </c>
      <c r="AB35" s="37">
        <v>9.2975184479924117E-3</v>
      </c>
      <c r="AC35" s="37">
        <v>9.1017223314582753E-3</v>
      </c>
      <c r="AD35" s="37">
        <v>9.0905339819420342E-3</v>
      </c>
      <c r="AE35" s="37">
        <v>9.1576640790394497E-3</v>
      </c>
      <c r="AF35" s="38">
        <f t="shared" ref="AF35" si="27">ROUND(SUM(H35:AE35)*G35,2)</f>
        <v>1884872.84</v>
      </c>
    </row>
    <row r="36" spans="1:32" ht="14.5" thickBot="1">
      <c r="A36">
        <f t="shared" si="0"/>
        <v>7</v>
      </c>
      <c r="B36">
        <f t="shared" si="1"/>
        <v>2028</v>
      </c>
      <c r="C36" t="str">
        <f t="shared" si="2"/>
        <v>72028</v>
      </c>
      <c r="E36" s="56">
        <v>46935</v>
      </c>
      <c r="F36" s="55">
        <f>+_xlfn.XLOOKUP(E36,'PRODUCTO 01'!$C$11:$C$139,'PRODUCTO 01'!$F$11:$F$139)</f>
        <v>2253865.83</v>
      </c>
      <c r="G36" s="36">
        <v>31</v>
      </c>
      <c r="H36" s="37">
        <v>3.115295275051277E-3</v>
      </c>
      <c r="I36" s="37">
        <v>0</v>
      </c>
      <c r="J36" s="37">
        <v>0</v>
      </c>
      <c r="K36" s="37">
        <v>0</v>
      </c>
      <c r="L36" s="37">
        <v>1.1196416212952169E-3</v>
      </c>
      <c r="M36" s="37">
        <v>28.672243054915569</v>
      </c>
      <c r="N36" s="37">
        <v>0</v>
      </c>
      <c r="O36" s="37">
        <v>464.88992958047828</v>
      </c>
      <c r="P36" s="37">
        <v>5725.0998995136179</v>
      </c>
      <c r="Q36" s="37">
        <v>11559.562041962581</v>
      </c>
      <c r="R36" s="37">
        <v>9776.9605324635668</v>
      </c>
      <c r="S36" s="37">
        <v>9443.6138973791731</v>
      </c>
      <c r="T36" s="37">
        <v>10911.295865879039</v>
      </c>
      <c r="U36" s="37">
        <v>5608.5226278212167</v>
      </c>
      <c r="V36" s="37">
        <v>6148.7060190271077</v>
      </c>
      <c r="W36" s="37">
        <v>8268.2116476659321</v>
      </c>
      <c r="X36" s="37">
        <v>3939.414615346227</v>
      </c>
      <c r="Y36" s="37">
        <v>630.04585434610919</v>
      </c>
      <c r="Z36" s="37">
        <v>194.83309435174493</v>
      </c>
      <c r="AA36" s="37">
        <v>5.5130157552829635</v>
      </c>
      <c r="AB36" s="37">
        <v>3.6817125977878689E-3</v>
      </c>
      <c r="AC36" s="37">
        <v>0</v>
      </c>
      <c r="AD36" s="37">
        <v>0</v>
      </c>
      <c r="AE36" s="37">
        <v>0</v>
      </c>
      <c r="AF36" s="38">
        <f t="shared" ref="AF36" si="28">ROUND(SUM(H36:AE36)*G36,2)</f>
        <v>2253865.83</v>
      </c>
    </row>
    <row r="37" spans="1:32" ht="14.5" thickBot="1">
      <c r="A37">
        <f t="shared" si="0"/>
        <v>8</v>
      </c>
      <c r="B37">
        <f t="shared" si="1"/>
        <v>2028</v>
      </c>
      <c r="C37" t="str">
        <f t="shared" si="2"/>
        <v>82028</v>
      </c>
      <c r="E37" s="56">
        <v>46966</v>
      </c>
      <c r="F37" s="55">
        <f>+_xlfn.XLOOKUP(E37,'PRODUCTO 01'!$C$11:$C$139,'PRODUCTO 01'!$F$11:$F$139)</f>
        <v>2234414.2599999998</v>
      </c>
      <c r="G37" s="36">
        <v>31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36.526262463588544</v>
      </c>
      <c r="N37" s="37">
        <v>0</v>
      </c>
      <c r="O37" s="37">
        <v>1036.3474539247595</v>
      </c>
      <c r="P37" s="37">
        <v>9848.5559477642746</v>
      </c>
      <c r="Q37" s="37">
        <v>11427.598305652296</v>
      </c>
      <c r="R37" s="37">
        <v>12097.901090369391</v>
      </c>
      <c r="S37" s="37">
        <v>7011.6526293854076</v>
      </c>
      <c r="T37" s="37">
        <v>7135.9245601897201</v>
      </c>
      <c r="U37" s="37">
        <v>8681.3731192052037</v>
      </c>
      <c r="V37" s="37">
        <v>5256.3631874791718</v>
      </c>
      <c r="W37" s="37">
        <v>7567.6510229906544</v>
      </c>
      <c r="X37" s="37">
        <v>1804.9481884599566</v>
      </c>
      <c r="Y37" s="37">
        <v>0</v>
      </c>
      <c r="Z37" s="37">
        <v>172.02409321383172</v>
      </c>
      <c r="AA37" s="37">
        <v>1.0134039941003945</v>
      </c>
      <c r="AB37" s="37">
        <v>0</v>
      </c>
      <c r="AC37" s="37">
        <v>0</v>
      </c>
      <c r="AD37" s="37">
        <v>0</v>
      </c>
      <c r="AE37" s="37">
        <v>0</v>
      </c>
      <c r="AF37" s="38">
        <f t="shared" ref="AF37" si="29">ROUND(SUM(H37:AE37)*G37,2)</f>
        <v>2234414.2599999998</v>
      </c>
    </row>
    <row r="38" spans="1:32" ht="14.5" thickBot="1">
      <c r="A38">
        <f t="shared" si="0"/>
        <v>9</v>
      </c>
      <c r="B38">
        <f t="shared" si="1"/>
        <v>2028</v>
      </c>
      <c r="C38" t="str">
        <f t="shared" si="2"/>
        <v>92028</v>
      </c>
      <c r="E38" s="56">
        <v>46997</v>
      </c>
      <c r="F38" s="55">
        <f>+_xlfn.XLOOKUP(E38,'PRODUCTO 01'!$C$11:$C$139,'PRODUCTO 01'!$F$11:$F$139)</f>
        <v>2246461.62</v>
      </c>
      <c r="G38" s="36">
        <v>30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135.51140137168869</v>
      </c>
      <c r="N38" s="37">
        <v>0</v>
      </c>
      <c r="O38" s="37">
        <v>8173.2384735681662</v>
      </c>
      <c r="P38" s="37">
        <v>12907.343656226571</v>
      </c>
      <c r="Q38" s="37">
        <v>11693.292866345839</v>
      </c>
      <c r="R38" s="37">
        <v>6889.5428308019</v>
      </c>
      <c r="S38" s="37">
        <v>3133.6612491934816</v>
      </c>
      <c r="T38" s="37">
        <v>5237.9384148333329</v>
      </c>
      <c r="U38" s="37">
        <v>8537.2637935477778</v>
      </c>
      <c r="V38" s="37">
        <v>6374.0952767516974</v>
      </c>
      <c r="W38" s="37">
        <v>8444.1554694842325</v>
      </c>
      <c r="X38" s="37">
        <v>3173.2132290671243</v>
      </c>
      <c r="Y38" s="37">
        <v>100.94191198430426</v>
      </c>
      <c r="Z38" s="37">
        <v>81.838515234162713</v>
      </c>
      <c r="AA38" s="37">
        <v>1.674779905877323E-2</v>
      </c>
      <c r="AB38" s="37">
        <v>0</v>
      </c>
      <c r="AC38" s="37">
        <v>0</v>
      </c>
      <c r="AD38" s="37">
        <v>0</v>
      </c>
      <c r="AE38" s="37">
        <v>0</v>
      </c>
      <c r="AF38" s="38">
        <f t="shared" ref="AF38" si="30">ROUND(SUM(H38:AE38)*G38,2)</f>
        <v>2246461.62</v>
      </c>
    </row>
    <row r="39" spans="1:32" ht="14.5" thickBot="1">
      <c r="A39">
        <f t="shared" si="0"/>
        <v>10</v>
      </c>
      <c r="B39">
        <f t="shared" si="1"/>
        <v>2028</v>
      </c>
      <c r="C39" t="str">
        <f t="shared" si="2"/>
        <v>102028</v>
      </c>
      <c r="E39" s="56">
        <v>47027</v>
      </c>
      <c r="F39" s="55">
        <f>+_xlfn.XLOOKUP(E39,'PRODUCTO 01'!$C$11:$C$139,'PRODUCTO 01'!$F$11:$F$139)</f>
        <v>2631347.12</v>
      </c>
      <c r="G39" s="36">
        <v>31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39.017263216933813</v>
      </c>
      <c r="N39" s="37">
        <v>0</v>
      </c>
      <c r="O39" s="37">
        <v>5790.8196434046322</v>
      </c>
      <c r="P39" s="37">
        <v>8951.499083233588</v>
      </c>
      <c r="Q39" s="37">
        <v>12948.103453125419</v>
      </c>
      <c r="R39" s="37">
        <v>11379.696324793837</v>
      </c>
      <c r="S39" s="37">
        <v>9741.9176364777431</v>
      </c>
      <c r="T39" s="37">
        <v>8458.9480133433699</v>
      </c>
      <c r="U39" s="37">
        <v>9183.768419016993</v>
      </c>
      <c r="V39" s="37">
        <v>8352.0758010616537</v>
      </c>
      <c r="W39" s="37">
        <v>6198.0946544796716</v>
      </c>
      <c r="X39" s="37">
        <v>3555.1094146201099</v>
      </c>
      <c r="Y39" s="37">
        <v>238.07994702101823</v>
      </c>
      <c r="Z39" s="37">
        <v>45.017581568966882</v>
      </c>
      <c r="AA39" s="37">
        <v>3.5161143614202942E-3</v>
      </c>
      <c r="AB39" s="37">
        <v>3.5430618963790679E-3</v>
      </c>
      <c r="AC39" s="37">
        <v>3.5991127690933075E-3</v>
      </c>
      <c r="AD39" s="37">
        <v>3.6713321627828118E-3</v>
      </c>
      <c r="AE39" s="37">
        <v>3.6831890781646717E-3</v>
      </c>
      <c r="AF39" s="38">
        <f t="shared" ref="AF39" si="31">ROUND(SUM(H39:AE39)*G39,2)</f>
        <v>2631347.12</v>
      </c>
    </row>
    <row r="40" spans="1:32" ht="14.5" thickBot="1">
      <c r="A40">
        <f t="shared" si="0"/>
        <v>11</v>
      </c>
      <c r="B40">
        <f t="shared" si="1"/>
        <v>2028</v>
      </c>
      <c r="C40" t="str">
        <f t="shared" si="2"/>
        <v>112028</v>
      </c>
      <c r="E40" s="56">
        <v>47058</v>
      </c>
      <c r="F40" s="55">
        <f>+_xlfn.XLOOKUP(E40,'PRODUCTO 01'!$C$11:$C$139,'PRODUCTO 01'!$F$11:$F$139)</f>
        <v>2487149.48</v>
      </c>
      <c r="G40" s="36">
        <v>30</v>
      </c>
      <c r="H40" s="37">
        <v>7.0385341033224068E-4</v>
      </c>
      <c r="I40" s="37">
        <v>5.7571510041842658E-4</v>
      </c>
      <c r="J40" s="37">
        <v>4.9372931298543351E-4</v>
      </c>
      <c r="K40" s="37">
        <v>4.475767905046132E-4</v>
      </c>
      <c r="L40" s="37">
        <v>5.389745412725177E-4</v>
      </c>
      <c r="M40" s="37">
        <v>102.76320628454519</v>
      </c>
      <c r="N40" s="37">
        <v>0</v>
      </c>
      <c r="O40" s="37">
        <v>2569.3704056265888</v>
      </c>
      <c r="P40" s="37">
        <v>4781.405583123179</v>
      </c>
      <c r="Q40" s="37">
        <v>5527.1802854094885</v>
      </c>
      <c r="R40" s="37">
        <v>5832.28598620923</v>
      </c>
      <c r="S40" s="37">
        <v>8344.0592864725058</v>
      </c>
      <c r="T40" s="37">
        <v>10470.848963879491</v>
      </c>
      <c r="U40" s="37">
        <v>13214.704130526918</v>
      </c>
      <c r="V40" s="37">
        <v>15748.938409408247</v>
      </c>
      <c r="W40" s="37">
        <v>12656.270012865667</v>
      </c>
      <c r="X40" s="37">
        <v>3325.1408340937173</v>
      </c>
      <c r="Y40" s="37">
        <v>304.60833296333499</v>
      </c>
      <c r="Z40" s="37">
        <v>26.737946473673556</v>
      </c>
      <c r="AA40" s="37">
        <v>0.13835106113960099</v>
      </c>
      <c r="AB40" s="37">
        <v>0.13827270635134564</v>
      </c>
      <c r="AC40" s="37">
        <v>0.135886498309747</v>
      </c>
      <c r="AD40" s="37">
        <v>0.12989955924270311</v>
      </c>
      <c r="AE40" s="37">
        <v>0.1241240091123177</v>
      </c>
      <c r="AF40" s="38">
        <f t="shared" ref="AF40" si="32">ROUND(SUM(H40:AE40)*G40,2)</f>
        <v>2487149.48</v>
      </c>
    </row>
    <row r="41" spans="1:32" ht="14.5" thickBot="1">
      <c r="A41">
        <f t="shared" si="0"/>
        <v>12</v>
      </c>
      <c r="B41">
        <f t="shared" si="1"/>
        <v>2028</v>
      </c>
      <c r="C41" t="str">
        <f t="shared" si="2"/>
        <v>122028</v>
      </c>
      <c r="E41" s="56">
        <v>47088</v>
      </c>
      <c r="F41" s="55">
        <f>+_xlfn.XLOOKUP(E41,'PRODUCTO 01'!$C$11:$C$139,'PRODUCTO 01'!$F$11:$F$139)</f>
        <v>3093072.46</v>
      </c>
      <c r="G41" s="36">
        <v>31</v>
      </c>
      <c r="H41" s="37">
        <v>2.719161665067707E-3</v>
      </c>
      <c r="I41" s="37">
        <v>0</v>
      </c>
      <c r="J41" s="37">
        <v>0</v>
      </c>
      <c r="K41" s="37">
        <v>0</v>
      </c>
      <c r="L41" s="37">
        <v>0</v>
      </c>
      <c r="M41" s="37">
        <v>55.472308895605444</v>
      </c>
      <c r="N41" s="37">
        <v>0</v>
      </c>
      <c r="O41" s="37">
        <v>7136.3764294267121</v>
      </c>
      <c r="P41" s="37">
        <v>11179.705566896935</v>
      </c>
      <c r="Q41" s="37">
        <v>14449.96671788668</v>
      </c>
      <c r="R41" s="37">
        <v>13861.725131534977</v>
      </c>
      <c r="S41" s="37">
        <v>12138.394797815226</v>
      </c>
      <c r="T41" s="37">
        <v>12195.501350292276</v>
      </c>
      <c r="U41" s="37">
        <v>12267.273861443315</v>
      </c>
      <c r="V41" s="37">
        <v>11030.997711258098</v>
      </c>
      <c r="W41" s="37">
        <v>5431.2489827292929</v>
      </c>
      <c r="X41" s="37">
        <v>0</v>
      </c>
      <c r="Y41" s="37">
        <v>0</v>
      </c>
      <c r="Z41" s="37">
        <v>29.857462955359054</v>
      </c>
      <c r="AA41" s="37">
        <v>0</v>
      </c>
      <c r="AB41" s="37">
        <v>1.7476050026407289E-3</v>
      </c>
      <c r="AC41" s="37">
        <v>2.018922674283581E-3</v>
      </c>
      <c r="AD41" s="37">
        <v>2.018922674283581E-3</v>
      </c>
      <c r="AE41" s="37">
        <v>2.1685463902630965E-3</v>
      </c>
      <c r="AF41" s="38">
        <f t="shared" ref="AF41" si="33">ROUND(SUM(H41:AE41)*G41,2)</f>
        <v>3093072.46</v>
      </c>
    </row>
    <row r="42" spans="1:32" ht="14.5" thickBot="1">
      <c r="A42">
        <f t="shared" si="0"/>
        <v>1</v>
      </c>
      <c r="B42">
        <f t="shared" si="1"/>
        <v>2029</v>
      </c>
      <c r="C42" t="str">
        <f t="shared" si="2"/>
        <v>12029</v>
      </c>
      <c r="E42" s="56">
        <v>47119</v>
      </c>
      <c r="F42" s="55">
        <f>+_xlfn.XLOOKUP(E42,'PRODUCTO 01'!$C$11:$C$139,'PRODUCTO 01'!$F$11:$F$139)</f>
        <v>3729831.57</v>
      </c>
      <c r="G42" s="36">
        <v>31</v>
      </c>
      <c r="H42" s="37">
        <v>0.20176328808728619</v>
      </c>
      <c r="I42" s="37">
        <v>0.17970143619429318</v>
      </c>
      <c r="J42" s="37">
        <v>0.14677165368513168</v>
      </c>
      <c r="K42" s="37">
        <v>0.17323496336623706</v>
      </c>
      <c r="L42" s="37">
        <v>0.19792826015596257</v>
      </c>
      <c r="M42" s="37">
        <v>0.17765999559468734</v>
      </c>
      <c r="N42" s="37">
        <v>0</v>
      </c>
      <c r="O42" s="37">
        <v>2435.1619558527645</v>
      </c>
      <c r="P42" s="37">
        <v>9678.2867625012077</v>
      </c>
      <c r="Q42" s="37">
        <v>15071.749785182225</v>
      </c>
      <c r="R42" s="37">
        <v>14735.12096293144</v>
      </c>
      <c r="S42" s="37">
        <v>15037.975271891506</v>
      </c>
      <c r="T42" s="37">
        <v>14902.026226020775</v>
      </c>
      <c r="U42" s="37">
        <v>15581.437881880074</v>
      </c>
      <c r="V42" s="37">
        <v>15746.267426563536</v>
      </c>
      <c r="W42" s="37">
        <v>13338.573361736047</v>
      </c>
      <c r="X42" s="37">
        <v>3511.9056557864778</v>
      </c>
      <c r="Y42" s="37">
        <v>127.48544535901986</v>
      </c>
      <c r="Z42" s="37">
        <v>149.11704907544421</v>
      </c>
      <c r="AA42" s="37">
        <v>0.17096714420907019</v>
      </c>
      <c r="AB42" s="37">
        <v>0.23549104539659155</v>
      </c>
      <c r="AC42" s="37">
        <v>0.19772545603873892</v>
      </c>
      <c r="AD42" s="37">
        <v>0.16054987097801304</v>
      </c>
      <c r="AE42" s="37">
        <v>0.19772545603873892</v>
      </c>
      <c r="AF42" s="38">
        <f>ROUND(SUM(H42:AE42)*G42,2)</f>
        <v>3729831.57</v>
      </c>
    </row>
    <row r="43" spans="1:32" ht="14.5" thickBot="1">
      <c r="A43">
        <f t="shared" si="0"/>
        <v>2</v>
      </c>
      <c r="B43">
        <f t="shared" si="1"/>
        <v>2029</v>
      </c>
      <c r="C43" t="str">
        <f t="shared" si="2"/>
        <v>22029</v>
      </c>
      <c r="E43" s="56">
        <v>47150</v>
      </c>
      <c r="F43" s="55">
        <f>+_xlfn.XLOOKUP(E43,'PRODUCTO 01'!$C$11:$C$139,'PRODUCTO 01'!$F$11:$F$139)</f>
        <v>3130676.49</v>
      </c>
      <c r="G43" s="36">
        <v>28</v>
      </c>
      <c r="H43" s="37">
        <v>0</v>
      </c>
      <c r="I43" s="37">
        <v>0</v>
      </c>
      <c r="J43" s="37">
        <v>0</v>
      </c>
      <c r="K43" s="37">
        <v>6.7952106509471992E-3</v>
      </c>
      <c r="L43" s="37">
        <v>0</v>
      </c>
      <c r="M43" s="37">
        <v>0</v>
      </c>
      <c r="N43" s="37">
        <v>0</v>
      </c>
      <c r="O43" s="37">
        <v>2529.2575236087332</v>
      </c>
      <c r="P43" s="37">
        <v>9180.2600678859908</v>
      </c>
      <c r="Q43" s="37">
        <v>16030.606730170239</v>
      </c>
      <c r="R43" s="37">
        <v>17183.38583868264</v>
      </c>
      <c r="S43" s="37">
        <v>15406.806191068657</v>
      </c>
      <c r="T43" s="37">
        <v>13718.337911714438</v>
      </c>
      <c r="U43" s="37">
        <v>8397.9218316997158</v>
      </c>
      <c r="V43" s="37">
        <v>11553.655353549819</v>
      </c>
      <c r="W43" s="37">
        <v>13157.97773351746</v>
      </c>
      <c r="X43" s="37">
        <v>4461.441779316825</v>
      </c>
      <c r="Y43" s="37">
        <v>0</v>
      </c>
      <c r="Z43" s="37">
        <v>190.21023531575193</v>
      </c>
      <c r="AA43" s="37">
        <v>0</v>
      </c>
      <c r="AB43" s="37">
        <v>0</v>
      </c>
      <c r="AC43" s="37">
        <v>0</v>
      </c>
      <c r="AD43" s="37">
        <v>0</v>
      </c>
      <c r="AE43" s="37">
        <v>6.4738947470660549E-3</v>
      </c>
      <c r="AF43" s="38">
        <f t="shared" ref="AF43" si="34">ROUND(SUM(H43:AE43)*G43,2)</f>
        <v>3130676.49</v>
      </c>
    </row>
    <row r="44" spans="1:32" ht="14.5" thickBot="1">
      <c r="A44">
        <f t="shared" si="0"/>
        <v>3</v>
      </c>
      <c r="B44">
        <f t="shared" si="1"/>
        <v>2029</v>
      </c>
      <c r="C44" t="str">
        <f t="shared" si="2"/>
        <v>32029</v>
      </c>
      <c r="E44" s="56">
        <v>47178</v>
      </c>
      <c r="F44" s="55">
        <f>+_xlfn.XLOOKUP(E44,'PRODUCTO 01'!$C$11:$C$139,'PRODUCTO 01'!$F$11:$F$139)</f>
        <v>3148079.82</v>
      </c>
      <c r="G44" s="36">
        <v>31</v>
      </c>
      <c r="H44" s="37">
        <v>0</v>
      </c>
      <c r="I44" s="37">
        <v>0</v>
      </c>
      <c r="J44" s="37">
        <v>3.014181361592953E-3</v>
      </c>
      <c r="K44" s="37">
        <v>0</v>
      </c>
      <c r="L44" s="37">
        <v>0</v>
      </c>
      <c r="M44" s="37">
        <v>14.592020251705137</v>
      </c>
      <c r="N44" s="37">
        <v>0</v>
      </c>
      <c r="O44" s="37">
        <v>1945.0280740276155</v>
      </c>
      <c r="P44" s="37">
        <v>7023.6267454631825</v>
      </c>
      <c r="Q44" s="37">
        <v>11193.042022922931</v>
      </c>
      <c r="R44" s="37">
        <v>11709.812149550695</v>
      </c>
      <c r="S44" s="37">
        <v>12482.651481126431</v>
      </c>
      <c r="T44" s="37">
        <v>12930.052291328922</v>
      </c>
      <c r="U44" s="37">
        <v>13577.541988532255</v>
      </c>
      <c r="V44" s="37">
        <v>14943.710764333018</v>
      </c>
      <c r="W44" s="37">
        <v>11887.387594943602</v>
      </c>
      <c r="X44" s="37">
        <v>3650.4788010603634</v>
      </c>
      <c r="Y44" s="37">
        <v>0</v>
      </c>
      <c r="Z44" s="37">
        <v>192.81932778336616</v>
      </c>
      <c r="AA44" s="37">
        <v>0.21565956808499179</v>
      </c>
      <c r="AB44" s="37">
        <v>0</v>
      </c>
      <c r="AC44" s="37">
        <v>0</v>
      </c>
      <c r="AD44" s="37">
        <v>0</v>
      </c>
      <c r="AE44" s="37">
        <v>0</v>
      </c>
      <c r="AF44" s="38">
        <f t="shared" ref="AF44" si="35">ROUND(SUM(H44:AE44)*G44,2)</f>
        <v>3148079.82</v>
      </c>
    </row>
    <row r="45" spans="1:32" ht="14.5" thickBot="1">
      <c r="A45">
        <f t="shared" si="0"/>
        <v>4</v>
      </c>
      <c r="B45">
        <f t="shared" si="1"/>
        <v>2029</v>
      </c>
      <c r="C45" t="str">
        <f t="shared" si="2"/>
        <v>42029</v>
      </c>
      <c r="E45" s="56">
        <v>47209</v>
      </c>
      <c r="F45" s="55">
        <f>+_xlfn.XLOOKUP(E45,'PRODUCTO 01'!$C$11:$C$139,'PRODUCTO 01'!$F$11:$F$139)</f>
        <v>2469305.75</v>
      </c>
      <c r="G45" s="36">
        <v>30</v>
      </c>
      <c r="H45" s="37">
        <v>0</v>
      </c>
      <c r="I45" s="37">
        <v>0</v>
      </c>
      <c r="J45" s="37">
        <v>0</v>
      </c>
      <c r="K45" s="37">
        <v>1.6618739828928634E-2</v>
      </c>
      <c r="L45" s="37">
        <v>8.1179600069123791E-3</v>
      </c>
      <c r="M45" s="37">
        <v>49.105251016124235</v>
      </c>
      <c r="N45" s="37">
        <v>0</v>
      </c>
      <c r="O45" s="37">
        <v>0</v>
      </c>
      <c r="P45" s="37">
        <v>2944.4476303976116</v>
      </c>
      <c r="Q45" s="37">
        <v>8602.8172248836399</v>
      </c>
      <c r="R45" s="37">
        <v>9772.1379114332849</v>
      </c>
      <c r="S45" s="37">
        <v>9703.1538727506049</v>
      </c>
      <c r="T45" s="37">
        <v>9944.6996255162885</v>
      </c>
      <c r="U45" s="37">
        <v>11500.15627918776</v>
      </c>
      <c r="V45" s="37">
        <v>10256.970389206142</v>
      </c>
      <c r="W45" s="37">
        <v>12304.625071973736</v>
      </c>
      <c r="X45" s="37">
        <v>5954.9902589994099</v>
      </c>
      <c r="Y45" s="37">
        <v>1130.7286616258818</v>
      </c>
      <c r="Z45" s="37">
        <v>146.16355838260637</v>
      </c>
      <c r="AA45" s="37">
        <v>0.17133345147909218</v>
      </c>
      <c r="AB45" s="37">
        <v>0</v>
      </c>
      <c r="AC45" s="37">
        <v>0</v>
      </c>
      <c r="AD45" s="37">
        <v>0</v>
      </c>
      <c r="AE45" s="37">
        <v>0</v>
      </c>
      <c r="AF45" s="38">
        <f t="shared" ref="AF45" si="36">ROUND(SUM(H45:AE45)*G45,2)</f>
        <v>2469305.75</v>
      </c>
    </row>
    <row r="46" spans="1:32" ht="14.5" thickBot="1">
      <c r="A46">
        <f t="shared" si="0"/>
        <v>5</v>
      </c>
      <c r="B46">
        <f t="shared" si="1"/>
        <v>2029</v>
      </c>
      <c r="C46" t="str">
        <f t="shared" si="2"/>
        <v>52029</v>
      </c>
      <c r="E46" s="56">
        <v>47239</v>
      </c>
      <c r="F46" s="55">
        <f>+_xlfn.XLOOKUP(E46,'PRODUCTO 01'!$C$11:$C$139,'PRODUCTO 01'!$F$11:$F$139)</f>
        <v>2761909.33</v>
      </c>
      <c r="G46" s="36">
        <v>31</v>
      </c>
      <c r="H46" s="37">
        <v>1.8752270988980039E-3</v>
      </c>
      <c r="I46" s="37">
        <v>0</v>
      </c>
      <c r="J46" s="37">
        <v>2.2899380990335436E-3</v>
      </c>
      <c r="K46" s="37">
        <v>0</v>
      </c>
      <c r="L46" s="37">
        <v>0</v>
      </c>
      <c r="M46" s="37">
        <v>128.53344482108253</v>
      </c>
      <c r="N46" s="37">
        <v>571.39954548685512</v>
      </c>
      <c r="O46" s="37">
        <v>4531.9298719739272</v>
      </c>
      <c r="P46" s="37">
        <v>12018.446270580955</v>
      </c>
      <c r="Q46" s="37">
        <v>12777.227446732837</v>
      </c>
      <c r="R46" s="37">
        <v>9195.6770732358673</v>
      </c>
      <c r="S46" s="37">
        <v>6572.1432980616037</v>
      </c>
      <c r="T46" s="37">
        <v>5458.9789869996566</v>
      </c>
      <c r="U46" s="37">
        <v>6335.7679357313336</v>
      </c>
      <c r="V46" s="37">
        <v>9844.6685129011657</v>
      </c>
      <c r="W46" s="37">
        <v>11881.975033123525</v>
      </c>
      <c r="X46" s="37">
        <v>8354.6843140729161</v>
      </c>
      <c r="Y46" s="37">
        <v>1257.2278102334576</v>
      </c>
      <c r="Z46" s="37">
        <v>163.08985997749423</v>
      </c>
      <c r="AA46" s="37">
        <v>2.0778661690850821</v>
      </c>
      <c r="AB46" s="37">
        <v>5.160276603063306E-3</v>
      </c>
      <c r="AC46" s="37">
        <v>4.9996983754363308E-3</v>
      </c>
      <c r="AD46" s="37">
        <v>4.5996136388064251E-3</v>
      </c>
      <c r="AE46" s="37">
        <v>3.0727596439126953E-3</v>
      </c>
      <c r="AF46" s="38">
        <f t="shared" ref="AF46" si="37">ROUND(SUM(H46:AE46)*G46,2)</f>
        <v>2761909.33</v>
      </c>
    </row>
    <row r="47" spans="1:32" ht="14.5" thickBot="1">
      <c r="A47">
        <f t="shared" si="0"/>
        <v>6</v>
      </c>
      <c r="B47">
        <f t="shared" si="1"/>
        <v>2029</v>
      </c>
      <c r="C47" t="str">
        <f t="shared" si="2"/>
        <v>62029</v>
      </c>
      <c r="E47" s="56">
        <v>47270</v>
      </c>
      <c r="F47" s="55">
        <f>+_xlfn.XLOOKUP(E47,'PRODUCTO 01'!$C$11:$C$139,'PRODUCTO 01'!$F$11:$F$139)</f>
        <v>2153817.4</v>
      </c>
      <c r="G47" s="36">
        <v>30</v>
      </c>
      <c r="H47" s="37">
        <v>9.5073582101662547E-3</v>
      </c>
      <c r="I47" s="37">
        <v>9.4956891605066356E-3</v>
      </c>
      <c r="J47" s="37">
        <v>9.0464307486117015E-3</v>
      </c>
      <c r="K47" s="37">
        <v>4.51708312601099E-2</v>
      </c>
      <c r="L47" s="37">
        <v>4.307866273513667E-2</v>
      </c>
      <c r="M47" s="37">
        <v>112.4260449363149</v>
      </c>
      <c r="N47" s="37">
        <v>0</v>
      </c>
      <c r="O47" s="37">
        <v>1611.3978102706258</v>
      </c>
      <c r="P47" s="37">
        <v>6033.6437751054054</v>
      </c>
      <c r="Q47" s="37">
        <v>11494.448534912182</v>
      </c>
      <c r="R47" s="37">
        <v>11683.88999428667</v>
      </c>
      <c r="S47" s="37">
        <v>10441.001028731527</v>
      </c>
      <c r="T47" s="37">
        <v>12250.915334855215</v>
      </c>
      <c r="U47" s="37">
        <v>8584.4714879956791</v>
      </c>
      <c r="V47" s="37">
        <v>6067.8533863801558</v>
      </c>
      <c r="W47" s="37">
        <v>3054.0642004096126</v>
      </c>
      <c r="X47" s="37">
        <v>0</v>
      </c>
      <c r="Y47" s="37">
        <v>280.48302561919195</v>
      </c>
      <c r="Z47" s="37">
        <v>175.79049916786633</v>
      </c>
      <c r="AA47" s="37">
        <v>3.3737954831585553</v>
      </c>
      <c r="AB47" s="37">
        <v>9.6969802671348915E-3</v>
      </c>
      <c r="AC47" s="37">
        <v>9.4927718980917352E-3</v>
      </c>
      <c r="AD47" s="37">
        <v>9.48110284843213E-3</v>
      </c>
      <c r="AE47" s="37">
        <v>9.5511171463897905E-3</v>
      </c>
      <c r="AF47" s="38">
        <f t="shared" ref="AF47" si="38">ROUND(SUM(H47:AE47)*G47,2)</f>
        <v>2153817.4</v>
      </c>
    </row>
    <row r="48" spans="1:32" ht="14.5" thickBot="1">
      <c r="A48">
        <f t="shared" si="0"/>
        <v>7</v>
      </c>
      <c r="B48">
        <f t="shared" si="1"/>
        <v>2029</v>
      </c>
      <c r="C48" t="str">
        <f t="shared" si="2"/>
        <v>72029</v>
      </c>
      <c r="E48" s="56">
        <v>47300</v>
      </c>
      <c r="F48" s="55">
        <f>+_xlfn.XLOOKUP(E48,'PRODUCTO 01'!$C$11:$C$139,'PRODUCTO 01'!$F$11:$F$139)</f>
        <v>2556868.9700000002</v>
      </c>
      <c r="G48" s="36">
        <v>31</v>
      </c>
      <c r="H48" s="37">
        <v>3.2504059335763491E-3</v>
      </c>
      <c r="I48" s="37">
        <v>0</v>
      </c>
      <c r="J48" s="37">
        <v>0</v>
      </c>
      <c r="K48" s="37">
        <v>0</v>
      </c>
      <c r="L48" s="37">
        <v>1.1682005871103554E-3</v>
      </c>
      <c r="M48" s="37">
        <v>30.367267340822821</v>
      </c>
      <c r="N48" s="37">
        <v>0</v>
      </c>
      <c r="O48" s="37">
        <v>792.48916497296375</v>
      </c>
      <c r="P48" s="37">
        <v>6524.7604424021438</v>
      </c>
      <c r="Q48" s="37">
        <v>12777.434284493127</v>
      </c>
      <c r="R48" s="37">
        <v>11002.330935495731</v>
      </c>
      <c r="S48" s="37">
        <v>10693.543319142538</v>
      </c>
      <c r="T48" s="37">
        <v>12203.345699112304</v>
      </c>
      <c r="U48" s="37">
        <v>6622.3672049262741</v>
      </c>
      <c r="V48" s="37">
        <v>7114.164012331521</v>
      </c>
      <c r="W48" s="37">
        <v>9206.8466198328642</v>
      </c>
      <c r="X48" s="37">
        <v>4501.7421111487274</v>
      </c>
      <c r="Y48" s="37">
        <v>795.97327775948145</v>
      </c>
      <c r="Z48" s="37">
        <v>208.52166121492274</v>
      </c>
      <c r="AA48" s="37">
        <v>5.7498794578773689</v>
      </c>
      <c r="AB48" s="37">
        <v>3.8413888305902279E-3</v>
      </c>
      <c r="AC48" s="37">
        <v>0</v>
      </c>
      <c r="AD48" s="37">
        <v>0</v>
      </c>
      <c r="AE48" s="37">
        <v>0</v>
      </c>
      <c r="AF48" s="38">
        <f t="shared" ref="AF48" si="39">ROUND(SUM(H48:AE48)*G48,2)</f>
        <v>2556868.9700000002</v>
      </c>
    </row>
    <row r="49" spans="1:32" ht="14.5" thickBot="1">
      <c r="A49">
        <f t="shared" si="0"/>
        <v>8</v>
      </c>
      <c r="B49">
        <f t="shared" si="1"/>
        <v>2029</v>
      </c>
      <c r="C49" t="str">
        <f t="shared" si="2"/>
        <v>82029</v>
      </c>
      <c r="E49" s="56">
        <v>47331</v>
      </c>
      <c r="F49" s="55">
        <f>+_xlfn.XLOOKUP(E49,'PRODUCTO 01'!$C$11:$C$139,'PRODUCTO 01'!$F$11:$F$139)</f>
        <v>2524392.29</v>
      </c>
      <c r="G49" s="36">
        <v>31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38.271023748511567</v>
      </c>
      <c r="N49" s="37">
        <v>0</v>
      </c>
      <c r="O49" s="37">
        <v>1344.4809468450796</v>
      </c>
      <c r="P49" s="37">
        <v>10776.121290319978</v>
      </c>
      <c r="Q49" s="37">
        <v>12604.428477627016</v>
      </c>
      <c r="R49" s="37">
        <v>13400.823753283181</v>
      </c>
      <c r="S49" s="37">
        <v>8110.4014683963787</v>
      </c>
      <c r="T49" s="37">
        <v>8250.6547973594897</v>
      </c>
      <c r="U49" s="37">
        <v>9834.301857345994</v>
      </c>
      <c r="V49" s="37">
        <v>6173.3683419752588</v>
      </c>
      <c r="W49" s="37">
        <v>8461.1010901343434</v>
      </c>
      <c r="X49" s="37">
        <v>2255.8986916767167</v>
      </c>
      <c r="Y49" s="37">
        <v>0</v>
      </c>
      <c r="Z49" s="37">
        <v>181.10054873006339</v>
      </c>
      <c r="AA49" s="37">
        <v>1.0569442360772217</v>
      </c>
      <c r="AB49" s="37">
        <v>0</v>
      </c>
      <c r="AC49" s="37">
        <v>0</v>
      </c>
      <c r="AD49" s="37">
        <v>0</v>
      </c>
      <c r="AE49" s="37">
        <v>0</v>
      </c>
      <c r="AF49" s="38">
        <f t="shared" ref="AF49" si="40">ROUND(SUM(H49:AE49)*G49,2)</f>
        <v>2524392.29</v>
      </c>
    </row>
    <row r="50" spans="1:32" ht="14.5" thickBot="1">
      <c r="A50">
        <f t="shared" si="0"/>
        <v>9</v>
      </c>
      <c r="B50">
        <f t="shared" si="1"/>
        <v>2029</v>
      </c>
      <c r="C50" t="str">
        <f t="shared" si="2"/>
        <v>92029</v>
      </c>
      <c r="E50" s="56">
        <v>47362</v>
      </c>
      <c r="F50" s="55">
        <f>+_xlfn.XLOOKUP(E50,'PRODUCTO 01'!$C$11:$C$139,'PRODUCTO 01'!$F$11:$F$139)</f>
        <v>2527530.23</v>
      </c>
      <c r="G50" s="36">
        <v>30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141.5501276571257</v>
      </c>
      <c r="N50" s="37">
        <v>0</v>
      </c>
      <c r="O50" s="37">
        <v>8806.7065170591304</v>
      </c>
      <c r="P50" s="37">
        <v>14027.750450457308</v>
      </c>
      <c r="Q50" s="37">
        <v>12918.081709139646</v>
      </c>
      <c r="R50" s="37">
        <v>7918.8668949274188</v>
      </c>
      <c r="S50" s="37">
        <v>4044.7289891317764</v>
      </c>
      <c r="T50" s="37">
        <v>6264.0153602049722</v>
      </c>
      <c r="U50" s="37">
        <v>9680.255724240651</v>
      </c>
      <c r="V50" s="37">
        <v>7293.6059303786051</v>
      </c>
      <c r="W50" s="37">
        <v>9331.8380760139989</v>
      </c>
      <c r="X50" s="37">
        <v>3573.3964251404309</v>
      </c>
      <c r="Y50" s="37">
        <v>164.64892622188216</v>
      </c>
      <c r="Z50" s="37">
        <v>85.545021363418826</v>
      </c>
      <c r="AA50" s="37">
        <v>1.7467357327581493E-2</v>
      </c>
      <c r="AB50" s="37">
        <v>0</v>
      </c>
      <c r="AC50" s="37">
        <v>0</v>
      </c>
      <c r="AD50" s="37">
        <v>0</v>
      </c>
      <c r="AE50" s="37">
        <v>0</v>
      </c>
      <c r="AF50" s="38">
        <f t="shared" ref="AF50" si="41">ROUND(SUM(H50:AE50)*G50,2)</f>
        <v>2527530.23</v>
      </c>
    </row>
    <row r="51" spans="1:32" ht="14.5" thickBot="1">
      <c r="A51">
        <f t="shared" si="0"/>
        <v>10</v>
      </c>
      <c r="B51">
        <f t="shared" si="1"/>
        <v>2029</v>
      </c>
      <c r="C51" t="str">
        <f t="shared" si="2"/>
        <v>102029</v>
      </c>
      <c r="E51" s="56">
        <v>47392</v>
      </c>
      <c r="F51" s="55">
        <f>+_xlfn.XLOOKUP(E51,'PRODUCTO 01'!$C$11:$C$139,'PRODUCTO 01'!$F$11:$F$139)</f>
        <v>2913144.56</v>
      </c>
      <c r="G51" s="36">
        <v>31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40.603509700878384</v>
      </c>
      <c r="N51" s="37">
        <v>0</v>
      </c>
      <c r="O51" s="37">
        <v>6310.5560970481929</v>
      </c>
      <c r="P51" s="37">
        <v>9841.222433349134</v>
      </c>
      <c r="Q51" s="37">
        <v>14143.501046662954</v>
      </c>
      <c r="R51" s="37">
        <v>12587.881075562591</v>
      </c>
      <c r="S51" s="37">
        <v>10885.99329185362</v>
      </c>
      <c r="T51" s="37">
        <v>9531.1750359512116</v>
      </c>
      <c r="U51" s="37">
        <v>10235.673930739695</v>
      </c>
      <c r="V51" s="37">
        <v>9280.8544289023685</v>
      </c>
      <c r="W51" s="37">
        <v>6877.0343218855405</v>
      </c>
      <c r="X51" s="37">
        <v>3911.9663487114221</v>
      </c>
      <c r="Y51" s="37">
        <v>278.96265328741111</v>
      </c>
      <c r="Z51" s="37">
        <v>46.962222261724527</v>
      </c>
      <c r="AA51" s="37">
        <v>3.6671819228328022E-3</v>
      </c>
      <c r="AB51" s="37">
        <v>3.6952872410642001E-3</v>
      </c>
      <c r="AC51" s="37">
        <v>3.7537463029855061E-3</v>
      </c>
      <c r="AD51" s="37">
        <v>3.8290685558456518E-3</v>
      </c>
      <c r="AE51" s="37">
        <v>3.8414348958674674E-3</v>
      </c>
      <c r="AF51" s="38">
        <f t="shared" ref="AF51" si="42">ROUND(SUM(H51:AE51)*G51,2)</f>
        <v>2913144.56</v>
      </c>
    </row>
    <row r="52" spans="1:32" ht="14.5" thickBot="1">
      <c r="A52">
        <f t="shared" si="0"/>
        <v>11</v>
      </c>
      <c r="B52">
        <f t="shared" si="1"/>
        <v>2029</v>
      </c>
      <c r="C52" t="str">
        <f t="shared" si="2"/>
        <v>112029</v>
      </c>
      <c r="E52" s="56">
        <v>47423</v>
      </c>
      <c r="F52" s="55">
        <f>+_xlfn.XLOOKUP(E52,'PRODUCTO 01'!$C$11:$C$139,'PRODUCTO 01'!$F$11:$F$139)</f>
        <v>2748862.04</v>
      </c>
      <c r="G52" s="36">
        <v>30</v>
      </c>
      <c r="H52" s="37">
        <v>7.340940132709396E-4</v>
      </c>
      <c r="I52" s="37">
        <v>6.0045032440398424E-4</v>
      </c>
      <c r="J52" s="37">
        <v>5.1494207105979E-4</v>
      </c>
      <c r="K52" s="37">
        <v>4.6680663553702985E-4</v>
      </c>
      <c r="L52" s="37">
        <v>5.621312310852384E-4</v>
      </c>
      <c r="M52" s="37">
        <v>106.88149249322487</v>
      </c>
      <c r="N52" s="37">
        <v>0</v>
      </c>
      <c r="O52" s="37">
        <v>2926.4583834801983</v>
      </c>
      <c r="P52" s="37">
        <v>5457.7559790199375</v>
      </c>
      <c r="Q52" s="37">
        <v>6371.4876494379478</v>
      </c>
      <c r="R52" s="37">
        <v>6747.8257383308674</v>
      </c>
      <c r="S52" s="37">
        <v>9401.8616950649393</v>
      </c>
      <c r="T52" s="37">
        <v>11598.320239038914</v>
      </c>
      <c r="U52" s="37">
        <v>14409.680705173818</v>
      </c>
      <c r="V52" s="37">
        <v>16973.19205808844</v>
      </c>
      <c r="W52" s="37">
        <v>13603.408130414928</v>
      </c>
      <c r="X52" s="37">
        <v>3659.7317798557638</v>
      </c>
      <c r="Y52" s="37">
        <v>343.5358919266078</v>
      </c>
      <c r="Z52" s="37">
        <v>27.896912389997038</v>
      </c>
      <c r="AA52" s="37">
        <v>0.14429522429154965</v>
      </c>
      <c r="AB52" s="37">
        <v>0.14421350304089564</v>
      </c>
      <c r="AC52" s="37">
        <v>0.14172477312633913</v>
      </c>
      <c r="AD52" s="37">
        <v>0.13548060912511581</v>
      </c>
      <c r="AE52" s="37">
        <v>0.1294569162484116</v>
      </c>
      <c r="AF52" s="38">
        <f t="shared" ref="AF52" si="43">ROUND(SUM(H52:AE52)*G52,2)</f>
        <v>2748862.04</v>
      </c>
    </row>
    <row r="53" spans="1:32" ht="14.5" thickBot="1">
      <c r="A53">
        <f t="shared" si="0"/>
        <v>12</v>
      </c>
      <c r="B53">
        <f t="shared" si="1"/>
        <v>2029</v>
      </c>
      <c r="C53" t="str">
        <f t="shared" si="2"/>
        <v>122029</v>
      </c>
      <c r="E53" s="56">
        <v>47453</v>
      </c>
      <c r="F53" s="55">
        <f>+_xlfn.XLOOKUP(E53,'PRODUCTO 01'!$C$11:$C$139,'PRODUCTO 01'!$F$11:$F$139)</f>
        <v>3408446.86</v>
      </c>
      <c r="G53" s="36">
        <v>31</v>
      </c>
      <c r="H53" s="37">
        <v>2.835988673408305E-3</v>
      </c>
      <c r="I53" s="37">
        <v>0</v>
      </c>
      <c r="J53" s="37">
        <v>0</v>
      </c>
      <c r="K53" s="37">
        <v>0</v>
      </c>
      <c r="L53" s="37">
        <v>0</v>
      </c>
      <c r="M53" s="37">
        <v>57.877206162203557</v>
      </c>
      <c r="N53" s="37">
        <v>0</v>
      </c>
      <c r="O53" s="37">
        <v>7676.1733996984485</v>
      </c>
      <c r="P53" s="37">
        <v>12195.460741052737</v>
      </c>
      <c r="Q53" s="37">
        <v>15812.606291100366</v>
      </c>
      <c r="R53" s="37">
        <v>15287.761633258242</v>
      </c>
      <c r="S53" s="37">
        <v>13489.308143021213</v>
      </c>
      <c r="T53" s="37">
        <v>13532.569841851628</v>
      </c>
      <c r="U53" s="37">
        <v>13561.889679266396</v>
      </c>
      <c r="V53" s="37">
        <v>12161.840041872454</v>
      </c>
      <c r="W53" s="37">
        <v>6143.2605874081337</v>
      </c>
      <c r="X53" s="37">
        <v>0</v>
      </c>
      <c r="Y53" s="37">
        <v>0</v>
      </c>
      <c r="Z53" s="37">
        <v>31.139967216494455</v>
      </c>
      <c r="AA53" s="37">
        <v>0</v>
      </c>
      <c r="AB53" s="37">
        <v>1.8226897123299157E-3</v>
      </c>
      <c r="AC53" s="37">
        <v>2.1056643708651538E-3</v>
      </c>
      <c r="AD53" s="37">
        <v>2.1056643708651538E-3</v>
      </c>
      <c r="AE53" s="37">
        <v>2.261716572263265E-3</v>
      </c>
      <c r="AF53" s="38">
        <f t="shared" ref="AF53" si="44">ROUND(SUM(H53:AE53)*G53,2)</f>
        <v>3408446.86</v>
      </c>
    </row>
    <row r="54" spans="1:32" ht="14.5" thickBot="1">
      <c r="A54">
        <f t="shared" si="0"/>
        <v>1</v>
      </c>
      <c r="B54">
        <f t="shared" si="1"/>
        <v>2030</v>
      </c>
      <c r="C54" t="str">
        <f t="shared" si="2"/>
        <v>12030</v>
      </c>
      <c r="E54" s="56">
        <v>47484</v>
      </c>
      <c r="F54" s="55">
        <f>+_xlfn.XLOOKUP(E54,'PRODUCTO 01'!$C$11:$C$139,'PRODUCTO 01'!$F$11:$F$139)</f>
        <v>3709781.61</v>
      </c>
      <c r="G54" s="36">
        <v>31</v>
      </c>
      <c r="H54" s="37">
        <v>0.20105351632876273</v>
      </c>
      <c r="I54" s="37">
        <v>0.17907136586076028</v>
      </c>
      <c r="J54" s="37">
        <v>0.14625615509140349</v>
      </c>
      <c r="K54" s="37">
        <v>0.17262564104363806</v>
      </c>
      <c r="L54" s="37">
        <v>0.19723079328196694</v>
      </c>
      <c r="M54" s="37">
        <v>0.1770364753284025</v>
      </c>
      <c r="N54" s="37">
        <v>0</v>
      </c>
      <c r="O54" s="37">
        <v>2408.9173331016814</v>
      </c>
      <c r="P54" s="37">
        <v>9622.0894850114328</v>
      </c>
      <c r="Q54" s="37">
        <v>14995.342188682425</v>
      </c>
      <c r="R54" s="37">
        <v>14658.679492628533</v>
      </c>
      <c r="S54" s="37">
        <v>14960.231241380616</v>
      </c>
      <c r="T54" s="37">
        <v>14825.155847790511</v>
      </c>
      <c r="U54" s="37">
        <v>15503.794583831359</v>
      </c>
      <c r="V54" s="37">
        <v>15668.998686013174</v>
      </c>
      <c r="W54" s="37">
        <v>13271.620654986524</v>
      </c>
      <c r="X54" s="37">
        <v>3482.0228026245959</v>
      </c>
      <c r="Y54" s="37">
        <v>122.90113494917946</v>
      </c>
      <c r="Z54" s="37">
        <v>148.58861698772625</v>
      </c>
      <c r="AA54" s="37">
        <v>0.17036162766728391</v>
      </c>
      <c r="AB54" s="37">
        <v>0.2346572002876606</v>
      </c>
      <c r="AC54" s="37">
        <v>0.19702516923850269</v>
      </c>
      <c r="AD54" s="37">
        <v>0.15998124942731337</v>
      </c>
      <c r="AE54" s="37">
        <v>0.19702516923850269</v>
      </c>
      <c r="AF54" s="38">
        <f>ROUND(SUM(H54:AE54)*G54,2)</f>
        <v>3709781.61</v>
      </c>
    </row>
    <row r="55" spans="1:32" ht="14.5" thickBot="1">
      <c r="A55">
        <f t="shared" si="0"/>
        <v>2</v>
      </c>
      <c r="B55">
        <f t="shared" si="1"/>
        <v>2030</v>
      </c>
      <c r="C55" t="str">
        <f t="shared" si="2"/>
        <v>22030</v>
      </c>
      <c r="E55" s="56">
        <v>47515</v>
      </c>
      <c r="F55" s="55">
        <f>+_xlfn.XLOOKUP(E55,'PRODUCTO 01'!$C$11:$C$139,'PRODUCTO 01'!$F$11:$F$139)</f>
        <v>3112734.03</v>
      </c>
      <c r="G55" s="36">
        <v>28</v>
      </c>
      <c r="H55" s="37">
        <v>0</v>
      </c>
      <c r="I55" s="37">
        <v>0</v>
      </c>
      <c r="J55" s="37">
        <v>0</v>
      </c>
      <c r="K55" s="37">
        <v>6.7730058167070001E-3</v>
      </c>
      <c r="L55" s="37">
        <v>0</v>
      </c>
      <c r="M55" s="37">
        <v>0</v>
      </c>
      <c r="N55" s="37">
        <v>0</v>
      </c>
      <c r="O55" s="37">
        <v>2502.2690765980938</v>
      </c>
      <c r="P55" s="37">
        <v>9124.1055876970004</v>
      </c>
      <c r="Q55" s="37">
        <v>15949.10364136399</v>
      </c>
      <c r="R55" s="37">
        <v>17096.740981994557</v>
      </c>
      <c r="S55" s="37">
        <v>15324.914095187842</v>
      </c>
      <c r="T55" s="37">
        <v>13642.264287850356</v>
      </c>
      <c r="U55" s="37">
        <v>8338.1553628469464</v>
      </c>
      <c r="V55" s="37">
        <v>11485.899288105038</v>
      </c>
      <c r="W55" s="37">
        <v>13090.344600009395</v>
      </c>
      <c r="X55" s="37">
        <v>4425.7208730362581</v>
      </c>
      <c r="Y55" s="37">
        <v>0</v>
      </c>
      <c r="Z55" s="37">
        <v>189.54148860316349</v>
      </c>
      <c r="AA55" s="37">
        <v>0</v>
      </c>
      <c r="AB55" s="37">
        <v>0</v>
      </c>
      <c r="AC55" s="37">
        <v>0</v>
      </c>
      <c r="AD55" s="37">
        <v>0</v>
      </c>
      <c r="AE55" s="37">
        <v>6.4528954015063891E-3</v>
      </c>
      <c r="AF55" s="38">
        <f t="shared" ref="AF55" si="45">ROUND(SUM(H55:AE55)*G55,2)</f>
        <v>3112734.03</v>
      </c>
    </row>
    <row r="56" spans="1:32" ht="14.5" thickBot="1">
      <c r="A56">
        <f t="shared" si="0"/>
        <v>3</v>
      </c>
      <c r="B56">
        <f t="shared" si="1"/>
        <v>2030</v>
      </c>
      <c r="C56" t="str">
        <f t="shared" si="2"/>
        <v>32030</v>
      </c>
      <c r="E56" s="56">
        <v>47543</v>
      </c>
      <c r="F56" s="55">
        <f>+_xlfn.XLOOKUP(E56,'PRODUCTO 01'!$C$11:$C$139,'PRODUCTO 01'!$F$11:$F$139)</f>
        <v>3130026.45</v>
      </c>
      <c r="G56" s="36">
        <v>31</v>
      </c>
      <c r="H56" s="37">
        <v>0</v>
      </c>
      <c r="I56" s="37">
        <v>0</v>
      </c>
      <c r="J56" s="37">
        <v>3.0043317322521056E-3</v>
      </c>
      <c r="K56" s="37">
        <v>0</v>
      </c>
      <c r="L56" s="37">
        <v>0</v>
      </c>
      <c r="M56" s="37">
        <v>14.54025313093045</v>
      </c>
      <c r="N56" s="37">
        <v>0</v>
      </c>
      <c r="O56" s="37">
        <v>1923.420759517209</v>
      </c>
      <c r="P56" s="37">
        <v>6978.1284254222201</v>
      </c>
      <c r="Q56" s="37">
        <v>11128.485713033635</v>
      </c>
      <c r="R56" s="37">
        <v>11640.001837075888</v>
      </c>
      <c r="S56" s="37">
        <v>12410.14379982088</v>
      </c>
      <c r="T56" s="37">
        <v>12857.956160787468</v>
      </c>
      <c r="U56" s="37">
        <v>13504.332924397715</v>
      </c>
      <c r="V56" s="37">
        <v>14868.922086889437</v>
      </c>
      <c r="W56" s="37">
        <v>11827.911277010704</v>
      </c>
      <c r="X56" s="37">
        <v>3622.4000340489547</v>
      </c>
      <c r="Y56" s="37">
        <v>0</v>
      </c>
      <c r="Z56" s="37">
        <v>192.13399860134714</v>
      </c>
      <c r="AA56" s="37">
        <v>0.21489576380859629</v>
      </c>
      <c r="AB56" s="37">
        <v>0</v>
      </c>
      <c r="AC56" s="37">
        <v>0</v>
      </c>
      <c r="AD56" s="37">
        <v>0</v>
      </c>
      <c r="AE56" s="37">
        <v>0</v>
      </c>
      <c r="AF56" s="38">
        <f t="shared" ref="AF56" si="46">ROUND(SUM(H56:AE56)*G56,2)</f>
        <v>3130026.45</v>
      </c>
    </row>
    <row r="57" spans="1:32" ht="14.5" thickBot="1">
      <c r="A57">
        <f t="shared" si="0"/>
        <v>4</v>
      </c>
      <c r="B57">
        <f t="shared" si="1"/>
        <v>2030</v>
      </c>
      <c r="C57" t="str">
        <f t="shared" si="2"/>
        <v>42030</v>
      </c>
      <c r="E57" s="56">
        <v>47574</v>
      </c>
      <c r="F57" s="55">
        <f>+_xlfn.XLOOKUP(E57,'PRODUCTO 01'!$C$11:$C$139,'PRODUCTO 01'!$F$11:$F$139)</f>
        <v>2453943.23</v>
      </c>
      <c r="G57" s="36">
        <v>30</v>
      </c>
      <c r="H57" s="37">
        <v>0</v>
      </c>
      <c r="I57" s="37">
        <v>0</v>
      </c>
      <c r="J57" s="37">
        <v>0</v>
      </c>
      <c r="K57" s="37">
        <v>1.6565093606065739E-2</v>
      </c>
      <c r="L57" s="37">
        <v>8.0919149067980537E-3</v>
      </c>
      <c r="M57" s="37">
        <v>48.925535646156085</v>
      </c>
      <c r="N57" s="37">
        <v>0</v>
      </c>
      <c r="O57" s="37">
        <v>0</v>
      </c>
      <c r="P57" s="37">
        <v>2910.6190976552884</v>
      </c>
      <c r="Q57" s="37">
        <v>8545.6979587038459</v>
      </c>
      <c r="R57" s="37">
        <v>9708.0465194850804</v>
      </c>
      <c r="S57" s="37">
        <v>9636.8516314080316</v>
      </c>
      <c r="T57" s="37">
        <v>9879.3977376016755</v>
      </c>
      <c r="U57" s="37">
        <v>11430.333846809079</v>
      </c>
      <c r="V57" s="37">
        <v>10196.884686081894</v>
      </c>
      <c r="W57" s="37">
        <v>12247.33374037451</v>
      </c>
      <c r="X57" s="37">
        <v>5923.8780596647721</v>
      </c>
      <c r="Y57" s="37">
        <v>1124.2975249291928</v>
      </c>
      <c r="Z57" s="37">
        <v>145.64580264667916</v>
      </c>
      <c r="AA57" s="37">
        <v>0.17072663758211862</v>
      </c>
      <c r="AB57" s="37">
        <v>0</v>
      </c>
      <c r="AC57" s="37">
        <v>0</v>
      </c>
      <c r="AD57" s="37">
        <v>0</v>
      </c>
      <c r="AE57" s="37">
        <v>0</v>
      </c>
      <c r="AF57" s="38">
        <f t="shared" ref="AF57" si="47">ROUND(SUM(H57:AE57)*G57,2)</f>
        <v>2453943.23</v>
      </c>
    </row>
    <row r="58" spans="1:32" ht="14.5" thickBot="1">
      <c r="A58">
        <f t="shared" si="0"/>
        <v>5</v>
      </c>
      <c r="B58">
        <f t="shared" si="1"/>
        <v>2030</v>
      </c>
      <c r="C58" t="str">
        <f t="shared" si="2"/>
        <v>52030</v>
      </c>
      <c r="E58" s="56">
        <v>47604</v>
      </c>
      <c r="F58" s="55">
        <f>+_xlfn.XLOOKUP(E58,'PRODUCTO 01'!$C$11:$C$139,'PRODUCTO 01'!$F$11:$F$139)</f>
        <v>2744894.4</v>
      </c>
      <c r="G58" s="36">
        <v>31</v>
      </c>
      <c r="H58" s="37">
        <v>1.8685855828731467E-3</v>
      </c>
      <c r="I58" s="37">
        <v>0</v>
      </c>
      <c r="J58" s="37">
        <v>2.282454246937841E-3</v>
      </c>
      <c r="K58" s="37">
        <v>0</v>
      </c>
      <c r="L58" s="37">
        <v>0</v>
      </c>
      <c r="M58" s="37">
        <v>128.06783034548081</v>
      </c>
      <c r="N58" s="37">
        <v>562.77532619639294</v>
      </c>
      <c r="O58" s="37">
        <v>4502.1754127424001</v>
      </c>
      <c r="P58" s="37">
        <v>11959.006108288317</v>
      </c>
      <c r="Q58" s="37">
        <v>12710.494391177326</v>
      </c>
      <c r="R58" s="37">
        <v>9133.812995796914</v>
      </c>
      <c r="S58" s="37">
        <v>6516.6286565494938</v>
      </c>
      <c r="T58" s="37">
        <v>5409.2511714624288</v>
      </c>
      <c r="U58" s="37">
        <v>6285.7302545942766</v>
      </c>
      <c r="V58" s="37">
        <v>9786.8717061772695</v>
      </c>
      <c r="W58" s="37">
        <v>11822.78376552115</v>
      </c>
      <c r="X58" s="37">
        <v>8312.9740898978889</v>
      </c>
      <c r="Y58" s="37">
        <v>1249.798856750007</v>
      </c>
      <c r="Z58" s="37">
        <v>162.51768409397854</v>
      </c>
      <c r="AA58" s="37">
        <v>2.0705069636493278</v>
      </c>
      <c r="AB58" s="37">
        <v>5.142000384800411E-3</v>
      </c>
      <c r="AC58" s="37">
        <v>4.9819908791552533E-3</v>
      </c>
      <c r="AD58" s="37">
        <v>4.5833231278020565E-3</v>
      </c>
      <c r="AE58" s="37">
        <v>3.0618768114133274E-3</v>
      </c>
      <c r="AF58" s="38">
        <f t="shared" ref="AF58" si="48">ROUND(SUM(H58:AE58)*G58,2)</f>
        <v>2744894.4</v>
      </c>
    </row>
    <row r="59" spans="1:32" ht="14.5" thickBot="1">
      <c r="A59">
        <f t="shared" si="0"/>
        <v>6</v>
      </c>
      <c r="B59">
        <f t="shared" si="1"/>
        <v>2030</v>
      </c>
      <c r="C59" t="str">
        <f t="shared" si="2"/>
        <v>62030</v>
      </c>
      <c r="E59" s="56">
        <v>47635</v>
      </c>
      <c r="F59" s="55">
        <f>+_xlfn.XLOOKUP(E59,'PRODUCTO 01'!$C$11:$C$139,'PRODUCTO 01'!$F$11:$F$139)</f>
        <v>2139566.59</v>
      </c>
      <c r="G59" s="36">
        <v>30</v>
      </c>
      <c r="H59" s="37">
        <v>9.4736858768558006E-3</v>
      </c>
      <c r="I59" s="37">
        <v>9.4620581556200071E-3</v>
      </c>
      <c r="J59" s="37">
        <v>9.0143908880422896E-3</v>
      </c>
      <c r="K59" s="37">
        <v>4.5022572785588084E-2</v>
      </c>
      <c r="L59" s="37">
        <v>4.2938192066505294E-2</v>
      </c>
      <c r="M59" s="37">
        <v>111.98665612763318</v>
      </c>
      <c r="N59" s="37">
        <v>0</v>
      </c>
      <c r="O59" s="37">
        <v>1588.426532613867</v>
      </c>
      <c r="P59" s="37">
        <v>5989.5825755445549</v>
      </c>
      <c r="Q59" s="37">
        <v>11429.659673826693</v>
      </c>
      <c r="R59" s="37">
        <v>11612.985455118909</v>
      </c>
      <c r="S59" s="37">
        <v>10375.25421215301</v>
      </c>
      <c r="T59" s="37">
        <v>12181.607506212717</v>
      </c>
      <c r="U59" s="37">
        <v>8529.3669110299907</v>
      </c>
      <c r="V59" s="37">
        <v>6023.1073374298394</v>
      </c>
      <c r="W59" s="37">
        <v>3022.6613421904863</v>
      </c>
      <c r="X59" s="37">
        <v>0</v>
      </c>
      <c r="Y59" s="37">
        <v>275.55629259645201</v>
      </c>
      <c r="Z59" s="37">
        <v>175.17606205607527</v>
      </c>
      <c r="AA59" s="37">
        <v>3.3618464681410365</v>
      </c>
      <c r="AB59" s="37">
        <v>9.6626363469373058E-3</v>
      </c>
      <c r="AC59" s="37">
        <v>9.4591512253110657E-3</v>
      </c>
      <c r="AD59" s="37">
        <v>9.4475235040752878E-3</v>
      </c>
      <c r="AE59" s="37">
        <v>9.5172898314899949E-3</v>
      </c>
      <c r="AF59" s="38">
        <f t="shared" ref="AF59" si="49">ROUND(SUM(H59:AE59)*G59,2)</f>
        <v>2139566.59</v>
      </c>
    </row>
    <row r="60" spans="1:32" ht="14.5" thickBot="1">
      <c r="A60">
        <f t="shared" si="0"/>
        <v>7</v>
      </c>
      <c r="B60">
        <f t="shared" si="1"/>
        <v>2030</v>
      </c>
      <c r="C60" t="str">
        <f t="shared" si="2"/>
        <v>72030</v>
      </c>
      <c r="E60" s="56">
        <v>47665</v>
      </c>
      <c r="F60" s="55">
        <f>+_xlfn.XLOOKUP(E60,'PRODUCTO 01'!$C$11:$C$139,'PRODUCTO 01'!$F$11:$F$139)</f>
        <v>2540739.0099999998</v>
      </c>
      <c r="G60" s="36">
        <v>31</v>
      </c>
      <c r="H60" s="37">
        <v>3.2399769541292026E-3</v>
      </c>
      <c r="I60" s="37">
        <v>0</v>
      </c>
      <c r="J60" s="37">
        <v>0</v>
      </c>
      <c r="K60" s="37">
        <v>0</v>
      </c>
      <c r="L60" s="37">
        <v>1.1644523968344063E-3</v>
      </c>
      <c r="M60" s="37">
        <v>30.269794618048806</v>
      </c>
      <c r="N60" s="37">
        <v>0</v>
      </c>
      <c r="O60" s="37">
        <v>775.59581506273526</v>
      </c>
      <c r="P60" s="37">
        <v>6482.7091184539222</v>
      </c>
      <c r="Q60" s="37">
        <v>12711.997404703186</v>
      </c>
      <c r="R60" s="37">
        <v>10937.969928395554</v>
      </c>
      <c r="S60" s="37">
        <v>10628.664847771555</v>
      </c>
      <c r="T60" s="37">
        <v>12134.022305767718</v>
      </c>
      <c r="U60" s="37">
        <v>6570.6709599331243</v>
      </c>
      <c r="V60" s="37">
        <v>7062.2023389504875</v>
      </c>
      <c r="W60" s="37">
        <v>9154.2498378455693</v>
      </c>
      <c r="X60" s="37">
        <v>4469.2825181471908</v>
      </c>
      <c r="Y60" s="37">
        <v>788.1685240470747</v>
      </c>
      <c r="Z60" s="37">
        <v>207.78175536711686</v>
      </c>
      <c r="AA60" s="37">
        <v>5.7295155278561509</v>
      </c>
      <c r="AB60" s="37">
        <v>3.8290636730617814E-3</v>
      </c>
      <c r="AC60" s="37">
        <v>0</v>
      </c>
      <c r="AD60" s="37">
        <v>0</v>
      </c>
      <c r="AE60" s="37">
        <v>0</v>
      </c>
      <c r="AF60" s="38">
        <f t="shared" ref="AF60" si="50">ROUND(SUM(H60:AE60)*G60,2)</f>
        <v>2540739.0099999998</v>
      </c>
    </row>
    <row r="61" spans="1:32" ht="14.5" thickBot="1">
      <c r="A61">
        <f t="shared" si="0"/>
        <v>8</v>
      </c>
      <c r="B61">
        <f t="shared" si="1"/>
        <v>2030</v>
      </c>
      <c r="C61" t="str">
        <f t="shared" si="2"/>
        <v>82030</v>
      </c>
      <c r="E61" s="56">
        <v>47696</v>
      </c>
      <c r="F61" s="55">
        <f>+_xlfn.XLOOKUP(E61,'PRODUCTO 01'!$C$11:$C$139,'PRODUCTO 01'!$F$11:$F$139)</f>
        <v>2508588.58</v>
      </c>
      <c r="G61" s="36">
        <v>31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38.147520536187102</v>
      </c>
      <c r="N61" s="37">
        <v>0</v>
      </c>
      <c r="O61" s="37">
        <v>1321.457031570262</v>
      </c>
      <c r="P61" s="37">
        <v>10717.630664017555</v>
      </c>
      <c r="Q61" s="37">
        <v>12537.620620387499</v>
      </c>
      <c r="R61" s="37">
        <v>13328.069717986882</v>
      </c>
      <c r="S61" s="37">
        <v>8050.5344624584559</v>
      </c>
      <c r="T61" s="37">
        <v>8194.314903377488</v>
      </c>
      <c r="U61" s="37">
        <v>9776.1133938524872</v>
      </c>
      <c r="V61" s="37">
        <v>6128.8599707630192</v>
      </c>
      <c r="W61" s="37">
        <v>8414.8949585774626</v>
      </c>
      <c r="X61" s="37">
        <v>2233.0581342714017</v>
      </c>
      <c r="Y61" s="37">
        <v>0</v>
      </c>
      <c r="Z61" s="37">
        <v>180.45763102893932</v>
      </c>
      <c r="AA61" s="37">
        <v>1.053200843031433</v>
      </c>
      <c r="AB61" s="37">
        <v>0</v>
      </c>
      <c r="AC61" s="37">
        <v>0</v>
      </c>
      <c r="AD61" s="37">
        <v>0</v>
      </c>
      <c r="AE61" s="37">
        <v>0</v>
      </c>
      <c r="AF61" s="38">
        <f t="shared" ref="AF61" si="51">ROUND(SUM(H61:AE61)*G61,2)</f>
        <v>2508588.58</v>
      </c>
    </row>
    <row r="62" spans="1:32" ht="14.5" thickBot="1">
      <c r="A62">
        <f t="shared" si="0"/>
        <v>9</v>
      </c>
      <c r="B62">
        <f t="shared" si="1"/>
        <v>2030</v>
      </c>
      <c r="C62" t="str">
        <f t="shared" si="2"/>
        <v>92030</v>
      </c>
      <c r="E62" s="56">
        <v>47727</v>
      </c>
      <c r="F62" s="55">
        <f>+_xlfn.XLOOKUP(E62,'PRODUCTO 01'!$C$11:$C$139,'PRODUCTO 01'!$F$11:$F$139)</f>
        <v>2511650.52</v>
      </c>
      <c r="G62" s="36">
        <v>30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141.01848129981548</v>
      </c>
      <c r="N62" s="37">
        <v>0</v>
      </c>
      <c r="O62" s="37">
        <v>8759.2256825373752</v>
      </c>
      <c r="P62" s="37">
        <v>13957.009206662613</v>
      </c>
      <c r="Q62" s="37">
        <v>12847.746503041342</v>
      </c>
      <c r="R62" s="37">
        <v>7860.2606839112759</v>
      </c>
      <c r="S62" s="37">
        <v>3999.0890345807784</v>
      </c>
      <c r="T62" s="37">
        <v>6213.2343762063483</v>
      </c>
      <c r="U62" s="37">
        <v>9620.9716216356137</v>
      </c>
      <c r="V62" s="37">
        <v>7246.0597332064735</v>
      </c>
      <c r="W62" s="37">
        <v>9282.1353958170712</v>
      </c>
      <c r="X62" s="37">
        <v>3548.0795978487945</v>
      </c>
      <c r="Y62" s="37">
        <v>161.58664523927845</v>
      </c>
      <c r="Z62" s="37">
        <v>85.249775954062869</v>
      </c>
      <c r="AA62" s="37">
        <v>1.7405492962635372E-2</v>
      </c>
      <c r="AB62" s="37">
        <v>0</v>
      </c>
      <c r="AC62" s="37">
        <v>0</v>
      </c>
      <c r="AD62" s="37">
        <v>0</v>
      </c>
      <c r="AE62" s="37">
        <v>0</v>
      </c>
      <c r="AF62" s="38">
        <f t="shared" ref="AF62" si="52">ROUND(SUM(H62:AE62)*G62,2)</f>
        <v>2511650.52</v>
      </c>
    </row>
    <row r="63" spans="1:32" ht="14.5" thickBot="1">
      <c r="A63">
        <f t="shared" ref="A63:A137" si="53">+MONTH(E63)</f>
        <v>10</v>
      </c>
      <c r="B63">
        <f t="shared" ref="B63:B137" si="54">+YEAR(E63)</f>
        <v>2030</v>
      </c>
      <c r="C63" t="str">
        <f t="shared" ref="C63:C137" si="55">+_xlfn.CONCAT(A63:B63)</f>
        <v>102030</v>
      </c>
      <c r="E63" s="56">
        <v>47757</v>
      </c>
      <c r="F63" s="55">
        <f>+_xlfn.XLOOKUP(E63,'PRODUCTO 01'!$C$11:$C$139,'PRODUCTO 01'!$F$11:$F$139)</f>
        <v>2895976.13</v>
      </c>
      <c r="G63" s="36">
        <v>31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40.246133911192203</v>
      </c>
      <c r="N63" s="37">
        <v>0</v>
      </c>
      <c r="O63" s="37">
        <v>6270.9456157265231</v>
      </c>
      <c r="P63" s="37">
        <v>9783.2613106573972</v>
      </c>
      <c r="Q63" s="37">
        <v>14069.222535371864</v>
      </c>
      <c r="R63" s="37">
        <v>12516.398188313155</v>
      </c>
      <c r="S63" s="37">
        <v>10819.062407892772</v>
      </c>
      <c r="T63" s="37">
        <v>9469.1283249934768</v>
      </c>
      <c r="U63" s="37">
        <v>10174.761784396303</v>
      </c>
      <c r="V63" s="37">
        <v>9227.1864972871681</v>
      </c>
      <c r="W63" s="37">
        <v>6835.6975591478576</v>
      </c>
      <c r="X63" s="37">
        <v>3888.7196002512137</v>
      </c>
      <c r="Y63" s="37">
        <v>277.1405172313759</v>
      </c>
      <c r="Z63" s="37">
        <v>46.795636430059979</v>
      </c>
      <c r="AA63" s="37">
        <v>3.6541938172743433E-3</v>
      </c>
      <c r="AB63" s="37">
        <v>3.6821995945373266E-3</v>
      </c>
      <c r="AC63" s="37">
        <v>3.7404516112443426E-3</v>
      </c>
      <c r="AD63" s="37">
        <v>3.8155070943091396E-3</v>
      </c>
      <c r="AE63" s="37">
        <v>3.8278296363048569E-3</v>
      </c>
      <c r="AF63" s="38">
        <f t="shared" ref="AF63" si="56">ROUND(SUM(H63:AE63)*G63,2)</f>
        <v>2895976.13</v>
      </c>
    </row>
    <row r="64" spans="1:32" ht="14.5" thickBot="1">
      <c r="A64">
        <f t="shared" si="53"/>
        <v>11</v>
      </c>
      <c r="B64">
        <f t="shared" si="54"/>
        <v>2030</v>
      </c>
      <c r="C64" t="str">
        <f t="shared" si="55"/>
        <v>112030</v>
      </c>
      <c r="E64" s="56">
        <v>47788</v>
      </c>
      <c r="F64" s="55">
        <f>+_xlfn.XLOOKUP(E64,'PRODUCTO 01'!$C$11:$C$139,'PRODUCTO 01'!$F$11:$F$139)</f>
        <v>2738041.91</v>
      </c>
      <c r="G64" s="36">
        <v>30</v>
      </c>
      <c r="H64" s="37">
        <v>7.3149406302717599E-4</v>
      </c>
      <c r="I64" s="37">
        <v>5.9832370173838636E-4</v>
      </c>
      <c r="J64" s="37">
        <v>5.1311829407895044E-4</v>
      </c>
      <c r="K64" s="37">
        <v>4.6515334044959652E-4</v>
      </c>
      <c r="L64" s="37">
        <v>5.6014032364713664E-4</v>
      </c>
      <c r="M64" s="37">
        <v>106.64587607982668</v>
      </c>
      <c r="N64" s="37">
        <v>0</v>
      </c>
      <c r="O64" s="37">
        <v>2906.77487186913</v>
      </c>
      <c r="P64" s="37">
        <v>5427.0887057731998</v>
      </c>
      <c r="Q64" s="37">
        <v>6334.7780303472709</v>
      </c>
      <c r="R64" s="37">
        <v>6708.9884747807428</v>
      </c>
      <c r="S64" s="37">
        <v>9358.3718165921237</v>
      </c>
      <c r="T64" s="37">
        <v>11553.300670152761</v>
      </c>
      <c r="U64" s="37">
        <v>14364.066416704676</v>
      </c>
      <c r="V64" s="37">
        <v>16928.129318585703</v>
      </c>
      <c r="W64" s="37">
        <v>13565.993897038976</v>
      </c>
      <c r="X64" s="37">
        <v>3643.7606911040357</v>
      </c>
      <c r="Y64" s="37">
        <v>341.67189333171467</v>
      </c>
      <c r="Z64" s="37">
        <v>27.79754810248814</v>
      </c>
      <c r="AA64" s="37">
        <v>0.14378417203286273</v>
      </c>
      <c r="AB64" s="37">
        <v>0.1437027402154171</v>
      </c>
      <c r="AC64" s="37">
        <v>0.1412228246677279</v>
      </c>
      <c r="AD64" s="37">
        <v>0.13500077570275831</v>
      </c>
      <c r="AE64" s="37">
        <v>0.12899841701687975</v>
      </c>
      <c r="AF64" s="38">
        <f t="shared" ref="AF64" si="57">ROUND(SUM(H64:AE64)*G64,2)</f>
        <v>2738041.91</v>
      </c>
    </row>
    <row r="65" spans="1:32" ht="14.5" thickBot="1">
      <c r="A65">
        <f t="shared" si="53"/>
        <v>12</v>
      </c>
      <c r="B65">
        <f t="shared" si="54"/>
        <v>2030</v>
      </c>
      <c r="C65" t="str">
        <f t="shared" si="55"/>
        <v>122030</v>
      </c>
      <c r="E65" s="56">
        <v>47818</v>
      </c>
      <c r="F65" s="55">
        <f>+_xlfn.XLOOKUP(E65,'PRODUCTO 01'!$C$11:$C$139,'PRODUCTO 01'!$F$11:$F$139)</f>
        <v>3390144.91</v>
      </c>
      <c r="G65" s="36">
        <v>31</v>
      </c>
      <c r="H65" s="37">
        <v>2.8259444157118264E-3</v>
      </c>
      <c r="I65" s="37">
        <v>0</v>
      </c>
      <c r="J65" s="37">
        <v>0</v>
      </c>
      <c r="K65" s="37">
        <v>0</v>
      </c>
      <c r="L65" s="37">
        <v>0</v>
      </c>
      <c r="M65" s="37">
        <v>57.690475980088948</v>
      </c>
      <c r="N65" s="37">
        <v>0</v>
      </c>
      <c r="O65" s="37">
        <v>7632.1429833534003</v>
      </c>
      <c r="P65" s="37">
        <v>12129.891454342003</v>
      </c>
      <c r="Q65" s="37">
        <v>15733.202098540094</v>
      </c>
      <c r="R65" s="37">
        <v>15210.567785145968</v>
      </c>
      <c r="S65" s="37">
        <v>13416.784289283167</v>
      </c>
      <c r="T65" s="37">
        <v>13460.916283382097</v>
      </c>
      <c r="U65" s="37">
        <v>13491.834619464553</v>
      </c>
      <c r="V65" s="37">
        <v>12096.037689498698</v>
      </c>
      <c r="W65" s="37">
        <v>6099.4051851493723</v>
      </c>
      <c r="X65" s="37">
        <v>0</v>
      </c>
      <c r="Y65" s="37">
        <v>0</v>
      </c>
      <c r="Z65" s="37">
        <v>31.029376082649719</v>
      </c>
      <c r="AA65" s="37">
        <v>0</v>
      </c>
      <c r="AB65" s="37">
        <v>1.8162342686453095E-3</v>
      </c>
      <c r="AC65" s="37">
        <v>2.0982067121792865E-3</v>
      </c>
      <c r="AD65" s="37">
        <v>2.0982067121792865E-3</v>
      </c>
      <c r="AE65" s="37">
        <v>2.2537062214811093E-3</v>
      </c>
      <c r="AF65" s="38">
        <f t="shared" ref="AF65" si="58">ROUND(SUM(H65:AE65)*G65,2)</f>
        <v>3390144.91</v>
      </c>
    </row>
    <row r="66" spans="1:32" ht="14.5" thickBot="1">
      <c r="A66">
        <f t="shared" si="53"/>
        <v>1</v>
      </c>
      <c r="B66">
        <f t="shared" si="54"/>
        <v>2031</v>
      </c>
      <c r="C66" t="str">
        <f t="shared" si="55"/>
        <v>12031</v>
      </c>
      <c r="E66" s="56">
        <v>47849</v>
      </c>
      <c r="F66" s="55">
        <f>+_xlfn.XLOOKUP(E66,'PRODUCTO 01'!$C$11:$C$139,'PRODUCTO 01'!$F$11:$F$139)</f>
        <v>3689680.82</v>
      </c>
      <c r="G66" s="36">
        <v>31</v>
      </c>
      <c r="H66" s="37">
        <v>0.20034960562243276</v>
      </c>
      <c r="I66" s="37">
        <v>0.17844612957884159</v>
      </c>
      <c r="J66" s="37">
        <v>0.1457447684713733</v>
      </c>
      <c r="K66" s="37">
        <v>0.1720213342031558</v>
      </c>
      <c r="L66" s="37">
        <v>0.19653929505994355</v>
      </c>
      <c r="M66" s="37">
        <v>0.17641784639064387</v>
      </c>
      <c r="N66" s="37">
        <v>0</v>
      </c>
      <c r="O66" s="37">
        <v>2382.5448357912906</v>
      </c>
      <c r="P66" s="37">
        <v>9565.6603319487876</v>
      </c>
      <c r="Q66" s="37">
        <v>14918.565952689181</v>
      </c>
      <c r="R66" s="37">
        <v>14581.994543898632</v>
      </c>
      <c r="S66" s="37">
        <v>14882.345586273505</v>
      </c>
      <c r="T66" s="37">
        <v>14747.969137750961</v>
      </c>
      <c r="U66" s="37">
        <v>15426.081578811991</v>
      </c>
      <c r="V66" s="37">
        <v>15591.578651029207</v>
      </c>
      <c r="W66" s="37">
        <v>13204.629396471655</v>
      </c>
      <c r="X66" s="37">
        <v>3452.1344651172112</v>
      </c>
      <c r="Y66" s="37">
        <v>118.36721131914433</v>
      </c>
      <c r="Z66" s="37">
        <v>148.06517470915426</v>
      </c>
      <c r="AA66" s="37">
        <v>0.16976183103698253</v>
      </c>
      <c r="AB66" s="37">
        <v>0.23383119752183618</v>
      </c>
      <c r="AC66" s="37">
        <v>0.19633149758126431</v>
      </c>
      <c r="AD66" s="37">
        <v>0.15941799926569078</v>
      </c>
      <c r="AE66" s="37">
        <v>0.19633149758126431</v>
      </c>
      <c r="AF66" s="38">
        <f>ROUND(SUM(H66:AE66)*G66,2)</f>
        <v>3689680.82</v>
      </c>
    </row>
    <row r="67" spans="1:32" ht="14.5" thickBot="1">
      <c r="A67">
        <f t="shared" si="53"/>
        <v>2</v>
      </c>
      <c r="B67">
        <f t="shared" si="54"/>
        <v>2031</v>
      </c>
      <c r="C67" t="str">
        <f t="shared" si="55"/>
        <v>22031</v>
      </c>
      <c r="E67" s="56">
        <v>47880</v>
      </c>
      <c r="F67" s="55">
        <f>+_xlfn.XLOOKUP(E67,'PRODUCTO 01'!$C$11:$C$139,'PRODUCTO 01'!$F$11:$F$139)</f>
        <v>3094735.36</v>
      </c>
      <c r="G67" s="36">
        <v>28</v>
      </c>
      <c r="H67" s="37">
        <v>0</v>
      </c>
      <c r="I67" s="37">
        <v>0</v>
      </c>
      <c r="J67" s="37">
        <v>0</v>
      </c>
      <c r="K67" s="37">
        <v>6.7507204332026933E-3</v>
      </c>
      <c r="L67" s="37">
        <v>0</v>
      </c>
      <c r="M67" s="37">
        <v>0</v>
      </c>
      <c r="N67" s="37">
        <v>0</v>
      </c>
      <c r="O67" s="37">
        <v>2475.1336063438971</v>
      </c>
      <c r="P67" s="37">
        <v>9067.8291405299624</v>
      </c>
      <c r="Q67" s="37">
        <v>15867.429683552373</v>
      </c>
      <c r="R67" s="37">
        <v>17009.785107998836</v>
      </c>
      <c r="S67" s="37">
        <v>15242.820100557943</v>
      </c>
      <c r="T67" s="37">
        <v>13565.942259917494</v>
      </c>
      <c r="U67" s="37">
        <v>8278.2036221467151</v>
      </c>
      <c r="V67" s="37">
        <v>11417.968136894835</v>
      </c>
      <c r="W67" s="37">
        <v>13022.494673745465</v>
      </c>
      <c r="X67" s="37">
        <v>4389.7746941662444</v>
      </c>
      <c r="Y67" s="37">
        <v>0</v>
      </c>
      <c r="Z67" s="37">
        <v>188.86863432239258</v>
      </c>
      <c r="AA67" s="37">
        <v>0</v>
      </c>
      <c r="AB67" s="37">
        <v>0</v>
      </c>
      <c r="AC67" s="37">
        <v>0</v>
      </c>
      <c r="AD67" s="37">
        <v>0</v>
      </c>
      <c r="AE67" s="37">
        <v>6.4317777162134111E-3</v>
      </c>
      <c r="AF67" s="38">
        <f t="shared" ref="AF67" si="59">ROUND(SUM(H67:AE67)*G67,2)</f>
        <v>3094735.36</v>
      </c>
    </row>
    <row r="68" spans="1:32" ht="14.5" thickBot="1">
      <c r="A68">
        <f t="shared" si="53"/>
        <v>3</v>
      </c>
      <c r="B68">
        <f t="shared" si="54"/>
        <v>2031</v>
      </c>
      <c r="C68" t="str">
        <f t="shared" si="55"/>
        <v>32031</v>
      </c>
      <c r="E68" s="56">
        <v>47908</v>
      </c>
      <c r="F68" s="55">
        <f>+_xlfn.XLOOKUP(E68,'PRODUCTO 01'!$C$11:$C$139,'PRODUCTO 01'!$F$11:$F$139)</f>
        <v>3111928.29</v>
      </c>
      <c r="G68" s="36">
        <v>31</v>
      </c>
      <c r="H68" s="37">
        <v>0</v>
      </c>
      <c r="I68" s="37">
        <v>0</v>
      </c>
      <c r="J68" s="37">
        <v>2.9944467524245285E-3</v>
      </c>
      <c r="K68" s="37">
        <v>0</v>
      </c>
      <c r="L68" s="37">
        <v>0</v>
      </c>
      <c r="M68" s="37">
        <v>14.488974466284617</v>
      </c>
      <c r="N68" s="37">
        <v>0</v>
      </c>
      <c r="O68" s="37">
        <v>1901.5957266807541</v>
      </c>
      <c r="P68" s="37">
        <v>6932.4484957952836</v>
      </c>
      <c r="Q68" s="37">
        <v>11063.704475444993</v>
      </c>
      <c r="R68" s="37">
        <v>11570.093756918828</v>
      </c>
      <c r="S68" s="37">
        <v>12337.390680297949</v>
      </c>
      <c r="T68" s="37">
        <v>12785.712338162541</v>
      </c>
      <c r="U68" s="37">
        <v>13431.023856526073</v>
      </c>
      <c r="V68" s="37">
        <v>14793.970985479826</v>
      </c>
      <c r="W68" s="37">
        <v>11768.326587495469</v>
      </c>
      <c r="X68" s="37">
        <v>3594.3551732738724</v>
      </c>
      <c r="Y68" s="37">
        <v>0</v>
      </c>
      <c r="Z68" s="37">
        <v>191.45551664418741</v>
      </c>
      <c r="AA68" s="37">
        <v>0.21413917468249255</v>
      </c>
      <c r="AB68" s="37">
        <v>0</v>
      </c>
      <c r="AC68" s="37">
        <v>0</v>
      </c>
      <c r="AD68" s="37">
        <v>0</v>
      </c>
      <c r="AE68" s="37">
        <v>0</v>
      </c>
      <c r="AF68" s="38">
        <f t="shared" ref="AF68" si="60">ROUND(SUM(H68:AE68)*G68,2)</f>
        <v>3111928.29</v>
      </c>
    </row>
    <row r="69" spans="1:32" ht="14.5" thickBot="1">
      <c r="A69">
        <f t="shared" si="53"/>
        <v>4</v>
      </c>
      <c r="B69">
        <f t="shared" si="54"/>
        <v>2031</v>
      </c>
      <c r="C69" t="str">
        <f t="shared" si="55"/>
        <v>42031</v>
      </c>
      <c r="E69" s="56">
        <v>47939</v>
      </c>
      <c r="F69" s="55">
        <f>+_xlfn.XLOOKUP(E69,'PRODUCTO 01'!$C$11:$C$139,'PRODUCTO 01'!$F$11:$F$139)</f>
        <v>2438544.86</v>
      </c>
      <c r="G69" s="36">
        <v>30</v>
      </c>
      <c r="H69" s="37">
        <v>0</v>
      </c>
      <c r="I69" s="37">
        <v>0</v>
      </c>
      <c r="J69" s="37">
        <v>0</v>
      </c>
      <c r="K69" s="37">
        <v>1.6511069006203014E-2</v>
      </c>
      <c r="L69" s="37">
        <v>8.0656404296185601E-3</v>
      </c>
      <c r="M69" s="37">
        <v>48.852522242526106</v>
      </c>
      <c r="N69" s="37">
        <v>0</v>
      </c>
      <c r="O69" s="37">
        <v>0</v>
      </c>
      <c r="P69" s="37">
        <v>2876.6871194571331</v>
      </c>
      <c r="Q69" s="37">
        <v>8488.3757543829197</v>
      </c>
      <c r="R69" s="37">
        <v>9643.8729548018637</v>
      </c>
      <c r="S69" s="37">
        <v>9570.452808798047</v>
      </c>
      <c r="T69" s="37">
        <v>9813.9596526185287</v>
      </c>
      <c r="U69" s="37">
        <v>11360.22364839263</v>
      </c>
      <c r="V69" s="37">
        <v>10136.63897708174</v>
      </c>
      <c r="W69" s="37">
        <v>12189.774872946069</v>
      </c>
      <c r="X69" s="37">
        <v>5892.7508042786703</v>
      </c>
      <c r="Y69" s="37">
        <v>1117.9116534910588</v>
      </c>
      <c r="Z69" s="37">
        <v>145.13328291430432</v>
      </c>
      <c r="AA69" s="37">
        <v>0.17012555585188069</v>
      </c>
      <c r="AB69" s="37">
        <v>0</v>
      </c>
      <c r="AC69" s="37">
        <v>0</v>
      </c>
      <c r="AD69" s="37">
        <v>0</v>
      </c>
      <c r="AE69" s="37">
        <v>0</v>
      </c>
      <c r="AF69" s="38">
        <f t="shared" ref="AF69" si="61">ROUND(SUM(H69:AE69)*G69,2)</f>
        <v>2438544.86</v>
      </c>
    </row>
    <row r="70" spans="1:32" ht="14.5" thickBot="1">
      <c r="A70">
        <f t="shared" si="53"/>
        <v>5</v>
      </c>
      <c r="B70">
        <f t="shared" si="54"/>
        <v>2031</v>
      </c>
      <c r="C70" t="str">
        <f t="shared" si="55"/>
        <v>52031</v>
      </c>
      <c r="E70" s="56">
        <v>47969</v>
      </c>
      <c r="F70" s="55">
        <f>+_xlfn.XLOOKUP(E70,'PRODUCTO 01'!$C$11:$C$139,'PRODUCTO 01'!$F$11:$F$139)</f>
        <v>2727840.56</v>
      </c>
      <c r="G70" s="36">
        <v>31</v>
      </c>
      <c r="H70" s="37">
        <v>1.8620068048268027E-3</v>
      </c>
      <c r="I70" s="37">
        <v>0</v>
      </c>
      <c r="J70" s="37">
        <v>2.2749445125538679E-3</v>
      </c>
      <c r="K70" s="37">
        <v>0</v>
      </c>
      <c r="L70" s="37">
        <v>0</v>
      </c>
      <c r="M70" s="37">
        <v>127.48779222644151</v>
      </c>
      <c r="N70" s="37">
        <v>554.08186272273019</v>
      </c>
      <c r="O70" s="37">
        <v>4472.3000013166729</v>
      </c>
      <c r="P70" s="37">
        <v>11899.369595073391</v>
      </c>
      <c r="Q70" s="37">
        <v>12643.661478672515</v>
      </c>
      <c r="R70" s="37">
        <v>9071.7655968095369</v>
      </c>
      <c r="S70" s="37">
        <v>6461.0286686559421</v>
      </c>
      <c r="T70" s="37">
        <v>5359.4291736877731</v>
      </c>
      <c r="U70" s="37">
        <v>6235.6459575505387</v>
      </c>
      <c r="V70" s="37">
        <v>9728.8679863143225</v>
      </c>
      <c r="W70" s="37">
        <v>11763.428921475193</v>
      </c>
      <c r="X70" s="37">
        <v>8271.2596106701858</v>
      </c>
      <c r="Y70" s="37">
        <v>1242.5044968117652</v>
      </c>
      <c r="Z70" s="37">
        <v>161.94062134602564</v>
      </c>
      <c r="AA70" s="37">
        <v>2.0632172757259548</v>
      </c>
      <c r="AB70" s="37">
        <v>5.1238968097991524E-3</v>
      </c>
      <c r="AC70" s="37">
        <v>4.9644506537980205E-3</v>
      </c>
      <c r="AD70" s="37">
        <v>4.567186502405363E-3</v>
      </c>
      <c r="AE70" s="37">
        <v>3.0510967817844125E-3</v>
      </c>
      <c r="AF70" s="38">
        <f t="shared" ref="AF70" si="62">ROUND(SUM(H70:AE70)*G70,2)</f>
        <v>2727840.56</v>
      </c>
    </row>
    <row r="71" spans="1:32" ht="14.5" thickBot="1">
      <c r="A71">
        <f t="shared" si="53"/>
        <v>6</v>
      </c>
      <c r="B71">
        <f t="shared" si="54"/>
        <v>2031</v>
      </c>
      <c r="C71" t="str">
        <f t="shared" si="55"/>
        <v>62031</v>
      </c>
      <c r="E71" s="56">
        <v>48000</v>
      </c>
      <c r="F71" s="55">
        <f>+_xlfn.XLOOKUP(E71,'PRODUCTO 01'!$C$11:$C$139,'PRODUCTO 01'!$F$11:$F$139)</f>
        <v>2125257.16</v>
      </c>
      <c r="G71" s="36">
        <v>30</v>
      </c>
      <c r="H71" s="37">
        <v>9.4403316236517393E-3</v>
      </c>
      <c r="I71" s="37">
        <v>9.428744840437684E-3</v>
      </c>
      <c r="J71" s="37">
        <v>8.982653686696547E-3</v>
      </c>
      <c r="K71" s="37">
        <v>4.4873802168188787E-2</v>
      </c>
      <c r="L71" s="37">
        <v>4.2797029883834783E-2</v>
      </c>
      <c r="M71" s="37">
        <v>111.65226949404472</v>
      </c>
      <c r="N71" s="37">
        <v>0</v>
      </c>
      <c r="O71" s="37">
        <v>1565.2093277536383</v>
      </c>
      <c r="P71" s="37">
        <v>5945.4021731966659</v>
      </c>
      <c r="Q71" s="37">
        <v>11364.484885438178</v>
      </c>
      <c r="R71" s="37">
        <v>11541.82682090564</v>
      </c>
      <c r="S71" s="37">
        <v>10309.262344463081</v>
      </c>
      <c r="T71" s="37">
        <v>12112.11367324636</v>
      </c>
      <c r="U71" s="37">
        <v>8474.0260162250197</v>
      </c>
      <c r="V71" s="37">
        <v>5978.0804072690125</v>
      </c>
      <c r="W71" s="37">
        <v>2991.1409050249822</v>
      </c>
      <c r="X71" s="37">
        <v>0</v>
      </c>
      <c r="Y71" s="37">
        <v>270.64509564368501</v>
      </c>
      <c r="Z71" s="37">
        <v>174.55801888342825</v>
      </c>
      <c r="AA71" s="37">
        <v>3.3500103275101223</v>
      </c>
      <c r="AB71" s="37">
        <v>9.6286168508801367E-3</v>
      </c>
      <c r="AC71" s="37">
        <v>9.4258481446341715E-3</v>
      </c>
      <c r="AD71" s="37">
        <v>9.4142613614201058E-3</v>
      </c>
      <c r="AE71" s="37">
        <v>9.483782060704448E-3</v>
      </c>
      <c r="AF71" s="38">
        <f t="shared" ref="AF71" si="63">ROUND(SUM(H71:AE71)*G71,2)</f>
        <v>2125257.16</v>
      </c>
    </row>
    <row r="72" spans="1:32" ht="14.5" thickBot="1">
      <c r="A72">
        <f t="shared" si="53"/>
        <v>7</v>
      </c>
      <c r="B72">
        <f t="shared" si="54"/>
        <v>2031</v>
      </c>
      <c r="C72" t="str">
        <f t="shared" si="55"/>
        <v>72031</v>
      </c>
      <c r="E72" s="56">
        <v>48030</v>
      </c>
      <c r="F72" s="55">
        <f>+_xlfn.XLOOKUP(E72,'PRODUCTO 01'!$C$11:$C$139,'PRODUCTO 01'!$F$11:$F$139)</f>
        <v>2524558.46</v>
      </c>
      <c r="G72" s="36">
        <v>31</v>
      </c>
      <c r="H72" s="37">
        <v>3.2294571684151215E-3</v>
      </c>
      <c r="I72" s="37">
        <v>0</v>
      </c>
      <c r="J72" s="37">
        <v>0</v>
      </c>
      <c r="K72" s="37">
        <v>0</v>
      </c>
      <c r="L72" s="37">
        <v>1.1606715706549691E-3</v>
      </c>
      <c r="M72" s="37">
        <v>30.171747379257322</v>
      </c>
      <c r="N72" s="37">
        <v>0</v>
      </c>
      <c r="O72" s="37">
        <v>758.60576705381436</v>
      </c>
      <c r="P72" s="37">
        <v>6440.5051275208425</v>
      </c>
      <c r="Q72" s="37">
        <v>12646.333673839994</v>
      </c>
      <c r="R72" s="37">
        <v>10873.565118882985</v>
      </c>
      <c r="S72" s="37">
        <v>10563.67531767895</v>
      </c>
      <c r="T72" s="37">
        <v>12064.35812000363</v>
      </c>
      <c r="U72" s="37">
        <v>6518.9261108030369</v>
      </c>
      <c r="V72" s="37">
        <v>7009.965468432938</v>
      </c>
      <c r="W72" s="37">
        <v>9101.5372474331052</v>
      </c>
      <c r="X72" s="37">
        <v>4436.640797776945</v>
      </c>
      <c r="Y72" s="37">
        <v>780.31713066736813</v>
      </c>
      <c r="Z72" s="37">
        <v>207.05034234001425</v>
      </c>
      <c r="AA72" s="37">
        <v>5.7093438762636897</v>
      </c>
      <c r="AB72" s="37">
        <v>3.8166311990360567E-3</v>
      </c>
      <c r="AC72" s="37">
        <v>0</v>
      </c>
      <c r="AD72" s="37">
        <v>0</v>
      </c>
      <c r="AE72" s="37">
        <v>0</v>
      </c>
      <c r="AF72" s="38">
        <f t="shared" ref="AF72" si="64">ROUND(SUM(H72:AE72)*G72,2)</f>
        <v>2524558.46</v>
      </c>
    </row>
    <row r="73" spans="1:32" ht="14.5" thickBot="1">
      <c r="A73">
        <f t="shared" si="53"/>
        <v>8</v>
      </c>
      <c r="B73">
        <f t="shared" si="54"/>
        <v>2031</v>
      </c>
      <c r="C73" t="str">
        <f t="shared" si="55"/>
        <v>82031</v>
      </c>
      <c r="E73" s="56">
        <v>48061</v>
      </c>
      <c r="F73" s="55">
        <f>+_xlfn.XLOOKUP(E73,'PRODUCTO 01'!$C$11:$C$139,'PRODUCTO 01'!$F$11:$F$139)</f>
        <v>2492722.17</v>
      </c>
      <c r="G73" s="36">
        <v>31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38.023170915852475</v>
      </c>
      <c r="N73" s="37">
        <v>0</v>
      </c>
      <c r="O73" s="37">
        <v>1298.2808523875051</v>
      </c>
      <c r="P73" s="37">
        <v>10658.874846552791</v>
      </c>
      <c r="Q73" s="37">
        <v>12470.493132107777</v>
      </c>
      <c r="R73" s="37">
        <v>13255.007666276771</v>
      </c>
      <c r="S73" s="37">
        <v>7990.5197717894534</v>
      </c>
      <c r="T73" s="37">
        <v>8137.7867445643224</v>
      </c>
      <c r="U73" s="37">
        <v>9717.5896894448269</v>
      </c>
      <c r="V73" s="37">
        <v>6084.2661869236954</v>
      </c>
      <c r="W73" s="37">
        <v>8368.5283914995089</v>
      </c>
      <c r="X73" s="37">
        <v>2210.1513317849635</v>
      </c>
      <c r="Y73" s="37">
        <v>0</v>
      </c>
      <c r="Z73" s="37">
        <v>179.82125214601896</v>
      </c>
      <c r="AA73" s="37">
        <v>1.0494928113265798</v>
      </c>
      <c r="AB73" s="37">
        <v>0</v>
      </c>
      <c r="AC73" s="37">
        <v>0</v>
      </c>
      <c r="AD73" s="37">
        <v>0</v>
      </c>
      <c r="AE73" s="37">
        <v>0</v>
      </c>
      <c r="AF73" s="38">
        <f t="shared" ref="AF73" si="65">ROUND(SUM(H73:AE73)*G73,2)</f>
        <v>2492722.17</v>
      </c>
    </row>
    <row r="74" spans="1:32" ht="14.5" thickBot="1">
      <c r="A74">
        <f t="shared" si="53"/>
        <v>9</v>
      </c>
      <c r="B74">
        <f t="shared" si="54"/>
        <v>2031</v>
      </c>
      <c r="C74" t="str">
        <f t="shared" si="55"/>
        <v>92031</v>
      </c>
      <c r="E74" s="56">
        <v>48092</v>
      </c>
      <c r="F74" s="55">
        <f>+_xlfn.XLOOKUP(E74,'PRODUCTO 01'!$C$11:$C$139,'PRODUCTO 01'!$F$11:$F$139)</f>
        <v>2495702.9300000002</v>
      </c>
      <c r="G74" s="36">
        <v>30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140.49243021375457</v>
      </c>
      <c r="N74" s="37">
        <v>0</v>
      </c>
      <c r="O74" s="37">
        <v>8711.3942489392521</v>
      </c>
      <c r="P74" s="37">
        <v>13885.843692959756</v>
      </c>
      <c r="Q74" s="37">
        <v>12777.057490357382</v>
      </c>
      <c r="R74" s="37">
        <v>7801.4484541267584</v>
      </c>
      <c r="S74" s="37">
        <v>3953.36580847912</v>
      </c>
      <c r="T74" s="37">
        <v>6162.2956443009452</v>
      </c>
      <c r="U74" s="37">
        <v>9561.3984713141544</v>
      </c>
      <c r="V74" s="37">
        <v>7198.4032319563748</v>
      </c>
      <c r="W74" s="37">
        <v>9232.2098429936141</v>
      </c>
      <c r="X74" s="37">
        <v>3522.5524623591364</v>
      </c>
      <c r="Y74" s="37">
        <v>158.67187129829068</v>
      </c>
      <c r="Z74" s="37">
        <v>84.94665349592735</v>
      </c>
      <c r="AA74" s="37">
        <v>1.7344212989142113E-2</v>
      </c>
      <c r="AB74" s="37">
        <v>0</v>
      </c>
      <c r="AC74" s="37">
        <v>0</v>
      </c>
      <c r="AD74" s="37">
        <v>0</v>
      </c>
      <c r="AE74" s="37">
        <v>0</v>
      </c>
      <c r="AF74" s="38">
        <f t="shared" ref="AF74" si="66">ROUND(SUM(H74:AE74)*G74,2)</f>
        <v>2495702.9300000002</v>
      </c>
    </row>
    <row r="75" spans="1:32" ht="14.5" thickBot="1">
      <c r="A75">
        <f t="shared" si="53"/>
        <v>10</v>
      </c>
      <c r="B75">
        <f t="shared" si="54"/>
        <v>2031</v>
      </c>
      <c r="C75" t="str">
        <f t="shared" si="55"/>
        <v>102031</v>
      </c>
      <c r="E75" s="56">
        <v>48122</v>
      </c>
      <c r="F75" s="55">
        <f>+_xlfn.XLOOKUP(E75,'PRODUCTO 01'!$C$11:$C$139,'PRODUCTO 01'!$F$11:$F$139)</f>
        <v>2878755.97</v>
      </c>
      <c r="G75" s="36">
        <v>31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39.983643579940534</v>
      </c>
      <c r="N75" s="37">
        <v>0</v>
      </c>
      <c r="O75" s="37">
        <v>6231.2293342403791</v>
      </c>
      <c r="P75" s="37">
        <v>9725.025239322973</v>
      </c>
      <c r="Q75" s="37">
        <v>13994.645095380702</v>
      </c>
      <c r="R75" s="37">
        <v>12444.676592641159</v>
      </c>
      <c r="S75" s="37">
        <v>10752.01258986937</v>
      </c>
      <c r="T75" s="37">
        <v>9406.8755708166918</v>
      </c>
      <c r="U75" s="37">
        <v>10113.658364353172</v>
      </c>
      <c r="V75" s="37">
        <v>9173.3941209909735</v>
      </c>
      <c r="W75" s="37">
        <v>6794.3585978942856</v>
      </c>
      <c r="X75" s="37">
        <v>3865.4001187126514</v>
      </c>
      <c r="Y75" s="37">
        <v>275.18737000535612</v>
      </c>
      <c r="Z75" s="37">
        <v>46.630622563648203</v>
      </c>
      <c r="AA75" s="37">
        <v>3.6413284016987798E-3</v>
      </c>
      <c r="AB75" s="37">
        <v>3.6692355782905845E-3</v>
      </c>
      <c r="AC75" s="37">
        <v>3.7272825056015408E-3</v>
      </c>
      <c r="AD75" s="37">
        <v>3.8020737388675821E-3</v>
      </c>
      <c r="AE75" s="37">
        <v>3.8143528965679783E-3</v>
      </c>
      <c r="AF75" s="38">
        <f t="shared" ref="AF75" si="67">ROUND(SUM(H75:AE75)*G75,2)</f>
        <v>2878755.97</v>
      </c>
    </row>
    <row r="76" spans="1:32" ht="14.5" thickBot="1">
      <c r="A76">
        <f t="shared" si="53"/>
        <v>11</v>
      </c>
      <c r="B76">
        <f t="shared" si="54"/>
        <v>2031</v>
      </c>
      <c r="C76" t="str">
        <f t="shared" si="55"/>
        <v>112031</v>
      </c>
      <c r="E76" s="56">
        <v>48153</v>
      </c>
      <c r="F76" s="55">
        <f>+_xlfn.XLOOKUP(E76,'PRODUCTO 01'!$C$11:$C$139,'PRODUCTO 01'!$F$11:$F$139)</f>
        <v>2721317.04</v>
      </c>
      <c r="G76" s="36">
        <v>30</v>
      </c>
      <c r="H76" s="37">
        <v>7.2891867278175105E-4</v>
      </c>
      <c r="I76" s="37">
        <v>5.962171678607403E-4</v>
      </c>
      <c r="J76" s="37">
        <v>5.1131174510457914E-4</v>
      </c>
      <c r="K76" s="37">
        <v>4.6351566293972971E-4</v>
      </c>
      <c r="L76" s="37">
        <v>5.5816822298562232E-4</v>
      </c>
      <c r="M76" s="37">
        <v>106.25343934428646</v>
      </c>
      <c r="N76" s="37">
        <v>0</v>
      </c>
      <c r="O76" s="37">
        <v>2877.0622719836906</v>
      </c>
      <c r="P76" s="37">
        <v>5381.3573151748542</v>
      </c>
      <c r="Q76" s="37">
        <v>6281.8915713928964</v>
      </c>
      <c r="R76" s="37">
        <v>6652.445335637326</v>
      </c>
      <c r="S76" s="37">
        <v>9294.4507363551384</v>
      </c>
      <c r="T76" s="37">
        <v>11484.598847279671</v>
      </c>
      <c r="U76" s="37">
        <v>14289.791220835486</v>
      </c>
      <c r="V76" s="37">
        <v>16851.02531197761</v>
      </c>
      <c r="W76" s="37">
        <v>13502.873692173604</v>
      </c>
      <c r="X76" s="37">
        <v>3620.6531469582037</v>
      </c>
      <c r="Y76" s="37">
        <v>339.7730191465713</v>
      </c>
      <c r="Z76" s="37">
        <v>27.699118846233791</v>
      </c>
      <c r="AA76" s="37">
        <v>0.14327794734449328</v>
      </c>
      <c r="AB76" s="37">
        <v>0.14319680222617343</v>
      </c>
      <c r="AC76" s="37">
        <v>0.14072561778189813</v>
      </c>
      <c r="AD76" s="37">
        <v>0.13452547494716369</v>
      </c>
      <c r="AE76" s="37">
        <v>0.12854424892221933</v>
      </c>
      <c r="AF76" s="38">
        <f t="shared" ref="AF76" si="68">ROUND(SUM(H76:AE76)*G76,2)</f>
        <v>2721317.04</v>
      </c>
    </row>
    <row r="77" spans="1:32" ht="14.5" thickBot="1">
      <c r="A77">
        <f t="shared" si="53"/>
        <v>12</v>
      </c>
      <c r="B77">
        <f t="shared" si="54"/>
        <v>2031</v>
      </c>
      <c r="C77" t="str">
        <f t="shared" si="55"/>
        <v>122031</v>
      </c>
      <c r="E77" s="56">
        <v>48183</v>
      </c>
      <c r="F77" s="55">
        <f>+_xlfn.XLOOKUP(E77,'PRODUCTO 01'!$C$11:$C$139,'PRODUCTO 01'!$F$11:$F$139)</f>
        <v>3371769.02</v>
      </c>
      <c r="G77" s="36">
        <v>31</v>
      </c>
      <c r="H77" s="37">
        <v>2.8159950394281426E-3</v>
      </c>
      <c r="I77" s="37">
        <v>0</v>
      </c>
      <c r="J77" s="37">
        <v>0</v>
      </c>
      <c r="K77" s="37">
        <v>0</v>
      </c>
      <c r="L77" s="37">
        <v>0</v>
      </c>
      <c r="M77" s="37">
        <v>57.502407727718399</v>
      </c>
      <c r="N77" s="37">
        <v>0</v>
      </c>
      <c r="O77" s="37">
        <v>7587.7818192879504</v>
      </c>
      <c r="P77" s="37">
        <v>12064.001276516023</v>
      </c>
      <c r="Q77" s="37">
        <v>15653.516210094867</v>
      </c>
      <c r="R77" s="37">
        <v>15133.232988780837</v>
      </c>
      <c r="S77" s="37">
        <v>13343.993881429529</v>
      </c>
      <c r="T77" s="37">
        <v>13388.912354539167</v>
      </c>
      <c r="U77" s="37">
        <v>13421.611645543397</v>
      </c>
      <c r="V77" s="37">
        <v>12029.991105053574</v>
      </c>
      <c r="W77" s="37">
        <v>6055.2679264250937</v>
      </c>
      <c r="X77" s="37">
        <v>0</v>
      </c>
      <c r="Y77" s="37">
        <v>0</v>
      </c>
      <c r="Z77" s="37">
        <v>30.919827692749376</v>
      </c>
      <c r="AA77" s="37">
        <v>0</v>
      </c>
      <c r="AB77" s="37">
        <v>1.8098398052377484E-3</v>
      </c>
      <c r="AC77" s="37">
        <v>2.0908195010280834E-3</v>
      </c>
      <c r="AD77" s="37">
        <v>2.0908195010280834E-3</v>
      </c>
      <c r="AE77" s="37">
        <v>2.2457715391477552E-3</v>
      </c>
      <c r="AF77" s="38">
        <f t="shared" ref="AF77" si="69">ROUND(SUM(H77:AE77)*G77,2)</f>
        <v>3371769.02</v>
      </c>
    </row>
    <row r="78" spans="1:32" ht="14.5" thickBot="1">
      <c r="A78">
        <f t="shared" si="53"/>
        <v>1</v>
      </c>
      <c r="B78">
        <f t="shared" si="54"/>
        <v>2032</v>
      </c>
      <c r="C78" t="str">
        <f t="shared" si="55"/>
        <v>12032</v>
      </c>
      <c r="E78" s="56">
        <v>48214</v>
      </c>
      <c r="F78" s="55">
        <f>+_xlfn.XLOOKUP(E78,'PRODUCTO 01'!$C$11:$C$139,'PRODUCTO 01'!$F$11:$F$139)</f>
        <v>3669495.14</v>
      </c>
      <c r="G78" s="36">
        <v>31</v>
      </c>
      <c r="H78" s="37">
        <v>0.19964916113331149</v>
      </c>
      <c r="I78" s="37">
        <v>0.17782369903227038</v>
      </c>
      <c r="J78" s="37">
        <v>0.14523579280951657</v>
      </c>
      <c r="K78" s="37">
        <v>0.17141999119363288</v>
      </c>
      <c r="L78" s="37">
        <v>0.19585135681583901</v>
      </c>
      <c r="M78" s="37">
        <v>0.17580207309840898</v>
      </c>
      <c r="N78" s="37">
        <v>0</v>
      </c>
      <c r="O78" s="37">
        <v>2356.0966706578561</v>
      </c>
      <c r="P78" s="37">
        <v>9509.0260032003698</v>
      </c>
      <c r="Q78" s="37">
        <v>14841.539065569896</v>
      </c>
      <c r="R78" s="37">
        <v>14504.96940304529</v>
      </c>
      <c r="S78" s="37">
        <v>14804.025770198499</v>
      </c>
      <c r="T78" s="37">
        <v>14670.571347337636</v>
      </c>
      <c r="U78" s="37">
        <v>15347.989774283387</v>
      </c>
      <c r="V78" s="37">
        <v>15513.788162939691</v>
      </c>
      <c r="W78" s="37">
        <v>13137.263277177459</v>
      </c>
      <c r="X78" s="37">
        <v>3422.149877704805</v>
      </c>
      <c r="Y78" s="37">
        <v>113.82868019259421</v>
      </c>
      <c r="Z78" s="37">
        <v>147.54477416113969</v>
      </c>
      <c r="AA78" s="37">
        <v>0.16916552080017661</v>
      </c>
      <c r="AB78" s="37">
        <v>0.23300997047658381</v>
      </c>
      <c r="AC78" s="37">
        <v>0.1956418579779447</v>
      </c>
      <c r="AD78" s="37">
        <v>0.15885802306660901</v>
      </c>
      <c r="AE78" s="37">
        <v>0.1956418579779447</v>
      </c>
      <c r="AF78" s="38">
        <f>ROUND(SUM(H78:AE78)*G78,2)</f>
        <v>3669495.14</v>
      </c>
    </row>
    <row r="79" spans="1:32" ht="14.5" thickBot="1">
      <c r="A79">
        <f t="shared" si="53"/>
        <v>2</v>
      </c>
      <c r="B79">
        <f t="shared" si="54"/>
        <v>2032</v>
      </c>
      <c r="C79" t="str">
        <f t="shared" si="55"/>
        <v>22032</v>
      </c>
      <c r="E79" s="56">
        <v>48245</v>
      </c>
      <c r="F79" s="55">
        <f>+_xlfn.XLOOKUP(E79,'PRODUCTO 01'!$C$11:$C$139,'PRODUCTO 01'!$F$11:$F$139)</f>
        <v>3076665.6</v>
      </c>
      <c r="G79" s="36">
        <v>29</v>
      </c>
      <c r="H79" s="37">
        <v>0</v>
      </c>
      <c r="I79" s="37">
        <v>0</v>
      </c>
      <c r="J79" s="37">
        <v>0</v>
      </c>
      <c r="K79" s="37">
        <v>6.4961840582108982E-3</v>
      </c>
      <c r="L79" s="37">
        <v>0</v>
      </c>
      <c r="M79" s="37">
        <v>0</v>
      </c>
      <c r="N79" s="37">
        <v>0</v>
      </c>
      <c r="O79" s="37">
        <v>2363.4275705934456</v>
      </c>
      <c r="P79" s="37">
        <v>8700.4811530990319</v>
      </c>
      <c r="Q79" s="37">
        <v>15240.982857726198</v>
      </c>
      <c r="R79" s="37">
        <v>16338.900008592178</v>
      </c>
      <c r="S79" s="37">
        <v>14637.54741381066</v>
      </c>
      <c r="T79" s="37">
        <v>13024.165151782687</v>
      </c>
      <c r="U79" s="37">
        <v>7934.8003334688556</v>
      </c>
      <c r="V79" s="37">
        <v>10958.437363124736</v>
      </c>
      <c r="W79" s="37">
        <v>12507.745003422209</v>
      </c>
      <c r="X79" s="37">
        <v>4203.6996455168965</v>
      </c>
      <c r="Y79" s="37">
        <v>0</v>
      </c>
      <c r="Z79" s="37">
        <v>181.7181497960182</v>
      </c>
      <c r="AA79" s="37">
        <v>0</v>
      </c>
      <c r="AB79" s="37">
        <v>0</v>
      </c>
      <c r="AC79" s="37">
        <v>0</v>
      </c>
      <c r="AD79" s="37">
        <v>0</v>
      </c>
      <c r="AE79" s="37">
        <v>6.1894064485311972E-3</v>
      </c>
      <c r="AF79" s="38">
        <f t="shared" ref="AF79" si="70">ROUND(SUM(H79:AE79)*G79,2)</f>
        <v>3076665.6</v>
      </c>
    </row>
    <row r="80" spans="1:32" ht="14.5" thickBot="1">
      <c r="A80">
        <f t="shared" si="53"/>
        <v>3</v>
      </c>
      <c r="B80">
        <f t="shared" si="54"/>
        <v>2032</v>
      </c>
      <c r="C80" t="str">
        <f t="shared" si="55"/>
        <v>32032</v>
      </c>
      <c r="E80" s="56">
        <v>48274</v>
      </c>
      <c r="F80" s="55">
        <f>+_xlfn.XLOOKUP(E80,'PRODUCTO 01'!$C$11:$C$139,'PRODUCTO 01'!$F$11:$F$139)</f>
        <v>3093757.46</v>
      </c>
      <c r="G80" s="36">
        <v>31</v>
      </c>
      <c r="H80" s="37">
        <v>0</v>
      </c>
      <c r="I80" s="37">
        <v>0</v>
      </c>
      <c r="J80" s="37">
        <v>2.984452587952754E-3</v>
      </c>
      <c r="K80" s="37">
        <v>0</v>
      </c>
      <c r="L80" s="37">
        <v>0</v>
      </c>
      <c r="M80" s="37">
        <v>14.43799362429681</v>
      </c>
      <c r="N80" s="37">
        <v>0</v>
      </c>
      <c r="O80" s="37">
        <v>1879.7595805410779</v>
      </c>
      <c r="P80" s="37">
        <v>6886.55948891963</v>
      </c>
      <c r="Q80" s="37">
        <v>10998.611700827376</v>
      </c>
      <c r="R80" s="37">
        <v>11499.995767731592</v>
      </c>
      <c r="S80" s="37">
        <v>12264.434704693602</v>
      </c>
      <c r="T80" s="37">
        <v>12713.224371395811</v>
      </c>
      <c r="U80" s="37">
        <v>13357.366042690412</v>
      </c>
      <c r="V80" s="37">
        <v>14718.586222781434</v>
      </c>
      <c r="W80" s="37">
        <v>11708.456399548397</v>
      </c>
      <c r="X80" s="37">
        <v>3566.1978780926775</v>
      </c>
      <c r="Y80" s="37">
        <v>0</v>
      </c>
      <c r="Z80" s="37">
        <v>190.7813618459501</v>
      </c>
      <c r="AA80" s="37">
        <v>0.21338698332602357</v>
      </c>
      <c r="AB80" s="37">
        <v>0</v>
      </c>
      <c r="AC80" s="37">
        <v>0</v>
      </c>
      <c r="AD80" s="37">
        <v>0</v>
      </c>
      <c r="AE80" s="37">
        <v>0</v>
      </c>
      <c r="AF80" s="38">
        <f t="shared" ref="AF80" si="71">ROUND(SUM(H80:AE80)*G80,2)</f>
        <v>3093757.46</v>
      </c>
    </row>
    <row r="81" spans="1:32" ht="14.5" thickBot="1">
      <c r="A81">
        <f t="shared" si="53"/>
        <v>4</v>
      </c>
      <c r="B81">
        <f t="shared" si="54"/>
        <v>2032</v>
      </c>
      <c r="C81" t="str">
        <f t="shared" si="55"/>
        <v>42032</v>
      </c>
      <c r="E81" s="56">
        <v>48305</v>
      </c>
      <c r="F81" s="55">
        <f>+_xlfn.XLOOKUP(E81,'PRODUCTO 01'!$C$11:$C$139,'PRODUCTO 01'!$F$11:$F$139)</f>
        <v>2423081.48</v>
      </c>
      <c r="G81" s="36">
        <v>30</v>
      </c>
      <c r="H81" s="37">
        <v>0</v>
      </c>
      <c r="I81" s="37">
        <v>0</v>
      </c>
      <c r="J81" s="37">
        <v>0</v>
      </c>
      <c r="K81" s="37">
        <v>1.6456575474290143E-2</v>
      </c>
      <c r="L81" s="37">
        <v>8.0391665232900922E-3</v>
      </c>
      <c r="M81" s="37">
        <v>48.670007944602254</v>
      </c>
      <c r="N81" s="37">
        <v>0</v>
      </c>
      <c r="O81" s="37">
        <v>0</v>
      </c>
      <c r="P81" s="37">
        <v>2842.8005089432604</v>
      </c>
      <c r="Q81" s="37">
        <v>8430.8614378565671</v>
      </c>
      <c r="R81" s="37">
        <v>9579.302172763546</v>
      </c>
      <c r="S81" s="37">
        <v>9503.7813951069857</v>
      </c>
      <c r="T81" s="37">
        <v>9748.2048552391079</v>
      </c>
      <c r="U81" s="37">
        <v>11289.861276858288</v>
      </c>
      <c r="V81" s="37">
        <v>10076.110854905577</v>
      </c>
      <c r="W81" s="37">
        <v>12132.086834753636</v>
      </c>
      <c r="X81" s="37">
        <v>5861.427912949126</v>
      </c>
      <c r="Y81" s="37">
        <v>1111.4572669461168</v>
      </c>
      <c r="Z81" s="37">
        <v>144.62408882305974</v>
      </c>
      <c r="AA81" s="37">
        <v>0.16952796798494316</v>
      </c>
      <c r="AB81" s="37">
        <v>0</v>
      </c>
      <c r="AC81" s="37">
        <v>0</v>
      </c>
      <c r="AD81" s="37">
        <v>0</v>
      </c>
      <c r="AE81" s="37">
        <v>0</v>
      </c>
      <c r="AF81" s="38">
        <f t="shared" ref="AF81" si="72">ROUND(SUM(H81:AE81)*G81,2)</f>
        <v>2423081.48</v>
      </c>
    </row>
    <row r="82" spans="1:32" ht="14.5" thickBot="1">
      <c r="A82">
        <f t="shared" si="53"/>
        <v>5</v>
      </c>
      <c r="B82">
        <f t="shared" si="54"/>
        <v>2032</v>
      </c>
      <c r="C82" t="str">
        <f t="shared" si="55"/>
        <v>52032</v>
      </c>
      <c r="E82" s="56">
        <v>48335</v>
      </c>
      <c r="F82" s="55">
        <f>+_xlfn.XLOOKUP(E82,'PRODUCTO 01'!$C$11:$C$139,'PRODUCTO 01'!$F$11:$F$139)</f>
        <v>2710710.72</v>
      </c>
      <c r="G82" s="36">
        <v>31</v>
      </c>
      <c r="H82" s="37">
        <v>1.8554662667568586E-3</v>
      </c>
      <c r="I82" s="37">
        <v>0</v>
      </c>
      <c r="J82" s="37">
        <v>2.2673525441295091E-3</v>
      </c>
      <c r="K82" s="37">
        <v>0</v>
      </c>
      <c r="L82" s="37">
        <v>0</v>
      </c>
      <c r="M82" s="37">
        <v>127.00949165710738</v>
      </c>
      <c r="N82" s="37">
        <v>545.35207195456451</v>
      </c>
      <c r="O82" s="37">
        <v>4442.2923220322864</v>
      </c>
      <c r="P82" s="37">
        <v>11839.399629097339</v>
      </c>
      <c r="Q82" s="37">
        <v>12576.488882634832</v>
      </c>
      <c r="R82" s="37">
        <v>9009.4765221298367</v>
      </c>
      <c r="S82" s="37">
        <v>6405.3096652559425</v>
      </c>
      <c r="T82" s="37">
        <v>5309.5912398714254</v>
      </c>
      <c r="U82" s="37">
        <v>6185.3540579468154</v>
      </c>
      <c r="V82" s="37">
        <v>9670.5501416697862</v>
      </c>
      <c r="W82" s="37">
        <v>11703.745765131434</v>
      </c>
      <c r="X82" s="37">
        <v>8229.1400728297012</v>
      </c>
      <c r="Y82" s="37">
        <v>1235.126409887974</v>
      </c>
      <c r="Z82" s="37">
        <v>161.36733151973598</v>
      </c>
      <c r="AA82" s="37">
        <v>2.0559699600322259</v>
      </c>
      <c r="AB82" s="37">
        <v>5.1058984641088575E-3</v>
      </c>
      <c r="AC82" s="37">
        <v>4.9470123832109601E-3</v>
      </c>
      <c r="AD82" s="37">
        <v>4.5511436731771968E-3</v>
      </c>
      <c r="AE82" s="37">
        <v>3.0403794124361301E-3</v>
      </c>
      <c r="AF82" s="38">
        <f t="shared" ref="AF82" si="73">ROUND(SUM(H82:AE82)*G82,2)</f>
        <v>2710710.72</v>
      </c>
    </row>
    <row r="83" spans="1:32" ht="14.5" thickBot="1">
      <c r="A83">
        <f t="shared" si="53"/>
        <v>6</v>
      </c>
      <c r="B83">
        <f t="shared" si="54"/>
        <v>2032</v>
      </c>
      <c r="C83" t="str">
        <f t="shared" si="55"/>
        <v>62032</v>
      </c>
      <c r="E83" s="56">
        <v>48366</v>
      </c>
      <c r="F83" s="55">
        <f>+_xlfn.XLOOKUP(E83,'PRODUCTO 01'!$C$11:$C$139,'PRODUCTO 01'!$F$11:$F$139)</f>
        <v>2110891.46</v>
      </c>
      <c r="G83" s="36">
        <v>30</v>
      </c>
      <c r="H83" s="37">
        <v>9.4071712462474606E-3</v>
      </c>
      <c r="I83" s="37">
        <v>9.3956251630977258E-3</v>
      </c>
      <c r="J83" s="37">
        <v>8.9511009618328929E-3</v>
      </c>
      <c r="K83" s="37">
        <v>4.4723892254713321E-2</v>
      </c>
      <c r="L83" s="37">
        <v>4.2654769289740026E-2</v>
      </c>
      <c r="M83" s="37">
        <v>111.30375288116079</v>
      </c>
      <c r="N83" s="37">
        <v>0</v>
      </c>
      <c r="O83" s="37">
        <v>1542.0557297171185</v>
      </c>
      <c r="P83" s="37">
        <v>5900.9155094439475</v>
      </c>
      <c r="Q83" s="37">
        <v>11299.030526185916</v>
      </c>
      <c r="R83" s="37">
        <v>11470.233903365843</v>
      </c>
      <c r="S83" s="37">
        <v>10243.049930230944</v>
      </c>
      <c r="T83" s="37">
        <v>12042.337767996061</v>
      </c>
      <c r="U83" s="37">
        <v>8418.5658482507333</v>
      </c>
      <c r="V83" s="37">
        <v>5932.8930858879157</v>
      </c>
      <c r="W83" s="37">
        <v>2959.5871625090231</v>
      </c>
      <c r="X83" s="37">
        <v>0</v>
      </c>
      <c r="Y83" s="37">
        <v>265.6393305522783</v>
      </c>
      <c r="Z83" s="37">
        <v>173.94486142075874</v>
      </c>
      <c r="AA83" s="37">
        <v>3.3382429859381211</v>
      </c>
      <c r="AB83" s="37">
        <v>9.5947950974306744E-3</v>
      </c>
      <c r="AC83" s="37">
        <v>9.3927386423102912E-3</v>
      </c>
      <c r="AD83" s="37">
        <v>9.3811925591605581E-3</v>
      </c>
      <c r="AE83" s="37">
        <v>9.4504690580589634E-3</v>
      </c>
      <c r="AF83" s="38">
        <f t="shared" ref="AF83" si="74">ROUND(SUM(H83:AE83)*G83,2)</f>
        <v>2110891.46</v>
      </c>
    </row>
    <row r="84" spans="1:32" ht="14.5" thickBot="1">
      <c r="A84">
        <f t="shared" si="53"/>
        <v>7</v>
      </c>
      <c r="B84">
        <f t="shared" si="54"/>
        <v>2032</v>
      </c>
      <c r="C84" t="str">
        <f t="shared" si="55"/>
        <v>72032</v>
      </c>
      <c r="E84" s="56">
        <v>48396</v>
      </c>
      <c r="F84" s="55">
        <f>+_xlfn.XLOOKUP(E84,'PRODUCTO 01'!$C$11:$C$139,'PRODUCTO 01'!$F$11:$F$139)</f>
        <v>2508315.4900000002</v>
      </c>
      <c r="G84" s="36">
        <v>31</v>
      </c>
      <c r="H84" s="37">
        <v>3.2188572732770853E-3</v>
      </c>
      <c r="I84" s="37">
        <v>0</v>
      </c>
      <c r="J84" s="37">
        <v>0</v>
      </c>
      <c r="K84" s="37">
        <v>0</v>
      </c>
      <c r="L84" s="37">
        <v>1.1568619530328589E-3</v>
      </c>
      <c r="M84" s="37">
        <v>30.072961829250062</v>
      </c>
      <c r="N84" s="37">
        <v>0</v>
      </c>
      <c r="O84" s="37">
        <v>741.61696229867346</v>
      </c>
      <c r="P84" s="37">
        <v>6398.1066170639233</v>
      </c>
      <c r="Q84" s="37">
        <v>12580.368802452753</v>
      </c>
      <c r="R84" s="37">
        <v>10808.811217865004</v>
      </c>
      <c r="S84" s="37">
        <v>10498.391686421688</v>
      </c>
      <c r="T84" s="37">
        <v>11994.568603463549</v>
      </c>
      <c r="U84" s="37">
        <v>6466.9542707327328</v>
      </c>
      <c r="V84" s="37">
        <v>6957.5868949480337</v>
      </c>
      <c r="W84" s="37">
        <v>9048.4847871008624</v>
      </c>
      <c r="X84" s="37">
        <v>4403.8872184177826</v>
      </c>
      <c r="Y84" s="37">
        <v>772.530665285704</v>
      </c>
      <c r="Z84" s="37">
        <v>206.3246941219443</v>
      </c>
      <c r="AA84" s="37">
        <v>5.6892894107302494</v>
      </c>
      <c r="AB84" s="37">
        <v>3.8041040502365523E-3</v>
      </c>
      <c r="AC84" s="37">
        <v>0</v>
      </c>
      <c r="AD84" s="37">
        <v>0</v>
      </c>
      <c r="AE84" s="37">
        <v>0</v>
      </c>
      <c r="AF84" s="38">
        <f t="shared" ref="AF84" si="75">ROUND(SUM(H84:AE84)*G84,2)</f>
        <v>2508315.4900000002</v>
      </c>
    </row>
    <row r="85" spans="1:32" ht="14.5" thickBot="1">
      <c r="A85">
        <f t="shared" si="53"/>
        <v>8</v>
      </c>
      <c r="B85">
        <f t="shared" si="54"/>
        <v>2032</v>
      </c>
      <c r="C85" t="str">
        <f t="shared" si="55"/>
        <v>82032</v>
      </c>
      <c r="E85" s="56">
        <v>48427</v>
      </c>
      <c r="F85" s="55">
        <f>+_xlfn.XLOOKUP(E85,'PRODUCTO 01'!$C$11:$C$139,'PRODUCTO 01'!$F$11:$F$139)</f>
        <v>2476791.31</v>
      </c>
      <c r="G85" s="36">
        <v>31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37.897786970306321</v>
      </c>
      <c r="N85" s="37">
        <v>0</v>
      </c>
      <c r="O85" s="37">
        <v>1274.9783425524829</v>
      </c>
      <c r="P85" s="37">
        <v>10599.753389091991</v>
      </c>
      <c r="Q85" s="37">
        <v>12402.91099243286</v>
      </c>
      <c r="R85" s="37">
        <v>13181.640609614651</v>
      </c>
      <c r="S85" s="37">
        <v>7930.3236943443226</v>
      </c>
      <c r="T85" s="37">
        <v>8081.0928426779783</v>
      </c>
      <c r="U85" s="37">
        <v>9658.9610594266305</v>
      </c>
      <c r="V85" s="37">
        <v>6039.5828295084839</v>
      </c>
      <c r="W85" s="37">
        <v>8321.9700763245637</v>
      </c>
      <c r="X85" s="37">
        <v>2187.1474649406432</v>
      </c>
      <c r="Y85" s="37">
        <v>0</v>
      </c>
      <c r="Z85" s="37">
        <v>179.18904492269786</v>
      </c>
      <c r="AA85" s="37">
        <v>1.0458063330232674</v>
      </c>
      <c r="AB85" s="37">
        <v>0</v>
      </c>
      <c r="AC85" s="37">
        <v>0</v>
      </c>
      <c r="AD85" s="37">
        <v>0</v>
      </c>
      <c r="AE85" s="37">
        <v>0</v>
      </c>
      <c r="AF85" s="38">
        <f t="shared" ref="AF85" si="76">ROUND(SUM(H85:AE85)*G85,2)</f>
        <v>2476791.31</v>
      </c>
    </row>
    <row r="86" spans="1:32" ht="14.5" thickBot="1">
      <c r="A86">
        <f t="shared" si="53"/>
        <v>9</v>
      </c>
      <c r="B86">
        <f t="shared" si="54"/>
        <v>2032</v>
      </c>
      <c r="C86" t="str">
        <f t="shared" si="55"/>
        <v>92032</v>
      </c>
      <c r="E86" s="56">
        <v>48458</v>
      </c>
      <c r="F86" s="55">
        <f>+_xlfn.XLOOKUP(E86,'PRODUCTO 01'!$C$11:$C$139,'PRODUCTO 01'!$F$11:$F$139)</f>
        <v>2479676.4</v>
      </c>
      <c r="G86" s="36">
        <v>30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139.96080369543395</v>
      </c>
      <c r="N86" s="37">
        <v>0</v>
      </c>
      <c r="O86" s="37">
        <v>8663.3038673487736</v>
      </c>
      <c r="P86" s="37">
        <v>13814.244598357218</v>
      </c>
      <c r="Q86" s="37">
        <v>12705.891431596821</v>
      </c>
      <c r="R86" s="37">
        <v>7742.3920350716962</v>
      </c>
      <c r="S86" s="37">
        <v>3907.5535915190144</v>
      </c>
      <c r="T86" s="37">
        <v>6111.266140013674</v>
      </c>
      <c r="U86" s="37">
        <v>9501.6723250934556</v>
      </c>
      <c r="V86" s="37">
        <v>7150.449926301726</v>
      </c>
      <c r="W86" s="37">
        <v>9181.9045894757892</v>
      </c>
      <c r="X86" s="37">
        <v>3497.005288647099</v>
      </c>
      <c r="Y86" s="37">
        <v>155.57293188984934</v>
      </c>
      <c r="Z86" s="37">
        <v>84.64532788838838</v>
      </c>
      <c r="AA86" s="37">
        <v>1.7283289213216802E-2</v>
      </c>
      <c r="AB86" s="37">
        <v>0</v>
      </c>
      <c r="AC86" s="37">
        <v>0</v>
      </c>
      <c r="AD86" s="37">
        <v>0</v>
      </c>
      <c r="AE86" s="37">
        <v>0</v>
      </c>
      <c r="AF86" s="38">
        <f t="shared" ref="AF86" si="77">ROUND(SUM(H86:AE86)*G86,2)</f>
        <v>2479676.4</v>
      </c>
    </row>
    <row r="87" spans="1:32" ht="14.5" thickBot="1">
      <c r="A87">
        <f t="shared" si="53"/>
        <v>10</v>
      </c>
      <c r="B87">
        <f t="shared" si="54"/>
        <v>2032</v>
      </c>
      <c r="C87" t="str">
        <f t="shared" si="55"/>
        <v>102032</v>
      </c>
      <c r="E87" s="56">
        <v>48488</v>
      </c>
      <c r="F87" s="55">
        <f>+_xlfn.XLOOKUP(E87,'PRODUCTO 01'!$C$11:$C$139,'PRODUCTO 01'!$F$11:$F$139)</f>
        <v>2861456.28</v>
      </c>
      <c r="G87" s="36">
        <v>31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39.591356144838407</v>
      </c>
      <c r="N87" s="37">
        <v>0</v>
      </c>
      <c r="O87" s="37">
        <v>6191.17672940385</v>
      </c>
      <c r="P87" s="37">
        <v>9666.6312195566752</v>
      </c>
      <c r="Q87" s="37">
        <v>13919.660266452605</v>
      </c>
      <c r="R87" s="37">
        <v>12372.764186601373</v>
      </c>
      <c r="S87" s="37">
        <v>10684.654269850216</v>
      </c>
      <c r="T87" s="37">
        <v>9344.2645160342145</v>
      </c>
      <c r="U87" s="37">
        <v>10052.261258334303</v>
      </c>
      <c r="V87" s="37">
        <v>9119.3730250778008</v>
      </c>
      <c r="W87" s="37">
        <v>6752.8868926224341</v>
      </c>
      <c r="X87" s="37">
        <v>3841.9707426962145</v>
      </c>
      <c r="Y87" s="37">
        <v>273.32164399930031</v>
      </c>
      <c r="Z87" s="37">
        <v>46.466567138002802</v>
      </c>
      <c r="AA87" s="37">
        <v>3.6285377679724463E-3</v>
      </c>
      <c r="AB87" s="37">
        <v>3.656346917021902E-3</v>
      </c>
      <c r="AC87" s="37">
        <v>3.7141899470447613E-3</v>
      </c>
      <c r="AD87" s="37">
        <v>3.7887184664972913E-3</v>
      </c>
      <c r="AE87" s="37">
        <v>3.8009544920790529E-3</v>
      </c>
      <c r="AF87" s="38">
        <f t="shared" ref="AF87" si="78">ROUND(SUM(H87:AE87)*G87,2)</f>
        <v>2861456.28</v>
      </c>
    </row>
    <row r="88" spans="1:32" ht="14.5" thickBot="1">
      <c r="A88">
        <f t="shared" si="53"/>
        <v>11</v>
      </c>
      <c r="B88">
        <f t="shared" si="54"/>
        <v>2032</v>
      </c>
      <c r="C88" t="str">
        <f t="shared" si="55"/>
        <v>112032</v>
      </c>
      <c r="E88" s="56">
        <v>48519</v>
      </c>
      <c r="F88" s="55">
        <f>+_xlfn.XLOOKUP(E88,'PRODUCTO 01'!$C$11:$C$139,'PRODUCTO 01'!$F$11:$F$139)</f>
        <v>2704524.16</v>
      </c>
      <c r="G88" s="36">
        <v>30</v>
      </c>
      <c r="H88" s="37">
        <v>7.2635825231665723E-4</v>
      </c>
      <c r="I88" s="37">
        <v>5.9412287847670641E-4</v>
      </c>
      <c r="J88" s="37">
        <v>5.0951569692376879E-4</v>
      </c>
      <c r="K88" s="37">
        <v>4.6188750463675558E-4</v>
      </c>
      <c r="L88" s="37">
        <v>5.5620758540771121E-4</v>
      </c>
      <c r="M88" s="37">
        <v>105.74468316335744</v>
      </c>
      <c r="N88" s="37">
        <v>0</v>
      </c>
      <c r="O88" s="37">
        <v>2847.2410479531154</v>
      </c>
      <c r="P88" s="37">
        <v>5335.47438159785</v>
      </c>
      <c r="Q88" s="37">
        <v>6228.8637049260615</v>
      </c>
      <c r="R88" s="37">
        <v>6595.7898067807937</v>
      </c>
      <c r="S88" s="37">
        <v>9230.2949456627157</v>
      </c>
      <c r="T88" s="37">
        <v>11415.482712553774</v>
      </c>
      <c r="U88" s="37">
        <v>14215.127938019974</v>
      </c>
      <c r="V88" s="37">
        <v>16773.660630983861</v>
      </c>
      <c r="W88" s="37">
        <v>13439.416017866959</v>
      </c>
      <c r="X88" s="37">
        <v>3597.4500245634945</v>
      </c>
      <c r="Y88" s="37">
        <v>337.96741896809493</v>
      </c>
      <c r="Z88" s="37">
        <v>27.601260155661929</v>
      </c>
      <c r="AA88" s="37">
        <v>0.14277466515091555</v>
      </c>
      <c r="AB88" s="37">
        <v>0.14269380506524665</v>
      </c>
      <c r="AC88" s="37">
        <v>0.14023130097374642</v>
      </c>
      <c r="AD88" s="37">
        <v>0.13405293693710466</v>
      </c>
      <c r="AE88" s="37">
        <v>0.12809272073683961</v>
      </c>
      <c r="AF88" s="38">
        <f t="shared" ref="AF88" si="79">ROUND(SUM(H88:AE88)*G88,2)</f>
        <v>2704524.16</v>
      </c>
    </row>
    <row r="89" spans="1:32" ht="14.5" thickBot="1">
      <c r="A89">
        <f t="shared" si="53"/>
        <v>12</v>
      </c>
      <c r="B89">
        <f t="shared" si="54"/>
        <v>2032</v>
      </c>
      <c r="C89" t="str">
        <f t="shared" si="55"/>
        <v>122032</v>
      </c>
      <c r="E89" s="56">
        <v>48549</v>
      </c>
      <c r="F89" s="55">
        <f>+_xlfn.XLOOKUP(E89,'PRODUCTO 01'!$C$11:$C$139,'PRODUCTO 01'!$F$11:$F$139)</f>
        <v>3353323.81</v>
      </c>
      <c r="G89" s="36">
        <v>31</v>
      </c>
      <c r="H89" s="37">
        <v>2.8061034951478475E-3</v>
      </c>
      <c r="I89" s="37">
        <v>0</v>
      </c>
      <c r="J89" s="37">
        <v>0</v>
      </c>
      <c r="K89" s="37">
        <v>0</v>
      </c>
      <c r="L89" s="37">
        <v>0</v>
      </c>
      <c r="M89" s="37">
        <v>57.312728461333933</v>
      </c>
      <c r="N89" s="37">
        <v>0</v>
      </c>
      <c r="O89" s="37">
        <v>7543.1955454036779</v>
      </c>
      <c r="P89" s="37">
        <v>11997.836049855847</v>
      </c>
      <c r="Q89" s="37">
        <v>15573.371067812177</v>
      </c>
      <c r="R89" s="37">
        <v>15055.529604872763</v>
      </c>
      <c r="S89" s="37">
        <v>13271.062853574387</v>
      </c>
      <c r="T89" s="37">
        <v>13316.767060704324</v>
      </c>
      <c r="U89" s="37">
        <v>13351.090992761197</v>
      </c>
      <c r="V89" s="37">
        <v>11963.748258729704</v>
      </c>
      <c r="W89" s="37">
        <v>6010.9997226536789</v>
      </c>
      <c r="X89" s="37">
        <v>0</v>
      </c>
      <c r="Y89" s="37">
        <v>0</v>
      </c>
      <c r="Z89" s="37">
        <v>30.810915223022871</v>
      </c>
      <c r="AA89" s="37">
        <v>0</v>
      </c>
      <c r="AB89" s="37">
        <v>1.8034825104545236E-3</v>
      </c>
      <c r="AC89" s="37">
        <v>2.0834752289725753E-3</v>
      </c>
      <c r="AD89" s="37">
        <v>2.0834752289725753E-3</v>
      </c>
      <c r="AE89" s="37">
        <v>2.2378829781553263E-3</v>
      </c>
      <c r="AF89" s="38">
        <f t="shared" ref="AF89" si="80">ROUND(SUM(H89:AE89)*G89,2)</f>
        <v>3353323.81</v>
      </c>
    </row>
    <row r="90" spans="1:32" ht="14.5" thickBot="1">
      <c r="A90">
        <f t="shared" si="53"/>
        <v>1</v>
      </c>
      <c r="B90">
        <f t="shared" si="54"/>
        <v>2033</v>
      </c>
      <c r="C90" t="str">
        <f t="shared" si="55"/>
        <v>12033</v>
      </c>
      <c r="E90" s="56">
        <v>48580</v>
      </c>
      <c r="F90" s="55">
        <f>+_xlfn.XLOOKUP(E90,'PRODUCTO 01'!$C$11:$C$139,'PRODUCTO 01'!$F$11:$F$139)</f>
        <v>3649196.02</v>
      </c>
      <c r="G90" s="36">
        <v>31</v>
      </c>
      <c r="H90" s="37">
        <v>0.19895214243948867</v>
      </c>
      <c r="I90" s="37">
        <v>0.17720396737932403</v>
      </c>
      <c r="J90" s="37">
        <v>0.14472917088457343</v>
      </c>
      <c r="K90" s="37">
        <v>0.17082157421788827</v>
      </c>
      <c r="L90" s="37">
        <v>0.19516697907552982</v>
      </c>
      <c r="M90" s="37">
        <v>0.17518907040707155</v>
      </c>
      <c r="N90" s="37">
        <v>0</v>
      </c>
      <c r="O90" s="37">
        <v>2329.2833752783545</v>
      </c>
      <c r="P90" s="37">
        <v>9451.9437133909614</v>
      </c>
      <c r="Q90" s="37">
        <v>14763.956846837644</v>
      </c>
      <c r="R90" s="37">
        <v>14427.64712456744</v>
      </c>
      <c r="S90" s="37">
        <v>14725.38856013724</v>
      </c>
      <c r="T90" s="37">
        <v>14592.769769776647</v>
      </c>
      <c r="U90" s="37">
        <v>15269.549899022513</v>
      </c>
      <c r="V90" s="37">
        <v>15435.673585459228</v>
      </c>
      <c r="W90" s="37">
        <v>13069.498971639732</v>
      </c>
      <c r="X90" s="37">
        <v>3392.0173836245317</v>
      </c>
      <c r="Y90" s="37">
        <v>109.23291370540292</v>
      </c>
      <c r="Z90" s="37">
        <v>147.02750602430555</v>
      </c>
      <c r="AA90" s="37">
        <v>0.16857280093808499</v>
      </c>
      <c r="AB90" s="37">
        <v>0.23219365571768616</v>
      </c>
      <c r="AC90" s="37">
        <v>0.19495637068401206</v>
      </c>
      <c r="AD90" s="37">
        <v>0.15830141847556228</v>
      </c>
      <c r="AE90" s="37">
        <v>0.19495637068401206</v>
      </c>
      <c r="AF90" s="38">
        <f>ROUND(SUM(H90:AE90)*G90,2)</f>
        <v>3649196.02</v>
      </c>
    </row>
    <row r="91" spans="1:32" ht="14.5" thickBot="1">
      <c r="A91">
        <f t="shared" si="53"/>
        <v>2</v>
      </c>
      <c r="B91">
        <f t="shared" si="54"/>
        <v>2033</v>
      </c>
      <c r="C91" t="str">
        <f t="shared" si="55"/>
        <v>22033</v>
      </c>
      <c r="E91" s="56">
        <v>48611</v>
      </c>
      <c r="F91" s="55">
        <f>+_xlfn.XLOOKUP(E91,'PRODUCTO 01'!$C$11:$C$139,'PRODUCTO 01'!$F$11:$F$139)</f>
        <v>3058516.12</v>
      </c>
      <c r="G91" s="36">
        <v>28</v>
      </c>
      <c r="H91" s="37">
        <v>0</v>
      </c>
      <c r="I91" s="37">
        <v>0</v>
      </c>
      <c r="J91" s="37">
        <v>0</v>
      </c>
      <c r="K91" s="37">
        <v>6.7054317224018861E-3</v>
      </c>
      <c r="L91" s="37">
        <v>0</v>
      </c>
      <c r="M91" s="37">
        <v>0</v>
      </c>
      <c r="N91" s="37">
        <v>0</v>
      </c>
      <c r="O91" s="37">
        <v>2420.3672561451467</v>
      </c>
      <c r="P91" s="37">
        <v>8954.2651730202633</v>
      </c>
      <c r="Q91" s="37">
        <v>15702.670986794896</v>
      </c>
      <c r="R91" s="37">
        <v>16834.693713827892</v>
      </c>
      <c r="S91" s="37">
        <v>15077.415939457229</v>
      </c>
      <c r="T91" s="37">
        <v>13412.394825629963</v>
      </c>
      <c r="U91" s="37">
        <v>8158.0736877663376</v>
      </c>
      <c r="V91" s="37">
        <v>11281.406177370887</v>
      </c>
      <c r="W91" s="37">
        <v>12886.13729831369</v>
      </c>
      <c r="X91" s="37">
        <v>4317.7339573779991</v>
      </c>
      <c r="Y91" s="37">
        <v>0</v>
      </c>
      <c r="Z91" s="37">
        <v>187.54644781323654</v>
      </c>
      <c r="AA91" s="37">
        <v>0</v>
      </c>
      <c r="AB91" s="37">
        <v>0</v>
      </c>
      <c r="AC91" s="37">
        <v>0</v>
      </c>
      <c r="AD91" s="37">
        <v>0</v>
      </c>
      <c r="AE91" s="37">
        <v>6.3889135361779219E-3</v>
      </c>
      <c r="AF91" s="38">
        <f t="shared" ref="AF91" si="81">ROUND(SUM(H91:AE91)*G91,2)</f>
        <v>3058516.12</v>
      </c>
    </row>
    <row r="92" spans="1:32" ht="14.5" thickBot="1">
      <c r="A92">
        <f t="shared" si="53"/>
        <v>3</v>
      </c>
      <c r="B92">
        <f t="shared" si="54"/>
        <v>2033</v>
      </c>
      <c r="C92" t="str">
        <f t="shared" si="55"/>
        <v>32033</v>
      </c>
      <c r="E92" s="56">
        <v>48639</v>
      </c>
      <c r="F92" s="55">
        <f>+_xlfn.XLOOKUP(E92,'PRODUCTO 01'!$C$11:$C$139,'PRODUCTO 01'!$F$11:$F$139)</f>
        <v>3075509.42</v>
      </c>
      <c r="G92" s="36">
        <v>31</v>
      </c>
      <c r="H92" s="37">
        <v>0</v>
      </c>
      <c r="I92" s="37">
        <v>0</v>
      </c>
      <c r="J92" s="37">
        <v>2.9743579253244216E-3</v>
      </c>
      <c r="K92" s="37">
        <v>0</v>
      </c>
      <c r="L92" s="37">
        <v>0</v>
      </c>
      <c r="M92" s="37">
        <v>14.387319476464056</v>
      </c>
      <c r="N92" s="37">
        <v>0</v>
      </c>
      <c r="O92" s="37">
        <v>1857.8998534444795</v>
      </c>
      <c r="P92" s="37">
        <v>6840.5105678367017</v>
      </c>
      <c r="Q92" s="37">
        <v>10933.275996264119</v>
      </c>
      <c r="R92" s="37">
        <v>11429.549202654427</v>
      </c>
      <c r="S92" s="37">
        <v>12191.090771498564</v>
      </c>
      <c r="T92" s="37">
        <v>12640.343051179536</v>
      </c>
      <c r="U92" s="37">
        <v>13283.440743235969</v>
      </c>
      <c r="V92" s="37">
        <v>14642.877434868346</v>
      </c>
      <c r="W92" s="37">
        <v>11648.344802000382</v>
      </c>
      <c r="X92" s="37">
        <v>3537.9341492969866</v>
      </c>
      <c r="Y92" s="37">
        <v>0</v>
      </c>
      <c r="Z92" s="37">
        <v>190.1116504252785</v>
      </c>
      <c r="AA92" s="37">
        <v>0.21263932090208001</v>
      </c>
      <c r="AB92" s="37">
        <v>0</v>
      </c>
      <c r="AC92" s="37">
        <v>0</v>
      </c>
      <c r="AD92" s="37">
        <v>0</v>
      </c>
      <c r="AE92" s="37">
        <v>0</v>
      </c>
      <c r="AF92" s="38">
        <f t="shared" ref="AF92" si="82">ROUND(SUM(H92:AE92)*G92,2)</f>
        <v>3075509.42</v>
      </c>
    </row>
    <row r="93" spans="1:32" ht="14.5" thickBot="1">
      <c r="A93">
        <f t="shared" si="53"/>
        <v>4</v>
      </c>
      <c r="B93">
        <f t="shared" si="54"/>
        <v>2033</v>
      </c>
      <c r="C93" t="str">
        <f t="shared" si="55"/>
        <v>42033</v>
      </c>
      <c r="E93" s="56">
        <v>48670</v>
      </c>
      <c r="F93" s="55">
        <f>+_xlfn.XLOOKUP(E93,'PRODUCTO 01'!$C$11:$C$139,'PRODUCTO 01'!$F$11:$F$139)</f>
        <v>2407547.2000000002</v>
      </c>
      <c r="G93" s="36">
        <v>30</v>
      </c>
      <c r="H93" s="37">
        <v>0</v>
      </c>
      <c r="I93" s="37">
        <v>0</v>
      </c>
      <c r="J93" s="37">
        <v>0</v>
      </c>
      <c r="K93" s="37">
        <v>1.6401507741764725E-2</v>
      </c>
      <c r="L93" s="37">
        <v>8.0124100148687653E-3</v>
      </c>
      <c r="M93" s="37">
        <v>48.485606178847135</v>
      </c>
      <c r="N93" s="37">
        <v>0</v>
      </c>
      <c r="O93" s="37">
        <v>0</v>
      </c>
      <c r="P93" s="37">
        <v>2808.6780406564158</v>
      </c>
      <c r="Q93" s="37">
        <v>8373.0655390942084</v>
      </c>
      <c r="R93" s="37">
        <v>9514.6438000147173</v>
      </c>
      <c r="S93" s="37">
        <v>9436.8155617231587</v>
      </c>
      <c r="T93" s="37">
        <v>9682.2200780757994</v>
      </c>
      <c r="U93" s="37">
        <v>11219.075830344762</v>
      </c>
      <c r="V93" s="37">
        <v>10015.215340636607</v>
      </c>
      <c r="W93" s="37">
        <v>12074.086754179289</v>
      </c>
      <c r="X93" s="37">
        <v>5829.9395681022243</v>
      </c>
      <c r="Y93" s="37">
        <v>1105.0356184605112</v>
      </c>
      <c r="Z93" s="37">
        <v>144.11830841127949</v>
      </c>
      <c r="AA93" s="37">
        <v>0.16893397818531139</v>
      </c>
      <c r="AB93" s="37">
        <v>0</v>
      </c>
      <c r="AC93" s="37">
        <v>0</v>
      </c>
      <c r="AD93" s="37">
        <v>0</v>
      </c>
      <c r="AE93" s="37">
        <v>0</v>
      </c>
      <c r="AF93" s="38">
        <f t="shared" ref="AF93" si="83">ROUND(SUM(H93:AE93)*G93,2)</f>
        <v>2407547.2000000002</v>
      </c>
    </row>
    <row r="94" spans="1:32" ht="14.5" thickBot="1">
      <c r="A94">
        <f t="shared" si="53"/>
        <v>5</v>
      </c>
      <c r="B94">
        <f t="shared" si="54"/>
        <v>2033</v>
      </c>
      <c r="C94" t="str">
        <f t="shared" si="55"/>
        <v>52033</v>
      </c>
      <c r="E94" s="56">
        <v>48700</v>
      </c>
      <c r="F94" s="55">
        <f>+_xlfn.XLOOKUP(E94,'PRODUCTO 01'!$C$11:$C$139,'PRODUCTO 01'!$F$11:$F$139)</f>
        <v>2693503.02</v>
      </c>
      <c r="G94" s="36">
        <v>31</v>
      </c>
      <c r="H94" s="37">
        <v>1.8489651091654917E-3</v>
      </c>
      <c r="I94" s="37">
        <v>0</v>
      </c>
      <c r="J94" s="37">
        <v>2.2596830943153036E-3</v>
      </c>
      <c r="K94" s="37">
        <v>0</v>
      </c>
      <c r="L94" s="37">
        <v>0</v>
      </c>
      <c r="M94" s="37">
        <v>126.51253456082074</v>
      </c>
      <c r="N94" s="37">
        <v>536.52876493859378</v>
      </c>
      <c r="O94" s="37">
        <v>4411.9951432312046</v>
      </c>
      <c r="P94" s="37">
        <v>11779.102614884065</v>
      </c>
      <c r="Q94" s="37">
        <v>12508.96645551206</v>
      </c>
      <c r="R94" s="37">
        <v>8946.9947543958406</v>
      </c>
      <c r="S94" s="37">
        <v>6349.3206897638183</v>
      </c>
      <c r="T94" s="37">
        <v>5259.6027203368585</v>
      </c>
      <c r="U94" s="37">
        <v>6134.9461978048794</v>
      </c>
      <c r="V94" s="37">
        <v>9612.016360313839</v>
      </c>
      <c r="W94" s="37">
        <v>11643.647981975624</v>
      </c>
      <c r="X94" s="37">
        <v>8186.9202452714489</v>
      </c>
      <c r="Y94" s="37">
        <v>1227.7604515564651</v>
      </c>
      <c r="Z94" s="37">
        <v>160.80872519134559</v>
      </c>
      <c r="AA94" s="37">
        <v>2.0487662803142173</v>
      </c>
      <c r="AB94" s="37">
        <v>5.0880084861796432E-3</v>
      </c>
      <c r="AC94" s="37">
        <v>4.9296791081814362E-3</v>
      </c>
      <c r="AD94" s="37">
        <v>4.5351974375757338E-3</v>
      </c>
      <c r="AE94" s="37">
        <v>3.0297265722029642E-3</v>
      </c>
      <c r="AF94" s="38">
        <f t="shared" ref="AF94" si="84">ROUND(SUM(H94:AE94)*G94,2)</f>
        <v>2693503.02</v>
      </c>
    </row>
    <row r="95" spans="1:32" ht="14.5" thickBot="1">
      <c r="A95">
        <f t="shared" si="53"/>
        <v>6</v>
      </c>
      <c r="B95">
        <f t="shared" si="54"/>
        <v>2033</v>
      </c>
      <c r="C95" t="str">
        <f t="shared" si="55"/>
        <v>62033</v>
      </c>
      <c r="E95" s="56">
        <v>48731</v>
      </c>
      <c r="F95" s="55">
        <f>+_xlfn.XLOOKUP(E95,'PRODUCTO 01'!$C$11:$C$139,'PRODUCTO 01'!$F$11:$F$139)</f>
        <v>2096440.5</v>
      </c>
      <c r="G95" s="36">
        <v>30</v>
      </c>
      <c r="H95" s="37">
        <v>9.3742105269627504E-3</v>
      </c>
      <c r="I95" s="37">
        <v>9.3627048988228698E-3</v>
      </c>
      <c r="J95" s="37">
        <v>8.9197382154377006E-3</v>
      </c>
      <c r="K95" s="37">
        <v>4.4572748438188363E-2</v>
      </c>
      <c r="L95" s="37">
        <v>4.2511217094206029E-2</v>
      </c>
      <c r="M95" s="37">
        <v>110.85364801957083</v>
      </c>
      <c r="N95" s="37">
        <v>0</v>
      </c>
      <c r="O95" s="37">
        <v>1518.6261591151683</v>
      </c>
      <c r="P95" s="37">
        <v>5856.1264588743888</v>
      </c>
      <c r="Q95" s="37">
        <v>11233.144191521496</v>
      </c>
      <c r="R95" s="37">
        <v>11398.248846238603</v>
      </c>
      <c r="S95" s="37">
        <v>10176.461930387552</v>
      </c>
      <c r="T95" s="37">
        <v>11972.128566615014</v>
      </c>
      <c r="U95" s="37">
        <v>8362.8904789352982</v>
      </c>
      <c r="V95" s="37">
        <v>5887.5545330877821</v>
      </c>
      <c r="W95" s="37">
        <v>2927.7678018769479</v>
      </c>
      <c r="X95" s="37">
        <v>0</v>
      </c>
      <c r="Y95" s="37">
        <v>260.73182170499962</v>
      </c>
      <c r="Z95" s="37">
        <v>173.33669328758498</v>
      </c>
      <c r="AA95" s="37">
        <v>3.3265464953477579</v>
      </c>
      <c r="AB95" s="37">
        <v>9.5611769842357044E-3</v>
      </c>
      <c r="AC95" s="37">
        <v>9.3598284917879061E-3</v>
      </c>
      <c r="AD95" s="37">
        <v>9.3483228636480273E-3</v>
      </c>
      <c r="AE95" s="37">
        <v>9.4173566324872761E-3</v>
      </c>
      <c r="AF95" s="38">
        <f t="shared" ref="AF95" si="85">ROUND(SUM(H95:AE95)*G95,2)</f>
        <v>2096440.5</v>
      </c>
    </row>
    <row r="96" spans="1:32" ht="14.5" thickBot="1">
      <c r="A96">
        <f t="shared" si="53"/>
        <v>7</v>
      </c>
      <c r="B96">
        <f t="shared" si="54"/>
        <v>2033</v>
      </c>
      <c r="C96" t="str">
        <f t="shared" si="55"/>
        <v>72033</v>
      </c>
      <c r="E96" s="56">
        <v>48761</v>
      </c>
      <c r="F96" s="55">
        <f>+_xlfn.XLOOKUP(E96,'PRODUCTO 01'!$C$11:$C$139,'PRODUCTO 01'!$F$11:$F$139)</f>
        <v>2491982.7200000002</v>
      </c>
      <c r="G96" s="36">
        <v>31</v>
      </c>
      <c r="H96" s="37">
        <v>3.2081430911830022E-3</v>
      </c>
      <c r="I96" s="37">
        <v>0</v>
      </c>
      <c r="J96" s="37">
        <v>0</v>
      </c>
      <c r="K96" s="37">
        <v>0</v>
      </c>
      <c r="L96" s="37">
        <v>1.1530112605136799E-3</v>
      </c>
      <c r="M96" s="37">
        <v>29.973241917386002</v>
      </c>
      <c r="N96" s="37">
        <v>0</v>
      </c>
      <c r="O96" s="37">
        <v>724.52410788671943</v>
      </c>
      <c r="P96" s="37">
        <v>6355.4695122439816</v>
      </c>
      <c r="Q96" s="37">
        <v>12514.017800479087</v>
      </c>
      <c r="R96" s="37">
        <v>10743.79028750026</v>
      </c>
      <c r="S96" s="37">
        <v>10432.777701237295</v>
      </c>
      <c r="T96" s="37">
        <v>11924.286109564729</v>
      </c>
      <c r="U96" s="37">
        <v>6414.7621317163121</v>
      </c>
      <c r="V96" s="37">
        <v>6904.9737340892434</v>
      </c>
      <c r="W96" s="37">
        <v>8995.1015798355802</v>
      </c>
      <c r="X96" s="37">
        <v>4370.9021294853992</v>
      </c>
      <c r="Y96" s="37">
        <v>764.68939482512178</v>
      </c>
      <c r="Z96" s="37">
        <v>205.59412109574416</v>
      </c>
      <c r="AA96" s="37">
        <v>5.669355611865142</v>
      </c>
      <c r="AB96" s="37">
        <v>3.7914418350344561E-3</v>
      </c>
      <c r="AC96" s="37">
        <v>0</v>
      </c>
      <c r="AD96" s="37">
        <v>0</v>
      </c>
      <c r="AE96" s="37">
        <v>0</v>
      </c>
      <c r="AF96" s="38">
        <f t="shared" ref="AF96" si="86">ROUND(SUM(H96:AE96)*G96,2)</f>
        <v>2491982.7200000002</v>
      </c>
    </row>
    <row r="97" spans="1:32" ht="14.5" thickBot="1">
      <c r="A97">
        <f t="shared" si="53"/>
        <v>8</v>
      </c>
      <c r="B97">
        <f t="shared" si="54"/>
        <v>2033</v>
      </c>
      <c r="C97" t="str">
        <f t="shared" si="55"/>
        <v>82033</v>
      </c>
      <c r="E97" s="56">
        <v>48792</v>
      </c>
      <c r="F97" s="55">
        <f>+_xlfn.XLOOKUP(E97,'PRODUCTO 01'!$C$11:$C$139,'PRODUCTO 01'!$F$11:$F$139)</f>
        <v>2460764.1800000002</v>
      </c>
      <c r="G97" s="36">
        <v>31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37.771092976389603</v>
      </c>
      <c r="N97" s="37">
        <v>0</v>
      </c>
      <c r="O97" s="37">
        <v>1251.4924499166546</v>
      </c>
      <c r="P97" s="37">
        <v>10540.216995423547</v>
      </c>
      <c r="Q97" s="37">
        <v>12334.955218978623</v>
      </c>
      <c r="R97" s="37">
        <v>13107.780247383485</v>
      </c>
      <c r="S97" s="37">
        <v>7869.7792328793976</v>
      </c>
      <c r="T97" s="37">
        <v>8024.1065612191824</v>
      </c>
      <c r="U97" s="37">
        <v>9599.9879059221239</v>
      </c>
      <c r="V97" s="37">
        <v>5994.6254323446728</v>
      </c>
      <c r="W97" s="37">
        <v>8275.0253523180399</v>
      </c>
      <c r="X97" s="37">
        <v>2164.145963043723</v>
      </c>
      <c r="Y97" s="37">
        <v>0</v>
      </c>
      <c r="Z97" s="37">
        <v>178.56111827126327</v>
      </c>
      <c r="AA97" s="37">
        <v>1.0421420509488135</v>
      </c>
      <c r="AB97" s="37">
        <v>0</v>
      </c>
      <c r="AC97" s="37">
        <v>0</v>
      </c>
      <c r="AD97" s="37">
        <v>0</v>
      </c>
      <c r="AE97" s="37">
        <v>0</v>
      </c>
      <c r="AF97" s="38">
        <f t="shared" ref="AF97" si="87">ROUND(SUM(H97:AE97)*G97,2)</f>
        <v>2460764.1800000002</v>
      </c>
    </row>
    <row r="98" spans="1:32" ht="14.5" thickBot="1">
      <c r="A98">
        <f t="shared" si="53"/>
        <v>9</v>
      </c>
      <c r="B98">
        <f t="shared" si="54"/>
        <v>2033</v>
      </c>
      <c r="C98" t="str">
        <f t="shared" si="55"/>
        <v>92033</v>
      </c>
      <c r="E98" s="56">
        <v>48823</v>
      </c>
      <c r="F98" s="55">
        <f>+_xlfn.XLOOKUP(E98,'PRODUCTO 01'!$C$11:$C$139,'PRODUCTO 01'!$F$11:$F$139)</f>
        <v>2463570.65</v>
      </c>
      <c r="G98" s="36">
        <v>30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139.53048343605229</v>
      </c>
      <c r="N98" s="37">
        <v>0</v>
      </c>
      <c r="O98" s="37">
        <v>8614.7633633632649</v>
      </c>
      <c r="P98" s="37">
        <v>13742.2666407832</v>
      </c>
      <c r="Q98" s="37">
        <v>12634.449035841824</v>
      </c>
      <c r="R98" s="37">
        <v>7683.1511325087968</v>
      </c>
      <c r="S98" s="37">
        <v>3861.7291125304964</v>
      </c>
      <c r="T98" s="37">
        <v>6059.907830605629</v>
      </c>
      <c r="U98" s="37">
        <v>9441.5485467639392</v>
      </c>
      <c r="V98" s="37">
        <v>7102.198447372436</v>
      </c>
      <c r="W98" s="37">
        <v>9131.272764903737</v>
      </c>
      <c r="X98" s="37">
        <v>3471.1991699941987</v>
      </c>
      <c r="Y98" s="37">
        <v>152.63133605029029</v>
      </c>
      <c r="Z98" s="37">
        <v>84.356663593383203</v>
      </c>
      <c r="AA98" s="37">
        <v>1.7222732258404202E-2</v>
      </c>
      <c r="AB98" s="37">
        <v>0</v>
      </c>
      <c r="AC98" s="37">
        <v>0</v>
      </c>
      <c r="AD98" s="37">
        <v>0</v>
      </c>
      <c r="AE98" s="37">
        <v>0</v>
      </c>
      <c r="AF98" s="38">
        <f t="shared" ref="AF98" si="88">ROUND(SUM(H98:AE98)*G98,2)</f>
        <v>2463570.65</v>
      </c>
    </row>
    <row r="99" spans="1:32" ht="14.5" thickBot="1">
      <c r="A99">
        <f t="shared" si="53"/>
        <v>10</v>
      </c>
      <c r="B99">
        <f t="shared" si="54"/>
        <v>2033</v>
      </c>
      <c r="C99" t="str">
        <f t="shared" si="55"/>
        <v>102033</v>
      </c>
      <c r="E99" s="56">
        <v>48853</v>
      </c>
      <c r="F99" s="55">
        <f>+_xlfn.XLOOKUP(E99,'PRODUCTO 01'!$C$11:$C$139,'PRODUCTO 01'!$F$11:$F$139)</f>
        <v>2844049.61</v>
      </c>
      <c r="G99" s="36">
        <v>31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39.196363114247561</v>
      </c>
      <c r="N99" s="37">
        <v>0</v>
      </c>
      <c r="O99" s="37">
        <v>6150.8445316355483</v>
      </c>
      <c r="P99" s="37">
        <v>9607.7357339738919</v>
      </c>
      <c r="Q99" s="37">
        <v>13844.300041286961</v>
      </c>
      <c r="R99" s="37">
        <v>12300.352220409577</v>
      </c>
      <c r="S99" s="37">
        <v>10616.933718183556</v>
      </c>
      <c r="T99" s="37">
        <v>9281.4304598050276</v>
      </c>
      <c r="U99" s="37">
        <v>9990.5457507050305</v>
      </c>
      <c r="V99" s="37">
        <v>9065.0159994387832</v>
      </c>
      <c r="W99" s="37">
        <v>6711.1136539699301</v>
      </c>
      <c r="X99" s="37">
        <v>3818.3158813142559</v>
      </c>
      <c r="Y99" s="37">
        <v>271.42944603718934</v>
      </c>
      <c r="Z99" s="37">
        <v>46.303498705419685</v>
      </c>
      <c r="AA99" s="37">
        <v>3.6158241464539919E-3</v>
      </c>
      <c r="AB99" s="37">
        <v>3.6435358581834052E-3</v>
      </c>
      <c r="AC99" s="37">
        <v>3.7011762185805899E-3</v>
      </c>
      <c r="AD99" s="37">
        <v>3.77544360601542E-3</v>
      </c>
      <c r="AE99" s="37">
        <v>3.7876367591763603E-3</v>
      </c>
      <c r="AF99" s="38">
        <f t="shared" ref="AF99" si="89">ROUND(SUM(H99:AE99)*G99,2)</f>
        <v>2844049.61</v>
      </c>
    </row>
    <row r="100" spans="1:32" ht="14.5" thickBot="1">
      <c r="A100">
        <f t="shared" si="53"/>
        <v>11</v>
      </c>
      <c r="B100">
        <f t="shared" si="54"/>
        <v>2033</v>
      </c>
      <c r="C100" t="str">
        <f t="shared" si="55"/>
        <v>112033</v>
      </c>
      <c r="E100" s="56">
        <v>48884</v>
      </c>
      <c r="F100" s="55">
        <f>+_xlfn.XLOOKUP(E100,'PRODUCTO 01'!$C$11:$C$139,'PRODUCTO 01'!$F$11:$F$139)</f>
        <v>2687640.14</v>
      </c>
      <c r="G100" s="36">
        <v>30</v>
      </c>
      <c r="H100" s="37">
        <v>7.2381324810359053E-4</v>
      </c>
      <c r="I100" s="37">
        <v>5.9204119877666848E-4</v>
      </c>
      <c r="J100" s="37">
        <v>5.0773046272128161E-4</v>
      </c>
      <c r="K100" s="37">
        <v>4.6026914944974654E-4</v>
      </c>
      <c r="L100" s="37">
        <v>5.5425875279833676E-4</v>
      </c>
      <c r="M100" s="37">
        <v>105.22579003635127</v>
      </c>
      <c r="N100" s="37">
        <v>0</v>
      </c>
      <c r="O100" s="37">
        <v>2817.2713706856066</v>
      </c>
      <c r="P100" s="37">
        <v>5289.3668182755646</v>
      </c>
      <c r="Q100" s="37">
        <v>6175.5371351015438</v>
      </c>
      <c r="R100" s="37">
        <v>6538.860573398204</v>
      </c>
      <c r="S100" s="37">
        <v>9165.7487289705132</v>
      </c>
      <c r="T100" s="37">
        <v>11346.137354829145</v>
      </c>
      <c r="U100" s="37">
        <v>14140.05207700655</v>
      </c>
      <c r="V100" s="37">
        <v>16695.689226528833</v>
      </c>
      <c r="W100" s="37">
        <v>13375.616014553638</v>
      </c>
      <c r="X100" s="37">
        <v>3574.1532885697907</v>
      </c>
      <c r="Y100" s="37">
        <v>336.15396782026841</v>
      </c>
      <c r="Z100" s="37">
        <v>27.503988976162471</v>
      </c>
      <c r="AA100" s="37">
        <v>0.14227441321164247</v>
      </c>
      <c r="AB100" s="37">
        <v>0.14219383644244724</v>
      </c>
      <c r="AC100" s="37">
        <v>0.13973996043945236</v>
      </c>
      <c r="AD100" s="37">
        <v>0.13358324407109709</v>
      </c>
      <c r="AE100" s="37">
        <v>0.12764391119568175</v>
      </c>
      <c r="AF100" s="38">
        <f t="shared" ref="AF100" si="90">ROUND(SUM(H100:AE100)*G100,2)</f>
        <v>2687640.14</v>
      </c>
    </row>
    <row r="101" spans="1:32" ht="14.5" thickBot="1">
      <c r="A101">
        <f t="shared" si="53"/>
        <v>12</v>
      </c>
      <c r="B101">
        <f t="shared" si="54"/>
        <v>2033</v>
      </c>
      <c r="C101" t="str">
        <f t="shared" si="55"/>
        <v>122033</v>
      </c>
      <c r="E101" s="56">
        <v>48914</v>
      </c>
      <c r="F101" s="55">
        <f>+_xlfn.XLOOKUP(E101,'PRODUCTO 01'!$C$11:$C$139,'PRODUCTO 01'!$F$11:$F$139)</f>
        <v>3334771.76</v>
      </c>
      <c r="G101" s="36">
        <v>31</v>
      </c>
      <c r="H101" s="37">
        <v>2.7962715077027044E-3</v>
      </c>
      <c r="I101" s="37">
        <v>0</v>
      </c>
      <c r="J101" s="37">
        <v>0</v>
      </c>
      <c r="K101" s="37">
        <v>0</v>
      </c>
      <c r="L101" s="37">
        <v>0</v>
      </c>
      <c r="M101" s="37">
        <v>57.121032782402978</v>
      </c>
      <c r="N101" s="37">
        <v>0</v>
      </c>
      <c r="O101" s="37">
        <v>7498.1992822531247</v>
      </c>
      <c r="P101" s="37">
        <v>11931.204369488403</v>
      </c>
      <c r="Q101" s="37">
        <v>15492.873270890297</v>
      </c>
      <c r="R101" s="37">
        <v>14977.380493564391</v>
      </c>
      <c r="S101" s="37">
        <v>13197.711919592361</v>
      </c>
      <c r="T101" s="37">
        <v>13244.214800642505</v>
      </c>
      <c r="U101" s="37">
        <v>13280.237319679731</v>
      </c>
      <c r="V101" s="37">
        <v>11897.008698844898</v>
      </c>
      <c r="W101" s="37">
        <v>5966.6070617978885</v>
      </c>
      <c r="X101" s="37">
        <v>0</v>
      </c>
      <c r="Y101" s="37">
        <v>0</v>
      </c>
      <c r="Z101" s="37">
        <v>30.713470250245283</v>
      </c>
      <c r="AA101" s="37">
        <v>0</v>
      </c>
      <c r="AB101" s="37">
        <v>1.7971634928448782E-3</v>
      </c>
      <c r="AC101" s="37">
        <v>2.0761751766655463E-3</v>
      </c>
      <c r="AD101" s="37">
        <v>2.0761751766655463E-3</v>
      </c>
      <c r="AE101" s="37">
        <v>2.2300419140666478E-3</v>
      </c>
      <c r="AF101" s="38">
        <f t="shared" ref="AF101" si="91">ROUND(SUM(H101:AE101)*G101,2)</f>
        <v>3334771.76</v>
      </c>
    </row>
    <row r="102" spans="1:32" ht="14.5" thickBot="1">
      <c r="A102">
        <f t="shared" si="53"/>
        <v>1</v>
      </c>
      <c r="B102">
        <f t="shared" si="54"/>
        <v>2034</v>
      </c>
      <c r="C102" t="str">
        <f t="shared" si="55"/>
        <v>12034</v>
      </c>
      <c r="E102" s="56">
        <v>48945</v>
      </c>
      <c r="F102" s="55">
        <f>+_xlfn.XLOOKUP(E102,'PRODUCTO 01'!$C$11:$C$139,'PRODUCTO 01'!$F$11:$F$139)</f>
        <v>3628814.27</v>
      </c>
      <c r="G102" s="36">
        <v>31</v>
      </c>
      <c r="H102" s="37">
        <v>0.19825852292526067</v>
      </c>
      <c r="I102" s="37">
        <v>0.17658692115393854</v>
      </c>
      <c r="J102" s="37">
        <v>0.14422488735575645</v>
      </c>
      <c r="K102" s="37">
        <v>0.17022606087028683</v>
      </c>
      <c r="L102" s="37">
        <v>0.19448612992157985</v>
      </c>
      <c r="M102" s="37">
        <v>0.17457882202838007</v>
      </c>
      <c r="N102" s="37">
        <v>0</v>
      </c>
      <c r="O102" s="37">
        <v>2302.4045599885671</v>
      </c>
      <c r="P102" s="37">
        <v>9394.6219950121867</v>
      </c>
      <c r="Q102" s="37">
        <v>14686.080582243385</v>
      </c>
      <c r="R102" s="37">
        <v>14349.823378206693</v>
      </c>
      <c r="S102" s="37">
        <v>14646.478893521074</v>
      </c>
      <c r="T102" s="37">
        <v>14514.715301001015</v>
      </c>
      <c r="U102" s="37">
        <v>15190.67072890563</v>
      </c>
      <c r="V102" s="37">
        <v>15357.152603695262</v>
      </c>
      <c r="W102" s="37">
        <v>13001.435659538836</v>
      </c>
      <c r="X102" s="37">
        <v>3361.803316160428</v>
      </c>
      <c r="Y102" s="37">
        <v>104.82061863040717</v>
      </c>
      <c r="Z102" s="37">
        <v>146.51333318977936</v>
      </c>
      <c r="AA102" s="37">
        <v>0.16798362891693289</v>
      </c>
      <c r="AB102" s="37">
        <v>0.23138219562133161</v>
      </c>
      <c r="AC102" s="37">
        <v>0.19427498650866951</v>
      </c>
      <c r="AD102" s="37">
        <v>0.15774814555041966</v>
      </c>
      <c r="AE102" s="37">
        <v>0.19427498650866951</v>
      </c>
      <c r="AF102" s="38">
        <f>ROUND(SUM(H102:AE102)*G102,2)</f>
        <v>3628814.27</v>
      </c>
    </row>
    <row r="103" spans="1:32" ht="14.5" thickBot="1">
      <c r="A103">
        <f t="shared" si="53"/>
        <v>2</v>
      </c>
      <c r="B103">
        <f t="shared" si="54"/>
        <v>2034</v>
      </c>
      <c r="C103" t="str">
        <f t="shared" si="55"/>
        <v>22034</v>
      </c>
      <c r="E103" s="56">
        <v>48976</v>
      </c>
      <c r="F103" s="55">
        <f>+_xlfn.XLOOKUP(E103,'PRODUCTO 01'!$C$11:$C$139,'PRODUCTO 01'!$F$11:$F$139)</f>
        <v>3040277.38</v>
      </c>
      <c r="G103" s="36">
        <v>28</v>
      </c>
      <c r="H103" s="37">
        <v>0</v>
      </c>
      <c r="I103" s="37">
        <v>0</v>
      </c>
      <c r="J103" s="37">
        <v>0</v>
      </c>
      <c r="K103" s="37">
        <v>6.6824870306270521E-3</v>
      </c>
      <c r="L103" s="37">
        <v>0</v>
      </c>
      <c r="M103" s="37">
        <v>0</v>
      </c>
      <c r="N103" s="37">
        <v>0</v>
      </c>
      <c r="O103" s="37">
        <v>2392.6621449447553</v>
      </c>
      <c r="P103" s="37">
        <v>8896.9715022307064</v>
      </c>
      <c r="Q103" s="37">
        <v>15619.654833485614</v>
      </c>
      <c r="R103" s="37">
        <v>16746.39323397895</v>
      </c>
      <c r="S103" s="37">
        <v>14994.277919448699</v>
      </c>
      <c r="T103" s="37">
        <v>13335.244243528279</v>
      </c>
      <c r="U103" s="37">
        <v>8097.643446756254</v>
      </c>
      <c r="V103" s="37">
        <v>11212.736476200875</v>
      </c>
      <c r="W103" s="37">
        <v>12817.399855329735</v>
      </c>
      <c r="X103" s="37">
        <v>4281.4411600951416</v>
      </c>
      <c r="Y103" s="37">
        <v>0</v>
      </c>
      <c r="Z103" s="37">
        <v>186.89719300483051</v>
      </c>
      <c r="AA103" s="37">
        <v>0</v>
      </c>
      <c r="AB103" s="37">
        <v>0</v>
      </c>
      <c r="AC103" s="37">
        <v>0</v>
      </c>
      <c r="AD103" s="37">
        <v>0</v>
      </c>
      <c r="AE103" s="37">
        <v>6.367176433973094E-3</v>
      </c>
      <c r="AF103" s="38">
        <f t="shared" ref="AF103" si="92">ROUND(SUM(H103:AE103)*G103,2)</f>
        <v>3040277.38</v>
      </c>
    </row>
    <row r="104" spans="1:32" ht="14.5" thickBot="1">
      <c r="A104">
        <f t="shared" si="53"/>
        <v>3</v>
      </c>
      <c r="B104">
        <f t="shared" si="54"/>
        <v>2034</v>
      </c>
      <c r="C104" t="str">
        <f t="shared" si="55"/>
        <v>32034</v>
      </c>
      <c r="E104" s="56">
        <v>49004</v>
      </c>
      <c r="F104" s="55">
        <f>+_xlfn.XLOOKUP(E104,'PRODUCTO 01'!$C$11:$C$139,'PRODUCTO 01'!$F$11:$F$139)</f>
        <v>3057198.61</v>
      </c>
      <c r="G104" s="36">
        <v>31</v>
      </c>
      <c r="H104" s="37">
        <v>0</v>
      </c>
      <c r="I104" s="37">
        <v>0</v>
      </c>
      <c r="J104" s="37">
        <v>2.9641800851851088E-3</v>
      </c>
      <c r="K104" s="37">
        <v>0</v>
      </c>
      <c r="L104" s="37">
        <v>0</v>
      </c>
      <c r="M104" s="37">
        <v>14.336948389381643</v>
      </c>
      <c r="N104" s="37">
        <v>0</v>
      </c>
      <c r="O104" s="37">
        <v>1835.7523183071687</v>
      </c>
      <c r="P104" s="37">
        <v>6794.2893881185555</v>
      </c>
      <c r="Q104" s="37">
        <v>10867.712925502716</v>
      </c>
      <c r="R104" s="37">
        <v>11358.877637451085</v>
      </c>
      <c r="S104" s="37">
        <v>12117.518061377245</v>
      </c>
      <c r="T104" s="37">
        <v>12567.296199484128</v>
      </c>
      <c r="U104" s="37">
        <v>13209.247439421955</v>
      </c>
      <c r="V104" s="37">
        <v>14566.82907707776</v>
      </c>
      <c r="W104" s="37">
        <v>11588.066479911426</v>
      </c>
      <c r="X104" s="37">
        <v>3509.7224479496872</v>
      </c>
      <c r="Y104" s="37">
        <v>0</v>
      </c>
      <c r="Z104" s="37">
        <v>189.44633338652622</v>
      </c>
      <c r="AA104" s="37">
        <v>0.21189613375815691</v>
      </c>
      <c r="AB104" s="37">
        <v>0</v>
      </c>
      <c r="AC104" s="37">
        <v>0</v>
      </c>
      <c r="AD104" s="37">
        <v>0</v>
      </c>
      <c r="AE104" s="37">
        <v>0</v>
      </c>
      <c r="AF104" s="38">
        <f t="shared" ref="AF104" si="93">ROUND(SUM(H104:AE104)*G104,2)</f>
        <v>3057198.61</v>
      </c>
    </row>
    <row r="105" spans="1:32" ht="14.5" thickBot="1">
      <c r="A105">
        <f t="shared" si="53"/>
        <v>4</v>
      </c>
      <c r="B105">
        <f t="shared" si="54"/>
        <v>2034</v>
      </c>
      <c r="C105" t="str">
        <f t="shared" si="55"/>
        <v>42034</v>
      </c>
      <c r="E105" s="56">
        <v>49035</v>
      </c>
      <c r="F105" s="55">
        <f>+_xlfn.XLOOKUP(E105,'PRODUCTO 01'!$C$11:$C$139,'PRODUCTO 01'!$F$11:$F$139)</f>
        <v>2391948.35</v>
      </c>
      <c r="G105" s="36">
        <v>30</v>
      </c>
      <c r="H105" s="37">
        <v>0</v>
      </c>
      <c r="I105" s="37">
        <v>0</v>
      </c>
      <c r="J105" s="37">
        <v>0</v>
      </c>
      <c r="K105" s="37">
        <v>1.6345910521750093E-2</v>
      </c>
      <c r="L105" s="37">
        <v>7.985376775654026E-3</v>
      </c>
      <c r="M105" s="37">
        <v>48.299461773294766</v>
      </c>
      <c r="N105" s="37">
        <v>0</v>
      </c>
      <c r="O105" s="37">
        <v>0</v>
      </c>
      <c r="P105" s="37">
        <v>2774.5167482921097</v>
      </c>
      <c r="Q105" s="37">
        <v>8315.0571333451571</v>
      </c>
      <c r="R105" s="37">
        <v>9449.5766841917502</v>
      </c>
      <c r="S105" s="37">
        <v>9369.5446773383937</v>
      </c>
      <c r="T105" s="37">
        <v>9615.9792163150341</v>
      </c>
      <c r="U105" s="37">
        <v>11147.997593465598</v>
      </c>
      <c r="V105" s="37">
        <v>9954.138740446826</v>
      </c>
      <c r="W105" s="37">
        <v>12015.756706088061</v>
      </c>
      <c r="X105" s="37">
        <v>5798.292993540409</v>
      </c>
      <c r="Y105" s="37">
        <v>1098.6429960536557</v>
      </c>
      <c r="Z105" s="37">
        <v>143.61590447975922</v>
      </c>
      <c r="AA105" s="37">
        <v>0.16834354382807926</v>
      </c>
      <c r="AB105" s="37">
        <v>0</v>
      </c>
      <c r="AC105" s="37">
        <v>0</v>
      </c>
      <c r="AD105" s="37">
        <v>0</v>
      </c>
      <c r="AE105" s="37">
        <v>0</v>
      </c>
      <c r="AF105" s="38">
        <f t="shared" ref="AF105" si="94">ROUND(SUM(H105:AE105)*G105,2)</f>
        <v>2391948.35</v>
      </c>
    </row>
    <row r="106" spans="1:32" ht="14.5" thickBot="1">
      <c r="A106">
        <f t="shared" si="53"/>
        <v>5</v>
      </c>
      <c r="B106">
        <f t="shared" si="54"/>
        <v>2034</v>
      </c>
      <c r="C106" t="str">
        <f t="shared" si="55"/>
        <v>52034</v>
      </c>
      <c r="E106" s="56">
        <v>49065</v>
      </c>
      <c r="F106" s="55">
        <f>+_xlfn.XLOOKUP(E106,'PRODUCTO 01'!$C$11:$C$139,'PRODUCTO 01'!$F$11:$F$139)</f>
        <v>2676213.16</v>
      </c>
      <c r="G106" s="36">
        <v>31</v>
      </c>
      <c r="H106" s="37">
        <v>1.8425028655274618E-3</v>
      </c>
      <c r="I106" s="37">
        <v>0</v>
      </c>
      <c r="J106" s="37">
        <v>2.2519504919838295E-3</v>
      </c>
      <c r="K106" s="37">
        <v>0</v>
      </c>
      <c r="L106" s="37">
        <v>0</v>
      </c>
      <c r="M106" s="37">
        <v>126.01917389008645</v>
      </c>
      <c r="N106" s="37">
        <v>527.65657577549928</v>
      </c>
      <c r="O106" s="37">
        <v>4381.5954187344969</v>
      </c>
      <c r="P106" s="37">
        <v>11718.342127082691</v>
      </c>
      <c r="Q106" s="37">
        <v>12441.068369130851</v>
      </c>
      <c r="R106" s="37">
        <v>8884.1323159861149</v>
      </c>
      <c r="S106" s="37">
        <v>6293.283615756578</v>
      </c>
      <c r="T106" s="37">
        <v>5209.446409705085</v>
      </c>
      <c r="U106" s="37">
        <v>6084.315760184194</v>
      </c>
      <c r="V106" s="37">
        <v>9553.2552737346759</v>
      </c>
      <c r="W106" s="37">
        <v>11583.215454870693</v>
      </c>
      <c r="X106" s="37">
        <v>8144.4254137814778</v>
      </c>
      <c r="Y106" s="37">
        <v>1220.3944915775614</v>
      </c>
      <c r="Z106" s="37">
        <v>160.24314073237616</v>
      </c>
      <c r="AA106" s="37">
        <v>2.0416057196334689</v>
      </c>
      <c r="AB106" s="37">
        <v>5.0702255922207102E-3</v>
      </c>
      <c r="AC106" s="37">
        <v>4.9124495848678531E-3</v>
      </c>
      <c r="AD106" s="37">
        <v>4.519346651293772E-3</v>
      </c>
      <c r="AE106" s="37">
        <v>3.0191374966335349E-3</v>
      </c>
      <c r="AF106" s="38">
        <f t="shared" ref="AF106" si="95">ROUND(SUM(H106:AE106)*G106,2)</f>
        <v>2676213.16</v>
      </c>
    </row>
    <row r="107" spans="1:32" ht="14.5" thickBot="1">
      <c r="A107">
        <f t="shared" si="53"/>
        <v>6</v>
      </c>
      <c r="B107">
        <f t="shared" si="54"/>
        <v>2034</v>
      </c>
      <c r="C107" t="str">
        <f t="shared" si="55"/>
        <v>62034</v>
      </c>
      <c r="E107" s="56">
        <v>49096</v>
      </c>
      <c r="F107" s="55">
        <f>+_xlfn.XLOOKUP(E107,'PRODUCTO 01'!$C$11:$C$139,'PRODUCTO 01'!$F$11:$F$139)</f>
        <v>2081926.5</v>
      </c>
      <c r="G107" s="36">
        <v>30</v>
      </c>
      <c r="H107" s="37">
        <v>9.3414471005253789E-3</v>
      </c>
      <c r="I107" s="37">
        <v>9.3299816852439668E-3</v>
      </c>
      <c r="J107" s="37">
        <v>8.8885631969098482E-3</v>
      </c>
      <c r="K107" s="37">
        <v>4.4420544666522378E-2</v>
      </c>
      <c r="L107" s="37">
        <v>4.2366525734621373E-2</v>
      </c>
      <c r="M107" s="37">
        <v>110.50780798524107</v>
      </c>
      <c r="N107" s="37">
        <v>0</v>
      </c>
      <c r="O107" s="37">
        <v>1495.0847176316174</v>
      </c>
      <c r="P107" s="37">
        <v>5811.1366466336312</v>
      </c>
      <c r="Q107" s="37">
        <v>11166.844150852065</v>
      </c>
      <c r="R107" s="37">
        <v>11325.89760367368</v>
      </c>
      <c r="S107" s="37">
        <v>10109.64181749485</v>
      </c>
      <c r="T107" s="37">
        <v>11901.593137534919</v>
      </c>
      <c r="U107" s="37">
        <v>8306.9898048432697</v>
      </c>
      <c r="V107" s="37">
        <v>5841.9683380603547</v>
      </c>
      <c r="W107" s="37">
        <v>2895.8488101822709</v>
      </c>
      <c r="X107" s="37">
        <v>0</v>
      </c>
      <c r="Y107" s="37">
        <v>255.84767385746196</v>
      </c>
      <c r="Z107" s="37">
        <v>172.72264939835401</v>
      </c>
      <c r="AA107" s="37">
        <v>3.3149200163949621</v>
      </c>
      <c r="AB107" s="37">
        <v>9.5277600988482158E-3</v>
      </c>
      <c r="AC107" s="37">
        <v>9.3271153314236199E-3</v>
      </c>
      <c r="AD107" s="37">
        <v>9.3156499161422095E-3</v>
      </c>
      <c r="AE107" s="37">
        <v>9.3844424078306458E-3</v>
      </c>
      <c r="AF107" s="38">
        <f t="shared" ref="AF107" si="96">ROUND(SUM(H107:AE107)*G107,2)</f>
        <v>2081926.5</v>
      </c>
    </row>
    <row r="108" spans="1:32" ht="14.5" thickBot="1">
      <c r="A108">
        <f t="shared" si="53"/>
        <v>7</v>
      </c>
      <c r="B108">
        <f t="shared" si="54"/>
        <v>2034</v>
      </c>
      <c r="C108" t="str">
        <f t="shared" si="55"/>
        <v>72034</v>
      </c>
      <c r="E108" s="56">
        <v>49126</v>
      </c>
      <c r="F108" s="55">
        <f>+_xlfn.XLOOKUP(E108,'PRODUCTO 01'!$C$11:$C$139,'PRODUCTO 01'!$F$11:$F$139)</f>
        <v>2475586.6</v>
      </c>
      <c r="G108" s="36">
        <v>31</v>
      </c>
      <c r="H108" s="37">
        <v>3.1973197921500145E-3</v>
      </c>
      <c r="I108" s="37">
        <v>0</v>
      </c>
      <c r="J108" s="37">
        <v>0</v>
      </c>
      <c r="K108" s="37">
        <v>0</v>
      </c>
      <c r="L108" s="37">
        <v>1.149121351209062E-3</v>
      </c>
      <c r="M108" s="37">
        <v>29.872678136300113</v>
      </c>
      <c r="N108" s="37">
        <v>0</v>
      </c>
      <c r="O108" s="37">
        <v>707.49162038506711</v>
      </c>
      <c r="P108" s="37">
        <v>6312.7904604230735</v>
      </c>
      <c r="Q108" s="37">
        <v>12447.381799151372</v>
      </c>
      <c r="R108" s="37">
        <v>10678.503074121139</v>
      </c>
      <c r="S108" s="37">
        <v>10366.947222897272</v>
      </c>
      <c r="T108" s="37">
        <v>11853.650392975875</v>
      </c>
      <c r="U108" s="37">
        <v>6362.3248175986773</v>
      </c>
      <c r="V108" s="37">
        <v>6852.1118118056011</v>
      </c>
      <c r="W108" s="37">
        <v>8941.3734556587151</v>
      </c>
      <c r="X108" s="37">
        <v>4337.7412276055711</v>
      </c>
      <c r="Y108" s="37">
        <v>756.90589449181903</v>
      </c>
      <c r="Z108" s="37">
        <v>204.88018750647743</v>
      </c>
      <c r="AA108" s="37">
        <v>5.6495410519117808</v>
      </c>
      <c r="AB108" s="37">
        <v>3.7786506634500173E-3</v>
      </c>
      <c r="AC108" s="37">
        <v>0</v>
      </c>
      <c r="AD108" s="37">
        <v>0</v>
      </c>
      <c r="AE108" s="37">
        <v>0</v>
      </c>
      <c r="AF108" s="38">
        <f t="shared" ref="AF108" si="97">ROUND(SUM(H108:AE108)*G108,2)</f>
        <v>2475586.6</v>
      </c>
    </row>
    <row r="109" spans="1:32" ht="14.5" thickBot="1">
      <c r="A109">
        <f t="shared" si="53"/>
        <v>8</v>
      </c>
      <c r="B109">
        <f t="shared" si="54"/>
        <v>2034</v>
      </c>
      <c r="C109" t="str">
        <f t="shared" si="55"/>
        <v>82034</v>
      </c>
      <c r="E109" s="56">
        <v>49157</v>
      </c>
      <c r="F109" s="55">
        <f>+_xlfn.XLOOKUP(E109,'PRODUCTO 01'!$C$11:$C$139,'PRODUCTO 01'!$F$11:$F$139)</f>
        <v>2444666.86</v>
      </c>
      <c r="G109" s="36">
        <v>31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37.643211813287607</v>
      </c>
      <c r="N109" s="37">
        <v>0</v>
      </c>
      <c r="O109" s="37">
        <v>1227.9075557904241</v>
      </c>
      <c r="P109" s="37">
        <v>10480.295473308659</v>
      </c>
      <c r="Q109" s="37">
        <v>12266.643452931696</v>
      </c>
      <c r="R109" s="37">
        <v>13033.574289240711</v>
      </c>
      <c r="S109" s="37">
        <v>7809.0081349210113</v>
      </c>
      <c r="T109" s="37">
        <v>7966.9242939923406</v>
      </c>
      <c r="U109" s="37">
        <v>9540.7839335517856</v>
      </c>
      <c r="V109" s="37">
        <v>5949.4797748155834</v>
      </c>
      <c r="W109" s="37">
        <v>8228.0068155573445</v>
      </c>
      <c r="X109" s="37">
        <v>2140.9784805552399</v>
      </c>
      <c r="Y109" s="37">
        <v>0</v>
      </c>
      <c r="Z109" s="37">
        <v>177.93742593636651</v>
      </c>
      <c r="AA109" s="37">
        <v>1.0384997021531088</v>
      </c>
      <c r="AB109" s="37">
        <v>0</v>
      </c>
      <c r="AC109" s="37">
        <v>0</v>
      </c>
      <c r="AD109" s="37">
        <v>0</v>
      </c>
      <c r="AE109" s="37">
        <v>0</v>
      </c>
      <c r="AF109" s="38">
        <f t="shared" ref="AF109" si="98">ROUND(SUM(H109:AE109)*G109,2)</f>
        <v>2444666.86</v>
      </c>
    </row>
    <row r="110" spans="1:32" ht="14.5" thickBot="1">
      <c r="A110">
        <f t="shared" si="53"/>
        <v>9</v>
      </c>
      <c r="B110">
        <f t="shared" si="54"/>
        <v>2034</v>
      </c>
      <c r="C110" t="str">
        <f t="shared" si="55"/>
        <v>92034</v>
      </c>
      <c r="E110" s="56">
        <v>49188</v>
      </c>
      <c r="F110" s="55">
        <f>+_xlfn.XLOOKUP(E110,'PRODUCTO 01'!$C$11:$C$139,'PRODUCTO 01'!$F$11:$F$139)</f>
        <v>2447363.5099999998</v>
      </c>
      <c r="G110" s="36">
        <v>30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138.97499296073843</v>
      </c>
      <c r="N110" s="37">
        <v>0</v>
      </c>
      <c r="O110" s="37">
        <v>8565.8623417322033</v>
      </c>
      <c r="P110" s="37">
        <v>13669.716537167269</v>
      </c>
      <c r="Q110" s="37">
        <v>12562.498102827663</v>
      </c>
      <c r="R110" s="37">
        <v>7623.5250082712382</v>
      </c>
      <c r="S110" s="37">
        <v>3815.6975539534997</v>
      </c>
      <c r="T110" s="37">
        <v>6008.4469636079612</v>
      </c>
      <c r="U110" s="37">
        <v>9381.0327479165644</v>
      </c>
      <c r="V110" s="37">
        <v>7053.7549761870905</v>
      </c>
      <c r="W110" s="37">
        <v>9080.2847615703413</v>
      </c>
      <c r="X110" s="37">
        <v>3445.3085110582574</v>
      </c>
      <c r="Y110" s="37">
        <v>149.60513764943289</v>
      </c>
      <c r="Z110" s="37">
        <v>84.059019294979237</v>
      </c>
      <c r="AA110" s="37">
        <v>1.7162537779117026E-2</v>
      </c>
      <c r="AB110" s="37">
        <v>0</v>
      </c>
      <c r="AC110" s="37">
        <v>0</v>
      </c>
      <c r="AD110" s="37">
        <v>0</v>
      </c>
      <c r="AE110" s="37">
        <v>0</v>
      </c>
      <c r="AF110" s="38">
        <f t="shared" ref="AF110" si="99">ROUND(SUM(H110:AE110)*G110,2)</f>
        <v>2447363.5099999998</v>
      </c>
    </row>
    <row r="111" spans="1:32" ht="14.5" thickBot="1">
      <c r="A111">
        <f t="shared" si="53"/>
        <v>10</v>
      </c>
      <c r="B111">
        <f t="shared" si="54"/>
        <v>2034</v>
      </c>
      <c r="C111" t="str">
        <f t="shared" si="55"/>
        <v>102034</v>
      </c>
      <c r="E111" s="56">
        <v>49218</v>
      </c>
      <c r="F111" s="55">
        <f>+_xlfn.XLOOKUP(E111,'PRODUCTO 01'!$C$11:$C$139,'PRODUCTO 01'!$F$11:$F$139)</f>
        <v>2826563.58</v>
      </c>
      <c r="G111" s="36">
        <v>31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38.78895378169517</v>
      </c>
      <c r="N111" s="37">
        <v>0</v>
      </c>
      <c r="O111" s="37">
        <v>6110.2928923188783</v>
      </c>
      <c r="P111" s="37">
        <v>9548.5585855249101</v>
      </c>
      <c r="Q111" s="37">
        <v>13768.510967057558</v>
      </c>
      <c r="R111" s="37">
        <v>12227.582927724499</v>
      </c>
      <c r="S111" s="37">
        <v>10548.87352971021</v>
      </c>
      <c r="T111" s="37">
        <v>9218.4119026939788</v>
      </c>
      <c r="U111" s="37">
        <v>9928.5095901432451</v>
      </c>
      <c r="V111" s="37">
        <v>9010.4321441048105</v>
      </c>
      <c r="W111" s="37">
        <v>6669.124642596048</v>
      </c>
      <c r="X111" s="37">
        <v>3794.6025762888039</v>
      </c>
      <c r="Y111" s="37">
        <v>269.62162030378022</v>
      </c>
      <c r="Z111" s="37">
        <v>46.141405573020883</v>
      </c>
      <c r="AA111" s="37">
        <v>3.6031866248096784E-3</v>
      </c>
      <c r="AB111" s="37">
        <v>3.6308014824492389E-3</v>
      </c>
      <c r="AC111" s="37">
        <v>3.6882403863395248E-3</v>
      </c>
      <c r="AD111" s="37">
        <v>3.7622482048135391E-3</v>
      </c>
      <c r="AE111" s="37">
        <v>3.7743987421749487E-3</v>
      </c>
      <c r="AF111" s="38">
        <f t="shared" ref="AF111" si="100">ROUND(SUM(H111:AE111)*G111,2)</f>
        <v>2826563.58</v>
      </c>
    </row>
    <row r="112" spans="1:32" ht="14.5" thickBot="1">
      <c r="A112">
        <f t="shared" si="53"/>
        <v>11</v>
      </c>
      <c r="B112">
        <f t="shared" si="54"/>
        <v>2034</v>
      </c>
      <c r="C112" t="str">
        <f t="shared" si="55"/>
        <v>112034</v>
      </c>
      <c r="E112" s="56">
        <v>49249</v>
      </c>
      <c r="F112" s="55">
        <f>+_xlfn.XLOOKUP(E112,'PRODUCTO 01'!$C$11:$C$139,'PRODUCTO 01'!$F$11:$F$139)</f>
        <v>2670678.52</v>
      </c>
      <c r="G112" s="36">
        <v>30</v>
      </c>
      <c r="H112" s="37">
        <v>7.212834775121974E-4</v>
      </c>
      <c r="I112" s="37">
        <v>5.8997197937859527E-4</v>
      </c>
      <c r="J112" s="37">
        <v>5.0595591438811448E-4</v>
      </c>
      <c r="K112" s="37">
        <v>4.5866048124499319E-4</v>
      </c>
      <c r="L112" s="37">
        <v>5.5232158530862138E-4</v>
      </c>
      <c r="M112" s="37">
        <v>104.69760684374272</v>
      </c>
      <c r="N112" s="37">
        <v>0</v>
      </c>
      <c r="O112" s="37">
        <v>2787.0162110132896</v>
      </c>
      <c r="P112" s="37">
        <v>5243.121845446708</v>
      </c>
      <c r="Q112" s="37">
        <v>6122.0567069599629</v>
      </c>
      <c r="R112" s="37">
        <v>6481.8004143169692</v>
      </c>
      <c r="S112" s="37">
        <v>9100.9561321270812</v>
      </c>
      <c r="T112" s="37">
        <v>11276.45586678984</v>
      </c>
      <c r="U112" s="37">
        <v>14064.680755452611</v>
      </c>
      <c r="V112" s="37">
        <v>16617.345955930847</v>
      </c>
      <c r="W112" s="37">
        <v>13311.356899592247</v>
      </c>
      <c r="X112" s="37">
        <v>3550.7120471703515</v>
      </c>
      <c r="Y112" s="37">
        <v>334.31291180235547</v>
      </c>
      <c r="Z112" s="37">
        <v>27.418116477744398</v>
      </c>
      <c r="AA112" s="37">
        <v>0.14177715562842816</v>
      </c>
      <c r="AB112" s="37">
        <v>0.14169686047986035</v>
      </c>
      <c r="AC112" s="37">
        <v>0.13925156092025553</v>
      </c>
      <c r="AD112" s="37">
        <v>0.1331163626438237</v>
      </c>
      <c r="AE112" s="37">
        <v>0.12719778809202303</v>
      </c>
      <c r="AF112" s="38">
        <f t="shared" ref="AF112" si="101">ROUND(SUM(H112:AE112)*G112,2)</f>
        <v>2670678.52</v>
      </c>
    </row>
    <row r="113" spans="1:32" ht="14.5" thickBot="1">
      <c r="A113">
        <f t="shared" si="53"/>
        <v>12</v>
      </c>
      <c r="B113">
        <f t="shared" si="54"/>
        <v>2034</v>
      </c>
      <c r="C113" t="str">
        <f t="shared" si="55"/>
        <v>122034</v>
      </c>
      <c r="E113" s="56">
        <v>49279</v>
      </c>
      <c r="F113" s="55">
        <f>+_xlfn.XLOOKUP(E113,'PRODUCTO 01'!$C$11:$C$139,'PRODUCTO 01'!$F$11:$F$139)</f>
        <v>3316118.13</v>
      </c>
      <c r="G113" s="36">
        <v>31</v>
      </c>
      <c r="H113" s="37">
        <v>2.7864983715460115E-3</v>
      </c>
      <c r="I113" s="37">
        <v>0</v>
      </c>
      <c r="J113" s="37">
        <v>0</v>
      </c>
      <c r="K113" s="37">
        <v>0</v>
      </c>
      <c r="L113" s="37">
        <v>0</v>
      </c>
      <c r="M113" s="37">
        <v>56.927501614226699</v>
      </c>
      <c r="N113" s="37">
        <v>0</v>
      </c>
      <c r="O113" s="37">
        <v>7452.7583508398566</v>
      </c>
      <c r="P113" s="37">
        <v>11864.139131271888</v>
      </c>
      <c r="Q113" s="37">
        <v>15411.841024467032</v>
      </c>
      <c r="R113" s="37">
        <v>14898.951089186683</v>
      </c>
      <c r="S113" s="37">
        <v>13124.083468320554</v>
      </c>
      <c r="T113" s="37">
        <v>13171.266820469929</v>
      </c>
      <c r="U113" s="37">
        <v>13208.96855758942</v>
      </c>
      <c r="V113" s="37">
        <v>11830.037027520215</v>
      </c>
      <c r="W113" s="37">
        <v>5921.962917340903</v>
      </c>
      <c r="X113" s="37">
        <v>0</v>
      </c>
      <c r="Y113" s="37">
        <v>0</v>
      </c>
      <c r="Z113" s="37">
        <v>30.605865199693817</v>
      </c>
      <c r="AA113" s="37">
        <v>0</v>
      </c>
      <c r="AB113" s="37">
        <v>1.7908822989540008E-3</v>
      </c>
      <c r="AC113" s="37">
        <v>2.0689188202527966E-3</v>
      </c>
      <c r="AD113" s="37">
        <v>2.0689188202527966E-3</v>
      </c>
      <c r="AE113" s="37">
        <v>2.2222477842043366E-3</v>
      </c>
      <c r="AF113" s="38">
        <f t="shared" ref="AF113" si="102">ROUND(SUM(H113:AE113)*G113,2)</f>
        <v>3316118.13</v>
      </c>
    </row>
    <row r="114" spans="1:32" ht="14.5" thickBot="1">
      <c r="A114">
        <f t="shared" ref="A114:A125" si="103">+MONTH(E114)</f>
        <v>1</v>
      </c>
      <c r="B114">
        <f t="shared" ref="B114:B125" si="104">+YEAR(E114)</f>
        <v>2035</v>
      </c>
      <c r="C114" t="str">
        <f t="shared" ref="C114:C125" si="105">+_xlfn.CONCAT(A114:B114)</f>
        <v>12035</v>
      </c>
      <c r="E114" s="56">
        <v>49310</v>
      </c>
      <c r="F114" s="55">
        <f>+_xlfn.XLOOKUP(E114,'PRODUCTO 01'!$C$11:$C$139,'PRODUCTO 01'!$F$11:$F$139)</f>
        <v>13347978.24</v>
      </c>
      <c r="G114" s="36">
        <v>31</v>
      </c>
      <c r="H114" s="37">
        <v>0.18689148769193564</v>
      </c>
      <c r="I114" s="37">
        <v>0.16646284287739274</v>
      </c>
      <c r="J114" s="37">
        <v>0.13595600693168192</v>
      </c>
      <c r="K114" s="37">
        <v>0.16046626897502572</v>
      </c>
      <c r="L114" s="37">
        <v>0.18333513958388437</v>
      </c>
      <c r="M114" s="37">
        <v>0.16456974756123888</v>
      </c>
      <c r="N114" s="37">
        <v>4642.7419480932449</v>
      </c>
      <c r="O114" s="37">
        <v>25734.134657448347</v>
      </c>
      <c r="P114" s="37">
        <v>39949.082407113812</v>
      </c>
      <c r="Q114" s="37">
        <v>47874.749585556514</v>
      </c>
      <c r="R114" s="37">
        <v>48602.210487957534</v>
      </c>
      <c r="S114" s="37">
        <v>49128.351670226148</v>
      </c>
      <c r="T114" s="37">
        <v>48515.427278022791</v>
      </c>
      <c r="U114" s="37">
        <v>47212.619002791704</v>
      </c>
      <c r="V114" s="37">
        <v>46322.287935787906</v>
      </c>
      <c r="W114" s="37">
        <v>41221.400209712869</v>
      </c>
      <c r="X114" s="37">
        <v>26120.807797002923</v>
      </c>
      <c r="Y114" s="37">
        <v>5116.1292205201944</v>
      </c>
      <c r="Z114" s="37">
        <v>138.11206189399971</v>
      </c>
      <c r="AA114" s="37">
        <v>0.1583515507263385</v>
      </c>
      <c r="AB114" s="37">
        <v>0.21811492280113981</v>
      </c>
      <c r="AC114" s="37">
        <v>0.18313537800876303</v>
      </c>
      <c r="AD114" s="37">
        <v>0.14870296369454811</v>
      </c>
      <c r="AE114" s="37">
        <v>0.18313537800876303</v>
      </c>
      <c r="AF114" s="38">
        <f>ROUND(SUM(H114:AE114)*G114,2)</f>
        <v>13347978.24</v>
      </c>
    </row>
    <row r="115" spans="1:32" ht="14.5" thickBot="1">
      <c r="A115">
        <f t="shared" si="103"/>
        <v>2</v>
      </c>
      <c r="B115">
        <f t="shared" si="104"/>
        <v>2035</v>
      </c>
      <c r="C115" t="str">
        <f t="shared" si="105"/>
        <v>22035</v>
      </c>
      <c r="E115" s="56">
        <v>49341</v>
      </c>
      <c r="F115" s="55">
        <f>+_xlfn.XLOOKUP(E115,'PRODUCTO 01'!$C$11:$C$139,'PRODUCTO 01'!$F$11:$F$139)</f>
        <v>11614491.01</v>
      </c>
      <c r="G115" s="36">
        <v>28</v>
      </c>
      <c r="H115" s="37">
        <v>0</v>
      </c>
      <c r="I115" s="37">
        <v>0</v>
      </c>
      <c r="J115" s="37">
        <v>0</v>
      </c>
      <c r="K115" s="37">
        <v>6.2997803877841568E-3</v>
      </c>
      <c r="L115" s="37">
        <v>0</v>
      </c>
      <c r="M115" s="37">
        <v>0</v>
      </c>
      <c r="N115" s="37">
        <v>3804.3892469419829</v>
      </c>
      <c r="O115" s="37">
        <v>23572.872007523711</v>
      </c>
      <c r="P115" s="37">
        <v>37528.815948864591</v>
      </c>
      <c r="Q115" s="37">
        <v>46815.464034672877</v>
      </c>
      <c r="R115" s="37">
        <v>49245.636149175676</v>
      </c>
      <c r="S115" s="37">
        <v>48644.10542443757</v>
      </c>
      <c r="T115" s="37">
        <v>46652.753117017288</v>
      </c>
      <c r="U115" s="37">
        <v>42793.313930648394</v>
      </c>
      <c r="V115" s="37">
        <v>43267.884552827243</v>
      </c>
      <c r="W115" s="37">
        <v>38888.598567151836</v>
      </c>
      <c r="X115" s="37">
        <v>27368.639036670222</v>
      </c>
      <c r="Y115" s="37">
        <v>6044.5893283132118</v>
      </c>
      <c r="Z115" s="37">
        <v>176.17660905455813</v>
      </c>
      <c r="AA115" s="37">
        <v>0</v>
      </c>
      <c r="AB115" s="37">
        <v>0</v>
      </c>
      <c r="AC115" s="37">
        <v>0</v>
      </c>
      <c r="AD115" s="37">
        <v>0</v>
      </c>
      <c r="AE115" s="37">
        <v>6.0025276578114422E-3</v>
      </c>
      <c r="AF115" s="38">
        <f t="shared" ref="AF115:AF125" si="106">ROUND(SUM(H115:AE115)*G115,2)</f>
        <v>11614491.01</v>
      </c>
    </row>
    <row r="116" spans="1:32" ht="14.5" thickBot="1">
      <c r="A116">
        <f t="shared" si="103"/>
        <v>3</v>
      </c>
      <c r="B116">
        <f t="shared" si="104"/>
        <v>2035</v>
      </c>
      <c r="C116" t="str">
        <f t="shared" si="105"/>
        <v>32035</v>
      </c>
      <c r="E116" s="56">
        <v>49369</v>
      </c>
      <c r="F116" s="55">
        <f>+_xlfn.XLOOKUP(E116,'PRODUCTO 01'!$C$11:$C$139,'PRODUCTO 01'!$F$11:$F$139)</f>
        <v>11404539.26</v>
      </c>
      <c r="G116" s="36">
        <v>31</v>
      </c>
      <c r="H116" s="37">
        <v>0</v>
      </c>
      <c r="I116" s="37">
        <v>0</v>
      </c>
      <c r="J116" s="37">
        <v>2.7944210681339139E-3</v>
      </c>
      <c r="K116" s="37">
        <v>0</v>
      </c>
      <c r="L116" s="37">
        <v>0</v>
      </c>
      <c r="M116" s="37">
        <v>13.514794657067929</v>
      </c>
      <c r="N116" s="37">
        <v>4015.612151805648</v>
      </c>
      <c r="O116" s="37">
        <v>18420.333562443029</v>
      </c>
      <c r="P116" s="37">
        <v>30661.536849260188</v>
      </c>
      <c r="Q116" s="37">
        <v>40210.507799531326</v>
      </c>
      <c r="R116" s="37">
        <v>44212.986731255114</v>
      </c>
      <c r="S116" s="37">
        <v>45237.377906439571</v>
      </c>
      <c r="T116" s="37">
        <v>43465.942607677171</v>
      </c>
      <c r="U116" s="37">
        <v>42961.034500166941</v>
      </c>
      <c r="V116" s="37">
        <v>41325.751459674335</v>
      </c>
      <c r="W116" s="37">
        <v>32672.547800316723</v>
      </c>
      <c r="X116" s="37">
        <v>20411.977292410327</v>
      </c>
      <c r="Y116" s="37">
        <v>4100.4542077239021</v>
      </c>
      <c r="Z116" s="37">
        <v>178.58314638693918</v>
      </c>
      <c r="AA116" s="37">
        <v>0.19974613948905767</v>
      </c>
      <c r="AB116" s="37">
        <v>0</v>
      </c>
      <c r="AC116" s="37">
        <v>0</v>
      </c>
      <c r="AD116" s="37">
        <v>0</v>
      </c>
      <c r="AE116" s="37">
        <v>0</v>
      </c>
      <c r="AF116" s="38">
        <f t="shared" si="106"/>
        <v>11404539.26</v>
      </c>
    </row>
    <row r="117" spans="1:32" ht="14.5" thickBot="1">
      <c r="A117">
        <f t="shared" si="103"/>
        <v>4</v>
      </c>
      <c r="B117">
        <f t="shared" si="104"/>
        <v>2035</v>
      </c>
      <c r="C117" t="str">
        <f t="shared" si="105"/>
        <v>42035</v>
      </c>
      <c r="E117" s="56">
        <v>49400</v>
      </c>
      <c r="F117" s="55">
        <f>+_xlfn.XLOOKUP(E117,'PRODUCTO 01'!$C$11:$C$139,'PRODUCTO 01'!$F$11:$F$139)</f>
        <v>9845237.3900000006</v>
      </c>
      <c r="G117" s="36">
        <v>30</v>
      </c>
      <c r="H117" s="37">
        <v>0</v>
      </c>
      <c r="I117" s="37">
        <v>0</v>
      </c>
      <c r="J117" s="37">
        <v>0</v>
      </c>
      <c r="K117" s="37">
        <v>1.5409778125453903E-2</v>
      </c>
      <c r="L117" s="37">
        <v>7.5280532214614341E-3</v>
      </c>
      <c r="M117" s="37">
        <v>50.836749560766407</v>
      </c>
      <c r="N117" s="37">
        <v>4271.09485441795</v>
      </c>
      <c r="O117" s="37">
        <v>15228.910198044097</v>
      </c>
      <c r="P117" s="37">
        <v>25968.522427112195</v>
      </c>
      <c r="Q117" s="37">
        <v>35764.863867403234</v>
      </c>
      <c r="R117" s="37">
        <v>39748.693204147639</v>
      </c>
      <c r="S117" s="37">
        <v>42123.04520823362</v>
      </c>
      <c r="T117" s="37">
        <v>40599.286244974304</v>
      </c>
      <c r="U117" s="37">
        <v>41704.695468460173</v>
      </c>
      <c r="V117" s="37">
        <v>34968.295803339788</v>
      </c>
      <c r="W117" s="37">
        <v>27560.316559897943</v>
      </c>
      <c r="X117" s="37">
        <v>16552.465258021391</v>
      </c>
      <c r="Y117" s="37">
        <v>3497.9895571957582</v>
      </c>
      <c r="Z117" s="37">
        <v>135.38261294862951</v>
      </c>
      <c r="AA117" s="37">
        <v>0.15869082833735926</v>
      </c>
      <c r="AB117" s="37">
        <v>0</v>
      </c>
      <c r="AC117" s="37">
        <v>0</v>
      </c>
      <c r="AD117" s="37">
        <v>0</v>
      </c>
      <c r="AE117" s="37">
        <v>0</v>
      </c>
      <c r="AF117" s="38">
        <f t="shared" si="106"/>
        <v>9845237.3900000006</v>
      </c>
    </row>
    <row r="118" spans="1:32" ht="14.5" thickBot="1">
      <c r="A118">
        <f t="shared" si="103"/>
        <v>5</v>
      </c>
      <c r="B118">
        <f t="shared" si="104"/>
        <v>2035</v>
      </c>
      <c r="C118" t="str">
        <f t="shared" si="105"/>
        <v>52035</v>
      </c>
      <c r="E118" s="56">
        <v>49430</v>
      </c>
      <c r="F118" s="55">
        <f>+_xlfn.XLOOKUP(E118,'PRODUCTO 01'!$C$11:$C$139,'PRODUCTO 01'!$F$11:$F$139)</f>
        <v>10861711.300000001</v>
      </c>
      <c r="G118" s="36">
        <v>31</v>
      </c>
      <c r="H118" s="37">
        <v>1.7368548819615734E-3</v>
      </c>
      <c r="I118" s="37">
        <v>0</v>
      </c>
      <c r="J118" s="37">
        <v>2.1229807012585699E-3</v>
      </c>
      <c r="K118" s="37">
        <v>0</v>
      </c>
      <c r="L118" s="37">
        <v>0</v>
      </c>
      <c r="M118" s="37">
        <v>213.43790712316124</v>
      </c>
      <c r="N118" s="37">
        <v>7797.0229101978648</v>
      </c>
      <c r="O118" s="37">
        <v>20010.586523109265</v>
      </c>
      <c r="P118" s="37">
        <v>32269.940500584562</v>
      </c>
      <c r="Q118" s="37">
        <v>37686.762510844863</v>
      </c>
      <c r="R118" s="37">
        <v>41548.557722880076</v>
      </c>
      <c r="S118" s="37">
        <v>41268.052557021016</v>
      </c>
      <c r="T118" s="37">
        <v>37957.44581539707</v>
      </c>
      <c r="U118" s="37">
        <v>36240.888402177829</v>
      </c>
      <c r="V118" s="37">
        <v>35854.708812538942</v>
      </c>
      <c r="W118" s="37">
        <v>32270.719487931321</v>
      </c>
      <c r="X118" s="37">
        <v>22767.567559102401</v>
      </c>
      <c r="Y118" s="37">
        <v>4339.0962158937182</v>
      </c>
      <c r="Z118" s="37">
        <v>151.05194861503958</v>
      </c>
      <c r="AA118" s="37">
        <v>1.9245413006024998</v>
      </c>
      <c r="AB118" s="37">
        <v>4.7795019683586982E-3</v>
      </c>
      <c r="AC118" s="37">
        <v>4.6307727404403618E-3</v>
      </c>
      <c r="AD118" s="37">
        <v>4.2602100878302678E-3</v>
      </c>
      <c r="AE118" s="37">
        <v>2.8460220054203427E-3</v>
      </c>
      <c r="AF118" s="38">
        <f t="shared" si="106"/>
        <v>10861711.300000001</v>
      </c>
    </row>
    <row r="119" spans="1:32" ht="14.5" thickBot="1">
      <c r="A119">
        <f t="shared" si="103"/>
        <v>6</v>
      </c>
      <c r="B119">
        <f t="shared" si="104"/>
        <v>2035</v>
      </c>
      <c r="C119" t="str">
        <f t="shared" si="105"/>
        <v>62035</v>
      </c>
      <c r="E119" s="56">
        <v>49461</v>
      </c>
      <c r="F119" s="55">
        <f>+_xlfn.XLOOKUP(E119,'PRODUCTO 01'!$C$11:$C$139,'PRODUCTO 01'!$F$11:$F$139)</f>
        <v>9531296.75</v>
      </c>
      <c r="G119" s="36">
        <v>30</v>
      </c>
      <c r="H119" s="37">
        <v>8.8058142566245241E-3</v>
      </c>
      <c r="I119" s="37">
        <v>8.7950062612190353E-3</v>
      </c>
      <c r="J119" s="37">
        <v>8.3788984381075998E-3</v>
      </c>
      <c r="K119" s="37">
        <v>4.1876192086857882E-2</v>
      </c>
      <c r="L119" s="37">
        <v>3.9939946638975446E-2</v>
      </c>
      <c r="M119" s="37">
        <v>124.16279753032146</v>
      </c>
      <c r="N119" s="37">
        <v>5909.7633429211519</v>
      </c>
      <c r="O119" s="37">
        <v>18851.432292650188</v>
      </c>
      <c r="P119" s="37">
        <v>29260.238544411666</v>
      </c>
      <c r="Q119" s="37">
        <v>37106.092564804407</v>
      </c>
      <c r="R119" s="37">
        <v>42470.403723464711</v>
      </c>
      <c r="S119" s="37">
        <v>39990.501783941028</v>
      </c>
      <c r="T119" s="37">
        <v>39329.166674214517</v>
      </c>
      <c r="U119" s="37">
        <v>33670.737459890152</v>
      </c>
      <c r="V119" s="37">
        <v>29613.439657970666</v>
      </c>
      <c r="W119" s="37">
        <v>23456.931048091905</v>
      </c>
      <c r="X119" s="37">
        <v>13761.137376412498</v>
      </c>
      <c r="Y119" s="37">
        <v>3999.794006859051</v>
      </c>
      <c r="Z119" s="37">
        <v>162.8224836877034</v>
      </c>
      <c r="AA119" s="37">
        <v>3.1248445370202931</v>
      </c>
      <c r="AB119" s="37">
        <v>8.9814441819637738E-3</v>
      </c>
      <c r="AC119" s="37">
        <v>8.7923042623676648E-3</v>
      </c>
      <c r="AD119" s="37">
        <v>8.7814962669621743E-3</v>
      </c>
      <c r="AE119" s="37">
        <v>8.846344239395126E-3</v>
      </c>
      <c r="AF119" s="38">
        <f t="shared" si="106"/>
        <v>9531296.75</v>
      </c>
    </row>
    <row r="120" spans="1:32" ht="14.5" thickBot="1">
      <c r="A120">
        <f t="shared" si="103"/>
        <v>7</v>
      </c>
      <c r="B120">
        <f t="shared" si="104"/>
        <v>2035</v>
      </c>
      <c r="C120" t="str">
        <f t="shared" si="105"/>
        <v>72035</v>
      </c>
      <c r="E120" s="56">
        <v>49491</v>
      </c>
      <c r="F120" s="55">
        <f>+_xlfn.XLOOKUP(E120,'PRODUCTO 01'!$C$11:$C$139,'PRODUCTO 01'!$F$11:$F$139)</f>
        <v>10340915.58</v>
      </c>
      <c r="G120" s="36">
        <v>31</v>
      </c>
      <c r="H120" s="37">
        <v>3.0142089190020138E-3</v>
      </c>
      <c r="I120" s="37">
        <v>0</v>
      </c>
      <c r="J120" s="37">
        <v>0</v>
      </c>
      <c r="K120" s="37">
        <v>0</v>
      </c>
      <c r="L120" s="37">
        <v>1.0833110389314126E-3</v>
      </c>
      <c r="M120" s="37">
        <v>28.162943399157257</v>
      </c>
      <c r="N120" s="37">
        <v>4741.8335774806319</v>
      </c>
      <c r="O120" s="37">
        <v>15219.16068604091</v>
      </c>
      <c r="P120" s="37">
        <v>26915.230592004351</v>
      </c>
      <c r="Q120" s="37">
        <v>35597.65058519697</v>
      </c>
      <c r="R120" s="37">
        <v>38527.531791931673</v>
      </c>
      <c r="S120" s="37">
        <v>39873.549516755484</v>
      </c>
      <c r="T120" s="37">
        <v>40959.979543993984</v>
      </c>
      <c r="U120" s="37">
        <v>36298.097790884422</v>
      </c>
      <c r="V120" s="37">
        <v>35675.676784850904</v>
      </c>
      <c r="W120" s="37">
        <v>31420.262603096351</v>
      </c>
      <c r="X120" s="37">
        <v>22276.027650835826</v>
      </c>
      <c r="Y120" s="37">
        <v>5846.296596179779</v>
      </c>
      <c r="Z120" s="37">
        <v>193.12806013640133</v>
      </c>
      <c r="AA120" s="37">
        <v>5.3255999357902288</v>
      </c>
      <c r="AB120" s="37">
        <v>3.5622469042751069E-3</v>
      </c>
      <c r="AC120" s="37">
        <v>0</v>
      </c>
      <c r="AD120" s="37">
        <v>0</v>
      </c>
      <c r="AE120" s="37">
        <v>0</v>
      </c>
      <c r="AF120" s="38">
        <f t="shared" si="106"/>
        <v>10340915.58</v>
      </c>
    </row>
    <row r="121" spans="1:32" ht="14.5" thickBot="1">
      <c r="A121">
        <f t="shared" si="103"/>
        <v>8</v>
      </c>
      <c r="B121">
        <f t="shared" si="104"/>
        <v>2035</v>
      </c>
      <c r="C121" t="str">
        <f t="shared" si="105"/>
        <v>82035</v>
      </c>
      <c r="E121" s="56">
        <v>49522</v>
      </c>
      <c r="F121" s="55">
        <f>+_xlfn.XLOOKUP(E121,'PRODUCTO 01'!$C$11:$C$139,'PRODUCTO 01'!$F$11:$F$139)</f>
        <v>8607947.6600000001</v>
      </c>
      <c r="G121" s="36">
        <v>31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28.374057722153427</v>
      </c>
      <c r="N121" s="37">
        <v>4849.7945433629066</v>
      </c>
      <c r="O121" s="37">
        <v>16932.907452063384</v>
      </c>
      <c r="P121" s="37">
        <v>27958.755220216979</v>
      </c>
      <c r="Q121" s="37">
        <v>31382.135286717785</v>
      </c>
      <c r="R121" s="37">
        <v>34667.854883815256</v>
      </c>
      <c r="S121" s="37">
        <v>34600.991983680964</v>
      </c>
      <c r="T121" s="37">
        <v>31342.441279591992</v>
      </c>
      <c r="U121" s="37">
        <v>29573.832738275563</v>
      </c>
      <c r="V121" s="37">
        <v>25324.652765516563</v>
      </c>
      <c r="W121" s="37">
        <v>22235.967049576175</v>
      </c>
      <c r="X121" s="37">
        <v>14943.221744251556</v>
      </c>
      <c r="Y121" s="37">
        <v>3666.0875310173783</v>
      </c>
      <c r="Z121" s="37">
        <v>167.73542223579483</v>
      </c>
      <c r="AA121" s="37">
        <v>0.97895276655860441</v>
      </c>
      <c r="AB121" s="37">
        <v>0</v>
      </c>
      <c r="AC121" s="37">
        <v>0</v>
      </c>
      <c r="AD121" s="37">
        <v>0</v>
      </c>
      <c r="AE121" s="37">
        <v>0</v>
      </c>
      <c r="AF121" s="38">
        <f t="shared" si="106"/>
        <v>8607947.6600000001</v>
      </c>
    </row>
    <row r="122" spans="1:32" ht="14.5" thickBot="1">
      <c r="A122">
        <f t="shared" si="103"/>
        <v>9</v>
      </c>
      <c r="B122">
        <f t="shared" si="104"/>
        <v>2035</v>
      </c>
      <c r="C122" t="str">
        <f t="shared" si="105"/>
        <v>92035</v>
      </c>
      <c r="E122" s="56">
        <v>49553</v>
      </c>
      <c r="F122" s="55">
        <f>+_xlfn.XLOOKUP(E122,'PRODUCTO 01'!$C$11:$C$139,'PRODUCTO 01'!$F$11:$F$139)</f>
        <v>7768241.8300000001</v>
      </c>
      <c r="G122" s="36">
        <v>30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120.88942034550499</v>
      </c>
      <c r="N122" s="37">
        <v>6364.8949764563013</v>
      </c>
      <c r="O122" s="37">
        <v>20183.426994098274</v>
      </c>
      <c r="P122" s="37">
        <v>28516.167935565711</v>
      </c>
      <c r="Q122" s="37">
        <v>30177.080785753406</v>
      </c>
      <c r="R122" s="37">
        <v>30522.542664522574</v>
      </c>
      <c r="S122" s="37">
        <v>28014.994909390996</v>
      </c>
      <c r="T122" s="37">
        <v>27956.090946470893</v>
      </c>
      <c r="U122" s="37">
        <v>27757.470375041768</v>
      </c>
      <c r="V122" s="37">
        <v>23169.675606204812</v>
      </c>
      <c r="W122" s="37">
        <v>21087.940610518905</v>
      </c>
      <c r="X122" s="37">
        <v>12908.321897949505</v>
      </c>
      <c r="Y122" s="37">
        <v>2082.644406919092</v>
      </c>
      <c r="Z122" s="37">
        <v>79.236505587680483</v>
      </c>
      <c r="AA122" s="37">
        <v>1.6178448395506723E-2</v>
      </c>
      <c r="AB122" s="37">
        <v>0</v>
      </c>
      <c r="AC122" s="37">
        <v>0</v>
      </c>
      <c r="AD122" s="37">
        <v>0</v>
      </c>
      <c r="AE122" s="37">
        <v>0</v>
      </c>
      <c r="AF122" s="38">
        <f t="shared" si="106"/>
        <v>7768241.8300000001</v>
      </c>
    </row>
    <row r="123" spans="1:32" ht="14.5" thickBot="1">
      <c r="A123">
        <f t="shared" si="103"/>
        <v>10</v>
      </c>
      <c r="B123">
        <f t="shared" si="104"/>
        <v>2035</v>
      </c>
      <c r="C123" t="str">
        <f t="shared" si="105"/>
        <v>102035</v>
      </c>
      <c r="E123" s="56">
        <v>49583</v>
      </c>
      <c r="F123" s="55">
        <f>+_xlfn.XLOOKUP(E123,'PRODUCTO 01'!$C$11:$C$139,'PRODUCTO 01'!$F$11:$F$139)</f>
        <v>8332436.2400000002</v>
      </c>
      <c r="G123" s="36">
        <v>31</v>
      </c>
      <c r="H123" s="37">
        <v>0</v>
      </c>
      <c r="I123" s="37">
        <v>0</v>
      </c>
      <c r="J123" s="37">
        <v>0</v>
      </c>
      <c r="K123" s="37">
        <v>0</v>
      </c>
      <c r="L123" s="37">
        <v>0</v>
      </c>
      <c r="M123" s="37">
        <v>216.2114066681369</v>
      </c>
      <c r="N123" s="37">
        <v>6772.9769606028849</v>
      </c>
      <c r="O123" s="37">
        <v>19424.631638102132</v>
      </c>
      <c r="P123" s="37">
        <v>27467.469291076843</v>
      </c>
      <c r="Q123" s="37">
        <v>32024.448391273043</v>
      </c>
      <c r="R123" s="37">
        <v>32972.573104157556</v>
      </c>
      <c r="S123" s="37">
        <v>32431.104847992036</v>
      </c>
      <c r="T123" s="37">
        <v>31540.176484321717</v>
      </c>
      <c r="U123" s="37">
        <v>28873.776543081203</v>
      </c>
      <c r="V123" s="37">
        <v>24950.810221108113</v>
      </c>
      <c r="W123" s="37">
        <v>19788.153085727237</v>
      </c>
      <c r="X123" s="37">
        <v>11271.60487347353</v>
      </c>
      <c r="Y123" s="37">
        <v>1010.8162196755908</v>
      </c>
      <c r="Z123" s="37">
        <v>43.495439963688106</v>
      </c>
      <c r="AA123" s="37">
        <v>3.3965821150176382E-3</v>
      </c>
      <c r="AB123" s="37">
        <v>3.4226135536673755E-3</v>
      </c>
      <c r="AC123" s="37">
        <v>3.4767589460588323E-3</v>
      </c>
      <c r="AD123" s="37">
        <v>3.5465232016401249E-3</v>
      </c>
      <c r="AE123" s="37">
        <v>3.557977034646006E-3</v>
      </c>
      <c r="AF123" s="38">
        <f t="shared" si="106"/>
        <v>8332436.2400000002</v>
      </c>
    </row>
    <row r="124" spans="1:32" ht="14.5" thickBot="1">
      <c r="A124">
        <f t="shared" si="103"/>
        <v>11</v>
      </c>
      <c r="B124">
        <f t="shared" si="104"/>
        <v>2035</v>
      </c>
      <c r="C124" t="str">
        <f t="shared" si="105"/>
        <v>112035</v>
      </c>
      <c r="E124" s="56">
        <v>49614</v>
      </c>
      <c r="F124" s="55">
        <f>+_xlfn.XLOOKUP(E124,'PRODUCTO 01'!$C$11:$C$139,'PRODUCTO 01'!$F$11:$F$139)</f>
        <v>3860735.38</v>
      </c>
      <c r="G124" s="36">
        <v>30</v>
      </c>
      <c r="H124" s="37">
        <v>6.7992552556310124E-4</v>
      </c>
      <c r="I124" s="37">
        <v>5.5614334814665261E-4</v>
      </c>
      <c r="J124" s="37">
        <v>4.7694471276209233E-4</v>
      </c>
      <c r="K124" s="37">
        <v>4.3236117073020507E-4</v>
      </c>
      <c r="L124" s="37">
        <v>5.2065180456661603E-4</v>
      </c>
      <c r="M124" s="37">
        <v>61.722670470033307</v>
      </c>
      <c r="N124" s="37">
        <v>2324.3855093387697</v>
      </c>
      <c r="O124" s="37">
        <v>7906.1310366210673</v>
      </c>
      <c r="P124" s="37">
        <v>12043.371840142367</v>
      </c>
      <c r="Q124" s="37">
        <v>14160.810140983232</v>
      </c>
      <c r="R124" s="37">
        <v>15229.552809018716</v>
      </c>
      <c r="S124" s="37">
        <v>15819.052149829875</v>
      </c>
      <c r="T124" s="37">
        <v>15644.21829210824</v>
      </c>
      <c r="U124" s="37">
        <v>14875.681207848656</v>
      </c>
      <c r="V124" s="37">
        <v>13540.431103305917</v>
      </c>
      <c r="W124" s="37">
        <v>11081.600650023367</v>
      </c>
      <c r="X124" s="37">
        <v>5402.9429379995736</v>
      </c>
      <c r="Y124" s="37">
        <v>574.78704130032088</v>
      </c>
      <c r="Z124" s="37">
        <v>25.845487043915433</v>
      </c>
      <c r="AA124" s="37">
        <v>0.1336477405332919</v>
      </c>
      <c r="AB124" s="37">
        <v>0.13357204945926573</v>
      </c>
      <c r="AC124" s="37">
        <v>0.13126696187572906</v>
      </c>
      <c r="AD124" s="37">
        <v>0.12548355210329862</v>
      </c>
      <c r="AE124" s="37">
        <v>0.11990434498407067</v>
      </c>
      <c r="AF124" s="38">
        <f t="shared" si="106"/>
        <v>3860735.38</v>
      </c>
    </row>
    <row r="125" spans="1:32" ht="14.5" thickBot="1">
      <c r="A125">
        <f t="shared" si="103"/>
        <v>12</v>
      </c>
      <c r="B125">
        <f t="shared" si="104"/>
        <v>2035</v>
      </c>
      <c r="C125" t="str">
        <f t="shared" si="105"/>
        <v>122035</v>
      </c>
      <c r="E125" s="56">
        <v>49644</v>
      </c>
      <c r="F125" s="55">
        <f>+_xlfn.XLOOKUP(E125,'PRODUCTO 01'!$C$11:$C$139,'PRODUCTO 01'!$F$11:$F$139)</f>
        <v>1682559.2</v>
      </c>
      <c r="G125" s="36">
        <v>31</v>
      </c>
      <c r="H125" s="37">
        <v>2.6267222649947741E-3</v>
      </c>
      <c r="I125" s="37">
        <v>0</v>
      </c>
      <c r="J125" s="37">
        <v>0</v>
      </c>
      <c r="K125" s="37">
        <v>0</v>
      </c>
      <c r="L125" s="37">
        <v>0</v>
      </c>
      <c r="M125" s="37">
        <v>2.3313940217457581E-3</v>
      </c>
      <c r="N125" s="37">
        <v>221.38544592200267</v>
      </c>
      <c r="O125" s="37">
        <v>2119.2224974335213</v>
      </c>
      <c r="P125" s="37">
        <v>4429.2275351074459</v>
      </c>
      <c r="Q125" s="37">
        <v>6217.4788043888611</v>
      </c>
      <c r="R125" s="37">
        <v>7260.4181829606305</v>
      </c>
      <c r="S125" s="37">
        <v>7494.9111155465944</v>
      </c>
      <c r="T125" s="37">
        <v>6909.4503271995345</v>
      </c>
      <c r="U125" s="37">
        <v>6634.7825399356716</v>
      </c>
      <c r="V125" s="37">
        <v>5771.7297773094751</v>
      </c>
      <c r="W125" s="37">
        <v>4422.35014419239</v>
      </c>
      <c r="X125" s="37">
        <v>2296.3675062528564</v>
      </c>
      <c r="Y125" s="37">
        <v>469.91613599056126</v>
      </c>
      <c r="Z125" s="37">
        <v>28.850697941211209</v>
      </c>
      <c r="AA125" s="37">
        <v>0</v>
      </c>
      <c r="AB125" s="37">
        <v>1.6881942069959075E-3</v>
      </c>
      <c r="AC125" s="37">
        <v>1.9502882847943583E-3</v>
      </c>
      <c r="AD125" s="37">
        <v>1.9502882847943583E-3</v>
      </c>
      <c r="AE125" s="37">
        <v>2.0948254600508562E-3</v>
      </c>
      <c r="AF125" s="38">
        <f t="shared" si="106"/>
        <v>1682559.2</v>
      </c>
    </row>
    <row r="126" spans="1:32" ht="14.5" thickBot="1">
      <c r="A126">
        <f t="shared" si="53"/>
        <v>1</v>
      </c>
      <c r="B126">
        <f t="shared" si="54"/>
        <v>2036</v>
      </c>
      <c r="C126" t="str">
        <f t="shared" si="55"/>
        <v>12036</v>
      </c>
      <c r="E126" s="56">
        <v>49675</v>
      </c>
      <c r="F126" s="55">
        <f>+_xlfn.XLOOKUP(E126,'PRODUCTO 01'!$C$11:$C$139,'PRODUCTO 01'!$F$11:$F$139)</f>
        <v>5719885.3099999996</v>
      </c>
      <c r="G126" s="36">
        <v>31</v>
      </c>
      <c r="H126" s="37">
        <v>0.1760842138009317</v>
      </c>
      <c r="I126" s="37">
        <v>0.15092932611508433</v>
      </c>
      <c r="J126" s="37">
        <v>0.12577443842923683</v>
      </c>
      <c r="K126" s="37">
        <v>0.15092932611508433</v>
      </c>
      <c r="L126" s="37">
        <v>0.1760842138009317</v>
      </c>
      <c r="M126" s="37">
        <v>0.15092932611508433</v>
      </c>
      <c r="N126" s="37">
        <v>313.90381530139132</v>
      </c>
      <c r="O126" s="37">
        <v>5462.5154718013555</v>
      </c>
      <c r="P126" s="37">
        <v>14026.668596589583</v>
      </c>
      <c r="Q126" s="37">
        <v>20130.666561511156</v>
      </c>
      <c r="R126" s="37">
        <v>22797.183663040014</v>
      </c>
      <c r="S126" s="37">
        <v>23338.43712550748</v>
      </c>
      <c r="T126" s="37">
        <v>23213.61254627255</v>
      </c>
      <c r="U126" s="37">
        <v>22242.053548394182</v>
      </c>
      <c r="V126" s="37">
        <v>21430.835041098813</v>
      </c>
      <c r="W126" s="37">
        <v>18004.464218984864</v>
      </c>
      <c r="X126" s="37">
        <v>10891.157357805638</v>
      </c>
      <c r="Y126" s="37">
        <v>2518.8437678772921</v>
      </c>
      <c r="Z126" s="37">
        <v>140.25260316273568</v>
      </c>
      <c r="AA126" s="37">
        <v>0.1607223706011523</v>
      </c>
      <c r="AB126" s="37">
        <v>0.2208251904589151</v>
      </c>
      <c r="AC126" s="37">
        <v>0.18587725828699966</v>
      </c>
      <c r="AD126" s="37">
        <v>0.15092932611508433</v>
      </c>
      <c r="AE126" s="37">
        <v>0.18587725828699966</v>
      </c>
      <c r="AF126" s="38">
        <f>ROUND(SUM(H126:AE126)*G126,2)</f>
        <v>5719885.3099999996</v>
      </c>
    </row>
    <row r="127" spans="1:32" ht="14.5" thickBot="1">
      <c r="A127">
        <f t="shared" si="53"/>
        <v>2</v>
      </c>
      <c r="B127">
        <f t="shared" si="54"/>
        <v>2036</v>
      </c>
      <c r="C127" t="str">
        <f t="shared" si="55"/>
        <v>22036</v>
      </c>
      <c r="E127" s="56">
        <v>49706</v>
      </c>
      <c r="F127" s="55">
        <f>+_xlfn.XLOOKUP(E127,'PRODUCTO 01'!$C$11:$C$139,'PRODUCTO 01'!$F$11:$F$139)</f>
        <v>5376001.5599999996</v>
      </c>
      <c r="G127" s="36">
        <v>29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401.74016506777258</v>
      </c>
      <c r="O127" s="37">
        <v>5931.4228152347187</v>
      </c>
      <c r="P127" s="37">
        <v>14730.438651700715</v>
      </c>
      <c r="Q127" s="37">
        <v>19601.246830609729</v>
      </c>
      <c r="R127" s="37">
        <v>21593.780322456518</v>
      </c>
      <c r="S127" s="37">
        <v>22217.74030313042</v>
      </c>
      <c r="T127" s="37">
        <v>22145.978615302625</v>
      </c>
      <c r="U127" s="37">
        <v>22176.998673502057</v>
      </c>
      <c r="V127" s="37">
        <v>21426.758482145626</v>
      </c>
      <c r="W127" s="37">
        <v>19119.142536666564</v>
      </c>
      <c r="X127" s="37">
        <v>12488.756857012122</v>
      </c>
      <c r="Y127" s="37">
        <v>3354.2396540675031</v>
      </c>
      <c r="Z127" s="37">
        <v>191.12038499045991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8">
        <f t="shared" ref="AF127" si="107">ROUND(SUM(H127:AE127)*G127,2)</f>
        <v>5376001.5599999996</v>
      </c>
    </row>
    <row r="128" spans="1:32" ht="14.5" thickBot="1">
      <c r="A128">
        <f t="shared" si="53"/>
        <v>3</v>
      </c>
      <c r="B128">
        <f t="shared" si="54"/>
        <v>2036</v>
      </c>
      <c r="C128" t="str">
        <f t="shared" si="55"/>
        <v>32036</v>
      </c>
      <c r="E128" s="56">
        <v>49735</v>
      </c>
      <c r="F128" s="55">
        <f>+_xlfn.XLOOKUP(E128,'PRODUCTO 01'!$C$11:$C$139,'PRODUCTO 01'!$F$11:$F$139)</f>
        <v>5678860.2999999998</v>
      </c>
      <c r="G128" s="36">
        <v>31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13.737920644170742</v>
      </c>
      <c r="N128" s="37">
        <v>923.76251075474727</v>
      </c>
      <c r="O128" s="37">
        <v>6605.5945599676916</v>
      </c>
      <c r="P128" s="37">
        <v>14628.409329616163</v>
      </c>
      <c r="Q128" s="37">
        <v>19701.495968439907</v>
      </c>
      <c r="R128" s="37">
        <v>22329.54235860665</v>
      </c>
      <c r="S128" s="37">
        <v>22532.469655658322</v>
      </c>
      <c r="T128" s="37">
        <v>22299.62772826643</v>
      </c>
      <c r="U128" s="37">
        <v>21511.617760522415</v>
      </c>
      <c r="V128" s="37">
        <v>20250.215685027295</v>
      </c>
      <c r="W128" s="37">
        <v>17603.435856877437</v>
      </c>
      <c r="X128" s="37">
        <v>11326.102814831438</v>
      </c>
      <c r="Y128" s="37">
        <v>3258.1671285595257</v>
      </c>
      <c r="Z128" s="37">
        <v>204.65982343992795</v>
      </c>
      <c r="AA128" s="37">
        <v>0.20273671403819135</v>
      </c>
      <c r="AB128" s="37">
        <v>0</v>
      </c>
      <c r="AC128" s="37">
        <v>0</v>
      </c>
      <c r="AD128" s="37">
        <v>0</v>
      </c>
      <c r="AE128" s="37">
        <v>0</v>
      </c>
      <c r="AF128" s="38">
        <f t="shared" ref="AF128" si="108">ROUND(SUM(H128:AE128)*G128,2)</f>
        <v>5678860.2999999998</v>
      </c>
    </row>
    <row r="129" spans="1:32" ht="14.5" thickBot="1">
      <c r="A129">
        <f t="shared" si="53"/>
        <v>4</v>
      </c>
      <c r="B129">
        <f t="shared" si="54"/>
        <v>2036</v>
      </c>
      <c r="C129" t="str">
        <f t="shared" si="55"/>
        <v>42036</v>
      </c>
      <c r="E129" s="56">
        <v>49766</v>
      </c>
      <c r="F129" s="55">
        <f>+_xlfn.XLOOKUP(E129,'PRODUCTO 01'!$C$11:$C$139,'PRODUCTO 01'!$F$11:$F$139)</f>
        <v>4931210.5</v>
      </c>
      <c r="G129" s="36">
        <v>30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2.8042392015847986</v>
      </c>
      <c r="N129" s="37">
        <v>1452.4176664847705</v>
      </c>
      <c r="O129" s="37">
        <v>6977.0621875664319</v>
      </c>
      <c r="P129" s="37">
        <v>13868.236037258721</v>
      </c>
      <c r="Q129" s="37">
        <v>18397.677771243165</v>
      </c>
      <c r="R129" s="37">
        <v>20362.266122606463</v>
      </c>
      <c r="S129" s="37">
        <v>20264.599045103576</v>
      </c>
      <c r="T129" s="37">
        <v>20116.347746254538</v>
      </c>
      <c r="U129" s="37">
        <v>19074.310125338201</v>
      </c>
      <c r="V129" s="37">
        <v>17265.696014289246</v>
      </c>
      <c r="W129" s="37">
        <v>14534.828713145567</v>
      </c>
      <c r="X129" s="37">
        <v>9187.1093310780961</v>
      </c>
      <c r="Y129" s="37">
        <v>2712.4516537000959</v>
      </c>
      <c r="Z129" s="37">
        <v>157.7156586858413</v>
      </c>
      <c r="AA129" s="37">
        <v>0.16106672783469414</v>
      </c>
      <c r="AB129" s="37">
        <v>0</v>
      </c>
      <c r="AC129" s="37">
        <v>0</v>
      </c>
      <c r="AD129" s="37">
        <v>0</v>
      </c>
      <c r="AE129" s="37">
        <v>0</v>
      </c>
      <c r="AF129" s="38">
        <f t="shared" ref="AF129" si="109">ROUND(SUM(H129:AE129)*G129,2)</f>
        <v>4931210.5</v>
      </c>
    </row>
    <row r="130" spans="1:32" ht="14.5" thickBot="1">
      <c r="A130">
        <f t="shared" si="53"/>
        <v>5</v>
      </c>
      <c r="B130">
        <f t="shared" si="54"/>
        <v>2036</v>
      </c>
      <c r="C130" t="str">
        <f t="shared" si="55"/>
        <v>52036</v>
      </c>
      <c r="E130" s="56">
        <v>49796</v>
      </c>
      <c r="F130" s="55">
        <f>+_xlfn.XLOOKUP(E130,'PRODUCTO 01'!$C$11:$C$139,'PRODUCTO 01'!$F$11:$F$139)</f>
        <v>4875739.33</v>
      </c>
      <c r="G130" s="36">
        <v>31</v>
      </c>
      <c r="H130" s="37">
        <v>1.7628588589035995E-3</v>
      </c>
      <c r="I130" s="37">
        <v>0</v>
      </c>
      <c r="J130" s="37">
        <v>0</v>
      </c>
      <c r="K130" s="37">
        <v>0</v>
      </c>
      <c r="L130" s="37">
        <v>0</v>
      </c>
      <c r="M130" s="37">
        <v>28.543192240937707</v>
      </c>
      <c r="N130" s="37">
        <v>2049.6603338839782</v>
      </c>
      <c r="O130" s="37">
        <v>7408.6964811994576</v>
      </c>
      <c r="P130" s="37">
        <v>12841.202362710035</v>
      </c>
      <c r="Q130" s="37">
        <v>17432.562919591906</v>
      </c>
      <c r="R130" s="37">
        <v>19561.993852860091</v>
      </c>
      <c r="S130" s="37">
        <v>19948.879106736087</v>
      </c>
      <c r="T130" s="37">
        <v>19739.74495916118</v>
      </c>
      <c r="U130" s="37">
        <v>18083.466984387094</v>
      </c>
      <c r="V130" s="37">
        <v>15812.21762304454</v>
      </c>
      <c r="W130" s="37">
        <v>12751.295270271157</v>
      </c>
      <c r="X130" s="37">
        <v>8418.1026224114903</v>
      </c>
      <c r="Y130" s="37">
        <v>3023.6381696489361</v>
      </c>
      <c r="Z130" s="37">
        <v>179.93797512975206</v>
      </c>
      <c r="AA130" s="37">
        <v>1.953355295441451</v>
      </c>
      <c r="AB130" s="37">
        <v>4.8510600819756536E-3</v>
      </c>
      <c r="AC130" s="37">
        <v>4.7001040984120633E-3</v>
      </c>
      <c r="AD130" s="37">
        <v>4.3239934274993943E-3</v>
      </c>
      <c r="AE130" s="37">
        <v>2.8886322956490013E-3</v>
      </c>
      <c r="AF130" s="38">
        <f t="shared" ref="AF130" si="110">ROUND(SUM(H130:AE130)*G130,2)</f>
        <v>4875739.33</v>
      </c>
    </row>
    <row r="131" spans="1:32" ht="14.5" thickBot="1">
      <c r="A131">
        <f t="shared" si="53"/>
        <v>6</v>
      </c>
      <c r="B131">
        <f t="shared" si="54"/>
        <v>2036</v>
      </c>
      <c r="C131" t="str">
        <f t="shared" si="55"/>
        <v>62036</v>
      </c>
      <c r="E131" s="56">
        <v>49827</v>
      </c>
      <c r="F131" s="55">
        <f>+_xlfn.XLOOKUP(E131,'PRODUCTO 01'!$C$11:$C$139,'PRODUCTO 01'!$F$11:$F$139)</f>
        <v>4886168.97</v>
      </c>
      <c r="G131" s="36">
        <v>30</v>
      </c>
      <c r="H131" s="37">
        <v>8.9376538209215879E-3</v>
      </c>
      <c r="I131" s="37">
        <v>8.9266840095427232E-3</v>
      </c>
      <c r="J131" s="37">
        <v>8.5043462714568425E-3</v>
      </c>
      <c r="K131" s="37">
        <v>5.3066462545207959E-3</v>
      </c>
      <c r="L131" s="37">
        <v>3.3787019046871442E-3</v>
      </c>
      <c r="M131" s="37">
        <v>26.060327029634411</v>
      </c>
      <c r="N131" s="37">
        <v>1995.0017026235548</v>
      </c>
      <c r="O131" s="37">
        <v>7250.2943204610128</v>
      </c>
      <c r="P131" s="37">
        <v>12235.633863313111</v>
      </c>
      <c r="Q131" s="37">
        <v>16627.126166461007</v>
      </c>
      <c r="R131" s="37">
        <v>19827.855148688668</v>
      </c>
      <c r="S131" s="37">
        <v>21362.728604993117</v>
      </c>
      <c r="T131" s="37">
        <v>21194.6757312093</v>
      </c>
      <c r="U131" s="37">
        <v>19907.628828833382</v>
      </c>
      <c r="V131" s="37">
        <v>16696.974146390945</v>
      </c>
      <c r="W131" s="37">
        <v>13247.459876663774</v>
      </c>
      <c r="X131" s="37">
        <v>8991.4707120025832</v>
      </c>
      <c r="Y131" s="37">
        <v>3264.1827306403106</v>
      </c>
      <c r="Z131" s="37">
        <v>241.96414518101702</v>
      </c>
      <c r="AA131" s="37">
        <v>3.1716293237817066</v>
      </c>
      <c r="AB131" s="37">
        <v>9.1159132558279645E-3</v>
      </c>
      <c r="AC131" s="37">
        <v>8.9239415566980205E-3</v>
      </c>
      <c r="AD131" s="37">
        <v>8.9129717453191593E-3</v>
      </c>
      <c r="AE131" s="37">
        <v>8.9787906135922867E-3</v>
      </c>
      <c r="AF131" s="38">
        <f t="shared" ref="AF131" si="111">ROUND(SUM(H131:AE131)*G131,2)</f>
        <v>4886168.97</v>
      </c>
    </row>
    <row r="132" spans="1:32" ht="14.5" thickBot="1">
      <c r="A132">
        <f t="shared" si="53"/>
        <v>7</v>
      </c>
      <c r="B132">
        <f t="shared" si="54"/>
        <v>2036</v>
      </c>
      <c r="C132" t="str">
        <f t="shared" si="55"/>
        <v>72036</v>
      </c>
      <c r="E132" s="56">
        <v>49857</v>
      </c>
      <c r="F132" s="55">
        <f>+_xlfn.XLOOKUP(E132,'PRODUCTO 01'!$C$11:$C$139,'PRODUCTO 01'!$F$11:$F$139)</f>
        <v>5230191.97</v>
      </c>
      <c r="G132" s="36">
        <v>31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7.3259388363231119</v>
      </c>
      <c r="N132" s="37">
        <v>1813.0056776217291</v>
      </c>
      <c r="O132" s="37">
        <v>7668.3534306078764</v>
      </c>
      <c r="P132" s="37">
        <v>13942.848384348063</v>
      </c>
      <c r="Q132" s="37">
        <v>18177.806695796222</v>
      </c>
      <c r="R132" s="37">
        <v>20521.508472752888</v>
      </c>
      <c r="S132" s="37">
        <v>21151.192286834412</v>
      </c>
      <c r="T132" s="37">
        <v>20614.661432012537</v>
      </c>
      <c r="U132" s="37">
        <v>19389.475707883481</v>
      </c>
      <c r="V132" s="37">
        <v>17395.806918245795</v>
      </c>
      <c r="W132" s="37">
        <v>14173.597001437514</v>
      </c>
      <c r="X132" s="37">
        <v>9784.2583209472177</v>
      </c>
      <c r="Y132" s="37">
        <v>3785.5045777443011</v>
      </c>
      <c r="Z132" s="37">
        <v>285.12119809750465</v>
      </c>
      <c r="AA132" s="37">
        <v>5.4039435529240301</v>
      </c>
      <c r="AB132" s="37">
        <v>0</v>
      </c>
      <c r="AC132" s="37">
        <v>0</v>
      </c>
      <c r="AD132" s="37">
        <v>0</v>
      </c>
      <c r="AE132" s="37">
        <v>0</v>
      </c>
      <c r="AF132" s="38">
        <f t="shared" ref="AF132" si="112">ROUND(SUM(H132:AE132)*G132,2)</f>
        <v>5230191.97</v>
      </c>
    </row>
    <row r="133" spans="1:32" ht="14.5" thickBot="1">
      <c r="A133">
        <f t="shared" si="53"/>
        <v>8</v>
      </c>
      <c r="B133">
        <f t="shared" si="54"/>
        <v>2036</v>
      </c>
      <c r="C133" t="str">
        <f t="shared" si="55"/>
        <v>82036</v>
      </c>
      <c r="E133" s="56">
        <v>49888</v>
      </c>
      <c r="F133" s="55">
        <f>+_xlfn.XLOOKUP(E133,'PRODUCTO 01'!$C$11:$C$139,'PRODUCTO 01'!$F$11:$F$139)</f>
        <v>4919951.16</v>
      </c>
      <c r="G133" s="36">
        <v>31</v>
      </c>
      <c r="H133" s="37">
        <v>0</v>
      </c>
      <c r="I133" s="37">
        <v>0</v>
      </c>
      <c r="J133" s="37">
        <v>0</v>
      </c>
      <c r="K133" s="37">
        <v>0</v>
      </c>
      <c r="L133" s="37">
        <v>0</v>
      </c>
      <c r="M133" s="37">
        <v>2.3144455209461676</v>
      </c>
      <c r="N133" s="37">
        <v>1307.8630360621451</v>
      </c>
      <c r="O133" s="37">
        <v>6475.6292237254056</v>
      </c>
      <c r="P133" s="37">
        <v>12271.208109370424</v>
      </c>
      <c r="Q133" s="37">
        <v>16675.273467723859</v>
      </c>
      <c r="R133" s="37">
        <v>19477.95449168131</v>
      </c>
      <c r="S133" s="37">
        <v>20351.123766963377</v>
      </c>
      <c r="T133" s="37">
        <v>20120.933859976682</v>
      </c>
      <c r="U133" s="37">
        <v>19094.440155211934</v>
      </c>
      <c r="V133" s="37">
        <v>16911.638068670258</v>
      </c>
      <c r="W133" s="37">
        <v>13727.466115648895</v>
      </c>
      <c r="X133" s="37">
        <v>9003.7994814455233</v>
      </c>
      <c r="Y133" s="37">
        <v>3088.9613011712181</v>
      </c>
      <c r="Z133" s="37">
        <v>198.50278738652455</v>
      </c>
      <c r="AA133" s="37">
        <v>0.99360952656389312</v>
      </c>
      <c r="AB133" s="37">
        <v>0</v>
      </c>
      <c r="AC133" s="37">
        <v>0</v>
      </c>
      <c r="AD133" s="37">
        <v>0</v>
      </c>
      <c r="AE133" s="37">
        <v>0</v>
      </c>
      <c r="AF133" s="38">
        <f t="shared" ref="AF133" si="113">ROUND(SUM(H133:AE133)*G133,2)</f>
        <v>4919951.16</v>
      </c>
    </row>
    <row r="134" spans="1:32" ht="14.5" thickBot="1">
      <c r="A134">
        <f t="shared" si="53"/>
        <v>9</v>
      </c>
      <c r="B134">
        <f t="shared" si="54"/>
        <v>2036</v>
      </c>
      <c r="C134" t="str">
        <f t="shared" si="55"/>
        <v>92036</v>
      </c>
      <c r="E134" s="56">
        <v>49919</v>
      </c>
      <c r="F134" s="55">
        <f>+_xlfn.XLOOKUP(E134,'PRODUCTO 01'!$C$11:$C$139,'PRODUCTO 01'!$F$11:$F$139)</f>
        <v>4591814.8899999997</v>
      </c>
      <c r="G134" s="36">
        <v>30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1.9170783174399955</v>
      </c>
      <c r="N134" s="37">
        <v>1590.9447203336986</v>
      </c>
      <c r="O134" s="37">
        <v>7232.9152822456517</v>
      </c>
      <c r="P134" s="37">
        <v>13989.779231471348</v>
      </c>
      <c r="Q134" s="37">
        <v>17914.820241349007</v>
      </c>
      <c r="R134" s="37">
        <v>18815.41322315433</v>
      </c>
      <c r="S134" s="37">
        <v>19879.229353412109</v>
      </c>
      <c r="T134" s="37">
        <v>19962.943320076902</v>
      </c>
      <c r="U134" s="37">
        <v>18382.802453668439</v>
      </c>
      <c r="V134" s="37">
        <v>15164.333068626516</v>
      </c>
      <c r="W134" s="37">
        <v>11873.654182528002</v>
      </c>
      <c r="X134" s="37">
        <v>6406.8527356711902</v>
      </c>
      <c r="Y134" s="37">
        <v>1761.1996118946411</v>
      </c>
      <c r="Z134" s="37">
        <v>83.675544151667907</v>
      </c>
      <c r="AA134" s="37">
        <v>1.6420670128251259E-2</v>
      </c>
      <c r="AB134" s="37">
        <v>0</v>
      </c>
      <c r="AC134" s="37">
        <v>0</v>
      </c>
      <c r="AD134" s="37">
        <v>0</v>
      </c>
      <c r="AE134" s="37">
        <v>0</v>
      </c>
      <c r="AF134" s="38">
        <f t="shared" ref="AF134" si="114">ROUND(SUM(H134:AE134)*G134,2)</f>
        <v>4591814.8899999997</v>
      </c>
    </row>
    <row r="135" spans="1:32" ht="14.5" thickBot="1">
      <c r="A135">
        <f t="shared" si="53"/>
        <v>10</v>
      </c>
      <c r="B135">
        <f t="shared" si="54"/>
        <v>2036</v>
      </c>
      <c r="C135" t="str">
        <f t="shared" si="55"/>
        <v>102036</v>
      </c>
      <c r="E135" s="56">
        <v>49949</v>
      </c>
      <c r="F135" s="55">
        <f>+_xlfn.XLOOKUP(E135,'PRODUCTO 01'!$C$11:$C$139,'PRODUCTO 01'!$F$11:$F$139)</f>
        <v>4499716.5</v>
      </c>
      <c r="G135" s="36">
        <v>31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1.9207491288783318</v>
      </c>
      <c r="N135" s="37">
        <v>1636.1948900102711</v>
      </c>
      <c r="O135" s="37">
        <v>7200.1014593111631</v>
      </c>
      <c r="P135" s="37">
        <v>13450.4529556951</v>
      </c>
      <c r="Q135" s="37">
        <v>16957.10701110294</v>
      </c>
      <c r="R135" s="37">
        <v>18929.085453375301</v>
      </c>
      <c r="S135" s="37">
        <v>19123.001724814399</v>
      </c>
      <c r="T135" s="37">
        <v>18572.03424432459</v>
      </c>
      <c r="U135" s="37">
        <v>16911.871161259642</v>
      </c>
      <c r="V135" s="37">
        <v>14694.080532888442</v>
      </c>
      <c r="W135" s="37">
        <v>11020.447893831371</v>
      </c>
      <c r="X135" s="37">
        <v>5587.3269228407944</v>
      </c>
      <c r="Y135" s="37">
        <v>1024.2936423583369</v>
      </c>
      <c r="Z135" s="37">
        <v>44.209000771117026</v>
      </c>
      <c r="AA135" s="37">
        <v>3.4474353232608482E-3</v>
      </c>
      <c r="AB135" s="37">
        <v>3.4738565013974257E-3</v>
      </c>
      <c r="AC135" s="37">
        <v>3.5288125519215125E-3</v>
      </c>
      <c r="AD135" s="37">
        <v>3.59962130932754E-3</v>
      </c>
      <c r="AE135" s="37">
        <v>3.6112466277076366E-3</v>
      </c>
      <c r="AF135" s="38">
        <f t="shared" ref="AF135" si="115">ROUND(SUM(H135:AE135)*G135,2)</f>
        <v>4499716.5</v>
      </c>
    </row>
    <row r="136" spans="1:32" ht="14.5" thickBot="1">
      <c r="A136">
        <f t="shared" si="53"/>
        <v>11</v>
      </c>
      <c r="B136">
        <f t="shared" si="54"/>
        <v>2036</v>
      </c>
      <c r="C136" t="str">
        <f t="shared" si="55"/>
        <v>112036</v>
      </c>
      <c r="E136" s="56">
        <v>49980</v>
      </c>
      <c r="F136" s="55">
        <f>+_xlfn.XLOOKUP(E136,'PRODUCTO 01'!$C$11:$C$139,'PRODUCTO 01'!$F$11:$F$139)</f>
        <v>4399738.68</v>
      </c>
      <c r="G136" s="36">
        <v>30</v>
      </c>
      <c r="H136" s="37">
        <v>6.9010528662009278E-4</v>
      </c>
      <c r="I136" s="37">
        <v>5.6446985771971151E-4</v>
      </c>
      <c r="J136" s="37">
        <v>4.8408547014032477E-4</v>
      </c>
      <c r="K136" s="37">
        <v>4.3883442881933121E-4</v>
      </c>
      <c r="L136" s="37">
        <v>5.2844693912931665E-4</v>
      </c>
      <c r="M136" s="37">
        <v>7.9505612190028427E-2</v>
      </c>
      <c r="N136" s="37">
        <v>1406.029984094286</v>
      </c>
      <c r="O136" s="37">
        <v>7146.7866627838894</v>
      </c>
      <c r="P136" s="37">
        <v>13351.836219837447</v>
      </c>
      <c r="Q136" s="37">
        <v>16822.756730009984</v>
      </c>
      <c r="R136" s="37">
        <v>18414.841607441282</v>
      </c>
      <c r="S136" s="37">
        <v>19381.101088228475</v>
      </c>
      <c r="T136" s="37">
        <v>18983.900431070491</v>
      </c>
      <c r="U136" s="37">
        <v>17511.887855197307</v>
      </c>
      <c r="V136" s="37">
        <v>15531.03035933398</v>
      </c>
      <c r="W136" s="37">
        <v>11539.719821065262</v>
      </c>
      <c r="X136" s="37">
        <v>5654.9589502694216</v>
      </c>
      <c r="Y136" s="37">
        <v>886.01333574110504</v>
      </c>
      <c r="Z136" s="37">
        <v>26.357147382666508</v>
      </c>
      <c r="AA136" s="37">
        <v>0.13564869801067006</v>
      </c>
      <c r="AB136" s="37">
        <v>0.13557187369922485</v>
      </c>
      <c r="AC136" s="37">
        <v>0.13323227462886558</v>
      </c>
      <c r="AD136" s="37">
        <v>0.12736227635907094</v>
      </c>
      <c r="AE136" s="37">
        <v>0.12169953803940133</v>
      </c>
      <c r="AF136" s="38">
        <f t="shared" ref="AF136" si="116">ROUND(SUM(H136:AE136)*G136,2)</f>
        <v>4399738.68</v>
      </c>
    </row>
    <row r="137" spans="1:32" ht="14">
      <c r="A137">
        <f t="shared" si="53"/>
        <v>12</v>
      </c>
      <c r="B137">
        <f t="shared" si="54"/>
        <v>2036</v>
      </c>
      <c r="C137" t="str">
        <f t="shared" si="55"/>
        <v>122036</v>
      </c>
      <c r="E137" s="56">
        <v>50010</v>
      </c>
      <c r="F137" s="55">
        <f>+_xlfn.XLOOKUP(E137,'PRODUCTO 01'!$C$11:$C$139,'PRODUCTO 01'!$F$11:$F$139)</f>
        <v>5019404.18</v>
      </c>
      <c r="G137" s="36">
        <v>31</v>
      </c>
      <c r="H137" s="37">
        <v>2.6660492265742513E-3</v>
      </c>
      <c r="I137" s="37">
        <v>0</v>
      </c>
      <c r="J137" s="37">
        <v>0</v>
      </c>
      <c r="K137" s="37">
        <v>0</v>
      </c>
      <c r="L137" s="37">
        <v>0</v>
      </c>
      <c r="M137" s="37">
        <v>2.3662993653146979E-3</v>
      </c>
      <c r="N137" s="37">
        <v>751.67171746753047</v>
      </c>
      <c r="O137" s="37">
        <v>6335.673443689534</v>
      </c>
      <c r="P137" s="37">
        <v>13836.883802451115</v>
      </c>
      <c r="Q137" s="37">
        <v>19128.836941852787</v>
      </c>
      <c r="R137" s="37">
        <v>21671.223466152256</v>
      </c>
      <c r="S137" s="37">
        <v>21920.596127707387</v>
      </c>
      <c r="T137" s="37">
        <v>21037.522176399445</v>
      </c>
      <c r="U137" s="37">
        <v>19964.299162318188</v>
      </c>
      <c r="V137" s="37">
        <v>17244.469458265052</v>
      </c>
      <c r="W137" s="37">
        <v>12881.387609979178</v>
      </c>
      <c r="X137" s="37">
        <v>6168.7286812729235</v>
      </c>
      <c r="Y137" s="37">
        <v>945.61344721317596</v>
      </c>
      <c r="Z137" s="37">
        <v>29.344999478433056</v>
      </c>
      <c r="AA137" s="37">
        <v>0</v>
      </c>
      <c r="AB137" s="37">
        <v>1.7134696423177138E-3</v>
      </c>
      <c r="AC137" s="37">
        <v>1.9794877603031107E-3</v>
      </c>
      <c r="AD137" s="37">
        <v>1.9794877603031107E-3</v>
      </c>
      <c r="AE137" s="37">
        <v>2.1261889283097674E-3</v>
      </c>
      <c r="AF137" s="38">
        <f t="shared" ref="AF137" si="117">ROUND(SUM(H137:AE137)*G137,2)</f>
        <v>5019404.18</v>
      </c>
    </row>
  </sheetData>
  <protectedRanges>
    <protectedRange algorithmName="SHA-512" hashValue="ddMXVrQS0fgB43c0atEM6OKu6oDWAMpeJLqJjfuwWmQe8OHAIs2JeDVHZWeRY9WToyZdUZnhWoqdJcb06CPmZw==" saltValue="nLR4AFgxssXjR1gopeih9Q==" spinCount="100000" sqref="AF9:AF17 AF19:AF29 AF31:AF41 AF43:AF53 AF55:AF65 AF67:AF77 AF79:AF89 AF91:AF101 AF103:AF113 AF127:AF138 E1:AF8 AF115:AF125 E9:G138 H9:AE137" name="Rango2_1"/>
    <protectedRange algorithmName="SHA-512" hashValue="ddMXVrQS0fgB43c0atEM6OKu6oDWAMpeJLqJjfuwWmQe8OHAIs2JeDVHZWeRY9WToyZdUZnhWoqdJcb06CPmZw==" saltValue="nLR4AFgxssXjR1gopeih9Q==" spinCount="100000" sqref="AF126 AF114 AF18 AF30 AF42 AF54 AF66 AF78 AF90 AF102" name="Rango2_1_2"/>
  </protectedRanges>
  <mergeCells count="5">
    <mergeCell ref="E1:AF1"/>
    <mergeCell ref="E2:AF2"/>
    <mergeCell ref="E3:AF3"/>
    <mergeCell ref="E4:AF4"/>
    <mergeCell ref="E5:A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1"/>
  <dimension ref="A1:G38"/>
  <sheetViews>
    <sheetView workbookViewId="0">
      <selection activeCell="G36" sqref="G36"/>
    </sheetView>
  </sheetViews>
  <sheetFormatPr baseColWidth="10" defaultColWidth="11.453125" defaultRowHeight="12.5"/>
  <cols>
    <col min="1" max="1" width="6.453125" style="1" customWidth="1"/>
    <col min="2" max="2" width="6" style="1" bestFit="1" customWidth="1"/>
    <col min="3" max="3" width="9.54296875" style="1" bestFit="1" customWidth="1"/>
    <col min="4" max="4" width="9.54296875" bestFit="1" customWidth="1"/>
  </cols>
  <sheetData>
    <row r="1" spans="1:7">
      <c r="A1" s="68" t="s">
        <v>42</v>
      </c>
      <c r="B1" s="69"/>
      <c r="C1" s="69"/>
      <c r="D1" s="69"/>
    </row>
    <row r="2" spans="1:7">
      <c r="A2" s="4" t="s">
        <v>43</v>
      </c>
      <c r="B2" s="4" t="s">
        <v>44</v>
      </c>
      <c r="C2" s="4">
        <v>2014</v>
      </c>
      <c r="D2" s="4">
        <v>2015</v>
      </c>
      <c r="E2" s="4">
        <v>2016</v>
      </c>
      <c r="F2" s="4">
        <v>2017</v>
      </c>
      <c r="G2" s="4">
        <v>2018</v>
      </c>
    </row>
    <row r="3" spans="1:7">
      <c r="A3" s="4">
        <v>1</v>
      </c>
      <c r="B3" s="4" t="s">
        <v>45</v>
      </c>
      <c r="C3" s="3">
        <f>31-C4-C5</f>
        <v>21</v>
      </c>
      <c r="D3" s="3">
        <f>31-D4-D5</f>
        <v>20</v>
      </c>
      <c r="E3" s="3">
        <v>19</v>
      </c>
      <c r="F3" s="54">
        <v>21</v>
      </c>
      <c r="G3" s="54">
        <v>21</v>
      </c>
    </row>
    <row r="4" spans="1:7">
      <c r="A4" s="4">
        <v>1</v>
      </c>
      <c r="B4" s="4" t="s">
        <v>46</v>
      </c>
      <c r="C4" s="3">
        <v>4</v>
      </c>
      <c r="D4" s="3">
        <v>5</v>
      </c>
      <c r="E4" s="3">
        <v>5</v>
      </c>
      <c r="F4" s="54">
        <v>4</v>
      </c>
      <c r="G4" s="54">
        <v>4</v>
      </c>
    </row>
    <row r="5" spans="1:7">
      <c r="A5" s="4">
        <v>1</v>
      </c>
      <c r="B5" s="4" t="s">
        <v>47</v>
      </c>
      <c r="C5" s="3">
        <v>6</v>
      </c>
      <c r="D5" s="3">
        <v>6</v>
      </c>
      <c r="E5" s="3">
        <v>7</v>
      </c>
      <c r="F5" s="54">
        <v>6</v>
      </c>
      <c r="G5" s="54">
        <v>6</v>
      </c>
    </row>
    <row r="6" spans="1:7">
      <c r="A6" s="4">
        <v>2</v>
      </c>
      <c r="B6" s="4" t="s">
        <v>45</v>
      </c>
      <c r="C6" s="3">
        <f>28-C7-C8</f>
        <v>20</v>
      </c>
      <c r="D6" s="3">
        <f>28-D7-D8</f>
        <v>20</v>
      </c>
      <c r="E6" s="3">
        <v>21</v>
      </c>
      <c r="F6" s="54">
        <v>20</v>
      </c>
      <c r="G6" s="54">
        <v>20</v>
      </c>
    </row>
    <row r="7" spans="1:7">
      <c r="A7" s="4">
        <v>2</v>
      </c>
      <c r="B7" s="4" t="s">
        <v>46</v>
      </c>
      <c r="C7" s="3">
        <v>4</v>
      </c>
      <c r="D7" s="3">
        <v>4</v>
      </c>
      <c r="E7" s="3">
        <v>4</v>
      </c>
      <c r="F7" s="54">
        <v>4</v>
      </c>
      <c r="G7" s="54">
        <v>4</v>
      </c>
    </row>
    <row r="8" spans="1:7">
      <c r="A8" s="4">
        <v>2</v>
      </c>
      <c r="B8" s="4" t="s">
        <v>47</v>
      </c>
      <c r="C8" s="3">
        <v>4</v>
      </c>
      <c r="D8" s="3">
        <v>4</v>
      </c>
      <c r="E8" s="3">
        <v>4</v>
      </c>
      <c r="F8" s="54">
        <v>4</v>
      </c>
      <c r="G8" s="54">
        <v>4</v>
      </c>
    </row>
    <row r="9" spans="1:7">
      <c r="A9" s="4">
        <v>3</v>
      </c>
      <c r="B9" s="4" t="s">
        <v>45</v>
      </c>
      <c r="C9" s="3">
        <f>31-C10-C11</f>
        <v>20</v>
      </c>
      <c r="D9" s="3">
        <f>31-D10-D11</f>
        <v>21</v>
      </c>
      <c r="E9" s="3">
        <v>20</v>
      </c>
      <c r="F9" s="54">
        <v>22</v>
      </c>
      <c r="G9" s="54">
        <v>19</v>
      </c>
    </row>
    <row r="10" spans="1:7">
      <c r="A10" s="4">
        <v>3</v>
      </c>
      <c r="B10" s="4" t="s">
        <v>46</v>
      </c>
      <c r="C10" s="3">
        <v>5</v>
      </c>
      <c r="D10" s="3">
        <v>4</v>
      </c>
      <c r="E10" s="3">
        <v>4</v>
      </c>
      <c r="F10" s="54">
        <v>4</v>
      </c>
      <c r="G10" s="54">
        <v>5</v>
      </c>
    </row>
    <row r="11" spans="1:7">
      <c r="A11" s="4">
        <v>3</v>
      </c>
      <c r="B11" s="4" t="s">
        <v>47</v>
      </c>
      <c r="C11" s="3">
        <v>6</v>
      </c>
      <c r="D11" s="3">
        <v>6</v>
      </c>
      <c r="E11" s="3">
        <v>7</v>
      </c>
      <c r="F11" s="54">
        <v>5</v>
      </c>
      <c r="G11" s="54">
        <v>7</v>
      </c>
    </row>
    <row r="12" spans="1:7">
      <c r="A12" s="4">
        <v>4</v>
      </c>
      <c r="B12" s="4" t="s">
        <v>45</v>
      </c>
      <c r="C12" s="3">
        <f>30-C13-C14</f>
        <v>20</v>
      </c>
      <c r="D12" s="3">
        <f>30-D13-D14</f>
        <v>20</v>
      </c>
      <c r="E12" s="3">
        <v>21</v>
      </c>
      <c r="F12" s="54">
        <v>18</v>
      </c>
      <c r="G12" s="54">
        <v>21</v>
      </c>
    </row>
    <row r="13" spans="1:7">
      <c r="A13" s="4">
        <v>4</v>
      </c>
      <c r="B13" s="4" t="s">
        <v>46</v>
      </c>
      <c r="C13" s="3">
        <v>4</v>
      </c>
      <c r="D13" s="3">
        <v>4</v>
      </c>
      <c r="E13" s="3">
        <v>5</v>
      </c>
      <c r="F13" s="54">
        <v>5</v>
      </c>
      <c r="G13" s="54">
        <v>4</v>
      </c>
    </row>
    <row r="14" spans="1:7">
      <c r="A14" s="4">
        <v>4</v>
      </c>
      <c r="B14" s="4" t="s">
        <v>47</v>
      </c>
      <c r="C14" s="3">
        <v>6</v>
      </c>
      <c r="D14" s="3">
        <v>6</v>
      </c>
      <c r="E14" s="3">
        <v>4</v>
      </c>
      <c r="F14" s="54">
        <v>7</v>
      </c>
      <c r="G14" s="54">
        <v>5</v>
      </c>
    </row>
    <row r="15" spans="1:7">
      <c r="A15" s="4">
        <v>5</v>
      </c>
      <c r="B15" s="4" t="s">
        <v>45</v>
      </c>
      <c r="C15" s="3">
        <f>31-C16-C17</f>
        <v>21</v>
      </c>
      <c r="D15" s="3">
        <f>31-D16-D17</f>
        <v>19</v>
      </c>
      <c r="E15" s="3">
        <v>20</v>
      </c>
      <c r="F15" s="54">
        <v>21</v>
      </c>
      <c r="G15" s="54">
        <v>21</v>
      </c>
    </row>
    <row r="16" spans="1:7">
      <c r="A16" s="4">
        <v>5</v>
      </c>
      <c r="B16" s="4" t="s">
        <v>46</v>
      </c>
      <c r="C16" s="3">
        <v>5</v>
      </c>
      <c r="D16" s="3">
        <v>5</v>
      </c>
      <c r="E16" s="3">
        <v>4</v>
      </c>
      <c r="F16" s="54">
        <v>4</v>
      </c>
      <c r="G16" s="54">
        <v>4</v>
      </c>
    </row>
    <row r="17" spans="1:7">
      <c r="A17" s="4">
        <v>5</v>
      </c>
      <c r="B17" s="4" t="s">
        <v>47</v>
      </c>
      <c r="C17" s="3">
        <v>5</v>
      </c>
      <c r="D17" s="3">
        <v>7</v>
      </c>
      <c r="E17" s="3">
        <v>7</v>
      </c>
      <c r="F17" s="54">
        <v>6</v>
      </c>
      <c r="G17" s="54">
        <v>6</v>
      </c>
    </row>
    <row r="18" spans="1:7">
      <c r="A18" s="4">
        <v>6</v>
      </c>
      <c r="B18" s="4" t="s">
        <v>45</v>
      </c>
      <c r="C18" s="3">
        <f>30-C19-C20</f>
        <v>18</v>
      </c>
      <c r="D18" s="3">
        <f>30-D19-D20</f>
        <v>19</v>
      </c>
      <c r="E18" s="3">
        <v>21</v>
      </c>
      <c r="F18" s="54">
        <v>20</v>
      </c>
      <c r="G18" s="54">
        <v>19</v>
      </c>
    </row>
    <row r="19" spans="1:7">
      <c r="A19" s="4">
        <v>6</v>
      </c>
      <c r="B19" s="4" t="s">
        <v>46</v>
      </c>
      <c r="C19" s="3">
        <v>4</v>
      </c>
      <c r="D19" s="3">
        <v>4</v>
      </c>
      <c r="E19" s="3">
        <v>4</v>
      </c>
      <c r="F19" s="54">
        <v>4</v>
      </c>
      <c r="G19" s="54">
        <v>5</v>
      </c>
    </row>
    <row r="20" spans="1:7">
      <c r="A20" s="4">
        <v>6</v>
      </c>
      <c r="B20" s="4" t="s">
        <v>47</v>
      </c>
      <c r="C20" s="3">
        <v>8</v>
      </c>
      <c r="D20" s="3">
        <v>7</v>
      </c>
      <c r="E20" s="3">
        <v>5</v>
      </c>
      <c r="F20" s="54">
        <v>6</v>
      </c>
      <c r="G20" s="54">
        <v>6</v>
      </c>
    </row>
    <row r="21" spans="1:7">
      <c r="A21" s="4">
        <v>7</v>
      </c>
      <c r="B21" s="4" t="s">
        <v>45</v>
      </c>
      <c r="C21" s="3">
        <f>31-C22-C23</f>
        <v>23</v>
      </c>
      <c r="D21" s="3">
        <f>31-D22-D23</f>
        <v>22</v>
      </c>
      <c r="E21" s="3">
        <v>19</v>
      </c>
      <c r="F21" s="54">
        <v>19</v>
      </c>
      <c r="G21" s="54">
        <v>20</v>
      </c>
    </row>
    <row r="22" spans="1:7">
      <c r="A22" s="4">
        <v>7</v>
      </c>
      <c r="B22" s="4" t="s">
        <v>46</v>
      </c>
      <c r="C22" s="3">
        <v>4</v>
      </c>
      <c r="D22" s="3">
        <v>4</v>
      </c>
      <c r="E22" s="3">
        <v>5</v>
      </c>
      <c r="F22" s="54">
        <v>5</v>
      </c>
      <c r="G22" s="54">
        <v>4</v>
      </c>
    </row>
    <row r="23" spans="1:7">
      <c r="A23" s="4">
        <v>7</v>
      </c>
      <c r="B23" s="4" t="s">
        <v>47</v>
      </c>
      <c r="C23" s="3">
        <v>4</v>
      </c>
      <c r="D23" s="3">
        <v>5</v>
      </c>
      <c r="E23" s="3">
        <v>7</v>
      </c>
      <c r="F23" s="54">
        <v>7</v>
      </c>
      <c r="G23" s="54">
        <v>7</v>
      </c>
    </row>
    <row r="24" spans="1:7">
      <c r="A24" s="4">
        <v>8</v>
      </c>
      <c r="B24" s="4" t="s">
        <v>45</v>
      </c>
      <c r="C24" s="3">
        <f>31-C25-C26</f>
        <v>19</v>
      </c>
      <c r="D24" s="3">
        <f>31-D25-D26</f>
        <v>19</v>
      </c>
      <c r="E24" s="3">
        <v>22</v>
      </c>
      <c r="F24" s="54">
        <v>21</v>
      </c>
      <c r="G24" s="54">
        <v>21</v>
      </c>
    </row>
    <row r="25" spans="1:7">
      <c r="A25" s="4">
        <v>8</v>
      </c>
      <c r="B25" s="4" t="s">
        <v>46</v>
      </c>
      <c r="C25" s="3">
        <v>5</v>
      </c>
      <c r="D25" s="3">
        <v>5</v>
      </c>
      <c r="E25" s="3">
        <v>4</v>
      </c>
      <c r="F25" s="54">
        <v>4</v>
      </c>
      <c r="G25" s="54">
        <v>4</v>
      </c>
    </row>
    <row r="26" spans="1:7">
      <c r="A26" s="4">
        <v>8</v>
      </c>
      <c r="B26" s="4" t="s">
        <v>47</v>
      </c>
      <c r="C26" s="3">
        <v>7</v>
      </c>
      <c r="D26" s="3">
        <v>7</v>
      </c>
      <c r="E26" s="3">
        <v>5</v>
      </c>
      <c r="F26" s="54">
        <v>6</v>
      </c>
      <c r="G26" s="54">
        <v>6</v>
      </c>
    </row>
    <row r="27" spans="1:7">
      <c r="A27" s="4">
        <v>9</v>
      </c>
      <c r="B27" s="4" t="s">
        <v>45</v>
      </c>
      <c r="C27" s="3">
        <f>30-C28-C29</f>
        <v>22</v>
      </c>
      <c r="D27" s="3">
        <f>30-D28-D29</f>
        <v>22</v>
      </c>
      <c r="E27" s="3">
        <v>22</v>
      </c>
      <c r="F27" s="54">
        <v>21</v>
      </c>
      <c r="G27" s="54">
        <v>20</v>
      </c>
    </row>
    <row r="28" spans="1:7">
      <c r="A28" s="4">
        <v>9</v>
      </c>
      <c r="B28" s="4" t="s">
        <v>46</v>
      </c>
      <c r="C28" s="3">
        <v>4</v>
      </c>
      <c r="D28" s="3">
        <v>4</v>
      </c>
      <c r="E28" s="3">
        <v>4</v>
      </c>
      <c r="F28" s="54">
        <v>5</v>
      </c>
      <c r="G28" s="54">
        <v>5</v>
      </c>
    </row>
    <row r="29" spans="1:7">
      <c r="A29" s="4">
        <v>9</v>
      </c>
      <c r="B29" s="4" t="s">
        <v>47</v>
      </c>
      <c r="C29" s="3">
        <v>4</v>
      </c>
      <c r="D29" s="3">
        <v>4</v>
      </c>
      <c r="E29" s="3">
        <v>4</v>
      </c>
      <c r="F29" s="54">
        <v>4</v>
      </c>
      <c r="G29" s="54">
        <v>5</v>
      </c>
    </row>
    <row r="30" spans="1:7">
      <c r="A30" s="4">
        <v>10</v>
      </c>
      <c r="B30" s="4" t="s">
        <v>45</v>
      </c>
      <c r="C30" s="3">
        <f>31-C31-C32</f>
        <v>22</v>
      </c>
      <c r="D30" s="3">
        <f>31-D31-D32</f>
        <v>21</v>
      </c>
      <c r="E30" s="3">
        <v>20</v>
      </c>
      <c r="F30" s="54">
        <v>21</v>
      </c>
      <c r="G30" s="54">
        <v>22</v>
      </c>
    </row>
    <row r="31" spans="1:7">
      <c r="A31" s="4">
        <v>10</v>
      </c>
      <c r="B31" s="4" t="s">
        <v>46</v>
      </c>
      <c r="C31" s="3">
        <v>4</v>
      </c>
      <c r="D31" s="3">
        <v>5</v>
      </c>
      <c r="E31" s="3">
        <v>5</v>
      </c>
      <c r="F31" s="54">
        <v>4</v>
      </c>
      <c r="G31" s="54">
        <v>4</v>
      </c>
    </row>
    <row r="32" spans="1:7">
      <c r="A32" s="4">
        <v>10</v>
      </c>
      <c r="B32" s="4" t="s">
        <v>47</v>
      </c>
      <c r="C32" s="3">
        <v>5</v>
      </c>
      <c r="D32" s="3">
        <v>5</v>
      </c>
      <c r="E32" s="3">
        <v>6</v>
      </c>
      <c r="F32" s="54">
        <v>6</v>
      </c>
      <c r="G32" s="54">
        <v>5</v>
      </c>
    </row>
    <row r="33" spans="1:7">
      <c r="A33" s="4">
        <v>11</v>
      </c>
      <c r="B33" s="4" t="s">
        <v>45</v>
      </c>
      <c r="C33" s="3">
        <f>30-C34-C35</f>
        <v>18</v>
      </c>
      <c r="D33" s="3">
        <f>30-D34-D35</f>
        <v>19</v>
      </c>
      <c r="E33" s="3">
        <v>20</v>
      </c>
      <c r="F33" s="54">
        <v>20</v>
      </c>
      <c r="G33" s="54">
        <v>20</v>
      </c>
    </row>
    <row r="34" spans="1:7">
      <c r="A34" s="4">
        <v>11</v>
      </c>
      <c r="B34" s="4" t="s">
        <v>46</v>
      </c>
      <c r="C34" s="3">
        <v>5</v>
      </c>
      <c r="D34" s="3">
        <v>4</v>
      </c>
      <c r="E34" s="3">
        <v>4</v>
      </c>
      <c r="F34" s="54">
        <v>4</v>
      </c>
      <c r="G34" s="54">
        <v>4</v>
      </c>
    </row>
    <row r="35" spans="1:7">
      <c r="A35" s="4">
        <v>11</v>
      </c>
      <c r="B35" s="4" t="s">
        <v>47</v>
      </c>
      <c r="C35" s="3">
        <v>7</v>
      </c>
      <c r="D35" s="3">
        <v>7</v>
      </c>
      <c r="E35" s="3">
        <v>6</v>
      </c>
      <c r="F35" s="54">
        <v>6</v>
      </c>
      <c r="G35" s="54">
        <v>6</v>
      </c>
    </row>
    <row r="36" spans="1:7">
      <c r="A36" s="4">
        <v>12</v>
      </c>
      <c r="B36" s="4" t="s">
        <v>45</v>
      </c>
      <c r="C36" s="3">
        <f>31-C37-C38</f>
        <v>21</v>
      </c>
      <c r="D36" s="3">
        <f>31-D37-D38</f>
        <v>21</v>
      </c>
      <c r="E36" s="3">
        <v>21</v>
      </c>
      <c r="F36" s="54">
        <v>19</v>
      </c>
      <c r="G36" s="54">
        <v>20</v>
      </c>
    </row>
    <row r="37" spans="1:7">
      <c r="A37" s="4">
        <v>12</v>
      </c>
      <c r="B37" s="4" t="s">
        <v>46</v>
      </c>
      <c r="C37" s="3">
        <v>4</v>
      </c>
      <c r="D37" s="3">
        <v>4</v>
      </c>
      <c r="E37" s="3">
        <v>5</v>
      </c>
      <c r="F37" s="54">
        <v>5</v>
      </c>
      <c r="G37" s="54">
        <v>5</v>
      </c>
    </row>
    <row r="38" spans="1:7">
      <c r="A38" s="4">
        <v>12</v>
      </c>
      <c r="B38" s="4" t="s">
        <v>47</v>
      </c>
      <c r="C38" s="3">
        <v>6</v>
      </c>
      <c r="D38" s="3">
        <v>6</v>
      </c>
      <c r="E38" s="3">
        <v>5</v>
      </c>
      <c r="F38" s="54">
        <v>7</v>
      </c>
      <c r="G38" s="54">
        <v>6</v>
      </c>
    </row>
  </sheetData>
  <mergeCells count="1">
    <mergeCell ref="A1:D1"/>
  </mergeCells>
  <phoneticPr fontId="3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2:Z8"/>
  <sheetViews>
    <sheetView workbookViewId="0">
      <selection activeCell="G18" sqref="G18"/>
    </sheetView>
  </sheetViews>
  <sheetFormatPr baseColWidth="10" defaultColWidth="11.453125" defaultRowHeight="12.5"/>
  <cols>
    <col min="1" max="1" width="8.453125" bestFit="1" customWidth="1"/>
  </cols>
  <sheetData>
    <row r="2" spans="1:26">
      <c r="A2" t="s">
        <v>48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</row>
    <row r="3" spans="1:26">
      <c r="A3" s="2" t="s">
        <v>49</v>
      </c>
      <c r="B3" s="5">
        <v>2.783452681817198E-2</v>
      </c>
      <c r="C3" s="5">
        <v>2.668252126108818E-2</v>
      </c>
      <c r="D3" s="5">
        <v>2.5923893384829134E-2</v>
      </c>
      <c r="E3" s="5">
        <v>2.5439158181316032E-2</v>
      </c>
      <c r="F3" s="5">
        <v>2.5556096856230455E-2</v>
      </c>
      <c r="G3" s="5">
        <v>2.7259444786907006E-2</v>
      </c>
      <c r="H3" s="5">
        <v>3.2350134566888754E-2</v>
      </c>
      <c r="I3" s="5">
        <v>4.045576103192499E-2</v>
      </c>
      <c r="J3" s="5">
        <v>4.7464292858427598E-2</v>
      </c>
      <c r="K3" s="5">
        <v>5.169277716438446E-2</v>
      </c>
      <c r="L3" s="5">
        <v>5.4607079437588628E-2</v>
      </c>
      <c r="M3" s="5">
        <v>5.4936429550185031E-2</v>
      </c>
      <c r="N3" s="5">
        <v>5.2911056418191681E-2</v>
      </c>
      <c r="O3" s="5">
        <v>5.4485015191331893E-2</v>
      </c>
      <c r="P3" s="5">
        <v>5.6958238973630178E-2</v>
      </c>
      <c r="Q3" s="5">
        <v>5.7105703269245391E-2</v>
      </c>
      <c r="R3" s="5">
        <v>5.4820803913341029E-2</v>
      </c>
      <c r="S3" s="5">
        <v>5.108054271396599E-2</v>
      </c>
      <c r="T3" s="5">
        <v>4.7845563950176334E-2</v>
      </c>
      <c r="U3" s="5">
        <v>4.457508769852557E-2</v>
      </c>
      <c r="V3" s="5">
        <v>4.0435267573066501E-2</v>
      </c>
      <c r="W3" s="5">
        <v>3.6298963462989185E-2</v>
      </c>
      <c r="X3" s="5">
        <v>3.2954022238606676E-2</v>
      </c>
      <c r="Y3" s="5">
        <v>3.032761869898741E-2</v>
      </c>
      <c r="Z3" s="6"/>
    </row>
    <row r="4" spans="1:26">
      <c r="A4" s="2" t="s">
        <v>50</v>
      </c>
      <c r="B4" s="5">
        <v>3.1933620692589905E-2</v>
      </c>
      <c r="C4" s="5">
        <v>3.028507916146447E-2</v>
      </c>
      <c r="D4" s="5">
        <v>2.9353180394062206E-2</v>
      </c>
      <c r="E4" s="5">
        <v>2.8733579354856629E-2</v>
      </c>
      <c r="F4" s="5">
        <v>2.8654972019213198E-2</v>
      </c>
      <c r="G4" s="5">
        <v>2.9977252709770662E-2</v>
      </c>
      <c r="H4" s="5">
        <v>3.4030119073676562E-2</v>
      </c>
      <c r="I4" s="5">
        <v>4.0020468312107316E-2</v>
      </c>
      <c r="J4" s="5">
        <v>4.6345254196304329E-2</v>
      </c>
      <c r="K4" s="5">
        <v>5.1632170995532432E-2</v>
      </c>
      <c r="L4" s="5">
        <v>5.5400723466864081E-2</v>
      </c>
      <c r="M4" s="5">
        <v>5.5432950534748331E-2</v>
      </c>
      <c r="N4" s="5">
        <v>5.2958110753523802E-2</v>
      </c>
      <c r="O4" s="5">
        <v>5.1848023271953363E-2</v>
      </c>
      <c r="P4" s="5">
        <v>5.0438564407365091E-2</v>
      </c>
      <c r="Q4" s="5">
        <v>4.9277928088675836E-2</v>
      </c>
      <c r="R4" s="5">
        <v>4.7857003747290683E-2</v>
      </c>
      <c r="S4" s="5">
        <v>4.7139299793538647E-2</v>
      </c>
      <c r="T4" s="5">
        <v>4.6673457030399823E-2</v>
      </c>
      <c r="U4" s="5">
        <v>4.4979657301066199E-2</v>
      </c>
      <c r="V4" s="5">
        <v>4.2158325011537622E-2</v>
      </c>
      <c r="W4" s="5">
        <v>3.8032949074158828E-2</v>
      </c>
      <c r="X4" s="5">
        <v>3.4562919866015868E-2</v>
      </c>
      <c r="Y4" s="5">
        <v>3.2274390743284039E-2</v>
      </c>
      <c r="Z4" s="6"/>
    </row>
    <row r="5" spans="1:26">
      <c r="A5" s="2" t="s">
        <v>51</v>
      </c>
      <c r="B5" s="5">
        <v>3.6926199666856431E-2</v>
      </c>
      <c r="C5" s="5">
        <v>3.5565247268949142E-2</v>
      </c>
      <c r="D5" s="5">
        <v>3.4193693308989387E-2</v>
      </c>
      <c r="E5" s="5">
        <v>3.3394424684678396E-2</v>
      </c>
      <c r="F5" s="5">
        <v>3.2854151350900668E-2</v>
      </c>
      <c r="G5" s="5">
        <v>3.2653618991756707E-2</v>
      </c>
      <c r="H5" s="5">
        <v>3.3632199282738529E-2</v>
      </c>
      <c r="I5" s="5">
        <v>3.6341608036133136E-2</v>
      </c>
      <c r="J5" s="5">
        <v>4.0377423292748481E-2</v>
      </c>
      <c r="K5" s="5">
        <v>4.3732240795238811E-2</v>
      </c>
      <c r="L5" s="5">
        <v>4.7238598159283107E-2</v>
      </c>
      <c r="M5" s="5">
        <v>4.9884901021565071E-2</v>
      </c>
      <c r="N5" s="5">
        <v>5.0097655159372999E-2</v>
      </c>
      <c r="O5" s="5">
        <v>4.9054338067127098E-2</v>
      </c>
      <c r="P5" s="5">
        <v>4.794935081160881E-2</v>
      </c>
      <c r="Q5" s="5">
        <v>4.7121268851251244E-2</v>
      </c>
      <c r="R5" s="5">
        <v>4.674481308955606E-2</v>
      </c>
      <c r="S5" s="5">
        <v>4.6327024665165285E-2</v>
      </c>
      <c r="T5" s="5">
        <v>4.7122858145358215E-2</v>
      </c>
      <c r="U5" s="5">
        <v>4.6196154090168702E-2</v>
      </c>
      <c r="V5" s="5">
        <v>4.4346623846216106E-2</v>
      </c>
      <c r="W5" s="5">
        <v>4.1928398559943049E-2</v>
      </c>
      <c r="X5" s="5">
        <v>3.9253216982729003E-2</v>
      </c>
      <c r="Y5" s="5">
        <v>3.7063991871665793E-2</v>
      </c>
      <c r="Z5" s="6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1:26" ht="13">
      <c r="A8" s="7" t="s">
        <v>52</v>
      </c>
    </row>
  </sheetData>
  <phoneticPr fontId="3" type="noConversion"/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128B553CF4D45A32557018C565B05" ma:contentTypeVersion="12" ma:contentTypeDescription="Crear nuevo documento." ma:contentTypeScope="" ma:versionID="9051b616218607a547ffc31e197de93b">
  <xsd:schema xmlns:xsd="http://www.w3.org/2001/XMLSchema" xmlns:xs="http://www.w3.org/2001/XMLSchema" xmlns:p="http://schemas.microsoft.com/office/2006/metadata/properties" xmlns:ns2="392acecb-3b57-4957-8fda-f6aa1cc77d9c" xmlns:ns3="f3c667da-9417-4ddc-85c8-f81090c15048" targetNamespace="http://schemas.microsoft.com/office/2006/metadata/properties" ma:root="true" ma:fieldsID="95dc98024839dd5cd9bed517a990eb63" ns2:_="" ns3:_="">
    <xsd:import namespace="392acecb-3b57-4957-8fda-f6aa1cc77d9c"/>
    <xsd:import namespace="f3c667da-9417-4ddc-85c8-f81090c15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cecb-3b57-4957-8fda-f6aa1cc7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9e25b11-b3c7-4f85-8ccd-351089f079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67da-9417-4ddc-85c8-f81090c150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d04c72-668a-4dc8-8232-5e0773635f0f}" ma:internalName="TaxCatchAll" ma:showField="CatchAllData" ma:web="f3c667da-9417-4ddc-85c8-f81090c15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acecb-3b57-4957-8fda-f6aa1cc77d9c">
      <Terms xmlns="http://schemas.microsoft.com/office/infopath/2007/PartnerControls"/>
    </lcf76f155ced4ddcb4097134ff3c332f>
    <TaxCatchAll xmlns="f3c667da-9417-4ddc-85c8-f81090c15048" xsi:nil="true"/>
  </documentManagement>
</p:properties>
</file>

<file path=customXml/itemProps1.xml><?xml version="1.0" encoding="utf-8"?>
<ds:datastoreItem xmlns:ds="http://schemas.openxmlformats.org/officeDocument/2006/customXml" ds:itemID="{63285D7F-B4FB-4ADD-AC8D-74C77A1FF4D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FB5DC2A-7F26-4221-B7F2-5CF7ECA3A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acecb-3b57-4957-8fda-f6aa1cc77d9c"/>
    <ds:schemaRef ds:uri="f3c667da-9417-4ddc-85c8-f81090c15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08B470-77AE-4F45-A3C5-2E42492EEC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D02478-90EC-468F-9F9C-14A89ABA6CD1}">
  <ds:schemaRefs>
    <ds:schemaRef ds:uri="http://schemas.microsoft.com/office/2006/metadata/properties"/>
    <ds:schemaRef ds:uri="http://schemas.microsoft.com/office/infopath/2007/PartnerControls"/>
    <ds:schemaRef ds:uri="392acecb-3b57-4957-8fda-f6aa1cc77d9c"/>
    <ds:schemaRef ds:uri="f3c667da-9417-4ddc-85c8-f81090c150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PRODUCTO 01</vt:lpstr>
      <vt:lpstr>Cantidades horarias PROD 01 </vt:lpstr>
      <vt:lpstr>calendario</vt:lpstr>
      <vt:lpstr>curvas típicas de referencia</vt:lpstr>
      <vt:lpstr>'PRODUCTO 01'!Área_de_impresión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Ruiz Morales</dc:creator>
  <cp:keywords/>
  <dc:description/>
  <cp:lastModifiedBy>Eder Ortiz Hungría</cp:lastModifiedBy>
  <cp:revision/>
  <dcterms:created xsi:type="dcterms:W3CDTF">2008-04-02T00:00:31Z</dcterms:created>
  <dcterms:modified xsi:type="dcterms:W3CDTF">2026-01-20T14:03:46Z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0x01010016F128B553CF4D45A32557018C565B05</vt:lpwstr>
  </property>
  <property fmtid="{D5CDD505-2E9C-101B-9397-08002B2CF9AE}" pid="3" name="MediaServiceImageTags">
    <vt:lpwstr/>
  </property>
</Properties>
</file>