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NALISIS DE MERCADO\CONTRATOS MEM\GESTION DE CONTRATOS\SICEP\5. CONVOCATORIAS 2026\CP - ETTC2026-002 - 2042-2045\0. BASES\"/>
    </mc:Choice>
  </mc:AlternateContent>
  <xr:revisionPtr revIDLastSave="0" documentId="13_ncr:1_{BFDFDF8C-EC29-411A-9EE0-FA682547FB0D}" xr6:coauthVersionLast="47" xr6:coauthVersionMax="47" xr10:uidLastSave="{00000000-0000-0000-0000-000000000000}"/>
  <bookViews>
    <workbookView xWindow="-28920" yWindow="750" windowWidth="29040" windowHeight="15720" activeTab="2" xr2:uid="{3356226D-6403-4143-A471-BF24866AC6A4}"/>
  </bookViews>
  <sheets>
    <sheet name="Anexo 1 Necesidades de Contrata" sheetId="3" r:id="rId1"/>
    <sheet name="Anexo 2 - Cant" sheetId="8" r:id="rId2"/>
    <sheet name="Anexo 2  - Precios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9" l="1"/>
  <c r="J67" i="9"/>
  <c r="I52" i="9"/>
  <c r="J51" i="9"/>
  <c r="I36" i="9"/>
  <c r="J35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I20" i="9"/>
  <c r="E20" i="9"/>
  <c r="D20" i="9"/>
  <c r="C20" i="9"/>
  <c r="B20" i="9"/>
  <c r="J19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L14" i="9"/>
  <c r="K14" i="9"/>
  <c r="J14" i="9"/>
  <c r="I14" i="9"/>
  <c r="E14" i="9"/>
  <c r="D14" i="9"/>
  <c r="C14" i="9"/>
  <c r="B14" i="9"/>
  <c r="L13" i="9"/>
  <c r="K13" i="9"/>
  <c r="J13" i="9"/>
  <c r="I13" i="9"/>
  <c r="E13" i="9"/>
  <c r="D13" i="9"/>
  <c r="C13" i="9"/>
  <c r="B13" i="9"/>
  <c r="L12" i="9"/>
  <c r="K12" i="9"/>
  <c r="J12" i="9"/>
  <c r="I12" i="9"/>
  <c r="E12" i="9"/>
  <c r="D12" i="9"/>
  <c r="C12" i="9"/>
  <c r="B12" i="9"/>
  <c r="L11" i="9"/>
  <c r="K11" i="9"/>
  <c r="J11" i="9"/>
  <c r="I11" i="9"/>
  <c r="E11" i="9"/>
  <c r="D11" i="9"/>
  <c r="C11" i="9"/>
  <c r="B11" i="9"/>
  <c r="L10" i="9"/>
  <c r="K10" i="9"/>
  <c r="J10" i="9"/>
  <c r="I10" i="9"/>
  <c r="E10" i="9"/>
  <c r="D10" i="9"/>
  <c r="C10" i="9"/>
  <c r="B10" i="9"/>
  <c r="L9" i="9"/>
  <c r="K9" i="9"/>
  <c r="J9" i="9"/>
  <c r="I9" i="9"/>
  <c r="E9" i="9"/>
  <c r="D9" i="9"/>
  <c r="C9" i="9"/>
  <c r="B9" i="9"/>
  <c r="L8" i="9"/>
  <c r="K8" i="9"/>
  <c r="J8" i="9"/>
  <c r="I8" i="9"/>
  <c r="E8" i="9"/>
  <c r="D8" i="9"/>
  <c r="C8" i="9"/>
  <c r="B8" i="9"/>
  <c r="L7" i="9"/>
  <c r="K7" i="9"/>
  <c r="J7" i="9"/>
  <c r="I7" i="9"/>
  <c r="E7" i="9"/>
  <c r="D7" i="9"/>
  <c r="C7" i="9"/>
  <c r="B7" i="9"/>
  <c r="L6" i="9"/>
  <c r="K6" i="9"/>
  <c r="J6" i="9"/>
  <c r="I6" i="9"/>
  <c r="E6" i="9"/>
  <c r="D6" i="9"/>
  <c r="C6" i="9"/>
  <c r="B6" i="9"/>
  <c r="L5" i="9"/>
  <c r="K5" i="9"/>
  <c r="J5" i="9"/>
  <c r="I5" i="9"/>
  <c r="E5" i="9"/>
  <c r="D5" i="9"/>
  <c r="C5" i="9"/>
  <c r="B5" i="9"/>
  <c r="L4" i="9"/>
  <c r="K4" i="9"/>
  <c r="J4" i="9"/>
  <c r="I4" i="9"/>
  <c r="H4" i="9"/>
  <c r="H5" i="9" s="1"/>
  <c r="H6" i="9" s="1"/>
  <c r="H7" i="9" s="1"/>
  <c r="H8" i="9" s="1"/>
  <c r="H9" i="9" s="1"/>
  <c r="H10" i="9" s="1"/>
  <c r="H11" i="9" s="1"/>
  <c r="H12" i="9" s="1"/>
  <c r="H13" i="9" s="1"/>
  <c r="H14" i="9" s="1"/>
  <c r="E4" i="9"/>
  <c r="D4" i="9"/>
  <c r="C4" i="9"/>
  <c r="B4" i="9"/>
  <c r="B27" i="9" s="1"/>
  <c r="L3" i="9"/>
  <c r="L15" i="9" s="1"/>
  <c r="K3" i="9"/>
  <c r="K15" i="9" s="1"/>
  <c r="J3" i="9"/>
  <c r="J15" i="9" s="1"/>
  <c r="I3" i="9"/>
  <c r="I15" i="9" s="1"/>
  <c r="M15" i="9" s="1"/>
  <c r="E3" i="9"/>
  <c r="E27" i="9" s="1"/>
  <c r="D3" i="9"/>
  <c r="D27" i="9" s="1"/>
  <c r="C3" i="9"/>
  <c r="C27" i="9" s="1"/>
  <c r="I68" i="8"/>
  <c r="J67" i="8"/>
  <c r="I52" i="8"/>
  <c r="J51" i="8"/>
  <c r="I36" i="8"/>
  <c r="J35" i="8"/>
  <c r="I20" i="8"/>
  <c r="J19" i="8"/>
  <c r="L14" i="8"/>
  <c r="K14" i="8"/>
  <c r="J14" i="8"/>
  <c r="I14" i="8"/>
  <c r="L13" i="8"/>
  <c r="K13" i="8"/>
  <c r="J13" i="8"/>
  <c r="I13" i="8"/>
  <c r="L12" i="8"/>
  <c r="K12" i="8"/>
  <c r="J12" i="8"/>
  <c r="I12" i="8"/>
  <c r="L11" i="8"/>
  <c r="K11" i="8"/>
  <c r="J11" i="8"/>
  <c r="I11" i="8"/>
  <c r="L10" i="8"/>
  <c r="K10" i="8"/>
  <c r="J10" i="8"/>
  <c r="I10" i="8"/>
  <c r="L9" i="8"/>
  <c r="K9" i="8"/>
  <c r="J9" i="8"/>
  <c r="I9" i="8"/>
  <c r="L8" i="8"/>
  <c r="K8" i="8"/>
  <c r="J8" i="8"/>
  <c r="I8" i="8"/>
  <c r="L7" i="8"/>
  <c r="K7" i="8"/>
  <c r="J7" i="8"/>
  <c r="I7" i="8"/>
  <c r="L6" i="8"/>
  <c r="K6" i="8"/>
  <c r="J6" i="8"/>
  <c r="I6" i="8"/>
  <c r="L5" i="8"/>
  <c r="K5" i="8"/>
  <c r="J5" i="8"/>
  <c r="I5" i="8"/>
  <c r="L4" i="8"/>
  <c r="K4" i="8"/>
  <c r="J4" i="8"/>
  <c r="I4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L3" i="8"/>
  <c r="L15" i="8" s="1"/>
  <c r="K3" i="8"/>
  <c r="J3" i="8"/>
  <c r="I3" i="8"/>
  <c r="I15" i="8" s="1"/>
  <c r="E4" i="8"/>
  <c r="D4" i="8"/>
  <c r="C4" i="8"/>
  <c r="E3" i="8"/>
  <c r="D3" i="8"/>
  <c r="C3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4" i="8"/>
  <c r="J36" i="3"/>
  <c r="J37" i="3"/>
  <c r="J38" i="3"/>
  <c r="J39" i="3"/>
  <c r="J40" i="3"/>
  <c r="J41" i="3"/>
  <c r="J42" i="3"/>
  <c r="J43" i="3"/>
  <c r="J44" i="3"/>
  <c r="J45" i="3"/>
  <c r="J46" i="3"/>
  <c r="O36" i="3"/>
  <c r="O37" i="3"/>
  <c r="O38" i="3"/>
  <c r="O39" i="3"/>
  <c r="O40" i="3"/>
  <c r="O41" i="3"/>
  <c r="O42" i="3"/>
  <c r="O43" i="3"/>
  <c r="O44" i="3"/>
  <c r="O45" i="3"/>
  <c r="O46" i="3"/>
  <c r="O20" i="3"/>
  <c r="O21" i="3"/>
  <c r="O22" i="3"/>
  <c r="O23" i="3"/>
  <c r="O24" i="3"/>
  <c r="O25" i="3"/>
  <c r="O26" i="3"/>
  <c r="O27" i="3"/>
  <c r="O28" i="3"/>
  <c r="O29" i="3"/>
  <c r="O30" i="3"/>
  <c r="N46" i="3"/>
  <c r="N45" i="3"/>
  <c r="I46" i="3"/>
  <c r="I45" i="3"/>
  <c r="N30" i="3"/>
  <c r="N29" i="3"/>
  <c r="I20" i="3"/>
  <c r="I21" i="3" s="1"/>
  <c r="I22" i="3" s="1"/>
  <c r="I23" i="3" s="1"/>
  <c r="I24" i="3" s="1"/>
  <c r="I25" i="3" s="1"/>
  <c r="I26" i="3" s="1"/>
  <c r="I27" i="3" s="1"/>
  <c r="I28" i="3" s="1"/>
  <c r="I29" i="3" s="1"/>
  <c r="L3" i="3"/>
  <c r="K3" i="3"/>
  <c r="J3" i="3"/>
  <c r="K14" i="3"/>
  <c r="J14" i="3"/>
  <c r="I14" i="3"/>
  <c r="K13" i="3"/>
  <c r="J13" i="3"/>
  <c r="I13" i="3"/>
  <c r="L12" i="3"/>
  <c r="K12" i="3"/>
  <c r="J12" i="3"/>
  <c r="I12" i="3"/>
  <c r="L11" i="3"/>
  <c r="K11" i="3"/>
  <c r="J11" i="3"/>
  <c r="I11" i="3"/>
  <c r="L10" i="3"/>
  <c r="K10" i="3"/>
  <c r="J10" i="3"/>
  <c r="I10" i="3"/>
  <c r="L9" i="3"/>
  <c r="K9" i="3"/>
  <c r="J9" i="3"/>
  <c r="I9" i="3"/>
  <c r="L8" i="3"/>
  <c r="K8" i="3"/>
  <c r="J8" i="3"/>
  <c r="I8" i="3"/>
  <c r="L7" i="3"/>
  <c r="K7" i="3"/>
  <c r="J7" i="3"/>
  <c r="I7" i="3"/>
  <c r="L6" i="3"/>
  <c r="K6" i="3"/>
  <c r="J6" i="3"/>
  <c r="I6" i="3"/>
  <c r="L5" i="3"/>
  <c r="K5" i="3"/>
  <c r="J5" i="3"/>
  <c r="I5" i="3"/>
  <c r="L4" i="3"/>
  <c r="K4" i="3"/>
  <c r="J4" i="3"/>
  <c r="I4" i="3"/>
  <c r="I3" i="3"/>
  <c r="L14" i="3"/>
  <c r="L13" i="3"/>
  <c r="E3" i="3"/>
  <c r="D3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C3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I69" i="9" l="1"/>
  <c r="J68" i="9"/>
  <c r="I53" i="9"/>
  <c r="J52" i="9"/>
  <c r="I37" i="9"/>
  <c r="J36" i="9"/>
  <c r="I21" i="9"/>
  <c r="J20" i="9"/>
  <c r="I69" i="8"/>
  <c r="J68" i="8"/>
  <c r="C27" i="8"/>
  <c r="I53" i="8"/>
  <c r="J52" i="8"/>
  <c r="I37" i="8"/>
  <c r="J36" i="8"/>
  <c r="J15" i="8"/>
  <c r="E27" i="8"/>
  <c r="K15" i="8"/>
  <c r="D27" i="8"/>
  <c r="I21" i="8"/>
  <c r="J20" i="8"/>
  <c r="B27" i="8"/>
  <c r="I30" i="3"/>
  <c r="J30" i="3" s="1"/>
  <c r="J29" i="3"/>
  <c r="B27" i="3"/>
  <c r="J19" i="3"/>
  <c r="N36" i="3"/>
  <c r="O35" i="3"/>
  <c r="I36" i="3"/>
  <c r="J35" i="3"/>
  <c r="N20" i="3"/>
  <c r="O19" i="3"/>
  <c r="J15" i="3"/>
  <c r="I15" i="3"/>
  <c r="K15" i="3"/>
  <c r="L15" i="3"/>
  <c r="I70" i="9" l="1"/>
  <c r="J69" i="9"/>
  <c r="I54" i="9"/>
  <c r="J53" i="9"/>
  <c r="I38" i="9"/>
  <c r="J37" i="9"/>
  <c r="J21" i="9"/>
  <c r="I22" i="9"/>
  <c r="J69" i="8"/>
  <c r="I70" i="8"/>
  <c r="J53" i="8"/>
  <c r="I54" i="8"/>
  <c r="J37" i="8"/>
  <c r="I38" i="8"/>
  <c r="M15" i="8"/>
  <c r="J21" i="8"/>
  <c r="I22" i="8"/>
  <c r="J20" i="3"/>
  <c r="J21" i="3"/>
  <c r="N37" i="3"/>
  <c r="I37" i="3"/>
  <c r="N21" i="3"/>
  <c r="I71" i="9" l="1"/>
  <c r="J70" i="9"/>
  <c r="I55" i="9"/>
  <c r="J54" i="9"/>
  <c r="I39" i="9"/>
  <c r="J38" i="9"/>
  <c r="J22" i="9"/>
  <c r="I23" i="9"/>
  <c r="J70" i="8"/>
  <c r="I71" i="8"/>
  <c r="J54" i="8"/>
  <c r="I55" i="8"/>
  <c r="J38" i="8"/>
  <c r="I39" i="8"/>
  <c r="J22" i="8"/>
  <c r="I23" i="8"/>
  <c r="J22" i="3"/>
  <c r="N38" i="3"/>
  <c r="I38" i="3"/>
  <c r="N22" i="3"/>
  <c r="M15" i="3"/>
  <c r="I72" i="9" l="1"/>
  <c r="J71" i="9"/>
  <c r="I56" i="9"/>
  <c r="J55" i="9"/>
  <c r="I40" i="9"/>
  <c r="J39" i="9"/>
  <c r="J23" i="9"/>
  <c r="I24" i="9"/>
  <c r="J71" i="8"/>
  <c r="I72" i="8"/>
  <c r="J55" i="8"/>
  <c r="I56" i="8"/>
  <c r="J39" i="8"/>
  <c r="I40" i="8"/>
  <c r="J23" i="8"/>
  <c r="I24" i="8"/>
  <c r="J23" i="3"/>
  <c r="N39" i="3"/>
  <c r="I39" i="3"/>
  <c r="N23" i="3"/>
  <c r="D27" i="3"/>
  <c r="C27" i="3"/>
  <c r="E27" i="3"/>
  <c r="J72" i="9" l="1"/>
  <c r="I73" i="9"/>
  <c r="J56" i="9"/>
  <c r="I57" i="9"/>
  <c r="I41" i="9"/>
  <c r="J40" i="9"/>
  <c r="J24" i="9"/>
  <c r="I25" i="9"/>
  <c r="J72" i="8"/>
  <c r="I73" i="8"/>
  <c r="J56" i="8"/>
  <c r="I57" i="8"/>
  <c r="J40" i="8"/>
  <c r="I41" i="8"/>
  <c r="J24" i="8"/>
  <c r="I25" i="8"/>
  <c r="J24" i="3"/>
  <c r="N40" i="3"/>
  <c r="I40" i="3"/>
  <c r="N24" i="3"/>
  <c r="I74" i="9" l="1"/>
  <c r="J73" i="9"/>
  <c r="I58" i="9"/>
  <c r="J57" i="9"/>
  <c r="J41" i="9"/>
  <c r="I42" i="9"/>
  <c r="J25" i="9"/>
  <c r="I26" i="9"/>
  <c r="J73" i="8"/>
  <c r="I74" i="8"/>
  <c r="J57" i="8"/>
  <c r="I58" i="8"/>
  <c r="J41" i="8"/>
  <c r="I42" i="8"/>
  <c r="J25" i="8"/>
  <c r="I26" i="8"/>
  <c r="J25" i="3"/>
  <c r="N41" i="3"/>
  <c r="I41" i="3"/>
  <c r="N25" i="3"/>
  <c r="J74" i="9" l="1"/>
  <c r="I75" i="9"/>
  <c r="J58" i="9"/>
  <c r="I59" i="9"/>
  <c r="I43" i="9"/>
  <c r="J42" i="9"/>
  <c r="I27" i="9"/>
  <c r="J26" i="9"/>
  <c r="J74" i="8"/>
  <c r="I75" i="8"/>
  <c r="J58" i="8"/>
  <c r="I59" i="8"/>
  <c r="J42" i="8"/>
  <c r="I43" i="8"/>
  <c r="J26" i="8"/>
  <c r="I27" i="8"/>
  <c r="J26" i="3"/>
  <c r="N42" i="3"/>
  <c r="I42" i="3"/>
  <c r="N26" i="3"/>
  <c r="I76" i="9" l="1"/>
  <c r="J75" i="9"/>
  <c r="J59" i="9"/>
  <c r="I60" i="9"/>
  <c r="I44" i="9"/>
  <c r="J43" i="9"/>
  <c r="I28" i="9"/>
  <c r="J27" i="9"/>
  <c r="J75" i="8"/>
  <c r="I76" i="8"/>
  <c r="J59" i="8"/>
  <c r="I60" i="8"/>
  <c r="J43" i="8"/>
  <c r="I44" i="8"/>
  <c r="J27" i="8"/>
  <c r="I28" i="8"/>
  <c r="J27" i="3"/>
  <c r="J28" i="3"/>
  <c r="J31" i="3" s="1"/>
  <c r="N43" i="3"/>
  <c r="I43" i="3"/>
  <c r="N27" i="3"/>
  <c r="J76" i="9" l="1"/>
  <c r="I77" i="9"/>
  <c r="J60" i="9"/>
  <c r="I61" i="9"/>
  <c r="I45" i="9"/>
  <c r="J44" i="9"/>
  <c r="I29" i="9"/>
  <c r="J28" i="9"/>
  <c r="J76" i="8"/>
  <c r="I77" i="8"/>
  <c r="J60" i="8"/>
  <c r="I61" i="8"/>
  <c r="J44" i="8"/>
  <c r="I45" i="8"/>
  <c r="J28" i="8"/>
  <c r="I29" i="8"/>
  <c r="N44" i="3"/>
  <c r="I44" i="3"/>
  <c r="N28" i="3"/>
  <c r="O31" i="3" s="1"/>
  <c r="J47" i="3"/>
  <c r="J77" i="9" l="1"/>
  <c r="I78" i="9"/>
  <c r="J78" i="9" s="1"/>
  <c r="J79" i="9" s="1"/>
  <c r="J61" i="9"/>
  <c r="I62" i="9"/>
  <c r="J62" i="9" s="1"/>
  <c r="J63" i="9" s="1"/>
  <c r="J45" i="9"/>
  <c r="I46" i="9"/>
  <c r="J46" i="9" s="1"/>
  <c r="J47" i="9" s="1"/>
  <c r="J29" i="9"/>
  <c r="I30" i="9"/>
  <c r="J30" i="9" s="1"/>
  <c r="J31" i="9" s="1"/>
  <c r="J77" i="8"/>
  <c r="I78" i="8"/>
  <c r="J78" i="8" s="1"/>
  <c r="J79" i="8" s="1"/>
  <c r="J61" i="8"/>
  <c r="I62" i="8"/>
  <c r="J62" i="8" s="1"/>
  <c r="J45" i="8"/>
  <c r="I46" i="8"/>
  <c r="J46" i="8" s="1"/>
  <c r="J47" i="8" s="1"/>
  <c r="J29" i="8"/>
  <c r="I30" i="8"/>
  <c r="J30" i="8" s="1"/>
  <c r="O47" i="3"/>
  <c r="J63" i="8" l="1"/>
  <c r="J31" i="8"/>
</calcChain>
</file>

<file path=xl/sharedStrings.xml><?xml version="1.0" encoding="utf-8"?>
<sst xmlns="http://schemas.openxmlformats.org/spreadsheetml/2006/main" count="345" uniqueCount="82">
  <si>
    <t>Hábil</t>
  </si>
  <si>
    <t>Sábado</t>
  </si>
  <si>
    <t xml:space="preserve">Domingo </t>
  </si>
  <si>
    <t>Festivo</t>
  </si>
  <si>
    <t>Hora</t>
  </si>
  <si>
    <t>Total 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</si>
  <si>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</si>
  <si>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</si>
  <si>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</si>
  <si>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</si>
  <si>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</si>
  <si>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</si>
  <si>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</si>
  <si>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</si>
  <si>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</si>
  <si>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</si>
  <si>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</si>
  <si>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</si>
  <si>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</si>
  <si>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 Dias</t>
  </si>
  <si>
    <t>TAMAÑO CONTRATO</t>
  </si>
  <si>
    <t>CANTIDADES</t>
  </si>
  <si>
    <t>H24
KWh</t>
  </si>
  <si>
    <t>H23
KWh</t>
  </si>
  <si>
    <t>H22
KWh</t>
  </si>
  <si>
    <t>H21
KWh</t>
  </si>
  <si>
    <t>H20
KWh</t>
  </si>
  <si>
    <t>H19
KWh</t>
  </si>
  <si>
    <t>H18
KWh</t>
  </si>
  <si>
    <t>H17
KWh</t>
  </si>
  <si>
    <t>H16
KWh</t>
  </si>
  <si>
    <t>H15
KWh</t>
  </si>
  <si>
    <t>H14
KWh</t>
  </si>
  <si>
    <t>H13
KWh</t>
  </si>
  <si>
    <t>H12
KWh</t>
  </si>
  <si>
    <t>H11
KWh</t>
  </si>
  <si>
    <t>H10
KWh</t>
  </si>
  <si>
    <t>H9
KWh</t>
  </si>
  <si>
    <t>H8
KWh</t>
  </si>
  <si>
    <t>H7
KWh</t>
  </si>
  <si>
    <t>H6
KWh</t>
  </si>
  <si>
    <t>H5
KWh</t>
  </si>
  <si>
    <t>H4
KWh</t>
  </si>
  <si>
    <t>H3
KWh</t>
  </si>
  <si>
    <t>H2
KWh</t>
  </si>
  <si>
    <t>H1
KWh</t>
  </si>
  <si>
    <t>MWh</t>
  </si>
  <si>
    <t>Total Mes 
MWh/mes
2037</t>
  </si>
  <si>
    <t>CURVA DE CARGA MWh</t>
  </si>
  <si>
    <t>CURVA DE CARGA MWh - Desde el el 01 de enero de 2042 hasta 31 diciembre de 2045</t>
  </si>
  <si>
    <t>Total Mes 
MWh/mes
2042</t>
  </si>
  <si>
    <t>Total Mes 
MWh/mes
2043</t>
  </si>
  <si>
    <t>Total Mes 
MWh/mes
2044</t>
  </si>
  <si>
    <t>Total Mes 
MWh/mes
2045</t>
  </si>
  <si>
    <r>
      <t>PRODUCTO 1:  01</t>
    </r>
    <r>
      <rPr>
        <sz val="11"/>
        <color theme="1"/>
        <rFont val="Aptos Narrow"/>
        <family val="2"/>
        <scheme val="minor"/>
      </rPr>
      <t xml:space="preserve"> Ene de 2042 / 31 Dic de 2042</t>
    </r>
  </si>
  <si>
    <r>
      <t xml:space="preserve">PRODUCTO 2: </t>
    </r>
    <r>
      <rPr>
        <sz val="11"/>
        <color theme="1"/>
        <rFont val="Aptos Narrow"/>
        <family val="2"/>
        <scheme val="minor"/>
      </rPr>
      <t xml:space="preserve"> 01 Ene de 2043 / 31 Dic de 2043</t>
    </r>
  </si>
  <si>
    <r>
      <t>PRODUCTO 3:</t>
    </r>
    <r>
      <rPr>
        <sz val="11"/>
        <color theme="1"/>
        <rFont val="Aptos Narrow"/>
        <family val="2"/>
        <scheme val="minor"/>
      </rPr>
      <t xml:space="preserve">  01 Ene de 2044 / 31 Dic de 2044</t>
    </r>
  </si>
  <si>
    <r>
      <t>PRODUCTO 4:</t>
    </r>
    <r>
      <rPr>
        <sz val="11"/>
        <color theme="1"/>
        <rFont val="Aptos Narrow"/>
        <family val="2"/>
        <scheme val="minor"/>
      </rPr>
      <t xml:space="preserve">  01 Ene de 2045 / 31 Dic de 2045</t>
    </r>
  </si>
  <si>
    <t>H1
$ / KWh</t>
  </si>
  <si>
    <t>H2
$ / KWh</t>
  </si>
  <si>
    <t>H3
$ / KWh</t>
  </si>
  <si>
    <t>H4
$ / KWh</t>
  </si>
  <si>
    <t>H5
$ / KWh</t>
  </si>
  <si>
    <t>H6
$ / KWh</t>
  </si>
  <si>
    <t>H7
$ / KWh</t>
  </si>
  <si>
    <t>H8
$ / KWh</t>
  </si>
  <si>
    <t>H9
$ / KWh</t>
  </si>
  <si>
    <t>H10
$ / KWh</t>
  </si>
  <si>
    <t>H11
$ / KWh</t>
  </si>
  <si>
    <t>H12
$ / KWh</t>
  </si>
  <si>
    <t>H13
$ / KWh</t>
  </si>
  <si>
    <t>H14
$ / KWh</t>
  </si>
  <si>
    <t>H15
$ / KWh</t>
  </si>
  <si>
    <t>H16
$ / KWh</t>
  </si>
  <si>
    <t>H17
$ / KWh</t>
  </si>
  <si>
    <t>H18
$ / KWh</t>
  </si>
  <si>
    <t>H19
$ / KWh</t>
  </si>
  <si>
    <t>H20
$ / KWh</t>
  </si>
  <si>
    <t>H21
$ / KWh</t>
  </si>
  <si>
    <t>H22
$ / KWh</t>
  </si>
  <si>
    <t>H23
$ / KWh</t>
  </si>
  <si>
    <t>H24
$ /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</si>
</sst>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2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7">
    <xf numFmtId="0" fontId="0" fillId="0" borderId="0" xfId="0"/>
    <xf numFmtId="0" fontId="2" fillId="2" borderId="0" xfId="0" applyFont="1" applyFill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3" borderId="4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/>
    <xf numFmtId="0" fontId="0" fillId="0" borderId="0" xfId="0" applyAlignment="1">
      <alignment vertical="center"/>
    </xf>
    <xf numFmtId="0" fontId="4" fillId="3" borderId="8" xfId="0" applyFont="1" applyFill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65" fontId="0" fillId="0" borderId="12" xfId="1" applyNumberFormat="1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165" fontId="4" fillId="3" borderId="5" xfId="1" applyNumberFormat="1" applyFont="1" applyFill="1" applyBorder="1" applyAlignment="1">
      <alignment horizontal="center" vertical="center"/>
    </xf>
    <xf numFmtId="165" fontId="4" fillId="3" borderId="7" xfId="1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right"/>
    </xf>
    <xf numFmtId="165" fontId="0" fillId="0" borderId="6" xfId="0" applyNumberFormat="1" applyBorder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7" fontId="0" fillId="0" borderId="11" xfId="0" applyNumberFormat="1" applyBorder="1"/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/>
    </xf>
    <xf numFmtId="165" fontId="0" fillId="0" borderId="12" xfId="0" applyNumberFormat="1" applyBorder="1"/>
    <xf numFmtId="165" fontId="4" fillId="3" borderId="7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/>
    <xf numFmtId="165" fontId="0" fillId="0" borderId="0" xfId="0" applyNumberFormat="1"/>
    <xf numFmtId="165" fontId="0" fillId="0" borderId="0" xfId="1" applyNumberFormat="1" applyFont="1"/>
    <xf numFmtId="0" fontId="4" fillId="3" borderId="1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5" fontId="0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Fill="1" applyBorder="1" applyAlignment="1">
      <alignment horizontal="center" vertical="center"/>
    </xf>
    <xf numFmtId="165" fontId="0" fillId="0" borderId="6" xfId="0" applyNumberFormat="1" applyBorder="1"/>
    <xf numFmtId="165" fontId="0" fillId="0" borderId="6" xfId="1" applyNumberFormat="1" applyFont="1" applyFill="1" applyBorder="1"/>
    <xf numFmtId="165" fontId="4" fillId="5" borderId="20" xfId="1" applyNumberFormat="1" applyFont="1" applyFill="1" applyBorder="1"/>
    <xf numFmtId="165" fontId="0" fillId="0" borderId="12" xfId="1" applyNumberFormat="1" applyFont="1" applyFill="1" applyBorder="1"/>
    <xf numFmtId="165" fontId="4" fillId="3" borderId="5" xfId="0" applyNumberFormat="1" applyFont="1" applyFill="1" applyBorder="1"/>
    <xf numFmtId="165" fontId="4" fillId="3" borderId="5" xfId="1" applyNumberFormat="1" applyFont="1" applyFill="1" applyBorder="1"/>
    <xf numFmtId="165" fontId="4" fillId="3" borderId="7" xfId="1" applyNumberFormat="1" applyFont="1" applyFill="1" applyBorder="1"/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</cellXfs>
  <cellStyles count="3">
    <cellStyle name="Millares" xfId="1" builtinId="3"/>
    <cellStyle name="Millares 10 2 2" xfId="2" xr:uid="{2BFF0A1F-5B43-4032-9BD8-AA234113A6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A59D-ABBD-42B8-A0AF-C97645F6B1F9}">
  <dimension ref="A1:O65"/>
  <sheetViews>
    <sheetView zoomScale="85" zoomScaleNormal="85" workbookViewId="0">
      <selection activeCell="P7" sqref="P7"/>
    </sheetView>
  </sheetViews>
  <sheetFormatPr baseColWidth="10" defaultRowHeight="14.5" x14ac:dyDescent="0.35"/>
  <cols>
    <col min="1" max="1" width="14.1796875" style="3" customWidth="1"/>
    <col min="2" max="5" width="14.1796875" customWidth="1"/>
    <col min="7" max="7" width="18.08984375" bestFit="1" customWidth="1"/>
    <col min="8" max="8" width="10.90625" style="5"/>
    <col min="9" max="9" width="11.1796875" bestFit="1" customWidth="1"/>
    <col min="10" max="13" width="13.7265625" bestFit="1" customWidth="1"/>
    <col min="14" max="14" width="13.90625" customWidth="1"/>
    <col min="15" max="15" width="13.7265625" bestFit="1" customWidth="1"/>
    <col min="16" max="16" width="18.36328125" bestFit="1" customWidth="1"/>
    <col min="17" max="17" width="39.1796875" bestFit="1" customWidth="1"/>
    <col min="22" max="22" width="11.1796875" bestFit="1" customWidth="1"/>
  </cols>
  <sheetData>
    <row r="1" spans="1:15" ht="15" thickBot="1" x14ac:dyDescent="0.4">
      <c r="A1" s="41" t="s">
        <v>49</v>
      </c>
      <c r="B1" s="13"/>
      <c r="C1" s="25"/>
      <c r="D1" s="13"/>
      <c r="E1" s="14"/>
      <c r="G1" s="54" t="s">
        <v>21</v>
      </c>
      <c r="H1" s="55"/>
      <c r="I1" s="55"/>
      <c r="J1" s="55"/>
      <c r="K1" s="55"/>
      <c r="L1" s="56"/>
    </row>
    <row r="2" spans="1:15" s="15" customFormat="1" ht="43.5" x14ac:dyDescent="0.35">
      <c r="A2" s="8" t="s">
        <v>4</v>
      </c>
      <c r="B2" s="7" t="s">
        <v>0</v>
      </c>
      <c r="C2" s="7" t="s">
        <v>1</v>
      </c>
      <c r="D2" s="7" t="s">
        <v>2</v>
      </c>
      <c r="E2" s="23" t="s">
        <v>3</v>
      </c>
      <c r="G2" s="8" t="s">
        <v>18</v>
      </c>
      <c r="H2" s="7" t="s">
        <v>46</v>
      </c>
      <c r="I2" s="16" t="s">
        <v>50</v>
      </c>
      <c r="J2" s="16" t="s">
        <v>51</v>
      </c>
      <c r="K2" s="16" t="s">
        <v>52</v>
      </c>
      <c r="L2" s="27" t="s">
        <v>53</v>
      </c>
    </row>
    <row r="3" spans="1:15" x14ac:dyDescent="0.35">
      <c r="A3" s="18">
        <v>1</v>
      </c>
      <c r="B3" s="17">
        <v>180</v>
      </c>
      <c r="C3" s="17">
        <f>$B$3</f>
        <v>180</v>
      </c>
      <c r="D3" s="17">
        <f t="shared" ref="D3:E3" si="0">$B$3</f>
        <v>180</v>
      </c>
      <c r="E3" s="19">
        <f t="shared" si="0"/>
        <v>180</v>
      </c>
      <c r="F3" s="2"/>
      <c r="G3" s="9" t="s">
        <v>6</v>
      </c>
      <c r="H3" s="17">
        <v>180</v>
      </c>
      <c r="I3" s="47">
        <f>(180000*24*31)*0.001</f>
        <v>133920</v>
      </c>
      <c r="J3" s="48">
        <f>(180000*24*31)*0.001</f>
        <v>133920</v>
      </c>
      <c r="K3" s="48">
        <f>(180000*24*31)*0.001</f>
        <v>133920</v>
      </c>
      <c r="L3" s="50">
        <f>(180000*24*31)*0.001</f>
        <v>133920</v>
      </c>
    </row>
    <row r="4" spans="1:15" x14ac:dyDescent="0.35">
      <c r="A4" s="18">
        <v>2</v>
      </c>
      <c r="B4" s="17">
        <f t="shared" ref="B4:E26" si="1">$B$3</f>
        <v>180</v>
      </c>
      <c r="C4" s="17">
        <f t="shared" si="1"/>
        <v>180</v>
      </c>
      <c r="D4" s="17">
        <f t="shared" si="1"/>
        <v>180</v>
      </c>
      <c r="E4" s="19">
        <f t="shared" si="1"/>
        <v>180</v>
      </c>
      <c r="F4" s="2"/>
      <c r="G4" s="9" t="s">
        <v>7</v>
      </c>
      <c r="H4" s="26">
        <f>H3</f>
        <v>180</v>
      </c>
      <c r="I4" s="47">
        <f>(180000*24*28)*0.001</f>
        <v>120960</v>
      </c>
      <c r="J4" s="48">
        <f>(180000*24*28)*0.001</f>
        <v>120960</v>
      </c>
      <c r="K4" s="48">
        <f>(180000*24*29)*0.001</f>
        <v>125280</v>
      </c>
      <c r="L4" s="50">
        <f>(180000*24*28)*0.001</f>
        <v>120960</v>
      </c>
    </row>
    <row r="5" spans="1:15" x14ac:dyDescent="0.35">
      <c r="A5" s="18">
        <v>3</v>
      </c>
      <c r="B5" s="17">
        <f t="shared" si="1"/>
        <v>180</v>
      </c>
      <c r="C5" s="17">
        <f t="shared" si="1"/>
        <v>180</v>
      </c>
      <c r="D5" s="17">
        <f t="shared" si="1"/>
        <v>180</v>
      </c>
      <c r="E5" s="19">
        <f t="shared" si="1"/>
        <v>180</v>
      </c>
      <c r="F5" s="2"/>
      <c r="G5" s="9" t="s">
        <v>8</v>
      </c>
      <c r="H5" s="26">
        <f t="shared" ref="H5:H14" si="2">H4</f>
        <v>180</v>
      </c>
      <c r="I5" s="47">
        <f>(180000*24*31)*0.001</f>
        <v>133920</v>
      </c>
      <c r="J5" s="48">
        <f>(180000*24*31)*0.001</f>
        <v>133920</v>
      </c>
      <c r="K5" s="48">
        <f>(180000*24*31)*0.001</f>
        <v>133920</v>
      </c>
      <c r="L5" s="50">
        <f>(180000*24*31)*0.001</f>
        <v>133920</v>
      </c>
    </row>
    <row r="6" spans="1:15" x14ac:dyDescent="0.35">
      <c r="A6" s="18">
        <v>4</v>
      </c>
      <c r="B6" s="17">
        <f t="shared" si="1"/>
        <v>180</v>
      </c>
      <c r="C6" s="17">
        <f t="shared" si="1"/>
        <v>180</v>
      </c>
      <c r="D6" s="17">
        <f t="shared" si="1"/>
        <v>180</v>
      </c>
      <c r="E6" s="19">
        <f t="shared" si="1"/>
        <v>180</v>
      </c>
      <c r="F6" s="2"/>
      <c r="G6" s="9" t="s">
        <v>9</v>
      </c>
      <c r="H6" s="26">
        <f t="shared" si="2"/>
        <v>180</v>
      </c>
      <c r="I6" s="47">
        <f>(180000*24*30)*0.001</f>
        <v>129600</v>
      </c>
      <c r="J6" s="48">
        <f>(180000*24*30)*0.001</f>
        <v>129600</v>
      </c>
      <c r="K6" s="48">
        <f>(180000*24*30)*0.001</f>
        <v>129600</v>
      </c>
      <c r="L6" s="50">
        <f>(180000*24*30)*0.001</f>
        <v>129600</v>
      </c>
    </row>
    <row r="7" spans="1:15" x14ac:dyDescent="0.35">
      <c r="A7" s="18">
        <v>5</v>
      </c>
      <c r="B7" s="17">
        <f t="shared" si="1"/>
        <v>180</v>
      </c>
      <c r="C7" s="17">
        <f t="shared" si="1"/>
        <v>180</v>
      </c>
      <c r="D7" s="17">
        <f t="shared" si="1"/>
        <v>180</v>
      </c>
      <c r="E7" s="19">
        <f t="shared" si="1"/>
        <v>180</v>
      </c>
      <c r="F7" s="2"/>
      <c r="G7" s="9" t="s">
        <v>10</v>
      </c>
      <c r="H7" s="26">
        <f t="shared" si="2"/>
        <v>180</v>
      </c>
      <c r="I7" s="47">
        <f>(180000*24*31)*0.001</f>
        <v>133920</v>
      </c>
      <c r="J7" s="48">
        <f>(180000*24*31)*0.001</f>
        <v>133920</v>
      </c>
      <c r="K7" s="48">
        <f>(180000*24*31)*0.001</f>
        <v>133920</v>
      </c>
      <c r="L7" s="50">
        <f>(180000*24*31)*0.001</f>
        <v>133920</v>
      </c>
    </row>
    <row r="8" spans="1:15" x14ac:dyDescent="0.35">
      <c r="A8" s="18">
        <v>6</v>
      </c>
      <c r="B8" s="17">
        <f t="shared" si="1"/>
        <v>180</v>
      </c>
      <c r="C8" s="17">
        <f t="shared" si="1"/>
        <v>180</v>
      </c>
      <c r="D8" s="17">
        <f t="shared" si="1"/>
        <v>180</v>
      </c>
      <c r="E8" s="19">
        <f t="shared" si="1"/>
        <v>180</v>
      </c>
      <c r="F8" s="2"/>
      <c r="G8" s="9" t="s">
        <v>11</v>
      </c>
      <c r="H8" s="26">
        <f t="shared" si="2"/>
        <v>180</v>
      </c>
      <c r="I8" s="47">
        <f>(180000*24*30)*0.001</f>
        <v>129600</v>
      </c>
      <c r="J8" s="48">
        <f>(180000*24*30)*0.001</f>
        <v>129600</v>
      </c>
      <c r="K8" s="48">
        <f>(180000*24*30)*0.001</f>
        <v>129600</v>
      </c>
      <c r="L8" s="50">
        <f>(180000*24*30)*0.001</f>
        <v>129600</v>
      </c>
    </row>
    <row r="9" spans="1:15" x14ac:dyDescent="0.35">
      <c r="A9" s="18">
        <v>7</v>
      </c>
      <c r="B9" s="17">
        <f t="shared" si="1"/>
        <v>180</v>
      </c>
      <c r="C9" s="17">
        <f t="shared" si="1"/>
        <v>180</v>
      </c>
      <c r="D9" s="17">
        <f t="shared" si="1"/>
        <v>180</v>
      </c>
      <c r="E9" s="19">
        <f t="shared" si="1"/>
        <v>180</v>
      </c>
      <c r="F9" s="2"/>
      <c r="G9" s="9" t="s">
        <v>12</v>
      </c>
      <c r="H9" s="26">
        <f t="shared" si="2"/>
        <v>180</v>
      </c>
      <c r="I9" s="47">
        <f t="shared" ref="I9:L10" si="3">(180000*24*31)*0.001</f>
        <v>133920</v>
      </c>
      <c r="J9" s="48">
        <f t="shared" si="3"/>
        <v>133920</v>
      </c>
      <c r="K9" s="48">
        <f t="shared" si="3"/>
        <v>133920</v>
      </c>
      <c r="L9" s="50">
        <f t="shared" si="3"/>
        <v>133920</v>
      </c>
    </row>
    <row r="10" spans="1:15" x14ac:dyDescent="0.35">
      <c r="A10" s="18">
        <v>8</v>
      </c>
      <c r="B10" s="17">
        <f t="shared" si="1"/>
        <v>180</v>
      </c>
      <c r="C10" s="17">
        <f t="shared" si="1"/>
        <v>180</v>
      </c>
      <c r="D10" s="17">
        <f t="shared" si="1"/>
        <v>180</v>
      </c>
      <c r="E10" s="19">
        <f t="shared" si="1"/>
        <v>180</v>
      </c>
      <c r="F10" s="2"/>
      <c r="G10" s="9" t="s">
        <v>13</v>
      </c>
      <c r="H10" s="26">
        <f t="shared" si="2"/>
        <v>180</v>
      </c>
      <c r="I10" s="47">
        <f t="shared" si="3"/>
        <v>133920</v>
      </c>
      <c r="J10" s="48">
        <f t="shared" si="3"/>
        <v>133920</v>
      </c>
      <c r="K10" s="48">
        <f t="shared" si="3"/>
        <v>133920</v>
      </c>
      <c r="L10" s="50">
        <f t="shared" si="3"/>
        <v>133920</v>
      </c>
    </row>
    <row r="11" spans="1:15" x14ac:dyDescent="0.35">
      <c r="A11" s="18">
        <v>9</v>
      </c>
      <c r="B11" s="17">
        <f t="shared" si="1"/>
        <v>180</v>
      </c>
      <c r="C11" s="17">
        <f t="shared" si="1"/>
        <v>180</v>
      </c>
      <c r="D11" s="17">
        <f t="shared" si="1"/>
        <v>180</v>
      </c>
      <c r="E11" s="19">
        <f t="shared" si="1"/>
        <v>180</v>
      </c>
      <c r="F11" s="2"/>
      <c r="G11" s="9" t="s">
        <v>14</v>
      </c>
      <c r="H11" s="26">
        <f t="shared" si="2"/>
        <v>180</v>
      </c>
      <c r="I11" s="47">
        <f>(180000*24*30)*0.001</f>
        <v>129600</v>
      </c>
      <c r="J11" s="48">
        <f>(180000*24*30)*0.001</f>
        <v>129600</v>
      </c>
      <c r="K11" s="48">
        <f>(180000*24*30)*0.001</f>
        <v>129600</v>
      </c>
      <c r="L11" s="50">
        <f>(180000*24*30)*0.001</f>
        <v>129600</v>
      </c>
    </row>
    <row r="12" spans="1:15" x14ac:dyDescent="0.35">
      <c r="A12" s="18">
        <v>10</v>
      </c>
      <c r="B12" s="17">
        <f t="shared" si="1"/>
        <v>180</v>
      </c>
      <c r="C12" s="17">
        <f t="shared" si="1"/>
        <v>180</v>
      </c>
      <c r="D12" s="17">
        <f t="shared" si="1"/>
        <v>180</v>
      </c>
      <c r="E12" s="19">
        <f t="shared" si="1"/>
        <v>180</v>
      </c>
      <c r="F12" s="2"/>
      <c r="G12" s="9" t="s">
        <v>15</v>
      </c>
      <c r="H12" s="26">
        <f t="shared" si="2"/>
        <v>180</v>
      </c>
      <c r="I12" s="47">
        <f>(180000*24*31)*0.001</f>
        <v>133920</v>
      </c>
      <c r="J12" s="48">
        <f>(180000*24*31)*0.001</f>
        <v>133920</v>
      </c>
      <c r="K12" s="48">
        <f>(180000*24*31)*0.001</f>
        <v>133920</v>
      </c>
      <c r="L12" s="50">
        <f>(180000*24*31)*0.001</f>
        <v>133920</v>
      </c>
    </row>
    <row r="13" spans="1:15" x14ac:dyDescent="0.35">
      <c r="A13" s="18">
        <v>11</v>
      </c>
      <c r="B13" s="17">
        <f t="shared" si="1"/>
        <v>180</v>
      </c>
      <c r="C13" s="17">
        <f t="shared" si="1"/>
        <v>180</v>
      </c>
      <c r="D13" s="17">
        <f t="shared" si="1"/>
        <v>180</v>
      </c>
      <c r="E13" s="19">
        <f t="shared" si="1"/>
        <v>180</v>
      </c>
      <c r="F13" s="2"/>
      <c r="G13" s="9" t="s">
        <v>16</v>
      </c>
      <c r="H13" s="26">
        <f t="shared" si="2"/>
        <v>180</v>
      </c>
      <c r="I13" s="47">
        <f>(180000*24*30)*0.001</f>
        <v>129600</v>
      </c>
      <c r="J13" s="48">
        <f>(180000*24*30)*0.001</f>
        <v>129600</v>
      </c>
      <c r="K13" s="48">
        <f>(180000*24*30)*0.001</f>
        <v>129600</v>
      </c>
      <c r="L13" s="50">
        <f>(180000*24*30)*0.001</f>
        <v>129600</v>
      </c>
    </row>
    <row r="14" spans="1:15" ht="15" thickBot="1" x14ac:dyDescent="0.4">
      <c r="A14" s="18">
        <v>12</v>
      </c>
      <c r="B14" s="17">
        <f t="shared" si="1"/>
        <v>180</v>
      </c>
      <c r="C14" s="17">
        <f t="shared" si="1"/>
        <v>180</v>
      </c>
      <c r="D14" s="17">
        <f t="shared" si="1"/>
        <v>180</v>
      </c>
      <c r="E14" s="19">
        <f t="shared" si="1"/>
        <v>180</v>
      </c>
      <c r="F14" s="2"/>
      <c r="G14" s="9" t="s">
        <v>17</v>
      </c>
      <c r="H14" s="26">
        <f t="shared" si="2"/>
        <v>180</v>
      </c>
      <c r="I14" s="47">
        <f>(180000*24*31)*0.001</f>
        <v>133920</v>
      </c>
      <c r="J14" s="48">
        <f>(180000*24*31)*0.001</f>
        <v>133920</v>
      </c>
      <c r="K14" s="48">
        <f>(180000*24*31)*0.001</f>
        <v>133920</v>
      </c>
      <c r="L14" s="50">
        <f>(180000*24*31)*0.001</f>
        <v>133920</v>
      </c>
    </row>
    <row r="15" spans="1:15" ht="15.5" thickTop="1" thickBot="1" x14ac:dyDescent="0.4">
      <c r="A15" s="18">
        <v>13</v>
      </c>
      <c r="B15" s="17">
        <f t="shared" si="1"/>
        <v>180</v>
      </c>
      <c r="C15" s="17">
        <f t="shared" si="1"/>
        <v>180</v>
      </c>
      <c r="D15" s="17">
        <f t="shared" si="1"/>
        <v>180</v>
      </c>
      <c r="E15" s="19">
        <f t="shared" si="1"/>
        <v>180</v>
      </c>
      <c r="F15" s="2"/>
      <c r="G15" s="11" t="s">
        <v>20</v>
      </c>
      <c r="H15" s="12"/>
      <c r="I15" s="51">
        <f>SUM(I3:I14)</f>
        <v>1576800</v>
      </c>
      <c r="J15" s="52">
        <f t="shared" ref="J15:L15" si="4">SUM(J3:J14)</f>
        <v>1576800</v>
      </c>
      <c r="K15" s="52">
        <f t="shared" si="4"/>
        <v>1581120</v>
      </c>
      <c r="L15" s="53">
        <f t="shared" si="4"/>
        <v>1576800</v>
      </c>
      <c r="M15" s="49">
        <f>SUM(I15:L15)</f>
        <v>6311520</v>
      </c>
      <c r="N15" s="39"/>
      <c r="O15" s="40"/>
    </row>
    <row r="16" spans="1:15" ht="20" customHeight="1" thickBot="1" x14ac:dyDescent="0.4">
      <c r="A16" s="18">
        <v>14</v>
      </c>
      <c r="B16" s="17">
        <f t="shared" si="1"/>
        <v>180</v>
      </c>
      <c r="C16" s="17">
        <f t="shared" si="1"/>
        <v>180</v>
      </c>
      <c r="D16" s="17">
        <f t="shared" si="1"/>
        <v>180</v>
      </c>
      <c r="E16" s="19">
        <f t="shared" si="1"/>
        <v>180</v>
      </c>
      <c r="F16" s="2"/>
    </row>
    <row r="17" spans="1:15" ht="15" thickBot="1" x14ac:dyDescent="0.4">
      <c r="A17" s="18">
        <v>15</v>
      </c>
      <c r="B17" s="17">
        <f t="shared" si="1"/>
        <v>180</v>
      </c>
      <c r="C17" s="17">
        <f t="shared" si="1"/>
        <v>180</v>
      </c>
      <c r="D17" s="17">
        <f t="shared" si="1"/>
        <v>180</v>
      </c>
      <c r="E17" s="19">
        <f t="shared" si="1"/>
        <v>180</v>
      </c>
      <c r="F17" s="2"/>
      <c r="G17" s="54" t="s">
        <v>54</v>
      </c>
      <c r="H17" s="55"/>
      <c r="I17" s="55"/>
      <c r="J17" s="56"/>
      <c r="L17" s="54" t="s">
        <v>55</v>
      </c>
      <c r="M17" s="55"/>
      <c r="N17" s="55"/>
      <c r="O17" s="56"/>
    </row>
    <row r="18" spans="1:15" ht="14.5" customHeight="1" x14ac:dyDescent="0.35">
      <c r="A18" s="18">
        <v>16</v>
      </c>
      <c r="B18" s="17">
        <f t="shared" si="1"/>
        <v>180</v>
      </c>
      <c r="C18" s="17">
        <f t="shared" si="1"/>
        <v>180</v>
      </c>
      <c r="D18" s="17">
        <f t="shared" si="1"/>
        <v>180</v>
      </c>
      <c r="E18" s="19">
        <f t="shared" si="1"/>
        <v>180</v>
      </c>
      <c r="F18" s="2"/>
      <c r="G18" s="8" t="s">
        <v>18</v>
      </c>
      <c r="H18" s="7" t="s">
        <v>19</v>
      </c>
      <c r="I18" s="7" t="s">
        <v>46</v>
      </c>
      <c r="J18" s="27" t="s">
        <v>47</v>
      </c>
      <c r="L18" s="8" t="s">
        <v>18</v>
      </c>
      <c r="M18" s="7" t="s">
        <v>19</v>
      </c>
      <c r="N18" s="7" t="s">
        <v>46</v>
      </c>
      <c r="O18" s="27" t="s">
        <v>47</v>
      </c>
    </row>
    <row r="19" spans="1:15" x14ac:dyDescent="0.35">
      <c r="A19" s="18">
        <v>17</v>
      </c>
      <c r="B19" s="17">
        <f t="shared" si="1"/>
        <v>180</v>
      </c>
      <c r="C19" s="17">
        <f t="shared" si="1"/>
        <v>180</v>
      </c>
      <c r="D19" s="17">
        <f t="shared" si="1"/>
        <v>180</v>
      </c>
      <c r="E19" s="19">
        <f t="shared" si="1"/>
        <v>180</v>
      </c>
      <c r="F19" s="2"/>
      <c r="G19" s="31">
        <v>51867</v>
      </c>
      <c r="H19" s="6">
        <v>31</v>
      </c>
      <c r="I19" s="26">
        <v>180</v>
      </c>
      <c r="J19" s="34">
        <f t="shared" ref="J19:J30" si="5">I19*24*H19</f>
        <v>133920</v>
      </c>
      <c r="L19" s="31">
        <v>52232</v>
      </c>
      <c r="M19" s="6">
        <v>31</v>
      </c>
      <c r="N19" s="17">
        <v>180</v>
      </c>
      <c r="O19" s="34">
        <f t="shared" ref="O19:O30" si="6">N19*24*M19</f>
        <v>133920</v>
      </c>
    </row>
    <row r="20" spans="1:15" x14ac:dyDescent="0.35">
      <c r="A20" s="18">
        <v>18</v>
      </c>
      <c r="B20" s="17">
        <f t="shared" si="1"/>
        <v>180</v>
      </c>
      <c r="C20" s="17">
        <f t="shared" si="1"/>
        <v>180</v>
      </c>
      <c r="D20" s="17">
        <f t="shared" si="1"/>
        <v>180</v>
      </c>
      <c r="E20" s="19">
        <f t="shared" si="1"/>
        <v>180</v>
      </c>
      <c r="F20" s="2"/>
      <c r="G20" s="31">
        <v>51898</v>
      </c>
      <c r="H20" s="6">
        <v>28</v>
      </c>
      <c r="I20" s="26">
        <f t="shared" ref="I20:I30" si="7">I19</f>
        <v>180</v>
      </c>
      <c r="J20" s="34">
        <f t="shared" si="5"/>
        <v>120960</v>
      </c>
      <c r="L20" s="31">
        <v>52263</v>
      </c>
      <c r="M20" s="6">
        <v>28</v>
      </c>
      <c r="N20" s="26">
        <f t="shared" ref="N20:N30" si="8">N19</f>
        <v>180</v>
      </c>
      <c r="O20" s="34">
        <f t="shared" si="6"/>
        <v>120960</v>
      </c>
    </row>
    <row r="21" spans="1:15" x14ac:dyDescent="0.35">
      <c r="A21" s="18">
        <v>19</v>
      </c>
      <c r="B21" s="17">
        <f t="shared" si="1"/>
        <v>180</v>
      </c>
      <c r="C21" s="17">
        <f t="shared" si="1"/>
        <v>180</v>
      </c>
      <c r="D21" s="17">
        <f t="shared" si="1"/>
        <v>180</v>
      </c>
      <c r="E21" s="19">
        <f t="shared" si="1"/>
        <v>180</v>
      </c>
      <c r="F21" s="2"/>
      <c r="G21" s="31">
        <v>51926</v>
      </c>
      <c r="H21" s="6">
        <v>31</v>
      </c>
      <c r="I21" s="26">
        <f t="shared" si="7"/>
        <v>180</v>
      </c>
      <c r="J21" s="34">
        <f t="shared" si="5"/>
        <v>133920</v>
      </c>
      <c r="L21" s="31">
        <v>52291</v>
      </c>
      <c r="M21" s="6">
        <v>31</v>
      </c>
      <c r="N21" s="26">
        <f t="shared" si="8"/>
        <v>180</v>
      </c>
      <c r="O21" s="34">
        <f t="shared" si="6"/>
        <v>133920</v>
      </c>
    </row>
    <row r="22" spans="1:15" x14ac:dyDescent="0.35">
      <c r="A22" s="18">
        <v>20</v>
      </c>
      <c r="B22" s="17">
        <f t="shared" si="1"/>
        <v>180</v>
      </c>
      <c r="C22" s="17">
        <f t="shared" si="1"/>
        <v>180</v>
      </c>
      <c r="D22" s="17">
        <f t="shared" si="1"/>
        <v>180</v>
      </c>
      <c r="E22" s="19">
        <f t="shared" si="1"/>
        <v>180</v>
      </c>
      <c r="F22" s="2"/>
      <c r="G22" s="31">
        <v>51957</v>
      </c>
      <c r="H22" s="6">
        <v>30</v>
      </c>
      <c r="I22" s="26">
        <f t="shared" si="7"/>
        <v>180</v>
      </c>
      <c r="J22" s="34">
        <f t="shared" si="5"/>
        <v>129600</v>
      </c>
      <c r="L22" s="31">
        <v>52322</v>
      </c>
      <c r="M22" s="6">
        <v>30</v>
      </c>
      <c r="N22" s="26">
        <f t="shared" si="8"/>
        <v>180</v>
      </c>
      <c r="O22" s="34">
        <f t="shared" si="6"/>
        <v>129600</v>
      </c>
    </row>
    <row r="23" spans="1:15" x14ac:dyDescent="0.35">
      <c r="A23" s="18">
        <v>21</v>
      </c>
      <c r="B23" s="17">
        <f t="shared" si="1"/>
        <v>180</v>
      </c>
      <c r="C23" s="17">
        <f t="shared" si="1"/>
        <v>180</v>
      </c>
      <c r="D23" s="17">
        <f t="shared" si="1"/>
        <v>180</v>
      </c>
      <c r="E23" s="19">
        <f t="shared" si="1"/>
        <v>180</v>
      </c>
      <c r="F23" s="2"/>
      <c r="G23" s="31">
        <v>51987</v>
      </c>
      <c r="H23" s="6">
        <v>31</v>
      </c>
      <c r="I23" s="26">
        <f t="shared" si="7"/>
        <v>180</v>
      </c>
      <c r="J23" s="34">
        <f t="shared" si="5"/>
        <v>133920</v>
      </c>
      <c r="L23" s="31">
        <v>52352</v>
      </c>
      <c r="M23" s="6">
        <v>31</v>
      </c>
      <c r="N23" s="26">
        <f t="shared" si="8"/>
        <v>180</v>
      </c>
      <c r="O23" s="34">
        <f t="shared" si="6"/>
        <v>133920</v>
      </c>
    </row>
    <row r="24" spans="1:15" x14ac:dyDescent="0.35">
      <c r="A24" s="18">
        <v>22</v>
      </c>
      <c r="B24" s="17">
        <f t="shared" si="1"/>
        <v>180</v>
      </c>
      <c r="C24" s="17">
        <f t="shared" si="1"/>
        <v>180</v>
      </c>
      <c r="D24" s="17">
        <f t="shared" si="1"/>
        <v>180</v>
      </c>
      <c r="E24" s="19">
        <f t="shared" si="1"/>
        <v>180</v>
      </c>
      <c r="F24" s="2"/>
      <c r="G24" s="31">
        <v>52018</v>
      </c>
      <c r="H24" s="6">
        <v>30</v>
      </c>
      <c r="I24" s="26">
        <f t="shared" si="7"/>
        <v>180</v>
      </c>
      <c r="J24" s="34">
        <f t="shared" si="5"/>
        <v>129600</v>
      </c>
      <c r="L24" s="31">
        <v>52383</v>
      </c>
      <c r="M24" s="6">
        <v>30</v>
      </c>
      <c r="N24" s="26">
        <f t="shared" si="8"/>
        <v>180</v>
      </c>
      <c r="O24" s="34">
        <f t="shared" si="6"/>
        <v>129600</v>
      </c>
    </row>
    <row r="25" spans="1:15" x14ac:dyDescent="0.35">
      <c r="A25" s="18">
        <v>23</v>
      </c>
      <c r="B25" s="17">
        <f t="shared" si="1"/>
        <v>180</v>
      </c>
      <c r="C25" s="17">
        <f t="shared" si="1"/>
        <v>180</v>
      </c>
      <c r="D25" s="17">
        <f t="shared" si="1"/>
        <v>180</v>
      </c>
      <c r="E25" s="19">
        <f t="shared" si="1"/>
        <v>180</v>
      </c>
      <c r="F25" s="2"/>
      <c r="G25" s="31">
        <v>52048</v>
      </c>
      <c r="H25" s="6">
        <v>31</v>
      </c>
      <c r="I25" s="26">
        <f t="shared" si="7"/>
        <v>180</v>
      </c>
      <c r="J25" s="34">
        <f t="shared" si="5"/>
        <v>133920</v>
      </c>
      <c r="L25" s="31">
        <v>52413</v>
      </c>
      <c r="M25" s="6">
        <v>31</v>
      </c>
      <c r="N25" s="26">
        <f t="shared" si="8"/>
        <v>180</v>
      </c>
      <c r="O25" s="34">
        <f t="shared" si="6"/>
        <v>133920</v>
      </c>
    </row>
    <row r="26" spans="1:15" x14ac:dyDescent="0.35">
      <c r="A26" s="18">
        <v>24</v>
      </c>
      <c r="B26" s="17">
        <f t="shared" si="1"/>
        <v>180</v>
      </c>
      <c r="C26" s="17">
        <f t="shared" si="1"/>
        <v>180</v>
      </c>
      <c r="D26" s="17">
        <f t="shared" si="1"/>
        <v>180</v>
      </c>
      <c r="E26" s="19">
        <f t="shared" si="1"/>
        <v>180</v>
      </c>
      <c r="F26" s="2"/>
      <c r="G26" s="31">
        <v>52079</v>
      </c>
      <c r="H26" s="6">
        <v>31</v>
      </c>
      <c r="I26" s="26">
        <f t="shared" si="7"/>
        <v>180</v>
      </c>
      <c r="J26" s="34">
        <f t="shared" si="5"/>
        <v>133920</v>
      </c>
      <c r="L26" s="31">
        <v>52444</v>
      </c>
      <c r="M26" s="6">
        <v>31</v>
      </c>
      <c r="N26" s="26">
        <f t="shared" si="8"/>
        <v>180</v>
      </c>
      <c r="O26" s="34">
        <f t="shared" si="6"/>
        <v>133920</v>
      </c>
    </row>
    <row r="27" spans="1:15" ht="15" thickBot="1" x14ac:dyDescent="0.4">
      <c r="A27" s="20" t="s">
        <v>5</v>
      </c>
      <c r="B27" s="21">
        <f>SUM(B3:B26)</f>
        <v>4320</v>
      </c>
      <c r="C27" s="21">
        <f t="shared" ref="C27:E27" si="9">SUM(C3:C26)</f>
        <v>4320</v>
      </c>
      <c r="D27" s="21">
        <f t="shared" si="9"/>
        <v>4320</v>
      </c>
      <c r="E27" s="22">
        <f t="shared" si="9"/>
        <v>4320</v>
      </c>
      <c r="G27" s="31">
        <v>52110</v>
      </c>
      <c r="H27" s="6">
        <v>30</v>
      </c>
      <c r="I27" s="26">
        <f t="shared" si="7"/>
        <v>180</v>
      </c>
      <c r="J27" s="34">
        <f t="shared" si="5"/>
        <v>129600</v>
      </c>
      <c r="L27" s="31">
        <v>52475</v>
      </c>
      <c r="M27" s="6">
        <v>30</v>
      </c>
      <c r="N27" s="26">
        <f t="shared" si="8"/>
        <v>180</v>
      </c>
      <c r="O27" s="34">
        <f t="shared" si="6"/>
        <v>129600</v>
      </c>
    </row>
    <row r="28" spans="1:15" x14ac:dyDescent="0.35">
      <c r="B28" s="1"/>
      <c r="C28" s="1"/>
      <c r="D28" s="1"/>
      <c r="E28" s="1"/>
      <c r="G28" s="31">
        <v>52140</v>
      </c>
      <c r="H28" s="6">
        <v>31</v>
      </c>
      <c r="I28" s="26">
        <f t="shared" si="7"/>
        <v>180</v>
      </c>
      <c r="J28" s="34">
        <f t="shared" si="5"/>
        <v>133920</v>
      </c>
      <c r="L28" s="31">
        <v>52505</v>
      </c>
      <c r="M28" s="6">
        <v>31</v>
      </c>
      <c r="N28" s="26">
        <f t="shared" si="8"/>
        <v>180</v>
      </c>
      <c r="O28" s="34">
        <f t="shared" si="6"/>
        <v>133920</v>
      </c>
    </row>
    <row r="29" spans="1:15" x14ac:dyDescent="0.35">
      <c r="A29" s="42"/>
      <c r="B29" s="36"/>
      <c r="C29" s="43"/>
      <c r="D29" s="36"/>
      <c r="E29" s="36"/>
      <c r="G29" s="31">
        <v>52171</v>
      </c>
      <c r="H29" s="32">
        <v>30</v>
      </c>
      <c r="I29" s="33">
        <f t="shared" si="7"/>
        <v>180</v>
      </c>
      <c r="J29" s="34">
        <f t="shared" si="5"/>
        <v>129600</v>
      </c>
      <c r="L29" s="31">
        <v>52536</v>
      </c>
      <c r="M29" s="6">
        <v>30</v>
      </c>
      <c r="N29" s="26">
        <f t="shared" si="8"/>
        <v>180</v>
      </c>
      <c r="O29" s="34">
        <f t="shared" si="6"/>
        <v>129600</v>
      </c>
    </row>
    <row r="30" spans="1:15" x14ac:dyDescent="0.35">
      <c r="A30" s="37"/>
      <c r="B30" s="37"/>
      <c r="C30" s="37"/>
      <c r="D30" s="37"/>
      <c r="E30" s="37"/>
      <c r="G30" s="31">
        <v>52201</v>
      </c>
      <c r="H30" s="32">
        <v>31</v>
      </c>
      <c r="I30" s="33">
        <f t="shared" si="7"/>
        <v>180</v>
      </c>
      <c r="J30" s="34">
        <f t="shared" si="5"/>
        <v>133920</v>
      </c>
      <c r="L30" s="31">
        <v>52566</v>
      </c>
      <c r="M30" s="6">
        <v>31</v>
      </c>
      <c r="N30" s="26">
        <f t="shared" si="8"/>
        <v>180</v>
      </c>
      <c r="O30" s="34">
        <f t="shared" si="6"/>
        <v>133920</v>
      </c>
    </row>
    <row r="31" spans="1:15" ht="15" thickBot="1" x14ac:dyDescent="0.4">
      <c r="B31" s="44"/>
      <c r="C31" s="44"/>
      <c r="D31" s="44"/>
      <c r="E31" s="44"/>
      <c r="G31" s="11" t="s">
        <v>20</v>
      </c>
      <c r="H31" s="12"/>
      <c r="I31" s="12"/>
      <c r="J31" s="35">
        <f>SUM(J19:J30)</f>
        <v>1576800</v>
      </c>
      <c r="L31" s="11" t="s">
        <v>20</v>
      </c>
      <c r="M31" s="12"/>
      <c r="N31" s="12"/>
      <c r="O31" s="35">
        <f>SUM(O19:O30)</f>
        <v>1576800</v>
      </c>
    </row>
    <row r="32" spans="1:15" ht="15" thickBot="1" x14ac:dyDescent="0.4">
      <c r="B32" s="44"/>
      <c r="C32" s="44"/>
      <c r="D32" s="44"/>
      <c r="E32" s="44"/>
      <c r="G32" s="36"/>
      <c r="H32" s="37"/>
      <c r="I32" s="37"/>
      <c r="J32" s="38"/>
    </row>
    <row r="33" spans="2:15" ht="15" thickBot="1" x14ac:dyDescent="0.4">
      <c r="B33" s="44"/>
      <c r="C33" s="44"/>
      <c r="D33" s="44"/>
      <c r="E33" s="44"/>
      <c r="G33" s="54" t="s">
        <v>56</v>
      </c>
      <c r="H33" s="55"/>
      <c r="I33" s="55"/>
      <c r="J33" s="56"/>
      <c r="L33" s="54" t="s">
        <v>57</v>
      </c>
      <c r="M33" s="55"/>
      <c r="N33" s="55"/>
      <c r="O33" s="56"/>
    </row>
    <row r="34" spans="2:15" ht="43.5" x14ac:dyDescent="0.35">
      <c r="B34" s="44"/>
      <c r="C34" s="44"/>
      <c r="D34" s="44"/>
      <c r="E34" s="44"/>
      <c r="G34" s="8" t="s">
        <v>18</v>
      </c>
      <c r="H34" s="7" t="s">
        <v>19</v>
      </c>
      <c r="I34" s="7" t="s">
        <v>46</v>
      </c>
      <c r="J34" s="27" t="s">
        <v>47</v>
      </c>
      <c r="L34" s="8" t="s">
        <v>18</v>
      </c>
      <c r="M34" s="7" t="s">
        <v>19</v>
      </c>
      <c r="N34" s="7" t="s">
        <v>46</v>
      </c>
      <c r="O34" s="27" t="s">
        <v>47</v>
      </c>
    </row>
    <row r="35" spans="2:15" x14ac:dyDescent="0.35">
      <c r="B35" s="44"/>
      <c r="C35" s="44"/>
      <c r="D35" s="44"/>
      <c r="E35" s="44"/>
      <c r="G35" s="31">
        <v>52597</v>
      </c>
      <c r="H35" s="6">
        <v>31</v>
      </c>
      <c r="I35" s="26">
        <v>180</v>
      </c>
      <c r="J35" s="34">
        <f t="shared" ref="J35:J46" si="10">I35*24*H35</f>
        <v>133920</v>
      </c>
      <c r="L35" s="31">
        <v>52963</v>
      </c>
      <c r="M35" s="6">
        <v>31</v>
      </c>
      <c r="N35" s="26">
        <v>180</v>
      </c>
      <c r="O35" s="34">
        <f t="shared" ref="O35:O46" si="11">N35*24*M35</f>
        <v>133920</v>
      </c>
    </row>
    <row r="36" spans="2:15" x14ac:dyDescent="0.35">
      <c r="B36" s="44"/>
      <c r="C36" s="44"/>
      <c r="D36" s="44"/>
      <c r="E36" s="44"/>
      <c r="G36" s="31">
        <v>52628</v>
      </c>
      <c r="H36" s="6">
        <v>29</v>
      </c>
      <c r="I36" s="26">
        <f t="shared" ref="I36:I46" si="12">I35</f>
        <v>180</v>
      </c>
      <c r="J36" s="34">
        <f t="shared" si="10"/>
        <v>125280</v>
      </c>
      <c r="L36" s="31">
        <v>52994</v>
      </c>
      <c r="M36" s="6">
        <v>28</v>
      </c>
      <c r="N36" s="26">
        <f t="shared" ref="N36:N46" si="13">N35</f>
        <v>180</v>
      </c>
      <c r="O36" s="34">
        <f t="shared" si="11"/>
        <v>120960</v>
      </c>
    </row>
    <row r="37" spans="2:15" x14ac:dyDescent="0.35">
      <c r="B37" s="44"/>
      <c r="C37" s="44"/>
      <c r="D37" s="44"/>
      <c r="E37" s="44"/>
      <c r="G37" s="31">
        <v>52657</v>
      </c>
      <c r="H37" s="6">
        <v>31</v>
      </c>
      <c r="I37" s="26">
        <f t="shared" si="12"/>
        <v>180</v>
      </c>
      <c r="J37" s="34">
        <f t="shared" si="10"/>
        <v>133920</v>
      </c>
      <c r="L37" s="31">
        <v>53022</v>
      </c>
      <c r="M37" s="6">
        <v>31</v>
      </c>
      <c r="N37" s="26">
        <f t="shared" si="13"/>
        <v>180</v>
      </c>
      <c r="O37" s="34">
        <f t="shared" si="11"/>
        <v>133920</v>
      </c>
    </row>
    <row r="38" spans="2:15" x14ac:dyDescent="0.35">
      <c r="B38" s="44"/>
      <c r="C38" s="44"/>
      <c r="D38" s="44"/>
      <c r="E38" s="44"/>
      <c r="G38" s="31">
        <v>52688</v>
      </c>
      <c r="H38" s="6">
        <v>30</v>
      </c>
      <c r="I38" s="26">
        <f t="shared" si="12"/>
        <v>180</v>
      </c>
      <c r="J38" s="34">
        <f t="shared" si="10"/>
        <v>129600</v>
      </c>
      <c r="L38" s="31">
        <v>53053</v>
      </c>
      <c r="M38" s="6">
        <v>30</v>
      </c>
      <c r="N38" s="26">
        <f t="shared" si="13"/>
        <v>180</v>
      </c>
      <c r="O38" s="34">
        <f t="shared" si="11"/>
        <v>129600</v>
      </c>
    </row>
    <row r="39" spans="2:15" x14ac:dyDescent="0.35">
      <c r="B39" s="44"/>
      <c r="C39" s="44"/>
      <c r="D39" s="44"/>
      <c r="E39" s="44"/>
      <c r="G39" s="31">
        <v>52718</v>
      </c>
      <c r="H39" s="6">
        <v>31</v>
      </c>
      <c r="I39" s="26">
        <f t="shared" si="12"/>
        <v>180</v>
      </c>
      <c r="J39" s="34">
        <f t="shared" si="10"/>
        <v>133920</v>
      </c>
      <c r="L39" s="31">
        <v>53083</v>
      </c>
      <c r="M39" s="6">
        <v>31</v>
      </c>
      <c r="N39" s="26">
        <f t="shared" si="13"/>
        <v>180</v>
      </c>
      <c r="O39" s="34">
        <f t="shared" si="11"/>
        <v>133920</v>
      </c>
    </row>
    <row r="40" spans="2:15" x14ac:dyDescent="0.35">
      <c r="B40" s="44"/>
      <c r="C40" s="44"/>
      <c r="D40" s="44"/>
      <c r="E40" s="44"/>
      <c r="G40" s="31">
        <v>52749</v>
      </c>
      <c r="H40" s="6">
        <v>30</v>
      </c>
      <c r="I40" s="26">
        <f t="shared" si="12"/>
        <v>180</v>
      </c>
      <c r="J40" s="34">
        <f t="shared" si="10"/>
        <v>129600</v>
      </c>
      <c r="L40" s="31">
        <v>53114</v>
      </c>
      <c r="M40" s="6">
        <v>30</v>
      </c>
      <c r="N40" s="26">
        <f t="shared" si="13"/>
        <v>180</v>
      </c>
      <c r="O40" s="34">
        <f t="shared" si="11"/>
        <v>129600</v>
      </c>
    </row>
    <row r="41" spans="2:15" x14ac:dyDescent="0.35">
      <c r="B41" s="44"/>
      <c r="C41" s="44"/>
      <c r="D41" s="44"/>
      <c r="E41" s="44"/>
      <c r="G41" s="31">
        <v>52779</v>
      </c>
      <c r="H41" s="6">
        <v>31</v>
      </c>
      <c r="I41" s="26">
        <f t="shared" si="12"/>
        <v>180</v>
      </c>
      <c r="J41" s="34">
        <f t="shared" si="10"/>
        <v>133920</v>
      </c>
      <c r="L41" s="31">
        <v>53144</v>
      </c>
      <c r="M41" s="6">
        <v>31</v>
      </c>
      <c r="N41" s="26">
        <f t="shared" si="13"/>
        <v>180</v>
      </c>
      <c r="O41" s="34">
        <f t="shared" si="11"/>
        <v>133920</v>
      </c>
    </row>
    <row r="42" spans="2:15" x14ac:dyDescent="0.35">
      <c r="B42" s="44"/>
      <c r="C42" s="44"/>
      <c r="D42" s="44"/>
      <c r="E42" s="44"/>
      <c r="G42" s="31">
        <v>52810</v>
      </c>
      <c r="H42" s="6">
        <v>31</v>
      </c>
      <c r="I42" s="26">
        <f t="shared" si="12"/>
        <v>180</v>
      </c>
      <c r="J42" s="34">
        <f t="shared" si="10"/>
        <v>133920</v>
      </c>
      <c r="L42" s="31">
        <v>53175</v>
      </c>
      <c r="M42" s="6">
        <v>31</v>
      </c>
      <c r="N42" s="26">
        <f t="shared" si="13"/>
        <v>180</v>
      </c>
      <c r="O42" s="34">
        <f t="shared" si="11"/>
        <v>133920</v>
      </c>
    </row>
    <row r="43" spans="2:15" x14ac:dyDescent="0.35">
      <c r="B43" s="44"/>
      <c r="C43" s="44"/>
      <c r="D43" s="44"/>
      <c r="E43" s="44"/>
      <c r="G43" s="31">
        <v>52841</v>
      </c>
      <c r="H43" s="6">
        <v>30</v>
      </c>
      <c r="I43" s="26">
        <f t="shared" si="12"/>
        <v>180</v>
      </c>
      <c r="J43" s="34">
        <f t="shared" si="10"/>
        <v>129600</v>
      </c>
      <c r="L43" s="31">
        <v>53206</v>
      </c>
      <c r="M43" s="6">
        <v>30</v>
      </c>
      <c r="N43" s="26">
        <f t="shared" si="13"/>
        <v>180</v>
      </c>
      <c r="O43" s="34">
        <f t="shared" si="11"/>
        <v>129600</v>
      </c>
    </row>
    <row r="44" spans="2:15" x14ac:dyDescent="0.35">
      <c r="B44" s="44"/>
      <c r="C44" s="44"/>
      <c r="D44" s="44"/>
      <c r="E44" s="44"/>
      <c r="G44" s="31">
        <v>52871</v>
      </c>
      <c r="H44" s="6">
        <v>31</v>
      </c>
      <c r="I44" s="26">
        <f t="shared" si="12"/>
        <v>180</v>
      </c>
      <c r="J44" s="34">
        <f t="shared" si="10"/>
        <v>133920</v>
      </c>
      <c r="L44" s="31">
        <v>53236</v>
      </c>
      <c r="M44" s="6">
        <v>31</v>
      </c>
      <c r="N44" s="26">
        <f t="shared" si="13"/>
        <v>180</v>
      </c>
      <c r="O44" s="34">
        <f t="shared" si="11"/>
        <v>133920</v>
      </c>
    </row>
    <row r="45" spans="2:15" x14ac:dyDescent="0.35">
      <c r="B45" s="44"/>
      <c r="C45" s="44"/>
      <c r="D45" s="44"/>
      <c r="E45" s="44"/>
      <c r="G45" s="31">
        <v>52902</v>
      </c>
      <c r="H45" s="32">
        <v>30</v>
      </c>
      <c r="I45" s="26">
        <f t="shared" si="12"/>
        <v>180</v>
      </c>
      <c r="J45" s="34">
        <f t="shared" si="10"/>
        <v>129600</v>
      </c>
      <c r="L45" s="31">
        <v>53267</v>
      </c>
      <c r="M45" s="32">
        <v>30</v>
      </c>
      <c r="N45" s="26">
        <f t="shared" si="13"/>
        <v>180</v>
      </c>
      <c r="O45" s="34">
        <f t="shared" si="11"/>
        <v>129600</v>
      </c>
    </row>
    <row r="46" spans="2:15" x14ac:dyDescent="0.35">
      <c r="B46" s="44"/>
      <c r="C46" s="44"/>
      <c r="D46" s="44"/>
      <c r="E46" s="44"/>
      <c r="G46" s="31">
        <v>52932</v>
      </c>
      <c r="H46" s="6">
        <v>31</v>
      </c>
      <c r="I46" s="26">
        <f t="shared" si="12"/>
        <v>180</v>
      </c>
      <c r="J46" s="34">
        <f t="shared" si="10"/>
        <v>133920</v>
      </c>
      <c r="L46" s="31">
        <v>53297</v>
      </c>
      <c r="M46" s="6">
        <v>31</v>
      </c>
      <c r="N46" s="26">
        <f t="shared" si="13"/>
        <v>180</v>
      </c>
      <c r="O46" s="34">
        <f t="shared" si="11"/>
        <v>133920</v>
      </c>
    </row>
    <row r="47" spans="2:15" ht="15" thickBot="1" x14ac:dyDescent="0.4">
      <c r="B47" s="44"/>
      <c r="C47" s="44"/>
      <c r="D47" s="44"/>
      <c r="E47" s="44"/>
      <c r="G47" s="11" t="s">
        <v>20</v>
      </c>
      <c r="H47" s="12"/>
      <c r="I47" s="12"/>
      <c r="J47" s="35">
        <f>SUM(J35:J46)</f>
        <v>1581120</v>
      </c>
      <c r="L47" s="11" t="s">
        <v>20</v>
      </c>
      <c r="M47" s="12"/>
      <c r="N47" s="12"/>
      <c r="O47" s="35">
        <f>SUM(O35:O46)</f>
        <v>1576800</v>
      </c>
    </row>
    <row r="48" spans="2:15" x14ac:dyDescent="0.35">
      <c r="B48" s="44"/>
      <c r="C48" s="44"/>
      <c r="D48" s="44"/>
      <c r="E48" s="44"/>
      <c r="G48" s="36"/>
      <c r="H48" s="37"/>
      <c r="I48" s="37"/>
      <c r="J48" s="38"/>
    </row>
    <row r="49" spans="1:5" x14ac:dyDescent="0.35">
      <c r="B49" s="44"/>
      <c r="C49" s="44"/>
      <c r="D49" s="44"/>
      <c r="E49" s="44"/>
    </row>
    <row r="50" spans="1:5" x14ac:dyDescent="0.35">
      <c r="B50" s="44"/>
      <c r="C50" s="44"/>
      <c r="D50" s="44"/>
      <c r="E50" s="44"/>
    </row>
    <row r="51" spans="1:5" x14ac:dyDescent="0.35">
      <c r="B51" s="44"/>
      <c r="C51" s="44"/>
      <c r="D51" s="44"/>
      <c r="E51" s="44"/>
    </row>
    <row r="52" spans="1:5" x14ac:dyDescent="0.35">
      <c r="A52" s="45"/>
      <c r="B52" s="46"/>
      <c r="C52" s="46"/>
      <c r="D52" s="46"/>
      <c r="E52" s="46"/>
    </row>
    <row r="65" spans="7:10" x14ac:dyDescent="0.35">
      <c r="G65" s="36"/>
      <c r="H65" s="37"/>
      <c r="I65" s="37"/>
      <c r="J65" s="38"/>
    </row>
  </sheetData>
  <mergeCells count="5">
    <mergeCell ref="G17:J17"/>
    <mergeCell ref="L17:O17"/>
    <mergeCell ref="G33:J33"/>
    <mergeCell ref="L33:O33"/>
    <mergeCell ref="G1:L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6DB4-D979-45F6-9D6D-84C17897CB77}">
  <dimension ref="A1:AH79"/>
  <sheetViews>
    <sheetView topLeftCell="L45" zoomScale="85" zoomScaleNormal="85" workbookViewId="0">
      <selection activeCell="G17" sqref="G17:AH79"/>
    </sheetView>
  </sheetViews>
  <sheetFormatPr baseColWidth="10" defaultRowHeight="14.5" x14ac:dyDescent="0.35"/>
  <cols>
    <col min="1" max="1" width="16.26953125" style="3" customWidth="1"/>
    <col min="2" max="5" width="16.26953125" customWidth="1"/>
    <col min="7" max="7" width="18.08984375" bestFit="1" customWidth="1"/>
    <col min="8" max="8" width="10.90625" style="5"/>
    <col min="9" max="9" width="11.1796875" bestFit="1" customWidth="1"/>
    <col min="10" max="13" width="13.7265625" bestFit="1" customWidth="1"/>
    <col min="14" max="14" width="13.90625" customWidth="1"/>
    <col min="25" max="25" width="11.1796875" bestFit="1" customWidth="1"/>
  </cols>
  <sheetData>
    <row r="1" spans="1:14" ht="15" thickBot="1" x14ac:dyDescent="0.4">
      <c r="A1" s="24"/>
      <c r="B1" s="13"/>
      <c r="C1" s="25" t="s">
        <v>48</v>
      </c>
      <c r="D1" s="13"/>
      <c r="E1" s="14"/>
      <c r="G1" s="54" t="s">
        <v>21</v>
      </c>
      <c r="H1" s="55"/>
      <c r="I1" s="55"/>
      <c r="J1" s="55"/>
      <c r="K1" s="55"/>
      <c r="L1" s="56"/>
    </row>
    <row r="2" spans="1:14" s="15" customFormat="1" ht="43.5" x14ac:dyDescent="0.35">
      <c r="A2" s="8" t="s">
        <v>4</v>
      </c>
      <c r="B2" s="7" t="s">
        <v>0</v>
      </c>
      <c r="C2" s="7" t="s">
        <v>1</v>
      </c>
      <c r="D2" s="7" t="s">
        <v>2</v>
      </c>
      <c r="E2" s="23" t="s">
        <v>3</v>
      </c>
      <c r="G2" s="8" t="s">
        <v>18</v>
      </c>
      <c r="H2" s="7" t="s">
        <v>46</v>
      </c>
      <c r="I2" s="16" t="s">
        <v>50</v>
      </c>
      <c r="J2" s="16" t="s">
        <v>51</v>
      </c>
      <c r="K2" s="16" t="s">
        <v>52</v>
      </c>
      <c r="L2" s="27" t="s">
        <v>53</v>
      </c>
    </row>
    <row r="3" spans="1:14" x14ac:dyDescent="0.35">
      <c r="A3" s="18">
        <v>1</v>
      </c>
      <c r="B3" s="17">
        <v>180</v>
      </c>
      <c r="C3" s="17">
        <f t="shared" ref="C3:E4" si="0">$B$3</f>
        <v>180</v>
      </c>
      <c r="D3" s="17">
        <f t="shared" si="0"/>
        <v>180</v>
      </c>
      <c r="E3" s="19">
        <f t="shared" si="0"/>
        <v>180</v>
      </c>
      <c r="F3" s="2"/>
      <c r="G3" s="9" t="s">
        <v>6</v>
      </c>
      <c r="H3" s="17">
        <v>180</v>
      </c>
      <c r="I3" s="47">
        <f>(180000*24*31)*0.001</f>
        <v>133920</v>
      </c>
      <c r="J3" s="48">
        <f>(180000*24*31)*0.001</f>
        <v>133920</v>
      </c>
      <c r="K3" s="48">
        <f>(180000*24*31)*0.001</f>
        <v>133920</v>
      </c>
      <c r="L3" s="50">
        <f>(180000*24*31)*0.001</f>
        <v>133920</v>
      </c>
    </row>
    <row r="4" spans="1:14" x14ac:dyDescent="0.35">
      <c r="A4" s="18">
        <v>2</v>
      </c>
      <c r="B4" s="17">
        <f>$B$3</f>
        <v>180</v>
      </c>
      <c r="C4" s="17">
        <f t="shared" si="0"/>
        <v>180</v>
      </c>
      <c r="D4" s="17">
        <f t="shared" si="0"/>
        <v>180</v>
      </c>
      <c r="E4" s="19">
        <f t="shared" si="0"/>
        <v>180</v>
      </c>
      <c r="F4" s="2"/>
      <c r="G4" s="9" t="s">
        <v>7</v>
      </c>
      <c r="H4" s="26">
        <f>H3</f>
        <v>180</v>
      </c>
      <c r="I4" s="47">
        <f>(180000*24*28)*0.001</f>
        <v>120960</v>
      </c>
      <c r="J4" s="48">
        <f>(180000*24*28)*0.001</f>
        <v>120960</v>
      </c>
      <c r="K4" s="48">
        <f>(180000*24*29)*0.001</f>
        <v>125280</v>
      </c>
      <c r="L4" s="50">
        <f>(180000*24*28)*0.001</f>
        <v>120960</v>
      </c>
    </row>
    <row r="5" spans="1:14" x14ac:dyDescent="0.35">
      <c r="A5" s="18">
        <v>3</v>
      </c>
      <c r="B5" s="17">
        <f t="shared" ref="B5:E26" si="1">$B$3</f>
        <v>180</v>
      </c>
      <c r="C5" s="17">
        <f t="shared" si="1"/>
        <v>180</v>
      </c>
      <c r="D5" s="17">
        <f t="shared" si="1"/>
        <v>180</v>
      </c>
      <c r="E5" s="19">
        <f t="shared" si="1"/>
        <v>180</v>
      </c>
      <c r="F5" s="2"/>
      <c r="G5" s="9" t="s">
        <v>8</v>
      </c>
      <c r="H5" s="26">
        <f t="shared" ref="H5:H14" si="2">H4</f>
        <v>180</v>
      </c>
      <c r="I5" s="47">
        <f>(180000*24*31)*0.001</f>
        <v>133920</v>
      </c>
      <c r="J5" s="48">
        <f>(180000*24*31)*0.001</f>
        <v>133920</v>
      </c>
      <c r="K5" s="48">
        <f>(180000*24*31)*0.001</f>
        <v>133920</v>
      </c>
      <c r="L5" s="50">
        <f>(180000*24*31)*0.001</f>
        <v>133920</v>
      </c>
    </row>
    <row r="6" spans="1:14" x14ac:dyDescent="0.35">
      <c r="A6" s="18">
        <v>4</v>
      </c>
      <c r="B6" s="17">
        <f t="shared" si="1"/>
        <v>180</v>
      </c>
      <c r="C6" s="17">
        <f t="shared" si="1"/>
        <v>180</v>
      </c>
      <c r="D6" s="17">
        <f t="shared" si="1"/>
        <v>180</v>
      </c>
      <c r="E6" s="19">
        <f t="shared" si="1"/>
        <v>180</v>
      </c>
      <c r="F6" s="2"/>
      <c r="G6" s="9" t="s">
        <v>9</v>
      </c>
      <c r="H6" s="26">
        <f t="shared" si="2"/>
        <v>180</v>
      </c>
      <c r="I6" s="47">
        <f>(180000*24*30)*0.001</f>
        <v>129600</v>
      </c>
      <c r="J6" s="48">
        <f>(180000*24*30)*0.001</f>
        <v>129600</v>
      </c>
      <c r="K6" s="48">
        <f>(180000*24*30)*0.001</f>
        <v>129600</v>
      </c>
      <c r="L6" s="50">
        <f>(180000*24*30)*0.001</f>
        <v>129600</v>
      </c>
    </row>
    <row r="7" spans="1:14" x14ac:dyDescent="0.35">
      <c r="A7" s="18">
        <v>5</v>
      </c>
      <c r="B7" s="17">
        <f t="shared" si="1"/>
        <v>180</v>
      </c>
      <c r="C7" s="17">
        <f t="shared" si="1"/>
        <v>180</v>
      </c>
      <c r="D7" s="17">
        <f t="shared" si="1"/>
        <v>180</v>
      </c>
      <c r="E7" s="19">
        <f t="shared" si="1"/>
        <v>180</v>
      </c>
      <c r="F7" s="2"/>
      <c r="G7" s="9" t="s">
        <v>10</v>
      </c>
      <c r="H7" s="26">
        <f t="shared" si="2"/>
        <v>180</v>
      </c>
      <c r="I7" s="47">
        <f>(180000*24*31)*0.001</f>
        <v>133920</v>
      </c>
      <c r="J7" s="48">
        <f>(180000*24*31)*0.001</f>
        <v>133920</v>
      </c>
      <c r="K7" s="48">
        <f>(180000*24*31)*0.001</f>
        <v>133920</v>
      </c>
      <c r="L7" s="50">
        <f>(180000*24*31)*0.001</f>
        <v>133920</v>
      </c>
    </row>
    <row r="8" spans="1:14" x14ac:dyDescent="0.35">
      <c r="A8" s="18">
        <v>6</v>
      </c>
      <c r="B8" s="17">
        <f t="shared" si="1"/>
        <v>180</v>
      </c>
      <c r="C8" s="17">
        <f t="shared" si="1"/>
        <v>180</v>
      </c>
      <c r="D8" s="17">
        <f t="shared" si="1"/>
        <v>180</v>
      </c>
      <c r="E8" s="19">
        <f t="shared" si="1"/>
        <v>180</v>
      </c>
      <c r="F8" s="2"/>
      <c r="G8" s="9" t="s">
        <v>11</v>
      </c>
      <c r="H8" s="26">
        <f t="shared" si="2"/>
        <v>180</v>
      </c>
      <c r="I8" s="47">
        <f>(180000*24*30)*0.001</f>
        <v>129600</v>
      </c>
      <c r="J8" s="48">
        <f>(180000*24*30)*0.001</f>
        <v>129600</v>
      </c>
      <c r="K8" s="48">
        <f>(180000*24*30)*0.001</f>
        <v>129600</v>
      </c>
      <c r="L8" s="50">
        <f>(180000*24*30)*0.001</f>
        <v>129600</v>
      </c>
    </row>
    <row r="9" spans="1:14" x14ac:dyDescent="0.35">
      <c r="A9" s="18">
        <v>7</v>
      </c>
      <c r="B9" s="17">
        <f t="shared" si="1"/>
        <v>180</v>
      </c>
      <c r="C9" s="17">
        <f t="shared" si="1"/>
        <v>180</v>
      </c>
      <c r="D9" s="17">
        <f t="shared" si="1"/>
        <v>180</v>
      </c>
      <c r="E9" s="19">
        <f t="shared" si="1"/>
        <v>180</v>
      </c>
      <c r="F9" s="2"/>
      <c r="G9" s="9" t="s">
        <v>12</v>
      </c>
      <c r="H9" s="26">
        <f t="shared" si="2"/>
        <v>180</v>
      </c>
      <c r="I9" s="47">
        <f t="shared" ref="I9:L10" si="3">(180000*24*31)*0.001</f>
        <v>133920</v>
      </c>
      <c r="J9" s="48">
        <f t="shared" si="3"/>
        <v>133920</v>
      </c>
      <c r="K9" s="48">
        <f t="shared" si="3"/>
        <v>133920</v>
      </c>
      <c r="L9" s="50">
        <f t="shared" si="3"/>
        <v>133920</v>
      </c>
    </row>
    <row r="10" spans="1:14" x14ac:dyDescent="0.35">
      <c r="A10" s="18">
        <v>8</v>
      </c>
      <c r="B10" s="17">
        <f t="shared" si="1"/>
        <v>180</v>
      </c>
      <c r="C10" s="17">
        <f t="shared" si="1"/>
        <v>180</v>
      </c>
      <c r="D10" s="17">
        <f t="shared" si="1"/>
        <v>180</v>
      </c>
      <c r="E10" s="19">
        <f t="shared" si="1"/>
        <v>180</v>
      </c>
      <c r="F10" s="2"/>
      <c r="G10" s="9" t="s">
        <v>13</v>
      </c>
      <c r="H10" s="26">
        <f t="shared" si="2"/>
        <v>180</v>
      </c>
      <c r="I10" s="47">
        <f t="shared" si="3"/>
        <v>133920</v>
      </c>
      <c r="J10" s="48">
        <f t="shared" si="3"/>
        <v>133920</v>
      </c>
      <c r="K10" s="48">
        <f t="shared" si="3"/>
        <v>133920</v>
      </c>
      <c r="L10" s="50">
        <f t="shared" si="3"/>
        <v>133920</v>
      </c>
    </row>
    <row r="11" spans="1:14" x14ac:dyDescent="0.35">
      <c r="A11" s="18">
        <v>9</v>
      </c>
      <c r="B11" s="17">
        <f t="shared" si="1"/>
        <v>180</v>
      </c>
      <c r="C11" s="17">
        <f t="shared" si="1"/>
        <v>180</v>
      </c>
      <c r="D11" s="17">
        <f t="shared" si="1"/>
        <v>180</v>
      </c>
      <c r="E11" s="19">
        <f t="shared" si="1"/>
        <v>180</v>
      </c>
      <c r="F11" s="2"/>
      <c r="G11" s="9" t="s">
        <v>14</v>
      </c>
      <c r="H11" s="26">
        <f t="shared" si="2"/>
        <v>180</v>
      </c>
      <c r="I11" s="47">
        <f>(180000*24*30)*0.001</f>
        <v>129600</v>
      </c>
      <c r="J11" s="48">
        <f>(180000*24*30)*0.001</f>
        <v>129600</v>
      </c>
      <c r="K11" s="48">
        <f>(180000*24*30)*0.001</f>
        <v>129600</v>
      </c>
      <c r="L11" s="50">
        <f>(180000*24*30)*0.001</f>
        <v>129600</v>
      </c>
    </row>
    <row r="12" spans="1:14" x14ac:dyDescent="0.35">
      <c r="A12" s="18">
        <v>10</v>
      </c>
      <c r="B12" s="17">
        <f t="shared" si="1"/>
        <v>180</v>
      </c>
      <c r="C12" s="17">
        <f t="shared" si="1"/>
        <v>180</v>
      </c>
      <c r="D12" s="17">
        <f t="shared" si="1"/>
        <v>180</v>
      </c>
      <c r="E12" s="19">
        <f t="shared" si="1"/>
        <v>180</v>
      </c>
      <c r="F12" s="2"/>
      <c r="G12" s="9" t="s">
        <v>15</v>
      </c>
      <c r="H12" s="26">
        <f t="shared" si="2"/>
        <v>180</v>
      </c>
      <c r="I12" s="47">
        <f>(180000*24*31)*0.001</f>
        <v>133920</v>
      </c>
      <c r="J12" s="48">
        <f>(180000*24*31)*0.001</f>
        <v>133920</v>
      </c>
      <c r="K12" s="48">
        <f>(180000*24*31)*0.001</f>
        <v>133920</v>
      </c>
      <c r="L12" s="50">
        <f>(180000*24*31)*0.001</f>
        <v>133920</v>
      </c>
    </row>
    <row r="13" spans="1:14" x14ac:dyDescent="0.35">
      <c r="A13" s="18">
        <v>11</v>
      </c>
      <c r="B13" s="17">
        <f t="shared" si="1"/>
        <v>180</v>
      </c>
      <c r="C13" s="17">
        <f t="shared" si="1"/>
        <v>180</v>
      </c>
      <c r="D13" s="17">
        <f t="shared" si="1"/>
        <v>180</v>
      </c>
      <c r="E13" s="19">
        <f t="shared" si="1"/>
        <v>180</v>
      </c>
      <c r="F13" s="2"/>
      <c r="G13" s="9" t="s">
        <v>16</v>
      </c>
      <c r="H13" s="26">
        <f t="shared" si="2"/>
        <v>180</v>
      </c>
      <c r="I13" s="47">
        <f>(180000*24*30)*0.001</f>
        <v>129600</v>
      </c>
      <c r="J13" s="48">
        <f>(180000*24*30)*0.001</f>
        <v>129600</v>
      </c>
      <c r="K13" s="48">
        <f>(180000*24*30)*0.001</f>
        <v>129600</v>
      </c>
      <c r="L13" s="50">
        <f>(180000*24*30)*0.001</f>
        <v>129600</v>
      </c>
    </row>
    <row r="14" spans="1:14" ht="15" thickBot="1" x14ac:dyDescent="0.4">
      <c r="A14" s="18">
        <v>12</v>
      </c>
      <c r="B14" s="17">
        <f t="shared" si="1"/>
        <v>180</v>
      </c>
      <c r="C14" s="17">
        <f t="shared" si="1"/>
        <v>180</v>
      </c>
      <c r="D14" s="17">
        <f t="shared" si="1"/>
        <v>180</v>
      </c>
      <c r="E14" s="19">
        <f t="shared" si="1"/>
        <v>180</v>
      </c>
      <c r="F14" s="2"/>
      <c r="G14" s="9" t="s">
        <v>17</v>
      </c>
      <c r="H14" s="26">
        <f t="shared" si="2"/>
        <v>180</v>
      </c>
      <c r="I14" s="47">
        <f>(180000*24*31)*0.001</f>
        <v>133920</v>
      </c>
      <c r="J14" s="48">
        <f>(180000*24*31)*0.001</f>
        <v>133920</v>
      </c>
      <c r="K14" s="48">
        <f>(180000*24*31)*0.001</f>
        <v>133920</v>
      </c>
      <c r="L14" s="50">
        <f>(180000*24*31)*0.001</f>
        <v>133920</v>
      </c>
    </row>
    <row r="15" spans="1:14" ht="15.5" thickTop="1" thickBot="1" x14ac:dyDescent="0.4">
      <c r="A15" s="18">
        <v>13</v>
      </c>
      <c r="B15" s="17">
        <f t="shared" si="1"/>
        <v>180</v>
      </c>
      <c r="C15" s="17">
        <f t="shared" si="1"/>
        <v>180</v>
      </c>
      <c r="D15" s="17">
        <f t="shared" si="1"/>
        <v>180</v>
      </c>
      <c r="E15" s="19">
        <f t="shared" si="1"/>
        <v>180</v>
      </c>
      <c r="F15" s="2"/>
      <c r="G15" s="11" t="s">
        <v>20</v>
      </c>
      <c r="H15" s="12"/>
      <c r="I15" s="51">
        <f>SUM(I3:I14)</f>
        <v>1576800</v>
      </c>
      <c r="J15" s="52">
        <f t="shared" ref="J15:L15" si="4">SUM(J3:J14)</f>
        <v>1576800</v>
      </c>
      <c r="K15" s="52">
        <f t="shared" si="4"/>
        <v>1581120</v>
      </c>
      <c r="L15" s="53">
        <f t="shared" si="4"/>
        <v>1576800</v>
      </c>
      <c r="M15" s="49">
        <f>SUM(I15:L15)</f>
        <v>6311520</v>
      </c>
      <c r="N15" s="39"/>
    </row>
    <row r="16" spans="1:14" ht="15" customHeight="1" thickBot="1" x14ac:dyDescent="0.4">
      <c r="A16" s="18">
        <v>14</v>
      </c>
      <c r="B16" s="17">
        <f t="shared" si="1"/>
        <v>180</v>
      </c>
      <c r="C16" s="17">
        <f t="shared" si="1"/>
        <v>180</v>
      </c>
      <c r="D16" s="17">
        <f t="shared" si="1"/>
        <v>180</v>
      </c>
      <c r="E16" s="19">
        <f t="shared" si="1"/>
        <v>180</v>
      </c>
      <c r="F16" s="2"/>
    </row>
    <row r="17" spans="1:34" ht="15" thickBot="1" x14ac:dyDescent="0.4">
      <c r="A17" s="18">
        <v>15</v>
      </c>
      <c r="B17" s="17">
        <f t="shared" si="1"/>
        <v>180</v>
      </c>
      <c r="C17" s="17">
        <f t="shared" si="1"/>
        <v>180</v>
      </c>
      <c r="D17" s="17">
        <f t="shared" si="1"/>
        <v>180</v>
      </c>
      <c r="E17" s="19">
        <f t="shared" si="1"/>
        <v>180</v>
      </c>
      <c r="F17" s="2"/>
      <c r="G17" s="54" t="s">
        <v>54</v>
      </c>
      <c r="H17" s="55"/>
      <c r="I17" s="55"/>
      <c r="J17" s="56"/>
    </row>
    <row r="18" spans="1:34" ht="24.5" customHeight="1" x14ac:dyDescent="0.35">
      <c r="A18" s="18">
        <v>16</v>
      </c>
      <c r="B18" s="17">
        <f t="shared" si="1"/>
        <v>180</v>
      </c>
      <c r="C18" s="17">
        <f t="shared" si="1"/>
        <v>180</v>
      </c>
      <c r="D18" s="17">
        <f t="shared" si="1"/>
        <v>180</v>
      </c>
      <c r="E18" s="19">
        <f t="shared" si="1"/>
        <v>180</v>
      </c>
      <c r="F18" s="2"/>
      <c r="G18" s="8" t="s">
        <v>18</v>
      </c>
      <c r="H18" s="7" t="s">
        <v>19</v>
      </c>
      <c r="I18" s="7" t="s">
        <v>46</v>
      </c>
      <c r="J18" s="27" t="s">
        <v>47</v>
      </c>
      <c r="K18" s="28" t="s">
        <v>45</v>
      </c>
      <c r="L18" s="29" t="s">
        <v>44</v>
      </c>
      <c r="M18" s="29" t="s">
        <v>43</v>
      </c>
      <c r="N18" s="29" t="s">
        <v>42</v>
      </c>
      <c r="O18" s="29" t="s">
        <v>41</v>
      </c>
      <c r="P18" s="29" t="s">
        <v>40</v>
      </c>
      <c r="Q18" s="29" t="s">
        <v>39</v>
      </c>
      <c r="R18" s="29" t="s">
        <v>38</v>
      </c>
      <c r="S18" s="29" t="s">
        <v>37</v>
      </c>
      <c r="T18" s="29" t="s">
        <v>36</v>
      </c>
      <c r="U18" s="29" t="s">
        <v>35</v>
      </c>
      <c r="V18" s="29" t="s">
        <v>34</v>
      </c>
      <c r="W18" s="29" t="s">
        <v>33</v>
      </c>
      <c r="X18" s="29" t="s">
        <v>32</v>
      </c>
      <c r="Y18" s="29" t="s">
        <v>31</v>
      </c>
      <c r="Z18" s="29" t="s">
        <v>30</v>
      </c>
      <c r="AA18" s="29" t="s">
        <v>29</v>
      </c>
      <c r="AB18" s="29" t="s">
        <v>28</v>
      </c>
      <c r="AC18" s="29" t="s">
        <v>27</v>
      </c>
      <c r="AD18" s="29" t="s">
        <v>26</v>
      </c>
      <c r="AE18" s="29" t="s">
        <v>25</v>
      </c>
      <c r="AF18" s="29" t="s">
        <v>24</v>
      </c>
      <c r="AG18" s="29" t="s">
        <v>23</v>
      </c>
      <c r="AH18" s="30" t="s">
        <v>22</v>
      </c>
    </row>
    <row r="19" spans="1:34" x14ac:dyDescent="0.35">
      <c r="A19" s="18">
        <v>17</v>
      </c>
      <c r="B19" s="17">
        <f t="shared" si="1"/>
        <v>180</v>
      </c>
      <c r="C19" s="17">
        <f t="shared" si="1"/>
        <v>180</v>
      </c>
      <c r="D19" s="17">
        <f t="shared" si="1"/>
        <v>180</v>
      </c>
      <c r="E19" s="19">
        <f t="shared" si="1"/>
        <v>180</v>
      </c>
      <c r="F19" s="2"/>
      <c r="G19" s="31">
        <v>51867</v>
      </c>
      <c r="H19" s="6">
        <v>31</v>
      </c>
      <c r="I19" s="26">
        <v>180</v>
      </c>
      <c r="J19" s="34">
        <f t="shared" ref="J19:J30" si="5">I19*24*H19</f>
        <v>133920</v>
      </c>
      <c r="K19" s="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0"/>
    </row>
    <row r="20" spans="1:34" x14ac:dyDescent="0.35">
      <c r="A20" s="18">
        <v>18</v>
      </c>
      <c r="B20" s="17">
        <f t="shared" si="1"/>
        <v>180</v>
      </c>
      <c r="C20" s="17">
        <f t="shared" si="1"/>
        <v>180</v>
      </c>
      <c r="D20" s="17">
        <f t="shared" si="1"/>
        <v>180</v>
      </c>
      <c r="E20" s="19">
        <f t="shared" si="1"/>
        <v>180</v>
      </c>
      <c r="F20" s="2"/>
      <c r="G20" s="31">
        <v>51898</v>
      </c>
      <c r="H20" s="6">
        <v>28</v>
      </c>
      <c r="I20" s="26">
        <f t="shared" ref="I20:I30" si="6">I19</f>
        <v>180</v>
      </c>
      <c r="J20" s="34">
        <f t="shared" si="5"/>
        <v>120960</v>
      </c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0"/>
    </row>
    <row r="21" spans="1:34" x14ac:dyDescent="0.35">
      <c r="A21" s="18">
        <v>19</v>
      </c>
      <c r="B21" s="17">
        <f t="shared" si="1"/>
        <v>180</v>
      </c>
      <c r="C21" s="17">
        <f t="shared" si="1"/>
        <v>180</v>
      </c>
      <c r="D21" s="17">
        <f t="shared" si="1"/>
        <v>180</v>
      </c>
      <c r="E21" s="19">
        <f t="shared" si="1"/>
        <v>180</v>
      </c>
      <c r="F21" s="2"/>
      <c r="G21" s="31">
        <v>51926</v>
      </c>
      <c r="H21" s="6">
        <v>31</v>
      </c>
      <c r="I21" s="26">
        <f t="shared" si="6"/>
        <v>180</v>
      </c>
      <c r="J21" s="34">
        <f t="shared" si="5"/>
        <v>133920</v>
      </c>
      <c r="K21" s="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0"/>
    </row>
    <row r="22" spans="1:34" x14ac:dyDescent="0.35">
      <c r="A22" s="18">
        <v>20</v>
      </c>
      <c r="B22" s="17">
        <f t="shared" si="1"/>
        <v>180</v>
      </c>
      <c r="C22" s="17">
        <f t="shared" si="1"/>
        <v>180</v>
      </c>
      <c r="D22" s="17">
        <f t="shared" si="1"/>
        <v>180</v>
      </c>
      <c r="E22" s="19">
        <f t="shared" si="1"/>
        <v>180</v>
      </c>
      <c r="F22" s="2"/>
      <c r="G22" s="31">
        <v>51957</v>
      </c>
      <c r="H22" s="6">
        <v>30</v>
      </c>
      <c r="I22" s="26">
        <f t="shared" si="6"/>
        <v>180</v>
      </c>
      <c r="J22" s="34">
        <f t="shared" si="5"/>
        <v>129600</v>
      </c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0"/>
    </row>
    <row r="23" spans="1:34" x14ac:dyDescent="0.35">
      <c r="A23" s="18">
        <v>21</v>
      </c>
      <c r="B23" s="17">
        <f t="shared" si="1"/>
        <v>180</v>
      </c>
      <c r="C23" s="17">
        <f t="shared" si="1"/>
        <v>180</v>
      </c>
      <c r="D23" s="17">
        <f t="shared" si="1"/>
        <v>180</v>
      </c>
      <c r="E23" s="19">
        <f t="shared" si="1"/>
        <v>180</v>
      </c>
      <c r="F23" s="2"/>
      <c r="G23" s="31">
        <v>51987</v>
      </c>
      <c r="H23" s="6">
        <v>31</v>
      </c>
      <c r="I23" s="26">
        <f t="shared" si="6"/>
        <v>180</v>
      </c>
      <c r="J23" s="34">
        <f t="shared" si="5"/>
        <v>133920</v>
      </c>
      <c r="K23" s="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10"/>
    </row>
    <row r="24" spans="1:34" x14ac:dyDescent="0.35">
      <c r="A24" s="18">
        <v>22</v>
      </c>
      <c r="B24" s="17">
        <f t="shared" si="1"/>
        <v>180</v>
      </c>
      <c r="C24" s="17">
        <f t="shared" si="1"/>
        <v>180</v>
      </c>
      <c r="D24" s="17">
        <f t="shared" si="1"/>
        <v>180</v>
      </c>
      <c r="E24" s="19">
        <f t="shared" si="1"/>
        <v>180</v>
      </c>
      <c r="F24" s="2"/>
      <c r="G24" s="31">
        <v>52018</v>
      </c>
      <c r="H24" s="6">
        <v>30</v>
      </c>
      <c r="I24" s="26">
        <f t="shared" si="6"/>
        <v>180</v>
      </c>
      <c r="J24" s="34">
        <f t="shared" si="5"/>
        <v>129600</v>
      </c>
      <c r="K24" s="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0"/>
    </row>
    <row r="25" spans="1:34" x14ac:dyDescent="0.35">
      <c r="A25" s="18">
        <v>23</v>
      </c>
      <c r="B25" s="17">
        <f t="shared" si="1"/>
        <v>180</v>
      </c>
      <c r="C25" s="17">
        <f t="shared" si="1"/>
        <v>180</v>
      </c>
      <c r="D25" s="17">
        <f t="shared" si="1"/>
        <v>180</v>
      </c>
      <c r="E25" s="19">
        <f t="shared" si="1"/>
        <v>180</v>
      </c>
      <c r="F25" s="2"/>
      <c r="G25" s="31">
        <v>52048</v>
      </c>
      <c r="H25" s="6">
        <v>31</v>
      </c>
      <c r="I25" s="26">
        <f t="shared" si="6"/>
        <v>180</v>
      </c>
      <c r="J25" s="34">
        <f t="shared" si="5"/>
        <v>133920</v>
      </c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0"/>
    </row>
    <row r="26" spans="1:34" x14ac:dyDescent="0.35">
      <c r="A26" s="18">
        <v>24</v>
      </c>
      <c r="B26" s="17">
        <f t="shared" si="1"/>
        <v>180</v>
      </c>
      <c r="C26" s="17">
        <f t="shared" si="1"/>
        <v>180</v>
      </c>
      <c r="D26" s="17">
        <f t="shared" si="1"/>
        <v>180</v>
      </c>
      <c r="E26" s="19">
        <f t="shared" si="1"/>
        <v>180</v>
      </c>
      <c r="F26" s="2"/>
      <c r="G26" s="31">
        <v>52079</v>
      </c>
      <c r="H26" s="6">
        <v>31</v>
      </c>
      <c r="I26" s="26">
        <f t="shared" si="6"/>
        <v>180</v>
      </c>
      <c r="J26" s="34">
        <f t="shared" si="5"/>
        <v>133920</v>
      </c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10"/>
    </row>
    <row r="27" spans="1:34" ht="15" thickBot="1" x14ac:dyDescent="0.4">
      <c r="A27" s="20" t="s">
        <v>5</v>
      </c>
      <c r="B27" s="21">
        <f>SUM(B3:B26)</f>
        <v>4320</v>
      </c>
      <c r="C27" s="21">
        <f t="shared" ref="C27:E27" si="7">SUM(C3:C26)</f>
        <v>4320</v>
      </c>
      <c r="D27" s="21">
        <f t="shared" si="7"/>
        <v>4320</v>
      </c>
      <c r="E27" s="22">
        <f t="shared" si="7"/>
        <v>4320</v>
      </c>
      <c r="G27" s="31">
        <v>52110</v>
      </c>
      <c r="H27" s="6">
        <v>30</v>
      </c>
      <c r="I27" s="26">
        <f t="shared" si="6"/>
        <v>180</v>
      </c>
      <c r="J27" s="34">
        <f t="shared" si="5"/>
        <v>129600</v>
      </c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10"/>
    </row>
    <row r="28" spans="1:34" x14ac:dyDescent="0.35">
      <c r="B28" s="1"/>
      <c r="C28" s="1"/>
      <c r="D28" s="1"/>
      <c r="E28" s="1"/>
      <c r="G28" s="31">
        <v>52140</v>
      </c>
      <c r="H28" s="6">
        <v>31</v>
      </c>
      <c r="I28" s="26">
        <f t="shared" si="6"/>
        <v>180</v>
      </c>
      <c r="J28" s="34">
        <f t="shared" si="5"/>
        <v>133920</v>
      </c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0"/>
    </row>
    <row r="29" spans="1:34" x14ac:dyDescent="0.35">
      <c r="A29" s="42"/>
      <c r="B29" s="36"/>
      <c r="C29" s="43"/>
      <c r="D29" s="36"/>
      <c r="E29" s="36"/>
      <c r="G29" s="31">
        <v>52171</v>
      </c>
      <c r="H29" s="32">
        <v>30</v>
      </c>
      <c r="I29" s="33">
        <f t="shared" si="6"/>
        <v>180</v>
      </c>
      <c r="J29" s="34">
        <f t="shared" si="5"/>
        <v>129600</v>
      </c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10"/>
    </row>
    <row r="30" spans="1:34" x14ac:dyDescent="0.35">
      <c r="A30" s="37"/>
      <c r="B30" s="37"/>
      <c r="C30" s="37"/>
      <c r="D30" s="37"/>
      <c r="E30" s="37"/>
      <c r="G30" s="31">
        <v>52201</v>
      </c>
      <c r="H30" s="32">
        <v>31</v>
      </c>
      <c r="I30" s="33">
        <f t="shared" si="6"/>
        <v>180</v>
      </c>
      <c r="J30" s="34">
        <f t="shared" si="5"/>
        <v>133920</v>
      </c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10"/>
    </row>
    <row r="31" spans="1:34" ht="15" thickBot="1" x14ac:dyDescent="0.4">
      <c r="B31" s="44"/>
      <c r="C31" s="44"/>
      <c r="D31" s="44"/>
      <c r="E31" s="44"/>
      <c r="G31" s="11" t="s">
        <v>20</v>
      </c>
      <c r="H31" s="12"/>
      <c r="I31" s="12"/>
      <c r="J31" s="35">
        <f>SUM(J19:J30)</f>
        <v>1576800</v>
      </c>
      <c r="K31" s="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0"/>
    </row>
    <row r="32" spans="1:34" ht="15" thickBot="1" x14ac:dyDescent="0.4">
      <c r="B32" s="44"/>
      <c r="C32" s="44"/>
      <c r="D32" s="44"/>
      <c r="E32" s="44"/>
      <c r="G32" s="36"/>
      <c r="H32" s="37"/>
      <c r="I32" s="37"/>
      <c r="J32" s="38"/>
    </row>
    <row r="33" spans="2:34" ht="15" thickBot="1" x14ac:dyDescent="0.4">
      <c r="B33" s="44"/>
      <c r="C33" s="44"/>
      <c r="D33" s="44"/>
      <c r="E33" s="44"/>
      <c r="G33" s="54" t="s">
        <v>55</v>
      </c>
      <c r="H33" s="55"/>
      <c r="I33" s="55"/>
      <c r="J33" s="56"/>
    </row>
    <row r="34" spans="2:34" ht="43.5" x14ac:dyDescent="0.35">
      <c r="B34" s="44"/>
      <c r="C34" s="44"/>
      <c r="D34" s="44"/>
      <c r="E34" s="44"/>
      <c r="G34" s="8" t="s">
        <v>18</v>
      </c>
      <c r="H34" s="7" t="s">
        <v>19</v>
      </c>
      <c r="I34" s="7" t="s">
        <v>46</v>
      </c>
      <c r="J34" s="27" t="s">
        <v>47</v>
      </c>
      <c r="K34" s="28" t="s">
        <v>45</v>
      </c>
      <c r="L34" s="29" t="s">
        <v>44</v>
      </c>
      <c r="M34" s="29" t="s">
        <v>43</v>
      </c>
      <c r="N34" s="29" t="s">
        <v>42</v>
      </c>
      <c r="O34" s="29" t="s">
        <v>41</v>
      </c>
      <c r="P34" s="29" t="s">
        <v>40</v>
      </c>
      <c r="Q34" s="29" t="s">
        <v>39</v>
      </c>
      <c r="R34" s="29" t="s">
        <v>38</v>
      </c>
      <c r="S34" s="29" t="s">
        <v>37</v>
      </c>
      <c r="T34" s="29" t="s">
        <v>36</v>
      </c>
      <c r="U34" s="29" t="s">
        <v>35</v>
      </c>
      <c r="V34" s="29" t="s">
        <v>34</v>
      </c>
      <c r="W34" s="29" t="s">
        <v>33</v>
      </c>
      <c r="X34" s="29" t="s">
        <v>32</v>
      </c>
      <c r="Y34" s="29" t="s">
        <v>31</v>
      </c>
      <c r="Z34" s="29" t="s">
        <v>30</v>
      </c>
      <c r="AA34" s="29" t="s">
        <v>29</v>
      </c>
      <c r="AB34" s="29" t="s">
        <v>28</v>
      </c>
      <c r="AC34" s="29" t="s">
        <v>27</v>
      </c>
      <c r="AD34" s="29" t="s">
        <v>26</v>
      </c>
      <c r="AE34" s="29" t="s">
        <v>25</v>
      </c>
      <c r="AF34" s="29" t="s">
        <v>24</v>
      </c>
      <c r="AG34" s="29" t="s">
        <v>23</v>
      </c>
      <c r="AH34" s="30" t="s">
        <v>22</v>
      </c>
    </row>
    <row r="35" spans="2:34" x14ac:dyDescent="0.35">
      <c r="B35" s="44"/>
      <c r="C35" s="44"/>
      <c r="D35" s="44"/>
      <c r="E35" s="44"/>
      <c r="G35" s="31">
        <v>52232</v>
      </c>
      <c r="H35" s="6">
        <v>31</v>
      </c>
      <c r="I35" s="17">
        <v>180</v>
      </c>
      <c r="J35" s="34">
        <f t="shared" ref="J35:J46" si="8">I35*24*H35</f>
        <v>133920</v>
      </c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10"/>
    </row>
    <row r="36" spans="2:34" x14ac:dyDescent="0.35">
      <c r="B36" s="44"/>
      <c r="C36" s="44"/>
      <c r="D36" s="44"/>
      <c r="E36" s="44"/>
      <c r="G36" s="31">
        <v>52263</v>
      </c>
      <c r="H36" s="6">
        <v>28</v>
      </c>
      <c r="I36" s="26">
        <f t="shared" ref="I36:I46" si="9">I35</f>
        <v>180</v>
      </c>
      <c r="J36" s="34">
        <f t="shared" si="8"/>
        <v>120960</v>
      </c>
      <c r="K36" s="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10"/>
    </row>
    <row r="37" spans="2:34" x14ac:dyDescent="0.35">
      <c r="B37" s="44"/>
      <c r="C37" s="44"/>
      <c r="D37" s="44"/>
      <c r="E37" s="44"/>
      <c r="G37" s="31">
        <v>52291</v>
      </c>
      <c r="H37" s="6">
        <v>31</v>
      </c>
      <c r="I37" s="26">
        <f t="shared" si="9"/>
        <v>180</v>
      </c>
      <c r="J37" s="34">
        <f t="shared" si="8"/>
        <v>133920</v>
      </c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0"/>
    </row>
    <row r="38" spans="2:34" x14ac:dyDescent="0.35">
      <c r="B38" s="44"/>
      <c r="C38" s="44"/>
      <c r="D38" s="44"/>
      <c r="E38" s="44"/>
      <c r="G38" s="31">
        <v>52322</v>
      </c>
      <c r="H38" s="6">
        <v>30</v>
      </c>
      <c r="I38" s="26">
        <f t="shared" si="9"/>
        <v>180</v>
      </c>
      <c r="J38" s="34">
        <f t="shared" si="8"/>
        <v>129600</v>
      </c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10"/>
    </row>
    <row r="39" spans="2:34" x14ac:dyDescent="0.35">
      <c r="B39" s="44"/>
      <c r="C39" s="44"/>
      <c r="D39" s="44"/>
      <c r="E39" s="44"/>
      <c r="G39" s="31">
        <v>52352</v>
      </c>
      <c r="H39" s="6">
        <v>31</v>
      </c>
      <c r="I39" s="26">
        <f t="shared" si="9"/>
        <v>180</v>
      </c>
      <c r="J39" s="34">
        <f t="shared" si="8"/>
        <v>133920</v>
      </c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10"/>
    </row>
    <row r="40" spans="2:34" x14ac:dyDescent="0.35">
      <c r="B40" s="44"/>
      <c r="C40" s="44"/>
      <c r="D40" s="44"/>
      <c r="E40" s="44"/>
      <c r="G40" s="31">
        <v>52383</v>
      </c>
      <c r="H40" s="6">
        <v>30</v>
      </c>
      <c r="I40" s="26">
        <f t="shared" si="9"/>
        <v>180</v>
      </c>
      <c r="J40" s="34">
        <f t="shared" si="8"/>
        <v>129600</v>
      </c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0"/>
    </row>
    <row r="41" spans="2:34" x14ac:dyDescent="0.35">
      <c r="B41" s="44"/>
      <c r="C41" s="44"/>
      <c r="D41" s="44"/>
      <c r="E41" s="44"/>
      <c r="G41" s="31">
        <v>52413</v>
      </c>
      <c r="H41" s="6">
        <v>31</v>
      </c>
      <c r="I41" s="26">
        <f t="shared" si="9"/>
        <v>180</v>
      </c>
      <c r="J41" s="34">
        <f t="shared" si="8"/>
        <v>133920</v>
      </c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10"/>
    </row>
    <row r="42" spans="2:34" x14ac:dyDescent="0.35">
      <c r="B42" s="44"/>
      <c r="C42" s="44"/>
      <c r="D42" s="44"/>
      <c r="E42" s="44"/>
      <c r="G42" s="31">
        <v>52444</v>
      </c>
      <c r="H42" s="6">
        <v>31</v>
      </c>
      <c r="I42" s="26">
        <f t="shared" si="9"/>
        <v>180</v>
      </c>
      <c r="J42" s="34">
        <f t="shared" si="8"/>
        <v>133920</v>
      </c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10"/>
    </row>
    <row r="43" spans="2:34" x14ac:dyDescent="0.35">
      <c r="B43" s="44"/>
      <c r="C43" s="44"/>
      <c r="D43" s="44"/>
      <c r="E43" s="44"/>
      <c r="G43" s="31">
        <v>52475</v>
      </c>
      <c r="H43" s="6">
        <v>30</v>
      </c>
      <c r="I43" s="26">
        <f t="shared" si="9"/>
        <v>180</v>
      </c>
      <c r="J43" s="34">
        <f t="shared" si="8"/>
        <v>129600</v>
      </c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0"/>
    </row>
    <row r="44" spans="2:34" x14ac:dyDescent="0.35">
      <c r="B44" s="44"/>
      <c r="C44" s="44"/>
      <c r="D44" s="44"/>
      <c r="E44" s="44"/>
      <c r="G44" s="31">
        <v>52505</v>
      </c>
      <c r="H44" s="6">
        <v>31</v>
      </c>
      <c r="I44" s="26">
        <f t="shared" si="9"/>
        <v>180</v>
      </c>
      <c r="J44" s="34">
        <f t="shared" si="8"/>
        <v>133920</v>
      </c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10"/>
    </row>
    <row r="45" spans="2:34" x14ac:dyDescent="0.35">
      <c r="B45" s="44"/>
      <c r="C45" s="44"/>
      <c r="D45" s="44"/>
      <c r="E45" s="44"/>
      <c r="G45" s="31">
        <v>52536</v>
      </c>
      <c r="H45" s="6">
        <v>30</v>
      </c>
      <c r="I45" s="26">
        <f t="shared" si="9"/>
        <v>180</v>
      </c>
      <c r="J45" s="34">
        <f t="shared" si="8"/>
        <v>129600</v>
      </c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10"/>
    </row>
    <row r="46" spans="2:34" x14ac:dyDescent="0.35">
      <c r="B46" s="44"/>
      <c r="C46" s="44"/>
      <c r="D46" s="44"/>
      <c r="E46" s="44"/>
      <c r="G46" s="31">
        <v>52566</v>
      </c>
      <c r="H46" s="6">
        <v>31</v>
      </c>
      <c r="I46" s="26">
        <f t="shared" si="9"/>
        <v>180</v>
      </c>
      <c r="J46" s="34">
        <f t="shared" si="8"/>
        <v>133920</v>
      </c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0"/>
    </row>
    <row r="47" spans="2:34" ht="15" thickBot="1" x14ac:dyDescent="0.4">
      <c r="B47" s="44"/>
      <c r="C47" s="44"/>
      <c r="D47" s="44"/>
      <c r="E47" s="44"/>
      <c r="G47" s="11" t="s">
        <v>20</v>
      </c>
      <c r="H47" s="12"/>
      <c r="I47" s="12"/>
      <c r="J47" s="35">
        <f>SUM(J35:J46)</f>
        <v>1576800</v>
      </c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10"/>
    </row>
    <row r="48" spans="2:34" ht="15" thickBot="1" x14ac:dyDescent="0.4">
      <c r="B48" s="44"/>
      <c r="C48" s="44"/>
      <c r="D48" s="44"/>
      <c r="E48" s="44"/>
      <c r="G48" s="36"/>
      <c r="H48" s="37"/>
      <c r="I48" s="37"/>
      <c r="J48" s="38"/>
    </row>
    <row r="49" spans="1:34" ht="15" thickBot="1" x14ac:dyDescent="0.4">
      <c r="B49" s="44"/>
      <c r="C49" s="44"/>
      <c r="D49" s="44"/>
      <c r="E49" s="44"/>
      <c r="G49" s="54" t="s">
        <v>56</v>
      </c>
      <c r="H49" s="55"/>
      <c r="I49" s="55"/>
      <c r="J49" s="56"/>
    </row>
    <row r="50" spans="1:34" ht="43.5" x14ac:dyDescent="0.35">
      <c r="B50" s="44"/>
      <c r="C50" s="44"/>
      <c r="D50" s="44"/>
      <c r="E50" s="44"/>
      <c r="G50" s="8" t="s">
        <v>18</v>
      </c>
      <c r="H50" s="7" t="s">
        <v>19</v>
      </c>
      <c r="I50" s="7" t="s">
        <v>46</v>
      </c>
      <c r="J50" s="27" t="s">
        <v>47</v>
      </c>
      <c r="K50" s="28" t="s">
        <v>45</v>
      </c>
      <c r="L50" s="29" t="s">
        <v>44</v>
      </c>
      <c r="M50" s="29" t="s">
        <v>43</v>
      </c>
      <c r="N50" s="29" t="s">
        <v>42</v>
      </c>
      <c r="O50" s="29" t="s">
        <v>41</v>
      </c>
      <c r="P50" s="29" t="s">
        <v>40</v>
      </c>
      <c r="Q50" s="29" t="s">
        <v>39</v>
      </c>
      <c r="R50" s="29" t="s">
        <v>38</v>
      </c>
      <c r="S50" s="29" t="s">
        <v>37</v>
      </c>
      <c r="T50" s="29" t="s">
        <v>36</v>
      </c>
      <c r="U50" s="29" t="s">
        <v>35</v>
      </c>
      <c r="V50" s="29" t="s">
        <v>34</v>
      </c>
      <c r="W50" s="29" t="s">
        <v>33</v>
      </c>
      <c r="X50" s="29" t="s">
        <v>32</v>
      </c>
      <c r="Y50" s="29" t="s">
        <v>31</v>
      </c>
      <c r="Z50" s="29" t="s">
        <v>30</v>
      </c>
      <c r="AA50" s="29" t="s">
        <v>29</v>
      </c>
      <c r="AB50" s="29" t="s">
        <v>28</v>
      </c>
      <c r="AC50" s="29" t="s">
        <v>27</v>
      </c>
      <c r="AD50" s="29" t="s">
        <v>26</v>
      </c>
      <c r="AE50" s="29" t="s">
        <v>25</v>
      </c>
      <c r="AF50" s="29" t="s">
        <v>24</v>
      </c>
      <c r="AG50" s="29" t="s">
        <v>23</v>
      </c>
      <c r="AH50" s="30" t="s">
        <v>22</v>
      </c>
    </row>
    <row r="51" spans="1:34" x14ac:dyDescent="0.35">
      <c r="B51" s="44"/>
      <c r="C51" s="44"/>
      <c r="D51" s="44"/>
      <c r="E51" s="44"/>
      <c r="G51" s="31">
        <v>52597</v>
      </c>
      <c r="H51" s="6">
        <v>31</v>
      </c>
      <c r="I51" s="26">
        <v>180</v>
      </c>
      <c r="J51" s="34">
        <f t="shared" ref="J51:J62" si="10">I51*24*H51</f>
        <v>133920</v>
      </c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10"/>
    </row>
    <row r="52" spans="1:34" x14ac:dyDescent="0.35">
      <c r="A52" s="45"/>
      <c r="B52" s="46"/>
      <c r="C52" s="46"/>
      <c r="D52" s="46"/>
      <c r="E52" s="46"/>
      <c r="G52" s="31">
        <v>52628</v>
      </c>
      <c r="H52" s="6">
        <v>29</v>
      </c>
      <c r="I52" s="26">
        <f t="shared" ref="I52:I62" si="11">I51</f>
        <v>180</v>
      </c>
      <c r="J52" s="34">
        <f t="shared" si="10"/>
        <v>125280</v>
      </c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0"/>
    </row>
    <row r="53" spans="1:34" x14ac:dyDescent="0.35">
      <c r="G53" s="31">
        <v>52657</v>
      </c>
      <c r="H53" s="6">
        <v>31</v>
      </c>
      <c r="I53" s="26">
        <f t="shared" si="11"/>
        <v>180</v>
      </c>
      <c r="J53" s="34">
        <f t="shared" si="10"/>
        <v>133920</v>
      </c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10"/>
    </row>
    <row r="54" spans="1:34" x14ac:dyDescent="0.35">
      <c r="G54" s="31">
        <v>52688</v>
      </c>
      <c r="H54" s="6">
        <v>30</v>
      </c>
      <c r="I54" s="26">
        <f t="shared" si="11"/>
        <v>180</v>
      </c>
      <c r="J54" s="34">
        <f t="shared" si="10"/>
        <v>129600</v>
      </c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10"/>
    </row>
    <row r="55" spans="1:34" x14ac:dyDescent="0.35">
      <c r="G55" s="31">
        <v>52718</v>
      </c>
      <c r="H55" s="6">
        <v>31</v>
      </c>
      <c r="I55" s="26">
        <f t="shared" si="11"/>
        <v>180</v>
      </c>
      <c r="J55" s="34">
        <f t="shared" si="10"/>
        <v>133920</v>
      </c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0"/>
    </row>
    <row r="56" spans="1:34" x14ac:dyDescent="0.35">
      <c r="G56" s="31">
        <v>52749</v>
      </c>
      <c r="H56" s="6">
        <v>30</v>
      </c>
      <c r="I56" s="26">
        <f t="shared" si="11"/>
        <v>180</v>
      </c>
      <c r="J56" s="34">
        <f t="shared" si="10"/>
        <v>129600</v>
      </c>
      <c r="K56" s="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10"/>
    </row>
    <row r="57" spans="1:34" x14ac:dyDescent="0.35">
      <c r="G57" s="31">
        <v>52779</v>
      </c>
      <c r="H57" s="6">
        <v>31</v>
      </c>
      <c r="I57" s="26">
        <f t="shared" si="11"/>
        <v>180</v>
      </c>
      <c r="J57" s="34">
        <f t="shared" si="10"/>
        <v>133920</v>
      </c>
      <c r="K57" s="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10"/>
    </row>
    <row r="58" spans="1:34" x14ac:dyDescent="0.35">
      <c r="G58" s="31">
        <v>52810</v>
      </c>
      <c r="H58" s="6">
        <v>31</v>
      </c>
      <c r="I58" s="26">
        <f t="shared" si="11"/>
        <v>180</v>
      </c>
      <c r="J58" s="34">
        <f t="shared" si="10"/>
        <v>133920</v>
      </c>
      <c r="K58" s="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0"/>
    </row>
    <row r="59" spans="1:34" x14ac:dyDescent="0.35">
      <c r="G59" s="31">
        <v>52841</v>
      </c>
      <c r="H59" s="6">
        <v>30</v>
      </c>
      <c r="I59" s="26">
        <f t="shared" si="11"/>
        <v>180</v>
      </c>
      <c r="J59" s="34">
        <f t="shared" si="10"/>
        <v>129600</v>
      </c>
      <c r="K59" s="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10"/>
    </row>
    <row r="60" spans="1:34" x14ac:dyDescent="0.35">
      <c r="G60" s="31">
        <v>52871</v>
      </c>
      <c r="H60" s="6">
        <v>31</v>
      </c>
      <c r="I60" s="26">
        <f t="shared" si="11"/>
        <v>180</v>
      </c>
      <c r="J60" s="34">
        <f t="shared" si="10"/>
        <v>133920</v>
      </c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10"/>
    </row>
    <row r="61" spans="1:34" x14ac:dyDescent="0.35">
      <c r="G61" s="31">
        <v>52902</v>
      </c>
      <c r="H61" s="32">
        <v>30</v>
      </c>
      <c r="I61" s="26">
        <f t="shared" si="11"/>
        <v>180</v>
      </c>
      <c r="J61" s="34">
        <f t="shared" si="10"/>
        <v>129600</v>
      </c>
      <c r="K61" s="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10"/>
    </row>
    <row r="62" spans="1:34" x14ac:dyDescent="0.35">
      <c r="G62" s="31">
        <v>52932</v>
      </c>
      <c r="H62" s="6">
        <v>31</v>
      </c>
      <c r="I62" s="26">
        <f t="shared" si="11"/>
        <v>180</v>
      </c>
      <c r="J62" s="34">
        <f t="shared" si="10"/>
        <v>133920</v>
      </c>
      <c r="K62" s="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10"/>
    </row>
    <row r="63" spans="1:34" ht="15" thickBot="1" x14ac:dyDescent="0.4">
      <c r="G63" s="11" t="s">
        <v>20</v>
      </c>
      <c r="H63" s="12"/>
      <c r="I63" s="12"/>
      <c r="J63" s="35">
        <f>SUM(J51:J62)</f>
        <v>1581120</v>
      </c>
      <c r="K63" s="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10"/>
    </row>
    <row r="64" spans="1:34" ht="15" thickBot="1" x14ac:dyDescent="0.4">
      <c r="G64" s="36"/>
      <c r="H64" s="37"/>
      <c r="I64" s="37"/>
      <c r="J64" s="38"/>
    </row>
    <row r="65" spans="7:34" ht="15" thickBot="1" x14ac:dyDescent="0.4">
      <c r="G65" s="54" t="s">
        <v>57</v>
      </c>
      <c r="H65" s="55"/>
      <c r="I65" s="55"/>
      <c r="J65" s="56"/>
    </row>
    <row r="66" spans="7:34" ht="43.5" x14ac:dyDescent="0.35">
      <c r="G66" s="8" t="s">
        <v>18</v>
      </c>
      <c r="H66" s="7" t="s">
        <v>19</v>
      </c>
      <c r="I66" s="7" t="s">
        <v>46</v>
      </c>
      <c r="J66" s="27" t="s">
        <v>47</v>
      </c>
      <c r="K66" s="28" t="s">
        <v>45</v>
      </c>
      <c r="L66" s="29" t="s">
        <v>44</v>
      </c>
      <c r="M66" s="29" t="s">
        <v>43</v>
      </c>
      <c r="N66" s="29" t="s">
        <v>42</v>
      </c>
      <c r="O66" s="29" t="s">
        <v>41</v>
      </c>
      <c r="P66" s="29" t="s">
        <v>40</v>
      </c>
      <c r="Q66" s="29" t="s">
        <v>39</v>
      </c>
      <c r="R66" s="29" t="s">
        <v>38</v>
      </c>
      <c r="S66" s="29" t="s">
        <v>37</v>
      </c>
      <c r="T66" s="29" t="s">
        <v>36</v>
      </c>
      <c r="U66" s="29" t="s">
        <v>35</v>
      </c>
      <c r="V66" s="29" t="s">
        <v>34</v>
      </c>
      <c r="W66" s="29" t="s">
        <v>33</v>
      </c>
      <c r="X66" s="29" t="s">
        <v>32</v>
      </c>
      <c r="Y66" s="29" t="s">
        <v>31</v>
      </c>
      <c r="Z66" s="29" t="s">
        <v>30</v>
      </c>
      <c r="AA66" s="29" t="s">
        <v>29</v>
      </c>
      <c r="AB66" s="29" t="s">
        <v>28</v>
      </c>
      <c r="AC66" s="29" t="s">
        <v>27</v>
      </c>
      <c r="AD66" s="29" t="s">
        <v>26</v>
      </c>
      <c r="AE66" s="29" t="s">
        <v>25</v>
      </c>
      <c r="AF66" s="29" t="s">
        <v>24</v>
      </c>
      <c r="AG66" s="29" t="s">
        <v>23</v>
      </c>
      <c r="AH66" s="30" t="s">
        <v>22</v>
      </c>
    </row>
    <row r="67" spans="7:34" x14ac:dyDescent="0.35">
      <c r="G67" s="31">
        <v>52963</v>
      </c>
      <c r="H67" s="6">
        <v>31</v>
      </c>
      <c r="I67" s="26">
        <v>180</v>
      </c>
      <c r="J67" s="34">
        <f t="shared" ref="J67:J78" si="12">I67*24*H67</f>
        <v>133920</v>
      </c>
      <c r="K67" s="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10"/>
    </row>
    <row r="68" spans="7:34" x14ac:dyDescent="0.35">
      <c r="G68" s="31">
        <v>52994</v>
      </c>
      <c r="H68" s="6">
        <v>28</v>
      </c>
      <c r="I68" s="26">
        <f t="shared" ref="I68:I78" si="13">I67</f>
        <v>180</v>
      </c>
      <c r="J68" s="34">
        <f t="shared" si="12"/>
        <v>120960</v>
      </c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10"/>
    </row>
    <row r="69" spans="7:34" x14ac:dyDescent="0.35">
      <c r="G69" s="31">
        <v>53022</v>
      </c>
      <c r="H69" s="6">
        <v>31</v>
      </c>
      <c r="I69" s="26">
        <f t="shared" si="13"/>
        <v>180</v>
      </c>
      <c r="J69" s="34">
        <f t="shared" si="12"/>
        <v>133920</v>
      </c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10"/>
    </row>
    <row r="70" spans="7:34" x14ac:dyDescent="0.35">
      <c r="G70" s="31">
        <v>53053</v>
      </c>
      <c r="H70" s="6">
        <v>30</v>
      </c>
      <c r="I70" s="26">
        <f t="shared" si="13"/>
        <v>180</v>
      </c>
      <c r="J70" s="34">
        <f t="shared" si="12"/>
        <v>129600</v>
      </c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10"/>
    </row>
    <row r="71" spans="7:34" x14ac:dyDescent="0.35">
      <c r="G71" s="31">
        <v>53083</v>
      </c>
      <c r="H71" s="6">
        <v>31</v>
      </c>
      <c r="I71" s="26">
        <f t="shared" si="13"/>
        <v>180</v>
      </c>
      <c r="J71" s="34">
        <f t="shared" si="12"/>
        <v>133920</v>
      </c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10"/>
    </row>
    <row r="72" spans="7:34" x14ac:dyDescent="0.35">
      <c r="G72" s="31">
        <v>53114</v>
      </c>
      <c r="H72" s="6">
        <v>30</v>
      </c>
      <c r="I72" s="26">
        <f t="shared" si="13"/>
        <v>180</v>
      </c>
      <c r="J72" s="34">
        <f t="shared" si="12"/>
        <v>129600</v>
      </c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10"/>
    </row>
    <row r="73" spans="7:34" x14ac:dyDescent="0.35">
      <c r="G73" s="31">
        <v>53144</v>
      </c>
      <c r="H73" s="6">
        <v>31</v>
      </c>
      <c r="I73" s="26">
        <f t="shared" si="13"/>
        <v>180</v>
      </c>
      <c r="J73" s="34">
        <f t="shared" si="12"/>
        <v>133920</v>
      </c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10"/>
    </row>
    <row r="74" spans="7:34" x14ac:dyDescent="0.35">
      <c r="G74" s="31">
        <v>53175</v>
      </c>
      <c r="H74" s="6">
        <v>31</v>
      </c>
      <c r="I74" s="26">
        <f t="shared" si="13"/>
        <v>180</v>
      </c>
      <c r="J74" s="34">
        <f t="shared" si="12"/>
        <v>133920</v>
      </c>
      <c r="K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0"/>
    </row>
    <row r="75" spans="7:34" x14ac:dyDescent="0.35">
      <c r="G75" s="31">
        <v>53206</v>
      </c>
      <c r="H75" s="6">
        <v>30</v>
      </c>
      <c r="I75" s="26">
        <f t="shared" si="13"/>
        <v>180</v>
      </c>
      <c r="J75" s="34">
        <f t="shared" si="12"/>
        <v>129600</v>
      </c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10"/>
    </row>
    <row r="76" spans="7:34" x14ac:dyDescent="0.35">
      <c r="G76" s="31">
        <v>53236</v>
      </c>
      <c r="H76" s="6">
        <v>31</v>
      </c>
      <c r="I76" s="26">
        <f t="shared" si="13"/>
        <v>180</v>
      </c>
      <c r="J76" s="34">
        <f t="shared" si="12"/>
        <v>133920</v>
      </c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10"/>
    </row>
    <row r="77" spans="7:34" x14ac:dyDescent="0.35">
      <c r="G77" s="31">
        <v>53267</v>
      </c>
      <c r="H77" s="32">
        <v>30</v>
      </c>
      <c r="I77" s="26">
        <f t="shared" si="13"/>
        <v>180</v>
      </c>
      <c r="J77" s="34">
        <f t="shared" si="12"/>
        <v>129600</v>
      </c>
      <c r="K77" s="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10"/>
    </row>
    <row r="78" spans="7:34" x14ac:dyDescent="0.35">
      <c r="G78" s="31">
        <v>53297</v>
      </c>
      <c r="H78" s="6">
        <v>31</v>
      </c>
      <c r="I78" s="26">
        <f t="shared" si="13"/>
        <v>180</v>
      </c>
      <c r="J78" s="34">
        <f t="shared" si="12"/>
        <v>133920</v>
      </c>
      <c r="K78" s="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10"/>
    </row>
    <row r="79" spans="7:34" ht="15" thickBot="1" x14ac:dyDescent="0.4">
      <c r="G79" s="11" t="s">
        <v>20</v>
      </c>
      <c r="H79" s="12"/>
      <c r="I79" s="12"/>
      <c r="J79" s="35">
        <f>SUM(J67:J78)</f>
        <v>1576800</v>
      </c>
      <c r="K79" s="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10"/>
    </row>
  </sheetData>
  <mergeCells count="5">
    <mergeCell ref="G17:J17"/>
    <mergeCell ref="G33:J33"/>
    <mergeCell ref="G49:J49"/>
    <mergeCell ref="G65:J65"/>
    <mergeCell ref="G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0D44-1AB0-4623-941A-3B86EBD84147}">
  <dimension ref="A1:AH79"/>
  <sheetViews>
    <sheetView tabSelected="1" topLeftCell="A27" zoomScale="85" zoomScaleNormal="85" workbookViewId="0">
      <selection activeCell="L50" sqref="L50"/>
    </sheetView>
  </sheetViews>
  <sheetFormatPr baseColWidth="10" defaultRowHeight="14.5" x14ac:dyDescent="0.35"/>
  <cols>
    <col min="1" max="1" width="16.26953125" style="3" customWidth="1"/>
    <col min="2" max="5" width="16.26953125" customWidth="1"/>
    <col min="7" max="7" width="18.08984375" bestFit="1" customWidth="1"/>
    <col min="8" max="8" width="10.90625" style="5"/>
    <col min="9" max="9" width="11.1796875" bestFit="1" customWidth="1"/>
    <col min="10" max="13" width="13.7265625" bestFit="1" customWidth="1"/>
    <col min="14" max="14" width="13.90625" customWidth="1"/>
    <col min="25" max="25" width="11.1796875" bestFit="1" customWidth="1"/>
  </cols>
  <sheetData>
    <row r="1" spans="1:14" ht="15" thickBot="1" x14ac:dyDescent="0.4">
      <c r="A1" s="24"/>
      <c r="B1" s="13"/>
      <c r="C1" s="25" t="s">
        <v>48</v>
      </c>
      <c r="D1" s="13"/>
      <c r="E1" s="14"/>
      <c r="G1" s="54" t="s">
        <v>21</v>
      </c>
      <c r="H1" s="55"/>
      <c r="I1" s="55"/>
      <c r="J1" s="55"/>
      <c r="K1" s="55"/>
      <c r="L1" s="56"/>
    </row>
    <row r="2" spans="1:14" s="15" customFormat="1" ht="43.5" x14ac:dyDescent="0.35">
      <c r="A2" s="8" t="s">
        <v>4</v>
      </c>
      <c r="B2" s="7" t="s">
        <v>0</v>
      </c>
      <c r="C2" s="7" t="s">
        <v>1</v>
      </c>
      <c r="D2" s="7" t="s">
        <v>2</v>
      </c>
      <c r="E2" s="23" t="s">
        <v>3</v>
      </c>
      <c r="G2" s="8" t="s">
        <v>18</v>
      </c>
      <c r="H2" s="7" t="s">
        <v>46</v>
      </c>
      <c r="I2" s="16" t="s">
        <v>50</v>
      </c>
      <c r="J2" s="16" t="s">
        <v>51</v>
      </c>
      <c r="K2" s="16" t="s">
        <v>52</v>
      </c>
      <c r="L2" s="27" t="s">
        <v>53</v>
      </c>
    </row>
    <row r="3" spans="1:14" x14ac:dyDescent="0.35">
      <c r="A3" s="18">
        <v>1</v>
      </c>
      <c r="B3" s="17">
        <v>180</v>
      </c>
      <c r="C3" s="17">
        <f t="shared" ref="C3:E4" si="0">$B$3</f>
        <v>180</v>
      </c>
      <c r="D3" s="17">
        <f t="shared" si="0"/>
        <v>180</v>
      </c>
      <c r="E3" s="19">
        <f t="shared" si="0"/>
        <v>180</v>
      </c>
      <c r="F3" s="2"/>
      <c r="G3" s="9" t="s">
        <v>6</v>
      </c>
      <c r="H3" s="17">
        <v>180</v>
      </c>
      <c r="I3" s="47">
        <f>(180000*24*31)*0.001</f>
        <v>133920</v>
      </c>
      <c r="J3" s="48">
        <f>(180000*24*31)*0.001</f>
        <v>133920</v>
      </c>
      <c r="K3" s="48">
        <f>(180000*24*31)*0.001</f>
        <v>133920</v>
      </c>
      <c r="L3" s="50">
        <f>(180000*24*31)*0.001</f>
        <v>133920</v>
      </c>
    </row>
    <row r="4" spans="1:14" x14ac:dyDescent="0.35">
      <c r="A4" s="18">
        <v>2</v>
      </c>
      <c r="B4" s="17">
        <f>$B$3</f>
        <v>180</v>
      </c>
      <c r="C4" s="17">
        <f t="shared" si="0"/>
        <v>180</v>
      </c>
      <c r="D4" s="17">
        <f t="shared" si="0"/>
        <v>180</v>
      </c>
      <c r="E4" s="19">
        <f t="shared" si="0"/>
        <v>180</v>
      </c>
      <c r="F4" s="2"/>
      <c r="G4" s="9" t="s">
        <v>7</v>
      </c>
      <c r="H4" s="26">
        <f>H3</f>
        <v>180</v>
      </c>
      <c r="I4" s="47">
        <f>(180000*24*28)*0.001</f>
        <v>120960</v>
      </c>
      <c r="J4" s="48">
        <f>(180000*24*28)*0.001</f>
        <v>120960</v>
      </c>
      <c r="K4" s="48">
        <f>(180000*24*29)*0.001</f>
        <v>125280</v>
      </c>
      <c r="L4" s="50">
        <f>(180000*24*28)*0.001</f>
        <v>120960</v>
      </c>
    </row>
    <row r="5" spans="1:14" x14ac:dyDescent="0.35">
      <c r="A5" s="18">
        <v>3</v>
      </c>
      <c r="B5" s="17">
        <f t="shared" ref="B5:E26" si="1">$B$3</f>
        <v>180</v>
      </c>
      <c r="C5" s="17">
        <f t="shared" si="1"/>
        <v>180</v>
      </c>
      <c r="D5" s="17">
        <f t="shared" si="1"/>
        <v>180</v>
      </c>
      <c r="E5" s="19">
        <f t="shared" si="1"/>
        <v>180</v>
      </c>
      <c r="F5" s="2"/>
      <c r="G5" s="9" t="s">
        <v>8</v>
      </c>
      <c r="H5" s="26">
        <f t="shared" ref="H5:H14" si="2">H4</f>
        <v>180</v>
      </c>
      <c r="I5" s="47">
        <f>(180000*24*31)*0.001</f>
        <v>133920</v>
      </c>
      <c r="J5" s="48">
        <f>(180000*24*31)*0.001</f>
        <v>133920</v>
      </c>
      <c r="K5" s="48">
        <f>(180000*24*31)*0.001</f>
        <v>133920</v>
      </c>
      <c r="L5" s="50">
        <f>(180000*24*31)*0.001</f>
        <v>133920</v>
      </c>
    </row>
    <row r="6" spans="1:14" x14ac:dyDescent="0.35">
      <c r="A6" s="18">
        <v>4</v>
      </c>
      <c r="B6" s="17">
        <f t="shared" si="1"/>
        <v>180</v>
      </c>
      <c r="C6" s="17">
        <f t="shared" si="1"/>
        <v>180</v>
      </c>
      <c r="D6" s="17">
        <f t="shared" si="1"/>
        <v>180</v>
      </c>
      <c r="E6" s="19">
        <f t="shared" si="1"/>
        <v>180</v>
      </c>
      <c r="F6" s="2"/>
      <c r="G6" s="9" t="s">
        <v>9</v>
      </c>
      <c r="H6" s="26">
        <f t="shared" si="2"/>
        <v>180</v>
      </c>
      <c r="I6" s="47">
        <f>(180000*24*30)*0.001</f>
        <v>129600</v>
      </c>
      <c r="J6" s="48">
        <f>(180000*24*30)*0.001</f>
        <v>129600</v>
      </c>
      <c r="K6" s="48">
        <f>(180000*24*30)*0.001</f>
        <v>129600</v>
      </c>
      <c r="L6" s="50">
        <f>(180000*24*30)*0.001</f>
        <v>129600</v>
      </c>
    </row>
    <row r="7" spans="1:14" x14ac:dyDescent="0.35">
      <c r="A7" s="18">
        <v>5</v>
      </c>
      <c r="B7" s="17">
        <f t="shared" si="1"/>
        <v>180</v>
      </c>
      <c r="C7" s="17">
        <f t="shared" si="1"/>
        <v>180</v>
      </c>
      <c r="D7" s="17">
        <f t="shared" si="1"/>
        <v>180</v>
      </c>
      <c r="E7" s="19">
        <f t="shared" si="1"/>
        <v>180</v>
      </c>
      <c r="F7" s="2"/>
      <c r="G7" s="9" t="s">
        <v>10</v>
      </c>
      <c r="H7" s="26">
        <f t="shared" si="2"/>
        <v>180</v>
      </c>
      <c r="I7" s="47">
        <f>(180000*24*31)*0.001</f>
        <v>133920</v>
      </c>
      <c r="J7" s="48">
        <f>(180000*24*31)*0.001</f>
        <v>133920</v>
      </c>
      <c r="K7" s="48">
        <f>(180000*24*31)*0.001</f>
        <v>133920</v>
      </c>
      <c r="L7" s="50">
        <f>(180000*24*31)*0.001</f>
        <v>133920</v>
      </c>
    </row>
    <row r="8" spans="1:14" x14ac:dyDescent="0.35">
      <c r="A8" s="18">
        <v>6</v>
      </c>
      <c r="B8" s="17">
        <f t="shared" si="1"/>
        <v>180</v>
      </c>
      <c r="C8" s="17">
        <f t="shared" si="1"/>
        <v>180</v>
      </c>
      <c r="D8" s="17">
        <f t="shared" si="1"/>
        <v>180</v>
      </c>
      <c r="E8" s="19">
        <f t="shared" si="1"/>
        <v>180</v>
      </c>
      <c r="F8" s="2"/>
      <c r="G8" s="9" t="s">
        <v>11</v>
      </c>
      <c r="H8" s="26">
        <f t="shared" si="2"/>
        <v>180</v>
      </c>
      <c r="I8" s="47">
        <f>(180000*24*30)*0.001</f>
        <v>129600</v>
      </c>
      <c r="J8" s="48">
        <f>(180000*24*30)*0.001</f>
        <v>129600</v>
      </c>
      <c r="K8" s="48">
        <f>(180000*24*30)*0.001</f>
        <v>129600</v>
      </c>
      <c r="L8" s="50">
        <f>(180000*24*30)*0.001</f>
        <v>129600</v>
      </c>
    </row>
    <row r="9" spans="1:14" x14ac:dyDescent="0.35">
      <c r="A9" s="18">
        <v>7</v>
      </c>
      <c r="B9" s="17">
        <f t="shared" si="1"/>
        <v>180</v>
      </c>
      <c r="C9" s="17">
        <f t="shared" si="1"/>
        <v>180</v>
      </c>
      <c r="D9" s="17">
        <f t="shared" si="1"/>
        <v>180</v>
      </c>
      <c r="E9" s="19">
        <f t="shared" si="1"/>
        <v>180</v>
      </c>
      <c r="F9" s="2"/>
      <c r="G9" s="9" t="s">
        <v>12</v>
      </c>
      <c r="H9" s="26">
        <f t="shared" si="2"/>
        <v>180</v>
      </c>
      <c r="I9" s="47">
        <f t="shared" ref="I9:L10" si="3">(180000*24*31)*0.001</f>
        <v>133920</v>
      </c>
      <c r="J9" s="48">
        <f t="shared" si="3"/>
        <v>133920</v>
      </c>
      <c r="K9" s="48">
        <f t="shared" si="3"/>
        <v>133920</v>
      </c>
      <c r="L9" s="50">
        <f t="shared" si="3"/>
        <v>133920</v>
      </c>
    </row>
    <row r="10" spans="1:14" x14ac:dyDescent="0.35">
      <c r="A10" s="18">
        <v>8</v>
      </c>
      <c r="B10" s="17">
        <f t="shared" si="1"/>
        <v>180</v>
      </c>
      <c r="C10" s="17">
        <f t="shared" si="1"/>
        <v>180</v>
      </c>
      <c r="D10" s="17">
        <f t="shared" si="1"/>
        <v>180</v>
      </c>
      <c r="E10" s="19">
        <f t="shared" si="1"/>
        <v>180</v>
      </c>
      <c r="F10" s="2"/>
      <c r="G10" s="9" t="s">
        <v>13</v>
      </c>
      <c r="H10" s="26">
        <f t="shared" si="2"/>
        <v>180</v>
      </c>
      <c r="I10" s="47">
        <f t="shared" si="3"/>
        <v>133920</v>
      </c>
      <c r="J10" s="48">
        <f t="shared" si="3"/>
        <v>133920</v>
      </c>
      <c r="K10" s="48">
        <f t="shared" si="3"/>
        <v>133920</v>
      </c>
      <c r="L10" s="50">
        <f t="shared" si="3"/>
        <v>133920</v>
      </c>
    </row>
    <row r="11" spans="1:14" x14ac:dyDescent="0.35">
      <c r="A11" s="18">
        <v>9</v>
      </c>
      <c r="B11" s="17">
        <f t="shared" si="1"/>
        <v>180</v>
      </c>
      <c r="C11" s="17">
        <f t="shared" si="1"/>
        <v>180</v>
      </c>
      <c r="D11" s="17">
        <f t="shared" si="1"/>
        <v>180</v>
      </c>
      <c r="E11" s="19">
        <f t="shared" si="1"/>
        <v>180</v>
      </c>
      <c r="F11" s="2"/>
      <c r="G11" s="9" t="s">
        <v>14</v>
      </c>
      <c r="H11" s="26">
        <f t="shared" si="2"/>
        <v>180</v>
      </c>
      <c r="I11" s="47">
        <f>(180000*24*30)*0.001</f>
        <v>129600</v>
      </c>
      <c r="J11" s="48">
        <f>(180000*24*30)*0.001</f>
        <v>129600</v>
      </c>
      <c r="K11" s="48">
        <f>(180000*24*30)*0.001</f>
        <v>129600</v>
      </c>
      <c r="L11" s="50">
        <f>(180000*24*30)*0.001</f>
        <v>129600</v>
      </c>
    </row>
    <row r="12" spans="1:14" x14ac:dyDescent="0.35">
      <c r="A12" s="18">
        <v>10</v>
      </c>
      <c r="B12" s="17">
        <f t="shared" si="1"/>
        <v>180</v>
      </c>
      <c r="C12" s="17">
        <f t="shared" si="1"/>
        <v>180</v>
      </c>
      <c r="D12" s="17">
        <f t="shared" si="1"/>
        <v>180</v>
      </c>
      <c r="E12" s="19">
        <f t="shared" si="1"/>
        <v>180</v>
      </c>
      <c r="F12" s="2"/>
      <c r="G12" s="9" t="s">
        <v>15</v>
      </c>
      <c r="H12" s="26">
        <f t="shared" si="2"/>
        <v>180</v>
      </c>
      <c r="I12" s="47">
        <f>(180000*24*31)*0.001</f>
        <v>133920</v>
      </c>
      <c r="J12" s="48">
        <f>(180000*24*31)*0.001</f>
        <v>133920</v>
      </c>
      <c r="K12" s="48">
        <f>(180000*24*31)*0.001</f>
        <v>133920</v>
      </c>
      <c r="L12" s="50">
        <f>(180000*24*31)*0.001</f>
        <v>133920</v>
      </c>
    </row>
    <row r="13" spans="1:14" x14ac:dyDescent="0.35">
      <c r="A13" s="18">
        <v>11</v>
      </c>
      <c r="B13" s="17">
        <f t="shared" si="1"/>
        <v>180</v>
      </c>
      <c r="C13" s="17">
        <f t="shared" si="1"/>
        <v>180</v>
      </c>
      <c r="D13" s="17">
        <f t="shared" si="1"/>
        <v>180</v>
      </c>
      <c r="E13" s="19">
        <f t="shared" si="1"/>
        <v>180</v>
      </c>
      <c r="F13" s="2"/>
      <c r="G13" s="9" t="s">
        <v>16</v>
      </c>
      <c r="H13" s="26">
        <f t="shared" si="2"/>
        <v>180</v>
      </c>
      <c r="I13" s="47">
        <f>(180000*24*30)*0.001</f>
        <v>129600</v>
      </c>
      <c r="J13" s="48">
        <f>(180000*24*30)*0.001</f>
        <v>129600</v>
      </c>
      <c r="K13" s="48">
        <f>(180000*24*30)*0.001</f>
        <v>129600</v>
      </c>
      <c r="L13" s="50">
        <f>(180000*24*30)*0.001</f>
        <v>129600</v>
      </c>
    </row>
    <row r="14" spans="1:14" ht="15" thickBot="1" x14ac:dyDescent="0.4">
      <c r="A14" s="18">
        <v>12</v>
      </c>
      <c r="B14" s="17">
        <f t="shared" si="1"/>
        <v>180</v>
      </c>
      <c r="C14" s="17">
        <f t="shared" si="1"/>
        <v>180</v>
      </c>
      <c r="D14" s="17">
        <f t="shared" si="1"/>
        <v>180</v>
      </c>
      <c r="E14" s="19">
        <f t="shared" si="1"/>
        <v>180</v>
      </c>
      <c r="F14" s="2"/>
      <c r="G14" s="9" t="s">
        <v>17</v>
      </c>
      <c r="H14" s="26">
        <f t="shared" si="2"/>
        <v>180</v>
      </c>
      <c r="I14" s="47">
        <f>(180000*24*31)*0.001</f>
        <v>133920</v>
      </c>
      <c r="J14" s="48">
        <f>(180000*24*31)*0.001</f>
        <v>133920</v>
      </c>
      <c r="K14" s="48">
        <f>(180000*24*31)*0.001</f>
        <v>133920</v>
      </c>
      <c r="L14" s="50">
        <f>(180000*24*31)*0.001</f>
        <v>133920</v>
      </c>
    </row>
    <row r="15" spans="1:14" ht="15.5" thickTop="1" thickBot="1" x14ac:dyDescent="0.4">
      <c r="A15" s="18">
        <v>13</v>
      </c>
      <c r="B15" s="17">
        <f t="shared" si="1"/>
        <v>180</v>
      </c>
      <c r="C15" s="17">
        <f t="shared" si="1"/>
        <v>180</v>
      </c>
      <c r="D15" s="17">
        <f t="shared" si="1"/>
        <v>180</v>
      </c>
      <c r="E15" s="19">
        <f t="shared" si="1"/>
        <v>180</v>
      </c>
      <c r="F15" s="2"/>
      <c r="G15" s="11" t="s">
        <v>20</v>
      </c>
      <c r="H15" s="12"/>
      <c r="I15" s="51">
        <f>SUM(I3:I14)</f>
        <v>1576800</v>
      </c>
      <c r="J15" s="52">
        <f t="shared" ref="J15:L15" si="4">SUM(J3:J14)</f>
        <v>1576800</v>
      </c>
      <c r="K15" s="52">
        <f t="shared" si="4"/>
        <v>1581120</v>
      </c>
      <c r="L15" s="53">
        <f t="shared" si="4"/>
        <v>1576800</v>
      </c>
      <c r="M15" s="49">
        <f>SUM(I15:L15)</f>
        <v>6311520</v>
      </c>
      <c r="N15" s="39"/>
    </row>
    <row r="16" spans="1:14" ht="15" customHeight="1" thickBot="1" x14ac:dyDescent="0.4">
      <c r="A16" s="18">
        <v>14</v>
      </c>
      <c r="B16" s="17">
        <f t="shared" si="1"/>
        <v>180</v>
      </c>
      <c r="C16" s="17">
        <f t="shared" si="1"/>
        <v>180</v>
      </c>
      <c r="D16" s="17">
        <f t="shared" si="1"/>
        <v>180</v>
      </c>
      <c r="E16" s="19">
        <f t="shared" si="1"/>
        <v>180</v>
      </c>
      <c r="F16" s="2"/>
    </row>
    <row r="17" spans="1:34" ht="15" thickBot="1" x14ac:dyDescent="0.4">
      <c r="A17" s="18">
        <v>15</v>
      </c>
      <c r="B17" s="17">
        <f t="shared" si="1"/>
        <v>180</v>
      </c>
      <c r="C17" s="17">
        <f t="shared" si="1"/>
        <v>180</v>
      </c>
      <c r="D17" s="17">
        <f t="shared" si="1"/>
        <v>180</v>
      </c>
      <c r="E17" s="19">
        <f t="shared" si="1"/>
        <v>180</v>
      </c>
      <c r="F17" s="2"/>
      <c r="G17" s="54" t="s">
        <v>54</v>
      </c>
      <c r="H17" s="55"/>
      <c r="I17" s="55"/>
      <c r="J17" s="56"/>
    </row>
    <row r="18" spans="1:34" ht="24.5" customHeight="1" x14ac:dyDescent="0.35">
      <c r="A18" s="18">
        <v>16</v>
      </c>
      <c r="B18" s="17">
        <f t="shared" si="1"/>
        <v>180</v>
      </c>
      <c r="C18" s="17">
        <f t="shared" si="1"/>
        <v>180</v>
      </c>
      <c r="D18" s="17">
        <f t="shared" si="1"/>
        <v>180</v>
      </c>
      <c r="E18" s="19">
        <f t="shared" si="1"/>
        <v>180</v>
      </c>
      <c r="F18" s="2"/>
      <c r="G18" s="8" t="s">
        <v>18</v>
      </c>
      <c r="H18" s="7" t="s">
        <v>19</v>
      </c>
      <c r="I18" s="7" t="s">
        <v>46</v>
      </c>
      <c r="J18" s="27" t="s">
        <v>47</v>
      </c>
      <c r="K18" s="28" t="s">
        <v>58</v>
      </c>
      <c r="L18" s="29" t="s">
        <v>59</v>
      </c>
      <c r="M18" s="29" t="s">
        <v>60</v>
      </c>
      <c r="N18" s="29" t="s">
        <v>61</v>
      </c>
      <c r="O18" s="29" t="s">
        <v>62</v>
      </c>
      <c r="P18" s="29" t="s">
        <v>63</v>
      </c>
      <c r="Q18" s="29" t="s">
        <v>64</v>
      </c>
      <c r="R18" s="29" t="s">
        <v>65</v>
      </c>
      <c r="S18" s="29" t="s">
        <v>66</v>
      </c>
      <c r="T18" s="29" t="s">
        <v>67</v>
      </c>
      <c r="U18" s="29" t="s">
        <v>68</v>
      </c>
      <c r="V18" s="29" t="s">
        <v>69</v>
      </c>
      <c r="W18" s="29" t="s">
        <v>70</v>
      </c>
      <c r="X18" s="29" t="s">
        <v>71</v>
      </c>
      <c r="Y18" s="29" t="s">
        <v>72</v>
      </c>
      <c r="Z18" s="29" t="s">
        <v>73</v>
      </c>
      <c r="AA18" s="29" t="s">
        <v>74</v>
      </c>
      <c r="AB18" s="29" t="s">
        <v>75</v>
      </c>
      <c r="AC18" s="29" t="s">
        <v>76</v>
      </c>
      <c r="AD18" s="29" t="s">
        <v>77</v>
      </c>
      <c r="AE18" s="29" t="s">
        <v>78</v>
      </c>
      <c r="AF18" s="29" t="s">
        <v>79</v>
      </c>
      <c r="AG18" s="29" t="s">
        <v>80</v>
      </c>
      <c r="AH18" s="30" t="s">
        <v>81</v>
      </c>
    </row>
    <row r="19" spans="1:34" x14ac:dyDescent="0.35">
      <c r="A19" s="18">
        <v>17</v>
      </c>
      <c r="B19" s="17">
        <f t="shared" si="1"/>
        <v>180</v>
      </c>
      <c r="C19" s="17">
        <f t="shared" si="1"/>
        <v>180</v>
      </c>
      <c r="D19" s="17">
        <f t="shared" si="1"/>
        <v>180</v>
      </c>
      <c r="E19" s="19">
        <f t="shared" si="1"/>
        <v>180</v>
      </c>
      <c r="F19" s="2"/>
      <c r="G19" s="31">
        <v>51867</v>
      </c>
      <c r="H19" s="6">
        <v>31</v>
      </c>
      <c r="I19" s="26">
        <v>180</v>
      </c>
      <c r="J19" s="34">
        <f t="shared" ref="J19:J30" si="5">I19*24*H19</f>
        <v>133920</v>
      </c>
      <c r="K19" s="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0"/>
    </row>
    <row r="20" spans="1:34" x14ac:dyDescent="0.35">
      <c r="A20" s="18">
        <v>18</v>
      </c>
      <c r="B20" s="17">
        <f t="shared" si="1"/>
        <v>180</v>
      </c>
      <c r="C20" s="17">
        <f t="shared" si="1"/>
        <v>180</v>
      </c>
      <c r="D20" s="17">
        <f t="shared" si="1"/>
        <v>180</v>
      </c>
      <c r="E20" s="19">
        <f t="shared" si="1"/>
        <v>180</v>
      </c>
      <c r="F20" s="2"/>
      <c r="G20" s="31">
        <v>51898</v>
      </c>
      <c r="H20" s="6">
        <v>28</v>
      </c>
      <c r="I20" s="26">
        <f t="shared" ref="I20:I30" si="6">I19</f>
        <v>180</v>
      </c>
      <c r="J20" s="34">
        <f t="shared" si="5"/>
        <v>120960</v>
      </c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0"/>
    </row>
    <row r="21" spans="1:34" x14ac:dyDescent="0.35">
      <c r="A21" s="18">
        <v>19</v>
      </c>
      <c r="B21" s="17">
        <f t="shared" si="1"/>
        <v>180</v>
      </c>
      <c r="C21" s="17">
        <f t="shared" si="1"/>
        <v>180</v>
      </c>
      <c r="D21" s="17">
        <f t="shared" si="1"/>
        <v>180</v>
      </c>
      <c r="E21" s="19">
        <f t="shared" si="1"/>
        <v>180</v>
      </c>
      <c r="F21" s="2"/>
      <c r="G21" s="31">
        <v>51926</v>
      </c>
      <c r="H21" s="6">
        <v>31</v>
      </c>
      <c r="I21" s="26">
        <f t="shared" si="6"/>
        <v>180</v>
      </c>
      <c r="J21" s="34">
        <f t="shared" si="5"/>
        <v>133920</v>
      </c>
      <c r="K21" s="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0"/>
    </row>
    <row r="22" spans="1:34" x14ac:dyDescent="0.35">
      <c r="A22" s="18">
        <v>20</v>
      </c>
      <c r="B22" s="17">
        <f t="shared" si="1"/>
        <v>180</v>
      </c>
      <c r="C22" s="17">
        <f t="shared" si="1"/>
        <v>180</v>
      </c>
      <c r="D22" s="17">
        <f t="shared" si="1"/>
        <v>180</v>
      </c>
      <c r="E22" s="19">
        <f t="shared" si="1"/>
        <v>180</v>
      </c>
      <c r="F22" s="2"/>
      <c r="G22" s="31">
        <v>51957</v>
      </c>
      <c r="H22" s="6">
        <v>30</v>
      </c>
      <c r="I22" s="26">
        <f t="shared" si="6"/>
        <v>180</v>
      </c>
      <c r="J22" s="34">
        <f t="shared" si="5"/>
        <v>129600</v>
      </c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0"/>
    </row>
    <row r="23" spans="1:34" x14ac:dyDescent="0.35">
      <c r="A23" s="18">
        <v>21</v>
      </c>
      <c r="B23" s="17">
        <f t="shared" si="1"/>
        <v>180</v>
      </c>
      <c r="C23" s="17">
        <f t="shared" si="1"/>
        <v>180</v>
      </c>
      <c r="D23" s="17">
        <f t="shared" si="1"/>
        <v>180</v>
      </c>
      <c r="E23" s="19">
        <f t="shared" si="1"/>
        <v>180</v>
      </c>
      <c r="F23" s="2"/>
      <c r="G23" s="31">
        <v>51987</v>
      </c>
      <c r="H23" s="6">
        <v>31</v>
      </c>
      <c r="I23" s="26">
        <f t="shared" si="6"/>
        <v>180</v>
      </c>
      <c r="J23" s="34">
        <f t="shared" si="5"/>
        <v>133920</v>
      </c>
      <c r="K23" s="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10"/>
    </row>
    <row r="24" spans="1:34" x14ac:dyDescent="0.35">
      <c r="A24" s="18">
        <v>22</v>
      </c>
      <c r="B24" s="17">
        <f t="shared" si="1"/>
        <v>180</v>
      </c>
      <c r="C24" s="17">
        <f t="shared" si="1"/>
        <v>180</v>
      </c>
      <c r="D24" s="17">
        <f t="shared" si="1"/>
        <v>180</v>
      </c>
      <c r="E24" s="19">
        <f t="shared" si="1"/>
        <v>180</v>
      </c>
      <c r="F24" s="2"/>
      <c r="G24" s="31">
        <v>52018</v>
      </c>
      <c r="H24" s="6">
        <v>30</v>
      </c>
      <c r="I24" s="26">
        <f t="shared" si="6"/>
        <v>180</v>
      </c>
      <c r="J24" s="34">
        <f t="shared" si="5"/>
        <v>129600</v>
      </c>
      <c r="K24" s="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0"/>
    </row>
    <row r="25" spans="1:34" x14ac:dyDescent="0.35">
      <c r="A25" s="18">
        <v>23</v>
      </c>
      <c r="B25" s="17">
        <f t="shared" si="1"/>
        <v>180</v>
      </c>
      <c r="C25" s="17">
        <f t="shared" si="1"/>
        <v>180</v>
      </c>
      <c r="D25" s="17">
        <f t="shared" si="1"/>
        <v>180</v>
      </c>
      <c r="E25" s="19">
        <f t="shared" si="1"/>
        <v>180</v>
      </c>
      <c r="F25" s="2"/>
      <c r="G25" s="31">
        <v>52048</v>
      </c>
      <c r="H25" s="6">
        <v>31</v>
      </c>
      <c r="I25" s="26">
        <f t="shared" si="6"/>
        <v>180</v>
      </c>
      <c r="J25" s="34">
        <f t="shared" si="5"/>
        <v>133920</v>
      </c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0"/>
    </row>
    <row r="26" spans="1:34" x14ac:dyDescent="0.35">
      <c r="A26" s="18">
        <v>24</v>
      </c>
      <c r="B26" s="17">
        <f t="shared" si="1"/>
        <v>180</v>
      </c>
      <c r="C26" s="17">
        <f t="shared" si="1"/>
        <v>180</v>
      </c>
      <c r="D26" s="17">
        <f t="shared" si="1"/>
        <v>180</v>
      </c>
      <c r="E26" s="19">
        <f t="shared" si="1"/>
        <v>180</v>
      </c>
      <c r="F26" s="2"/>
      <c r="G26" s="31">
        <v>52079</v>
      </c>
      <c r="H26" s="6">
        <v>31</v>
      </c>
      <c r="I26" s="26">
        <f t="shared" si="6"/>
        <v>180</v>
      </c>
      <c r="J26" s="34">
        <f t="shared" si="5"/>
        <v>133920</v>
      </c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10"/>
    </row>
    <row r="27" spans="1:34" ht="15" thickBot="1" x14ac:dyDescent="0.4">
      <c r="A27" s="20" t="s">
        <v>5</v>
      </c>
      <c r="B27" s="21">
        <f>SUM(B3:B26)</f>
        <v>4320</v>
      </c>
      <c r="C27" s="21">
        <f t="shared" ref="C27:E27" si="7">SUM(C3:C26)</f>
        <v>4320</v>
      </c>
      <c r="D27" s="21">
        <f t="shared" si="7"/>
        <v>4320</v>
      </c>
      <c r="E27" s="22">
        <f t="shared" si="7"/>
        <v>4320</v>
      </c>
      <c r="G27" s="31">
        <v>52110</v>
      </c>
      <c r="H27" s="6">
        <v>30</v>
      </c>
      <c r="I27" s="26">
        <f t="shared" si="6"/>
        <v>180</v>
      </c>
      <c r="J27" s="34">
        <f t="shared" si="5"/>
        <v>129600</v>
      </c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10"/>
    </row>
    <row r="28" spans="1:34" x14ac:dyDescent="0.35">
      <c r="B28" s="1"/>
      <c r="C28" s="1"/>
      <c r="D28" s="1"/>
      <c r="E28" s="1"/>
      <c r="G28" s="31">
        <v>52140</v>
      </c>
      <c r="H28" s="6">
        <v>31</v>
      </c>
      <c r="I28" s="26">
        <f t="shared" si="6"/>
        <v>180</v>
      </c>
      <c r="J28" s="34">
        <f t="shared" si="5"/>
        <v>133920</v>
      </c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0"/>
    </row>
    <row r="29" spans="1:34" x14ac:dyDescent="0.35">
      <c r="A29" s="42"/>
      <c r="B29" s="36"/>
      <c r="C29" s="43"/>
      <c r="D29" s="36"/>
      <c r="E29" s="36"/>
      <c r="G29" s="31">
        <v>52171</v>
      </c>
      <c r="H29" s="32">
        <v>30</v>
      </c>
      <c r="I29" s="33">
        <f t="shared" si="6"/>
        <v>180</v>
      </c>
      <c r="J29" s="34">
        <f t="shared" si="5"/>
        <v>129600</v>
      </c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10"/>
    </row>
    <row r="30" spans="1:34" x14ac:dyDescent="0.35">
      <c r="A30" s="37"/>
      <c r="B30" s="37"/>
      <c r="C30" s="37"/>
      <c r="D30" s="37"/>
      <c r="E30" s="37"/>
      <c r="G30" s="31">
        <v>52201</v>
      </c>
      <c r="H30" s="32">
        <v>31</v>
      </c>
      <c r="I30" s="33">
        <f t="shared" si="6"/>
        <v>180</v>
      </c>
      <c r="J30" s="34">
        <f t="shared" si="5"/>
        <v>133920</v>
      </c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10"/>
    </row>
    <row r="31" spans="1:34" ht="15" thickBot="1" x14ac:dyDescent="0.4">
      <c r="B31" s="44"/>
      <c r="C31" s="44"/>
      <c r="D31" s="44"/>
      <c r="E31" s="44"/>
      <c r="G31" s="11" t="s">
        <v>20</v>
      </c>
      <c r="H31" s="12"/>
      <c r="I31" s="12"/>
      <c r="J31" s="35">
        <f>SUM(J19:J30)</f>
        <v>1576800</v>
      </c>
      <c r="K31" s="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10"/>
    </row>
    <row r="32" spans="1:34" ht="15" thickBot="1" x14ac:dyDescent="0.4">
      <c r="B32" s="44"/>
      <c r="C32" s="44"/>
      <c r="D32" s="44"/>
      <c r="E32" s="44"/>
      <c r="G32" s="36"/>
      <c r="H32" s="37"/>
      <c r="I32" s="37"/>
      <c r="J32" s="38"/>
    </row>
    <row r="33" spans="2:34" ht="15" thickBot="1" x14ac:dyDescent="0.4">
      <c r="B33" s="44"/>
      <c r="C33" s="44"/>
      <c r="D33" s="44"/>
      <c r="E33" s="44"/>
      <c r="G33" s="54" t="s">
        <v>55</v>
      </c>
      <c r="H33" s="55"/>
      <c r="I33" s="55"/>
      <c r="J33" s="56"/>
    </row>
    <row r="34" spans="2:34" ht="43.5" x14ac:dyDescent="0.35">
      <c r="B34" s="44"/>
      <c r="C34" s="44"/>
      <c r="D34" s="44"/>
      <c r="E34" s="44"/>
      <c r="G34" s="8" t="s">
        <v>18</v>
      </c>
      <c r="H34" s="7" t="s">
        <v>19</v>
      </c>
      <c r="I34" s="7" t="s">
        <v>46</v>
      </c>
      <c r="J34" s="27" t="s">
        <v>47</v>
      </c>
      <c r="K34" s="28" t="s">
        <v>58</v>
      </c>
      <c r="L34" s="29" t="s">
        <v>59</v>
      </c>
      <c r="M34" s="29" t="s">
        <v>60</v>
      </c>
      <c r="N34" s="29" t="s">
        <v>61</v>
      </c>
      <c r="O34" s="29" t="s">
        <v>62</v>
      </c>
      <c r="P34" s="29" t="s">
        <v>63</v>
      </c>
      <c r="Q34" s="29" t="s">
        <v>64</v>
      </c>
      <c r="R34" s="29" t="s">
        <v>65</v>
      </c>
      <c r="S34" s="29" t="s">
        <v>66</v>
      </c>
      <c r="T34" s="29" t="s">
        <v>67</v>
      </c>
      <c r="U34" s="29" t="s">
        <v>68</v>
      </c>
      <c r="V34" s="29" t="s">
        <v>69</v>
      </c>
      <c r="W34" s="29" t="s">
        <v>70</v>
      </c>
      <c r="X34" s="29" t="s">
        <v>71</v>
      </c>
      <c r="Y34" s="29" t="s">
        <v>72</v>
      </c>
      <c r="Z34" s="29" t="s">
        <v>73</v>
      </c>
      <c r="AA34" s="29" t="s">
        <v>74</v>
      </c>
      <c r="AB34" s="29" t="s">
        <v>75</v>
      </c>
      <c r="AC34" s="29" t="s">
        <v>76</v>
      </c>
      <c r="AD34" s="29" t="s">
        <v>77</v>
      </c>
      <c r="AE34" s="29" t="s">
        <v>78</v>
      </c>
      <c r="AF34" s="29" t="s">
        <v>79</v>
      </c>
      <c r="AG34" s="29" t="s">
        <v>80</v>
      </c>
      <c r="AH34" s="30" t="s">
        <v>81</v>
      </c>
    </row>
    <row r="35" spans="2:34" x14ac:dyDescent="0.35">
      <c r="B35" s="44"/>
      <c r="C35" s="44"/>
      <c r="D35" s="44"/>
      <c r="E35" s="44"/>
      <c r="G35" s="31">
        <v>52232</v>
      </c>
      <c r="H35" s="6">
        <v>31</v>
      </c>
      <c r="I35" s="17">
        <v>180</v>
      </c>
      <c r="J35" s="34">
        <f t="shared" ref="J35:J46" si="8">I35*24*H35</f>
        <v>133920</v>
      </c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10"/>
    </row>
    <row r="36" spans="2:34" x14ac:dyDescent="0.35">
      <c r="B36" s="44"/>
      <c r="C36" s="44"/>
      <c r="D36" s="44"/>
      <c r="E36" s="44"/>
      <c r="G36" s="31">
        <v>52263</v>
      </c>
      <c r="H36" s="6">
        <v>28</v>
      </c>
      <c r="I36" s="26">
        <f t="shared" ref="I36:I46" si="9">I35</f>
        <v>180</v>
      </c>
      <c r="J36" s="34">
        <f t="shared" si="8"/>
        <v>120960</v>
      </c>
      <c r="K36" s="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10"/>
    </row>
    <row r="37" spans="2:34" x14ac:dyDescent="0.35">
      <c r="B37" s="44"/>
      <c r="C37" s="44"/>
      <c r="D37" s="44"/>
      <c r="E37" s="44"/>
      <c r="G37" s="31">
        <v>52291</v>
      </c>
      <c r="H37" s="6">
        <v>31</v>
      </c>
      <c r="I37" s="26">
        <f t="shared" si="9"/>
        <v>180</v>
      </c>
      <c r="J37" s="34">
        <f t="shared" si="8"/>
        <v>133920</v>
      </c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0"/>
    </row>
    <row r="38" spans="2:34" x14ac:dyDescent="0.35">
      <c r="B38" s="44"/>
      <c r="C38" s="44"/>
      <c r="D38" s="44"/>
      <c r="E38" s="44"/>
      <c r="G38" s="31">
        <v>52322</v>
      </c>
      <c r="H38" s="6">
        <v>30</v>
      </c>
      <c r="I38" s="26">
        <f t="shared" si="9"/>
        <v>180</v>
      </c>
      <c r="J38" s="34">
        <f t="shared" si="8"/>
        <v>129600</v>
      </c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10"/>
    </row>
    <row r="39" spans="2:34" x14ac:dyDescent="0.35">
      <c r="B39" s="44"/>
      <c r="C39" s="44"/>
      <c r="D39" s="44"/>
      <c r="E39" s="44"/>
      <c r="G39" s="31">
        <v>52352</v>
      </c>
      <c r="H39" s="6">
        <v>31</v>
      </c>
      <c r="I39" s="26">
        <f t="shared" si="9"/>
        <v>180</v>
      </c>
      <c r="J39" s="34">
        <f t="shared" si="8"/>
        <v>133920</v>
      </c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10"/>
    </row>
    <row r="40" spans="2:34" x14ac:dyDescent="0.35">
      <c r="B40" s="44"/>
      <c r="C40" s="44"/>
      <c r="D40" s="44"/>
      <c r="E40" s="44"/>
      <c r="G40" s="31">
        <v>52383</v>
      </c>
      <c r="H40" s="6">
        <v>30</v>
      </c>
      <c r="I40" s="26">
        <f t="shared" si="9"/>
        <v>180</v>
      </c>
      <c r="J40" s="34">
        <f t="shared" si="8"/>
        <v>129600</v>
      </c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10"/>
    </row>
    <row r="41" spans="2:34" x14ac:dyDescent="0.35">
      <c r="B41" s="44"/>
      <c r="C41" s="44"/>
      <c r="D41" s="44"/>
      <c r="E41" s="44"/>
      <c r="G41" s="31">
        <v>52413</v>
      </c>
      <c r="H41" s="6">
        <v>31</v>
      </c>
      <c r="I41" s="26">
        <f t="shared" si="9"/>
        <v>180</v>
      </c>
      <c r="J41" s="34">
        <f t="shared" si="8"/>
        <v>133920</v>
      </c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10"/>
    </row>
    <row r="42" spans="2:34" x14ac:dyDescent="0.35">
      <c r="B42" s="44"/>
      <c r="C42" s="44"/>
      <c r="D42" s="44"/>
      <c r="E42" s="44"/>
      <c r="G42" s="31">
        <v>52444</v>
      </c>
      <c r="H42" s="6">
        <v>31</v>
      </c>
      <c r="I42" s="26">
        <f t="shared" si="9"/>
        <v>180</v>
      </c>
      <c r="J42" s="34">
        <f t="shared" si="8"/>
        <v>133920</v>
      </c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10"/>
    </row>
    <row r="43" spans="2:34" x14ac:dyDescent="0.35">
      <c r="B43" s="44"/>
      <c r="C43" s="44"/>
      <c r="D43" s="44"/>
      <c r="E43" s="44"/>
      <c r="G43" s="31">
        <v>52475</v>
      </c>
      <c r="H43" s="6">
        <v>30</v>
      </c>
      <c r="I43" s="26">
        <f t="shared" si="9"/>
        <v>180</v>
      </c>
      <c r="J43" s="34">
        <f t="shared" si="8"/>
        <v>129600</v>
      </c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10"/>
    </row>
    <row r="44" spans="2:34" x14ac:dyDescent="0.35">
      <c r="B44" s="44"/>
      <c r="C44" s="44"/>
      <c r="D44" s="44"/>
      <c r="E44" s="44"/>
      <c r="G44" s="31">
        <v>52505</v>
      </c>
      <c r="H44" s="6">
        <v>31</v>
      </c>
      <c r="I44" s="26">
        <f t="shared" si="9"/>
        <v>180</v>
      </c>
      <c r="J44" s="34">
        <f t="shared" si="8"/>
        <v>133920</v>
      </c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10"/>
    </row>
    <row r="45" spans="2:34" x14ac:dyDescent="0.35">
      <c r="B45" s="44"/>
      <c r="C45" s="44"/>
      <c r="D45" s="44"/>
      <c r="E45" s="44"/>
      <c r="G45" s="31">
        <v>52536</v>
      </c>
      <c r="H45" s="6">
        <v>30</v>
      </c>
      <c r="I45" s="26">
        <f t="shared" si="9"/>
        <v>180</v>
      </c>
      <c r="J45" s="34">
        <f t="shared" si="8"/>
        <v>129600</v>
      </c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10"/>
    </row>
    <row r="46" spans="2:34" x14ac:dyDescent="0.35">
      <c r="B46" s="44"/>
      <c r="C46" s="44"/>
      <c r="D46" s="44"/>
      <c r="E46" s="44"/>
      <c r="G46" s="31">
        <v>52566</v>
      </c>
      <c r="H46" s="6">
        <v>31</v>
      </c>
      <c r="I46" s="26">
        <f t="shared" si="9"/>
        <v>180</v>
      </c>
      <c r="J46" s="34">
        <f t="shared" si="8"/>
        <v>133920</v>
      </c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10"/>
    </row>
    <row r="47" spans="2:34" ht="15" thickBot="1" x14ac:dyDescent="0.4">
      <c r="B47" s="44"/>
      <c r="C47" s="44"/>
      <c r="D47" s="44"/>
      <c r="E47" s="44"/>
      <c r="G47" s="11" t="s">
        <v>20</v>
      </c>
      <c r="H47" s="12"/>
      <c r="I47" s="12"/>
      <c r="J47" s="35">
        <f>SUM(J35:J46)</f>
        <v>1576800</v>
      </c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10"/>
    </row>
    <row r="48" spans="2:34" ht="15" thickBot="1" x14ac:dyDescent="0.4">
      <c r="B48" s="44"/>
      <c r="C48" s="44"/>
      <c r="D48" s="44"/>
      <c r="E48" s="44"/>
      <c r="G48" s="36"/>
      <c r="H48" s="37"/>
      <c r="I48" s="37"/>
      <c r="J48" s="38"/>
    </row>
    <row r="49" spans="1:34" ht="15" thickBot="1" x14ac:dyDescent="0.4">
      <c r="B49" s="44"/>
      <c r="C49" s="44"/>
      <c r="D49" s="44"/>
      <c r="E49" s="44"/>
      <c r="G49" s="54" t="s">
        <v>56</v>
      </c>
      <c r="H49" s="55"/>
      <c r="I49" s="55"/>
      <c r="J49" s="56"/>
    </row>
    <row r="50" spans="1:34" ht="43.5" x14ac:dyDescent="0.35">
      <c r="B50" s="44"/>
      <c r="C50" s="44"/>
      <c r="D50" s="44"/>
      <c r="E50" s="44"/>
      <c r="G50" s="8" t="s">
        <v>18</v>
      </c>
      <c r="H50" s="7" t="s">
        <v>19</v>
      </c>
      <c r="I50" s="7" t="s">
        <v>46</v>
      </c>
      <c r="J50" s="27" t="s">
        <v>47</v>
      </c>
      <c r="K50" s="28" t="s">
        <v>58</v>
      </c>
      <c r="L50" s="29" t="s">
        <v>59</v>
      </c>
      <c r="M50" s="29" t="s">
        <v>60</v>
      </c>
      <c r="N50" s="29" t="s">
        <v>61</v>
      </c>
      <c r="O50" s="29" t="s">
        <v>62</v>
      </c>
      <c r="P50" s="29" t="s">
        <v>63</v>
      </c>
      <c r="Q50" s="29" t="s">
        <v>64</v>
      </c>
      <c r="R50" s="29" t="s">
        <v>65</v>
      </c>
      <c r="S50" s="29" t="s">
        <v>66</v>
      </c>
      <c r="T50" s="29" t="s">
        <v>67</v>
      </c>
      <c r="U50" s="29" t="s">
        <v>68</v>
      </c>
      <c r="V50" s="29" t="s">
        <v>69</v>
      </c>
      <c r="W50" s="29" t="s">
        <v>70</v>
      </c>
      <c r="X50" s="29" t="s">
        <v>71</v>
      </c>
      <c r="Y50" s="29" t="s">
        <v>72</v>
      </c>
      <c r="Z50" s="29" t="s">
        <v>73</v>
      </c>
      <c r="AA50" s="29" t="s">
        <v>74</v>
      </c>
      <c r="AB50" s="29" t="s">
        <v>75</v>
      </c>
      <c r="AC50" s="29" t="s">
        <v>76</v>
      </c>
      <c r="AD50" s="29" t="s">
        <v>77</v>
      </c>
      <c r="AE50" s="29" t="s">
        <v>78</v>
      </c>
      <c r="AF50" s="29" t="s">
        <v>79</v>
      </c>
      <c r="AG50" s="29" t="s">
        <v>80</v>
      </c>
      <c r="AH50" s="30" t="s">
        <v>81</v>
      </c>
    </row>
    <row r="51" spans="1:34" x14ac:dyDescent="0.35">
      <c r="B51" s="44"/>
      <c r="C51" s="44"/>
      <c r="D51" s="44"/>
      <c r="E51" s="44"/>
      <c r="G51" s="31">
        <v>52597</v>
      </c>
      <c r="H51" s="6">
        <v>31</v>
      </c>
      <c r="I51" s="26">
        <v>180</v>
      </c>
      <c r="J51" s="34">
        <f t="shared" ref="J51:J62" si="10">I51*24*H51</f>
        <v>133920</v>
      </c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10"/>
    </row>
    <row r="52" spans="1:34" x14ac:dyDescent="0.35">
      <c r="A52" s="45"/>
      <c r="B52" s="46"/>
      <c r="C52" s="46"/>
      <c r="D52" s="46"/>
      <c r="E52" s="46"/>
      <c r="G52" s="31">
        <v>52628</v>
      </c>
      <c r="H52" s="6">
        <v>29</v>
      </c>
      <c r="I52" s="26">
        <f t="shared" ref="I52:I62" si="11">I51</f>
        <v>180</v>
      </c>
      <c r="J52" s="34">
        <f t="shared" si="10"/>
        <v>125280</v>
      </c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10"/>
    </row>
    <row r="53" spans="1:34" x14ac:dyDescent="0.35">
      <c r="G53" s="31">
        <v>52657</v>
      </c>
      <c r="H53" s="6">
        <v>31</v>
      </c>
      <c r="I53" s="26">
        <f t="shared" si="11"/>
        <v>180</v>
      </c>
      <c r="J53" s="34">
        <f t="shared" si="10"/>
        <v>133920</v>
      </c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10"/>
    </row>
    <row r="54" spans="1:34" x14ac:dyDescent="0.35">
      <c r="G54" s="31">
        <v>52688</v>
      </c>
      <c r="H54" s="6">
        <v>30</v>
      </c>
      <c r="I54" s="26">
        <f t="shared" si="11"/>
        <v>180</v>
      </c>
      <c r="J54" s="34">
        <f t="shared" si="10"/>
        <v>129600</v>
      </c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10"/>
    </row>
    <row r="55" spans="1:34" x14ac:dyDescent="0.35">
      <c r="G55" s="31">
        <v>52718</v>
      </c>
      <c r="H55" s="6">
        <v>31</v>
      </c>
      <c r="I55" s="26">
        <f t="shared" si="11"/>
        <v>180</v>
      </c>
      <c r="J55" s="34">
        <f t="shared" si="10"/>
        <v>133920</v>
      </c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10"/>
    </row>
    <row r="56" spans="1:34" x14ac:dyDescent="0.35">
      <c r="G56" s="31">
        <v>52749</v>
      </c>
      <c r="H56" s="6">
        <v>30</v>
      </c>
      <c r="I56" s="26">
        <f t="shared" si="11"/>
        <v>180</v>
      </c>
      <c r="J56" s="34">
        <f t="shared" si="10"/>
        <v>129600</v>
      </c>
      <c r="K56" s="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10"/>
    </row>
    <row r="57" spans="1:34" x14ac:dyDescent="0.35">
      <c r="G57" s="31">
        <v>52779</v>
      </c>
      <c r="H57" s="6">
        <v>31</v>
      </c>
      <c r="I57" s="26">
        <f t="shared" si="11"/>
        <v>180</v>
      </c>
      <c r="J57" s="34">
        <f t="shared" si="10"/>
        <v>133920</v>
      </c>
      <c r="K57" s="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10"/>
    </row>
    <row r="58" spans="1:34" x14ac:dyDescent="0.35">
      <c r="G58" s="31">
        <v>52810</v>
      </c>
      <c r="H58" s="6">
        <v>31</v>
      </c>
      <c r="I58" s="26">
        <f t="shared" si="11"/>
        <v>180</v>
      </c>
      <c r="J58" s="34">
        <f t="shared" si="10"/>
        <v>133920</v>
      </c>
      <c r="K58" s="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10"/>
    </row>
    <row r="59" spans="1:34" x14ac:dyDescent="0.35">
      <c r="G59" s="31">
        <v>52841</v>
      </c>
      <c r="H59" s="6">
        <v>30</v>
      </c>
      <c r="I59" s="26">
        <f t="shared" si="11"/>
        <v>180</v>
      </c>
      <c r="J59" s="34">
        <f t="shared" si="10"/>
        <v>129600</v>
      </c>
      <c r="K59" s="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10"/>
    </row>
    <row r="60" spans="1:34" x14ac:dyDescent="0.35">
      <c r="G60" s="31">
        <v>52871</v>
      </c>
      <c r="H60" s="6">
        <v>31</v>
      </c>
      <c r="I60" s="26">
        <f t="shared" si="11"/>
        <v>180</v>
      </c>
      <c r="J60" s="34">
        <f t="shared" si="10"/>
        <v>133920</v>
      </c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10"/>
    </row>
    <row r="61" spans="1:34" x14ac:dyDescent="0.35">
      <c r="G61" s="31">
        <v>52902</v>
      </c>
      <c r="H61" s="32">
        <v>30</v>
      </c>
      <c r="I61" s="26">
        <f t="shared" si="11"/>
        <v>180</v>
      </c>
      <c r="J61" s="34">
        <f t="shared" si="10"/>
        <v>129600</v>
      </c>
      <c r="K61" s="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10"/>
    </row>
    <row r="62" spans="1:34" x14ac:dyDescent="0.35">
      <c r="G62" s="31">
        <v>52932</v>
      </c>
      <c r="H62" s="6">
        <v>31</v>
      </c>
      <c r="I62" s="26">
        <f t="shared" si="11"/>
        <v>180</v>
      </c>
      <c r="J62" s="34">
        <f t="shared" si="10"/>
        <v>133920</v>
      </c>
      <c r="K62" s="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10"/>
    </row>
    <row r="63" spans="1:34" ht="15" thickBot="1" x14ac:dyDescent="0.4">
      <c r="G63" s="11" t="s">
        <v>20</v>
      </c>
      <c r="H63" s="12"/>
      <c r="I63" s="12"/>
      <c r="J63" s="35">
        <f>SUM(J51:J62)</f>
        <v>1581120</v>
      </c>
      <c r="K63" s="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10"/>
    </row>
    <row r="64" spans="1:34" ht="15" thickBot="1" x14ac:dyDescent="0.4">
      <c r="G64" s="36"/>
      <c r="H64" s="37"/>
      <c r="I64" s="37"/>
      <c r="J64" s="38"/>
    </row>
    <row r="65" spans="7:34" ht="15" thickBot="1" x14ac:dyDescent="0.4">
      <c r="G65" s="54" t="s">
        <v>57</v>
      </c>
      <c r="H65" s="55"/>
      <c r="I65" s="55"/>
      <c r="J65" s="56"/>
    </row>
    <row r="66" spans="7:34" ht="43.5" x14ac:dyDescent="0.35">
      <c r="G66" s="8" t="s">
        <v>18</v>
      </c>
      <c r="H66" s="7" t="s">
        <v>19</v>
      </c>
      <c r="I66" s="7" t="s">
        <v>46</v>
      </c>
      <c r="J66" s="27" t="s">
        <v>47</v>
      </c>
      <c r="K66" s="28" t="s">
        <v>58</v>
      </c>
      <c r="L66" s="29" t="s">
        <v>59</v>
      </c>
      <c r="M66" s="29" t="s">
        <v>60</v>
      </c>
      <c r="N66" s="29" t="s">
        <v>61</v>
      </c>
      <c r="O66" s="29" t="s">
        <v>62</v>
      </c>
      <c r="P66" s="29" t="s">
        <v>63</v>
      </c>
      <c r="Q66" s="29" t="s">
        <v>64</v>
      </c>
      <c r="R66" s="29" t="s">
        <v>65</v>
      </c>
      <c r="S66" s="29" t="s">
        <v>66</v>
      </c>
      <c r="T66" s="29" t="s">
        <v>67</v>
      </c>
      <c r="U66" s="29" t="s">
        <v>68</v>
      </c>
      <c r="V66" s="29" t="s">
        <v>69</v>
      </c>
      <c r="W66" s="29" t="s">
        <v>70</v>
      </c>
      <c r="X66" s="29" t="s">
        <v>71</v>
      </c>
      <c r="Y66" s="29" t="s">
        <v>72</v>
      </c>
      <c r="Z66" s="29" t="s">
        <v>73</v>
      </c>
      <c r="AA66" s="29" t="s">
        <v>74</v>
      </c>
      <c r="AB66" s="29" t="s">
        <v>75</v>
      </c>
      <c r="AC66" s="29" t="s">
        <v>76</v>
      </c>
      <c r="AD66" s="29" t="s">
        <v>77</v>
      </c>
      <c r="AE66" s="29" t="s">
        <v>78</v>
      </c>
      <c r="AF66" s="29" t="s">
        <v>79</v>
      </c>
      <c r="AG66" s="29" t="s">
        <v>80</v>
      </c>
      <c r="AH66" s="30" t="s">
        <v>81</v>
      </c>
    </row>
    <row r="67" spans="7:34" x14ac:dyDescent="0.35">
      <c r="G67" s="31">
        <v>52963</v>
      </c>
      <c r="H67" s="6">
        <v>31</v>
      </c>
      <c r="I67" s="26">
        <v>180</v>
      </c>
      <c r="J67" s="34">
        <f t="shared" ref="J67:J78" si="12">I67*24*H67</f>
        <v>133920</v>
      </c>
      <c r="K67" s="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10"/>
    </row>
    <row r="68" spans="7:34" x14ac:dyDescent="0.35">
      <c r="G68" s="31">
        <v>52994</v>
      </c>
      <c r="H68" s="6">
        <v>28</v>
      </c>
      <c r="I68" s="26">
        <f t="shared" ref="I68:I78" si="13">I67</f>
        <v>180</v>
      </c>
      <c r="J68" s="34">
        <f t="shared" si="12"/>
        <v>120960</v>
      </c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10"/>
    </row>
    <row r="69" spans="7:34" x14ac:dyDescent="0.35">
      <c r="G69" s="31">
        <v>53022</v>
      </c>
      <c r="H69" s="6">
        <v>31</v>
      </c>
      <c r="I69" s="26">
        <f t="shared" si="13"/>
        <v>180</v>
      </c>
      <c r="J69" s="34">
        <f t="shared" si="12"/>
        <v>133920</v>
      </c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10"/>
    </row>
    <row r="70" spans="7:34" x14ac:dyDescent="0.35">
      <c r="G70" s="31">
        <v>53053</v>
      </c>
      <c r="H70" s="6">
        <v>30</v>
      </c>
      <c r="I70" s="26">
        <f t="shared" si="13"/>
        <v>180</v>
      </c>
      <c r="J70" s="34">
        <f t="shared" si="12"/>
        <v>129600</v>
      </c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10"/>
    </row>
    <row r="71" spans="7:34" x14ac:dyDescent="0.35">
      <c r="G71" s="31">
        <v>53083</v>
      </c>
      <c r="H71" s="6">
        <v>31</v>
      </c>
      <c r="I71" s="26">
        <f t="shared" si="13"/>
        <v>180</v>
      </c>
      <c r="J71" s="34">
        <f t="shared" si="12"/>
        <v>133920</v>
      </c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10"/>
    </row>
    <row r="72" spans="7:34" x14ac:dyDescent="0.35">
      <c r="G72" s="31">
        <v>53114</v>
      </c>
      <c r="H72" s="6">
        <v>30</v>
      </c>
      <c r="I72" s="26">
        <f t="shared" si="13"/>
        <v>180</v>
      </c>
      <c r="J72" s="34">
        <f t="shared" si="12"/>
        <v>129600</v>
      </c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10"/>
    </row>
    <row r="73" spans="7:34" x14ac:dyDescent="0.35">
      <c r="G73" s="31">
        <v>53144</v>
      </c>
      <c r="H73" s="6">
        <v>31</v>
      </c>
      <c r="I73" s="26">
        <f t="shared" si="13"/>
        <v>180</v>
      </c>
      <c r="J73" s="34">
        <f t="shared" si="12"/>
        <v>133920</v>
      </c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10"/>
    </row>
    <row r="74" spans="7:34" x14ac:dyDescent="0.35">
      <c r="G74" s="31">
        <v>53175</v>
      </c>
      <c r="H74" s="6">
        <v>31</v>
      </c>
      <c r="I74" s="26">
        <f t="shared" si="13"/>
        <v>180</v>
      </c>
      <c r="J74" s="34">
        <f t="shared" si="12"/>
        <v>133920</v>
      </c>
      <c r="K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10"/>
    </row>
    <row r="75" spans="7:34" x14ac:dyDescent="0.35">
      <c r="G75" s="31">
        <v>53206</v>
      </c>
      <c r="H75" s="6">
        <v>30</v>
      </c>
      <c r="I75" s="26">
        <f t="shared" si="13"/>
        <v>180</v>
      </c>
      <c r="J75" s="34">
        <f t="shared" si="12"/>
        <v>129600</v>
      </c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10"/>
    </row>
    <row r="76" spans="7:34" x14ac:dyDescent="0.35">
      <c r="G76" s="31">
        <v>53236</v>
      </c>
      <c r="H76" s="6">
        <v>31</v>
      </c>
      <c r="I76" s="26">
        <f t="shared" si="13"/>
        <v>180</v>
      </c>
      <c r="J76" s="34">
        <f t="shared" si="12"/>
        <v>133920</v>
      </c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10"/>
    </row>
    <row r="77" spans="7:34" x14ac:dyDescent="0.35">
      <c r="G77" s="31">
        <v>53267</v>
      </c>
      <c r="H77" s="32">
        <v>30</v>
      </c>
      <c r="I77" s="26">
        <f t="shared" si="13"/>
        <v>180</v>
      </c>
      <c r="J77" s="34">
        <f t="shared" si="12"/>
        <v>129600</v>
      </c>
      <c r="K77" s="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10"/>
    </row>
    <row r="78" spans="7:34" x14ac:dyDescent="0.35">
      <c r="G78" s="31">
        <v>53297</v>
      </c>
      <c r="H78" s="6">
        <v>31</v>
      </c>
      <c r="I78" s="26">
        <f t="shared" si="13"/>
        <v>180</v>
      </c>
      <c r="J78" s="34">
        <f t="shared" si="12"/>
        <v>133920</v>
      </c>
      <c r="K78" s="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10"/>
    </row>
    <row r="79" spans="7:34" ht="15" thickBot="1" x14ac:dyDescent="0.4">
      <c r="G79" s="11" t="s">
        <v>20</v>
      </c>
      <c r="H79" s="12"/>
      <c r="I79" s="12"/>
      <c r="J79" s="35">
        <f>SUM(J67:J78)</f>
        <v>1576800</v>
      </c>
      <c r="K79" s="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10"/>
    </row>
  </sheetData>
  <mergeCells count="5">
    <mergeCell ref="G1:L1"/>
    <mergeCell ref="G17:J17"/>
    <mergeCell ref="G33:J33"/>
    <mergeCell ref="G49:J49"/>
    <mergeCell ref="G65:J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 1 Necesidades de Contrata</vt:lpstr>
      <vt:lpstr>Anexo 2 - Cant</vt:lpstr>
      <vt:lpstr>Anexo 2  -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Garzon Rayo</dc:creator>
  <cp:lastModifiedBy>Sofia Ximena Achicanoy Paz</cp:lastModifiedBy>
  <dcterms:created xsi:type="dcterms:W3CDTF">2024-11-05T21:22:48Z</dcterms:created>
  <dcterms:modified xsi:type="dcterms:W3CDTF">2026-05-25T17:52:41Z</dcterms:modified>
</cp:coreProperties>
</file>