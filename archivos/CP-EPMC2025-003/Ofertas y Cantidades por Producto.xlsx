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pmco.sharepoint.com/sites/file-7501-ute/7501_TCE/CompraEnergia/ComprasBilateralesSICEP/CompraCRW362823-2025/SICEP/"/>
    </mc:Choice>
  </mc:AlternateContent>
  <xr:revisionPtr revIDLastSave="13" documentId="8_{14296820-72B5-4F28-8068-F86167E0FFC9}" xr6:coauthVersionLast="47" xr6:coauthVersionMax="47" xr10:uidLastSave="{A57E63FD-3AE5-4BE6-9AC2-D1063D823594}"/>
  <bookViews>
    <workbookView xWindow="-110" yWindow="-110" windowWidth="19420" windowHeight="10300" xr2:uid="{973B4848-E2D4-4964-BCF6-5DB1BE618D36}"/>
  </bookViews>
  <sheets>
    <sheet name="Cantidades 2026" sheetId="29" r:id="rId1"/>
    <sheet name="Cantidades 2027" sheetId="30" r:id="rId2"/>
    <sheet name="Cantidades 2028" sheetId="31" r:id="rId3"/>
    <sheet name="Cantidades 2029" sheetId="16" r:id="rId4"/>
    <sheet name="Cantidades 2030" sheetId="40" r:id="rId5"/>
    <sheet name="Oferta 2026" sheetId="32" r:id="rId6"/>
    <sheet name="Oferta 2027" sheetId="33" r:id="rId7"/>
    <sheet name="Oferta 2028" sheetId="34" r:id="rId8"/>
    <sheet name="Oferta 2029" sheetId="39" r:id="rId9"/>
    <sheet name="Oferta 2030" sheetId="41" r:id="rId10"/>
    <sheet name="Oferta Horaria 2026-2030" sheetId="14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Print_Area" localSheetId="5">'Oferta 2026'!$B$2:$I$17</definedName>
    <definedName name="_xlnm.Print_Area" localSheetId="6">'Oferta 2027'!$B$2:$I$17</definedName>
    <definedName name="_xlnm.Print_Area" localSheetId="7">'Oferta 2028'!$B$2:$I$17</definedName>
    <definedName name="_xlnm.Print_Area" localSheetId="8">'Oferta 2029'!$B$2:$I$17</definedName>
    <definedName name="_xlnm.Print_Area" localSheetId="9">'Oferta 2030'!$B$2:$I$17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9" l="1"/>
  <c r="C23" i="34"/>
  <c r="F8" i="40" l="1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F24" i="40"/>
  <c r="G24" i="40"/>
  <c r="H24" i="40"/>
  <c r="I24" i="40"/>
  <c r="J24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W24" i="40"/>
  <c r="X24" i="40"/>
  <c r="Y24" i="40"/>
  <c r="Z24" i="40"/>
  <c r="AA24" i="40"/>
  <c r="AB24" i="40"/>
  <c r="AC24" i="40"/>
  <c r="F25" i="40"/>
  <c r="G25" i="40"/>
  <c r="H25" i="40"/>
  <c r="I25" i="40"/>
  <c r="J25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/>
  <c r="X25" i="40"/>
  <c r="Y25" i="40"/>
  <c r="Z25" i="40"/>
  <c r="AA25" i="40"/>
  <c r="AB25" i="40"/>
  <c r="AC25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Z26" i="40"/>
  <c r="AA26" i="40"/>
  <c r="AB26" i="40"/>
  <c r="AC26" i="40"/>
  <c r="F27" i="40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Z27" i="40"/>
  <c r="AA27" i="40"/>
  <c r="AB27" i="40"/>
  <c r="AC27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/>
  <c r="X28" i="40"/>
  <c r="Y28" i="40"/>
  <c r="Z28" i="40"/>
  <c r="AA28" i="40"/>
  <c r="AB28" i="40"/>
  <c r="AC28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Z29" i="40"/>
  <c r="AA29" i="40"/>
  <c r="AB29" i="40"/>
  <c r="AC29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/>
  <c r="X30" i="40"/>
  <c r="Y30" i="40"/>
  <c r="Z30" i="40"/>
  <c r="AA30" i="40"/>
  <c r="AB30" i="40"/>
  <c r="AC30" i="40"/>
  <c r="F31" i="40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W31" i="40"/>
  <c r="X31" i="40"/>
  <c r="Y31" i="40"/>
  <c r="Z31" i="40"/>
  <c r="AA31" i="40"/>
  <c r="AB31" i="40"/>
  <c r="AC31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Z32" i="40"/>
  <c r="AA32" i="40"/>
  <c r="AB32" i="40"/>
  <c r="AC32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Z33" i="40"/>
  <c r="AA33" i="40"/>
  <c r="AB33" i="40"/>
  <c r="AC33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Z34" i="40"/>
  <c r="AA34" i="40"/>
  <c r="AB34" i="40"/>
  <c r="AC34" i="40"/>
  <c r="F35" i="40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/>
  <c r="X35" i="40"/>
  <c r="Y35" i="40"/>
  <c r="Z35" i="40"/>
  <c r="AA35" i="40"/>
  <c r="AB35" i="40"/>
  <c r="AC35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W36" i="40"/>
  <c r="X36" i="40"/>
  <c r="Y36" i="40"/>
  <c r="Z36" i="40"/>
  <c r="AA36" i="40"/>
  <c r="AB36" i="40"/>
  <c r="AC36" i="40"/>
  <c r="F37" i="40"/>
  <c r="G37" i="40"/>
  <c r="H37" i="40"/>
  <c r="I37" i="40"/>
  <c r="J37" i="40"/>
  <c r="K37" i="40"/>
  <c r="L37" i="40"/>
  <c r="M37" i="40"/>
  <c r="N37" i="40"/>
  <c r="O37" i="40"/>
  <c r="P37" i="40"/>
  <c r="Q37" i="40"/>
  <c r="R37" i="40"/>
  <c r="S37" i="40"/>
  <c r="T37" i="40"/>
  <c r="U37" i="40"/>
  <c r="V37" i="40"/>
  <c r="W37" i="40"/>
  <c r="X37" i="40"/>
  <c r="Y37" i="40"/>
  <c r="Z37" i="40"/>
  <c r="AA37" i="40"/>
  <c r="AB37" i="40"/>
  <c r="AC37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Z39" i="40"/>
  <c r="AA39" i="40"/>
  <c r="AB39" i="40"/>
  <c r="AC39" i="40"/>
  <c r="F40" i="40"/>
  <c r="G40" i="40"/>
  <c r="H40" i="40"/>
  <c r="I40" i="40"/>
  <c r="J40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W40" i="40"/>
  <c r="X40" i="40"/>
  <c r="Y40" i="40"/>
  <c r="Z40" i="40"/>
  <c r="AA40" i="40"/>
  <c r="AB40" i="40"/>
  <c r="AC40" i="40"/>
  <c r="F41" i="40"/>
  <c r="G41" i="40"/>
  <c r="H41" i="40"/>
  <c r="I41" i="40"/>
  <c r="J41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/>
  <c r="X41" i="40"/>
  <c r="Y41" i="40"/>
  <c r="Z41" i="40"/>
  <c r="AA41" i="40"/>
  <c r="AB41" i="40"/>
  <c r="AC41" i="40"/>
  <c r="F42" i="40"/>
  <c r="G42" i="40"/>
  <c r="H42" i="40"/>
  <c r="I42" i="40"/>
  <c r="J42" i="40"/>
  <c r="K42" i="40"/>
  <c r="L42" i="40"/>
  <c r="M42" i="40"/>
  <c r="N42" i="40"/>
  <c r="O42" i="40"/>
  <c r="P42" i="40"/>
  <c r="Q42" i="40"/>
  <c r="R42" i="40"/>
  <c r="S42" i="40"/>
  <c r="T42" i="40"/>
  <c r="U42" i="40"/>
  <c r="V42" i="40"/>
  <c r="W42" i="40"/>
  <c r="X42" i="40"/>
  <c r="Y42" i="40"/>
  <c r="Z42" i="40"/>
  <c r="AA42" i="40"/>
  <c r="AB42" i="40"/>
  <c r="AC42" i="40"/>
  <c r="F43" i="40"/>
  <c r="G43" i="40"/>
  <c r="H43" i="40"/>
  <c r="I43" i="40"/>
  <c r="J43" i="40"/>
  <c r="K43" i="40"/>
  <c r="L43" i="40"/>
  <c r="M43" i="40"/>
  <c r="N43" i="40"/>
  <c r="O43" i="40"/>
  <c r="P43" i="40"/>
  <c r="Q43" i="40"/>
  <c r="R43" i="40"/>
  <c r="S43" i="40"/>
  <c r="T43" i="40"/>
  <c r="U43" i="40"/>
  <c r="V43" i="40"/>
  <c r="W43" i="40"/>
  <c r="X43" i="40"/>
  <c r="Y43" i="40"/>
  <c r="Z43" i="40"/>
  <c r="AA43" i="40"/>
  <c r="AB43" i="40"/>
  <c r="AC43" i="40"/>
  <c r="F44" i="40"/>
  <c r="G44" i="40"/>
  <c r="H44" i="40"/>
  <c r="I44" i="40"/>
  <c r="J44" i="40"/>
  <c r="K44" i="40"/>
  <c r="L44" i="40"/>
  <c r="M44" i="40"/>
  <c r="N44" i="40"/>
  <c r="O44" i="40"/>
  <c r="P44" i="40"/>
  <c r="Q44" i="40"/>
  <c r="R44" i="40"/>
  <c r="S44" i="40"/>
  <c r="T44" i="40"/>
  <c r="U44" i="40"/>
  <c r="V44" i="40"/>
  <c r="W44" i="40"/>
  <c r="X44" i="40"/>
  <c r="Y44" i="40"/>
  <c r="Z44" i="40"/>
  <c r="AA44" i="40"/>
  <c r="AB44" i="40"/>
  <c r="AC44" i="40"/>
  <c r="F45" i="40"/>
  <c r="G45" i="40"/>
  <c r="H45" i="40"/>
  <c r="I45" i="40"/>
  <c r="J45" i="40"/>
  <c r="K45" i="40"/>
  <c r="L45" i="40"/>
  <c r="M45" i="40"/>
  <c r="N45" i="40"/>
  <c r="O45" i="40"/>
  <c r="P45" i="40"/>
  <c r="Q45" i="40"/>
  <c r="R45" i="40"/>
  <c r="S45" i="40"/>
  <c r="T45" i="40"/>
  <c r="U45" i="40"/>
  <c r="V45" i="40"/>
  <c r="W45" i="40"/>
  <c r="X45" i="40"/>
  <c r="Y45" i="40"/>
  <c r="Z45" i="40"/>
  <c r="AA45" i="40"/>
  <c r="AB45" i="40"/>
  <c r="AC45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V46" i="40"/>
  <c r="W46" i="40"/>
  <c r="X46" i="40"/>
  <c r="Y46" i="40"/>
  <c r="Z46" i="40"/>
  <c r="AA46" i="40"/>
  <c r="AB46" i="40"/>
  <c r="AC46" i="40"/>
  <c r="F47" i="40"/>
  <c r="G47" i="40"/>
  <c r="H47" i="40"/>
  <c r="I47" i="40"/>
  <c r="J47" i="40"/>
  <c r="K47" i="40"/>
  <c r="L47" i="40"/>
  <c r="M47" i="40"/>
  <c r="N47" i="40"/>
  <c r="O47" i="40"/>
  <c r="P47" i="40"/>
  <c r="Q47" i="40"/>
  <c r="R47" i="40"/>
  <c r="S47" i="40"/>
  <c r="T47" i="40"/>
  <c r="U47" i="40"/>
  <c r="V47" i="40"/>
  <c r="W47" i="40"/>
  <c r="X47" i="40"/>
  <c r="Y47" i="40"/>
  <c r="Z47" i="40"/>
  <c r="AA47" i="40"/>
  <c r="AB47" i="40"/>
  <c r="AC47" i="40"/>
  <c r="F48" i="40"/>
  <c r="G48" i="40"/>
  <c r="H48" i="40"/>
  <c r="I48" i="40"/>
  <c r="J48" i="40"/>
  <c r="K48" i="40"/>
  <c r="L48" i="40"/>
  <c r="M48" i="40"/>
  <c r="N48" i="40"/>
  <c r="O48" i="40"/>
  <c r="P48" i="40"/>
  <c r="Q48" i="40"/>
  <c r="R48" i="40"/>
  <c r="S48" i="40"/>
  <c r="T48" i="40"/>
  <c r="U48" i="40"/>
  <c r="V48" i="40"/>
  <c r="W48" i="40"/>
  <c r="X48" i="40"/>
  <c r="Y48" i="40"/>
  <c r="Z48" i="40"/>
  <c r="AA48" i="40"/>
  <c r="AB48" i="40"/>
  <c r="AC48" i="40"/>
  <c r="F49" i="40"/>
  <c r="G49" i="40"/>
  <c r="H49" i="40"/>
  <c r="I49" i="40"/>
  <c r="J49" i="40"/>
  <c r="K49" i="40"/>
  <c r="L49" i="40"/>
  <c r="M49" i="40"/>
  <c r="N49" i="40"/>
  <c r="O49" i="40"/>
  <c r="P49" i="40"/>
  <c r="Q49" i="40"/>
  <c r="R49" i="40"/>
  <c r="S49" i="40"/>
  <c r="T49" i="40"/>
  <c r="U49" i="40"/>
  <c r="V49" i="40"/>
  <c r="W49" i="40"/>
  <c r="X49" i="40"/>
  <c r="Y49" i="40"/>
  <c r="Z49" i="40"/>
  <c r="AA49" i="40"/>
  <c r="AB49" i="40"/>
  <c r="AC49" i="40"/>
  <c r="F50" i="40"/>
  <c r="G50" i="40"/>
  <c r="H50" i="40"/>
  <c r="I50" i="40"/>
  <c r="J50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W50" i="40"/>
  <c r="X50" i="40"/>
  <c r="Y50" i="40"/>
  <c r="Z50" i="40"/>
  <c r="AA50" i="40"/>
  <c r="AB50" i="40"/>
  <c r="AC50" i="40"/>
  <c r="F51" i="40"/>
  <c r="G51" i="40"/>
  <c r="H51" i="40"/>
  <c r="I51" i="40"/>
  <c r="J51" i="40"/>
  <c r="K51" i="40"/>
  <c r="L51" i="40"/>
  <c r="M51" i="40"/>
  <c r="N51" i="40"/>
  <c r="O51" i="40"/>
  <c r="P51" i="40"/>
  <c r="Q51" i="40"/>
  <c r="R51" i="40"/>
  <c r="S51" i="40"/>
  <c r="T51" i="40"/>
  <c r="U51" i="40"/>
  <c r="V51" i="40"/>
  <c r="W51" i="40"/>
  <c r="X51" i="40"/>
  <c r="Y51" i="40"/>
  <c r="Z51" i="40"/>
  <c r="AA51" i="40"/>
  <c r="AB51" i="40"/>
  <c r="AC51" i="40"/>
  <c r="F52" i="40"/>
  <c r="G52" i="40"/>
  <c r="H52" i="40"/>
  <c r="I52" i="40"/>
  <c r="J52" i="40"/>
  <c r="K52" i="40"/>
  <c r="L52" i="40"/>
  <c r="M52" i="40"/>
  <c r="N52" i="40"/>
  <c r="O52" i="40"/>
  <c r="P52" i="40"/>
  <c r="Q52" i="40"/>
  <c r="R52" i="40"/>
  <c r="S52" i="40"/>
  <c r="T52" i="40"/>
  <c r="U52" i="40"/>
  <c r="V52" i="40"/>
  <c r="W52" i="40"/>
  <c r="X52" i="40"/>
  <c r="Y52" i="40"/>
  <c r="Z52" i="40"/>
  <c r="AA52" i="40"/>
  <c r="AB52" i="40"/>
  <c r="AC52" i="40"/>
  <c r="F53" i="40"/>
  <c r="G53" i="40"/>
  <c r="H53" i="40"/>
  <c r="I53" i="40"/>
  <c r="J53" i="40"/>
  <c r="K53" i="40"/>
  <c r="L53" i="40"/>
  <c r="M53" i="40"/>
  <c r="N53" i="40"/>
  <c r="O53" i="40"/>
  <c r="P53" i="40"/>
  <c r="Q53" i="40"/>
  <c r="R53" i="40"/>
  <c r="S53" i="40"/>
  <c r="T53" i="40"/>
  <c r="U53" i="40"/>
  <c r="V53" i="40"/>
  <c r="W53" i="40"/>
  <c r="X53" i="40"/>
  <c r="Y53" i="40"/>
  <c r="Z53" i="40"/>
  <c r="AA53" i="40"/>
  <c r="AB53" i="40"/>
  <c r="AC53" i="40"/>
  <c r="F54" i="40"/>
  <c r="G54" i="40"/>
  <c r="H54" i="40"/>
  <c r="I54" i="40"/>
  <c r="J54" i="40"/>
  <c r="K54" i="40"/>
  <c r="L54" i="40"/>
  <c r="M54" i="40"/>
  <c r="N54" i="40"/>
  <c r="O54" i="40"/>
  <c r="P54" i="40"/>
  <c r="Q54" i="40"/>
  <c r="R54" i="40"/>
  <c r="S54" i="40"/>
  <c r="T54" i="40"/>
  <c r="U54" i="40"/>
  <c r="V54" i="40"/>
  <c r="W54" i="40"/>
  <c r="X54" i="40"/>
  <c r="Y54" i="40"/>
  <c r="Z54" i="40"/>
  <c r="AA54" i="40"/>
  <c r="AB54" i="40"/>
  <c r="AC54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F7" i="40"/>
  <c r="F8" i="16" l="1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F7" i="16"/>
  <c r="F8" i="31" l="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U19" i="31"/>
  <c r="V19" i="31"/>
  <c r="W19" i="31"/>
  <c r="X19" i="31"/>
  <c r="Y19" i="31"/>
  <c r="Z19" i="31"/>
  <c r="AA19" i="31"/>
  <c r="AB19" i="31"/>
  <c r="AC19" i="31"/>
  <c r="F20" i="31"/>
  <c r="G20" i="31"/>
  <c r="H20" i="31"/>
  <c r="I20" i="31"/>
  <c r="J20" i="31"/>
  <c r="K20" i="31"/>
  <c r="L20" i="31"/>
  <c r="M20" i="31"/>
  <c r="N20" i="31"/>
  <c r="O20" i="31"/>
  <c r="P20" i="31"/>
  <c r="Q20" i="31"/>
  <c r="R20" i="31"/>
  <c r="S20" i="31"/>
  <c r="T20" i="31"/>
  <c r="U20" i="31"/>
  <c r="V20" i="31"/>
  <c r="W20" i="31"/>
  <c r="X20" i="31"/>
  <c r="Y20" i="31"/>
  <c r="Z20" i="31"/>
  <c r="AA20" i="31"/>
  <c r="AB20" i="31"/>
  <c r="AC20" i="31"/>
  <c r="F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U21" i="31"/>
  <c r="V21" i="31"/>
  <c r="W21" i="31"/>
  <c r="X21" i="31"/>
  <c r="Y21" i="31"/>
  <c r="Z21" i="31"/>
  <c r="AA21" i="31"/>
  <c r="AB21" i="31"/>
  <c r="AC21" i="31"/>
  <c r="F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U22" i="31"/>
  <c r="V22" i="31"/>
  <c r="W22" i="31"/>
  <c r="X22" i="31"/>
  <c r="Y22" i="31"/>
  <c r="Z22" i="31"/>
  <c r="AA22" i="31"/>
  <c r="AB22" i="31"/>
  <c r="AC22" i="31"/>
  <c r="F23" i="31"/>
  <c r="G23" i="31"/>
  <c r="H23" i="31"/>
  <c r="I23" i="31"/>
  <c r="J23" i="31"/>
  <c r="K23" i="31"/>
  <c r="L23" i="31"/>
  <c r="M23" i="31"/>
  <c r="N23" i="31"/>
  <c r="O23" i="31"/>
  <c r="P23" i="31"/>
  <c r="Q23" i="31"/>
  <c r="R23" i="31"/>
  <c r="S23" i="31"/>
  <c r="T23" i="31"/>
  <c r="U23" i="31"/>
  <c r="V23" i="31"/>
  <c r="W23" i="31"/>
  <c r="X23" i="31"/>
  <c r="Y23" i="31"/>
  <c r="Z23" i="31"/>
  <c r="AA23" i="31"/>
  <c r="AB23" i="31"/>
  <c r="AC23" i="31"/>
  <c r="F24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T24" i="31"/>
  <c r="U24" i="31"/>
  <c r="V24" i="31"/>
  <c r="W24" i="31"/>
  <c r="X24" i="31"/>
  <c r="Y24" i="31"/>
  <c r="Z24" i="31"/>
  <c r="AA24" i="31"/>
  <c r="AB24" i="31"/>
  <c r="AC24" i="31"/>
  <c r="F25" i="31"/>
  <c r="G25" i="31"/>
  <c r="H25" i="31"/>
  <c r="I25" i="31"/>
  <c r="J25" i="31"/>
  <c r="K25" i="31"/>
  <c r="L25" i="31"/>
  <c r="M25" i="31"/>
  <c r="N25" i="31"/>
  <c r="O25" i="31"/>
  <c r="P25" i="31"/>
  <c r="Q25" i="31"/>
  <c r="R25" i="31"/>
  <c r="S25" i="31"/>
  <c r="T25" i="31"/>
  <c r="U25" i="31"/>
  <c r="V25" i="31"/>
  <c r="W25" i="31"/>
  <c r="X25" i="31"/>
  <c r="Y25" i="31"/>
  <c r="Z25" i="31"/>
  <c r="AA25" i="31"/>
  <c r="AB25" i="31"/>
  <c r="AC25" i="31"/>
  <c r="F26" i="31"/>
  <c r="G26" i="31"/>
  <c r="H26" i="31"/>
  <c r="I26" i="31"/>
  <c r="J26" i="31"/>
  <c r="K26" i="31"/>
  <c r="L26" i="31"/>
  <c r="M26" i="31"/>
  <c r="N26" i="31"/>
  <c r="O26" i="31"/>
  <c r="P26" i="31"/>
  <c r="Q26" i="31"/>
  <c r="R26" i="31"/>
  <c r="S26" i="31"/>
  <c r="T26" i="31"/>
  <c r="U26" i="31"/>
  <c r="V26" i="31"/>
  <c r="W26" i="31"/>
  <c r="X26" i="31"/>
  <c r="Y26" i="31"/>
  <c r="Z26" i="31"/>
  <c r="AA26" i="31"/>
  <c r="AB26" i="31"/>
  <c r="AC26" i="31"/>
  <c r="F27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T27" i="31"/>
  <c r="U27" i="31"/>
  <c r="V27" i="31"/>
  <c r="W27" i="31"/>
  <c r="X27" i="31"/>
  <c r="Y27" i="31"/>
  <c r="Z27" i="31"/>
  <c r="AA27" i="31"/>
  <c r="AB27" i="31"/>
  <c r="AC27" i="31"/>
  <c r="F28" i="31"/>
  <c r="G28" i="31"/>
  <c r="H28" i="31"/>
  <c r="I28" i="31"/>
  <c r="J28" i="31"/>
  <c r="K28" i="31"/>
  <c r="L28" i="31"/>
  <c r="M28" i="31"/>
  <c r="N28" i="31"/>
  <c r="O28" i="31"/>
  <c r="P28" i="31"/>
  <c r="Q28" i="31"/>
  <c r="R28" i="31"/>
  <c r="S28" i="31"/>
  <c r="T28" i="31"/>
  <c r="U28" i="31"/>
  <c r="V28" i="31"/>
  <c r="W28" i="31"/>
  <c r="X28" i="31"/>
  <c r="Y28" i="31"/>
  <c r="Z28" i="31"/>
  <c r="AA28" i="31"/>
  <c r="AB28" i="31"/>
  <c r="AC28" i="31"/>
  <c r="F29" i="31"/>
  <c r="G29" i="31"/>
  <c r="H29" i="31"/>
  <c r="I29" i="31"/>
  <c r="J29" i="31"/>
  <c r="K29" i="31"/>
  <c r="L29" i="31"/>
  <c r="M29" i="31"/>
  <c r="N29" i="31"/>
  <c r="O29" i="31"/>
  <c r="P29" i="31"/>
  <c r="Q29" i="31"/>
  <c r="R29" i="31"/>
  <c r="S29" i="31"/>
  <c r="T29" i="31"/>
  <c r="U29" i="31"/>
  <c r="V29" i="31"/>
  <c r="W29" i="31"/>
  <c r="X29" i="31"/>
  <c r="Y29" i="31"/>
  <c r="Z29" i="31"/>
  <c r="AA29" i="31"/>
  <c r="AB29" i="31"/>
  <c r="AC29" i="31"/>
  <c r="F30" i="31"/>
  <c r="G30" i="31"/>
  <c r="H30" i="31"/>
  <c r="I30" i="31"/>
  <c r="J30" i="31"/>
  <c r="K30" i="31"/>
  <c r="L30" i="31"/>
  <c r="M30" i="31"/>
  <c r="N30" i="31"/>
  <c r="O30" i="31"/>
  <c r="P30" i="31"/>
  <c r="Q30" i="31"/>
  <c r="R30" i="31"/>
  <c r="S30" i="31"/>
  <c r="T30" i="31"/>
  <c r="U30" i="31"/>
  <c r="V30" i="31"/>
  <c r="W30" i="31"/>
  <c r="X30" i="31"/>
  <c r="Y30" i="31"/>
  <c r="Z30" i="31"/>
  <c r="AA30" i="31"/>
  <c r="AB30" i="31"/>
  <c r="AC30" i="31"/>
  <c r="F31" i="31"/>
  <c r="G31" i="31"/>
  <c r="H31" i="31"/>
  <c r="I31" i="31"/>
  <c r="J31" i="31"/>
  <c r="K31" i="31"/>
  <c r="L31" i="31"/>
  <c r="M31" i="31"/>
  <c r="N31" i="31"/>
  <c r="O31" i="31"/>
  <c r="P31" i="31"/>
  <c r="Q31" i="31"/>
  <c r="R31" i="31"/>
  <c r="S31" i="31"/>
  <c r="T31" i="31"/>
  <c r="U31" i="31"/>
  <c r="V31" i="31"/>
  <c r="W31" i="31"/>
  <c r="X31" i="31"/>
  <c r="Y31" i="31"/>
  <c r="Z31" i="31"/>
  <c r="AA31" i="31"/>
  <c r="AB31" i="31"/>
  <c r="AC31" i="31"/>
  <c r="F32" i="31"/>
  <c r="G32" i="31"/>
  <c r="H32" i="31"/>
  <c r="I32" i="31"/>
  <c r="J32" i="31"/>
  <c r="K32" i="31"/>
  <c r="L32" i="31"/>
  <c r="M32" i="31"/>
  <c r="N32" i="31"/>
  <c r="O32" i="31"/>
  <c r="P32" i="31"/>
  <c r="Q32" i="31"/>
  <c r="R32" i="31"/>
  <c r="S32" i="31"/>
  <c r="T32" i="31"/>
  <c r="U32" i="31"/>
  <c r="V32" i="31"/>
  <c r="W32" i="31"/>
  <c r="X32" i="31"/>
  <c r="Y32" i="31"/>
  <c r="Z32" i="31"/>
  <c r="AA32" i="31"/>
  <c r="AB32" i="31"/>
  <c r="AC32" i="31"/>
  <c r="F33" i="31"/>
  <c r="G33" i="31"/>
  <c r="H33" i="31"/>
  <c r="I33" i="31"/>
  <c r="J33" i="31"/>
  <c r="K33" i="31"/>
  <c r="L33" i="31"/>
  <c r="M33" i="31"/>
  <c r="N33" i="31"/>
  <c r="O33" i="31"/>
  <c r="P33" i="31"/>
  <c r="Q33" i="31"/>
  <c r="R33" i="31"/>
  <c r="S33" i="31"/>
  <c r="T33" i="31"/>
  <c r="U33" i="31"/>
  <c r="V33" i="31"/>
  <c r="W33" i="31"/>
  <c r="X33" i="31"/>
  <c r="Y33" i="31"/>
  <c r="Z33" i="31"/>
  <c r="AA33" i="31"/>
  <c r="AB33" i="31"/>
  <c r="AC33" i="31"/>
  <c r="F34" i="31"/>
  <c r="G34" i="31"/>
  <c r="H34" i="31"/>
  <c r="I34" i="31"/>
  <c r="J34" i="31"/>
  <c r="K34" i="31"/>
  <c r="L34" i="31"/>
  <c r="M34" i="31"/>
  <c r="N34" i="31"/>
  <c r="O34" i="31"/>
  <c r="P34" i="31"/>
  <c r="Q34" i="31"/>
  <c r="R34" i="31"/>
  <c r="S34" i="31"/>
  <c r="T34" i="31"/>
  <c r="U34" i="31"/>
  <c r="V34" i="31"/>
  <c r="W34" i="31"/>
  <c r="X34" i="31"/>
  <c r="Y34" i="31"/>
  <c r="Z34" i="31"/>
  <c r="AA34" i="31"/>
  <c r="AB34" i="31"/>
  <c r="AC34" i="31"/>
  <c r="F35" i="31"/>
  <c r="G35" i="31"/>
  <c r="H35" i="31"/>
  <c r="I35" i="31"/>
  <c r="J35" i="31"/>
  <c r="K35" i="31"/>
  <c r="L35" i="31"/>
  <c r="M35" i="31"/>
  <c r="N35" i="31"/>
  <c r="O35" i="31"/>
  <c r="P35" i="31"/>
  <c r="Q35" i="31"/>
  <c r="R35" i="31"/>
  <c r="S35" i="31"/>
  <c r="T35" i="31"/>
  <c r="U35" i="31"/>
  <c r="V35" i="31"/>
  <c r="W35" i="31"/>
  <c r="X35" i="31"/>
  <c r="Y35" i="31"/>
  <c r="Z35" i="31"/>
  <c r="AA35" i="31"/>
  <c r="AB35" i="31"/>
  <c r="AC35" i="31"/>
  <c r="F36" i="31"/>
  <c r="G36" i="31"/>
  <c r="H36" i="31"/>
  <c r="I36" i="31"/>
  <c r="J36" i="31"/>
  <c r="K36" i="31"/>
  <c r="L36" i="31"/>
  <c r="M36" i="31"/>
  <c r="N36" i="31"/>
  <c r="O36" i="31"/>
  <c r="P36" i="31"/>
  <c r="Q36" i="31"/>
  <c r="R36" i="31"/>
  <c r="S36" i="31"/>
  <c r="T36" i="31"/>
  <c r="U36" i="31"/>
  <c r="V36" i="31"/>
  <c r="W36" i="31"/>
  <c r="X36" i="31"/>
  <c r="Y36" i="31"/>
  <c r="Z36" i="31"/>
  <c r="AA36" i="31"/>
  <c r="AB36" i="31"/>
  <c r="AC36" i="31"/>
  <c r="F37" i="31"/>
  <c r="G37" i="31"/>
  <c r="H37" i="31"/>
  <c r="I37" i="31"/>
  <c r="J37" i="31"/>
  <c r="K37" i="31"/>
  <c r="L37" i="31"/>
  <c r="M37" i="31"/>
  <c r="N37" i="31"/>
  <c r="O37" i="31"/>
  <c r="P37" i="31"/>
  <c r="Q37" i="31"/>
  <c r="R37" i="31"/>
  <c r="S37" i="31"/>
  <c r="T37" i="31"/>
  <c r="U37" i="31"/>
  <c r="V37" i="31"/>
  <c r="W37" i="31"/>
  <c r="X37" i="31"/>
  <c r="Y37" i="31"/>
  <c r="Z37" i="31"/>
  <c r="AA37" i="31"/>
  <c r="AB37" i="31"/>
  <c r="AC37" i="31"/>
  <c r="F38" i="31"/>
  <c r="G38" i="31"/>
  <c r="H38" i="31"/>
  <c r="I38" i="31"/>
  <c r="J38" i="31"/>
  <c r="K38" i="31"/>
  <c r="L38" i="31"/>
  <c r="M38" i="31"/>
  <c r="N38" i="31"/>
  <c r="O38" i="31"/>
  <c r="P38" i="31"/>
  <c r="Q38" i="31"/>
  <c r="R38" i="31"/>
  <c r="S38" i="31"/>
  <c r="T38" i="31"/>
  <c r="U38" i="31"/>
  <c r="V38" i="31"/>
  <c r="W38" i="31"/>
  <c r="X38" i="31"/>
  <c r="Y38" i="31"/>
  <c r="Z38" i="31"/>
  <c r="AA38" i="31"/>
  <c r="AB38" i="31"/>
  <c r="AC38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A40" i="31"/>
  <c r="AB40" i="31"/>
  <c r="AC40" i="31"/>
  <c r="F41" i="31"/>
  <c r="G41" i="31"/>
  <c r="H41" i="31"/>
  <c r="I41" i="31"/>
  <c r="J41" i="31"/>
  <c r="K41" i="31"/>
  <c r="L41" i="31"/>
  <c r="M41" i="31"/>
  <c r="N41" i="31"/>
  <c r="O41" i="31"/>
  <c r="P41" i="31"/>
  <c r="Q41" i="31"/>
  <c r="R41" i="31"/>
  <c r="S41" i="31"/>
  <c r="T41" i="31"/>
  <c r="U41" i="31"/>
  <c r="V41" i="31"/>
  <c r="W41" i="31"/>
  <c r="X41" i="31"/>
  <c r="Y41" i="31"/>
  <c r="Z41" i="31"/>
  <c r="AA41" i="31"/>
  <c r="AB41" i="31"/>
  <c r="AC41" i="31"/>
  <c r="F42" i="31"/>
  <c r="G42" i="31"/>
  <c r="H42" i="31"/>
  <c r="I42" i="31"/>
  <c r="J42" i="31"/>
  <c r="K42" i="31"/>
  <c r="L42" i="31"/>
  <c r="M42" i="31"/>
  <c r="N42" i="31"/>
  <c r="O42" i="31"/>
  <c r="P42" i="31"/>
  <c r="Q42" i="31"/>
  <c r="R42" i="31"/>
  <c r="S42" i="31"/>
  <c r="T42" i="31"/>
  <c r="U42" i="31"/>
  <c r="V42" i="31"/>
  <c r="W42" i="31"/>
  <c r="X42" i="31"/>
  <c r="Y42" i="31"/>
  <c r="Z42" i="31"/>
  <c r="AA42" i="31"/>
  <c r="AB42" i="31"/>
  <c r="AC42" i="31"/>
  <c r="F43" i="31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U43" i="31"/>
  <c r="V43" i="31"/>
  <c r="W43" i="31"/>
  <c r="X43" i="31"/>
  <c r="Y43" i="31"/>
  <c r="Z43" i="31"/>
  <c r="AA43" i="31"/>
  <c r="AB43" i="31"/>
  <c r="AC43" i="31"/>
  <c r="F44" i="31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U44" i="31"/>
  <c r="V44" i="31"/>
  <c r="W44" i="31"/>
  <c r="X44" i="31"/>
  <c r="Y44" i="31"/>
  <c r="Z44" i="31"/>
  <c r="AA44" i="31"/>
  <c r="AB44" i="31"/>
  <c r="AC44" i="31"/>
  <c r="F45" i="31"/>
  <c r="G45" i="31"/>
  <c r="H45" i="31"/>
  <c r="I45" i="31"/>
  <c r="J45" i="31"/>
  <c r="K45" i="31"/>
  <c r="L45" i="31"/>
  <c r="M45" i="31"/>
  <c r="N45" i="31"/>
  <c r="O45" i="31"/>
  <c r="P45" i="31"/>
  <c r="Q45" i="31"/>
  <c r="R45" i="31"/>
  <c r="S45" i="31"/>
  <c r="T45" i="31"/>
  <c r="U45" i="31"/>
  <c r="V45" i="31"/>
  <c r="W45" i="31"/>
  <c r="X45" i="31"/>
  <c r="Y45" i="31"/>
  <c r="Z45" i="31"/>
  <c r="AA45" i="31"/>
  <c r="AB45" i="31"/>
  <c r="AC45" i="31"/>
  <c r="F46" i="31"/>
  <c r="G46" i="31"/>
  <c r="H46" i="31"/>
  <c r="I46" i="31"/>
  <c r="J46" i="31"/>
  <c r="K46" i="31"/>
  <c r="L46" i="31"/>
  <c r="M46" i="31"/>
  <c r="N46" i="31"/>
  <c r="O46" i="31"/>
  <c r="P46" i="31"/>
  <c r="Q46" i="31"/>
  <c r="R46" i="31"/>
  <c r="S46" i="31"/>
  <c r="T46" i="31"/>
  <c r="U46" i="31"/>
  <c r="V46" i="31"/>
  <c r="W46" i="31"/>
  <c r="X46" i="31"/>
  <c r="Y46" i="31"/>
  <c r="Z46" i="31"/>
  <c r="AA46" i="31"/>
  <c r="AB46" i="31"/>
  <c r="AC46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U49" i="31"/>
  <c r="V49" i="31"/>
  <c r="W49" i="31"/>
  <c r="X49" i="31"/>
  <c r="Y49" i="31"/>
  <c r="Z49" i="31"/>
  <c r="AA49" i="31"/>
  <c r="AB49" i="31"/>
  <c r="AC49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U52" i="31"/>
  <c r="V52" i="31"/>
  <c r="W52" i="31"/>
  <c r="X52" i="31"/>
  <c r="Y52" i="31"/>
  <c r="Z52" i="31"/>
  <c r="AA52" i="31"/>
  <c r="AB52" i="31"/>
  <c r="AC52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F7" i="31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AB14" i="30"/>
  <c r="AC14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AC16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AC19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AB22" i="30"/>
  <c r="AC22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AC26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Z28" i="30"/>
  <c r="AA28" i="30"/>
  <c r="AB28" i="30"/>
  <c r="AC28" i="30"/>
  <c r="F29" i="30"/>
  <c r="G29" i="30"/>
  <c r="H29" i="30"/>
  <c r="I29" i="30"/>
  <c r="J29" i="30"/>
  <c r="K29" i="30"/>
  <c r="L29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F30" i="30"/>
  <c r="G30" i="30"/>
  <c r="H30" i="30"/>
  <c r="I30" i="30"/>
  <c r="J30" i="30"/>
  <c r="K30" i="30"/>
  <c r="L30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F31" i="30"/>
  <c r="G31" i="30"/>
  <c r="H31" i="30"/>
  <c r="I31" i="30"/>
  <c r="J31" i="30"/>
  <c r="K31" i="30"/>
  <c r="L31" i="30"/>
  <c r="M31" i="30"/>
  <c r="N31" i="30"/>
  <c r="O31" i="30"/>
  <c r="P31" i="30"/>
  <c r="Q31" i="30"/>
  <c r="R31" i="30"/>
  <c r="S31" i="30"/>
  <c r="T31" i="30"/>
  <c r="U31" i="30"/>
  <c r="V31" i="30"/>
  <c r="W31" i="30"/>
  <c r="X31" i="30"/>
  <c r="Y31" i="30"/>
  <c r="Z31" i="30"/>
  <c r="AA31" i="30"/>
  <c r="AB31" i="30"/>
  <c r="AC31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AA32" i="30"/>
  <c r="AB32" i="30"/>
  <c r="AC32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R33" i="30"/>
  <c r="S33" i="30"/>
  <c r="T33" i="30"/>
  <c r="U33" i="30"/>
  <c r="V33" i="30"/>
  <c r="W33" i="30"/>
  <c r="X33" i="30"/>
  <c r="Y33" i="30"/>
  <c r="Z33" i="30"/>
  <c r="AA33" i="30"/>
  <c r="AB33" i="30"/>
  <c r="AC33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T34" i="30"/>
  <c r="U34" i="30"/>
  <c r="V34" i="30"/>
  <c r="W34" i="30"/>
  <c r="X34" i="30"/>
  <c r="Y34" i="30"/>
  <c r="Z34" i="30"/>
  <c r="AA34" i="30"/>
  <c r="AB34" i="30"/>
  <c r="AC34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Z35" i="30"/>
  <c r="AA35" i="30"/>
  <c r="AB35" i="30"/>
  <c r="AC35" i="30"/>
  <c r="F36" i="30"/>
  <c r="G36" i="30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U36" i="30"/>
  <c r="V36" i="30"/>
  <c r="W36" i="30"/>
  <c r="X36" i="30"/>
  <c r="Y36" i="30"/>
  <c r="Z36" i="30"/>
  <c r="AA36" i="30"/>
  <c r="AB36" i="30"/>
  <c r="AC36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R37" i="30"/>
  <c r="S37" i="30"/>
  <c r="T37" i="30"/>
  <c r="U37" i="30"/>
  <c r="V37" i="30"/>
  <c r="W37" i="30"/>
  <c r="X37" i="30"/>
  <c r="Y37" i="30"/>
  <c r="Z37" i="30"/>
  <c r="AA37" i="30"/>
  <c r="AB37" i="30"/>
  <c r="AC37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AA38" i="30"/>
  <c r="AB38" i="30"/>
  <c r="AC38" i="30"/>
  <c r="F39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U39" i="30"/>
  <c r="V39" i="30"/>
  <c r="W39" i="30"/>
  <c r="X39" i="30"/>
  <c r="Y39" i="30"/>
  <c r="Z39" i="30"/>
  <c r="AA39" i="30"/>
  <c r="AB39" i="30"/>
  <c r="AC39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AB41" i="30"/>
  <c r="AC41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Z42" i="30"/>
  <c r="AA42" i="30"/>
  <c r="AB42" i="30"/>
  <c r="AC42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U43" i="30"/>
  <c r="V43" i="30"/>
  <c r="W43" i="30"/>
  <c r="X43" i="30"/>
  <c r="Y43" i="30"/>
  <c r="Z43" i="30"/>
  <c r="AA43" i="30"/>
  <c r="AB43" i="30"/>
  <c r="AC43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U44" i="30"/>
  <c r="V44" i="30"/>
  <c r="W44" i="30"/>
  <c r="X44" i="30"/>
  <c r="Y44" i="30"/>
  <c r="Z44" i="30"/>
  <c r="AA44" i="30"/>
  <c r="AB44" i="30"/>
  <c r="AC44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AB45" i="30"/>
  <c r="AC45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U46" i="30"/>
  <c r="V46" i="30"/>
  <c r="W46" i="30"/>
  <c r="X46" i="30"/>
  <c r="Y46" i="30"/>
  <c r="Z46" i="30"/>
  <c r="AA46" i="30"/>
  <c r="AB46" i="30"/>
  <c r="AC46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AB47" i="30"/>
  <c r="AC47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U48" i="30"/>
  <c r="V48" i="30"/>
  <c r="W48" i="30"/>
  <c r="X48" i="30"/>
  <c r="Y48" i="30"/>
  <c r="Z48" i="30"/>
  <c r="AA48" i="30"/>
  <c r="AB48" i="30"/>
  <c r="AC48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AB50" i="30"/>
  <c r="AC50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U52" i="30"/>
  <c r="V52" i="30"/>
  <c r="W52" i="30"/>
  <c r="X52" i="30"/>
  <c r="Y52" i="30"/>
  <c r="Z52" i="30"/>
  <c r="AA52" i="30"/>
  <c r="AB52" i="30"/>
  <c r="AC52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3" i="30"/>
  <c r="AA53" i="30"/>
  <c r="AB53" i="30"/>
  <c r="AC53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Y8" i="29"/>
  <c r="Z8" i="29"/>
  <c r="AA8" i="29"/>
  <c r="AB8" i="29"/>
  <c r="AC8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AB10" i="29"/>
  <c r="AC10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Y12" i="29"/>
  <c r="Z12" i="29"/>
  <c r="AA12" i="29"/>
  <c r="AB12" i="29"/>
  <c r="AC12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W14" i="29"/>
  <c r="X14" i="29"/>
  <c r="Y14" i="29"/>
  <c r="Z14" i="29"/>
  <c r="AA14" i="29"/>
  <c r="AB14" i="29"/>
  <c r="AC14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Y15" i="29"/>
  <c r="Z15" i="29"/>
  <c r="AA15" i="29"/>
  <c r="AB15" i="29"/>
  <c r="AC15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Y16" i="29"/>
  <c r="Z16" i="29"/>
  <c r="AA16" i="29"/>
  <c r="AB16" i="29"/>
  <c r="AC16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Y17" i="29"/>
  <c r="Z17" i="29"/>
  <c r="AA17" i="29"/>
  <c r="AB17" i="29"/>
  <c r="AC17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W18" i="29"/>
  <c r="X18" i="29"/>
  <c r="Y18" i="29"/>
  <c r="Z18" i="29"/>
  <c r="AA18" i="29"/>
  <c r="AB18" i="29"/>
  <c r="AC18" i="29"/>
  <c r="F19" i="29"/>
  <c r="G19" i="29"/>
  <c r="H19" i="29"/>
  <c r="I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W19" i="29"/>
  <c r="X19" i="29"/>
  <c r="Y19" i="29"/>
  <c r="Z19" i="29"/>
  <c r="AA19" i="29"/>
  <c r="AB19" i="29"/>
  <c r="AC19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W20" i="29"/>
  <c r="X20" i="29"/>
  <c r="Y20" i="29"/>
  <c r="Z20" i="29"/>
  <c r="AA20" i="29"/>
  <c r="AB20" i="29"/>
  <c r="AC20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W40" i="29"/>
  <c r="X40" i="29"/>
  <c r="Y40" i="29"/>
  <c r="Z40" i="29"/>
  <c r="AA40" i="29"/>
  <c r="AB40" i="29"/>
  <c r="AC40" i="29"/>
  <c r="F41" i="29"/>
  <c r="G41" i="29"/>
  <c r="H41" i="29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W41" i="29"/>
  <c r="X41" i="29"/>
  <c r="Y41" i="29"/>
  <c r="Z41" i="29"/>
  <c r="AA41" i="29"/>
  <c r="AB41" i="29"/>
  <c r="AC41" i="29"/>
  <c r="F42" i="29"/>
  <c r="G42" i="29"/>
  <c r="H42" i="29"/>
  <c r="I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W42" i="29"/>
  <c r="X42" i="29"/>
  <c r="Y42" i="29"/>
  <c r="Z42" i="29"/>
  <c r="AA42" i="29"/>
  <c r="AB42" i="29"/>
  <c r="AC42" i="29"/>
  <c r="F43" i="29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W43" i="29"/>
  <c r="X43" i="29"/>
  <c r="Y43" i="29"/>
  <c r="Z43" i="29"/>
  <c r="AA43" i="29"/>
  <c r="AB43" i="29"/>
  <c r="AC43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W44" i="29"/>
  <c r="X44" i="29"/>
  <c r="Y44" i="29"/>
  <c r="Z44" i="29"/>
  <c r="AA44" i="29"/>
  <c r="AB44" i="29"/>
  <c r="AC44" i="29"/>
  <c r="F45" i="29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W45" i="29"/>
  <c r="X45" i="29"/>
  <c r="Y45" i="29"/>
  <c r="Z45" i="29"/>
  <c r="AA45" i="29"/>
  <c r="AB45" i="29"/>
  <c r="AC45" i="29"/>
  <c r="F46" i="29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W46" i="29"/>
  <c r="X46" i="29"/>
  <c r="Y46" i="29"/>
  <c r="Z46" i="29"/>
  <c r="AA46" i="29"/>
  <c r="AB46" i="29"/>
  <c r="AC46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W49" i="29"/>
  <c r="X49" i="29"/>
  <c r="Y49" i="29"/>
  <c r="Z49" i="29"/>
  <c r="AA49" i="29"/>
  <c r="AB49" i="29"/>
  <c r="AC49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F52" i="29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W52" i="29"/>
  <c r="X52" i="29"/>
  <c r="Y52" i="29"/>
  <c r="Z52" i="29"/>
  <c r="AA52" i="29"/>
  <c r="AB52" i="29"/>
  <c r="AC52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F7" i="29"/>
  <c r="AD27" i="40" l="1"/>
  <c r="C14" i="41" s="1"/>
  <c r="AD31" i="40"/>
  <c r="C15" i="41" s="1"/>
  <c r="AD35" i="40"/>
  <c r="C16" i="41" s="1"/>
  <c r="AD11" i="16"/>
  <c r="AD15" i="16"/>
  <c r="AD19" i="16"/>
  <c r="AD23" i="16"/>
  <c r="AD27" i="16"/>
  <c r="AD31" i="16"/>
  <c r="AD35" i="16"/>
  <c r="AD39" i="16"/>
  <c r="AD43" i="16"/>
  <c r="AD47" i="16"/>
  <c r="AD51" i="16"/>
  <c r="AD31" i="30"/>
  <c r="AD35" i="30"/>
  <c r="AD51" i="40" l="1"/>
  <c r="C20" i="41" s="1"/>
  <c r="AD47" i="40"/>
  <c r="C19" i="41" s="1"/>
  <c r="AD43" i="40"/>
  <c r="C18" i="41" s="1"/>
  <c r="AD39" i="40"/>
  <c r="C17" i="41" s="1"/>
  <c r="AD23" i="40"/>
  <c r="C13" i="41" s="1"/>
  <c r="AD19" i="40"/>
  <c r="C12" i="41" s="1"/>
  <c r="AD15" i="40"/>
  <c r="C11" i="41" s="1"/>
  <c r="AD11" i="40"/>
  <c r="C10" i="41" s="1"/>
  <c r="AD7" i="40"/>
  <c r="C9" i="41" s="1"/>
  <c r="AD55" i="40" l="1"/>
  <c r="AD31" i="29"/>
  <c r="AD35" i="29"/>
  <c r="AD39" i="31"/>
  <c r="AD23" i="31"/>
  <c r="AD11" i="30"/>
  <c r="C10" i="33" s="1"/>
  <c r="AD15" i="30"/>
  <c r="C11" i="33" s="1"/>
  <c r="AD19" i="30"/>
  <c r="C12" i="33" s="1"/>
  <c r="AD27" i="30"/>
  <c r="C14" i="33" s="1"/>
  <c r="C15" i="33"/>
  <c r="C16" i="33"/>
  <c r="AD43" i="30"/>
  <c r="C18" i="33" s="1"/>
  <c r="AD47" i="30"/>
  <c r="C19" i="33" s="1"/>
  <c r="AD51" i="30"/>
  <c r="C20" i="33" s="1"/>
  <c r="AD39" i="30"/>
  <c r="C17" i="33" s="1"/>
  <c r="AD23" i="30"/>
  <c r="C13" i="33" s="1"/>
  <c r="AD7" i="30"/>
  <c r="C9" i="33" s="1"/>
  <c r="AD43" i="29"/>
  <c r="C18" i="32" s="1"/>
  <c r="AD23" i="29"/>
  <c r="C13" i="32" s="1"/>
  <c r="C17" i="34" l="1"/>
  <c r="C13" i="34"/>
  <c r="AD51" i="31"/>
  <c r="AD43" i="31"/>
  <c r="AD35" i="31"/>
  <c r="AD31" i="31"/>
  <c r="AD27" i="31"/>
  <c r="AD19" i="31"/>
  <c r="AD15" i="31"/>
  <c r="AD11" i="31"/>
  <c r="AD47" i="31"/>
  <c r="C21" i="33"/>
  <c r="C23" i="33" s="1"/>
  <c r="AD7" i="31"/>
  <c r="AD55" i="30"/>
  <c r="AD11" i="29"/>
  <c r="C10" i="32" s="1"/>
  <c r="AD15" i="29"/>
  <c r="C11" i="32" s="1"/>
  <c r="AD19" i="29"/>
  <c r="C12" i="32" s="1"/>
  <c r="AD27" i="29"/>
  <c r="C14" i="32" s="1"/>
  <c r="C15" i="32"/>
  <c r="C16" i="32"/>
  <c r="AD39" i="29"/>
  <c r="C17" i="32" s="1"/>
  <c r="AD47" i="29"/>
  <c r="C19" i="32" s="1"/>
  <c r="AD51" i="29"/>
  <c r="C20" i="32" s="1"/>
  <c r="AD7" i="29"/>
  <c r="C10" i="34" l="1"/>
  <c r="C15" i="34"/>
  <c r="C12" i="34"/>
  <c r="C16" i="34"/>
  <c r="C14" i="34"/>
  <c r="C18" i="34"/>
  <c r="C11" i="34"/>
  <c r="C19" i="34"/>
  <c r="C20" i="34"/>
  <c r="C9" i="32"/>
  <c r="AD55" i="29"/>
  <c r="AD55" i="31"/>
  <c r="C9" i="34"/>
  <c r="C21" i="32" l="1"/>
  <c r="C21" i="34"/>
  <c r="C16" i="39" l="1"/>
  <c r="C15" i="39"/>
  <c r="C14" i="39"/>
  <c r="AD7" i="16"/>
  <c r="C11" i="39" l="1"/>
  <c r="C12" i="39"/>
  <c r="C17" i="39"/>
  <c r="C10" i="39"/>
  <c r="C18" i="39"/>
  <c r="C9" i="39"/>
  <c r="C19" i="39"/>
  <c r="C13" i="39"/>
  <c r="C20" i="39"/>
  <c r="AD55" i="16"/>
  <c r="AD7" i="14"/>
  <c r="AD11" i="14"/>
  <c r="AD15" i="14"/>
  <c r="AD19" i="14"/>
  <c r="AD23" i="14"/>
  <c r="AD27" i="14"/>
  <c r="AD31" i="14"/>
  <c r="AD35" i="14"/>
  <c r="AD39" i="14"/>
  <c r="AD43" i="14"/>
  <c r="AD47" i="14"/>
  <c r="AD51" i="14"/>
  <c r="C21" i="41" l="1"/>
  <c r="C21" i="39"/>
  <c r="AD55" i="14"/>
</calcChain>
</file>

<file path=xl/sharedStrings.xml><?xml version="1.0" encoding="utf-8"?>
<sst xmlns="http://schemas.openxmlformats.org/spreadsheetml/2006/main" count="668" uniqueCount="78">
  <si>
    <t>CANTIDADES DE ENERGÍA SOLICITADAS (kWh)</t>
  </si>
  <si>
    <t>EMPRESAS PÚBLICAS DE MEDELLÍN E.S.P.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</si>
  <si>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</si>
  <si>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</si>
  <si>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</si>
  <si>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</si>
  <si>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</si>
  <si>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</si>
  <si>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</si>
  <si>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</si>
  <si>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</si>
  <si>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</si>
  <si>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</si>
  <si>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</si>
  <si>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</si>
  <si>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</si>
  <si>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</si>
  <si>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</si>
  <si>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</si>
  <si>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</si>
  <si>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</si>
  <si>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</si>
  <si>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</si>
  <si>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</si>
  <si>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</si>
  <si>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</si>
  <si>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</si>
  <si>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</si>
  <si>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</si>
  <si>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</si>
  <si>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</si>
  <si>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</si>
  <si>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</si>
  <si>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</si>
  <si>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</si>
  <si>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</si>
  <si>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</si>
  <si>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</si>
  <si>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</si>
  <si>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</si>
  <si>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</si>
  <si>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</si>
  <si>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</si>
  <si>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</si>
  <si>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</si>
  <si>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</si>
  <si>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</si>
  <si>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NOMBRE DEL OFERENTE</t>
  </si>
  <si>
    <t xml:space="preserve"> PRECIOS Y CANTIDADES DE ENERGIA OFERTADA</t>
  </si>
  <si>
    <t>MES</t>
  </si>
  <si>
    <t>Energia Solicitada kWh</t>
  </si>
  <si>
    <t>%</t>
  </si>
  <si>
    <t>Energia Ofertada kWh</t>
  </si>
  <si>
    <t>Precio $/KWh</t>
  </si>
  <si>
    <t>$/kWh</t>
  </si>
  <si>
    <t>Total año</t>
  </si>
  <si>
    <t xml:space="preserve">Notas: </t>
  </si>
  <si>
    <r>
      <t>2.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Tipo de Contrato: pague lo contratado.</t>
    </r>
  </si>
  <si>
    <t>AÑO 2026</t>
  </si>
  <si>
    <t>AÑO 2027</t>
  </si>
  <si>
    <t>AÑO 2028</t>
  </si>
  <si>
    <t>AÑO 2029</t>
  </si>
  <si>
    <t>AÑO 2030</t>
  </si>
  <si>
    <t>OFERTA - CURVA</t>
  </si>
  <si>
    <t>4.       El % y el precio debe ser el mismo para todos los meses del año</t>
  </si>
  <si>
    <r>
      <t>1.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por año</t>
    </r>
  </si>
  <si>
    <t>EN PESOS DE OCTUBRE 2025</t>
  </si>
  <si>
    <r>
      <t>3.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Precio ofertado en $kWh, en pesos de octubre 2025</t>
    </r>
  </si>
  <si>
    <t>DISTRIBUCIÓN HORARIA PRODUCTOS 1 A 5 AÑOS 2026 A 2030</t>
  </si>
  <si>
    <t xml:space="preserve">                                              </t>
  </si>
  <si>
    <r>
      <t>3.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Precio ofertado en $kWh, en pesos de octubre 2025.</t>
    </r>
  </si>
  <si>
    <r>
      <t>1.</t>
    </r>
    <r>
      <rPr>
        <sz val="7"/>
        <rFont val="Times New Roman"/>
        <family val="1"/>
      </rPr>
      <t xml:space="preserve">            </t>
    </r>
    <r>
      <rPr>
        <sz val="11"/>
        <rFont val="Trebuchet MS"/>
        <family val="2"/>
      </rPr>
      <t>La Energía Ofertada se distribuye en forma horaria de acuerdo con la  curva de carga presentada en la hoja Cantidades por año.</t>
    </r>
  </si>
  <si>
    <t>OFERTA - CURVA O PLANA</t>
  </si>
  <si>
    <t>4.       El precio debe ser el mismo para todos los meses del año</t>
  </si>
  <si>
    <t>5.       Tope horario ofertas planas de 60.000 KWh</t>
  </si>
  <si>
    <t>5.       Tope horario ofertas planas de 100.000 KWh</t>
  </si>
  <si>
    <t xml:space="preserve">5.       % variable por mes, siempre y cuando la oferta para cada uno de los meses de enero a abril y diciembre sea mayor o igual al 20% </t>
  </si>
  <si>
    <t xml:space="preserve">          de la energía del mes con mayor cantidad ofertada de los meses de mayo 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</si>
</sst>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_-;\-* #,##0_-;_-* &quot;-&quot;??_-;_-@_-"/>
    <numFmt numFmtId="168" formatCode="_-* #,##0.00_-;\-* #,##0.00_-;_-* &quot;-&quot;_-;_-@_-"/>
    <numFmt numFmtId="169" formatCode="_-* #,##0.00\ _€_-;\-* #,##0.00\ _€_-;_-* &quot;-&quot;\ _€_-;_-@_-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DIN-Regular"/>
      <family val="2"/>
    </font>
    <font>
      <b/>
      <sz val="11"/>
      <color theme="1"/>
      <name val="Trebuchet MS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sz val="7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CCFF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 applyProtection="1">
      <protection locked="0"/>
    </xf>
    <xf numFmtId="41" fontId="1" fillId="0" borderId="0" xfId="9" applyFont="1" applyProtection="1">
      <protection locked="0"/>
    </xf>
    <xf numFmtId="0" fontId="3" fillId="3" borderId="2" xfId="1" applyFont="1" applyFill="1" applyBorder="1" applyAlignment="1" applyProtection="1">
      <alignment horizontal="center"/>
      <protection locked="0"/>
    </xf>
    <xf numFmtId="3" fontId="4" fillId="3" borderId="7" xfId="1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67" fontId="1" fillId="0" borderId="1" xfId="10" applyNumberFormat="1" applyFont="1" applyBorder="1" applyAlignment="1" applyProtection="1">
      <alignment horizontal="center" vertical="center" wrapText="1"/>
      <protection locked="0"/>
    </xf>
    <xf numFmtId="168" fontId="1" fillId="0" borderId="0" xfId="2" applyNumberFormat="1" applyFont="1" applyProtection="1">
      <protection locked="0"/>
    </xf>
    <xf numFmtId="3" fontId="2" fillId="0" borderId="1" xfId="0" applyNumberFormat="1" applyFont="1" applyBorder="1" applyProtection="1">
      <protection locked="0"/>
    </xf>
    <xf numFmtId="4" fontId="1" fillId="0" borderId="0" xfId="0" applyNumberFormat="1" applyFont="1" applyProtection="1">
      <protection locked="0"/>
    </xf>
    <xf numFmtId="3" fontId="4" fillId="3" borderId="4" xfId="1" applyNumberFormat="1" applyFont="1" applyFill="1" applyBorder="1" applyAlignment="1" applyProtection="1">
      <alignment horizontal="center"/>
      <protection locked="0"/>
    </xf>
    <xf numFmtId="3" fontId="4" fillId="3" borderId="5" xfId="1" applyNumberFormat="1" applyFont="1" applyFill="1" applyBorder="1" applyAlignment="1" applyProtection="1">
      <alignment horizontal="center"/>
      <protection locked="0"/>
    </xf>
    <xf numFmtId="3" fontId="4" fillId="3" borderId="6" xfId="1" applyNumberFormat="1" applyFont="1" applyFill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4" fontId="2" fillId="0" borderId="1" xfId="0" applyNumberFormat="1" applyFont="1" applyBorder="1" applyAlignment="1" applyProtection="1">
      <alignment horizontal="center" vertical="center"/>
      <protection locked="0"/>
    </xf>
    <xf numFmtId="43" fontId="1" fillId="0" borderId="0" xfId="10" applyFont="1" applyProtection="1">
      <protection locked="0"/>
    </xf>
    <xf numFmtId="0" fontId="6" fillId="0" borderId="0" xfId="2" applyProtection="1">
      <protection locked="0"/>
    </xf>
    <xf numFmtId="0" fontId="7" fillId="0" borderId="0" xfId="2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7" fillId="0" borderId="0" xfId="2" applyFont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1" fillId="0" borderId="0" xfId="2" applyFont="1" applyProtection="1">
      <protection locked="0"/>
    </xf>
    <xf numFmtId="17" fontId="2" fillId="0" borderId="18" xfId="0" applyNumberFormat="1" applyFont="1" applyBorder="1" applyAlignment="1" applyProtection="1">
      <alignment horizontal="center" vertical="center"/>
      <protection locked="0"/>
    </xf>
    <xf numFmtId="169" fontId="1" fillId="0" borderId="26" xfId="5" applyNumberFormat="1" applyFont="1" applyFill="1" applyBorder="1" applyAlignment="1" applyProtection="1">
      <alignment horizontal="center" vertical="center"/>
      <protection locked="0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17" fontId="2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10" fontId="1" fillId="0" borderId="0" xfId="2" applyNumberFormat="1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167" fontId="1" fillId="0" borderId="0" xfId="2" applyNumberFormat="1" applyFont="1" applyProtection="1">
      <protection locked="0"/>
    </xf>
    <xf numFmtId="0" fontId="12" fillId="0" borderId="0" xfId="0" applyFont="1" applyAlignment="1" applyProtection="1">
      <alignment horizontal="left" vertical="center" indent="13"/>
      <protection locked="0"/>
    </xf>
    <xf numFmtId="164" fontId="6" fillId="0" borderId="0" xfId="2" applyNumberFormat="1" applyProtection="1">
      <protection locked="0"/>
    </xf>
    <xf numFmtId="17" fontId="2" fillId="0" borderId="16" xfId="0" applyNumberFormat="1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23" xfId="0" applyNumberFormat="1" applyFont="1" applyBorder="1" applyAlignment="1" applyProtection="1">
      <alignment horizontal="center" vertical="center"/>
      <protection locked="0"/>
    </xf>
    <xf numFmtId="2" fontId="1" fillId="0" borderId="32" xfId="0" applyNumberFormat="1" applyFont="1" applyBorder="1" applyAlignment="1" applyProtection="1">
      <alignment horizontal="center" vertical="center"/>
      <protection locked="0"/>
    </xf>
    <xf numFmtId="169" fontId="1" fillId="0" borderId="34" xfId="5" applyNumberFormat="1" applyFont="1" applyFill="1" applyBorder="1" applyAlignment="1" applyProtection="1">
      <alignment horizontal="center" vertical="center"/>
      <protection locked="0"/>
    </xf>
    <xf numFmtId="169" fontId="1" fillId="0" borderId="18" xfId="5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167" fontId="1" fillId="0" borderId="0" xfId="10" applyNumberFormat="1" applyFont="1" applyProtection="1">
      <protection locked="0"/>
    </xf>
    <xf numFmtId="169" fontId="2" fillId="0" borderId="19" xfId="5" applyNumberFormat="1" applyFont="1" applyFill="1" applyBorder="1" applyAlignment="1" applyProtection="1">
      <alignment horizontal="center" vertical="center"/>
      <protection locked="0"/>
    </xf>
    <xf numFmtId="169" fontId="2" fillId="0" borderId="20" xfId="5" applyNumberFormat="1" applyFont="1" applyFill="1" applyBorder="1" applyAlignment="1" applyProtection="1">
      <alignment horizontal="center" vertical="center"/>
      <protection locked="0"/>
    </xf>
    <xf numFmtId="0" fontId="2" fillId="0" borderId="27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1" fillId="0" borderId="28" xfId="0" applyFont="1" applyBorder="1" applyProtection="1">
      <protection locked="0"/>
    </xf>
    <xf numFmtId="41" fontId="1" fillId="0" borderId="0" xfId="2" applyNumberFormat="1" applyFont="1" applyProtection="1">
      <protection locked="0"/>
    </xf>
    <xf numFmtId="169" fontId="1" fillId="0" borderId="35" xfId="5" applyNumberFormat="1" applyFont="1" applyFill="1" applyBorder="1" applyAlignment="1" applyProtection="1">
      <alignment horizontal="center" vertical="center"/>
      <protection locked="0"/>
    </xf>
    <xf numFmtId="169" fontId="2" fillId="0" borderId="36" xfId="5" applyNumberFormat="1" applyFont="1" applyFill="1" applyBorder="1" applyAlignment="1" applyProtection="1">
      <alignment horizontal="center" vertical="center"/>
      <protection locked="0"/>
    </xf>
    <xf numFmtId="9" fontId="1" fillId="5" borderId="1" xfId="3" applyFont="1" applyFill="1" applyBorder="1" applyAlignment="1" applyProtection="1">
      <alignment horizontal="center" vertical="center"/>
      <protection locked="0"/>
    </xf>
    <xf numFmtId="169" fontId="1" fillId="0" borderId="37" xfId="5" applyNumberFormat="1" applyFont="1" applyFill="1" applyBorder="1" applyAlignment="1" applyProtection="1">
      <alignment horizontal="center" vertical="center"/>
      <protection locked="0"/>
    </xf>
    <xf numFmtId="9" fontId="1" fillId="5" borderId="17" xfId="3" applyFont="1" applyFill="1" applyBorder="1" applyAlignment="1" applyProtection="1">
      <alignment horizontal="center" vertical="center"/>
      <protection locked="0"/>
    </xf>
    <xf numFmtId="9" fontId="1" fillId="5" borderId="20" xfId="3" applyFont="1" applyFill="1" applyBorder="1" applyAlignment="1" applyProtection="1">
      <alignment horizontal="center" vertical="center"/>
      <protection locked="0"/>
    </xf>
    <xf numFmtId="9" fontId="1" fillId="5" borderId="38" xfId="3" applyFont="1" applyFill="1" applyBorder="1" applyAlignment="1" applyProtection="1">
      <alignment horizontal="center" vertical="center"/>
      <protection locked="0"/>
    </xf>
    <xf numFmtId="9" fontId="1" fillId="5" borderId="39" xfId="3" applyFont="1" applyFill="1" applyBorder="1" applyAlignment="1" applyProtection="1">
      <alignment horizontal="center" vertical="center"/>
      <protection locked="0"/>
    </xf>
    <xf numFmtId="9" fontId="1" fillId="5" borderId="40" xfId="3" applyFont="1" applyFill="1" applyBorder="1" applyAlignment="1" applyProtection="1">
      <alignment horizontal="center" vertical="center"/>
      <protection locked="0"/>
    </xf>
    <xf numFmtId="169" fontId="1" fillId="0" borderId="41" xfId="5" applyNumberFormat="1" applyFont="1" applyFill="1" applyBorder="1" applyAlignment="1" applyProtection="1">
      <alignment horizontal="center" vertical="center"/>
      <protection locked="0"/>
    </xf>
    <xf numFmtId="169" fontId="2" fillId="0" borderId="42" xfId="5" applyNumberFormat="1" applyFont="1" applyFill="1" applyBorder="1" applyAlignment="1" applyProtection="1">
      <alignment horizontal="center" vertical="center"/>
      <protection locked="0"/>
    </xf>
    <xf numFmtId="17" fontId="2" fillId="0" borderId="38" xfId="0" applyNumberFormat="1" applyFont="1" applyBorder="1" applyAlignment="1" applyProtection="1">
      <alignment horizontal="center" vertical="center"/>
      <protection locked="0"/>
    </xf>
    <xf numFmtId="17" fontId="2" fillId="0" borderId="39" xfId="0" applyNumberFormat="1" applyFont="1" applyBorder="1" applyAlignment="1" applyProtection="1">
      <alignment horizontal="center" vertical="center"/>
      <protection locked="0"/>
    </xf>
    <xf numFmtId="17" fontId="2" fillId="0" borderId="40" xfId="0" applyNumberFormat="1" applyFont="1" applyBorder="1" applyAlignment="1" applyProtection="1">
      <alignment horizontal="center" vertical="center"/>
      <protection locked="0"/>
    </xf>
    <xf numFmtId="169" fontId="1" fillId="0" borderId="0" xfId="2" applyNumberFormat="1" applyFont="1" applyProtection="1">
      <protection locked="0"/>
    </xf>
    <xf numFmtId="4" fontId="1" fillId="0" borderId="24" xfId="0" applyNumberFormat="1" applyFont="1" applyBorder="1" applyAlignment="1" applyProtection="1">
      <alignment horizontal="center" vertical="center" wrapText="1"/>
      <protection locked="0"/>
    </xf>
    <xf numFmtId="4" fontId="1" fillId="0" borderId="25" xfId="0" applyNumberFormat="1" applyFont="1" applyBorder="1" applyAlignment="1" applyProtection="1">
      <alignment horizontal="center" vertical="center" wrapText="1"/>
      <protection locked="0"/>
    </xf>
    <xf numFmtId="4" fontId="1" fillId="0" borderId="26" xfId="0" applyNumberFormat="1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6" fontId="1" fillId="5" borderId="7" xfId="4" applyNumberFormat="1" applyFont="1" applyFill="1" applyBorder="1" applyAlignment="1" applyProtection="1">
      <alignment horizontal="center" vertical="center"/>
      <protection locked="0"/>
    </xf>
    <xf numFmtId="166" fontId="1" fillId="5" borderId="21" xfId="4" applyNumberFormat="1" applyFont="1" applyFill="1" applyBorder="1" applyAlignment="1" applyProtection="1">
      <alignment horizontal="center" vertical="center"/>
      <protection locked="0"/>
    </xf>
    <xf numFmtId="166" fontId="1" fillId="5" borderId="22" xfId="4" applyNumberFormat="1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9" fillId="4" borderId="9" xfId="0" applyFont="1" applyFill="1" applyBorder="1" applyAlignment="1" applyProtection="1">
      <alignment horizontal="center"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9" fontId="1" fillId="5" borderId="5" xfId="3" applyFont="1" applyFill="1" applyBorder="1" applyAlignment="1" applyProtection="1">
      <alignment horizontal="center" vertical="center"/>
      <protection locked="0"/>
    </xf>
    <xf numFmtId="9" fontId="1" fillId="5" borderId="25" xfId="3" applyFont="1" applyFill="1" applyBorder="1" applyAlignment="1" applyProtection="1">
      <alignment horizontal="center" vertical="center"/>
      <protection locked="0"/>
    </xf>
    <xf numFmtId="9" fontId="1" fillId="5" borderId="30" xfId="3" applyFont="1" applyFill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 wrapText="1"/>
      <protection locked="0"/>
    </xf>
    <xf numFmtId="3" fontId="1" fillId="0" borderId="24" xfId="0" applyNumberFormat="1" applyFont="1" applyBorder="1" applyAlignment="1" applyProtection="1">
      <alignment horizontal="center" vertical="center" wrapText="1"/>
      <protection locked="0"/>
    </xf>
    <xf numFmtId="3" fontId="1" fillId="0" borderId="25" xfId="0" applyNumberFormat="1" applyFont="1" applyBorder="1" applyAlignment="1" applyProtection="1">
      <alignment horizontal="center" vertical="center" wrapText="1"/>
      <protection locked="0"/>
    </xf>
    <xf numFmtId="3" fontId="1" fillId="0" borderId="26" xfId="0" applyNumberFormat="1" applyFont="1" applyBorder="1" applyAlignment="1" applyProtection="1">
      <alignment horizontal="center" vertical="center" wrapText="1"/>
      <protection locked="0"/>
    </xf>
  </cellXfs>
  <cellStyles count="11">
    <cellStyle name="Millares" xfId="10" builtinId="3"/>
    <cellStyle name="Millares [0]" xfId="9" builtinId="6"/>
    <cellStyle name="Millares [0] 2" xfId="5" xr:uid="{6569F618-52BD-49C5-89D1-929E16557673}"/>
    <cellStyle name="Millares [0] 3" xfId="6" xr:uid="{00000000-0005-0000-0000-000034000000}"/>
    <cellStyle name="Millares 2" xfId="4" xr:uid="{1F92F91B-2AD6-48EE-8DE0-A5E6DFE3DBBC}"/>
    <cellStyle name="Normal" xfId="0" builtinId="0"/>
    <cellStyle name="Normal 2" xfId="1" xr:uid="{0C3ADCF0-D3C5-4B22-BBD6-E5AC07BE49AB}"/>
    <cellStyle name="Normal 3" xfId="2" xr:uid="{04A66F1E-99A6-4DDE-ACF0-1A9630326BF7}"/>
    <cellStyle name="Normal 3 2" xfId="7" xr:uid="{00000000-0005-0000-0000-000035000000}"/>
    <cellStyle name="Porcentaje 2" xfId="3" xr:uid="{68E02398-A5A2-4B9C-967C-E98F22BB8F7B}"/>
    <cellStyle name="Porcentaje 3" xfId="8" xr:uid="{00000000-0005-0000-0000-000036000000}"/>
  </cellStyles>
  <dxfs count="0"/>
  <tableStyles count="1" defaultTableStyle="TableStyleMedium2" defaultPivotStyle="PivotStyleLight16">
    <tableStyle name="Invisible" pivot="0" table="0" count="0" xr9:uid="{15C9B4E3-0761-4CC8-8B2A-296904A86673}"/>
  </tableStyles>
  <colors>
    <mruColors>
      <color rgb="FFCC33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62823-2025/Demanda/CalculoFaltanteEnergia_2026.xls" TargetMode="External"/><Relationship Id="rId1" Type="http://schemas.openxmlformats.org/officeDocument/2006/relationships/externalLinkPath" Target="CalculoFaltanteEnergia_202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62823-2025/Demanda/CalculoFaltanteEnergia_2027.xls" TargetMode="External"/><Relationship Id="rId1" Type="http://schemas.openxmlformats.org/officeDocument/2006/relationships/externalLinkPath" Target="CalculoFaltanteEnergia_2027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62823-2025/Demanda/CalculoFaltanteEnergia_2028.xls" TargetMode="External"/><Relationship Id="rId1" Type="http://schemas.openxmlformats.org/officeDocument/2006/relationships/externalLinkPath" Target="CalculoFaltanteEnergia_202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62823-2025/Demanda/CalculoFaltanteEnergia_2029.xls" TargetMode="External"/><Relationship Id="rId1" Type="http://schemas.openxmlformats.org/officeDocument/2006/relationships/externalLinkPath" Target="CalculoFaltanteEnergia_2029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.sharepoint.com/sites/file-7501-ute/7501_TCE/CompraEnergia/ComprasBilateralesSICEP/CompraCRW362823-2025/Demanda/CalculoFaltanteEnergia_2030.xls" TargetMode="External"/><Relationship Id="rId1" Type="http://schemas.openxmlformats.org/officeDocument/2006/relationships/externalLinkPath" Target="CalculoFaltanteEnergia_20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124.57885634</v>
          </cell>
          <cell r="G7">
            <v>109.40269653200001</v>
          </cell>
          <cell r="H7">
            <v>100.41145000200001</v>
          </cell>
          <cell r="I7">
            <v>98.605226345999995</v>
          </cell>
          <cell r="J7">
            <v>105.05261813599999</v>
          </cell>
          <cell r="K7">
            <v>134.05026259200002</v>
          </cell>
          <cell r="L7">
            <v>164.22999501999999</v>
          </cell>
          <cell r="M7">
            <v>141.470413812</v>
          </cell>
          <cell r="N7">
            <v>156.36604711400003</v>
          </cell>
          <cell r="O7">
            <v>167.01961551799999</v>
          </cell>
          <cell r="P7">
            <v>185.61287702600001</v>
          </cell>
          <cell r="Q7">
            <v>202.260990574</v>
          </cell>
          <cell r="R7">
            <v>210.04327371800002</v>
          </cell>
          <cell r="S7">
            <v>210.181560074</v>
          </cell>
          <cell r="T7">
            <v>216.24883129</v>
          </cell>
          <cell r="U7">
            <v>217.60514582800002</v>
          </cell>
          <cell r="V7">
            <v>209.83675659799999</v>
          </cell>
          <cell r="W7">
            <v>197.86016563999999</v>
          </cell>
          <cell r="X7">
            <v>205.47696804</v>
          </cell>
          <cell r="Y7">
            <v>211.23692635200001</v>
          </cell>
          <cell r="Z7">
            <v>195.67096547999998</v>
          </cell>
          <cell r="AA7">
            <v>172.83975606400003</v>
          </cell>
          <cell r="AB7">
            <v>134.39819646399999</v>
          </cell>
          <cell r="AC7">
            <v>112.91911783400001</v>
          </cell>
        </row>
        <row r="8">
          <cell r="F8">
            <v>118.96908285600001</v>
          </cell>
          <cell r="G8">
            <v>103.50348752399999</v>
          </cell>
          <cell r="H8">
            <v>93.86635573400001</v>
          </cell>
          <cell r="I8">
            <v>89.493934322000001</v>
          </cell>
          <cell r="J8">
            <v>96.596150062000007</v>
          </cell>
          <cell r="K8">
            <v>111.26078684399998</v>
          </cell>
          <cell r="L8">
            <v>132.73707630600001</v>
          </cell>
          <cell r="M8">
            <v>110.59477654999999</v>
          </cell>
          <cell r="N8">
            <v>129.663428006</v>
          </cell>
          <cell r="O8">
            <v>147.61703537400001</v>
          </cell>
          <cell r="P8">
            <v>161.70292721400003</v>
          </cell>
          <cell r="Q8">
            <v>175.20601646599999</v>
          </cell>
          <cell r="R8">
            <v>177.04463452799999</v>
          </cell>
          <cell r="S8">
            <v>175.06108358199998</v>
          </cell>
          <cell r="T8">
            <v>170.87707936999999</v>
          </cell>
          <cell r="U8">
            <v>169.467147528</v>
          </cell>
          <cell r="V8">
            <v>168.90140633999999</v>
          </cell>
          <cell r="W8">
            <v>165.20064773799999</v>
          </cell>
          <cell r="X8">
            <v>182.09969738999999</v>
          </cell>
          <cell r="Y8">
            <v>185.82416391999999</v>
          </cell>
          <cell r="Z8">
            <v>169.10594285400001</v>
          </cell>
          <cell r="AA8">
            <v>147.06699067400001</v>
          </cell>
          <cell r="AB8">
            <v>123.122858718</v>
          </cell>
          <cell r="AC8">
            <v>96.953000369999998</v>
          </cell>
        </row>
        <row r="9">
          <cell r="F9">
            <v>118.964995538</v>
          </cell>
          <cell r="G9">
            <v>101.99138756800001</v>
          </cell>
          <cell r="H9">
            <v>90.357159564</v>
          </cell>
          <cell r="I9">
            <v>83.682428328000015</v>
          </cell>
          <cell r="J9">
            <v>85.34286603000001</v>
          </cell>
          <cell r="K9">
            <v>91.906505297999999</v>
          </cell>
          <cell r="L9">
            <v>101.72042286400001</v>
          </cell>
          <cell r="M9">
            <v>72.813263171999992</v>
          </cell>
          <cell r="N9">
            <v>87.474925335999998</v>
          </cell>
          <cell r="O9">
            <v>104.21095702</v>
          </cell>
          <cell r="P9">
            <v>117.27450751800001</v>
          </cell>
          <cell r="Q9">
            <v>135.06614285600003</v>
          </cell>
          <cell r="R9">
            <v>146.760968502</v>
          </cell>
          <cell r="S9">
            <v>152.79860480799999</v>
          </cell>
          <cell r="T9">
            <v>151.02167483400001</v>
          </cell>
          <cell r="U9">
            <v>148.46453445600002</v>
          </cell>
          <cell r="V9">
            <v>145.973948374</v>
          </cell>
          <cell r="W9">
            <v>143.14946327600001</v>
          </cell>
          <cell r="X9">
            <v>159.82896238199999</v>
          </cell>
          <cell r="Y9">
            <v>169.90539555000001</v>
          </cell>
          <cell r="Z9">
            <v>158.094359516</v>
          </cell>
          <cell r="AA9">
            <v>138.03998938400002</v>
          </cell>
          <cell r="AB9">
            <v>111.43309956600001</v>
          </cell>
          <cell r="AC9">
            <v>80.423048144000006</v>
          </cell>
        </row>
        <row r="10">
          <cell r="F10">
            <v>101.28310951</v>
          </cell>
          <cell r="G10">
            <v>90.727540304000001</v>
          </cell>
          <cell r="H10">
            <v>79.383519296000003</v>
          </cell>
          <cell r="I10">
            <v>73.338042164000001</v>
          </cell>
          <cell r="J10">
            <v>73.549544180000012</v>
          </cell>
          <cell r="K10">
            <v>79.333655500000006</v>
          </cell>
          <cell r="L10">
            <v>80.33182158000001</v>
          </cell>
          <cell r="M10">
            <v>43.394802994000003</v>
          </cell>
          <cell r="N10">
            <v>53.09484684200001</v>
          </cell>
          <cell r="O10">
            <v>65.998635874000001</v>
          </cell>
          <cell r="P10">
            <v>81.641091161999995</v>
          </cell>
          <cell r="Q10">
            <v>99.570241384000013</v>
          </cell>
          <cell r="R10">
            <v>114.32812242600001</v>
          </cell>
          <cell r="S10">
            <v>119.599531258</v>
          </cell>
          <cell r="T10">
            <v>118.80049396999999</v>
          </cell>
          <cell r="U10">
            <v>114.63576913999999</v>
          </cell>
          <cell r="V10">
            <v>112.77084685</v>
          </cell>
          <cell r="W10">
            <v>111.585880694</v>
          </cell>
          <cell r="X10">
            <v>136.04912429000001</v>
          </cell>
          <cell r="Y10">
            <v>143.97645900600003</v>
          </cell>
          <cell r="Z10">
            <v>132.241472308</v>
          </cell>
          <cell r="AA10">
            <v>113.98744335800001</v>
          </cell>
          <cell r="AB10">
            <v>90.47107779000001</v>
          </cell>
          <cell r="AC10">
            <v>65.781993184000001</v>
          </cell>
        </row>
        <row r="11">
          <cell r="F11">
            <v>134.63555762800002</v>
          </cell>
          <cell r="G11">
            <v>119.857729584</v>
          </cell>
          <cell r="H11">
            <v>112.69525743000001</v>
          </cell>
          <cell r="I11">
            <v>112.56244555800001</v>
          </cell>
          <cell r="J11">
            <v>128.43367196599999</v>
          </cell>
          <cell r="K11">
            <v>182.28238047600001</v>
          </cell>
          <cell r="L11">
            <v>213.689940264</v>
          </cell>
          <cell r="M11">
            <v>174.88443874799998</v>
          </cell>
          <cell r="N11">
            <v>182.132803924</v>
          </cell>
          <cell r="O11">
            <v>190.18841069600001</v>
          </cell>
          <cell r="P11">
            <v>209.6256329</v>
          </cell>
          <cell r="Q11">
            <v>223.72758471000003</v>
          </cell>
          <cell r="R11">
            <v>223.02865333199998</v>
          </cell>
          <cell r="S11">
            <v>221.70876859200001</v>
          </cell>
          <cell r="T11">
            <v>227.39754377599999</v>
          </cell>
          <cell r="U11">
            <v>229.61273660800001</v>
          </cell>
          <cell r="V11">
            <v>223.13726768799998</v>
          </cell>
          <cell r="W11">
            <v>216.94075265800001</v>
          </cell>
          <cell r="X11">
            <v>228.78080790800001</v>
          </cell>
          <cell r="Y11">
            <v>234.50310503400001</v>
          </cell>
          <cell r="Z11">
            <v>216.08105096600002</v>
          </cell>
          <cell r="AA11">
            <v>186.42657969999999</v>
          </cell>
          <cell r="AB11">
            <v>142.80247890799998</v>
          </cell>
          <cell r="AC11">
            <v>119.39342954599999</v>
          </cell>
        </row>
        <row r="12">
          <cell r="F12">
            <v>146.64136066999998</v>
          </cell>
          <cell r="G12">
            <v>130.14610984799998</v>
          </cell>
          <cell r="H12">
            <v>119.03318179399999</v>
          </cell>
          <cell r="I12">
            <v>116.59955853400001</v>
          </cell>
          <cell r="J12">
            <v>125.45260030600001</v>
          </cell>
          <cell r="K12">
            <v>141.98536395400001</v>
          </cell>
          <cell r="L12">
            <v>171.57854770399999</v>
          </cell>
          <cell r="M12">
            <v>151.68525202399999</v>
          </cell>
          <cell r="N12">
            <v>173.33349814399998</v>
          </cell>
          <cell r="O12">
            <v>190.88651867600001</v>
          </cell>
          <cell r="P12">
            <v>206.16440151800001</v>
          </cell>
          <cell r="Q12">
            <v>213.08983889999999</v>
          </cell>
          <cell r="R12">
            <v>210.54426318400002</v>
          </cell>
          <cell r="S12">
            <v>205.51325689599997</v>
          </cell>
          <cell r="T12">
            <v>200.62664197800004</v>
          </cell>
          <cell r="U12">
            <v>200.67109805200002</v>
          </cell>
          <cell r="V12">
            <v>199.163560166</v>
          </cell>
          <cell r="W12">
            <v>199.72707595400004</v>
          </cell>
          <cell r="X12">
            <v>218.89575914</v>
          </cell>
          <cell r="Y12">
            <v>220.532526004</v>
          </cell>
          <cell r="Z12">
            <v>205.12861876000002</v>
          </cell>
          <cell r="AA12">
            <v>178.70325482000001</v>
          </cell>
          <cell r="AB12">
            <v>147.13696466799999</v>
          </cell>
          <cell r="AC12">
            <v>117.53917434</v>
          </cell>
        </row>
        <row r="13">
          <cell r="F13">
            <v>137.42217383600001</v>
          </cell>
          <cell r="G13">
            <v>119.65650891600001</v>
          </cell>
          <cell r="H13">
            <v>108.60364440800001</v>
          </cell>
          <cell r="I13">
            <v>103.40719446600001</v>
          </cell>
          <cell r="J13">
            <v>105.48444216999999</v>
          </cell>
          <cell r="K13">
            <v>111.78831049600001</v>
          </cell>
          <cell r="L13">
            <v>125.267676984</v>
          </cell>
          <cell r="M13">
            <v>97.334107538000012</v>
          </cell>
          <cell r="N13">
            <v>113.307932304</v>
          </cell>
          <cell r="O13">
            <v>130.73539576800002</v>
          </cell>
          <cell r="P13">
            <v>146.44674202200002</v>
          </cell>
          <cell r="Q13">
            <v>165.27030275800001</v>
          </cell>
          <cell r="R13">
            <v>176.278852134</v>
          </cell>
          <cell r="S13">
            <v>180.26785938</v>
          </cell>
          <cell r="T13">
            <v>178.21327366599999</v>
          </cell>
          <cell r="U13">
            <v>175.10720870599999</v>
          </cell>
          <cell r="V13">
            <v>171.70963118199998</v>
          </cell>
          <cell r="W13">
            <v>173.05738534799997</v>
          </cell>
          <cell r="X13">
            <v>191.27575597200001</v>
          </cell>
          <cell r="Y13">
            <v>199.091078888</v>
          </cell>
          <cell r="Z13">
            <v>185.69047672400001</v>
          </cell>
          <cell r="AA13">
            <v>162.376726408</v>
          </cell>
          <cell r="AB13">
            <v>129.81910215400001</v>
          </cell>
          <cell r="AC13">
            <v>96.928342938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129.82201001000001</v>
          </cell>
          <cell r="G15">
            <v>116.525853286</v>
          </cell>
          <cell r="H15">
            <v>109.482610646</v>
          </cell>
          <cell r="I15">
            <v>109.41940928599999</v>
          </cell>
          <cell r="J15">
            <v>124.085566758</v>
          </cell>
          <cell r="K15">
            <v>173.70166832000001</v>
          </cell>
          <cell r="L15">
            <v>202.64259474799999</v>
          </cell>
          <cell r="M15">
            <v>166.20596476999998</v>
          </cell>
          <cell r="N15">
            <v>174.51748512399999</v>
          </cell>
          <cell r="O15">
            <v>182.97462081800003</v>
          </cell>
          <cell r="P15">
            <v>201.92035601399999</v>
          </cell>
          <cell r="Q15">
            <v>216.08643643400001</v>
          </cell>
          <cell r="R15">
            <v>216.25484728799998</v>
          </cell>
          <cell r="S15">
            <v>216.13088508999999</v>
          </cell>
          <cell r="T15">
            <v>222.82943552399999</v>
          </cell>
          <cell r="U15">
            <v>223.36250784000001</v>
          </cell>
          <cell r="V15">
            <v>216.519165464</v>
          </cell>
          <cell r="W15">
            <v>207.126056202</v>
          </cell>
          <cell r="X15">
            <v>216.80554477199999</v>
          </cell>
          <cell r="Y15">
            <v>223.84510066600001</v>
          </cell>
          <cell r="Z15">
            <v>205.46446129199998</v>
          </cell>
          <cell r="AA15">
            <v>176.784722644</v>
          </cell>
          <cell r="AB15">
            <v>137.24210930400002</v>
          </cell>
          <cell r="AC15">
            <v>114.342735886</v>
          </cell>
        </row>
        <row r="16">
          <cell r="F16">
            <v>130.52016991599999</v>
          </cell>
          <cell r="G16">
            <v>115.832715366</v>
          </cell>
          <cell r="H16">
            <v>106.13930321000001</v>
          </cell>
          <cell r="I16">
            <v>103.687854496</v>
          </cell>
          <cell r="J16">
            <v>113.34785598000001</v>
          </cell>
          <cell r="K16">
            <v>132.69638115800001</v>
          </cell>
          <cell r="L16">
            <v>158.59149904</v>
          </cell>
          <cell r="M16">
            <v>144.59955617</v>
          </cell>
          <cell r="N16">
            <v>163.78983315399998</v>
          </cell>
          <cell r="O16">
            <v>179.71468428400001</v>
          </cell>
          <cell r="P16">
            <v>195.734025898</v>
          </cell>
          <cell r="Q16">
            <v>206.921786736</v>
          </cell>
          <cell r="R16">
            <v>206.02385267199998</v>
          </cell>
          <cell r="S16">
            <v>203.56443702600001</v>
          </cell>
          <cell r="T16">
            <v>201.00826840599998</v>
          </cell>
          <cell r="U16">
            <v>197.76388</v>
          </cell>
          <cell r="V16">
            <v>195.047015246</v>
          </cell>
          <cell r="W16">
            <v>195.85172730400004</v>
          </cell>
          <cell r="X16">
            <v>206.78126014400002</v>
          </cell>
          <cell r="Y16">
            <v>208.34811235800001</v>
          </cell>
          <cell r="Z16">
            <v>193.54043428200001</v>
          </cell>
          <cell r="AA16">
            <v>171.66892861599999</v>
          </cell>
          <cell r="AB16">
            <v>142.453996104</v>
          </cell>
          <cell r="AC16">
            <v>115.154613732</v>
          </cell>
        </row>
        <row r="17">
          <cell r="F17">
            <v>130.65526653199998</v>
          </cell>
          <cell r="G17">
            <v>113.90266303599999</v>
          </cell>
          <cell r="H17">
            <v>102.30094812600001</v>
          </cell>
          <cell r="I17">
            <v>96.535678525999998</v>
          </cell>
          <cell r="J17">
            <v>97.343365202000015</v>
          </cell>
          <cell r="K17">
            <v>103.22151450800001</v>
          </cell>
          <cell r="L17">
            <v>112.58114633599999</v>
          </cell>
          <cell r="M17">
            <v>88.386590117999987</v>
          </cell>
          <cell r="N17">
            <v>104.878562184</v>
          </cell>
          <cell r="O17">
            <v>117.59652289799999</v>
          </cell>
          <cell r="P17">
            <v>131.09738675</v>
          </cell>
          <cell r="Q17">
            <v>146.21708074199998</v>
          </cell>
          <cell r="R17">
            <v>157.35504454599999</v>
          </cell>
          <cell r="S17">
            <v>162.30365169000001</v>
          </cell>
          <cell r="T17">
            <v>161.87474293</v>
          </cell>
          <cell r="U17">
            <v>161.96417433800002</v>
          </cell>
          <cell r="V17">
            <v>159.28810116600002</v>
          </cell>
          <cell r="W17">
            <v>156.836044176</v>
          </cell>
          <cell r="X17">
            <v>175.785110054</v>
          </cell>
          <cell r="Y17">
            <v>186.10108527799997</v>
          </cell>
          <cell r="Z17">
            <v>176.36892890800002</v>
          </cell>
          <cell r="AA17">
            <v>155.28440627999998</v>
          </cell>
          <cell r="AB17">
            <v>125.488496008</v>
          </cell>
          <cell r="AC17">
            <v>93.374045328000008</v>
          </cell>
        </row>
        <row r="18">
          <cell r="F18">
            <v>153.41462520000002</v>
          </cell>
          <cell r="G18">
            <v>137.76357986799999</v>
          </cell>
          <cell r="H18">
            <v>126.60062482200001</v>
          </cell>
          <cell r="I18">
            <v>120.38928121000002</v>
          </cell>
          <cell r="J18">
            <v>123.54130068000001</v>
          </cell>
          <cell r="K18">
            <v>129.44246062200003</v>
          </cell>
          <cell r="L18">
            <v>136.70942272400001</v>
          </cell>
          <cell r="M18">
            <v>113.398016496</v>
          </cell>
          <cell r="N18">
            <v>126.93851472200001</v>
          </cell>
          <cell r="O18">
            <v>145.14900001200002</v>
          </cell>
          <cell r="P18">
            <v>161.16965461200002</v>
          </cell>
          <cell r="Q18">
            <v>182.832684806</v>
          </cell>
          <cell r="R18">
            <v>192.55805370600001</v>
          </cell>
          <cell r="S18">
            <v>191.698433612</v>
          </cell>
          <cell r="T18">
            <v>188.220600746</v>
          </cell>
          <cell r="U18">
            <v>184.75519302999999</v>
          </cell>
          <cell r="V18">
            <v>185.250062646</v>
          </cell>
          <cell r="W18">
            <v>181.13360674200001</v>
          </cell>
          <cell r="X18">
            <v>205.87628639799999</v>
          </cell>
          <cell r="Y18">
            <v>229.79750415200002</v>
          </cell>
          <cell r="Z18">
            <v>216.07508689400001</v>
          </cell>
          <cell r="AA18">
            <v>192.24618615</v>
          </cell>
          <cell r="AB18">
            <v>159.988449382</v>
          </cell>
          <cell r="AC18">
            <v>125.787671366</v>
          </cell>
        </row>
        <row r="19">
          <cell r="F19">
            <v>130.136355178</v>
          </cell>
          <cell r="G19">
            <v>115.615234442</v>
          </cell>
          <cell r="H19">
            <v>108.24204658000001</v>
          </cell>
          <cell r="I19">
            <v>108.138328104</v>
          </cell>
          <cell r="J19">
            <v>122.10606603999999</v>
          </cell>
          <cell r="K19">
            <v>167.28690831200001</v>
          </cell>
          <cell r="L19">
            <v>197.36631229</v>
          </cell>
          <cell r="M19">
            <v>163.856098148</v>
          </cell>
          <cell r="N19">
            <v>172.5311821</v>
          </cell>
          <cell r="O19">
            <v>182.08136009399999</v>
          </cell>
          <cell r="P19">
            <v>202.228343956</v>
          </cell>
          <cell r="Q19">
            <v>217.69745542000001</v>
          </cell>
          <cell r="R19">
            <v>219.35351650200002</v>
          </cell>
          <cell r="S19">
            <v>219.10455358600004</v>
          </cell>
          <cell r="T19">
            <v>226.63739906200001</v>
          </cell>
          <cell r="U19">
            <v>229.29388871399999</v>
          </cell>
          <cell r="V19">
            <v>223.20388874599999</v>
          </cell>
          <cell r="W19">
            <v>217.79611482000001</v>
          </cell>
          <cell r="X19">
            <v>229.10294197600001</v>
          </cell>
          <cell r="Y19">
            <v>232.25414546599998</v>
          </cell>
          <cell r="Z19">
            <v>214.01992999399999</v>
          </cell>
          <cell r="AA19">
            <v>185.89159354</v>
          </cell>
          <cell r="AB19">
            <v>147.00261727</v>
          </cell>
          <cell r="AC19">
            <v>119.44452473</v>
          </cell>
        </row>
        <row r="20">
          <cell r="F20">
            <v>132.50774883599999</v>
          </cell>
          <cell r="G20">
            <v>114.779878626</v>
          </cell>
          <cell r="H20">
            <v>104.42808188000001</v>
          </cell>
          <cell r="I20">
            <v>102.45177090200002</v>
          </cell>
          <cell r="J20">
            <v>110.29099461400001</v>
          </cell>
          <cell r="K20">
            <v>127.364775256</v>
          </cell>
          <cell r="L20">
            <v>154.20968643999998</v>
          </cell>
          <cell r="M20">
            <v>137.14313834799998</v>
          </cell>
          <cell r="N20">
            <v>155.43262533800001</v>
          </cell>
          <cell r="O20">
            <v>171.759917804</v>
          </cell>
          <cell r="P20">
            <v>185.04103082399999</v>
          </cell>
          <cell r="Q20">
            <v>193.29751703600002</v>
          </cell>
          <cell r="R20">
            <v>192.79253668600001</v>
          </cell>
          <cell r="S20">
            <v>193.11605792</v>
          </cell>
          <cell r="T20">
            <v>193.871662818</v>
          </cell>
          <cell r="U20">
            <v>196.62100357600002</v>
          </cell>
          <cell r="V20">
            <v>198.953104088</v>
          </cell>
          <cell r="W20">
            <v>201.07103210400001</v>
          </cell>
          <cell r="X20">
            <v>214.001199544</v>
          </cell>
          <cell r="Y20">
            <v>214.08471138799999</v>
          </cell>
          <cell r="Z20">
            <v>196.60359352999998</v>
          </cell>
          <cell r="AA20">
            <v>173.191131888</v>
          </cell>
          <cell r="AB20">
            <v>146.00888715400001</v>
          </cell>
          <cell r="AC20">
            <v>118.87497810799999</v>
          </cell>
        </row>
        <row r="21">
          <cell r="F21">
            <v>138.598698308</v>
          </cell>
          <cell r="G21">
            <v>120.69688341599999</v>
          </cell>
          <cell r="H21">
            <v>108.69823874399999</v>
          </cell>
          <cell r="I21">
            <v>103.35722681800002</v>
          </cell>
          <cell r="J21">
            <v>104.65810664199999</v>
          </cell>
          <cell r="K21">
            <v>108.44656083999999</v>
          </cell>
          <cell r="L21">
            <v>122.069591734</v>
          </cell>
          <cell r="M21">
            <v>99.19209399799999</v>
          </cell>
          <cell r="N21">
            <v>114.94676878999999</v>
          </cell>
          <cell r="O21">
            <v>130.21038681800002</v>
          </cell>
          <cell r="P21">
            <v>140.94732612399997</v>
          </cell>
          <cell r="Q21">
            <v>152.23860515199999</v>
          </cell>
          <cell r="R21">
            <v>158.90550298000002</v>
          </cell>
          <cell r="S21">
            <v>164.37711621400001</v>
          </cell>
          <cell r="T21">
            <v>167.51320181999998</v>
          </cell>
          <cell r="U21">
            <v>168.41479295799999</v>
          </cell>
          <cell r="V21">
            <v>167.283228984</v>
          </cell>
          <cell r="W21">
            <v>169.90154560800002</v>
          </cell>
          <cell r="X21">
            <v>184.37327730000001</v>
          </cell>
          <cell r="Y21">
            <v>188.54248260200001</v>
          </cell>
          <cell r="Z21">
            <v>178.17804558400002</v>
          </cell>
          <cell r="AA21">
            <v>157.192738706</v>
          </cell>
          <cell r="AB21">
            <v>126.932038808</v>
          </cell>
          <cell r="AC21">
            <v>94.096855248000011</v>
          </cell>
        </row>
        <row r="22">
          <cell r="F22">
            <v>154.532940626</v>
          </cell>
          <cell r="G22">
            <v>135.85972791400002</v>
          </cell>
          <cell r="H22">
            <v>123.08356557200001</v>
          </cell>
          <cell r="I22">
            <v>116.602421882</v>
          </cell>
          <cell r="J22">
            <v>118.45092813800001</v>
          </cell>
          <cell r="K22">
            <v>122.45136652200001</v>
          </cell>
          <cell r="L22">
            <v>128.67170816800001</v>
          </cell>
          <cell r="M22">
            <v>100.50134874399998</v>
          </cell>
          <cell r="N22">
            <v>111.93723426400001</v>
          </cell>
          <cell r="O22">
            <v>117.160848922</v>
          </cell>
          <cell r="P22">
            <v>118.981893742</v>
          </cell>
          <cell r="Q22">
            <v>136.708421294</v>
          </cell>
          <cell r="R22">
            <v>154.287597694</v>
          </cell>
          <cell r="S22">
            <v>156.97705293800001</v>
          </cell>
          <cell r="T22">
            <v>158.97092974</v>
          </cell>
          <cell r="U22">
            <v>161.07703346400001</v>
          </cell>
          <cell r="V22">
            <v>166.133357386</v>
          </cell>
          <cell r="W22">
            <v>168.60068803799999</v>
          </cell>
          <cell r="X22">
            <v>187.11918352399999</v>
          </cell>
          <cell r="Y22">
            <v>191.20383846200002</v>
          </cell>
          <cell r="Z22">
            <v>176.201927474</v>
          </cell>
          <cell r="AA22">
            <v>166.36761040800002</v>
          </cell>
          <cell r="AB22">
            <v>154.92849064000001</v>
          </cell>
          <cell r="AC22">
            <v>127.451016924</v>
          </cell>
        </row>
        <row r="23">
          <cell r="F23">
            <v>60.229397644000002</v>
          </cell>
          <cell r="G23">
            <v>51.930198588000003</v>
          </cell>
          <cell r="H23">
            <v>47.945508617999998</v>
          </cell>
          <cell r="I23">
            <v>48.923683188000005</v>
          </cell>
          <cell r="J23">
            <v>66.917280993999995</v>
          </cell>
          <cell r="K23">
            <v>114.41101115799999</v>
          </cell>
          <cell r="L23">
            <v>137.48377290800002</v>
          </cell>
          <cell r="M23">
            <v>106.691773596</v>
          </cell>
          <cell r="N23">
            <v>104.377943618</v>
          </cell>
          <cell r="O23">
            <v>105.19365656999999</v>
          </cell>
          <cell r="P23">
            <v>120.09837692200001</v>
          </cell>
          <cell r="Q23">
            <v>129.65077289799999</v>
          </cell>
          <cell r="R23">
            <v>123.22173323999999</v>
          </cell>
          <cell r="S23">
            <v>124.03752779</v>
          </cell>
          <cell r="T23">
            <v>135.63661672800001</v>
          </cell>
          <cell r="U23">
            <v>143.53079298399999</v>
          </cell>
          <cell r="V23">
            <v>139.342426988</v>
          </cell>
          <cell r="W23">
            <v>121.024907376</v>
          </cell>
          <cell r="X23">
            <v>126.61408849200001</v>
          </cell>
          <cell r="Y23">
            <v>130.28565726400001</v>
          </cell>
          <cell r="Z23">
            <v>118.469065148</v>
          </cell>
          <cell r="AA23">
            <v>99.679345327999997</v>
          </cell>
          <cell r="AB23">
            <v>71.530097531999999</v>
          </cell>
          <cell r="AC23">
            <v>49.397730478000007</v>
          </cell>
        </row>
        <row r="24">
          <cell r="F24">
            <v>78.490881684000001</v>
          </cell>
          <cell r="G24">
            <v>65.557250037999992</v>
          </cell>
          <cell r="H24">
            <v>57.947932399999999</v>
          </cell>
          <cell r="I24">
            <v>52.760584344000002</v>
          </cell>
          <cell r="J24">
            <v>50.038675349999998</v>
          </cell>
          <cell r="K24">
            <v>51.023125548000003</v>
          </cell>
          <cell r="L24">
            <v>58.861399755999997</v>
          </cell>
          <cell r="M24">
            <v>44.578352311999993</v>
          </cell>
          <cell r="N24">
            <v>63.959665050000005</v>
          </cell>
          <cell r="O24">
            <v>75.30789948200001</v>
          </cell>
          <cell r="P24">
            <v>84.592928483999998</v>
          </cell>
          <cell r="Q24">
            <v>85.927537954000002</v>
          </cell>
          <cell r="R24">
            <v>78.013718834000002</v>
          </cell>
          <cell r="S24">
            <v>75.312053562000003</v>
          </cell>
          <cell r="T24">
            <v>70.749998398000002</v>
          </cell>
          <cell r="U24">
            <v>70.025912582000004</v>
          </cell>
          <cell r="V24">
            <v>72.840331453999994</v>
          </cell>
          <cell r="W24">
            <v>72.082679188000014</v>
          </cell>
          <cell r="X24">
            <v>78.99242008200001</v>
          </cell>
          <cell r="Y24">
            <v>79.245930231999992</v>
          </cell>
          <cell r="Z24">
            <v>75.444561296000003</v>
          </cell>
          <cell r="AA24">
            <v>70.334471710000003</v>
          </cell>
          <cell r="AB24">
            <v>65.866654818000001</v>
          </cell>
          <cell r="AC24">
            <v>54.782367661999999</v>
          </cell>
        </row>
        <row r="25">
          <cell r="F25">
            <v>72.646543621999996</v>
          </cell>
          <cell r="G25">
            <v>61.216407052000001</v>
          </cell>
          <cell r="H25">
            <v>48.644039423999992</v>
          </cell>
          <cell r="I25">
            <v>37.756870782</v>
          </cell>
          <cell r="J25">
            <v>23.886115778000001</v>
          </cell>
          <cell r="K25">
            <v>7.5894373980000012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2.7696809139999998</v>
          </cell>
          <cell r="Q25">
            <v>13.033500179999999</v>
          </cell>
          <cell r="R25">
            <v>18.299946370000001</v>
          </cell>
          <cell r="S25">
            <v>23.474631899999999</v>
          </cell>
          <cell r="T25">
            <v>17.150534688</v>
          </cell>
          <cell r="U25">
            <v>21.540610939999997</v>
          </cell>
          <cell r="V25">
            <v>24.346002106</v>
          </cell>
          <cell r="W25">
            <v>22.556943702000002</v>
          </cell>
          <cell r="X25">
            <v>37.289032358</v>
          </cell>
          <cell r="Y25">
            <v>47.151100161999992</v>
          </cell>
          <cell r="Z25">
            <v>49.322712244000002</v>
          </cell>
          <cell r="AA25">
            <v>45.797515447999999</v>
          </cell>
          <cell r="AB25">
            <v>35.074284605999999</v>
          </cell>
          <cell r="AC25">
            <v>19.292608294000001</v>
          </cell>
        </row>
        <row r="26">
          <cell r="F26">
            <v>58.943613450000001</v>
          </cell>
          <cell r="G26">
            <v>48.811218890000006</v>
          </cell>
          <cell r="H26">
            <v>42.705166370000001</v>
          </cell>
          <cell r="I26">
            <v>38.858577306000001</v>
          </cell>
          <cell r="J26">
            <v>42.982339940000003</v>
          </cell>
          <cell r="K26">
            <v>53.595279957999999</v>
          </cell>
          <cell r="L26">
            <v>49.777665601999999</v>
          </cell>
          <cell r="M26">
            <v>23.58794185</v>
          </cell>
          <cell r="N26">
            <v>35.655878059999992</v>
          </cell>
          <cell r="O26">
            <v>44.129251755999995</v>
          </cell>
          <cell r="P26">
            <v>58.485715146000004</v>
          </cell>
          <cell r="Q26">
            <v>69.645079880000011</v>
          </cell>
          <cell r="R26">
            <v>82.442954708000002</v>
          </cell>
          <cell r="S26">
            <v>83.62203839</v>
          </cell>
          <cell r="T26">
            <v>77.969448209999996</v>
          </cell>
          <cell r="U26">
            <v>67.421949787999992</v>
          </cell>
          <cell r="V26">
            <v>71.260223273999983</v>
          </cell>
          <cell r="W26">
            <v>77.793574848000006</v>
          </cell>
          <cell r="X26">
            <v>87.194361740000005</v>
          </cell>
          <cell r="Y26">
            <v>87.972598955999999</v>
          </cell>
          <cell r="Z26">
            <v>77.980018860000001</v>
          </cell>
          <cell r="AA26">
            <v>66.272055936000001</v>
          </cell>
          <cell r="AB26">
            <v>48.132523816000003</v>
          </cell>
          <cell r="AC26">
            <v>18.841349099999999</v>
          </cell>
        </row>
        <row r="27">
          <cell r="F27">
            <v>39.386405096000004</v>
          </cell>
          <cell r="G27">
            <v>30.273889102000002</v>
          </cell>
          <cell r="H27">
            <v>25.911860307999998</v>
          </cell>
          <cell r="I27">
            <v>25.695217618000001</v>
          </cell>
          <cell r="J27">
            <v>31.706431007999999</v>
          </cell>
          <cell r="K27">
            <v>53.408962052</v>
          </cell>
          <cell r="L27">
            <v>72.605989416</v>
          </cell>
          <cell r="M27">
            <v>51.789775848000005</v>
          </cell>
          <cell r="N27">
            <v>55.752716242000005</v>
          </cell>
          <cell r="O27">
            <v>60.875505444000005</v>
          </cell>
          <cell r="P27">
            <v>70.329583247999992</v>
          </cell>
          <cell r="Q27">
            <v>79.165378169999997</v>
          </cell>
          <cell r="R27">
            <v>79.603885821999995</v>
          </cell>
          <cell r="S27">
            <v>80.690007128000019</v>
          </cell>
          <cell r="T27">
            <v>84.869894349999996</v>
          </cell>
          <cell r="U27">
            <v>87.559957870000005</v>
          </cell>
          <cell r="V27">
            <v>84.552225917999991</v>
          </cell>
          <cell r="W27">
            <v>74.832865597999998</v>
          </cell>
          <cell r="X27">
            <v>80.162965646000004</v>
          </cell>
          <cell r="Y27">
            <v>79.64771136600001</v>
          </cell>
          <cell r="Z27">
            <v>67.758712152000001</v>
          </cell>
          <cell r="AA27">
            <v>52.790604989999999</v>
          </cell>
          <cell r="AB27">
            <v>30.041957914000001</v>
          </cell>
          <cell r="AC27">
            <v>17.948570546000003</v>
          </cell>
        </row>
        <row r="28">
          <cell r="F28">
            <v>37.782544479999999</v>
          </cell>
          <cell r="G28">
            <v>28.167325461999997</v>
          </cell>
          <cell r="H28">
            <v>20.450164940000001</v>
          </cell>
          <cell r="I28">
            <v>18.600790778</v>
          </cell>
          <cell r="J28">
            <v>22.108762977999998</v>
          </cell>
          <cell r="K28">
            <v>30.085308705999999</v>
          </cell>
          <cell r="L28">
            <v>44.703746183999996</v>
          </cell>
          <cell r="M28">
            <v>32.879980861999996</v>
          </cell>
          <cell r="N28">
            <v>43.525048238000004</v>
          </cell>
          <cell r="O28">
            <v>51.903286084000008</v>
          </cell>
          <cell r="P28">
            <v>61.007167526000003</v>
          </cell>
          <cell r="Q28">
            <v>67.712906001999997</v>
          </cell>
          <cell r="R28">
            <v>68.172406593999995</v>
          </cell>
          <cell r="S28">
            <v>68.115740492</v>
          </cell>
          <cell r="T28">
            <v>68.530540215999991</v>
          </cell>
          <cell r="U28">
            <v>70.422107961999998</v>
          </cell>
          <cell r="V28">
            <v>69.151055916000004</v>
          </cell>
          <cell r="W28">
            <v>63.472005730000006</v>
          </cell>
          <cell r="X28">
            <v>67.858855152000004</v>
          </cell>
          <cell r="Y28">
            <v>71.049744942000004</v>
          </cell>
          <cell r="Z28">
            <v>63.254947632000004</v>
          </cell>
          <cell r="AA28">
            <v>49.858262171999996</v>
          </cell>
          <cell r="AB28">
            <v>35.419102918000007</v>
          </cell>
          <cell r="AC28">
            <v>18.982357862000001</v>
          </cell>
        </row>
        <row r="29">
          <cell r="F29">
            <v>41.827297995999999</v>
          </cell>
          <cell r="G29">
            <v>32.904957268000004</v>
          </cell>
          <cell r="H29">
            <v>25.798216547999999</v>
          </cell>
          <cell r="I29">
            <v>23.510579527999997</v>
          </cell>
          <cell r="J29">
            <v>23.861643795999999</v>
          </cell>
          <cell r="K29">
            <v>25.628055046</v>
          </cell>
          <cell r="L29">
            <v>28.225579016000005</v>
          </cell>
          <cell r="M29">
            <v>6.8996969220000013</v>
          </cell>
          <cell r="N29">
            <v>15.36664663</v>
          </cell>
          <cell r="O29">
            <v>24.015092544000002</v>
          </cell>
          <cell r="P29">
            <v>28.686563207999999</v>
          </cell>
          <cell r="Q29">
            <v>38.326855066</v>
          </cell>
          <cell r="R29">
            <v>44.646924304000002</v>
          </cell>
          <cell r="S29">
            <v>48.339189296000001</v>
          </cell>
          <cell r="T29">
            <v>50.32337819</v>
          </cell>
          <cell r="U29">
            <v>52.360843159999995</v>
          </cell>
          <cell r="V29">
            <v>52.122369296000002</v>
          </cell>
          <cell r="W29">
            <v>43.212409209999997</v>
          </cell>
          <cell r="X29">
            <v>50.848505828000008</v>
          </cell>
          <cell r="Y29">
            <v>60.756483634000006</v>
          </cell>
          <cell r="Z29">
            <v>56.229552699999999</v>
          </cell>
          <cell r="AA29">
            <v>47.861751980000001</v>
          </cell>
          <cell r="AB29">
            <v>32.046101227999998</v>
          </cell>
          <cell r="AC29">
            <v>15.098975518</v>
          </cell>
        </row>
        <row r="30">
          <cell r="F30">
            <v>37.777477986000001</v>
          </cell>
          <cell r="G30">
            <v>27.487940514000002</v>
          </cell>
          <cell r="H30">
            <v>21.372303938000002</v>
          </cell>
          <cell r="I30">
            <v>18.796425692</v>
          </cell>
          <cell r="J30">
            <v>18.760730275999997</v>
          </cell>
          <cell r="K30">
            <v>22.110706494000002</v>
          </cell>
          <cell r="L30">
            <v>24.896113568000001</v>
          </cell>
          <cell r="M30">
            <v>0.70628261599999997</v>
          </cell>
          <cell r="N30">
            <v>6.8654331800000001</v>
          </cell>
          <cell r="O30">
            <v>17.574792362</v>
          </cell>
          <cell r="P30">
            <v>28.359881905999998</v>
          </cell>
          <cell r="Q30">
            <v>39.557397414000008</v>
          </cell>
          <cell r="R30">
            <v>45.309114328000007</v>
          </cell>
          <cell r="S30">
            <v>47.975529264000002</v>
          </cell>
          <cell r="T30">
            <v>47.126828466000006</v>
          </cell>
          <cell r="U30">
            <v>49.341464948000002</v>
          </cell>
          <cell r="V30">
            <v>49.538398011999995</v>
          </cell>
          <cell r="W30">
            <v>41.746107985999998</v>
          </cell>
          <cell r="X30">
            <v>47.139802547999999</v>
          </cell>
          <cell r="Y30">
            <v>67.441036302000015</v>
          </cell>
          <cell r="Z30">
            <v>63.024744838000004</v>
          </cell>
          <cell r="AA30">
            <v>57.143583823999997</v>
          </cell>
          <cell r="AB30">
            <v>37.511579775999998</v>
          </cell>
          <cell r="AC30">
            <v>15.334741812000001</v>
          </cell>
        </row>
        <row r="31">
          <cell r="F31">
            <v>58.407640696000001</v>
          </cell>
          <cell r="G31">
            <v>48.195539726</v>
          </cell>
          <cell r="H31">
            <v>42.332834696000006</v>
          </cell>
          <cell r="I31">
            <v>42.152666312000001</v>
          </cell>
          <cell r="J31">
            <v>48.114676107999998</v>
          </cell>
          <cell r="K31">
            <v>71.30303997</v>
          </cell>
          <cell r="L31">
            <v>91.915139850000003</v>
          </cell>
          <cell r="M31">
            <v>72.941728096000006</v>
          </cell>
          <cell r="N31">
            <v>80.236314829999998</v>
          </cell>
          <cell r="O31">
            <v>84.754381254000009</v>
          </cell>
          <cell r="P31">
            <v>95.299965831999998</v>
          </cell>
          <cell r="Q31">
            <v>105.44322776199999</v>
          </cell>
          <cell r="R31">
            <v>108.42076845400001</v>
          </cell>
          <cell r="S31">
            <v>110.21185197200001</v>
          </cell>
          <cell r="T31">
            <v>115.99110450200001</v>
          </cell>
          <cell r="U31">
            <v>119.07228948999999</v>
          </cell>
          <cell r="V31">
            <v>114.87047466000001</v>
          </cell>
          <cell r="W31">
            <v>100.9938446</v>
          </cell>
          <cell r="X31">
            <v>106.23417943</v>
          </cell>
          <cell r="Y31">
            <v>114.13238366</v>
          </cell>
          <cell r="Z31">
            <v>102.58339589399999</v>
          </cell>
          <cell r="AA31">
            <v>85.106454369999994</v>
          </cell>
          <cell r="AB31">
            <v>57.204930684000004</v>
          </cell>
          <cell r="AC31">
            <v>41.746315690000003</v>
          </cell>
        </row>
        <row r="32">
          <cell r="F32">
            <v>61.301795650000003</v>
          </cell>
          <cell r="G32">
            <v>51.153081490000005</v>
          </cell>
          <cell r="H32">
            <v>44.152254974000002</v>
          </cell>
          <cell r="I32">
            <v>40.733276519999997</v>
          </cell>
          <cell r="J32">
            <v>44.885598453999997</v>
          </cell>
          <cell r="K32">
            <v>54.246750971999994</v>
          </cell>
          <cell r="L32">
            <v>69.153414839999996</v>
          </cell>
          <cell r="M32">
            <v>55.086097671999994</v>
          </cell>
          <cell r="N32">
            <v>67.238421049999999</v>
          </cell>
          <cell r="O32">
            <v>76.844923918000006</v>
          </cell>
          <cell r="P32">
            <v>87.082668913999996</v>
          </cell>
          <cell r="Q32">
            <v>95.630014906</v>
          </cell>
          <cell r="R32">
            <v>96.138503969999988</v>
          </cell>
          <cell r="S32">
            <v>90.973929173999991</v>
          </cell>
          <cell r="T32">
            <v>87.032693847999994</v>
          </cell>
          <cell r="U32">
            <v>88.179650171999995</v>
          </cell>
          <cell r="V32">
            <v>90.722110328000014</v>
          </cell>
          <cell r="W32">
            <v>86.087143642000015</v>
          </cell>
          <cell r="X32">
            <v>97.182335258000009</v>
          </cell>
          <cell r="Y32">
            <v>94.902872873999996</v>
          </cell>
          <cell r="Z32">
            <v>82.945776420000001</v>
          </cell>
          <cell r="AA32">
            <v>64.457168056</v>
          </cell>
          <cell r="AB32">
            <v>46.881492952000002</v>
          </cell>
          <cell r="AC32">
            <v>29.790176157999998</v>
          </cell>
        </row>
        <row r="33">
          <cell r="F33">
            <v>42.878829168000003</v>
          </cell>
          <cell r="G33">
            <v>32.946171675999999</v>
          </cell>
          <cell r="H33">
            <v>25.215814532</v>
          </cell>
          <cell r="I33">
            <v>21.224337091999999</v>
          </cell>
          <cell r="J33">
            <v>23.234592838000001</v>
          </cell>
          <cell r="K33">
            <v>24.701799057999999</v>
          </cell>
          <cell r="L33">
            <v>32.866917764000007</v>
          </cell>
          <cell r="M33">
            <v>13.085500359999999</v>
          </cell>
          <cell r="N33">
            <v>23.213607316000001</v>
          </cell>
          <cell r="O33">
            <v>32.747391530000002</v>
          </cell>
          <cell r="P33">
            <v>38.667267086000003</v>
          </cell>
          <cell r="Q33">
            <v>49.555496502000004</v>
          </cell>
          <cell r="R33">
            <v>57.494974484000004</v>
          </cell>
          <cell r="S33">
            <v>59.708527938000003</v>
          </cell>
          <cell r="T33">
            <v>57.984421542000007</v>
          </cell>
          <cell r="U33">
            <v>59.201507638000002</v>
          </cell>
          <cell r="V33">
            <v>59.118440873999994</v>
          </cell>
          <cell r="W33">
            <v>53.731355750000006</v>
          </cell>
          <cell r="X33">
            <v>68.662417419999997</v>
          </cell>
          <cell r="Y33">
            <v>81.418966570000009</v>
          </cell>
          <cell r="Z33">
            <v>73.302769573999996</v>
          </cell>
          <cell r="AA33">
            <v>54.054261289999999</v>
          </cell>
          <cell r="AB33">
            <v>29.195304484000001</v>
          </cell>
          <cell r="AC33">
            <v>8.3035237500000001</v>
          </cell>
        </row>
        <row r="34">
          <cell r="F34">
            <v>79.081005837999996</v>
          </cell>
          <cell r="G34">
            <v>65.74523699400001</v>
          </cell>
          <cell r="H34">
            <v>57.263532884000007</v>
          </cell>
          <cell r="I34">
            <v>50.84126586</v>
          </cell>
          <cell r="J34">
            <v>46.538588484000002</v>
          </cell>
          <cell r="K34">
            <v>40.350129402</v>
          </cell>
          <cell r="L34">
            <v>43.700595207999996</v>
          </cell>
          <cell r="M34">
            <v>23.346345008</v>
          </cell>
          <cell r="N34">
            <v>30.182580940000005</v>
          </cell>
          <cell r="O34">
            <v>36.483667516000004</v>
          </cell>
          <cell r="P34">
            <v>38.403675874000001</v>
          </cell>
          <cell r="Q34">
            <v>48.606215042000002</v>
          </cell>
          <cell r="R34">
            <v>51.396510578000012</v>
          </cell>
          <cell r="S34">
            <v>59.145931982</v>
          </cell>
          <cell r="T34">
            <v>63.537172859999998</v>
          </cell>
          <cell r="U34">
            <v>65.269283278000003</v>
          </cell>
          <cell r="V34">
            <v>67.913436796000013</v>
          </cell>
          <cell r="W34">
            <v>65.287524140000002</v>
          </cell>
          <cell r="X34">
            <v>76.977157186000014</v>
          </cell>
          <cell r="Y34">
            <v>85.719285021999994</v>
          </cell>
          <cell r="Z34">
            <v>86.502952214000004</v>
          </cell>
          <cell r="AA34">
            <v>83.306076098000005</v>
          </cell>
          <cell r="AB34">
            <v>61.280379883999998</v>
          </cell>
          <cell r="AC34">
            <v>38.445261182000003</v>
          </cell>
        </row>
        <row r="35">
          <cell r="F35">
            <v>63.754357063999997</v>
          </cell>
          <cell r="G35">
            <v>52.639122012000001</v>
          </cell>
          <cell r="H35">
            <v>46.391526634000002</v>
          </cell>
          <cell r="I35">
            <v>45.857156168000003</v>
          </cell>
          <cell r="J35">
            <v>53.424109608000002</v>
          </cell>
          <cell r="K35">
            <v>80.004131430000015</v>
          </cell>
          <cell r="L35">
            <v>102.78140456800001</v>
          </cell>
          <cell r="M35">
            <v>81.787136746000002</v>
          </cell>
          <cell r="N35">
            <v>88.038952965999997</v>
          </cell>
          <cell r="O35">
            <v>91.560685555999996</v>
          </cell>
          <cell r="P35">
            <v>102.79130018000001</v>
          </cell>
          <cell r="Q35">
            <v>113.64298111000001</v>
          </cell>
          <cell r="R35">
            <v>116.17951428400001</v>
          </cell>
          <cell r="S35">
            <v>115.62115400600001</v>
          </cell>
          <cell r="T35">
            <v>121.18811821200001</v>
          </cell>
          <cell r="U35">
            <v>122.610059796</v>
          </cell>
          <cell r="V35">
            <v>118.97856306000001</v>
          </cell>
          <cell r="W35">
            <v>108.78224759399998</v>
          </cell>
          <cell r="X35">
            <v>119.634158482</v>
          </cell>
          <cell r="Y35">
            <v>125.38826399200001</v>
          </cell>
          <cell r="Z35">
            <v>112.35362885799999</v>
          </cell>
          <cell r="AA35">
            <v>90.951593576000008</v>
          </cell>
          <cell r="AB35">
            <v>63.311480209999999</v>
          </cell>
          <cell r="AC35">
            <v>46.793493218000002</v>
          </cell>
        </row>
        <row r="36">
          <cell r="F36">
            <v>60.429297908000002</v>
          </cell>
          <cell r="G36">
            <v>50.327280057999999</v>
          </cell>
          <cell r="H36">
            <v>44.257330944000003</v>
          </cell>
          <cell r="I36">
            <v>40.973693900000001</v>
          </cell>
          <cell r="J36">
            <v>46.411354948000003</v>
          </cell>
          <cell r="K36">
            <v>53.529460043999997</v>
          </cell>
          <cell r="L36">
            <v>70.15291615999999</v>
          </cell>
          <cell r="M36">
            <v>58.733691467999996</v>
          </cell>
          <cell r="N36">
            <v>71.584768191999999</v>
          </cell>
          <cell r="O36">
            <v>76.944918558000012</v>
          </cell>
          <cell r="P36">
            <v>83.033776154000009</v>
          </cell>
          <cell r="Q36">
            <v>87.356445040000011</v>
          </cell>
          <cell r="R36">
            <v>90.329661038000012</v>
          </cell>
          <cell r="S36">
            <v>90.978016492000009</v>
          </cell>
          <cell r="T36">
            <v>90.944909958000011</v>
          </cell>
          <cell r="U36">
            <v>91.758353002000007</v>
          </cell>
          <cell r="V36">
            <v>91.908968073999986</v>
          </cell>
          <cell r="W36">
            <v>87.613523247999993</v>
          </cell>
          <cell r="X36">
            <v>97.309086624000003</v>
          </cell>
          <cell r="Y36">
            <v>99.521942785999997</v>
          </cell>
          <cell r="Z36">
            <v>86.143194050000005</v>
          </cell>
          <cell r="AA36">
            <v>68.815161458000006</v>
          </cell>
          <cell r="AB36">
            <v>51.119997210000001</v>
          </cell>
          <cell r="AC36">
            <v>33.664434362000001</v>
          </cell>
        </row>
        <row r="37">
          <cell r="F37">
            <v>55.867635898000003</v>
          </cell>
          <cell r="G37">
            <v>45.992727535999997</v>
          </cell>
          <cell r="H37">
            <v>37.449231485999995</v>
          </cell>
          <cell r="I37">
            <v>34.625451097999999</v>
          </cell>
          <cell r="J37">
            <v>35.656938834000002</v>
          </cell>
          <cell r="K37">
            <v>40.123865565999999</v>
          </cell>
          <cell r="L37">
            <v>43.796346751999998</v>
          </cell>
          <cell r="M37">
            <v>24.642254772000001</v>
          </cell>
          <cell r="N37">
            <v>32.940296619999998</v>
          </cell>
          <cell r="O37">
            <v>42.199963480000001</v>
          </cell>
          <cell r="P37">
            <v>51.663655011999992</v>
          </cell>
          <cell r="Q37">
            <v>62.625426480000009</v>
          </cell>
          <cell r="R37">
            <v>71.558560397999997</v>
          </cell>
          <cell r="S37">
            <v>74.123623199999997</v>
          </cell>
          <cell r="T37">
            <v>71.975318474000005</v>
          </cell>
          <cell r="U37">
            <v>72.111527790000011</v>
          </cell>
          <cell r="V37">
            <v>71.940676413999995</v>
          </cell>
          <cell r="W37">
            <v>70.286625610000002</v>
          </cell>
          <cell r="X37">
            <v>89.570703204000012</v>
          </cell>
          <cell r="Y37">
            <v>90.843988067999987</v>
          </cell>
          <cell r="Z37">
            <v>80.136164411999999</v>
          </cell>
          <cell r="AA37">
            <v>63.895914757999996</v>
          </cell>
          <cell r="AB37">
            <v>41.562327035999992</v>
          </cell>
          <cell r="AC37">
            <v>23.599543602000001</v>
          </cell>
        </row>
        <row r="38">
          <cell r="F38">
            <v>45.392195928</v>
          </cell>
          <cell r="G38">
            <v>34.005224699999999</v>
          </cell>
          <cell r="H38">
            <v>24.791860996000004</v>
          </cell>
          <cell r="I38">
            <v>24.637648194000001</v>
          </cell>
          <cell r="J38">
            <v>23.954316870000003</v>
          </cell>
          <cell r="K38">
            <v>32.559938670000001</v>
          </cell>
          <cell r="L38">
            <v>40.796106979999998</v>
          </cell>
          <cell r="M38">
            <v>17.984651698</v>
          </cell>
          <cell r="N38">
            <v>30.784002707999999</v>
          </cell>
          <cell r="O38">
            <v>42.230696254000001</v>
          </cell>
          <cell r="P38">
            <v>52.638699186000004</v>
          </cell>
          <cell r="Q38">
            <v>65.409958230000001</v>
          </cell>
          <cell r="R38">
            <v>72.265480961999998</v>
          </cell>
          <cell r="S38">
            <v>81.115852254000004</v>
          </cell>
          <cell r="T38">
            <v>79.421914864000001</v>
          </cell>
          <cell r="U38">
            <v>73.387564732000001</v>
          </cell>
          <cell r="V38">
            <v>77.045617907999997</v>
          </cell>
          <cell r="W38">
            <v>70.432826972000001</v>
          </cell>
          <cell r="X38">
            <v>85.777850132000012</v>
          </cell>
          <cell r="Y38">
            <v>100.89017063199999</v>
          </cell>
          <cell r="Z38">
            <v>90.248382012000008</v>
          </cell>
          <cell r="AA38">
            <v>70.950054440000002</v>
          </cell>
          <cell r="AB38">
            <v>47.532140568000003</v>
          </cell>
          <cell r="AC38">
            <v>24.199281484000004</v>
          </cell>
        </row>
        <row r="39">
          <cell r="F39">
            <v>124.01752886200001</v>
          </cell>
          <cell r="G39">
            <v>110.124467932</v>
          </cell>
          <cell r="H39">
            <v>102.33665096000001</v>
          </cell>
          <cell r="I39">
            <v>101.378519826</v>
          </cell>
          <cell r="J39">
            <v>112.06074396400001</v>
          </cell>
          <cell r="K39">
            <v>151.748193754</v>
          </cell>
          <cell r="L39">
            <v>182.08753928799999</v>
          </cell>
          <cell r="M39">
            <v>150.54783524799998</v>
          </cell>
          <cell r="N39">
            <v>158.73887986400001</v>
          </cell>
          <cell r="O39">
            <v>166.33927364799999</v>
          </cell>
          <cell r="P39">
            <v>184.96081257200001</v>
          </cell>
          <cell r="Q39">
            <v>200.310086246</v>
          </cell>
          <cell r="R39">
            <v>201.36267077400001</v>
          </cell>
          <cell r="S39">
            <v>201.22161008600003</v>
          </cell>
          <cell r="T39">
            <v>206.88629902400001</v>
          </cell>
          <cell r="U39">
            <v>209.67685418999997</v>
          </cell>
          <cell r="V39">
            <v>203.79022611000002</v>
          </cell>
          <cell r="W39">
            <v>198.85307977599999</v>
          </cell>
          <cell r="X39">
            <v>216.68801397999999</v>
          </cell>
          <cell r="Y39">
            <v>216.02661768200002</v>
          </cell>
          <cell r="Z39">
            <v>197.39925562800002</v>
          </cell>
          <cell r="AA39">
            <v>170.33198247600001</v>
          </cell>
          <cell r="AB39">
            <v>129.70045866200002</v>
          </cell>
          <cell r="AC39">
            <v>106.57981372200001</v>
          </cell>
        </row>
        <row r="40">
          <cell r="F40">
            <v>115.303522664</v>
          </cell>
          <cell r="G40">
            <v>101.59023696400001</v>
          </cell>
          <cell r="H40">
            <v>92.247340144000006</v>
          </cell>
          <cell r="I40">
            <v>89.244318621999994</v>
          </cell>
          <cell r="J40">
            <v>96.79752650799999</v>
          </cell>
          <cell r="K40">
            <v>114.48990900600002</v>
          </cell>
          <cell r="L40">
            <v>136.19779584599999</v>
          </cell>
          <cell r="M40">
            <v>118.730972474</v>
          </cell>
          <cell r="N40">
            <v>133.51561024200001</v>
          </cell>
          <cell r="O40">
            <v>146.360173962</v>
          </cell>
          <cell r="P40">
            <v>163.90546493800002</v>
          </cell>
          <cell r="Q40">
            <v>175.96145816800001</v>
          </cell>
          <cell r="R40">
            <v>176.950017938</v>
          </cell>
          <cell r="S40">
            <v>176.67068573</v>
          </cell>
          <cell r="T40">
            <v>174.13769836</v>
          </cell>
          <cell r="U40">
            <v>174.65477005</v>
          </cell>
          <cell r="V40">
            <v>174.97486416800001</v>
          </cell>
          <cell r="W40">
            <v>177.673169086</v>
          </cell>
          <cell r="X40">
            <v>195.46070227000001</v>
          </cell>
          <cell r="Y40">
            <v>191.52334655799999</v>
          </cell>
          <cell r="Z40">
            <v>173.668124124</v>
          </cell>
          <cell r="AA40">
            <v>148.43840826000002</v>
          </cell>
          <cell r="AB40">
            <v>123.78633947399999</v>
          </cell>
          <cell r="AC40">
            <v>99.820420852000012</v>
          </cell>
        </row>
        <row r="41">
          <cell r="F41">
            <v>121.038044654</v>
          </cell>
          <cell r="G41">
            <v>102.71682346000001</v>
          </cell>
          <cell r="H41">
            <v>91.746402603999996</v>
          </cell>
          <cell r="I41">
            <v>85.331234605999995</v>
          </cell>
          <cell r="J41">
            <v>85.731539558000009</v>
          </cell>
          <cell r="K41">
            <v>89.57646699</v>
          </cell>
          <cell r="L41">
            <v>97.437618310000005</v>
          </cell>
          <cell r="M41">
            <v>69.570729266000001</v>
          </cell>
          <cell r="N41">
            <v>80.586889509999992</v>
          </cell>
          <cell r="O41">
            <v>93.38560257200001</v>
          </cell>
          <cell r="P41">
            <v>109.045534668</v>
          </cell>
          <cell r="Q41">
            <v>126.25013174</v>
          </cell>
          <cell r="R41">
            <v>134.75529898400001</v>
          </cell>
          <cell r="S41">
            <v>141.21131790799998</v>
          </cell>
          <cell r="T41">
            <v>142.03083629399998</v>
          </cell>
          <cell r="U41">
            <v>143.59541860000002</v>
          </cell>
          <cell r="V41">
            <v>144.308933766</v>
          </cell>
          <cell r="W41">
            <v>150.86696502600003</v>
          </cell>
          <cell r="X41">
            <v>175.400605442</v>
          </cell>
          <cell r="Y41">
            <v>174.80735089200002</v>
          </cell>
          <cell r="Z41">
            <v>159.72921253600001</v>
          </cell>
          <cell r="AA41">
            <v>136.25883856800002</v>
          </cell>
          <cell r="AB41">
            <v>106.19732680600001</v>
          </cell>
          <cell r="AC41">
            <v>77.901477076000006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102.68117255200002</v>
          </cell>
          <cell r="G43">
            <v>88.974585305999994</v>
          </cell>
          <cell r="H43">
            <v>81.910008497999996</v>
          </cell>
          <cell r="I43">
            <v>81.907516050000012</v>
          </cell>
          <cell r="J43">
            <v>91.126265222000001</v>
          </cell>
          <cell r="K43">
            <v>125.49490516000002</v>
          </cell>
          <cell r="L43">
            <v>158.90728330000002</v>
          </cell>
          <cell r="M43">
            <v>135.82628015200001</v>
          </cell>
          <cell r="N43">
            <v>148.11967905400002</v>
          </cell>
          <cell r="O43">
            <v>157.90943619399997</v>
          </cell>
          <cell r="P43">
            <v>175.11000529200001</v>
          </cell>
          <cell r="Q43">
            <v>190.60158587799998</v>
          </cell>
          <cell r="R43">
            <v>195.00091979400003</v>
          </cell>
          <cell r="S43">
            <v>193.76830040600004</v>
          </cell>
          <cell r="T43">
            <v>197.95127351599999</v>
          </cell>
          <cell r="U43">
            <v>198.55107074200001</v>
          </cell>
          <cell r="V43">
            <v>189.28144892600002</v>
          </cell>
          <cell r="W43">
            <v>179.93997636199998</v>
          </cell>
          <cell r="X43">
            <v>189.47211378</v>
          </cell>
          <cell r="Y43">
            <v>185.24143551200001</v>
          </cell>
          <cell r="Z43">
            <v>167.20574055599999</v>
          </cell>
          <cell r="AA43">
            <v>144.18386628600001</v>
          </cell>
          <cell r="AB43">
            <v>108.46397830400001</v>
          </cell>
          <cell r="AC43">
            <v>88.859242824000006</v>
          </cell>
        </row>
        <row r="44">
          <cell r="F44">
            <v>115.689599892</v>
          </cell>
          <cell r="G44">
            <v>97.705808681999983</v>
          </cell>
          <cell r="H44">
            <v>88.531567509999988</v>
          </cell>
          <cell r="I44">
            <v>84.081895046</v>
          </cell>
          <cell r="J44">
            <v>90.461553078000009</v>
          </cell>
          <cell r="K44">
            <v>104.86848853999999</v>
          </cell>
          <cell r="L44">
            <v>129.20647920600001</v>
          </cell>
          <cell r="M44">
            <v>112.65080877399998</v>
          </cell>
          <cell r="N44">
            <v>131.51680046999999</v>
          </cell>
          <cell r="O44">
            <v>150.34794982</v>
          </cell>
          <cell r="P44">
            <v>168.86753575200004</v>
          </cell>
          <cell r="Q44">
            <v>179.24621533000001</v>
          </cell>
          <cell r="R44">
            <v>179.82134770600001</v>
          </cell>
          <cell r="S44">
            <v>176.57005314200001</v>
          </cell>
          <cell r="T44">
            <v>171.98989805799999</v>
          </cell>
          <cell r="U44">
            <v>172.032929876</v>
          </cell>
          <cell r="V44">
            <v>171.38352848400001</v>
          </cell>
          <cell r="W44">
            <v>174.697987318</v>
          </cell>
          <cell r="X44">
            <v>187.80046748000001</v>
          </cell>
          <cell r="Y44">
            <v>180.07755800799998</v>
          </cell>
          <cell r="Z44">
            <v>162.45678888199998</v>
          </cell>
          <cell r="AA44">
            <v>139.91948804399999</v>
          </cell>
          <cell r="AB44">
            <v>115.840519102</v>
          </cell>
          <cell r="AC44">
            <v>91.440232072000001</v>
          </cell>
        </row>
        <row r="45">
          <cell r="F45">
            <v>115.09588542600001</v>
          </cell>
          <cell r="G45">
            <v>98.99935210400001</v>
          </cell>
          <cell r="H45">
            <v>89.636486027999993</v>
          </cell>
          <cell r="I45">
            <v>83.631592773999984</v>
          </cell>
          <cell r="J45">
            <v>83.671316164000004</v>
          </cell>
          <cell r="K45">
            <v>87.870683053999997</v>
          </cell>
          <cell r="L45">
            <v>99.158223410000005</v>
          </cell>
          <cell r="M45">
            <v>75.49420997</v>
          </cell>
          <cell r="N45">
            <v>90.833202295999996</v>
          </cell>
          <cell r="O45">
            <v>105.81145728199999</v>
          </cell>
          <cell r="P45">
            <v>120.05660616400002</v>
          </cell>
          <cell r="Q45">
            <v>137.92104175400002</v>
          </cell>
          <cell r="R45">
            <v>147.74288174399999</v>
          </cell>
          <cell r="S45">
            <v>147.23308711200002</v>
          </cell>
          <cell r="T45">
            <v>143.70320214</v>
          </cell>
          <cell r="U45">
            <v>142.23979393600001</v>
          </cell>
          <cell r="V45">
            <v>137.84294505</v>
          </cell>
          <cell r="W45">
            <v>138.78234573399999</v>
          </cell>
          <cell r="X45">
            <v>159.19207515600002</v>
          </cell>
          <cell r="Y45">
            <v>157.89007521400001</v>
          </cell>
          <cell r="Z45">
            <v>143.316027048</v>
          </cell>
          <cell r="AA45">
            <v>123.069768092</v>
          </cell>
          <cell r="AB45">
            <v>95.33483785</v>
          </cell>
          <cell r="AC45">
            <v>69.637773150000015</v>
          </cell>
        </row>
        <row r="46">
          <cell r="F46">
            <v>104.206120484</v>
          </cell>
          <cell r="G46">
            <v>91.402474451999993</v>
          </cell>
          <cell r="H46">
            <v>82.650814486000002</v>
          </cell>
          <cell r="I46">
            <v>79.053388623999993</v>
          </cell>
          <cell r="J46">
            <v>82.197114769999999</v>
          </cell>
          <cell r="K46">
            <v>88.278925265999987</v>
          </cell>
          <cell r="L46">
            <v>98.096284784000005</v>
          </cell>
          <cell r="M46">
            <v>73.651074346000001</v>
          </cell>
          <cell r="N46">
            <v>90.120147046</v>
          </cell>
          <cell r="O46">
            <v>100.74832363599999</v>
          </cell>
          <cell r="P46">
            <v>114.860141386</v>
          </cell>
          <cell r="Q46">
            <v>136.62778021600002</v>
          </cell>
          <cell r="R46">
            <v>152.76733793800003</v>
          </cell>
          <cell r="S46">
            <v>157.30148658599998</v>
          </cell>
          <cell r="T46">
            <v>150.98707728199997</v>
          </cell>
          <cell r="U46">
            <v>152.13234230200001</v>
          </cell>
          <cell r="V46">
            <v>153.936548262</v>
          </cell>
          <cell r="W46">
            <v>155.32604351400002</v>
          </cell>
          <cell r="X46">
            <v>167.07257261999999</v>
          </cell>
          <cell r="Y46">
            <v>163.969556458</v>
          </cell>
          <cell r="Z46">
            <v>144.32991928800001</v>
          </cell>
          <cell r="AA46">
            <v>121.159840796</v>
          </cell>
          <cell r="AB46">
            <v>90.856287112000004</v>
          </cell>
          <cell r="AC46">
            <v>64.710670788000002</v>
          </cell>
        </row>
        <row r="47">
          <cell r="F47">
            <v>118.04836811400001</v>
          </cell>
          <cell r="G47">
            <v>102.814570446</v>
          </cell>
          <cell r="H47">
            <v>96.164971394000005</v>
          </cell>
          <cell r="I47">
            <v>96.314659215999995</v>
          </cell>
          <cell r="J47">
            <v>104.966213272</v>
          </cell>
          <cell r="K47">
            <v>138.40574129199999</v>
          </cell>
          <cell r="L47">
            <v>174.01048707800001</v>
          </cell>
          <cell r="M47">
            <v>154.23284543599999</v>
          </cell>
          <cell r="N47">
            <v>164.87300209600002</v>
          </cell>
          <cell r="O47">
            <v>175.175276274</v>
          </cell>
          <cell r="P47">
            <v>192.28657716000001</v>
          </cell>
          <cell r="Q47">
            <v>208.87496838999999</v>
          </cell>
          <cell r="R47">
            <v>213.66695930000003</v>
          </cell>
          <cell r="S47">
            <v>210.56687324799998</v>
          </cell>
          <cell r="T47">
            <v>213.18036075400002</v>
          </cell>
          <cell r="U47">
            <v>213.61492202999997</v>
          </cell>
          <cell r="V47">
            <v>206.78057768799999</v>
          </cell>
          <cell r="W47">
            <v>204.66441515599999</v>
          </cell>
          <cell r="X47">
            <v>216.702026582</v>
          </cell>
          <cell r="Y47">
            <v>210.02360860000002</v>
          </cell>
          <cell r="Z47">
            <v>188.66898917399999</v>
          </cell>
          <cell r="AA47">
            <v>162.14370477400001</v>
          </cell>
          <cell r="AB47">
            <v>124.996630682</v>
          </cell>
          <cell r="AC47">
            <v>102.82234451000001</v>
          </cell>
        </row>
        <row r="48">
          <cell r="F48">
            <v>113.58112982600001</v>
          </cell>
          <cell r="G48">
            <v>97.04436787600001</v>
          </cell>
          <cell r="H48">
            <v>87.091681784000002</v>
          </cell>
          <cell r="I48">
            <v>84.278724257999997</v>
          </cell>
          <cell r="J48">
            <v>92.398200009999996</v>
          </cell>
          <cell r="K48">
            <v>109.901586704</v>
          </cell>
          <cell r="L48">
            <v>137.26865832600001</v>
          </cell>
          <cell r="M48">
            <v>125.32136846800002</v>
          </cell>
          <cell r="N48">
            <v>145.21458254999999</v>
          </cell>
          <cell r="O48">
            <v>162.10224557200002</v>
          </cell>
          <cell r="P48">
            <v>175.64924196600001</v>
          </cell>
          <cell r="Q48">
            <v>185.37977379400002</v>
          </cell>
          <cell r="R48">
            <v>186.90701388800002</v>
          </cell>
          <cell r="S48">
            <v>181.949935388</v>
          </cell>
          <cell r="T48">
            <v>176.94912777799999</v>
          </cell>
          <cell r="U48">
            <v>174.178638302</v>
          </cell>
          <cell r="V48">
            <v>171.92829156800002</v>
          </cell>
          <cell r="W48">
            <v>178.22756073400001</v>
          </cell>
          <cell r="X48">
            <v>197.33695184599998</v>
          </cell>
          <cell r="Y48">
            <v>189.49542113599998</v>
          </cell>
          <cell r="Z48">
            <v>170.62513441799999</v>
          </cell>
          <cell r="AA48">
            <v>144.185364722</v>
          </cell>
          <cell r="AB48">
            <v>118.34373803800001</v>
          </cell>
          <cell r="AC48">
            <v>91.135589648000007</v>
          </cell>
        </row>
        <row r="49">
          <cell r="F49">
            <v>103.656973362</v>
          </cell>
          <cell r="G49">
            <v>87.977064592000005</v>
          </cell>
          <cell r="H49">
            <v>78.840217558000006</v>
          </cell>
          <cell r="I49">
            <v>74.632928244000013</v>
          </cell>
          <cell r="J49">
            <v>76.075536376000002</v>
          </cell>
          <cell r="K49">
            <v>82.701264303999992</v>
          </cell>
          <cell r="L49">
            <v>95.502647846000002</v>
          </cell>
          <cell r="M49">
            <v>74.468575036000004</v>
          </cell>
          <cell r="N49">
            <v>92.090545878</v>
          </cell>
          <cell r="O49">
            <v>108.38051838599999</v>
          </cell>
          <cell r="P49">
            <v>120.095654516</v>
          </cell>
          <cell r="Q49">
            <v>134.75073691400002</v>
          </cell>
          <cell r="R49">
            <v>146.366738892</v>
          </cell>
          <cell r="S49">
            <v>151.33895753000002</v>
          </cell>
          <cell r="T49">
            <v>148.77066048000003</v>
          </cell>
          <cell r="U49">
            <v>143.16494464200002</v>
          </cell>
          <cell r="V49">
            <v>138.75203578599999</v>
          </cell>
          <cell r="W49">
            <v>143.53624521400002</v>
          </cell>
          <cell r="X49">
            <v>162.948691298</v>
          </cell>
          <cell r="Y49">
            <v>157.629525382</v>
          </cell>
          <cell r="Z49">
            <v>143.10548937200002</v>
          </cell>
          <cell r="AA49">
            <v>122.04445955</v>
          </cell>
          <cell r="AB49">
            <v>99.507715062000003</v>
          </cell>
          <cell r="AC49">
            <v>73.228864040000005</v>
          </cell>
        </row>
        <row r="50">
          <cell r="F50">
            <v>101.39653073000001</v>
          </cell>
          <cell r="G50">
            <v>86.403350728000007</v>
          </cell>
          <cell r="H50">
            <v>77.534464107999995</v>
          </cell>
          <cell r="I50">
            <v>72.861316975999998</v>
          </cell>
          <cell r="J50">
            <v>77.415798362000004</v>
          </cell>
          <cell r="K50">
            <v>86.797602592000004</v>
          </cell>
          <cell r="L50">
            <v>96.352387164000007</v>
          </cell>
          <cell r="M50">
            <v>68.554055276000014</v>
          </cell>
          <cell r="N50">
            <v>85.340863169999992</v>
          </cell>
          <cell r="O50">
            <v>100.40560461800001</v>
          </cell>
          <cell r="P50">
            <v>118.38915103400001</v>
          </cell>
          <cell r="Q50">
            <v>136.74139430400001</v>
          </cell>
          <cell r="R50">
            <v>151.29433826000002</v>
          </cell>
          <cell r="S50">
            <v>157.40871377600001</v>
          </cell>
          <cell r="T50">
            <v>150.714933116</v>
          </cell>
          <cell r="U50">
            <v>145.38635375800001</v>
          </cell>
          <cell r="V50">
            <v>144.66235695799998</v>
          </cell>
          <cell r="W50">
            <v>151.16941172200001</v>
          </cell>
          <cell r="X50">
            <v>170.960887934</v>
          </cell>
          <cell r="Y50">
            <v>167.244885342</v>
          </cell>
          <cell r="Z50">
            <v>148.524657346</v>
          </cell>
          <cell r="AA50">
            <v>119.53175299200001</v>
          </cell>
          <cell r="AB50">
            <v>89.513228540000014</v>
          </cell>
          <cell r="AC50">
            <v>61.988754376000003</v>
          </cell>
        </row>
        <row r="51">
          <cell r="F51">
            <v>134.415806796</v>
          </cell>
          <cell r="G51">
            <v>117.380340124</v>
          </cell>
          <cell r="H51">
            <v>107.80408786000001</v>
          </cell>
          <cell r="I51">
            <v>106.13997083000001</v>
          </cell>
          <cell r="J51">
            <v>111.08926784799999</v>
          </cell>
          <cell r="K51">
            <v>135.29291853399999</v>
          </cell>
          <cell r="L51">
            <v>165.77097325</v>
          </cell>
          <cell r="M51">
            <v>151.411609422</v>
          </cell>
          <cell r="N51">
            <v>170.00803099800001</v>
          </cell>
          <cell r="O51">
            <v>182.29117822399999</v>
          </cell>
          <cell r="P51">
            <v>199.26595082000003</v>
          </cell>
          <cell r="Q51">
            <v>216.56656648400002</v>
          </cell>
          <cell r="R51">
            <v>224.67371352000001</v>
          </cell>
          <cell r="S51">
            <v>223.11996891200002</v>
          </cell>
          <cell r="T51">
            <v>225.88499132199999</v>
          </cell>
          <cell r="U51">
            <v>226.08662739799999</v>
          </cell>
          <cell r="V51">
            <v>218.73225900200001</v>
          </cell>
          <cell r="W51">
            <v>213.08597412199998</v>
          </cell>
          <cell r="X51">
            <v>230.16857476600001</v>
          </cell>
          <cell r="Y51">
            <v>224.68745165599998</v>
          </cell>
          <cell r="Z51">
            <v>204.60344661399998</v>
          </cell>
          <cell r="AA51">
            <v>180.17381397599999</v>
          </cell>
          <cell r="AB51">
            <v>145.487105034</v>
          </cell>
          <cell r="AC51">
            <v>123.31135009799999</v>
          </cell>
        </row>
        <row r="52">
          <cell r="F52">
            <v>136.28193080200001</v>
          </cell>
          <cell r="G52">
            <v>116.64310219399999</v>
          </cell>
          <cell r="H52">
            <v>106.86814396400001</v>
          </cell>
          <cell r="I52">
            <v>102.39336898800001</v>
          </cell>
          <cell r="J52">
            <v>107.47219912200001</v>
          </cell>
          <cell r="K52">
            <v>121.342249416</v>
          </cell>
          <cell r="L52">
            <v>144.20153596200001</v>
          </cell>
          <cell r="M52">
            <v>128.495938658</v>
          </cell>
          <cell r="N52">
            <v>151.399644188</v>
          </cell>
          <cell r="O52">
            <v>171.19955466600001</v>
          </cell>
          <cell r="P52">
            <v>184.68423985999999</v>
          </cell>
          <cell r="Q52">
            <v>194.30849400200003</v>
          </cell>
          <cell r="R52">
            <v>196.856280282</v>
          </cell>
          <cell r="S52">
            <v>195.469054938</v>
          </cell>
          <cell r="T52">
            <v>192.844240146</v>
          </cell>
          <cell r="U52">
            <v>187.53291505600004</v>
          </cell>
          <cell r="V52">
            <v>182.12658764</v>
          </cell>
          <cell r="W52">
            <v>182.21023300800002</v>
          </cell>
          <cell r="X52">
            <v>209.02173352</v>
          </cell>
          <cell r="Y52">
            <v>201.01131720400002</v>
          </cell>
          <cell r="Z52">
            <v>177.20686618800002</v>
          </cell>
          <cell r="AA52">
            <v>153.90157239199999</v>
          </cell>
          <cell r="AB52">
            <v>130.74405999200002</v>
          </cell>
          <cell r="AC52">
            <v>108.93573343199999</v>
          </cell>
        </row>
        <row r="53">
          <cell r="F53">
            <v>138.11623158800001</v>
          </cell>
          <cell r="G53">
            <v>117.449053058</v>
          </cell>
          <cell r="H53">
            <v>107.254703362</v>
          </cell>
          <cell r="I53">
            <v>100.23322513400001</v>
          </cell>
          <cell r="J53">
            <v>99.080059943999998</v>
          </cell>
          <cell r="K53">
            <v>106.307105788</v>
          </cell>
          <cell r="L53">
            <v>117.216669372</v>
          </cell>
          <cell r="M53">
            <v>89.312252666000006</v>
          </cell>
          <cell r="N53">
            <v>109.487966442</v>
          </cell>
          <cell r="O53">
            <v>127.46201781800001</v>
          </cell>
          <cell r="P53">
            <v>143.41977519599999</v>
          </cell>
          <cell r="Q53">
            <v>157.88000156999999</v>
          </cell>
          <cell r="R53">
            <v>166.56066385800003</v>
          </cell>
          <cell r="S53">
            <v>170.51873062600001</v>
          </cell>
          <cell r="T53">
            <v>167.71126983800002</v>
          </cell>
          <cell r="U53">
            <v>167.80038968999997</v>
          </cell>
          <cell r="V53">
            <v>166.08882713200001</v>
          </cell>
          <cell r="W53">
            <v>165.26775838400002</v>
          </cell>
          <cell r="X53">
            <v>185.11601196800001</v>
          </cell>
          <cell r="Y53">
            <v>184.006264332</v>
          </cell>
          <cell r="Z53">
            <v>173.76082686999999</v>
          </cell>
          <cell r="AA53">
            <v>154.868189718</v>
          </cell>
          <cell r="AB53">
            <v>128.58218032600001</v>
          </cell>
          <cell r="AC53">
            <v>100.042159708</v>
          </cell>
        </row>
        <row r="54">
          <cell r="F54">
            <v>119.817583368</v>
          </cell>
          <cell r="G54">
            <v>106.353416362</v>
          </cell>
          <cell r="H54">
            <v>94.942195692000013</v>
          </cell>
          <cell r="I54">
            <v>86.591011292000005</v>
          </cell>
          <cell r="J54">
            <v>83.445972160000011</v>
          </cell>
          <cell r="K54">
            <v>85.319721869999995</v>
          </cell>
          <cell r="L54">
            <v>88.402575908000003</v>
          </cell>
          <cell r="M54">
            <v>53.532130523999996</v>
          </cell>
          <cell r="N54">
            <v>66.330813914000004</v>
          </cell>
          <cell r="O54">
            <v>83.506896194000007</v>
          </cell>
          <cell r="P54">
            <v>99.418550702000005</v>
          </cell>
          <cell r="Q54">
            <v>114.46628267600001</v>
          </cell>
          <cell r="R54">
            <v>129.28511000600002</v>
          </cell>
          <cell r="S54">
            <v>133.73145920600001</v>
          </cell>
          <cell r="T54">
            <v>131.49402721000001</v>
          </cell>
          <cell r="U54">
            <v>134.09299027200001</v>
          </cell>
          <cell r="V54">
            <v>134.97945610800002</v>
          </cell>
          <cell r="W54">
            <v>134.20752419200002</v>
          </cell>
          <cell r="X54">
            <v>164.40807152799999</v>
          </cell>
          <cell r="Y54">
            <v>165.341122404</v>
          </cell>
          <cell r="Z54">
            <v>153.01997276400002</v>
          </cell>
          <cell r="AA54">
            <v>134.32162045000001</v>
          </cell>
          <cell r="AB54">
            <v>108.54955235200001</v>
          </cell>
          <cell r="AC54">
            <v>80.938606562000004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109.78065025400001</v>
          </cell>
          <cell r="G7">
            <v>98.065200107999999</v>
          </cell>
          <cell r="H7">
            <v>90.827454386000014</v>
          </cell>
          <cell r="I7">
            <v>89.166564541999989</v>
          </cell>
          <cell r="J7">
            <v>93.626470119999993</v>
          </cell>
          <cell r="K7">
            <v>116.292353452</v>
          </cell>
          <cell r="L7">
            <v>138.79903323600001</v>
          </cell>
          <cell r="M7">
            <v>133.38472218000001</v>
          </cell>
          <cell r="N7">
            <v>148.69788023800001</v>
          </cell>
          <cell r="O7">
            <v>156.17907075800002</v>
          </cell>
          <cell r="P7">
            <v>170.77149969800004</v>
          </cell>
          <cell r="Q7">
            <v>183.68554499000001</v>
          </cell>
          <cell r="R7">
            <v>189.974255392</v>
          </cell>
          <cell r="S7">
            <v>191.58557945800001</v>
          </cell>
          <cell r="T7">
            <v>198.31303957200001</v>
          </cell>
          <cell r="U7">
            <v>200.18523130000003</v>
          </cell>
          <cell r="V7">
            <v>194.29633164400002</v>
          </cell>
          <cell r="W7">
            <v>154.02831893199999</v>
          </cell>
          <cell r="X7">
            <v>158.41856143000001</v>
          </cell>
          <cell r="Y7">
            <v>162.66436299400002</v>
          </cell>
          <cell r="Z7">
            <v>151.74661896000001</v>
          </cell>
          <cell r="AA7">
            <v>135.09601489400004</v>
          </cell>
          <cell r="AB7">
            <v>105.537345778</v>
          </cell>
          <cell r="AC7">
            <v>91.044076770000004</v>
          </cell>
        </row>
        <row r="8">
          <cell r="F8">
            <v>104.41473446600001</v>
          </cell>
          <cell r="G8">
            <v>92.68183307999999</v>
          </cell>
          <cell r="H8">
            <v>85.004564400000007</v>
          </cell>
          <cell r="I8">
            <v>81.145158828000007</v>
          </cell>
          <cell r="J8">
            <v>86.323126180000003</v>
          </cell>
          <cell r="K8">
            <v>97.474794863999989</v>
          </cell>
          <cell r="L8">
            <v>112.94621296800001</v>
          </cell>
          <cell r="M8">
            <v>107.98070382200001</v>
          </cell>
          <cell r="N8">
            <v>125.38535043000002</v>
          </cell>
          <cell r="O8">
            <v>139.10332327200001</v>
          </cell>
          <cell r="P8">
            <v>149.24654438599998</v>
          </cell>
          <cell r="Q8">
            <v>159.82745111200001</v>
          </cell>
          <cell r="R8">
            <v>160.287929746</v>
          </cell>
          <cell r="S8">
            <v>160.444238942</v>
          </cell>
          <cell r="T8">
            <v>158.38863893799999</v>
          </cell>
          <cell r="U8">
            <v>158.253576272</v>
          </cell>
          <cell r="V8">
            <v>159.47060163000003</v>
          </cell>
          <cell r="W8">
            <v>126.62176369000001</v>
          </cell>
          <cell r="X8">
            <v>138.91365808800001</v>
          </cell>
          <cell r="Y8">
            <v>141.42096144800001</v>
          </cell>
          <cell r="Z8">
            <v>129.29708844000001</v>
          </cell>
          <cell r="AA8">
            <v>113.6263715</v>
          </cell>
          <cell r="AB8">
            <v>96.589293408000017</v>
          </cell>
          <cell r="AC8">
            <v>77.045607168000004</v>
          </cell>
        </row>
        <row r="9">
          <cell r="F9">
            <v>105.21446946200001</v>
          </cell>
          <cell r="G9">
            <v>92.083709564000003</v>
          </cell>
          <cell r="H9">
            <v>82.764931848000003</v>
          </cell>
          <cell r="I9">
            <v>77.107183087999999</v>
          </cell>
          <cell r="J9">
            <v>78.465251354000003</v>
          </cell>
          <cell r="K9">
            <v>83.588374991999999</v>
          </cell>
          <cell r="L9">
            <v>90.850509885999998</v>
          </cell>
          <cell r="M9">
            <v>81.310888856000005</v>
          </cell>
          <cell r="N9">
            <v>93.672538556000006</v>
          </cell>
          <cell r="O9">
            <v>105.846793152</v>
          </cell>
          <cell r="P9">
            <v>115.38422923000002</v>
          </cell>
          <cell r="Q9">
            <v>129.73158175200001</v>
          </cell>
          <cell r="R9">
            <v>138.92210704199999</v>
          </cell>
          <cell r="S9">
            <v>145.12129825800002</v>
          </cell>
          <cell r="T9">
            <v>145.21823067399998</v>
          </cell>
          <cell r="U9">
            <v>143.91172869400003</v>
          </cell>
          <cell r="V9">
            <v>142.74824884800003</v>
          </cell>
          <cell r="W9">
            <v>111.84179776600001</v>
          </cell>
          <cell r="X9">
            <v>123.46713283000001</v>
          </cell>
          <cell r="Y9">
            <v>130.41245677800001</v>
          </cell>
          <cell r="Z9">
            <v>121.767899916</v>
          </cell>
          <cell r="AA9">
            <v>106.81664936200001</v>
          </cell>
          <cell r="AB9">
            <v>86.937324699999991</v>
          </cell>
          <cell r="AC9">
            <v>63.043689881999995</v>
          </cell>
        </row>
        <row r="10">
          <cell r="F10">
            <v>86.136745518000012</v>
          </cell>
          <cell r="G10">
            <v>78.814524444</v>
          </cell>
          <cell r="H10">
            <v>70.384021938000004</v>
          </cell>
          <cell r="I10">
            <v>65.890015502000011</v>
          </cell>
          <cell r="J10">
            <v>66.142930790000008</v>
          </cell>
          <cell r="K10">
            <v>71.189971278000002</v>
          </cell>
          <cell r="L10">
            <v>71.112433858000003</v>
          </cell>
          <cell r="M10">
            <v>55.303249132000005</v>
          </cell>
          <cell r="N10">
            <v>62.719061348000004</v>
          </cell>
          <cell r="O10">
            <v>71.915417906000002</v>
          </cell>
          <cell r="P10">
            <v>83.800946702000005</v>
          </cell>
          <cell r="Q10">
            <v>98.048188695999997</v>
          </cell>
          <cell r="R10">
            <v>110.23553881600002</v>
          </cell>
          <cell r="S10">
            <v>115.62710650800001</v>
          </cell>
          <cell r="T10">
            <v>116.28182595600001</v>
          </cell>
          <cell r="U10">
            <v>113.11804383600001</v>
          </cell>
          <cell r="V10">
            <v>112.125834432</v>
          </cell>
          <cell r="W10">
            <v>83.204468993999996</v>
          </cell>
          <cell r="X10">
            <v>101.837094096</v>
          </cell>
          <cell r="Y10">
            <v>108.136729258</v>
          </cell>
          <cell r="Z10">
            <v>100.10428528000001</v>
          </cell>
          <cell r="AA10">
            <v>87.113816326000006</v>
          </cell>
          <cell r="AB10">
            <v>69.151574224000015</v>
          </cell>
          <cell r="AC10">
            <v>50.325885911999997</v>
          </cell>
        </row>
        <row r="11">
          <cell r="F11">
            <v>114.74822375400001</v>
          </cell>
          <cell r="G11">
            <v>103.27608361999999</v>
          </cell>
          <cell r="H11">
            <v>97.817789763999997</v>
          </cell>
          <cell r="I11">
            <v>97.470573934000001</v>
          </cell>
          <cell r="J11">
            <v>109.78026008399999</v>
          </cell>
          <cell r="K11">
            <v>152.77882433600001</v>
          </cell>
          <cell r="L11">
            <v>175.79832938000001</v>
          </cell>
          <cell r="M11">
            <v>156.80653505800001</v>
          </cell>
          <cell r="N11">
            <v>167.88193614799999</v>
          </cell>
          <cell r="O11">
            <v>173.11746421600003</v>
          </cell>
          <cell r="P11">
            <v>188.44857718800003</v>
          </cell>
          <cell r="Q11">
            <v>199.29853805200003</v>
          </cell>
          <cell r="R11">
            <v>198.52703717599999</v>
          </cell>
          <cell r="S11">
            <v>198.85874552200002</v>
          </cell>
          <cell r="T11">
            <v>204.49089913</v>
          </cell>
          <cell r="U11">
            <v>206.71990486999999</v>
          </cell>
          <cell r="V11">
            <v>201.67786565200001</v>
          </cell>
          <cell r="W11">
            <v>165.47132400800004</v>
          </cell>
          <cell r="X11">
            <v>174.61544744400001</v>
          </cell>
          <cell r="Y11">
            <v>177.82638338199999</v>
          </cell>
          <cell r="Z11">
            <v>164.30034580400002</v>
          </cell>
          <cell r="AA11">
            <v>141.413413432</v>
          </cell>
          <cell r="AB11">
            <v>107.91507013399999</v>
          </cell>
          <cell r="AC11">
            <v>92.154394179999997</v>
          </cell>
        </row>
        <row r="12">
          <cell r="F12">
            <v>125.593942406</v>
          </cell>
          <cell r="G12">
            <v>112.82988555599999</v>
          </cell>
          <cell r="H12">
            <v>103.892807604</v>
          </cell>
          <cell r="I12">
            <v>101.78281080800001</v>
          </cell>
          <cell r="J12">
            <v>108.04942339999999</v>
          </cell>
          <cell r="K12">
            <v>120.356328702</v>
          </cell>
          <cell r="L12">
            <v>143.02099186600003</v>
          </cell>
          <cell r="M12">
            <v>139.05236707</v>
          </cell>
          <cell r="N12">
            <v>161.33918251200004</v>
          </cell>
          <cell r="O12">
            <v>174.70398056400001</v>
          </cell>
          <cell r="P12">
            <v>186.280899078</v>
          </cell>
          <cell r="Q12">
            <v>190.34648466600001</v>
          </cell>
          <cell r="R12">
            <v>186.99009335200003</v>
          </cell>
          <cell r="S12">
            <v>184.32499815</v>
          </cell>
          <cell r="T12">
            <v>182.313451886</v>
          </cell>
          <cell r="U12">
            <v>183.60254519</v>
          </cell>
          <cell r="V12">
            <v>183.51075592399999</v>
          </cell>
          <cell r="W12">
            <v>153.18675061800002</v>
          </cell>
          <cell r="X12">
            <v>169.03688191200001</v>
          </cell>
          <cell r="Y12">
            <v>168.82088380000002</v>
          </cell>
          <cell r="Z12">
            <v>157.727208566</v>
          </cell>
          <cell r="AA12">
            <v>137.957315948</v>
          </cell>
          <cell r="AB12">
            <v>113.95716471999999</v>
          </cell>
          <cell r="AC12">
            <v>91.536024388000001</v>
          </cell>
        </row>
        <row r="13">
          <cell r="F13">
            <v>117.17915311</v>
          </cell>
          <cell r="G13">
            <v>103.31131242400001</v>
          </cell>
          <cell r="H13">
            <v>94.718406976000011</v>
          </cell>
          <cell r="I13">
            <v>90.576482854000005</v>
          </cell>
          <cell r="J13">
            <v>92.015763231999998</v>
          </cell>
          <cell r="K13">
            <v>96.755371041999993</v>
          </cell>
          <cell r="L13">
            <v>106.97786051200002</v>
          </cell>
          <cell r="M13">
            <v>98.074252051999991</v>
          </cell>
          <cell r="N13">
            <v>113.03051806400001</v>
          </cell>
          <cell r="O13">
            <v>125.69800429199999</v>
          </cell>
          <cell r="P13">
            <v>137.68523267200001</v>
          </cell>
          <cell r="Q13">
            <v>153.34537245799999</v>
          </cell>
          <cell r="R13">
            <v>162.06572871</v>
          </cell>
          <cell r="S13">
            <v>166.47151416200001</v>
          </cell>
          <cell r="T13">
            <v>166.52893299800002</v>
          </cell>
          <cell r="U13">
            <v>164.60943847799999</v>
          </cell>
          <cell r="V13">
            <v>162.689951052</v>
          </cell>
          <cell r="W13">
            <v>133.51290366600003</v>
          </cell>
          <cell r="X13">
            <v>147.76237317600001</v>
          </cell>
          <cell r="Y13">
            <v>152.093472996</v>
          </cell>
          <cell r="Z13">
            <v>142.389789028</v>
          </cell>
          <cell r="AA13">
            <v>124.91480541</v>
          </cell>
          <cell r="AB13">
            <v>100.10395186200002</v>
          </cell>
          <cell r="AC13">
            <v>74.926430736000015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111.26860966</v>
          </cell>
          <cell r="G15">
            <v>101.29061489999999</v>
          </cell>
          <cell r="H15">
            <v>95.893017308000012</v>
          </cell>
          <cell r="I15">
            <v>95.722406608</v>
          </cell>
          <cell r="J15">
            <v>106.552546836</v>
          </cell>
          <cell r="K15">
            <v>145.27687677200001</v>
          </cell>
          <cell r="L15">
            <v>165.93023486800001</v>
          </cell>
          <cell r="M15">
            <v>148.68806214200001</v>
          </cell>
          <cell r="N15">
            <v>158.41293588800002</v>
          </cell>
          <cell r="O15">
            <v>164.053666142</v>
          </cell>
          <cell r="P15">
            <v>178.41377367600001</v>
          </cell>
          <cell r="Q15">
            <v>188.90538113000002</v>
          </cell>
          <cell r="R15">
            <v>188.974888142</v>
          </cell>
          <cell r="S15">
            <v>190.57509591000004</v>
          </cell>
          <cell r="T15">
            <v>197.53584221400001</v>
          </cell>
          <cell r="U15">
            <v>198.38035453800001</v>
          </cell>
          <cell r="V15">
            <v>193.227911398</v>
          </cell>
          <cell r="W15">
            <v>156.20890102799999</v>
          </cell>
          <cell r="X15">
            <v>163.140001506</v>
          </cell>
          <cell r="Y15">
            <v>167.54087081600002</v>
          </cell>
          <cell r="Z15">
            <v>154.22897272200001</v>
          </cell>
          <cell r="AA15">
            <v>132.52423416799999</v>
          </cell>
          <cell r="AB15">
            <v>103.10490540000001</v>
          </cell>
          <cell r="AC15">
            <v>88.056353541999997</v>
          </cell>
        </row>
        <row r="16">
          <cell r="F16">
            <v>110.54590841000001</v>
          </cell>
          <cell r="G16">
            <v>99.712157336000004</v>
          </cell>
          <cell r="H16">
            <v>92.156082552000001</v>
          </cell>
          <cell r="I16">
            <v>90.175118522000005</v>
          </cell>
          <cell r="J16">
            <v>97.170703459999999</v>
          </cell>
          <cell r="K16">
            <v>112.10452405599999</v>
          </cell>
          <cell r="L16">
            <v>130.54326304400001</v>
          </cell>
          <cell r="M16">
            <v>132.52487262800003</v>
          </cell>
          <cell r="N16">
            <v>149.714571036</v>
          </cell>
          <cell r="O16">
            <v>161.68644800000001</v>
          </cell>
          <cell r="P16">
            <v>173.58866897800002</v>
          </cell>
          <cell r="Q16">
            <v>182.04093587599999</v>
          </cell>
          <cell r="R16">
            <v>180.52384850600001</v>
          </cell>
          <cell r="S16">
            <v>180.47127487200001</v>
          </cell>
          <cell r="T16">
            <v>180.651377344</v>
          </cell>
          <cell r="U16">
            <v>179.36278771400001</v>
          </cell>
          <cell r="V16">
            <v>178.05562599200002</v>
          </cell>
          <cell r="W16">
            <v>150.291199732</v>
          </cell>
          <cell r="X16">
            <v>157.68627618600001</v>
          </cell>
          <cell r="Y16">
            <v>157.41260385400003</v>
          </cell>
          <cell r="Z16">
            <v>147.18975259000001</v>
          </cell>
          <cell r="AA16">
            <v>132.05031240400001</v>
          </cell>
          <cell r="AB16">
            <v>110.282068362</v>
          </cell>
          <cell r="AC16">
            <v>90.303335477999994</v>
          </cell>
        </row>
        <row r="17">
          <cell r="F17">
            <v>111.665313234</v>
          </cell>
          <cell r="G17">
            <v>99.119361413999997</v>
          </cell>
          <cell r="H17">
            <v>89.773924446000009</v>
          </cell>
          <cell r="I17">
            <v>85.362208410000008</v>
          </cell>
          <cell r="J17">
            <v>85.521028881999996</v>
          </cell>
          <cell r="K17">
            <v>89.510048928000003</v>
          </cell>
          <cell r="L17">
            <v>95.780591595999994</v>
          </cell>
          <cell r="M17">
            <v>89.656568404000012</v>
          </cell>
          <cell r="N17">
            <v>103.38162105800001</v>
          </cell>
          <cell r="O17">
            <v>111.58434231800001</v>
          </cell>
          <cell r="P17">
            <v>121.667143834</v>
          </cell>
          <cell r="Q17">
            <v>133.41944021600003</v>
          </cell>
          <cell r="R17">
            <v>142.69039727799998</v>
          </cell>
          <cell r="S17">
            <v>148.63656679600001</v>
          </cell>
          <cell r="T17">
            <v>150.57757032399999</v>
          </cell>
          <cell r="U17">
            <v>152.29950403799998</v>
          </cell>
          <cell r="V17">
            <v>150.58900585200001</v>
          </cell>
          <cell r="W17">
            <v>120.27290326200001</v>
          </cell>
          <cell r="X17">
            <v>134.276565672</v>
          </cell>
          <cell r="Y17">
            <v>140.64309725400003</v>
          </cell>
          <cell r="Z17">
            <v>134.570087016</v>
          </cell>
          <cell r="AA17">
            <v>119.31366677</v>
          </cell>
          <cell r="AB17">
            <v>97.076835652</v>
          </cell>
          <cell r="AC17">
            <v>72.796138006000007</v>
          </cell>
        </row>
        <row r="18">
          <cell r="F18">
            <v>134.11138897600003</v>
          </cell>
          <cell r="G18">
            <v>122.548821624</v>
          </cell>
          <cell r="H18">
            <v>113.625633724</v>
          </cell>
          <cell r="I18">
            <v>108.30707038600001</v>
          </cell>
          <cell r="J18">
            <v>110.67877903000002</v>
          </cell>
          <cell r="K18">
            <v>114.15529304600001</v>
          </cell>
          <cell r="L18">
            <v>118.594058504</v>
          </cell>
          <cell r="M18">
            <v>114.43216477200001</v>
          </cell>
          <cell r="N18">
            <v>125.735311638</v>
          </cell>
          <cell r="O18">
            <v>138.47624204800002</v>
          </cell>
          <cell r="P18">
            <v>149.92754001</v>
          </cell>
          <cell r="Q18">
            <v>167.18048142800001</v>
          </cell>
          <cell r="R18">
            <v>174.04591984199999</v>
          </cell>
          <cell r="S18">
            <v>174.509831972</v>
          </cell>
          <cell r="T18">
            <v>173.20132948399998</v>
          </cell>
          <cell r="U18">
            <v>171.17545334000002</v>
          </cell>
          <cell r="V18">
            <v>173.04282824199998</v>
          </cell>
          <cell r="W18">
            <v>140.28978767799998</v>
          </cell>
          <cell r="X18">
            <v>159.84843516399999</v>
          </cell>
          <cell r="Y18">
            <v>179.36678163600001</v>
          </cell>
          <cell r="Z18">
            <v>169.759661196</v>
          </cell>
          <cell r="AA18">
            <v>152.22701754600001</v>
          </cell>
          <cell r="AB18">
            <v>128.60423164800002</v>
          </cell>
          <cell r="AC18">
            <v>102.50425641999999</v>
          </cell>
        </row>
        <row r="19">
          <cell r="F19">
            <v>104.94286148399999</v>
          </cell>
          <cell r="G19">
            <v>93.877008918000001</v>
          </cell>
          <cell r="H19">
            <v>88.252311104000015</v>
          </cell>
          <cell r="I19">
            <v>88.102996591999997</v>
          </cell>
          <cell r="J19">
            <v>98.456689591999989</v>
          </cell>
          <cell r="K19">
            <v>133.46905565200001</v>
          </cell>
          <cell r="L19">
            <v>155.13644429600001</v>
          </cell>
          <cell r="M19">
            <v>139.80155022200003</v>
          </cell>
          <cell r="N19">
            <v>150.11428956</v>
          </cell>
          <cell r="O19">
            <v>156.71249699400002</v>
          </cell>
          <cell r="P19">
            <v>172.35259623000002</v>
          </cell>
          <cell r="Q19">
            <v>183.99563791800003</v>
          </cell>
          <cell r="R19">
            <v>185.16050109400001</v>
          </cell>
          <cell r="S19">
            <v>186.63308780200003</v>
          </cell>
          <cell r="T19">
            <v>194.424137148</v>
          </cell>
          <cell r="U19">
            <v>197.46651964600002</v>
          </cell>
          <cell r="V19">
            <v>193.16559770200004</v>
          </cell>
          <cell r="W19">
            <v>158.697298878</v>
          </cell>
          <cell r="X19">
            <v>166.68229109000001</v>
          </cell>
          <cell r="Y19">
            <v>168.24366630200001</v>
          </cell>
          <cell r="Z19">
            <v>155.354279754</v>
          </cell>
          <cell r="AA19">
            <v>134.50193495799999</v>
          </cell>
          <cell r="AB19">
            <v>106.09175606600002</v>
          </cell>
          <cell r="AC19">
            <v>86.174357906000012</v>
          </cell>
        </row>
        <row r="20">
          <cell r="F20">
            <v>106.38063793399999</v>
          </cell>
          <cell r="G20">
            <v>92.758114861999999</v>
          </cell>
          <cell r="H20">
            <v>84.783593393999993</v>
          </cell>
          <cell r="I20">
            <v>83.217826995999999</v>
          </cell>
          <cell r="J20">
            <v>88.367659543999991</v>
          </cell>
          <cell r="K20">
            <v>101.43927676400001</v>
          </cell>
          <cell r="L20">
            <v>120.75987798600001</v>
          </cell>
          <cell r="M20">
            <v>118.913962434</v>
          </cell>
          <cell r="N20">
            <v>136.01487943200001</v>
          </cell>
          <cell r="O20">
            <v>147.76715453200001</v>
          </cell>
          <cell r="P20">
            <v>156.37524113999999</v>
          </cell>
          <cell r="Q20">
            <v>161.97153457799999</v>
          </cell>
          <cell r="R20">
            <v>160.86925467</v>
          </cell>
          <cell r="S20">
            <v>163.51186898600002</v>
          </cell>
          <cell r="T20">
            <v>167.02055429200001</v>
          </cell>
          <cell r="U20">
            <v>171.12431269400003</v>
          </cell>
          <cell r="V20">
            <v>175.243528922</v>
          </cell>
          <cell r="W20">
            <v>147.25700370999999</v>
          </cell>
          <cell r="X20">
            <v>156.23148123000001</v>
          </cell>
          <cell r="Y20">
            <v>155.21666324800003</v>
          </cell>
          <cell r="Z20">
            <v>142.138923906</v>
          </cell>
          <cell r="AA20">
            <v>125.67953861000001</v>
          </cell>
          <cell r="AB20">
            <v>106.36797514400001</v>
          </cell>
          <cell r="AC20">
            <v>86.339768704000008</v>
          </cell>
        </row>
        <row r="21">
          <cell r="F21">
            <v>111.87296880199999</v>
          </cell>
          <cell r="G21">
            <v>98.240549599999994</v>
          </cell>
          <cell r="H21">
            <v>88.853825552000004</v>
          </cell>
          <cell r="I21">
            <v>84.811025892000004</v>
          </cell>
          <cell r="J21">
            <v>85.459339458000002</v>
          </cell>
          <cell r="K21">
            <v>87.805857308</v>
          </cell>
          <cell r="L21">
            <v>98.011626219999997</v>
          </cell>
          <cell r="M21">
            <v>92.46695582000001</v>
          </cell>
          <cell r="N21">
            <v>106.34081221800001</v>
          </cell>
          <cell r="O21">
            <v>116.38317084000001</v>
          </cell>
          <cell r="P21">
            <v>123.44430433799999</v>
          </cell>
          <cell r="Q21">
            <v>131.29719917600002</v>
          </cell>
          <cell r="R21">
            <v>136.202572484</v>
          </cell>
          <cell r="S21">
            <v>142.26829718400001</v>
          </cell>
          <cell r="T21">
            <v>147.44895316200001</v>
          </cell>
          <cell r="U21">
            <v>150.29605202800002</v>
          </cell>
          <cell r="V21">
            <v>150.67262282999999</v>
          </cell>
          <cell r="W21">
            <v>124.33543133600001</v>
          </cell>
          <cell r="X21">
            <v>133.54365615600003</v>
          </cell>
          <cell r="Y21">
            <v>134.67768171400002</v>
          </cell>
          <cell r="Z21">
            <v>127.75856300199999</v>
          </cell>
          <cell r="AA21">
            <v>112.58496520599999</v>
          </cell>
          <cell r="AB21">
            <v>90.352135103999998</v>
          </cell>
          <cell r="AC21">
            <v>65.812896628000004</v>
          </cell>
        </row>
        <row r="22">
          <cell r="F22">
            <v>262.635614492</v>
          </cell>
          <cell r="G22">
            <v>243.73093448999998</v>
          </cell>
          <cell r="H22">
            <v>230.65593343200001</v>
          </cell>
          <cell r="I22">
            <v>224.57899311799997</v>
          </cell>
          <cell r="J22">
            <v>226.77650149799999</v>
          </cell>
          <cell r="K22">
            <v>231.05507024799999</v>
          </cell>
          <cell r="L22">
            <v>239.17648008</v>
          </cell>
          <cell r="M22">
            <v>231.916239284</v>
          </cell>
          <cell r="N22">
            <v>248.85837837400001</v>
          </cell>
          <cell r="O22">
            <v>255.26204704600002</v>
          </cell>
          <cell r="P22">
            <v>256.15288319000001</v>
          </cell>
          <cell r="Q22">
            <v>274.30757841799999</v>
          </cell>
          <cell r="R22">
            <v>292.35888569000002</v>
          </cell>
          <cell r="S22">
            <v>294.49605250599996</v>
          </cell>
          <cell r="T22">
            <v>295.45436677800001</v>
          </cell>
          <cell r="U22">
            <v>296.57438168600004</v>
          </cell>
          <cell r="V22">
            <v>301.73420258600004</v>
          </cell>
          <cell r="W22">
            <v>277.76761307200002</v>
          </cell>
          <cell r="X22">
            <v>298.48564007200002</v>
          </cell>
          <cell r="Y22">
            <v>302.71771474600001</v>
          </cell>
          <cell r="Z22">
            <v>286.77332547399999</v>
          </cell>
          <cell r="AA22">
            <v>274.749194106</v>
          </cell>
          <cell r="AB22">
            <v>262.08060121400001</v>
          </cell>
          <cell r="AC22">
            <v>233.95974401800001</v>
          </cell>
        </row>
        <row r="23">
          <cell r="F23">
            <v>88.161224144000002</v>
          </cell>
          <cell r="G23">
            <v>76.240998594000004</v>
          </cell>
          <cell r="H23">
            <v>70.408524614000001</v>
          </cell>
          <cell r="I23">
            <v>70.29611309000002</v>
          </cell>
          <cell r="J23">
            <v>80.657169662000001</v>
          </cell>
          <cell r="K23">
            <v>120.02687624800002</v>
          </cell>
          <cell r="L23">
            <v>142.942425816</v>
          </cell>
          <cell r="M23">
            <v>129.42515642200001</v>
          </cell>
          <cell r="N23">
            <v>137.017219068</v>
          </cell>
          <cell r="O23">
            <v>141.95682801999999</v>
          </cell>
          <cell r="P23">
            <v>158.2504691</v>
          </cell>
          <cell r="Q23">
            <v>170.70651865800002</v>
          </cell>
          <cell r="R23">
            <v>168.94082915199999</v>
          </cell>
          <cell r="S23">
            <v>168.59576989800001</v>
          </cell>
          <cell r="T23">
            <v>175.73244740199999</v>
          </cell>
          <cell r="U23">
            <v>180.82430068799999</v>
          </cell>
          <cell r="V23">
            <v>175.28387959400004</v>
          </cell>
          <cell r="W23">
            <v>135.82698774800002</v>
          </cell>
          <cell r="X23">
            <v>144.99465617000001</v>
          </cell>
          <cell r="Y23">
            <v>149.95409994600001</v>
          </cell>
          <cell r="Z23">
            <v>136.79846848399998</v>
          </cell>
          <cell r="AA23">
            <v>117.05690930199999</v>
          </cell>
          <cell r="AB23">
            <v>88.070612482000001</v>
          </cell>
          <cell r="AC23">
            <v>68.439783546000001</v>
          </cell>
        </row>
        <row r="24">
          <cell r="F24">
            <v>90.064076140000012</v>
          </cell>
          <cell r="G24">
            <v>77.303495349999992</v>
          </cell>
          <cell r="H24">
            <v>69.659469154000007</v>
          </cell>
          <cell r="I24">
            <v>65.835923751999999</v>
          </cell>
          <cell r="J24">
            <v>67.244508392</v>
          </cell>
          <cell r="K24">
            <v>75.333236166000006</v>
          </cell>
          <cell r="L24">
            <v>94.029856241999994</v>
          </cell>
          <cell r="M24">
            <v>95.41332812200001</v>
          </cell>
          <cell r="N24">
            <v>117.527312442</v>
          </cell>
          <cell r="O24">
            <v>129.87815088600001</v>
          </cell>
          <cell r="P24">
            <v>141.82293586399999</v>
          </cell>
          <cell r="Q24">
            <v>148.59803218800002</v>
          </cell>
          <cell r="R24">
            <v>144.71581940600001</v>
          </cell>
          <cell r="S24">
            <v>141.507898418</v>
          </cell>
          <cell r="T24">
            <v>141.599829564</v>
          </cell>
          <cell r="U24">
            <v>141.87577197600001</v>
          </cell>
          <cell r="V24">
            <v>141.81350084400003</v>
          </cell>
          <cell r="W24">
            <v>113.226958018</v>
          </cell>
          <cell r="X24">
            <v>122.799949224</v>
          </cell>
          <cell r="Y24">
            <v>128.47495768600001</v>
          </cell>
          <cell r="Z24">
            <v>119.38633061200002</v>
          </cell>
          <cell r="AA24">
            <v>107.62545049000001</v>
          </cell>
          <cell r="AB24">
            <v>90.552703766000008</v>
          </cell>
          <cell r="AC24">
            <v>69.271732396000004</v>
          </cell>
        </row>
        <row r="25">
          <cell r="F25">
            <v>90.793083956000004</v>
          </cell>
          <cell r="G25">
            <v>79.502394154000015</v>
          </cell>
          <cell r="H25">
            <v>67.166289947999999</v>
          </cell>
          <cell r="I25">
            <v>58.52356333800001</v>
          </cell>
          <cell r="J25">
            <v>53.355697841999991</v>
          </cell>
          <cell r="K25">
            <v>50.214886094000001</v>
          </cell>
          <cell r="L25">
            <v>53.456510676000001</v>
          </cell>
          <cell r="M25">
            <v>48.177702113999999</v>
          </cell>
          <cell r="N25">
            <v>65.830496841999988</v>
          </cell>
          <cell r="O25">
            <v>78.172311718000003</v>
          </cell>
          <cell r="P25">
            <v>90.450571448000005</v>
          </cell>
          <cell r="Q25">
            <v>105.00926132399999</v>
          </cell>
          <cell r="R25">
            <v>112.87151314800002</v>
          </cell>
          <cell r="S25">
            <v>114.419750272</v>
          </cell>
          <cell r="T25">
            <v>107.566946272</v>
          </cell>
          <cell r="U25">
            <v>112.51487648600001</v>
          </cell>
          <cell r="V25">
            <v>111.946945034</v>
          </cell>
          <cell r="W25">
            <v>83.548208763999995</v>
          </cell>
          <cell r="X25">
            <v>99.442237730000002</v>
          </cell>
          <cell r="Y25">
            <v>111.92021484200001</v>
          </cell>
          <cell r="Z25">
            <v>104.644878014</v>
          </cell>
          <cell r="AA25">
            <v>91.826878388000011</v>
          </cell>
          <cell r="AB25">
            <v>70.259798904000007</v>
          </cell>
          <cell r="AC25">
            <v>44.174777828000003</v>
          </cell>
        </row>
        <row r="26">
          <cell r="F26">
            <v>82.062845761999995</v>
          </cell>
          <cell r="G26">
            <v>69.898444732000002</v>
          </cell>
          <cell r="H26">
            <v>62.843028998000001</v>
          </cell>
          <cell r="I26">
            <v>59.889328593999998</v>
          </cell>
          <cell r="J26">
            <v>68.499252548000001</v>
          </cell>
          <cell r="K26">
            <v>85.200521961999996</v>
          </cell>
          <cell r="L26">
            <v>93.330678696000007</v>
          </cell>
          <cell r="M26">
            <v>86.294296164000002</v>
          </cell>
          <cell r="N26">
            <v>101.65019557200002</v>
          </cell>
          <cell r="O26">
            <v>111.168555884</v>
          </cell>
          <cell r="P26">
            <v>128.85905522200002</v>
          </cell>
          <cell r="Q26">
            <v>142.31692655399999</v>
          </cell>
          <cell r="R26">
            <v>154.31146884800003</v>
          </cell>
          <cell r="S26">
            <v>152.56734510199999</v>
          </cell>
          <cell r="T26">
            <v>148.422235774</v>
          </cell>
          <cell r="U26">
            <v>139.01302374599999</v>
          </cell>
          <cell r="V26">
            <v>139.68938698800002</v>
          </cell>
          <cell r="W26">
            <v>118.37669125000001</v>
          </cell>
          <cell r="X26">
            <v>128.60242977199999</v>
          </cell>
          <cell r="Y26">
            <v>130.74256188000001</v>
          </cell>
          <cell r="Z26">
            <v>116.00344320800001</v>
          </cell>
          <cell r="AA26">
            <v>99.652255600000004</v>
          </cell>
          <cell r="AB26">
            <v>76.867334948000007</v>
          </cell>
          <cell r="AC26">
            <v>40.670214136000006</v>
          </cell>
        </row>
        <row r="27">
          <cell r="F27">
            <v>70.806739210000003</v>
          </cell>
          <cell r="G27">
            <v>59.819821582000003</v>
          </cell>
          <cell r="H27">
            <v>54.144337822000011</v>
          </cell>
          <cell r="I27">
            <v>53.982871288000005</v>
          </cell>
          <cell r="J27">
            <v>60.257535570000009</v>
          </cell>
          <cell r="K27">
            <v>84.575114922000012</v>
          </cell>
          <cell r="L27">
            <v>106.85182850800001</v>
          </cell>
          <cell r="M27">
            <v>98.48781806400001</v>
          </cell>
          <cell r="N27">
            <v>108.712932314</v>
          </cell>
          <cell r="O27">
            <v>114.97421021800001</v>
          </cell>
          <cell r="P27">
            <v>126.59891391600001</v>
          </cell>
          <cell r="Q27">
            <v>137.22281737600002</v>
          </cell>
          <cell r="R27">
            <v>138.63790721399999</v>
          </cell>
          <cell r="S27">
            <v>140.39794280200002</v>
          </cell>
          <cell r="T27">
            <v>146.74837100400001</v>
          </cell>
          <cell r="U27">
            <v>150.06143926000001</v>
          </cell>
          <cell r="V27">
            <v>145.69066979199999</v>
          </cell>
          <cell r="W27">
            <v>110.367118328</v>
          </cell>
          <cell r="X27">
            <v>114.969464332</v>
          </cell>
          <cell r="Y27">
            <v>114.78381435200001</v>
          </cell>
          <cell r="Z27">
            <v>101.29563035800001</v>
          </cell>
          <cell r="AA27">
            <v>84.114934235999996</v>
          </cell>
          <cell r="AB27">
            <v>58.437094572000007</v>
          </cell>
          <cell r="AC27">
            <v>45.182054887999996</v>
          </cell>
        </row>
        <row r="28">
          <cell r="F28">
            <v>69.751684060000002</v>
          </cell>
          <cell r="G28">
            <v>57.684520488000004</v>
          </cell>
          <cell r="H28">
            <v>49.256444130000006</v>
          </cell>
          <cell r="I28">
            <v>46.490855324000002</v>
          </cell>
          <cell r="J28">
            <v>49.928884390000007</v>
          </cell>
          <cell r="K28">
            <v>59.048072416000004</v>
          </cell>
          <cell r="L28">
            <v>77.107537788000002</v>
          </cell>
          <cell r="M28">
            <v>76.658069042000008</v>
          </cell>
          <cell r="N28">
            <v>91.294551722000008</v>
          </cell>
          <cell r="O28">
            <v>101.534733628</v>
          </cell>
          <cell r="P28">
            <v>112.653308802</v>
          </cell>
          <cell r="Q28">
            <v>119.830485952</v>
          </cell>
          <cell r="R28">
            <v>118.87396646200001</v>
          </cell>
          <cell r="S28">
            <v>118.471410338</v>
          </cell>
          <cell r="T28">
            <v>120.91115753600002</v>
          </cell>
          <cell r="U28">
            <v>125.001125202</v>
          </cell>
          <cell r="V28">
            <v>124.01960645599999</v>
          </cell>
          <cell r="W28">
            <v>96.941404098000007</v>
          </cell>
          <cell r="X28">
            <v>101.556256824</v>
          </cell>
          <cell r="Y28">
            <v>105.263269088</v>
          </cell>
          <cell r="Z28">
            <v>95.142997063999999</v>
          </cell>
          <cell r="AA28">
            <v>80.054484704000004</v>
          </cell>
          <cell r="AB28">
            <v>63.610699114000006</v>
          </cell>
          <cell r="AC28">
            <v>45.793912387999995</v>
          </cell>
        </row>
        <row r="29">
          <cell r="F29">
            <v>75.497221069999995</v>
          </cell>
          <cell r="G29">
            <v>64.794801218000003</v>
          </cell>
          <cell r="H29">
            <v>55.751483522000001</v>
          </cell>
          <cell r="I29">
            <v>52.312560611999999</v>
          </cell>
          <cell r="J29">
            <v>52.175809574000006</v>
          </cell>
          <cell r="K29">
            <v>54.034692958000008</v>
          </cell>
          <cell r="L29">
            <v>56.699178075999995</v>
          </cell>
          <cell r="M29">
            <v>46.115391186000004</v>
          </cell>
          <cell r="N29">
            <v>56.204988754000006</v>
          </cell>
          <cell r="O29">
            <v>65.659886142000005</v>
          </cell>
          <cell r="P29">
            <v>71.444759382000001</v>
          </cell>
          <cell r="Q29">
            <v>83.770641134000002</v>
          </cell>
          <cell r="R29">
            <v>91.596656806000013</v>
          </cell>
          <cell r="S29">
            <v>97.741302255999997</v>
          </cell>
          <cell r="T29">
            <v>102.00491685400002</v>
          </cell>
          <cell r="U29">
            <v>104.58343688000001</v>
          </cell>
          <cell r="V29">
            <v>102.99750933399999</v>
          </cell>
          <cell r="W29">
            <v>71.209125078</v>
          </cell>
          <cell r="X29">
            <v>78.496330168</v>
          </cell>
          <cell r="Y29">
            <v>89.845282991999994</v>
          </cell>
          <cell r="Z29">
            <v>84.394267580000005</v>
          </cell>
          <cell r="AA29">
            <v>74.994958776000004</v>
          </cell>
          <cell r="AB29">
            <v>58.414663343999997</v>
          </cell>
          <cell r="AC29">
            <v>39.288175244000008</v>
          </cell>
        </row>
        <row r="30">
          <cell r="F30">
            <v>69.350348104000005</v>
          </cell>
          <cell r="G30">
            <v>57.829975863999998</v>
          </cell>
          <cell r="H30">
            <v>50.403494272000003</v>
          </cell>
          <cell r="I30">
            <v>47.158422006000009</v>
          </cell>
          <cell r="J30">
            <v>47.280325302000001</v>
          </cell>
          <cell r="K30">
            <v>51.173044298000001</v>
          </cell>
          <cell r="L30">
            <v>55.632651928000001</v>
          </cell>
          <cell r="M30">
            <v>43.947656324</v>
          </cell>
          <cell r="N30">
            <v>55.733088779999996</v>
          </cell>
          <cell r="O30">
            <v>65.434828991999993</v>
          </cell>
          <cell r="P30">
            <v>79.12398600600001</v>
          </cell>
          <cell r="Q30">
            <v>92.380295516000004</v>
          </cell>
          <cell r="R30">
            <v>100.079215084</v>
          </cell>
          <cell r="S30">
            <v>101.37454401399999</v>
          </cell>
          <cell r="T30">
            <v>99.793986626000006</v>
          </cell>
          <cell r="U30">
            <v>102.64542702</v>
          </cell>
          <cell r="V30">
            <v>101.44034086399999</v>
          </cell>
          <cell r="W30">
            <v>74.314289475999999</v>
          </cell>
          <cell r="X30">
            <v>82.367391182000006</v>
          </cell>
          <cell r="Y30">
            <v>101.28891943399999</v>
          </cell>
          <cell r="Z30">
            <v>95.487439140000006</v>
          </cell>
          <cell r="AA30">
            <v>85.047312844000004</v>
          </cell>
          <cell r="AB30">
            <v>65.16073102</v>
          </cell>
          <cell r="AC30">
            <v>40.244645075999998</v>
          </cell>
        </row>
        <row r="31">
          <cell r="F31">
            <v>62.872518756000005</v>
          </cell>
          <cell r="G31">
            <v>50.703038422000006</v>
          </cell>
          <cell r="H31">
            <v>43.586663946000002</v>
          </cell>
          <cell r="I31">
            <v>42.8573369</v>
          </cell>
          <cell r="J31">
            <v>49.033259795999996</v>
          </cell>
          <cell r="K31">
            <v>76.288343950000012</v>
          </cell>
          <cell r="L31">
            <v>99.248954605999998</v>
          </cell>
          <cell r="M31">
            <v>84.857051764000005</v>
          </cell>
          <cell r="N31">
            <v>96.377395628000002</v>
          </cell>
          <cell r="O31">
            <v>102.17790404400002</v>
          </cell>
          <cell r="P31">
            <v>115.29395098600001</v>
          </cell>
          <cell r="Q31">
            <v>127.36913077800001</v>
          </cell>
          <cell r="R31">
            <v>130.23985975799999</v>
          </cell>
          <cell r="S31">
            <v>132.96323926400001</v>
          </cell>
          <cell r="T31">
            <v>141.34762367600001</v>
          </cell>
          <cell r="U31">
            <v>144.69371450199998</v>
          </cell>
          <cell r="V31">
            <v>139.10391207399999</v>
          </cell>
          <cell r="W31">
            <v>125.68651910599999</v>
          </cell>
          <cell r="X31">
            <v>130.43004989800002</v>
          </cell>
          <cell r="Y31">
            <v>138.94885142200002</v>
          </cell>
          <cell r="Z31">
            <v>126.206253922</v>
          </cell>
          <cell r="AA31">
            <v>107.70635046600002</v>
          </cell>
          <cell r="AB31">
            <v>76.667511156000003</v>
          </cell>
          <cell r="AC31">
            <v>59.239596228000003</v>
          </cell>
        </row>
        <row r="32">
          <cell r="F32">
            <v>58.624986256000007</v>
          </cell>
          <cell r="G32">
            <v>46.572741366000002</v>
          </cell>
          <cell r="H32">
            <v>39.146011483999999</v>
          </cell>
          <cell r="I32">
            <v>35.332560844</v>
          </cell>
          <cell r="J32">
            <v>39.552086232000001</v>
          </cell>
          <cell r="K32">
            <v>49.785550120000011</v>
          </cell>
          <cell r="L32">
            <v>67.696687046000008</v>
          </cell>
          <cell r="M32">
            <v>60.868903584000002</v>
          </cell>
          <cell r="N32">
            <v>77.202058244</v>
          </cell>
          <cell r="O32">
            <v>88.517158500000008</v>
          </cell>
          <cell r="P32">
            <v>102.13809961000001</v>
          </cell>
          <cell r="Q32">
            <v>112.60249448</v>
          </cell>
          <cell r="R32">
            <v>111.94949178000002</v>
          </cell>
          <cell r="S32">
            <v>107.11542736</v>
          </cell>
          <cell r="T32">
            <v>105.13620845400001</v>
          </cell>
          <cell r="U32">
            <v>107.49290619400001</v>
          </cell>
          <cell r="V32">
            <v>110.81153614599999</v>
          </cell>
          <cell r="W32">
            <v>109.15638534800001</v>
          </cell>
          <cell r="X32">
            <v>118.84935737600001</v>
          </cell>
          <cell r="Y32">
            <v>117.31094544199999</v>
          </cell>
          <cell r="Z32">
            <v>103.541087084</v>
          </cell>
          <cell r="AA32">
            <v>83.789071346</v>
          </cell>
          <cell r="AB32">
            <v>63.927502965999999</v>
          </cell>
          <cell r="AC32">
            <v>45.033095076000002</v>
          </cell>
        </row>
        <row r="33">
          <cell r="F33">
            <v>44.159334190000003</v>
          </cell>
          <cell r="G33">
            <v>32.559892226000002</v>
          </cell>
          <cell r="H33">
            <v>23.590068370000004</v>
          </cell>
          <cell r="I33">
            <v>18.792715400000002</v>
          </cell>
          <cell r="J33">
            <v>20.849649076000002</v>
          </cell>
          <cell r="K33">
            <v>22.976245832</v>
          </cell>
          <cell r="L33">
            <v>31.828167408000002</v>
          </cell>
          <cell r="M33">
            <v>17.857669447999999</v>
          </cell>
          <cell r="N33">
            <v>30.350508489999999</v>
          </cell>
          <cell r="O33">
            <v>41.624924656000005</v>
          </cell>
          <cell r="P33">
            <v>49.469938059999997</v>
          </cell>
          <cell r="Q33">
            <v>63.085118841999993</v>
          </cell>
          <cell r="R33">
            <v>72.147065381999994</v>
          </cell>
          <cell r="S33">
            <v>75.973072402</v>
          </cell>
          <cell r="T33">
            <v>76.115300008000006</v>
          </cell>
          <cell r="U33">
            <v>77.999821108000006</v>
          </cell>
          <cell r="V33">
            <v>79.051464043999999</v>
          </cell>
          <cell r="W33">
            <v>78.345093181999999</v>
          </cell>
          <cell r="X33">
            <v>90.637391938000007</v>
          </cell>
          <cell r="Y33">
            <v>101.35403526</v>
          </cell>
          <cell r="Z33">
            <v>91.103481925999986</v>
          </cell>
          <cell r="AA33">
            <v>72.337461248000011</v>
          </cell>
          <cell r="AB33">
            <v>46.531347875999998</v>
          </cell>
          <cell r="AC33">
            <v>26.096775833999999</v>
          </cell>
        </row>
        <row r="34">
          <cell r="F34">
            <v>75.890327986000003</v>
          </cell>
          <cell r="G34">
            <v>60.500405754000006</v>
          </cell>
          <cell r="H34">
            <v>49.594643486000002</v>
          </cell>
          <cell r="I34">
            <v>42.951488468000001</v>
          </cell>
          <cell r="J34">
            <v>38.297696776000002</v>
          </cell>
          <cell r="K34">
            <v>33.331038402000004</v>
          </cell>
          <cell r="L34">
            <v>39.689567952000004</v>
          </cell>
          <cell r="M34">
            <v>25.489401742000002</v>
          </cell>
          <cell r="N34">
            <v>35.260365206000003</v>
          </cell>
          <cell r="O34">
            <v>42.582401836000003</v>
          </cell>
          <cell r="P34">
            <v>46.406883646000004</v>
          </cell>
          <cell r="Q34">
            <v>58.538524584000008</v>
          </cell>
          <cell r="R34">
            <v>60.896513431999999</v>
          </cell>
          <cell r="S34">
            <v>70.486615365999995</v>
          </cell>
          <cell r="T34">
            <v>77.850031298000005</v>
          </cell>
          <cell r="U34">
            <v>82.550813645999995</v>
          </cell>
          <cell r="V34">
            <v>83.387855988000013</v>
          </cell>
          <cell r="W34">
            <v>84.136294269999993</v>
          </cell>
          <cell r="X34">
            <v>92.69276493400001</v>
          </cell>
          <cell r="Y34">
            <v>100.69317950199999</v>
          </cell>
          <cell r="Z34">
            <v>102.09449279200001</v>
          </cell>
          <cell r="AA34">
            <v>99.786459891999996</v>
          </cell>
          <cell r="AB34">
            <v>77.789306658000001</v>
          </cell>
          <cell r="AC34">
            <v>54.397444648000004</v>
          </cell>
        </row>
        <row r="35">
          <cell r="F35">
            <v>56.218133936000008</v>
          </cell>
          <cell r="G35">
            <v>43.783614667999998</v>
          </cell>
          <cell r="H35">
            <v>36.646852036000006</v>
          </cell>
          <cell r="I35">
            <v>35.788740513999997</v>
          </cell>
          <cell r="J35">
            <v>44.589223495999995</v>
          </cell>
          <cell r="K35">
            <v>77.636133010000009</v>
          </cell>
          <cell r="L35">
            <v>102.941871092</v>
          </cell>
          <cell r="M35">
            <v>85.285827311999995</v>
          </cell>
          <cell r="N35">
            <v>94.954303758000009</v>
          </cell>
          <cell r="O35">
            <v>99.91361274800002</v>
          </cell>
          <cell r="P35">
            <v>114.26150441400002</v>
          </cell>
          <cell r="Q35">
            <v>126.17498356999999</v>
          </cell>
          <cell r="R35">
            <v>127.11124969000001</v>
          </cell>
          <cell r="S35">
            <v>128.46973650199999</v>
          </cell>
          <cell r="T35">
            <v>136.93544653000001</v>
          </cell>
          <cell r="U35">
            <v>138.822400872</v>
          </cell>
          <cell r="V35">
            <v>133.46930394200001</v>
          </cell>
          <cell r="W35">
            <v>123.662508684</v>
          </cell>
          <cell r="X35">
            <v>133.71477053000001</v>
          </cell>
          <cell r="Y35">
            <v>140.84131780199999</v>
          </cell>
          <cell r="Z35">
            <v>127.14358414200001</v>
          </cell>
          <cell r="AA35">
            <v>104.019222684</v>
          </cell>
          <cell r="AB35">
            <v>72.819782308000015</v>
          </cell>
          <cell r="AC35">
            <v>55.859560612000003</v>
          </cell>
        </row>
        <row r="36">
          <cell r="F36">
            <v>56.589682186000005</v>
          </cell>
          <cell r="G36">
            <v>44.060961692000006</v>
          </cell>
          <cell r="H36">
            <v>36.186188957999995</v>
          </cell>
          <cell r="I36">
            <v>31.529091462000004</v>
          </cell>
          <cell r="J36">
            <v>36.507525876000003</v>
          </cell>
          <cell r="K36">
            <v>44.843841343999998</v>
          </cell>
          <cell r="L36">
            <v>63.850142895999994</v>
          </cell>
          <cell r="M36">
            <v>58.569901346000002</v>
          </cell>
          <cell r="N36">
            <v>75.995581663999999</v>
          </cell>
          <cell r="O36">
            <v>83.438861848000002</v>
          </cell>
          <cell r="P36">
            <v>91.169676039999999</v>
          </cell>
          <cell r="Q36">
            <v>96.180068923999997</v>
          </cell>
          <cell r="R36">
            <v>97.704257388000002</v>
          </cell>
          <cell r="S36">
            <v>100.045561148</v>
          </cell>
          <cell r="T36">
            <v>101.682005068</v>
          </cell>
          <cell r="U36">
            <v>102.78547676800001</v>
          </cell>
          <cell r="V36">
            <v>104.07664152</v>
          </cell>
          <cell r="W36">
            <v>104.60384631800001</v>
          </cell>
          <cell r="X36">
            <v>111.67445739999999</v>
          </cell>
          <cell r="Y36">
            <v>113.11151735599999</v>
          </cell>
          <cell r="Z36">
            <v>98.630081140000016</v>
          </cell>
          <cell r="AA36">
            <v>78.875923013999994</v>
          </cell>
          <cell r="AB36">
            <v>58.801364377999995</v>
          </cell>
          <cell r="AC36">
            <v>39.706848936</v>
          </cell>
        </row>
        <row r="37">
          <cell r="F37">
            <v>44.572098579999995</v>
          </cell>
          <cell r="G37">
            <v>33.868408902000006</v>
          </cell>
          <cell r="H37">
            <v>24.926159424000002</v>
          </cell>
          <cell r="I37">
            <v>21.514590978000001</v>
          </cell>
          <cell r="J37">
            <v>22.474671656000002</v>
          </cell>
          <cell r="K37">
            <v>28.237475462000003</v>
          </cell>
          <cell r="L37">
            <v>32.506332526000001</v>
          </cell>
          <cell r="M37">
            <v>19.308278944000001</v>
          </cell>
          <cell r="N37">
            <v>29.198421608</v>
          </cell>
          <cell r="O37">
            <v>39.338053158000001</v>
          </cell>
          <cell r="P37">
            <v>49.244377235999998</v>
          </cell>
          <cell r="Q37">
            <v>61.848379258000008</v>
          </cell>
          <cell r="R37">
            <v>71.970921361999999</v>
          </cell>
          <cell r="S37">
            <v>75.947966735999998</v>
          </cell>
          <cell r="T37">
            <v>74.221648930000001</v>
          </cell>
          <cell r="U37">
            <v>75.825949936000001</v>
          </cell>
          <cell r="V37">
            <v>76.03466250999999</v>
          </cell>
          <cell r="W37">
            <v>78.749493746000013</v>
          </cell>
          <cell r="X37">
            <v>97.259463588000003</v>
          </cell>
          <cell r="Y37">
            <v>100.96361697</v>
          </cell>
          <cell r="Z37">
            <v>89.247606398000002</v>
          </cell>
          <cell r="AA37">
            <v>72.141163173999999</v>
          </cell>
          <cell r="AB37">
            <v>46.685869384000007</v>
          </cell>
          <cell r="AC37">
            <v>27.021627708</v>
          </cell>
        </row>
        <row r="38">
          <cell r="F38">
            <v>36.855174439999999</v>
          </cell>
          <cell r="G38">
            <v>24.834185714</v>
          </cell>
          <cell r="H38">
            <v>14.690262294</v>
          </cell>
          <cell r="I38">
            <v>13.723421034000001</v>
          </cell>
          <cell r="J38">
            <v>13.213397904000001</v>
          </cell>
          <cell r="K38">
            <v>21.758603296</v>
          </cell>
          <cell r="L38">
            <v>30.681003762000003</v>
          </cell>
          <cell r="M38">
            <v>13.630986214000002</v>
          </cell>
          <cell r="N38">
            <v>27.746677071999997</v>
          </cell>
          <cell r="O38">
            <v>39.526122192000003</v>
          </cell>
          <cell r="P38">
            <v>52.445714991999992</v>
          </cell>
          <cell r="Q38">
            <v>68.784190152000008</v>
          </cell>
          <cell r="R38">
            <v>77.832707749999997</v>
          </cell>
          <cell r="S38">
            <v>88.023742424000005</v>
          </cell>
          <cell r="T38">
            <v>84.810742132000001</v>
          </cell>
          <cell r="U38">
            <v>78.047890052</v>
          </cell>
          <cell r="V38">
            <v>80.729273077999991</v>
          </cell>
          <cell r="W38">
            <v>77.429577011999996</v>
          </cell>
          <cell r="X38">
            <v>94.868629519999999</v>
          </cell>
          <cell r="Y38">
            <v>115.22723901000001</v>
          </cell>
          <cell r="Z38">
            <v>103.47631177</v>
          </cell>
          <cell r="AA38">
            <v>81.406026490000002</v>
          </cell>
          <cell r="AB38">
            <v>53.916045808000007</v>
          </cell>
          <cell r="AC38">
            <v>26.887402133999998</v>
          </cell>
        </row>
        <row r="39">
          <cell r="F39">
            <v>78.888975974000004</v>
          </cell>
          <cell r="G39">
            <v>68.171218894000006</v>
          </cell>
          <cell r="H39">
            <v>61.961904540000006</v>
          </cell>
          <cell r="I39">
            <v>60.964842840000003</v>
          </cell>
          <cell r="J39">
            <v>69.244668786000005</v>
          </cell>
          <cell r="K39">
            <v>102.41411296200002</v>
          </cell>
          <cell r="L39">
            <v>124.226708692</v>
          </cell>
          <cell r="M39">
            <v>103.00124787200001</v>
          </cell>
          <cell r="N39">
            <v>112.77247381399999</v>
          </cell>
          <cell r="O39">
            <v>117.756207446</v>
          </cell>
          <cell r="P39">
            <v>132.80250341200002</v>
          </cell>
          <cell r="Q39">
            <v>144.62188775200002</v>
          </cell>
          <cell r="R39">
            <v>144.67384420800002</v>
          </cell>
          <cell r="S39">
            <v>146.65454576000002</v>
          </cell>
          <cell r="T39">
            <v>153.00930130200001</v>
          </cell>
          <cell r="U39">
            <v>156.34946863799999</v>
          </cell>
          <cell r="V39">
            <v>152.13803041</v>
          </cell>
          <cell r="W39">
            <v>144.389913952</v>
          </cell>
          <cell r="X39">
            <v>157.82658131800002</v>
          </cell>
          <cell r="Y39">
            <v>157.03486963600002</v>
          </cell>
          <cell r="Z39">
            <v>143.22029779600001</v>
          </cell>
          <cell r="AA39">
            <v>122.62984219800002</v>
          </cell>
          <cell r="AB39">
            <v>91.068238934000007</v>
          </cell>
          <cell r="AC39">
            <v>74.480636681999997</v>
          </cell>
        </row>
        <row r="40">
          <cell r="F40">
            <v>68.795398672000005</v>
          </cell>
          <cell r="G40">
            <v>58.584266696</v>
          </cell>
          <cell r="H40">
            <v>51.629656701999998</v>
          </cell>
          <cell r="I40">
            <v>48.773810934000004</v>
          </cell>
          <cell r="J40">
            <v>54.309237852000003</v>
          </cell>
          <cell r="K40">
            <v>68.558530012000006</v>
          </cell>
          <cell r="L40">
            <v>83.873567980000004</v>
          </cell>
          <cell r="M40">
            <v>75.723335225999989</v>
          </cell>
          <cell r="N40">
            <v>89.566822209999998</v>
          </cell>
          <cell r="O40">
            <v>98.529793262000013</v>
          </cell>
          <cell r="P40">
            <v>111.97302967200001</v>
          </cell>
          <cell r="Q40">
            <v>121.63539109</v>
          </cell>
          <cell r="R40">
            <v>121.88988834</v>
          </cell>
          <cell r="S40">
            <v>124.44097586800001</v>
          </cell>
          <cell r="T40">
            <v>124.428398206</v>
          </cell>
          <cell r="U40">
            <v>126.07492979400001</v>
          </cell>
          <cell r="V40">
            <v>127.94365965</v>
          </cell>
          <cell r="W40">
            <v>127.591946224</v>
          </cell>
          <cell r="X40">
            <v>140.01087288000002</v>
          </cell>
          <cell r="Y40">
            <v>136.19669865199998</v>
          </cell>
          <cell r="Z40">
            <v>122.68765120400001</v>
          </cell>
          <cell r="AA40">
            <v>103.845965922</v>
          </cell>
          <cell r="AB40">
            <v>86.343847753999995</v>
          </cell>
          <cell r="AC40">
            <v>69.406028909999989</v>
          </cell>
        </row>
        <row r="41">
          <cell r="F41">
            <v>76.375522116000013</v>
          </cell>
          <cell r="G41">
            <v>61.890645309999996</v>
          </cell>
          <cell r="H41">
            <v>53.090204891999996</v>
          </cell>
          <cell r="I41">
            <v>47.324066906000006</v>
          </cell>
          <cell r="J41">
            <v>47.402611674000006</v>
          </cell>
          <cell r="K41">
            <v>49.608874049999997</v>
          </cell>
          <cell r="L41">
            <v>55.052412386</v>
          </cell>
          <cell r="M41">
            <v>39.682445576000006</v>
          </cell>
          <cell r="N41">
            <v>49.385945100000008</v>
          </cell>
          <cell r="O41">
            <v>56.410906292</v>
          </cell>
          <cell r="P41">
            <v>68.474104318000002</v>
          </cell>
          <cell r="Q41">
            <v>82.440076306000009</v>
          </cell>
          <cell r="R41">
            <v>88.655186458000017</v>
          </cell>
          <cell r="S41">
            <v>95.705061778000001</v>
          </cell>
          <cell r="T41">
            <v>98.621887569999998</v>
          </cell>
          <cell r="U41">
            <v>101.65201873000001</v>
          </cell>
          <cell r="V41">
            <v>103.62284543399998</v>
          </cell>
          <cell r="W41">
            <v>108.10792761800001</v>
          </cell>
          <cell r="X41">
            <v>126.60754021999999</v>
          </cell>
          <cell r="Y41">
            <v>124.68756330800001</v>
          </cell>
          <cell r="Z41">
            <v>113.045635378</v>
          </cell>
          <cell r="AA41">
            <v>94.743094096000007</v>
          </cell>
          <cell r="AB41">
            <v>71.126806301999991</v>
          </cell>
          <cell r="AC41">
            <v>50.679344462000003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63.995087504000004</v>
          </cell>
          <cell r="G43">
            <v>53.191379520000005</v>
          </cell>
          <cell r="H43">
            <v>47.597420008000007</v>
          </cell>
          <cell r="I43">
            <v>47.561559838000008</v>
          </cell>
          <cell r="J43">
            <v>54.45465775800001</v>
          </cell>
          <cell r="K43">
            <v>82.988797206000001</v>
          </cell>
          <cell r="L43">
            <v>108.480688942</v>
          </cell>
          <cell r="M43">
            <v>95.478153094000007</v>
          </cell>
          <cell r="N43">
            <v>108.679072652</v>
          </cell>
          <cell r="O43">
            <v>115.84849606</v>
          </cell>
          <cell r="P43">
            <v>129.378995764</v>
          </cell>
          <cell r="Q43">
            <v>141.586620536</v>
          </cell>
          <cell r="R43">
            <v>144.81951949800001</v>
          </cell>
          <cell r="S43">
            <v>145.560700618</v>
          </cell>
          <cell r="T43">
            <v>150.48686644</v>
          </cell>
          <cell r="U43">
            <v>151.65159483000002</v>
          </cell>
          <cell r="V43">
            <v>143.70720158000003</v>
          </cell>
          <cell r="W43">
            <v>131.05111540999999</v>
          </cell>
          <cell r="X43">
            <v>137.01812710000002</v>
          </cell>
          <cell r="Y43">
            <v>134.498671718</v>
          </cell>
          <cell r="Z43">
            <v>121.37502000800001</v>
          </cell>
          <cell r="AA43">
            <v>104.49181077600001</v>
          </cell>
          <cell r="AB43">
            <v>77.233910304000005</v>
          </cell>
          <cell r="AC43">
            <v>63.626029248000002</v>
          </cell>
        </row>
        <row r="44">
          <cell r="F44">
            <v>77.046543575999991</v>
          </cell>
          <cell r="G44">
            <v>61.990706180000004</v>
          </cell>
          <cell r="H44">
            <v>54.546042665999998</v>
          </cell>
          <cell r="I44">
            <v>50.448739804000006</v>
          </cell>
          <cell r="J44">
            <v>54.622239320000006</v>
          </cell>
          <cell r="K44">
            <v>65.792366591999993</v>
          </cell>
          <cell r="L44">
            <v>83.587488241999992</v>
          </cell>
          <cell r="M44">
            <v>76.771537572</v>
          </cell>
          <cell r="N44">
            <v>94.506303470000006</v>
          </cell>
          <cell r="O44">
            <v>110.00446595400001</v>
          </cell>
          <cell r="P44">
            <v>125.49159726800001</v>
          </cell>
          <cell r="Q44">
            <v>133.15115223000001</v>
          </cell>
          <cell r="R44">
            <v>133.09274023399999</v>
          </cell>
          <cell r="S44">
            <v>132.60481491400003</v>
          </cell>
          <cell r="T44">
            <v>130.54010621399999</v>
          </cell>
          <cell r="U44">
            <v>132.42545731200002</v>
          </cell>
          <cell r="V44">
            <v>133.458599096</v>
          </cell>
          <cell r="W44">
            <v>132.85726199800001</v>
          </cell>
          <cell r="X44">
            <v>140.41720301200002</v>
          </cell>
          <cell r="Y44">
            <v>134.17684531400002</v>
          </cell>
          <cell r="Z44">
            <v>120.95237367600002</v>
          </cell>
          <cell r="AA44">
            <v>104.27691932800001</v>
          </cell>
          <cell r="AB44">
            <v>86.638709864000006</v>
          </cell>
          <cell r="AC44">
            <v>68.65476721600001</v>
          </cell>
        </row>
        <row r="45">
          <cell r="F45">
            <v>76.652457688000013</v>
          </cell>
          <cell r="G45">
            <v>64.267419070000003</v>
          </cell>
          <cell r="H45">
            <v>56.973907414000003</v>
          </cell>
          <cell r="I45">
            <v>51.851862064000002</v>
          </cell>
          <cell r="J45">
            <v>51.423533438000007</v>
          </cell>
          <cell r="K45">
            <v>54.927955249999997</v>
          </cell>
          <cell r="L45">
            <v>63.113672191999996</v>
          </cell>
          <cell r="M45">
            <v>51.145420262000002</v>
          </cell>
          <cell r="N45">
            <v>64.706807241999996</v>
          </cell>
          <cell r="O45">
            <v>75.15539668000001</v>
          </cell>
          <cell r="P45">
            <v>85.923315434000003</v>
          </cell>
          <cell r="Q45">
            <v>100.85612158799999</v>
          </cell>
          <cell r="R45">
            <v>108.78865367</v>
          </cell>
          <cell r="S45">
            <v>108.846136352</v>
          </cell>
          <cell r="T45">
            <v>107.54369214000002</v>
          </cell>
          <cell r="U45">
            <v>107.54101770199999</v>
          </cell>
          <cell r="V45">
            <v>104.45153104400002</v>
          </cell>
          <cell r="W45">
            <v>102.101785424</v>
          </cell>
          <cell r="X45">
            <v>117.94077204400001</v>
          </cell>
          <cell r="Y45">
            <v>117.23008803000002</v>
          </cell>
          <cell r="Z45">
            <v>106.09374238600002</v>
          </cell>
          <cell r="AA45">
            <v>90.676862954000015</v>
          </cell>
          <cell r="AB45">
            <v>68.521605742000006</v>
          </cell>
          <cell r="AC45">
            <v>49.04107029</v>
          </cell>
        </row>
        <row r="46">
          <cell r="F46">
            <v>67.836644572000012</v>
          </cell>
          <cell r="G46">
            <v>57.997514861999996</v>
          </cell>
          <cell r="H46">
            <v>51.135446098000003</v>
          </cell>
          <cell r="I46">
            <v>48.711121256000006</v>
          </cell>
          <cell r="J46">
            <v>50.436765131999998</v>
          </cell>
          <cell r="K46">
            <v>55.680756342000002</v>
          </cell>
          <cell r="L46">
            <v>61.896093502000006</v>
          </cell>
          <cell r="M46">
            <v>49.065154420000006</v>
          </cell>
          <cell r="N46">
            <v>63.641976559999996</v>
          </cell>
          <cell r="O46">
            <v>70.020085550000005</v>
          </cell>
          <cell r="P46">
            <v>80.023625804000005</v>
          </cell>
          <cell r="Q46">
            <v>98.182215637999988</v>
          </cell>
          <cell r="R46">
            <v>112.307682028</v>
          </cell>
          <cell r="S46">
            <v>118.24916241200002</v>
          </cell>
          <cell r="T46">
            <v>113.99444369000001</v>
          </cell>
          <cell r="U46">
            <v>116.92837311600002</v>
          </cell>
          <cell r="V46">
            <v>120.28201905200001</v>
          </cell>
          <cell r="W46">
            <v>117.82943880800001</v>
          </cell>
          <cell r="X46">
            <v>123.31582490400001</v>
          </cell>
          <cell r="Y46">
            <v>119.938236718</v>
          </cell>
          <cell r="Z46">
            <v>103.90731483399999</v>
          </cell>
          <cell r="AA46">
            <v>86.522793904000011</v>
          </cell>
          <cell r="AB46">
            <v>62.928227938000006</v>
          </cell>
          <cell r="AC46">
            <v>43.781209802000006</v>
          </cell>
        </row>
        <row r="47">
          <cell r="F47">
            <v>73.98587984000001</v>
          </cell>
          <cell r="G47">
            <v>61.973176906000006</v>
          </cell>
          <cell r="H47">
            <v>56.961478726000003</v>
          </cell>
          <cell r="I47">
            <v>57.094626011999999</v>
          </cell>
          <cell r="J47">
            <v>63.255176209999995</v>
          </cell>
          <cell r="K47">
            <v>89.855760829999994</v>
          </cell>
          <cell r="L47">
            <v>116.516545134</v>
          </cell>
          <cell r="M47">
            <v>106.82900711000001</v>
          </cell>
          <cell r="N47">
            <v>119.54277459400002</v>
          </cell>
          <cell r="O47">
            <v>127.29677907200001</v>
          </cell>
          <cell r="P47">
            <v>140.72818269000001</v>
          </cell>
          <cell r="Q47">
            <v>153.851075342</v>
          </cell>
          <cell r="R47">
            <v>157.49786664000001</v>
          </cell>
          <cell r="S47">
            <v>156.188009198</v>
          </cell>
          <cell r="T47">
            <v>159.53800881800001</v>
          </cell>
          <cell r="U47">
            <v>160.33373570400002</v>
          </cell>
          <cell r="V47">
            <v>154.90243451800001</v>
          </cell>
          <cell r="W47">
            <v>147.30625025800001</v>
          </cell>
          <cell r="X47">
            <v>155.70797950000002</v>
          </cell>
          <cell r="Y47">
            <v>150.91271926000002</v>
          </cell>
          <cell r="Z47">
            <v>134.504765464</v>
          </cell>
          <cell r="AA47">
            <v>114.71961365200001</v>
          </cell>
          <cell r="AB47">
            <v>86.996538318000006</v>
          </cell>
          <cell r="AC47">
            <v>71.520736122000002</v>
          </cell>
        </row>
        <row r="48">
          <cell r="F48">
            <v>68.813914011999998</v>
          </cell>
          <cell r="G48">
            <v>55.863462311999996</v>
          </cell>
          <cell r="H48">
            <v>47.863969964000006</v>
          </cell>
          <cell r="I48">
            <v>45.581915292000005</v>
          </cell>
          <cell r="J48">
            <v>51.021019877999997</v>
          </cell>
          <cell r="K48">
            <v>65.010934116000001</v>
          </cell>
          <cell r="L48">
            <v>85.217100639999998</v>
          </cell>
          <cell r="M48">
            <v>82.384239432000001</v>
          </cell>
          <cell r="N48">
            <v>101.85800011400001</v>
          </cell>
          <cell r="O48">
            <v>115.10518674000001</v>
          </cell>
          <cell r="P48">
            <v>124.85296701200001</v>
          </cell>
          <cell r="Q48">
            <v>131.58462677400001</v>
          </cell>
          <cell r="R48">
            <v>132.50364028600001</v>
          </cell>
          <cell r="S48">
            <v>130.00178511799999</v>
          </cell>
          <cell r="T48">
            <v>127.70324399</v>
          </cell>
          <cell r="U48">
            <v>126.48854546400001</v>
          </cell>
          <cell r="V48">
            <v>125.629291808</v>
          </cell>
          <cell r="W48">
            <v>126.17245101200002</v>
          </cell>
          <cell r="X48">
            <v>141.098936412</v>
          </cell>
          <cell r="Y48">
            <v>135.094667034</v>
          </cell>
          <cell r="Z48">
            <v>120.98660932</v>
          </cell>
          <cell r="AA48">
            <v>100.540332178</v>
          </cell>
          <cell r="AB48">
            <v>81.952966796000013</v>
          </cell>
          <cell r="AC48">
            <v>61.791066832000006</v>
          </cell>
        </row>
        <row r="49">
          <cell r="F49">
            <v>59.370764288000004</v>
          </cell>
          <cell r="G49">
            <v>47.585700719999998</v>
          </cell>
          <cell r="H49">
            <v>40.756824782000002</v>
          </cell>
          <cell r="I49">
            <v>37.709845371999997</v>
          </cell>
          <cell r="J49">
            <v>38.598517846</v>
          </cell>
          <cell r="K49">
            <v>43.79370943</v>
          </cell>
          <cell r="L49">
            <v>53.265426691999998</v>
          </cell>
          <cell r="M49">
            <v>44.183524729999995</v>
          </cell>
          <cell r="N49">
            <v>59.975683856000003</v>
          </cell>
          <cell r="O49">
            <v>71.626507662000009</v>
          </cell>
          <cell r="P49">
            <v>79.372772586000011</v>
          </cell>
          <cell r="Q49">
            <v>90.847005449999997</v>
          </cell>
          <cell r="R49">
            <v>100.72283242200001</v>
          </cell>
          <cell r="S49">
            <v>106.33489582200001</v>
          </cell>
          <cell r="T49">
            <v>105.73990785400001</v>
          </cell>
          <cell r="U49">
            <v>101.35546824800002</v>
          </cell>
          <cell r="V49">
            <v>98.297925872000008</v>
          </cell>
          <cell r="W49">
            <v>99.613252787999997</v>
          </cell>
          <cell r="X49">
            <v>112.92456208000002</v>
          </cell>
          <cell r="Y49">
            <v>107.94997970800001</v>
          </cell>
          <cell r="Z49">
            <v>97.102203795999998</v>
          </cell>
          <cell r="AA49">
            <v>81.12733870000001</v>
          </cell>
          <cell r="AB49">
            <v>65.558598009999997</v>
          </cell>
          <cell r="AC49">
            <v>46.075416495999995</v>
          </cell>
        </row>
        <row r="50">
          <cell r="F50">
            <v>60.246426366000001</v>
          </cell>
          <cell r="G50">
            <v>48.146594924000006</v>
          </cell>
          <cell r="H50">
            <v>41.209563862000003</v>
          </cell>
          <cell r="I50">
            <v>37.491804188000003</v>
          </cell>
          <cell r="J50">
            <v>40.720787262000002</v>
          </cell>
          <cell r="K50">
            <v>48.670231440000002</v>
          </cell>
          <cell r="L50">
            <v>55.138639956000006</v>
          </cell>
          <cell r="M50">
            <v>39.062103652000005</v>
          </cell>
          <cell r="N50">
            <v>53.855037408000001</v>
          </cell>
          <cell r="O50">
            <v>64.296163958000008</v>
          </cell>
          <cell r="P50">
            <v>77.87214329599999</v>
          </cell>
          <cell r="Q50">
            <v>92.181315910000009</v>
          </cell>
          <cell r="R50">
            <v>104.484738058</v>
          </cell>
          <cell r="S50">
            <v>112.223724538</v>
          </cell>
          <cell r="T50">
            <v>107.640340796</v>
          </cell>
          <cell r="U50">
            <v>103.78848324000001</v>
          </cell>
          <cell r="V50">
            <v>103.77880702399999</v>
          </cell>
          <cell r="W50">
            <v>105.411257022</v>
          </cell>
          <cell r="X50">
            <v>119.362799814</v>
          </cell>
          <cell r="Y50">
            <v>116.32641884000002</v>
          </cell>
          <cell r="Z50">
            <v>102.27208398799999</v>
          </cell>
          <cell r="AA50">
            <v>79.080464316000004</v>
          </cell>
          <cell r="AB50">
            <v>57.072457261999993</v>
          </cell>
          <cell r="AC50">
            <v>37.214180498000005</v>
          </cell>
        </row>
        <row r="51">
          <cell r="F51">
            <v>89.741845377999994</v>
          </cell>
          <cell r="G51">
            <v>76.727838532000007</v>
          </cell>
          <cell r="H51">
            <v>69.225387294000001</v>
          </cell>
          <cell r="I51">
            <v>67.798173809999994</v>
          </cell>
          <cell r="J51">
            <v>70.851431410000004</v>
          </cell>
          <cell r="K51">
            <v>89.295100728000008</v>
          </cell>
          <cell r="L51">
            <v>111.861341736</v>
          </cell>
          <cell r="M51">
            <v>107.65005957600002</v>
          </cell>
          <cell r="N51">
            <v>126.01224011600002</v>
          </cell>
          <cell r="O51">
            <v>135.227856884</v>
          </cell>
          <cell r="P51">
            <v>148.35604875400003</v>
          </cell>
          <cell r="Q51">
            <v>162.07321288</v>
          </cell>
          <cell r="R51">
            <v>168.730655214</v>
          </cell>
          <cell r="S51">
            <v>168.67364073600001</v>
          </cell>
          <cell r="T51">
            <v>172.05496036600002</v>
          </cell>
          <cell r="U51">
            <v>173.06120170200001</v>
          </cell>
          <cell r="V51">
            <v>167.496206992</v>
          </cell>
          <cell r="W51">
            <v>158.388419024</v>
          </cell>
          <cell r="X51">
            <v>170.33697091600001</v>
          </cell>
          <cell r="Y51">
            <v>166.02069046200003</v>
          </cell>
          <cell r="Z51">
            <v>150.74362667600002</v>
          </cell>
          <cell r="AA51">
            <v>132.23280555400001</v>
          </cell>
          <cell r="AB51">
            <v>106.58787495599999</v>
          </cell>
          <cell r="AC51">
            <v>91.086633675999991</v>
          </cell>
        </row>
        <row r="52">
          <cell r="F52">
            <v>91.710728325999995</v>
          </cell>
          <cell r="G52">
            <v>76.217701898000001</v>
          </cell>
          <cell r="H52">
            <v>68.493038204000015</v>
          </cell>
          <cell r="I52">
            <v>65.044119848000008</v>
          </cell>
          <cell r="J52">
            <v>67.207002414000002</v>
          </cell>
          <cell r="K52">
            <v>77.109779492000001</v>
          </cell>
          <cell r="L52">
            <v>93.103961550000008</v>
          </cell>
          <cell r="M52">
            <v>87.765343474000005</v>
          </cell>
          <cell r="N52">
            <v>109.17140334600001</v>
          </cell>
          <cell r="O52">
            <v>125.083351756</v>
          </cell>
          <cell r="P52">
            <v>134.87174517800003</v>
          </cell>
          <cell r="Q52">
            <v>141.53042186800002</v>
          </cell>
          <cell r="R52">
            <v>143.423845938</v>
          </cell>
          <cell r="S52">
            <v>144.78570240000002</v>
          </cell>
          <cell r="T52">
            <v>144.91040782600001</v>
          </cell>
          <cell r="U52">
            <v>140.82813715</v>
          </cell>
          <cell r="V52">
            <v>136.69378232600002</v>
          </cell>
          <cell r="W52">
            <v>131.554129668</v>
          </cell>
          <cell r="X52">
            <v>152.35280126000001</v>
          </cell>
          <cell r="Y52">
            <v>145.933951428</v>
          </cell>
          <cell r="Z52">
            <v>126.94306513799999</v>
          </cell>
          <cell r="AA52">
            <v>110.23303463399999</v>
          </cell>
          <cell r="AB52">
            <v>94.027742230000015</v>
          </cell>
          <cell r="AC52">
            <v>79.33270567400001</v>
          </cell>
        </row>
        <row r="53">
          <cell r="F53">
            <v>94.709567851999992</v>
          </cell>
          <cell r="G53">
            <v>78.033297693999998</v>
          </cell>
          <cell r="H53">
            <v>70.353617053999997</v>
          </cell>
          <cell r="I53">
            <v>64.581669082000005</v>
          </cell>
          <cell r="J53">
            <v>62.640005812000005</v>
          </cell>
          <cell r="K53">
            <v>68.310786250000007</v>
          </cell>
          <cell r="L53">
            <v>76.168377316000004</v>
          </cell>
          <cell r="M53">
            <v>61.217353770000003</v>
          </cell>
          <cell r="N53">
            <v>79.127235058000011</v>
          </cell>
          <cell r="O53">
            <v>92.053858011999992</v>
          </cell>
          <cell r="P53">
            <v>104.540276984</v>
          </cell>
          <cell r="Q53">
            <v>115.671983152</v>
          </cell>
          <cell r="R53">
            <v>122.20393971999999</v>
          </cell>
          <cell r="S53">
            <v>126.675621338</v>
          </cell>
          <cell r="T53">
            <v>125.989518034</v>
          </cell>
          <cell r="U53">
            <v>127.443014788</v>
          </cell>
          <cell r="V53">
            <v>127.45842295599999</v>
          </cell>
          <cell r="W53">
            <v>122.56442133000002</v>
          </cell>
          <cell r="X53">
            <v>135.36775765800002</v>
          </cell>
          <cell r="Y53">
            <v>133.97048794800003</v>
          </cell>
          <cell r="Z53">
            <v>127.24736936200001</v>
          </cell>
          <cell r="AA53">
            <v>113.66130235599999</v>
          </cell>
          <cell r="AB53">
            <v>94.319546826000007</v>
          </cell>
          <cell r="AC53">
            <v>73.159797728000001</v>
          </cell>
        </row>
        <row r="54">
          <cell r="F54">
            <v>73.566596063999995</v>
          </cell>
          <cell r="G54">
            <v>64.039545602000004</v>
          </cell>
          <cell r="H54">
            <v>55.485997666000003</v>
          </cell>
          <cell r="I54">
            <v>48.842644016000001</v>
          </cell>
          <cell r="J54">
            <v>45.478101695999996</v>
          </cell>
          <cell r="K54">
            <v>46.493394975999998</v>
          </cell>
          <cell r="L54">
            <v>48.105825706000005</v>
          </cell>
          <cell r="M54">
            <v>27.663201974</v>
          </cell>
          <cell r="N54">
            <v>37.430455276000004</v>
          </cell>
          <cell r="O54">
            <v>50.518289379999999</v>
          </cell>
          <cell r="P54">
            <v>62.203547462000003</v>
          </cell>
          <cell r="Q54">
            <v>73.390522984000015</v>
          </cell>
          <cell r="R54">
            <v>85.951244512000002</v>
          </cell>
          <cell r="S54">
            <v>90.500846625999998</v>
          </cell>
          <cell r="T54">
            <v>90.020072058000011</v>
          </cell>
          <cell r="U54">
            <v>93.630102248000014</v>
          </cell>
          <cell r="V54">
            <v>95.838464448000011</v>
          </cell>
          <cell r="W54">
            <v>92.618951863999996</v>
          </cell>
          <cell r="X54">
            <v>115.93526277400001</v>
          </cell>
          <cell r="Y54">
            <v>117.46475755000002</v>
          </cell>
          <cell r="Z54">
            <v>109.049670306</v>
          </cell>
          <cell r="AA54">
            <v>95.422883740000003</v>
          </cell>
          <cell r="AB54">
            <v>75.676770210000001</v>
          </cell>
          <cell r="AC54">
            <v>54.369685826000001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71.983518576000009</v>
          </cell>
          <cell r="G7">
            <v>57.047977943999996</v>
          </cell>
          <cell r="H7">
            <v>48.630535847999994</v>
          </cell>
          <cell r="I7">
            <v>47.404999919999995</v>
          </cell>
          <cell r="J7">
            <v>61.734580775999994</v>
          </cell>
          <cell r="K7">
            <v>93.354327576000003</v>
          </cell>
          <cell r="L7">
            <v>126.372477624</v>
          </cell>
          <cell r="M7">
            <v>130.84943793599999</v>
          </cell>
          <cell r="N7">
            <v>154.944935832</v>
          </cell>
          <cell r="O7">
            <v>170.32314957599999</v>
          </cell>
          <cell r="P7">
            <v>191.237454168</v>
          </cell>
          <cell r="Q7">
            <v>209.42642987999997</v>
          </cell>
          <cell r="R7">
            <v>215.99423224799997</v>
          </cell>
          <cell r="S7">
            <v>213.21167733599998</v>
          </cell>
          <cell r="T7">
            <v>216.77139252000001</v>
          </cell>
          <cell r="U7">
            <v>216.71018330399997</v>
          </cell>
          <cell r="V7">
            <v>208.017767784</v>
          </cell>
          <cell r="W7">
            <v>191.59206739199996</v>
          </cell>
          <cell r="X7">
            <v>206.220028848</v>
          </cell>
          <cell r="Y7">
            <v>214.46957544</v>
          </cell>
          <cell r="Z7">
            <v>195.83566756799996</v>
          </cell>
          <cell r="AA7">
            <v>165.091953792</v>
          </cell>
          <cell r="AB7">
            <v>123.32321654399999</v>
          </cell>
          <cell r="AC7">
            <v>88.013842584000002</v>
          </cell>
        </row>
        <row r="8">
          <cell r="F8">
            <v>74.609769335999985</v>
          </cell>
          <cell r="G8">
            <v>58.413517536000001</v>
          </cell>
          <cell r="H8">
            <v>48.99997377599999</v>
          </cell>
          <cell r="I8">
            <v>45.505766208000004</v>
          </cell>
          <cell r="J8">
            <v>53.674469447999996</v>
          </cell>
          <cell r="K8">
            <v>69.448284048000005</v>
          </cell>
          <cell r="L8">
            <v>94.171209839999989</v>
          </cell>
          <cell r="M8">
            <v>101.452933464</v>
          </cell>
          <cell r="N8">
            <v>129.13537452</v>
          </cell>
          <cell r="O8">
            <v>149.94266327999998</v>
          </cell>
          <cell r="P8">
            <v>167.24908195200001</v>
          </cell>
          <cell r="Q8">
            <v>182.30196412799998</v>
          </cell>
          <cell r="R8">
            <v>185.16809426399999</v>
          </cell>
          <cell r="S8">
            <v>179.51545468800001</v>
          </cell>
          <cell r="T8">
            <v>171.914331288</v>
          </cell>
          <cell r="U8">
            <v>168.12031031999999</v>
          </cell>
          <cell r="V8">
            <v>164.77606437599999</v>
          </cell>
          <cell r="W8">
            <v>158.43068032800002</v>
          </cell>
          <cell r="X8">
            <v>179.643776256</v>
          </cell>
          <cell r="Y8">
            <v>185.96571969599998</v>
          </cell>
          <cell r="Z8">
            <v>168.02328110399998</v>
          </cell>
          <cell r="AA8">
            <v>141.67266585599998</v>
          </cell>
          <cell r="AB8">
            <v>112.92057751199999</v>
          </cell>
          <cell r="AC8">
            <v>84.076350575999996</v>
          </cell>
        </row>
        <row r="9">
          <cell r="F9">
            <v>75.118131551999994</v>
          </cell>
          <cell r="G9">
            <v>57.521847887999996</v>
          </cell>
          <cell r="H9">
            <v>46.252503360000006</v>
          </cell>
          <cell r="I9">
            <v>40.206674807999995</v>
          </cell>
          <cell r="J9">
            <v>41.866382567999992</v>
          </cell>
          <cell r="K9">
            <v>48.652042175999995</v>
          </cell>
          <cell r="L9">
            <v>60.039172416</v>
          </cell>
          <cell r="M9">
            <v>58.070810879999996</v>
          </cell>
          <cell r="N9">
            <v>79.275715967999986</v>
          </cell>
          <cell r="O9">
            <v>98.969566295999996</v>
          </cell>
          <cell r="P9">
            <v>114.52252432799999</v>
          </cell>
          <cell r="Q9">
            <v>133.11871135200002</v>
          </cell>
          <cell r="R9">
            <v>145.43702308799999</v>
          </cell>
          <cell r="S9">
            <v>149.10364903199999</v>
          </cell>
          <cell r="T9">
            <v>144.54875872800002</v>
          </cell>
          <cell r="U9">
            <v>139.895621328</v>
          </cell>
          <cell r="V9">
            <v>135.71868933599998</v>
          </cell>
          <cell r="W9">
            <v>131.84609839199999</v>
          </cell>
          <cell r="X9">
            <v>154.03393293599999</v>
          </cell>
          <cell r="Y9">
            <v>166.39859097600001</v>
          </cell>
          <cell r="Z9">
            <v>153.10744147199998</v>
          </cell>
          <cell r="AA9">
            <v>130.339084128</v>
          </cell>
          <cell r="AB9">
            <v>100.12505740799999</v>
          </cell>
          <cell r="AC9">
            <v>67.916835767999984</v>
          </cell>
        </row>
        <row r="10">
          <cell r="F10">
            <v>67.456056839999988</v>
          </cell>
          <cell r="G10">
            <v>54.917595383999995</v>
          </cell>
          <cell r="H10">
            <v>42.770503247999997</v>
          </cell>
          <cell r="I10">
            <v>35.779771752000002</v>
          </cell>
          <cell r="J10">
            <v>35.581453127999993</v>
          </cell>
          <cell r="K10">
            <v>40.291654175999994</v>
          </cell>
          <cell r="L10">
            <v>42.831593063999996</v>
          </cell>
          <cell r="M10">
            <v>33.63696204</v>
          </cell>
          <cell r="N10">
            <v>48.806364287999997</v>
          </cell>
          <cell r="O10">
            <v>64.835288927999997</v>
          </cell>
          <cell r="P10">
            <v>82.593116015999996</v>
          </cell>
          <cell r="Q10">
            <v>102.03091065599999</v>
          </cell>
          <cell r="R10">
            <v>116.39099582399999</v>
          </cell>
          <cell r="S10">
            <v>119.668802832</v>
          </cell>
          <cell r="T10">
            <v>116.04466896</v>
          </cell>
          <cell r="U10">
            <v>111.18106279199999</v>
          </cell>
          <cell r="V10">
            <v>108.18592812</v>
          </cell>
          <cell r="W10">
            <v>106.42409992799999</v>
          </cell>
          <cell r="X10">
            <v>134.889886176</v>
          </cell>
          <cell r="Y10">
            <v>145.02013082400001</v>
          </cell>
          <cell r="Z10">
            <v>131.54266478399998</v>
          </cell>
          <cell r="AA10">
            <v>109.819277136</v>
          </cell>
          <cell r="AB10">
            <v>83.319789192000002</v>
          </cell>
          <cell r="AC10">
            <v>56.120454864000003</v>
          </cell>
        </row>
        <row r="11">
          <cell r="F11">
            <v>67.597321367999996</v>
          </cell>
          <cell r="G11">
            <v>53.332550832000003</v>
          </cell>
          <cell r="H11">
            <v>46.480170503999993</v>
          </cell>
          <cell r="I11">
            <v>46.424811887999994</v>
          </cell>
          <cell r="J11">
            <v>66.673461479999986</v>
          </cell>
          <cell r="K11">
            <v>112.726084464</v>
          </cell>
          <cell r="L11">
            <v>148.334961384</v>
          </cell>
          <cell r="M11">
            <v>144.23058638399999</v>
          </cell>
          <cell r="N11">
            <v>163.29675091199999</v>
          </cell>
          <cell r="O11">
            <v>175.14784089600002</v>
          </cell>
          <cell r="P11">
            <v>195.068565552</v>
          </cell>
          <cell r="Q11">
            <v>211.36134986399998</v>
          </cell>
          <cell r="R11">
            <v>212.24736950399998</v>
          </cell>
          <cell r="S11">
            <v>208.05922824000001</v>
          </cell>
          <cell r="T11">
            <v>211.73218715999997</v>
          </cell>
          <cell r="U11">
            <v>212.50062167999999</v>
          </cell>
          <cell r="V11">
            <v>204.74352367199998</v>
          </cell>
          <cell r="W11">
            <v>190.13877357599998</v>
          </cell>
          <cell r="X11">
            <v>204.09221577599999</v>
          </cell>
          <cell r="Y11">
            <v>213.95210539199996</v>
          </cell>
          <cell r="Z11">
            <v>194.35736661599998</v>
          </cell>
          <cell r="AA11">
            <v>160.60137710399999</v>
          </cell>
          <cell r="AB11">
            <v>117.035435832</v>
          </cell>
          <cell r="AC11">
            <v>81.289320551999992</v>
          </cell>
        </row>
        <row r="12">
          <cell r="F12">
            <v>83.401229544000003</v>
          </cell>
          <cell r="G12">
            <v>66.755570471999988</v>
          </cell>
          <cell r="H12">
            <v>56.323301135999998</v>
          </cell>
          <cell r="I12">
            <v>53.841276023999995</v>
          </cell>
          <cell r="J12">
            <v>61.790698775999992</v>
          </cell>
          <cell r="K12">
            <v>76.108664399999995</v>
          </cell>
          <cell r="L12">
            <v>105.04307176799999</v>
          </cell>
          <cell r="M12">
            <v>114.117376248</v>
          </cell>
          <cell r="N12">
            <v>145.51991534399997</v>
          </cell>
          <cell r="O12">
            <v>165.03651398399998</v>
          </cell>
          <cell r="P12">
            <v>182.492755776</v>
          </cell>
          <cell r="Q12">
            <v>192.257731944</v>
          </cell>
          <cell r="R12">
            <v>192.24510420000001</v>
          </cell>
          <cell r="S12">
            <v>183.01672595999997</v>
          </cell>
          <cell r="T12">
            <v>173.16062848799999</v>
          </cell>
          <cell r="U12">
            <v>169.87544733599998</v>
          </cell>
          <cell r="V12">
            <v>166.53618275999997</v>
          </cell>
          <cell r="W12">
            <v>162.12694135199999</v>
          </cell>
          <cell r="X12">
            <v>182.38779840000001</v>
          </cell>
          <cell r="Y12">
            <v>189.38441870399998</v>
          </cell>
          <cell r="Z12">
            <v>172.63907973599999</v>
          </cell>
          <cell r="AA12">
            <v>146.04405746399999</v>
          </cell>
          <cell r="AB12">
            <v>115.00987692</v>
          </cell>
          <cell r="AC12">
            <v>85.078073591999996</v>
          </cell>
        </row>
        <row r="13">
          <cell r="F13">
            <v>77.524194383999983</v>
          </cell>
          <cell r="G13">
            <v>59.928235487999999</v>
          </cell>
          <cell r="H13">
            <v>48.621265632000004</v>
          </cell>
          <cell r="I13">
            <v>42.502034735999992</v>
          </cell>
          <cell r="J13">
            <v>43.620573936</v>
          </cell>
          <cell r="K13">
            <v>49.129952615999997</v>
          </cell>
          <cell r="L13">
            <v>60.728435183999991</v>
          </cell>
          <cell r="M13">
            <v>58.260728519999994</v>
          </cell>
          <cell r="N13">
            <v>80.390209895999988</v>
          </cell>
          <cell r="O13">
            <v>99.960958823999988</v>
          </cell>
          <cell r="P13">
            <v>116.541525792</v>
          </cell>
          <cell r="Q13">
            <v>135.59963320799997</v>
          </cell>
          <cell r="R13">
            <v>147.76342224000001</v>
          </cell>
          <cell r="S13">
            <v>150.46502872799999</v>
          </cell>
          <cell r="T13">
            <v>146.11475181599997</v>
          </cell>
          <cell r="U13">
            <v>141.54460219199999</v>
          </cell>
          <cell r="V13">
            <v>136.88431989599999</v>
          </cell>
          <cell r="W13">
            <v>132.82353067199998</v>
          </cell>
          <cell r="X13">
            <v>155.00103472800001</v>
          </cell>
          <cell r="Y13">
            <v>168.98419319999999</v>
          </cell>
          <cell r="Z13">
            <v>156.48291290399996</v>
          </cell>
          <cell r="AA13">
            <v>132.60923632800001</v>
          </cell>
          <cell r="AB13">
            <v>98.33726210399999</v>
          </cell>
          <cell r="AC13">
            <v>63.905287104000003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72.463673735999976</v>
          </cell>
          <cell r="G15">
            <v>58.680973535999996</v>
          </cell>
          <cell r="H15">
            <v>51.545519687999999</v>
          </cell>
          <cell r="I15">
            <v>51.731874431999998</v>
          </cell>
          <cell r="J15">
            <v>71.709089616</v>
          </cell>
          <cell r="K15">
            <v>116.33483006399999</v>
          </cell>
          <cell r="L15">
            <v>150.56065857599998</v>
          </cell>
          <cell r="M15">
            <v>149.59855248</v>
          </cell>
          <cell r="N15">
            <v>169.16069505600001</v>
          </cell>
          <cell r="O15">
            <v>181.57750224</v>
          </cell>
          <cell r="P15">
            <v>201.73082287199995</v>
          </cell>
          <cell r="Q15">
            <v>218.21666265599998</v>
          </cell>
          <cell r="R15">
            <v>220.39900331999999</v>
          </cell>
          <cell r="S15">
            <v>216.43360514400001</v>
          </cell>
          <cell r="T15">
            <v>219.96385718400001</v>
          </cell>
          <cell r="U15">
            <v>219.30020810399998</v>
          </cell>
          <cell r="V15">
            <v>211.72104952800001</v>
          </cell>
          <cell r="W15">
            <v>197.82484291199998</v>
          </cell>
          <cell r="X15">
            <v>211.30701808799998</v>
          </cell>
          <cell r="Y15">
            <v>220.52703355200001</v>
          </cell>
          <cell r="Z15">
            <v>200.19020467199996</v>
          </cell>
          <cell r="AA15">
            <v>165.43458403199998</v>
          </cell>
          <cell r="AB15">
            <v>122.20212696</v>
          </cell>
          <cell r="AC15">
            <v>85.795853855999994</v>
          </cell>
        </row>
        <row r="16">
          <cell r="F16">
            <v>79.586413871999994</v>
          </cell>
          <cell r="G16">
            <v>63.985619423999992</v>
          </cell>
          <cell r="H16">
            <v>54.466764863999998</v>
          </cell>
          <cell r="I16">
            <v>52.521437975999994</v>
          </cell>
          <cell r="J16">
            <v>62.805493704</v>
          </cell>
          <cell r="K16">
            <v>82.843999295999993</v>
          </cell>
          <cell r="L16">
            <v>111.82379299200001</v>
          </cell>
          <cell r="M16">
            <v>125.134887072</v>
          </cell>
          <cell r="N16">
            <v>153.46584684000001</v>
          </cell>
          <cell r="O16">
            <v>172.21145580000001</v>
          </cell>
          <cell r="P16">
            <v>189.760313784</v>
          </cell>
          <cell r="Q16">
            <v>203.33956593599996</v>
          </cell>
          <cell r="R16">
            <v>203.74939449599998</v>
          </cell>
          <cell r="S16">
            <v>196.86393081599996</v>
          </cell>
          <cell r="T16">
            <v>189.99472463999999</v>
          </cell>
          <cell r="U16">
            <v>185.268743688</v>
          </cell>
          <cell r="V16">
            <v>180.821179656</v>
          </cell>
          <cell r="W16">
            <v>176.84357879999999</v>
          </cell>
          <cell r="X16">
            <v>192.973482408</v>
          </cell>
          <cell r="Y16">
            <v>200.37939158399999</v>
          </cell>
          <cell r="Z16">
            <v>182.27864291999998</v>
          </cell>
          <cell r="AA16">
            <v>156.46510319999999</v>
          </cell>
          <cell r="AB16">
            <v>124.343757</v>
          </cell>
          <cell r="AC16">
            <v>94.066295448000005</v>
          </cell>
        </row>
        <row r="17">
          <cell r="F17">
            <v>80.825570951999993</v>
          </cell>
          <cell r="G17">
            <v>63.466415687999998</v>
          </cell>
          <cell r="H17">
            <v>51.864174407999997</v>
          </cell>
          <cell r="I17">
            <v>46.325089007999992</v>
          </cell>
          <cell r="J17">
            <v>47.664589847999999</v>
          </cell>
          <cell r="K17">
            <v>54.590205359999999</v>
          </cell>
          <cell r="L17">
            <v>65.741940888000002</v>
          </cell>
          <cell r="M17">
            <v>69.208681679999998</v>
          </cell>
          <cell r="N17">
            <v>93.004667063999989</v>
          </cell>
          <cell r="O17">
            <v>110.8015284</v>
          </cell>
          <cell r="P17">
            <v>127.09890244799998</v>
          </cell>
          <cell r="Q17">
            <v>144.59665245599999</v>
          </cell>
          <cell r="R17">
            <v>156.04344448799998</v>
          </cell>
          <cell r="S17">
            <v>157.96763757600002</v>
          </cell>
          <cell r="T17">
            <v>153.84707671199999</v>
          </cell>
          <cell r="U17">
            <v>151.05601574400001</v>
          </cell>
          <cell r="V17">
            <v>146.791735488</v>
          </cell>
          <cell r="W17">
            <v>142.75107710399996</v>
          </cell>
          <cell r="X17">
            <v>164.36684236799999</v>
          </cell>
          <cell r="Y17">
            <v>178.19361072000001</v>
          </cell>
          <cell r="Z17">
            <v>165.811907136</v>
          </cell>
          <cell r="AA17">
            <v>141.737027232</v>
          </cell>
          <cell r="AB17">
            <v>109.12389153599999</v>
          </cell>
          <cell r="AC17">
            <v>74.792245967999989</v>
          </cell>
        </row>
        <row r="18">
          <cell r="F18">
            <v>91.913599415999997</v>
          </cell>
          <cell r="G18">
            <v>74.713250927999994</v>
          </cell>
          <cell r="H18">
            <v>63.831703271999999</v>
          </cell>
          <cell r="I18">
            <v>59.043820583999995</v>
          </cell>
          <cell r="J18">
            <v>62.571407615999995</v>
          </cell>
          <cell r="K18">
            <v>69.483000792000013</v>
          </cell>
          <cell r="L18">
            <v>79.558092191999989</v>
          </cell>
          <cell r="M18">
            <v>83.306015207999977</v>
          </cell>
          <cell r="N18">
            <v>106.01611967999999</v>
          </cell>
          <cell r="O18">
            <v>126.57145533599999</v>
          </cell>
          <cell r="P18">
            <v>146.150762856</v>
          </cell>
          <cell r="Q18">
            <v>169.07572046399997</v>
          </cell>
          <cell r="R18">
            <v>180.27807681599998</v>
          </cell>
          <cell r="S18">
            <v>177.23372068800001</v>
          </cell>
          <cell r="T18">
            <v>170.18214772800002</v>
          </cell>
          <cell r="U18">
            <v>165.96589015200001</v>
          </cell>
          <cell r="V18">
            <v>164.13620932800001</v>
          </cell>
          <cell r="W18">
            <v>160.99604186400001</v>
          </cell>
          <cell r="X18">
            <v>185.99666817600001</v>
          </cell>
          <cell r="Y18">
            <v>206.260319184</v>
          </cell>
          <cell r="Z18">
            <v>189.03906136800001</v>
          </cell>
          <cell r="AA18">
            <v>160.803091464</v>
          </cell>
          <cell r="AB18">
            <v>124.69982212799998</v>
          </cell>
          <cell r="AC18">
            <v>88.496901551999997</v>
          </cell>
        </row>
        <row r="19">
          <cell r="F19">
            <v>73.328526144000008</v>
          </cell>
          <cell r="G19">
            <v>58.919396231999997</v>
          </cell>
          <cell r="H19">
            <v>51.751336631999997</v>
          </cell>
          <cell r="I19">
            <v>52.001766191999998</v>
          </cell>
          <cell r="J19">
            <v>70.811540711999982</v>
          </cell>
          <cell r="K19">
            <v>110.33114971199998</v>
          </cell>
          <cell r="L19">
            <v>144.74536276799998</v>
          </cell>
          <cell r="M19">
            <v>147.104267376</v>
          </cell>
          <cell r="N19">
            <v>167.27378342399999</v>
          </cell>
          <cell r="O19">
            <v>180.822163512</v>
          </cell>
          <cell r="P19">
            <v>201.18649737599998</v>
          </cell>
          <cell r="Q19">
            <v>218.742653088</v>
          </cell>
          <cell r="R19">
            <v>222.37640582399999</v>
          </cell>
          <cell r="S19">
            <v>218.241593376</v>
          </cell>
          <cell r="T19">
            <v>221.59343793599999</v>
          </cell>
          <cell r="U19">
            <v>221.68147871999997</v>
          </cell>
          <cell r="V19">
            <v>213.29260187999998</v>
          </cell>
          <cell r="W19">
            <v>200.65607959199997</v>
          </cell>
          <cell r="X19">
            <v>216.85140007199996</v>
          </cell>
          <cell r="Y19">
            <v>222.73797290399997</v>
          </cell>
          <cell r="Z19">
            <v>202.39794410399998</v>
          </cell>
          <cell r="AA19">
            <v>168.808598784</v>
          </cell>
          <cell r="AB19">
            <v>127.226402544</v>
          </cell>
          <cell r="AC19">
            <v>88.936780704</v>
          </cell>
        </row>
        <row r="20">
          <cell r="F20">
            <v>78.175621679999992</v>
          </cell>
          <cell r="G20">
            <v>61.183750367999991</v>
          </cell>
          <cell r="H20">
            <v>51.595013375999997</v>
          </cell>
          <cell r="I20">
            <v>49.444987127999994</v>
          </cell>
          <cell r="J20">
            <v>57.778457592000002</v>
          </cell>
          <cell r="K20">
            <v>73.476477071999994</v>
          </cell>
          <cell r="L20">
            <v>98.864222064000003</v>
          </cell>
          <cell r="M20">
            <v>109.84757015999999</v>
          </cell>
          <cell r="N20">
            <v>137.833645416</v>
          </cell>
          <cell r="O20">
            <v>156.88221038400002</v>
          </cell>
          <cell r="P20">
            <v>173.15472535200001</v>
          </cell>
          <cell r="Q20">
            <v>185.82932191199998</v>
          </cell>
          <cell r="R20">
            <v>189.026973312</v>
          </cell>
          <cell r="S20">
            <v>184.98852144</v>
          </cell>
          <cell r="T20">
            <v>179.75197175999998</v>
          </cell>
          <cell r="U20">
            <v>178.82129652</v>
          </cell>
          <cell r="V20">
            <v>177.296386584</v>
          </cell>
          <cell r="W20">
            <v>174.04443684</v>
          </cell>
          <cell r="X20">
            <v>192.60634173599996</v>
          </cell>
          <cell r="Y20">
            <v>198.03750864</v>
          </cell>
          <cell r="Z20">
            <v>178.86131462399999</v>
          </cell>
          <cell r="AA20">
            <v>152.88778845599998</v>
          </cell>
          <cell r="AB20">
            <v>123.67288660799998</v>
          </cell>
          <cell r="AC20">
            <v>93.172739279999988</v>
          </cell>
        </row>
        <row r="21">
          <cell r="F21">
            <v>83.523590663999997</v>
          </cell>
          <cell r="G21">
            <v>65.616661632000003</v>
          </cell>
          <cell r="H21">
            <v>54.091156343999998</v>
          </cell>
          <cell r="I21">
            <v>48.965820600000001</v>
          </cell>
          <cell r="J21">
            <v>50.514204575999997</v>
          </cell>
          <cell r="K21">
            <v>54.632105207999999</v>
          </cell>
          <cell r="L21">
            <v>67.748285951999989</v>
          </cell>
          <cell r="M21">
            <v>71.625070223999998</v>
          </cell>
          <cell r="N21">
            <v>95.623959192000001</v>
          </cell>
          <cell r="O21">
            <v>115.40116982399998</v>
          </cell>
          <cell r="P21">
            <v>129.98665831199997</v>
          </cell>
          <cell r="Q21">
            <v>144.33903501599997</v>
          </cell>
          <cell r="R21">
            <v>155.15878123199997</v>
          </cell>
          <cell r="S21">
            <v>158.06954786399999</v>
          </cell>
          <cell r="T21">
            <v>156.55719403200001</v>
          </cell>
          <cell r="U21">
            <v>153.94259193599999</v>
          </cell>
          <cell r="V21">
            <v>150.229352232</v>
          </cell>
          <cell r="W21">
            <v>148.63736815200002</v>
          </cell>
          <cell r="X21">
            <v>170.42130115200001</v>
          </cell>
          <cell r="Y21">
            <v>180.89016897599998</v>
          </cell>
          <cell r="Z21">
            <v>166.88268155999998</v>
          </cell>
          <cell r="AA21">
            <v>141.62143847999999</v>
          </cell>
          <cell r="AB21">
            <v>107.452033632</v>
          </cell>
          <cell r="AC21">
            <v>72.733938023999983</v>
          </cell>
        </row>
        <row r="22">
          <cell r="F22">
            <v>93.62189819999999</v>
          </cell>
          <cell r="G22">
            <v>74.84294320799998</v>
          </cell>
          <cell r="H22">
            <v>62.929177775999996</v>
          </cell>
          <cell r="I22">
            <v>57.451674119999993</v>
          </cell>
          <cell r="J22">
            <v>59.736899375999997</v>
          </cell>
          <cell r="K22">
            <v>64.398304031999999</v>
          </cell>
          <cell r="L22">
            <v>74.546387039999985</v>
          </cell>
          <cell r="M22">
            <v>74.600537327999987</v>
          </cell>
          <cell r="N22">
            <v>95.405695991999991</v>
          </cell>
          <cell r="O22">
            <v>107.03651207999998</v>
          </cell>
          <cell r="P22">
            <v>113.64585132000001</v>
          </cell>
          <cell r="Q22">
            <v>131.45803884</v>
          </cell>
          <cell r="R22">
            <v>147.70674544799996</v>
          </cell>
          <cell r="S22">
            <v>146.40125450399998</v>
          </cell>
          <cell r="T22">
            <v>141.34461196799998</v>
          </cell>
          <cell r="U22">
            <v>138.53324344800001</v>
          </cell>
          <cell r="V22">
            <v>140.06725643999999</v>
          </cell>
          <cell r="W22">
            <v>140.39261188799998</v>
          </cell>
          <cell r="X22">
            <v>164.56158376799999</v>
          </cell>
          <cell r="Y22">
            <v>172.34952518399999</v>
          </cell>
          <cell r="Z22">
            <v>155.41409664</v>
          </cell>
          <cell r="AA22">
            <v>139.14332968799999</v>
          </cell>
          <cell r="AB22">
            <v>120.132815112</v>
          </cell>
          <cell r="AC22">
            <v>91.303584815999997</v>
          </cell>
        </row>
        <row r="23">
          <cell r="F23">
            <v>72.817756824</v>
          </cell>
          <cell r="G23">
            <v>58.218795239999992</v>
          </cell>
          <cell r="H23">
            <v>50.937257879999997</v>
          </cell>
          <cell r="I23">
            <v>51.514929407999993</v>
          </cell>
          <cell r="J23">
            <v>71.397909335999984</v>
          </cell>
          <cell r="K23">
            <v>113.33090755199999</v>
          </cell>
          <cell r="L23">
            <v>149.85160406399999</v>
          </cell>
          <cell r="M23">
            <v>151.85485427999998</v>
          </cell>
          <cell r="N23">
            <v>170.358062136</v>
          </cell>
          <cell r="O23">
            <v>183.77164917600001</v>
          </cell>
          <cell r="P23">
            <v>204.71562227999999</v>
          </cell>
          <cell r="Q23">
            <v>221.59923122399999</v>
          </cell>
          <cell r="R23">
            <v>221.79462215999996</v>
          </cell>
          <cell r="S23">
            <v>216.43479914399998</v>
          </cell>
          <cell r="T23">
            <v>219.38779039199997</v>
          </cell>
          <cell r="U23">
            <v>220.58377243199999</v>
          </cell>
          <cell r="V23">
            <v>212.62304966399998</v>
          </cell>
          <cell r="W23">
            <v>199.09974357599998</v>
          </cell>
          <cell r="X23">
            <v>215.419158864</v>
          </cell>
          <cell r="Y23">
            <v>223.76473171199999</v>
          </cell>
          <cell r="Z23">
            <v>203.07624595199999</v>
          </cell>
          <cell r="AA23">
            <v>169.22148875999997</v>
          </cell>
          <cell r="AB23">
            <v>126.64019152800002</v>
          </cell>
          <cell r="AC23">
            <v>88.537836647999995</v>
          </cell>
        </row>
        <row r="24">
          <cell r="F24">
            <v>82.404225215999986</v>
          </cell>
          <cell r="G24">
            <v>65.358728975999995</v>
          </cell>
          <cell r="H24">
            <v>56.298422952000003</v>
          </cell>
          <cell r="I24">
            <v>53.411985263999995</v>
          </cell>
          <cell r="J24">
            <v>61.591902552000001</v>
          </cell>
          <cell r="K24">
            <v>75.650813159999984</v>
          </cell>
          <cell r="L24">
            <v>103.31582659199999</v>
          </cell>
          <cell r="M24">
            <v>116.419804656</v>
          </cell>
          <cell r="N24">
            <v>146.399339328</v>
          </cell>
          <cell r="O24">
            <v>166.59614066400002</v>
          </cell>
          <cell r="P24">
            <v>184.29978880799999</v>
          </cell>
          <cell r="Q24">
            <v>195.56896617599998</v>
          </cell>
          <cell r="R24">
            <v>194.63713036799999</v>
          </cell>
          <cell r="S24">
            <v>186.86164475999996</v>
          </cell>
          <cell r="T24">
            <v>178.41603859199998</v>
          </cell>
          <cell r="U24">
            <v>175.38447736800001</v>
          </cell>
          <cell r="V24">
            <v>172.375602144</v>
          </cell>
          <cell r="W24">
            <v>170.46936681599996</v>
          </cell>
          <cell r="X24">
            <v>187.52857495199999</v>
          </cell>
          <cell r="Y24">
            <v>194.72977521599998</v>
          </cell>
          <cell r="Z24">
            <v>178.17047099999999</v>
          </cell>
          <cell r="AA24">
            <v>151.89288079199997</v>
          </cell>
          <cell r="AB24">
            <v>122.52918744</v>
          </cell>
          <cell r="AC24">
            <v>91.884121944</v>
          </cell>
        </row>
        <row r="25">
          <cell r="F25">
            <v>78.863857607999989</v>
          </cell>
          <cell r="G25">
            <v>61.972019615999997</v>
          </cell>
          <cell r="H25">
            <v>50.063340623999999</v>
          </cell>
          <cell r="I25">
            <v>44.16025716</v>
          </cell>
          <cell r="J25">
            <v>43.293933744</v>
          </cell>
          <cell r="K25">
            <v>45.52666598399999</v>
          </cell>
          <cell r="L25">
            <v>56.791138991999993</v>
          </cell>
          <cell r="M25">
            <v>60.018372935999999</v>
          </cell>
          <cell r="N25">
            <v>84.431684976</v>
          </cell>
          <cell r="O25">
            <v>105.842717448</v>
          </cell>
          <cell r="P25">
            <v>122.82579614399999</v>
          </cell>
          <cell r="Q25">
            <v>140.671004928</v>
          </cell>
          <cell r="R25">
            <v>149.65587880800001</v>
          </cell>
          <cell r="S25">
            <v>150.19165048799999</v>
          </cell>
          <cell r="T25">
            <v>142.76469347999998</v>
          </cell>
          <cell r="U25">
            <v>141.48783943200002</v>
          </cell>
          <cell r="V25">
            <v>138.12351518399998</v>
          </cell>
          <cell r="W25">
            <v>137.17342550399999</v>
          </cell>
          <cell r="X25">
            <v>159.33975372</v>
          </cell>
          <cell r="Y25">
            <v>172.55949724799996</v>
          </cell>
          <cell r="Z25">
            <v>160.53224450399998</v>
          </cell>
          <cell r="AA25">
            <v>137.38879444799997</v>
          </cell>
          <cell r="AB25">
            <v>103.933840992</v>
          </cell>
          <cell r="AC25">
            <v>68.411710559999989</v>
          </cell>
        </row>
        <row r="26">
          <cell r="F26">
            <v>71.244289295999991</v>
          </cell>
          <cell r="G26">
            <v>54.856987944000004</v>
          </cell>
          <cell r="H26">
            <v>45.471221399999997</v>
          </cell>
          <cell r="I26">
            <v>42.462097823999997</v>
          </cell>
          <cell r="J26">
            <v>50.958525407999993</v>
          </cell>
          <cell r="K26">
            <v>64.365096504000007</v>
          </cell>
          <cell r="L26">
            <v>79.066966559999997</v>
          </cell>
          <cell r="M26">
            <v>83.873867279999985</v>
          </cell>
          <cell r="N26">
            <v>107.548609128</v>
          </cell>
          <cell r="O26">
            <v>126.039604752</v>
          </cell>
          <cell r="P26">
            <v>148.41516952800001</v>
          </cell>
          <cell r="Q26">
            <v>166.51797664799997</v>
          </cell>
          <cell r="R26">
            <v>181.84598985599999</v>
          </cell>
          <cell r="S26">
            <v>176.643454848</v>
          </cell>
          <cell r="T26">
            <v>167.526839784</v>
          </cell>
          <cell r="U26">
            <v>157.33571068800001</v>
          </cell>
          <cell r="V26">
            <v>155.39805405600001</v>
          </cell>
          <cell r="W26">
            <v>160.44435177599999</v>
          </cell>
          <cell r="X26">
            <v>180.31487589600002</v>
          </cell>
          <cell r="Y26">
            <v>186.68234416799999</v>
          </cell>
          <cell r="Z26">
            <v>167.94050824799996</v>
          </cell>
          <cell r="AA26">
            <v>140.47269107999998</v>
          </cell>
          <cell r="AB26">
            <v>105.39990583199999</v>
          </cell>
          <cell r="AC26">
            <v>69.763409304000007</v>
          </cell>
        </row>
        <row r="27">
          <cell r="F27">
            <v>63.287564039999992</v>
          </cell>
          <cell r="G27">
            <v>48.73054051199999</v>
          </cell>
          <cell r="H27">
            <v>41.274679151999997</v>
          </cell>
          <cell r="I27">
            <v>41.197756896000001</v>
          </cell>
          <cell r="J27">
            <v>56.879136791999997</v>
          </cell>
          <cell r="K27">
            <v>87.705269999999985</v>
          </cell>
          <cell r="L27">
            <v>122.82550003199999</v>
          </cell>
          <cell r="M27">
            <v>130.860933768</v>
          </cell>
          <cell r="N27">
            <v>152.10636321599998</v>
          </cell>
          <cell r="O27">
            <v>166.279081128</v>
          </cell>
          <cell r="P27">
            <v>185.25251006400001</v>
          </cell>
          <cell r="Q27">
            <v>202.73052564</v>
          </cell>
          <cell r="R27">
            <v>206.88813393599997</v>
          </cell>
          <cell r="S27">
            <v>202.90743345600001</v>
          </cell>
          <cell r="T27">
            <v>205.922741952</v>
          </cell>
          <cell r="U27">
            <v>206.62190536799997</v>
          </cell>
          <cell r="V27">
            <v>199.02470306399999</v>
          </cell>
          <cell r="W27">
            <v>184.53000633599999</v>
          </cell>
          <cell r="X27">
            <v>194.053937784</v>
          </cell>
          <cell r="Y27">
            <v>203.00759572799998</v>
          </cell>
          <cell r="Z27">
            <v>182.73027103199999</v>
          </cell>
          <cell r="AA27">
            <v>151.50673164000003</v>
          </cell>
          <cell r="AB27">
            <v>110.42630673599999</v>
          </cell>
          <cell r="AC27">
            <v>76.052312376000003</v>
          </cell>
        </row>
        <row r="28">
          <cell r="F28">
            <v>70.659377351999993</v>
          </cell>
          <cell r="G28">
            <v>54.102198455999996</v>
          </cell>
          <cell r="H28">
            <v>43.819355831999999</v>
          </cell>
          <cell r="I28">
            <v>41.13138004799999</v>
          </cell>
          <cell r="J28">
            <v>48.980014871999998</v>
          </cell>
          <cell r="K28">
            <v>63.175179983999996</v>
          </cell>
          <cell r="L28">
            <v>91.028983920000002</v>
          </cell>
          <cell r="M28">
            <v>104.057429544</v>
          </cell>
          <cell r="N28">
            <v>131.07382396799997</v>
          </cell>
          <cell r="O28">
            <v>149.41609017600001</v>
          </cell>
          <cell r="P28">
            <v>167.45956027199998</v>
          </cell>
          <cell r="Q28">
            <v>179.60030510399997</v>
          </cell>
          <cell r="R28">
            <v>180.98207354399997</v>
          </cell>
          <cell r="S28">
            <v>173.61470191199999</v>
          </cell>
          <cell r="T28">
            <v>168.16623633599997</v>
          </cell>
          <cell r="U28">
            <v>166.85394436799999</v>
          </cell>
          <cell r="V28">
            <v>162.22086616799999</v>
          </cell>
          <cell r="W28">
            <v>158.25272656799999</v>
          </cell>
          <cell r="X28">
            <v>170.54411121599998</v>
          </cell>
          <cell r="Y28">
            <v>181.37636099999997</v>
          </cell>
          <cell r="Z28">
            <v>163.94740927199999</v>
          </cell>
          <cell r="AA28">
            <v>139.49287557599999</v>
          </cell>
          <cell r="AB28">
            <v>111.13128254399999</v>
          </cell>
          <cell r="AC28">
            <v>82.083612335999987</v>
          </cell>
        </row>
        <row r="29">
          <cell r="F29">
            <v>74.802547799999999</v>
          </cell>
          <cell r="G29">
            <v>58.332731496000001</v>
          </cell>
          <cell r="H29">
            <v>46.856247071999995</v>
          </cell>
          <cell r="I29">
            <v>42.043581719999992</v>
          </cell>
          <cell r="J29">
            <v>43.134974135999997</v>
          </cell>
          <cell r="K29">
            <v>46.371492623999998</v>
          </cell>
          <cell r="L29">
            <v>56.59985064</v>
          </cell>
          <cell r="M29">
            <v>57.854630015999994</v>
          </cell>
          <cell r="N29">
            <v>78.576609864000005</v>
          </cell>
          <cell r="O29">
            <v>96.672854760000007</v>
          </cell>
          <cell r="P29">
            <v>109.932740568</v>
          </cell>
          <cell r="Q29">
            <v>126.99535399199999</v>
          </cell>
          <cell r="R29">
            <v>137.55315093599998</v>
          </cell>
          <cell r="S29">
            <v>139.35769089600001</v>
          </cell>
          <cell r="T29">
            <v>136.04466566400001</v>
          </cell>
          <cell r="U29">
            <v>134.25508413599999</v>
          </cell>
          <cell r="V29">
            <v>130.011464856</v>
          </cell>
          <cell r="W29">
            <v>126.02410185599999</v>
          </cell>
          <cell r="X29">
            <v>141.5322228</v>
          </cell>
          <cell r="Y29">
            <v>156.38060620800002</v>
          </cell>
          <cell r="Z29">
            <v>145.33783989599999</v>
          </cell>
          <cell r="AA29">
            <v>126.80179704000001</v>
          </cell>
          <cell r="AB29">
            <v>98.938130663999999</v>
          </cell>
          <cell r="AC29">
            <v>69.083550479999985</v>
          </cell>
        </row>
        <row r="30">
          <cell r="F30">
            <v>64.826481983999997</v>
          </cell>
          <cell r="G30">
            <v>48.989165688</v>
          </cell>
          <cell r="H30">
            <v>39.090055560000003</v>
          </cell>
          <cell r="I30">
            <v>35.151245375999991</v>
          </cell>
          <cell r="J30">
            <v>37.855784327999991</v>
          </cell>
          <cell r="K30">
            <v>43.833296976</v>
          </cell>
          <cell r="L30">
            <v>54.110556455999998</v>
          </cell>
          <cell r="M30">
            <v>54.690969407999994</v>
          </cell>
          <cell r="N30">
            <v>76.248543888</v>
          </cell>
          <cell r="O30">
            <v>95.274747624</v>
          </cell>
          <cell r="P30">
            <v>115.70030503199999</v>
          </cell>
          <cell r="Q30">
            <v>136.428598752</v>
          </cell>
          <cell r="R30">
            <v>147.87450244799999</v>
          </cell>
          <cell r="S30">
            <v>145.62043104</v>
          </cell>
          <cell r="T30">
            <v>138.05006985599999</v>
          </cell>
          <cell r="U30">
            <v>135.196610448</v>
          </cell>
          <cell r="V30">
            <v>131.97898581599998</v>
          </cell>
          <cell r="W30">
            <v>130.59914687999998</v>
          </cell>
          <cell r="X30">
            <v>149.133709176</v>
          </cell>
          <cell r="Y30">
            <v>170.92865085599999</v>
          </cell>
          <cell r="Z30">
            <v>157.53601612800003</v>
          </cell>
          <cell r="AA30">
            <v>134.346554088</v>
          </cell>
          <cell r="AB30">
            <v>100.54371201599999</v>
          </cell>
          <cell r="AC30">
            <v>65.847313775999993</v>
          </cell>
        </row>
        <row r="31">
          <cell r="F31">
            <v>61.200743375999991</v>
          </cell>
          <cell r="G31">
            <v>45.708192191999998</v>
          </cell>
          <cell r="H31">
            <v>37.173742871999998</v>
          </cell>
          <cell r="I31">
            <v>36.571575240000001</v>
          </cell>
          <cell r="J31">
            <v>53.106474095999999</v>
          </cell>
          <cell r="K31">
            <v>88.813836911999999</v>
          </cell>
          <cell r="L31">
            <v>124.19194706399999</v>
          </cell>
          <cell r="M31">
            <v>129.66801792000001</v>
          </cell>
          <cell r="N31">
            <v>151.13492481599999</v>
          </cell>
          <cell r="O31">
            <v>165.174468744</v>
          </cell>
          <cell r="P31">
            <v>185.34001593599999</v>
          </cell>
          <cell r="Q31">
            <v>203.252260656</v>
          </cell>
          <cell r="R31">
            <v>206.914244328</v>
          </cell>
          <cell r="S31">
            <v>204.05075054399998</v>
          </cell>
          <cell r="T31">
            <v>209.08003615199999</v>
          </cell>
          <cell r="U31">
            <v>210.19778731199997</v>
          </cell>
          <cell r="V31">
            <v>201.70349459999997</v>
          </cell>
          <cell r="W31">
            <v>183.97811565599997</v>
          </cell>
          <cell r="X31">
            <v>192.56416010399997</v>
          </cell>
          <cell r="Y31">
            <v>209.57427573599998</v>
          </cell>
          <cell r="Z31">
            <v>190.3538082</v>
          </cell>
          <cell r="AA31">
            <v>158.12189759999998</v>
          </cell>
          <cell r="AB31">
            <v>113.69533545599998</v>
          </cell>
          <cell r="AC31">
            <v>75.651114047999997</v>
          </cell>
        </row>
        <row r="32">
          <cell r="F32">
            <v>66.559678055999996</v>
          </cell>
          <cell r="G32">
            <v>49.698224975999999</v>
          </cell>
          <cell r="H32">
            <v>39.629476103999991</v>
          </cell>
          <cell r="I32">
            <v>35.890297943999997</v>
          </cell>
          <cell r="J32">
            <v>43.930440816000001</v>
          </cell>
          <cell r="K32">
            <v>59.325260711999995</v>
          </cell>
          <cell r="L32">
            <v>86.945016767999988</v>
          </cell>
          <cell r="M32">
            <v>100.381925016</v>
          </cell>
          <cell r="N32">
            <v>128.38497895200001</v>
          </cell>
          <cell r="O32">
            <v>147.60543693599999</v>
          </cell>
          <cell r="P32">
            <v>166.50692498400002</v>
          </cell>
          <cell r="Q32">
            <v>181.21352328</v>
          </cell>
          <cell r="R32">
            <v>181.53352483199998</v>
          </cell>
          <cell r="S32">
            <v>171.54621631199998</v>
          </cell>
          <cell r="T32">
            <v>162.93146810399998</v>
          </cell>
          <cell r="U32">
            <v>160.74975309600001</v>
          </cell>
          <cell r="V32">
            <v>159.42925595999998</v>
          </cell>
          <cell r="W32">
            <v>155.17382085599996</v>
          </cell>
          <cell r="X32">
            <v>168.70403304000001</v>
          </cell>
          <cell r="Y32">
            <v>179.001896184</v>
          </cell>
          <cell r="Z32">
            <v>159.75291592799999</v>
          </cell>
          <cell r="AA32">
            <v>131.84547751199997</v>
          </cell>
          <cell r="AB32">
            <v>101.10677376</v>
          </cell>
          <cell r="AC32">
            <v>70.483997855999988</v>
          </cell>
        </row>
        <row r="33">
          <cell r="F33">
            <v>55.838116847999999</v>
          </cell>
          <cell r="G33">
            <v>38.260306751999998</v>
          </cell>
          <cell r="H33">
            <v>26.866843536000001</v>
          </cell>
          <cell r="I33">
            <v>21.137167079999998</v>
          </cell>
          <cell r="J33">
            <v>23.282579712</v>
          </cell>
          <cell r="K33">
            <v>27.844882368</v>
          </cell>
          <cell r="L33">
            <v>41.140893839999997</v>
          </cell>
          <cell r="M33">
            <v>43.473769247999996</v>
          </cell>
          <cell r="N33">
            <v>65.559263663999999</v>
          </cell>
          <cell r="O33">
            <v>85.57120514399999</v>
          </cell>
          <cell r="P33">
            <v>100.60780116000001</v>
          </cell>
          <cell r="Q33">
            <v>118.85092716</v>
          </cell>
          <cell r="R33">
            <v>130.167066936</v>
          </cell>
          <cell r="S33">
            <v>130.96969761599996</v>
          </cell>
          <cell r="T33">
            <v>126.00039856799999</v>
          </cell>
          <cell r="U33">
            <v>123.57625379999999</v>
          </cell>
          <cell r="V33">
            <v>120.60114967200001</v>
          </cell>
          <cell r="W33">
            <v>117.77858620799999</v>
          </cell>
          <cell r="X33">
            <v>135.661248384</v>
          </cell>
          <cell r="Y33">
            <v>156.68151808799999</v>
          </cell>
          <cell r="Z33">
            <v>143.02740213599998</v>
          </cell>
          <cell r="AA33">
            <v>117.13774730399999</v>
          </cell>
          <cell r="AB33">
            <v>81.41197300799999</v>
          </cell>
          <cell r="AC33">
            <v>49.037522687999996</v>
          </cell>
        </row>
        <row r="34">
          <cell r="F34">
            <v>76.850019000000003</v>
          </cell>
          <cell r="G34">
            <v>57.309908111999995</v>
          </cell>
          <cell r="H34">
            <v>45.039413688000003</v>
          </cell>
          <cell r="I34">
            <v>38.672446896000004</v>
          </cell>
          <cell r="J34">
            <v>37.778919383999991</v>
          </cell>
          <cell r="K34">
            <v>37.908979416000001</v>
          </cell>
          <cell r="L34">
            <v>50.107776527999995</v>
          </cell>
          <cell r="M34">
            <v>52.412755319999995</v>
          </cell>
          <cell r="N34">
            <v>73.975812648000002</v>
          </cell>
          <cell r="O34">
            <v>91.11105947999998</v>
          </cell>
          <cell r="P34">
            <v>105.42773558399999</v>
          </cell>
          <cell r="Q34">
            <v>124.10673367199999</v>
          </cell>
          <cell r="R34">
            <v>131.620336872</v>
          </cell>
          <cell r="S34">
            <v>134.62363850399998</v>
          </cell>
          <cell r="T34">
            <v>132.808051656</v>
          </cell>
          <cell r="U34">
            <v>131.98200424799998</v>
          </cell>
          <cell r="V34">
            <v>129.213662712</v>
          </cell>
          <cell r="W34">
            <v>126.86735241599997</v>
          </cell>
          <cell r="X34">
            <v>143.44308607199997</v>
          </cell>
          <cell r="Y34">
            <v>163.41775087199997</v>
          </cell>
          <cell r="Z34">
            <v>156.33158056799996</v>
          </cell>
          <cell r="AA34">
            <v>139.57380489599998</v>
          </cell>
          <cell r="AB34">
            <v>105.897775176</v>
          </cell>
          <cell r="AC34">
            <v>71.830380911999995</v>
          </cell>
        </row>
        <row r="35">
          <cell r="F35">
            <v>57.981509231999993</v>
          </cell>
          <cell r="G35">
            <v>42.419658288000001</v>
          </cell>
          <cell r="H35">
            <v>34.146322439999999</v>
          </cell>
          <cell r="I35">
            <v>33.523527263999995</v>
          </cell>
          <cell r="J35">
            <v>51.914866871999997</v>
          </cell>
          <cell r="K35">
            <v>91.534026815999994</v>
          </cell>
          <cell r="L35">
            <v>128.35515283199999</v>
          </cell>
          <cell r="M35">
            <v>130.67202864000001</v>
          </cell>
          <cell r="N35">
            <v>150.44438207999997</v>
          </cell>
          <cell r="O35">
            <v>163.25403914399999</v>
          </cell>
          <cell r="P35">
            <v>183.28925884799997</v>
          </cell>
          <cell r="Q35">
            <v>200.97310569599998</v>
          </cell>
          <cell r="R35">
            <v>203.98406325599998</v>
          </cell>
          <cell r="S35">
            <v>199.88667554399998</v>
          </cell>
          <cell r="T35">
            <v>204.68779252799999</v>
          </cell>
          <cell r="U35">
            <v>205.176186288</v>
          </cell>
          <cell r="V35">
            <v>197.35784563199999</v>
          </cell>
          <cell r="W35">
            <v>182.890267032</v>
          </cell>
          <cell r="X35">
            <v>197.993741376</v>
          </cell>
          <cell r="Y35">
            <v>210.12473839199998</v>
          </cell>
          <cell r="Z35">
            <v>190.156497312</v>
          </cell>
          <cell r="AA35">
            <v>155.28971049600003</v>
          </cell>
          <cell r="AB35">
            <v>111.09493718399999</v>
          </cell>
          <cell r="AC35">
            <v>73.434166488000002</v>
          </cell>
        </row>
        <row r="36">
          <cell r="F36">
            <v>64.15223018399999</v>
          </cell>
          <cell r="G36">
            <v>47.928860255999993</v>
          </cell>
          <cell r="H36">
            <v>37.860340631999996</v>
          </cell>
          <cell r="I36">
            <v>34.394072663999999</v>
          </cell>
          <cell r="J36">
            <v>43.093069511999992</v>
          </cell>
          <cell r="K36">
            <v>57.735889103999995</v>
          </cell>
          <cell r="L36">
            <v>85.946283527999995</v>
          </cell>
          <cell r="M36">
            <v>99.730937111999978</v>
          </cell>
          <cell r="N36">
            <v>127.699083264</v>
          </cell>
          <cell r="O36">
            <v>143.631375096</v>
          </cell>
          <cell r="P36">
            <v>158.844415656</v>
          </cell>
          <cell r="Q36">
            <v>169.82432503199999</v>
          </cell>
          <cell r="R36">
            <v>171.72736521599998</v>
          </cell>
          <cell r="S36">
            <v>165.50208801599996</v>
          </cell>
          <cell r="T36">
            <v>159.149936376</v>
          </cell>
          <cell r="U36">
            <v>156.48793725599998</v>
          </cell>
          <cell r="V36">
            <v>153.43063816799997</v>
          </cell>
          <cell r="W36">
            <v>150.73721296799997</v>
          </cell>
          <cell r="X36">
            <v>167.06306152799999</v>
          </cell>
          <cell r="Y36">
            <v>175.14810835200001</v>
          </cell>
          <cell r="Z36">
            <v>155.23705987199997</v>
          </cell>
          <cell r="AA36">
            <v>127.67409045599999</v>
          </cell>
          <cell r="AB36">
            <v>96.576584928000003</v>
          </cell>
          <cell r="AC36">
            <v>67.395965207999993</v>
          </cell>
        </row>
        <row r="37">
          <cell r="F37">
            <v>58.564138247999999</v>
          </cell>
          <cell r="G37">
            <v>41.796786696000005</v>
          </cell>
          <cell r="H37">
            <v>30.058563144000001</v>
          </cell>
          <cell r="I37">
            <v>24.929196455999996</v>
          </cell>
          <cell r="J37">
            <v>27.199592232000001</v>
          </cell>
          <cell r="K37">
            <v>33.846972311999998</v>
          </cell>
          <cell r="L37">
            <v>43.462034615999997</v>
          </cell>
          <cell r="M37">
            <v>46.094341344</v>
          </cell>
          <cell r="N37">
            <v>66.975586464000003</v>
          </cell>
          <cell r="O37">
            <v>86.137046519999998</v>
          </cell>
          <cell r="P37">
            <v>102.393647856</v>
          </cell>
          <cell r="Q37">
            <v>119.99542392000001</v>
          </cell>
          <cell r="R37">
            <v>131.25025895999997</v>
          </cell>
          <cell r="S37">
            <v>133.13704641599998</v>
          </cell>
          <cell r="T37">
            <v>126.622787784</v>
          </cell>
          <cell r="U37">
            <v>123.63513710399999</v>
          </cell>
          <cell r="V37">
            <v>119.87657793599999</v>
          </cell>
          <cell r="W37">
            <v>120.19458789599999</v>
          </cell>
          <cell r="X37">
            <v>143.89046832</v>
          </cell>
          <cell r="Y37">
            <v>157.790696328</v>
          </cell>
          <cell r="Z37">
            <v>143.88594067199998</v>
          </cell>
          <cell r="AA37">
            <v>119.56412723999999</v>
          </cell>
          <cell r="AB37">
            <v>85.455210431999987</v>
          </cell>
          <cell r="AC37">
            <v>54.060876503999992</v>
          </cell>
        </row>
        <row r="38">
          <cell r="F38">
            <v>52.154235216000004</v>
          </cell>
          <cell r="G38">
            <v>35.142156647999997</v>
          </cell>
          <cell r="H38">
            <v>23.644122912</v>
          </cell>
          <cell r="I38">
            <v>21.282152111999999</v>
          </cell>
          <cell r="J38">
            <v>24.258092040000001</v>
          </cell>
          <cell r="K38">
            <v>34.328536391999997</v>
          </cell>
          <cell r="L38">
            <v>49.18649568</v>
          </cell>
          <cell r="M38">
            <v>50.443457688000002</v>
          </cell>
          <cell r="N38">
            <v>75.095550623999998</v>
          </cell>
          <cell r="O38">
            <v>94.437471840000001</v>
          </cell>
          <cell r="P38">
            <v>113.885468016</v>
          </cell>
          <cell r="Q38">
            <v>133.94803509600001</v>
          </cell>
          <cell r="R38">
            <v>146.37396444000001</v>
          </cell>
          <cell r="S38">
            <v>146.15773581599998</v>
          </cell>
          <cell r="T38">
            <v>139.10321128799998</v>
          </cell>
          <cell r="U38">
            <v>131.97325461599999</v>
          </cell>
          <cell r="V38">
            <v>131.08238255999996</v>
          </cell>
          <cell r="W38">
            <v>129.17288522399997</v>
          </cell>
          <cell r="X38">
            <v>150.74688914399999</v>
          </cell>
          <cell r="Y38">
            <v>170.78101514400001</v>
          </cell>
          <cell r="Z38">
            <v>154.09283534399998</v>
          </cell>
          <cell r="AA38">
            <v>124.37603798399999</v>
          </cell>
          <cell r="AB38">
            <v>88.182091512</v>
          </cell>
          <cell r="AC38">
            <v>53.509683119999991</v>
          </cell>
        </row>
        <row r="39">
          <cell r="F39">
            <v>53.815170408</v>
          </cell>
          <cell r="G39">
            <v>39.293431968</v>
          </cell>
          <cell r="H39">
            <v>31.743139535999997</v>
          </cell>
          <cell r="I39">
            <v>31.281801815999998</v>
          </cell>
          <cell r="J39">
            <v>49.651353311999991</v>
          </cell>
          <cell r="K39">
            <v>90.205453464000001</v>
          </cell>
          <cell r="L39">
            <v>125.473529352</v>
          </cell>
          <cell r="M39">
            <v>125.48240793599999</v>
          </cell>
          <cell r="N39">
            <v>144.96312448800001</v>
          </cell>
          <cell r="O39">
            <v>157.85411205599999</v>
          </cell>
          <cell r="P39">
            <v>178.61661626399999</v>
          </cell>
          <cell r="Q39">
            <v>196.51960032</v>
          </cell>
          <cell r="R39">
            <v>197.80308823199999</v>
          </cell>
          <cell r="S39">
            <v>194.03016285599998</v>
          </cell>
          <cell r="T39">
            <v>198.07320923999998</v>
          </cell>
          <cell r="U39">
            <v>199.394924256</v>
          </cell>
          <cell r="V39">
            <v>192.34960785599998</v>
          </cell>
          <cell r="W39">
            <v>181.13059281599999</v>
          </cell>
          <cell r="X39">
            <v>203.29252233599999</v>
          </cell>
          <cell r="Y39">
            <v>203.785677768</v>
          </cell>
          <cell r="Z39">
            <v>182.69691067199997</v>
          </cell>
          <cell r="AA39">
            <v>148.74610334400001</v>
          </cell>
          <cell r="AB39">
            <v>103.97522980799999</v>
          </cell>
          <cell r="AC39">
            <v>67.134856511999999</v>
          </cell>
        </row>
        <row r="40">
          <cell r="F40">
            <v>58.263317111999996</v>
          </cell>
          <cell r="G40">
            <v>42.470455823999998</v>
          </cell>
          <cell r="H40">
            <v>32.372964983999992</v>
          </cell>
          <cell r="I40">
            <v>29.740123344000001</v>
          </cell>
          <cell r="J40">
            <v>39.134844887999996</v>
          </cell>
          <cell r="K40">
            <v>57.034122767999996</v>
          </cell>
          <cell r="L40">
            <v>83.097351767999996</v>
          </cell>
          <cell r="M40">
            <v>95.721871967999988</v>
          </cell>
          <cell r="N40">
            <v>123.29729241599999</v>
          </cell>
          <cell r="O40">
            <v>140.10353971199999</v>
          </cell>
          <cell r="P40">
            <v>159.47895501599996</v>
          </cell>
          <cell r="Q40">
            <v>173.20146328799999</v>
          </cell>
          <cell r="R40">
            <v>174.13976102399997</v>
          </cell>
          <cell r="S40">
            <v>167.543765928</v>
          </cell>
          <cell r="T40">
            <v>160.33459452</v>
          </cell>
          <cell r="U40">
            <v>157.96397438400001</v>
          </cell>
          <cell r="V40">
            <v>155.02240255199999</v>
          </cell>
          <cell r="W40">
            <v>154.34014139999999</v>
          </cell>
          <cell r="X40">
            <v>177.207385824</v>
          </cell>
          <cell r="Y40">
            <v>174.759150912</v>
          </cell>
          <cell r="Z40">
            <v>154.48194083999999</v>
          </cell>
          <cell r="AA40">
            <v>127.05468624000001</v>
          </cell>
          <cell r="AB40">
            <v>97.507584935999986</v>
          </cell>
          <cell r="AC40">
            <v>68.774581487999995</v>
          </cell>
        </row>
        <row r="41">
          <cell r="F41">
            <v>59.633804639999994</v>
          </cell>
          <cell r="G41">
            <v>40.622287103999994</v>
          </cell>
          <cell r="H41">
            <v>29.345573207999998</v>
          </cell>
          <cell r="I41">
            <v>23.358833327999996</v>
          </cell>
          <cell r="J41">
            <v>24.170796312</v>
          </cell>
          <cell r="K41">
            <v>28.550192495999998</v>
          </cell>
          <cell r="L41">
            <v>38.924080007999997</v>
          </cell>
          <cell r="M41">
            <v>40.122421392</v>
          </cell>
          <cell r="N41">
            <v>59.730021936</v>
          </cell>
          <cell r="O41">
            <v>77.805644064000006</v>
          </cell>
          <cell r="P41">
            <v>96.235602407999991</v>
          </cell>
          <cell r="Q41">
            <v>114.51830234399999</v>
          </cell>
          <cell r="R41">
            <v>123.76100380799998</v>
          </cell>
          <cell r="S41">
            <v>126.379770576</v>
          </cell>
          <cell r="T41">
            <v>123.46719861599999</v>
          </cell>
          <cell r="U41">
            <v>122.72674190399999</v>
          </cell>
          <cell r="V41">
            <v>120.62225959200001</v>
          </cell>
          <cell r="W41">
            <v>123.60633782399999</v>
          </cell>
          <cell r="X41">
            <v>151.518485376</v>
          </cell>
          <cell r="Y41">
            <v>154.76313739199998</v>
          </cell>
          <cell r="Z41">
            <v>138.85563300000001</v>
          </cell>
          <cell r="AA41">
            <v>113.845292304</v>
          </cell>
          <cell r="AB41">
            <v>80.409734183999987</v>
          </cell>
          <cell r="AC41">
            <v>47.54417256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41.907757055999994</v>
          </cell>
          <cell r="G43">
            <v>27.734155583999996</v>
          </cell>
          <cell r="H43">
            <v>20.616172343999999</v>
          </cell>
          <cell r="I43">
            <v>20.787859991999998</v>
          </cell>
          <cell r="J43">
            <v>38.613926567999997</v>
          </cell>
          <cell r="K43">
            <v>75.294131927999985</v>
          </cell>
          <cell r="L43">
            <v>112.45094865599999</v>
          </cell>
          <cell r="M43">
            <v>118.51891874399999</v>
          </cell>
          <cell r="N43">
            <v>140.31435712800001</v>
          </cell>
          <cell r="O43">
            <v>154.91781770399999</v>
          </cell>
          <cell r="P43">
            <v>174.82635400799998</v>
          </cell>
          <cell r="Q43">
            <v>192.85682860799997</v>
          </cell>
          <cell r="R43">
            <v>196.70638012799998</v>
          </cell>
          <cell r="S43">
            <v>192.45986659199997</v>
          </cell>
          <cell r="T43">
            <v>195.40805318399998</v>
          </cell>
          <cell r="U43">
            <v>195.30361639199998</v>
          </cell>
          <cell r="V43">
            <v>186.29315747999999</v>
          </cell>
          <cell r="W43">
            <v>175.93682654399998</v>
          </cell>
          <cell r="X43">
            <v>192.54613547999998</v>
          </cell>
          <cell r="Y43">
            <v>186.01065707999999</v>
          </cell>
          <cell r="Z43">
            <v>164.69520191999999</v>
          </cell>
          <cell r="AA43">
            <v>132.741918384</v>
          </cell>
          <cell r="AB43">
            <v>91.643053343999995</v>
          </cell>
          <cell r="AC43">
            <v>57.664678944000002</v>
          </cell>
        </row>
        <row r="44">
          <cell r="F44">
            <v>58.144752911999994</v>
          </cell>
          <cell r="G44">
            <v>40.151473799999998</v>
          </cell>
          <cell r="H44">
            <v>30.898575575999999</v>
          </cell>
          <cell r="I44">
            <v>27.407792399999998</v>
          </cell>
          <cell r="J44">
            <v>36.245775624000004</v>
          </cell>
          <cell r="K44">
            <v>51.761605031999999</v>
          </cell>
          <cell r="L44">
            <v>80.575681079999995</v>
          </cell>
          <cell r="M44">
            <v>93.675489695999985</v>
          </cell>
          <cell r="N44">
            <v>122.76637315199999</v>
          </cell>
          <cell r="O44">
            <v>143.11124004000001</v>
          </cell>
          <cell r="P44">
            <v>162.81560234399998</v>
          </cell>
          <cell r="Q44">
            <v>176.24737161599998</v>
          </cell>
          <cell r="R44">
            <v>177.35584778400002</v>
          </cell>
          <cell r="S44">
            <v>169.53661879199998</v>
          </cell>
          <cell r="T44">
            <v>161.61755707199995</v>
          </cell>
          <cell r="U44">
            <v>158.942304552</v>
          </cell>
          <cell r="V44">
            <v>155.831299344</v>
          </cell>
          <cell r="W44">
            <v>157.55220199199999</v>
          </cell>
          <cell r="X44">
            <v>177.37691472</v>
          </cell>
          <cell r="Y44">
            <v>168.81240047999998</v>
          </cell>
          <cell r="Z44">
            <v>148.847922888</v>
          </cell>
          <cell r="AA44">
            <v>122.63643252</v>
          </cell>
          <cell r="AB44">
            <v>93.200363664000008</v>
          </cell>
          <cell r="AC44">
            <v>64.593503928000004</v>
          </cell>
        </row>
        <row r="45">
          <cell r="F45">
            <v>57.372129839999992</v>
          </cell>
          <cell r="G45">
            <v>40.035001487999999</v>
          </cell>
          <cell r="H45">
            <v>29.954288735999999</v>
          </cell>
          <cell r="I45">
            <v>24.32015616</v>
          </cell>
          <cell r="J45">
            <v>25.931186927999999</v>
          </cell>
          <cell r="K45">
            <v>30.389965008000001</v>
          </cell>
          <cell r="L45">
            <v>43.984958855999999</v>
          </cell>
          <cell r="M45">
            <v>47.903093735999995</v>
          </cell>
          <cell r="N45">
            <v>71.274941663999996</v>
          </cell>
          <cell r="O45">
            <v>90.158581799999993</v>
          </cell>
          <cell r="P45">
            <v>107.62711223999999</v>
          </cell>
          <cell r="Q45">
            <v>126.514601832</v>
          </cell>
          <cell r="R45">
            <v>136.536713064</v>
          </cell>
          <cell r="S45">
            <v>134.562037656</v>
          </cell>
          <cell r="T45">
            <v>128.05319023199999</v>
          </cell>
          <cell r="U45">
            <v>124.22307703200001</v>
          </cell>
          <cell r="V45">
            <v>118.46429085599999</v>
          </cell>
          <cell r="W45">
            <v>120.36935606399999</v>
          </cell>
          <cell r="X45">
            <v>145.52886079199999</v>
          </cell>
          <cell r="Y45">
            <v>143.45167332</v>
          </cell>
          <cell r="Z45">
            <v>127.948123008</v>
          </cell>
          <cell r="AA45">
            <v>104.96165051999999</v>
          </cell>
          <cell r="AB45">
            <v>74.015725679999989</v>
          </cell>
          <cell r="AC45">
            <v>44.389825152</v>
          </cell>
        </row>
        <row r="46">
          <cell r="F46">
            <v>45.801992832000003</v>
          </cell>
          <cell r="G46">
            <v>30.860052359999997</v>
          </cell>
          <cell r="H46">
            <v>22.045939583999996</v>
          </cell>
          <cell r="I46">
            <v>17.500773216000002</v>
          </cell>
          <cell r="J46">
            <v>22.160439407999998</v>
          </cell>
          <cell r="K46">
            <v>27.969130008</v>
          </cell>
          <cell r="L46">
            <v>40.559554343999999</v>
          </cell>
          <cell r="M46">
            <v>44.599782888</v>
          </cell>
          <cell r="N46">
            <v>68.024362632000006</v>
          </cell>
          <cell r="O46">
            <v>84.864500423999985</v>
          </cell>
          <cell r="P46">
            <v>102.609795288</v>
          </cell>
          <cell r="Q46">
            <v>126.301028664</v>
          </cell>
          <cell r="R46">
            <v>142.02299023199998</v>
          </cell>
          <cell r="S46">
            <v>142.95921995999998</v>
          </cell>
          <cell r="T46">
            <v>133.40835187199997</v>
          </cell>
          <cell r="U46">
            <v>131.44611316799998</v>
          </cell>
          <cell r="V46">
            <v>130.330501656</v>
          </cell>
          <cell r="W46">
            <v>130.86962131199999</v>
          </cell>
          <cell r="X46">
            <v>154.49495543999998</v>
          </cell>
          <cell r="Y46">
            <v>153.72225117599999</v>
          </cell>
          <cell r="Z46">
            <v>133.65078163199999</v>
          </cell>
          <cell r="AA46">
            <v>105.768966456</v>
          </cell>
          <cell r="AB46">
            <v>71.487659927999999</v>
          </cell>
          <cell r="AC46">
            <v>40.568862767999988</v>
          </cell>
        </row>
        <row r="47">
          <cell r="F47">
            <v>50.386188671999996</v>
          </cell>
          <cell r="G47">
            <v>35.369728272000003</v>
          </cell>
          <cell r="H47">
            <v>28.47064344</v>
          </cell>
          <cell r="I47">
            <v>28.795569048000001</v>
          </cell>
          <cell r="J47">
            <v>46.152355415999999</v>
          </cell>
          <cell r="K47">
            <v>81.302468879999992</v>
          </cell>
          <cell r="L47">
            <v>120.174414072</v>
          </cell>
          <cell r="M47">
            <v>129.17609947199998</v>
          </cell>
          <cell r="N47">
            <v>150.51862499999999</v>
          </cell>
          <cell r="O47">
            <v>164.56754421599999</v>
          </cell>
          <cell r="P47">
            <v>184.140896064</v>
          </cell>
          <cell r="Q47">
            <v>202.276891608</v>
          </cell>
          <cell r="R47">
            <v>206.96153627999996</v>
          </cell>
          <cell r="S47">
            <v>201.46251196799997</v>
          </cell>
          <cell r="T47">
            <v>202.32220629599999</v>
          </cell>
          <cell r="U47">
            <v>202.18719832799999</v>
          </cell>
          <cell r="V47">
            <v>195.20461946399999</v>
          </cell>
          <cell r="W47">
            <v>190.75362148799999</v>
          </cell>
          <cell r="X47">
            <v>208.22015555999999</v>
          </cell>
          <cell r="Y47">
            <v>200.31425171999999</v>
          </cell>
          <cell r="Z47">
            <v>177.11691883199998</v>
          </cell>
          <cell r="AA47">
            <v>142.970959368</v>
          </cell>
          <cell r="AB47">
            <v>100.95569932799999</v>
          </cell>
          <cell r="AC47">
            <v>65.295399215999993</v>
          </cell>
        </row>
        <row r="48">
          <cell r="F48">
            <v>55.563334464</v>
          </cell>
          <cell r="G48">
            <v>38.536765511999995</v>
          </cell>
          <cell r="H48">
            <v>28.247828711999997</v>
          </cell>
          <cell r="I48">
            <v>26.164547063999997</v>
          </cell>
          <cell r="J48">
            <v>36.10008852</v>
          </cell>
          <cell r="K48">
            <v>53.871235872</v>
          </cell>
          <cell r="L48">
            <v>84.765775727999994</v>
          </cell>
          <cell r="M48">
            <v>101.1906642</v>
          </cell>
          <cell r="N48">
            <v>131.22262979999999</v>
          </cell>
          <cell r="O48">
            <v>150.054555408</v>
          </cell>
          <cell r="P48">
            <v>166.68298267199998</v>
          </cell>
          <cell r="Q48">
            <v>178.48161307199999</v>
          </cell>
          <cell r="R48">
            <v>180.018214656</v>
          </cell>
          <cell r="S48">
            <v>171.54617332800001</v>
          </cell>
          <cell r="T48">
            <v>162.98472050399997</v>
          </cell>
          <cell r="U48">
            <v>158.36606104799998</v>
          </cell>
          <cell r="V48">
            <v>154.57185859199998</v>
          </cell>
          <cell r="W48">
            <v>159.46663771199999</v>
          </cell>
          <cell r="X48">
            <v>181.08474321599996</v>
          </cell>
          <cell r="Y48">
            <v>173.55559413599997</v>
          </cell>
          <cell r="Z48">
            <v>152.78233437599999</v>
          </cell>
          <cell r="AA48">
            <v>124.77458085599999</v>
          </cell>
          <cell r="AB48">
            <v>94.057307015999996</v>
          </cell>
          <cell r="AC48">
            <v>63.818550167999994</v>
          </cell>
        </row>
        <row r="49">
          <cell r="F49">
            <v>49.158689807999998</v>
          </cell>
          <cell r="G49">
            <v>31.999844759999998</v>
          </cell>
          <cell r="H49">
            <v>21.849684191999998</v>
          </cell>
          <cell r="I49">
            <v>17.043499872000002</v>
          </cell>
          <cell r="J49">
            <v>19.338420407999998</v>
          </cell>
          <cell r="K49">
            <v>25.935461447999998</v>
          </cell>
          <cell r="L49">
            <v>40.353637103999993</v>
          </cell>
          <cell r="M49">
            <v>46.895095055999995</v>
          </cell>
          <cell r="N49">
            <v>71.192484023999995</v>
          </cell>
          <cell r="O49">
            <v>91.55033207999999</v>
          </cell>
          <cell r="P49">
            <v>107.34603031199998</v>
          </cell>
          <cell r="Q49">
            <v>123.57336909599999</v>
          </cell>
          <cell r="R49">
            <v>134.95265236799997</v>
          </cell>
          <cell r="S49">
            <v>137.19276830399997</v>
          </cell>
          <cell r="T49">
            <v>131.809566768</v>
          </cell>
          <cell r="U49">
            <v>126.150823464</v>
          </cell>
          <cell r="V49">
            <v>121.11208137600001</v>
          </cell>
          <cell r="W49">
            <v>123.97354058399999</v>
          </cell>
          <cell r="X49">
            <v>148.70648642399996</v>
          </cell>
          <cell r="Y49">
            <v>144.64239220800002</v>
          </cell>
          <cell r="Z49">
            <v>129.18517387199998</v>
          </cell>
          <cell r="AA49">
            <v>106.133828976</v>
          </cell>
          <cell r="AB49">
            <v>78.08024018399999</v>
          </cell>
          <cell r="AC49">
            <v>47.464131575999993</v>
          </cell>
        </row>
        <row r="50">
          <cell r="F50">
            <v>42.503228735999997</v>
          </cell>
          <cell r="G50">
            <v>27.237900527999997</v>
          </cell>
          <cell r="H50">
            <v>18.173964743999999</v>
          </cell>
          <cell r="I50">
            <v>13.936869479999999</v>
          </cell>
          <cell r="J50">
            <v>18.786018695999999</v>
          </cell>
          <cell r="K50">
            <v>28.367214383999997</v>
          </cell>
          <cell r="L50">
            <v>39.447114096</v>
          </cell>
          <cell r="M50">
            <v>40.900756560000005</v>
          </cell>
          <cell r="N50">
            <v>65.380808423999994</v>
          </cell>
          <cell r="O50">
            <v>84.128743295999982</v>
          </cell>
          <cell r="P50">
            <v>105.233104032</v>
          </cell>
          <cell r="Q50">
            <v>125.654324832</v>
          </cell>
          <cell r="R50">
            <v>139.71676490399997</v>
          </cell>
          <cell r="S50">
            <v>140.97631072800002</v>
          </cell>
          <cell r="T50">
            <v>132.29792231999997</v>
          </cell>
          <cell r="U50">
            <v>125.74407064799998</v>
          </cell>
          <cell r="V50">
            <v>123.43995153599998</v>
          </cell>
          <cell r="W50">
            <v>130.45323052800001</v>
          </cell>
          <cell r="X50">
            <v>154.51262664000001</v>
          </cell>
          <cell r="Y50">
            <v>151.82773137599997</v>
          </cell>
          <cell r="Z50">
            <v>131.57556664799998</v>
          </cell>
          <cell r="AA50">
            <v>101.827887672</v>
          </cell>
          <cell r="AB50">
            <v>67.004806031999991</v>
          </cell>
          <cell r="AC50">
            <v>34.96080237599999</v>
          </cell>
        </row>
        <row r="51">
          <cell r="F51">
            <v>67.457475312</v>
          </cell>
          <cell r="G51">
            <v>50.374979399999994</v>
          </cell>
          <cell r="H51">
            <v>41.157628943999995</v>
          </cell>
          <cell r="I51">
            <v>39.910295351999999</v>
          </cell>
          <cell r="J51">
            <v>53.547637991999999</v>
          </cell>
          <cell r="K51">
            <v>80.00878420799998</v>
          </cell>
          <cell r="L51">
            <v>113.601214824</v>
          </cell>
          <cell r="M51">
            <v>127.70492431199999</v>
          </cell>
          <cell r="N51">
            <v>155.429126712</v>
          </cell>
          <cell r="O51">
            <v>171.80157470399996</v>
          </cell>
          <cell r="P51">
            <v>190.974492384</v>
          </cell>
          <cell r="Q51">
            <v>209.32573747199999</v>
          </cell>
          <cell r="R51">
            <v>216.73611220800001</v>
          </cell>
          <cell r="S51">
            <v>212.27494135199998</v>
          </cell>
          <cell r="T51">
            <v>213.18340819199997</v>
          </cell>
          <cell r="U51">
            <v>212.49855844799995</v>
          </cell>
          <cell r="V51">
            <v>204.607001712</v>
          </cell>
          <cell r="W51">
            <v>195.02801253600001</v>
          </cell>
          <cell r="X51">
            <v>217.27280087999998</v>
          </cell>
          <cell r="Y51">
            <v>211.55806852800001</v>
          </cell>
          <cell r="Z51">
            <v>189.56993287199998</v>
          </cell>
          <cell r="AA51">
            <v>159.07594180800001</v>
          </cell>
          <cell r="AB51">
            <v>120.81972331199999</v>
          </cell>
          <cell r="AC51">
            <v>85.794382847999998</v>
          </cell>
        </row>
        <row r="52">
          <cell r="F52">
            <v>77.816729160000008</v>
          </cell>
          <cell r="G52">
            <v>58.268823839999989</v>
          </cell>
          <cell r="H52">
            <v>47.48898110399999</v>
          </cell>
          <cell r="I52">
            <v>43.310196024</v>
          </cell>
          <cell r="J52">
            <v>50.785701071999995</v>
          </cell>
          <cell r="K52">
            <v>66.401315447999991</v>
          </cell>
          <cell r="L52">
            <v>92.800622015999991</v>
          </cell>
          <cell r="M52">
            <v>105.62133074399999</v>
          </cell>
          <cell r="N52">
            <v>136.84877690399998</v>
          </cell>
          <cell r="O52">
            <v>158.01597069600001</v>
          </cell>
          <cell r="P52">
            <v>174.14572147199996</v>
          </cell>
          <cell r="Q52">
            <v>185.52672887999998</v>
          </cell>
          <cell r="R52">
            <v>187.54623182399999</v>
          </cell>
          <cell r="S52">
            <v>181.00220915999998</v>
          </cell>
          <cell r="T52">
            <v>172.91668473600001</v>
          </cell>
          <cell r="U52">
            <v>166.62409459199998</v>
          </cell>
          <cell r="V52">
            <v>160.62402967199998</v>
          </cell>
          <cell r="W52">
            <v>160.658034792</v>
          </cell>
          <cell r="X52">
            <v>189.90894290399996</v>
          </cell>
          <cell r="Y52">
            <v>183.15557860799998</v>
          </cell>
          <cell r="Z52">
            <v>159.41275487999999</v>
          </cell>
          <cell r="AA52">
            <v>134.01039055199999</v>
          </cell>
          <cell r="AB52">
            <v>106.52977847999999</v>
          </cell>
          <cell r="AC52">
            <v>80.502837527999986</v>
          </cell>
        </row>
        <row r="53">
          <cell r="F53">
            <v>76.549866504000008</v>
          </cell>
          <cell r="G53">
            <v>55.968788207999999</v>
          </cell>
          <cell r="H53">
            <v>44.486348111999995</v>
          </cell>
          <cell r="I53">
            <v>37.692459455999995</v>
          </cell>
          <cell r="J53">
            <v>36.236715552</v>
          </cell>
          <cell r="K53">
            <v>41.741026896000001</v>
          </cell>
          <cell r="L53">
            <v>51.113817047999994</v>
          </cell>
          <cell r="M53">
            <v>51.031402391999997</v>
          </cell>
          <cell r="N53">
            <v>75.772467431999999</v>
          </cell>
          <cell r="O53">
            <v>97.271922767999996</v>
          </cell>
          <cell r="P53">
            <v>114.756744144</v>
          </cell>
          <cell r="Q53">
            <v>131.477744616</v>
          </cell>
          <cell r="R53">
            <v>142.81714351199997</v>
          </cell>
          <cell r="S53">
            <v>146.29445359199997</v>
          </cell>
          <cell r="T53">
            <v>141.477551928</v>
          </cell>
          <cell r="U53">
            <v>138.63053056799998</v>
          </cell>
          <cell r="V53">
            <v>134.594433264</v>
          </cell>
          <cell r="W53">
            <v>132.73330725599999</v>
          </cell>
          <cell r="X53">
            <v>159.47438438400002</v>
          </cell>
          <cell r="Y53">
            <v>160.75307719199998</v>
          </cell>
          <cell r="Z53">
            <v>150.09262012800002</v>
          </cell>
          <cell r="AA53">
            <v>129.69889953599997</v>
          </cell>
          <cell r="AB53">
            <v>100.13544043200001</v>
          </cell>
          <cell r="AC53">
            <v>67.868636375999998</v>
          </cell>
        </row>
        <row r="54">
          <cell r="F54">
            <v>69.215955527999995</v>
          </cell>
          <cell r="G54">
            <v>53.944709855999996</v>
          </cell>
          <cell r="H54">
            <v>41.671545647999992</v>
          </cell>
          <cell r="I54">
            <v>33.103000463999997</v>
          </cell>
          <cell r="J54">
            <v>30.569017248000002</v>
          </cell>
          <cell r="K54">
            <v>32.831422775999989</v>
          </cell>
          <cell r="L54">
            <v>37.292564975999994</v>
          </cell>
          <cell r="M54">
            <v>31.939600296000002</v>
          </cell>
          <cell r="N54">
            <v>50.167046687999999</v>
          </cell>
          <cell r="O54">
            <v>69.297228719999993</v>
          </cell>
          <cell r="P54">
            <v>87.427684103999994</v>
          </cell>
          <cell r="Q54">
            <v>104.755862232</v>
          </cell>
          <cell r="R54">
            <v>118.90643383199999</v>
          </cell>
          <cell r="S54">
            <v>121.56393396</v>
          </cell>
          <cell r="T54">
            <v>117.28219264799999</v>
          </cell>
          <cell r="U54">
            <v>117.07626585599999</v>
          </cell>
          <cell r="V54">
            <v>115.96603212000001</v>
          </cell>
          <cell r="W54">
            <v>114.44677696799999</v>
          </cell>
          <cell r="X54">
            <v>146.84561832</v>
          </cell>
          <cell r="Y54">
            <v>147.80647310399996</v>
          </cell>
          <cell r="Z54">
            <v>134.124092784</v>
          </cell>
          <cell r="AA54">
            <v>113.10800685599999</v>
          </cell>
          <cell r="AB54">
            <v>85.442291351999984</v>
          </cell>
          <cell r="AC54">
            <v>55.628703575999992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78.165752236000003</v>
          </cell>
          <cell r="G7">
            <v>67.145303082000012</v>
          </cell>
          <cell r="H7">
            <v>61.03552083200001</v>
          </cell>
          <cell r="I7">
            <v>60.238894716000011</v>
          </cell>
          <cell r="J7">
            <v>73.574411702000006</v>
          </cell>
          <cell r="K7">
            <v>98.036657157999997</v>
          </cell>
          <cell r="L7">
            <v>123.68906246400002</v>
          </cell>
          <cell r="M7">
            <v>126.25012452800001</v>
          </cell>
          <cell r="N7">
            <v>144.986467758</v>
          </cell>
          <cell r="O7">
            <v>156.77693550200004</v>
          </cell>
          <cell r="P7">
            <v>173.03177700600003</v>
          </cell>
          <cell r="Q7">
            <v>187.10452274800002</v>
          </cell>
          <cell r="R7">
            <v>192.06859482800002</v>
          </cell>
          <cell r="S7">
            <v>189.54887162200001</v>
          </cell>
          <cell r="T7">
            <v>191.84526141000001</v>
          </cell>
          <cell r="U7">
            <v>191.59253416600001</v>
          </cell>
          <cell r="V7">
            <v>184.89899256400003</v>
          </cell>
          <cell r="W7">
            <v>184.73447957800002</v>
          </cell>
          <cell r="X7">
            <v>201.95994671600002</v>
          </cell>
          <cell r="Y7">
            <v>208.41684949800003</v>
          </cell>
          <cell r="Z7">
            <v>193.32819583</v>
          </cell>
          <cell r="AA7">
            <v>164.31282476400003</v>
          </cell>
          <cell r="AB7">
            <v>132.10037768400002</v>
          </cell>
          <cell r="AC7">
            <v>100.90671333600001</v>
          </cell>
        </row>
        <row r="8">
          <cell r="F8">
            <v>83.570220338000013</v>
          </cell>
          <cell r="G8">
            <v>71.056193098000008</v>
          </cell>
          <cell r="H8">
            <v>63.85197843200001</v>
          </cell>
          <cell r="I8">
            <v>61.241707032000008</v>
          </cell>
          <cell r="J8">
            <v>67.736696896000012</v>
          </cell>
          <cell r="K8">
            <v>79.93292859200001</v>
          </cell>
          <cell r="L8">
            <v>99.30155212999999</v>
          </cell>
          <cell r="M8">
            <v>104.24338953600002</v>
          </cell>
          <cell r="N8">
            <v>125.99595168600001</v>
          </cell>
          <cell r="O8">
            <v>142.17197040200003</v>
          </cell>
          <cell r="P8">
            <v>155.78981169400001</v>
          </cell>
          <cell r="Q8">
            <v>167.41001356200002</v>
          </cell>
          <cell r="R8">
            <v>169.85509343000001</v>
          </cell>
          <cell r="S8">
            <v>164.974508732</v>
          </cell>
          <cell r="T8">
            <v>158.756513146</v>
          </cell>
          <cell r="U8">
            <v>155.54003137200002</v>
          </cell>
          <cell r="V8">
            <v>152.439417064</v>
          </cell>
          <cell r="W8">
            <v>160.42060295799999</v>
          </cell>
          <cell r="X8">
            <v>176.79363603000002</v>
          </cell>
          <cell r="Y8">
            <v>181.60751015000002</v>
          </cell>
          <cell r="Z8">
            <v>167.58965779600001</v>
          </cell>
          <cell r="AA8">
            <v>147.03436875600002</v>
          </cell>
          <cell r="AB8">
            <v>124.55264173</v>
          </cell>
          <cell r="AC8">
            <v>102.14878359400001</v>
          </cell>
        </row>
        <row r="9">
          <cell r="F9">
            <v>83.727066082000007</v>
          </cell>
          <cell r="G9">
            <v>70.132872282000008</v>
          </cell>
          <cell r="H9">
            <v>61.463847258000001</v>
          </cell>
          <cell r="I9">
            <v>56.879397080000011</v>
          </cell>
          <cell r="J9">
            <v>58.192442594000006</v>
          </cell>
          <cell r="K9">
            <v>63.389328068000005</v>
          </cell>
          <cell r="L9">
            <v>72.347961114</v>
          </cell>
          <cell r="M9">
            <v>69.934084528</v>
          </cell>
          <cell r="N9">
            <v>86.818492156000019</v>
          </cell>
          <cell r="O9">
            <v>102.43933895800001</v>
          </cell>
          <cell r="P9">
            <v>114.78503434200002</v>
          </cell>
          <cell r="Q9">
            <v>129.18464585400002</v>
          </cell>
          <cell r="R9">
            <v>138.63556893999998</v>
          </cell>
          <cell r="S9">
            <v>141.07871806599999</v>
          </cell>
          <cell r="T9">
            <v>137.12602371599999</v>
          </cell>
          <cell r="U9">
            <v>133.36892434800001</v>
          </cell>
          <cell r="V9">
            <v>129.94553849200003</v>
          </cell>
          <cell r="W9">
            <v>139.36542547400001</v>
          </cell>
          <cell r="X9">
            <v>156.59225953800001</v>
          </cell>
          <cell r="Y9">
            <v>166.11632463800001</v>
          </cell>
          <cell r="Z9">
            <v>155.75359635000001</v>
          </cell>
          <cell r="AA9">
            <v>138.06446266800003</v>
          </cell>
          <cell r="AB9">
            <v>114.60713728200001</v>
          </cell>
          <cell r="AC9">
            <v>89.83452423</v>
          </cell>
        </row>
        <row r="10">
          <cell r="F10">
            <v>78.901004358000009</v>
          </cell>
          <cell r="G10">
            <v>69.201982564000005</v>
          </cell>
          <cell r="H10">
            <v>59.889587758000005</v>
          </cell>
          <cell r="I10">
            <v>54.439201432000011</v>
          </cell>
          <cell r="J10">
            <v>54.319856008000002</v>
          </cell>
          <cell r="K10">
            <v>57.766941804000005</v>
          </cell>
          <cell r="L10">
            <v>59.999358144000013</v>
          </cell>
          <cell r="M10">
            <v>51.904805898000006</v>
          </cell>
          <cell r="N10">
            <v>63.992221106000002</v>
          </cell>
          <cell r="O10">
            <v>76.737370292000008</v>
          </cell>
          <cell r="P10">
            <v>90.651552618000011</v>
          </cell>
          <cell r="Q10">
            <v>105.689597244</v>
          </cell>
          <cell r="R10">
            <v>116.73175331400002</v>
          </cell>
          <cell r="S10">
            <v>118.79840119400001</v>
          </cell>
          <cell r="T10">
            <v>115.63304966400003</v>
          </cell>
          <cell r="U10">
            <v>111.808600508</v>
          </cell>
          <cell r="V10">
            <v>109.36656918</v>
          </cell>
          <cell r="W10">
            <v>120.62930842600001</v>
          </cell>
          <cell r="X10">
            <v>142.58469027000001</v>
          </cell>
          <cell r="Y10">
            <v>150.23297887400003</v>
          </cell>
          <cell r="Z10">
            <v>139.55178960800001</v>
          </cell>
          <cell r="AA10">
            <v>122.57019911400002</v>
          </cell>
          <cell r="AB10">
            <v>102.086340972</v>
          </cell>
          <cell r="AC10">
            <v>81.170445708000003</v>
          </cell>
        </row>
        <row r="11">
          <cell r="F11">
            <v>83.547084214000023</v>
          </cell>
          <cell r="G11">
            <v>72.641063484000014</v>
          </cell>
          <cell r="H11">
            <v>67.346703402000003</v>
          </cell>
          <cell r="I11">
            <v>67.333017752000003</v>
          </cell>
          <cell r="J11">
            <v>85.701428428000014</v>
          </cell>
          <cell r="K11">
            <v>122.06608205000001</v>
          </cell>
          <cell r="L11">
            <v>150.32791631000003</v>
          </cell>
          <cell r="M11">
            <v>146.84302206200002</v>
          </cell>
          <cell r="N11">
            <v>162.446023432</v>
          </cell>
          <cell r="O11">
            <v>172.11474011600001</v>
          </cell>
          <cell r="P11">
            <v>188.14896238600002</v>
          </cell>
          <cell r="Q11">
            <v>201.29775793600001</v>
          </cell>
          <cell r="R11">
            <v>202.03709116800005</v>
          </cell>
          <cell r="S11">
            <v>198.36822900400006</v>
          </cell>
          <cell r="T11">
            <v>200.81652131200002</v>
          </cell>
          <cell r="U11">
            <v>201.31653432000004</v>
          </cell>
          <cell r="V11">
            <v>195.23940422800004</v>
          </cell>
          <cell r="W11">
            <v>196.07722497000003</v>
          </cell>
          <cell r="X11">
            <v>213.71222903800003</v>
          </cell>
          <cell r="Y11">
            <v>222.11075350199999</v>
          </cell>
          <cell r="Z11">
            <v>205.86375953000001</v>
          </cell>
          <cell r="AA11">
            <v>173.52509961600003</v>
          </cell>
          <cell r="AB11">
            <v>138.57528324200004</v>
          </cell>
          <cell r="AC11">
            <v>105.33853327800001</v>
          </cell>
        </row>
        <row r="12">
          <cell r="F12">
            <v>98.553024108000017</v>
          </cell>
          <cell r="G12">
            <v>85.516221428000023</v>
          </cell>
          <cell r="H12">
            <v>77.422944324000014</v>
          </cell>
          <cell r="I12">
            <v>75.796476118000001</v>
          </cell>
          <cell r="J12">
            <v>83.298280735999995</v>
          </cell>
          <cell r="K12">
            <v>97.264819278000004</v>
          </cell>
          <cell r="L12">
            <v>121.139486512</v>
          </cell>
          <cell r="M12">
            <v>127.27017584600001</v>
          </cell>
          <cell r="N12">
            <v>151.80256066800001</v>
          </cell>
          <cell r="O12">
            <v>167.19690422600002</v>
          </cell>
          <cell r="P12">
            <v>181.44714711200004</v>
          </cell>
          <cell r="Q12">
            <v>189.88674819400001</v>
          </cell>
          <cell r="R12">
            <v>189.96670517000004</v>
          </cell>
          <cell r="S12">
            <v>182.57340563000002</v>
          </cell>
          <cell r="T12">
            <v>175.44509633199999</v>
          </cell>
          <cell r="U12">
            <v>172.89288814600002</v>
          </cell>
          <cell r="V12">
            <v>169.73072938800004</v>
          </cell>
          <cell r="W12">
            <v>177.56323503600004</v>
          </cell>
          <cell r="X12">
            <v>193.18112180400001</v>
          </cell>
          <cell r="Y12">
            <v>199.09882308800002</v>
          </cell>
          <cell r="Z12">
            <v>185.35203511</v>
          </cell>
          <cell r="AA12">
            <v>163.55407593800001</v>
          </cell>
          <cell r="AB12">
            <v>137.90269664600004</v>
          </cell>
          <cell r="AC12">
            <v>112.95912933800001</v>
          </cell>
        </row>
        <row r="13">
          <cell r="F13">
            <v>94.588837089999998</v>
          </cell>
          <cell r="G13">
            <v>80.674503976000011</v>
          </cell>
          <cell r="H13">
            <v>71.832525115999999</v>
          </cell>
          <cell r="I13">
            <v>67.370393508000006</v>
          </cell>
          <cell r="J13">
            <v>69.182993110000012</v>
          </cell>
          <cell r="K13">
            <v>74.714975412000015</v>
          </cell>
          <cell r="L13">
            <v>85.629384544000018</v>
          </cell>
          <cell r="M13">
            <v>84.347171898000013</v>
          </cell>
          <cell r="N13">
            <v>103.13832328800001</v>
          </cell>
          <cell r="O13">
            <v>119.09792188800003</v>
          </cell>
          <cell r="P13">
            <v>132.68267177000001</v>
          </cell>
          <cell r="Q13">
            <v>147.591333736</v>
          </cell>
          <cell r="R13">
            <v>156.61798856000001</v>
          </cell>
          <cell r="S13">
            <v>157.55226773000001</v>
          </cell>
          <cell r="T13">
            <v>153.17539034600003</v>
          </cell>
          <cell r="U13">
            <v>149.286934962</v>
          </cell>
          <cell r="V13">
            <v>145.24039802800002</v>
          </cell>
          <cell r="W13">
            <v>154.39291494000003</v>
          </cell>
          <cell r="X13">
            <v>171.67638628800003</v>
          </cell>
          <cell r="Y13">
            <v>182.39728196800002</v>
          </cell>
          <cell r="Z13">
            <v>171.70147937800002</v>
          </cell>
          <cell r="AA13">
            <v>151.99561192200002</v>
          </cell>
          <cell r="AB13">
            <v>124.57236545600001</v>
          </cell>
          <cell r="AC13">
            <v>97.162342442000011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81.265294638</v>
          </cell>
          <cell r="G15">
            <v>71.065633738000002</v>
          </cell>
          <cell r="H15">
            <v>65.812330606000003</v>
          </cell>
          <cell r="I15">
            <v>66.013681756000011</v>
          </cell>
          <cell r="J15">
            <v>84.199691400000006</v>
          </cell>
          <cell r="K15">
            <v>119.38699231800003</v>
          </cell>
          <cell r="L15">
            <v>146.27135197400003</v>
          </cell>
          <cell r="M15">
            <v>144.86213977400001</v>
          </cell>
          <cell r="N15">
            <v>160.26344580400001</v>
          </cell>
          <cell r="O15">
            <v>169.91893248000002</v>
          </cell>
          <cell r="P15">
            <v>185.92287914200003</v>
          </cell>
          <cell r="Q15">
            <v>198.99385825000002</v>
          </cell>
          <cell r="R15">
            <v>200.45564629200001</v>
          </cell>
          <cell r="S15">
            <v>196.90006525199999</v>
          </cell>
          <cell r="T15">
            <v>199.239246052</v>
          </cell>
          <cell r="U15">
            <v>198.58163991600003</v>
          </cell>
          <cell r="V15">
            <v>192.654937244</v>
          </cell>
          <cell r="W15">
            <v>194.30539057600004</v>
          </cell>
          <cell r="X15">
            <v>211.02776994200002</v>
          </cell>
          <cell r="Y15">
            <v>218.69053091600003</v>
          </cell>
          <cell r="Z15">
            <v>202.13956800400004</v>
          </cell>
          <cell r="AA15">
            <v>169.66954879600002</v>
          </cell>
          <cell r="AB15">
            <v>135.658528676</v>
          </cell>
          <cell r="AC15">
            <v>102.639218286</v>
          </cell>
        </row>
        <row r="16">
          <cell r="F16">
            <v>90.415090810000009</v>
          </cell>
          <cell r="G16">
            <v>78.26418729800001</v>
          </cell>
          <cell r="H16">
            <v>70.928947694000016</v>
          </cell>
          <cell r="I16">
            <v>69.515641272000011</v>
          </cell>
          <cell r="J16">
            <v>77.799878266000007</v>
          </cell>
          <cell r="K16">
            <v>93.478542432000012</v>
          </cell>
          <cell r="L16">
            <v>116.461823126</v>
          </cell>
          <cell r="M16">
            <v>126.18072599000001</v>
          </cell>
          <cell r="N16">
            <v>148.96482557000002</v>
          </cell>
          <cell r="O16">
            <v>163.728088568</v>
          </cell>
          <cell r="P16">
            <v>177.75968885400005</v>
          </cell>
          <cell r="Q16">
            <v>188.38558481600001</v>
          </cell>
          <cell r="R16">
            <v>188.71767899599999</v>
          </cell>
          <cell r="S16">
            <v>182.838159856</v>
          </cell>
          <cell r="T16">
            <v>176.79421623600001</v>
          </cell>
          <cell r="U16">
            <v>172.550704282</v>
          </cell>
          <cell r="V16">
            <v>168.90004485200001</v>
          </cell>
          <cell r="W16">
            <v>177.77074554800004</v>
          </cell>
          <cell r="X16">
            <v>190.56699219800001</v>
          </cell>
          <cell r="Y16">
            <v>196.78732499800003</v>
          </cell>
          <cell r="Z16">
            <v>182.51435901600001</v>
          </cell>
          <cell r="AA16">
            <v>162.02016206200003</v>
          </cell>
          <cell r="AB16">
            <v>136.66338318600003</v>
          </cell>
          <cell r="AC16">
            <v>112.71958948800001</v>
          </cell>
        </row>
        <row r="17">
          <cell r="F17">
            <v>91.050888412000006</v>
          </cell>
          <cell r="G17">
            <v>77.505576148000003</v>
          </cell>
          <cell r="H17">
            <v>68.626942692000014</v>
          </cell>
          <cell r="I17">
            <v>64.311337684000009</v>
          </cell>
          <cell r="J17">
            <v>65.520480432000014</v>
          </cell>
          <cell r="K17">
            <v>71.104956626000018</v>
          </cell>
          <cell r="L17">
            <v>80.001701032000014</v>
          </cell>
          <cell r="M17">
            <v>81.987497042000015</v>
          </cell>
          <cell r="N17">
            <v>100.985342722</v>
          </cell>
          <cell r="O17">
            <v>115.326799236</v>
          </cell>
          <cell r="P17">
            <v>128.19232641600001</v>
          </cell>
          <cell r="Q17">
            <v>141.95001374399999</v>
          </cell>
          <cell r="R17">
            <v>150.69544894800001</v>
          </cell>
          <cell r="S17">
            <v>151.50588200000001</v>
          </cell>
          <cell r="T17">
            <v>147.54328153400004</v>
          </cell>
          <cell r="U17">
            <v>144.938136926</v>
          </cell>
          <cell r="V17">
            <v>141.60073956600002</v>
          </cell>
          <cell r="W17">
            <v>150.97354135600003</v>
          </cell>
          <cell r="X17">
            <v>168.15626009600001</v>
          </cell>
          <cell r="Y17">
            <v>179.41374798600003</v>
          </cell>
          <cell r="Z17">
            <v>169.29418829400001</v>
          </cell>
          <cell r="AA17">
            <v>150.21252743200003</v>
          </cell>
          <cell r="AB17">
            <v>124.56318377800002</v>
          </cell>
          <cell r="AC17">
            <v>97.687264972000008</v>
          </cell>
        </row>
        <row r="18">
          <cell r="F18">
            <v>98.933819534000023</v>
          </cell>
          <cell r="G18">
            <v>85.51166173</v>
          </cell>
          <cell r="H18">
            <v>77.14713668200001</v>
          </cell>
          <cell r="I18">
            <v>73.599350726000026</v>
          </cell>
          <cell r="J18">
            <v>76.330531156000006</v>
          </cell>
          <cell r="K18">
            <v>82.114552322000009</v>
          </cell>
          <cell r="L18">
            <v>90.122686654000006</v>
          </cell>
          <cell r="M18">
            <v>91.728559186000012</v>
          </cell>
          <cell r="N18">
            <v>110.226168954</v>
          </cell>
          <cell r="O18">
            <v>127.28275681000002</v>
          </cell>
          <cell r="P18">
            <v>143.26755667400002</v>
          </cell>
          <cell r="Q18">
            <v>161.23992266800002</v>
          </cell>
          <cell r="R18">
            <v>170.16813915200001</v>
          </cell>
          <cell r="S18">
            <v>167.28047355800004</v>
          </cell>
          <cell r="T18">
            <v>161.35122387999999</v>
          </cell>
          <cell r="U18">
            <v>157.76695378400001</v>
          </cell>
          <cell r="V18">
            <v>155.99265433400001</v>
          </cell>
          <cell r="W18">
            <v>166.18198297800001</v>
          </cell>
          <cell r="X18">
            <v>185.68487995200002</v>
          </cell>
          <cell r="Y18">
            <v>201.45741948200001</v>
          </cell>
          <cell r="Z18">
            <v>187.82198844200002</v>
          </cell>
          <cell r="AA18">
            <v>165.45337864000001</v>
          </cell>
          <cell r="AB18">
            <v>136.49884069800001</v>
          </cell>
          <cell r="AC18">
            <v>108.02089117600001</v>
          </cell>
        </row>
        <row r="19">
          <cell r="F19">
            <v>79.254966076000017</v>
          </cell>
          <cell r="G19">
            <v>68.709561404000013</v>
          </cell>
          <cell r="H19">
            <v>63.454783172000006</v>
          </cell>
          <cell r="I19">
            <v>63.646444553999999</v>
          </cell>
          <cell r="J19">
            <v>80.419941052000013</v>
          </cell>
          <cell r="K19">
            <v>110.73514729200002</v>
          </cell>
          <cell r="L19">
            <v>137.22213139799999</v>
          </cell>
          <cell r="M19">
            <v>138.58468126800003</v>
          </cell>
          <cell r="N19">
            <v>154.58592358000001</v>
          </cell>
          <cell r="O19">
            <v>164.99582556600001</v>
          </cell>
          <cell r="P19">
            <v>180.85114443000001</v>
          </cell>
          <cell r="Q19">
            <v>194.52990079599999</v>
          </cell>
          <cell r="R19">
            <v>197.26639486400003</v>
          </cell>
          <cell r="S19">
            <v>193.57849407600003</v>
          </cell>
          <cell r="T19">
            <v>195.560608892</v>
          </cell>
          <cell r="U19">
            <v>195.40563816400004</v>
          </cell>
          <cell r="V19">
            <v>188.98845163000001</v>
          </cell>
          <cell r="W19">
            <v>191.64312354000003</v>
          </cell>
          <cell r="X19">
            <v>210.20490343600002</v>
          </cell>
          <cell r="Y19">
            <v>215.05877243400005</v>
          </cell>
          <cell r="Z19">
            <v>198.69127590400004</v>
          </cell>
          <cell r="AA19">
            <v>167.58795979200002</v>
          </cell>
          <cell r="AB19">
            <v>135.395534736</v>
          </cell>
          <cell r="AC19">
            <v>101.8191053</v>
          </cell>
        </row>
        <row r="20">
          <cell r="F20">
            <v>86.186585539999996</v>
          </cell>
          <cell r="G20">
            <v>73.201470364000002</v>
          </cell>
          <cell r="H20">
            <v>65.873947172000001</v>
          </cell>
          <cell r="I20">
            <v>64.338000936</v>
          </cell>
          <cell r="J20">
            <v>71.170546128000012</v>
          </cell>
          <cell r="K20">
            <v>83.460971154000021</v>
          </cell>
          <cell r="L20">
            <v>103.33299059600002</v>
          </cell>
          <cell r="M20">
            <v>111.04376771400001</v>
          </cell>
          <cell r="N20">
            <v>132.98104188600001</v>
          </cell>
          <cell r="O20">
            <v>147.92131688400002</v>
          </cell>
          <cell r="P20">
            <v>161.04645510800003</v>
          </cell>
          <cell r="Q20">
            <v>170.88158274</v>
          </cell>
          <cell r="R20">
            <v>173.35418797400001</v>
          </cell>
          <cell r="S20">
            <v>169.628334502</v>
          </cell>
          <cell r="T20">
            <v>165.086121354</v>
          </cell>
          <cell r="U20">
            <v>163.99722875800001</v>
          </cell>
          <cell r="V20">
            <v>162.18676313400005</v>
          </cell>
          <cell r="W20">
            <v>171.86731667600006</v>
          </cell>
          <cell r="X20">
            <v>186.09067996200002</v>
          </cell>
          <cell r="Y20">
            <v>190.45644820400005</v>
          </cell>
          <cell r="Z20">
            <v>175.82864200000003</v>
          </cell>
          <cell r="AA20">
            <v>155.40267989399999</v>
          </cell>
          <cell r="AB20">
            <v>132.47645934600001</v>
          </cell>
          <cell r="AC20">
            <v>108.95519657000001</v>
          </cell>
        </row>
        <row r="21">
          <cell r="F21">
            <v>90.198870652000011</v>
          </cell>
          <cell r="G21">
            <v>76.466876287999995</v>
          </cell>
          <cell r="H21">
            <v>67.783959100000004</v>
          </cell>
          <cell r="I21">
            <v>63.945548942000009</v>
          </cell>
          <cell r="J21">
            <v>65.473316568000016</v>
          </cell>
          <cell r="K21">
            <v>69.095929429999998</v>
          </cell>
          <cell r="L21">
            <v>79.51338392800001</v>
          </cell>
          <cell r="M21">
            <v>81.837633437999997</v>
          </cell>
          <cell r="N21">
            <v>100.80985171400002</v>
          </cell>
          <cell r="O21">
            <v>116.704729482</v>
          </cell>
          <cell r="P21">
            <v>128.27781993400004</v>
          </cell>
          <cell r="Q21">
            <v>139.46432929000002</v>
          </cell>
          <cell r="R21">
            <v>147.573121168</v>
          </cell>
          <cell r="S21">
            <v>149.216169498</v>
          </cell>
          <cell r="T21">
            <v>147.47026408400004</v>
          </cell>
          <cell r="U21">
            <v>144.74013589200001</v>
          </cell>
          <cell r="V21">
            <v>141.50668719000004</v>
          </cell>
          <cell r="W21">
            <v>152.34911472000002</v>
          </cell>
          <cell r="X21">
            <v>169.35249080200001</v>
          </cell>
          <cell r="Y21">
            <v>177.88774392400001</v>
          </cell>
          <cell r="Z21">
            <v>166.89724257800003</v>
          </cell>
          <cell r="AA21">
            <v>147.25800375</v>
          </cell>
          <cell r="AB21">
            <v>120.71248112000002</v>
          </cell>
          <cell r="AC21">
            <v>93.948607632000019</v>
          </cell>
        </row>
        <row r="22">
          <cell r="F22">
            <v>170.17266607000005</v>
          </cell>
          <cell r="G22">
            <v>154.17698324600002</v>
          </cell>
          <cell r="H22">
            <v>144.28115688800003</v>
          </cell>
          <cell r="I22">
            <v>139.79279800200001</v>
          </cell>
          <cell r="J22">
            <v>142.03408788800002</v>
          </cell>
          <cell r="K22">
            <v>146.62020001200003</v>
          </cell>
          <cell r="L22">
            <v>155.89662860200002</v>
          </cell>
          <cell r="M22">
            <v>154.34866521800001</v>
          </cell>
          <cell r="N22">
            <v>173.48155138600001</v>
          </cell>
          <cell r="O22">
            <v>184.64616370200002</v>
          </cell>
          <cell r="P22">
            <v>191.26820229000003</v>
          </cell>
          <cell r="Q22">
            <v>206.53422198200002</v>
          </cell>
          <cell r="R22">
            <v>220.12139758400002</v>
          </cell>
          <cell r="S22">
            <v>218.97232746400002</v>
          </cell>
          <cell r="T22">
            <v>213.78585291800005</v>
          </cell>
          <cell r="U22">
            <v>210.50401438</v>
          </cell>
          <cell r="V22">
            <v>210.56213332000002</v>
          </cell>
          <cell r="W22">
            <v>226.98076009400003</v>
          </cell>
          <cell r="X22">
            <v>247.49680491800004</v>
          </cell>
          <cell r="Y22">
            <v>254.67533317600004</v>
          </cell>
          <cell r="Z22">
            <v>239.93705181600001</v>
          </cell>
          <cell r="AA22">
            <v>225.26425178400001</v>
          </cell>
          <cell r="AB22">
            <v>207.89266124000005</v>
          </cell>
          <cell r="AC22">
            <v>183.15018939800001</v>
          </cell>
        </row>
        <row r="23">
          <cell r="F23">
            <v>80.497600150000011</v>
          </cell>
          <cell r="G23">
            <v>69.671467558000003</v>
          </cell>
          <cell r="H23">
            <v>64.215377512000003</v>
          </cell>
          <cell r="I23">
            <v>64.571574826000017</v>
          </cell>
          <cell r="J23">
            <v>81.76358341800001</v>
          </cell>
          <cell r="K23">
            <v>112.60315492800002</v>
          </cell>
          <cell r="L23">
            <v>140.98826165600002</v>
          </cell>
          <cell r="M23">
            <v>143.088676214</v>
          </cell>
          <cell r="N23">
            <v>158.36047502000002</v>
          </cell>
          <cell r="O23">
            <v>168.99735883800003</v>
          </cell>
          <cell r="P23">
            <v>185.17208274400002</v>
          </cell>
          <cell r="Q23">
            <v>198.54114022600004</v>
          </cell>
          <cell r="R23">
            <v>199.48343410600003</v>
          </cell>
          <cell r="S23">
            <v>194.943794188</v>
          </cell>
          <cell r="T23">
            <v>196.42300152199999</v>
          </cell>
          <cell r="U23">
            <v>196.81690567000004</v>
          </cell>
          <cell r="V23">
            <v>190.50335310600002</v>
          </cell>
          <cell r="W23">
            <v>192.44029380400005</v>
          </cell>
          <cell r="X23">
            <v>211.31460805400005</v>
          </cell>
          <cell r="Y23">
            <v>218.29683328199999</v>
          </cell>
          <cell r="Z23">
            <v>201.53043365400006</v>
          </cell>
          <cell r="AA23">
            <v>169.90824947800002</v>
          </cell>
          <cell r="AB23">
            <v>136.70123425200003</v>
          </cell>
          <cell r="AC23">
            <v>103.06100510200002</v>
          </cell>
        </row>
        <row r="24">
          <cell r="F24">
            <v>90.723698120000009</v>
          </cell>
          <cell r="G24">
            <v>77.618722873999999</v>
          </cell>
          <cell r="H24">
            <v>70.721912492000016</v>
          </cell>
          <cell r="I24">
            <v>68.639313864000016</v>
          </cell>
          <cell r="J24">
            <v>75.482948530000016</v>
          </cell>
          <cell r="K24">
            <v>86.640355802000016</v>
          </cell>
          <cell r="L24">
            <v>109.18842627000002</v>
          </cell>
          <cell r="M24">
            <v>119.63846408800002</v>
          </cell>
          <cell r="N24">
            <v>143.310839386</v>
          </cell>
          <cell r="O24">
            <v>158.946312624</v>
          </cell>
          <cell r="P24">
            <v>172.90721300600003</v>
          </cell>
          <cell r="Q24">
            <v>182.42602675000001</v>
          </cell>
          <cell r="R24">
            <v>182.37444414200002</v>
          </cell>
          <cell r="S24">
            <v>175.80412256000002</v>
          </cell>
          <cell r="T24">
            <v>169.08546820000004</v>
          </cell>
          <cell r="U24">
            <v>166.388159344</v>
          </cell>
          <cell r="V24">
            <v>163.39380140600002</v>
          </cell>
          <cell r="W24">
            <v>173.43869481400003</v>
          </cell>
          <cell r="X24">
            <v>186.42372476200003</v>
          </cell>
          <cell r="Y24">
            <v>192.25538510199999</v>
          </cell>
          <cell r="Z24">
            <v>178.98669670200002</v>
          </cell>
          <cell r="AA24">
            <v>158.14829008000001</v>
          </cell>
          <cell r="AB24">
            <v>134.63095762600003</v>
          </cell>
          <cell r="AC24">
            <v>110.26601632200001</v>
          </cell>
        </row>
        <row r="25">
          <cell r="F25">
            <v>88.596046660000013</v>
          </cell>
          <cell r="G25">
            <v>75.435129066000002</v>
          </cell>
          <cell r="H25">
            <v>66.478967632000021</v>
          </cell>
          <cell r="I25">
            <v>62.217459458000008</v>
          </cell>
          <cell r="J25">
            <v>62.319165964000007</v>
          </cell>
          <cell r="K25">
            <v>64.725617880000016</v>
          </cell>
          <cell r="L25">
            <v>74.701476607999993</v>
          </cell>
          <cell r="M25">
            <v>77.059145328000014</v>
          </cell>
          <cell r="N25">
            <v>96.845441792000017</v>
          </cell>
          <cell r="O25">
            <v>113.70409417400002</v>
          </cell>
          <cell r="P25">
            <v>127.02411277600001</v>
          </cell>
          <cell r="Q25">
            <v>140.80371353400002</v>
          </cell>
          <cell r="R25">
            <v>147.52362992400001</v>
          </cell>
          <cell r="S25">
            <v>146.86771851400002</v>
          </cell>
          <cell r="T25">
            <v>140.54632825200002</v>
          </cell>
          <cell r="U25">
            <v>139.209877818</v>
          </cell>
          <cell r="V25">
            <v>136.18960401199999</v>
          </cell>
          <cell r="W25">
            <v>147.74076136600002</v>
          </cell>
          <cell r="X25">
            <v>164.99555021400002</v>
          </cell>
          <cell r="Y25">
            <v>175.01881210000002</v>
          </cell>
          <cell r="Z25">
            <v>165.01813563400003</v>
          </cell>
          <cell r="AA25">
            <v>146.55531200200002</v>
          </cell>
          <cell r="AB25">
            <v>120.54400175400001</v>
          </cell>
          <cell r="AC25">
            <v>93.251593380000003</v>
          </cell>
        </row>
        <row r="26">
          <cell r="F26">
            <v>82.115925804000014</v>
          </cell>
          <cell r="G26">
            <v>69.599128653999998</v>
          </cell>
          <cell r="H26">
            <v>62.227345906000004</v>
          </cell>
          <cell r="I26">
            <v>59.908078956000004</v>
          </cell>
          <cell r="J26">
            <v>66.233170080000008</v>
          </cell>
          <cell r="K26">
            <v>76.068579620000008</v>
          </cell>
          <cell r="L26">
            <v>87.64915374600001</v>
          </cell>
          <cell r="M26">
            <v>90.724606125999998</v>
          </cell>
          <cell r="N26">
            <v>109.53939517400002</v>
          </cell>
          <cell r="O26">
            <v>124.53396368600002</v>
          </cell>
          <cell r="P26">
            <v>141.79880288200002</v>
          </cell>
          <cell r="Q26">
            <v>155.602962416</v>
          </cell>
          <cell r="R26">
            <v>167.20162782400001</v>
          </cell>
          <cell r="S26">
            <v>162.97714138200004</v>
          </cell>
          <cell r="T26">
            <v>155.36517301800004</v>
          </cell>
          <cell r="U26">
            <v>147.44847194000002</v>
          </cell>
          <cell r="V26">
            <v>145.57121378800002</v>
          </cell>
          <cell r="W26">
            <v>161.31623123</v>
          </cell>
          <cell r="X26">
            <v>177.19222444000005</v>
          </cell>
          <cell r="Y26">
            <v>182.75133874800005</v>
          </cell>
          <cell r="Z26">
            <v>168.47185610200003</v>
          </cell>
          <cell r="AA26">
            <v>147.14110371400002</v>
          </cell>
          <cell r="AB26">
            <v>120.162763798</v>
          </cell>
          <cell r="AC26">
            <v>92.836847708000008</v>
          </cell>
        </row>
        <row r="27">
          <cell r="F27">
            <v>76.119421400000007</v>
          </cell>
          <cell r="G27">
            <v>65.287263844000009</v>
          </cell>
          <cell r="H27">
            <v>59.797512016000006</v>
          </cell>
          <cell r="I27">
            <v>59.790575768000004</v>
          </cell>
          <cell r="J27">
            <v>74.428307756000009</v>
          </cell>
          <cell r="K27">
            <v>98.775141388000023</v>
          </cell>
          <cell r="L27">
            <v>126.42924756000002</v>
          </cell>
          <cell r="M27">
            <v>132.30904533</v>
          </cell>
          <cell r="N27">
            <v>149.12288417400003</v>
          </cell>
          <cell r="O27">
            <v>160.103161438</v>
          </cell>
          <cell r="P27">
            <v>175.16674168400004</v>
          </cell>
          <cell r="Q27">
            <v>189.01208600999999</v>
          </cell>
          <cell r="R27">
            <v>192.216766984</v>
          </cell>
          <cell r="S27">
            <v>188.72050135400005</v>
          </cell>
          <cell r="T27">
            <v>190.57562645000002</v>
          </cell>
          <cell r="U27">
            <v>190.82127977000002</v>
          </cell>
          <cell r="V27">
            <v>184.79081200800002</v>
          </cell>
          <cell r="W27">
            <v>185.76401742800002</v>
          </cell>
          <cell r="X27">
            <v>198.882304632</v>
          </cell>
          <cell r="Y27">
            <v>206.38507298200003</v>
          </cell>
          <cell r="Z27">
            <v>189.97232694000002</v>
          </cell>
          <cell r="AA27">
            <v>160.34319954400002</v>
          </cell>
          <cell r="AB27">
            <v>127.90690112200001</v>
          </cell>
          <cell r="AC27">
            <v>97.023155284000026</v>
          </cell>
        </row>
        <row r="28">
          <cell r="F28">
            <v>84.776557118000014</v>
          </cell>
          <cell r="G28">
            <v>71.984994730000011</v>
          </cell>
          <cell r="H28">
            <v>64.050179424000007</v>
          </cell>
          <cell r="I28">
            <v>61.978181848000006</v>
          </cell>
          <cell r="J28">
            <v>68.518037698000015</v>
          </cell>
          <cell r="K28">
            <v>79.821414310000009</v>
          </cell>
          <cell r="L28">
            <v>101.73636530200002</v>
          </cell>
          <cell r="M28">
            <v>111.34559612000001</v>
          </cell>
          <cell r="N28">
            <v>133.10079378200001</v>
          </cell>
          <cell r="O28">
            <v>147.68372416599999</v>
          </cell>
          <cell r="P28">
            <v>161.81706046000002</v>
          </cell>
          <cell r="Q28">
            <v>171.66642444600001</v>
          </cell>
          <cell r="R28">
            <v>172.96990475600003</v>
          </cell>
          <cell r="S28">
            <v>166.79176965000002</v>
          </cell>
          <cell r="T28">
            <v>161.63799315400001</v>
          </cell>
          <cell r="U28">
            <v>160.08213634600003</v>
          </cell>
          <cell r="V28">
            <v>156.148696968</v>
          </cell>
          <cell r="W28">
            <v>165.05905490800001</v>
          </cell>
          <cell r="X28">
            <v>174.73702210799999</v>
          </cell>
          <cell r="Y28">
            <v>183.26049082000003</v>
          </cell>
          <cell r="Z28">
            <v>169.70101759600001</v>
          </cell>
          <cell r="AA28">
            <v>150.04079629</v>
          </cell>
          <cell r="AB28">
            <v>127.46730493200002</v>
          </cell>
          <cell r="AC28">
            <v>104.47194153000001</v>
          </cell>
        </row>
        <row r="29">
          <cell r="F29">
            <v>86.948396018000011</v>
          </cell>
          <cell r="G29">
            <v>74.106152472000005</v>
          </cell>
          <cell r="H29">
            <v>65.311534156000008</v>
          </cell>
          <cell r="I29">
            <v>61.573568473999998</v>
          </cell>
          <cell r="J29">
            <v>62.567644920000006</v>
          </cell>
          <cell r="K29">
            <v>65.391533746000007</v>
          </cell>
          <cell r="L29">
            <v>73.929405989999992</v>
          </cell>
          <cell r="M29">
            <v>74.337789064000006</v>
          </cell>
          <cell r="N29">
            <v>91.322333036000018</v>
          </cell>
          <cell r="O29">
            <v>106.05724133400003</v>
          </cell>
          <cell r="P29">
            <v>116.70734532600001</v>
          </cell>
          <cell r="Q29">
            <v>129.675349342</v>
          </cell>
          <cell r="R29">
            <v>137.92610484400001</v>
          </cell>
          <cell r="S29">
            <v>139.02483144000001</v>
          </cell>
          <cell r="T29">
            <v>135.40798458</v>
          </cell>
          <cell r="U29">
            <v>133.44998601000003</v>
          </cell>
          <cell r="V29">
            <v>130.31779800600003</v>
          </cell>
          <cell r="W29">
            <v>139.92158078800003</v>
          </cell>
          <cell r="X29">
            <v>152.09802975400001</v>
          </cell>
          <cell r="Y29">
            <v>163.71417673600001</v>
          </cell>
          <cell r="Z29">
            <v>154.65764622000003</v>
          </cell>
          <cell r="AA29">
            <v>139.84882885600001</v>
          </cell>
          <cell r="AB29">
            <v>117.79864397400002</v>
          </cell>
          <cell r="AC29">
            <v>94.472677882000013</v>
          </cell>
        </row>
        <row r="30">
          <cell r="F30">
            <v>79.527226921999997</v>
          </cell>
          <cell r="G30">
            <v>67.176244124000007</v>
          </cell>
          <cell r="H30">
            <v>59.546686012000002</v>
          </cell>
          <cell r="I30">
            <v>56.522262258000005</v>
          </cell>
          <cell r="J30">
            <v>58.775107094000006</v>
          </cell>
          <cell r="K30">
            <v>63.390986736000009</v>
          </cell>
          <cell r="L30">
            <v>71.700431550000005</v>
          </cell>
          <cell r="M30">
            <v>71.568803460000012</v>
          </cell>
          <cell r="N30">
            <v>88.738564265999997</v>
          </cell>
          <cell r="O30">
            <v>104.36738316400002</v>
          </cell>
          <cell r="P30">
            <v>120.38334369600001</v>
          </cell>
          <cell r="Q30">
            <v>136.855365812</v>
          </cell>
          <cell r="R30">
            <v>146.19289632200002</v>
          </cell>
          <cell r="S30">
            <v>144.51643533800001</v>
          </cell>
          <cell r="T30">
            <v>138.24905668200003</v>
          </cell>
          <cell r="U30">
            <v>135.43692932000002</v>
          </cell>
          <cell r="V30">
            <v>132.77880239800001</v>
          </cell>
          <cell r="W30">
            <v>143.68675059200004</v>
          </cell>
          <cell r="X30">
            <v>158.134381526</v>
          </cell>
          <cell r="Y30">
            <v>175.24410904000004</v>
          </cell>
          <cell r="Z30">
            <v>164.33952735200003</v>
          </cell>
          <cell r="AA30">
            <v>145.91242736400002</v>
          </cell>
          <cell r="AB30">
            <v>119.11903220800001</v>
          </cell>
          <cell r="AC30">
            <v>92.119876992000016</v>
          </cell>
        </row>
        <row r="31">
          <cell r="F31">
            <v>86.46530076800002</v>
          </cell>
          <cell r="G31">
            <v>74.986954350000019</v>
          </cell>
          <cell r="H31">
            <v>68.707266804</v>
          </cell>
          <cell r="I31">
            <v>68.309825694000011</v>
          </cell>
          <cell r="J31">
            <v>83.567073457999996</v>
          </cell>
          <cell r="K31">
            <v>111.60434832800003</v>
          </cell>
          <cell r="L31">
            <v>139.22285214200002</v>
          </cell>
          <cell r="M31">
            <v>142.68091923800003</v>
          </cell>
          <cell r="N31">
            <v>159.55535846800001</v>
          </cell>
          <cell r="O31">
            <v>170.41188467600003</v>
          </cell>
          <cell r="P31">
            <v>186.25676311000001</v>
          </cell>
          <cell r="Q31">
            <v>200.07387730000002</v>
          </cell>
          <cell r="R31">
            <v>202.77475589800002</v>
          </cell>
          <cell r="S31">
            <v>200.07330037200003</v>
          </cell>
          <cell r="T31">
            <v>203.63343127600004</v>
          </cell>
          <cell r="U31">
            <v>204.45124310600005</v>
          </cell>
          <cell r="V31">
            <v>197.78388289000003</v>
          </cell>
          <cell r="W31">
            <v>196.318253032</v>
          </cell>
          <cell r="X31">
            <v>208.89011730400006</v>
          </cell>
          <cell r="Y31">
            <v>222.77128689200003</v>
          </cell>
          <cell r="Z31">
            <v>207.31286826800005</v>
          </cell>
          <cell r="AA31">
            <v>176.63488904599998</v>
          </cell>
          <cell r="AB31">
            <v>142.00751314200002</v>
          </cell>
          <cell r="AC31">
            <v>108.70494093800002</v>
          </cell>
        </row>
        <row r="32">
          <cell r="F32">
            <v>94.051169696000017</v>
          </cell>
          <cell r="G32">
            <v>80.994299100000006</v>
          </cell>
          <cell r="H32">
            <v>73.23143128400001</v>
          </cell>
          <cell r="I32">
            <v>70.417697701999998</v>
          </cell>
          <cell r="J32">
            <v>76.826617120000009</v>
          </cell>
          <cell r="K32">
            <v>88.992691216000011</v>
          </cell>
          <cell r="L32">
            <v>110.66957418000001</v>
          </cell>
          <cell r="M32">
            <v>120.51059237800001</v>
          </cell>
          <cell r="N32">
            <v>142.83059599600003</v>
          </cell>
          <cell r="O32">
            <v>158.06104611000004</v>
          </cell>
          <cell r="P32">
            <v>172.58340233199999</v>
          </cell>
          <cell r="Q32">
            <v>183.840673874</v>
          </cell>
          <cell r="R32">
            <v>184.25013541000001</v>
          </cell>
          <cell r="S32">
            <v>176.32309879800002</v>
          </cell>
          <cell r="T32">
            <v>169.10060272600001</v>
          </cell>
          <cell r="U32">
            <v>167.08434098400005</v>
          </cell>
          <cell r="V32">
            <v>165.64928175400001</v>
          </cell>
          <cell r="W32">
            <v>174.47395605200001</v>
          </cell>
          <cell r="X32">
            <v>184.71401174600001</v>
          </cell>
          <cell r="Y32">
            <v>193.52863897399999</v>
          </cell>
          <cell r="Z32">
            <v>178.63084357800003</v>
          </cell>
          <cell r="AA32">
            <v>156.97433010600002</v>
          </cell>
          <cell r="AB32">
            <v>132.95546037400001</v>
          </cell>
          <cell r="AC32">
            <v>109.21722022200001</v>
          </cell>
        </row>
        <row r="33">
          <cell r="F33">
            <v>86.712717652000023</v>
          </cell>
          <cell r="G33">
            <v>73.144816690000013</v>
          </cell>
          <cell r="H33">
            <v>64.287286998000013</v>
          </cell>
          <cell r="I33">
            <v>59.783901760000006</v>
          </cell>
          <cell r="J33">
            <v>61.431277050000006</v>
          </cell>
          <cell r="K33">
            <v>64.944457160000013</v>
          </cell>
          <cell r="L33">
            <v>75.215660410000012</v>
          </cell>
          <cell r="M33">
            <v>76.101890656000009</v>
          </cell>
          <cell r="N33">
            <v>93.791230852000027</v>
          </cell>
          <cell r="O33">
            <v>109.53687111400001</v>
          </cell>
          <cell r="P33">
            <v>121.55280953200001</v>
          </cell>
          <cell r="Q33">
            <v>135.71350729200003</v>
          </cell>
          <cell r="R33">
            <v>144.52407635600002</v>
          </cell>
          <cell r="S33">
            <v>144.96188603600001</v>
          </cell>
          <cell r="T33">
            <v>140.61620537800002</v>
          </cell>
          <cell r="U33">
            <v>138.37945224400002</v>
          </cell>
          <cell r="V33">
            <v>135.76450313800004</v>
          </cell>
          <cell r="W33">
            <v>145.81038322400002</v>
          </cell>
          <cell r="X33">
            <v>159.72333630000003</v>
          </cell>
          <cell r="Y33">
            <v>176.42376290000004</v>
          </cell>
          <cell r="Z33">
            <v>165.83680957800001</v>
          </cell>
          <cell r="AA33">
            <v>145.92068136800003</v>
          </cell>
          <cell r="AB33">
            <v>118.37713558</v>
          </cell>
          <cell r="AC33">
            <v>93.123053165999991</v>
          </cell>
        </row>
        <row r="34">
          <cell r="F34">
            <v>101.477550812</v>
          </cell>
          <cell r="G34">
            <v>86.679026368000009</v>
          </cell>
          <cell r="H34">
            <v>77.181437673999994</v>
          </cell>
          <cell r="I34">
            <v>72.401133552000019</v>
          </cell>
          <cell r="J34">
            <v>72.178990048000003</v>
          </cell>
          <cell r="K34">
            <v>72.928498192000021</v>
          </cell>
          <cell r="L34">
            <v>82.453336900000011</v>
          </cell>
          <cell r="M34">
            <v>83.596608238000002</v>
          </cell>
          <cell r="N34">
            <v>100.84523444600002</v>
          </cell>
          <cell r="O34">
            <v>115.05643307400001</v>
          </cell>
          <cell r="P34">
            <v>126.63065115800001</v>
          </cell>
          <cell r="Q34">
            <v>141.32968502400004</v>
          </cell>
          <cell r="R34">
            <v>147.66455442200001</v>
          </cell>
          <cell r="S34">
            <v>149.19446913800002</v>
          </cell>
          <cell r="T34">
            <v>146.91344989200005</v>
          </cell>
          <cell r="U34">
            <v>145.512642484</v>
          </cell>
          <cell r="V34">
            <v>143.00791285000003</v>
          </cell>
          <cell r="W34">
            <v>153.51741686600002</v>
          </cell>
          <cell r="X34">
            <v>166.52745139800001</v>
          </cell>
          <cell r="Y34">
            <v>182.13947054599998</v>
          </cell>
          <cell r="Z34">
            <v>175.84513689600001</v>
          </cell>
          <cell r="AA34">
            <v>161.80296833800003</v>
          </cell>
          <cell r="AB34">
            <v>135.40301841000002</v>
          </cell>
          <cell r="AC34">
            <v>108.63631273</v>
          </cell>
        </row>
        <row r="35">
          <cell r="F35">
            <v>83.913859634000005</v>
          </cell>
          <cell r="G35">
            <v>72.457095568</v>
          </cell>
          <cell r="H35">
            <v>66.394096934000004</v>
          </cell>
          <cell r="I35">
            <v>66.036926054000006</v>
          </cell>
          <cell r="J35">
            <v>82.563022058000001</v>
          </cell>
          <cell r="K35">
            <v>113.21351852800001</v>
          </cell>
          <cell r="L35">
            <v>141.82985865400002</v>
          </cell>
          <cell r="M35">
            <v>143.0691295</v>
          </cell>
          <cell r="N35">
            <v>158.75840783000001</v>
          </cell>
          <cell r="O35">
            <v>168.70912429800001</v>
          </cell>
          <cell r="P35">
            <v>184.30950326800004</v>
          </cell>
          <cell r="Q35">
            <v>198.11584595000002</v>
          </cell>
          <cell r="R35">
            <v>200.40373260600003</v>
          </cell>
          <cell r="S35">
            <v>196.82606767999999</v>
          </cell>
          <cell r="T35">
            <v>200.10095358000001</v>
          </cell>
          <cell r="U35">
            <v>200.34468271400002</v>
          </cell>
          <cell r="V35">
            <v>194.28166113400002</v>
          </cell>
          <cell r="W35">
            <v>195.36051321600002</v>
          </cell>
          <cell r="X35">
            <v>213.09096281000001</v>
          </cell>
          <cell r="Y35">
            <v>222.82080436000001</v>
          </cell>
          <cell r="Z35">
            <v>206.75654577600005</v>
          </cell>
          <cell r="AA35">
            <v>174.25832265600005</v>
          </cell>
          <cell r="AB35">
            <v>139.85389008800001</v>
          </cell>
          <cell r="AC35">
            <v>106.532646396</v>
          </cell>
        </row>
        <row r="36">
          <cell r="F36">
            <v>91.909999764000005</v>
          </cell>
          <cell r="G36">
            <v>79.356852872000005</v>
          </cell>
          <cell r="H36">
            <v>71.615495292000006</v>
          </cell>
          <cell r="I36">
            <v>69.025862180000004</v>
          </cell>
          <cell r="J36">
            <v>75.92108601000001</v>
          </cell>
          <cell r="K36">
            <v>87.400294542000012</v>
          </cell>
          <cell r="L36">
            <v>109.18858361400002</v>
          </cell>
          <cell r="M36">
            <v>119.33746173800002</v>
          </cell>
          <cell r="N36">
            <v>141.48282335000002</v>
          </cell>
          <cell r="O36">
            <v>154.21512605400002</v>
          </cell>
          <cell r="P36">
            <v>166.38094446600002</v>
          </cell>
          <cell r="Q36">
            <v>175.115542602</v>
          </cell>
          <cell r="R36">
            <v>176.64477221600001</v>
          </cell>
          <cell r="S36">
            <v>171.31123020000001</v>
          </cell>
          <cell r="T36">
            <v>165.68420556600003</v>
          </cell>
          <cell r="U36">
            <v>163.215412646</v>
          </cell>
          <cell r="V36">
            <v>160.53895514800001</v>
          </cell>
          <cell r="W36">
            <v>170.66785714</v>
          </cell>
          <cell r="X36">
            <v>183.78596077600002</v>
          </cell>
          <cell r="Y36">
            <v>190.11890598800002</v>
          </cell>
          <cell r="Z36">
            <v>174.66868892000002</v>
          </cell>
          <cell r="AA36">
            <v>153.13359256800001</v>
          </cell>
          <cell r="AB36">
            <v>128.77184731400001</v>
          </cell>
          <cell r="AC36">
            <v>105.91950305200001</v>
          </cell>
        </row>
        <row r="37">
          <cell r="F37">
            <v>87.636231870000017</v>
          </cell>
          <cell r="G37">
            <v>74.668188518000008</v>
          </cell>
          <cell r="H37">
            <v>65.623137557999996</v>
          </cell>
          <cell r="I37">
            <v>61.71500434</v>
          </cell>
          <cell r="J37">
            <v>63.449692438000007</v>
          </cell>
          <cell r="K37">
            <v>68.482422228000004</v>
          </cell>
          <cell r="L37">
            <v>76.23736384</v>
          </cell>
          <cell r="M37">
            <v>77.417427450000005</v>
          </cell>
          <cell r="N37">
            <v>94.309876012000004</v>
          </cell>
          <cell r="O37">
            <v>109.71746924600001</v>
          </cell>
          <cell r="P37">
            <v>122.54308677600001</v>
          </cell>
          <cell r="Q37">
            <v>136.11958593200001</v>
          </cell>
          <cell r="R37">
            <v>144.842622562</v>
          </cell>
          <cell r="S37">
            <v>146.001293944</v>
          </cell>
          <cell r="T37">
            <v>140.44702452000004</v>
          </cell>
          <cell r="U37">
            <v>137.82889247600002</v>
          </cell>
          <cell r="V37">
            <v>134.49391755800002</v>
          </cell>
          <cell r="W37">
            <v>147.30701312800002</v>
          </cell>
          <cell r="X37">
            <v>165.55614721800004</v>
          </cell>
          <cell r="Y37">
            <v>176.50386738600002</v>
          </cell>
          <cell r="Z37">
            <v>165.60980152200003</v>
          </cell>
          <cell r="AA37">
            <v>146.56141236000002</v>
          </cell>
          <cell r="AB37">
            <v>120.18406096400003</v>
          </cell>
          <cell r="AC37">
            <v>95.628267944000001</v>
          </cell>
        </row>
        <row r="38">
          <cell r="F38">
            <v>83.094634986000003</v>
          </cell>
          <cell r="G38">
            <v>69.751480260000008</v>
          </cell>
          <cell r="H38">
            <v>60.974641816000009</v>
          </cell>
          <cell r="I38">
            <v>58.988819582000005</v>
          </cell>
          <cell r="J38">
            <v>61.497099290000008</v>
          </cell>
          <cell r="K38">
            <v>69.152796174000002</v>
          </cell>
          <cell r="L38">
            <v>80.591750865999998</v>
          </cell>
          <cell r="M38">
            <v>80.985448500000018</v>
          </cell>
          <cell r="N38">
            <v>100.776199766</v>
          </cell>
          <cell r="O38">
            <v>116.32670068800003</v>
          </cell>
          <cell r="P38">
            <v>131.58105725600004</v>
          </cell>
          <cell r="Q38">
            <v>147.28311323000003</v>
          </cell>
          <cell r="R38">
            <v>156.63165454200004</v>
          </cell>
          <cell r="S38">
            <v>155.841699156</v>
          </cell>
          <cell r="T38">
            <v>150.13907400800002</v>
          </cell>
          <cell r="U38">
            <v>144.68193172400004</v>
          </cell>
          <cell r="V38">
            <v>143.57424963200003</v>
          </cell>
          <cell r="W38">
            <v>154.54745297200003</v>
          </cell>
          <cell r="X38">
            <v>170.844908476</v>
          </cell>
          <cell r="Y38">
            <v>186.32836118600002</v>
          </cell>
          <cell r="Z38">
            <v>173.45401618600002</v>
          </cell>
          <cell r="AA38">
            <v>150.52297042200001</v>
          </cell>
          <cell r="AB38">
            <v>122.58232443600001</v>
          </cell>
          <cell r="AC38">
            <v>95.719661862000009</v>
          </cell>
        </row>
        <row r="39">
          <cell r="F39">
            <v>82.963672330000023</v>
          </cell>
          <cell r="G39">
            <v>72.181681286</v>
          </cell>
          <cell r="H39">
            <v>66.636177234000002</v>
          </cell>
          <cell r="I39">
            <v>66.380778419999999</v>
          </cell>
          <cell r="J39">
            <v>83.103875668000015</v>
          </cell>
          <cell r="K39">
            <v>114.59369092600001</v>
          </cell>
          <cell r="L39">
            <v>142.39274698</v>
          </cell>
          <cell r="M39">
            <v>142.10623339</v>
          </cell>
          <cell r="N39">
            <v>157.584192172</v>
          </cell>
          <cell r="O39">
            <v>167.56356819400003</v>
          </cell>
          <cell r="P39">
            <v>183.81160129200003</v>
          </cell>
          <cell r="Q39">
            <v>197.85744121000002</v>
          </cell>
          <cell r="R39">
            <v>198.93528039000003</v>
          </cell>
          <cell r="S39">
            <v>195.53942645600003</v>
          </cell>
          <cell r="T39">
            <v>198.25742277000003</v>
          </cell>
          <cell r="U39">
            <v>199.01028103000002</v>
          </cell>
          <cell r="V39">
            <v>193.46321665000002</v>
          </cell>
          <cell r="W39">
            <v>197.01802408199998</v>
          </cell>
          <cell r="X39">
            <v>220.50074085600002</v>
          </cell>
          <cell r="Y39">
            <v>220.93776381600003</v>
          </cell>
          <cell r="Z39">
            <v>203.81134472600004</v>
          </cell>
          <cell r="AA39">
            <v>171.86503518800001</v>
          </cell>
          <cell r="AB39">
            <v>136.95639049400003</v>
          </cell>
          <cell r="AC39">
            <v>104.202798062</v>
          </cell>
        </row>
        <row r="40">
          <cell r="F40">
            <v>89.980280500000006</v>
          </cell>
          <cell r="G40">
            <v>77.66555566000001</v>
          </cell>
          <cell r="H40">
            <v>69.872821986000005</v>
          </cell>
          <cell r="I40">
            <v>67.897905657999999</v>
          </cell>
          <cell r="J40">
            <v>75.425252451999995</v>
          </cell>
          <cell r="K40">
            <v>89.331856042000013</v>
          </cell>
          <cell r="L40">
            <v>110.05353964</v>
          </cell>
          <cell r="M40">
            <v>119.50022427200001</v>
          </cell>
          <cell r="N40">
            <v>141.552582468</v>
          </cell>
          <cell r="O40">
            <v>155.04333242200002</v>
          </cell>
          <cell r="P40">
            <v>170.29519443200002</v>
          </cell>
          <cell r="Q40">
            <v>181.13001372400001</v>
          </cell>
          <cell r="R40">
            <v>182.00978631000001</v>
          </cell>
          <cell r="S40">
            <v>176.39222526200001</v>
          </cell>
          <cell r="T40">
            <v>170.09651485200001</v>
          </cell>
          <cell r="U40">
            <v>167.76484722800004</v>
          </cell>
          <cell r="V40">
            <v>165.10265230800002</v>
          </cell>
          <cell r="W40">
            <v>176.78522796000001</v>
          </cell>
          <cell r="X40">
            <v>194.806298478</v>
          </cell>
          <cell r="Y40">
            <v>193.16279450600004</v>
          </cell>
          <cell r="Z40">
            <v>177.31463151600002</v>
          </cell>
          <cell r="AA40">
            <v>155.59342999200001</v>
          </cell>
          <cell r="AB40">
            <v>132.14911171000003</v>
          </cell>
          <cell r="AC40">
            <v>109.60307032400002</v>
          </cell>
        </row>
        <row r="41">
          <cell r="F41">
            <v>90.813043288000017</v>
          </cell>
          <cell r="G41">
            <v>76.109361218000004</v>
          </cell>
          <cell r="H41">
            <v>67.35958594200001</v>
          </cell>
          <cell r="I41">
            <v>62.739323614000007</v>
          </cell>
          <cell r="J41">
            <v>63.44783709</v>
          </cell>
          <cell r="K41">
            <v>66.976758156000017</v>
          </cell>
          <cell r="L41">
            <v>75.304005788000012</v>
          </cell>
          <cell r="M41">
            <v>75.563285754000006</v>
          </cell>
          <cell r="N41">
            <v>91.593721934000015</v>
          </cell>
          <cell r="O41">
            <v>106.31861922000002</v>
          </cell>
          <cell r="P41">
            <v>120.78341376200001</v>
          </cell>
          <cell r="Q41">
            <v>134.99414035800001</v>
          </cell>
          <cell r="R41">
            <v>142.44085163000003</v>
          </cell>
          <cell r="S41">
            <v>144.04071886600002</v>
          </cell>
          <cell r="T41">
            <v>141.01600992600001</v>
          </cell>
          <cell r="U41">
            <v>139.89541251400001</v>
          </cell>
          <cell r="V41">
            <v>137.96237919200001</v>
          </cell>
          <cell r="W41">
            <v>152.55631054400001</v>
          </cell>
          <cell r="X41">
            <v>174.27131664800004</v>
          </cell>
          <cell r="Y41">
            <v>177.24954354800002</v>
          </cell>
          <cell r="Z41">
            <v>164.82433371800002</v>
          </cell>
          <cell r="AA41">
            <v>145.26094781</v>
          </cell>
          <cell r="AB41">
            <v>119.19000418600001</v>
          </cell>
          <cell r="AC41">
            <v>93.462903094000012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71.663714671999998</v>
          </cell>
          <cell r="G43">
            <v>61.216820456000001</v>
          </cell>
          <cell r="H43">
            <v>55.982211758000005</v>
          </cell>
          <cell r="I43">
            <v>56.132127810000014</v>
          </cell>
          <cell r="J43">
            <v>72.071379864000008</v>
          </cell>
          <cell r="K43">
            <v>100.262291316</v>
          </cell>
          <cell r="L43">
            <v>129.08487664600003</v>
          </cell>
          <cell r="M43">
            <v>133.10532397800003</v>
          </cell>
          <cell r="N43">
            <v>150.16082353800002</v>
          </cell>
          <cell r="O43">
            <v>161.29262635200001</v>
          </cell>
          <cell r="P43">
            <v>176.759026906</v>
          </cell>
          <cell r="Q43">
            <v>190.78211094800005</v>
          </cell>
          <cell r="R43">
            <v>193.75184455000002</v>
          </cell>
          <cell r="S43">
            <v>190.12449170000002</v>
          </cell>
          <cell r="T43">
            <v>192.11391645600003</v>
          </cell>
          <cell r="U43">
            <v>191.85224682800003</v>
          </cell>
          <cell r="V43">
            <v>185.01346688000001</v>
          </cell>
          <cell r="W43">
            <v>189.68965516600002</v>
          </cell>
          <cell r="X43">
            <v>208.64553261200004</v>
          </cell>
          <cell r="Y43">
            <v>203.30793898800002</v>
          </cell>
          <cell r="Z43">
            <v>186.18390300400006</v>
          </cell>
          <cell r="AA43">
            <v>156.496282976</v>
          </cell>
          <cell r="AB43">
            <v>124.60443085200002</v>
          </cell>
          <cell r="AC43">
            <v>94.329209656000018</v>
          </cell>
        </row>
        <row r="44">
          <cell r="F44">
            <v>86.402612296000001</v>
          </cell>
          <cell r="G44">
            <v>72.775359866000016</v>
          </cell>
          <cell r="H44">
            <v>65.686212834000003</v>
          </cell>
          <cell r="I44">
            <v>63.086985016000007</v>
          </cell>
          <cell r="J44">
            <v>70.115990582000009</v>
          </cell>
          <cell r="K44">
            <v>82.220107200000015</v>
          </cell>
          <cell r="L44">
            <v>104.682067886</v>
          </cell>
          <cell r="M44">
            <v>114.12346182600001</v>
          </cell>
          <cell r="N44">
            <v>136.82054361800002</v>
          </cell>
          <cell r="O44">
            <v>152.51837425000002</v>
          </cell>
          <cell r="P44">
            <v>167.71180918800002</v>
          </cell>
          <cell r="Q44">
            <v>178.20518872200003</v>
          </cell>
          <cell r="R44">
            <v>179.24994304800003</v>
          </cell>
          <cell r="S44">
            <v>172.69834868000004</v>
          </cell>
          <cell r="T44">
            <v>166.08270874800002</v>
          </cell>
          <cell r="U44">
            <v>163.70101228800002</v>
          </cell>
          <cell r="V44">
            <v>160.82090904000003</v>
          </cell>
          <cell r="W44">
            <v>174.59686138400002</v>
          </cell>
          <cell r="X44">
            <v>190.55314264800003</v>
          </cell>
          <cell r="Y44">
            <v>184.11792383600002</v>
          </cell>
          <cell r="Z44">
            <v>168.63703124400001</v>
          </cell>
          <cell r="AA44">
            <v>148.17908569200003</v>
          </cell>
          <cell r="AB44">
            <v>125.20592746200001</v>
          </cell>
          <cell r="AC44">
            <v>102.94354780600001</v>
          </cell>
        </row>
        <row r="45">
          <cell r="F45">
            <v>85.566463334000019</v>
          </cell>
          <cell r="G45">
            <v>72.188145502000012</v>
          </cell>
          <cell r="H45">
            <v>64.369335337999999</v>
          </cell>
          <cell r="I45">
            <v>60.066845608000001</v>
          </cell>
          <cell r="J45">
            <v>61.402814176000014</v>
          </cell>
          <cell r="K45">
            <v>64.783048440000002</v>
          </cell>
          <cell r="L45">
            <v>75.432198534000008</v>
          </cell>
          <cell r="M45">
            <v>77.665804788000003</v>
          </cell>
          <cell r="N45">
            <v>96.236376280000002</v>
          </cell>
          <cell r="O45">
            <v>111.46181105400001</v>
          </cell>
          <cell r="P45">
            <v>125.06184625000002</v>
          </cell>
          <cell r="Q45">
            <v>139.56681923800002</v>
          </cell>
          <cell r="R45">
            <v>147.291780262</v>
          </cell>
          <cell r="S45">
            <v>145.56824392000004</v>
          </cell>
          <cell r="T45">
            <v>140.04416159800002</v>
          </cell>
          <cell r="U45">
            <v>136.78152230600003</v>
          </cell>
          <cell r="V45">
            <v>132.31471627000002</v>
          </cell>
          <cell r="W45">
            <v>146.58081484200002</v>
          </cell>
          <cell r="X45">
            <v>166.10636279600004</v>
          </cell>
          <cell r="Y45">
            <v>164.50289959400001</v>
          </cell>
          <cell r="Z45">
            <v>152.44879870000003</v>
          </cell>
          <cell r="AA45">
            <v>134.55192832400002</v>
          </cell>
          <cell r="AB45">
            <v>110.73567177200002</v>
          </cell>
          <cell r="AC45">
            <v>87.742750479999998</v>
          </cell>
        </row>
        <row r="46">
          <cell r="F46">
            <v>76.907508326000013</v>
          </cell>
          <cell r="G46">
            <v>65.272476786000013</v>
          </cell>
          <cell r="H46">
            <v>58.437014174000005</v>
          </cell>
          <cell r="I46">
            <v>54.993327664000006</v>
          </cell>
          <cell r="J46">
            <v>58.59761978400001</v>
          </cell>
          <cell r="K46">
            <v>63.009942182000003</v>
          </cell>
          <cell r="L46">
            <v>72.94301973200001</v>
          </cell>
          <cell r="M46">
            <v>75.141957858000012</v>
          </cell>
          <cell r="N46">
            <v>93.604476636000001</v>
          </cell>
          <cell r="O46">
            <v>107.25980513600001</v>
          </cell>
          <cell r="P46">
            <v>121.65517491600001</v>
          </cell>
          <cell r="Q46">
            <v>140.14662204400003</v>
          </cell>
          <cell r="R46">
            <v>152.08331153400005</v>
          </cell>
          <cell r="S46">
            <v>152.28507243400003</v>
          </cell>
          <cell r="T46">
            <v>144.449842768</v>
          </cell>
          <cell r="U46">
            <v>142.49781999200005</v>
          </cell>
          <cell r="V46">
            <v>141.03480270000003</v>
          </cell>
          <cell r="W46">
            <v>154.04677452999999</v>
          </cell>
          <cell r="X46">
            <v>173.13388998400004</v>
          </cell>
          <cell r="Y46">
            <v>172.760791302</v>
          </cell>
          <cell r="Z46">
            <v>157.092597068</v>
          </cell>
          <cell r="AA46">
            <v>135.56280779799999</v>
          </cell>
          <cell r="AB46">
            <v>109.01295165200001</v>
          </cell>
          <cell r="AC46">
            <v>84.759186996000025</v>
          </cell>
        </row>
        <row r="47">
          <cell r="F47">
            <v>76.844577282000017</v>
          </cell>
          <cell r="G47">
            <v>65.819915898000005</v>
          </cell>
          <cell r="H47">
            <v>60.708146972000002</v>
          </cell>
          <cell r="I47">
            <v>60.991533350000005</v>
          </cell>
          <cell r="J47">
            <v>76.829636158000014</v>
          </cell>
          <cell r="K47">
            <v>104.22786165000001</v>
          </cell>
          <cell r="L47">
            <v>134.49085918400004</v>
          </cell>
          <cell r="M47">
            <v>140.69967964800003</v>
          </cell>
          <cell r="N47">
            <v>157.39581862400004</v>
          </cell>
          <cell r="O47">
            <v>168.09884264800002</v>
          </cell>
          <cell r="P47">
            <v>183.36117459000005</v>
          </cell>
          <cell r="Q47">
            <v>197.49189504000003</v>
          </cell>
          <cell r="R47">
            <v>201.02868658400004</v>
          </cell>
          <cell r="S47">
            <v>196.45535210400004</v>
          </cell>
          <cell r="T47">
            <v>196.89528920600003</v>
          </cell>
          <cell r="U47">
            <v>196.66599966200005</v>
          </cell>
          <cell r="V47">
            <v>191.28868651200006</v>
          </cell>
          <cell r="W47">
            <v>200.46554913000003</v>
          </cell>
          <cell r="X47">
            <v>220.23656027999999</v>
          </cell>
          <cell r="Y47">
            <v>213.83286599400003</v>
          </cell>
          <cell r="Z47">
            <v>195.31829913200002</v>
          </cell>
          <cell r="AA47">
            <v>163.60678945600003</v>
          </cell>
          <cell r="AB47">
            <v>130.89531604600003</v>
          </cell>
          <cell r="AC47">
            <v>99.082591564000012</v>
          </cell>
        </row>
        <row r="48">
          <cell r="F48">
            <v>84.323337560000013</v>
          </cell>
          <cell r="G48">
            <v>71.213855064000001</v>
          </cell>
          <cell r="H48">
            <v>63.334260946000008</v>
          </cell>
          <cell r="I48">
            <v>61.747597494000011</v>
          </cell>
          <cell r="J48">
            <v>69.697147409999999</v>
          </cell>
          <cell r="K48">
            <v>83.446692186000021</v>
          </cell>
          <cell r="L48">
            <v>107.641115208</v>
          </cell>
          <cell r="M48">
            <v>119.57210753400003</v>
          </cell>
          <cell r="N48">
            <v>143.29173847999999</v>
          </cell>
          <cell r="O48">
            <v>158.00312712800002</v>
          </cell>
          <cell r="P48">
            <v>171.20521312400004</v>
          </cell>
          <cell r="Q48">
            <v>180.60676953000001</v>
          </cell>
          <cell r="R48">
            <v>181.73069083400003</v>
          </cell>
          <cell r="S48">
            <v>174.768887546</v>
          </cell>
          <cell r="T48">
            <v>167.63822792200003</v>
          </cell>
          <cell r="U48">
            <v>163.85053497999999</v>
          </cell>
          <cell r="V48">
            <v>160.62575986600001</v>
          </cell>
          <cell r="W48">
            <v>176.98624803199999</v>
          </cell>
          <cell r="X48">
            <v>193.55919321200005</v>
          </cell>
          <cell r="Y48">
            <v>187.58321892200004</v>
          </cell>
          <cell r="Z48">
            <v>171.465561718</v>
          </cell>
          <cell r="AA48">
            <v>149.705024194</v>
          </cell>
          <cell r="AB48">
            <v>125.545157848</v>
          </cell>
          <cell r="AC48">
            <v>101.97579370000001</v>
          </cell>
        </row>
        <row r="49">
          <cell r="F49">
            <v>79.401197656000008</v>
          </cell>
          <cell r="G49">
            <v>66.079900634000012</v>
          </cell>
          <cell r="H49">
            <v>58.217234108000007</v>
          </cell>
          <cell r="I49">
            <v>54.517542354000007</v>
          </cell>
          <cell r="J49">
            <v>56.39340407800001</v>
          </cell>
          <cell r="K49">
            <v>61.449361776000011</v>
          </cell>
          <cell r="L49">
            <v>72.709065594000009</v>
          </cell>
          <cell r="M49">
            <v>77.007988860000012</v>
          </cell>
          <cell r="N49">
            <v>96.345186212000002</v>
          </cell>
          <cell r="O49">
            <v>112.49371562000002</v>
          </cell>
          <cell r="P49">
            <v>125.11177674600002</v>
          </cell>
          <cell r="Q49">
            <v>137.78353479</v>
          </cell>
          <cell r="R49">
            <v>146.54496007800003</v>
          </cell>
          <cell r="S49">
            <v>147.97076879200003</v>
          </cell>
          <cell r="T49">
            <v>143.15926466600001</v>
          </cell>
          <cell r="U49">
            <v>138.50834976000002</v>
          </cell>
          <cell r="V49">
            <v>134.29977145200002</v>
          </cell>
          <cell r="W49">
            <v>149.28314231600001</v>
          </cell>
          <cell r="X49">
            <v>168.58181661200001</v>
          </cell>
          <cell r="Y49">
            <v>165.55350515000001</v>
          </cell>
          <cell r="Z49">
            <v>153.43621752800001</v>
          </cell>
          <cell r="AA49">
            <v>135.468794758</v>
          </cell>
          <cell r="AB49">
            <v>113.41550561000003</v>
          </cell>
          <cell r="AC49">
            <v>89.619012120000008</v>
          </cell>
        </row>
        <row r="50">
          <cell r="F50">
            <v>73.868467970000012</v>
          </cell>
          <cell r="G50">
            <v>62.12159762600001</v>
          </cell>
          <cell r="H50">
            <v>55.092221646000006</v>
          </cell>
          <cell r="I50">
            <v>51.890172905999997</v>
          </cell>
          <cell r="J50">
            <v>55.758022782000005</v>
          </cell>
          <cell r="K50">
            <v>62.994768320000006</v>
          </cell>
          <cell r="L50">
            <v>71.911603587999991</v>
          </cell>
          <cell r="M50">
            <v>72.381478664000014</v>
          </cell>
          <cell r="N50">
            <v>91.700627347999998</v>
          </cell>
          <cell r="O50">
            <v>106.848144062</v>
          </cell>
          <cell r="P50">
            <v>123.52610652800001</v>
          </cell>
          <cell r="Q50">
            <v>139.557217976</v>
          </cell>
          <cell r="R50">
            <v>150.21293390400001</v>
          </cell>
          <cell r="S50">
            <v>150.61398737000002</v>
          </cell>
          <cell r="T50">
            <v>143.551398694</v>
          </cell>
          <cell r="U50">
            <v>138.41664771000001</v>
          </cell>
          <cell r="V50">
            <v>136.41059366000002</v>
          </cell>
          <cell r="W50">
            <v>154.46827943800002</v>
          </cell>
          <cell r="X50">
            <v>173.23808777000002</v>
          </cell>
          <cell r="Y50">
            <v>171.13048455800003</v>
          </cell>
          <cell r="Z50">
            <v>155.31027307400004</v>
          </cell>
          <cell r="AA50">
            <v>132.23261548200003</v>
          </cell>
          <cell r="AB50">
            <v>105.231329566</v>
          </cell>
          <cell r="AC50">
            <v>80.218766914000014</v>
          </cell>
        </row>
        <row r="51">
          <cell r="F51">
            <v>87.157919222000018</v>
          </cell>
          <cell r="G51">
            <v>74.521999552000011</v>
          </cell>
          <cell r="H51">
            <v>67.720339676000023</v>
          </cell>
          <cell r="I51">
            <v>66.798775868000007</v>
          </cell>
          <cell r="J51">
            <v>79.603073286000011</v>
          </cell>
          <cell r="K51">
            <v>99.816162072000012</v>
          </cell>
          <cell r="L51">
            <v>125.64151793600001</v>
          </cell>
          <cell r="M51">
            <v>135.58490479600002</v>
          </cell>
          <cell r="N51">
            <v>157.18197173800002</v>
          </cell>
          <cell r="O51">
            <v>169.72622869400001</v>
          </cell>
          <cell r="P51">
            <v>184.60570334800005</v>
          </cell>
          <cell r="Q51">
            <v>198.81238489200004</v>
          </cell>
          <cell r="R51">
            <v>204.55740769200003</v>
          </cell>
          <cell r="S51">
            <v>200.88112741400002</v>
          </cell>
          <cell r="T51">
            <v>201.19813623800002</v>
          </cell>
          <cell r="U51">
            <v>200.45199787800001</v>
          </cell>
          <cell r="V51">
            <v>194.33625622400001</v>
          </cell>
          <cell r="W51">
            <v>199.523242138</v>
          </cell>
          <cell r="X51">
            <v>223.41379128200003</v>
          </cell>
          <cell r="Y51">
            <v>219.00368481200005</v>
          </cell>
          <cell r="Z51">
            <v>201.61302942000003</v>
          </cell>
          <cell r="AA51">
            <v>172.85242779200004</v>
          </cell>
          <cell r="AB51">
            <v>143.18295477200002</v>
          </cell>
          <cell r="AC51">
            <v>111.74622344600002</v>
          </cell>
        </row>
        <row r="52">
          <cell r="F52">
            <v>98.189533244000003</v>
          </cell>
          <cell r="G52">
            <v>83.210338551999996</v>
          </cell>
          <cell r="H52">
            <v>75.032013738000003</v>
          </cell>
          <cell r="I52">
            <v>71.908181356</v>
          </cell>
          <cell r="J52">
            <v>78.284061812000019</v>
          </cell>
          <cell r="K52">
            <v>90.937181148000008</v>
          </cell>
          <cell r="L52">
            <v>111.87055470800001</v>
          </cell>
          <cell r="M52">
            <v>121.00469187400003</v>
          </cell>
          <cell r="N52">
            <v>145.13005727000001</v>
          </cell>
          <cell r="O52">
            <v>161.29046942800002</v>
          </cell>
          <cell r="P52">
            <v>173.937914546</v>
          </cell>
          <cell r="Q52">
            <v>183.10897510400005</v>
          </cell>
          <cell r="R52">
            <v>184.84096213000001</v>
          </cell>
          <cell r="S52">
            <v>179.35597979200003</v>
          </cell>
          <cell r="T52">
            <v>172.91572597200002</v>
          </cell>
          <cell r="U52">
            <v>168.13834582600001</v>
          </cell>
          <cell r="V52">
            <v>163.45773224000001</v>
          </cell>
          <cell r="W52">
            <v>175.97095964800002</v>
          </cell>
          <cell r="X52">
            <v>198.29547379400003</v>
          </cell>
          <cell r="Y52">
            <v>193.01869690400005</v>
          </cell>
          <cell r="Z52">
            <v>174.822453344</v>
          </cell>
          <cell r="AA52">
            <v>154.88842725400002</v>
          </cell>
          <cell r="AB52">
            <v>133.18387141400001</v>
          </cell>
          <cell r="AC52">
            <v>112.54649797600001</v>
          </cell>
        </row>
        <row r="53">
          <cell r="F53">
            <v>97.218828938000016</v>
          </cell>
          <cell r="G53">
            <v>81.55947547000001</v>
          </cell>
          <cell r="H53">
            <v>72.815728436000001</v>
          </cell>
          <cell r="I53">
            <v>67.793901274000007</v>
          </cell>
          <cell r="J53">
            <v>67.661735592000014</v>
          </cell>
          <cell r="K53">
            <v>72.71123235200001</v>
          </cell>
          <cell r="L53">
            <v>81.295249002000006</v>
          </cell>
          <cell r="M53">
            <v>81.031704357999999</v>
          </cell>
          <cell r="N53">
            <v>100.66961559600001</v>
          </cell>
          <cell r="O53">
            <v>117.29624786000002</v>
          </cell>
          <cell r="P53">
            <v>130.92251033400001</v>
          </cell>
          <cell r="Q53">
            <v>143.86273330000003</v>
          </cell>
          <cell r="R53">
            <v>152.20881959799999</v>
          </cell>
          <cell r="S53">
            <v>153.71618823</v>
          </cell>
          <cell r="T53">
            <v>149.21043299800002</v>
          </cell>
          <cell r="U53">
            <v>146.64992819400001</v>
          </cell>
          <cell r="V53">
            <v>143.24114910600002</v>
          </cell>
          <cell r="W53">
            <v>155.05650342600001</v>
          </cell>
          <cell r="X53">
            <v>175.77363388199998</v>
          </cell>
          <cell r="Y53">
            <v>176.38196184400002</v>
          </cell>
          <cell r="Z53">
            <v>167.62112004000002</v>
          </cell>
          <cell r="AA53">
            <v>151.37906273600001</v>
          </cell>
          <cell r="AB53">
            <v>128.25679156400003</v>
          </cell>
          <cell r="AC53">
            <v>103.16170854000001</v>
          </cell>
        </row>
        <row r="54">
          <cell r="F54">
            <v>93.174527600000019</v>
          </cell>
          <cell r="G54">
            <v>81.149525512000011</v>
          </cell>
          <cell r="H54">
            <v>71.616403298000009</v>
          </cell>
          <cell r="I54">
            <v>65.035756016000008</v>
          </cell>
          <cell r="J54">
            <v>63.296527888000007</v>
          </cell>
          <cell r="K54">
            <v>65.063773082000012</v>
          </cell>
          <cell r="L54">
            <v>68.641536348000002</v>
          </cell>
          <cell r="M54">
            <v>63.682220646000012</v>
          </cell>
          <cell r="N54">
            <v>78.250298412000021</v>
          </cell>
          <cell r="O54">
            <v>93.254356734000012</v>
          </cell>
          <cell r="P54">
            <v>107.61163615400001</v>
          </cell>
          <cell r="Q54">
            <v>121.286717882</v>
          </cell>
          <cell r="R54">
            <v>131.98532316200001</v>
          </cell>
          <cell r="S54">
            <v>133.75284043000002</v>
          </cell>
          <cell r="T54">
            <v>130.03656855200003</v>
          </cell>
          <cell r="U54">
            <v>129.51487813</v>
          </cell>
          <cell r="V54">
            <v>128.281724032</v>
          </cell>
          <cell r="W54">
            <v>139.88477540400001</v>
          </cell>
          <cell r="X54">
            <v>164.93737882600001</v>
          </cell>
          <cell r="Y54">
            <v>165.430468698</v>
          </cell>
          <cell r="Z54">
            <v>154.66738843600001</v>
          </cell>
          <cell r="AA54">
            <v>138.33481571800002</v>
          </cell>
          <cell r="AB54">
            <v>117.01022269200001</v>
          </cell>
          <cell r="AC54">
            <v>94.038133090000002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Ppto"/>
    </sheetNames>
    <sheetDataSet>
      <sheetData sheetId="0">
        <row r="7">
          <cell r="F7">
            <v>119.217621081</v>
          </cell>
          <cell r="G7">
            <v>108.27578299199999</v>
          </cell>
          <cell r="H7">
            <v>102.213617493</v>
          </cell>
          <cell r="I7">
            <v>101.43395515500001</v>
          </cell>
          <cell r="J7">
            <v>116.036312106</v>
          </cell>
          <cell r="K7">
            <v>140.18995547700001</v>
          </cell>
          <cell r="L7">
            <v>165.52225969499997</v>
          </cell>
          <cell r="M7">
            <v>166.90135788300003</v>
          </cell>
          <cell r="N7">
            <v>185.48711766000002</v>
          </cell>
          <cell r="O7">
            <v>197.41804625399999</v>
          </cell>
          <cell r="P7">
            <v>213.517236231</v>
          </cell>
          <cell r="Q7">
            <v>227.46509065800001</v>
          </cell>
          <cell r="R7">
            <v>232.30509315</v>
          </cell>
          <cell r="S7">
            <v>229.66212909900003</v>
          </cell>
          <cell r="T7">
            <v>231.77404508700002</v>
          </cell>
          <cell r="U7">
            <v>231.47958557100003</v>
          </cell>
          <cell r="V7">
            <v>224.85135390900001</v>
          </cell>
          <cell r="W7">
            <v>226.823880777</v>
          </cell>
          <cell r="X7">
            <v>245.075135136</v>
          </cell>
          <cell r="Y7">
            <v>251.45915967900001</v>
          </cell>
          <cell r="Z7">
            <v>236.50028145899998</v>
          </cell>
          <cell r="AA7">
            <v>206.25889229400002</v>
          </cell>
          <cell r="AB7">
            <v>174.60397617000001</v>
          </cell>
          <cell r="AC7">
            <v>142.60799514000001</v>
          </cell>
        </row>
        <row r="8">
          <cell r="F8">
            <v>126.194319849</v>
          </cell>
          <cell r="G8">
            <v>113.79708966600002</v>
          </cell>
          <cell r="H8">
            <v>106.68558829499999</v>
          </cell>
          <cell r="I8">
            <v>104.14100517600001</v>
          </cell>
          <cell r="J8">
            <v>110.540608503</v>
          </cell>
          <cell r="K8">
            <v>122.613220899</v>
          </cell>
          <cell r="L8">
            <v>141.83129652900001</v>
          </cell>
          <cell r="M8">
            <v>145.67432517300003</v>
          </cell>
          <cell r="N8">
            <v>167.24914740300002</v>
          </cell>
          <cell r="O8">
            <v>183.22635197100001</v>
          </cell>
          <cell r="P8">
            <v>196.879479264</v>
          </cell>
          <cell r="Q8">
            <v>208.34379879299999</v>
          </cell>
          <cell r="R8">
            <v>210.78745291499999</v>
          </cell>
          <cell r="S8">
            <v>205.743166785</v>
          </cell>
          <cell r="T8">
            <v>199.53891036300001</v>
          </cell>
          <cell r="U8">
            <v>196.34305606499998</v>
          </cell>
          <cell r="V8">
            <v>193.04736032400001</v>
          </cell>
          <cell r="W8">
            <v>203.08567164600004</v>
          </cell>
          <cell r="X8">
            <v>218.979461961</v>
          </cell>
          <cell r="Y8">
            <v>223.67907888300002</v>
          </cell>
          <cell r="Z8">
            <v>209.76557351099999</v>
          </cell>
          <cell r="AA8">
            <v>189.56011557599999</v>
          </cell>
          <cell r="AB8">
            <v>167.40823776300002</v>
          </cell>
          <cell r="AC8">
            <v>145.28025766800002</v>
          </cell>
        </row>
        <row r="9">
          <cell r="F9">
            <v>126.246716037</v>
          </cell>
          <cell r="G9">
            <v>112.83281076600001</v>
          </cell>
          <cell r="H9">
            <v>104.27429886900001</v>
          </cell>
          <cell r="I9">
            <v>99.797513790000011</v>
          </cell>
          <cell r="J9">
            <v>101.05702659000001</v>
          </cell>
          <cell r="K9">
            <v>106.178469267</v>
          </cell>
          <cell r="L9">
            <v>115.04074182900001</v>
          </cell>
          <cell r="M9">
            <v>111.57101182500001</v>
          </cell>
          <cell r="N9">
            <v>128.40534844800001</v>
          </cell>
          <cell r="O9">
            <v>143.91308271599999</v>
          </cell>
          <cell r="P9">
            <v>156.14137476600001</v>
          </cell>
          <cell r="Q9">
            <v>170.242722351</v>
          </cell>
          <cell r="R9">
            <v>179.44436585400001</v>
          </cell>
          <cell r="S9">
            <v>181.57330120800003</v>
          </cell>
          <cell r="T9">
            <v>177.543016833</v>
          </cell>
          <cell r="U9">
            <v>173.846201568</v>
          </cell>
          <cell r="V9">
            <v>170.40725902200001</v>
          </cell>
          <cell r="W9">
            <v>181.83108566999999</v>
          </cell>
          <cell r="X9">
            <v>198.68565876900001</v>
          </cell>
          <cell r="Y9">
            <v>208.20832429799998</v>
          </cell>
          <cell r="Z9">
            <v>198.09227848800001</v>
          </cell>
          <cell r="AA9">
            <v>180.698019528</v>
          </cell>
          <cell r="AB9">
            <v>157.65474316799998</v>
          </cell>
          <cell r="AC9">
            <v>133.297322925</v>
          </cell>
        </row>
        <row r="10">
          <cell r="F10">
            <v>121.495172682</v>
          </cell>
          <cell r="G10">
            <v>111.857929638</v>
          </cell>
          <cell r="H10">
            <v>102.70197194400001</v>
          </cell>
          <cell r="I10">
            <v>97.355681748000023</v>
          </cell>
          <cell r="J10">
            <v>97.188967122000008</v>
          </cell>
          <cell r="K10">
            <v>100.51350012600001</v>
          </cell>
          <cell r="L10">
            <v>102.842098437</v>
          </cell>
          <cell r="M10">
            <v>93.815072831999998</v>
          </cell>
          <cell r="N10">
            <v>105.92593751999999</v>
          </cell>
          <cell r="O10">
            <v>118.70592407700001</v>
          </cell>
          <cell r="P10">
            <v>132.47616271500002</v>
          </cell>
          <cell r="Q10">
            <v>147.23440715100003</v>
          </cell>
          <cell r="R10">
            <v>158.03336000399997</v>
          </cell>
          <cell r="S10">
            <v>159.811152072</v>
          </cell>
          <cell r="T10">
            <v>156.46742459400002</v>
          </cell>
          <cell r="U10">
            <v>152.84169891900001</v>
          </cell>
          <cell r="V10">
            <v>150.37474210200003</v>
          </cell>
          <cell r="W10">
            <v>163.734133017</v>
          </cell>
          <cell r="X10">
            <v>185.24021727900001</v>
          </cell>
          <cell r="Y10">
            <v>192.70874953200001</v>
          </cell>
          <cell r="Z10">
            <v>182.17196836799999</v>
          </cell>
          <cell r="AA10">
            <v>165.45068896199999</v>
          </cell>
          <cell r="AB10">
            <v>145.109090334</v>
          </cell>
          <cell r="AC10">
            <v>124.506139953</v>
          </cell>
        </row>
        <row r="11">
          <cell r="F11">
            <v>124.95609122099999</v>
          </cell>
          <cell r="G11">
            <v>114.105263181</v>
          </cell>
          <cell r="H11">
            <v>108.80863035900001</v>
          </cell>
          <cell r="I11">
            <v>108.79173341400001</v>
          </cell>
          <cell r="J11">
            <v>128.30927643300001</v>
          </cell>
          <cell r="K11">
            <v>164.05275786900003</v>
          </cell>
          <cell r="L11">
            <v>192.02223818699997</v>
          </cell>
          <cell r="M11">
            <v>187.606558269</v>
          </cell>
          <cell r="N11">
            <v>203.24555347200001</v>
          </cell>
          <cell r="O11">
            <v>213.23204654700001</v>
          </cell>
          <cell r="P11">
            <v>229.21783766700003</v>
          </cell>
          <cell r="Q11">
            <v>242.23417646999999</v>
          </cell>
          <cell r="R11">
            <v>242.98628554199999</v>
          </cell>
          <cell r="S11">
            <v>239.30907471900002</v>
          </cell>
          <cell r="T11">
            <v>241.69081513200001</v>
          </cell>
          <cell r="U11">
            <v>242.10996755400001</v>
          </cell>
          <cell r="V11">
            <v>235.99502436900002</v>
          </cell>
          <cell r="W11">
            <v>238.80374930100001</v>
          </cell>
          <cell r="X11">
            <v>257.27288456999997</v>
          </cell>
          <cell r="Y11">
            <v>265.889042523</v>
          </cell>
          <cell r="Z11">
            <v>249.79220132100002</v>
          </cell>
          <cell r="AA11">
            <v>216.15391125899998</v>
          </cell>
          <cell r="AB11">
            <v>181.61962474500001</v>
          </cell>
          <cell r="AC11">
            <v>147.51352987800001</v>
          </cell>
        </row>
        <row r="12">
          <cell r="F12">
            <v>140.63911527900001</v>
          </cell>
          <cell r="G12">
            <v>127.72945926</v>
          </cell>
          <cell r="H12">
            <v>119.769660075</v>
          </cell>
          <cell r="I12">
            <v>118.113244158</v>
          </cell>
          <cell r="J12">
            <v>125.49937568999999</v>
          </cell>
          <cell r="K12">
            <v>139.36485217200001</v>
          </cell>
          <cell r="L12">
            <v>162.99820914</v>
          </cell>
          <cell r="M12">
            <v>168.14315380200003</v>
          </cell>
          <cell r="N12">
            <v>192.46888693500003</v>
          </cell>
          <cell r="O12">
            <v>207.81470661899999</v>
          </cell>
          <cell r="P12">
            <v>222.06728969100001</v>
          </cell>
          <cell r="Q12">
            <v>230.62556813399999</v>
          </cell>
          <cell r="R12">
            <v>230.786361</v>
          </cell>
          <cell r="S12">
            <v>223.33633994100001</v>
          </cell>
          <cell r="T12">
            <v>216.14837669100001</v>
          </cell>
          <cell r="U12">
            <v>213.46133823300002</v>
          </cell>
          <cell r="V12">
            <v>210.15714989100002</v>
          </cell>
          <cell r="W12">
            <v>220.11683846100001</v>
          </cell>
          <cell r="X12">
            <v>235.114060077</v>
          </cell>
          <cell r="Y12">
            <v>241.24884400500002</v>
          </cell>
          <cell r="Z12">
            <v>227.51081347799999</v>
          </cell>
          <cell r="AA12">
            <v>205.98531267600001</v>
          </cell>
          <cell r="AB12">
            <v>180.77005716900001</v>
          </cell>
          <cell r="AC12">
            <v>156.234611169</v>
          </cell>
        </row>
        <row r="13">
          <cell r="F13">
            <v>137.06950397399999</v>
          </cell>
          <cell r="G13">
            <v>123.325238517</v>
          </cell>
          <cell r="H13">
            <v>114.597458235</v>
          </cell>
          <cell r="I13">
            <v>110.197900878</v>
          </cell>
          <cell r="J13">
            <v>111.96648574800001</v>
          </cell>
          <cell r="K13">
            <v>117.461292546</v>
          </cell>
          <cell r="L13">
            <v>128.25629660999999</v>
          </cell>
          <cell r="M13">
            <v>125.869551171</v>
          </cell>
          <cell r="N13">
            <v>144.60580906200002</v>
          </cell>
          <cell r="O13">
            <v>160.49190678300002</v>
          </cell>
          <cell r="P13">
            <v>173.97766748699999</v>
          </cell>
          <cell r="Q13">
            <v>188.621063943</v>
          </cell>
          <cell r="R13">
            <v>197.533104912</v>
          </cell>
          <cell r="S13">
            <v>198.18136965899998</v>
          </cell>
          <cell r="T13">
            <v>193.57701051000001</v>
          </cell>
          <cell r="U13">
            <v>189.73504664400002</v>
          </cell>
          <cell r="V13">
            <v>185.74519536299999</v>
          </cell>
          <cell r="W13">
            <v>196.96521382200001</v>
          </cell>
          <cell r="X13">
            <v>213.79637319299997</v>
          </cell>
          <cell r="Y13">
            <v>224.92952114100001</v>
          </cell>
          <cell r="Z13">
            <v>214.46294130300001</v>
          </cell>
          <cell r="AA13">
            <v>195.150800793</v>
          </cell>
          <cell r="AB13">
            <v>168.108608304</v>
          </cell>
          <cell r="AC13">
            <v>141.07271337899999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F15">
            <v>122.21495691600001</v>
          </cell>
          <cell r="G15">
            <v>111.99446037</v>
          </cell>
          <cell r="H15">
            <v>106.749657183</v>
          </cell>
          <cell r="I15">
            <v>106.96943704200001</v>
          </cell>
          <cell r="J15">
            <v>126.33370896900001</v>
          </cell>
          <cell r="K15">
            <v>160.87379766900003</v>
          </cell>
          <cell r="L15">
            <v>187.55370656100001</v>
          </cell>
          <cell r="M15">
            <v>185.17943382899998</v>
          </cell>
          <cell r="N15">
            <v>200.48559765000002</v>
          </cell>
          <cell r="O15">
            <v>210.34344048899999</v>
          </cell>
          <cell r="P15">
            <v>226.19937139799998</v>
          </cell>
          <cell r="Q15">
            <v>239.09061302100002</v>
          </cell>
          <cell r="R15">
            <v>240.47471908200004</v>
          </cell>
          <cell r="S15">
            <v>236.817107007</v>
          </cell>
          <cell r="T15">
            <v>238.99860082800001</v>
          </cell>
          <cell r="U15">
            <v>238.41359926799998</v>
          </cell>
          <cell r="V15">
            <v>232.51015117200001</v>
          </cell>
          <cell r="W15">
            <v>236.16386570399999</v>
          </cell>
          <cell r="X15">
            <v>253.955665509</v>
          </cell>
          <cell r="Y15">
            <v>261.70365358800001</v>
          </cell>
          <cell r="Z15">
            <v>245.314123704</v>
          </cell>
          <cell r="AA15">
            <v>211.703885133</v>
          </cell>
          <cell r="AB15">
            <v>178.18390785000003</v>
          </cell>
          <cell r="AC15">
            <v>144.40596674400001</v>
          </cell>
        </row>
        <row r="16">
          <cell r="F16">
            <v>132.598894038</v>
          </cell>
          <cell r="G16">
            <v>120.48694464300002</v>
          </cell>
          <cell r="H16">
            <v>113.27027793900001</v>
          </cell>
          <cell r="I16">
            <v>111.811347024</v>
          </cell>
          <cell r="J16">
            <v>119.871836058</v>
          </cell>
          <cell r="K16">
            <v>135.21113611200002</v>
          </cell>
          <cell r="L16">
            <v>158.04352948800002</v>
          </cell>
          <cell r="M16">
            <v>166.28374393800001</v>
          </cell>
          <cell r="N16">
            <v>188.90676893399998</v>
          </cell>
          <cell r="O16">
            <v>203.50392441600002</v>
          </cell>
          <cell r="P16">
            <v>217.36887420300002</v>
          </cell>
          <cell r="Q16">
            <v>227.84228114699999</v>
          </cell>
          <cell r="R16">
            <v>228.44314334400002</v>
          </cell>
          <cell r="S16">
            <v>222.38797292400002</v>
          </cell>
          <cell r="T16">
            <v>216.18750301200001</v>
          </cell>
          <cell r="U16">
            <v>212.02537122000001</v>
          </cell>
          <cell r="V16">
            <v>208.24279008000002</v>
          </cell>
          <cell r="W16">
            <v>219.32153470500003</v>
          </cell>
          <cell r="X16">
            <v>231.841197276</v>
          </cell>
          <cell r="Y16">
            <v>238.00147039500001</v>
          </cell>
          <cell r="Z16">
            <v>223.77360213</v>
          </cell>
          <cell r="AA16">
            <v>203.31729787199998</v>
          </cell>
          <cell r="AB16">
            <v>178.524881652</v>
          </cell>
          <cell r="AC16">
            <v>154.95537150600001</v>
          </cell>
        </row>
        <row r="17">
          <cell r="F17">
            <v>132.96322178099999</v>
          </cell>
          <cell r="G17">
            <v>119.511055677</v>
          </cell>
          <cell r="H17">
            <v>110.87503420500001</v>
          </cell>
          <cell r="I17">
            <v>106.589593149</v>
          </cell>
          <cell r="J17">
            <v>107.83688947200001</v>
          </cell>
          <cell r="K17">
            <v>113.36364815100001</v>
          </cell>
          <cell r="L17">
            <v>122.34674169900001</v>
          </cell>
          <cell r="M17">
            <v>123.047940717</v>
          </cell>
          <cell r="N17">
            <v>141.91879622699997</v>
          </cell>
          <cell r="O17">
            <v>156.35139226200002</v>
          </cell>
          <cell r="P17">
            <v>169.083503667</v>
          </cell>
          <cell r="Q17">
            <v>182.534431326</v>
          </cell>
          <cell r="R17">
            <v>191.10639814499999</v>
          </cell>
          <cell r="S17">
            <v>191.75046641399999</v>
          </cell>
          <cell r="T17">
            <v>187.60848284100001</v>
          </cell>
          <cell r="U17">
            <v>184.72946547899997</v>
          </cell>
          <cell r="V17">
            <v>181.34808073200003</v>
          </cell>
          <cell r="W17">
            <v>192.93766826100003</v>
          </cell>
          <cell r="X17">
            <v>209.622284001</v>
          </cell>
          <cell r="Y17">
            <v>220.82433788999998</v>
          </cell>
          <cell r="Z17">
            <v>210.74125464600002</v>
          </cell>
          <cell r="AA17">
            <v>191.91000375299998</v>
          </cell>
          <cell r="AB17">
            <v>166.63660396499998</v>
          </cell>
          <cell r="AC17">
            <v>140.31389962200001</v>
          </cell>
        </row>
        <row r="18">
          <cell r="F18">
            <v>139.281195924</v>
          </cell>
          <cell r="G18">
            <v>126.074851188</v>
          </cell>
          <cell r="H18">
            <v>117.91249649400001</v>
          </cell>
          <cell r="I18">
            <v>114.411853764</v>
          </cell>
          <cell r="J18">
            <v>117.16242587399999</v>
          </cell>
          <cell r="K18">
            <v>122.975732256</v>
          </cell>
          <cell r="L18">
            <v>131.10593862600001</v>
          </cell>
          <cell r="M18">
            <v>131.497791165</v>
          </cell>
          <cell r="N18">
            <v>149.91995947500001</v>
          </cell>
          <cell r="O18">
            <v>166.646619711</v>
          </cell>
          <cell r="P18">
            <v>182.28731741999999</v>
          </cell>
          <cell r="Q18">
            <v>199.89079386900002</v>
          </cell>
          <cell r="R18">
            <v>208.85527373099998</v>
          </cell>
          <cell r="S18">
            <v>205.99053122700002</v>
          </cell>
          <cell r="T18">
            <v>200.00528027999999</v>
          </cell>
          <cell r="U18">
            <v>196.35746473200001</v>
          </cell>
          <cell r="V18">
            <v>194.31651591300002</v>
          </cell>
          <cell r="W18">
            <v>206.530311039</v>
          </cell>
          <cell r="X18">
            <v>225.45868449</v>
          </cell>
          <cell r="Y18">
            <v>240.7275156</v>
          </cell>
          <cell r="Z18">
            <v>227.27955166800001</v>
          </cell>
          <cell r="AA18">
            <v>205.423417368</v>
          </cell>
          <cell r="AB18">
            <v>177.237234798</v>
          </cell>
          <cell r="AC18">
            <v>149.56288304100002</v>
          </cell>
        </row>
        <row r="19">
          <cell r="F19">
            <v>121.744094433</v>
          </cell>
          <cell r="G19">
            <v>111.193587882</v>
          </cell>
          <cell r="H19">
            <v>105.925314027</v>
          </cell>
          <cell r="I19">
            <v>106.13006172600001</v>
          </cell>
          <cell r="J19">
            <v>124.35513222599999</v>
          </cell>
          <cell r="K19">
            <v>154.63719078599999</v>
          </cell>
          <cell r="L19">
            <v>181.12127447700001</v>
          </cell>
          <cell r="M19">
            <v>181.50729351300001</v>
          </cell>
          <cell r="N19">
            <v>197.53267786199999</v>
          </cell>
          <cell r="O19">
            <v>208.211774862</v>
          </cell>
          <cell r="P19">
            <v>224.01552595500002</v>
          </cell>
          <cell r="Q19">
            <v>237.57893289</v>
          </cell>
          <cell r="R19">
            <v>240.14841017700002</v>
          </cell>
          <cell r="S19">
            <v>236.32699026300003</v>
          </cell>
          <cell r="T19">
            <v>238.21760894100001</v>
          </cell>
          <cell r="U19">
            <v>237.99839563500001</v>
          </cell>
          <cell r="V19">
            <v>231.55334280000002</v>
          </cell>
          <cell r="W19">
            <v>236.03058339900002</v>
          </cell>
          <cell r="X19">
            <v>255.81362909699999</v>
          </cell>
          <cell r="Y19">
            <v>260.79433602300003</v>
          </cell>
          <cell r="Z19">
            <v>244.45149693900001</v>
          </cell>
          <cell r="AA19">
            <v>211.782559131</v>
          </cell>
          <cell r="AB19">
            <v>179.62674467400001</v>
          </cell>
          <cell r="AC19">
            <v>145.087584096</v>
          </cell>
        </row>
        <row r="20">
          <cell r="F20">
            <v>130.09077529499999</v>
          </cell>
          <cell r="G20">
            <v>117.20187675300001</v>
          </cell>
          <cell r="H20">
            <v>109.94680971299999</v>
          </cell>
          <cell r="I20">
            <v>108.382935531</v>
          </cell>
          <cell r="J20">
            <v>115.286164617</v>
          </cell>
          <cell r="K20">
            <v>127.59166730699999</v>
          </cell>
          <cell r="L20">
            <v>147.77727880500001</v>
          </cell>
          <cell r="M20">
            <v>154.68504031499998</v>
          </cell>
          <cell r="N20">
            <v>176.64364953300003</v>
          </cell>
          <cell r="O20">
            <v>191.67532838999998</v>
          </cell>
          <cell r="P20">
            <v>204.928187412</v>
          </cell>
          <cell r="Q20">
            <v>214.815920904</v>
          </cell>
          <cell r="R20">
            <v>217.26315085800002</v>
          </cell>
          <cell r="S20">
            <v>213.11752312500002</v>
          </cell>
          <cell r="T20">
            <v>208.028077881</v>
          </cell>
          <cell r="U20">
            <v>206.61453099299999</v>
          </cell>
          <cell r="V20">
            <v>204.49137220200004</v>
          </cell>
          <cell r="W20">
            <v>216.135610743</v>
          </cell>
          <cell r="X20">
            <v>230.28275801700002</v>
          </cell>
          <cell r="Y20">
            <v>234.59127970200004</v>
          </cell>
          <cell r="Z20">
            <v>219.92441257800002</v>
          </cell>
          <cell r="AA20">
            <v>199.49943955500001</v>
          </cell>
          <cell r="AB20">
            <v>176.60434100399999</v>
          </cell>
          <cell r="AC20">
            <v>153.24355296900001</v>
          </cell>
        </row>
        <row r="21">
          <cell r="F21">
            <v>133.749016557</v>
          </cell>
          <cell r="G21">
            <v>120.144911757</v>
          </cell>
          <cell r="H21">
            <v>111.50868245400001</v>
          </cell>
          <cell r="I21">
            <v>107.639971023</v>
          </cell>
          <cell r="J21">
            <v>109.153262556</v>
          </cell>
          <cell r="K21">
            <v>112.91717591699999</v>
          </cell>
          <cell r="L21">
            <v>123.31022913300001</v>
          </cell>
          <cell r="M21">
            <v>124.59596565</v>
          </cell>
          <cell r="N21">
            <v>143.61126939900001</v>
          </cell>
          <cell r="O21">
            <v>159.489899439</v>
          </cell>
          <cell r="P21">
            <v>171.08686923899998</v>
          </cell>
          <cell r="Q21">
            <v>182.32859322600001</v>
          </cell>
          <cell r="R21">
            <v>190.34354734199999</v>
          </cell>
          <cell r="S21">
            <v>191.739351726</v>
          </cell>
          <cell r="T21">
            <v>189.47010197700001</v>
          </cell>
          <cell r="U21">
            <v>186.59590743300001</v>
          </cell>
          <cell r="V21">
            <v>183.26851319400001</v>
          </cell>
          <cell r="W21">
            <v>196.09530727800001</v>
          </cell>
          <cell r="X21">
            <v>213.01593362400001</v>
          </cell>
          <cell r="Y21">
            <v>221.62147511399999</v>
          </cell>
          <cell r="Z21">
            <v>210.631462938</v>
          </cell>
          <cell r="AA21">
            <v>191.16905492100003</v>
          </cell>
          <cell r="AB21">
            <v>164.92065158400001</v>
          </cell>
          <cell r="AC21">
            <v>138.41505026700003</v>
          </cell>
        </row>
        <row r="22">
          <cell r="F22">
            <v>139.87797267600001</v>
          </cell>
          <cell r="G22">
            <v>125.713512795</v>
          </cell>
          <cell r="H22">
            <v>116.981097597</v>
          </cell>
          <cell r="I22">
            <v>113.03635418399999</v>
          </cell>
          <cell r="J22">
            <v>115.08687177</v>
          </cell>
          <cell r="K22">
            <v>119.20901744700001</v>
          </cell>
          <cell r="L22">
            <v>127.333558287</v>
          </cell>
          <cell r="M22">
            <v>126.287129202</v>
          </cell>
          <cell r="N22">
            <v>143.14755573300002</v>
          </cell>
          <cell r="O22">
            <v>152.903481666</v>
          </cell>
          <cell r="P22">
            <v>158.50511075099999</v>
          </cell>
          <cell r="Q22">
            <v>171.97444711200001</v>
          </cell>
          <cell r="R22">
            <v>184.10089058400001</v>
          </cell>
          <cell r="S22">
            <v>183.03717736199999</v>
          </cell>
          <cell r="T22">
            <v>178.41663017100004</v>
          </cell>
          <cell r="U22">
            <v>175.47743577</v>
          </cell>
          <cell r="V22">
            <v>175.54352318099998</v>
          </cell>
          <cell r="W22">
            <v>189.77377723200001</v>
          </cell>
          <cell r="X22">
            <v>207.85455323100001</v>
          </cell>
          <cell r="Y22">
            <v>214.04917825200002</v>
          </cell>
          <cell r="Z22">
            <v>200.87164230899998</v>
          </cell>
          <cell r="AA22">
            <v>187.96746107100003</v>
          </cell>
          <cell r="AB22">
            <v>172.97860394100002</v>
          </cell>
          <cell r="AC22">
            <v>151.339684353</v>
          </cell>
        </row>
        <row r="23">
          <cell r="F23">
            <v>111.770162322</v>
          </cell>
          <cell r="G23">
            <v>101.077308618</v>
          </cell>
          <cell r="H23">
            <v>95.687772492000008</v>
          </cell>
          <cell r="I23">
            <v>96.018363284999992</v>
          </cell>
          <cell r="J23">
            <v>114.15517109100001</v>
          </cell>
          <cell r="K23">
            <v>144.43780759199998</v>
          </cell>
          <cell r="L23">
            <v>172.38701727</v>
          </cell>
          <cell r="M23">
            <v>173.33644052400001</v>
          </cell>
          <cell r="N23">
            <v>188.574854286</v>
          </cell>
          <cell r="O23">
            <v>199.403023053</v>
          </cell>
          <cell r="P23">
            <v>215.40225201300001</v>
          </cell>
          <cell r="Q23">
            <v>228.53475695700004</v>
          </cell>
          <cell r="R23">
            <v>229.51509578400001</v>
          </cell>
          <cell r="S23">
            <v>225.00237017700002</v>
          </cell>
          <cell r="T23">
            <v>226.31130405000002</v>
          </cell>
          <cell r="U23">
            <v>226.50533279400003</v>
          </cell>
          <cell r="V23">
            <v>220.223606655</v>
          </cell>
          <cell r="W23">
            <v>224.21163016199998</v>
          </cell>
          <cell r="X23">
            <v>243.70556585700004</v>
          </cell>
          <cell r="Y23">
            <v>250.61233945800001</v>
          </cell>
          <cell r="Z23">
            <v>234.09618924900002</v>
          </cell>
          <cell r="AA23">
            <v>201.65563208700001</v>
          </cell>
          <cell r="AB23">
            <v>168.94650318000001</v>
          </cell>
          <cell r="AC23">
            <v>134.798175915</v>
          </cell>
        </row>
        <row r="24">
          <cell r="F24">
            <v>123.072456234</v>
          </cell>
          <cell r="G24">
            <v>110.25373908899999</v>
          </cell>
          <cell r="H24">
            <v>103.42818755100001</v>
          </cell>
          <cell r="I24">
            <v>101.41414288199999</v>
          </cell>
          <cell r="J24">
            <v>108.40830230100001</v>
          </cell>
          <cell r="K24">
            <v>119.90340644100002</v>
          </cell>
          <cell r="L24">
            <v>142.39483740300003</v>
          </cell>
          <cell r="M24">
            <v>151.23561226800001</v>
          </cell>
          <cell r="N24">
            <v>174.48317796000003</v>
          </cell>
          <cell r="O24">
            <v>189.83607528600001</v>
          </cell>
          <cell r="P24">
            <v>203.68355588100002</v>
          </cell>
          <cell r="Q24">
            <v>213.19542843300002</v>
          </cell>
          <cell r="R24">
            <v>213.28329254700003</v>
          </cell>
          <cell r="S24">
            <v>206.53794669299998</v>
          </cell>
          <cell r="T24">
            <v>199.84832232299999</v>
          </cell>
          <cell r="U24">
            <v>197.085417009</v>
          </cell>
          <cell r="V24">
            <v>193.926465525</v>
          </cell>
          <cell r="W24">
            <v>205.77758701499999</v>
          </cell>
          <cell r="X24">
            <v>218.54987813100001</v>
          </cell>
          <cell r="Y24">
            <v>224.12174183099998</v>
          </cell>
          <cell r="Z24">
            <v>210.82543758900002</v>
          </cell>
          <cell r="AA24">
            <v>190.21673057400002</v>
          </cell>
          <cell r="AB24">
            <v>166.84964782200001</v>
          </cell>
          <cell r="AC24">
            <v>142.86164860500003</v>
          </cell>
        </row>
        <row r="25">
          <cell r="F25">
            <v>121.003974078</v>
          </cell>
          <cell r="G25">
            <v>108.01537929000001</v>
          </cell>
          <cell r="H25">
            <v>99.255336804000009</v>
          </cell>
          <cell r="I25">
            <v>95.116593116999994</v>
          </cell>
          <cell r="J25">
            <v>95.516206577999995</v>
          </cell>
          <cell r="K25">
            <v>98.176878969000015</v>
          </cell>
          <cell r="L25">
            <v>108.467337693</v>
          </cell>
          <cell r="M25">
            <v>109.877627613</v>
          </cell>
          <cell r="N25">
            <v>129.547112175</v>
          </cell>
          <cell r="O25">
            <v>146.208986079</v>
          </cell>
          <cell r="P25">
            <v>159.35771038200002</v>
          </cell>
          <cell r="Q25">
            <v>172.82073494400001</v>
          </cell>
          <cell r="R25">
            <v>179.34524754900002</v>
          </cell>
          <cell r="S25">
            <v>178.35213423300002</v>
          </cell>
          <cell r="T25">
            <v>171.91186435800003</v>
          </cell>
          <cell r="U25">
            <v>170.067247506</v>
          </cell>
          <cell r="V25">
            <v>166.98689599799999</v>
          </cell>
          <cell r="W25">
            <v>180.361361778</v>
          </cell>
          <cell r="X25">
            <v>197.08211733599998</v>
          </cell>
          <cell r="Y25">
            <v>206.76476718300003</v>
          </cell>
          <cell r="Z25">
            <v>196.79941593000001</v>
          </cell>
          <cell r="AA25">
            <v>178.63231604399999</v>
          </cell>
          <cell r="AB25">
            <v>153.20966228099999</v>
          </cell>
          <cell r="AC25">
            <v>126.635875314</v>
          </cell>
        </row>
        <row r="26">
          <cell r="F26">
            <v>114.37780933799999</v>
          </cell>
          <cell r="G26">
            <v>102.034683543</v>
          </cell>
          <cell r="H26">
            <v>94.792963239000002</v>
          </cell>
          <cell r="I26">
            <v>92.464763508000004</v>
          </cell>
          <cell r="J26">
            <v>98.390261619000015</v>
          </cell>
          <cell r="K26">
            <v>107.522025507</v>
          </cell>
          <cell r="L26">
            <v>118.993274634</v>
          </cell>
          <cell r="M26">
            <v>120.85760980800001</v>
          </cell>
          <cell r="N26">
            <v>139.56845253</v>
          </cell>
          <cell r="O26">
            <v>154.80653888700002</v>
          </cell>
          <cell r="P26">
            <v>171.76513282499999</v>
          </cell>
          <cell r="Q26">
            <v>185.64959879700001</v>
          </cell>
          <cell r="R26">
            <v>196.88499675000003</v>
          </cell>
          <cell r="S26">
            <v>192.80152472100002</v>
          </cell>
          <cell r="T26">
            <v>185.390983011</v>
          </cell>
          <cell r="U26">
            <v>177.91834538399999</v>
          </cell>
          <cell r="V26">
            <v>175.70074590899998</v>
          </cell>
          <cell r="W26">
            <v>192.83058120300001</v>
          </cell>
          <cell r="X26">
            <v>208.63087034400002</v>
          </cell>
          <cell r="Y26">
            <v>214.634697966</v>
          </cell>
          <cell r="Z26">
            <v>200.72179615800002</v>
          </cell>
          <cell r="AA26">
            <v>179.66368449900003</v>
          </cell>
          <cell r="AB26">
            <v>153.09872892599998</v>
          </cell>
          <cell r="AC26">
            <v>126.27283441500001</v>
          </cell>
        </row>
        <row r="27">
          <cell r="F27">
            <v>109.94132923799999</v>
          </cell>
          <cell r="G27">
            <v>99.080149505999998</v>
          </cell>
          <cell r="H27">
            <v>93.521473110000002</v>
          </cell>
          <cell r="I27">
            <v>93.482426505000007</v>
          </cell>
          <cell r="J27">
            <v>109.35228209100002</v>
          </cell>
          <cell r="K27">
            <v>133.42180230599999</v>
          </cell>
          <cell r="L27">
            <v>160.99260867300001</v>
          </cell>
          <cell r="M27">
            <v>165.97017535800001</v>
          </cell>
          <cell r="N27">
            <v>183.035121828</v>
          </cell>
          <cell r="O27">
            <v>194.36068427100003</v>
          </cell>
          <cell r="P27">
            <v>209.530579284</v>
          </cell>
          <cell r="Q27">
            <v>223.41458688899999</v>
          </cell>
          <cell r="R27">
            <v>226.68616284600003</v>
          </cell>
          <cell r="S27">
            <v>222.96832533300002</v>
          </cell>
          <cell r="T27">
            <v>224.54015403299999</v>
          </cell>
          <cell r="U27">
            <v>224.60184282899999</v>
          </cell>
          <cell r="V27">
            <v>218.40875518800001</v>
          </cell>
          <cell r="W27">
            <v>221.50248759600001</v>
          </cell>
          <cell r="X27">
            <v>235.76434334700002</v>
          </cell>
          <cell r="Y27">
            <v>243.51284103899999</v>
          </cell>
          <cell r="Z27">
            <v>227.16870087599997</v>
          </cell>
          <cell r="AA27">
            <v>196.16301747899999</v>
          </cell>
          <cell r="AB27">
            <v>163.92968490600001</v>
          </cell>
          <cell r="AC27">
            <v>131.86131320699999</v>
          </cell>
        </row>
        <row r="28">
          <cell r="F28">
            <v>119.87405956500001</v>
          </cell>
          <cell r="G28">
            <v>107.121361503</v>
          </cell>
          <cell r="H28">
            <v>99.298238247</v>
          </cell>
          <cell r="I28">
            <v>97.238735528999996</v>
          </cell>
          <cell r="J28">
            <v>103.91741033700001</v>
          </cell>
          <cell r="K28">
            <v>115.28336032200001</v>
          </cell>
          <cell r="L28">
            <v>137.349759807</v>
          </cell>
          <cell r="M28">
            <v>145.711464288</v>
          </cell>
          <cell r="N28">
            <v>167.64074371199999</v>
          </cell>
          <cell r="O28">
            <v>182.32153551300001</v>
          </cell>
          <cell r="P28">
            <v>196.45908270299998</v>
          </cell>
          <cell r="Q28">
            <v>206.36098286700002</v>
          </cell>
          <cell r="R28">
            <v>207.63951647400003</v>
          </cell>
          <cell r="S28">
            <v>201.148228359</v>
          </cell>
          <cell r="T28">
            <v>195.65593261500001</v>
          </cell>
          <cell r="U28">
            <v>193.91642130899999</v>
          </cell>
          <cell r="V28">
            <v>189.97550426400002</v>
          </cell>
          <cell r="W28">
            <v>201.06645967200001</v>
          </cell>
          <cell r="X28">
            <v>210.82163399699999</v>
          </cell>
          <cell r="Y28">
            <v>219.15830480700004</v>
          </cell>
          <cell r="Z28">
            <v>205.443850287</v>
          </cell>
          <cell r="AA28">
            <v>185.63446414500001</v>
          </cell>
          <cell r="AB28">
            <v>162.99748600200002</v>
          </cell>
          <cell r="AC28">
            <v>140.053797702</v>
          </cell>
        </row>
        <row r="29">
          <cell r="F29">
            <v>121.50915714599999</v>
          </cell>
          <cell r="G29">
            <v>108.70219526400001</v>
          </cell>
          <cell r="H29">
            <v>99.97480217399999</v>
          </cell>
          <cell r="I29">
            <v>96.184015980000012</v>
          </cell>
          <cell r="J29">
            <v>97.216386579000002</v>
          </cell>
          <cell r="K29">
            <v>100.161334767</v>
          </cell>
          <cell r="L29">
            <v>108.86291410800001</v>
          </cell>
          <cell r="M29">
            <v>108.359054895</v>
          </cell>
          <cell r="N29">
            <v>125.54984730599999</v>
          </cell>
          <cell r="O29">
            <v>140.51245794300002</v>
          </cell>
          <cell r="P29">
            <v>151.37125758299999</v>
          </cell>
          <cell r="Q29">
            <v>164.48691398099999</v>
          </cell>
          <cell r="R29">
            <v>172.780936731</v>
          </cell>
          <cell r="S29">
            <v>173.36249911499999</v>
          </cell>
          <cell r="T29">
            <v>169.38590346600003</v>
          </cell>
          <cell r="U29">
            <v>167.09558591699999</v>
          </cell>
          <cell r="V29">
            <v>163.86333557100002</v>
          </cell>
          <cell r="W29">
            <v>175.72326567900001</v>
          </cell>
          <cell r="X29">
            <v>187.88336923200004</v>
          </cell>
          <cell r="Y29">
            <v>199.48258816200001</v>
          </cell>
          <cell r="Z29">
            <v>190.207087785</v>
          </cell>
          <cell r="AA29">
            <v>175.19521835399999</v>
          </cell>
          <cell r="AB29">
            <v>153.14499267599999</v>
          </cell>
          <cell r="AC29">
            <v>129.88361049299999</v>
          </cell>
        </row>
        <row r="30">
          <cell r="F30">
            <v>114.269745759</v>
          </cell>
          <cell r="G30">
            <v>102.02495819100001</v>
          </cell>
          <cell r="H30">
            <v>94.403952005999997</v>
          </cell>
          <cell r="I30">
            <v>91.380008108999988</v>
          </cell>
          <cell r="J30">
            <v>93.738030164999998</v>
          </cell>
          <cell r="K30">
            <v>98.263832043000008</v>
          </cell>
          <cell r="L30">
            <v>106.882176492</v>
          </cell>
          <cell r="M30">
            <v>105.92992332</v>
          </cell>
          <cell r="N30">
            <v>123.42266285700001</v>
          </cell>
          <cell r="O30">
            <v>139.09087966800001</v>
          </cell>
          <cell r="P30">
            <v>155.13499443000003</v>
          </cell>
          <cell r="Q30">
            <v>171.61583045099999</v>
          </cell>
          <cell r="R30">
            <v>181.13365608000001</v>
          </cell>
          <cell r="S30">
            <v>179.29054813800002</v>
          </cell>
          <cell r="T30">
            <v>172.82186520299999</v>
          </cell>
          <cell r="U30">
            <v>169.73238621300001</v>
          </cell>
          <cell r="V30">
            <v>166.89615926099998</v>
          </cell>
          <cell r="W30">
            <v>179.950027218</v>
          </cell>
          <cell r="X30">
            <v>194.42129690100001</v>
          </cell>
          <cell r="Y30">
            <v>211.22388662700004</v>
          </cell>
          <cell r="Z30">
            <v>200.11853393999999</v>
          </cell>
          <cell r="AA30">
            <v>181.34884372800002</v>
          </cell>
          <cell r="AB30">
            <v>154.70723268</v>
          </cell>
          <cell r="AC30">
            <v>127.95753527700001</v>
          </cell>
        </row>
        <row r="31">
          <cell r="F31">
            <v>121.11079921200002</v>
          </cell>
          <cell r="G31">
            <v>109.83825929700001</v>
          </cell>
          <cell r="H31">
            <v>103.69204751100001</v>
          </cell>
          <cell r="I31">
            <v>103.32777386100001</v>
          </cell>
          <cell r="J31">
            <v>119.84063863200001</v>
          </cell>
          <cell r="K31">
            <v>147.67806939600001</v>
          </cell>
          <cell r="L31">
            <v>174.89708620800002</v>
          </cell>
          <cell r="M31">
            <v>177.02982515399998</v>
          </cell>
          <cell r="N31">
            <v>193.71383163600001</v>
          </cell>
          <cell r="O31">
            <v>204.76288489799998</v>
          </cell>
          <cell r="P31">
            <v>220.53688768800001</v>
          </cell>
          <cell r="Q31">
            <v>234.119517567</v>
          </cell>
          <cell r="R31">
            <v>236.59417836599999</v>
          </cell>
          <cell r="S31">
            <v>233.65407292500001</v>
          </cell>
          <cell r="T31">
            <v>236.84982188399999</v>
          </cell>
          <cell r="U31">
            <v>237.502203393</v>
          </cell>
          <cell r="V31">
            <v>230.86228194900002</v>
          </cell>
          <cell r="W31">
            <v>231.791400399</v>
          </cell>
          <cell r="X31">
            <v>245.245556556</v>
          </cell>
          <cell r="Y31">
            <v>258.93388131</v>
          </cell>
          <cell r="Z31">
            <v>243.69116573100001</v>
          </cell>
          <cell r="AA31">
            <v>211.99904785800001</v>
          </cell>
          <cell r="AB31">
            <v>178.02123311700001</v>
          </cell>
          <cell r="AC31">
            <v>144.00258100800002</v>
          </cell>
        </row>
        <row r="32">
          <cell r="F32">
            <v>130.19447157600001</v>
          </cell>
          <cell r="G32">
            <v>117.42900187200001</v>
          </cell>
          <cell r="H32">
            <v>109.79724826200001</v>
          </cell>
          <cell r="I32">
            <v>107.093500761</v>
          </cell>
          <cell r="J32">
            <v>113.50616897100001</v>
          </cell>
          <cell r="K32">
            <v>125.49975149400001</v>
          </cell>
          <cell r="L32">
            <v>147.00488201100001</v>
          </cell>
          <cell r="M32">
            <v>155.50291793400001</v>
          </cell>
          <cell r="N32">
            <v>177.72726328500002</v>
          </cell>
          <cell r="O32">
            <v>192.779719548</v>
          </cell>
          <cell r="P32">
            <v>207.15680193000003</v>
          </cell>
          <cell r="Q32">
            <v>218.15890816200002</v>
          </cell>
          <cell r="R32">
            <v>218.559794232</v>
          </cell>
          <cell r="S32">
            <v>210.58590809100002</v>
          </cell>
          <cell r="T32">
            <v>203.31655480500001</v>
          </cell>
          <cell r="U32">
            <v>201.092845668</v>
          </cell>
          <cell r="V32">
            <v>199.27179912899999</v>
          </cell>
          <cell r="W32">
            <v>210.22984803600002</v>
          </cell>
          <cell r="X32">
            <v>220.16930867100004</v>
          </cell>
          <cell r="Y32">
            <v>229.124518701</v>
          </cell>
          <cell r="Z32">
            <v>214.56858208500003</v>
          </cell>
          <cell r="AA32">
            <v>193.34826544799998</v>
          </cell>
          <cell r="AB32">
            <v>169.77976029300001</v>
          </cell>
          <cell r="AC32">
            <v>146.43074460299999</v>
          </cell>
        </row>
        <row r="33">
          <cell r="F33">
            <v>123.690730683</v>
          </cell>
          <cell r="G33">
            <v>110.34677904900001</v>
          </cell>
          <cell r="H33">
            <v>101.61656458200001</v>
          </cell>
          <cell r="I33">
            <v>97.208896121999999</v>
          </cell>
          <cell r="J33">
            <v>98.791033808999998</v>
          </cell>
          <cell r="K33">
            <v>102.281837307</v>
          </cell>
          <cell r="L33">
            <v>112.412994993</v>
          </cell>
          <cell r="M33">
            <v>112.15150089000001</v>
          </cell>
          <cell r="N33">
            <v>129.704323515</v>
          </cell>
          <cell r="O33">
            <v>145.356047655</v>
          </cell>
          <cell r="P33">
            <v>157.39922491799999</v>
          </cell>
          <cell r="Q33">
            <v>171.232168731</v>
          </cell>
          <cell r="R33">
            <v>179.75223189299999</v>
          </cell>
          <cell r="S33">
            <v>179.99390233500003</v>
          </cell>
          <cell r="T33">
            <v>175.38937806000001</v>
          </cell>
          <cell r="U33">
            <v>173.02232816700001</v>
          </cell>
          <cell r="V33">
            <v>170.181059178</v>
          </cell>
          <cell r="W33">
            <v>182.272544337</v>
          </cell>
          <cell r="X33">
            <v>195.74416968600002</v>
          </cell>
          <cell r="Y33">
            <v>212.316357396</v>
          </cell>
          <cell r="Z33">
            <v>202.05543060300002</v>
          </cell>
          <cell r="AA33">
            <v>182.64583728299999</v>
          </cell>
          <cell r="AB33">
            <v>155.85542777999999</v>
          </cell>
          <cell r="AC33">
            <v>131.01505953900002</v>
          </cell>
        </row>
        <row r="34">
          <cell r="F34">
            <v>136.17668477399999</v>
          </cell>
          <cell r="G34">
            <v>121.87627494899999</v>
          </cell>
          <cell r="H34">
            <v>112.72455643799999</v>
          </cell>
          <cell r="I34">
            <v>108.142671507</v>
          </cell>
          <cell r="J34">
            <v>108.368182377</v>
          </cell>
          <cell r="K34">
            <v>109.64605832699999</v>
          </cell>
          <cell r="L34">
            <v>119.275668564</v>
          </cell>
          <cell r="M34">
            <v>119.422266288</v>
          </cell>
          <cell r="N34">
            <v>136.74580007399999</v>
          </cell>
          <cell r="O34">
            <v>151.15248840899997</v>
          </cell>
          <cell r="P34">
            <v>163.17353024700003</v>
          </cell>
          <cell r="Q34">
            <v>177.63715004100001</v>
          </cell>
          <cell r="R34">
            <v>184.10844367500002</v>
          </cell>
          <cell r="S34">
            <v>185.03935004100003</v>
          </cell>
          <cell r="T34">
            <v>182.01527233500002</v>
          </cell>
          <cell r="U34">
            <v>180.260614989</v>
          </cell>
          <cell r="V34">
            <v>177.57904277100002</v>
          </cell>
          <cell r="W34">
            <v>190.06176836400002</v>
          </cell>
          <cell r="X34">
            <v>202.82442238500002</v>
          </cell>
          <cell r="Y34">
            <v>218.46728950800002</v>
          </cell>
          <cell r="Z34">
            <v>211.66018653</v>
          </cell>
          <cell r="AA34">
            <v>197.06843750100001</v>
          </cell>
          <cell r="AB34">
            <v>171.11140468500002</v>
          </cell>
          <cell r="AC34">
            <v>144.890426499</v>
          </cell>
        </row>
        <row r="35">
          <cell r="F35">
            <v>120.51089076</v>
          </cell>
          <cell r="G35">
            <v>109.167953076</v>
          </cell>
          <cell r="H35">
            <v>103.23425560500002</v>
          </cell>
          <cell r="I35">
            <v>102.908200083</v>
          </cell>
          <cell r="J35">
            <v>120.688273095</v>
          </cell>
          <cell r="K35">
            <v>151.08977184600002</v>
          </cell>
          <cell r="L35">
            <v>179.33826101099999</v>
          </cell>
          <cell r="M35">
            <v>179.58048661800001</v>
          </cell>
          <cell r="N35">
            <v>195.21037142100002</v>
          </cell>
          <cell r="O35">
            <v>205.44064456499999</v>
          </cell>
          <cell r="P35">
            <v>221.072690241</v>
          </cell>
          <cell r="Q35">
            <v>234.75657652200002</v>
          </cell>
          <cell r="R35">
            <v>236.96148122400001</v>
          </cell>
          <cell r="S35">
            <v>233.24369780399999</v>
          </cell>
          <cell r="T35">
            <v>236.289147939</v>
          </cell>
          <cell r="U35">
            <v>236.434404726</v>
          </cell>
          <cell r="V35">
            <v>230.311598127</v>
          </cell>
          <cell r="W35">
            <v>233.14656101100002</v>
          </cell>
          <cell r="X35">
            <v>251.647716489</v>
          </cell>
          <cell r="Y35">
            <v>261.426609171</v>
          </cell>
          <cell r="Z35">
            <v>245.50420081199999</v>
          </cell>
          <cell r="AA35">
            <v>211.95002821200001</v>
          </cell>
          <cell r="AB35">
            <v>177.908742453</v>
          </cell>
          <cell r="AC35">
            <v>143.71666249200001</v>
          </cell>
        </row>
        <row r="36">
          <cell r="F36">
            <v>130.004585217</v>
          </cell>
          <cell r="G36">
            <v>117.50987090700001</v>
          </cell>
          <cell r="H36">
            <v>109.99804432500001</v>
          </cell>
          <cell r="I36">
            <v>107.39865360900001</v>
          </cell>
          <cell r="J36">
            <v>114.35068596900001</v>
          </cell>
          <cell r="K36">
            <v>125.96303526299999</v>
          </cell>
          <cell r="L36">
            <v>147.855793371</v>
          </cell>
          <cell r="M36">
            <v>156.769872792</v>
          </cell>
          <cell r="N36">
            <v>178.86267250800003</v>
          </cell>
          <cell r="O36">
            <v>191.78020332899999</v>
          </cell>
          <cell r="P36">
            <v>204.17094235200003</v>
          </cell>
          <cell r="Q36">
            <v>212.90478674400001</v>
          </cell>
          <cell r="R36">
            <v>214.40307743400001</v>
          </cell>
          <cell r="S36">
            <v>208.63407321900002</v>
          </cell>
          <cell r="T36">
            <v>202.73559029099999</v>
          </cell>
          <cell r="U36">
            <v>200.14797476699999</v>
          </cell>
          <cell r="V36">
            <v>197.20944371700003</v>
          </cell>
          <cell r="W36">
            <v>209.07142366499997</v>
          </cell>
          <cell r="X36">
            <v>222.003425787</v>
          </cell>
          <cell r="Y36">
            <v>228.45354058800001</v>
          </cell>
          <cell r="Z36">
            <v>213.15287147700002</v>
          </cell>
          <cell r="AA36">
            <v>191.99478171900003</v>
          </cell>
          <cell r="AB36">
            <v>167.92166289600002</v>
          </cell>
          <cell r="AC36">
            <v>145.19801922600001</v>
          </cell>
        </row>
        <row r="37">
          <cell r="F37">
            <v>126.259661346</v>
          </cell>
          <cell r="G37">
            <v>113.32862435700001</v>
          </cell>
          <cell r="H37">
            <v>104.38520660100001</v>
          </cell>
          <cell r="I37">
            <v>100.471504029</v>
          </cell>
          <cell r="J37">
            <v>102.110026551</v>
          </cell>
          <cell r="K37">
            <v>107.15939742300002</v>
          </cell>
          <cell r="L37">
            <v>114.94944992699999</v>
          </cell>
          <cell r="M37">
            <v>115.03948060800002</v>
          </cell>
          <cell r="N37">
            <v>132.10888263300001</v>
          </cell>
          <cell r="O37">
            <v>147.499505556</v>
          </cell>
          <cell r="P37">
            <v>160.30733577300001</v>
          </cell>
          <cell r="Q37">
            <v>173.70961958999999</v>
          </cell>
          <cell r="R37">
            <v>182.336707176</v>
          </cell>
          <cell r="S37">
            <v>183.19853393400001</v>
          </cell>
          <cell r="T37">
            <v>177.50912614499998</v>
          </cell>
          <cell r="U37">
            <v>174.67249491900003</v>
          </cell>
          <cell r="V37">
            <v>171.23618584799999</v>
          </cell>
          <cell r="W37">
            <v>185.55495028200002</v>
          </cell>
          <cell r="X37">
            <v>203.36189328000003</v>
          </cell>
          <cell r="Y37">
            <v>214.293325584</v>
          </cell>
          <cell r="Z37">
            <v>203.44587693300002</v>
          </cell>
          <cell r="AA37">
            <v>184.81230748500002</v>
          </cell>
          <cell r="AB37">
            <v>159.04658168100002</v>
          </cell>
          <cell r="AC37">
            <v>134.682582021</v>
          </cell>
        </row>
        <row r="38">
          <cell r="F38">
            <v>121.46473255800001</v>
          </cell>
          <cell r="G38">
            <v>108.357030678</v>
          </cell>
          <cell r="H38">
            <v>99.740545319999995</v>
          </cell>
          <cell r="I38">
            <v>97.765945836</v>
          </cell>
          <cell r="J38">
            <v>100.21320141300001</v>
          </cell>
          <cell r="K38">
            <v>107.578919955</v>
          </cell>
          <cell r="L38">
            <v>118.657681662</v>
          </cell>
          <cell r="M38">
            <v>118.14743947500001</v>
          </cell>
          <cell r="N38">
            <v>137.796855534</v>
          </cell>
          <cell r="O38">
            <v>153.454504281</v>
          </cell>
          <cell r="P38">
            <v>168.81031124100002</v>
          </cell>
          <cell r="Q38">
            <v>184.48212666000001</v>
          </cell>
          <cell r="R38">
            <v>193.64663104800002</v>
          </cell>
          <cell r="S38">
            <v>192.63517451100003</v>
          </cell>
          <cell r="T38">
            <v>186.602475462</v>
          </cell>
          <cell r="U38">
            <v>181.27204875000001</v>
          </cell>
          <cell r="V38">
            <v>179.854208586</v>
          </cell>
          <cell r="W38">
            <v>192.58155126600002</v>
          </cell>
          <cell r="X38">
            <v>208.63900137600001</v>
          </cell>
          <cell r="Y38">
            <v>223.72962452100003</v>
          </cell>
          <cell r="Z38">
            <v>210.96763954500003</v>
          </cell>
          <cell r="AA38">
            <v>188.43831216600003</v>
          </cell>
          <cell r="AB38">
            <v>160.819901112</v>
          </cell>
          <cell r="AC38">
            <v>134.33794982400002</v>
          </cell>
        </row>
        <row r="39">
          <cell r="F39">
            <v>110.29860496200001</v>
          </cell>
          <cell r="G39">
            <v>99.596273594999985</v>
          </cell>
          <cell r="H39">
            <v>94.082352039</v>
          </cell>
          <cell r="I39">
            <v>93.88610832900001</v>
          </cell>
          <cell r="J39">
            <v>111.66993938100001</v>
          </cell>
          <cell r="K39">
            <v>142.63698044700001</v>
          </cell>
          <cell r="L39">
            <v>170.19612834900002</v>
          </cell>
          <cell r="M39">
            <v>169.17785324700003</v>
          </cell>
          <cell r="N39">
            <v>184.60530496199999</v>
          </cell>
          <cell r="O39">
            <v>194.90045269499998</v>
          </cell>
          <cell r="P39">
            <v>211.10100441300003</v>
          </cell>
          <cell r="Q39">
            <v>224.93700590399999</v>
          </cell>
          <cell r="R39">
            <v>226.02174991499999</v>
          </cell>
          <cell r="S39">
            <v>222.48684069299998</v>
          </cell>
          <cell r="T39">
            <v>225.031580397</v>
          </cell>
          <cell r="U39">
            <v>225.679873614</v>
          </cell>
          <cell r="V39">
            <v>220.013671722</v>
          </cell>
          <cell r="W39">
            <v>225.20667089700001</v>
          </cell>
          <cell r="X39">
            <v>249.10008708000004</v>
          </cell>
          <cell r="Y39">
            <v>249.61817275200002</v>
          </cell>
          <cell r="Z39">
            <v>232.70300410499999</v>
          </cell>
          <cell r="AA39">
            <v>199.935451911</v>
          </cell>
          <cell r="AB39">
            <v>165.63577812599999</v>
          </cell>
          <cell r="AC39">
            <v>132.160239666</v>
          </cell>
        </row>
        <row r="40">
          <cell r="F40">
            <v>118.76641998000001</v>
          </cell>
          <cell r="G40">
            <v>106.586193831</v>
          </cell>
          <cell r="H40">
            <v>98.939188842000007</v>
          </cell>
          <cell r="I40">
            <v>96.972279105000013</v>
          </cell>
          <cell r="J40">
            <v>104.445460509</v>
          </cell>
          <cell r="K40">
            <v>118.037283351</v>
          </cell>
          <cell r="L40">
            <v>138.92254794600001</v>
          </cell>
          <cell r="M40">
            <v>147.27086868000001</v>
          </cell>
          <cell r="N40">
            <v>169.29182719799999</v>
          </cell>
          <cell r="O40">
            <v>182.938972944</v>
          </cell>
          <cell r="P40">
            <v>198.036853092</v>
          </cell>
          <cell r="Q40">
            <v>208.59833482799999</v>
          </cell>
          <cell r="R40">
            <v>209.27882476799999</v>
          </cell>
          <cell r="S40">
            <v>203.27308680900001</v>
          </cell>
          <cell r="T40">
            <v>196.83725256000002</v>
          </cell>
          <cell r="U40">
            <v>194.34203642100002</v>
          </cell>
          <cell r="V40">
            <v>191.45609515500001</v>
          </cell>
          <cell r="W40">
            <v>204.813997089</v>
          </cell>
          <cell r="X40">
            <v>222.52787165700002</v>
          </cell>
          <cell r="Y40">
            <v>220.94797455899999</v>
          </cell>
          <cell r="Z40">
            <v>205.255236537</v>
          </cell>
          <cell r="AA40">
            <v>183.77024854500002</v>
          </cell>
          <cell r="AB40">
            <v>160.69895201100002</v>
          </cell>
          <cell r="AC40">
            <v>138.23911136100003</v>
          </cell>
        </row>
        <row r="41">
          <cell r="F41">
            <v>118.97077194600001</v>
          </cell>
          <cell r="G41">
            <v>104.7394218</v>
          </cell>
          <cell r="H41">
            <v>96.048476004000008</v>
          </cell>
          <cell r="I41">
            <v>91.524860622000006</v>
          </cell>
          <cell r="J41">
            <v>92.273186031000009</v>
          </cell>
          <cell r="K41">
            <v>95.932070715000009</v>
          </cell>
          <cell r="L41">
            <v>104.254614711</v>
          </cell>
          <cell r="M41">
            <v>103.579554</v>
          </cell>
          <cell r="N41">
            <v>119.86595700300001</v>
          </cell>
          <cell r="O41">
            <v>134.66044659599999</v>
          </cell>
          <cell r="P41">
            <v>148.91642329199999</v>
          </cell>
          <cell r="Q41">
            <v>162.92593804499998</v>
          </cell>
          <cell r="R41">
            <v>170.45691924299999</v>
          </cell>
          <cell r="S41">
            <v>171.77875002599998</v>
          </cell>
          <cell r="T41">
            <v>168.333948354</v>
          </cell>
          <cell r="U41">
            <v>166.740243306</v>
          </cell>
          <cell r="V41">
            <v>164.61774217199999</v>
          </cell>
          <cell r="W41">
            <v>180.57358569900001</v>
          </cell>
          <cell r="X41">
            <v>201.88886117400003</v>
          </cell>
          <cell r="Y41">
            <v>205.12252078500003</v>
          </cell>
          <cell r="Z41">
            <v>192.93504332700002</v>
          </cell>
          <cell r="AA41">
            <v>173.65179986699999</v>
          </cell>
          <cell r="AB41">
            <v>147.91714052700002</v>
          </cell>
          <cell r="AC41">
            <v>122.54492991000001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F43">
            <v>99.943433928000005</v>
          </cell>
          <cell r="G43">
            <v>89.623756443000005</v>
          </cell>
          <cell r="H43">
            <v>84.422594919000005</v>
          </cell>
          <cell r="I43">
            <v>84.630909908999996</v>
          </cell>
          <cell r="J43">
            <v>101.79381595500001</v>
          </cell>
          <cell r="K43">
            <v>129.72622833299999</v>
          </cell>
          <cell r="L43">
            <v>158.35787814600002</v>
          </cell>
          <cell r="M43">
            <v>161.32210052400001</v>
          </cell>
          <cell r="N43">
            <v>178.18750361099998</v>
          </cell>
          <cell r="O43">
            <v>189.46791263400002</v>
          </cell>
          <cell r="P43">
            <v>204.93556398900003</v>
          </cell>
          <cell r="Q43">
            <v>218.76355686900001</v>
          </cell>
          <cell r="R43">
            <v>221.63368305</v>
          </cell>
          <cell r="S43">
            <v>217.75205478000001</v>
          </cell>
          <cell r="T43">
            <v>219.452271792</v>
          </cell>
          <cell r="U43">
            <v>219.07376598900001</v>
          </cell>
          <cell r="V43">
            <v>212.36541690000001</v>
          </cell>
          <cell r="W43">
            <v>219.22085624400003</v>
          </cell>
          <cell r="X43">
            <v>239.10039246600002</v>
          </cell>
          <cell r="Y43">
            <v>233.78296800300001</v>
          </cell>
          <cell r="Z43">
            <v>216.62052886500001</v>
          </cell>
          <cell r="AA43">
            <v>185.79350041199999</v>
          </cell>
          <cell r="AB43">
            <v>154.10583524700002</v>
          </cell>
          <cell r="AC43">
            <v>122.92708556700001</v>
          </cell>
        </row>
        <row r="44">
          <cell r="F44">
            <v>115.04462798399999</v>
          </cell>
          <cell r="G44">
            <v>101.70209985</v>
          </cell>
          <cell r="H44">
            <v>94.718739101999986</v>
          </cell>
          <cell r="I44">
            <v>92.27791489800002</v>
          </cell>
          <cell r="J44">
            <v>99.405803601000002</v>
          </cell>
          <cell r="K44">
            <v>111.522547344</v>
          </cell>
          <cell r="L44">
            <v>134.02846099499999</v>
          </cell>
          <cell r="M44">
            <v>142.421414148</v>
          </cell>
          <cell r="N44">
            <v>165.06135886499999</v>
          </cell>
          <cell r="O44">
            <v>180.66387261000003</v>
          </cell>
          <cell r="P44">
            <v>195.67766946000003</v>
          </cell>
          <cell r="Q44">
            <v>206.036635545</v>
          </cell>
          <cell r="R44">
            <v>207.04511696700001</v>
          </cell>
          <cell r="S44">
            <v>200.30032912500002</v>
          </cell>
          <cell r="T44">
            <v>193.41938350800001</v>
          </cell>
          <cell r="U44">
            <v>190.719260238</v>
          </cell>
          <cell r="V44">
            <v>187.64955651000002</v>
          </cell>
          <cell r="W44">
            <v>203.29054176600002</v>
          </cell>
          <cell r="X44">
            <v>219.08822020800002</v>
          </cell>
          <cell r="Y44">
            <v>212.66844019200002</v>
          </cell>
          <cell r="Z44">
            <v>197.22604457400004</v>
          </cell>
          <cell r="AA44">
            <v>176.809524294</v>
          </cell>
          <cell r="AB44">
            <v>153.96279627299998</v>
          </cell>
          <cell r="AC44">
            <v>131.84832519299999</v>
          </cell>
        </row>
        <row r="45">
          <cell r="F45">
            <v>114.2748789</v>
          </cell>
          <cell r="G45">
            <v>101.125858509</v>
          </cell>
          <cell r="H45">
            <v>93.313750295999995</v>
          </cell>
          <cell r="I45">
            <v>89.112304281000007</v>
          </cell>
          <cell r="J45">
            <v>90.465896196000003</v>
          </cell>
          <cell r="K45">
            <v>93.964415064000008</v>
          </cell>
          <cell r="L45">
            <v>104.736389745</v>
          </cell>
          <cell r="M45">
            <v>105.83969334899999</v>
          </cell>
          <cell r="N45">
            <v>124.30878021900001</v>
          </cell>
          <cell r="O45">
            <v>139.49847326999998</v>
          </cell>
          <cell r="P45">
            <v>152.95296822</v>
          </cell>
          <cell r="Q45">
            <v>167.14015285500003</v>
          </cell>
          <cell r="R45">
            <v>174.73798730700003</v>
          </cell>
          <cell r="S45">
            <v>173.07381331499997</v>
          </cell>
          <cell r="T45">
            <v>167.52223733700001</v>
          </cell>
          <cell r="U45">
            <v>164.177530491</v>
          </cell>
          <cell r="V45">
            <v>159.791843718</v>
          </cell>
          <cell r="W45">
            <v>175.941957984</v>
          </cell>
          <cell r="X45">
            <v>195.28082328300002</v>
          </cell>
          <cell r="Y45">
            <v>193.87999963800002</v>
          </cell>
          <cell r="Z45">
            <v>181.89861935700003</v>
          </cell>
          <cell r="AA45">
            <v>164.09867997899997</v>
          </cell>
          <cell r="AB45">
            <v>140.487415731</v>
          </cell>
          <cell r="AC45">
            <v>117.669989034</v>
          </cell>
        </row>
        <row r="46">
          <cell r="F46">
            <v>106.20147302700001</v>
          </cell>
          <cell r="G46">
            <v>94.746930096</v>
          </cell>
          <cell r="H46">
            <v>87.951383091000011</v>
          </cell>
          <cell r="I46">
            <v>84.505280340000013</v>
          </cell>
          <cell r="J46">
            <v>88.082322315000013</v>
          </cell>
          <cell r="K46">
            <v>92.506879179000009</v>
          </cell>
          <cell r="L46">
            <v>102.393596292</v>
          </cell>
          <cell r="M46">
            <v>103.56622149899999</v>
          </cell>
          <cell r="N46">
            <v>122.025634263</v>
          </cell>
          <cell r="O46">
            <v>135.738967065</v>
          </cell>
          <cell r="P46">
            <v>150.14257779299999</v>
          </cell>
          <cell r="Q46">
            <v>168.21062485499999</v>
          </cell>
          <cell r="R46">
            <v>179.824884486</v>
          </cell>
          <cell r="S46">
            <v>179.73572214000001</v>
          </cell>
          <cell r="T46">
            <v>172.00378544700001</v>
          </cell>
          <cell r="U46">
            <v>169.83596291999999</v>
          </cell>
          <cell r="V46">
            <v>168.08749495200001</v>
          </cell>
          <cell r="W46">
            <v>183.60687345000002</v>
          </cell>
          <cell r="X46">
            <v>202.26268081500001</v>
          </cell>
          <cell r="Y46">
            <v>201.71583190200002</v>
          </cell>
          <cell r="Z46">
            <v>186.57852365099998</v>
          </cell>
          <cell r="AA46">
            <v>164.933431767</v>
          </cell>
          <cell r="AB46">
            <v>138.56964806100001</v>
          </cell>
          <cell r="AC46">
            <v>114.54157447200001</v>
          </cell>
        </row>
        <row r="47">
          <cell r="F47">
            <v>105.357767424</v>
          </cell>
          <cell r="G47">
            <v>94.385967507000004</v>
          </cell>
          <cell r="H47">
            <v>89.275935606000004</v>
          </cell>
          <cell r="I47">
            <v>89.52412567799999</v>
          </cell>
          <cell r="J47">
            <v>106.56670042200001</v>
          </cell>
          <cell r="K47">
            <v>133.74336241500001</v>
          </cell>
          <cell r="L47">
            <v>163.83003705900001</v>
          </cell>
          <cell r="M47">
            <v>168.913751292</v>
          </cell>
          <cell r="N47">
            <v>185.61528960000001</v>
          </cell>
          <cell r="O47">
            <v>196.52975093700002</v>
          </cell>
          <cell r="P47">
            <v>211.75745143800003</v>
          </cell>
          <cell r="Q47">
            <v>225.76147717500001</v>
          </cell>
          <cell r="R47">
            <v>229.161421515</v>
          </cell>
          <cell r="S47">
            <v>224.53900099800001</v>
          </cell>
          <cell r="T47">
            <v>225.01268201100001</v>
          </cell>
          <cell r="U47">
            <v>224.63405948100001</v>
          </cell>
          <cell r="V47">
            <v>219.16982092200001</v>
          </cell>
          <cell r="W47">
            <v>230.12163489900001</v>
          </cell>
          <cell r="X47">
            <v>250.688209161</v>
          </cell>
          <cell r="Y47">
            <v>244.36659939900002</v>
          </cell>
          <cell r="Z47">
            <v>226.05657441900001</v>
          </cell>
          <cell r="AA47">
            <v>193.394811051</v>
          </cell>
          <cell r="AB47">
            <v>160.87616637299999</v>
          </cell>
          <cell r="AC47">
            <v>128.18279845800001</v>
          </cell>
        </row>
        <row r="48">
          <cell r="F48">
            <v>113.94697852200001</v>
          </cell>
          <cell r="G48">
            <v>100.98614767799999</v>
          </cell>
          <cell r="H48">
            <v>93.39042285299999</v>
          </cell>
          <cell r="I48">
            <v>91.786229457000005</v>
          </cell>
          <cell r="J48">
            <v>99.746649288</v>
          </cell>
          <cell r="K48">
            <v>113.38441132200001</v>
          </cell>
          <cell r="L48">
            <v>137.40515673300001</v>
          </cell>
          <cell r="M48">
            <v>148.18365958499999</v>
          </cell>
          <cell r="N48">
            <v>171.70140557700003</v>
          </cell>
          <cell r="O48">
            <v>186.221874267</v>
          </cell>
          <cell r="P48">
            <v>199.42212642300001</v>
          </cell>
          <cell r="Q48">
            <v>208.81799796000001</v>
          </cell>
          <cell r="R48">
            <v>209.89756043099999</v>
          </cell>
          <cell r="S48">
            <v>202.79073098699999</v>
          </cell>
          <cell r="T48">
            <v>195.60532434299998</v>
          </cell>
          <cell r="U48">
            <v>191.84336971799999</v>
          </cell>
          <cell r="V48">
            <v>188.48677949400002</v>
          </cell>
          <cell r="W48">
            <v>206.67069945599999</v>
          </cell>
          <cell r="X48">
            <v>222.998466522</v>
          </cell>
          <cell r="Y48">
            <v>217.03272321900002</v>
          </cell>
          <cell r="Z48">
            <v>201.047828904</v>
          </cell>
          <cell r="AA48">
            <v>179.461701237</v>
          </cell>
          <cell r="AB48">
            <v>155.48184728699999</v>
          </cell>
          <cell r="AC48">
            <v>132.10582495500003</v>
          </cell>
        </row>
        <row r="49">
          <cell r="F49">
            <v>109.461131442</v>
          </cell>
          <cell r="G49">
            <v>96.313061949000002</v>
          </cell>
          <cell r="H49">
            <v>88.445189546999998</v>
          </cell>
          <cell r="I49">
            <v>84.772297623</v>
          </cell>
          <cell r="J49">
            <v>86.665142654999997</v>
          </cell>
          <cell r="K49">
            <v>91.687227879000005</v>
          </cell>
          <cell r="L49">
            <v>102.94277120400001</v>
          </cell>
          <cell r="M49">
            <v>105.988033437</v>
          </cell>
          <cell r="N49">
            <v>125.21724083700001</v>
          </cell>
          <cell r="O49">
            <v>141.41786657700001</v>
          </cell>
          <cell r="P49">
            <v>154.00645786500002</v>
          </cell>
          <cell r="Q49">
            <v>166.63453134900001</v>
          </cell>
          <cell r="R49">
            <v>175.13996093100002</v>
          </cell>
          <cell r="S49">
            <v>176.26670388600002</v>
          </cell>
          <cell r="T49">
            <v>171.28269728699999</v>
          </cell>
          <cell r="U49">
            <v>166.59946769700002</v>
          </cell>
          <cell r="V49">
            <v>162.25708948800002</v>
          </cell>
          <cell r="W49">
            <v>179.50471656000002</v>
          </cell>
          <cell r="X49">
            <v>198.45244961100002</v>
          </cell>
          <cell r="Y49">
            <v>195.59411855099998</v>
          </cell>
          <cell r="Z49">
            <v>183.515496138</v>
          </cell>
          <cell r="AA49">
            <v>165.60649957799998</v>
          </cell>
          <cell r="AB49">
            <v>143.57588973000003</v>
          </cell>
          <cell r="AC49">
            <v>120.09323016600001</v>
          </cell>
        </row>
        <row r="50">
          <cell r="F50">
            <v>103.85809593900001</v>
          </cell>
          <cell r="G50">
            <v>92.193307751999996</v>
          </cell>
          <cell r="H50">
            <v>85.210291491000007</v>
          </cell>
          <cell r="I50">
            <v>82.052299446000006</v>
          </cell>
          <cell r="J50">
            <v>85.865443130999992</v>
          </cell>
          <cell r="K50">
            <v>92.847095679000006</v>
          </cell>
          <cell r="L50">
            <v>101.966170488</v>
          </cell>
          <cell r="M50">
            <v>101.780201601</v>
          </cell>
          <cell r="N50">
            <v>121.25572859400002</v>
          </cell>
          <cell r="O50">
            <v>136.77389427</v>
          </cell>
          <cell r="P50">
            <v>153.38119118399999</v>
          </cell>
          <cell r="Q50">
            <v>169.34642696400002</v>
          </cell>
          <cell r="R50">
            <v>179.90070294299997</v>
          </cell>
          <cell r="S50">
            <v>179.75726823600002</v>
          </cell>
          <cell r="T50">
            <v>172.55251053300003</v>
          </cell>
          <cell r="U50">
            <v>167.33782291200001</v>
          </cell>
          <cell r="V50">
            <v>165.15146926200001</v>
          </cell>
          <cell r="W50">
            <v>184.907878428</v>
          </cell>
          <cell r="X50">
            <v>203.796755448</v>
          </cell>
          <cell r="Y50">
            <v>201.804695313</v>
          </cell>
          <cell r="Z50">
            <v>186.122929629</v>
          </cell>
          <cell r="AA50">
            <v>163.30418477100002</v>
          </cell>
          <cell r="AB50">
            <v>136.29557834100001</v>
          </cell>
          <cell r="AC50">
            <v>111.54327065700001</v>
          </cell>
        </row>
        <row r="51">
          <cell r="F51">
            <v>127.50817333799999</v>
          </cell>
          <cell r="G51">
            <v>115.02626768099999</v>
          </cell>
          <cell r="H51">
            <v>108.322886607</v>
          </cell>
          <cell r="I51">
            <v>107.41518329100001</v>
          </cell>
          <cell r="J51">
            <v>121.46108270400001</v>
          </cell>
          <cell r="K51">
            <v>141.27702833399999</v>
          </cell>
          <cell r="L51">
            <v>166.75195871100001</v>
          </cell>
          <cell r="M51">
            <v>175.435724373</v>
          </cell>
          <cell r="N51">
            <v>196.77153525899999</v>
          </cell>
          <cell r="O51">
            <v>209.39756174999999</v>
          </cell>
          <cell r="P51">
            <v>224.12268418800002</v>
          </cell>
          <cell r="Q51">
            <v>238.13133060600001</v>
          </cell>
          <cell r="R51">
            <v>243.78708685500001</v>
          </cell>
          <cell r="S51">
            <v>240.07033404900002</v>
          </cell>
          <cell r="T51">
            <v>240.29500790099999</v>
          </cell>
          <cell r="U51">
            <v>239.35772425500002</v>
          </cell>
          <cell r="V51">
            <v>233.146617951</v>
          </cell>
          <cell r="W51">
            <v>240.26147024100001</v>
          </cell>
          <cell r="X51">
            <v>265.059589002</v>
          </cell>
          <cell r="Y51">
            <v>260.78389322700002</v>
          </cell>
          <cell r="Z51">
            <v>243.76939559700003</v>
          </cell>
          <cell r="AA51">
            <v>213.88019456699999</v>
          </cell>
          <cell r="AB51">
            <v>184.64120278500002</v>
          </cell>
          <cell r="AC51">
            <v>152.44836878699999</v>
          </cell>
        </row>
        <row r="52">
          <cell r="F52">
            <v>139.282904124</v>
          </cell>
          <cell r="G52">
            <v>124.65045153600001</v>
          </cell>
          <cell r="H52">
            <v>116.63456360400001</v>
          </cell>
          <cell r="I52">
            <v>113.61616851000001</v>
          </cell>
          <cell r="J52">
            <v>119.97842204400001</v>
          </cell>
          <cell r="K52">
            <v>132.39820616100002</v>
          </cell>
          <cell r="L52">
            <v>153.00490034700002</v>
          </cell>
          <cell r="M52">
            <v>160.762741893</v>
          </cell>
          <cell r="N52">
            <v>184.454883717</v>
          </cell>
          <cell r="O52">
            <v>200.36414463000003</v>
          </cell>
          <cell r="P52">
            <v>213.01273359600003</v>
          </cell>
          <cell r="Q52">
            <v>222.08740374600004</v>
          </cell>
          <cell r="R52">
            <v>223.81161812100004</v>
          </cell>
          <cell r="S52">
            <v>218.276711328</v>
          </cell>
          <cell r="T52">
            <v>211.91096737200002</v>
          </cell>
          <cell r="U52">
            <v>207.31011572700004</v>
          </cell>
          <cell r="V52">
            <v>202.73082726000001</v>
          </cell>
          <cell r="W52">
            <v>217.25500843800003</v>
          </cell>
          <cell r="X52">
            <v>238.91605206300002</v>
          </cell>
          <cell r="Y52">
            <v>233.82915488399999</v>
          </cell>
          <cell r="Z52">
            <v>216.24235331400001</v>
          </cell>
          <cell r="AA52">
            <v>196.67815650599999</v>
          </cell>
          <cell r="AB52">
            <v>175.22041145700001</v>
          </cell>
          <cell r="AC52">
            <v>154.65358665899998</v>
          </cell>
        </row>
        <row r="53">
          <cell r="F53">
            <v>138.36358220100001</v>
          </cell>
          <cell r="G53">
            <v>123.14810671800001</v>
          </cell>
          <cell r="H53">
            <v>114.53061921600001</v>
          </cell>
          <cell r="I53">
            <v>109.63421765400001</v>
          </cell>
          <cell r="J53">
            <v>109.83464645400001</v>
          </cell>
          <cell r="K53">
            <v>114.955303359</v>
          </cell>
          <cell r="L53">
            <v>123.821627202</v>
          </cell>
          <cell r="M53">
            <v>122.755289046</v>
          </cell>
          <cell r="N53">
            <v>142.176754356</v>
          </cell>
          <cell r="O53">
            <v>158.617202835</v>
          </cell>
          <cell r="P53">
            <v>172.04249041199998</v>
          </cell>
          <cell r="Q53">
            <v>184.60648077299999</v>
          </cell>
          <cell r="R53">
            <v>192.54952821000001</v>
          </cell>
          <cell r="S53">
            <v>193.66681058399999</v>
          </cell>
          <cell r="T53">
            <v>189.123610689</v>
          </cell>
          <cell r="U53">
            <v>186.55954554900003</v>
          </cell>
          <cell r="V53">
            <v>183.14569930800002</v>
          </cell>
          <cell r="W53">
            <v>196.89551356799998</v>
          </cell>
          <cell r="X53">
            <v>217.498264659</v>
          </cell>
          <cell r="Y53">
            <v>217.89572009400001</v>
          </cell>
          <cell r="Z53">
            <v>208.77569438699999</v>
          </cell>
          <cell r="AA53">
            <v>192.58738192199999</v>
          </cell>
          <cell r="AB53">
            <v>169.965680781</v>
          </cell>
          <cell r="AC53">
            <v>145.59914444400002</v>
          </cell>
        </row>
        <row r="54">
          <cell r="F54">
            <v>135.25741979100002</v>
          </cell>
          <cell r="G54">
            <v>123.43718255700001</v>
          </cell>
          <cell r="H54">
            <v>114.102854619</v>
          </cell>
          <cell r="I54">
            <v>107.72641163700001</v>
          </cell>
          <cell r="J54">
            <v>106.21664469</v>
          </cell>
          <cell r="K54">
            <v>108.102844824</v>
          </cell>
          <cell r="L54">
            <v>111.842199963</v>
          </cell>
          <cell r="M54">
            <v>105.98808753</v>
          </cell>
          <cell r="N54">
            <v>120.53679846</v>
          </cell>
          <cell r="O54">
            <v>135.303495639</v>
          </cell>
          <cell r="P54">
            <v>149.457045816</v>
          </cell>
          <cell r="Q54">
            <v>162.93910542</v>
          </cell>
          <cell r="R54">
            <v>173.29362164400001</v>
          </cell>
          <cell r="S54">
            <v>174.88739501999999</v>
          </cell>
          <cell r="T54">
            <v>171.123589845</v>
          </cell>
          <cell r="U54">
            <v>170.321134425</v>
          </cell>
          <cell r="V54">
            <v>168.84415068300001</v>
          </cell>
          <cell r="W54">
            <v>182.54680154100004</v>
          </cell>
          <cell r="X54">
            <v>206.78871330000001</v>
          </cell>
          <cell r="Y54">
            <v>207.11105348699999</v>
          </cell>
          <cell r="Z54">
            <v>196.35708608099998</v>
          </cell>
          <cell r="AA54">
            <v>180.22581326100001</v>
          </cell>
          <cell r="AB54">
            <v>159.46571132700004</v>
          </cell>
          <cell r="AC54">
            <v>137.082640032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FA2D-742E-4BC4-8FC7-7973C2994D27}">
  <sheetPr codeName="Hoja1"/>
  <dimension ref="C1:BD57"/>
  <sheetViews>
    <sheetView showGridLines="0" tabSelected="1" topLeftCell="H37" zoomScale="69" zoomScaleNormal="69" workbookViewId="0">
      <selection activeCell="O47" sqref="O47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08984375" style="1" bestFit="1" customWidth="1"/>
    <col min="5" max="5" width="6" style="1" bestFit="1" customWidth="1"/>
    <col min="6" max="7" width="8.6328125" style="1" bestFit="1" customWidth="1"/>
    <col min="8" max="13" width="9.36328125" style="1" bestFit="1" customWidth="1"/>
    <col min="14" max="22" width="11.54296875" style="1" customWidth="1"/>
    <col min="23" max="29" width="9.36328125" style="1" bestFit="1" customWidth="1"/>
    <col min="30" max="30" width="17.08984375" style="1" bestFit="1" customWidth="1"/>
    <col min="31" max="31" width="2.9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76" t="s">
        <v>0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3:56" ht="18.649999999999999" customHeight="1">
      <c r="C3" s="76" t="s">
        <v>1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3:56" ht="18.649999999999999" customHeight="1">
      <c r="C4" s="76">
        <v>2026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+[1]Resumen!F7*1000</f>
        <v>124578.85634</v>
      </c>
      <c r="G7" s="7">
        <f>+[1]Resumen!G7*1000</f>
        <v>109402.696532</v>
      </c>
      <c r="H7" s="7">
        <f>+[1]Resumen!H7*1000</f>
        <v>100411.45000200001</v>
      </c>
      <c r="I7" s="7">
        <f>+[1]Resumen!I7*1000</f>
        <v>98605.226345999996</v>
      </c>
      <c r="J7" s="7">
        <f>+[1]Resumen!J7*1000</f>
        <v>105052.61813599999</v>
      </c>
      <c r="K7" s="7">
        <f>+[1]Resumen!K7*1000</f>
        <v>134050.26259200001</v>
      </c>
      <c r="L7" s="7">
        <f>+[1]Resumen!L7*1000</f>
        <v>164229.99502</v>
      </c>
      <c r="M7" s="7">
        <f>+[1]Resumen!M7*1000</f>
        <v>141470.41381200001</v>
      </c>
      <c r="N7" s="7">
        <f>+[1]Resumen!N7*1000</f>
        <v>156366.04711400002</v>
      </c>
      <c r="O7" s="7">
        <f>+[1]Resumen!O7*1000</f>
        <v>167019.61551800001</v>
      </c>
      <c r="P7" s="7">
        <f>+[1]Resumen!P7*1000</f>
        <v>185612.877026</v>
      </c>
      <c r="Q7" s="7">
        <f>+[1]Resumen!Q7*1000</f>
        <v>202260.990574</v>
      </c>
      <c r="R7" s="7">
        <f>+[1]Resumen!R7*1000</f>
        <v>210043.27371800001</v>
      </c>
      <c r="S7" s="7">
        <f>+[1]Resumen!S7*1000</f>
        <v>210181.56007400001</v>
      </c>
      <c r="T7" s="7">
        <f>+[1]Resumen!T7*1000</f>
        <v>216248.83129</v>
      </c>
      <c r="U7" s="7">
        <f>+[1]Resumen!U7*1000</f>
        <v>217605.14582800001</v>
      </c>
      <c r="V7" s="7">
        <f>+[1]Resumen!V7*1000</f>
        <v>209836.75659800001</v>
      </c>
      <c r="W7" s="7">
        <f>+[1]Resumen!W7*1000</f>
        <v>197860.16563999999</v>
      </c>
      <c r="X7" s="7">
        <f>+[1]Resumen!X7*1000</f>
        <v>205476.96804000001</v>
      </c>
      <c r="Y7" s="7">
        <f>+[1]Resumen!Y7*1000</f>
        <v>211236.92635200001</v>
      </c>
      <c r="Z7" s="7">
        <f>+[1]Resumen!Z7*1000</f>
        <v>195670.96547999998</v>
      </c>
      <c r="AA7" s="7">
        <f>+[1]Resumen!AA7*1000</f>
        <v>172839.75606400002</v>
      </c>
      <c r="AB7" s="7">
        <f>+[1]Resumen!AB7*1000</f>
        <v>134398.19646400001</v>
      </c>
      <c r="AC7" s="7">
        <f>+[1]Resumen!AC7*1000</f>
        <v>112919.117834</v>
      </c>
      <c r="AD7" s="70">
        <f>SUM(F7:AC7)*E7+SUM(F8:AC8)*E8+SUM(F9:AC9)*E9+SUM(F10:AC10)*E10</f>
        <v>112855801.36889398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+[1]Resumen!F8*1000</f>
        <v>118969.08285600001</v>
      </c>
      <c r="G8" s="7">
        <f>+[1]Resumen!G8*1000</f>
        <v>103503.487524</v>
      </c>
      <c r="H8" s="7">
        <f>+[1]Resumen!H8*1000</f>
        <v>93866.355734000012</v>
      </c>
      <c r="I8" s="7">
        <f>+[1]Resumen!I8*1000</f>
        <v>89493.934322000001</v>
      </c>
      <c r="J8" s="7">
        <f>+[1]Resumen!J8*1000</f>
        <v>96596.150062000001</v>
      </c>
      <c r="K8" s="7">
        <f>+[1]Resumen!K8*1000</f>
        <v>111260.78684399999</v>
      </c>
      <c r="L8" s="7">
        <f>+[1]Resumen!L8*1000</f>
        <v>132737.076306</v>
      </c>
      <c r="M8" s="7">
        <f>+[1]Resumen!M8*1000</f>
        <v>110594.77655</v>
      </c>
      <c r="N8" s="7">
        <f>+[1]Resumen!N8*1000</f>
        <v>129663.428006</v>
      </c>
      <c r="O8" s="7">
        <f>+[1]Resumen!O8*1000</f>
        <v>147617.035374</v>
      </c>
      <c r="P8" s="7">
        <f>+[1]Resumen!P8*1000</f>
        <v>161702.92721400002</v>
      </c>
      <c r="Q8" s="7">
        <f>+[1]Resumen!Q8*1000</f>
        <v>175206.016466</v>
      </c>
      <c r="R8" s="7">
        <f>+[1]Resumen!R8*1000</f>
        <v>177044.634528</v>
      </c>
      <c r="S8" s="7">
        <f>+[1]Resumen!S8*1000</f>
        <v>175061.08358199999</v>
      </c>
      <c r="T8" s="7">
        <f>+[1]Resumen!T8*1000</f>
        <v>170877.07936999999</v>
      </c>
      <c r="U8" s="7">
        <f>+[1]Resumen!U8*1000</f>
        <v>169467.147528</v>
      </c>
      <c r="V8" s="7">
        <f>+[1]Resumen!V8*1000</f>
        <v>168901.40633999999</v>
      </c>
      <c r="W8" s="7">
        <f>+[1]Resumen!W8*1000</f>
        <v>165200.647738</v>
      </c>
      <c r="X8" s="7">
        <f>+[1]Resumen!X8*1000</f>
        <v>182099.69738999999</v>
      </c>
      <c r="Y8" s="7">
        <f>+[1]Resumen!Y8*1000</f>
        <v>185824.16391999999</v>
      </c>
      <c r="Z8" s="7">
        <f>+[1]Resumen!Z8*1000</f>
        <v>169105.94285399999</v>
      </c>
      <c r="AA8" s="7">
        <f>+[1]Resumen!AA8*1000</f>
        <v>147066.990674</v>
      </c>
      <c r="AB8" s="7">
        <f>+[1]Resumen!AB8*1000</f>
        <v>123122.858718</v>
      </c>
      <c r="AC8" s="7">
        <f>+[1]Resumen!AC8*1000</f>
        <v>96953.000369999994</v>
      </c>
      <c r="AD8" s="7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+[1]Resumen!F9*1000</f>
        <v>118964.995538</v>
      </c>
      <c r="G9" s="7">
        <f>+[1]Resumen!G9*1000</f>
        <v>101991.38756800001</v>
      </c>
      <c r="H9" s="7">
        <f>+[1]Resumen!H9*1000</f>
        <v>90357.159564000001</v>
      </c>
      <c r="I9" s="7">
        <f>+[1]Resumen!I9*1000</f>
        <v>83682.428328000009</v>
      </c>
      <c r="J9" s="7">
        <f>+[1]Resumen!J9*1000</f>
        <v>85342.866030000005</v>
      </c>
      <c r="K9" s="7">
        <f>+[1]Resumen!K9*1000</f>
        <v>91906.505298000004</v>
      </c>
      <c r="L9" s="7">
        <f>+[1]Resumen!L9*1000</f>
        <v>101720.42286400001</v>
      </c>
      <c r="M9" s="7">
        <f>+[1]Resumen!M9*1000</f>
        <v>72813.263171999992</v>
      </c>
      <c r="N9" s="7">
        <f>+[1]Resumen!N9*1000</f>
        <v>87474.925336</v>
      </c>
      <c r="O9" s="7">
        <f>+[1]Resumen!O9*1000</f>
        <v>104210.95702</v>
      </c>
      <c r="P9" s="7">
        <f>+[1]Resumen!P9*1000</f>
        <v>117274.50751800001</v>
      </c>
      <c r="Q9" s="7">
        <f>+[1]Resumen!Q9*1000</f>
        <v>135066.14285600002</v>
      </c>
      <c r="R9" s="7">
        <f>+[1]Resumen!R9*1000</f>
        <v>146760.968502</v>
      </c>
      <c r="S9" s="7">
        <f>+[1]Resumen!S9*1000</f>
        <v>152798.604808</v>
      </c>
      <c r="T9" s="7">
        <f>+[1]Resumen!T9*1000</f>
        <v>151021.674834</v>
      </c>
      <c r="U9" s="7">
        <f>+[1]Resumen!U9*1000</f>
        <v>148464.53445600002</v>
      </c>
      <c r="V9" s="7">
        <f>+[1]Resumen!V9*1000</f>
        <v>145973.948374</v>
      </c>
      <c r="W9" s="7">
        <f>+[1]Resumen!W9*1000</f>
        <v>143149.46327599999</v>
      </c>
      <c r="X9" s="7">
        <f>+[1]Resumen!X9*1000</f>
        <v>159828.962382</v>
      </c>
      <c r="Y9" s="7">
        <f>+[1]Resumen!Y9*1000</f>
        <v>169905.39555000002</v>
      </c>
      <c r="Z9" s="7">
        <f>+[1]Resumen!Z9*1000</f>
        <v>158094.359516</v>
      </c>
      <c r="AA9" s="7">
        <f>+[1]Resumen!AA9*1000</f>
        <v>138039.98938400001</v>
      </c>
      <c r="AB9" s="7">
        <f>+[1]Resumen!AB9*1000</f>
        <v>111433.099566</v>
      </c>
      <c r="AC9" s="7">
        <f>+[1]Resumen!AC9*1000</f>
        <v>80423.048144</v>
      </c>
      <c r="AD9" s="7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+[1]Resumen!F10*1000</f>
        <v>101283.10951000001</v>
      </c>
      <c r="G10" s="7">
        <f>+[1]Resumen!G10*1000</f>
        <v>90727.540303999995</v>
      </c>
      <c r="H10" s="7">
        <f>+[1]Resumen!H10*1000</f>
        <v>79383.519295999999</v>
      </c>
      <c r="I10" s="7">
        <f>+[1]Resumen!I10*1000</f>
        <v>73338.042163999999</v>
      </c>
      <c r="J10" s="7">
        <f>+[1]Resumen!J10*1000</f>
        <v>73549.544180000012</v>
      </c>
      <c r="K10" s="7">
        <f>+[1]Resumen!K10*1000</f>
        <v>79333.655500000008</v>
      </c>
      <c r="L10" s="7">
        <f>+[1]Resumen!L10*1000</f>
        <v>80331.821580000003</v>
      </c>
      <c r="M10" s="7">
        <f>+[1]Resumen!M10*1000</f>
        <v>43394.802994000005</v>
      </c>
      <c r="N10" s="7">
        <f>+[1]Resumen!N10*1000</f>
        <v>53094.846842000006</v>
      </c>
      <c r="O10" s="7">
        <f>+[1]Resumen!O10*1000</f>
        <v>65998.635874</v>
      </c>
      <c r="P10" s="7">
        <f>+[1]Resumen!P10*1000</f>
        <v>81641.091161999997</v>
      </c>
      <c r="Q10" s="7">
        <f>+[1]Resumen!Q10*1000</f>
        <v>99570.241384000008</v>
      </c>
      <c r="R10" s="7">
        <f>+[1]Resumen!R10*1000</f>
        <v>114328.122426</v>
      </c>
      <c r="S10" s="7">
        <f>+[1]Resumen!S10*1000</f>
        <v>119599.531258</v>
      </c>
      <c r="T10" s="7">
        <f>+[1]Resumen!T10*1000</f>
        <v>118800.49397</v>
      </c>
      <c r="U10" s="7">
        <f>+[1]Resumen!U10*1000</f>
        <v>114635.76913999999</v>
      </c>
      <c r="V10" s="7">
        <f>+[1]Resumen!V10*1000</f>
        <v>112770.84685</v>
      </c>
      <c r="W10" s="7">
        <f>+[1]Resumen!W10*1000</f>
        <v>111585.88069399999</v>
      </c>
      <c r="X10" s="7">
        <f>+[1]Resumen!X10*1000</f>
        <v>136049.12429000001</v>
      </c>
      <c r="Y10" s="7">
        <f>+[1]Resumen!Y10*1000</f>
        <v>143976.45900600002</v>
      </c>
      <c r="Z10" s="7">
        <f>+[1]Resumen!Z10*1000</f>
        <v>132241.472308</v>
      </c>
      <c r="AA10" s="7">
        <f>+[1]Resumen!AA10*1000</f>
        <v>113987.443358</v>
      </c>
      <c r="AB10" s="7">
        <f>+[1]Resumen!AB10*1000</f>
        <v>90471.07779000001</v>
      </c>
      <c r="AC10" s="7">
        <f>+[1]Resumen!AC10*1000</f>
        <v>65781.993184000006</v>
      </c>
      <c r="AD10" s="7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+[1]Resumen!F11*1000</f>
        <v>134635.55762800001</v>
      </c>
      <c r="G11" s="7">
        <f>+[1]Resumen!G11*1000</f>
        <v>119857.729584</v>
      </c>
      <c r="H11" s="7">
        <f>+[1]Resumen!H11*1000</f>
        <v>112695.25743000001</v>
      </c>
      <c r="I11" s="7">
        <f>+[1]Resumen!I11*1000</f>
        <v>112562.44555800001</v>
      </c>
      <c r="J11" s="7">
        <f>+[1]Resumen!J11*1000</f>
        <v>128433.67196599999</v>
      </c>
      <c r="K11" s="7">
        <f>+[1]Resumen!K11*1000</f>
        <v>182282.38047600002</v>
      </c>
      <c r="L11" s="7">
        <f>+[1]Resumen!L11*1000</f>
        <v>213689.940264</v>
      </c>
      <c r="M11" s="7">
        <f>+[1]Resumen!M11*1000</f>
        <v>174884.43874799999</v>
      </c>
      <c r="N11" s="7">
        <f>+[1]Resumen!N11*1000</f>
        <v>182132.80392400001</v>
      </c>
      <c r="O11" s="7">
        <f>+[1]Resumen!O11*1000</f>
        <v>190188.41069600001</v>
      </c>
      <c r="P11" s="7">
        <f>+[1]Resumen!P11*1000</f>
        <v>209625.6329</v>
      </c>
      <c r="Q11" s="7">
        <f>+[1]Resumen!Q11*1000</f>
        <v>223727.58471000002</v>
      </c>
      <c r="R11" s="7">
        <f>+[1]Resumen!R11*1000</f>
        <v>223028.65333199999</v>
      </c>
      <c r="S11" s="7">
        <f>+[1]Resumen!S11*1000</f>
        <v>221708.76859200001</v>
      </c>
      <c r="T11" s="7">
        <f>+[1]Resumen!T11*1000</f>
        <v>227397.54377600001</v>
      </c>
      <c r="U11" s="7">
        <f>+[1]Resumen!U11*1000</f>
        <v>229612.73660800001</v>
      </c>
      <c r="V11" s="7">
        <f>+[1]Resumen!V11*1000</f>
        <v>223137.26768799999</v>
      </c>
      <c r="W11" s="7">
        <f>+[1]Resumen!W11*1000</f>
        <v>216940.75265800001</v>
      </c>
      <c r="X11" s="7">
        <f>+[1]Resumen!X11*1000</f>
        <v>228780.80790800002</v>
      </c>
      <c r="Y11" s="7">
        <f>+[1]Resumen!Y11*1000</f>
        <v>234503.10503400001</v>
      </c>
      <c r="Z11" s="7">
        <f>+[1]Resumen!Z11*1000</f>
        <v>216081.05096600001</v>
      </c>
      <c r="AA11" s="7">
        <f>+[1]Resumen!AA11*1000</f>
        <v>186426.5797</v>
      </c>
      <c r="AB11" s="7">
        <f>+[1]Resumen!AB11*1000</f>
        <v>142802.47890799999</v>
      </c>
      <c r="AC11" s="7">
        <f>+[1]Resumen!AC11*1000</f>
        <v>119393.429546</v>
      </c>
      <c r="AD11" s="70">
        <f>SUM(F11:AC11)*E11+SUM(F12:AC12)*E12+SUM(F13:AC13)*E13+SUM(F14:AC14)*E14</f>
        <v>119791854.77680001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+[1]Resumen!F12*1000</f>
        <v>146641.36066999999</v>
      </c>
      <c r="G12" s="7">
        <f>+[1]Resumen!G12*1000</f>
        <v>130146.10984799998</v>
      </c>
      <c r="H12" s="7">
        <f>+[1]Resumen!H12*1000</f>
        <v>119033.18179399999</v>
      </c>
      <c r="I12" s="7">
        <f>+[1]Resumen!I12*1000</f>
        <v>116599.55853400001</v>
      </c>
      <c r="J12" s="7">
        <f>+[1]Resumen!J12*1000</f>
        <v>125452.60030600001</v>
      </c>
      <c r="K12" s="7">
        <f>+[1]Resumen!K12*1000</f>
        <v>141985.363954</v>
      </c>
      <c r="L12" s="7">
        <f>+[1]Resumen!L12*1000</f>
        <v>171578.547704</v>
      </c>
      <c r="M12" s="7">
        <f>+[1]Resumen!M12*1000</f>
        <v>151685.25202399999</v>
      </c>
      <c r="N12" s="7">
        <f>+[1]Resumen!N12*1000</f>
        <v>173333.49814399998</v>
      </c>
      <c r="O12" s="7">
        <f>+[1]Resumen!O12*1000</f>
        <v>190886.51867600001</v>
      </c>
      <c r="P12" s="7">
        <f>+[1]Resumen!P12*1000</f>
        <v>206164.401518</v>
      </c>
      <c r="Q12" s="7">
        <f>+[1]Resumen!Q12*1000</f>
        <v>213089.8389</v>
      </c>
      <c r="R12" s="7">
        <f>+[1]Resumen!R12*1000</f>
        <v>210544.26318400001</v>
      </c>
      <c r="S12" s="7">
        <f>+[1]Resumen!S12*1000</f>
        <v>205513.25689599998</v>
      </c>
      <c r="T12" s="7">
        <f>+[1]Resumen!T12*1000</f>
        <v>200626.64197800003</v>
      </c>
      <c r="U12" s="7">
        <f>+[1]Resumen!U12*1000</f>
        <v>200671.09805200002</v>
      </c>
      <c r="V12" s="7">
        <f>+[1]Resumen!V12*1000</f>
        <v>199163.56016600001</v>
      </c>
      <c r="W12" s="7">
        <f>+[1]Resumen!W12*1000</f>
        <v>199727.07595400003</v>
      </c>
      <c r="X12" s="7">
        <f>+[1]Resumen!X12*1000</f>
        <v>218895.75914000001</v>
      </c>
      <c r="Y12" s="7">
        <f>+[1]Resumen!Y12*1000</f>
        <v>220532.52600400001</v>
      </c>
      <c r="Z12" s="7">
        <f>+[1]Resumen!Z12*1000</f>
        <v>205128.61876000001</v>
      </c>
      <c r="AA12" s="7">
        <f>+[1]Resumen!AA12*1000</f>
        <v>178703.25482</v>
      </c>
      <c r="AB12" s="7">
        <f>+[1]Resumen!AB12*1000</f>
        <v>147136.964668</v>
      </c>
      <c r="AC12" s="7">
        <f>+[1]Resumen!AC12*1000</f>
        <v>117539.17434</v>
      </c>
      <c r="AD12" s="7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+[1]Resumen!F13*1000</f>
        <v>137422.173836</v>
      </c>
      <c r="G13" s="7">
        <f>+[1]Resumen!G13*1000</f>
        <v>119656.50891600001</v>
      </c>
      <c r="H13" s="7">
        <f>+[1]Resumen!H13*1000</f>
        <v>108603.64440800001</v>
      </c>
      <c r="I13" s="7">
        <f>+[1]Resumen!I13*1000</f>
        <v>103407.194466</v>
      </c>
      <c r="J13" s="7">
        <f>+[1]Resumen!J13*1000</f>
        <v>105484.44216999999</v>
      </c>
      <c r="K13" s="7">
        <f>+[1]Resumen!K13*1000</f>
        <v>111788.31049600001</v>
      </c>
      <c r="L13" s="7">
        <f>+[1]Resumen!L13*1000</f>
        <v>125267.67698400001</v>
      </c>
      <c r="M13" s="7">
        <f>+[1]Resumen!M13*1000</f>
        <v>97334.107538000011</v>
      </c>
      <c r="N13" s="7">
        <f>+[1]Resumen!N13*1000</f>
        <v>113307.932304</v>
      </c>
      <c r="O13" s="7">
        <f>+[1]Resumen!O13*1000</f>
        <v>130735.39576800002</v>
      </c>
      <c r="P13" s="7">
        <f>+[1]Resumen!P13*1000</f>
        <v>146446.74202200002</v>
      </c>
      <c r="Q13" s="7">
        <f>+[1]Resumen!Q13*1000</f>
        <v>165270.30275800001</v>
      </c>
      <c r="R13" s="7">
        <f>+[1]Resumen!R13*1000</f>
        <v>176278.85213400002</v>
      </c>
      <c r="S13" s="7">
        <f>+[1]Resumen!S13*1000</f>
        <v>180267.85938000001</v>
      </c>
      <c r="T13" s="7">
        <f>+[1]Resumen!T13*1000</f>
        <v>178213.27366599999</v>
      </c>
      <c r="U13" s="7">
        <f>+[1]Resumen!U13*1000</f>
        <v>175107.208706</v>
      </c>
      <c r="V13" s="7">
        <f>+[1]Resumen!V13*1000</f>
        <v>171709.63118199998</v>
      </c>
      <c r="W13" s="7">
        <f>+[1]Resumen!W13*1000</f>
        <v>173057.38534799998</v>
      </c>
      <c r="X13" s="7">
        <f>+[1]Resumen!X13*1000</f>
        <v>191275.75597200001</v>
      </c>
      <c r="Y13" s="7">
        <f>+[1]Resumen!Y13*1000</f>
        <v>199091.07888799999</v>
      </c>
      <c r="Z13" s="7">
        <f>+[1]Resumen!Z13*1000</f>
        <v>185690.47672400001</v>
      </c>
      <c r="AA13" s="7">
        <f>+[1]Resumen!AA13*1000</f>
        <v>162376.72640799999</v>
      </c>
      <c r="AB13" s="7">
        <f>+[1]Resumen!AB13*1000</f>
        <v>129819.10215400001</v>
      </c>
      <c r="AC13" s="7">
        <f>+[1]Resumen!AC13*1000</f>
        <v>96928.342938000002</v>
      </c>
      <c r="AD13" s="7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+[1]Resumen!F14*1000</f>
        <v>0</v>
      </c>
      <c r="G14" s="7">
        <f>+[1]Resumen!G14*1000</f>
        <v>0</v>
      </c>
      <c r="H14" s="7">
        <f>+[1]Resumen!H14*1000</f>
        <v>0</v>
      </c>
      <c r="I14" s="7">
        <f>+[1]Resumen!I14*1000</f>
        <v>0</v>
      </c>
      <c r="J14" s="7">
        <f>+[1]Resumen!J14*1000</f>
        <v>0</v>
      </c>
      <c r="K14" s="7">
        <f>+[1]Resumen!K14*1000</f>
        <v>0</v>
      </c>
      <c r="L14" s="7">
        <f>+[1]Resumen!L14*1000</f>
        <v>0</v>
      </c>
      <c r="M14" s="7">
        <f>+[1]Resumen!M14*1000</f>
        <v>0</v>
      </c>
      <c r="N14" s="7">
        <f>+[1]Resumen!N14*1000</f>
        <v>0</v>
      </c>
      <c r="O14" s="7">
        <f>+[1]Resumen!O14*1000</f>
        <v>0</v>
      </c>
      <c r="P14" s="7">
        <f>+[1]Resumen!P14*1000</f>
        <v>0</v>
      </c>
      <c r="Q14" s="7">
        <f>+[1]Resumen!Q14*1000</f>
        <v>0</v>
      </c>
      <c r="R14" s="7">
        <f>+[1]Resumen!R14*1000</f>
        <v>0</v>
      </c>
      <c r="S14" s="7">
        <f>+[1]Resumen!S14*1000</f>
        <v>0</v>
      </c>
      <c r="T14" s="7">
        <f>+[1]Resumen!T14*1000</f>
        <v>0</v>
      </c>
      <c r="U14" s="7">
        <f>+[1]Resumen!U14*1000</f>
        <v>0</v>
      </c>
      <c r="V14" s="7">
        <f>+[1]Resumen!V14*1000</f>
        <v>0</v>
      </c>
      <c r="W14" s="7">
        <f>+[1]Resumen!W14*1000</f>
        <v>0</v>
      </c>
      <c r="X14" s="7">
        <f>+[1]Resumen!X14*1000</f>
        <v>0</v>
      </c>
      <c r="Y14" s="7">
        <f>+[1]Resumen!Y14*1000</f>
        <v>0</v>
      </c>
      <c r="Z14" s="7">
        <f>+[1]Resumen!Z14*1000</f>
        <v>0</v>
      </c>
      <c r="AA14" s="7">
        <f>+[1]Resumen!AA14*1000</f>
        <v>0</v>
      </c>
      <c r="AB14" s="7">
        <f>+[1]Resumen!AB14*1000</f>
        <v>0</v>
      </c>
      <c r="AC14" s="7">
        <f>+[1]Resumen!AC14*1000</f>
        <v>0</v>
      </c>
      <c r="AD14" s="7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21</v>
      </c>
      <c r="F15" s="7">
        <f>+[1]Resumen!F15*1000</f>
        <v>129822.01001000001</v>
      </c>
      <c r="G15" s="7">
        <f>+[1]Resumen!G15*1000</f>
        <v>116525.853286</v>
      </c>
      <c r="H15" s="7">
        <f>+[1]Resumen!H15*1000</f>
        <v>109482.610646</v>
      </c>
      <c r="I15" s="7">
        <f>+[1]Resumen!I15*1000</f>
        <v>109419.40928599999</v>
      </c>
      <c r="J15" s="7">
        <f>+[1]Resumen!J15*1000</f>
        <v>124085.566758</v>
      </c>
      <c r="K15" s="7">
        <f>+[1]Resumen!K15*1000</f>
        <v>173701.66832</v>
      </c>
      <c r="L15" s="7">
        <f>+[1]Resumen!L15*1000</f>
        <v>202642.594748</v>
      </c>
      <c r="M15" s="7">
        <f>+[1]Resumen!M15*1000</f>
        <v>166205.96476999999</v>
      </c>
      <c r="N15" s="7">
        <f>+[1]Resumen!N15*1000</f>
        <v>174517.485124</v>
      </c>
      <c r="O15" s="7">
        <f>+[1]Resumen!O15*1000</f>
        <v>182974.62081800002</v>
      </c>
      <c r="P15" s="7">
        <f>+[1]Resumen!P15*1000</f>
        <v>201920.35601399999</v>
      </c>
      <c r="Q15" s="7">
        <f>+[1]Resumen!Q15*1000</f>
        <v>216086.436434</v>
      </c>
      <c r="R15" s="7">
        <f>+[1]Resumen!R15*1000</f>
        <v>216254.84728799999</v>
      </c>
      <c r="S15" s="7">
        <f>+[1]Resumen!S15*1000</f>
        <v>216130.88509</v>
      </c>
      <c r="T15" s="7">
        <f>+[1]Resumen!T15*1000</f>
        <v>222829.435524</v>
      </c>
      <c r="U15" s="7">
        <f>+[1]Resumen!U15*1000</f>
        <v>223362.50784000001</v>
      </c>
      <c r="V15" s="7">
        <f>+[1]Resumen!V15*1000</f>
        <v>216519.16546399999</v>
      </c>
      <c r="W15" s="7">
        <f>+[1]Resumen!W15*1000</f>
        <v>207126.05620200001</v>
      </c>
      <c r="X15" s="7">
        <f>+[1]Resumen!X15*1000</f>
        <v>216805.54477199999</v>
      </c>
      <c r="Y15" s="7">
        <f>+[1]Resumen!Y15*1000</f>
        <v>223845.10066600001</v>
      </c>
      <c r="Z15" s="7">
        <f>+[1]Resumen!Z15*1000</f>
        <v>205464.46129199999</v>
      </c>
      <c r="AA15" s="7">
        <f>+[1]Resumen!AA15*1000</f>
        <v>176784.72264399999</v>
      </c>
      <c r="AB15" s="7">
        <f>+[1]Resumen!AB15*1000</f>
        <v>137242.10930400001</v>
      </c>
      <c r="AC15" s="7">
        <f>+[1]Resumen!AC15*1000</f>
        <v>114342.73588599999</v>
      </c>
      <c r="AD15" s="70">
        <f t="shared" ref="AD15" si="0">SUM(F15:AC15)*E15+SUM(F16:AC16)*E16+SUM(F17:AC17)*E17+SUM(F18:AC18)*E18</f>
        <v>125915502.95599601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+[1]Resumen!F16*1000</f>
        <v>130520.16991599998</v>
      </c>
      <c r="G16" s="7">
        <f>+[1]Resumen!G16*1000</f>
        <v>115832.715366</v>
      </c>
      <c r="H16" s="7">
        <f>+[1]Resumen!H16*1000</f>
        <v>106139.30321000001</v>
      </c>
      <c r="I16" s="7">
        <f>+[1]Resumen!I16*1000</f>
        <v>103687.854496</v>
      </c>
      <c r="J16" s="7">
        <f>+[1]Resumen!J16*1000</f>
        <v>113347.85598000001</v>
      </c>
      <c r="K16" s="7">
        <f>+[1]Resumen!K16*1000</f>
        <v>132696.381158</v>
      </c>
      <c r="L16" s="7">
        <f>+[1]Resumen!L16*1000</f>
        <v>158591.49904</v>
      </c>
      <c r="M16" s="7">
        <f>+[1]Resumen!M16*1000</f>
        <v>144599.55617</v>
      </c>
      <c r="N16" s="7">
        <f>+[1]Resumen!N16*1000</f>
        <v>163789.83315399999</v>
      </c>
      <c r="O16" s="7">
        <f>+[1]Resumen!O16*1000</f>
        <v>179714.68428400002</v>
      </c>
      <c r="P16" s="7">
        <f>+[1]Resumen!P16*1000</f>
        <v>195734.02589799999</v>
      </c>
      <c r="Q16" s="7">
        <f>+[1]Resumen!Q16*1000</f>
        <v>206921.78673600001</v>
      </c>
      <c r="R16" s="7">
        <f>+[1]Resumen!R16*1000</f>
        <v>206023.85267199998</v>
      </c>
      <c r="S16" s="7">
        <f>+[1]Resumen!S16*1000</f>
        <v>203564.437026</v>
      </c>
      <c r="T16" s="7">
        <f>+[1]Resumen!T16*1000</f>
        <v>201008.26840599999</v>
      </c>
      <c r="U16" s="7">
        <f>+[1]Resumen!U16*1000</f>
        <v>197763.88</v>
      </c>
      <c r="V16" s="7">
        <f>+[1]Resumen!V16*1000</f>
        <v>195047.015246</v>
      </c>
      <c r="W16" s="7">
        <f>+[1]Resumen!W16*1000</f>
        <v>195851.72730400003</v>
      </c>
      <c r="X16" s="7">
        <f>+[1]Resumen!X16*1000</f>
        <v>206781.26014400003</v>
      </c>
      <c r="Y16" s="7">
        <f>+[1]Resumen!Y16*1000</f>
        <v>208348.11235800001</v>
      </c>
      <c r="Z16" s="7">
        <f>+[1]Resumen!Z16*1000</f>
        <v>193540.434282</v>
      </c>
      <c r="AA16" s="7">
        <f>+[1]Resumen!AA16*1000</f>
        <v>171668.92861599999</v>
      </c>
      <c r="AB16" s="7">
        <f>+[1]Resumen!AB16*1000</f>
        <v>142453.99610399999</v>
      </c>
      <c r="AC16" s="7">
        <f>+[1]Resumen!AC16*1000</f>
        <v>115154.613732</v>
      </c>
      <c r="AD16" s="7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+[1]Resumen!F17*1000</f>
        <v>130655.26653199998</v>
      </c>
      <c r="G17" s="7">
        <f>+[1]Resumen!G17*1000</f>
        <v>113902.663036</v>
      </c>
      <c r="H17" s="7">
        <f>+[1]Resumen!H17*1000</f>
        <v>102300.948126</v>
      </c>
      <c r="I17" s="7">
        <f>+[1]Resumen!I17*1000</f>
        <v>96535.678526000003</v>
      </c>
      <c r="J17" s="7">
        <f>+[1]Resumen!J17*1000</f>
        <v>97343.365202000015</v>
      </c>
      <c r="K17" s="7">
        <f>+[1]Resumen!K17*1000</f>
        <v>103221.51450800001</v>
      </c>
      <c r="L17" s="7">
        <f>+[1]Resumen!L17*1000</f>
        <v>112581.14633599999</v>
      </c>
      <c r="M17" s="7">
        <f>+[1]Resumen!M17*1000</f>
        <v>88386.590117999993</v>
      </c>
      <c r="N17" s="7">
        <f>+[1]Resumen!N17*1000</f>
        <v>104878.56218400001</v>
      </c>
      <c r="O17" s="7">
        <f>+[1]Resumen!O17*1000</f>
        <v>117596.522898</v>
      </c>
      <c r="P17" s="7">
        <f>+[1]Resumen!P17*1000</f>
        <v>131097.38675000001</v>
      </c>
      <c r="Q17" s="7">
        <f>+[1]Resumen!Q17*1000</f>
        <v>146217.08074199999</v>
      </c>
      <c r="R17" s="7">
        <f>+[1]Resumen!R17*1000</f>
        <v>157355.04454599999</v>
      </c>
      <c r="S17" s="7">
        <f>+[1]Resumen!S17*1000</f>
        <v>162303.65169</v>
      </c>
      <c r="T17" s="7">
        <f>+[1]Resumen!T17*1000</f>
        <v>161874.74293000001</v>
      </c>
      <c r="U17" s="7">
        <f>+[1]Resumen!U17*1000</f>
        <v>161964.17433800001</v>
      </c>
      <c r="V17" s="7">
        <f>+[1]Resumen!V17*1000</f>
        <v>159288.10116600001</v>
      </c>
      <c r="W17" s="7">
        <f>+[1]Resumen!W17*1000</f>
        <v>156836.044176</v>
      </c>
      <c r="X17" s="7">
        <f>+[1]Resumen!X17*1000</f>
        <v>175785.11005399999</v>
      </c>
      <c r="Y17" s="7">
        <f>+[1]Resumen!Y17*1000</f>
        <v>186101.08527799998</v>
      </c>
      <c r="Z17" s="7">
        <f>+[1]Resumen!Z17*1000</f>
        <v>176368.928908</v>
      </c>
      <c r="AA17" s="7">
        <f>+[1]Resumen!AA17*1000</f>
        <v>155284.40628</v>
      </c>
      <c r="AB17" s="7">
        <f>+[1]Resumen!AB17*1000</f>
        <v>125488.496008</v>
      </c>
      <c r="AC17" s="7">
        <f>+[1]Resumen!AC17*1000</f>
        <v>93374.045328000007</v>
      </c>
      <c r="AD17" s="7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+[1]Resumen!F18*1000</f>
        <v>153414.62520000001</v>
      </c>
      <c r="G18" s="7">
        <f>+[1]Resumen!G18*1000</f>
        <v>137763.579868</v>
      </c>
      <c r="H18" s="7">
        <f>+[1]Resumen!H18*1000</f>
        <v>126600.62482200001</v>
      </c>
      <c r="I18" s="7">
        <f>+[1]Resumen!I18*1000</f>
        <v>120389.28121000002</v>
      </c>
      <c r="J18" s="7">
        <f>+[1]Resumen!J18*1000</f>
        <v>123541.30068</v>
      </c>
      <c r="K18" s="7">
        <f>+[1]Resumen!K18*1000</f>
        <v>129442.46062200003</v>
      </c>
      <c r="L18" s="7">
        <f>+[1]Resumen!L18*1000</f>
        <v>136709.422724</v>
      </c>
      <c r="M18" s="7">
        <f>+[1]Resumen!M18*1000</f>
        <v>113398.016496</v>
      </c>
      <c r="N18" s="7">
        <f>+[1]Resumen!N18*1000</f>
        <v>126938.51472200001</v>
      </c>
      <c r="O18" s="7">
        <f>+[1]Resumen!O18*1000</f>
        <v>145149.000012</v>
      </c>
      <c r="P18" s="7">
        <f>+[1]Resumen!P18*1000</f>
        <v>161169.65461200001</v>
      </c>
      <c r="Q18" s="7">
        <f>+[1]Resumen!Q18*1000</f>
        <v>182832.684806</v>
      </c>
      <c r="R18" s="7">
        <f>+[1]Resumen!R18*1000</f>
        <v>192558.05370600001</v>
      </c>
      <c r="S18" s="7">
        <f>+[1]Resumen!S18*1000</f>
        <v>191698.43361199999</v>
      </c>
      <c r="T18" s="7">
        <f>+[1]Resumen!T18*1000</f>
        <v>188220.60074600001</v>
      </c>
      <c r="U18" s="7">
        <f>+[1]Resumen!U18*1000</f>
        <v>184755.19302999999</v>
      </c>
      <c r="V18" s="7">
        <f>+[1]Resumen!V18*1000</f>
        <v>185250.06264600001</v>
      </c>
      <c r="W18" s="7">
        <f>+[1]Resumen!W18*1000</f>
        <v>181133.606742</v>
      </c>
      <c r="X18" s="7">
        <f>+[1]Resumen!X18*1000</f>
        <v>205876.286398</v>
      </c>
      <c r="Y18" s="7">
        <f>+[1]Resumen!Y18*1000</f>
        <v>229797.50415200001</v>
      </c>
      <c r="Z18" s="7">
        <f>+[1]Resumen!Z18*1000</f>
        <v>216075.08689400001</v>
      </c>
      <c r="AA18" s="7">
        <f>+[1]Resumen!AA18*1000</f>
        <v>192246.18614999999</v>
      </c>
      <c r="AB18" s="7">
        <f>+[1]Resumen!AB18*1000</f>
        <v>159988.44938199999</v>
      </c>
      <c r="AC18" s="7">
        <f>+[1]Resumen!AC18*1000</f>
        <v>125787.671366</v>
      </c>
      <c r="AD18" s="7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+[1]Resumen!F19*1000</f>
        <v>130136.355178</v>
      </c>
      <c r="G19" s="7">
        <f>+[1]Resumen!G19*1000</f>
        <v>115615.234442</v>
      </c>
      <c r="H19" s="7">
        <f>+[1]Resumen!H19*1000</f>
        <v>108242.04658000001</v>
      </c>
      <c r="I19" s="7">
        <f>+[1]Resumen!I19*1000</f>
        <v>108138.328104</v>
      </c>
      <c r="J19" s="7">
        <f>+[1]Resumen!J19*1000</f>
        <v>122106.06603999999</v>
      </c>
      <c r="K19" s="7">
        <f>+[1]Resumen!K19*1000</f>
        <v>167286.90831200001</v>
      </c>
      <c r="L19" s="7">
        <f>+[1]Resumen!L19*1000</f>
        <v>197366.31229</v>
      </c>
      <c r="M19" s="7">
        <f>+[1]Resumen!M19*1000</f>
        <v>163856.09814799999</v>
      </c>
      <c r="N19" s="7">
        <f>+[1]Resumen!N19*1000</f>
        <v>172531.18210000001</v>
      </c>
      <c r="O19" s="7">
        <f>+[1]Resumen!O19*1000</f>
        <v>182081.360094</v>
      </c>
      <c r="P19" s="7">
        <f>+[1]Resumen!P19*1000</f>
        <v>202228.343956</v>
      </c>
      <c r="Q19" s="7">
        <f>+[1]Resumen!Q19*1000</f>
        <v>217697.45542000001</v>
      </c>
      <c r="R19" s="7">
        <f>+[1]Resumen!R19*1000</f>
        <v>219353.51650200001</v>
      </c>
      <c r="S19" s="7">
        <f>+[1]Resumen!S19*1000</f>
        <v>219104.55358600002</v>
      </c>
      <c r="T19" s="7">
        <f>+[1]Resumen!T19*1000</f>
        <v>226637.39906200001</v>
      </c>
      <c r="U19" s="7">
        <f>+[1]Resumen!U19*1000</f>
        <v>229293.888714</v>
      </c>
      <c r="V19" s="7">
        <f>+[1]Resumen!V19*1000</f>
        <v>223203.88874599998</v>
      </c>
      <c r="W19" s="7">
        <f>+[1]Resumen!W19*1000</f>
        <v>217796.11482000002</v>
      </c>
      <c r="X19" s="7">
        <f>+[1]Resumen!X19*1000</f>
        <v>229102.941976</v>
      </c>
      <c r="Y19" s="7">
        <f>+[1]Resumen!Y19*1000</f>
        <v>232254.14546599999</v>
      </c>
      <c r="Z19" s="7">
        <f>+[1]Resumen!Z19*1000</f>
        <v>214019.92999400001</v>
      </c>
      <c r="AA19" s="7">
        <f>+[1]Resumen!AA19*1000</f>
        <v>185891.59354</v>
      </c>
      <c r="AB19" s="7">
        <f>+[1]Resumen!AB19*1000</f>
        <v>147002.61726999999</v>
      </c>
      <c r="AC19" s="7">
        <f>+[1]Resumen!AC19*1000</f>
        <v>119444.52473</v>
      </c>
      <c r="AD19" s="70">
        <f t="shared" ref="AD19" si="1">SUM(F19:AC19)*E19+SUM(F20:AC20)*E20+SUM(F21:AC21)*E21+SUM(F22:AC22)*E22</f>
        <v>123107011.88197601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+[1]Resumen!F20*1000</f>
        <v>132507.74883599998</v>
      </c>
      <c r="G20" s="7">
        <f>+[1]Resumen!G20*1000</f>
        <v>114779.87862600001</v>
      </c>
      <c r="H20" s="7">
        <f>+[1]Resumen!H20*1000</f>
        <v>104428.08188000001</v>
      </c>
      <c r="I20" s="7">
        <f>+[1]Resumen!I20*1000</f>
        <v>102451.77090200002</v>
      </c>
      <c r="J20" s="7">
        <f>+[1]Resumen!J20*1000</f>
        <v>110290.99461400001</v>
      </c>
      <c r="K20" s="7">
        <f>+[1]Resumen!K20*1000</f>
        <v>127364.77525600001</v>
      </c>
      <c r="L20" s="7">
        <f>+[1]Resumen!L20*1000</f>
        <v>154209.68643999999</v>
      </c>
      <c r="M20" s="7">
        <f>+[1]Resumen!M20*1000</f>
        <v>137143.13834799998</v>
      </c>
      <c r="N20" s="7">
        <f>+[1]Resumen!N20*1000</f>
        <v>155432.62533800001</v>
      </c>
      <c r="O20" s="7">
        <f>+[1]Resumen!O20*1000</f>
        <v>171759.917804</v>
      </c>
      <c r="P20" s="7">
        <f>+[1]Resumen!P20*1000</f>
        <v>185041.03082399999</v>
      </c>
      <c r="Q20" s="7">
        <f>+[1]Resumen!Q20*1000</f>
        <v>193297.517036</v>
      </c>
      <c r="R20" s="7">
        <f>+[1]Resumen!R20*1000</f>
        <v>192792.53668600001</v>
      </c>
      <c r="S20" s="7">
        <f>+[1]Resumen!S20*1000</f>
        <v>193116.05791999999</v>
      </c>
      <c r="T20" s="7">
        <f>+[1]Resumen!T20*1000</f>
        <v>193871.66281800001</v>
      </c>
      <c r="U20" s="7">
        <f>+[1]Resumen!U20*1000</f>
        <v>196621.00357600002</v>
      </c>
      <c r="V20" s="7">
        <f>+[1]Resumen!V20*1000</f>
        <v>198953.10408799999</v>
      </c>
      <c r="W20" s="7">
        <f>+[1]Resumen!W20*1000</f>
        <v>201071.03210400001</v>
      </c>
      <c r="X20" s="7">
        <f>+[1]Resumen!X20*1000</f>
        <v>214001.199544</v>
      </c>
      <c r="Y20" s="7">
        <f>+[1]Resumen!Y20*1000</f>
        <v>214084.711388</v>
      </c>
      <c r="Z20" s="7">
        <f>+[1]Resumen!Z20*1000</f>
        <v>196603.59352999998</v>
      </c>
      <c r="AA20" s="7">
        <f>+[1]Resumen!AA20*1000</f>
        <v>173191.131888</v>
      </c>
      <c r="AB20" s="7">
        <f>+[1]Resumen!AB20*1000</f>
        <v>146008.887154</v>
      </c>
      <c r="AC20" s="7">
        <f>+[1]Resumen!AC20*1000</f>
        <v>118874.978108</v>
      </c>
      <c r="AD20" s="7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+[1]Resumen!F21*1000</f>
        <v>138598.69830799999</v>
      </c>
      <c r="G21" s="7">
        <f>+[1]Resumen!G21*1000</f>
        <v>120696.883416</v>
      </c>
      <c r="H21" s="7">
        <f>+[1]Resumen!H21*1000</f>
        <v>108698.23874399999</v>
      </c>
      <c r="I21" s="7">
        <f>+[1]Resumen!I21*1000</f>
        <v>103357.22681800001</v>
      </c>
      <c r="J21" s="7">
        <f>+[1]Resumen!J21*1000</f>
        <v>104658.106642</v>
      </c>
      <c r="K21" s="7">
        <f>+[1]Resumen!K21*1000</f>
        <v>108446.56083999999</v>
      </c>
      <c r="L21" s="7">
        <f>+[1]Resumen!L21*1000</f>
        <v>122069.591734</v>
      </c>
      <c r="M21" s="7">
        <f>+[1]Resumen!M21*1000</f>
        <v>99192.093997999997</v>
      </c>
      <c r="N21" s="7">
        <f>+[1]Resumen!N21*1000</f>
        <v>114946.76878999999</v>
      </c>
      <c r="O21" s="7">
        <f>+[1]Resumen!O21*1000</f>
        <v>130210.38681800001</v>
      </c>
      <c r="P21" s="7">
        <f>+[1]Resumen!P21*1000</f>
        <v>140947.32612399998</v>
      </c>
      <c r="Q21" s="7">
        <f>+[1]Resumen!Q21*1000</f>
        <v>152238.605152</v>
      </c>
      <c r="R21" s="7">
        <f>+[1]Resumen!R21*1000</f>
        <v>158905.50298000002</v>
      </c>
      <c r="S21" s="7">
        <f>+[1]Resumen!S21*1000</f>
        <v>164377.11621400001</v>
      </c>
      <c r="T21" s="7">
        <f>+[1]Resumen!T21*1000</f>
        <v>167513.20181999999</v>
      </c>
      <c r="U21" s="7">
        <f>+[1]Resumen!U21*1000</f>
        <v>168414.79295800001</v>
      </c>
      <c r="V21" s="7">
        <f>+[1]Resumen!V21*1000</f>
        <v>167283.22898400002</v>
      </c>
      <c r="W21" s="7">
        <f>+[1]Resumen!W21*1000</f>
        <v>169901.54560800001</v>
      </c>
      <c r="X21" s="7">
        <f>+[1]Resumen!X21*1000</f>
        <v>184373.27730000002</v>
      </c>
      <c r="Y21" s="7">
        <f>+[1]Resumen!Y21*1000</f>
        <v>188542.482602</v>
      </c>
      <c r="Z21" s="7">
        <f>+[1]Resumen!Z21*1000</f>
        <v>178178.04558400001</v>
      </c>
      <c r="AA21" s="7">
        <f>+[1]Resumen!AA21*1000</f>
        <v>157192.738706</v>
      </c>
      <c r="AB21" s="7">
        <f>+[1]Resumen!AB21*1000</f>
        <v>126932.038808</v>
      </c>
      <c r="AC21" s="7">
        <f>+[1]Resumen!AC21*1000</f>
        <v>94096.855248000007</v>
      </c>
      <c r="AD21" s="7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+[1]Resumen!F22*1000</f>
        <v>154532.940626</v>
      </c>
      <c r="G22" s="7">
        <f>+[1]Resumen!G22*1000</f>
        <v>135859.72791400002</v>
      </c>
      <c r="H22" s="7">
        <f>+[1]Resumen!H22*1000</f>
        <v>123083.56557200001</v>
      </c>
      <c r="I22" s="7">
        <f>+[1]Resumen!I22*1000</f>
        <v>116602.421882</v>
      </c>
      <c r="J22" s="7">
        <f>+[1]Resumen!J22*1000</f>
        <v>118450.928138</v>
      </c>
      <c r="K22" s="7">
        <f>+[1]Resumen!K22*1000</f>
        <v>122451.36652200001</v>
      </c>
      <c r="L22" s="7">
        <f>+[1]Resumen!L22*1000</f>
        <v>128671.70816800001</v>
      </c>
      <c r="M22" s="7">
        <f>+[1]Resumen!M22*1000</f>
        <v>100501.34874399999</v>
      </c>
      <c r="N22" s="7">
        <f>+[1]Resumen!N22*1000</f>
        <v>111937.23426400001</v>
      </c>
      <c r="O22" s="7">
        <f>+[1]Resumen!O22*1000</f>
        <v>117160.848922</v>
      </c>
      <c r="P22" s="7">
        <f>+[1]Resumen!P22*1000</f>
        <v>118981.893742</v>
      </c>
      <c r="Q22" s="7">
        <f>+[1]Resumen!Q22*1000</f>
        <v>136708.421294</v>
      </c>
      <c r="R22" s="7">
        <f>+[1]Resumen!R22*1000</f>
        <v>154287.597694</v>
      </c>
      <c r="S22" s="7">
        <f>+[1]Resumen!S22*1000</f>
        <v>156977.05293800001</v>
      </c>
      <c r="T22" s="7">
        <f>+[1]Resumen!T22*1000</f>
        <v>158970.92973999999</v>
      </c>
      <c r="U22" s="7">
        <f>+[1]Resumen!U22*1000</f>
        <v>161077.03346400001</v>
      </c>
      <c r="V22" s="7">
        <f>+[1]Resumen!V22*1000</f>
        <v>166133.35738599999</v>
      </c>
      <c r="W22" s="7">
        <f>+[1]Resumen!W22*1000</f>
        <v>168600.68803799999</v>
      </c>
      <c r="X22" s="7">
        <f>+[1]Resumen!X22*1000</f>
        <v>187119.18352399999</v>
      </c>
      <c r="Y22" s="7">
        <f>+[1]Resumen!Y22*1000</f>
        <v>191203.83846200001</v>
      </c>
      <c r="Z22" s="7">
        <f>+[1]Resumen!Z22*1000</f>
        <v>176201.927474</v>
      </c>
      <c r="AA22" s="7">
        <f>+[1]Resumen!AA22*1000</f>
        <v>166367.61040800001</v>
      </c>
      <c r="AB22" s="7">
        <f>+[1]Resumen!AB22*1000</f>
        <v>154928.49064</v>
      </c>
      <c r="AC22" s="7">
        <f>+[1]Resumen!AC22*1000</f>
        <v>127451.016924</v>
      </c>
      <c r="AD22" s="7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+[1]Resumen!F23*1000</f>
        <v>60229.397644000004</v>
      </c>
      <c r="G23" s="7">
        <f>+[1]Resumen!G23*1000</f>
        <v>51930.198588000007</v>
      </c>
      <c r="H23" s="7">
        <f>+[1]Resumen!H23*1000</f>
        <v>47945.508618</v>
      </c>
      <c r="I23" s="7">
        <f>+[1]Resumen!I23*1000</f>
        <v>48923.683188000003</v>
      </c>
      <c r="J23" s="7">
        <f>+[1]Resumen!J23*1000</f>
        <v>66917.280994000001</v>
      </c>
      <c r="K23" s="7">
        <f>+[1]Resumen!K23*1000</f>
        <v>114411.01115799999</v>
      </c>
      <c r="L23" s="7">
        <f>+[1]Resumen!L23*1000</f>
        <v>137483.77290800001</v>
      </c>
      <c r="M23" s="7">
        <f>+[1]Resumen!M23*1000</f>
        <v>106691.773596</v>
      </c>
      <c r="N23" s="7">
        <f>+[1]Resumen!N23*1000</f>
        <v>104377.943618</v>
      </c>
      <c r="O23" s="7">
        <f>+[1]Resumen!O23*1000</f>
        <v>105193.65656999999</v>
      </c>
      <c r="P23" s="7">
        <f>+[1]Resumen!P23*1000</f>
        <v>120098.37692200001</v>
      </c>
      <c r="Q23" s="7">
        <f>+[1]Resumen!Q23*1000</f>
        <v>129650.77289799998</v>
      </c>
      <c r="R23" s="7">
        <f>+[1]Resumen!R23*1000</f>
        <v>123221.73323999999</v>
      </c>
      <c r="S23" s="7">
        <f>+[1]Resumen!S23*1000</f>
        <v>124037.52778999999</v>
      </c>
      <c r="T23" s="7">
        <f>+[1]Resumen!T23*1000</f>
        <v>135636.61672799999</v>
      </c>
      <c r="U23" s="7">
        <f>+[1]Resumen!U23*1000</f>
        <v>143530.792984</v>
      </c>
      <c r="V23" s="7">
        <f>+[1]Resumen!V23*1000</f>
        <v>139342.42698799999</v>
      </c>
      <c r="W23" s="7">
        <f>+[1]Resumen!W23*1000</f>
        <v>121024.907376</v>
      </c>
      <c r="X23" s="7">
        <f>+[1]Resumen!X23*1000</f>
        <v>126614.08849200001</v>
      </c>
      <c r="Y23" s="7">
        <f>+[1]Resumen!Y23*1000</f>
        <v>130285.65726400001</v>
      </c>
      <c r="Z23" s="7">
        <f>+[1]Resumen!Z23*1000</f>
        <v>118469.06514799999</v>
      </c>
      <c r="AA23" s="7">
        <f>+[1]Resumen!AA23*1000</f>
        <v>99679.345327999996</v>
      </c>
      <c r="AB23" s="7">
        <f>+[1]Resumen!AB23*1000</f>
        <v>71530.097532</v>
      </c>
      <c r="AC23" s="7">
        <f>+[1]Resumen!AC23*1000</f>
        <v>49397.730478000005</v>
      </c>
      <c r="AD23" s="70">
        <f t="shared" ref="AD23" si="2">SUM(F23:AC23)*E23+SUM(F24:AC24)*E24+SUM(F25:AC25)*E25+SUM(F26:AC26)*E26</f>
        <v>61191884.857557997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5</v>
      </c>
      <c r="F24" s="7">
        <f>+[1]Resumen!F24*1000</f>
        <v>78490.881684000007</v>
      </c>
      <c r="G24" s="7">
        <f>+[1]Resumen!G24*1000</f>
        <v>65557.250037999998</v>
      </c>
      <c r="H24" s="7">
        <f>+[1]Resumen!H24*1000</f>
        <v>57947.932399999998</v>
      </c>
      <c r="I24" s="7">
        <f>+[1]Resumen!I24*1000</f>
        <v>52760.584344000003</v>
      </c>
      <c r="J24" s="7">
        <f>+[1]Resumen!J24*1000</f>
        <v>50038.675349999998</v>
      </c>
      <c r="K24" s="7">
        <f>+[1]Resumen!K24*1000</f>
        <v>51023.125548000004</v>
      </c>
      <c r="L24" s="7">
        <f>+[1]Resumen!L24*1000</f>
        <v>58861.399755999999</v>
      </c>
      <c r="M24" s="7">
        <f>+[1]Resumen!M24*1000</f>
        <v>44578.352311999995</v>
      </c>
      <c r="N24" s="7">
        <f>+[1]Resumen!N24*1000</f>
        <v>63959.665050000003</v>
      </c>
      <c r="O24" s="7">
        <f>+[1]Resumen!O24*1000</f>
        <v>75307.899482000008</v>
      </c>
      <c r="P24" s="7">
        <f>+[1]Resumen!P24*1000</f>
        <v>84592.928484000004</v>
      </c>
      <c r="Q24" s="7">
        <f>+[1]Resumen!Q24*1000</f>
        <v>85927.537953999999</v>
      </c>
      <c r="R24" s="7">
        <f>+[1]Resumen!R24*1000</f>
        <v>78013.718833999999</v>
      </c>
      <c r="S24" s="7">
        <f>+[1]Resumen!S24*1000</f>
        <v>75312.053562000001</v>
      </c>
      <c r="T24" s="7">
        <f>+[1]Resumen!T24*1000</f>
        <v>70749.998397999996</v>
      </c>
      <c r="U24" s="7">
        <f>+[1]Resumen!U24*1000</f>
        <v>70025.912582000004</v>
      </c>
      <c r="V24" s="7">
        <f>+[1]Resumen!V24*1000</f>
        <v>72840.331453999999</v>
      </c>
      <c r="W24" s="7">
        <f>+[1]Resumen!W24*1000</f>
        <v>72082.679188000009</v>
      </c>
      <c r="X24" s="7">
        <f>+[1]Resumen!X24*1000</f>
        <v>78992.420082000011</v>
      </c>
      <c r="Y24" s="7">
        <f>+[1]Resumen!Y24*1000</f>
        <v>79245.930231999999</v>
      </c>
      <c r="Z24" s="7">
        <f>+[1]Resumen!Z24*1000</f>
        <v>75444.561296</v>
      </c>
      <c r="AA24" s="7">
        <f>+[1]Resumen!AA24*1000</f>
        <v>70334.471709999998</v>
      </c>
      <c r="AB24" s="7">
        <f>+[1]Resumen!AB24*1000</f>
        <v>65866.654817999995</v>
      </c>
      <c r="AC24" s="7">
        <f>+[1]Resumen!AC24*1000</f>
        <v>54782.367661999997</v>
      </c>
      <c r="AD24" s="7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+[1]Resumen!F25*1000</f>
        <v>72646.543621999997</v>
      </c>
      <c r="G25" s="7">
        <f>+[1]Resumen!G25*1000</f>
        <v>61216.407052000002</v>
      </c>
      <c r="H25" s="7">
        <f>+[1]Resumen!H25*1000</f>
        <v>48644.039423999995</v>
      </c>
      <c r="I25" s="7">
        <f>+[1]Resumen!I25*1000</f>
        <v>37756.870781999998</v>
      </c>
      <c r="J25" s="7">
        <f>+[1]Resumen!J25*1000</f>
        <v>23886.115777999999</v>
      </c>
      <c r="K25" s="7">
        <f>+[1]Resumen!K25*1000</f>
        <v>7589.4373980000009</v>
      </c>
      <c r="L25" s="7">
        <f>+[1]Resumen!L25*1000</f>
        <v>0</v>
      </c>
      <c r="M25" s="7">
        <f>+[1]Resumen!M25*1000</f>
        <v>0</v>
      </c>
      <c r="N25" s="7">
        <f>+[1]Resumen!N25*1000</f>
        <v>0</v>
      </c>
      <c r="O25" s="7">
        <f>+[1]Resumen!O25*1000</f>
        <v>0</v>
      </c>
      <c r="P25" s="7">
        <f>+[1]Resumen!P25*1000</f>
        <v>2769.680914</v>
      </c>
      <c r="Q25" s="7">
        <f>+[1]Resumen!Q25*1000</f>
        <v>13033.500179999999</v>
      </c>
      <c r="R25" s="7">
        <f>+[1]Resumen!R25*1000</f>
        <v>18299.946370000001</v>
      </c>
      <c r="S25" s="7">
        <f>+[1]Resumen!S25*1000</f>
        <v>23474.6319</v>
      </c>
      <c r="T25" s="7">
        <f>+[1]Resumen!T25*1000</f>
        <v>17150.534688</v>
      </c>
      <c r="U25" s="7">
        <f>+[1]Resumen!U25*1000</f>
        <v>21540.610939999999</v>
      </c>
      <c r="V25" s="7">
        <f>+[1]Resumen!V25*1000</f>
        <v>24346.002106</v>
      </c>
      <c r="W25" s="7">
        <f>+[1]Resumen!W25*1000</f>
        <v>22556.943702</v>
      </c>
      <c r="X25" s="7">
        <f>+[1]Resumen!X25*1000</f>
        <v>37289.032357999997</v>
      </c>
      <c r="Y25" s="7">
        <f>+[1]Resumen!Y25*1000</f>
        <v>47151.100161999995</v>
      </c>
      <c r="Z25" s="7">
        <f>+[1]Resumen!Z25*1000</f>
        <v>49322.712244000002</v>
      </c>
      <c r="AA25" s="7">
        <f>+[1]Resumen!AA25*1000</f>
        <v>45797.515447999998</v>
      </c>
      <c r="AB25" s="7">
        <f>+[1]Resumen!AB25*1000</f>
        <v>35074.284606000001</v>
      </c>
      <c r="AC25" s="7">
        <f>+[1]Resumen!AC25*1000</f>
        <v>19292.608294000001</v>
      </c>
      <c r="AD25" s="7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+[1]Resumen!F26*1000</f>
        <v>58943.613450000004</v>
      </c>
      <c r="G26" s="7">
        <f>+[1]Resumen!G26*1000</f>
        <v>48811.218890000004</v>
      </c>
      <c r="H26" s="7">
        <f>+[1]Resumen!H26*1000</f>
        <v>42705.166369999999</v>
      </c>
      <c r="I26" s="7">
        <f>+[1]Resumen!I26*1000</f>
        <v>38858.577305999999</v>
      </c>
      <c r="J26" s="7">
        <f>+[1]Resumen!J26*1000</f>
        <v>42982.339940000005</v>
      </c>
      <c r="K26" s="7">
        <f>+[1]Resumen!K26*1000</f>
        <v>53595.279957999999</v>
      </c>
      <c r="L26" s="7">
        <f>+[1]Resumen!L26*1000</f>
        <v>49777.665602000001</v>
      </c>
      <c r="M26" s="7">
        <f>+[1]Resumen!M26*1000</f>
        <v>23587.941849999999</v>
      </c>
      <c r="N26" s="7">
        <f>+[1]Resumen!N26*1000</f>
        <v>35655.878059999995</v>
      </c>
      <c r="O26" s="7">
        <f>+[1]Resumen!O26*1000</f>
        <v>44129.251755999998</v>
      </c>
      <c r="P26" s="7">
        <f>+[1]Resumen!P26*1000</f>
        <v>58485.715146000002</v>
      </c>
      <c r="Q26" s="7">
        <f>+[1]Resumen!Q26*1000</f>
        <v>69645.079880000005</v>
      </c>
      <c r="R26" s="7">
        <f>+[1]Resumen!R26*1000</f>
        <v>82442.954708000005</v>
      </c>
      <c r="S26" s="7">
        <f>+[1]Resumen!S26*1000</f>
        <v>83622.038390000002</v>
      </c>
      <c r="T26" s="7">
        <f>+[1]Resumen!T26*1000</f>
        <v>77969.448210000002</v>
      </c>
      <c r="U26" s="7">
        <f>+[1]Resumen!U26*1000</f>
        <v>67421.949787999998</v>
      </c>
      <c r="V26" s="7">
        <f>+[1]Resumen!V26*1000</f>
        <v>71260.223273999989</v>
      </c>
      <c r="W26" s="7">
        <f>+[1]Resumen!W26*1000</f>
        <v>77793.574848000004</v>
      </c>
      <c r="X26" s="7">
        <f>+[1]Resumen!X26*1000</f>
        <v>87194.361740000008</v>
      </c>
      <c r="Y26" s="7">
        <f>+[1]Resumen!Y26*1000</f>
        <v>87972.598956000002</v>
      </c>
      <c r="Z26" s="7">
        <f>+[1]Resumen!Z26*1000</f>
        <v>77980.018859999996</v>
      </c>
      <c r="AA26" s="7">
        <f>+[1]Resumen!AA26*1000</f>
        <v>66272.055936000004</v>
      </c>
      <c r="AB26" s="7">
        <f>+[1]Resumen!AB26*1000</f>
        <v>48132.523816000001</v>
      </c>
      <c r="AC26" s="7">
        <f>+[1]Resumen!AC26*1000</f>
        <v>18841.349099999999</v>
      </c>
      <c r="AD26" s="7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19</v>
      </c>
      <c r="F27" s="7">
        <f>+[1]Resumen!F27*1000</f>
        <v>39386.405096000002</v>
      </c>
      <c r="G27" s="7">
        <f>+[1]Resumen!G27*1000</f>
        <v>30273.889102000001</v>
      </c>
      <c r="H27" s="7">
        <f>+[1]Resumen!H27*1000</f>
        <v>25911.860307999999</v>
      </c>
      <c r="I27" s="7">
        <f>+[1]Resumen!I27*1000</f>
        <v>25695.217618000002</v>
      </c>
      <c r="J27" s="7">
        <f>+[1]Resumen!J27*1000</f>
        <v>31706.431008</v>
      </c>
      <c r="K27" s="7">
        <f>+[1]Resumen!K27*1000</f>
        <v>53408.962052000003</v>
      </c>
      <c r="L27" s="7">
        <f>+[1]Resumen!L27*1000</f>
        <v>72605.989415999997</v>
      </c>
      <c r="M27" s="7">
        <f>+[1]Resumen!M27*1000</f>
        <v>51789.775848000005</v>
      </c>
      <c r="N27" s="7">
        <f>+[1]Resumen!N27*1000</f>
        <v>55752.716242000002</v>
      </c>
      <c r="O27" s="7">
        <f>+[1]Resumen!O27*1000</f>
        <v>60875.505444000002</v>
      </c>
      <c r="P27" s="7">
        <f>+[1]Resumen!P27*1000</f>
        <v>70329.583247999995</v>
      </c>
      <c r="Q27" s="7">
        <f>+[1]Resumen!Q27*1000</f>
        <v>79165.378169999996</v>
      </c>
      <c r="R27" s="7">
        <f>+[1]Resumen!R27*1000</f>
        <v>79603.885821999997</v>
      </c>
      <c r="S27" s="7">
        <f>+[1]Resumen!S27*1000</f>
        <v>80690.007128000012</v>
      </c>
      <c r="T27" s="7">
        <f>+[1]Resumen!T27*1000</f>
        <v>84869.894350000002</v>
      </c>
      <c r="U27" s="7">
        <f>+[1]Resumen!U27*1000</f>
        <v>87559.957869999998</v>
      </c>
      <c r="V27" s="7">
        <f>+[1]Resumen!V27*1000</f>
        <v>84552.225917999996</v>
      </c>
      <c r="W27" s="7">
        <f>+[1]Resumen!W27*1000</f>
        <v>74832.865598000004</v>
      </c>
      <c r="X27" s="7">
        <f>+[1]Resumen!X27*1000</f>
        <v>80162.965645999997</v>
      </c>
      <c r="Y27" s="7">
        <f>+[1]Resumen!Y27*1000</f>
        <v>79647.711366000003</v>
      </c>
      <c r="Z27" s="7">
        <f>+[1]Resumen!Z27*1000</f>
        <v>67758.712152000007</v>
      </c>
      <c r="AA27" s="7">
        <f>+[1]Resumen!AA27*1000</f>
        <v>52790.60499</v>
      </c>
      <c r="AB27" s="7">
        <f>+[1]Resumen!AB27*1000</f>
        <v>30041.957914000002</v>
      </c>
      <c r="AC27" s="7">
        <f>+[1]Resumen!AC27*1000</f>
        <v>17948.570546000003</v>
      </c>
      <c r="AD27" s="70">
        <f t="shared" ref="AD27" si="3">SUM(F27:AC27)*E27+SUM(F28:AC28)*E28+SUM(F29:AC29)*E29+SUM(F30:AC30)*E30</f>
        <v>37597002.949298002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+[1]Resumen!F28*1000</f>
        <v>37782.544479999997</v>
      </c>
      <c r="G28" s="7">
        <f>+[1]Resumen!G28*1000</f>
        <v>28167.325461999997</v>
      </c>
      <c r="H28" s="7">
        <f>+[1]Resumen!H28*1000</f>
        <v>20450.164939999999</v>
      </c>
      <c r="I28" s="7">
        <f>+[1]Resumen!I28*1000</f>
        <v>18600.790777999999</v>
      </c>
      <c r="J28" s="7">
        <f>+[1]Resumen!J28*1000</f>
        <v>22108.762977999999</v>
      </c>
      <c r="K28" s="7">
        <f>+[1]Resumen!K28*1000</f>
        <v>30085.308706</v>
      </c>
      <c r="L28" s="7">
        <f>+[1]Resumen!L28*1000</f>
        <v>44703.746183999996</v>
      </c>
      <c r="M28" s="7">
        <f>+[1]Resumen!M28*1000</f>
        <v>32879.980861999997</v>
      </c>
      <c r="N28" s="7">
        <f>+[1]Resumen!N28*1000</f>
        <v>43525.048238000003</v>
      </c>
      <c r="O28" s="7">
        <f>+[1]Resumen!O28*1000</f>
        <v>51903.286084000007</v>
      </c>
      <c r="P28" s="7">
        <f>+[1]Resumen!P28*1000</f>
        <v>61007.167526000005</v>
      </c>
      <c r="Q28" s="7">
        <f>+[1]Resumen!Q28*1000</f>
        <v>67712.906002000003</v>
      </c>
      <c r="R28" s="7">
        <f>+[1]Resumen!R28*1000</f>
        <v>68172.406594</v>
      </c>
      <c r="S28" s="7">
        <f>+[1]Resumen!S28*1000</f>
        <v>68115.740491999997</v>
      </c>
      <c r="T28" s="7">
        <f>+[1]Resumen!T28*1000</f>
        <v>68530.540215999994</v>
      </c>
      <c r="U28" s="7">
        <f>+[1]Resumen!U28*1000</f>
        <v>70422.107961999995</v>
      </c>
      <c r="V28" s="7">
        <f>+[1]Resumen!V28*1000</f>
        <v>69151.055915999998</v>
      </c>
      <c r="W28" s="7">
        <f>+[1]Resumen!W28*1000</f>
        <v>63472.005730000004</v>
      </c>
      <c r="X28" s="7">
        <f>+[1]Resumen!X28*1000</f>
        <v>67858.855152000004</v>
      </c>
      <c r="Y28" s="7">
        <f>+[1]Resumen!Y28*1000</f>
        <v>71049.744942000005</v>
      </c>
      <c r="Z28" s="7">
        <f>+[1]Resumen!Z28*1000</f>
        <v>63254.947632000003</v>
      </c>
      <c r="AA28" s="7">
        <f>+[1]Resumen!AA28*1000</f>
        <v>49858.262171999995</v>
      </c>
      <c r="AB28" s="7">
        <f>+[1]Resumen!AB28*1000</f>
        <v>35419.102918000004</v>
      </c>
      <c r="AC28" s="7">
        <f>+[1]Resumen!AC28*1000</f>
        <v>18982.357862000001</v>
      </c>
      <c r="AD28" s="7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+[1]Resumen!F29*1000</f>
        <v>41827.297996000001</v>
      </c>
      <c r="G29" s="7">
        <f>+[1]Resumen!G29*1000</f>
        <v>32904.957268000006</v>
      </c>
      <c r="H29" s="7">
        <f>+[1]Resumen!H29*1000</f>
        <v>25798.216548</v>
      </c>
      <c r="I29" s="7">
        <f>+[1]Resumen!I29*1000</f>
        <v>23510.579527999998</v>
      </c>
      <c r="J29" s="7">
        <f>+[1]Resumen!J29*1000</f>
        <v>23861.643796</v>
      </c>
      <c r="K29" s="7">
        <f>+[1]Resumen!K29*1000</f>
        <v>25628.055046000001</v>
      </c>
      <c r="L29" s="7">
        <f>+[1]Resumen!L29*1000</f>
        <v>28225.579016000003</v>
      </c>
      <c r="M29" s="7">
        <f>+[1]Resumen!M29*1000</f>
        <v>6899.696922000001</v>
      </c>
      <c r="N29" s="7">
        <f>+[1]Resumen!N29*1000</f>
        <v>15366.646629999999</v>
      </c>
      <c r="O29" s="7">
        <f>+[1]Resumen!O29*1000</f>
        <v>24015.092544000003</v>
      </c>
      <c r="P29" s="7">
        <f>+[1]Resumen!P29*1000</f>
        <v>28686.563208</v>
      </c>
      <c r="Q29" s="7">
        <f>+[1]Resumen!Q29*1000</f>
        <v>38326.855066000004</v>
      </c>
      <c r="R29" s="7">
        <f>+[1]Resumen!R29*1000</f>
        <v>44646.924304</v>
      </c>
      <c r="S29" s="7">
        <f>+[1]Resumen!S29*1000</f>
        <v>48339.189296000004</v>
      </c>
      <c r="T29" s="7">
        <f>+[1]Resumen!T29*1000</f>
        <v>50323.378190000003</v>
      </c>
      <c r="U29" s="7">
        <f>+[1]Resumen!U29*1000</f>
        <v>52360.843159999997</v>
      </c>
      <c r="V29" s="7">
        <f>+[1]Resumen!V29*1000</f>
        <v>52122.369296000004</v>
      </c>
      <c r="W29" s="7">
        <f>+[1]Resumen!W29*1000</f>
        <v>43212.409209999998</v>
      </c>
      <c r="X29" s="7">
        <f>+[1]Resumen!X29*1000</f>
        <v>50848.505828000008</v>
      </c>
      <c r="Y29" s="7">
        <f>+[1]Resumen!Y29*1000</f>
        <v>60756.483634000004</v>
      </c>
      <c r="Z29" s="7">
        <f>+[1]Resumen!Z29*1000</f>
        <v>56229.5527</v>
      </c>
      <c r="AA29" s="7">
        <f>+[1]Resumen!AA29*1000</f>
        <v>47861.751980000001</v>
      </c>
      <c r="AB29" s="7">
        <f>+[1]Resumen!AB29*1000</f>
        <v>32046.101228</v>
      </c>
      <c r="AC29" s="7">
        <f>+[1]Resumen!AC29*1000</f>
        <v>15098.975517999999</v>
      </c>
      <c r="AD29" s="7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3</v>
      </c>
      <c r="F30" s="7">
        <f>+[1]Resumen!F30*1000</f>
        <v>37777.477985999998</v>
      </c>
      <c r="G30" s="7">
        <f>+[1]Resumen!G30*1000</f>
        <v>27487.940514000002</v>
      </c>
      <c r="H30" s="7">
        <f>+[1]Resumen!H30*1000</f>
        <v>21372.303938000001</v>
      </c>
      <c r="I30" s="7">
        <f>+[1]Resumen!I30*1000</f>
        <v>18796.425692000001</v>
      </c>
      <c r="J30" s="7">
        <f>+[1]Resumen!J30*1000</f>
        <v>18760.730275999998</v>
      </c>
      <c r="K30" s="7">
        <f>+[1]Resumen!K30*1000</f>
        <v>22110.706494000002</v>
      </c>
      <c r="L30" s="7">
        <f>+[1]Resumen!L30*1000</f>
        <v>24896.113568000001</v>
      </c>
      <c r="M30" s="7">
        <f>+[1]Resumen!M30*1000</f>
        <v>706.28261599999996</v>
      </c>
      <c r="N30" s="7">
        <f>+[1]Resumen!N30*1000</f>
        <v>6865.43318</v>
      </c>
      <c r="O30" s="7">
        <f>+[1]Resumen!O30*1000</f>
        <v>17574.792362</v>
      </c>
      <c r="P30" s="7">
        <f>+[1]Resumen!P30*1000</f>
        <v>28359.881905999999</v>
      </c>
      <c r="Q30" s="7">
        <f>+[1]Resumen!Q30*1000</f>
        <v>39557.397414000006</v>
      </c>
      <c r="R30" s="7">
        <f>+[1]Resumen!R30*1000</f>
        <v>45309.114328000003</v>
      </c>
      <c r="S30" s="7">
        <f>+[1]Resumen!S30*1000</f>
        <v>47975.529264000004</v>
      </c>
      <c r="T30" s="7">
        <f>+[1]Resumen!T30*1000</f>
        <v>47126.828466000006</v>
      </c>
      <c r="U30" s="7">
        <f>+[1]Resumen!U30*1000</f>
        <v>49341.464948000001</v>
      </c>
      <c r="V30" s="7">
        <f>+[1]Resumen!V30*1000</f>
        <v>49538.398011999998</v>
      </c>
      <c r="W30" s="7">
        <f>+[1]Resumen!W30*1000</f>
        <v>41746.107985999995</v>
      </c>
      <c r="X30" s="7">
        <f>+[1]Resumen!X30*1000</f>
        <v>47139.802548</v>
      </c>
      <c r="Y30" s="7">
        <f>+[1]Resumen!Y30*1000</f>
        <v>67441.036302000008</v>
      </c>
      <c r="Z30" s="7">
        <f>+[1]Resumen!Z30*1000</f>
        <v>63024.744838000006</v>
      </c>
      <c r="AA30" s="7">
        <f>+[1]Resumen!AA30*1000</f>
        <v>57143.583823999994</v>
      </c>
      <c r="AB30" s="7">
        <f>+[1]Resumen!AB30*1000</f>
        <v>37511.579775999999</v>
      </c>
      <c r="AC30" s="7">
        <f>+[1]Resumen!AC30*1000</f>
        <v>15334.741812</v>
      </c>
      <c r="AD30" s="7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22</v>
      </c>
      <c r="F31" s="7">
        <f>+[1]Resumen!F31*1000</f>
        <v>58407.640696000002</v>
      </c>
      <c r="G31" s="7">
        <f>+[1]Resumen!G31*1000</f>
        <v>48195.539726000003</v>
      </c>
      <c r="H31" s="7">
        <f>+[1]Resumen!H31*1000</f>
        <v>42332.834696000005</v>
      </c>
      <c r="I31" s="7">
        <f>+[1]Resumen!I31*1000</f>
        <v>42152.666312000001</v>
      </c>
      <c r="J31" s="7">
        <f>+[1]Resumen!J31*1000</f>
        <v>48114.676108</v>
      </c>
      <c r="K31" s="7">
        <f>+[1]Resumen!K31*1000</f>
        <v>71303.039969999998</v>
      </c>
      <c r="L31" s="7">
        <f>+[1]Resumen!L31*1000</f>
        <v>91915.139850000007</v>
      </c>
      <c r="M31" s="7">
        <f>+[1]Resumen!M31*1000</f>
        <v>72941.728096000006</v>
      </c>
      <c r="N31" s="7">
        <f>+[1]Resumen!N31*1000</f>
        <v>80236.314830000003</v>
      </c>
      <c r="O31" s="7">
        <f>+[1]Resumen!O31*1000</f>
        <v>84754.381254000007</v>
      </c>
      <c r="P31" s="7">
        <f>+[1]Resumen!P31*1000</f>
        <v>95299.965832000002</v>
      </c>
      <c r="Q31" s="7">
        <f>+[1]Resumen!Q31*1000</f>
        <v>105443.22776199999</v>
      </c>
      <c r="R31" s="7">
        <f>+[1]Resumen!R31*1000</f>
        <v>108420.768454</v>
      </c>
      <c r="S31" s="7">
        <f>+[1]Resumen!S31*1000</f>
        <v>110211.851972</v>
      </c>
      <c r="T31" s="7">
        <f>+[1]Resumen!T31*1000</f>
        <v>115991.10450200002</v>
      </c>
      <c r="U31" s="7">
        <f>+[1]Resumen!U31*1000</f>
        <v>119072.28949</v>
      </c>
      <c r="V31" s="7">
        <f>+[1]Resumen!V31*1000</f>
        <v>114870.47466000001</v>
      </c>
      <c r="W31" s="7">
        <f>+[1]Resumen!W31*1000</f>
        <v>100993.8446</v>
      </c>
      <c r="X31" s="7">
        <f>+[1]Resumen!X31*1000</f>
        <v>106234.17943</v>
      </c>
      <c r="Y31" s="7">
        <f>+[1]Resumen!Y31*1000</f>
        <v>114132.38366000001</v>
      </c>
      <c r="Z31" s="7">
        <f>+[1]Resumen!Z31*1000</f>
        <v>102583.39589399999</v>
      </c>
      <c r="AA31" s="7">
        <f>+[1]Resumen!AA31*1000</f>
        <v>85106.454369999992</v>
      </c>
      <c r="AB31" s="7">
        <f>+[1]Resumen!AB31*1000</f>
        <v>57204.930684000006</v>
      </c>
      <c r="AC31" s="7">
        <f>+[1]Resumen!AC31*1000</f>
        <v>41746.315690000003</v>
      </c>
      <c r="AD31" s="70">
        <f t="shared" ref="AD31" si="4">SUM(F31:AC31)*E31+SUM(F32:AC32)*E32+SUM(F33:AC33)*E33+SUM(F34:AC34)*E34</f>
        <v>56655222.471898004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+[1]Resumen!F32*1000</f>
        <v>61301.79565</v>
      </c>
      <c r="G32" s="7">
        <f>+[1]Resumen!G32*1000</f>
        <v>51153.081490000004</v>
      </c>
      <c r="H32" s="7">
        <f>+[1]Resumen!H32*1000</f>
        <v>44152.254974000003</v>
      </c>
      <c r="I32" s="7">
        <f>+[1]Resumen!I32*1000</f>
        <v>40733.276519999999</v>
      </c>
      <c r="J32" s="7">
        <f>+[1]Resumen!J32*1000</f>
        <v>44885.598453999999</v>
      </c>
      <c r="K32" s="7">
        <f>+[1]Resumen!K32*1000</f>
        <v>54246.750971999994</v>
      </c>
      <c r="L32" s="7">
        <f>+[1]Resumen!L32*1000</f>
        <v>69153.414839999998</v>
      </c>
      <c r="M32" s="7">
        <f>+[1]Resumen!M32*1000</f>
        <v>55086.097671999996</v>
      </c>
      <c r="N32" s="7">
        <f>+[1]Resumen!N32*1000</f>
        <v>67238.421050000004</v>
      </c>
      <c r="O32" s="7">
        <f>+[1]Resumen!O32*1000</f>
        <v>76844.923918</v>
      </c>
      <c r="P32" s="7">
        <f>+[1]Resumen!P32*1000</f>
        <v>87082.668913999994</v>
      </c>
      <c r="Q32" s="7">
        <f>+[1]Resumen!Q32*1000</f>
        <v>95630.014905999997</v>
      </c>
      <c r="R32" s="7">
        <f>+[1]Resumen!R32*1000</f>
        <v>96138.503969999991</v>
      </c>
      <c r="S32" s="7">
        <f>+[1]Resumen!S32*1000</f>
        <v>90973.92917399999</v>
      </c>
      <c r="T32" s="7">
        <f>+[1]Resumen!T32*1000</f>
        <v>87032.693847999995</v>
      </c>
      <c r="U32" s="7">
        <f>+[1]Resumen!U32*1000</f>
        <v>88179.650171999994</v>
      </c>
      <c r="V32" s="7">
        <f>+[1]Resumen!V32*1000</f>
        <v>90722.11032800001</v>
      </c>
      <c r="W32" s="7">
        <f>+[1]Resumen!W32*1000</f>
        <v>86087.14364200001</v>
      </c>
      <c r="X32" s="7">
        <f>+[1]Resumen!X32*1000</f>
        <v>97182.335258000006</v>
      </c>
      <c r="Y32" s="7">
        <f>+[1]Resumen!Y32*1000</f>
        <v>94902.872873999993</v>
      </c>
      <c r="Z32" s="7">
        <f>+[1]Resumen!Z32*1000</f>
        <v>82945.776419999995</v>
      </c>
      <c r="AA32" s="7">
        <f>+[1]Resumen!AA32*1000</f>
        <v>64457.168056000002</v>
      </c>
      <c r="AB32" s="7">
        <f>+[1]Resumen!AB32*1000</f>
        <v>46881.492952000001</v>
      </c>
      <c r="AC32" s="7">
        <f>+[1]Resumen!AC32*1000</f>
        <v>29790.176157999998</v>
      </c>
      <c r="AD32" s="7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+[1]Resumen!F33*1000</f>
        <v>42878.829168000004</v>
      </c>
      <c r="G33" s="7">
        <f>+[1]Resumen!G33*1000</f>
        <v>32946.171675999998</v>
      </c>
      <c r="H33" s="7">
        <f>+[1]Resumen!H33*1000</f>
        <v>25215.814532</v>
      </c>
      <c r="I33" s="7">
        <f>+[1]Resumen!I33*1000</f>
        <v>21224.337091999998</v>
      </c>
      <c r="J33" s="7">
        <f>+[1]Resumen!J33*1000</f>
        <v>23234.592838</v>
      </c>
      <c r="K33" s="7">
        <f>+[1]Resumen!K33*1000</f>
        <v>24701.799058000001</v>
      </c>
      <c r="L33" s="7">
        <f>+[1]Resumen!L33*1000</f>
        <v>32866.917764000005</v>
      </c>
      <c r="M33" s="7">
        <f>+[1]Resumen!M33*1000</f>
        <v>13085.50036</v>
      </c>
      <c r="N33" s="7">
        <f>+[1]Resumen!N33*1000</f>
        <v>23213.607316000001</v>
      </c>
      <c r="O33" s="7">
        <f>+[1]Resumen!O33*1000</f>
        <v>32747.391530000001</v>
      </c>
      <c r="P33" s="7">
        <f>+[1]Resumen!P33*1000</f>
        <v>38667.267086</v>
      </c>
      <c r="Q33" s="7">
        <f>+[1]Resumen!Q33*1000</f>
        <v>49555.496502000002</v>
      </c>
      <c r="R33" s="7">
        <f>+[1]Resumen!R33*1000</f>
        <v>57494.974484000006</v>
      </c>
      <c r="S33" s="7">
        <f>+[1]Resumen!S33*1000</f>
        <v>59708.527938000007</v>
      </c>
      <c r="T33" s="7">
        <f>+[1]Resumen!T33*1000</f>
        <v>57984.421542000004</v>
      </c>
      <c r="U33" s="7">
        <f>+[1]Resumen!U33*1000</f>
        <v>59201.507638000003</v>
      </c>
      <c r="V33" s="7">
        <f>+[1]Resumen!V33*1000</f>
        <v>59118.440873999993</v>
      </c>
      <c r="W33" s="7">
        <f>+[1]Resumen!W33*1000</f>
        <v>53731.355750000002</v>
      </c>
      <c r="X33" s="7">
        <f>+[1]Resumen!X33*1000</f>
        <v>68662.417419999998</v>
      </c>
      <c r="Y33" s="7">
        <f>+[1]Resumen!Y33*1000</f>
        <v>81418.966570000004</v>
      </c>
      <c r="Z33" s="7">
        <f>+[1]Resumen!Z33*1000</f>
        <v>73302.769573999991</v>
      </c>
      <c r="AA33" s="7">
        <f>+[1]Resumen!AA33*1000</f>
        <v>54054.261290000002</v>
      </c>
      <c r="AB33" s="7">
        <f>+[1]Resumen!AB33*1000</f>
        <v>29195.304484</v>
      </c>
      <c r="AC33" s="7">
        <f>+[1]Resumen!AC33*1000</f>
        <v>8303.5237500000003</v>
      </c>
      <c r="AD33" s="7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1</v>
      </c>
      <c r="F34" s="7">
        <f>+[1]Resumen!F34*1000</f>
        <v>79081.005837999997</v>
      </c>
      <c r="G34" s="7">
        <f>+[1]Resumen!G34*1000</f>
        <v>65745.236994000006</v>
      </c>
      <c r="H34" s="7">
        <f>+[1]Resumen!H34*1000</f>
        <v>57263.532884000007</v>
      </c>
      <c r="I34" s="7">
        <f>+[1]Resumen!I34*1000</f>
        <v>50841.26586</v>
      </c>
      <c r="J34" s="7">
        <f>+[1]Resumen!J34*1000</f>
        <v>46538.588484</v>
      </c>
      <c r="K34" s="7">
        <f>+[1]Resumen!K34*1000</f>
        <v>40350.129401999999</v>
      </c>
      <c r="L34" s="7">
        <f>+[1]Resumen!L34*1000</f>
        <v>43700.595207999999</v>
      </c>
      <c r="M34" s="7">
        <f>+[1]Resumen!M34*1000</f>
        <v>23346.345008</v>
      </c>
      <c r="N34" s="7">
        <f>+[1]Resumen!N34*1000</f>
        <v>30182.580940000003</v>
      </c>
      <c r="O34" s="7">
        <f>+[1]Resumen!O34*1000</f>
        <v>36483.667516000001</v>
      </c>
      <c r="P34" s="7">
        <f>+[1]Resumen!P34*1000</f>
        <v>38403.675874</v>
      </c>
      <c r="Q34" s="7">
        <f>+[1]Resumen!Q34*1000</f>
        <v>48606.215042000003</v>
      </c>
      <c r="R34" s="7">
        <f>+[1]Resumen!R34*1000</f>
        <v>51396.510578000009</v>
      </c>
      <c r="S34" s="7">
        <f>+[1]Resumen!S34*1000</f>
        <v>59145.931982000002</v>
      </c>
      <c r="T34" s="7">
        <f>+[1]Resumen!T34*1000</f>
        <v>63537.172859999999</v>
      </c>
      <c r="U34" s="7">
        <f>+[1]Resumen!U34*1000</f>
        <v>65269.283278000003</v>
      </c>
      <c r="V34" s="7">
        <f>+[1]Resumen!V34*1000</f>
        <v>67913.436796000009</v>
      </c>
      <c r="W34" s="7">
        <f>+[1]Resumen!W34*1000</f>
        <v>65287.524140000001</v>
      </c>
      <c r="X34" s="7">
        <f>+[1]Resumen!X34*1000</f>
        <v>76977.157186000011</v>
      </c>
      <c r="Y34" s="7">
        <f>+[1]Resumen!Y34*1000</f>
        <v>85719.285021999996</v>
      </c>
      <c r="Z34" s="7">
        <f>+[1]Resumen!Z34*1000</f>
        <v>86502.952214000004</v>
      </c>
      <c r="AA34" s="7">
        <f>+[1]Resumen!AA34*1000</f>
        <v>83306.076098000005</v>
      </c>
      <c r="AB34" s="7">
        <f>+[1]Resumen!AB34*1000</f>
        <v>61280.379884000002</v>
      </c>
      <c r="AC34" s="7">
        <f>+[1]Resumen!AC34*1000</f>
        <v>38445.261182000002</v>
      </c>
      <c r="AD34" s="7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19</v>
      </c>
      <c r="F35" s="7">
        <f>+[1]Resumen!F35*1000</f>
        <v>63754.357063999996</v>
      </c>
      <c r="G35" s="7">
        <f>+[1]Resumen!G35*1000</f>
        <v>52639.122012</v>
      </c>
      <c r="H35" s="7">
        <f>+[1]Resumen!H35*1000</f>
        <v>46391.526634000002</v>
      </c>
      <c r="I35" s="7">
        <f>+[1]Resumen!I35*1000</f>
        <v>45857.156168000001</v>
      </c>
      <c r="J35" s="7">
        <f>+[1]Resumen!J35*1000</f>
        <v>53424.109607999999</v>
      </c>
      <c r="K35" s="7">
        <f>+[1]Resumen!K35*1000</f>
        <v>80004.131430000009</v>
      </c>
      <c r="L35" s="7">
        <f>+[1]Resumen!L35*1000</f>
        <v>102781.40456800001</v>
      </c>
      <c r="M35" s="7">
        <f>+[1]Resumen!M35*1000</f>
        <v>81787.136746000004</v>
      </c>
      <c r="N35" s="7">
        <f>+[1]Resumen!N35*1000</f>
        <v>88038.952965999997</v>
      </c>
      <c r="O35" s="7">
        <f>+[1]Resumen!O35*1000</f>
        <v>91560.685555999997</v>
      </c>
      <c r="P35" s="7">
        <f>+[1]Resumen!P35*1000</f>
        <v>102791.30018000001</v>
      </c>
      <c r="Q35" s="7">
        <f>+[1]Resumen!Q35*1000</f>
        <v>113642.98111000001</v>
      </c>
      <c r="R35" s="7">
        <f>+[1]Resumen!R35*1000</f>
        <v>116179.514284</v>
      </c>
      <c r="S35" s="7">
        <f>+[1]Resumen!S35*1000</f>
        <v>115621.15400600001</v>
      </c>
      <c r="T35" s="7">
        <f>+[1]Resumen!T35*1000</f>
        <v>121188.118212</v>
      </c>
      <c r="U35" s="7">
        <f>+[1]Resumen!U35*1000</f>
        <v>122610.059796</v>
      </c>
      <c r="V35" s="7">
        <f>+[1]Resumen!V35*1000</f>
        <v>118978.56306000001</v>
      </c>
      <c r="W35" s="7">
        <f>+[1]Resumen!W35*1000</f>
        <v>108782.24759399999</v>
      </c>
      <c r="X35" s="7">
        <f>+[1]Resumen!X35*1000</f>
        <v>119634.158482</v>
      </c>
      <c r="Y35" s="7">
        <f>+[1]Resumen!Y35*1000</f>
        <v>125388.26399200001</v>
      </c>
      <c r="Z35" s="7">
        <f>+[1]Resumen!Z35*1000</f>
        <v>112353.628858</v>
      </c>
      <c r="AA35" s="7">
        <f>+[1]Resumen!AA35*1000</f>
        <v>90951.593576000014</v>
      </c>
      <c r="AB35" s="7">
        <f>+[1]Resumen!AB35*1000</f>
        <v>63311.480210000002</v>
      </c>
      <c r="AC35" s="7">
        <f>+[1]Resumen!AC35*1000</f>
        <v>46793.493218000003</v>
      </c>
      <c r="AD35" s="70">
        <f t="shared" ref="AD35" si="5">SUM(F35:AC35)*E35+SUM(F36:AC36)*E36+SUM(F37:AC37)*E37+SUM(F38:AC38)*E38</f>
        <v>59386897.262898006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+[1]Resumen!F36*1000</f>
        <v>60429.297908</v>
      </c>
      <c r="G36" s="7">
        <f>+[1]Resumen!G36*1000</f>
        <v>50327.280057999997</v>
      </c>
      <c r="H36" s="7">
        <f>+[1]Resumen!H36*1000</f>
        <v>44257.330944000001</v>
      </c>
      <c r="I36" s="7">
        <f>+[1]Resumen!I36*1000</f>
        <v>40973.693899999998</v>
      </c>
      <c r="J36" s="7">
        <f>+[1]Resumen!J36*1000</f>
        <v>46411.354948</v>
      </c>
      <c r="K36" s="7">
        <f>+[1]Resumen!K36*1000</f>
        <v>53529.460043999999</v>
      </c>
      <c r="L36" s="7">
        <f>+[1]Resumen!L36*1000</f>
        <v>70152.916159999993</v>
      </c>
      <c r="M36" s="7">
        <f>+[1]Resumen!M36*1000</f>
        <v>58733.691467999997</v>
      </c>
      <c r="N36" s="7">
        <f>+[1]Resumen!N36*1000</f>
        <v>71584.768192000003</v>
      </c>
      <c r="O36" s="7">
        <f>+[1]Resumen!O36*1000</f>
        <v>76944.918558000005</v>
      </c>
      <c r="P36" s="7">
        <f>+[1]Resumen!P36*1000</f>
        <v>83033.776154000006</v>
      </c>
      <c r="Q36" s="7">
        <f>+[1]Resumen!Q36*1000</f>
        <v>87356.445040000006</v>
      </c>
      <c r="R36" s="7">
        <f>+[1]Resumen!R36*1000</f>
        <v>90329.661038000006</v>
      </c>
      <c r="S36" s="7">
        <f>+[1]Resumen!S36*1000</f>
        <v>90978.01649200001</v>
      </c>
      <c r="T36" s="7">
        <f>+[1]Resumen!T36*1000</f>
        <v>90944.909958000004</v>
      </c>
      <c r="U36" s="7">
        <f>+[1]Resumen!U36*1000</f>
        <v>91758.353002000003</v>
      </c>
      <c r="V36" s="7">
        <f>+[1]Resumen!V36*1000</f>
        <v>91908.968073999989</v>
      </c>
      <c r="W36" s="7">
        <f>+[1]Resumen!W36*1000</f>
        <v>87613.523247999998</v>
      </c>
      <c r="X36" s="7">
        <f>+[1]Resumen!X36*1000</f>
        <v>97309.086624000003</v>
      </c>
      <c r="Y36" s="7">
        <f>+[1]Resumen!Y36*1000</f>
        <v>99521.942786</v>
      </c>
      <c r="Z36" s="7">
        <f>+[1]Resumen!Z36*1000</f>
        <v>86143.194050000006</v>
      </c>
      <c r="AA36" s="7">
        <f>+[1]Resumen!AA36*1000</f>
        <v>68815.161458000002</v>
      </c>
      <c r="AB36" s="7">
        <f>+[1]Resumen!AB36*1000</f>
        <v>51119.997210000001</v>
      </c>
      <c r="AC36" s="7">
        <f>+[1]Resumen!AC36*1000</f>
        <v>33664.434362</v>
      </c>
      <c r="AD36" s="7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+[1]Resumen!F37*1000</f>
        <v>55867.635898</v>
      </c>
      <c r="G37" s="7">
        <f>+[1]Resumen!G37*1000</f>
        <v>45992.727535999999</v>
      </c>
      <c r="H37" s="7">
        <f>+[1]Resumen!H37*1000</f>
        <v>37449.231485999997</v>
      </c>
      <c r="I37" s="7">
        <f>+[1]Resumen!I37*1000</f>
        <v>34625.451097999998</v>
      </c>
      <c r="J37" s="7">
        <f>+[1]Resumen!J37*1000</f>
        <v>35656.938834</v>
      </c>
      <c r="K37" s="7">
        <f>+[1]Resumen!K37*1000</f>
        <v>40123.865566</v>
      </c>
      <c r="L37" s="7">
        <f>+[1]Resumen!L37*1000</f>
        <v>43796.346751999998</v>
      </c>
      <c r="M37" s="7">
        <f>+[1]Resumen!M37*1000</f>
        <v>24642.254772</v>
      </c>
      <c r="N37" s="7">
        <f>+[1]Resumen!N37*1000</f>
        <v>32940.296620000001</v>
      </c>
      <c r="O37" s="7">
        <f>+[1]Resumen!O37*1000</f>
        <v>42199.963479999999</v>
      </c>
      <c r="P37" s="7">
        <f>+[1]Resumen!P37*1000</f>
        <v>51663.655011999996</v>
      </c>
      <c r="Q37" s="7">
        <f>+[1]Resumen!Q37*1000</f>
        <v>62625.426480000009</v>
      </c>
      <c r="R37" s="7">
        <f>+[1]Resumen!R37*1000</f>
        <v>71558.560398000001</v>
      </c>
      <c r="S37" s="7">
        <f>+[1]Resumen!S37*1000</f>
        <v>74123.623200000002</v>
      </c>
      <c r="T37" s="7">
        <f>+[1]Resumen!T37*1000</f>
        <v>71975.318474</v>
      </c>
      <c r="U37" s="7">
        <f>+[1]Resumen!U37*1000</f>
        <v>72111.527790000007</v>
      </c>
      <c r="V37" s="7">
        <f>+[1]Resumen!V37*1000</f>
        <v>71940.676414000001</v>
      </c>
      <c r="W37" s="7">
        <f>+[1]Resumen!W37*1000</f>
        <v>70286.625610000003</v>
      </c>
      <c r="X37" s="7">
        <f>+[1]Resumen!X37*1000</f>
        <v>89570.703204000005</v>
      </c>
      <c r="Y37" s="7">
        <f>+[1]Resumen!Y37*1000</f>
        <v>90843.988067999991</v>
      </c>
      <c r="Z37" s="7">
        <f>+[1]Resumen!Z37*1000</f>
        <v>80136.164411999998</v>
      </c>
      <c r="AA37" s="7">
        <f>+[1]Resumen!AA37*1000</f>
        <v>63895.914757999999</v>
      </c>
      <c r="AB37" s="7">
        <f>+[1]Resumen!AB37*1000</f>
        <v>41562.327035999995</v>
      </c>
      <c r="AC37" s="7">
        <f>+[1]Resumen!AC37*1000</f>
        <v>23599.543602000002</v>
      </c>
      <c r="AD37" s="7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+[1]Resumen!F38*1000</f>
        <v>45392.195928000001</v>
      </c>
      <c r="G38" s="7">
        <f>+[1]Resumen!G38*1000</f>
        <v>34005.224699999999</v>
      </c>
      <c r="H38" s="7">
        <f>+[1]Resumen!H38*1000</f>
        <v>24791.860996000003</v>
      </c>
      <c r="I38" s="7">
        <f>+[1]Resumen!I38*1000</f>
        <v>24637.648194000001</v>
      </c>
      <c r="J38" s="7">
        <f>+[1]Resumen!J38*1000</f>
        <v>23954.316870000002</v>
      </c>
      <c r="K38" s="7">
        <f>+[1]Resumen!K38*1000</f>
        <v>32559.93867</v>
      </c>
      <c r="L38" s="7">
        <f>+[1]Resumen!L38*1000</f>
        <v>40796.106979999997</v>
      </c>
      <c r="M38" s="7">
        <f>+[1]Resumen!M38*1000</f>
        <v>17984.651698000001</v>
      </c>
      <c r="N38" s="7">
        <f>+[1]Resumen!N38*1000</f>
        <v>30784.002708</v>
      </c>
      <c r="O38" s="7">
        <f>+[1]Resumen!O38*1000</f>
        <v>42230.696254000002</v>
      </c>
      <c r="P38" s="7">
        <f>+[1]Resumen!P38*1000</f>
        <v>52638.699186000005</v>
      </c>
      <c r="Q38" s="7">
        <f>+[1]Resumen!Q38*1000</f>
        <v>65409.958230000004</v>
      </c>
      <c r="R38" s="7">
        <f>+[1]Resumen!R38*1000</f>
        <v>72265.480962000001</v>
      </c>
      <c r="S38" s="7">
        <f>+[1]Resumen!S38*1000</f>
        <v>81115.852253999998</v>
      </c>
      <c r="T38" s="7">
        <f>+[1]Resumen!T38*1000</f>
        <v>79421.914864000006</v>
      </c>
      <c r="U38" s="7">
        <f>+[1]Resumen!U38*1000</f>
        <v>73387.564731999999</v>
      </c>
      <c r="V38" s="7">
        <f>+[1]Resumen!V38*1000</f>
        <v>77045.617908</v>
      </c>
      <c r="W38" s="7">
        <f>+[1]Resumen!W38*1000</f>
        <v>70432.826971999995</v>
      </c>
      <c r="X38" s="7">
        <f>+[1]Resumen!X38*1000</f>
        <v>85777.850132000007</v>
      </c>
      <c r="Y38" s="7">
        <f>+[1]Resumen!Y38*1000</f>
        <v>100890.17063199999</v>
      </c>
      <c r="Z38" s="7">
        <f>+[1]Resumen!Z38*1000</f>
        <v>90248.382012000002</v>
      </c>
      <c r="AA38" s="7">
        <f>+[1]Resumen!AA38*1000</f>
        <v>70950.054440000007</v>
      </c>
      <c r="AB38" s="7">
        <f>+[1]Resumen!AB38*1000</f>
        <v>47532.140568000003</v>
      </c>
      <c r="AC38" s="7">
        <f>+[1]Resumen!AC38*1000</f>
        <v>24199.281484000003</v>
      </c>
      <c r="AD38" s="7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+[1]Resumen!F39*1000</f>
        <v>124017.52886200001</v>
      </c>
      <c r="G39" s="7">
        <f>+[1]Resumen!G39*1000</f>
        <v>110124.467932</v>
      </c>
      <c r="H39" s="7">
        <f>+[1]Resumen!H39*1000</f>
        <v>102336.65096000001</v>
      </c>
      <c r="I39" s="7">
        <f>+[1]Resumen!I39*1000</f>
        <v>101378.519826</v>
      </c>
      <c r="J39" s="7">
        <f>+[1]Resumen!J39*1000</f>
        <v>112060.74396400001</v>
      </c>
      <c r="K39" s="7">
        <f>+[1]Resumen!K39*1000</f>
        <v>151748.19375400001</v>
      </c>
      <c r="L39" s="7">
        <f>+[1]Resumen!L39*1000</f>
        <v>182087.539288</v>
      </c>
      <c r="M39" s="7">
        <f>+[1]Resumen!M39*1000</f>
        <v>150547.83524799999</v>
      </c>
      <c r="N39" s="7">
        <f>+[1]Resumen!N39*1000</f>
        <v>158738.87986400002</v>
      </c>
      <c r="O39" s="7">
        <f>+[1]Resumen!O39*1000</f>
        <v>166339.273648</v>
      </c>
      <c r="P39" s="7">
        <f>+[1]Resumen!P39*1000</f>
        <v>184960.812572</v>
      </c>
      <c r="Q39" s="7">
        <f>+[1]Resumen!Q39*1000</f>
        <v>200310.08624599999</v>
      </c>
      <c r="R39" s="7">
        <f>+[1]Resumen!R39*1000</f>
        <v>201362.670774</v>
      </c>
      <c r="S39" s="7">
        <f>+[1]Resumen!S39*1000</f>
        <v>201221.61008600003</v>
      </c>
      <c r="T39" s="7">
        <f>+[1]Resumen!T39*1000</f>
        <v>206886.29902400001</v>
      </c>
      <c r="U39" s="7">
        <f>+[1]Resumen!U39*1000</f>
        <v>209676.85418999998</v>
      </c>
      <c r="V39" s="7">
        <f>+[1]Resumen!V39*1000</f>
        <v>203790.22611000002</v>
      </c>
      <c r="W39" s="7">
        <f>+[1]Resumen!W39*1000</f>
        <v>198853.079776</v>
      </c>
      <c r="X39" s="7">
        <f>+[1]Resumen!X39*1000</f>
        <v>216688.01397999999</v>
      </c>
      <c r="Y39" s="7">
        <f>+[1]Resumen!Y39*1000</f>
        <v>216026.61768200001</v>
      </c>
      <c r="Z39" s="7">
        <f>+[1]Resumen!Z39*1000</f>
        <v>197399.25562800001</v>
      </c>
      <c r="AA39" s="7">
        <f>+[1]Resumen!AA39*1000</f>
        <v>170331.982476</v>
      </c>
      <c r="AB39" s="7">
        <f>+[1]Resumen!AB39*1000</f>
        <v>129700.45866200002</v>
      </c>
      <c r="AC39" s="7">
        <f>+[1]Resumen!AC39*1000</f>
        <v>106579.81372200001</v>
      </c>
      <c r="AD39" s="70">
        <f t="shared" ref="AD39" si="6">SUM(F39:AC39)*E39+SUM(F40:AC40)*E40+SUM(F41:AC41)*E41+SUM(F42:AC42)*E42</f>
        <v>113316017.019004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+[1]Resumen!F40*1000</f>
        <v>115303.522664</v>
      </c>
      <c r="G40" s="7">
        <f>+[1]Resumen!G40*1000</f>
        <v>101590.23696400001</v>
      </c>
      <c r="H40" s="7">
        <f>+[1]Resumen!H40*1000</f>
        <v>92247.340144000002</v>
      </c>
      <c r="I40" s="7">
        <f>+[1]Resumen!I40*1000</f>
        <v>89244.318621999992</v>
      </c>
      <c r="J40" s="7">
        <f>+[1]Resumen!J40*1000</f>
        <v>96797.526507999995</v>
      </c>
      <c r="K40" s="7">
        <f>+[1]Resumen!K40*1000</f>
        <v>114489.90900600002</v>
      </c>
      <c r="L40" s="7">
        <f>+[1]Resumen!L40*1000</f>
        <v>136197.79584599999</v>
      </c>
      <c r="M40" s="7">
        <f>+[1]Resumen!M40*1000</f>
        <v>118730.97247399999</v>
      </c>
      <c r="N40" s="7">
        <f>+[1]Resumen!N40*1000</f>
        <v>133515.610242</v>
      </c>
      <c r="O40" s="7">
        <f>+[1]Resumen!O40*1000</f>
        <v>146360.173962</v>
      </c>
      <c r="P40" s="7">
        <f>+[1]Resumen!P40*1000</f>
        <v>163905.46493800002</v>
      </c>
      <c r="Q40" s="7">
        <f>+[1]Resumen!Q40*1000</f>
        <v>175961.45816800001</v>
      </c>
      <c r="R40" s="7">
        <f>+[1]Resumen!R40*1000</f>
        <v>176950.017938</v>
      </c>
      <c r="S40" s="7">
        <f>+[1]Resumen!S40*1000</f>
        <v>176670.68573</v>
      </c>
      <c r="T40" s="7">
        <f>+[1]Resumen!T40*1000</f>
        <v>174137.69836000001</v>
      </c>
      <c r="U40" s="7">
        <f>+[1]Resumen!U40*1000</f>
        <v>174654.77004999999</v>
      </c>
      <c r="V40" s="7">
        <f>+[1]Resumen!V40*1000</f>
        <v>174974.864168</v>
      </c>
      <c r="W40" s="7">
        <f>+[1]Resumen!W40*1000</f>
        <v>177673.16908600001</v>
      </c>
      <c r="X40" s="7">
        <f>+[1]Resumen!X40*1000</f>
        <v>195460.70227000001</v>
      </c>
      <c r="Y40" s="7">
        <f>+[1]Resumen!Y40*1000</f>
        <v>191523.34655799999</v>
      </c>
      <c r="Z40" s="7">
        <f>+[1]Resumen!Z40*1000</f>
        <v>173668.12412399999</v>
      </c>
      <c r="AA40" s="7">
        <f>+[1]Resumen!AA40*1000</f>
        <v>148438.40826000003</v>
      </c>
      <c r="AB40" s="7">
        <f>+[1]Resumen!AB40*1000</f>
        <v>123786.33947399999</v>
      </c>
      <c r="AC40" s="7">
        <f>+[1]Resumen!AC40*1000</f>
        <v>99820.42085200001</v>
      </c>
      <c r="AD40" s="7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+[1]Resumen!F41*1000</f>
        <v>121038.044654</v>
      </c>
      <c r="G41" s="7">
        <f>+[1]Resumen!G41*1000</f>
        <v>102716.82346000001</v>
      </c>
      <c r="H41" s="7">
        <f>+[1]Resumen!H41*1000</f>
        <v>91746.402604000003</v>
      </c>
      <c r="I41" s="7">
        <f>+[1]Resumen!I41*1000</f>
        <v>85331.234605999998</v>
      </c>
      <c r="J41" s="7">
        <f>+[1]Resumen!J41*1000</f>
        <v>85731.539558000004</v>
      </c>
      <c r="K41" s="7">
        <f>+[1]Resumen!K41*1000</f>
        <v>89576.466990000001</v>
      </c>
      <c r="L41" s="7">
        <f>+[1]Resumen!L41*1000</f>
        <v>97437.618310000005</v>
      </c>
      <c r="M41" s="7">
        <f>+[1]Resumen!M41*1000</f>
        <v>69570.729265999995</v>
      </c>
      <c r="N41" s="7">
        <f>+[1]Resumen!N41*1000</f>
        <v>80586.889509999994</v>
      </c>
      <c r="O41" s="7">
        <f>+[1]Resumen!O41*1000</f>
        <v>93385.602572000003</v>
      </c>
      <c r="P41" s="7">
        <f>+[1]Resumen!P41*1000</f>
        <v>109045.53466800001</v>
      </c>
      <c r="Q41" s="7">
        <f>+[1]Resumen!Q41*1000</f>
        <v>126250.13174</v>
      </c>
      <c r="R41" s="7">
        <f>+[1]Resumen!R41*1000</f>
        <v>134755.29898399999</v>
      </c>
      <c r="S41" s="7">
        <f>+[1]Resumen!S41*1000</f>
        <v>141211.317908</v>
      </c>
      <c r="T41" s="7">
        <f>+[1]Resumen!T41*1000</f>
        <v>142030.83629399998</v>
      </c>
      <c r="U41" s="7">
        <f>+[1]Resumen!U41*1000</f>
        <v>143595.4186</v>
      </c>
      <c r="V41" s="7">
        <f>+[1]Resumen!V41*1000</f>
        <v>144308.933766</v>
      </c>
      <c r="W41" s="7">
        <f>+[1]Resumen!W41*1000</f>
        <v>150866.96502600002</v>
      </c>
      <c r="X41" s="7">
        <f>+[1]Resumen!X41*1000</f>
        <v>175400.605442</v>
      </c>
      <c r="Y41" s="7">
        <f>+[1]Resumen!Y41*1000</f>
        <v>174807.35089200002</v>
      </c>
      <c r="Z41" s="7">
        <f>+[1]Resumen!Z41*1000</f>
        <v>159729.21253600001</v>
      </c>
      <c r="AA41" s="7">
        <f>+[1]Resumen!AA41*1000</f>
        <v>136258.83856800001</v>
      </c>
      <c r="AB41" s="7">
        <f>+[1]Resumen!AB41*1000</f>
        <v>106197.32680600001</v>
      </c>
      <c r="AC41" s="7">
        <f>+[1]Resumen!AC41*1000</f>
        <v>77901.47707600001</v>
      </c>
      <c r="AD41" s="7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+[1]Resumen!F42*1000</f>
        <v>0</v>
      </c>
      <c r="G42" s="7">
        <f>+[1]Resumen!G42*1000</f>
        <v>0</v>
      </c>
      <c r="H42" s="7">
        <f>+[1]Resumen!H42*1000</f>
        <v>0</v>
      </c>
      <c r="I42" s="7">
        <f>+[1]Resumen!I42*1000</f>
        <v>0</v>
      </c>
      <c r="J42" s="7">
        <f>+[1]Resumen!J42*1000</f>
        <v>0</v>
      </c>
      <c r="K42" s="7">
        <f>+[1]Resumen!K42*1000</f>
        <v>0</v>
      </c>
      <c r="L42" s="7">
        <f>+[1]Resumen!L42*1000</f>
        <v>0</v>
      </c>
      <c r="M42" s="7">
        <f>+[1]Resumen!M42*1000</f>
        <v>0</v>
      </c>
      <c r="N42" s="7">
        <f>+[1]Resumen!N42*1000</f>
        <v>0</v>
      </c>
      <c r="O42" s="7">
        <f>+[1]Resumen!O42*1000</f>
        <v>0</v>
      </c>
      <c r="P42" s="7">
        <f>+[1]Resumen!P42*1000</f>
        <v>0</v>
      </c>
      <c r="Q42" s="7">
        <f>+[1]Resumen!Q42*1000</f>
        <v>0</v>
      </c>
      <c r="R42" s="7">
        <f>+[1]Resumen!R42*1000</f>
        <v>0</v>
      </c>
      <c r="S42" s="7">
        <f>+[1]Resumen!S42*1000</f>
        <v>0</v>
      </c>
      <c r="T42" s="7">
        <f>+[1]Resumen!T42*1000</f>
        <v>0</v>
      </c>
      <c r="U42" s="7">
        <f>+[1]Resumen!U42*1000</f>
        <v>0</v>
      </c>
      <c r="V42" s="7">
        <f>+[1]Resumen!V42*1000</f>
        <v>0</v>
      </c>
      <c r="W42" s="7">
        <f>+[1]Resumen!W42*1000</f>
        <v>0</v>
      </c>
      <c r="X42" s="7">
        <f>+[1]Resumen!X42*1000</f>
        <v>0</v>
      </c>
      <c r="Y42" s="7">
        <f>+[1]Resumen!Y42*1000</f>
        <v>0</v>
      </c>
      <c r="Z42" s="7">
        <f>+[1]Resumen!Z42*1000</f>
        <v>0</v>
      </c>
      <c r="AA42" s="7">
        <f>+[1]Resumen!AA42*1000</f>
        <v>0</v>
      </c>
      <c r="AB42" s="7">
        <f>+[1]Resumen!AB42*1000</f>
        <v>0</v>
      </c>
      <c r="AC42" s="7">
        <f>+[1]Resumen!AC42*1000</f>
        <v>0</v>
      </c>
      <c r="AD42" s="7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21</v>
      </c>
      <c r="F43" s="7">
        <f>+[1]Resumen!F43*1000</f>
        <v>102681.17255200002</v>
      </c>
      <c r="G43" s="7">
        <f>+[1]Resumen!G43*1000</f>
        <v>88974.585305999994</v>
      </c>
      <c r="H43" s="7">
        <f>+[1]Resumen!H43*1000</f>
        <v>81910.008497999996</v>
      </c>
      <c r="I43" s="7">
        <f>+[1]Resumen!I43*1000</f>
        <v>81907.516050000006</v>
      </c>
      <c r="J43" s="7">
        <f>+[1]Resumen!J43*1000</f>
        <v>91126.265222000002</v>
      </c>
      <c r="K43" s="7">
        <f>+[1]Resumen!K43*1000</f>
        <v>125494.90516000001</v>
      </c>
      <c r="L43" s="7">
        <f>+[1]Resumen!L43*1000</f>
        <v>158907.28330000001</v>
      </c>
      <c r="M43" s="7">
        <f>+[1]Resumen!M43*1000</f>
        <v>135826.28015200002</v>
      </c>
      <c r="N43" s="7">
        <f>+[1]Resumen!N43*1000</f>
        <v>148119.67905400001</v>
      </c>
      <c r="O43" s="7">
        <f>+[1]Resumen!O43*1000</f>
        <v>157909.43619399998</v>
      </c>
      <c r="P43" s="7">
        <f>+[1]Resumen!P43*1000</f>
        <v>175110.00529200002</v>
      </c>
      <c r="Q43" s="7">
        <f>+[1]Resumen!Q43*1000</f>
        <v>190601.58587799998</v>
      </c>
      <c r="R43" s="7">
        <f>+[1]Resumen!R43*1000</f>
        <v>195000.91979400002</v>
      </c>
      <c r="S43" s="7">
        <f>+[1]Resumen!S43*1000</f>
        <v>193768.30040600002</v>
      </c>
      <c r="T43" s="7">
        <f>+[1]Resumen!T43*1000</f>
        <v>197951.27351599999</v>
      </c>
      <c r="U43" s="7">
        <f>+[1]Resumen!U43*1000</f>
        <v>198551.07074200001</v>
      </c>
      <c r="V43" s="7">
        <f>+[1]Resumen!V43*1000</f>
        <v>189281.44892600001</v>
      </c>
      <c r="W43" s="7">
        <f>+[1]Resumen!W43*1000</f>
        <v>179939.97636199999</v>
      </c>
      <c r="X43" s="7">
        <f>+[1]Resumen!X43*1000</f>
        <v>189472.11378000001</v>
      </c>
      <c r="Y43" s="7">
        <f>+[1]Resumen!Y43*1000</f>
        <v>185241.435512</v>
      </c>
      <c r="Z43" s="7">
        <f>+[1]Resumen!Z43*1000</f>
        <v>167205.740556</v>
      </c>
      <c r="AA43" s="7">
        <f>+[1]Resumen!AA43*1000</f>
        <v>144183.866286</v>
      </c>
      <c r="AB43" s="7">
        <f>+[1]Resumen!AB43*1000</f>
        <v>108463.978304</v>
      </c>
      <c r="AC43" s="7">
        <f>+[1]Resumen!AC43*1000</f>
        <v>88859.242824000001</v>
      </c>
      <c r="AD43" s="70">
        <f t="shared" ref="AD43" si="7">SUM(F43:AC43)*E43+SUM(F44:AC44)*E44+SUM(F45:AC45)*E45+SUM(F46:AC46)*E46</f>
        <v>105985379.13139598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+[1]Resumen!F44*1000</f>
        <v>115689.599892</v>
      </c>
      <c r="G44" s="7">
        <f>+[1]Resumen!G44*1000</f>
        <v>97705.808681999988</v>
      </c>
      <c r="H44" s="7">
        <f>+[1]Resumen!H44*1000</f>
        <v>88531.567509999993</v>
      </c>
      <c r="I44" s="7">
        <f>+[1]Resumen!I44*1000</f>
        <v>84081.895046000005</v>
      </c>
      <c r="J44" s="7">
        <f>+[1]Resumen!J44*1000</f>
        <v>90461.553078000012</v>
      </c>
      <c r="K44" s="7">
        <f>+[1]Resumen!K44*1000</f>
        <v>104868.48853999999</v>
      </c>
      <c r="L44" s="7">
        <f>+[1]Resumen!L44*1000</f>
        <v>129206.47920600002</v>
      </c>
      <c r="M44" s="7">
        <f>+[1]Resumen!M44*1000</f>
        <v>112650.80877399999</v>
      </c>
      <c r="N44" s="7">
        <f>+[1]Resumen!N44*1000</f>
        <v>131516.80046999999</v>
      </c>
      <c r="O44" s="7">
        <f>+[1]Resumen!O44*1000</f>
        <v>150347.94982000001</v>
      </c>
      <c r="P44" s="7">
        <f>+[1]Resumen!P44*1000</f>
        <v>168867.53575200003</v>
      </c>
      <c r="Q44" s="7">
        <f>+[1]Resumen!Q44*1000</f>
        <v>179246.21533000001</v>
      </c>
      <c r="R44" s="7">
        <f>+[1]Resumen!R44*1000</f>
        <v>179821.347706</v>
      </c>
      <c r="S44" s="7">
        <f>+[1]Resumen!S44*1000</f>
        <v>176570.05314200002</v>
      </c>
      <c r="T44" s="7">
        <f>+[1]Resumen!T44*1000</f>
        <v>171989.89805799999</v>
      </c>
      <c r="U44" s="7">
        <f>+[1]Resumen!U44*1000</f>
        <v>172032.92987600001</v>
      </c>
      <c r="V44" s="7">
        <f>+[1]Resumen!V44*1000</f>
        <v>171383.52848400001</v>
      </c>
      <c r="W44" s="7">
        <f>+[1]Resumen!W44*1000</f>
        <v>174697.987318</v>
      </c>
      <c r="X44" s="7">
        <f>+[1]Resumen!X44*1000</f>
        <v>187800.46748000002</v>
      </c>
      <c r="Y44" s="7">
        <f>+[1]Resumen!Y44*1000</f>
        <v>180077.55800799999</v>
      </c>
      <c r="Z44" s="7">
        <f>+[1]Resumen!Z44*1000</f>
        <v>162456.78888199999</v>
      </c>
      <c r="AA44" s="7">
        <f>+[1]Resumen!AA44*1000</f>
        <v>139919.488044</v>
      </c>
      <c r="AB44" s="7">
        <f>+[1]Resumen!AB44*1000</f>
        <v>115840.51910200001</v>
      </c>
      <c r="AC44" s="7">
        <f>+[1]Resumen!AC44*1000</f>
        <v>91440.232071999999</v>
      </c>
      <c r="AD44" s="7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+[1]Resumen!F45*1000</f>
        <v>115095.88542600001</v>
      </c>
      <c r="G45" s="7">
        <f>+[1]Resumen!G45*1000</f>
        <v>98999.352104000005</v>
      </c>
      <c r="H45" s="7">
        <f>+[1]Resumen!H45*1000</f>
        <v>89636.486027999999</v>
      </c>
      <c r="I45" s="7">
        <f>+[1]Resumen!I45*1000</f>
        <v>83631.59277399999</v>
      </c>
      <c r="J45" s="7">
        <f>+[1]Resumen!J45*1000</f>
        <v>83671.316164000003</v>
      </c>
      <c r="K45" s="7">
        <f>+[1]Resumen!K45*1000</f>
        <v>87870.683053999994</v>
      </c>
      <c r="L45" s="7">
        <f>+[1]Resumen!L45*1000</f>
        <v>99158.223410000006</v>
      </c>
      <c r="M45" s="7">
        <f>+[1]Resumen!M45*1000</f>
        <v>75494.209969999996</v>
      </c>
      <c r="N45" s="7">
        <f>+[1]Resumen!N45*1000</f>
        <v>90833.202296000003</v>
      </c>
      <c r="O45" s="7">
        <f>+[1]Resumen!O45*1000</f>
        <v>105811.45728199999</v>
      </c>
      <c r="P45" s="7">
        <f>+[1]Resumen!P45*1000</f>
        <v>120056.60616400001</v>
      </c>
      <c r="Q45" s="7">
        <f>+[1]Resumen!Q45*1000</f>
        <v>137921.04175400001</v>
      </c>
      <c r="R45" s="7">
        <f>+[1]Resumen!R45*1000</f>
        <v>147742.88174399998</v>
      </c>
      <c r="S45" s="7">
        <f>+[1]Resumen!S45*1000</f>
        <v>147233.08711200001</v>
      </c>
      <c r="T45" s="7">
        <f>+[1]Resumen!T45*1000</f>
        <v>143703.20214000001</v>
      </c>
      <c r="U45" s="7">
        <f>+[1]Resumen!U45*1000</f>
        <v>142239.793936</v>
      </c>
      <c r="V45" s="7">
        <f>+[1]Resumen!V45*1000</f>
        <v>137842.94505000001</v>
      </c>
      <c r="W45" s="7">
        <f>+[1]Resumen!W45*1000</f>
        <v>138782.345734</v>
      </c>
      <c r="X45" s="7">
        <f>+[1]Resumen!X45*1000</f>
        <v>159192.07515600001</v>
      </c>
      <c r="Y45" s="7">
        <f>+[1]Resumen!Y45*1000</f>
        <v>157890.07521400001</v>
      </c>
      <c r="Z45" s="7">
        <f>+[1]Resumen!Z45*1000</f>
        <v>143316.02704799999</v>
      </c>
      <c r="AA45" s="7">
        <f>+[1]Resumen!AA45*1000</f>
        <v>123069.768092</v>
      </c>
      <c r="AB45" s="7">
        <f>+[1]Resumen!AB45*1000</f>
        <v>95334.837849999996</v>
      </c>
      <c r="AC45" s="7">
        <f>+[1]Resumen!AC45*1000</f>
        <v>69637.773150000008</v>
      </c>
      <c r="AD45" s="7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+[1]Resumen!F46*1000</f>
        <v>104206.120484</v>
      </c>
      <c r="G46" s="7">
        <f>+[1]Resumen!G46*1000</f>
        <v>91402.474451999995</v>
      </c>
      <c r="H46" s="7">
        <f>+[1]Resumen!H46*1000</f>
        <v>82650.814486000003</v>
      </c>
      <c r="I46" s="7">
        <f>+[1]Resumen!I46*1000</f>
        <v>79053.388623999999</v>
      </c>
      <c r="J46" s="7">
        <f>+[1]Resumen!J46*1000</f>
        <v>82197.11477</v>
      </c>
      <c r="K46" s="7">
        <f>+[1]Resumen!K46*1000</f>
        <v>88278.925265999991</v>
      </c>
      <c r="L46" s="7">
        <f>+[1]Resumen!L46*1000</f>
        <v>98096.284784000003</v>
      </c>
      <c r="M46" s="7">
        <f>+[1]Resumen!M46*1000</f>
        <v>73651.074346000009</v>
      </c>
      <c r="N46" s="7">
        <f>+[1]Resumen!N46*1000</f>
        <v>90120.147045999998</v>
      </c>
      <c r="O46" s="7">
        <f>+[1]Resumen!O46*1000</f>
        <v>100748.323636</v>
      </c>
      <c r="P46" s="7">
        <f>+[1]Resumen!P46*1000</f>
        <v>114860.14138599999</v>
      </c>
      <c r="Q46" s="7">
        <f>+[1]Resumen!Q46*1000</f>
        <v>136627.78021600001</v>
      </c>
      <c r="R46" s="7">
        <f>+[1]Resumen!R46*1000</f>
        <v>152767.33793800001</v>
      </c>
      <c r="S46" s="7">
        <f>+[1]Resumen!S46*1000</f>
        <v>157301.48658599998</v>
      </c>
      <c r="T46" s="7">
        <f>+[1]Resumen!T46*1000</f>
        <v>150987.07728199998</v>
      </c>
      <c r="U46" s="7">
        <f>+[1]Resumen!U46*1000</f>
        <v>152132.342302</v>
      </c>
      <c r="V46" s="7">
        <f>+[1]Resumen!V46*1000</f>
        <v>153936.548262</v>
      </c>
      <c r="W46" s="7">
        <f>+[1]Resumen!W46*1000</f>
        <v>155326.04351400002</v>
      </c>
      <c r="X46" s="7">
        <f>+[1]Resumen!X46*1000</f>
        <v>167072.57261999999</v>
      </c>
      <c r="Y46" s="7">
        <f>+[1]Resumen!Y46*1000</f>
        <v>163969.55645800001</v>
      </c>
      <c r="Z46" s="7">
        <f>+[1]Resumen!Z46*1000</f>
        <v>144329.919288</v>
      </c>
      <c r="AA46" s="7">
        <f>+[1]Resumen!AA46*1000</f>
        <v>121159.840796</v>
      </c>
      <c r="AB46" s="7">
        <f>+[1]Resumen!AB46*1000</f>
        <v>90856.287112000005</v>
      </c>
      <c r="AC46" s="7">
        <f>+[1]Resumen!AC46*1000</f>
        <v>64710.670788000003</v>
      </c>
      <c r="AD46" s="7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19</v>
      </c>
      <c r="F47" s="7">
        <f>+[1]Resumen!F47*1000</f>
        <v>118048.36811400001</v>
      </c>
      <c r="G47" s="7">
        <f>+[1]Resumen!G47*1000</f>
        <v>102814.570446</v>
      </c>
      <c r="H47" s="7">
        <f>+[1]Resumen!H47*1000</f>
        <v>96164.971394000007</v>
      </c>
      <c r="I47" s="7">
        <f>+[1]Resumen!I47*1000</f>
        <v>96314.659216</v>
      </c>
      <c r="J47" s="7">
        <f>+[1]Resumen!J47*1000</f>
        <v>104966.21327200001</v>
      </c>
      <c r="K47" s="7">
        <f>+[1]Resumen!K47*1000</f>
        <v>138405.74129199999</v>
      </c>
      <c r="L47" s="7">
        <f>+[1]Resumen!L47*1000</f>
        <v>174010.48707800001</v>
      </c>
      <c r="M47" s="7">
        <f>+[1]Resumen!M47*1000</f>
        <v>154232.845436</v>
      </c>
      <c r="N47" s="7">
        <f>+[1]Resumen!N47*1000</f>
        <v>164873.00209600001</v>
      </c>
      <c r="O47" s="7">
        <f>+[1]Resumen!O47*1000</f>
        <v>175175.276274</v>
      </c>
      <c r="P47" s="7">
        <f>+[1]Resumen!P47*1000</f>
        <v>192286.57716000002</v>
      </c>
      <c r="Q47" s="7">
        <f>+[1]Resumen!Q47*1000</f>
        <v>208874.96838999999</v>
      </c>
      <c r="R47" s="7">
        <f>+[1]Resumen!R47*1000</f>
        <v>213666.95930000002</v>
      </c>
      <c r="S47" s="7">
        <f>+[1]Resumen!S47*1000</f>
        <v>210566.87324799999</v>
      </c>
      <c r="T47" s="7">
        <f>+[1]Resumen!T47*1000</f>
        <v>213180.36075400002</v>
      </c>
      <c r="U47" s="7">
        <f>+[1]Resumen!U47*1000</f>
        <v>213614.92202999999</v>
      </c>
      <c r="V47" s="7">
        <f>+[1]Resumen!V47*1000</f>
        <v>206780.57768799999</v>
      </c>
      <c r="W47" s="7">
        <f>+[1]Resumen!W47*1000</f>
        <v>204664.415156</v>
      </c>
      <c r="X47" s="7">
        <f>+[1]Resumen!X47*1000</f>
        <v>216702.02658199999</v>
      </c>
      <c r="Y47" s="7">
        <f>+[1]Resumen!Y47*1000</f>
        <v>210023.60860000001</v>
      </c>
      <c r="Z47" s="7">
        <f>+[1]Resumen!Z47*1000</f>
        <v>188668.98917399999</v>
      </c>
      <c r="AA47" s="7">
        <f>+[1]Resumen!AA47*1000</f>
        <v>162143.70477400001</v>
      </c>
      <c r="AB47" s="7">
        <f>+[1]Resumen!AB47*1000</f>
        <v>124996.630682</v>
      </c>
      <c r="AC47" s="7">
        <f>+[1]Resumen!AC47*1000</f>
        <v>102822.34451000001</v>
      </c>
      <c r="AD47" s="70">
        <f t="shared" ref="AD47" si="8">SUM(F47:AC47)*E47+SUM(F48:AC48)*E48+SUM(F49:AC49)*E49+SUM(F50:AC50)*E50</f>
        <v>109202980.61271802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+[1]Resumen!F48*1000</f>
        <v>113581.129826</v>
      </c>
      <c r="G48" s="7">
        <f>+[1]Resumen!G48*1000</f>
        <v>97044.367876000004</v>
      </c>
      <c r="H48" s="7">
        <f>+[1]Resumen!H48*1000</f>
        <v>87091.681784</v>
      </c>
      <c r="I48" s="7">
        <f>+[1]Resumen!I48*1000</f>
        <v>84278.724258000002</v>
      </c>
      <c r="J48" s="7">
        <f>+[1]Resumen!J48*1000</f>
        <v>92398.20001</v>
      </c>
      <c r="K48" s="7">
        <f>+[1]Resumen!K48*1000</f>
        <v>109901.586704</v>
      </c>
      <c r="L48" s="7">
        <f>+[1]Resumen!L48*1000</f>
        <v>137268.658326</v>
      </c>
      <c r="M48" s="7">
        <f>+[1]Resumen!M48*1000</f>
        <v>125321.36846800002</v>
      </c>
      <c r="N48" s="7">
        <f>+[1]Resumen!N48*1000</f>
        <v>145214.58254999999</v>
      </c>
      <c r="O48" s="7">
        <f>+[1]Resumen!O48*1000</f>
        <v>162102.24557200001</v>
      </c>
      <c r="P48" s="7">
        <f>+[1]Resumen!P48*1000</f>
        <v>175649.241966</v>
      </c>
      <c r="Q48" s="7">
        <f>+[1]Resumen!Q48*1000</f>
        <v>185379.77379400001</v>
      </c>
      <c r="R48" s="7">
        <f>+[1]Resumen!R48*1000</f>
        <v>186907.01388800002</v>
      </c>
      <c r="S48" s="7">
        <f>+[1]Resumen!S48*1000</f>
        <v>181949.93538800001</v>
      </c>
      <c r="T48" s="7">
        <f>+[1]Resumen!T48*1000</f>
        <v>176949.12777799999</v>
      </c>
      <c r="U48" s="7">
        <f>+[1]Resumen!U48*1000</f>
        <v>174178.63830200001</v>
      </c>
      <c r="V48" s="7">
        <f>+[1]Resumen!V48*1000</f>
        <v>171928.29156800002</v>
      </c>
      <c r="W48" s="7">
        <f>+[1]Resumen!W48*1000</f>
        <v>178227.560734</v>
      </c>
      <c r="X48" s="7">
        <f>+[1]Resumen!X48*1000</f>
        <v>197336.95184599998</v>
      </c>
      <c r="Y48" s="7">
        <f>+[1]Resumen!Y48*1000</f>
        <v>189495.42113599999</v>
      </c>
      <c r="Z48" s="7">
        <f>+[1]Resumen!Z48*1000</f>
        <v>170625.134418</v>
      </c>
      <c r="AA48" s="7">
        <f>+[1]Resumen!AA48*1000</f>
        <v>144185.364722</v>
      </c>
      <c r="AB48" s="7">
        <f>+[1]Resumen!AB48*1000</f>
        <v>118343.73803800001</v>
      </c>
      <c r="AC48" s="7">
        <f>+[1]Resumen!AC48*1000</f>
        <v>91135.589648000008</v>
      </c>
      <c r="AD48" s="7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5</v>
      </c>
      <c r="F49" s="7">
        <f>+[1]Resumen!F49*1000</f>
        <v>103656.973362</v>
      </c>
      <c r="G49" s="7">
        <f>+[1]Resumen!G49*1000</f>
        <v>87977.06459200001</v>
      </c>
      <c r="H49" s="7">
        <f>+[1]Resumen!H49*1000</f>
        <v>78840.217558000004</v>
      </c>
      <c r="I49" s="7">
        <f>+[1]Resumen!I49*1000</f>
        <v>74632.92824400001</v>
      </c>
      <c r="J49" s="7">
        <f>+[1]Resumen!J49*1000</f>
        <v>76075.536376000004</v>
      </c>
      <c r="K49" s="7">
        <f>+[1]Resumen!K49*1000</f>
        <v>82701.264303999997</v>
      </c>
      <c r="L49" s="7">
        <f>+[1]Resumen!L49*1000</f>
        <v>95502.647846000007</v>
      </c>
      <c r="M49" s="7">
        <f>+[1]Resumen!M49*1000</f>
        <v>74468.575036000009</v>
      </c>
      <c r="N49" s="7">
        <f>+[1]Resumen!N49*1000</f>
        <v>92090.545878000004</v>
      </c>
      <c r="O49" s="7">
        <f>+[1]Resumen!O49*1000</f>
        <v>108380.518386</v>
      </c>
      <c r="P49" s="7">
        <f>+[1]Resumen!P49*1000</f>
        <v>120095.654516</v>
      </c>
      <c r="Q49" s="7">
        <f>+[1]Resumen!Q49*1000</f>
        <v>134750.73691400001</v>
      </c>
      <c r="R49" s="7">
        <f>+[1]Resumen!R49*1000</f>
        <v>146366.73889199999</v>
      </c>
      <c r="S49" s="7">
        <f>+[1]Resumen!S49*1000</f>
        <v>151338.95753000001</v>
      </c>
      <c r="T49" s="7">
        <f>+[1]Resumen!T49*1000</f>
        <v>148770.66048000002</v>
      </c>
      <c r="U49" s="7">
        <f>+[1]Resumen!U49*1000</f>
        <v>143164.94464200002</v>
      </c>
      <c r="V49" s="7">
        <f>+[1]Resumen!V49*1000</f>
        <v>138752.03578599999</v>
      </c>
      <c r="W49" s="7">
        <f>+[1]Resumen!W49*1000</f>
        <v>143536.24521400002</v>
      </c>
      <c r="X49" s="7">
        <f>+[1]Resumen!X49*1000</f>
        <v>162948.69129799999</v>
      </c>
      <c r="Y49" s="7">
        <f>+[1]Resumen!Y49*1000</f>
        <v>157629.52538199999</v>
      </c>
      <c r="Z49" s="7">
        <f>+[1]Resumen!Z49*1000</f>
        <v>143105.48937200001</v>
      </c>
      <c r="AA49" s="7">
        <f>+[1]Resumen!AA49*1000</f>
        <v>122044.45955</v>
      </c>
      <c r="AB49" s="7">
        <f>+[1]Resumen!AB49*1000</f>
        <v>99507.715062000003</v>
      </c>
      <c r="AC49" s="7">
        <f>+[1]Resumen!AC49*1000</f>
        <v>73228.86404</v>
      </c>
      <c r="AD49" s="7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+[1]Resumen!F50*1000</f>
        <v>101396.53073000001</v>
      </c>
      <c r="G50" s="7">
        <f>+[1]Resumen!G50*1000</f>
        <v>86403.350728000005</v>
      </c>
      <c r="H50" s="7">
        <f>+[1]Resumen!H50*1000</f>
        <v>77534.464108</v>
      </c>
      <c r="I50" s="7">
        <f>+[1]Resumen!I50*1000</f>
        <v>72861.316976000002</v>
      </c>
      <c r="J50" s="7">
        <f>+[1]Resumen!J50*1000</f>
        <v>77415.798362000001</v>
      </c>
      <c r="K50" s="7">
        <f>+[1]Resumen!K50*1000</f>
        <v>86797.60259200001</v>
      </c>
      <c r="L50" s="7">
        <f>+[1]Resumen!L50*1000</f>
        <v>96352.387164</v>
      </c>
      <c r="M50" s="7">
        <f>+[1]Resumen!M50*1000</f>
        <v>68554.055276000014</v>
      </c>
      <c r="N50" s="7">
        <f>+[1]Resumen!N50*1000</f>
        <v>85340.863169999997</v>
      </c>
      <c r="O50" s="7">
        <f>+[1]Resumen!O50*1000</f>
        <v>100405.60461800001</v>
      </c>
      <c r="P50" s="7">
        <f>+[1]Resumen!P50*1000</f>
        <v>118389.15103400001</v>
      </c>
      <c r="Q50" s="7">
        <f>+[1]Resumen!Q50*1000</f>
        <v>136741.39430400002</v>
      </c>
      <c r="R50" s="7">
        <f>+[1]Resumen!R50*1000</f>
        <v>151294.33826000002</v>
      </c>
      <c r="S50" s="7">
        <f>+[1]Resumen!S50*1000</f>
        <v>157408.71377600002</v>
      </c>
      <c r="T50" s="7">
        <f>+[1]Resumen!T50*1000</f>
        <v>150714.933116</v>
      </c>
      <c r="U50" s="7">
        <f>+[1]Resumen!U50*1000</f>
        <v>145386.35375800001</v>
      </c>
      <c r="V50" s="7">
        <f>+[1]Resumen!V50*1000</f>
        <v>144662.35695799999</v>
      </c>
      <c r="W50" s="7">
        <f>+[1]Resumen!W50*1000</f>
        <v>151169.41172200002</v>
      </c>
      <c r="X50" s="7">
        <f>+[1]Resumen!X50*1000</f>
        <v>170960.887934</v>
      </c>
      <c r="Y50" s="7">
        <f>+[1]Resumen!Y50*1000</f>
        <v>167244.88534199999</v>
      </c>
      <c r="Z50" s="7">
        <f>+[1]Resumen!Z50*1000</f>
        <v>148524.65734599999</v>
      </c>
      <c r="AA50" s="7">
        <f>+[1]Resumen!AA50*1000</f>
        <v>119531.75299200001</v>
      </c>
      <c r="AB50" s="7">
        <f>+[1]Resumen!AB50*1000</f>
        <v>89513.228540000011</v>
      </c>
      <c r="AC50" s="7">
        <f>+[1]Resumen!AC50*1000</f>
        <v>61988.754376000004</v>
      </c>
      <c r="AD50" s="7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+[1]Resumen!F51*1000</f>
        <v>134415.80679599999</v>
      </c>
      <c r="G51" s="7">
        <f>+[1]Resumen!G51*1000</f>
        <v>117380.34012399999</v>
      </c>
      <c r="H51" s="7">
        <f>+[1]Resumen!H51*1000</f>
        <v>107804.08786000001</v>
      </c>
      <c r="I51" s="7">
        <f>+[1]Resumen!I51*1000</f>
        <v>106139.97083000001</v>
      </c>
      <c r="J51" s="7">
        <f>+[1]Resumen!J51*1000</f>
        <v>111089.26784799999</v>
      </c>
      <c r="K51" s="7">
        <f>+[1]Resumen!K51*1000</f>
        <v>135292.918534</v>
      </c>
      <c r="L51" s="7">
        <f>+[1]Resumen!L51*1000</f>
        <v>165770.97325000001</v>
      </c>
      <c r="M51" s="7">
        <f>+[1]Resumen!M51*1000</f>
        <v>151411.60942200001</v>
      </c>
      <c r="N51" s="7">
        <f>+[1]Resumen!N51*1000</f>
        <v>170008.030998</v>
      </c>
      <c r="O51" s="7">
        <f>+[1]Resumen!O51*1000</f>
        <v>182291.178224</v>
      </c>
      <c r="P51" s="7">
        <f>+[1]Resumen!P51*1000</f>
        <v>199265.95082000003</v>
      </c>
      <c r="Q51" s="7">
        <f>+[1]Resumen!Q51*1000</f>
        <v>216566.56648400001</v>
      </c>
      <c r="R51" s="7">
        <f>+[1]Resumen!R51*1000</f>
        <v>224673.71352000002</v>
      </c>
      <c r="S51" s="7">
        <f>+[1]Resumen!S51*1000</f>
        <v>223119.96891200001</v>
      </c>
      <c r="T51" s="7">
        <f>+[1]Resumen!T51*1000</f>
        <v>225884.99132199999</v>
      </c>
      <c r="U51" s="7">
        <f>+[1]Resumen!U51*1000</f>
        <v>226086.62739799998</v>
      </c>
      <c r="V51" s="7">
        <f>+[1]Resumen!V51*1000</f>
        <v>218732.25900200001</v>
      </c>
      <c r="W51" s="7">
        <f>+[1]Resumen!W51*1000</f>
        <v>213085.97412199999</v>
      </c>
      <c r="X51" s="7">
        <f>+[1]Resumen!X51*1000</f>
        <v>230168.57476600001</v>
      </c>
      <c r="Y51" s="7">
        <f>+[1]Resumen!Y51*1000</f>
        <v>224687.45165599999</v>
      </c>
      <c r="Z51" s="7">
        <f>+[1]Resumen!Z51*1000</f>
        <v>204603.44661399999</v>
      </c>
      <c r="AA51" s="7">
        <f>+[1]Resumen!AA51*1000</f>
        <v>180173.813976</v>
      </c>
      <c r="AB51" s="7">
        <f>+[1]Resumen!AB51*1000</f>
        <v>145487.10503400001</v>
      </c>
      <c r="AC51" s="7">
        <f>+[1]Resumen!AC51*1000</f>
        <v>123311.350098</v>
      </c>
      <c r="AD51" s="70">
        <f t="shared" ref="AD51" si="9">SUM(F51:AC51)*E51+SUM(F52:AC52)*E52+SUM(F53:AC53)*E53+SUM(F54:AC54)*E54</f>
        <v>122866258.17727402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+[1]Resumen!F52*1000</f>
        <v>136281.93080200002</v>
      </c>
      <c r="G52" s="7">
        <f>+[1]Resumen!G52*1000</f>
        <v>116643.10219399999</v>
      </c>
      <c r="H52" s="7">
        <f>+[1]Resumen!H52*1000</f>
        <v>106868.14396400002</v>
      </c>
      <c r="I52" s="7">
        <f>+[1]Resumen!I52*1000</f>
        <v>102393.368988</v>
      </c>
      <c r="J52" s="7">
        <f>+[1]Resumen!J52*1000</f>
        <v>107472.19912200001</v>
      </c>
      <c r="K52" s="7">
        <f>+[1]Resumen!K52*1000</f>
        <v>121342.24941600001</v>
      </c>
      <c r="L52" s="7">
        <f>+[1]Resumen!L52*1000</f>
        <v>144201.53596199999</v>
      </c>
      <c r="M52" s="7">
        <f>+[1]Resumen!M52*1000</f>
        <v>128495.938658</v>
      </c>
      <c r="N52" s="7">
        <f>+[1]Resumen!N52*1000</f>
        <v>151399.64418800001</v>
      </c>
      <c r="O52" s="7">
        <f>+[1]Resumen!O52*1000</f>
        <v>171199.55466600001</v>
      </c>
      <c r="P52" s="7">
        <f>+[1]Resumen!P52*1000</f>
        <v>184684.23986</v>
      </c>
      <c r="Q52" s="7">
        <f>+[1]Resumen!Q52*1000</f>
        <v>194308.49400200002</v>
      </c>
      <c r="R52" s="7">
        <f>+[1]Resumen!R52*1000</f>
        <v>196856.28028199999</v>
      </c>
      <c r="S52" s="7">
        <f>+[1]Resumen!S52*1000</f>
        <v>195469.05493799999</v>
      </c>
      <c r="T52" s="7">
        <f>+[1]Resumen!T52*1000</f>
        <v>192844.240146</v>
      </c>
      <c r="U52" s="7">
        <f>+[1]Resumen!U52*1000</f>
        <v>187532.91505600003</v>
      </c>
      <c r="V52" s="7">
        <f>+[1]Resumen!V52*1000</f>
        <v>182126.58763999998</v>
      </c>
      <c r="W52" s="7">
        <f>+[1]Resumen!W52*1000</f>
        <v>182210.23300800001</v>
      </c>
      <c r="X52" s="7">
        <f>+[1]Resumen!X52*1000</f>
        <v>209021.73352000001</v>
      </c>
      <c r="Y52" s="7">
        <f>+[1]Resumen!Y52*1000</f>
        <v>201011.31720400002</v>
      </c>
      <c r="Z52" s="7">
        <f>+[1]Resumen!Z52*1000</f>
        <v>177206.86618800001</v>
      </c>
      <c r="AA52" s="7">
        <f>+[1]Resumen!AA52*1000</f>
        <v>153901.572392</v>
      </c>
      <c r="AB52" s="7">
        <f>+[1]Resumen!AB52*1000</f>
        <v>130744.05999200002</v>
      </c>
      <c r="AC52" s="7">
        <f>+[1]Resumen!AC52*1000</f>
        <v>108935.73343199999</v>
      </c>
      <c r="AD52" s="7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+[1]Resumen!F53*1000</f>
        <v>138116.231588</v>
      </c>
      <c r="G53" s="7">
        <f>+[1]Resumen!G53*1000</f>
        <v>117449.053058</v>
      </c>
      <c r="H53" s="7">
        <f>+[1]Resumen!H53*1000</f>
        <v>107254.703362</v>
      </c>
      <c r="I53" s="7">
        <f>+[1]Resumen!I53*1000</f>
        <v>100233.22513400001</v>
      </c>
      <c r="J53" s="7">
        <f>+[1]Resumen!J53*1000</f>
        <v>99080.059943999993</v>
      </c>
      <c r="K53" s="7">
        <f>+[1]Resumen!K53*1000</f>
        <v>106307.105788</v>
      </c>
      <c r="L53" s="7">
        <f>+[1]Resumen!L53*1000</f>
        <v>117216.669372</v>
      </c>
      <c r="M53" s="7">
        <f>+[1]Resumen!M53*1000</f>
        <v>89312.252666</v>
      </c>
      <c r="N53" s="7">
        <f>+[1]Resumen!N53*1000</f>
        <v>109487.966442</v>
      </c>
      <c r="O53" s="7">
        <f>+[1]Resumen!O53*1000</f>
        <v>127462.01781800001</v>
      </c>
      <c r="P53" s="7">
        <f>+[1]Resumen!P53*1000</f>
        <v>143419.775196</v>
      </c>
      <c r="Q53" s="7">
        <f>+[1]Resumen!Q53*1000</f>
        <v>157880.00156999999</v>
      </c>
      <c r="R53" s="7">
        <f>+[1]Resumen!R53*1000</f>
        <v>166560.66385800001</v>
      </c>
      <c r="S53" s="7">
        <f>+[1]Resumen!S53*1000</f>
        <v>170518.730626</v>
      </c>
      <c r="T53" s="7">
        <f>+[1]Resumen!T53*1000</f>
        <v>167711.26983800001</v>
      </c>
      <c r="U53" s="7">
        <f>+[1]Resumen!U53*1000</f>
        <v>167800.38968999998</v>
      </c>
      <c r="V53" s="7">
        <f>+[1]Resumen!V53*1000</f>
        <v>166088.82713200001</v>
      </c>
      <c r="W53" s="7">
        <f>+[1]Resumen!W53*1000</f>
        <v>165267.75838400002</v>
      </c>
      <c r="X53" s="7">
        <f>+[1]Resumen!X53*1000</f>
        <v>185116.01196800001</v>
      </c>
      <c r="Y53" s="7">
        <f>+[1]Resumen!Y53*1000</f>
        <v>184006.26433199999</v>
      </c>
      <c r="Z53" s="7">
        <f>+[1]Resumen!Z53*1000</f>
        <v>173760.82686999999</v>
      </c>
      <c r="AA53" s="7">
        <f>+[1]Resumen!AA53*1000</f>
        <v>154868.18971800001</v>
      </c>
      <c r="AB53" s="7">
        <f>+[1]Resumen!AB53*1000</f>
        <v>128582.18032600002</v>
      </c>
      <c r="AC53" s="7">
        <f>+[1]Resumen!AC53*1000</f>
        <v>100042.15970800001</v>
      </c>
      <c r="AD53" s="7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+[1]Resumen!F54*1000</f>
        <v>119817.58336800001</v>
      </c>
      <c r="G54" s="7">
        <f>+[1]Resumen!G54*1000</f>
        <v>106353.416362</v>
      </c>
      <c r="H54" s="7">
        <f>+[1]Resumen!H54*1000</f>
        <v>94942.195692000008</v>
      </c>
      <c r="I54" s="7">
        <f>+[1]Resumen!I54*1000</f>
        <v>86591.01129200001</v>
      </c>
      <c r="J54" s="7">
        <f>+[1]Resumen!J54*1000</f>
        <v>83445.972160000005</v>
      </c>
      <c r="K54" s="7">
        <f>+[1]Resumen!K54*1000</f>
        <v>85319.721869999994</v>
      </c>
      <c r="L54" s="7">
        <f>+[1]Resumen!L54*1000</f>
        <v>88402.575907999999</v>
      </c>
      <c r="M54" s="7">
        <f>+[1]Resumen!M54*1000</f>
        <v>53532.130523999993</v>
      </c>
      <c r="N54" s="7">
        <f>+[1]Resumen!N54*1000</f>
        <v>66330.813913999998</v>
      </c>
      <c r="O54" s="7">
        <f>+[1]Resumen!O54*1000</f>
        <v>83506.896194000001</v>
      </c>
      <c r="P54" s="7">
        <f>+[1]Resumen!P54*1000</f>
        <v>99418.550702000008</v>
      </c>
      <c r="Q54" s="7">
        <f>+[1]Resumen!Q54*1000</f>
        <v>114466.282676</v>
      </c>
      <c r="R54" s="7">
        <f>+[1]Resumen!R54*1000</f>
        <v>129285.11000600003</v>
      </c>
      <c r="S54" s="7">
        <f>+[1]Resumen!S54*1000</f>
        <v>133731.459206</v>
      </c>
      <c r="T54" s="7">
        <f>+[1]Resumen!T54*1000</f>
        <v>131494.02721</v>
      </c>
      <c r="U54" s="7">
        <f>+[1]Resumen!U54*1000</f>
        <v>134092.990272</v>
      </c>
      <c r="V54" s="7">
        <f>+[1]Resumen!V54*1000</f>
        <v>134979.45610800001</v>
      </c>
      <c r="W54" s="7">
        <f>+[1]Resumen!W54*1000</f>
        <v>134207.52419200001</v>
      </c>
      <c r="X54" s="7">
        <f>+[1]Resumen!X54*1000</f>
        <v>164408.071528</v>
      </c>
      <c r="Y54" s="7">
        <f>+[1]Resumen!Y54*1000</f>
        <v>165341.12240399999</v>
      </c>
      <c r="Z54" s="7">
        <f>+[1]Resumen!Z54*1000</f>
        <v>153019.97276400001</v>
      </c>
      <c r="AA54" s="7">
        <f>+[1]Resumen!AA54*1000</f>
        <v>134321.62045000002</v>
      </c>
      <c r="AB54" s="7">
        <f>+[1]Resumen!AB54*1000</f>
        <v>108549.55235200001</v>
      </c>
      <c r="AC54" s="7">
        <f>+[1]Resumen!AC54*1000</f>
        <v>80938.606562000001</v>
      </c>
      <c r="AD54" s="7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AA55" s="73" t="s">
        <v>46</v>
      </c>
      <c r="AB55" s="74"/>
      <c r="AC55" s="75"/>
      <c r="AD55" s="17">
        <f>SUM(AD7:AD54)</f>
        <v>1147871813.4657099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>
      <c r="AD56" s="10"/>
    </row>
    <row r="57" spans="3:56">
      <c r="AD57" s="18"/>
    </row>
  </sheetData>
  <mergeCells count="16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W7:AC23 F7:M18 F47:M54 W24:AC37 F38:M46 F24:M37 W47:AC54 AD7:AD54 F20 F19:M19 F21:M23 G20:M20 W38:AC46 N20 N21:N23 N19 N47:V54 N24:V37 N38:V46 N7:V18 O20:V20 O19:V19 O21:V23" unlockedFormula="1"/>
    <ignoredError sqref="AD55" unlockedFormula="1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2AA8-98C1-46E7-8643-504944318B04}">
  <sheetPr codeName="Hoja4"/>
  <dimension ref="C1:BD57"/>
  <sheetViews>
    <sheetView showGridLines="0" zoomScale="55" zoomScaleNormal="55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08984375" style="1" bestFit="1" customWidth="1"/>
    <col min="5" max="5" width="7.54296875" style="1" bestFit="1" customWidth="1"/>
    <col min="6" max="6" width="9" style="1" bestFit="1" customWidth="1"/>
    <col min="7" max="7" width="8.6328125" style="1" bestFit="1" customWidth="1"/>
    <col min="8" max="10" width="9" style="1" bestFit="1" customWidth="1"/>
    <col min="11" max="12" width="8.6328125" style="1" bestFit="1" customWidth="1"/>
    <col min="13" max="22" width="11.54296875" style="1" customWidth="1"/>
    <col min="23" max="24" width="9" style="1" bestFit="1" customWidth="1"/>
    <col min="25" max="25" width="8.6328125" style="1" bestFit="1" customWidth="1"/>
    <col min="26" max="27" width="9" style="1" bestFit="1" customWidth="1"/>
    <col min="28" max="28" width="8.6328125" style="1" bestFit="1" customWidth="1"/>
    <col min="29" max="29" width="9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76" t="s">
        <v>0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3:56" ht="18.649999999999999" customHeight="1">
      <c r="C3" s="76" t="s">
        <v>1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3:56" ht="18.649999999999999" customHeight="1">
      <c r="C4" s="76">
        <v>2027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19</v>
      </c>
      <c r="F7" s="7">
        <f>+[2]Resumen!F7*1000</f>
        <v>109780.65025400001</v>
      </c>
      <c r="G7" s="7">
        <f>+[2]Resumen!G7*1000</f>
        <v>98065.200108000005</v>
      </c>
      <c r="H7" s="7">
        <f>+[2]Resumen!H7*1000</f>
        <v>90827.454386000012</v>
      </c>
      <c r="I7" s="7">
        <f>+[2]Resumen!I7*1000</f>
        <v>89166.564541999993</v>
      </c>
      <c r="J7" s="7">
        <f>+[2]Resumen!J7*1000</f>
        <v>93626.470119999998</v>
      </c>
      <c r="K7" s="7">
        <f>+[2]Resumen!K7*1000</f>
        <v>116292.353452</v>
      </c>
      <c r="L7" s="7">
        <f>+[2]Resumen!L7*1000</f>
        <v>138799.03323600002</v>
      </c>
      <c r="M7" s="7">
        <f>+[2]Resumen!M7*1000</f>
        <v>133384.72218000001</v>
      </c>
      <c r="N7" s="7">
        <f>+[2]Resumen!N7*1000</f>
        <v>148697.88023800001</v>
      </c>
      <c r="O7" s="7">
        <f>+[2]Resumen!O7*1000</f>
        <v>156179.07075800002</v>
      </c>
      <c r="P7" s="7">
        <f>+[2]Resumen!P7*1000</f>
        <v>170771.49969800003</v>
      </c>
      <c r="Q7" s="7">
        <f>+[2]Resumen!Q7*1000</f>
        <v>183685.54499000002</v>
      </c>
      <c r="R7" s="7">
        <f>+[2]Resumen!R7*1000</f>
        <v>189974.25539199999</v>
      </c>
      <c r="S7" s="7">
        <f>+[2]Resumen!S7*1000</f>
        <v>191585.57945800002</v>
      </c>
      <c r="T7" s="7">
        <f>+[2]Resumen!T7*1000</f>
        <v>198313.03957200001</v>
      </c>
      <c r="U7" s="7">
        <f>+[2]Resumen!U7*1000</f>
        <v>200185.23130000001</v>
      </c>
      <c r="V7" s="7">
        <f>+[2]Resumen!V7*1000</f>
        <v>194296.33164400002</v>
      </c>
      <c r="W7" s="7">
        <f>+[2]Resumen!W7*1000</f>
        <v>154028.31893199999</v>
      </c>
      <c r="X7" s="7">
        <f>+[2]Resumen!X7*1000</f>
        <v>158418.56143</v>
      </c>
      <c r="Y7" s="7">
        <f>+[2]Resumen!Y7*1000</f>
        <v>162664.36299400002</v>
      </c>
      <c r="Z7" s="7">
        <f>+[2]Resumen!Z7*1000</f>
        <v>151746.61895999999</v>
      </c>
      <c r="AA7" s="7">
        <f>+[2]Resumen!AA7*1000</f>
        <v>135096.01489400002</v>
      </c>
      <c r="AB7" s="7">
        <f>+[2]Resumen!AB7*1000</f>
        <v>105537.345778</v>
      </c>
      <c r="AC7" s="7">
        <f>+[2]Resumen!AC7*1000</f>
        <v>91044.07677</v>
      </c>
      <c r="AD7" s="70">
        <f>SUM(F7:AC7)*E7+SUM(F8:AC8)*E8+SUM(F9:AC9)*E9+SUM(F10:AC10)*E10</f>
        <v>97669209.629974008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5</v>
      </c>
      <c r="F8" s="7">
        <f>+[2]Resumen!F8*1000</f>
        <v>104414.73446600001</v>
      </c>
      <c r="G8" s="7">
        <f>+[2]Resumen!G8*1000</f>
        <v>92681.833079999997</v>
      </c>
      <c r="H8" s="7">
        <f>+[2]Resumen!H8*1000</f>
        <v>85004.564400000003</v>
      </c>
      <c r="I8" s="7">
        <f>+[2]Resumen!I8*1000</f>
        <v>81145.158828</v>
      </c>
      <c r="J8" s="7">
        <f>+[2]Resumen!J8*1000</f>
        <v>86323.126180000007</v>
      </c>
      <c r="K8" s="7">
        <f>+[2]Resumen!K8*1000</f>
        <v>97474.794863999996</v>
      </c>
      <c r="L8" s="7">
        <f>+[2]Resumen!L8*1000</f>
        <v>112946.21296800001</v>
      </c>
      <c r="M8" s="7">
        <f>+[2]Resumen!M8*1000</f>
        <v>107980.70382200001</v>
      </c>
      <c r="N8" s="7">
        <f>+[2]Resumen!N8*1000</f>
        <v>125385.35043000002</v>
      </c>
      <c r="O8" s="7">
        <f>+[2]Resumen!O8*1000</f>
        <v>139103.32327200001</v>
      </c>
      <c r="P8" s="7">
        <f>+[2]Resumen!P8*1000</f>
        <v>149246.54438599999</v>
      </c>
      <c r="Q8" s="7">
        <f>+[2]Resumen!Q8*1000</f>
        <v>159827.45111200001</v>
      </c>
      <c r="R8" s="7">
        <f>+[2]Resumen!R8*1000</f>
        <v>160287.92974600001</v>
      </c>
      <c r="S8" s="7">
        <f>+[2]Resumen!S8*1000</f>
        <v>160444.238942</v>
      </c>
      <c r="T8" s="7">
        <f>+[2]Resumen!T8*1000</f>
        <v>158388.63893799999</v>
      </c>
      <c r="U8" s="7">
        <f>+[2]Resumen!U8*1000</f>
        <v>158253.57627200001</v>
      </c>
      <c r="V8" s="7">
        <f>+[2]Resumen!V8*1000</f>
        <v>159470.60163000002</v>
      </c>
      <c r="W8" s="7">
        <f>+[2]Resumen!W8*1000</f>
        <v>126621.76369000001</v>
      </c>
      <c r="X8" s="7">
        <f>+[2]Resumen!X8*1000</f>
        <v>138913.658088</v>
      </c>
      <c r="Y8" s="7">
        <f>+[2]Resumen!Y8*1000</f>
        <v>141420.96144800002</v>
      </c>
      <c r="Z8" s="7">
        <f>+[2]Resumen!Z8*1000</f>
        <v>129297.08844000001</v>
      </c>
      <c r="AA8" s="7">
        <f>+[2]Resumen!AA8*1000</f>
        <v>113626.37150000001</v>
      </c>
      <c r="AB8" s="7">
        <f>+[2]Resumen!AB8*1000</f>
        <v>96589.293408000012</v>
      </c>
      <c r="AC8" s="7">
        <f>+[2]Resumen!AC8*1000</f>
        <v>77045.607168000002</v>
      </c>
      <c r="AD8" s="7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+[2]Resumen!F9*1000</f>
        <v>105214.46946200001</v>
      </c>
      <c r="G9" s="7">
        <f>+[2]Resumen!G9*1000</f>
        <v>92083.709564000004</v>
      </c>
      <c r="H9" s="7">
        <f>+[2]Resumen!H9*1000</f>
        <v>82764.931848000007</v>
      </c>
      <c r="I9" s="7">
        <f>+[2]Resumen!I9*1000</f>
        <v>77107.183088000005</v>
      </c>
      <c r="J9" s="7">
        <f>+[2]Resumen!J9*1000</f>
        <v>78465.251354000007</v>
      </c>
      <c r="K9" s="7">
        <f>+[2]Resumen!K9*1000</f>
        <v>83588.374991999997</v>
      </c>
      <c r="L9" s="7">
        <f>+[2]Resumen!L9*1000</f>
        <v>90850.509886</v>
      </c>
      <c r="M9" s="7">
        <f>+[2]Resumen!M9*1000</f>
        <v>81310.888856000005</v>
      </c>
      <c r="N9" s="7">
        <f>+[2]Resumen!N9*1000</f>
        <v>93672.538556</v>
      </c>
      <c r="O9" s="7">
        <f>+[2]Resumen!O9*1000</f>
        <v>105846.793152</v>
      </c>
      <c r="P9" s="7">
        <f>+[2]Resumen!P9*1000</f>
        <v>115384.22923000001</v>
      </c>
      <c r="Q9" s="7">
        <f>+[2]Resumen!Q9*1000</f>
        <v>129731.58175200001</v>
      </c>
      <c r="R9" s="7">
        <f>+[2]Resumen!R9*1000</f>
        <v>138922.10704199999</v>
      </c>
      <c r="S9" s="7">
        <f>+[2]Resumen!S9*1000</f>
        <v>145121.29825800002</v>
      </c>
      <c r="T9" s="7">
        <f>+[2]Resumen!T9*1000</f>
        <v>145218.23067399999</v>
      </c>
      <c r="U9" s="7">
        <f>+[2]Resumen!U9*1000</f>
        <v>143911.72869400002</v>
      </c>
      <c r="V9" s="7">
        <f>+[2]Resumen!V9*1000</f>
        <v>142748.24884800002</v>
      </c>
      <c r="W9" s="7">
        <f>+[2]Resumen!W9*1000</f>
        <v>111841.79776600002</v>
      </c>
      <c r="X9" s="7">
        <f>+[2]Resumen!X9*1000</f>
        <v>123467.13283000002</v>
      </c>
      <c r="Y9" s="7">
        <f>+[2]Resumen!Y9*1000</f>
        <v>130412.45677800001</v>
      </c>
      <c r="Z9" s="7">
        <f>+[2]Resumen!Z9*1000</f>
        <v>121767.89991600001</v>
      </c>
      <c r="AA9" s="7">
        <f>+[2]Resumen!AA9*1000</f>
        <v>106816.64936200001</v>
      </c>
      <c r="AB9" s="7">
        <f>+[2]Resumen!AB9*1000</f>
        <v>86937.324699999997</v>
      </c>
      <c r="AC9" s="7">
        <f>+[2]Resumen!AC9*1000</f>
        <v>63043.689881999999</v>
      </c>
      <c r="AD9" s="7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+[2]Resumen!F10*1000</f>
        <v>86136.745518000011</v>
      </c>
      <c r="G10" s="7">
        <f>+[2]Resumen!G10*1000</f>
        <v>78814.524443999995</v>
      </c>
      <c r="H10" s="7">
        <f>+[2]Resumen!H10*1000</f>
        <v>70384.021938000005</v>
      </c>
      <c r="I10" s="7">
        <f>+[2]Resumen!I10*1000</f>
        <v>65890.015502000009</v>
      </c>
      <c r="J10" s="7">
        <f>+[2]Resumen!J10*1000</f>
        <v>66142.930790000013</v>
      </c>
      <c r="K10" s="7">
        <f>+[2]Resumen!K10*1000</f>
        <v>71189.971277999997</v>
      </c>
      <c r="L10" s="7">
        <f>+[2]Resumen!L10*1000</f>
        <v>71112.433858000004</v>
      </c>
      <c r="M10" s="7">
        <f>+[2]Resumen!M10*1000</f>
        <v>55303.249132000004</v>
      </c>
      <c r="N10" s="7">
        <f>+[2]Resumen!N10*1000</f>
        <v>62719.061348000003</v>
      </c>
      <c r="O10" s="7">
        <f>+[2]Resumen!O10*1000</f>
        <v>71915.417906000002</v>
      </c>
      <c r="P10" s="7">
        <f>+[2]Resumen!P10*1000</f>
        <v>83800.946702000001</v>
      </c>
      <c r="Q10" s="7">
        <f>+[2]Resumen!Q10*1000</f>
        <v>98048.188695999997</v>
      </c>
      <c r="R10" s="7">
        <f>+[2]Resumen!R10*1000</f>
        <v>110235.53881600001</v>
      </c>
      <c r="S10" s="7">
        <f>+[2]Resumen!S10*1000</f>
        <v>115627.10650800001</v>
      </c>
      <c r="T10" s="7">
        <f>+[2]Resumen!T10*1000</f>
        <v>116281.825956</v>
      </c>
      <c r="U10" s="7">
        <f>+[2]Resumen!U10*1000</f>
        <v>113118.04383600001</v>
      </c>
      <c r="V10" s="7">
        <f>+[2]Resumen!V10*1000</f>
        <v>112125.834432</v>
      </c>
      <c r="W10" s="7">
        <f>+[2]Resumen!W10*1000</f>
        <v>83204.468993999995</v>
      </c>
      <c r="X10" s="7">
        <f>+[2]Resumen!X10*1000</f>
        <v>101837.094096</v>
      </c>
      <c r="Y10" s="7">
        <f>+[2]Resumen!Y10*1000</f>
        <v>108136.72925800001</v>
      </c>
      <c r="Z10" s="7">
        <f>+[2]Resumen!Z10*1000</f>
        <v>100104.28528000001</v>
      </c>
      <c r="AA10" s="7">
        <f>+[2]Resumen!AA10*1000</f>
        <v>87113.816326</v>
      </c>
      <c r="AB10" s="7">
        <f>+[2]Resumen!AB10*1000</f>
        <v>69151.574224000011</v>
      </c>
      <c r="AC10" s="7">
        <f>+[2]Resumen!AC10*1000</f>
        <v>50325.885911999998</v>
      </c>
      <c r="AD10" s="7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+[2]Resumen!F11*1000</f>
        <v>114748.22375400001</v>
      </c>
      <c r="G11" s="7">
        <f>+[2]Resumen!G11*1000</f>
        <v>103276.08361999999</v>
      </c>
      <c r="H11" s="7">
        <f>+[2]Resumen!H11*1000</f>
        <v>97817.789764000001</v>
      </c>
      <c r="I11" s="7">
        <f>+[2]Resumen!I11*1000</f>
        <v>97470.573934</v>
      </c>
      <c r="J11" s="7">
        <f>+[2]Resumen!J11*1000</f>
        <v>109780.26008399999</v>
      </c>
      <c r="K11" s="7">
        <f>+[2]Resumen!K11*1000</f>
        <v>152778.82433600002</v>
      </c>
      <c r="L11" s="7">
        <f>+[2]Resumen!L11*1000</f>
        <v>175798.32938000001</v>
      </c>
      <c r="M11" s="7">
        <f>+[2]Resumen!M11*1000</f>
        <v>156806.53505800001</v>
      </c>
      <c r="N11" s="7">
        <f>+[2]Resumen!N11*1000</f>
        <v>167881.93614800001</v>
      </c>
      <c r="O11" s="7">
        <f>+[2]Resumen!O11*1000</f>
        <v>173117.46421600002</v>
      </c>
      <c r="P11" s="7">
        <f>+[2]Resumen!P11*1000</f>
        <v>188448.57718800002</v>
      </c>
      <c r="Q11" s="7">
        <f>+[2]Resumen!Q11*1000</f>
        <v>199298.53805200002</v>
      </c>
      <c r="R11" s="7">
        <f>+[2]Resumen!R11*1000</f>
        <v>198527.03717599998</v>
      </c>
      <c r="S11" s="7">
        <f>+[2]Resumen!S11*1000</f>
        <v>198858.74552200001</v>
      </c>
      <c r="T11" s="7">
        <f>+[2]Resumen!T11*1000</f>
        <v>204490.89913000001</v>
      </c>
      <c r="U11" s="7">
        <f>+[2]Resumen!U11*1000</f>
        <v>206719.90487</v>
      </c>
      <c r="V11" s="7">
        <f>+[2]Resumen!V11*1000</f>
        <v>201677.86565200001</v>
      </c>
      <c r="W11" s="7">
        <f>+[2]Resumen!W11*1000</f>
        <v>165471.32400800003</v>
      </c>
      <c r="X11" s="7">
        <f>+[2]Resumen!X11*1000</f>
        <v>174615.44744400002</v>
      </c>
      <c r="Y11" s="7">
        <f>+[2]Resumen!Y11*1000</f>
        <v>177826.383382</v>
      </c>
      <c r="Z11" s="7">
        <f>+[2]Resumen!Z11*1000</f>
        <v>164300.34580400001</v>
      </c>
      <c r="AA11" s="7">
        <f>+[2]Resumen!AA11*1000</f>
        <v>141413.413432</v>
      </c>
      <c r="AB11" s="7">
        <f>+[2]Resumen!AB11*1000</f>
        <v>107915.07013399999</v>
      </c>
      <c r="AC11" s="7">
        <f>+[2]Resumen!AC11*1000</f>
        <v>92154.394180000003</v>
      </c>
      <c r="AD11" s="70">
        <f>SUM(F11:AC11)*E11+SUM(F12:AC12)*E12+SUM(F13:AC13)*E13+SUM(F14:AC14)*E14</f>
        <v>101854480.12795201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+[2]Resumen!F12*1000</f>
        <v>125593.942406</v>
      </c>
      <c r="G12" s="7">
        <f>+[2]Resumen!G12*1000</f>
        <v>112829.88555599999</v>
      </c>
      <c r="H12" s="7">
        <f>+[2]Resumen!H12*1000</f>
        <v>103892.807604</v>
      </c>
      <c r="I12" s="7">
        <f>+[2]Resumen!I12*1000</f>
        <v>101782.81080800001</v>
      </c>
      <c r="J12" s="7">
        <f>+[2]Resumen!J12*1000</f>
        <v>108049.4234</v>
      </c>
      <c r="K12" s="7">
        <f>+[2]Resumen!K12*1000</f>
        <v>120356.328702</v>
      </c>
      <c r="L12" s="7">
        <f>+[2]Resumen!L12*1000</f>
        <v>143020.99186600003</v>
      </c>
      <c r="M12" s="7">
        <f>+[2]Resumen!M12*1000</f>
        <v>139052.36707000001</v>
      </c>
      <c r="N12" s="7">
        <f>+[2]Resumen!N12*1000</f>
        <v>161339.18251200003</v>
      </c>
      <c r="O12" s="7">
        <f>+[2]Resumen!O12*1000</f>
        <v>174703.980564</v>
      </c>
      <c r="P12" s="7">
        <f>+[2]Resumen!P12*1000</f>
        <v>186280.89907800002</v>
      </c>
      <c r="Q12" s="7">
        <f>+[2]Resumen!Q12*1000</f>
        <v>190346.484666</v>
      </c>
      <c r="R12" s="7">
        <f>+[2]Resumen!R12*1000</f>
        <v>186990.09335200003</v>
      </c>
      <c r="S12" s="7">
        <f>+[2]Resumen!S12*1000</f>
        <v>184324.99815</v>
      </c>
      <c r="T12" s="7">
        <f>+[2]Resumen!T12*1000</f>
        <v>182313.451886</v>
      </c>
      <c r="U12" s="7">
        <f>+[2]Resumen!U12*1000</f>
        <v>183602.54519</v>
      </c>
      <c r="V12" s="7">
        <f>+[2]Resumen!V12*1000</f>
        <v>183510.755924</v>
      </c>
      <c r="W12" s="7">
        <f>+[2]Resumen!W12*1000</f>
        <v>153186.75061800002</v>
      </c>
      <c r="X12" s="7">
        <f>+[2]Resumen!X12*1000</f>
        <v>169036.88191200001</v>
      </c>
      <c r="Y12" s="7">
        <f>+[2]Resumen!Y12*1000</f>
        <v>168820.88380000001</v>
      </c>
      <c r="Z12" s="7">
        <f>+[2]Resumen!Z12*1000</f>
        <v>157727.20856600002</v>
      </c>
      <c r="AA12" s="7">
        <f>+[2]Resumen!AA12*1000</f>
        <v>137957.315948</v>
      </c>
      <c r="AB12" s="7">
        <f>+[2]Resumen!AB12*1000</f>
        <v>113957.16472</v>
      </c>
      <c r="AC12" s="7">
        <f>+[2]Resumen!AC12*1000</f>
        <v>91536.024388000005</v>
      </c>
      <c r="AD12" s="7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+[2]Resumen!F13*1000</f>
        <v>117179.15311</v>
      </c>
      <c r="G13" s="7">
        <f>+[2]Resumen!G13*1000</f>
        <v>103311.312424</v>
      </c>
      <c r="H13" s="7">
        <f>+[2]Resumen!H13*1000</f>
        <v>94718.406976000013</v>
      </c>
      <c r="I13" s="7">
        <f>+[2]Resumen!I13*1000</f>
        <v>90576.482854000002</v>
      </c>
      <c r="J13" s="7">
        <f>+[2]Resumen!J13*1000</f>
        <v>92015.763231999998</v>
      </c>
      <c r="K13" s="7">
        <f>+[2]Resumen!K13*1000</f>
        <v>96755.371041999999</v>
      </c>
      <c r="L13" s="7">
        <f>+[2]Resumen!L13*1000</f>
        <v>106977.86051200001</v>
      </c>
      <c r="M13" s="7">
        <f>+[2]Resumen!M13*1000</f>
        <v>98074.252051999996</v>
      </c>
      <c r="N13" s="7">
        <f>+[2]Resumen!N13*1000</f>
        <v>113030.518064</v>
      </c>
      <c r="O13" s="7">
        <f>+[2]Resumen!O13*1000</f>
        <v>125698.004292</v>
      </c>
      <c r="P13" s="7">
        <f>+[2]Resumen!P13*1000</f>
        <v>137685.23267200001</v>
      </c>
      <c r="Q13" s="7">
        <f>+[2]Resumen!Q13*1000</f>
        <v>153345.372458</v>
      </c>
      <c r="R13" s="7">
        <f>+[2]Resumen!R13*1000</f>
        <v>162065.72871</v>
      </c>
      <c r="S13" s="7">
        <f>+[2]Resumen!S13*1000</f>
        <v>166471.51416200001</v>
      </c>
      <c r="T13" s="7">
        <f>+[2]Resumen!T13*1000</f>
        <v>166528.932998</v>
      </c>
      <c r="U13" s="7">
        <f>+[2]Resumen!U13*1000</f>
        <v>164609.438478</v>
      </c>
      <c r="V13" s="7">
        <f>+[2]Resumen!V13*1000</f>
        <v>162689.95105199999</v>
      </c>
      <c r="W13" s="7">
        <f>+[2]Resumen!W13*1000</f>
        <v>133512.90366600003</v>
      </c>
      <c r="X13" s="7">
        <f>+[2]Resumen!X13*1000</f>
        <v>147762.37317600002</v>
      </c>
      <c r="Y13" s="7">
        <f>+[2]Resumen!Y13*1000</f>
        <v>152093.472996</v>
      </c>
      <c r="Z13" s="7">
        <f>+[2]Resumen!Z13*1000</f>
        <v>142389.789028</v>
      </c>
      <c r="AA13" s="7">
        <f>+[2]Resumen!AA13*1000</f>
        <v>124914.80541</v>
      </c>
      <c r="AB13" s="7">
        <f>+[2]Resumen!AB13*1000</f>
        <v>100103.95186200002</v>
      </c>
      <c r="AC13" s="7">
        <f>+[2]Resumen!AC13*1000</f>
        <v>74926.430736000009</v>
      </c>
      <c r="AD13" s="7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+[2]Resumen!F14*1000</f>
        <v>0</v>
      </c>
      <c r="G14" s="7">
        <f>+[2]Resumen!G14*1000</f>
        <v>0</v>
      </c>
      <c r="H14" s="7">
        <f>+[2]Resumen!H14*1000</f>
        <v>0</v>
      </c>
      <c r="I14" s="7">
        <f>+[2]Resumen!I14*1000</f>
        <v>0</v>
      </c>
      <c r="J14" s="7">
        <f>+[2]Resumen!J14*1000</f>
        <v>0</v>
      </c>
      <c r="K14" s="7">
        <f>+[2]Resumen!K14*1000</f>
        <v>0</v>
      </c>
      <c r="L14" s="7">
        <f>+[2]Resumen!L14*1000</f>
        <v>0</v>
      </c>
      <c r="M14" s="7">
        <f>+[2]Resumen!M14*1000</f>
        <v>0</v>
      </c>
      <c r="N14" s="7">
        <f>+[2]Resumen!N14*1000</f>
        <v>0</v>
      </c>
      <c r="O14" s="7">
        <f>+[2]Resumen!O14*1000</f>
        <v>0</v>
      </c>
      <c r="P14" s="7">
        <f>+[2]Resumen!P14*1000</f>
        <v>0</v>
      </c>
      <c r="Q14" s="7">
        <f>+[2]Resumen!Q14*1000</f>
        <v>0</v>
      </c>
      <c r="R14" s="7">
        <f>+[2]Resumen!R14*1000</f>
        <v>0</v>
      </c>
      <c r="S14" s="7">
        <f>+[2]Resumen!S14*1000</f>
        <v>0</v>
      </c>
      <c r="T14" s="7">
        <f>+[2]Resumen!T14*1000</f>
        <v>0</v>
      </c>
      <c r="U14" s="7">
        <f>+[2]Resumen!U14*1000</f>
        <v>0</v>
      </c>
      <c r="V14" s="7">
        <f>+[2]Resumen!V14*1000</f>
        <v>0</v>
      </c>
      <c r="W14" s="7">
        <f>+[2]Resumen!W14*1000</f>
        <v>0</v>
      </c>
      <c r="X14" s="7">
        <f>+[2]Resumen!X14*1000</f>
        <v>0</v>
      </c>
      <c r="Y14" s="7">
        <f>+[2]Resumen!Y14*1000</f>
        <v>0</v>
      </c>
      <c r="Z14" s="7">
        <f>+[2]Resumen!Z14*1000</f>
        <v>0</v>
      </c>
      <c r="AA14" s="7">
        <f>+[2]Resumen!AA14*1000</f>
        <v>0</v>
      </c>
      <c r="AB14" s="7">
        <f>+[2]Resumen!AB14*1000</f>
        <v>0</v>
      </c>
      <c r="AC14" s="7">
        <f>+[2]Resumen!AC14*1000</f>
        <v>0</v>
      </c>
      <c r="AD14" s="7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+[2]Resumen!F15*1000</f>
        <v>111268.60966</v>
      </c>
      <c r="G15" s="7">
        <f>+[2]Resumen!G15*1000</f>
        <v>101290.6149</v>
      </c>
      <c r="H15" s="7">
        <f>+[2]Resumen!H15*1000</f>
        <v>95893.01730800001</v>
      </c>
      <c r="I15" s="7">
        <f>+[2]Resumen!I15*1000</f>
        <v>95722.406608000005</v>
      </c>
      <c r="J15" s="7">
        <f>+[2]Resumen!J15*1000</f>
        <v>106552.54683600001</v>
      </c>
      <c r="K15" s="7">
        <f>+[2]Resumen!K15*1000</f>
        <v>145276.87677200002</v>
      </c>
      <c r="L15" s="7">
        <f>+[2]Resumen!L15*1000</f>
        <v>165930.234868</v>
      </c>
      <c r="M15" s="7">
        <f>+[2]Resumen!M15*1000</f>
        <v>148688.06214200001</v>
      </c>
      <c r="N15" s="7">
        <f>+[2]Resumen!N15*1000</f>
        <v>158412.93588800001</v>
      </c>
      <c r="O15" s="7">
        <f>+[2]Resumen!O15*1000</f>
        <v>164053.666142</v>
      </c>
      <c r="P15" s="7">
        <f>+[2]Resumen!P15*1000</f>
        <v>178413.77367600001</v>
      </c>
      <c r="Q15" s="7">
        <f>+[2]Resumen!Q15*1000</f>
        <v>188905.38113000002</v>
      </c>
      <c r="R15" s="7">
        <f>+[2]Resumen!R15*1000</f>
        <v>188974.88814200001</v>
      </c>
      <c r="S15" s="7">
        <f>+[2]Resumen!S15*1000</f>
        <v>190575.09591000003</v>
      </c>
      <c r="T15" s="7">
        <f>+[2]Resumen!T15*1000</f>
        <v>197535.842214</v>
      </c>
      <c r="U15" s="7">
        <f>+[2]Resumen!U15*1000</f>
        <v>198380.35453800001</v>
      </c>
      <c r="V15" s="7">
        <f>+[2]Resumen!V15*1000</f>
        <v>193227.911398</v>
      </c>
      <c r="W15" s="7">
        <f>+[2]Resumen!W15*1000</f>
        <v>156208.90102799999</v>
      </c>
      <c r="X15" s="7">
        <f>+[2]Resumen!X15*1000</f>
        <v>163140.001506</v>
      </c>
      <c r="Y15" s="7">
        <f>+[2]Resumen!Y15*1000</f>
        <v>167540.87081600001</v>
      </c>
      <c r="Z15" s="7">
        <f>+[2]Resumen!Z15*1000</f>
        <v>154228.97272200001</v>
      </c>
      <c r="AA15" s="7">
        <f>+[2]Resumen!AA15*1000</f>
        <v>132524.234168</v>
      </c>
      <c r="AB15" s="7">
        <f>+[2]Resumen!AB15*1000</f>
        <v>103104.9054</v>
      </c>
      <c r="AC15" s="7">
        <f>+[2]Resumen!AC15*1000</f>
        <v>88056.353541999997</v>
      </c>
      <c r="AD15" s="70">
        <f t="shared" ref="AD15" si="0">SUM(F15:AC15)*E15+SUM(F16:AC16)*E16+SUM(F17:AC17)*E17+SUM(F18:AC18)*E18</f>
        <v>106752884.69471002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+[2]Resumen!F16*1000</f>
        <v>110545.90841</v>
      </c>
      <c r="G16" s="7">
        <f>+[2]Resumen!G16*1000</f>
        <v>99712.157336000004</v>
      </c>
      <c r="H16" s="7">
        <f>+[2]Resumen!H16*1000</f>
        <v>92156.082552000007</v>
      </c>
      <c r="I16" s="7">
        <f>+[2]Resumen!I16*1000</f>
        <v>90175.118522000004</v>
      </c>
      <c r="J16" s="7">
        <f>+[2]Resumen!J16*1000</f>
        <v>97170.703460000004</v>
      </c>
      <c r="K16" s="7">
        <f>+[2]Resumen!K16*1000</f>
        <v>112104.52405599999</v>
      </c>
      <c r="L16" s="7">
        <f>+[2]Resumen!L16*1000</f>
        <v>130543.26304400002</v>
      </c>
      <c r="M16" s="7">
        <f>+[2]Resumen!M16*1000</f>
        <v>132524.87262800001</v>
      </c>
      <c r="N16" s="7">
        <f>+[2]Resumen!N16*1000</f>
        <v>149714.57103600001</v>
      </c>
      <c r="O16" s="7">
        <f>+[2]Resumen!O16*1000</f>
        <v>161686.448</v>
      </c>
      <c r="P16" s="7">
        <f>+[2]Resumen!P16*1000</f>
        <v>173588.668978</v>
      </c>
      <c r="Q16" s="7">
        <f>+[2]Resumen!Q16*1000</f>
        <v>182040.935876</v>
      </c>
      <c r="R16" s="7">
        <f>+[2]Resumen!R16*1000</f>
        <v>180523.84850600001</v>
      </c>
      <c r="S16" s="7">
        <f>+[2]Resumen!S16*1000</f>
        <v>180471.27487200001</v>
      </c>
      <c r="T16" s="7">
        <f>+[2]Resumen!T16*1000</f>
        <v>180651.37734400001</v>
      </c>
      <c r="U16" s="7">
        <f>+[2]Resumen!U16*1000</f>
        <v>179362.78771400001</v>
      </c>
      <c r="V16" s="7">
        <f>+[2]Resumen!V16*1000</f>
        <v>178055.62599200002</v>
      </c>
      <c r="W16" s="7">
        <f>+[2]Resumen!W16*1000</f>
        <v>150291.19973200001</v>
      </c>
      <c r="X16" s="7">
        <f>+[2]Resumen!X16*1000</f>
        <v>157686.276186</v>
      </c>
      <c r="Y16" s="7">
        <f>+[2]Resumen!Y16*1000</f>
        <v>157412.60385400002</v>
      </c>
      <c r="Z16" s="7">
        <f>+[2]Resumen!Z16*1000</f>
        <v>147189.75259000002</v>
      </c>
      <c r="AA16" s="7">
        <f>+[2]Resumen!AA16*1000</f>
        <v>132050.312404</v>
      </c>
      <c r="AB16" s="7">
        <f>+[2]Resumen!AB16*1000</f>
        <v>110282.06836200001</v>
      </c>
      <c r="AC16" s="7">
        <f>+[2]Resumen!AC16*1000</f>
        <v>90303.335477999994</v>
      </c>
      <c r="AD16" s="7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+[2]Resumen!F17*1000</f>
        <v>111665.313234</v>
      </c>
      <c r="G17" s="7">
        <f>+[2]Resumen!G17*1000</f>
        <v>99119.361413999999</v>
      </c>
      <c r="H17" s="7">
        <f>+[2]Resumen!H17*1000</f>
        <v>89773.924446000005</v>
      </c>
      <c r="I17" s="7">
        <f>+[2]Resumen!I17*1000</f>
        <v>85362.208410000007</v>
      </c>
      <c r="J17" s="7">
        <f>+[2]Resumen!J17*1000</f>
        <v>85521.028881999999</v>
      </c>
      <c r="K17" s="7">
        <f>+[2]Resumen!K17*1000</f>
        <v>89510.048928000004</v>
      </c>
      <c r="L17" s="7">
        <f>+[2]Resumen!L17*1000</f>
        <v>95780.591595999998</v>
      </c>
      <c r="M17" s="7">
        <f>+[2]Resumen!M17*1000</f>
        <v>89656.568404000005</v>
      </c>
      <c r="N17" s="7">
        <f>+[2]Resumen!N17*1000</f>
        <v>103381.621058</v>
      </c>
      <c r="O17" s="7">
        <f>+[2]Resumen!O17*1000</f>
        <v>111584.34231800001</v>
      </c>
      <c r="P17" s="7">
        <f>+[2]Resumen!P17*1000</f>
        <v>121667.143834</v>
      </c>
      <c r="Q17" s="7">
        <f>+[2]Resumen!Q17*1000</f>
        <v>133419.44021600002</v>
      </c>
      <c r="R17" s="7">
        <f>+[2]Resumen!R17*1000</f>
        <v>142690.39727799999</v>
      </c>
      <c r="S17" s="7">
        <f>+[2]Resumen!S17*1000</f>
        <v>148636.566796</v>
      </c>
      <c r="T17" s="7">
        <f>+[2]Resumen!T17*1000</f>
        <v>150577.570324</v>
      </c>
      <c r="U17" s="7">
        <f>+[2]Resumen!U17*1000</f>
        <v>152299.50403799998</v>
      </c>
      <c r="V17" s="7">
        <f>+[2]Resumen!V17*1000</f>
        <v>150589.005852</v>
      </c>
      <c r="W17" s="7">
        <f>+[2]Resumen!W17*1000</f>
        <v>120272.90326200001</v>
      </c>
      <c r="X17" s="7">
        <f>+[2]Resumen!X17*1000</f>
        <v>134276.565672</v>
      </c>
      <c r="Y17" s="7">
        <f>+[2]Resumen!Y17*1000</f>
        <v>140643.09725400002</v>
      </c>
      <c r="Z17" s="7">
        <f>+[2]Resumen!Z17*1000</f>
        <v>134570.087016</v>
      </c>
      <c r="AA17" s="7">
        <f>+[2]Resumen!AA17*1000</f>
        <v>119313.66677</v>
      </c>
      <c r="AB17" s="7">
        <f>+[2]Resumen!AB17*1000</f>
        <v>97076.835651999994</v>
      </c>
      <c r="AC17" s="7">
        <f>+[2]Resumen!AC17*1000</f>
        <v>72796.138006000008</v>
      </c>
      <c r="AD17" s="7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+[2]Resumen!F18*1000</f>
        <v>134111.38897600002</v>
      </c>
      <c r="G18" s="7">
        <f>+[2]Resumen!G18*1000</f>
        <v>122548.821624</v>
      </c>
      <c r="H18" s="7">
        <f>+[2]Resumen!H18*1000</f>
        <v>113625.633724</v>
      </c>
      <c r="I18" s="7">
        <f>+[2]Resumen!I18*1000</f>
        <v>108307.07038600001</v>
      </c>
      <c r="J18" s="7">
        <f>+[2]Resumen!J18*1000</f>
        <v>110678.77903000002</v>
      </c>
      <c r="K18" s="7">
        <f>+[2]Resumen!K18*1000</f>
        <v>114155.29304600001</v>
      </c>
      <c r="L18" s="7">
        <f>+[2]Resumen!L18*1000</f>
        <v>118594.058504</v>
      </c>
      <c r="M18" s="7">
        <f>+[2]Resumen!M18*1000</f>
        <v>114432.164772</v>
      </c>
      <c r="N18" s="7">
        <f>+[2]Resumen!N18*1000</f>
        <v>125735.311638</v>
      </c>
      <c r="O18" s="7">
        <f>+[2]Resumen!O18*1000</f>
        <v>138476.24204800001</v>
      </c>
      <c r="P18" s="7">
        <f>+[2]Resumen!P18*1000</f>
        <v>149927.54001</v>
      </c>
      <c r="Q18" s="7">
        <f>+[2]Resumen!Q18*1000</f>
        <v>167180.481428</v>
      </c>
      <c r="R18" s="7">
        <f>+[2]Resumen!R18*1000</f>
        <v>174045.919842</v>
      </c>
      <c r="S18" s="7">
        <f>+[2]Resumen!S18*1000</f>
        <v>174509.83197200001</v>
      </c>
      <c r="T18" s="7">
        <f>+[2]Resumen!T18*1000</f>
        <v>173201.32948399999</v>
      </c>
      <c r="U18" s="7">
        <f>+[2]Resumen!U18*1000</f>
        <v>171175.45334000001</v>
      </c>
      <c r="V18" s="7">
        <f>+[2]Resumen!V18*1000</f>
        <v>173042.82824199999</v>
      </c>
      <c r="W18" s="7">
        <f>+[2]Resumen!W18*1000</f>
        <v>140289.78767799999</v>
      </c>
      <c r="X18" s="7">
        <f>+[2]Resumen!X18*1000</f>
        <v>159848.43516399999</v>
      </c>
      <c r="Y18" s="7">
        <f>+[2]Resumen!Y18*1000</f>
        <v>179366.781636</v>
      </c>
      <c r="Z18" s="7">
        <f>+[2]Resumen!Z18*1000</f>
        <v>169759.661196</v>
      </c>
      <c r="AA18" s="7">
        <f>+[2]Resumen!AA18*1000</f>
        <v>152227.01754600002</v>
      </c>
      <c r="AB18" s="7">
        <f>+[2]Resumen!AB18*1000</f>
        <v>128604.23164800003</v>
      </c>
      <c r="AC18" s="7">
        <f>+[2]Resumen!AC18*1000</f>
        <v>102504.25641999999</v>
      </c>
      <c r="AD18" s="7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22</v>
      </c>
      <c r="F19" s="7">
        <f>+[2]Resumen!F19*1000</f>
        <v>104942.86148399999</v>
      </c>
      <c r="G19" s="7">
        <f>+[2]Resumen!G19*1000</f>
        <v>93877.008918000007</v>
      </c>
      <c r="H19" s="7">
        <f>+[2]Resumen!H19*1000</f>
        <v>88252.311104000008</v>
      </c>
      <c r="I19" s="7">
        <f>+[2]Resumen!I19*1000</f>
        <v>88102.996591999996</v>
      </c>
      <c r="J19" s="7">
        <f>+[2]Resumen!J19*1000</f>
        <v>98456.689591999995</v>
      </c>
      <c r="K19" s="7">
        <f>+[2]Resumen!K19*1000</f>
        <v>133469.05565200001</v>
      </c>
      <c r="L19" s="7">
        <f>+[2]Resumen!L19*1000</f>
        <v>155136.444296</v>
      </c>
      <c r="M19" s="7">
        <f>+[2]Resumen!M19*1000</f>
        <v>139801.55022200002</v>
      </c>
      <c r="N19" s="7">
        <f>+[2]Resumen!N19*1000</f>
        <v>150114.28956</v>
      </c>
      <c r="O19" s="7">
        <f>+[2]Resumen!O19*1000</f>
        <v>156712.49699400002</v>
      </c>
      <c r="P19" s="7">
        <f>+[2]Resumen!P19*1000</f>
        <v>172352.59623000002</v>
      </c>
      <c r="Q19" s="7">
        <f>+[2]Resumen!Q19*1000</f>
        <v>183995.63791800002</v>
      </c>
      <c r="R19" s="7">
        <f>+[2]Resumen!R19*1000</f>
        <v>185160.50109400001</v>
      </c>
      <c r="S19" s="7">
        <f>+[2]Resumen!S19*1000</f>
        <v>186633.08780200002</v>
      </c>
      <c r="T19" s="7">
        <f>+[2]Resumen!T19*1000</f>
        <v>194424.13714800001</v>
      </c>
      <c r="U19" s="7">
        <f>+[2]Resumen!U19*1000</f>
        <v>197466.51964600003</v>
      </c>
      <c r="V19" s="7">
        <f>+[2]Resumen!V19*1000</f>
        <v>193165.59770200003</v>
      </c>
      <c r="W19" s="7">
        <f>+[2]Resumen!W19*1000</f>
        <v>158697.298878</v>
      </c>
      <c r="X19" s="7">
        <f>+[2]Resumen!X19*1000</f>
        <v>166682.29109000001</v>
      </c>
      <c r="Y19" s="7">
        <f>+[2]Resumen!Y19*1000</f>
        <v>168243.666302</v>
      </c>
      <c r="Z19" s="7">
        <f>+[2]Resumen!Z19*1000</f>
        <v>155354.27975400002</v>
      </c>
      <c r="AA19" s="7">
        <f>+[2]Resumen!AA19*1000</f>
        <v>134501.934958</v>
      </c>
      <c r="AB19" s="7">
        <f>+[2]Resumen!AB19*1000</f>
        <v>106091.75606600002</v>
      </c>
      <c r="AC19" s="7">
        <f>+[2]Resumen!AC19*1000</f>
        <v>86174.357906000005</v>
      </c>
      <c r="AD19" s="70">
        <f t="shared" ref="AD19" si="1">SUM(F19:AC19)*E19+SUM(F20:AC20)*E20+SUM(F21:AC21)*E21+SUM(F22:AC22)*E22</f>
        <v>100538574.45505603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+[2]Resumen!F20*1000</f>
        <v>106380.637934</v>
      </c>
      <c r="G20" s="7">
        <f>+[2]Resumen!G20*1000</f>
        <v>92758.114862000002</v>
      </c>
      <c r="H20" s="7">
        <f>+[2]Resumen!H20*1000</f>
        <v>84783.593393999996</v>
      </c>
      <c r="I20" s="7">
        <f>+[2]Resumen!I20*1000</f>
        <v>83217.826996000003</v>
      </c>
      <c r="J20" s="7">
        <f>+[2]Resumen!J20*1000</f>
        <v>88367.659543999995</v>
      </c>
      <c r="K20" s="7">
        <f>+[2]Resumen!K20*1000</f>
        <v>101439.27676400001</v>
      </c>
      <c r="L20" s="7">
        <f>+[2]Resumen!L20*1000</f>
        <v>120759.87798600001</v>
      </c>
      <c r="M20" s="7">
        <f>+[2]Resumen!M20*1000</f>
        <v>118913.962434</v>
      </c>
      <c r="N20" s="7">
        <f>+[2]Resumen!N20*1000</f>
        <v>136014.87943200002</v>
      </c>
      <c r="O20" s="7">
        <f>+[2]Resumen!O20*1000</f>
        <v>147767.15453200002</v>
      </c>
      <c r="P20" s="7">
        <f>+[2]Resumen!P20*1000</f>
        <v>156375.24114</v>
      </c>
      <c r="Q20" s="7">
        <f>+[2]Resumen!Q20*1000</f>
        <v>161971.53457799999</v>
      </c>
      <c r="R20" s="7">
        <f>+[2]Resumen!R20*1000</f>
        <v>160869.25466999999</v>
      </c>
      <c r="S20" s="7">
        <f>+[2]Resumen!S20*1000</f>
        <v>163511.86898600002</v>
      </c>
      <c r="T20" s="7">
        <f>+[2]Resumen!T20*1000</f>
        <v>167020.55429200002</v>
      </c>
      <c r="U20" s="7">
        <f>+[2]Resumen!U20*1000</f>
        <v>171124.31269400002</v>
      </c>
      <c r="V20" s="7">
        <f>+[2]Resumen!V20*1000</f>
        <v>175243.528922</v>
      </c>
      <c r="W20" s="7">
        <f>+[2]Resumen!W20*1000</f>
        <v>147257.00370999999</v>
      </c>
      <c r="X20" s="7">
        <f>+[2]Resumen!X20*1000</f>
        <v>156231.48123</v>
      </c>
      <c r="Y20" s="7">
        <f>+[2]Resumen!Y20*1000</f>
        <v>155216.66324800003</v>
      </c>
      <c r="Z20" s="7">
        <f>+[2]Resumen!Z20*1000</f>
        <v>142138.92390600001</v>
      </c>
      <c r="AA20" s="7">
        <f>+[2]Resumen!AA20*1000</f>
        <v>125679.53861</v>
      </c>
      <c r="AB20" s="7">
        <f>+[2]Resumen!AB20*1000</f>
        <v>106367.97514400001</v>
      </c>
      <c r="AC20" s="7">
        <f>+[2]Resumen!AC20*1000</f>
        <v>86339.768704000002</v>
      </c>
      <c r="AD20" s="7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+[2]Resumen!F21*1000</f>
        <v>111872.96880199999</v>
      </c>
      <c r="G21" s="7">
        <f>+[2]Resumen!G21*1000</f>
        <v>98240.549599999998</v>
      </c>
      <c r="H21" s="7">
        <f>+[2]Resumen!H21*1000</f>
        <v>88853.825552000009</v>
      </c>
      <c r="I21" s="7">
        <f>+[2]Resumen!I21*1000</f>
        <v>84811.025892000005</v>
      </c>
      <c r="J21" s="7">
        <f>+[2]Resumen!J21*1000</f>
        <v>85459.339458000002</v>
      </c>
      <c r="K21" s="7">
        <f>+[2]Resumen!K21*1000</f>
        <v>87805.857308000006</v>
      </c>
      <c r="L21" s="7">
        <f>+[2]Resumen!L21*1000</f>
        <v>98011.626219999991</v>
      </c>
      <c r="M21" s="7">
        <f>+[2]Resumen!M21*1000</f>
        <v>92466.955820000003</v>
      </c>
      <c r="N21" s="7">
        <f>+[2]Resumen!N21*1000</f>
        <v>106340.81221800001</v>
      </c>
      <c r="O21" s="7">
        <f>+[2]Resumen!O21*1000</f>
        <v>116383.17084000001</v>
      </c>
      <c r="P21" s="7">
        <f>+[2]Resumen!P21*1000</f>
        <v>123444.304338</v>
      </c>
      <c r="Q21" s="7">
        <f>+[2]Resumen!Q21*1000</f>
        <v>131297.19917600002</v>
      </c>
      <c r="R21" s="7">
        <f>+[2]Resumen!R21*1000</f>
        <v>136202.572484</v>
      </c>
      <c r="S21" s="7">
        <f>+[2]Resumen!S21*1000</f>
        <v>142268.297184</v>
      </c>
      <c r="T21" s="7">
        <f>+[2]Resumen!T21*1000</f>
        <v>147448.95316200002</v>
      </c>
      <c r="U21" s="7">
        <f>+[2]Resumen!U21*1000</f>
        <v>150296.05202800001</v>
      </c>
      <c r="V21" s="7">
        <f>+[2]Resumen!V21*1000</f>
        <v>150672.62283000001</v>
      </c>
      <c r="W21" s="7">
        <f>+[2]Resumen!W21*1000</f>
        <v>124335.43133600001</v>
      </c>
      <c r="X21" s="7">
        <f>+[2]Resumen!X21*1000</f>
        <v>133543.65615600001</v>
      </c>
      <c r="Y21" s="7">
        <f>+[2]Resumen!Y21*1000</f>
        <v>134677.68171400001</v>
      </c>
      <c r="Z21" s="7">
        <f>+[2]Resumen!Z21*1000</f>
        <v>127758.563002</v>
      </c>
      <c r="AA21" s="7">
        <f>+[2]Resumen!AA21*1000</f>
        <v>112584.96520599999</v>
      </c>
      <c r="AB21" s="7">
        <f>+[2]Resumen!AB21*1000</f>
        <v>90352.135104000001</v>
      </c>
      <c r="AC21" s="7">
        <f>+[2]Resumen!AC21*1000</f>
        <v>65812.896628000002</v>
      </c>
      <c r="AD21" s="7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+[2]Resumen!F22*1000</f>
        <v>262635.61449200002</v>
      </c>
      <c r="G22" s="7">
        <f>+[2]Resumen!G22*1000</f>
        <v>243730.93448999999</v>
      </c>
      <c r="H22" s="7">
        <f>+[2]Resumen!H22*1000</f>
        <v>230655.93343200002</v>
      </c>
      <c r="I22" s="7">
        <f>+[2]Resumen!I22*1000</f>
        <v>224578.99311799998</v>
      </c>
      <c r="J22" s="7">
        <f>+[2]Resumen!J22*1000</f>
        <v>226776.501498</v>
      </c>
      <c r="K22" s="7">
        <f>+[2]Resumen!K22*1000</f>
        <v>231055.070248</v>
      </c>
      <c r="L22" s="7">
        <f>+[2]Resumen!L22*1000</f>
        <v>239176.48008000001</v>
      </c>
      <c r="M22" s="7">
        <f>+[2]Resumen!M22*1000</f>
        <v>231916.23928400001</v>
      </c>
      <c r="N22" s="7">
        <f>+[2]Resumen!N22*1000</f>
        <v>248858.37837400002</v>
      </c>
      <c r="O22" s="7">
        <f>+[2]Resumen!O22*1000</f>
        <v>255262.04704600002</v>
      </c>
      <c r="P22" s="7">
        <f>+[2]Resumen!P22*1000</f>
        <v>256152.88319000002</v>
      </c>
      <c r="Q22" s="7">
        <f>+[2]Resumen!Q22*1000</f>
        <v>274307.57841800002</v>
      </c>
      <c r="R22" s="7">
        <f>+[2]Resumen!R22*1000</f>
        <v>292358.88569000002</v>
      </c>
      <c r="S22" s="7">
        <f>+[2]Resumen!S22*1000</f>
        <v>294496.05250599998</v>
      </c>
      <c r="T22" s="7">
        <f>+[2]Resumen!T22*1000</f>
        <v>295454.36677800003</v>
      </c>
      <c r="U22" s="7">
        <f>+[2]Resumen!U22*1000</f>
        <v>296574.38168600004</v>
      </c>
      <c r="V22" s="7">
        <f>+[2]Resumen!V22*1000</f>
        <v>301734.20258600003</v>
      </c>
      <c r="W22" s="7">
        <f>+[2]Resumen!W22*1000</f>
        <v>277767.61307200004</v>
      </c>
      <c r="X22" s="7">
        <f>+[2]Resumen!X22*1000</f>
        <v>298485.64007200004</v>
      </c>
      <c r="Y22" s="7">
        <f>+[2]Resumen!Y22*1000</f>
        <v>302717.71474600001</v>
      </c>
      <c r="Z22" s="7">
        <f>+[2]Resumen!Z22*1000</f>
        <v>286773.32547400001</v>
      </c>
      <c r="AA22" s="7">
        <f>+[2]Resumen!AA22*1000</f>
        <v>274749.19410600001</v>
      </c>
      <c r="AB22" s="7">
        <f>+[2]Resumen!AB22*1000</f>
        <v>262080.60121400002</v>
      </c>
      <c r="AC22" s="7">
        <f>+[2]Resumen!AC22*1000</f>
        <v>233959.744018</v>
      </c>
      <c r="AD22" s="7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19</v>
      </c>
      <c r="F23" s="7">
        <f>+[2]Resumen!F23*1000</f>
        <v>88161.224144000007</v>
      </c>
      <c r="G23" s="7">
        <f>+[2]Resumen!G23*1000</f>
        <v>76240.998594000004</v>
      </c>
      <c r="H23" s="7">
        <f>+[2]Resumen!H23*1000</f>
        <v>70408.524613999994</v>
      </c>
      <c r="I23" s="7">
        <f>+[2]Resumen!I23*1000</f>
        <v>70296.113090000013</v>
      </c>
      <c r="J23" s="7">
        <f>+[2]Resumen!J23*1000</f>
        <v>80657.169662</v>
      </c>
      <c r="K23" s="7">
        <f>+[2]Resumen!K23*1000</f>
        <v>120026.87624800002</v>
      </c>
      <c r="L23" s="7">
        <f>+[2]Resumen!L23*1000</f>
        <v>142942.425816</v>
      </c>
      <c r="M23" s="7">
        <f>+[2]Resumen!M23*1000</f>
        <v>129425.15642200001</v>
      </c>
      <c r="N23" s="7">
        <f>+[2]Resumen!N23*1000</f>
        <v>137017.21906800001</v>
      </c>
      <c r="O23" s="7">
        <f>+[2]Resumen!O23*1000</f>
        <v>141956.82801999999</v>
      </c>
      <c r="P23" s="7">
        <f>+[2]Resumen!P23*1000</f>
        <v>158250.46910000002</v>
      </c>
      <c r="Q23" s="7">
        <f>+[2]Resumen!Q23*1000</f>
        <v>170706.51865800002</v>
      </c>
      <c r="R23" s="7">
        <f>+[2]Resumen!R23*1000</f>
        <v>168940.82915199999</v>
      </c>
      <c r="S23" s="7">
        <f>+[2]Resumen!S23*1000</f>
        <v>168595.76989800003</v>
      </c>
      <c r="T23" s="7">
        <f>+[2]Resumen!T23*1000</f>
        <v>175732.44740199999</v>
      </c>
      <c r="U23" s="7">
        <f>+[2]Resumen!U23*1000</f>
        <v>180824.30068799999</v>
      </c>
      <c r="V23" s="7">
        <f>+[2]Resumen!V23*1000</f>
        <v>175283.87959400003</v>
      </c>
      <c r="W23" s="7">
        <f>+[2]Resumen!W23*1000</f>
        <v>135826.98774800001</v>
      </c>
      <c r="X23" s="7">
        <f>+[2]Resumen!X23*1000</f>
        <v>144994.65617</v>
      </c>
      <c r="Y23" s="7">
        <f>+[2]Resumen!Y23*1000</f>
        <v>149954.099946</v>
      </c>
      <c r="Z23" s="7">
        <f>+[2]Resumen!Z23*1000</f>
        <v>136798.46848399998</v>
      </c>
      <c r="AA23" s="7">
        <f>+[2]Resumen!AA23*1000</f>
        <v>117056.909302</v>
      </c>
      <c r="AB23" s="7">
        <f>+[2]Resumen!AB23*1000</f>
        <v>88070.612481999997</v>
      </c>
      <c r="AC23" s="7">
        <f>+[2]Resumen!AC23*1000</f>
        <v>68439.783546000006</v>
      </c>
      <c r="AD23" s="70">
        <f t="shared" ref="AD23" si="2">SUM(F23:AC23)*E23+SUM(F24:AC24)*E24+SUM(F25:AC25)*E25+SUM(F26:AC26)*E26</f>
        <v>87017545.539003983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+[2]Resumen!F24*1000</f>
        <v>90064.076140000005</v>
      </c>
      <c r="G24" s="7">
        <f>+[2]Resumen!G24*1000</f>
        <v>77303.495349999997</v>
      </c>
      <c r="H24" s="7">
        <f>+[2]Resumen!H24*1000</f>
        <v>69659.469154000006</v>
      </c>
      <c r="I24" s="7">
        <f>+[2]Resumen!I24*1000</f>
        <v>65835.923752000002</v>
      </c>
      <c r="J24" s="7">
        <f>+[2]Resumen!J24*1000</f>
        <v>67244.508392000003</v>
      </c>
      <c r="K24" s="7">
        <f>+[2]Resumen!K24*1000</f>
        <v>75333.236166000002</v>
      </c>
      <c r="L24" s="7">
        <f>+[2]Resumen!L24*1000</f>
        <v>94029.856241999994</v>
      </c>
      <c r="M24" s="7">
        <f>+[2]Resumen!M24*1000</f>
        <v>95413.328122000006</v>
      </c>
      <c r="N24" s="7">
        <f>+[2]Resumen!N24*1000</f>
        <v>117527.31244199999</v>
      </c>
      <c r="O24" s="7">
        <f>+[2]Resumen!O24*1000</f>
        <v>129878.15088600002</v>
      </c>
      <c r="P24" s="7">
        <f>+[2]Resumen!P24*1000</f>
        <v>141822.935864</v>
      </c>
      <c r="Q24" s="7">
        <f>+[2]Resumen!Q24*1000</f>
        <v>148598.03218800001</v>
      </c>
      <c r="R24" s="7">
        <f>+[2]Resumen!R24*1000</f>
        <v>144715.819406</v>
      </c>
      <c r="S24" s="7">
        <f>+[2]Resumen!S24*1000</f>
        <v>141507.898418</v>
      </c>
      <c r="T24" s="7">
        <f>+[2]Resumen!T24*1000</f>
        <v>141599.82956400001</v>
      </c>
      <c r="U24" s="7">
        <f>+[2]Resumen!U24*1000</f>
        <v>141875.77197600002</v>
      </c>
      <c r="V24" s="7">
        <f>+[2]Resumen!V24*1000</f>
        <v>141813.50084400002</v>
      </c>
      <c r="W24" s="7">
        <f>+[2]Resumen!W24*1000</f>
        <v>113226.958018</v>
      </c>
      <c r="X24" s="7">
        <f>+[2]Resumen!X24*1000</f>
        <v>122799.949224</v>
      </c>
      <c r="Y24" s="7">
        <f>+[2]Resumen!Y24*1000</f>
        <v>128474.95768600001</v>
      </c>
      <c r="Z24" s="7">
        <f>+[2]Resumen!Z24*1000</f>
        <v>119386.33061200002</v>
      </c>
      <c r="AA24" s="7">
        <f>+[2]Resumen!AA24*1000</f>
        <v>107625.45049</v>
      </c>
      <c r="AB24" s="7">
        <f>+[2]Resumen!AB24*1000</f>
        <v>90552.703766000006</v>
      </c>
      <c r="AC24" s="7">
        <f>+[2]Resumen!AC24*1000</f>
        <v>69271.732396000007</v>
      </c>
      <c r="AD24" s="7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5</v>
      </c>
      <c r="F25" s="7">
        <f>+[2]Resumen!F25*1000</f>
        <v>90793.083956000002</v>
      </c>
      <c r="G25" s="7">
        <f>+[2]Resumen!G25*1000</f>
        <v>79502.394154000009</v>
      </c>
      <c r="H25" s="7">
        <f>+[2]Resumen!H25*1000</f>
        <v>67166.289948000005</v>
      </c>
      <c r="I25" s="7">
        <f>+[2]Resumen!I25*1000</f>
        <v>58523.563338000007</v>
      </c>
      <c r="J25" s="7">
        <f>+[2]Resumen!J25*1000</f>
        <v>53355.697841999994</v>
      </c>
      <c r="K25" s="7">
        <f>+[2]Resumen!K25*1000</f>
        <v>50214.886094000001</v>
      </c>
      <c r="L25" s="7">
        <f>+[2]Resumen!L25*1000</f>
        <v>53456.510675999998</v>
      </c>
      <c r="M25" s="7">
        <f>+[2]Resumen!M25*1000</f>
        <v>48177.702114</v>
      </c>
      <c r="N25" s="7">
        <f>+[2]Resumen!N25*1000</f>
        <v>65830.496841999993</v>
      </c>
      <c r="O25" s="7">
        <f>+[2]Resumen!O25*1000</f>
        <v>78172.311717999997</v>
      </c>
      <c r="P25" s="7">
        <f>+[2]Resumen!P25*1000</f>
        <v>90450.571448000002</v>
      </c>
      <c r="Q25" s="7">
        <f>+[2]Resumen!Q25*1000</f>
        <v>105009.26132399999</v>
      </c>
      <c r="R25" s="7">
        <f>+[2]Resumen!R25*1000</f>
        <v>112871.51314800001</v>
      </c>
      <c r="S25" s="7">
        <f>+[2]Resumen!S25*1000</f>
        <v>114419.750272</v>
      </c>
      <c r="T25" s="7">
        <f>+[2]Resumen!T25*1000</f>
        <v>107566.946272</v>
      </c>
      <c r="U25" s="7">
        <f>+[2]Resumen!U25*1000</f>
        <v>112514.87648600001</v>
      </c>
      <c r="V25" s="7">
        <f>+[2]Resumen!V25*1000</f>
        <v>111946.94503399999</v>
      </c>
      <c r="W25" s="7">
        <f>+[2]Resumen!W25*1000</f>
        <v>83548.208763999995</v>
      </c>
      <c r="X25" s="7">
        <f>+[2]Resumen!X25*1000</f>
        <v>99442.237730000008</v>
      </c>
      <c r="Y25" s="7">
        <f>+[2]Resumen!Y25*1000</f>
        <v>111920.214842</v>
      </c>
      <c r="Z25" s="7">
        <f>+[2]Resumen!Z25*1000</f>
        <v>104644.878014</v>
      </c>
      <c r="AA25" s="7">
        <f>+[2]Resumen!AA25*1000</f>
        <v>91826.878388000012</v>
      </c>
      <c r="AB25" s="7">
        <f>+[2]Resumen!AB25*1000</f>
        <v>70259.79890400001</v>
      </c>
      <c r="AC25" s="7">
        <f>+[2]Resumen!AC25*1000</f>
        <v>44174.777828000006</v>
      </c>
      <c r="AD25" s="7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3</v>
      </c>
      <c r="F26" s="7">
        <f>+[2]Resumen!F26*1000</f>
        <v>82062.845761999997</v>
      </c>
      <c r="G26" s="7">
        <f>+[2]Resumen!G26*1000</f>
        <v>69898.444732000004</v>
      </c>
      <c r="H26" s="7">
        <f>+[2]Resumen!H26*1000</f>
        <v>62843.028998000002</v>
      </c>
      <c r="I26" s="7">
        <f>+[2]Resumen!I26*1000</f>
        <v>59889.328593999999</v>
      </c>
      <c r="J26" s="7">
        <f>+[2]Resumen!J26*1000</f>
        <v>68499.252548000004</v>
      </c>
      <c r="K26" s="7">
        <f>+[2]Resumen!K26*1000</f>
        <v>85200.521961999999</v>
      </c>
      <c r="L26" s="7">
        <f>+[2]Resumen!L26*1000</f>
        <v>93330.678696000003</v>
      </c>
      <c r="M26" s="7">
        <f>+[2]Resumen!M26*1000</f>
        <v>86294.296163999999</v>
      </c>
      <c r="N26" s="7">
        <f>+[2]Resumen!N26*1000</f>
        <v>101650.19557200001</v>
      </c>
      <c r="O26" s="7">
        <f>+[2]Resumen!O26*1000</f>
        <v>111168.555884</v>
      </c>
      <c r="P26" s="7">
        <f>+[2]Resumen!P26*1000</f>
        <v>128859.05522200002</v>
      </c>
      <c r="Q26" s="7">
        <f>+[2]Resumen!Q26*1000</f>
        <v>142316.92655400001</v>
      </c>
      <c r="R26" s="7">
        <f>+[2]Resumen!R26*1000</f>
        <v>154311.46884800002</v>
      </c>
      <c r="S26" s="7">
        <f>+[2]Resumen!S26*1000</f>
        <v>152567.34510199999</v>
      </c>
      <c r="T26" s="7">
        <f>+[2]Resumen!T26*1000</f>
        <v>148422.235774</v>
      </c>
      <c r="U26" s="7">
        <f>+[2]Resumen!U26*1000</f>
        <v>139013.02374599999</v>
      </c>
      <c r="V26" s="7">
        <f>+[2]Resumen!V26*1000</f>
        <v>139689.38698800001</v>
      </c>
      <c r="W26" s="7">
        <f>+[2]Resumen!W26*1000</f>
        <v>118376.69125</v>
      </c>
      <c r="X26" s="7">
        <f>+[2]Resumen!X26*1000</f>
        <v>128602.42977199999</v>
      </c>
      <c r="Y26" s="7">
        <f>+[2]Resumen!Y26*1000</f>
        <v>130742.56188000001</v>
      </c>
      <c r="Z26" s="7">
        <f>+[2]Resumen!Z26*1000</f>
        <v>116003.44320800001</v>
      </c>
      <c r="AA26" s="7">
        <f>+[2]Resumen!AA26*1000</f>
        <v>99652.255600000004</v>
      </c>
      <c r="AB26" s="7">
        <f>+[2]Resumen!AB26*1000</f>
        <v>76867.334948000003</v>
      </c>
      <c r="AC26" s="7">
        <f>+[2]Resumen!AC26*1000</f>
        <v>40670.214136000002</v>
      </c>
      <c r="AD26" s="7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21</v>
      </c>
      <c r="F27" s="7">
        <f>+[2]Resumen!F27*1000</f>
        <v>70806.73921</v>
      </c>
      <c r="G27" s="7">
        <f>+[2]Resumen!G27*1000</f>
        <v>59819.821582000004</v>
      </c>
      <c r="H27" s="7">
        <f>+[2]Resumen!H27*1000</f>
        <v>54144.337822000009</v>
      </c>
      <c r="I27" s="7">
        <f>+[2]Resumen!I27*1000</f>
        <v>53982.871288000002</v>
      </c>
      <c r="J27" s="7">
        <f>+[2]Resumen!J27*1000</f>
        <v>60257.535570000007</v>
      </c>
      <c r="K27" s="7">
        <f>+[2]Resumen!K27*1000</f>
        <v>84575.114922000008</v>
      </c>
      <c r="L27" s="7">
        <f>+[2]Resumen!L27*1000</f>
        <v>106851.82850800001</v>
      </c>
      <c r="M27" s="7">
        <f>+[2]Resumen!M27*1000</f>
        <v>98487.818064000006</v>
      </c>
      <c r="N27" s="7">
        <f>+[2]Resumen!N27*1000</f>
        <v>108712.93231400001</v>
      </c>
      <c r="O27" s="7">
        <f>+[2]Resumen!O27*1000</f>
        <v>114974.21021800001</v>
      </c>
      <c r="P27" s="7">
        <f>+[2]Resumen!P27*1000</f>
        <v>126598.91391600002</v>
      </c>
      <c r="Q27" s="7">
        <f>+[2]Resumen!Q27*1000</f>
        <v>137222.81737600002</v>
      </c>
      <c r="R27" s="7">
        <f>+[2]Resumen!R27*1000</f>
        <v>138637.90721400001</v>
      </c>
      <c r="S27" s="7">
        <f>+[2]Resumen!S27*1000</f>
        <v>140397.94280200001</v>
      </c>
      <c r="T27" s="7">
        <f>+[2]Resumen!T27*1000</f>
        <v>146748.37100400002</v>
      </c>
      <c r="U27" s="7">
        <f>+[2]Resumen!U27*1000</f>
        <v>150061.43926000001</v>
      </c>
      <c r="V27" s="7">
        <f>+[2]Resumen!V27*1000</f>
        <v>145690.669792</v>
      </c>
      <c r="W27" s="7">
        <f>+[2]Resumen!W27*1000</f>
        <v>110367.118328</v>
      </c>
      <c r="X27" s="7">
        <f>+[2]Resumen!X27*1000</f>
        <v>114969.464332</v>
      </c>
      <c r="Y27" s="7">
        <f>+[2]Resumen!Y27*1000</f>
        <v>114783.814352</v>
      </c>
      <c r="Z27" s="7">
        <f>+[2]Resumen!Z27*1000</f>
        <v>101295.63035800001</v>
      </c>
      <c r="AA27" s="7">
        <f>+[2]Resumen!AA27*1000</f>
        <v>84114.934236000001</v>
      </c>
      <c r="AB27" s="7">
        <f>+[2]Resumen!AB27*1000</f>
        <v>58437.094572000009</v>
      </c>
      <c r="AC27" s="7">
        <f>+[2]Resumen!AC27*1000</f>
        <v>45182.054887999999</v>
      </c>
      <c r="AD27" s="70">
        <f t="shared" ref="AD27" si="3">SUM(F27:AC27)*E27+SUM(F28:AC28)*E28+SUM(F29:AC29)*E29+SUM(F30:AC30)*E30</f>
        <v>68081871.283483997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+[2]Resumen!F28*1000</f>
        <v>69751.68406</v>
      </c>
      <c r="G28" s="7">
        <f>+[2]Resumen!G28*1000</f>
        <v>57684.520488000002</v>
      </c>
      <c r="H28" s="7">
        <f>+[2]Resumen!H28*1000</f>
        <v>49256.444130000003</v>
      </c>
      <c r="I28" s="7">
        <f>+[2]Resumen!I28*1000</f>
        <v>46490.855324000004</v>
      </c>
      <c r="J28" s="7">
        <f>+[2]Resumen!J28*1000</f>
        <v>49928.884390000007</v>
      </c>
      <c r="K28" s="7">
        <f>+[2]Resumen!K28*1000</f>
        <v>59048.072416000003</v>
      </c>
      <c r="L28" s="7">
        <f>+[2]Resumen!L28*1000</f>
        <v>77107.537788000001</v>
      </c>
      <c r="M28" s="7">
        <f>+[2]Resumen!M28*1000</f>
        <v>76658.069042000003</v>
      </c>
      <c r="N28" s="7">
        <f>+[2]Resumen!N28*1000</f>
        <v>91294.551722000004</v>
      </c>
      <c r="O28" s="7">
        <f>+[2]Resumen!O28*1000</f>
        <v>101534.733628</v>
      </c>
      <c r="P28" s="7">
        <f>+[2]Resumen!P28*1000</f>
        <v>112653.308802</v>
      </c>
      <c r="Q28" s="7">
        <f>+[2]Resumen!Q28*1000</f>
        <v>119830.485952</v>
      </c>
      <c r="R28" s="7">
        <f>+[2]Resumen!R28*1000</f>
        <v>118873.96646200001</v>
      </c>
      <c r="S28" s="7">
        <f>+[2]Resumen!S28*1000</f>
        <v>118471.410338</v>
      </c>
      <c r="T28" s="7">
        <f>+[2]Resumen!T28*1000</f>
        <v>120911.15753600001</v>
      </c>
      <c r="U28" s="7">
        <f>+[2]Resumen!U28*1000</f>
        <v>125001.125202</v>
      </c>
      <c r="V28" s="7">
        <f>+[2]Resumen!V28*1000</f>
        <v>124019.60645599999</v>
      </c>
      <c r="W28" s="7">
        <f>+[2]Resumen!W28*1000</f>
        <v>96941.404098000014</v>
      </c>
      <c r="X28" s="7">
        <f>+[2]Resumen!X28*1000</f>
        <v>101556.256824</v>
      </c>
      <c r="Y28" s="7">
        <f>+[2]Resumen!Y28*1000</f>
        <v>105263.269088</v>
      </c>
      <c r="Z28" s="7">
        <f>+[2]Resumen!Z28*1000</f>
        <v>95142.997063999996</v>
      </c>
      <c r="AA28" s="7">
        <f>+[2]Resumen!AA28*1000</f>
        <v>80054.484704000002</v>
      </c>
      <c r="AB28" s="7">
        <f>+[2]Resumen!AB28*1000</f>
        <v>63610.699114000003</v>
      </c>
      <c r="AC28" s="7">
        <f>+[2]Resumen!AC28*1000</f>
        <v>45793.912387999997</v>
      </c>
      <c r="AD28" s="7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+[2]Resumen!F29*1000</f>
        <v>75497.22107</v>
      </c>
      <c r="G29" s="7">
        <f>+[2]Resumen!G29*1000</f>
        <v>64794.801218000001</v>
      </c>
      <c r="H29" s="7">
        <f>+[2]Resumen!H29*1000</f>
        <v>55751.483522000002</v>
      </c>
      <c r="I29" s="7">
        <f>+[2]Resumen!I29*1000</f>
        <v>52312.560612000001</v>
      </c>
      <c r="J29" s="7">
        <f>+[2]Resumen!J29*1000</f>
        <v>52175.809574000006</v>
      </c>
      <c r="K29" s="7">
        <f>+[2]Resumen!K29*1000</f>
        <v>54034.692958000007</v>
      </c>
      <c r="L29" s="7">
        <f>+[2]Resumen!L29*1000</f>
        <v>56699.178075999997</v>
      </c>
      <c r="M29" s="7">
        <f>+[2]Resumen!M29*1000</f>
        <v>46115.391186000001</v>
      </c>
      <c r="N29" s="7">
        <f>+[2]Resumen!N29*1000</f>
        <v>56204.988754000005</v>
      </c>
      <c r="O29" s="7">
        <f>+[2]Resumen!O29*1000</f>
        <v>65659.886142000003</v>
      </c>
      <c r="P29" s="7">
        <f>+[2]Resumen!P29*1000</f>
        <v>71444.759382000004</v>
      </c>
      <c r="Q29" s="7">
        <f>+[2]Resumen!Q29*1000</f>
        <v>83770.641134000005</v>
      </c>
      <c r="R29" s="7">
        <f>+[2]Resumen!R29*1000</f>
        <v>91596.656806000014</v>
      </c>
      <c r="S29" s="7">
        <f>+[2]Resumen!S29*1000</f>
        <v>97741.302255999995</v>
      </c>
      <c r="T29" s="7">
        <f>+[2]Resumen!T29*1000</f>
        <v>102004.91685400001</v>
      </c>
      <c r="U29" s="7">
        <f>+[2]Resumen!U29*1000</f>
        <v>104583.43688000001</v>
      </c>
      <c r="V29" s="7">
        <f>+[2]Resumen!V29*1000</f>
        <v>102997.50933399999</v>
      </c>
      <c r="W29" s="7">
        <f>+[2]Resumen!W29*1000</f>
        <v>71209.125077999997</v>
      </c>
      <c r="X29" s="7">
        <f>+[2]Resumen!X29*1000</f>
        <v>78496.330168</v>
      </c>
      <c r="Y29" s="7">
        <f>+[2]Resumen!Y29*1000</f>
        <v>89845.282991999993</v>
      </c>
      <c r="Z29" s="7">
        <f>+[2]Resumen!Z29*1000</f>
        <v>84394.26758</v>
      </c>
      <c r="AA29" s="7">
        <f>+[2]Resumen!AA29*1000</f>
        <v>74994.958775999999</v>
      </c>
      <c r="AB29" s="7">
        <f>+[2]Resumen!AB29*1000</f>
        <v>58414.663344000001</v>
      </c>
      <c r="AC29" s="7">
        <f>+[2]Resumen!AC29*1000</f>
        <v>39288.175244000005</v>
      </c>
      <c r="AD29" s="7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1</v>
      </c>
      <c r="F30" s="7">
        <f>+[2]Resumen!F30*1000</f>
        <v>69350.348104000004</v>
      </c>
      <c r="G30" s="7">
        <f>+[2]Resumen!G30*1000</f>
        <v>57829.975864</v>
      </c>
      <c r="H30" s="7">
        <f>+[2]Resumen!H30*1000</f>
        <v>50403.494272000004</v>
      </c>
      <c r="I30" s="7">
        <f>+[2]Resumen!I30*1000</f>
        <v>47158.422006000008</v>
      </c>
      <c r="J30" s="7">
        <f>+[2]Resumen!J30*1000</f>
        <v>47280.325302000005</v>
      </c>
      <c r="K30" s="7">
        <f>+[2]Resumen!K30*1000</f>
        <v>51173.044298000001</v>
      </c>
      <c r="L30" s="7">
        <f>+[2]Resumen!L30*1000</f>
        <v>55632.651927999999</v>
      </c>
      <c r="M30" s="7">
        <f>+[2]Resumen!M30*1000</f>
        <v>43947.656324000003</v>
      </c>
      <c r="N30" s="7">
        <f>+[2]Resumen!N30*1000</f>
        <v>55733.088779999998</v>
      </c>
      <c r="O30" s="7">
        <f>+[2]Resumen!O30*1000</f>
        <v>65434.828991999995</v>
      </c>
      <c r="P30" s="7">
        <f>+[2]Resumen!P30*1000</f>
        <v>79123.986006000006</v>
      </c>
      <c r="Q30" s="7">
        <f>+[2]Resumen!Q30*1000</f>
        <v>92380.295515999998</v>
      </c>
      <c r="R30" s="7">
        <f>+[2]Resumen!R30*1000</f>
        <v>100079.215084</v>
      </c>
      <c r="S30" s="7">
        <f>+[2]Resumen!S30*1000</f>
        <v>101374.544014</v>
      </c>
      <c r="T30" s="7">
        <f>+[2]Resumen!T30*1000</f>
        <v>99793.986626000013</v>
      </c>
      <c r="U30" s="7">
        <f>+[2]Resumen!U30*1000</f>
        <v>102645.42702</v>
      </c>
      <c r="V30" s="7">
        <f>+[2]Resumen!V30*1000</f>
        <v>101440.340864</v>
      </c>
      <c r="W30" s="7">
        <f>+[2]Resumen!W30*1000</f>
        <v>74314.289476000005</v>
      </c>
      <c r="X30" s="7">
        <f>+[2]Resumen!X30*1000</f>
        <v>82367.391182000007</v>
      </c>
      <c r="Y30" s="7">
        <f>+[2]Resumen!Y30*1000</f>
        <v>101288.919434</v>
      </c>
      <c r="Z30" s="7">
        <f>+[2]Resumen!Z30*1000</f>
        <v>95487.439140000002</v>
      </c>
      <c r="AA30" s="7">
        <f>+[2]Resumen!AA30*1000</f>
        <v>85047.312844</v>
      </c>
      <c r="AB30" s="7">
        <f>+[2]Resumen!AB30*1000</f>
        <v>65160.731019999999</v>
      </c>
      <c r="AC30" s="7">
        <f>+[2]Resumen!AC30*1000</f>
        <v>40244.645076000001</v>
      </c>
      <c r="AD30" s="7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+[2]Resumen!F31*1000</f>
        <v>62872.518756000005</v>
      </c>
      <c r="G31" s="7">
        <f>+[2]Resumen!G31*1000</f>
        <v>50703.038422000005</v>
      </c>
      <c r="H31" s="7">
        <f>+[2]Resumen!H31*1000</f>
        <v>43586.663946000001</v>
      </c>
      <c r="I31" s="7">
        <f>+[2]Resumen!I31*1000</f>
        <v>42857.336900000002</v>
      </c>
      <c r="J31" s="7">
        <f>+[2]Resumen!J31*1000</f>
        <v>49033.259795999998</v>
      </c>
      <c r="K31" s="7">
        <f>+[2]Resumen!K31*1000</f>
        <v>76288.343950000009</v>
      </c>
      <c r="L31" s="7">
        <f>+[2]Resumen!L31*1000</f>
        <v>99248.954605999999</v>
      </c>
      <c r="M31" s="7">
        <f>+[2]Resumen!M31*1000</f>
        <v>84857.051764000003</v>
      </c>
      <c r="N31" s="7">
        <f>+[2]Resumen!N31*1000</f>
        <v>96377.395627999998</v>
      </c>
      <c r="O31" s="7">
        <f>+[2]Resumen!O31*1000</f>
        <v>102177.90404400001</v>
      </c>
      <c r="P31" s="7">
        <f>+[2]Resumen!P31*1000</f>
        <v>115293.95098600001</v>
      </c>
      <c r="Q31" s="7">
        <f>+[2]Resumen!Q31*1000</f>
        <v>127369.13077800001</v>
      </c>
      <c r="R31" s="7">
        <f>+[2]Resumen!R31*1000</f>
        <v>130239.85975799999</v>
      </c>
      <c r="S31" s="7">
        <f>+[2]Resumen!S31*1000</f>
        <v>132963.239264</v>
      </c>
      <c r="T31" s="7">
        <f>+[2]Resumen!T31*1000</f>
        <v>141347.62367600002</v>
      </c>
      <c r="U31" s="7">
        <f>+[2]Resumen!U31*1000</f>
        <v>144693.71450199999</v>
      </c>
      <c r="V31" s="7">
        <f>+[2]Resumen!V31*1000</f>
        <v>139103.91207399999</v>
      </c>
      <c r="W31" s="7">
        <f>+[2]Resumen!W31*1000</f>
        <v>125686.51910599999</v>
      </c>
      <c r="X31" s="7">
        <f>+[2]Resumen!X31*1000</f>
        <v>130430.04989800003</v>
      </c>
      <c r="Y31" s="7">
        <f>+[2]Resumen!Y31*1000</f>
        <v>138948.85142200001</v>
      </c>
      <c r="Z31" s="7">
        <f>+[2]Resumen!Z31*1000</f>
        <v>126206.253922</v>
      </c>
      <c r="AA31" s="7">
        <f>+[2]Resumen!AA31*1000</f>
        <v>107706.35046600002</v>
      </c>
      <c r="AB31" s="7">
        <f>+[2]Resumen!AB31*1000</f>
        <v>76667.511156000008</v>
      </c>
      <c r="AC31" s="7">
        <f>+[2]Resumen!AC31*1000</f>
        <v>59239.596228000002</v>
      </c>
      <c r="AD31" s="70">
        <f t="shared" ref="AD31:AD35" si="4">SUM(F31:AC31)*E31+SUM(F32:AC32)*E32+SUM(F33:AC33)*E33+SUM(F34:AC34)*E34</f>
        <v>66098677.588002004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+[2]Resumen!F32*1000</f>
        <v>58624.986256000004</v>
      </c>
      <c r="G32" s="7">
        <f>+[2]Resumen!G32*1000</f>
        <v>46572.741366000002</v>
      </c>
      <c r="H32" s="7">
        <f>+[2]Resumen!H32*1000</f>
        <v>39146.011484000002</v>
      </c>
      <c r="I32" s="7">
        <f>+[2]Resumen!I32*1000</f>
        <v>35332.560844</v>
      </c>
      <c r="J32" s="7">
        <f>+[2]Resumen!J32*1000</f>
        <v>39552.086232000001</v>
      </c>
      <c r="K32" s="7">
        <f>+[2]Resumen!K32*1000</f>
        <v>49785.550120000007</v>
      </c>
      <c r="L32" s="7">
        <f>+[2]Resumen!L32*1000</f>
        <v>67696.687046000006</v>
      </c>
      <c r="M32" s="7">
        <f>+[2]Resumen!M32*1000</f>
        <v>60868.903584</v>
      </c>
      <c r="N32" s="7">
        <f>+[2]Resumen!N32*1000</f>
        <v>77202.058244</v>
      </c>
      <c r="O32" s="7">
        <f>+[2]Resumen!O32*1000</f>
        <v>88517.158500000005</v>
      </c>
      <c r="P32" s="7">
        <f>+[2]Resumen!P32*1000</f>
        <v>102138.09961</v>
      </c>
      <c r="Q32" s="7">
        <f>+[2]Resumen!Q32*1000</f>
        <v>112602.49448000001</v>
      </c>
      <c r="R32" s="7">
        <f>+[2]Resumen!R32*1000</f>
        <v>111949.49178000001</v>
      </c>
      <c r="S32" s="7">
        <f>+[2]Resumen!S32*1000</f>
        <v>107115.42736</v>
      </c>
      <c r="T32" s="7">
        <f>+[2]Resumen!T32*1000</f>
        <v>105136.20845400001</v>
      </c>
      <c r="U32" s="7">
        <f>+[2]Resumen!U32*1000</f>
        <v>107492.90619400001</v>
      </c>
      <c r="V32" s="7">
        <f>+[2]Resumen!V32*1000</f>
        <v>110811.536146</v>
      </c>
      <c r="W32" s="7">
        <f>+[2]Resumen!W32*1000</f>
        <v>109156.38534800001</v>
      </c>
      <c r="X32" s="7">
        <f>+[2]Resumen!X32*1000</f>
        <v>118849.35737600001</v>
      </c>
      <c r="Y32" s="7">
        <f>+[2]Resumen!Y32*1000</f>
        <v>117310.945442</v>
      </c>
      <c r="Z32" s="7">
        <f>+[2]Resumen!Z32*1000</f>
        <v>103541.087084</v>
      </c>
      <c r="AA32" s="7">
        <f>+[2]Resumen!AA32*1000</f>
        <v>83789.071345999997</v>
      </c>
      <c r="AB32" s="7">
        <f>+[2]Resumen!AB32*1000</f>
        <v>63927.502966</v>
      </c>
      <c r="AC32" s="7">
        <f>+[2]Resumen!AC32*1000</f>
        <v>45033.095076000005</v>
      </c>
      <c r="AD32" s="7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+[2]Resumen!F33*1000</f>
        <v>44159.334190000001</v>
      </c>
      <c r="G33" s="7">
        <f>+[2]Resumen!G33*1000</f>
        <v>32559.892226000004</v>
      </c>
      <c r="H33" s="7">
        <f>+[2]Resumen!H33*1000</f>
        <v>23590.068370000005</v>
      </c>
      <c r="I33" s="7">
        <f>+[2]Resumen!I33*1000</f>
        <v>18792.715400000001</v>
      </c>
      <c r="J33" s="7">
        <f>+[2]Resumen!J33*1000</f>
        <v>20849.649076000002</v>
      </c>
      <c r="K33" s="7">
        <f>+[2]Resumen!K33*1000</f>
        <v>22976.245832000001</v>
      </c>
      <c r="L33" s="7">
        <f>+[2]Resumen!L33*1000</f>
        <v>31828.167408000001</v>
      </c>
      <c r="M33" s="7">
        <f>+[2]Resumen!M33*1000</f>
        <v>17857.669448000001</v>
      </c>
      <c r="N33" s="7">
        <f>+[2]Resumen!N33*1000</f>
        <v>30350.50849</v>
      </c>
      <c r="O33" s="7">
        <f>+[2]Resumen!O33*1000</f>
        <v>41624.924656000003</v>
      </c>
      <c r="P33" s="7">
        <f>+[2]Resumen!P33*1000</f>
        <v>49469.93806</v>
      </c>
      <c r="Q33" s="7">
        <f>+[2]Resumen!Q33*1000</f>
        <v>63085.118841999996</v>
      </c>
      <c r="R33" s="7">
        <f>+[2]Resumen!R33*1000</f>
        <v>72147.065382000001</v>
      </c>
      <c r="S33" s="7">
        <f>+[2]Resumen!S33*1000</f>
        <v>75973.072402000005</v>
      </c>
      <c r="T33" s="7">
        <f>+[2]Resumen!T33*1000</f>
        <v>76115.300008000006</v>
      </c>
      <c r="U33" s="7">
        <f>+[2]Resumen!U33*1000</f>
        <v>77999.821108000004</v>
      </c>
      <c r="V33" s="7">
        <f>+[2]Resumen!V33*1000</f>
        <v>79051.464043999993</v>
      </c>
      <c r="W33" s="7">
        <f>+[2]Resumen!W33*1000</f>
        <v>78345.093181999997</v>
      </c>
      <c r="X33" s="7">
        <f>+[2]Resumen!X33*1000</f>
        <v>90637.391938000001</v>
      </c>
      <c r="Y33" s="7">
        <f>+[2]Resumen!Y33*1000</f>
        <v>101354.03526</v>
      </c>
      <c r="Z33" s="7">
        <f>+[2]Resumen!Z33*1000</f>
        <v>91103.481925999993</v>
      </c>
      <c r="AA33" s="7">
        <f>+[2]Resumen!AA33*1000</f>
        <v>72337.461248000007</v>
      </c>
      <c r="AB33" s="7">
        <f>+[2]Resumen!AB33*1000</f>
        <v>46531.347876</v>
      </c>
      <c r="AC33" s="7">
        <f>+[2]Resumen!AC33*1000</f>
        <v>26096.775834</v>
      </c>
      <c r="AD33" s="7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+[2]Resumen!F34*1000</f>
        <v>75890.327986000004</v>
      </c>
      <c r="G34" s="7">
        <f>+[2]Resumen!G34*1000</f>
        <v>60500.405754000007</v>
      </c>
      <c r="H34" s="7">
        <f>+[2]Resumen!H34*1000</f>
        <v>49594.643486000001</v>
      </c>
      <c r="I34" s="7">
        <f>+[2]Resumen!I34*1000</f>
        <v>42951.488468000003</v>
      </c>
      <c r="J34" s="7">
        <f>+[2]Resumen!J34*1000</f>
        <v>38297.696776000004</v>
      </c>
      <c r="K34" s="7">
        <f>+[2]Resumen!K34*1000</f>
        <v>33331.038402000006</v>
      </c>
      <c r="L34" s="7">
        <f>+[2]Resumen!L34*1000</f>
        <v>39689.567952000005</v>
      </c>
      <c r="M34" s="7">
        <f>+[2]Resumen!M34*1000</f>
        <v>25489.401742000002</v>
      </c>
      <c r="N34" s="7">
        <f>+[2]Resumen!N34*1000</f>
        <v>35260.365206000002</v>
      </c>
      <c r="O34" s="7">
        <f>+[2]Resumen!O34*1000</f>
        <v>42582.401836000005</v>
      </c>
      <c r="P34" s="7">
        <f>+[2]Resumen!P34*1000</f>
        <v>46406.883646000002</v>
      </c>
      <c r="Q34" s="7">
        <f>+[2]Resumen!Q34*1000</f>
        <v>58538.524584000006</v>
      </c>
      <c r="R34" s="7">
        <f>+[2]Resumen!R34*1000</f>
        <v>60896.513432</v>
      </c>
      <c r="S34" s="7">
        <f>+[2]Resumen!S34*1000</f>
        <v>70486.615365999998</v>
      </c>
      <c r="T34" s="7">
        <f>+[2]Resumen!T34*1000</f>
        <v>77850.031298000002</v>
      </c>
      <c r="U34" s="7">
        <f>+[2]Resumen!U34*1000</f>
        <v>82550.813645999995</v>
      </c>
      <c r="V34" s="7">
        <f>+[2]Resumen!V34*1000</f>
        <v>83387.85598800001</v>
      </c>
      <c r="W34" s="7">
        <f>+[2]Resumen!W34*1000</f>
        <v>84136.294269999999</v>
      </c>
      <c r="X34" s="7">
        <f>+[2]Resumen!X34*1000</f>
        <v>92692.764934000006</v>
      </c>
      <c r="Y34" s="7">
        <f>+[2]Resumen!Y34*1000</f>
        <v>100693.179502</v>
      </c>
      <c r="Z34" s="7">
        <f>+[2]Resumen!Z34*1000</f>
        <v>102094.492792</v>
      </c>
      <c r="AA34" s="7">
        <f>+[2]Resumen!AA34*1000</f>
        <v>99786.459891999999</v>
      </c>
      <c r="AB34" s="7">
        <f>+[2]Resumen!AB34*1000</f>
        <v>77789.306658000001</v>
      </c>
      <c r="AC34" s="7">
        <f>+[2]Resumen!AC34*1000</f>
        <v>54397.444648000004</v>
      </c>
      <c r="AD34" s="7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+[2]Resumen!F35*1000</f>
        <v>56218.133936000006</v>
      </c>
      <c r="G35" s="7">
        <f>+[2]Resumen!G35*1000</f>
        <v>43783.614668000002</v>
      </c>
      <c r="H35" s="7">
        <f>+[2]Resumen!H35*1000</f>
        <v>36646.852036000004</v>
      </c>
      <c r="I35" s="7">
        <f>+[2]Resumen!I35*1000</f>
        <v>35788.740513999997</v>
      </c>
      <c r="J35" s="7">
        <f>+[2]Resumen!J35*1000</f>
        <v>44589.223495999999</v>
      </c>
      <c r="K35" s="7">
        <f>+[2]Resumen!K35*1000</f>
        <v>77636.133010000005</v>
      </c>
      <c r="L35" s="7">
        <f>+[2]Resumen!L35*1000</f>
        <v>102941.871092</v>
      </c>
      <c r="M35" s="7">
        <f>+[2]Resumen!M35*1000</f>
        <v>85285.827311999994</v>
      </c>
      <c r="N35" s="7">
        <f>+[2]Resumen!N35*1000</f>
        <v>94954.303758000009</v>
      </c>
      <c r="O35" s="7">
        <f>+[2]Resumen!O35*1000</f>
        <v>99913.612748000014</v>
      </c>
      <c r="P35" s="7">
        <f>+[2]Resumen!P35*1000</f>
        <v>114261.50441400001</v>
      </c>
      <c r="Q35" s="7">
        <f>+[2]Resumen!Q35*1000</f>
        <v>126174.98357</v>
      </c>
      <c r="R35" s="7">
        <f>+[2]Resumen!R35*1000</f>
        <v>127111.24969000001</v>
      </c>
      <c r="S35" s="7">
        <f>+[2]Resumen!S35*1000</f>
        <v>128469.73650199999</v>
      </c>
      <c r="T35" s="7">
        <f>+[2]Resumen!T35*1000</f>
        <v>136935.44653000002</v>
      </c>
      <c r="U35" s="7">
        <f>+[2]Resumen!U35*1000</f>
        <v>138822.400872</v>
      </c>
      <c r="V35" s="7">
        <f>+[2]Resumen!V35*1000</f>
        <v>133469.303942</v>
      </c>
      <c r="W35" s="7">
        <f>+[2]Resumen!W35*1000</f>
        <v>123662.508684</v>
      </c>
      <c r="X35" s="7">
        <f>+[2]Resumen!X35*1000</f>
        <v>133714.77053000001</v>
      </c>
      <c r="Y35" s="7">
        <f>+[2]Resumen!Y35*1000</f>
        <v>140841.31780200001</v>
      </c>
      <c r="Z35" s="7">
        <f>+[2]Resumen!Z35*1000</f>
        <v>127143.58414200001</v>
      </c>
      <c r="AA35" s="7">
        <f>+[2]Resumen!AA35*1000</f>
        <v>104019.22268399999</v>
      </c>
      <c r="AB35" s="7">
        <f>+[2]Resumen!AB35*1000</f>
        <v>72819.782308000009</v>
      </c>
      <c r="AC35" s="7">
        <f>+[2]Resumen!AC35*1000</f>
        <v>55859.560612000001</v>
      </c>
      <c r="AD35" s="70">
        <f t="shared" si="4"/>
        <v>63760822.739264019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3</v>
      </c>
      <c r="F36" s="7">
        <f>+[2]Resumen!F36*1000</f>
        <v>56589.682186000005</v>
      </c>
      <c r="G36" s="7">
        <f>+[2]Resumen!G36*1000</f>
        <v>44060.961692000004</v>
      </c>
      <c r="H36" s="7">
        <f>+[2]Resumen!H36*1000</f>
        <v>36186.188957999999</v>
      </c>
      <c r="I36" s="7">
        <f>+[2]Resumen!I36*1000</f>
        <v>31529.091462000004</v>
      </c>
      <c r="J36" s="7">
        <f>+[2]Resumen!J36*1000</f>
        <v>36507.525876</v>
      </c>
      <c r="K36" s="7">
        <f>+[2]Resumen!K36*1000</f>
        <v>44843.841344</v>
      </c>
      <c r="L36" s="7">
        <f>+[2]Resumen!L36*1000</f>
        <v>63850.142895999998</v>
      </c>
      <c r="M36" s="7">
        <f>+[2]Resumen!M36*1000</f>
        <v>58569.901345999999</v>
      </c>
      <c r="N36" s="7">
        <f>+[2]Resumen!N36*1000</f>
        <v>75995.581663999998</v>
      </c>
      <c r="O36" s="7">
        <f>+[2]Resumen!O36*1000</f>
        <v>83438.861848</v>
      </c>
      <c r="P36" s="7">
        <f>+[2]Resumen!P36*1000</f>
        <v>91169.676040000006</v>
      </c>
      <c r="Q36" s="7">
        <f>+[2]Resumen!Q36*1000</f>
        <v>96180.068923999992</v>
      </c>
      <c r="R36" s="7">
        <f>+[2]Resumen!R36*1000</f>
        <v>97704.257387999998</v>
      </c>
      <c r="S36" s="7">
        <f>+[2]Resumen!S36*1000</f>
        <v>100045.56114800001</v>
      </c>
      <c r="T36" s="7">
        <f>+[2]Resumen!T36*1000</f>
        <v>101682.005068</v>
      </c>
      <c r="U36" s="7">
        <f>+[2]Resumen!U36*1000</f>
        <v>102785.47676800001</v>
      </c>
      <c r="V36" s="7">
        <f>+[2]Resumen!V36*1000</f>
        <v>104076.64151999999</v>
      </c>
      <c r="W36" s="7">
        <f>+[2]Resumen!W36*1000</f>
        <v>104603.84631800001</v>
      </c>
      <c r="X36" s="7">
        <f>+[2]Resumen!X36*1000</f>
        <v>111674.4574</v>
      </c>
      <c r="Y36" s="7">
        <f>+[2]Resumen!Y36*1000</f>
        <v>113111.517356</v>
      </c>
      <c r="Z36" s="7">
        <f>+[2]Resumen!Z36*1000</f>
        <v>98630.081140000009</v>
      </c>
      <c r="AA36" s="7">
        <f>+[2]Resumen!AA36*1000</f>
        <v>78875.923014</v>
      </c>
      <c r="AB36" s="7">
        <f>+[2]Resumen!AB36*1000</f>
        <v>58801.364377999998</v>
      </c>
      <c r="AC36" s="7">
        <f>+[2]Resumen!AC36*1000</f>
        <v>39706.848936000002</v>
      </c>
      <c r="AD36" s="7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5</v>
      </c>
      <c r="F37" s="7">
        <f>+[2]Resumen!F37*1000</f>
        <v>44572.098579999998</v>
      </c>
      <c r="G37" s="7">
        <f>+[2]Resumen!G37*1000</f>
        <v>33868.408902000003</v>
      </c>
      <c r="H37" s="7">
        <f>+[2]Resumen!H37*1000</f>
        <v>24926.159424000001</v>
      </c>
      <c r="I37" s="7">
        <f>+[2]Resumen!I37*1000</f>
        <v>21514.590978</v>
      </c>
      <c r="J37" s="7">
        <f>+[2]Resumen!J37*1000</f>
        <v>22474.671656000002</v>
      </c>
      <c r="K37" s="7">
        <f>+[2]Resumen!K37*1000</f>
        <v>28237.475462000002</v>
      </c>
      <c r="L37" s="7">
        <f>+[2]Resumen!L37*1000</f>
        <v>32506.332526000002</v>
      </c>
      <c r="M37" s="7">
        <f>+[2]Resumen!M37*1000</f>
        <v>19308.278944000002</v>
      </c>
      <c r="N37" s="7">
        <f>+[2]Resumen!N37*1000</f>
        <v>29198.421608000001</v>
      </c>
      <c r="O37" s="7">
        <f>+[2]Resumen!O37*1000</f>
        <v>39338.053158000002</v>
      </c>
      <c r="P37" s="7">
        <f>+[2]Resumen!P37*1000</f>
        <v>49244.377236</v>
      </c>
      <c r="Q37" s="7">
        <f>+[2]Resumen!Q37*1000</f>
        <v>61848.379258000008</v>
      </c>
      <c r="R37" s="7">
        <f>+[2]Resumen!R37*1000</f>
        <v>71970.921361999994</v>
      </c>
      <c r="S37" s="7">
        <f>+[2]Resumen!S37*1000</f>
        <v>75947.966736000002</v>
      </c>
      <c r="T37" s="7">
        <f>+[2]Resumen!T37*1000</f>
        <v>74221.648929999996</v>
      </c>
      <c r="U37" s="7">
        <f>+[2]Resumen!U37*1000</f>
        <v>75825.949936000005</v>
      </c>
      <c r="V37" s="7">
        <f>+[2]Resumen!V37*1000</f>
        <v>76034.662509999995</v>
      </c>
      <c r="W37" s="7">
        <f>+[2]Resumen!W37*1000</f>
        <v>78749.493746000007</v>
      </c>
      <c r="X37" s="7">
        <f>+[2]Resumen!X37*1000</f>
        <v>97259.463587999999</v>
      </c>
      <c r="Y37" s="7">
        <f>+[2]Resumen!Y37*1000</f>
        <v>100963.61697</v>
      </c>
      <c r="Z37" s="7">
        <f>+[2]Resumen!Z37*1000</f>
        <v>89247.606398000004</v>
      </c>
      <c r="AA37" s="7">
        <f>+[2]Resumen!AA37*1000</f>
        <v>72141.163174000001</v>
      </c>
      <c r="AB37" s="7">
        <f>+[2]Resumen!AB37*1000</f>
        <v>46685.869384000005</v>
      </c>
      <c r="AC37" s="7">
        <f>+[2]Resumen!AC37*1000</f>
        <v>27021.627708</v>
      </c>
      <c r="AD37" s="7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+[2]Resumen!F38*1000</f>
        <v>36855.174440000003</v>
      </c>
      <c r="G38" s="7">
        <f>+[2]Resumen!G38*1000</f>
        <v>24834.185713999999</v>
      </c>
      <c r="H38" s="7">
        <f>+[2]Resumen!H38*1000</f>
        <v>14690.262294</v>
      </c>
      <c r="I38" s="7">
        <f>+[2]Resumen!I38*1000</f>
        <v>13723.421034000001</v>
      </c>
      <c r="J38" s="7">
        <f>+[2]Resumen!J38*1000</f>
        <v>13213.397904000001</v>
      </c>
      <c r="K38" s="7">
        <f>+[2]Resumen!K38*1000</f>
        <v>21758.603296000001</v>
      </c>
      <c r="L38" s="7">
        <f>+[2]Resumen!L38*1000</f>
        <v>30681.003762000004</v>
      </c>
      <c r="M38" s="7">
        <f>+[2]Resumen!M38*1000</f>
        <v>13630.986214000002</v>
      </c>
      <c r="N38" s="7">
        <f>+[2]Resumen!N38*1000</f>
        <v>27746.677071999999</v>
      </c>
      <c r="O38" s="7">
        <f>+[2]Resumen!O38*1000</f>
        <v>39526.122192000003</v>
      </c>
      <c r="P38" s="7">
        <f>+[2]Resumen!P38*1000</f>
        <v>52445.714991999994</v>
      </c>
      <c r="Q38" s="7">
        <f>+[2]Resumen!Q38*1000</f>
        <v>68784.19015200001</v>
      </c>
      <c r="R38" s="7">
        <f>+[2]Resumen!R38*1000</f>
        <v>77832.707750000001</v>
      </c>
      <c r="S38" s="7">
        <f>+[2]Resumen!S38*1000</f>
        <v>88023.742424000011</v>
      </c>
      <c r="T38" s="7">
        <f>+[2]Resumen!T38*1000</f>
        <v>84810.742131999999</v>
      </c>
      <c r="U38" s="7">
        <f>+[2]Resumen!U38*1000</f>
        <v>78047.890052000002</v>
      </c>
      <c r="V38" s="7">
        <f>+[2]Resumen!V38*1000</f>
        <v>80729.273077999998</v>
      </c>
      <c r="W38" s="7">
        <f>+[2]Resumen!W38*1000</f>
        <v>77429.577011999994</v>
      </c>
      <c r="X38" s="7">
        <f>+[2]Resumen!X38*1000</f>
        <v>94868.629520000002</v>
      </c>
      <c r="Y38" s="7">
        <f>+[2]Resumen!Y38*1000</f>
        <v>115227.23901</v>
      </c>
      <c r="Z38" s="7">
        <f>+[2]Resumen!Z38*1000</f>
        <v>103476.31177</v>
      </c>
      <c r="AA38" s="7">
        <f>+[2]Resumen!AA38*1000</f>
        <v>81406.026490000004</v>
      </c>
      <c r="AB38" s="7">
        <f>+[2]Resumen!AB38*1000</f>
        <v>53916.04580800001</v>
      </c>
      <c r="AC38" s="7">
        <f>+[2]Resumen!AC38*1000</f>
        <v>26887.402134</v>
      </c>
      <c r="AD38" s="7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22</v>
      </c>
      <c r="F39" s="7">
        <f>+[2]Resumen!F39*1000</f>
        <v>78888.975974000001</v>
      </c>
      <c r="G39" s="7">
        <f>+[2]Resumen!G39*1000</f>
        <v>68171.218894000005</v>
      </c>
      <c r="H39" s="7">
        <f>+[2]Resumen!H39*1000</f>
        <v>61961.904540000003</v>
      </c>
      <c r="I39" s="7">
        <f>+[2]Resumen!I39*1000</f>
        <v>60964.842840000005</v>
      </c>
      <c r="J39" s="7">
        <f>+[2]Resumen!J39*1000</f>
        <v>69244.668786000009</v>
      </c>
      <c r="K39" s="7">
        <f>+[2]Resumen!K39*1000</f>
        <v>102414.11296200001</v>
      </c>
      <c r="L39" s="7">
        <f>+[2]Resumen!L39*1000</f>
        <v>124226.708692</v>
      </c>
      <c r="M39" s="7">
        <f>+[2]Resumen!M39*1000</f>
        <v>103001.24787200001</v>
      </c>
      <c r="N39" s="7">
        <f>+[2]Resumen!N39*1000</f>
        <v>112772.473814</v>
      </c>
      <c r="O39" s="7">
        <f>+[2]Resumen!O39*1000</f>
        <v>117756.207446</v>
      </c>
      <c r="P39" s="7">
        <f>+[2]Resumen!P39*1000</f>
        <v>132802.50341200002</v>
      </c>
      <c r="Q39" s="7">
        <f>+[2]Resumen!Q39*1000</f>
        <v>144621.88775200001</v>
      </c>
      <c r="R39" s="7">
        <f>+[2]Resumen!R39*1000</f>
        <v>144673.84420800002</v>
      </c>
      <c r="S39" s="7">
        <f>+[2]Resumen!S39*1000</f>
        <v>146654.54576000001</v>
      </c>
      <c r="T39" s="7">
        <f>+[2]Resumen!T39*1000</f>
        <v>153009.30130200001</v>
      </c>
      <c r="U39" s="7">
        <f>+[2]Resumen!U39*1000</f>
        <v>156349.46863799999</v>
      </c>
      <c r="V39" s="7">
        <f>+[2]Resumen!V39*1000</f>
        <v>152138.03041000001</v>
      </c>
      <c r="W39" s="7">
        <f>+[2]Resumen!W39*1000</f>
        <v>144389.913952</v>
      </c>
      <c r="X39" s="7">
        <f>+[2]Resumen!X39*1000</f>
        <v>157826.58131800001</v>
      </c>
      <c r="Y39" s="7">
        <f>+[2]Resumen!Y39*1000</f>
        <v>157034.86963600002</v>
      </c>
      <c r="Z39" s="7">
        <f>+[2]Resumen!Z39*1000</f>
        <v>143220.297796</v>
      </c>
      <c r="AA39" s="7">
        <f>+[2]Resumen!AA39*1000</f>
        <v>122629.84219800001</v>
      </c>
      <c r="AB39" s="7">
        <f>+[2]Resumen!AB39*1000</f>
        <v>91068.238934000008</v>
      </c>
      <c r="AC39" s="7">
        <f>+[2]Resumen!AC39*1000</f>
        <v>74480.636681999997</v>
      </c>
      <c r="AD39" s="70">
        <f t="shared" ref="AD39" si="5">SUM(F39:AC39)*E39+SUM(F40:AC40)*E40+SUM(F41:AC41)*E41+SUM(F42:AC42)*E42</f>
        <v>78875476.843963996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+[2]Resumen!F40*1000</f>
        <v>68795.39867200001</v>
      </c>
      <c r="G40" s="7">
        <f>+[2]Resumen!G40*1000</f>
        <v>58584.266695999999</v>
      </c>
      <c r="H40" s="7">
        <f>+[2]Resumen!H40*1000</f>
        <v>51629.656702</v>
      </c>
      <c r="I40" s="7">
        <f>+[2]Resumen!I40*1000</f>
        <v>48773.810934000001</v>
      </c>
      <c r="J40" s="7">
        <f>+[2]Resumen!J40*1000</f>
        <v>54309.237852000006</v>
      </c>
      <c r="K40" s="7">
        <f>+[2]Resumen!K40*1000</f>
        <v>68558.530012000003</v>
      </c>
      <c r="L40" s="7">
        <f>+[2]Resumen!L40*1000</f>
        <v>83873.567980000007</v>
      </c>
      <c r="M40" s="7">
        <f>+[2]Resumen!M40*1000</f>
        <v>75723.335225999996</v>
      </c>
      <c r="N40" s="7">
        <f>+[2]Resumen!N40*1000</f>
        <v>89566.822209999998</v>
      </c>
      <c r="O40" s="7">
        <f>+[2]Resumen!O40*1000</f>
        <v>98529.793262000007</v>
      </c>
      <c r="P40" s="7">
        <f>+[2]Resumen!P40*1000</f>
        <v>111973.029672</v>
      </c>
      <c r="Q40" s="7">
        <f>+[2]Resumen!Q40*1000</f>
        <v>121635.39109</v>
      </c>
      <c r="R40" s="7">
        <f>+[2]Resumen!R40*1000</f>
        <v>121889.88834</v>
      </c>
      <c r="S40" s="7">
        <f>+[2]Resumen!S40*1000</f>
        <v>124440.97586800001</v>
      </c>
      <c r="T40" s="7">
        <f>+[2]Resumen!T40*1000</f>
        <v>124428.398206</v>
      </c>
      <c r="U40" s="7">
        <f>+[2]Resumen!U40*1000</f>
        <v>126074.92979400001</v>
      </c>
      <c r="V40" s="7">
        <f>+[2]Resumen!V40*1000</f>
        <v>127943.65965</v>
      </c>
      <c r="W40" s="7">
        <f>+[2]Resumen!W40*1000</f>
        <v>127591.946224</v>
      </c>
      <c r="X40" s="7">
        <f>+[2]Resumen!X40*1000</f>
        <v>140010.87288000001</v>
      </c>
      <c r="Y40" s="7">
        <f>+[2]Resumen!Y40*1000</f>
        <v>136196.69865199999</v>
      </c>
      <c r="Z40" s="7">
        <f>+[2]Resumen!Z40*1000</f>
        <v>122687.65120400001</v>
      </c>
      <c r="AA40" s="7">
        <f>+[2]Resumen!AA40*1000</f>
        <v>103845.965922</v>
      </c>
      <c r="AB40" s="7">
        <f>+[2]Resumen!AB40*1000</f>
        <v>86343.847754000002</v>
      </c>
      <c r="AC40" s="7">
        <f>+[2]Resumen!AC40*1000</f>
        <v>69406.028909999994</v>
      </c>
      <c r="AD40" s="7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+[2]Resumen!F41*1000</f>
        <v>76375.522116000007</v>
      </c>
      <c r="G41" s="7">
        <f>+[2]Resumen!G41*1000</f>
        <v>61890.64531</v>
      </c>
      <c r="H41" s="7">
        <f>+[2]Resumen!H41*1000</f>
        <v>53090.204891999994</v>
      </c>
      <c r="I41" s="7">
        <f>+[2]Resumen!I41*1000</f>
        <v>47324.066906000007</v>
      </c>
      <c r="J41" s="7">
        <f>+[2]Resumen!J41*1000</f>
        <v>47402.611674000007</v>
      </c>
      <c r="K41" s="7">
        <f>+[2]Resumen!K41*1000</f>
        <v>49608.874049999999</v>
      </c>
      <c r="L41" s="7">
        <f>+[2]Resumen!L41*1000</f>
        <v>55052.412386000004</v>
      </c>
      <c r="M41" s="7">
        <f>+[2]Resumen!M41*1000</f>
        <v>39682.445576000006</v>
      </c>
      <c r="N41" s="7">
        <f>+[2]Resumen!N41*1000</f>
        <v>49385.945100000004</v>
      </c>
      <c r="O41" s="7">
        <f>+[2]Resumen!O41*1000</f>
        <v>56410.906292</v>
      </c>
      <c r="P41" s="7">
        <f>+[2]Resumen!P41*1000</f>
        <v>68474.104317999998</v>
      </c>
      <c r="Q41" s="7">
        <f>+[2]Resumen!Q41*1000</f>
        <v>82440.076306000003</v>
      </c>
      <c r="R41" s="7">
        <f>+[2]Resumen!R41*1000</f>
        <v>88655.186458000011</v>
      </c>
      <c r="S41" s="7">
        <f>+[2]Resumen!S41*1000</f>
        <v>95705.061778000003</v>
      </c>
      <c r="T41" s="7">
        <f>+[2]Resumen!T41*1000</f>
        <v>98621.887569999992</v>
      </c>
      <c r="U41" s="7">
        <f>+[2]Resumen!U41*1000</f>
        <v>101652.01873000001</v>
      </c>
      <c r="V41" s="7">
        <f>+[2]Resumen!V41*1000</f>
        <v>103622.84543399999</v>
      </c>
      <c r="W41" s="7">
        <f>+[2]Resumen!W41*1000</f>
        <v>108107.927618</v>
      </c>
      <c r="X41" s="7">
        <f>+[2]Resumen!X41*1000</f>
        <v>126607.54022</v>
      </c>
      <c r="Y41" s="7">
        <f>+[2]Resumen!Y41*1000</f>
        <v>124687.56330800001</v>
      </c>
      <c r="Z41" s="7">
        <f>+[2]Resumen!Z41*1000</f>
        <v>113045.63537800001</v>
      </c>
      <c r="AA41" s="7">
        <f>+[2]Resumen!AA41*1000</f>
        <v>94743.094096000001</v>
      </c>
      <c r="AB41" s="7">
        <f>+[2]Resumen!AB41*1000</f>
        <v>71126.806301999997</v>
      </c>
      <c r="AC41" s="7">
        <f>+[2]Resumen!AC41*1000</f>
        <v>50679.344462000001</v>
      </c>
      <c r="AD41" s="7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+[2]Resumen!F42*1000</f>
        <v>0</v>
      </c>
      <c r="G42" s="7">
        <f>+[2]Resumen!G42*1000</f>
        <v>0</v>
      </c>
      <c r="H42" s="7">
        <f>+[2]Resumen!H42*1000</f>
        <v>0</v>
      </c>
      <c r="I42" s="7">
        <f>+[2]Resumen!I42*1000</f>
        <v>0</v>
      </c>
      <c r="J42" s="7">
        <f>+[2]Resumen!J42*1000</f>
        <v>0</v>
      </c>
      <c r="K42" s="7">
        <f>+[2]Resumen!K42*1000</f>
        <v>0</v>
      </c>
      <c r="L42" s="7">
        <f>+[2]Resumen!L42*1000</f>
        <v>0</v>
      </c>
      <c r="M42" s="7">
        <f>+[2]Resumen!M42*1000</f>
        <v>0</v>
      </c>
      <c r="N42" s="7">
        <f>+[2]Resumen!N42*1000</f>
        <v>0</v>
      </c>
      <c r="O42" s="7">
        <f>+[2]Resumen!O42*1000</f>
        <v>0</v>
      </c>
      <c r="P42" s="7">
        <f>+[2]Resumen!P42*1000</f>
        <v>0</v>
      </c>
      <c r="Q42" s="7">
        <f>+[2]Resumen!Q42*1000</f>
        <v>0</v>
      </c>
      <c r="R42" s="7">
        <f>+[2]Resumen!R42*1000</f>
        <v>0</v>
      </c>
      <c r="S42" s="7">
        <f>+[2]Resumen!S42*1000</f>
        <v>0</v>
      </c>
      <c r="T42" s="7">
        <f>+[2]Resumen!T42*1000</f>
        <v>0</v>
      </c>
      <c r="U42" s="7">
        <f>+[2]Resumen!U42*1000</f>
        <v>0</v>
      </c>
      <c r="V42" s="7">
        <f>+[2]Resumen!V42*1000</f>
        <v>0</v>
      </c>
      <c r="W42" s="7">
        <f>+[2]Resumen!W42*1000</f>
        <v>0</v>
      </c>
      <c r="X42" s="7">
        <f>+[2]Resumen!X42*1000</f>
        <v>0</v>
      </c>
      <c r="Y42" s="7">
        <f>+[2]Resumen!Y42*1000</f>
        <v>0</v>
      </c>
      <c r="Z42" s="7">
        <f>+[2]Resumen!Z42*1000</f>
        <v>0</v>
      </c>
      <c r="AA42" s="7">
        <f>+[2]Resumen!AA42*1000</f>
        <v>0</v>
      </c>
      <c r="AB42" s="7">
        <f>+[2]Resumen!AB42*1000</f>
        <v>0</v>
      </c>
      <c r="AC42" s="7">
        <f>+[2]Resumen!AC42*1000</f>
        <v>0</v>
      </c>
      <c r="AD42" s="7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20</v>
      </c>
      <c r="F43" s="7">
        <f>+[2]Resumen!F43*1000</f>
        <v>63995.087504000003</v>
      </c>
      <c r="G43" s="7">
        <f>+[2]Resumen!G43*1000</f>
        <v>53191.379520000002</v>
      </c>
      <c r="H43" s="7">
        <f>+[2]Resumen!H43*1000</f>
        <v>47597.420008000008</v>
      </c>
      <c r="I43" s="7">
        <f>+[2]Resumen!I43*1000</f>
        <v>47561.559838000008</v>
      </c>
      <c r="J43" s="7">
        <f>+[2]Resumen!J43*1000</f>
        <v>54454.657758000008</v>
      </c>
      <c r="K43" s="7">
        <f>+[2]Resumen!K43*1000</f>
        <v>82988.797206000003</v>
      </c>
      <c r="L43" s="7">
        <f>+[2]Resumen!L43*1000</f>
        <v>108480.68894199999</v>
      </c>
      <c r="M43" s="7">
        <f>+[2]Resumen!M43*1000</f>
        <v>95478.153094000008</v>
      </c>
      <c r="N43" s="7">
        <f>+[2]Resumen!N43*1000</f>
        <v>108679.072652</v>
      </c>
      <c r="O43" s="7">
        <f>+[2]Resumen!O43*1000</f>
        <v>115848.49606</v>
      </c>
      <c r="P43" s="7">
        <f>+[2]Resumen!P43*1000</f>
        <v>129378.99576399999</v>
      </c>
      <c r="Q43" s="7">
        <f>+[2]Resumen!Q43*1000</f>
        <v>141586.620536</v>
      </c>
      <c r="R43" s="7">
        <f>+[2]Resumen!R43*1000</f>
        <v>144819.51949800001</v>
      </c>
      <c r="S43" s="7">
        <f>+[2]Resumen!S43*1000</f>
        <v>145560.700618</v>
      </c>
      <c r="T43" s="7">
        <f>+[2]Resumen!T43*1000</f>
        <v>150486.86644000001</v>
      </c>
      <c r="U43" s="7">
        <f>+[2]Resumen!U43*1000</f>
        <v>151651.59483000002</v>
      </c>
      <c r="V43" s="7">
        <f>+[2]Resumen!V43*1000</f>
        <v>143707.20158000002</v>
      </c>
      <c r="W43" s="7">
        <f>+[2]Resumen!W43*1000</f>
        <v>131051.11541</v>
      </c>
      <c r="X43" s="7">
        <f>+[2]Resumen!X43*1000</f>
        <v>137018.12710000001</v>
      </c>
      <c r="Y43" s="7">
        <f>+[2]Resumen!Y43*1000</f>
        <v>134498.671718</v>
      </c>
      <c r="Z43" s="7">
        <f>+[2]Resumen!Z43*1000</f>
        <v>121375.02000800001</v>
      </c>
      <c r="AA43" s="7">
        <f>+[2]Resumen!AA43*1000</f>
        <v>104491.81077600001</v>
      </c>
      <c r="AB43" s="7">
        <f>+[2]Resumen!AB43*1000</f>
        <v>77233.910304000005</v>
      </c>
      <c r="AC43" s="7">
        <f>+[2]Resumen!AC43*1000</f>
        <v>63626.029247999999</v>
      </c>
      <c r="AD43" s="70">
        <f t="shared" ref="AD43" si="6">SUM(F43:AC43)*E43+SUM(F44:AC44)*E44+SUM(F45:AC45)*E45+SUM(F46:AC46)*E46</f>
        <v>75208991.09094201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5</v>
      </c>
      <c r="F44" s="7">
        <f>+[2]Resumen!F44*1000</f>
        <v>77046.543575999996</v>
      </c>
      <c r="G44" s="7">
        <f>+[2]Resumen!G44*1000</f>
        <v>61990.706180000001</v>
      </c>
      <c r="H44" s="7">
        <f>+[2]Resumen!H44*1000</f>
        <v>54546.042666000001</v>
      </c>
      <c r="I44" s="7">
        <f>+[2]Resumen!I44*1000</f>
        <v>50448.739804000004</v>
      </c>
      <c r="J44" s="7">
        <f>+[2]Resumen!J44*1000</f>
        <v>54622.239320000008</v>
      </c>
      <c r="K44" s="7">
        <f>+[2]Resumen!K44*1000</f>
        <v>65792.366591999991</v>
      </c>
      <c r="L44" s="7">
        <f>+[2]Resumen!L44*1000</f>
        <v>83587.488241999992</v>
      </c>
      <c r="M44" s="7">
        <f>+[2]Resumen!M44*1000</f>
        <v>76771.537572000001</v>
      </c>
      <c r="N44" s="7">
        <f>+[2]Resumen!N44*1000</f>
        <v>94506.303469999999</v>
      </c>
      <c r="O44" s="7">
        <f>+[2]Resumen!O44*1000</f>
        <v>110004.46595400001</v>
      </c>
      <c r="P44" s="7">
        <f>+[2]Resumen!P44*1000</f>
        <v>125491.59726800001</v>
      </c>
      <c r="Q44" s="7">
        <f>+[2]Resumen!Q44*1000</f>
        <v>133151.15223000001</v>
      </c>
      <c r="R44" s="7">
        <f>+[2]Resumen!R44*1000</f>
        <v>133092.740234</v>
      </c>
      <c r="S44" s="7">
        <f>+[2]Resumen!S44*1000</f>
        <v>132604.81491400002</v>
      </c>
      <c r="T44" s="7">
        <f>+[2]Resumen!T44*1000</f>
        <v>130540.10621399998</v>
      </c>
      <c r="U44" s="7">
        <f>+[2]Resumen!U44*1000</f>
        <v>132425.45731200001</v>
      </c>
      <c r="V44" s="7">
        <f>+[2]Resumen!V44*1000</f>
        <v>133458.59909599999</v>
      </c>
      <c r="W44" s="7">
        <f>+[2]Resumen!W44*1000</f>
        <v>132857.261998</v>
      </c>
      <c r="X44" s="7">
        <f>+[2]Resumen!X44*1000</f>
        <v>140417.20301200001</v>
      </c>
      <c r="Y44" s="7">
        <f>+[2]Resumen!Y44*1000</f>
        <v>134176.84531400001</v>
      </c>
      <c r="Z44" s="7">
        <f>+[2]Resumen!Z44*1000</f>
        <v>120952.37367600002</v>
      </c>
      <c r="AA44" s="7">
        <f>+[2]Resumen!AA44*1000</f>
        <v>104276.919328</v>
      </c>
      <c r="AB44" s="7">
        <f>+[2]Resumen!AB44*1000</f>
        <v>86638.709864000004</v>
      </c>
      <c r="AC44" s="7">
        <f>+[2]Resumen!AC44*1000</f>
        <v>68654.767216000007</v>
      </c>
      <c r="AD44" s="7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+[2]Resumen!F45*1000</f>
        <v>76652.45768800001</v>
      </c>
      <c r="G45" s="7">
        <f>+[2]Resumen!G45*1000</f>
        <v>64267.419070000004</v>
      </c>
      <c r="H45" s="7">
        <f>+[2]Resumen!H45*1000</f>
        <v>56973.907414000001</v>
      </c>
      <c r="I45" s="7">
        <f>+[2]Resumen!I45*1000</f>
        <v>51851.862064000001</v>
      </c>
      <c r="J45" s="7">
        <f>+[2]Resumen!J45*1000</f>
        <v>51423.533438000006</v>
      </c>
      <c r="K45" s="7">
        <f>+[2]Resumen!K45*1000</f>
        <v>54927.955249999999</v>
      </c>
      <c r="L45" s="7">
        <f>+[2]Resumen!L45*1000</f>
        <v>63113.672191999998</v>
      </c>
      <c r="M45" s="7">
        <f>+[2]Resumen!M45*1000</f>
        <v>51145.420262</v>
      </c>
      <c r="N45" s="7">
        <f>+[2]Resumen!N45*1000</f>
        <v>64706.807241999995</v>
      </c>
      <c r="O45" s="7">
        <f>+[2]Resumen!O45*1000</f>
        <v>75155.396680000005</v>
      </c>
      <c r="P45" s="7">
        <f>+[2]Resumen!P45*1000</f>
        <v>85923.315434000004</v>
      </c>
      <c r="Q45" s="7">
        <f>+[2]Resumen!Q45*1000</f>
        <v>100856.12158799999</v>
      </c>
      <c r="R45" s="7">
        <f>+[2]Resumen!R45*1000</f>
        <v>108788.65367</v>
      </c>
      <c r="S45" s="7">
        <f>+[2]Resumen!S45*1000</f>
        <v>108846.136352</v>
      </c>
      <c r="T45" s="7">
        <f>+[2]Resumen!T45*1000</f>
        <v>107543.69214000001</v>
      </c>
      <c r="U45" s="7">
        <f>+[2]Resumen!U45*1000</f>
        <v>107541.017702</v>
      </c>
      <c r="V45" s="7">
        <f>+[2]Resumen!V45*1000</f>
        <v>104451.53104400002</v>
      </c>
      <c r="W45" s="7">
        <f>+[2]Resumen!W45*1000</f>
        <v>102101.785424</v>
      </c>
      <c r="X45" s="7">
        <f>+[2]Resumen!X45*1000</f>
        <v>117940.77204400001</v>
      </c>
      <c r="Y45" s="7">
        <f>+[2]Resumen!Y45*1000</f>
        <v>117230.08803000001</v>
      </c>
      <c r="Z45" s="7">
        <f>+[2]Resumen!Z45*1000</f>
        <v>106093.74238600001</v>
      </c>
      <c r="AA45" s="7">
        <f>+[2]Resumen!AA45*1000</f>
        <v>90676.862954000011</v>
      </c>
      <c r="AB45" s="7">
        <f>+[2]Resumen!AB45*1000</f>
        <v>68521.605742</v>
      </c>
      <c r="AC45" s="7">
        <f>+[2]Resumen!AC45*1000</f>
        <v>49041.070290000003</v>
      </c>
      <c r="AD45" s="7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+[2]Resumen!F46*1000</f>
        <v>67836.644572000005</v>
      </c>
      <c r="G46" s="7">
        <f>+[2]Resumen!G46*1000</f>
        <v>57997.514861999996</v>
      </c>
      <c r="H46" s="7">
        <f>+[2]Resumen!H46*1000</f>
        <v>51135.446098</v>
      </c>
      <c r="I46" s="7">
        <f>+[2]Resumen!I46*1000</f>
        <v>48711.121256000006</v>
      </c>
      <c r="J46" s="7">
        <f>+[2]Resumen!J46*1000</f>
        <v>50436.765132</v>
      </c>
      <c r="K46" s="7">
        <f>+[2]Resumen!K46*1000</f>
        <v>55680.756342000001</v>
      </c>
      <c r="L46" s="7">
        <f>+[2]Resumen!L46*1000</f>
        <v>61896.093502000003</v>
      </c>
      <c r="M46" s="7">
        <f>+[2]Resumen!M46*1000</f>
        <v>49065.154420000006</v>
      </c>
      <c r="N46" s="7">
        <f>+[2]Resumen!N46*1000</f>
        <v>63641.976559999996</v>
      </c>
      <c r="O46" s="7">
        <f>+[2]Resumen!O46*1000</f>
        <v>70020.085550000003</v>
      </c>
      <c r="P46" s="7">
        <f>+[2]Resumen!P46*1000</f>
        <v>80023.62580400001</v>
      </c>
      <c r="Q46" s="7">
        <f>+[2]Resumen!Q46*1000</f>
        <v>98182.215637999994</v>
      </c>
      <c r="R46" s="7">
        <f>+[2]Resumen!R46*1000</f>
        <v>112307.682028</v>
      </c>
      <c r="S46" s="7">
        <f>+[2]Resumen!S46*1000</f>
        <v>118249.16241200002</v>
      </c>
      <c r="T46" s="7">
        <f>+[2]Resumen!T46*1000</f>
        <v>113994.44369000001</v>
      </c>
      <c r="U46" s="7">
        <f>+[2]Resumen!U46*1000</f>
        <v>116928.37311600002</v>
      </c>
      <c r="V46" s="7">
        <f>+[2]Resumen!V46*1000</f>
        <v>120282.019052</v>
      </c>
      <c r="W46" s="7">
        <f>+[2]Resumen!W46*1000</f>
        <v>117829.43880800001</v>
      </c>
      <c r="X46" s="7">
        <f>+[2]Resumen!X46*1000</f>
        <v>123315.82490400001</v>
      </c>
      <c r="Y46" s="7">
        <f>+[2]Resumen!Y46*1000</f>
        <v>119938.236718</v>
      </c>
      <c r="Z46" s="7">
        <f>+[2]Resumen!Z46*1000</f>
        <v>103907.31483399999</v>
      </c>
      <c r="AA46" s="7">
        <f>+[2]Resumen!AA46*1000</f>
        <v>86522.793904000006</v>
      </c>
      <c r="AB46" s="7">
        <f>+[2]Resumen!AB46*1000</f>
        <v>62928.227938000004</v>
      </c>
      <c r="AC46" s="7">
        <f>+[2]Resumen!AC46*1000</f>
        <v>43781.209802000005</v>
      </c>
      <c r="AD46" s="7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+[2]Resumen!F47*1000</f>
        <v>73985.879840000009</v>
      </c>
      <c r="G47" s="7">
        <f>+[2]Resumen!G47*1000</f>
        <v>61973.176906000008</v>
      </c>
      <c r="H47" s="7">
        <f>+[2]Resumen!H47*1000</f>
        <v>56961.478726000001</v>
      </c>
      <c r="I47" s="7">
        <f>+[2]Resumen!I47*1000</f>
        <v>57094.626012000001</v>
      </c>
      <c r="J47" s="7">
        <f>+[2]Resumen!J47*1000</f>
        <v>63255.176209999998</v>
      </c>
      <c r="K47" s="7">
        <f>+[2]Resumen!K47*1000</f>
        <v>89855.760829999999</v>
      </c>
      <c r="L47" s="7">
        <f>+[2]Resumen!L47*1000</f>
        <v>116516.545134</v>
      </c>
      <c r="M47" s="7">
        <f>+[2]Resumen!M47*1000</f>
        <v>106829.00711000001</v>
      </c>
      <c r="N47" s="7">
        <f>+[2]Resumen!N47*1000</f>
        <v>119542.77459400002</v>
      </c>
      <c r="O47" s="7">
        <f>+[2]Resumen!O47*1000</f>
        <v>127296.779072</v>
      </c>
      <c r="P47" s="7">
        <f>+[2]Resumen!P47*1000</f>
        <v>140728.18269000002</v>
      </c>
      <c r="Q47" s="7">
        <f>+[2]Resumen!Q47*1000</f>
        <v>153851.075342</v>
      </c>
      <c r="R47" s="7">
        <f>+[2]Resumen!R47*1000</f>
        <v>157497.86664000002</v>
      </c>
      <c r="S47" s="7">
        <f>+[2]Resumen!S47*1000</f>
        <v>156188.00919800001</v>
      </c>
      <c r="T47" s="7">
        <f>+[2]Resumen!T47*1000</f>
        <v>159538.008818</v>
      </c>
      <c r="U47" s="7">
        <f>+[2]Resumen!U47*1000</f>
        <v>160333.73570400002</v>
      </c>
      <c r="V47" s="7">
        <f>+[2]Resumen!V47*1000</f>
        <v>154902.43451799999</v>
      </c>
      <c r="W47" s="7">
        <f>+[2]Resumen!W47*1000</f>
        <v>147306.25025800001</v>
      </c>
      <c r="X47" s="7">
        <f>+[2]Resumen!X47*1000</f>
        <v>155707.97950000002</v>
      </c>
      <c r="Y47" s="7">
        <f>+[2]Resumen!Y47*1000</f>
        <v>150912.71926000001</v>
      </c>
      <c r="Z47" s="7">
        <f>+[2]Resumen!Z47*1000</f>
        <v>134504.765464</v>
      </c>
      <c r="AA47" s="7">
        <f>+[2]Resumen!AA47*1000</f>
        <v>114719.613652</v>
      </c>
      <c r="AB47" s="7">
        <f>+[2]Resumen!AB47*1000</f>
        <v>86996.538318000006</v>
      </c>
      <c r="AC47" s="7">
        <f>+[2]Resumen!AC47*1000</f>
        <v>71520.736122000002</v>
      </c>
      <c r="AD47" s="70">
        <f t="shared" ref="AD47" si="7">SUM(F47:AC47)*E47+SUM(F48:AC48)*E48+SUM(F49:AC49)*E49+SUM(F50:AC50)*E50</f>
        <v>76675513.684579998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+[2]Resumen!F48*1000</f>
        <v>68813.914011999994</v>
      </c>
      <c r="G48" s="7">
        <f>+[2]Resumen!G48*1000</f>
        <v>55863.462311999996</v>
      </c>
      <c r="H48" s="7">
        <f>+[2]Resumen!H48*1000</f>
        <v>47863.969964000004</v>
      </c>
      <c r="I48" s="7">
        <f>+[2]Resumen!I48*1000</f>
        <v>45581.915292000005</v>
      </c>
      <c r="J48" s="7">
        <f>+[2]Resumen!J48*1000</f>
        <v>51021.019877999999</v>
      </c>
      <c r="K48" s="7">
        <f>+[2]Resumen!K48*1000</f>
        <v>65010.934116000004</v>
      </c>
      <c r="L48" s="7">
        <f>+[2]Resumen!L48*1000</f>
        <v>85217.100640000004</v>
      </c>
      <c r="M48" s="7">
        <f>+[2]Resumen!M48*1000</f>
        <v>82384.239432000002</v>
      </c>
      <c r="N48" s="7">
        <f>+[2]Resumen!N48*1000</f>
        <v>101858.00011400001</v>
      </c>
      <c r="O48" s="7">
        <f>+[2]Resumen!O48*1000</f>
        <v>115105.18674</v>
      </c>
      <c r="P48" s="7">
        <f>+[2]Resumen!P48*1000</f>
        <v>124852.96701200001</v>
      </c>
      <c r="Q48" s="7">
        <f>+[2]Resumen!Q48*1000</f>
        <v>131584.626774</v>
      </c>
      <c r="R48" s="7">
        <f>+[2]Resumen!R48*1000</f>
        <v>132503.64028600001</v>
      </c>
      <c r="S48" s="7">
        <f>+[2]Resumen!S48*1000</f>
        <v>130001.78511799999</v>
      </c>
      <c r="T48" s="7">
        <f>+[2]Resumen!T48*1000</f>
        <v>127703.24399</v>
      </c>
      <c r="U48" s="7">
        <f>+[2]Resumen!U48*1000</f>
        <v>126488.54546400001</v>
      </c>
      <c r="V48" s="7">
        <f>+[2]Resumen!V48*1000</f>
        <v>125629.29180800001</v>
      </c>
      <c r="W48" s="7">
        <f>+[2]Resumen!W48*1000</f>
        <v>126172.45101200002</v>
      </c>
      <c r="X48" s="7">
        <f>+[2]Resumen!X48*1000</f>
        <v>141098.93641200001</v>
      </c>
      <c r="Y48" s="7">
        <f>+[2]Resumen!Y48*1000</f>
        <v>135094.66703399998</v>
      </c>
      <c r="Z48" s="7">
        <f>+[2]Resumen!Z48*1000</f>
        <v>120986.60932</v>
      </c>
      <c r="AA48" s="7">
        <f>+[2]Resumen!AA48*1000</f>
        <v>100540.332178</v>
      </c>
      <c r="AB48" s="7">
        <f>+[2]Resumen!AB48*1000</f>
        <v>81952.966796000008</v>
      </c>
      <c r="AC48" s="7">
        <f>+[2]Resumen!AC48*1000</f>
        <v>61791.066832000004</v>
      </c>
      <c r="AD48" s="7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+[2]Resumen!F49*1000</f>
        <v>59370.764288000006</v>
      </c>
      <c r="G49" s="7">
        <f>+[2]Resumen!G49*1000</f>
        <v>47585.700720000001</v>
      </c>
      <c r="H49" s="7">
        <f>+[2]Resumen!H49*1000</f>
        <v>40756.824782000003</v>
      </c>
      <c r="I49" s="7">
        <f>+[2]Resumen!I49*1000</f>
        <v>37709.845371999996</v>
      </c>
      <c r="J49" s="7">
        <f>+[2]Resumen!J49*1000</f>
        <v>38598.517846000002</v>
      </c>
      <c r="K49" s="7">
        <f>+[2]Resumen!K49*1000</f>
        <v>43793.709430000003</v>
      </c>
      <c r="L49" s="7">
        <f>+[2]Resumen!L49*1000</f>
        <v>53265.426692000001</v>
      </c>
      <c r="M49" s="7">
        <f>+[2]Resumen!M49*1000</f>
        <v>44183.524729999997</v>
      </c>
      <c r="N49" s="7">
        <f>+[2]Resumen!N49*1000</f>
        <v>59975.683856000003</v>
      </c>
      <c r="O49" s="7">
        <f>+[2]Resumen!O49*1000</f>
        <v>71626.507662000004</v>
      </c>
      <c r="P49" s="7">
        <f>+[2]Resumen!P49*1000</f>
        <v>79372.772586000006</v>
      </c>
      <c r="Q49" s="7">
        <f>+[2]Resumen!Q49*1000</f>
        <v>90847.005449999997</v>
      </c>
      <c r="R49" s="7">
        <f>+[2]Resumen!R49*1000</f>
        <v>100722.83242200001</v>
      </c>
      <c r="S49" s="7">
        <f>+[2]Resumen!S49*1000</f>
        <v>106334.89582200001</v>
      </c>
      <c r="T49" s="7">
        <f>+[2]Resumen!T49*1000</f>
        <v>105739.907854</v>
      </c>
      <c r="U49" s="7">
        <f>+[2]Resumen!U49*1000</f>
        <v>101355.46824800002</v>
      </c>
      <c r="V49" s="7">
        <f>+[2]Resumen!V49*1000</f>
        <v>98297.925872000007</v>
      </c>
      <c r="W49" s="7">
        <f>+[2]Resumen!W49*1000</f>
        <v>99613.252787999998</v>
      </c>
      <c r="X49" s="7">
        <f>+[2]Resumen!X49*1000</f>
        <v>112924.56208000002</v>
      </c>
      <c r="Y49" s="7">
        <f>+[2]Resumen!Y49*1000</f>
        <v>107949.97970800001</v>
      </c>
      <c r="Z49" s="7">
        <f>+[2]Resumen!Z49*1000</f>
        <v>97102.203796000002</v>
      </c>
      <c r="AA49" s="7">
        <f>+[2]Resumen!AA49*1000</f>
        <v>81127.338700000008</v>
      </c>
      <c r="AB49" s="7">
        <f>+[2]Resumen!AB49*1000</f>
        <v>65558.598010000002</v>
      </c>
      <c r="AC49" s="7">
        <f>+[2]Resumen!AC49*1000</f>
        <v>46075.416495999998</v>
      </c>
      <c r="AD49" s="7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+[2]Resumen!F50*1000</f>
        <v>60246.426366</v>
      </c>
      <c r="G50" s="7">
        <f>+[2]Resumen!G50*1000</f>
        <v>48146.594924000005</v>
      </c>
      <c r="H50" s="7">
        <f>+[2]Resumen!H50*1000</f>
        <v>41209.563862000003</v>
      </c>
      <c r="I50" s="7">
        <f>+[2]Resumen!I50*1000</f>
        <v>37491.804188000002</v>
      </c>
      <c r="J50" s="7">
        <f>+[2]Resumen!J50*1000</f>
        <v>40720.787262000005</v>
      </c>
      <c r="K50" s="7">
        <f>+[2]Resumen!K50*1000</f>
        <v>48670.231440000003</v>
      </c>
      <c r="L50" s="7">
        <f>+[2]Resumen!L50*1000</f>
        <v>55138.639956000006</v>
      </c>
      <c r="M50" s="7">
        <f>+[2]Resumen!M50*1000</f>
        <v>39062.103652000005</v>
      </c>
      <c r="N50" s="7">
        <f>+[2]Resumen!N50*1000</f>
        <v>53855.037408000004</v>
      </c>
      <c r="O50" s="7">
        <f>+[2]Resumen!O50*1000</f>
        <v>64296.163958000005</v>
      </c>
      <c r="P50" s="7">
        <f>+[2]Resumen!P50*1000</f>
        <v>77872.143295999995</v>
      </c>
      <c r="Q50" s="7">
        <f>+[2]Resumen!Q50*1000</f>
        <v>92181.315910000005</v>
      </c>
      <c r="R50" s="7">
        <f>+[2]Resumen!R50*1000</f>
        <v>104484.738058</v>
      </c>
      <c r="S50" s="7">
        <f>+[2]Resumen!S50*1000</f>
        <v>112223.72453799999</v>
      </c>
      <c r="T50" s="7">
        <f>+[2]Resumen!T50*1000</f>
        <v>107640.340796</v>
      </c>
      <c r="U50" s="7">
        <f>+[2]Resumen!U50*1000</f>
        <v>103788.48324</v>
      </c>
      <c r="V50" s="7">
        <f>+[2]Resumen!V50*1000</f>
        <v>103778.80702399999</v>
      </c>
      <c r="W50" s="7">
        <f>+[2]Resumen!W50*1000</f>
        <v>105411.25702200001</v>
      </c>
      <c r="X50" s="7">
        <f>+[2]Resumen!X50*1000</f>
        <v>119362.799814</v>
      </c>
      <c r="Y50" s="7">
        <f>+[2]Resumen!Y50*1000</f>
        <v>116326.41884000001</v>
      </c>
      <c r="Z50" s="7">
        <f>+[2]Resumen!Z50*1000</f>
        <v>102272.083988</v>
      </c>
      <c r="AA50" s="7">
        <f>+[2]Resumen!AA50*1000</f>
        <v>79080.464315999998</v>
      </c>
      <c r="AB50" s="7">
        <f>+[2]Resumen!AB50*1000</f>
        <v>57072.457261999996</v>
      </c>
      <c r="AC50" s="7">
        <f>+[2]Resumen!AC50*1000</f>
        <v>37214.180498000002</v>
      </c>
      <c r="AD50" s="7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22</v>
      </c>
      <c r="F51" s="7">
        <f>+[2]Resumen!F51*1000</f>
        <v>89741.845377999998</v>
      </c>
      <c r="G51" s="7">
        <f>+[2]Resumen!G51*1000</f>
        <v>76727.838532000009</v>
      </c>
      <c r="H51" s="7">
        <f>+[2]Resumen!H51*1000</f>
        <v>69225.387294</v>
      </c>
      <c r="I51" s="7">
        <f>+[2]Resumen!I51*1000</f>
        <v>67798.173809999993</v>
      </c>
      <c r="J51" s="7">
        <f>+[2]Resumen!J51*1000</f>
        <v>70851.431410000005</v>
      </c>
      <c r="K51" s="7">
        <f>+[2]Resumen!K51*1000</f>
        <v>89295.100728000005</v>
      </c>
      <c r="L51" s="7">
        <f>+[2]Resumen!L51*1000</f>
        <v>111861.341736</v>
      </c>
      <c r="M51" s="7">
        <f>+[2]Resumen!M51*1000</f>
        <v>107650.05957600001</v>
      </c>
      <c r="N51" s="7">
        <f>+[2]Resumen!N51*1000</f>
        <v>126012.24011600002</v>
      </c>
      <c r="O51" s="7">
        <f>+[2]Resumen!O51*1000</f>
        <v>135227.85688400001</v>
      </c>
      <c r="P51" s="7">
        <f>+[2]Resumen!P51*1000</f>
        <v>148356.04875400002</v>
      </c>
      <c r="Q51" s="7">
        <f>+[2]Resumen!Q51*1000</f>
        <v>162073.21288000001</v>
      </c>
      <c r="R51" s="7">
        <f>+[2]Resumen!R51*1000</f>
        <v>168730.655214</v>
      </c>
      <c r="S51" s="7">
        <f>+[2]Resumen!S51*1000</f>
        <v>168673.640736</v>
      </c>
      <c r="T51" s="7">
        <f>+[2]Resumen!T51*1000</f>
        <v>172054.96036600001</v>
      </c>
      <c r="U51" s="7">
        <f>+[2]Resumen!U51*1000</f>
        <v>173061.20170199999</v>
      </c>
      <c r="V51" s="7">
        <f>+[2]Resumen!V51*1000</f>
        <v>167496.20699199999</v>
      </c>
      <c r="W51" s="7">
        <f>+[2]Resumen!W51*1000</f>
        <v>158388.419024</v>
      </c>
      <c r="X51" s="7">
        <f>+[2]Resumen!X51*1000</f>
        <v>170336.97091600002</v>
      </c>
      <c r="Y51" s="7">
        <f>+[2]Resumen!Y51*1000</f>
        <v>166020.69046200003</v>
      </c>
      <c r="Z51" s="7">
        <f>+[2]Resumen!Z51*1000</f>
        <v>150743.62667600001</v>
      </c>
      <c r="AA51" s="7">
        <f>+[2]Resumen!AA51*1000</f>
        <v>132232.80555400002</v>
      </c>
      <c r="AB51" s="7">
        <f>+[2]Resumen!AB51*1000</f>
        <v>106587.874956</v>
      </c>
      <c r="AC51" s="7">
        <f>+[2]Resumen!AC51*1000</f>
        <v>91086.633675999998</v>
      </c>
      <c r="AD51" s="70">
        <f t="shared" ref="AD51" si="8">SUM(F51:AC51)*E51+SUM(F52:AC52)*E52+SUM(F53:AC53)*E53+SUM(F54:AC54)*E54</f>
        <v>88919407.20551002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3</v>
      </c>
      <c r="F52" s="7">
        <f>+[2]Resumen!F52*1000</f>
        <v>91710.728325999997</v>
      </c>
      <c r="G52" s="7">
        <f>+[2]Resumen!G52*1000</f>
        <v>76217.701897999999</v>
      </c>
      <c r="H52" s="7">
        <f>+[2]Resumen!H52*1000</f>
        <v>68493.038204000011</v>
      </c>
      <c r="I52" s="7">
        <f>+[2]Resumen!I52*1000</f>
        <v>65044.119848000009</v>
      </c>
      <c r="J52" s="7">
        <f>+[2]Resumen!J52*1000</f>
        <v>67207.002414000002</v>
      </c>
      <c r="K52" s="7">
        <f>+[2]Resumen!K52*1000</f>
        <v>77109.779492000001</v>
      </c>
      <c r="L52" s="7">
        <f>+[2]Resumen!L52*1000</f>
        <v>93103.961550000007</v>
      </c>
      <c r="M52" s="7">
        <f>+[2]Resumen!M52*1000</f>
        <v>87765.343474000008</v>
      </c>
      <c r="N52" s="7">
        <f>+[2]Resumen!N52*1000</f>
        <v>109171.40334600001</v>
      </c>
      <c r="O52" s="7">
        <f>+[2]Resumen!O52*1000</f>
        <v>125083.351756</v>
      </c>
      <c r="P52" s="7">
        <f>+[2]Resumen!P52*1000</f>
        <v>134871.74517800001</v>
      </c>
      <c r="Q52" s="7">
        <f>+[2]Resumen!Q52*1000</f>
        <v>141530.421868</v>
      </c>
      <c r="R52" s="7">
        <f>+[2]Resumen!R52*1000</f>
        <v>143423.84593800001</v>
      </c>
      <c r="S52" s="7">
        <f>+[2]Resumen!S52*1000</f>
        <v>144785.70240000001</v>
      </c>
      <c r="T52" s="7">
        <f>+[2]Resumen!T52*1000</f>
        <v>144910.40782600001</v>
      </c>
      <c r="U52" s="7">
        <f>+[2]Resumen!U52*1000</f>
        <v>140828.13715</v>
      </c>
      <c r="V52" s="7">
        <f>+[2]Resumen!V52*1000</f>
        <v>136693.78232600002</v>
      </c>
      <c r="W52" s="7">
        <f>+[2]Resumen!W52*1000</f>
        <v>131554.12966800001</v>
      </c>
      <c r="X52" s="7">
        <f>+[2]Resumen!X52*1000</f>
        <v>152352.80126000001</v>
      </c>
      <c r="Y52" s="7">
        <f>+[2]Resumen!Y52*1000</f>
        <v>145933.951428</v>
      </c>
      <c r="Z52" s="7">
        <f>+[2]Resumen!Z52*1000</f>
        <v>126943.06513799999</v>
      </c>
      <c r="AA52" s="7">
        <f>+[2]Resumen!AA52*1000</f>
        <v>110233.034634</v>
      </c>
      <c r="AB52" s="7">
        <f>+[2]Resumen!AB52*1000</f>
        <v>94027.742230000018</v>
      </c>
      <c r="AC52" s="7">
        <f>+[2]Resumen!AC52*1000</f>
        <v>79332.705674000012</v>
      </c>
      <c r="AD52" s="7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+[2]Resumen!F53*1000</f>
        <v>94709.567851999993</v>
      </c>
      <c r="G53" s="7">
        <f>+[2]Resumen!G53*1000</f>
        <v>78033.297693999993</v>
      </c>
      <c r="H53" s="7">
        <f>+[2]Resumen!H53*1000</f>
        <v>70353.617054000002</v>
      </c>
      <c r="I53" s="7">
        <f>+[2]Resumen!I53*1000</f>
        <v>64581.669082000008</v>
      </c>
      <c r="J53" s="7">
        <f>+[2]Resumen!J53*1000</f>
        <v>62640.005812000003</v>
      </c>
      <c r="K53" s="7">
        <f>+[2]Resumen!K53*1000</f>
        <v>68310.786250000005</v>
      </c>
      <c r="L53" s="7">
        <f>+[2]Resumen!L53*1000</f>
        <v>76168.377315999998</v>
      </c>
      <c r="M53" s="7">
        <f>+[2]Resumen!M53*1000</f>
        <v>61217.353770000002</v>
      </c>
      <c r="N53" s="7">
        <f>+[2]Resumen!N53*1000</f>
        <v>79127.235058000006</v>
      </c>
      <c r="O53" s="7">
        <f>+[2]Resumen!O53*1000</f>
        <v>92053.858011999997</v>
      </c>
      <c r="P53" s="7">
        <f>+[2]Resumen!P53*1000</f>
        <v>104540.276984</v>
      </c>
      <c r="Q53" s="7">
        <f>+[2]Resumen!Q53*1000</f>
        <v>115671.983152</v>
      </c>
      <c r="R53" s="7">
        <f>+[2]Resumen!R53*1000</f>
        <v>122203.93971999999</v>
      </c>
      <c r="S53" s="7">
        <f>+[2]Resumen!S53*1000</f>
        <v>126675.621338</v>
      </c>
      <c r="T53" s="7">
        <f>+[2]Resumen!T53*1000</f>
        <v>125989.51803399999</v>
      </c>
      <c r="U53" s="7">
        <f>+[2]Resumen!U53*1000</f>
        <v>127443.014788</v>
      </c>
      <c r="V53" s="7">
        <f>+[2]Resumen!V53*1000</f>
        <v>127458.42295599999</v>
      </c>
      <c r="W53" s="7">
        <f>+[2]Resumen!W53*1000</f>
        <v>122564.42133000001</v>
      </c>
      <c r="X53" s="7">
        <f>+[2]Resumen!X53*1000</f>
        <v>135367.75765800002</v>
      </c>
      <c r="Y53" s="7">
        <f>+[2]Resumen!Y53*1000</f>
        <v>133970.48794800002</v>
      </c>
      <c r="Z53" s="7">
        <f>+[2]Resumen!Z53*1000</f>
        <v>127247.36936200001</v>
      </c>
      <c r="AA53" s="7">
        <f>+[2]Resumen!AA53*1000</f>
        <v>113661.302356</v>
      </c>
      <c r="AB53" s="7">
        <f>+[2]Resumen!AB53*1000</f>
        <v>94319.546826000005</v>
      </c>
      <c r="AC53" s="7">
        <f>+[2]Resumen!AC53*1000</f>
        <v>73159.797728000005</v>
      </c>
      <c r="AD53" s="7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+[2]Resumen!F54*1000</f>
        <v>73566.596063999998</v>
      </c>
      <c r="G54" s="7">
        <f>+[2]Resumen!G54*1000</f>
        <v>64039.545602000006</v>
      </c>
      <c r="H54" s="7">
        <f>+[2]Resumen!H54*1000</f>
        <v>55485.997666000003</v>
      </c>
      <c r="I54" s="7">
        <f>+[2]Resumen!I54*1000</f>
        <v>48842.644015999998</v>
      </c>
      <c r="J54" s="7">
        <f>+[2]Resumen!J54*1000</f>
        <v>45478.101695999998</v>
      </c>
      <c r="K54" s="7">
        <f>+[2]Resumen!K54*1000</f>
        <v>46493.394975999996</v>
      </c>
      <c r="L54" s="7">
        <f>+[2]Resumen!L54*1000</f>
        <v>48105.825706000003</v>
      </c>
      <c r="M54" s="7">
        <f>+[2]Resumen!M54*1000</f>
        <v>27663.201974</v>
      </c>
      <c r="N54" s="7">
        <f>+[2]Resumen!N54*1000</f>
        <v>37430.455276000001</v>
      </c>
      <c r="O54" s="7">
        <f>+[2]Resumen!O54*1000</f>
        <v>50518.289380000002</v>
      </c>
      <c r="P54" s="7">
        <f>+[2]Resumen!P54*1000</f>
        <v>62203.547462000002</v>
      </c>
      <c r="Q54" s="7">
        <f>+[2]Resumen!Q54*1000</f>
        <v>73390.52298400001</v>
      </c>
      <c r="R54" s="7">
        <f>+[2]Resumen!R54*1000</f>
        <v>85951.244512000005</v>
      </c>
      <c r="S54" s="7">
        <f>+[2]Resumen!S54*1000</f>
        <v>90500.846625999999</v>
      </c>
      <c r="T54" s="7">
        <f>+[2]Resumen!T54*1000</f>
        <v>90020.072058000005</v>
      </c>
      <c r="U54" s="7">
        <f>+[2]Resumen!U54*1000</f>
        <v>93630.10224800001</v>
      </c>
      <c r="V54" s="7">
        <f>+[2]Resumen!V54*1000</f>
        <v>95838.464448000013</v>
      </c>
      <c r="W54" s="7">
        <f>+[2]Resumen!W54*1000</f>
        <v>92618.951864000002</v>
      </c>
      <c r="X54" s="7">
        <f>+[2]Resumen!X54*1000</f>
        <v>115935.262774</v>
      </c>
      <c r="Y54" s="7">
        <f>+[2]Resumen!Y54*1000</f>
        <v>117464.75755000001</v>
      </c>
      <c r="Z54" s="7">
        <f>+[2]Resumen!Z54*1000</f>
        <v>109049.670306</v>
      </c>
      <c r="AA54" s="7">
        <f>+[2]Resumen!AA54*1000</f>
        <v>95422.883740000005</v>
      </c>
      <c r="AB54" s="7">
        <f>+[2]Resumen!AB54*1000</f>
        <v>75676.770210000002</v>
      </c>
      <c r="AC54" s="7">
        <f>+[2]Resumen!AC54*1000</f>
        <v>54369.685826000001</v>
      </c>
      <c r="AD54" s="7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Y55" s="73" t="s">
        <v>46</v>
      </c>
      <c r="Z55" s="74"/>
      <c r="AA55" s="74"/>
      <c r="AB55" s="74"/>
      <c r="AC55" s="75"/>
      <c r="AD55" s="17">
        <f>SUM(AD7:AD54)</f>
        <v>1011453454.882442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6">
    <mergeCell ref="AD15:AD18"/>
    <mergeCell ref="C2:AD2"/>
    <mergeCell ref="C3:AD3"/>
    <mergeCell ref="C4:AD4"/>
    <mergeCell ref="AD7:AD10"/>
    <mergeCell ref="AD11:AD14"/>
    <mergeCell ref="Y55:AC55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4 F55:X55 AD5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5C97-6CFB-4CD7-93B5-29463B5EEB7F}">
  <sheetPr codeName="Hoja5"/>
  <dimension ref="C1:BD57"/>
  <sheetViews>
    <sheetView showGridLines="0" topLeftCell="G43" zoomScale="66" zoomScaleNormal="66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3.08984375" style="1" bestFit="1" customWidth="1"/>
    <col min="5" max="5" width="7.54296875" style="1" bestFit="1" customWidth="1"/>
    <col min="6" max="10" width="7.90625" style="1" bestFit="1" customWidth="1"/>
    <col min="11" max="12" width="8.6328125" style="1" bestFit="1" customWidth="1"/>
    <col min="13" max="22" width="11.54296875" style="1" customWidth="1"/>
    <col min="23" max="25" width="9" style="1" bestFit="1" customWidth="1"/>
    <col min="26" max="26" width="10.453125" style="1" customWidth="1"/>
    <col min="27" max="28" width="8.6328125" style="1" bestFit="1" customWidth="1"/>
    <col min="29" max="29" width="7.9062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76" t="s">
        <v>0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3:56" ht="18.649999999999999" customHeight="1">
      <c r="C3" s="76" t="s">
        <v>1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3:56" ht="18.649999999999999" customHeight="1">
      <c r="C4" s="76">
        <v>2028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20</v>
      </c>
      <c r="F7" s="7">
        <f>+[3]Resumen!F7*1000</f>
        <v>71983.518576000002</v>
      </c>
      <c r="G7" s="7">
        <f>+[3]Resumen!G7*1000</f>
        <v>57047.977943999998</v>
      </c>
      <c r="H7" s="7">
        <f>+[3]Resumen!H7*1000</f>
        <v>48630.535847999992</v>
      </c>
      <c r="I7" s="7">
        <f>+[3]Resumen!I7*1000</f>
        <v>47404.999919999995</v>
      </c>
      <c r="J7" s="7">
        <f>+[3]Resumen!J7*1000</f>
        <v>61734.580775999995</v>
      </c>
      <c r="K7" s="7">
        <f>+[3]Resumen!K7*1000</f>
        <v>93354.327575999996</v>
      </c>
      <c r="L7" s="7">
        <f>+[3]Resumen!L7*1000</f>
        <v>126372.47762399999</v>
      </c>
      <c r="M7" s="7">
        <f>+[3]Resumen!M7*1000</f>
        <v>130849.43793599999</v>
      </c>
      <c r="N7" s="7">
        <f>+[3]Resumen!N7*1000</f>
        <v>154944.93583199999</v>
      </c>
      <c r="O7" s="7">
        <f>+[3]Resumen!O7*1000</f>
        <v>170323.149576</v>
      </c>
      <c r="P7" s="7">
        <f>+[3]Resumen!P7*1000</f>
        <v>191237.454168</v>
      </c>
      <c r="Q7" s="7">
        <f>+[3]Resumen!Q7*1000</f>
        <v>209426.42987999998</v>
      </c>
      <c r="R7" s="7">
        <f>+[3]Resumen!R7*1000</f>
        <v>215994.23224799999</v>
      </c>
      <c r="S7" s="7">
        <f>+[3]Resumen!S7*1000</f>
        <v>213211.67733599999</v>
      </c>
      <c r="T7" s="7">
        <f>+[3]Resumen!T7*1000</f>
        <v>216771.39251999999</v>
      </c>
      <c r="U7" s="7">
        <f>+[3]Resumen!U7*1000</f>
        <v>216710.18330399998</v>
      </c>
      <c r="V7" s="7">
        <f>+[3]Resumen!V7*1000</f>
        <v>208017.767784</v>
      </c>
      <c r="W7" s="7">
        <f>+[3]Resumen!W7*1000</f>
        <v>191592.06739199997</v>
      </c>
      <c r="X7" s="7">
        <f>+[3]Resumen!X7*1000</f>
        <v>206220.02884799999</v>
      </c>
      <c r="Y7" s="7">
        <f>+[3]Resumen!Y7*1000</f>
        <v>214469.57543999999</v>
      </c>
      <c r="Z7" s="7">
        <f>+[3]Resumen!Z7*1000</f>
        <v>195835.66756799998</v>
      </c>
      <c r="AA7" s="7">
        <f>+[3]Resumen!AA7*1000</f>
        <v>165091.95379199999</v>
      </c>
      <c r="AB7" s="7">
        <f>+[3]Resumen!AB7*1000</f>
        <v>123323.216544</v>
      </c>
      <c r="AC7" s="7">
        <f>+[3]Resumen!AC7*1000</f>
        <v>88013.842583999998</v>
      </c>
      <c r="AD7" s="70">
        <f>SUM(F7:AC7)*E7+SUM(F8:AC8)*E8+SUM(F9:AC9)*E9+SUM(F10:AC10)*E10</f>
        <v>101012460.26834399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+[3]Resumen!F8*1000</f>
        <v>74609.769335999983</v>
      </c>
      <c r="G8" s="7">
        <f>+[3]Resumen!G8*1000</f>
        <v>58413.517535999999</v>
      </c>
      <c r="H8" s="7">
        <f>+[3]Resumen!H8*1000</f>
        <v>48999.973775999992</v>
      </c>
      <c r="I8" s="7">
        <f>+[3]Resumen!I8*1000</f>
        <v>45505.766208000001</v>
      </c>
      <c r="J8" s="7">
        <f>+[3]Resumen!J8*1000</f>
        <v>53674.469447999996</v>
      </c>
      <c r="K8" s="7">
        <f>+[3]Resumen!K8*1000</f>
        <v>69448.284048000001</v>
      </c>
      <c r="L8" s="7">
        <f>+[3]Resumen!L8*1000</f>
        <v>94171.209839999996</v>
      </c>
      <c r="M8" s="7">
        <f>+[3]Resumen!M8*1000</f>
        <v>101452.933464</v>
      </c>
      <c r="N8" s="7">
        <f>+[3]Resumen!N8*1000</f>
        <v>129135.37452</v>
      </c>
      <c r="O8" s="7">
        <f>+[3]Resumen!O8*1000</f>
        <v>149942.66327999998</v>
      </c>
      <c r="P8" s="7">
        <f>+[3]Resumen!P8*1000</f>
        <v>167249.08195200001</v>
      </c>
      <c r="Q8" s="7">
        <f>+[3]Resumen!Q8*1000</f>
        <v>182301.96412799999</v>
      </c>
      <c r="R8" s="7">
        <f>+[3]Resumen!R8*1000</f>
        <v>185168.09426399998</v>
      </c>
      <c r="S8" s="7">
        <f>+[3]Resumen!S8*1000</f>
        <v>179515.454688</v>
      </c>
      <c r="T8" s="7">
        <f>+[3]Resumen!T8*1000</f>
        <v>171914.33128799999</v>
      </c>
      <c r="U8" s="7">
        <f>+[3]Resumen!U8*1000</f>
        <v>168120.31031999999</v>
      </c>
      <c r="V8" s="7">
        <f>+[3]Resumen!V8*1000</f>
        <v>164776.06437599999</v>
      </c>
      <c r="W8" s="7">
        <f>+[3]Resumen!W8*1000</f>
        <v>158430.68032800002</v>
      </c>
      <c r="X8" s="7">
        <f>+[3]Resumen!X8*1000</f>
        <v>179643.77625599998</v>
      </c>
      <c r="Y8" s="7">
        <f>+[3]Resumen!Y8*1000</f>
        <v>185965.71969599999</v>
      </c>
      <c r="Z8" s="7">
        <f>+[3]Resumen!Z8*1000</f>
        <v>168023.28110399997</v>
      </c>
      <c r="AA8" s="7">
        <f>+[3]Resumen!AA8*1000</f>
        <v>141672.66585599998</v>
      </c>
      <c r="AB8" s="7">
        <f>+[3]Resumen!AB8*1000</f>
        <v>112920.57751199999</v>
      </c>
      <c r="AC8" s="7">
        <f>+[3]Resumen!AC8*1000</f>
        <v>84076.350575999997</v>
      </c>
      <c r="AD8" s="7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5</v>
      </c>
      <c r="F9" s="7">
        <f>+[3]Resumen!F9*1000</f>
        <v>75118.131551999992</v>
      </c>
      <c r="G9" s="7">
        <f>+[3]Resumen!G9*1000</f>
        <v>57521.847887999997</v>
      </c>
      <c r="H9" s="7">
        <f>+[3]Resumen!H9*1000</f>
        <v>46252.503360000002</v>
      </c>
      <c r="I9" s="7">
        <f>+[3]Resumen!I9*1000</f>
        <v>40206.674807999996</v>
      </c>
      <c r="J9" s="7">
        <f>+[3]Resumen!J9*1000</f>
        <v>41866.382567999994</v>
      </c>
      <c r="K9" s="7">
        <f>+[3]Resumen!K9*1000</f>
        <v>48652.042175999995</v>
      </c>
      <c r="L9" s="7">
        <f>+[3]Resumen!L9*1000</f>
        <v>60039.172416000001</v>
      </c>
      <c r="M9" s="7">
        <f>+[3]Resumen!M9*1000</f>
        <v>58070.810879999997</v>
      </c>
      <c r="N9" s="7">
        <f>+[3]Resumen!N9*1000</f>
        <v>79275.71596799999</v>
      </c>
      <c r="O9" s="7">
        <f>+[3]Resumen!O9*1000</f>
        <v>98969.56629599999</v>
      </c>
      <c r="P9" s="7">
        <f>+[3]Resumen!P9*1000</f>
        <v>114522.52432799998</v>
      </c>
      <c r="Q9" s="7">
        <f>+[3]Resumen!Q9*1000</f>
        <v>133118.71135200001</v>
      </c>
      <c r="R9" s="7">
        <f>+[3]Resumen!R9*1000</f>
        <v>145437.02308799999</v>
      </c>
      <c r="S9" s="7">
        <f>+[3]Resumen!S9*1000</f>
        <v>149103.64903199999</v>
      </c>
      <c r="T9" s="7">
        <f>+[3]Resumen!T9*1000</f>
        <v>144548.75872800002</v>
      </c>
      <c r="U9" s="7">
        <f>+[3]Resumen!U9*1000</f>
        <v>139895.62132800001</v>
      </c>
      <c r="V9" s="7">
        <f>+[3]Resumen!V9*1000</f>
        <v>135718.68933599998</v>
      </c>
      <c r="W9" s="7">
        <f>+[3]Resumen!W9*1000</f>
        <v>131846.09839199999</v>
      </c>
      <c r="X9" s="7">
        <f>+[3]Resumen!X9*1000</f>
        <v>154033.932936</v>
      </c>
      <c r="Y9" s="7">
        <f>+[3]Resumen!Y9*1000</f>
        <v>166398.59097600001</v>
      </c>
      <c r="Z9" s="7">
        <f>+[3]Resumen!Z9*1000</f>
        <v>153107.44147199998</v>
      </c>
      <c r="AA9" s="7">
        <f>+[3]Resumen!AA9*1000</f>
        <v>130339.084128</v>
      </c>
      <c r="AB9" s="7">
        <f>+[3]Resumen!AB9*1000</f>
        <v>100125.05740799999</v>
      </c>
      <c r="AC9" s="7">
        <f>+[3]Resumen!AC9*1000</f>
        <v>67916.83576799999</v>
      </c>
      <c r="AD9" s="7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+[3]Resumen!F10*1000</f>
        <v>67456.05683999999</v>
      </c>
      <c r="G10" s="7">
        <f>+[3]Resumen!G10*1000</f>
        <v>54917.595383999993</v>
      </c>
      <c r="H10" s="7">
        <f>+[3]Resumen!H10*1000</f>
        <v>42770.503247999994</v>
      </c>
      <c r="I10" s="7">
        <f>+[3]Resumen!I10*1000</f>
        <v>35779.771752000001</v>
      </c>
      <c r="J10" s="7">
        <f>+[3]Resumen!J10*1000</f>
        <v>35581.453127999994</v>
      </c>
      <c r="K10" s="7">
        <f>+[3]Resumen!K10*1000</f>
        <v>40291.654175999996</v>
      </c>
      <c r="L10" s="7">
        <f>+[3]Resumen!L10*1000</f>
        <v>42831.593063999993</v>
      </c>
      <c r="M10" s="7">
        <f>+[3]Resumen!M10*1000</f>
        <v>33636.962039999999</v>
      </c>
      <c r="N10" s="7">
        <f>+[3]Resumen!N10*1000</f>
        <v>48806.364287999997</v>
      </c>
      <c r="O10" s="7">
        <f>+[3]Resumen!O10*1000</f>
        <v>64835.288927999994</v>
      </c>
      <c r="P10" s="7">
        <f>+[3]Resumen!P10*1000</f>
        <v>82593.116016</v>
      </c>
      <c r="Q10" s="7">
        <f>+[3]Resumen!Q10*1000</f>
        <v>102030.91065599999</v>
      </c>
      <c r="R10" s="7">
        <f>+[3]Resumen!R10*1000</f>
        <v>116390.99582399998</v>
      </c>
      <c r="S10" s="7">
        <f>+[3]Resumen!S10*1000</f>
        <v>119668.802832</v>
      </c>
      <c r="T10" s="7">
        <f>+[3]Resumen!T10*1000</f>
        <v>116044.66896</v>
      </c>
      <c r="U10" s="7">
        <f>+[3]Resumen!U10*1000</f>
        <v>111181.062792</v>
      </c>
      <c r="V10" s="7">
        <f>+[3]Resumen!V10*1000</f>
        <v>108185.92812</v>
      </c>
      <c r="W10" s="7">
        <f>+[3]Resumen!W10*1000</f>
        <v>106424.099928</v>
      </c>
      <c r="X10" s="7">
        <f>+[3]Resumen!X10*1000</f>
        <v>134889.886176</v>
      </c>
      <c r="Y10" s="7">
        <f>+[3]Resumen!Y10*1000</f>
        <v>145020.13082399999</v>
      </c>
      <c r="Z10" s="7">
        <f>+[3]Resumen!Z10*1000</f>
        <v>131542.66478399999</v>
      </c>
      <c r="AA10" s="7">
        <f>+[3]Resumen!AA10*1000</f>
        <v>109819.27713599999</v>
      </c>
      <c r="AB10" s="7">
        <f>+[3]Resumen!AB10*1000</f>
        <v>83319.789191999997</v>
      </c>
      <c r="AC10" s="7">
        <f>+[3]Resumen!AC10*1000</f>
        <v>56120.454863999999</v>
      </c>
      <c r="AD10" s="7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21</v>
      </c>
      <c r="F11" s="7">
        <f>+[3]Resumen!F11*1000</f>
        <v>67597.32136799999</v>
      </c>
      <c r="G11" s="7">
        <f>+[3]Resumen!G11*1000</f>
        <v>53332.550832000001</v>
      </c>
      <c r="H11" s="7">
        <f>+[3]Resumen!H11*1000</f>
        <v>46480.170503999994</v>
      </c>
      <c r="I11" s="7">
        <f>+[3]Resumen!I11*1000</f>
        <v>46424.811887999997</v>
      </c>
      <c r="J11" s="7">
        <f>+[3]Resumen!J11*1000</f>
        <v>66673.461479999984</v>
      </c>
      <c r="K11" s="7">
        <f>+[3]Resumen!K11*1000</f>
        <v>112726.084464</v>
      </c>
      <c r="L11" s="7">
        <f>+[3]Resumen!L11*1000</f>
        <v>148334.96138399999</v>
      </c>
      <c r="M11" s="7">
        <f>+[3]Resumen!M11*1000</f>
        <v>144230.58638399999</v>
      </c>
      <c r="N11" s="7">
        <f>+[3]Resumen!N11*1000</f>
        <v>163296.75091199999</v>
      </c>
      <c r="O11" s="7">
        <f>+[3]Resumen!O11*1000</f>
        <v>175147.84089600001</v>
      </c>
      <c r="P11" s="7">
        <f>+[3]Resumen!P11*1000</f>
        <v>195068.56555199999</v>
      </c>
      <c r="Q11" s="7">
        <f>+[3]Resumen!Q11*1000</f>
        <v>211361.34986399999</v>
      </c>
      <c r="R11" s="7">
        <f>+[3]Resumen!R11*1000</f>
        <v>212247.36950399997</v>
      </c>
      <c r="S11" s="7">
        <f>+[3]Resumen!S11*1000</f>
        <v>208059.22824</v>
      </c>
      <c r="T11" s="7">
        <f>+[3]Resumen!T11*1000</f>
        <v>211732.18715999997</v>
      </c>
      <c r="U11" s="7">
        <f>+[3]Resumen!U11*1000</f>
        <v>212500.62167999998</v>
      </c>
      <c r="V11" s="7">
        <f>+[3]Resumen!V11*1000</f>
        <v>204743.52367199998</v>
      </c>
      <c r="W11" s="7">
        <f>+[3]Resumen!W11*1000</f>
        <v>190138.77357599998</v>
      </c>
      <c r="X11" s="7">
        <f>+[3]Resumen!X11*1000</f>
        <v>204092.215776</v>
      </c>
      <c r="Y11" s="7">
        <f>+[3]Resumen!Y11*1000</f>
        <v>213952.10539199997</v>
      </c>
      <c r="Z11" s="7">
        <f>+[3]Resumen!Z11*1000</f>
        <v>194357.36661599998</v>
      </c>
      <c r="AA11" s="7">
        <f>+[3]Resumen!AA11*1000</f>
        <v>160601.37710399998</v>
      </c>
      <c r="AB11" s="7">
        <f>+[3]Resumen!AB11*1000</f>
        <v>117035.435832</v>
      </c>
      <c r="AC11" s="7">
        <f>+[3]Resumen!AC11*1000</f>
        <v>81289.32055199999</v>
      </c>
      <c r="AD11" s="70">
        <f>SUM(F11:AC11)*E11+SUM(F12:AC12)*E12+SUM(F13:AC13)*E13+SUM(F14:AC14)*E14</f>
        <v>99445566.67509599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+[3]Resumen!F12*1000</f>
        <v>83401.229544000002</v>
      </c>
      <c r="G12" s="7">
        <f>+[3]Resumen!G12*1000</f>
        <v>66755.570471999992</v>
      </c>
      <c r="H12" s="7">
        <f>+[3]Resumen!H12*1000</f>
        <v>56323.301135999995</v>
      </c>
      <c r="I12" s="7">
        <f>+[3]Resumen!I12*1000</f>
        <v>53841.276023999999</v>
      </c>
      <c r="J12" s="7">
        <f>+[3]Resumen!J12*1000</f>
        <v>61790.69877599999</v>
      </c>
      <c r="K12" s="7">
        <f>+[3]Resumen!K12*1000</f>
        <v>76108.664399999994</v>
      </c>
      <c r="L12" s="7">
        <f>+[3]Resumen!L12*1000</f>
        <v>105043.07176799999</v>
      </c>
      <c r="M12" s="7">
        <f>+[3]Resumen!M12*1000</f>
        <v>114117.376248</v>
      </c>
      <c r="N12" s="7">
        <f>+[3]Resumen!N12*1000</f>
        <v>145519.91534399998</v>
      </c>
      <c r="O12" s="7">
        <f>+[3]Resumen!O12*1000</f>
        <v>165036.51398399999</v>
      </c>
      <c r="P12" s="7">
        <f>+[3]Resumen!P12*1000</f>
        <v>182492.75577600001</v>
      </c>
      <c r="Q12" s="7">
        <f>+[3]Resumen!Q12*1000</f>
        <v>192257.731944</v>
      </c>
      <c r="R12" s="7">
        <f>+[3]Resumen!R12*1000</f>
        <v>192245.1042</v>
      </c>
      <c r="S12" s="7">
        <f>+[3]Resumen!S12*1000</f>
        <v>183016.72595999998</v>
      </c>
      <c r="T12" s="7">
        <f>+[3]Resumen!T12*1000</f>
        <v>173160.62848799999</v>
      </c>
      <c r="U12" s="7">
        <f>+[3]Resumen!U12*1000</f>
        <v>169875.44733599998</v>
      </c>
      <c r="V12" s="7">
        <f>+[3]Resumen!V12*1000</f>
        <v>166536.18275999997</v>
      </c>
      <c r="W12" s="7">
        <f>+[3]Resumen!W12*1000</f>
        <v>162126.94135199999</v>
      </c>
      <c r="X12" s="7">
        <f>+[3]Resumen!X12*1000</f>
        <v>182387.7984</v>
      </c>
      <c r="Y12" s="7">
        <f>+[3]Resumen!Y12*1000</f>
        <v>189384.41870399998</v>
      </c>
      <c r="Z12" s="7">
        <f>+[3]Resumen!Z12*1000</f>
        <v>172639.07973599999</v>
      </c>
      <c r="AA12" s="7">
        <f>+[3]Resumen!AA12*1000</f>
        <v>146044.05746399998</v>
      </c>
      <c r="AB12" s="7">
        <f>+[3]Resumen!AB12*1000</f>
        <v>115009.87692</v>
      </c>
      <c r="AC12" s="7">
        <f>+[3]Resumen!AC12*1000</f>
        <v>85078.073592000001</v>
      </c>
      <c r="AD12" s="7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+[3]Resumen!F13*1000</f>
        <v>77524.194383999988</v>
      </c>
      <c r="G13" s="7">
        <f>+[3]Resumen!G13*1000</f>
        <v>59928.235487999998</v>
      </c>
      <c r="H13" s="7">
        <f>+[3]Resumen!H13*1000</f>
        <v>48621.265632000002</v>
      </c>
      <c r="I13" s="7">
        <f>+[3]Resumen!I13*1000</f>
        <v>42502.034735999994</v>
      </c>
      <c r="J13" s="7">
        <f>+[3]Resumen!J13*1000</f>
        <v>43620.573936000001</v>
      </c>
      <c r="K13" s="7">
        <f>+[3]Resumen!K13*1000</f>
        <v>49129.952615999995</v>
      </c>
      <c r="L13" s="7">
        <f>+[3]Resumen!L13*1000</f>
        <v>60728.435183999994</v>
      </c>
      <c r="M13" s="7">
        <f>+[3]Resumen!M13*1000</f>
        <v>58260.728519999997</v>
      </c>
      <c r="N13" s="7">
        <f>+[3]Resumen!N13*1000</f>
        <v>80390.209895999986</v>
      </c>
      <c r="O13" s="7">
        <f>+[3]Resumen!O13*1000</f>
        <v>99960.958823999987</v>
      </c>
      <c r="P13" s="7">
        <f>+[3]Resumen!P13*1000</f>
        <v>116541.525792</v>
      </c>
      <c r="Q13" s="7">
        <f>+[3]Resumen!Q13*1000</f>
        <v>135599.63320799998</v>
      </c>
      <c r="R13" s="7">
        <f>+[3]Resumen!R13*1000</f>
        <v>147763.42224000001</v>
      </c>
      <c r="S13" s="7">
        <f>+[3]Resumen!S13*1000</f>
        <v>150465.028728</v>
      </c>
      <c r="T13" s="7">
        <f>+[3]Resumen!T13*1000</f>
        <v>146114.75181599997</v>
      </c>
      <c r="U13" s="7">
        <f>+[3]Resumen!U13*1000</f>
        <v>141544.60219199999</v>
      </c>
      <c r="V13" s="7">
        <f>+[3]Resumen!V13*1000</f>
        <v>136884.319896</v>
      </c>
      <c r="W13" s="7">
        <f>+[3]Resumen!W13*1000</f>
        <v>132823.53067199996</v>
      </c>
      <c r="X13" s="7">
        <f>+[3]Resumen!X13*1000</f>
        <v>155001.034728</v>
      </c>
      <c r="Y13" s="7">
        <f>+[3]Resumen!Y13*1000</f>
        <v>168984.19319999998</v>
      </c>
      <c r="Z13" s="7">
        <f>+[3]Resumen!Z13*1000</f>
        <v>156482.91290399997</v>
      </c>
      <c r="AA13" s="7">
        <f>+[3]Resumen!AA13*1000</f>
        <v>132609.236328</v>
      </c>
      <c r="AB13" s="7">
        <f>+[3]Resumen!AB13*1000</f>
        <v>98337.262103999994</v>
      </c>
      <c r="AC13" s="7">
        <f>+[3]Resumen!AC13*1000</f>
        <v>63905.287104000003</v>
      </c>
      <c r="AD13" s="7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+[3]Resumen!F14*1000</f>
        <v>0</v>
      </c>
      <c r="G14" s="7">
        <f>+[3]Resumen!G14*1000</f>
        <v>0</v>
      </c>
      <c r="H14" s="7">
        <f>+[3]Resumen!H14*1000</f>
        <v>0</v>
      </c>
      <c r="I14" s="7">
        <f>+[3]Resumen!I14*1000</f>
        <v>0</v>
      </c>
      <c r="J14" s="7">
        <f>+[3]Resumen!J14*1000</f>
        <v>0</v>
      </c>
      <c r="K14" s="7">
        <f>+[3]Resumen!K14*1000</f>
        <v>0</v>
      </c>
      <c r="L14" s="7">
        <f>+[3]Resumen!L14*1000</f>
        <v>0</v>
      </c>
      <c r="M14" s="7">
        <f>+[3]Resumen!M14*1000</f>
        <v>0</v>
      </c>
      <c r="N14" s="7">
        <f>+[3]Resumen!N14*1000</f>
        <v>0</v>
      </c>
      <c r="O14" s="7">
        <f>+[3]Resumen!O14*1000</f>
        <v>0</v>
      </c>
      <c r="P14" s="7">
        <f>+[3]Resumen!P14*1000</f>
        <v>0</v>
      </c>
      <c r="Q14" s="7">
        <f>+[3]Resumen!Q14*1000</f>
        <v>0</v>
      </c>
      <c r="R14" s="7">
        <f>+[3]Resumen!R14*1000</f>
        <v>0</v>
      </c>
      <c r="S14" s="7">
        <f>+[3]Resumen!S14*1000</f>
        <v>0</v>
      </c>
      <c r="T14" s="7">
        <f>+[3]Resumen!T14*1000</f>
        <v>0</v>
      </c>
      <c r="U14" s="7">
        <f>+[3]Resumen!U14*1000</f>
        <v>0</v>
      </c>
      <c r="V14" s="7">
        <f>+[3]Resumen!V14*1000</f>
        <v>0</v>
      </c>
      <c r="W14" s="7">
        <f>+[3]Resumen!W14*1000</f>
        <v>0</v>
      </c>
      <c r="X14" s="7">
        <f>+[3]Resumen!X14*1000</f>
        <v>0</v>
      </c>
      <c r="Y14" s="7">
        <f>+[3]Resumen!Y14*1000</f>
        <v>0</v>
      </c>
      <c r="Z14" s="7">
        <f>+[3]Resumen!Z14*1000</f>
        <v>0</v>
      </c>
      <c r="AA14" s="7">
        <f>+[3]Resumen!AA14*1000</f>
        <v>0</v>
      </c>
      <c r="AB14" s="7">
        <f>+[3]Resumen!AB14*1000</f>
        <v>0</v>
      </c>
      <c r="AC14" s="7">
        <f>+[3]Resumen!AC14*1000</f>
        <v>0</v>
      </c>
      <c r="AD14" s="7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22</v>
      </c>
      <c r="F15" s="7">
        <f>+[3]Resumen!F15*1000</f>
        <v>72463.673735999982</v>
      </c>
      <c r="G15" s="7">
        <f>+[3]Resumen!G15*1000</f>
        <v>58680.973535999998</v>
      </c>
      <c r="H15" s="7">
        <f>+[3]Resumen!H15*1000</f>
        <v>51545.519688</v>
      </c>
      <c r="I15" s="7">
        <f>+[3]Resumen!I15*1000</f>
        <v>51731.874431999997</v>
      </c>
      <c r="J15" s="7">
        <f>+[3]Resumen!J15*1000</f>
        <v>71709.089615999997</v>
      </c>
      <c r="K15" s="7">
        <f>+[3]Resumen!K15*1000</f>
        <v>116334.83006399999</v>
      </c>
      <c r="L15" s="7">
        <f>+[3]Resumen!L15*1000</f>
        <v>150560.65857599999</v>
      </c>
      <c r="M15" s="7">
        <f>+[3]Resumen!M15*1000</f>
        <v>149598.55247999998</v>
      </c>
      <c r="N15" s="7">
        <f>+[3]Resumen!N15*1000</f>
        <v>169160.695056</v>
      </c>
      <c r="O15" s="7">
        <f>+[3]Resumen!O15*1000</f>
        <v>181577.50224</v>
      </c>
      <c r="P15" s="7">
        <f>+[3]Resumen!P15*1000</f>
        <v>201730.82287199996</v>
      </c>
      <c r="Q15" s="7">
        <f>+[3]Resumen!Q15*1000</f>
        <v>218216.66265599997</v>
      </c>
      <c r="R15" s="7">
        <f>+[3]Resumen!R15*1000</f>
        <v>220399.00331999999</v>
      </c>
      <c r="S15" s="7">
        <f>+[3]Resumen!S15*1000</f>
        <v>216433.605144</v>
      </c>
      <c r="T15" s="7">
        <f>+[3]Resumen!T15*1000</f>
        <v>219963.85718399999</v>
      </c>
      <c r="U15" s="7">
        <f>+[3]Resumen!U15*1000</f>
        <v>219300.20810399999</v>
      </c>
      <c r="V15" s="7">
        <f>+[3]Resumen!V15*1000</f>
        <v>211721.049528</v>
      </c>
      <c r="W15" s="7">
        <f>+[3]Resumen!W15*1000</f>
        <v>197824.84291199999</v>
      </c>
      <c r="X15" s="7">
        <f>+[3]Resumen!X15*1000</f>
        <v>211307.01808799998</v>
      </c>
      <c r="Y15" s="7">
        <f>+[3]Resumen!Y15*1000</f>
        <v>220527.03355200001</v>
      </c>
      <c r="Z15" s="7">
        <f>+[3]Resumen!Z15*1000</f>
        <v>200190.20467199996</v>
      </c>
      <c r="AA15" s="7">
        <f>+[3]Resumen!AA15*1000</f>
        <v>165434.58403199998</v>
      </c>
      <c r="AB15" s="7">
        <f>+[3]Resumen!AB15*1000</f>
        <v>122202.12695999999</v>
      </c>
      <c r="AC15" s="7">
        <f>+[3]Resumen!AC15*1000</f>
        <v>85795.853855999987</v>
      </c>
      <c r="AD15" s="70">
        <f t="shared" ref="AD15" si="0">SUM(F15:AC15)*E15+SUM(F16:AC16)*E16+SUM(F17:AC17)*E17+SUM(F18:AC18)*E18</f>
        <v>110898007.21543199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4</v>
      </c>
      <c r="F16" s="7">
        <f>+[3]Resumen!F16*1000</f>
        <v>79586.41387199999</v>
      </c>
      <c r="G16" s="7">
        <f>+[3]Resumen!G16*1000</f>
        <v>63985.61942399999</v>
      </c>
      <c r="H16" s="7">
        <f>+[3]Resumen!H16*1000</f>
        <v>54466.764863999997</v>
      </c>
      <c r="I16" s="7">
        <f>+[3]Resumen!I16*1000</f>
        <v>52521.437975999994</v>
      </c>
      <c r="J16" s="7">
        <f>+[3]Resumen!J16*1000</f>
        <v>62805.493704</v>
      </c>
      <c r="K16" s="7">
        <f>+[3]Resumen!K16*1000</f>
        <v>82843.999295999995</v>
      </c>
      <c r="L16" s="7">
        <f>+[3]Resumen!L16*1000</f>
        <v>111823.792992</v>
      </c>
      <c r="M16" s="7">
        <f>+[3]Resumen!M16*1000</f>
        <v>125134.887072</v>
      </c>
      <c r="N16" s="7">
        <f>+[3]Resumen!N16*1000</f>
        <v>153465.84684000001</v>
      </c>
      <c r="O16" s="7">
        <f>+[3]Resumen!O16*1000</f>
        <v>172211.4558</v>
      </c>
      <c r="P16" s="7">
        <f>+[3]Resumen!P16*1000</f>
        <v>189760.313784</v>
      </c>
      <c r="Q16" s="7">
        <f>+[3]Resumen!Q16*1000</f>
        <v>203339.56593599997</v>
      </c>
      <c r="R16" s="7">
        <f>+[3]Resumen!R16*1000</f>
        <v>203749.39449599999</v>
      </c>
      <c r="S16" s="7">
        <f>+[3]Resumen!S16*1000</f>
        <v>196863.93081599998</v>
      </c>
      <c r="T16" s="7">
        <f>+[3]Resumen!T16*1000</f>
        <v>189994.72464</v>
      </c>
      <c r="U16" s="7">
        <f>+[3]Resumen!U16*1000</f>
        <v>185268.74368799999</v>
      </c>
      <c r="V16" s="7">
        <f>+[3]Resumen!V16*1000</f>
        <v>180821.17965599999</v>
      </c>
      <c r="W16" s="7">
        <f>+[3]Resumen!W16*1000</f>
        <v>176843.57879999999</v>
      </c>
      <c r="X16" s="7">
        <f>+[3]Resumen!X16*1000</f>
        <v>192973.48240799998</v>
      </c>
      <c r="Y16" s="7">
        <f>+[3]Resumen!Y16*1000</f>
        <v>200379.391584</v>
      </c>
      <c r="Z16" s="7">
        <f>+[3]Resumen!Z16*1000</f>
        <v>182278.64291999998</v>
      </c>
      <c r="AA16" s="7">
        <f>+[3]Resumen!AA16*1000</f>
        <v>156465.10319999998</v>
      </c>
      <c r="AB16" s="7">
        <f>+[3]Resumen!AB16*1000</f>
        <v>124343.757</v>
      </c>
      <c r="AC16" s="7">
        <f>+[3]Resumen!AC16*1000</f>
        <v>94066.295448000004</v>
      </c>
      <c r="AD16" s="7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+[3]Resumen!F17*1000</f>
        <v>80825.570951999995</v>
      </c>
      <c r="G17" s="7">
        <f>+[3]Resumen!G17*1000</f>
        <v>63466.415688000001</v>
      </c>
      <c r="H17" s="7">
        <f>+[3]Resumen!H17*1000</f>
        <v>51864.174407999999</v>
      </c>
      <c r="I17" s="7">
        <f>+[3]Resumen!I17*1000</f>
        <v>46325.089007999995</v>
      </c>
      <c r="J17" s="7">
        <f>+[3]Resumen!J17*1000</f>
        <v>47664.589847999996</v>
      </c>
      <c r="K17" s="7">
        <f>+[3]Resumen!K17*1000</f>
        <v>54590.20536</v>
      </c>
      <c r="L17" s="7">
        <f>+[3]Resumen!L17*1000</f>
        <v>65741.940887999997</v>
      </c>
      <c r="M17" s="7">
        <f>+[3]Resumen!M17*1000</f>
        <v>69208.681679999994</v>
      </c>
      <c r="N17" s="7">
        <f>+[3]Resumen!N17*1000</f>
        <v>93004.667063999994</v>
      </c>
      <c r="O17" s="7">
        <f>+[3]Resumen!O17*1000</f>
        <v>110801.5284</v>
      </c>
      <c r="P17" s="7">
        <f>+[3]Resumen!P17*1000</f>
        <v>127098.90244799998</v>
      </c>
      <c r="Q17" s="7">
        <f>+[3]Resumen!Q17*1000</f>
        <v>144596.65245599998</v>
      </c>
      <c r="R17" s="7">
        <f>+[3]Resumen!R17*1000</f>
        <v>156043.44448799998</v>
      </c>
      <c r="S17" s="7">
        <f>+[3]Resumen!S17*1000</f>
        <v>157967.63757600001</v>
      </c>
      <c r="T17" s="7">
        <f>+[3]Resumen!T17*1000</f>
        <v>153847.07671199998</v>
      </c>
      <c r="U17" s="7">
        <f>+[3]Resumen!U17*1000</f>
        <v>151056.015744</v>
      </c>
      <c r="V17" s="7">
        <f>+[3]Resumen!V17*1000</f>
        <v>146791.73548800001</v>
      </c>
      <c r="W17" s="7">
        <f>+[3]Resumen!W17*1000</f>
        <v>142751.07710399997</v>
      </c>
      <c r="X17" s="7">
        <f>+[3]Resumen!X17*1000</f>
        <v>164366.84236799998</v>
      </c>
      <c r="Y17" s="7">
        <f>+[3]Resumen!Y17*1000</f>
        <v>178193.61072</v>
      </c>
      <c r="Z17" s="7">
        <f>+[3]Resumen!Z17*1000</f>
        <v>165811.90713599999</v>
      </c>
      <c r="AA17" s="7">
        <f>+[3]Resumen!AA17*1000</f>
        <v>141737.02723199999</v>
      </c>
      <c r="AB17" s="7">
        <f>+[3]Resumen!AB17*1000</f>
        <v>109123.89153599998</v>
      </c>
      <c r="AC17" s="7">
        <f>+[3]Resumen!AC17*1000</f>
        <v>74792.245967999988</v>
      </c>
      <c r="AD17" s="7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+[3]Resumen!F18*1000</f>
        <v>91913.599415999997</v>
      </c>
      <c r="G18" s="7">
        <f>+[3]Resumen!G18*1000</f>
        <v>74713.250927999994</v>
      </c>
      <c r="H18" s="7">
        <f>+[3]Resumen!H18*1000</f>
        <v>63831.703271999999</v>
      </c>
      <c r="I18" s="7">
        <f>+[3]Resumen!I18*1000</f>
        <v>59043.820583999994</v>
      </c>
      <c r="J18" s="7">
        <f>+[3]Resumen!J18*1000</f>
        <v>62571.407615999997</v>
      </c>
      <c r="K18" s="7">
        <f>+[3]Resumen!K18*1000</f>
        <v>69483.000792000006</v>
      </c>
      <c r="L18" s="7">
        <f>+[3]Resumen!L18*1000</f>
        <v>79558.092191999996</v>
      </c>
      <c r="M18" s="7">
        <f>+[3]Resumen!M18*1000</f>
        <v>83306.015207999983</v>
      </c>
      <c r="N18" s="7">
        <f>+[3]Resumen!N18*1000</f>
        <v>106016.11967999999</v>
      </c>
      <c r="O18" s="7">
        <f>+[3]Resumen!O18*1000</f>
        <v>126571.45533599998</v>
      </c>
      <c r="P18" s="7">
        <f>+[3]Resumen!P18*1000</f>
        <v>146150.76285599999</v>
      </c>
      <c r="Q18" s="7">
        <f>+[3]Resumen!Q18*1000</f>
        <v>169075.72046399998</v>
      </c>
      <c r="R18" s="7">
        <f>+[3]Resumen!R18*1000</f>
        <v>180278.07681599999</v>
      </c>
      <c r="S18" s="7">
        <f>+[3]Resumen!S18*1000</f>
        <v>177233.720688</v>
      </c>
      <c r="T18" s="7">
        <f>+[3]Resumen!T18*1000</f>
        <v>170182.14772800001</v>
      </c>
      <c r="U18" s="7">
        <f>+[3]Resumen!U18*1000</f>
        <v>165965.89015200001</v>
      </c>
      <c r="V18" s="7">
        <f>+[3]Resumen!V18*1000</f>
        <v>164136.209328</v>
      </c>
      <c r="W18" s="7">
        <f>+[3]Resumen!W18*1000</f>
        <v>160996.041864</v>
      </c>
      <c r="X18" s="7">
        <f>+[3]Resumen!X18*1000</f>
        <v>185996.66817600001</v>
      </c>
      <c r="Y18" s="7">
        <f>+[3]Resumen!Y18*1000</f>
        <v>206260.31918399999</v>
      </c>
      <c r="Z18" s="7">
        <f>+[3]Resumen!Z18*1000</f>
        <v>189039.061368</v>
      </c>
      <c r="AA18" s="7">
        <f>+[3]Resumen!AA18*1000</f>
        <v>160803.091464</v>
      </c>
      <c r="AB18" s="7">
        <f>+[3]Resumen!AB18*1000</f>
        <v>124699.82212799999</v>
      </c>
      <c r="AC18" s="7">
        <f>+[3]Resumen!AC18*1000</f>
        <v>88496.901551999996</v>
      </c>
      <c r="AD18" s="7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18</v>
      </c>
      <c r="F19" s="7">
        <f>+[3]Resumen!F19*1000</f>
        <v>73328.526144000003</v>
      </c>
      <c r="G19" s="7">
        <f>+[3]Resumen!G19*1000</f>
        <v>58919.396231999999</v>
      </c>
      <c r="H19" s="7">
        <f>+[3]Resumen!H19*1000</f>
        <v>51751.336631999999</v>
      </c>
      <c r="I19" s="7">
        <f>+[3]Resumen!I19*1000</f>
        <v>52001.766191999995</v>
      </c>
      <c r="J19" s="7">
        <f>+[3]Resumen!J19*1000</f>
        <v>70811.540711999987</v>
      </c>
      <c r="K19" s="7">
        <f>+[3]Resumen!K19*1000</f>
        <v>110331.14971199998</v>
      </c>
      <c r="L19" s="7">
        <f>+[3]Resumen!L19*1000</f>
        <v>144745.36276799999</v>
      </c>
      <c r="M19" s="7">
        <f>+[3]Resumen!M19*1000</f>
        <v>147104.267376</v>
      </c>
      <c r="N19" s="7">
        <f>+[3]Resumen!N19*1000</f>
        <v>167273.78342399999</v>
      </c>
      <c r="O19" s="7">
        <f>+[3]Resumen!O19*1000</f>
        <v>180822.163512</v>
      </c>
      <c r="P19" s="7">
        <f>+[3]Resumen!P19*1000</f>
        <v>201186.49737599998</v>
      </c>
      <c r="Q19" s="7">
        <f>+[3]Resumen!Q19*1000</f>
        <v>218742.65308799999</v>
      </c>
      <c r="R19" s="7">
        <f>+[3]Resumen!R19*1000</f>
        <v>222376.40582399999</v>
      </c>
      <c r="S19" s="7">
        <f>+[3]Resumen!S19*1000</f>
        <v>218241.593376</v>
      </c>
      <c r="T19" s="7">
        <f>+[3]Resumen!T19*1000</f>
        <v>221593.43793599997</v>
      </c>
      <c r="U19" s="7">
        <f>+[3]Resumen!U19*1000</f>
        <v>221681.47871999998</v>
      </c>
      <c r="V19" s="7">
        <f>+[3]Resumen!V19*1000</f>
        <v>213292.60187999997</v>
      </c>
      <c r="W19" s="7">
        <f>+[3]Resumen!W19*1000</f>
        <v>200656.07959199997</v>
      </c>
      <c r="X19" s="7">
        <f>+[3]Resumen!X19*1000</f>
        <v>216851.40007199996</v>
      </c>
      <c r="Y19" s="7">
        <f>+[3]Resumen!Y19*1000</f>
        <v>222737.97290399997</v>
      </c>
      <c r="Z19" s="7">
        <f>+[3]Resumen!Z19*1000</f>
        <v>202397.94410399997</v>
      </c>
      <c r="AA19" s="7">
        <f>+[3]Resumen!AA19*1000</f>
        <v>168808.598784</v>
      </c>
      <c r="AB19" s="7">
        <f>+[3]Resumen!AB19*1000</f>
        <v>127226.402544</v>
      </c>
      <c r="AC19" s="7">
        <f>+[3]Resumen!AC19*1000</f>
        <v>88936.780704000004</v>
      </c>
      <c r="AD19" s="70">
        <f t="shared" ref="AD19" si="1">SUM(F19:AC19)*E19+SUM(F20:AC20)*E20+SUM(F21:AC21)*E21+SUM(F22:AC22)*E22</f>
        <v>103856285.08497599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5</v>
      </c>
      <c r="F20" s="7">
        <f>+[3]Resumen!F20*1000</f>
        <v>78175.621679999997</v>
      </c>
      <c r="G20" s="7">
        <f>+[3]Resumen!G20*1000</f>
        <v>61183.750367999994</v>
      </c>
      <c r="H20" s="7">
        <f>+[3]Resumen!H20*1000</f>
        <v>51595.013375999995</v>
      </c>
      <c r="I20" s="7">
        <f>+[3]Resumen!I20*1000</f>
        <v>49444.987127999993</v>
      </c>
      <c r="J20" s="7">
        <f>+[3]Resumen!J20*1000</f>
        <v>57778.457591999999</v>
      </c>
      <c r="K20" s="7">
        <f>+[3]Resumen!K20*1000</f>
        <v>73476.477071999994</v>
      </c>
      <c r="L20" s="7">
        <f>+[3]Resumen!L20*1000</f>
        <v>98864.222064000001</v>
      </c>
      <c r="M20" s="7">
        <f>+[3]Resumen!M20*1000</f>
        <v>109847.57015999999</v>
      </c>
      <c r="N20" s="7">
        <f>+[3]Resumen!N20*1000</f>
        <v>137833.64541599998</v>
      </c>
      <c r="O20" s="7">
        <f>+[3]Resumen!O20*1000</f>
        <v>156882.21038400001</v>
      </c>
      <c r="P20" s="7">
        <f>+[3]Resumen!P20*1000</f>
        <v>173154.72535200001</v>
      </c>
      <c r="Q20" s="7">
        <f>+[3]Resumen!Q20*1000</f>
        <v>185829.32191199998</v>
      </c>
      <c r="R20" s="7">
        <f>+[3]Resumen!R20*1000</f>
        <v>189026.97331199999</v>
      </c>
      <c r="S20" s="7">
        <f>+[3]Resumen!S20*1000</f>
        <v>184988.52144000001</v>
      </c>
      <c r="T20" s="7">
        <f>+[3]Resumen!T20*1000</f>
        <v>179751.97175999999</v>
      </c>
      <c r="U20" s="7">
        <f>+[3]Resumen!U20*1000</f>
        <v>178821.29652</v>
      </c>
      <c r="V20" s="7">
        <f>+[3]Resumen!V20*1000</f>
        <v>177296.38658399999</v>
      </c>
      <c r="W20" s="7">
        <f>+[3]Resumen!W20*1000</f>
        <v>174044.43684000001</v>
      </c>
      <c r="X20" s="7">
        <f>+[3]Resumen!X20*1000</f>
        <v>192606.34173599997</v>
      </c>
      <c r="Y20" s="7">
        <f>+[3]Resumen!Y20*1000</f>
        <v>198037.50863999999</v>
      </c>
      <c r="Z20" s="7">
        <f>+[3]Resumen!Z20*1000</f>
        <v>178861.31462399999</v>
      </c>
      <c r="AA20" s="7">
        <f>+[3]Resumen!AA20*1000</f>
        <v>152887.78845599998</v>
      </c>
      <c r="AB20" s="7">
        <f>+[3]Resumen!AB20*1000</f>
        <v>123672.88660799999</v>
      </c>
      <c r="AC20" s="7">
        <f>+[3]Resumen!AC20*1000</f>
        <v>93172.739279999994</v>
      </c>
      <c r="AD20" s="7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+[3]Resumen!F21*1000</f>
        <v>83523.590664000003</v>
      </c>
      <c r="G21" s="7">
        <f>+[3]Resumen!G21*1000</f>
        <v>65616.661632000003</v>
      </c>
      <c r="H21" s="7">
        <f>+[3]Resumen!H21*1000</f>
        <v>54091.156343999995</v>
      </c>
      <c r="I21" s="7">
        <f>+[3]Resumen!I21*1000</f>
        <v>48965.820599999999</v>
      </c>
      <c r="J21" s="7">
        <f>+[3]Resumen!J21*1000</f>
        <v>50514.204575999996</v>
      </c>
      <c r="K21" s="7">
        <f>+[3]Resumen!K21*1000</f>
        <v>54632.105208000001</v>
      </c>
      <c r="L21" s="7">
        <f>+[3]Resumen!L21*1000</f>
        <v>67748.285951999991</v>
      </c>
      <c r="M21" s="7">
        <f>+[3]Resumen!M21*1000</f>
        <v>71625.070223999996</v>
      </c>
      <c r="N21" s="7">
        <f>+[3]Resumen!N21*1000</f>
        <v>95623.959191999995</v>
      </c>
      <c r="O21" s="7">
        <f>+[3]Resumen!O21*1000</f>
        <v>115401.16982399998</v>
      </c>
      <c r="P21" s="7">
        <f>+[3]Resumen!P21*1000</f>
        <v>129986.65831199997</v>
      </c>
      <c r="Q21" s="7">
        <f>+[3]Resumen!Q21*1000</f>
        <v>144339.03501599998</v>
      </c>
      <c r="R21" s="7">
        <f>+[3]Resumen!R21*1000</f>
        <v>155158.78123199998</v>
      </c>
      <c r="S21" s="7">
        <f>+[3]Resumen!S21*1000</f>
        <v>158069.54786399999</v>
      </c>
      <c r="T21" s="7">
        <f>+[3]Resumen!T21*1000</f>
        <v>156557.194032</v>
      </c>
      <c r="U21" s="7">
        <f>+[3]Resumen!U21*1000</f>
        <v>153942.59193599998</v>
      </c>
      <c r="V21" s="7">
        <f>+[3]Resumen!V21*1000</f>
        <v>150229.352232</v>
      </c>
      <c r="W21" s="7">
        <f>+[3]Resumen!W21*1000</f>
        <v>148637.36815200001</v>
      </c>
      <c r="X21" s="7">
        <f>+[3]Resumen!X21*1000</f>
        <v>170421.301152</v>
      </c>
      <c r="Y21" s="7">
        <f>+[3]Resumen!Y21*1000</f>
        <v>180890.16897599999</v>
      </c>
      <c r="Z21" s="7">
        <f>+[3]Resumen!Z21*1000</f>
        <v>166882.68155999997</v>
      </c>
      <c r="AA21" s="7">
        <f>+[3]Resumen!AA21*1000</f>
        <v>141621.43847999998</v>
      </c>
      <c r="AB21" s="7">
        <f>+[3]Resumen!AB21*1000</f>
        <v>107452.03363199999</v>
      </c>
      <c r="AC21" s="7">
        <f>+[3]Resumen!AC21*1000</f>
        <v>72733.938023999988</v>
      </c>
      <c r="AD21" s="7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+[3]Resumen!F22*1000</f>
        <v>93621.898199999996</v>
      </c>
      <c r="G22" s="7">
        <f>+[3]Resumen!G22*1000</f>
        <v>74842.943207999982</v>
      </c>
      <c r="H22" s="7">
        <f>+[3]Resumen!H22*1000</f>
        <v>62929.177775999997</v>
      </c>
      <c r="I22" s="7">
        <f>+[3]Resumen!I22*1000</f>
        <v>57451.674119999996</v>
      </c>
      <c r="J22" s="7">
        <f>+[3]Resumen!J22*1000</f>
        <v>59736.899375999994</v>
      </c>
      <c r="K22" s="7">
        <f>+[3]Resumen!K22*1000</f>
        <v>64398.304032</v>
      </c>
      <c r="L22" s="7">
        <f>+[3]Resumen!L22*1000</f>
        <v>74546.387039999987</v>
      </c>
      <c r="M22" s="7">
        <f>+[3]Resumen!M22*1000</f>
        <v>74600.537327999991</v>
      </c>
      <c r="N22" s="7">
        <f>+[3]Resumen!N22*1000</f>
        <v>95405.695991999994</v>
      </c>
      <c r="O22" s="7">
        <f>+[3]Resumen!O22*1000</f>
        <v>107036.51207999999</v>
      </c>
      <c r="P22" s="7">
        <f>+[3]Resumen!P22*1000</f>
        <v>113645.85132</v>
      </c>
      <c r="Q22" s="7">
        <f>+[3]Resumen!Q22*1000</f>
        <v>131458.03883999999</v>
      </c>
      <c r="R22" s="7">
        <f>+[3]Resumen!R22*1000</f>
        <v>147706.74544799997</v>
      </c>
      <c r="S22" s="7">
        <f>+[3]Resumen!S22*1000</f>
        <v>146401.25450399998</v>
      </c>
      <c r="T22" s="7">
        <f>+[3]Resumen!T22*1000</f>
        <v>141344.61196799998</v>
      </c>
      <c r="U22" s="7">
        <f>+[3]Resumen!U22*1000</f>
        <v>138533.24344799999</v>
      </c>
      <c r="V22" s="7">
        <f>+[3]Resumen!V22*1000</f>
        <v>140067.25644</v>
      </c>
      <c r="W22" s="7">
        <f>+[3]Resumen!W22*1000</f>
        <v>140392.61188799998</v>
      </c>
      <c r="X22" s="7">
        <f>+[3]Resumen!X22*1000</f>
        <v>164561.58376799998</v>
      </c>
      <c r="Y22" s="7">
        <f>+[3]Resumen!Y22*1000</f>
        <v>172349.525184</v>
      </c>
      <c r="Z22" s="7">
        <f>+[3]Resumen!Z22*1000</f>
        <v>155414.09664</v>
      </c>
      <c r="AA22" s="7">
        <f>+[3]Resumen!AA22*1000</f>
        <v>139143.329688</v>
      </c>
      <c r="AB22" s="7">
        <f>+[3]Resumen!AB22*1000</f>
        <v>120132.815112</v>
      </c>
      <c r="AC22" s="7">
        <f>+[3]Resumen!AC22*1000</f>
        <v>91303.584816000002</v>
      </c>
      <c r="AD22" s="7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+[3]Resumen!F23*1000</f>
        <v>72817.756823999996</v>
      </c>
      <c r="G23" s="7">
        <f>+[3]Resumen!G23*1000</f>
        <v>58218.795239999992</v>
      </c>
      <c r="H23" s="7">
        <f>+[3]Resumen!H23*1000</f>
        <v>50937.257879999997</v>
      </c>
      <c r="I23" s="7">
        <f>+[3]Resumen!I23*1000</f>
        <v>51514.929407999996</v>
      </c>
      <c r="J23" s="7">
        <f>+[3]Resumen!J23*1000</f>
        <v>71397.909335999982</v>
      </c>
      <c r="K23" s="7">
        <f>+[3]Resumen!K23*1000</f>
        <v>113330.90755199999</v>
      </c>
      <c r="L23" s="7">
        <f>+[3]Resumen!L23*1000</f>
        <v>149851.60406399998</v>
      </c>
      <c r="M23" s="7">
        <f>+[3]Resumen!M23*1000</f>
        <v>151854.85427999997</v>
      </c>
      <c r="N23" s="7">
        <f>+[3]Resumen!N23*1000</f>
        <v>170358.06213599999</v>
      </c>
      <c r="O23" s="7">
        <f>+[3]Resumen!O23*1000</f>
        <v>183771.64917600001</v>
      </c>
      <c r="P23" s="7">
        <f>+[3]Resumen!P23*1000</f>
        <v>204715.62227999998</v>
      </c>
      <c r="Q23" s="7">
        <f>+[3]Resumen!Q23*1000</f>
        <v>221599.23122399999</v>
      </c>
      <c r="R23" s="7">
        <f>+[3]Resumen!R23*1000</f>
        <v>221794.62215999997</v>
      </c>
      <c r="S23" s="7">
        <f>+[3]Resumen!S23*1000</f>
        <v>216434.79914399999</v>
      </c>
      <c r="T23" s="7">
        <f>+[3]Resumen!T23*1000</f>
        <v>219387.79039199997</v>
      </c>
      <c r="U23" s="7">
        <f>+[3]Resumen!U23*1000</f>
        <v>220583.772432</v>
      </c>
      <c r="V23" s="7">
        <f>+[3]Resumen!V23*1000</f>
        <v>212623.04966399999</v>
      </c>
      <c r="W23" s="7">
        <f>+[3]Resumen!W23*1000</f>
        <v>199099.74357599998</v>
      </c>
      <c r="X23" s="7">
        <f>+[3]Resumen!X23*1000</f>
        <v>215419.158864</v>
      </c>
      <c r="Y23" s="7">
        <f>+[3]Resumen!Y23*1000</f>
        <v>223764.73171199998</v>
      </c>
      <c r="Z23" s="7">
        <f>+[3]Resumen!Z23*1000</f>
        <v>203076.245952</v>
      </c>
      <c r="AA23" s="7">
        <f>+[3]Resumen!AA23*1000</f>
        <v>169221.48875999998</v>
      </c>
      <c r="AB23" s="7">
        <f>+[3]Resumen!AB23*1000</f>
        <v>126640.19152800001</v>
      </c>
      <c r="AC23" s="7">
        <f>+[3]Resumen!AC23*1000</f>
        <v>88537.836647999997</v>
      </c>
      <c r="AD23" s="70">
        <f t="shared" ref="AD23" si="2">SUM(F23:AC23)*E23+SUM(F24:AC24)*E24+SUM(F25:AC25)*E25+SUM(F26:AC26)*E26</f>
        <v>109410044.71154398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+[3]Resumen!F24*1000</f>
        <v>82404.225215999992</v>
      </c>
      <c r="G24" s="7">
        <f>+[3]Resumen!G24*1000</f>
        <v>65358.728975999991</v>
      </c>
      <c r="H24" s="7">
        <f>+[3]Resumen!H24*1000</f>
        <v>56298.422952000001</v>
      </c>
      <c r="I24" s="7">
        <f>+[3]Resumen!I24*1000</f>
        <v>53411.985263999995</v>
      </c>
      <c r="J24" s="7">
        <f>+[3]Resumen!J24*1000</f>
        <v>61591.902552</v>
      </c>
      <c r="K24" s="7">
        <f>+[3]Resumen!K24*1000</f>
        <v>75650.813159999991</v>
      </c>
      <c r="L24" s="7">
        <f>+[3]Resumen!L24*1000</f>
        <v>103315.826592</v>
      </c>
      <c r="M24" s="7">
        <f>+[3]Resumen!M24*1000</f>
        <v>116419.80465599999</v>
      </c>
      <c r="N24" s="7">
        <f>+[3]Resumen!N24*1000</f>
        <v>146399.339328</v>
      </c>
      <c r="O24" s="7">
        <f>+[3]Resumen!O24*1000</f>
        <v>166596.14066400001</v>
      </c>
      <c r="P24" s="7">
        <f>+[3]Resumen!P24*1000</f>
        <v>184299.78880799998</v>
      </c>
      <c r="Q24" s="7">
        <f>+[3]Resumen!Q24*1000</f>
        <v>195568.96617599999</v>
      </c>
      <c r="R24" s="7">
        <f>+[3]Resumen!R24*1000</f>
        <v>194637.13036799998</v>
      </c>
      <c r="S24" s="7">
        <f>+[3]Resumen!S24*1000</f>
        <v>186861.64475999997</v>
      </c>
      <c r="T24" s="7">
        <f>+[3]Resumen!T24*1000</f>
        <v>178416.03859199997</v>
      </c>
      <c r="U24" s="7">
        <f>+[3]Resumen!U24*1000</f>
        <v>175384.47736799999</v>
      </c>
      <c r="V24" s="7">
        <f>+[3]Resumen!V24*1000</f>
        <v>172375.602144</v>
      </c>
      <c r="W24" s="7">
        <f>+[3]Resumen!W24*1000</f>
        <v>170469.36681599997</v>
      </c>
      <c r="X24" s="7">
        <f>+[3]Resumen!X24*1000</f>
        <v>187528.574952</v>
      </c>
      <c r="Y24" s="7">
        <f>+[3]Resumen!Y24*1000</f>
        <v>194729.77521599998</v>
      </c>
      <c r="Z24" s="7">
        <f>+[3]Resumen!Z24*1000</f>
        <v>178170.47099999999</v>
      </c>
      <c r="AA24" s="7">
        <f>+[3]Resumen!AA24*1000</f>
        <v>151892.88079199998</v>
      </c>
      <c r="AB24" s="7">
        <f>+[3]Resumen!AB24*1000</f>
        <v>122529.18743999999</v>
      </c>
      <c r="AC24" s="7">
        <f>+[3]Resumen!AC24*1000</f>
        <v>91884.121943999999</v>
      </c>
      <c r="AD24" s="7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+[3]Resumen!F25*1000</f>
        <v>78863.857607999991</v>
      </c>
      <c r="G25" s="7">
        <f>+[3]Resumen!G25*1000</f>
        <v>61972.019615999998</v>
      </c>
      <c r="H25" s="7">
        <f>+[3]Resumen!H25*1000</f>
        <v>50063.340623999997</v>
      </c>
      <c r="I25" s="7">
        <f>+[3]Resumen!I25*1000</f>
        <v>44160.257160000001</v>
      </c>
      <c r="J25" s="7">
        <f>+[3]Resumen!J25*1000</f>
        <v>43293.933744000002</v>
      </c>
      <c r="K25" s="7">
        <f>+[3]Resumen!K25*1000</f>
        <v>45526.665983999992</v>
      </c>
      <c r="L25" s="7">
        <f>+[3]Resumen!L25*1000</f>
        <v>56791.138991999993</v>
      </c>
      <c r="M25" s="7">
        <f>+[3]Resumen!M25*1000</f>
        <v>60018.372936</v>
      </c>
      <c r="N25" s="7">
        <f>+[3]Resumen!N25*1000</f>
        <v>84431.684976000004</v>
      </c>
      <c r="O25" s="7">
        <f>+[3]Resumen!O25*1000</f>
        <v>105842.717448</v>
      </c>
      <c r="P25" s="7">
        <f>+[3]Resumen!P25*1000</f>
        <v>122825.79614399999</v>
      </c>
      <c r="Q25" s="7">
        <f>+[3]Resumen!Q25*1000</f>
        <v>140671.00492800001</v>
      </c>
      <c r="R25" s="7">
        <f>+[3]Resumen!R25*1000</f>
        <v>149655.87880800001</v>
      </c>
      <c r="S25" s="7">
        <f>+[3]Resumen!S25*1000</f>
        <v>150191.65048799998</v>
      </c>
      <c r="T25" s="7">
        <f>+[3]Resumen!T25*1000</f>
        <v>142764.69347999999</v>
      </c>
      <c r="U25" s="7">
        <f>+[3]Resumen!U25*1000</f>
        <v>141487.83943200001</v>
      </c>
      <c r="V25" s="7">
        <f>+[3]Resumen!V25*1000</f>
        <v>138123.51518399999</v>
      </c>
      <c r="W25" s="7">
        <f>+[3]Resumen!W25*1000</f>
        <v>137173.42550399998</v>
      </c>
      <c r="X25" s="7">
        <f>+[3]Resumen!X25*1000</f>
        <v>159339.75372000001</v>
      </c>
      <c r="Y25" s="7">
        <f>+[3]Resumen!Y25*1000</f>
        <v>172559.49724799997</v>
      </c>
      <c r="Z25" s="7">
        <f>+[3]Resumen!Z25*1000</f>
        <v>160532.24450399997</v>
      </c>
      <c r="AA25" s="7">
        <f>+[3]Resumen!AA25*1000</f>
        <v>137388.79444799997</v>
      </c>
      <c r="AB25" s="7">
        <f>+[3]Resumen!AB25*1000</f>
        <v>103933.840992</v>
      </c>
      <c r="AC25" s="7">
        <f>+[3]Resumen!AC25*1000</f>
        <v>68411.710559999992</v>
      </c>
      <c r="AD25" s="7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+[3]Resumen!F26*1000</f>
        <v>71244.289295999988</v>
      </c>
      <c r="G26" s="7">
        <f>+[3]Resumen!G26*1000</f>
        <v>54856.987944</v>
      </c>
      <c r="H26" s="7">
        <f>+[3]Resumen!H26*1000</f>
        <v>45471.221399999995</v>
      </c>
      <c r="I26" s="7">
        <f>+[3]Resumen!I26*1000</f>
        <v>42462.097823999997</v>
      </c>
      <c r="J26" s="7">
        <f>+[3]Resumen!J26*1000</f>
        <v>50958.525407999994</v>
      </c>
      <c r="K26" s="7">
        <f>+[3]Resumen!K26*1000</f>
        <v>64365.096504000008</v>
      </c>
      <c r="L26" s="7">
        <f>+[3]Resumen!L26*1000</f>
        <v>79066.966560000001</v>
      </c>
      <c r="M26" s="7">
        <f>+[3]Resumen!M26*1000</f>
        <v>83873.867279999991</v>
      </c>
      <c r="N26" s="7">
        <f>+[3]Resumen!N26*1000</f>
        <v>107548.609128</v>
      </c>
      <c r="O26" s="7">
        <f>+[3]Resumen!O26*1000</f>
        <v>126039.604752</v>
      </c>
      <c r="P26" s="7">
        <f>+[3]Resumen!P26*1000</f>
        <v>148415.169528</v>
      </c>
      <c r="Q26" s="7">
        <f>+[3]Resumen!Q26*1000</f>
        <v>166517.97664799998</v>
      </c>
      <c r="R26" s="7">
        <f>+[3]Resumen!R26*1000</f>
        <v>181845.989856</v>
      </c>
      <c r="S26" s="7">
        <f>+[3]Resumen!S26*1000</f>
        <v>176643.45484799999</v>
      </c>
      <c r="T26" s="7">
        <f>+[3]Resumen!T26*1000</f>
        <v>167526.83978400001</v>
      </c>
      <c r="U26" s="7">
        <f>+[3]Resumen!U26*1000</f>
        <v>157335.71068799999</v>
      </c>
      <c r="V26" s="7">
        <f>+[3]Resumen!V26*1000</f>
        <v>155398.05405599999</v>
      </c>
      <c r="W26" s="7">
        <f>+[3]Resumen!W26*1000</f>
        <v>160444.351776</v>
      </c>
      <c r="X26" s="7">
        <f>+[3]Resumen!X26*1000</f>
        <v>180314.87589600001</v>
      </c>
      <c r="Y26" s="7">
        <f>+[3]Resumen!Y26*1000</f>
        <v>186682.34416799998</v>
      </c>
      <c r="Z26" s="7">
        <f>+[3]Resumen!Z26*1000</f>
        <v>167940.50824799997</v>
      </c>
      <c r="AA26" s="7">
        <f>+[3]Resumen!AA26*1000</f>
        <v>140472.69107999999</v>
      </c>
      <c r="AB26" s="7">
        <f>+[3]Resumen!AB26*1000</f>
        <v>105399.90583199999</v>
      </c>
      <c r="AC26" s="7">
        <f>+[3]Resumen!AC26*1000</f>
        <v>69763.409304000001</v>
      </c>
      <c r="AD26" s="7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20</v>
      </c>
      <c r="F27" s="7">
        <f>+[3]Resumen!F27*1000</f>
        <v>63287.56403999999</v>
      </c>
      <c r="G27" s="7">
        <f>+[3]Resumen!G27*1000</f>
        <v>48730.540511999992</v>
      </c>
      <c r="H27" s="7">
        <f>+[3]Resumen!H27*1000</f>
        <v>41274.679151999997</v>
      </c>
      <c r="I27" s="7">
        <f>+[3]Resumen!I27*1000</f>
        <v>41197.756895999999</v>
      </c>
      <c r="J27" s="7">
        <f>+[3]Resumen!J27*1000</f>
        <v>56879.136791999998</v>
      </c>
      <c r="K27" s="7">
        <f>+[3]Resumen!K27*1000</f>
        <v>87705.26999999999</v>
      </c>
      <c r="L27" s="7">
        <f>+[3]Resumen!L27*1000</f>
        <v>122825.500032</v>
      </c>
      <c r="M27" s="7">
        <f>+[3]Resumen!M27*1000</f>
        <v>130860.93376799999</v>
      </c>
      <c r="N27" s="7">
        <f>+[3]Resumen!N27*1000</f>
        <v>152106.36321599997</v>
      </c>
      <c r="O27" s="7">
        <f>+[3]Resumen!O27*1000</f>
        <v>166279.08112799999</v>
      </c>
      <c r="P27" s="7">
        <f>+[3]Resumen!P27*1000</f>
        <v>185252.510064</v>
      </c>
      <c r="Q27" s="7">
        <f>+[3]Resumen!Q27*1000</f>
        <v>202730.52564000001</v>
      </c>
      <c r="R27" s="7">
        <f>+[3]Resumen!R27*1000</f>
        <v>206888.13393599997</v>
      </c>
      <c r="S27" s="7">
        <f>+[3]Resumen!S27*1000</f>
        <v>202907.433456</v>
      </c>
      <c r="T27" s="7">
        <f>+[3]Resumen!T27*1000</f>
        <v>205922.74195199998</v>
      </c>
      <c r="U27" s="7">
        <f>+[3]Resumen!U27*1000</f>
        <v>206621.90536799998</v>
      </c>
      <c r="V27" s="7">
        <f>+[3]Resumen!V27*1000</f>
        <v>199024.703064</v>
      </c>
      <c r="W27" s="7">
        <f>+[3]Resumen!W27*1000</f>
        <v>184530.00633599999</v>
      </c>
      <c r="X27" s="7">
        <f>+[3]Resumen!X27*1000</f>
        <v>194053.93778400001</v>
      </c>
      <c r="Y27" s="7">
        <f>+[3]Resumen!Y27*1000</f>
        <v>203007.59572799999</v>
      </c>
      <c r="Z27" s="7">
        <f>+[3]Resumen!Z27*1000</f>
        <v>182730.27103199999</v>
      </c>
      <c r="AA27" s="7">
        <f>+[3]Resumen!AA27*1000</f>
        <v>151506.73164000001</v>
      </c>
      <c r="AB27" s="7">
        <f>+[3]Resumen!AB27*1000</f>
        <v>110426.30673599998</v>
      </c>
      <c r="AC27" s="7">
        <f>+[3]Resumen!AC27*1000</f>
        <v>76052.312376000002</v>
      </c>
      <c r="AD27" s="70">
        <f t="shared" ref="AD27" si="3">SUM(F27:AC27)*E27+SUM(F28:AC28)*E28+SUM(F29:AC29)*E29+SUM(F30:AC30)*E30</f>
        <v>94806405.002112001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4</v>
      </c>
      <c r="F28" s="7">
        <f>+[3]Resumen!F28*1000</f>
        <v>70659.377351999996</v>
      </c>
      <c r="G28" s="7">
        <f>+[3]Resumen!G28*1000</f>
        <v>54102.198455999998</v>
      </c>
      <c r="H28" s="7">
        <f>+[3]Resumen!H28*1000</f>
        <v>43819.355832000001</v>
      </c>
      <c r="I28" s="7">
        <f>+[3]Resumen!I28*1000</f>
        <v>41131.380047999992</v>
      </c>
      <c r="J28" s="7">
        <f>+[3]Resumen!J28*1000</f>
        <v>48980.014872</v>
      </c>
      <c r="K28" s="7">
        <f>+[3]Resumen!K28*1000</f>
        <v>63175.179983999995</v>
      </c>
      <c r="L28" s="7">
        <f>+[3]Resumen!L28*1000</f>
        <v>91028.983919999999</v>
      </c>
      <c r="M28" s="7">
        <f>+[3]Resumen!M28*1000</f>
        <v>104057.429544</v>
      </c>
      <c r="N28" s="7">
        <f>+[3]Resumen!N28*1000</f>
        <v>131073.82396799998</v>
      </c>
      <c r="O28" s="7">
        <f>+[3]Resumen!O28*1000</f>
        <v>149416.090176</v>
      </c>
      <c r="P28" s="7">
        <f>+[3]Resumen!P28*1000</f>
        <v>167459.56027199997</v>
      </c>
      <c r="Q28" s="7">
        <f>+[3]Resumen!Q28*1000</f>
        <v>179600.30510399997</v>
      </c>
      <c r="R28" s="7">
        <f>+[3]Resumen!R28*1000</f>
        <v>180982.07354399998</v>
      </c>
      <c r="S28" s="7">
        <f>+[3]Resumen!S28*1000</f>
        <v>173614.70191199999</v>
      </c>
      <c r="T28" s="7">
        <f>+[3]Resumen!T28*1000</f>
        <v>168166.23633599997</v>
      </c>
      <c r="U28" s="7">
        <f>+[3]Resumen!U28*1000</f>
        <v>166853.944368</v>
      </c>
      <c r="V28" s="7">
        <f>+[3]Resumen!V28*1000</f>
        <v>162220.86616799998</v>
      </c>
      <c r="W28" s="7">
        <f>+[3]Resumen!W28*1000</f>
        <v>158252.72656799998</v>
      </c>
      <c r="X28" s="7">
        <f>+[3]Resumen!X28*1000</f>
        <v>170544.11121599999</v>
      </c>
      <c r="Y28" s="7">
        <f>+[3]Resumen!Y28*1000</f>
        <v>181376.36099999998</v>
      </c>
      <c r="Z28" s="7">
        <f>+[3]Resumen!Z28*1000</f>
        <v>163947.40927199999</v>
      </c>
      <c r="AA28" s="7">
        <f>+[3]Resumen!AA28*1000</f>
        <v>139492.87557599999</v>
      </c>
      <c r="AB28" s="7">
        <f>+[3]Resumen!AB28*1000</f>
        <v>111131.28254399999</v>
      </c>
      <c r="AC28" s="7">
        <f>+[3]Resumen!AC28*1000</f>
        <v>82083.612335999991</v>
      </c>
      <c r="AD28" s="7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+[3]Resumen!F29*1000</f>
        <v>74802.5478</v>
      </c>
      <c r="G29" s="7">
        <f>+[3]Resumen!G29*1000</f>
        <v>58332.731496</v>
      </c>
      <c r="H29" s="7">
        <f>+[3]Resumen!H29*1000</f>
        <v>46856.247071999998</v>
      </c>
      <c r="I29" s="7">
        <f>+[3]Resumen!I29*1000</f>
        <v>42043.581719999995</v>
      </c>
      <c r="J29" s="7">
        <f>+[3]Resumen!J29*1000</f>
        <v>43134.974135999997</v>
      </c>
      <c r="K29" s="7">
        <f>+[3]Resumen!K29*1000</f>
        <v>46371.492623999999</v>
      </c>
      <c r="L29" s="7">
        <f>+[3]Resumen!L29*1000</f>
        <v>56599.850639999997</v>
      </c>
      <c r="M29" s="7">
        <f>+[3]Resumen!M29*1000</f>
        <v>57854.630015999996</v>
      </c>
      <c r="N29" s="7">
        <f>+[3]Resumen!N29*1000</f>
        <v>78576.609863999998</v>
      </c>
      <c r="O29" s="7">
        <f>+[3]Resumen!O29*1000</f>
        <v>96672.854760000002</v>
      </c>
      <c r="P29" s="7">
        <f>+[3]Resumen!P29*1000</f>
        <v>109932.74056799999</v>
      </c>
      <c r="Q29" s="7">
        <f>+[3]Resumen!Q29*1000</f>
        <v>126995.35399199999</v>
      </c>
      <c r="R29" s="7">
        <f>+[3]Resumen!R29*1000</f>
        <v>137553.15093599999</v>
      </c>
      <c r="S29" s="7">
        <f>+[3]Resumen!S29*1000</f>
        <v>139357.69089600001</v>
      </c>
      <c r="T29" s="7">
        <f>+[3]Resumen!T29*1000</f>
        <v>136044.665664</v>
      </c>
      <c r="U29" s="7">
        <f>+[3]Resumen!U29*1000</f>
        <v>134255.08413599999</v>
      </c>
      <c r="V29" s="7">
        <f>+[3]Resumen!V29*1000</f>
        <v>130011.46485600001</v>
      </c>
      <c r="W29" s="7">
        <f>+[3]Resumen!W29*1000</f>
        <v>126024.10185599999</v>
      </c>
      <c r="X29" s="7">
        <f>+[3]Resumen!X29*1000</f>
        <v>141532.22279999999</v>
      </c>
      <c r="Y29" s="7">
        <f>+[3]Resumen!Y29*1000</f>
        <v>156380.60620800001</v>
      </c>
      <c r="Z29" s="7">
        <f>+[3]Resumen!Z29*1000</f>
        <v>145337.83989599999</v>
      </c>
      <c r="AA29" s="7">
        <f>+[3]Resumen!AA29*1000</f>
        <v>126801.79704</v>
      </c>
      <c r="AB29" s="7">
        <f>+[3]Resumen!AB29*1000</f>
        <v>98938.130663999997</v>
      </c>
      <c r="AC29" s="7">
        <f>+[3]Resumen!AC29*1000</f>
        <v>69083.550479999991</v>
      </c>
      <c r="AD29" s="7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+[3]Resumen!F30*1000</f>
        <v>64826.481983999998</v>
      </c>
      <c r="G30" s="7">
        <f>+[3]Resumen!G30*1000</f>
        <v>48989.165688000001</v>
      </c>
      <c r="H30" s="7">
        <f>+[3]Resumen!H30*1000</f>
        <v>39090.055560000001</v>
      </c>
      <c r="I30" s="7">
        <f>+[3]Resumen!I30*1000</f>
        <v>35151.245375999992</v>
      </c>
      <c r="J30" s="7">
        <f>+[3]Resumen!J30*1000</f>
        <v>37855.784327999994</v>
      </c>
      <c r="K30" s="7">
        <f>+[3]Resumen!K30*1000</f>
        <v>43833.296975999998</v>
      </c>
      <c r="L30" s="7">
        <f>+[3]Resumen!L30*1000</f>
        <v>54110.556455999998</v>
      </c>
      <c r="M30" s="7">
        <f>+[3]Resumen!M30*1000</f>
        <v>54690.969407999997</v>
      </c>
      <c r="N30" s="7">
        <f>+[3]Resumen!N30*1000</f>
        <v>76248.543888</v>
      </c>
      <c r="O30" s="7">
        <f>+[3]Resumen!O30*1000</f>
        <v>95274.747623999996</v>
      </c>
      <c r="P30" s="7">
        <f>+[3]Resumen!P30*1000</f>
        <v>115700.30503199999</v>
      </c>
      <c r="Q30" s="7">
        <f>+[3]Resumen!Q30*1000</f>
        <v>136428.59875199999</v>
      </c>
      <c r="R30" s="7">
        <f>+[3]Resumen!R30*1000</f>
        <v>147874.50244799998</v>
      </c>
      <c r="S30" s="7">
        <f>+[3]Resumen!S30*1000</f>
        <v>145620.43104</v>
      </c>
      <c r="T30" s="7">
        <f>+[3]Resumen!T30*1000</f>
        <v>138050.06985599999</v>
      </c>
      <c r="U30" s="7">
        <f>+[3]Resumen!U30*1000</f>
        <v>135196.61044799999</v>
      </c>
      <c r="V30" s="7">
        <f>+[3]Resumen!V30*1000</f>
        <v>131978.98581599997</v>
      </c>
      <c r="W30" s="7">
        <f>+[3]Resumen!W30*1000</f>
        <v>130599.14687999997</v>
      </c>
      <c r="X30" s="7">
        <f>+[3]Resumen!X30*1000</f>
        <v>149133.709176</v>
      </c>
      <c r="Y30" s="7">
        <f>+[3]Resumen!Y30*1000</f>
        <v>170928.65085599999</v>
      </c>
      <c r="Z30" s="7">
        <f>+[3]Resumen!Z30*1000</f>
        <v>157536.01612800002</v>
      </c>
      <c r="AA30" s="7">
        <f>+[3]Resumen!AA30*1000</f>
        <v>134346.554088</v>
      </c>
      <c r="AB30" s="7">
        <f>+[3]Resumen!AB30*1000</f>
        <v>100543.71201599999</v>
      </c>
      <c r="AC30" s="7">
        <f>+[3]Resumen!AC30*1000</f>
        <v>65847.313775999995</v>
      </c>
      <c r="AD30" s="7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19</v>
      </c>
      <c r="F31" s="7">
        <f>+[3]Resumen!F31*1000</f>
        <v>61200.743375999991</v>
      </c>
      <c r="G31" s="7">
        <f>+[3]Resumen!G31*1000</f>
        <v>45708.192191999995</v>
      </c>
      <c r="H31" s="7">
        <f>+[3]Resumen!H31*1000</f>
        <v>37173.742871999995</v>
      </c>
      <c r="I31" s="7">
        <f>+[3]Resumen!I31*1000</f>
        <v>36571.575239999998</v>
      </c>
      <c r="J31" s="7">
        <f>+[3]Resumen!J31*1000</f>
        <v>53106.474095999998</v>
      </c>
      <c r="K31" s="7">
        <f>+[3]Resumen!K31*1000</f>
        <v>88813.836911999999</v>
      </c>
      <c r="L31" s="7">
        <f>+[3]Resumen!L31*1000</f>
        <v>124191.94706399999</v>
      </c>
      <c r="M31" s="7">
        <f>+[3]Resumen!M31*1000</f>
        <v>129668.01792000001</v>
      </c>
      <c r="N31" s="7">
        <f>+[3]Resumen!N31*1000</f>
        <v>151134.92481599998</v>
      </c>
      <c r="O31" s="7">
        <f>+[3]Resumen!O31*1000</f>
        <v>165174.46874399998</v>
      </c>
      <c r="P31" s="7">
        <f>+[3]Resumen!P31*1000</f>
        <v>185340.01593599998</v>
      </c>
      <c r="Q31" s="7">
        <f>+[3]Resumen!Q31*1000</f>
        <v>203252.260656</v>
      </c>
      <c r="R31" s="7">
        <f>+[3]Resumen!R31*1000</f>
        <v>206914.244328</v>
      </c>
      <c r="S31" s="7">
        <f>+[3]Resumen!S31*1000</f>
        <v>204050.75054399998</v>
      </c>
      <c r="T31" s="7">
        <f>+[3]Resumen!T31*1000</f>
        <v>209080.03615199999</v>
      </c>
      <c r="U31" s="7">
        <f>+[3]Resumen!U31*1000</f>
        <v>210197.78731199997</v>
      </c>
      <c r="V31" s="7">
        <f>+[3]Resumen!V31*1000</f>
        <v>201703.49459999998</v>
      </c>
      <c r="W31" s="7">
        <f>+[3]Resumen!W31*1000</f>
        <v>183978.11565599998</v>
      </c>
      <c r="X31" s="7">
        <f>+[3]Resumen!X31*1000</f>
        <v>192564.16010399998</v>
      </c>
      <c r="Y31" s="7">
        <f>+[3]Resumen!Y31*1000</f>
        <v>209574.27573599998</v>
      </c>
      <c r="Z31" s="7">
        <f>+[3]Resumen!Z31*1000</f>
        <v>190353.8082</v>
      </c>
      <c r="AA31" s="7">
        <f>+[3]Resumen!AA31*1000</f>
        <v>158121.8976</v>
      </c>
      <c r="AB31" s="7">
        <f>+[3]Resumen!AB31*1000</f>
        <v>113695.33545599999</v>
      </c>
      <c r="AC31" s="7">
        <f>+[3]Resumen!AC31*1000</f>
        <v>75651.114048000003</v>
      </c>
      <c r="AD31" s="70">
        <f t="shared" ref="AD31" si="4">SUM(F31:AC31)*E31+SUM(F32:AC32)*E32+SUM(F33:AC33)*E33+SUM(F34:AC34)*E34</f>
        <v>94967898.335424006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5</v>
      </c>
      <c r="F32" s="7">
        <f>+[3]Resumen!F32*1000</f>
        <v>66559.67805599999</v>
      </c>
      <c r="G32" s="7">
        <f>+[3]Resumen!G32*1000</f>
        <v>49698.224975999998</v>
      </c>
      <c r="H32" s="7">
        <f>+[3]Resumen!H32*1000</f>
        <v>39629.476103999994</v>
      </c>
      <c r="I32" s="7">
        <f>+[3]Resumen!I32*1000</f>
        <v>35890.297943999998</v>
      </c>
      <c r="J32" s="7">
        <f>+[3]Resumen!J32*1000</f>
        <v>43930.440816000002</v>
      </c>
      <c r="K32" s="7">
        <f>+[3]Resumen!K32*1000</f>
        <v>59325.260711999996</v>
      </c>
      <c r="L32" s="7">
        <f>+[3]Resumen!L32*1000</f>
        <v>86945.016767999987</v>
      </c>
      <c r="M32" s="7">
        <f>+[3]Resumen!M32*1000</f>
        <v>100381.92501599999</v>
      </c>
      <c r="N32" s="7">
        <f>+[3]Resumen!N32*1000</f>
        <v>128384.978952</v>
      </c>
      <c r="O32" s="7">
        <f>+[3]Resumen!O32*1000</f>
        <v>147605.43693599998</v>
      </c>
      <c r="P32" s="7">
        <f>+[3]Resumen!P32*1000</f>
        <v>166506.92498400001</v>
      </c>
      <c r="Q32" s="7">
        <f>+[3]Resumen!Q32*1000</f>
        <v>181213.52327999999</v>
      </c>
      <c r="R32" s="7">
        <f>+[3]Resumen!R32*1000</f>
        <v>181533.524832</v>
      </c>
      <c r="S32" s="7">
        <f>+[3]Resumen!S32*1000</f>
        <v>171546.21631199998</v>
      </c>
      <c r="T32" s="7">
        <f>+[3]Resumen!T32*1000</f>
        <v>162931.46810399997</v>
      </c>
      <c r="U32" s="7">
        <f>+[3]Resumen!U32*1000</f>
        <v>160749.753096</v>
      </c>
      <c r="V32" s="7">
        <f>+[3]Resumen!V32*1000</f>
        <v>159429.25595999998</v>
      </c>
      <c r="W32" s="7">
        <f>+[3]Resumen!W32*1000</f>
        <v>155173.82085599998</v>
      </c>
      <c r="X32" s="7">
        <f>+[3]Resumen!X32*1000</f>
        <v>168704.03304000001</v>
      </c>
      <c r="Y32" s="7">
        <f>+[3]Resumen!Y32*1000</f>
        <v>179001.89618400001</v>
      </c>
      <c r="Z32" s="7">
        <f>+[3]Resumen!Z32*1000</f>
        <v>159752.915928</v>
      </c>
      <c r="AA32" s="7">
        <f>+[3]Resumen!AA32*1000</f>
        <v>131845.47751199998</v>
      </c>
      <c r="AB32" s="7">
        <f>+[3]Resumen!AB32*1000</f>
        <v>101106.77376</v>
      </c>
      <c r="AC32" s="7">
        <f>+[3]Resumen!AC32*1000</f>
        <v>70483.997855999987</v>
      </c>
      <c r="AD32" s="7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+[3]Resumen!F33*1000</f>
        <v>55838.116847999998</v>
      </c>
      <c r="G33" s="7">
        <f>+[3]Resumen!G33*1000</f>
        <v>38260.306751999997</v>
      </c>
      <c r="H33" s="7">
        <f>+[3]Resumen!H33*1000</f>
        <v>26866.843536</v>
      </c>
      <c r="I33" s="7">
        <f>+[3]Resumen!I33*1000</f>
        <v>21137.167079999999</v>
      </c>
      <c r="J33" s="7">
        <f>+[3]Resumen!J33*1000</f>
        <v>23282.579711999999</v>
      </c>
      <c r="K33" s="7">
        <f>+[3]Resumen!K33*1000</f>
        <v>27844.882367999999</v>
      </c>
      <c r="L33" s="7">
        <f>+[3]Resumen!L33*1000</f>
        <v>41140.893839999997</v>
      </c>
      <c r="M33" s="7">
        <f>+[3]Resumen!M33*1000</f>
        <v>43473.769247999997</v>
      </c>
      <c r="N33" s="7">
        <f>+[3]Resumen!N33*1000</f>
        <v>65559.263663999998</v>
      </c>
      <c r="O33" s="7">
        <f>+[3]Resumen!O33*1000</f>
        <v>85571.205143999992</v>
      </c>
      <c r="P33" s="7">
        <f>+[3]Resumen!P33*1000</f>
        <v>100607.80116</v>
      </c>
      <c r="Q33" s="7">
        <f>+[3]Resumen!Q33*1000</f>
        <v>118850.92715999999</v>
      </c>
      <c r="R33" s="7">
        <f>+[3]Resumen!R33*1000</f>
        <v>130167.066936</v>
      </c>
      <c r="S33" s="7">
        <f>+[3]Resumen!S33*1000</f>
        <v>130969.69761599996</v>
      </c>
      <c r="T33" s="7">
        <f>+[3]Resumen!T33*1000</f>
        <v>126000.39856799999</v>
      </c>
      <c r="U33" s="7">
        <f>+[3]Resumen!U33*1000</f>
        <v>123576.25379999999</v>
      </c>
      <c r="V33" s="7">
        <f>+[3]Resumen!V33*1000</f>
        <v>120601.149672</v>
      </c>
      <c r="W33" s="7">
        <f>+[3]Resumen!W33*1000</f>
        <v>117778.58620799999</v>
      </c>
      <c r="X33" s="7">
        <f>+[3]Resumen!X33*1000</f>
        <v>135661.24838400001</v>
      </c>
      <c r="Y33" s="7">
        <f>+[3]Resumen!Y33*1000</f>
        <v>156681.51808799998</v>
      </c>
      <c r="Z33" s="7">
        <f>+[3]Resumen!Z33*1000</f>
        <v>143027.40213599999</v>
      </c>
      <c r="AA33" s="7">
        <f>+[3]Resumen!AA33*1000</f>
        <v>117137.74730399999</v>
      </c>
      <c r="AB33" s="7">
        <f>+[3]Resumen!AB33*1000</f>
        <v>81411.973007999986</v>
      </c>
      <c r="AC33" s="7">
        <f>+[3]Resumen!AC33*1000</f>
        <v>49037.522687999997</v>
      </c>
      <c r="AD33" s="7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+[3]Resumen!F34*1000</f>
        <v>76850.019</v>
      </c>
      <c r="G34" s="7">
        <f>+[3]Resumen!G34*1000</f>
        <v>57309.908111999997</v>
      </c>
      <c r="H34" s="7">
        <f>+[3]Resumen!H34*1000</f>
        <v>45039.413688000001</v>
      </c>
      <c r="I34" s="7">
        <f>+[3]Resumen!I34*1000</f>
        <v>38672.446896000001</v>
      </c>
      <c r="J34" s="7">
        <f>+[3]Resumen!J34*1000</f>
        <v>37778.919383999993</v>
      </c>
      <c r="K34" s="7">
        <f>+[3]Resumen!K34*1000</f>
        <v>37908.979416000002</v>
      </c>
      <c r="L34" s="7">
        <f>+[3]Resumen!L34*1000</f>
        <v>50107.776527999995</v>
      </c>
      <c r="M34" s="7">
        <f>+[3]Resumen!M34*1000</f>
        <v>52412.755319999997</v>
      </c>
      <c r="N34" s="7">
        <f>+[3]Resumen!N34*1000</f>
        <v>73975.812648000006</v>
      </c>
      <c r="O34" s="7">
        <f>+[3]Resumen!O34*1000</f>
        <v>91111.059479999982</v>
      </c>
      <c r="P34" s="7">
        <f>+[3]Resumen!P34*1000</f>
        <v>105427.73558399999</v>
      </c>
      <c r="Q34" s="7">
        <f>+[3]Resumen!Q34*1000</f>
        <v>124106.73367199999</v>
      </c>
      <c r="R34" s="7">
        <f>+[3]Resumen!R34*1000</f>
        <v>131620.33687199999</v>
      </c>
      <c r="S34" s="7">
        <f>+[3]Resumen!S34*1000</f>
        <v>134623.63850399997</v>
      </c>
      <c r="T34" s="7">
        <f>+[3]Resumen!T34*1000</f>
        <v>132808.051656</v>
      </c>
      <c r="U34" s="7">
        <f>+[3]Resumen!U34*1000</f>
        <v>131982.00424799998</v>
      </c>
      <c r="V34" s="7">
        <f>+[3]Resumen!V34*1000</f>
        <v>129213.662712</v>
      </c>
      <c r="W34" s="7">
        <f>+[3]Resumen!W34*1000</f>
        <v>126867.35241599998</v>
      </c>
      <c r="X34" s="7">
        <f>+[3]Resumen!X34*1000</f>
        <v>143443.08607199998</v>
      </c>
      <c r="Y34" s="7">
        <f>+[3]Resumen!Y34*1000</f>
        <v>163417.75087199998</v>
      </c>
      <c r="Z34" s="7">
        <f>+[3]Resumen!Z34*1000</f>
        <v>156331.58056799998</v>
      </c>
      <c r="AA34" s="7">
        <f>+[3]Resumen!AA34*1000</f>
        <v>139573.80489599999</v>
      </c>
      <c r="AB34" s="7">
        <f>+[3]Resumen!AB34*1000</f>
        <v>105897.775176</v>
      </c>
      <c r="AC34" s="7">
        <f>+[3]Resumen!AC34*1000</f>
        <v>71830.380911999993</v>
      </c>
      <c r="AD34" s="7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+[3]Resumen!F35*1000</f>
        <v>57981.509231999997</v>
      </c>
      <c r="G35" s="7">
        <f>+[3]Resumen!G35*1000</f>
        <v>42419.658287999999</v>
      </c>
      <c r="H35" s="7">
        <f>+[3]Resumen!H35*1000</f>
        <v>34146.322439999996</v>
      </c>
      <c r="I35" s="7">
        <f>+[3]Resumen!I35*1000</f>
        <v>33523.527263999997</v>
      </c>
      <c r="J35" s="7">
        <f>+[3]Resumen!J35*1000</f>
        <v>51914.866871999999</v>
      </c>
      <c r="K35" s="7">
        <f>+[3]Resumen!K35*1000</f>
        <v>91534.026815999998</v>
      </c>
      <c r="L35" s="7">
        <f>+[3]Resumen!L35*1000</f>
        <v>128355.15283199999</v>
      </c>
      <c r="M35" s="7">
        <f>+[3]Resumen!M35*1000</f>
        <v>130672.02864</v>
      </c>
      <c r="N35" s="7">
        <f>+[3]Resumen!N35*1000</f>
        <v>150444.38207999998</v>
      </c>
      <c r="O35" s="7">
        <f>+[3]Resumen!O35*1000</f>
        <v>163254.03914399998</v>
      </c>
      <c r="P35" s="7">
        <f>+[3]Resumen!P35*1000</f>
        <v>183289.25884799997</v>
      </c>
      <c r="Q35" s="7">
        <f>+[3]Resumen!Q35*1000</f>
        <v>200973.10569599998</v>
      </c>
      <c r="R35" s="7">
        <f>+[3]Resumen!R35*1000</f>
        <v>203984.06325599999</v>
      </c>
      <c r="S35" s="7">
        <f>+[3]Resumen!S35*1000</f>
        <v>199886.675544</v>
      </c>
      <c r="T35" s="7">
        <f>+[3]Resumen!T35*1000</f>
        <v>204687.79252799999</v>
      </c>
      <c r="U35" s="7">
        <f>+[3]Resumen!U35*1000</f>
        <v>205176.186288</v>
      </c>
      <c r="V35" s="7">
        <f>+[3]Resumen!V35*1000</f>
        <v>197357.84563199998</v>
      </c>
      <c r="W35" s="7">
        <f>+[3]Resumen!W35*1000</f>
        <v>182890.267032</v>
      </c>
      <c r="X35" s="7">
        <f>+[3]Resumen!X35*1000</f>
        <v>197993.74137599999</v>
      </c>
      <c r="Y35" s="7">
        <f>+[3]Resumen!Y35*1000</f>
        <v>210124.73839199997</v>
      </c>
      <c r="Z35" s="7">
        <f>+[3]Resumen!Z35*1000</f>
        <v>190156.49731199999</v>
      </c>
      <c r="AA35" s="7">
        <f>+[3]Resumen!AA35*1000</f>
        <v>155289.71049600001</v>
      </c>
      <c r="AB35" s="7">
        <f>+[3]Resumen!AB35*1000</f>
        <v>111094.93718399999</v>
      </c>
      <c r="AC35" s="7">
        <f>+[3]Resumen!AC35*1000</f>
        <v>73434.166488000003</v>
      </c>
      <c r="AD35" s="70">
        <f t="shared" ref="AD35" si="5">SUM(F35:AC35)*E35+SUM(F36:AC36)*E36+SUM(F37:AC37)*E37+SUM(F38:AC38)*E38</f>
        <v>95790141.917328015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+[3]Resumen!F36*1000</f>
        <v>64152.230183999993</v>
      </c>
      <c r="G36" s="7">
        <f>+[3]Resumen!G36*1000</f>
        <v>47928.860255999993</v>
      </c>
      <c r="H36" s="7">
        <f>+[3]Resumen!H36*1000</f>
        <v>37860.340631999999</v>
      </c>
      <c r="I36" s="7">
        <f>+[3]Resumen!I36*1000</f>
        <v>34394.072663999999</v>
      </c>
      <c r="J36" s="7">
        <f>+[3]Resumen!J36*1000</f>
        <v>43093.069511999995</v>
      </c>
      <c r="K36" s="7">
        <f>+[3]Resumen!K36*1000</f>
        <v>57735.889103999994</v>
      </c>
      <c r="L36" s="7">
        <f>+[3]Resumen!L36*1000</f>
        <v>85946.283528</v>
      </c>
      <c r="M36" s="7">
        <f>+[3]Resumen!M36*1000</f>
        <v>99730.937111999985</v>
      </c>
      <c r="N36" s="7">
        <f>+[3]Resumen!N36*1000</f>
        <v>127699.083264</v>
      </c>
      <c r="O36" s="7">
        <f>+[3]Resumen!O36*1000</f>
        <v>143631.375096</v>
      </c>
      <c r="P36" s="7">
        <f>+[3]Resumen!P36*1000</f>
        <v>158844.415656</v>
      </c>
      <c r="Q36" s="7">
        <f>+[3]Resumen!Q36*1000</f>
        <v>169824.32503199999</v>
      </c>
      <c r="R36" s="7">
        <f>+[3]Resumen!R36*1000</f>
        <v>171727.36521599998</v>
      </c>
      <c r="S36" s="7">
        <f>+[3]Resumen!S36*1000</f>
        <v>165502.08801599997</v>
      </c>
      <c r="T36" s="7">
        <f>+[3]Resumen!T36*1000</f>
        <v>159149.936376</v>
      </c>
      <c r="U36" s="7">
        <f>+[3]Resumen!U36*1000</f>
        <v>156487.93725599998</v>
      </c>
      <c r="V36" s="7">
        <f>+[3]Resumen!V36*1000</f>
        <v>153430.63816799998</v>
      </c>
      <c r="W36" s="7">
        <f>+[3]Resumen!W36*1000</f>
        <v>150737.21296799998</v>
      </c>
      <c r="X36" s="7">
        <f>+[3]Resumen!X36*1000</f>
        <v>167063.06152799999</v>
      </c>
      <c r="Y36" s="7">
        <f>+[3]Resumen!Y36*1000</f>
        <v>175148.10835200001</v>
      </c>
      <c r="Z36" s="7">
        <f>+[3]Resumen!Z36*1000</f>
        <v>155237.05987199998</v>
      </c>
      <c r="AA36" s="7">
        <f>+[3]Resumen!AA36*1000</f>
        <v>127674.09045599999</v>
      </c>
      <c r="AB36" s="7">
        <f>+[3]Resumen!AB36*1000</f>
        <v>96576.584927999997</v>
      </c>
      <c r="AC36" s="7">
        <f>+[3]Resumen!AC36*1000</f>
        <v>67395.965207999994</v>
      </c>
      <c r="AD36" s="7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+[3]Resumen!F37*1000</f>
        <v>58564.138247999996</v>
      </c>
      <c r="G37" s="7">
        <f>+[3]Resumen!G37*1000</f>
        <v>41796.786696000003</v>
      </c>
      <c r="H37" s="7">
        <f>+[3]Resumen!H37*1000</f>
        <v>30058.563144</v>
      </c>
      <c r="I37" s="7">
        <f>+[3]Resumen!I37*1000</f>
        <v>24929.196455999998</v>
      </c>
      <c r="J37" s="7">
        <f>+[3]Resumen!J37*1000</f>
        <v>27199.592231999999</v>
      </c>
      <c r="K37" s="7">
        <f>+[3]Resumen!K37*1000</f>
        <v>33846.972311999998</v>
      </c>
      <c r="L37" s="7">
        <f>+[3]Resumen!L37*1000</f>
        <v>43462.034615999997</v>
      </c>
      <c r="M37" s="7">
        <f>+[3]Resumen!M37*1000</f>
        <v>46094.341344</v>
      </c>
      <c r="N37" s="7">
        <f>+[3]Resumen!N37*1000</f>
        <v>66975.586464000007</v>
      </c>
      <c r="O37" s="7">
        <f>+[3]Resumen!O37*1000</f>
        <v>86137.046520000004</v>
      </c>
      <c r="P37" s="7">
        <f>+[3]Resumen!P37*1000</f>
        <v>102393.647856</v>
      </c>
      <c r="Q37" s="7">
        <f>+[3]Resumen!Q37*1000</f>
        <v>119995.42392</v>
      </c>
      <c r="R37" s="7">
        <f>+[3]Resumen!R37*1000</f>
        <v>131250.25895999998</v>
      </c>
      <c r="S37" s="7">
        <f>+[3]Resumen!S37*1000</f>
        <v>133137.04641599997</v>
      </c>
      <c r="T37" s="7">
        <f>+[3]Resumen!T37*1000</f>
        <v>126622.787784</v>
      </c>
      <c r="U37" s="7">
        <f>+[3]Resumen!U37*1000</f>
        <v>123635.13710399999</v>
      </c>
      <c r="V37" s="7">
        <f>+[3]Resumen!V37*1000</f>
        <v>119876.57793599999</v>
      </c>
      <c r="W37" s="7">
        <f>+[3]Resumen!W37*1000</f>
        <v>120194.58789599998</v>
      </c>
      <c r="X37" s="7">
        <f>+[3]Resumen!X37*1000</f>
        <v>143890.46831999999</v>
      </c>
      <c r="Y37" s="7">
        <f>+[3]Resumen!Y37*1000</f>
        <v>157790.69632799999</v>
      </c>
      <c r="Z37" s="7">
        <f>+[3]Resumen!Z37*1000</f>
        <v>143885.94067199997</v>
      </c>
      <c r="AA37" s="7">
        <f>+[3]Resumen!AA37*1000</f>
        <v>119564.12723999999</v>
      </c>
      <c r="AB37" s="7">
        <f>+[3]Resumen!AB37*1000</f>
        <v>85455.210431999993</v>
      </c>
      <c r="AC37" s="7">
        <f>+[3]Resumen!AC37*1000</f>
        <v>54060.876503999993</v>
      </c>
      <c r="AD37" s="7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+[3]Resumen!F38*1000</f>
        <v>52154.235216000001</v>
      </c>
      <c r="G38" s="7">
        <f>+[3]Resumen!G38*1000</f>
        <v>35142.156647999996</v>
      </c>
      <c r="H38" s="7">
        <f>+[3]Resumen!H38*1000</f>
        <v>23644.122911999999</v>
      </c>
      <c r="I38" s="7">
        <f>+[3]Resumen!I38*1000</f>
        <v>21282.152112</v>
      </c>
      <c r="J38" s="7">
        <f>+[3]Resumen!J38*1000</f>
        <v>24258.09204</v>
      </c>
      <c r="K38" s="7">
        <f>+[3]Resumen!K38*1000</f>
        <v>34328.536391999995</v>
      </c>
      <c r="L38" s="7">
        <f>+[3]Resumen!L38*1000</f>
        <v>49186.49568</v>
      </c>
      <c r="M38" s="7">
        <f>+[3]Resumen!M38*1000</f>
        <v>50443.457688000002</v>
      </c>
      <c r="N38" s="7">
        <f>+[3]Resumen!N38*1000</f>
        <v>75095.550623999996</v>
      </c>
      <c r="O38" s="7">
        <f>+[3]Resumen!O38*1000</f>
        <v>94437.471839999998</v>
      </c>
      <c r="P38" s="7">
        <f>+[3]Resumen!P38*1000</f>
        <v>113885.468016</v>
      </c>
      <c r="Q38" s="7">
        <f>+[3]Resumen!Q38*1000</f>
        <v>133948.03509600001</v>
      </c>
      <c r="R38" s="7">
        <f>+[3]Resumen!R38*1000</f>
        <v>146373.96444000001</v>
      </c>
      <c r="S38" s="7">
        <f>+[3]Resumen!S38*1000</f>
        <v>146157.73581599997</v>
      </c>
      <c r="T38" s="7">
        <f>+[3]Resumen!T38*1000</f>
        <v>139103.21128799999</v>
      </c>
      <c r="U38" s="7">
        <f>+[3]Resumen!U38*1000</f>
        <v>131973.25461599999</v>
      </c>
      <c r="V38" s="7">
        <f>+[3]Resumen!V38*1000</f>
        <v>131082.38255999997</v>
      </c>
      <c r="W38" s="7">
        <f>+[3]Resumen!W38*1000</f>
        <v>129172.88522399997</v>
      </c>
      <c r="X38" s="7">
        <f>+[3]Resumen!X38*1000</f>
        <v>150746.88914399999</v>
      </c>
      <c r="Y38" s="7">
        <f>+[3]Resumen!Y38*1000</f>
        <v>170781.015144</v>
      </c>
      <c r="Z38" s="7">
        <f>+[3]Resumen!Z38*1000</f>
        <v>154092.83534399999</v>
      </c>
      <c r="AA38" s="7">
        <f>+[3]Resumen!AA38*1000</f>
        <v>124376.037984</v>
      </c>
      <c r="AB38" s="7">
        <f>+[3]Resumen!AB38*1000</f>
        <v>88182.091511999999</v>
      </c>
      <c r="AC38" s="7">
        <f>+[3]Resumen!AC38*1000</f>
        <v>53509.683119999994</v>
      </c>
      <c r="AD38" s="7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+[3]Resumen!F39*1000</f>
        <v>53815.170407999998</v>
      </c>
      <c r="G39" s="7">
        <f>+[3]Resumen!G39*1000</f>
        <v>39293.431967999997</v>
      </c>
      <c r="H39" s="7">
        <f>+[3]Resumen!H39*1000</f>
        <v>31743.139535999999</v>
      </c>
      <c r="I39" s="7">
        <f>+[3]Resumen!I39*1000</f>
        <v>31281.801815999999</v>
      </c>
      <c r="J39" s="7">
        <f>+[3]Resumen!J39*1000</f>
        <v>49651.353311999992</v>
      </c>
      <c r="K39" s="7">
        <f>+[3]Resumen!K39*1000</f>
        <v>90205.453464000006</v>
      </c>
      <c r="L39" s="7">
        <f>+[3]Resumen!L39*1000</f>
        <v>125473.529352</v>
      </c>
      <c r="M39" s="7">
        <f>+[3]Resumen!M39*1000</f>
        <v>125482.40793599999</v>
      </c>
      <c r="N39" s="7">
        <f>+[3]Resumen!N39*1000</f>
        <v>144963.124488</v>
      </c>
      <c r="O39" s="7">
        <f>+[3]Resumen!O39*1000</f>
        <v>157854.11205599998</v>
      </c>
      <c r="P39" s="7">
        <f>+[3]Resumen!P39*1000</f>
        <v>178616.61626399998</v>
      </c>
      <c r="Q39" s="7">
        <f>+[3]Resumen!Q39*1000</f>
        <v>196519.60032</v>
      </c>
      <c r="R39" s="7">
        <f>+[3]Resumen!R39*1000</f>
        <v>197803.08823199998</v>
      </c>
      <c r="S39" s="7">
        <f>+[3]Resumen!S39*1000</f>
        <v>194030.16285599998</v>
      </c>
      <c r="T39" s="7">
        <f>+[3]Resumen!T39*1000</f>
        <v>198073.20924</v>
      </c>
      <c r="U39" s="7">
        <f>+[3]Resumen!U39*1000</f>
        <v>199394.924256</v>
      </c>
      <c r="V39" s="7">
        <f>+[3]Resumen!V39*1000</f>
        <v>192349.60785599999</v>
      </c>
      <c r="W39" s="7">
        <f>+[3]Resumen!W39*1000</f>
        <v>181130.59281599999</v>
      </c>
      <c r="X39" s="7">
        <f>+[3]Resumen!X39*1000</f>
        <v>203292.52233599999</v>
      </c>
      <c r="Y39" s="7">
        <f>+[3]Resumen!Y39*1000</f>
        <v>203785.67776799999</v>
      </c>
      <c r="Z39" s="7">
        <f>+[3]Resumen!Z39*1000</f>
        <v>182696.91067199997</v>
      </c>
      <c r="AA39" s="7">
        <f>+[3]Resumen!AA39*1000</f>
        <v>148746.103344</v>
      </c>
      <c r="AB39" s="7">
        <f>+[3]Resumen!AB39*1000</f>
        <v>103975.22980799999</v>
      </c>
      <c r="AC39" s="7">
        <f>+[3]Resumen!AC39*1000</f>
        <v>67134.856511999998</v>
      </c>
      <c r="AD39" s="70">
        <f t="shared" ref="AD39" si="6">SUM(F39:AC39)*E39+SUM(F40:AC40)*E40+SUM(F41:AC41)*E41+SUM(F42:AC42)*E42</f>
        <v>91500865.830119997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+[3]Resumen!F40*1000</f>
        <v>58263.317111999997</v>
      </c>
      <c r="G40" s="7">
        <f>+[3]Resumen!G40*1000</f>
        <v>42470.455823999997</v>
      </c>
      <c r="H40" s="7">
        <f>+[3]Resumen!H40*1000</f>
        <v>32372.964983999991</v>
      </c>
      <c r="I40" s="7">
        <f>+[3]Resumen!I40*1000</f>
        <v>29740.123344</v>
      </c>
      <c r="J40" s="7">
        <f>+[3]Resumen!J40*1000</f>
        <v>39134.844888</v>
      </c>
      <c r="K40" s="7">
        <f>+[3]Resumen!K40*1000</f>
        <v>57034.122767999994</v>
      </c>
      <c r="L40" s="7">
        <f>+[3]Resumen!L40*1000</f>
        <v>83097.351767999993</v>
      </c>
      <c r="M40" s="7">
        <f>+[3]Resumen!M40*1000</f>
        <v>95721.871967999992</v>
      </c>
      <c r="N40" s="7">
        <f>+[3]Resumen!N40*1000</f>
        <v>123297.292416</v>
      </c>
      <c r="O40" s="7">
        <f>+[3]Resumen!O40*1000</f>
        <v>140103.539712</v>
      </c>
      <c r="P40" s="7">
        <f>+[3]Resumen!P40*1000</f>
        <v>159478.95501599996</v>
      </c>
      <c r="Q40" s="7">
        <f>+[3]Resumen!Q40*1000</f>
        <v>173201.463288</v>
      </c>
      <c r="R40" s="7">
        <f>+[3]Resumen!R40*1000</f>
        <v>174139.76102399998</v>
      </c>
      <c r="S40" s="7">
        <f>+[3]Resumen!S40*1000</f>
        <v>167543.76592800001</v>
      </c>
      <c r="T40" s="7">
        <f>+[3]Resumen!T40*1000</f>
        <v>160334.59451999998</v>
      </c>
      <c r="U40" s="7">
        <f>+[3]Resumen!U40*1000</f>
        <v>157963.974384</v>
      </c>
      <c r="V40" s="7">
        <f>+[3]Resumen!V40*1000</f>
        <v>155022.40255199999</v>
      </c>
      <c r="W40" s="7">
        <f>+[3]Resumen!W40*1000</f>
        <v>154340.14139999999</v>
      </c>
      <c r="X40" s="7">
        <f>+[3]Resumen!X40*1000</f>
        <v>177207.385824</v>
      </c>
      <c r="Y40" s="7">
        <f>+[3]Resumen!Y40*1000</f>
        <v>174759.15091199998</v>
      </c>
      <c r="Z40" s="7">
        <f>+[3]Resumen!Z40*1000</f>
        <v>154481.94084</v>
      </c>
      <c r="AA40" s="7">
        <f>+[3]Resumen!AA40*1000</f>
        <v>127054.68624000001</v>
      </c>
      <c r="AB40" s="7">
        <f>+[3]Resumen!AB40*1000</f>
        <v>97507.584935999985</v>
      </c>
      <c r="AC40" s="7">
        <f>+[3]Resumen!AC40*1000</f>
        <v>68774.581487999996</v>
      </c>
      <c r="AD40" s="7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4</v>
      </c>
      <c r="F41" s="7">
        <f>+[3]Resumen!F41*1000</f>
        <v>59633.804639999995</v>
      </c>
      <c r="G41" s="7">
        <f>+[3]Resumen!G41*1000</f>
        <v>40622.287103999995</v>
      </c>
      <c r="H41" s="7">
        <f>+[3]Resumen!H41*1000</f>
        <v>29345.573207999998</v>
      </c>
      <c r="I41" s="7">
        <f>+[3]Resumen!I41*1000</f>
        <v>23358.833327999997</v>
      </c>
      <c r="J41" s="7">
        <f>+[3]Resumen!J41*1000</f>
        <v>24170.796311999999</v>
      </c>
      <c r="K41" s="7">
        <f>+[3]Resumen!K41*1000</f>
        <v>28550.192495999996</v>
      </c>
      <c r="L41" s="7">
        <f>+[3]Resumen!L41*1000</f>
        <v>38924.080007999997</v>
      </c>
      <c r="M41" s="7">
        <f>+[3]Resumen!M41*1000</f>
        <v>40122.421391999997</v>
      </c>
      <c r="N41" s="7">
        <f>+[3]Resumen!N41*1000</f>
        <v>59730.021935999997</v>
      </c>
      <c r="O41" s="7">
        <f>+[3]Resumen!O41*1000</f>
        <v>77805.644064000007</v>
      </c>
      <c r="P41" s="7">
        <f>+[3]Resumen!P41*1000</f>
        <v>96235.602407999992</v>
      </c>
      <c r="Q41" s="7">
        <f>+[3]Resumen!Q41*1000</f>
        <v>114518.302344</v>
      </c>
      <c r="R41" s="7">
        <f>+[3]Resumen!R41*1000</f>
        <v>123761.00380799998</v>
      </c>
      <c r="S41" s="7">
        <f>+[3]Resumen!S41*1000</f>
        <v>126379.770576</v>
      </c>
      <c r="T41" s="7">
        <f>+[3]Resumen!T41*1000</f>
        <v>123467.19861599999</v>
      </c>
      <c r="U41" s="7">
        <f>+[3]Resumen!U41*1000</f>
        <v>122726.74190399999</v>
      </c>
      <c r="V41" s="7">
        <f>+[3]Resumen!V41*1000</f>
        <v>120622.259592</v>
      </c>
      <c r="W41" s="7">
        <f>+[3]Resumen!W41*1000</f>
        <v>123606.33782399999</v>
      </c>
      <c r="X41" s="7">
        <f>+[3]Resumen!X41*1000</f>
        <v>151518.485376</v>
      </c>
      <c r="Y41" s="7">
        <f>+[3]Resumen!Y41*1000</f>
        <v>154763.13739199998</v>
      </c>
      <c r="Z41" s="7">
        <f>+[3]Resumen!Z41*1000</f>
        <v>138855.633</v>
      </c>
      <c r="AA41" s="7">
        <f>+[3]Resumen!AA41*1000</f>
        <v>113845.292304</v>
      </c>
      <c r="AB41" s="7">
        <f>+[3]Resumen!AB41*1000</f>
        <v>80409.734183999986</v>
      </c>
      <c r="AC41" s="7">
        <f>+[3]Resumen!AC41*1000</f>
        <v>47544.172559999999</v>
      </c>
      <c r="AD41" s="7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+[3]Resumen!F42*1000</f>
        <v>0</v>
      </c>
      <c r="G42" s="7">
        <f>+[3]Resumen!G42*1000</f>
        <v>0</v>
      </c>
      <c r="H42" s="7">
        <f>+[3]Resumen!H42*1000</f>
        <v>0</v>
      </c>
      <c r="I42" s="7">
        <f>+[3]Resumen!I42*1000</f>
        <v>0</v>
      </c>
      <c r="J42" s="7">
        <f>+[3]Resumen!J42*1000</f>
        <v>0</v>
      </c>
      <c r="K42" s="7">
        <f>+[3]Resumen!K42*1000</f>
        <v>0</v>
      </c>
      <c r="L42" s="7">
        <f>+[3]Resumen!L42*1000</f>
        <v>0</v>
      </c>
      <c r="M42" s="7">
        <f>+[3]Resumen!M42*1000</f>
        <v>0</v>
      </c>
      <c r="N42" s="7">
        <f>+[3]Resumen!N42*1000</f>
        <v>0</v>
      </c>
      <c r="O42" s="7">
        <f>+[3]Resumen!O42*1000</f>
        <v>0</v>
      </c>
      <c r="P42" s="7">
        <f>+[3]Resumen!P42*1000</f>
        <v>0</v>
      </c>
      <c r="Q42" s="7">
        <f>+[3]Resumen!Q42*1000</f>
        <v>0</v>
      </c>
      <c r="R42" s="7">
        <f>+[3]Resumen!R42*1000</f>
        <v>0</v>
      </c>
      <c r="S42" s="7">
        <f>+[3]Resumen!S42*1000</f>
        <v>0</v>
      </c>
      <c r="T42" s="7">
        <f>+[3]Resumen!T42*1000</f>
        <v>0</v>
      </c>
      <c r="U42" s="7">
        <f>+[3]Resumen!U42*1000</f>
        <v>0</v>
      </c>
      <c r="V42" s="7">
        <f>+[3]Resumen!V42*1000</f>
        <v>0</v>
      </c>
      <c r="W42" s="7">
        <f>+[3]Resumen!W42*1000</f>
        <v>0</v>
      </c>
      <c r="X42" s="7">
        <f>+[3]Resumen!X42*1000</f>
        <v>0</v>
      </c>
      <c r="Y42" s="7">
        <f>+[3]Resumen!Y42*1000</f>
        <v>0</v>
      </c>
      <c r="Z42" s="7">
        <f>+[3]Resumen!Z42*1000</f>
        <v>0</v>
      </c>
      <c r="AA42" s="7">
        <f>+[3]Resumen!AA42*1000</f>
        <v>0</v>
      </c>
      <c r="AB42" s="7">
        <f>+[3]Resumen!AB42*1000</f>
        <v>0</v>
      </c>
      <c r="AC42" s="7">
        <f>+[3]Resumen!AC42*1000</f>
        <v>0</v>
      </c>
      <c r="AD42" s="7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21</v>
      </c>
      <c r="F43" s="7">
        <f>+[3]Resumen!F43*1000</f>
        <v>41907.757055999995</v>
      </c>
      <c r="G43" s="7">
        <f>+[3]Resumen!G43*1000</f>
        <v>27734.155583999996</v>
      </c>
      <c r="H43" s="7">
        <f>+[3]Resumen!H43*1000</f>
        <v>20616.172343999999</v>
      </c>
      <c r="I43" s="7">
        <f>+[3]Resumen!I43*1000</f>
        <v>20787.859991999998</v>
      </c>
      <c r="J43" s="7">
        <f>+[3]Resumen!J43*1000</f>
        <v>38613.926567999995</v>
      </c>
      <c r="K43" s="7">
        <f>+[3]Resumen!K43*1000</f>
        <v>75294.131927999988</v>
      </c>
      <c r="L43" s="7">
        <f>+[3]Resumen!L43*1000</f>
        <v>112450.94865599999</v>
      </c>
      <c r="M43" s="7">
        <f>+[3]Resumen!M43*1000</f>
        <v>118518.918744</v>
      </c>
      <c r="N43" s="7">
        <f>+[3]Resumen!N43*1000</f>
        <v>140314.357128</v>
      </c>
      <c r="O43" s="7">
        <f>+[3]Resumen!O43*1000</f>
        <v>154917.81770399999</v>
      </c>
      <c r="P43" s="7">
        <f>+[3]Resumen!P43*1000</f>
        <v>174826.35400799999</v>
      </c>
      <c r="Q43" s="7">
        <f>+[3]Resumen!Q43*1000</f>
        <v>192856.82860799998</v>
      </c>
      <c r="R43" s="7">
        <f>+[3]Resumen!R43*1000</f>
        <v>196706.38012799999</v>
      </c>
      <c r="S43" s="7">
        <f>+[3]Resumen!S43*1000</f>
        <v>192459.86659199998</v>
      </c>
      <c r="T43" s="7">
        <f>+[3]Resumen!T43*1000</f>
        <v>195408.05318399999</v>
      </c>
      <c r="U43" s="7">
        <f>+[3]Resumen!U43*1000</f>
        <v>195303.61639199997</v>
      </c>
      <c r="V43" s="7">
        <f>+[3]Resumen!V43*1000</f>
        <v>186293.15747999999</v>
      </c>
      <c r="W43" s="7">
        <f>+[3]Resumen!W43*1000</f>
        <v>175936.82654399998</v>
      </c>
      <c r="X43" s="7">
        <f>+[3]Resumen!X43*1000</f>
        <v>192546.13547999997</v>
      </c>
      <c r="Y43" s="7">
        <f>+[3]Resumen!Y43*1000</f>
        <v>186010.65707999998</v>
      </c>
      <c r="Z43" s="7">
        <f>+[3]Resumen!Z43*1000</f>
        <v>164695.20191999999</v>
      </c>
      <c r="AA43" s="7">
        <f>+[3]Resumen!AA43*1000</f>
        <v>132741.91838399999</v>
      </c>
      <c r="AB43" s="7">
        <f>+[3]Resumen!AB43*1000</f>
        <v>91643.053344</v>
      </c>
      <c r="AC43" s="7">
        <f>+[3]Resumen!AC43*1000</f>
        <v>57664.678943999999</v>
      </c>
      <c r="AD43" s="70">
        <f t="shared" ref="AD43" si="7">SUM(F43:AC43)*E43+SUM(F44:AC44)*E44+SUM(F45:AC45)*E45+SUM(F46:AC46)*E46</f>
        <v>88525524.989232004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+[3]Resumen!F44*1000</f>
        <v>58144.752911999996</v>
      </c>
      <c r="G44" s="7">
        <f>+[3]Resumen!G44*1000</f>
        <v>40151.4738</v>
      </c>
      <c r="H44" s="7">
        <f>+[3]Resumen!H44*1000</f>
        <v>30898.575575999999</v>
      </c>
      <c r="I44" s="7">
        <f>+[3]Resumen!I44*1000</f>
        <v>27407.792399999998</v>
      </c>
      <c r="J44" s="7">
        <f>+[3]Resumen!J44*1000</f>
        <v>36245.775624000002</v>
      </c>
      <c r="K44" s="7">
        <f>+[3]Resumen!K44*1000</f>
        <v>51761.605031999999</v>
      </c>
      <c r="L44" s="7">
        <f>+[3]Resumen!L44*1000</f>
        <v>80575.681079999995</v>
      </c>
      <c r="M44" s="7">
        <f>+[3]Resumen!M44*1000</f>
        <v>93675.48969599999</v>
      </c>
      <c r="N44" s="7">
        <f>+[3]Resumen!N44*1000</f>
        <v>122766.37315199999</v>
      </c>
      <c r="O44" s="7">
        <f>+[3]Resumen!O44*1000</f>
        <v>143111.24004</v>
      </c>
      <c r="P44" s="7">
        <f>+[3]Resumen!P44*1000</f>
        <v>162815.60234399998</v>
      </c>
      <c r="Q44" s="7">
        <f>+[3]Resumen!Q44*1000</f>
        <v>176247.37161599999</v>
      </c>
      <c r="R44" s="7">
        <f>+[3]Resumen!R44*1000</f>
        <v>177355.84778400001</v>
      </c>
      <c r="S44" s="7">
        <f>+[3]Resumen!S44*1000</f>
        <v>169536.61879199999</v>
      </c>
      <c r="T44" s="7">
        <f>+[3]Resumen!T44*1000</f>
        <v>161617.55707199997</v>
      </c>
      <c r="U44" s="7">
        <f>+[3]Resumen!U44*1000</f>
        <v>158942.30455199999</v>
      </c>
      <c r="V44" s="7">
        <f>+[3]Resumen!V44*1000</f>
        <v>155831.299344</v>
      </c>
      <c r="W44" s="7">
        <f>+[3]Resumen!W44*1000</f>
        <v>157552.20199199999</v>
      </c>
      <c r="X44" s="7">
        <f>+[3]Resumen!X44*1000</f>
        <v>177376.91472</v>
      </c>
      <c r="Y44" s="7">
        <f>+[3]Resumen!Y44*1000</f>
        <v>168812.40047999998</v>
      </c>
      <c r="Z44" s="7">
        <f>+[3]Resumen!Z44*1000</f>
        <v>148847.922888</v>
      </c>
      <c r="AA44" s="7">
        <f>+[3]Resumen!AA44*1000</f>
        <v>122636.43252</v>
      </c>
      <c r="AB44" s="7">
        <f>+[3]Resumen!AB44*1000</f>
        <v>93200.363664000004</v>
      </c>
      <c r="AC44" s="7">
        <f>+[3]Resumen!AC44*1000</f>
        <v>64593.503928000006</v>
      </c>
      <c r="AD44" s="7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5</v>
      </c>
      <c r="F45" s="7">
        <f>+[3]Resumen!F45*1000</f>
        <v>57372.129839999994</v>
      </c>
      <c r="G45" s="7">
        <f>+[3]Resumen!G45*1000</f>
        <v>40035.001488000002</v>
      </c>
      <c r="H45" s="7">
        <f>+[3]Resumen!H45*1000</f>
        <v>29954.288735999999</v>
      </c>
      <c r="I45" s="7">
        <f>+[3]Resumen!I45*1000</f>
        <v>24320.156159999999</v>
      </c>
      <c r="J45" s="7">
        <f>+[3]Resumen!J45*1000</f>
        <v>25931.186927999999</v>
      </c>
      <c r="K45" s="7">
        <f>+[3]Resumen!K45*1000</f>
        <v>30389.965007999999</v>
      </c>
      <c r="L45" s="7">
        <f>+[3]Resumen!L45*1000</f>
        <v>43984.958855999997</v>
      </c>
      <c r="M45" s="7">
        <f>+[3]Resumen!M45*1000</f>
        <v>47903.093735999995</v>
      </c>
      <c r="N45" s="7">
        <f>+[3]Resumen!N45*1000</f>
        <v>71274.941663999998</v>
      </c>
      <c r="O45" s="7">
        <f>+[3]Resumen!O45*1000</f>
        <v>90158.5818</v>
      </c>
      <c r="P45" s="7">
        <f>+[3]Resumen!P45*1000</f>
        <v>107627.11223999999</v>
      </c>
      <c r="Q45" s="7">
        <f>+[3]Resumen!Q45*1000</f>
        <v>126514.601832</v>
      </c>
      <c r="R45" s="7">
        <f>+[3]Resumen!R45*1000</f>
        <v>136536.71306400001</v>
      </c>
      <c r="S45" s="7">
        <f>+[3]Resumen!S45*1000</f>
        <v>134562.037656</v>
      </c>
      <c r="T45" s="7">
        <f>+[3]Resumen!T45*1000</f>
        <v>128053.19023199999</v>
      </c>
      <c r="U45" s="7">
        <f>+[3]Resumen!U45*1000</f>
        <v>124223.077032</v>
      </c>
      <c r="V45" s="7">
        <f>+[3]Resumen!V45*1000</f>
        <v>118464.29085599999</v>
      </c>
      <c r="W45" s="7">
        <f>+[3]Resumen!W45*1000</f>
        <v>120369.35606399999</v>
      </c>
      <c r="X45" s="7">
        <f>+[3]Resumen!X45*1000</f>
        <v>145528.86079199999</v>
      </c>
      <c r="Y45" s="7">
        <f>+[3]Resumen!Y45*1000</f>
        <v>143451.67332</v>
      </c>
      <c r="Z45" s="7">
        <f>+[3]Resumen!Z45*1000</f>
        <v>127948.123008</v>
      </c>
      <c r="AA45" s="7">
        <f>+[3]Resumen!AA45*1000</f>
        <v>104961.65052</v>
      </c>
      <c r="AB45" s="7">
        <f>+[3]Resumen!AB45*1000</f>
        <v>74015.725679999989</v>
      </c>
      <c r="AC45" s="7">
        <f>+[3]Resumen!AC45*1000</f>
        <v>44389.825151999998</v>
      </c>
      <c r="AD45" s="7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+[3]Resumen!F46*1000</f>
        <v>45801.992832000004</v>
      </c>
      <c r="G46" s="7">
        <f>+[3]Resumen!G46*1000</f>
        <v>30860.052359999998</v>
      </c>
      <c r="H46" s="7">
        <f>+[3]Resumen!H46*1000</f>
        <v>22045.939583999996</v>
      </c>
      <c r="I46" s="7">
        <f>+[3]Resumen!I46*1000</f>
        <v>17500.773216000001</v>
      </c>
      <c r="J46" s="7">
        <f>+[3]Resumen!J46*1000</f>
        <v>22160.439407999998</v>
      </c>
      <c r="K46" s="7">
        <f>+[3]Resumen!K46*1000</f>
        <v>27969.130008</v>
      </c>
      <c r="L46" s="7">
        <f>+[3]Resumen!L46*1000</f>
        <v>40559.554343999996</v>
      </c>
      <c r="M46" s="7">
        <f>+[3]Resumen!M46*1000</f>
        <v>44599.782888000002</v>
      </c>
      <c r="N46" s="7">
        <f>+[3]Resumen!N46*1000</f>
        <v>68024.362632000004</v>
      </c>
      <c r="O46" s="7">
        <f>+[3]Resumen!O46*1000</f>
        <v>84864.500423999983</v>
      </c>
      <c r="P46" s="7">
        <f>+[3]Resumen!P46*1000</f>
        <v>102609.79528799999</v>
      </c>
      <c r="Q46" s="7">
        <f>+[3]Resumen!Q46*1000</f>
        <v>126301.028664</v>
      </c>
      <c r="R46" s="7">
        <f>+[3]Resumen!R46*1000</f>
        <v>142022.99023199998</v>
      </c>
      <c r="S46" s="7">
        <f>+[3]Resumen!S46*1000</f>
        <v>142959.21995999999</v>
      </c>
      <c r="T46" s="7">
        <f>+[3]Resumen!T46*1000</f>
        <v>133408.35187199997</v>
      </c>
      <c r="U46" s="7">
        <f>+[3]Resumen!U46*1000</f>
        <v>131446.11316799998</v>
      </c>
      <c r="V46" s="7">
        <f>+[3]Resumen!V46*1000</f>
        <v>130330.50165599999</v>
      </c>
      <c r="W46" s="7">
        <f>+[3]Resumen!W46*1000</f>
        <v>130869.62131199999</v>
      </c>
      <c r="X46" s="7">
        <f>+[3]Resumen!X46*1000</f>
        <v>154494.95543999999</v>
      </c>
      <c r="Y46" s="7">
        <f>+[3]Resumen!Y46*1000</f>
        <v>153722.25117599999</v>
      </c>
      <c r="Z46" s="7">
        <f>+[3]Resumen!Z46*1000</f>
        <v>133650.781632</v>
      </c>
      <c r="AA46" s="7">
        <f>+[3]Resumen!AA46*1000</f>
        <v>105768.96645599999</v>
      </c>
      <c r="AB46" s="7">
        <f>+[3]Resumen!AB46*1000</f>
        <v>71487.659927999994</v>
      </c>
      <c r="AC46" s="7">
        <f>+[3]Resumen!AC46*1000</f>
        <v>40568.862767999992</v>
      </c>
      <c r="AD46" s="7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+[3]Resumen!F47*1000</f>
        <v>50386.188671999997</v>
      </c>
      <c r="G47" s="7">
        <f>+[3]Resumen!G47*1000</f>
        <v>35369.728272</v>
      </c>
      <c r="H47" s="7">
        <f>+[3]Resumen!H47*1000</f>
        <v>28470.64344</v>
      </c>
      <c r="I47" s="7">
        <f>+[3]Resumen!I47*1000</f>
        <v>28795.569048000001</v>
      </c>
      <c r="J47" s="7">
        <f>+[3]Resumen!J47*1000</f>
        <v>46152.355415999999</v>
      </c>
      <c r="K47" s="7">
        <f>+[3]Resumen!K47*1000</f>
        <v>81302.468879999986</v>
      </c>
      <c r="L47" s="7">
        <f>+[3]Resumen!L47*1000</f>
        <v>120174.414072</v>
      </c>
      <c r="M47" s="7">
        <f>+[3]Resumen!M47*1000</f>
        <v>129176.09947199997</v>
      </c>
      <c r="N47" s="7">
        <f>+[3]Resumen!N47*1000</f>
        <v>150518.625</v>
      </c>
      <c r="O47" s="7">
        <f>+[3]Resumen!O47*1000</f>
        <v>164567.54421599998</v>
      </c>
      <c r="P47" s="7">
        <f>+[3]Resumen!P47*1000</f>
        <v>184140.896064</v>
      </c>
      <c r="Q47" s="7">
        <f>+[3]Resumen!Q47*1000</f>
        <v>202276.89160800001</v>
      </c>
      <c r="R47" s="7">
        <f>+[3]Resumen!R47*1000</f>
        <v>206961.53627999997</v>
      </c>
      <c r="S47" s="7">
        <f>+[3]Resumen!S47*1000</f>
        <v>201462.51196799998</v>
      </c>
      <c r="T47" s="7">
        <f>+[3]Resumen!T47*1000</f>
        <v>202322.20629599999</v>
      </c>
      <c r="U47" s="7">
        <f>+[3]Resumen!U47*1000</f>
        <v>202187.198328</v>
      </c>
      <c r="V47" s="7">
        <f>+[3]Resumen!V47*1000</f>
        <v>195204.61946399999</v>
      </c>
      <c r="W47" s="7">
        <f>+[3]Resumen!W47*1000</f>
        <v>190753.621488</v>
      </c>
      <c r="X47" s="7">
        <f>+[3]Resumen!X47*1000</f>
        <v>208220.15555999998</v>
      </c>
      <c r="Y47" s="7">
        <f>+[3]Resumen!Y47*1000</f>
        <v>200314.25172</v>
      </c>
      <c r="Z47" s="7">
        <f>+[3]Resumen!Z47*1000</f>
        <v>177116.918832</v>
      </c>
      <c r="AA47" s="7">
        <f>+[3]Resumen!AA47*1000</f>
        <v>142970.95936799998</v>
      </c>
      <c r="AB47" s="7">
        <f>+[3]Resumen!AB47*1000</f>
        <v>100955.69932799999</v>
      </c>
      <c r="AC47" s="7">
        <f>+[3]Resumen!AC47*1000</f>
        <v>65295.399215999991</v>
      </c>
      <c r="AD47" s="70">
        <f t="shared" ref="AD47" si="8">SUM(F47:AC47)*E47+SUM(F48:AC48)*E48+SUM(F49:AC49)*E49+SUM(F50:AC50)*E50</f>
        <v>90004301.602175981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+[3]Resumen!F48*1000</f>
        <v>55563.334464</v>
      </c>
      <c r="G48" s="7">
        <f>+[3]Resumen!G48*1000</f>
        <v>38536.765511999998</v>
      </c>
      <c r="H48" s="7">
        <f>+[3]Resumen!H48*1000</f>
        <v>28247.828711999999</v>
      </c>
      <c r="I48" s="7">
        <f>+[3]Resumen!I48*1000</f>
        <v>26164.547063999998</v>
      </c>
      <c r="J48" s="7">
        <f>+[3]Resumen!J48*1000</f>
        <v>36100.088519999998</v>
      </c>
      <c r="K48" s="7">
        <f>+[3]Resumen!K48*1000</f>
        <v>53871.235871999997</v>
      </c>
      <c r="L48" s="7">
        <f>+[3]Resumen!L48*1000</f>
        <v>84765.775727999993</v>
      </c>
      <c r="M48" s="7">
        <f>+[3]Resumen!M48*1000</f>
        <v>101190.6642</v>
      </c>
      <c r="N48" s="7">
        <f>+[3]Resumen!N48*1000</f>
        <v>131222.6298</v>
      </c>
      <c r="O48" s="7">
        <f>+[3]Resumen!O48*1000</f>
        <v>150054.55540799999</v>
      </c>
      <c r="P48" s="7">
        <f>+[3]Resumen!P48*1000</f>
        <v>166682.98267199998</v>
      </c>
      <c r="Q48" s="7">
        <f>+[3]Resumen!Q48*1000</f>
        <v>178481.61307199998</v>
      </c>
      <c r="R48" s="7">
        <f>+[3]Resumen!R48*1000</f>
        <v>180018.214656</v>
      </c>
      <c r="S48" s="7">
        <f>+[3]Resumen!S48*1000</f>
        <v>171546.173328</v>
      </c>
      <c r="T48" s="7">
        <f>+[3]Resumen!T48*1000</f>
        <v>162984.72050399997</v>
      </c>
      <c r="U48" s="7">
        <f>+[3]Resumen!U48*1000</f>
        <v>158366.06104799997</v>
      </c>
      <c r="V48" s="7">
        <f>+[3]Resumen!V48*1000</f>
        <v>154571.85859199998</v>
      </c>
      <c r="W48" s="7">
        <f>+[3]Resumen!W48*1000</f>
        <v>159466.637712</v>
      </c>
      <c r="X48" s="7">
        <f>+[3]Resumen!X48*1000</f>
        <v>181084.74321599997</v>
      </c>
      <c r="Y48" s="7">
        <f>+[3]Resumen!Y48*1000</f>
        <v>173555.59413599997</v>
      </c>
      <c r="Z48" s="7">
        <f>+[3]Resumen!Z48*1000</f>
        <v>152782.33437599998</v>
      </c>
      <c r="AA48" s="7">
        <f>+[3]Resumen!AA48*1000</f>
        <v>124774.58085599999</v>
      </c>
      <c r="AB48" s="7">
        <f>+[3]Resumen!AB48*1000</f>
        <v>94057.307015999992</v>
      </c>
      <c r="AC48" s="7">
        <f>+[3]Resumen!AC48*1000</f>
        <v>63818.550167999994</v>
      </c>
      <c r="AD48" s="7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+[3]Resumen!F49*1000</f>
        <v>49158.689807999996</v>
      </c>
      <c r="G49" s="7">
        <f>+[3]Resumen!G49*1000</f>
        <v>31999.84476</v>
      </c>
      <c r="H49" s="7">
        <f>+[3]Resumen!H49*1000</f>
        <v>21849.684191999997</v>
      </c>
      <c r="I49" s="7">
        <f>+[3]Resumen!I49*1000</f>
        <v>17043.499872</v>
      </c>
      <c r="J49" s="7">
        <f>+[3]Resumen!J49*1000</f>
        <v>19338.420407999998</v>
      </c>
      <c r="K49" s="7">
        <f>+[3]Resumen!K49*1000</f>
        <v>25935.461447999998</v>
      </c>
      <c r="L49" s="7">
        <f>+[3]Resumen!L49*1000</f>
        <v>40353.637103999994</v>
      </c>
      <c r="M49" s="7">
        <f>+[3]Resumen!M49*1000</f>
        <v>46895.095055999998</v>
      </c>
      <c r="N49" s="7">
        <f>+[3]Resumen!N49*1000</f>
        <v>71192.48402399999</v>
      </c>
      <c r="O49" s="7">
        <f>+[3]Resumen!O49*1000</f>
        <v>91550.332079999993</v>
      </c>
      <c r="P49" s="7">
        <f>+[3]Resumen!P49*1000</f>
        <v>107346.03031199999</v>
      </c>
      <c r="Q49" s="7">
        <f>+[3]Resumen!Q49*1000</f>
        <v>123573.36909599999</v>
      </c>
      <c r="R49" s="7">
        <f>+[3]Resumen!R49*1000</f>
        <v>134952.65236799998</v>
      </c>
      <c r="S49" s="7">
        <f>+[3]Resumen!S49*1000</f>
        <v>137192.76830399997</v>
      </c>
      <c r="T49" s="7">
        <f>+[3]Resumen!T49*1000</f>
        <v>131809.56676799999</v>
      </c>
      <c r="U49" s="7">
        <f>+[3]Resumen!U49*1000</f>
        <v>126150.823464</v>
      </c>
      <c r="V49" s="7">
        <f>+[3]Resumen!V49*1000</f>
        <v>121112.081376</v>
      </c>
      <c r="W49" s="7">
        <f>+[3]Resumen!W49*1000</f>
        <v>123973.54058399999</v>
      </c>
      <c r="X49" s="7">
        <f>+[3]Resumen!X49*1000</f>
        <v>148706.48642399997</v>
      </c>
      <c r="Y49" s="7">
        <f>+[3]Resumen!Y49*1000</f>
        <v>144642.392208</v>
      </c>
      <c r="Z49" s="7">
        <f>+[3]Resumen!Z49*1000</f>
        <v>129185.17387199998</v>
      </c>
      <c r="AA49" s="7">
        <f>+[3]Resumen!AA49*1000</f>
        <v>106133.828976</v>
      </c>
      <c r="AB49" s="7">
        <f>+[3]Resumen!AB49*1000</f>
        <v>78080.240183999995</v>
      </c>
      <c r="AC49" s="7">
        <f>+[3]Resumen!AC49*1000</f>
        <v>47464.131575999992</v>
      </c>
      <c r="AD49" s="7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+[3]Resumen!F50*1000</f>
        <v>42503.228735999997</v>
      </c>
      <c r="G50" s="7">
        <f>+[3]Resumen!G50*1000</f>
        <v>27237.900527999998</v>
      </c>
      <c r="H50" s="7">
        <f>+[3]Resumen!H50*1000</f>
        <v>18173.964744000001</v>
      </c>
      <c r="I50" s="7">
        <f>+[3]Resumen!I50*1000</f>
        <v>13936.869479999999</v>
      </c>
      <c r="J50" s="7">
        <f>+[3]Resumen!J50*1000</f>
        <v>18786.018695999999</v>
      </c>
      <c r="K50" s="7">
        <f>+[3]Resumen!K50*1000</f>
        <v>28367.214383999995</v>
      </c>
      <c r="L50" s="7">
        <f>+[3]Resumen!L50*1000</f>
        <v>39447.114095999998</v>
      </c>
      <c r="M50" s="7">
        <f>+[3]Resumen!M50*1000</f>
        <v>40900.756560000002</v>
      </c>
      <c r="N50" s="7">
        <f>+[3]Resumen!N50*1000</f>
        <v>65380.808423999995</v>
      </c>
      <c r="O50" s="7">
        <f>+[3]Resumen!O50*1000</f>
        <v>84128.743295999986</v>
      </c>
      <c r="P50" s="7">
        <f>+[3]Resumen!P50*1000</f>
        <v>105233.104032</v>
      </c>
      <c r="Q50" s="7">
        <f>+[3]Resumen!Q50*1000</f>
        <v>125654.324832</v>
      </c>
      <c r="R50" s="7">
        <f>+[3]Resumen!R50*1000</f>
        <v>139716.76490399998</v>
      </c>
      <c r="S50" s="7">
        <f>+[3]Resumen!S50*1000</f>
        <v>140976.31072800001</v>
      </c>
      <c r="T50" s="7">
        <f>+[3]Resumen!T50*1000</f>
        <v>132297.92231999998</v>
      </c>
      <c r="U50" s="7">
        <f>+[3]Resumen!U50*1000</f>
        <v>125744.07064799998</v>
      </c>
      <c r="V50" s="7">
        <f>+[3]Resumen!V50*1000</f>
        <v>123439.95153599998</v>
      </c>
      <c r="W50" s="7">
        <f>+[3]Resumen!W50*1000</f>
        <v>130453.230528</v>
      </c>
      <c r="X50" s="7">
        <f>+[3]Resumen!X50*1000</f>
        <v>154512.62664</v>
      </c>
      <c r="Y50" s="7">
        <f>+[3]Resumen!Y50*1000</f>
        <v>151827.73137599998</v>
      </c>
      <c r="Z50" s="7">
        <f>+[3]Resumen!Z50*1000</f>
        <v>131575.56664799998</v>
      </c>
      <c r="AA50" s="7">
        <f>+[3]Resumen!AA50*1000</f>
        <v>101827.887672</v>
      </c>
      <c r="AB50" s="7">
        <f>+[3]Resumen!AB50*1000</f>
        <v>67004.806031999993</v>
      </c>
      <c r="AC50" s="7">
        <f>+[3]Resumen!AC50*1000</f>
        <v>34960.802375999992</v>
      </c>
      <c r="AD50" s="7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19</v>
      </c>
      <c r="F51" s="7">
        <f>+[3]Resumen!F51*1000</f>
        <v>67457.475311999995</v>
      </c>
      <c r="G51" s="7">
        <f>+[3]Resumen!G51*1000</f>
        <v>50374.979399999997</v>
      </c>
      <c r="H51" s="7">
        <f>+[3]Resumen!H51*1000</f>
        <v>41157.628943999996</v>
      </c>
      <c r="I51" s="7">
        <f>+[3]Resumen!I51*1000</f>
        <v>39910.295352000001</v>
      </c>
      <c r="J51" s="7">
        <f>+[3]Resumen!J51*1000</f>
        <v>53547.637991999996</v>
      </c>
      <c r="K51" s="7">
        <f>+[3]Resumen!K51*1000</f>
        <v>80008.784207999983</v>
      </c>
      <c r="L51" s="7">
        <f>+[3]Resumen!L51*1000</f>
        <v>113601.214824</v>
      </c>
      <c r="M51" s="7">
        <f>+[3]Resumen!M51*1000</f>
        <v>127704.92431199999</v>
      </c>
      <c r="N51" s="7">
        <f>+[3]Resumen!N51*1000</f>
        <v>155429.126712</v>
      </c>
      <c r="O51" s="7">
        <f>+[3]Resumen!O51*1000</f>
        <v>171801.57470399997</v>
      </c>
      <c r="P51" s="7">
        <f>+[3]Resumen!P51*1000</f>
        <v>190974.49238400001</v>
      </c>
      <c r="Q51" s="7">
        <f>+[3]Resumen!Q51*1000</f>
        <v>209325.73747199998</v>
      </c>
      <c r="R51" s="7">
        <f>+[3]Resumen!R51*1000</f>
        <v>216736.11220800001</v>
      </c>
      <c r="S51" s="7">
        <f>+[3]Resumen!S51*1000</f>
        <v>212274.94135199999</v>
      </c>
      <c r="T51" s="7">
        <f>+[3]Resumen!T51*1000</f>
        <v>213183.40819199997</v>
      </c>
      <c r="U51" s="7">
        <f>+[3]Resumen!U51*1000</f>
        <v>212498.55844799997</v>
      </c>
      <c r="V51" s="7">
        <f>+[3]Resumen!V51*1000</f>
        <v>204607.001712</v>
      </c>
      <c r="W51" s="7">
        <f>+[3]Resumen!W51*1000</f>
        <v>195028.01253599999</v>
      </c>
      <c r="X51" s="7">
        <f>+[3]Resumen!X51*1000</f>
        <v>217272.80087999997</v>
      </c>
      <c r="Y51" s="7">
        <f>+[3]Resumen!Y51*1000</f>
        <v>211558.068528</v>
      </c>
      <c r="Z51" s="7">
        <f>+[3]Resumen!Z51*1000</f>
        <v>189569.93287199998</v>
      </c>
      <c r="AA51" s="7">
        <f>+[3]Resumen!AA51*1000</f>
        <v>159075.941808</v>
      </c>
      <c r="AB51" s="7">
        <f>+[3]Resumen!AB51*1000</f>
        <v>120819.72331199999</v>
      </c>
      <c r="AC51" s="7">
        <f>+[3]Resumen!AC51*1000</f>
        <v>85794.382847999994</v>
      </c>
      <c r="AD51" s="70">
        <f t="shared" ref="AD51" si="9">SUM(F51:AC51)*E51+SUM(F52:AC52)*E52+SUM(F53:AC53)*E53+SUM(F54:AC54)*E54</f>
        <v>98808328.52167201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5</v>
      </c>
      <c r="F52" s="7">
        <f>+[3]Resumen!F52*1000</f>
        <v>77816.729160000003</v>
      </c>
      <c r="G52" s="7">
        <f>+[3]Resumen!G52*1000</f>
        <v>58268.82383999999</v>
      </c>
      <c r="H52" s="7">
        <f>+[3]Resumen!H52*1000</f>
        <v>47488.981103999991</v>
      </c>
      <c r="I52" s="7">
        <f>+[3]Resumen!I52*1000</f>
        <v>43310.196023999997</v>
      </c>
      <c r="J52" s="7">
        <f>+[3]Resumen!J52*1000</f>
        <v>50785.701071999996</v>
      </c>
      <c r="K52" s="7">
        <f>+[3]Resumen!K52*1000</f>
        <v>66401.315447999994</v>
      </c>
      <c r="L52" s="7">
        <f>+[3]Resumen!L52*1000</f>
        <v>92800.622015999994</v>
      </c>
      <c r="M52" s="7">
        <f>+[3]Resumen!M52*1000</f>
        <v>105621.33074399999</v>
      </c>
      <c r="N52" s="7">
        <f>+[3]Resumen!N52*1000</f>
        <v>136848.77690399997</v>
      </c>
      <c r="O52" s="7">
        <f>+[3]Resumen!O52*1000</f>
        <v>158015.970696</v>
      </c>
      <c r="P52" s="7">
        <f>+[3]Resumen!P52*1000</f>
        <v>174145.72147199998</v>
      </c>
      <c r="Q52" s="7">
        <f>+[3]Resumen!Q52*1000</f>
        <v>185526.72887999998</v>
      </c>
      <c r="R52" s="7">
        <f>+[3]Resumen!R52*1000</f>
        <v>187546.23182399999</v>
      </c>
      <c r="S52" s="7">
        <f>+[3]Resumen!S52*1000</f>
        <v>181002.20915999997</v>
      </c>
      <c r="T52" s="7">
        <f>+[3]Resumen!T52*1000</f>
        <v>172916.684736</v>
      </c>
      <c r="U52" s="7">
        <f>+[3]Resumen!U52*1000</f>
        <v>166624.09459199998</v>
      </c>
      <c r="V52" s="7">
        <f>+[3]Resumen!V52*1000</f>
        <v>160624.02967199998</v>
      </c>
      <c r="W52" s="7">
        <f>+[3]Resumen!W52*1000</f>
        <v>160658.03479199999</v>
      </c>
      <c r="X52" s="7">
        <f>+[3]Resumen!X52*1000</f>
        <v>189908.94290399997</v>
      </c>
      <c r="Y52" s="7">
        <f>+[3]Resumen!Y52*1000</f>
        <v>183155.57860799998</v>
      </c>
      <c r="Z52" s="7">
        <f>+[3]Resumen!Z52*1000</f>
        <v>159412.75487999999</v>
      </c>
      <c r="AA52" s="7">
        <f>+[3]Resumen!AA52*1000</f>
        <v>134010.390552</v>
      </c>
      <c r="AB52" s="7">
        <f>+[3]Resumen!AB52*1000</f>
        <v>106529.77847999999</v>
      </c>
      <c r="AC52" s="7">
        <f>+[3]Resumen!AC52*1000</f>
        <v>80502.837527999989</v>
      </c>
      <c r="AD52" s="7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+[3]Resumen!F53*1000</f>
        <v>76549.866504000005</v>
      </c>
      <c r="G53" s="7">
        <f>+[3]Resumen!G53*1000</f>
        <v>55968.788207999998</v>
      </c>
      <c r="H53" s="7">
        <f>+[3]Resumen!H53*1000</f>
        <v>44486.348111999992</v>
      </c>
      <c r="I53" s="7">
        <f>+[3]Resumen!I53*1000</f>
        <v>37692.459455999997</v>
      </c>
      <c r="J53" s="7">
        <f>+[3]Resumen!J53*1000</f>
        <v>36236.715552000001</v>
      </c>
      <c r="K53" s="7">
        <f>+[3]Resumen!K53*1000</f>
        <v>41741.026896000003</v>
      </c>
      <c r="L53" s="7">
        <f>+[3]Resumen!L53*1000</f>
        <v>51113.817047999997</v>
      </c>
      <c r="M53" s="7">
        <f>+[3]Resumen!M53*1000</f>
        <v>51031.402391999996</v>
      </c>
      <c r="N53" s="7">
        <f>+[3]Resumen!N53*1000</f>
        <v>75772.467432000005</v>
      </c>
      <c r="O53" s="7">
        <f>+[3]Resumen!O53*1000</f>
        <v>97271.922767999989</v>
      </c>
      <c r="P53" s="7">
        <f>+[3]Resumen!P53*1000</f>
        <v>114756.744144</v>
      </c>
      <c r="Q53" s="7">
        <f>+[3]Resumen!Q53*1000</f>
        <v>131477.74461599998</v>
      </c>
      <c r="R53" s="7">
        <f>+[3]Resumen!R53*1000</f>
        <v>142817.14351199998</v>
      </c>
      <c r="S53" s="7">
        <f>+[3]Resumen!S53*1000</f>
        <v>146294.45359199998</v>
      </c>
      <c r="T53" s="7">
        <f>+[3]Resumen!T53*1000</f>
        <v>141477.551928</v>
      </c>
      <c r="U53" s="7">
        <f>+[3]Resumen!U53*1000</f>
        <v>138630.53056799999</v>
      </c>
      <c r="V53" s="7">
        <f>+[3]Resumen!V53*1000</f>
        <v>134594.43326399999</v>
      </c>
      <c r="W53" s="7">
        <f>+[3]Resumen!W53*1000</f>
        <v>132733.307256</v>
      </c>
      <c r="X53" s="7">
        <f>+[3]Resumen!X53*1000</f>
        <v>159474.384384</v>
      </c>
      <c r="Y53" s="7">
        <f>+[3]Resumen!Y53*1000</f>
        <v>160753.07719199997</v>
      </c>
      <c r="Z53" s="7">
        <f>+[3]Resumen!Z53*1000</f>
        <v>150092.62012800001</v>
      </c>
      <c r="AA53" s="7">
        <f>+[3]Resumen!AA53*1000</f>
        <v>129698.89953599997</v>
      </c>
      <c r="AB53" s="7">
        <f>+[3]Resumen!AB53*1000</f>
        <v>100135.440432</v>
      </c>
      <c r="AC53" s="7">
        <f>+[3]Resumen!AC53*1000</f>
        <v>67868.636375999995</v>
      </c>
      <c r="AD53" s="7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+[3]Resumen!F54*1000</f>
        <v>69215.955527999991</v>
      </c>
      <c r="G54" s="7">
        <f>+[3]Resumen!G54*1000</f>
        <v>53944.709855999994</v>
      </c>
      <c r="H54" s="7">
        <f>+[3]Resumen!H54*1000</f>
        <v>41671.545647999992</v>
      </c>
      <c r="I54" s="7">
        <f>+[3]Resumen!I54*1000</f>
        <v>33103.000463999997</v>
      </c>
      <c r="J54" s="7">
        <f>+[3]Resumen!J54*1000</f>
        <v>30569.017248</v>
      </c>
      <c r="K54" s="7">
        <f>+[3]Resumen!K54*1000</f>
        <v>32831.422775999992</v>
      </c>
      <c r="L54" s="7">
        <f>+[3]Resumen!L54*1000</f>
        <v>37292.564975999994</v>
      </c>
      <c r="M54" s="7">
        <f>+[3]Resumen!M54*1000</f>
        <v>31939.600296000001</v>
      </c>
      <c r="N54" s="7">
        <f>+[3]Resumen!N54*1000</f>
        <v>50167.046688000002</v>
      </c>
      <c r="O54" s="7">
        <f>+[3]Resumen!O54*1000</f>
        <v>69297.228719999999</v>
      </c>
      <c r="P54" s="7">
        <f>+[3]Resumen!P54*1000</f>
        <v>87427.684104</v>
      </c>
      <c r="Q54" s="7">
        <f>+[3]Resumen!Q54*1000</f>
        <v>104755.862232</v>
      </c>
      <c r="R54" s="7">
        <f>+[3]Resumen!R54*1000</f>
        <v>118906.433832</v>
      </c>
      <c r="S54" s="7">
        <f>+[3]Resumen!S54*1000</f>
        <v>121563.93395999999</v>
      </c>
      <c r="T54" s="7">
        <f>+[3]Resumen!T54*1000</f>
        <v>117282.192648</v>
      </c>
      <c r="U54" s="7">
        <f>+[3]Resumen!U54*1000</f>
        <v>117076.265856</v>
      </c>
      <c r="V54" s="7">
        <f>+[3]Resumen!V54*1000</f>
        <v>115966.03212</v>
      </c>
      <c r="W54" s="7">
        <f>+[3]Resumen!W54*1000</f>
        <v>114446.77696799999</v>
      </c>
      <c r="X54" s="7">
        <f>+[3]Resumen!X54*1000</f>
        <v>146845.61832000001</v>
      </c>
      <c r="Y54" s="7">
        <f>+[3]Resumen!Y54*1000</f>
        <v>147806.47310399998</v>
      </c>
      <c r="Z54" s="7">
        <f>+[3]Resumen!Z54*1000</f>
        <v>134124.09278400001</v>
      </c>
      <c r="AA54" s="7">
        <f>+[3]Resumen!AA54*1000</f>
        <v>113108.00685599999</v>
      </c>
      <c r="AB54" s="7">
        <f>+[3]Resumen!AB54*1000</f>
        <v>85442.291351999986</v>
      </c>
      <c r="AC54" s="7">
        <f>+[3]Resumen!AC54*1000</f>
        <v>55628.703575999993</v>
      </c>
      <c r="AD54" s="7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0" t="s">
        <v>46</v>
      </c>
      <c r="AA55" s="53"/>
      <c r="AB55" s="51"/>
      <c r="AC55" s="52"/>
      <c r="AD55" s="17">
        <f>SUM(AD7:AD54)</f>
        <v>1179025830.153456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  <ignoredErrors>
    <ignoredError sqref="F7:AD5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1CF5-E50B-48A4-9B8E-84DE2A4E3E69}">
  <sheetPr codeName="Hoja3"/>
  <dimension ref="C1:BD57"/>
  <sheetViews>
    <sheetView showGridLines="0" zoomScale="55" zoomScaleNormal="55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12" width="8.6328125" style="1" bestFit="1" customWidth="1"/>
    <col min="13" max="22" width="11.54296875" style="1" customWidth="1"/>
    <col min="23" max="25" width="9" style="1" bestFit="1" customWidth="1"/>
    <col min="26" max="26" width="10.1796875" style="1" customWidth="1"/>
    <col min="27" max="28" width="9" style="1" bestFit="1" customWidth="1"/>
    <col min="29" max="29" width="8.632812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76" t="s">
        <v>0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3:56" ht="18.649999999999999" customHeight="1">
      <c r="C3" s="76" t="s">
        <v>1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3:56" ht="18.649999999999999" customHeight="1">
      <c r="C4" s="76">
        <v>2029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+[4]Resumen!F7*1000</f>
        <v>78165.752236</v>
      </c>
      <c r="G7" s="7">
        <f>+[4]Resumen!G7*1000</f>
        <v>67145.303082000013</v>
      </c>
      <c r="H7" s="7">
        <f>+[4]Resumen!H7*1000</f>
        <v>61035.520832000009</v>
      </c>
      <c r="I7" s="7">
        <f>+[4]Resumen!I7*1000</f>
        <v>60238.89471600001</v>
      </c>
      <c r="J7" s="7">
        <f>+[4]Resumen!J7*1000</f>
        <v>73574.411702000012</v>
      </c>
      <c r="K7" s="7">
        <f>+[4]Resumen!K7*1000</f>
        <v>98036.657158000002</v>
      </c>
      <c r="L7" s="7">
        <f>+[4]Resumen!L7*1000</f>
        <v>123689.06246400002</v>
      </c>
      <c r="M7" s="7">
        <f>+[4]Resumen!M7*1000</f>
        <v>126250.12452800001</v>
      </c>
      <c r="N7" s="7">
        <f>+[4]Resumen!N7*1000</f>
        <v>144986.46775800001</v>
      </c>
      <c r="O7" s="7">
        <f>+[4]Resumen!O7*1000</f>
        <v>156776.93550200004</v>
      </c>
      <c r="P7" s="7">
        <f>+[4]Resumen!P7*1000</f>
        <v>173031.77700600002</v>
      </c>
      <c r="Q7" s="7">
        <f>+[4]Resumen!Q7*1000</f>
        <v>187104.52274800002</v>
      </c>
      <c r="R7" s="7">
        <f>+[4]Resumen!R7*1000</f>
        <v>192068.59482800003</v>
      </c>
      <c r="S7" s="7">
        <f>+[4]Resumen!S7*1000</f>
        <v>189548.87162200001</v>
      </c>
      <c r="T7" s="7">
        <f>+[4]Resumen!T7*1000</f>
        <v>191845.26141000001</v>
      </c>
      <c r="U7" s="7">
        <f>+[4]Resumen!U7*1000</f>
        <v>191592.534166</v>
      </c>
      <c r="V7" s="7">
        <f>+[4]Resumen!V7*1000</f>
        <v>184898.99256400001</v>
      </c>
      <c r="W7" s="7">
        <f>+[4]Resumen!W7*1000</f>
        <v>184734.47957800003</v>
      </c>
      <c r="X7" s="7">
        <f>+[4]Resumen!X7*1000</f>
        <v>201959.94671600001</v>
      </c>
      <c r="Y7" s="7">
        <f>+[4]Resumen!Y7*1000</f>
        <v>208416.84949800003</v>
      </c>
      <c r="Z7" s="7">
        <f>+[4]Resumen!Z7*1000</f>
        <v>193328.19583000001</v>
      </c>
      <c r="AA7" s="7">
        <f>+[4]Resumen!AA7*1000</f>
        <v>164312.82476400002</v>
      </c>
      <c r="AB7" s="7">
        <f>+[4]Resumen!AB7*1000</f>
        <v>132100.37768400004</v>
      </c>
      <c r="AC7" s="7">
        <f>+[4]Resumen!AC7*1000</f>
        <v>100906.71333600002</v>
      </c>
      <c r="AD7" s="70">
        <f>SUM(F7:AC7)*E7+SUM(F8:AC8)*E8+SUM(F9:AC9)*E9+SUM(F10:AC10)*E10</f>
        <v>100485238.48726001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+[4]Resumen!F8*1000</f>
        <v>83570.220338000014</v>
      </c>
      <c r="G8" s="7">
        <f>+[4]Resumen!G8*1000</f>
        <v>71056.193098000003</v>
      </c>
      <c r="H8" s="7">
        <f>+[4]Resumen!H8*1000</f>
        <v>63851.978432000011</v>
      </c>
      <c r="I8" s="7">
        <f>+[4]Resumen!I8*1000</f>
        <v>61241.707032000006</v>
      </c>
      <c r="J8" s="7">
        <f>+[4]Resumen!J8*1000</f>
        <v>67736.696896000009</v>
      </c>
      <c r="K8" s="7">
        <f>+[4]Resumen!K8*1000</f>
        <v>79932.928592000011</v>
      </c>
      <c r="L8" s="7">
        <f>+[4]Resumen!L8*1000</f>
        <v>99301.552129999996</v>
      </c>
      <c r="M8" s="7">
        <f>+[4]Resumen!M8*1000</f>
        <v>104243.38953600002</v>
      </c>
      <c r="N8" s="7">
        <f>+[4]Resumen!N8*1000</f>
        <v>125995.95168600001</v>
      </c>
      <c r="O8" s="7">
        <f>+[4]Resumen!O8*1000</f>
        <v>142171.97040200004</v>
      </c>
      <c r="P8" s="7">
        <f>+[4]Resumen!P8*1000</f>
        <v>155789.811694</v>
      </c>
      <c r="Q8" s="7">
        <f>+[4]Resumen!Q8*1000</f>
        <v>167410.01356200001</v>
      </c>
      <c r="R8" s="7">
        <f>+[4]Resumen!R8*1000</f>
        <v>169855.09343000001</v>
      </c>
      <c r="S8" s="7">
        <f>+[4]Resumen!S8*1000</f>
        <v>164974.50873200002</v>
      </c>
      <c r="T8" s="7">
        <f>+[4]Resumen!T8*1000</f>
        <v>158756.51314600001</v>
      </c>
      <c r="U8" s="7">
        <f>+[4]Resumen!U8*1000</f>
        <v>155540.03137200003</v>
      </c>
      <c r="V8" s="7">
        <f>+[4]Resumen!V8*1000</f>
        <v>152439.41706400001</v>
      </c>
      <c r="W8" s="7">
        <f>+[4]Resumen!W8*1000</f>
        <v>160420.602958</v>
      </c>
      <c r="X8" s="7">
        <f>+[4]Resumen!X8*1000</f>
        <v>176793.63603000002</v>
      </c>
      <c r="Y8" s="7">
        <f>+[4]Resumen!Y8*1000</f>
        <v>181607.51015000002</v>
      </c>
      <c r="Z8" s="7">
        <f>+[4]Resumen!Z8*1000</f>
        <v>167589.65779600001</v>
      </c>
      <c r="AA8" s="7">
        <f>+[4]Resumen!AA8*1000</f>
        <v>147034.36875600001</v>
      </c>
      <c r="AB8" s="7">
        <f>+[4]Resumen!AB8*1000</f>
        <v>124552.64173</v>
      </c>
      <c r="AC8" s="7">
        <f>+[4]Resumen!AC8*1000</f>
        <v>102148.78359400001</v>
      </c>
      <c r="AD8" s="7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+[4]Resumen!F9*1000</f>
        <v>83727.066082000005</v>
      </c>
      <c r="G9" s="7">
        <f>+[4]Resumen!G9*1000</f>
        <v>70132.872282000011</v>
      </c>
      <c r="H9" s="7">
        <f>+[4]Resumen!H9*1000</f>
        <v>61463.847258000002</v>
      </c>
      <c r="I9" s="7">
        <f>+[4]Resumen!I9*1000</f>
        <v>56879.39708000001</v>
      </c>
      <c r="J9" s="7">
        <f>+[4]Resumen!J9*1000</f>
        <v>58192.442594000007</v>
      </c>
      <c r="K9" s="7">
        <f>+[4]Resumen!K9*1000</f>
        <v>63389.328068000003</v>
      </c>
      <c r="L9" s="7">
        <f>+[4]Resumen!L9*1000</f>
        <v>72347.961114000005</v>
      </c>
      <c r="M9" s="7">
        <f>+[4]Resumen!M9*1000</f>
        <v>69934.084528000007</v>
      </c>
      <c r="N9" s="7">
        <f>+[4]Resumen!N9*1000</f>
        <v>86818.492156000022</v>
      </c>
      <c r="O9" s="7">
        <f>+[4]Resumen!O9*1000</f>
        <v>102439.33895800001</v>
      </c>
      <c r="P9" s="7">
        <f>+[4]Resumen!P9*1000</f>
        <v>114785.03434200001</v>
      </c>
      <c r="Q9" s="7">
        <f>+[4]Resumen!Q9*1000</f>
        <v>129184.64585400003</v>
      </c>
      <c r="R9" s="7">
        <f>+[4]Resumen!R9*1000</f>
        <v>138635.56894</v>
      </c>
      <c r="S9" s="7">
        <f>+[4]Resumen!S9*1000</f>
        <v>141078.718066</v>
      </c>
      <c r="T9" s="7">
        <f>+[4]Resumen!T9*1000</f>
        <v>137126.023716</v>
      </c>
      <c r="U9" s="7">
        <f>+[4]Resumen!U9*1000</f>
        <v>133368.924348</v>
      </c>
      <c r="V9" s="7">
        <f>+[4]Resumen!V9*1000</f>
        <v>129945.53849200002</v>
      </c>
      <c r="W9" s="7">
        <f>+[4]Resumen!W9*1000</f>
        <v>139365.42547400002</v>
      </c>
      <c r="X9" s="7">
        <f>+[4]Resumen!X9*1000</f>
        <v>156592.25953800001</v>
      </c>
      <c r="Y9" s="7">
        <f>+[4]Resumen!Y9*1000</f>
        <v>166116.32463800002</v>
      </c>
      <c r="Z9" s="7">
        <f>+[4]Resumen!Z9*1000</f>
        <v>155753.59635000001</v>
      </c>
      <c r="AA9" s="7">
        <f>+[4]Resumen!AA9*1000</f>
        <v>138064.46266800002</v>
      </c>
      <c r="AB9" s="7">
        <f>+[4]Resumen!AB9*1000</f>
        <v>114607.13728200001</v>
      </c>
      <c r="AC9" s="7">
        <f>+[4]Resumen!AC9*1000</f>
        <v>89834.524229999995</v>
      </c>
      <c r="AD9" s="7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+[4]Resumen!F10*1000</f>
        <v>78901.004358000006</v>
      </c>
      <c r="G10" s="7">
        <f>+[4]Resumen!G10*1000</f>
        <v>69201.982564000005</v>
      </c>
      <c r="H10" s="7">
        <f>+[4]Resumen!H10*1000</f>
        <v>59889.587758000001</v>
      </c>
      <c r="I10" s="7">
        <f>+[4]Resumen!I10*1000</f>
        <v>54439.201432000009</v>
      </c>
      <c r="J10" s="7">
        <f>+[4]Resumen!J10*1000</f>
        <v>54319.856008000002</v>
      </c>
      <c r="K10" s="7">
        <f>+[4]Resumen!K10*1000</f>
        <v>57766.941804000002</v>
      </c>
      <c r="L10" s="7">
        <f>+[4]Resumen!L10*1000</f>
        <v>59999.358144000013</v>
      </c>
      <c r="M10" s="7">
        <f>+[4]Resumen!M10*1000</f>
        <v>51904.805898000006</v>
      </c>
      <c r="N10" s="7">
        <f>+[4]Resumen!N10*1000</f>
        <v>63992.221106000005</v>
      </c>
      <c r="O10" s="7">
        <f>+[4]Resumen!O10*1000</f>
        <v>76737.370292000007</v>
      </c>
      <c r="P10" s="7">
        <f>+[4]Resumen!P10*1000</f>
        <v>90651.552618000016</v>
      </c>
      <c r="Q10" s="7">
        <f>+[4]Resumen!Q10*1000</f>
        <v>105689.597244</v>
      </c>
      <c r="R10" s="7">
        <f>+[4]Resumen!R10*1000</f>
        <v>116731.75331400002</v>
      </c>
      <c r="S10" s="7">
        <f>+[4]Resumen!S10*1000</f>
        <v>118798.40119400001</v>
      </c>
      <c r="T10" s="7">
        <f>+[4]Resumen!T10*1000</f>
        <v>115633.04966400002</v>
      </c>
      <c r="U10" s="7">
        <f>+[4]Resumen!U10*1000</f>
        <v>111808.600508</v>
      </c>
      <c r="V10" s="7">
        <f>+[4]Resumen!V10*1000</f>
        <v>109366.56918000001</v>
      </c>
      <c r="W10" s="7">
        <f>+[4]Resumen!W10*1000</f>
        <v>120629.308426</v>
      </c>
      <c r="X10" s="7">
        <f>+[4]Resumen!X10*1000</f>
        <v>142584.69027000002</v>
      </c>
      <c r="Y10" s="7">
        <f>+[4]Resumen!Y10*1000</f>
        <v>150232.97887400002</v>
      </c>
      <c r="Z10" s="7">
        <f>+[4]Resumen!Z10*1000</f>
        <v>139551.78960800002</v>
      </c>
      <c r="AA10" s="7">
        <f>+[4]Resumen!AA10*1000</f>
        <v>122570.19911400002</v>
      </c>
      <c r="AB10" s="7">
        <f>+[4]Resumen!AB10*1000</f>
        <v>102086.34097200001</v>
      </c>
      <c r="AC10" s="7">
        <f>+[4]Resumen!AC10*1000</f>
        <v>81170.445707999999</v>
      </c>
      <c r="AD10" s="7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+[4]Resumen!F11*1000</f>
        <v>83547.084214000017</v>
      </c>
      <c r="G11" s="7">
        <f>+[4]Resumen!G11*1000</f>
        <v>72641.063484000013</v>
      </c>
      <c r="H11" s="7">
        <f>+[4]Resumen!H11*1000</f>
        <v>67346.703401999999</v>
      </c>
      <c r="I11" s="7">
        <f>+[4]Resumen!I11*1000</f>
        <v>67333.017752</v>
      </c>
      <c r="J11" s="7">
        <f>+[4]Resumen!J11*1000</f>
        <v>85701.428428000014</v>
      </c>
      <c r="K11" s="7">
        <f>+[4]Resumen!K11*1000</f>
        <v>122066.08205000001</v>
      </c>
      <c r="L11" s="7">
        <f>+[4]Resumen!L11*1000</f>
        <v>150327.91631000003</v>
      </c>
      <c r="M11" s="7">
        <f>+[4]Resumen!M11*1000</f>
        <v>146843.022062</v>
      </c>
      <c r="N11" s="7">
        <f>+[4]Resumen!N11*1000</f>
        <v>162446.02343200002</v>
      </c>
      <c r="O11" s="7">
        <f>+[4]Resumen!O11*1000</f>
        <v>172114.740116</v>
      </c>
      <c r="P11" s="7">
        <f>+[4]Resumen!P11*1000</f>
        <v>188148.96238600003</v>
      </c>
      <c r="Q11" s="7">
        <f>+[4]Resumen!Q11*1000</f>
        <v>201297.75793600001</v>
      </c>
      <c r="R11" s="7">
        <f>+[4]Resumen!R11*1000</f>
        <v>202037.09116800004</v>
      </c>
      <c r="S11" s="7">
        <f>+[4]Resumen!S11*1000</f>
        <v>198368.22900400005</v>
      </c>
      <c r="T11" s="7">
        <f>+[4]Resumen!T11*1000</f>
        <v>200816.52131200003</v>
      </c>
      <c r="U11" s="7">
        <f>+[4]Resumen!U11*1000</f>
        <v>201316.53432000004</v>
      </c>
      <c r="V11" s="7">
        <f>+[4]Resumen!V11*1000</f>
        <v>195239.40422800003</v>
      </c>
      <c r="W11" s="7">
        <f>+[4]Resumen!W11*1000</f>
        <v>196077.22497000004</v>
      </c>
      <c r="X11" s="7">
        <f>+[4]Resumen!X11*1000</f>
        <v>213712.22903800002</v>
      </c>
      <c r="Y11" s="7">
        <f>+[4]Resumen!Y11*1000</f>
        <v>222110.75350200001</v>
      </c>
      <c r="Z11" s="7">
        <f>+[4]Resumen!Z11*1000</f>
        <v>205863.75953000001</v>
      </c>
      <c r="AA11" s="7">
        <f>+[4]Resumen!AA11*1000</f>
        <v>173525.09961600002</v>
      </c>
      <c r="AB11" s="7">
        <f>+[4]Resumen!AB11*1000</f>
        <v>138575.28324200003</v>
      </c>
      <c r="AC11" s="7">
        <f>+[4]Resumen!AC11*1000</f>
        <v>105338.53327800002</v>
      </c>
      <c r="AD11" s="70">
        <f t="shared" ref="AD11" si="0">SUM(F11:AC11)*E11+SUM(F12:AC12)*E12+SUM(F13:AC13)*E13+SUM(F14:AC14)*E14</f>
        <v>101309637.805728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+[4]Resumen!F12*1000</f>
        <v>98553.024108000012</v>
      </c>
      <c r="G12" s="7">
        <f>+[4]Resumen!G12*1000</f>
        <v>85516.221428000019</v>
      </c>
      <c r="H12" s="7">
        <f>+[4]Resumen!H12*1000</f>
        <v>77422.944324000011</v>
      </c>
      <c r="I12" s="7">
        <f>+[4]Resumen!I12*1000</f>
        <v>75796.476118000006</v>
      </c>
      <c r="J12" s="7">
        <f>+[4]Resumen!J12*1000</f>
        <v>83298.280736000001</v>
      </c>
      <c r="K12" s="7">
        <f>+[4]Resumen!K12*1000</f>
        <v>97264.81927800001</v>
      </c>
      <c r="L12" s="7">
        <f>+[4]Resumen!L12*1000</f>
        <v>121139.486512</v>
      </c>
      <c r="M12" s="7">
        <f>+[4]Resumen!M12*1000</f>
        <v>127270.17584600001</v>
      </c>
      <c r="N12" s="7">
        <f>+[4]Resumen!N12*1000</f>
        <v>151802.56066800002</v>
      </c>
      <c r="O12" s="7">
        <f>+[4]Resumen!O12*1000</f>
        <v>167196.90422600001</v>
      </c>
      <c r="P12" s="7">
        <f>+[4]Resumen!P12*1000</f>
        <v>181447.14711200004</v>
      </c>
      <c r="Q12" s="7">
        <f>+[4]Resumen!Q12*1000</f>
        <v>189886.74819400001</v>
      </c>
      <c r="R12" s="7">
        <f>+[4]Resumen!R12*1000</f>
        <v>189966.70517000003</v>
      </c>
      <c r="S12" s="7">
        <f>+[4]Resumen!S12*1000</f>
        <v>182573.40563000002</v>
      </c>
      <c r="T12" s="7">
        <f>+[4]Resumen!T12*1000</f>
        <v>175445.09633199999</v>
      </c>
      <c r="U12" s="7">
        <f>+[4]Resumen!U12*1000</f>
        <v>172892.88814600001</v>
      </c>
      <c r="V12" s="7">
        <f>+[4]Resumen!V12*1000</f>
        <v>169730.72938800004</v>
      </c>
      <c r="W12" s="7">
        <f>+[4]Resumen!W12*1000</f>
        <v>177563.23503600003</v>
      </c>
      <c r="X12" s="7">
        <f>+[4]Resumen!X12*1000</f>
        <v>193181.12180400002</v>
      </c>
      <c r="Y12" s="7">
        <f>+[4]Resumen!Y12*1000</f>
        <v>199098.823088</v>
      </c>
      <c r="Z12" s="7">
        <f>+[4]Resumen!Z12*1000</f>
        <v>185352.03511</v>
      </c>
      <c r="AA12" s="7">
        <f>+[4]Resumen!AA12*1000</f>
        <v>163554.07593800002</v>
      </c>
      <c r="AB12" s="7">
        <f>+[4]Resumen!AB12*1000</f>
        <v>137902.69664600003</v>
      </c>
      <c r="AC12" s="7">
        <f>+[4]Resumen!AC12*1000</f>
        <v>112959.12933800001</v>
      </c>
      <c r="AD12" s="7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+[4]Resumen!F13*1000</f>
        <v>94588.837090000001</v>
      </c>
      <c r="G13" s="7">
        <f>+[4]Resumen!G13*1000</f>
        <v>80674.503976000007</v>
      </c>
      <c r="H13" s="7">
        <f>+[4]Resumen!H13*1000</f>
        <v>71832.525116000004</v>
      </c>
      <c r="I13" s="7">
        <f>+[4]Resumen!I13*1000</f>
        <v>67370.393508000008</v>
      </c>
      <c r="J13" s="7">
        <f>+[4]Resumen!J13*1000</f>
        <v>69182.99311000001</v>
      </c>
      <c r="K13" s="7">
        <f>+[4]Resumen!K13*1000</f>
        <v>74714.975412000014</v>
      </c>
      <c r="L13" s="7">
        <f>+[4]Resumen!L13*1000</f>
        <v>85629.384544000015</v>
      </c>
      <c r="M13" s="7">
        <f>+[4]Resumen!M13*1000</f>
        <v>84347.171898000015</v>
      </c>
      <c r="N13" s="7">
        <f>+[4]Resumen!N13*1000</f>
        <v>103138.32328800001</v>
      </c>
      <c r="O13" s="7">
        <f>+[4]Resumen!O13*1000</f>
        <v>119097.92188800003</v>
      </c>
      <c r="P13" s="7">
        <f>+[4]Resumen!P13*1000</f>
        <v>132682.67177000002</v>
      </c>
      <c r="Q13" s="7">
        <f>+[4]Resumen!Q13*1000</f>
        <v>147591.333736</v>
      </c>
      <c r="R13" s="7">
        <f>+[4]Resumen!R13*1000</f>
        <v>156617.98856000003</v>
      </c>
      <c r="S13" s="7">
        <f>+[4]Resumen!S13*1000</f>
        <v>157552.26773000002</v>
      </c>
      <c r="T13" s="7">
        <f>+[4]Resumen!T13*1000</f>
        <v>153175.39034600003</v>
      </c>
      <c r="U13" s="7">
        <f>+[4]Resumen!U13*1000</f>
        <v>149286.934962</v>
      </c>
      <c r="V13" s="7">
        <f>+[4]Resumen!V13*1000</f>
        <v>145240.39802800003</v>
      </c>
      <c r="W13" s="7">
        <f>+[4]Resumen!W13*1000</f>
        <v>154392.91494000002</v>
      </c>
      <c r="X13" s="7">
        <f>+[4]Resumen!X13*1000</f>
        <v>171676.38628800004</v>
      </c>
      <c r="Y13" s="7">
        <f>+[4]Resumen!Y13*1000</f>
        <v>182397.28196800002</v>
      </c>
      <c r="Z13" s="7">
        <f>+[4]Resumen!Z13*1000</f>
        <v>171701.47937800002</v>
      </c>
      <c r="AA13" s="7">
        <f>+[4]Resumen!AA13*1000</f>
        <v>151995.61192200001</v>
      </c>
      <c r="AB13" s="7">
        <f>+[4]Resumen!AB13*1000</f>
        <v>124572.36545600001</v>
      </c>
      <c r="AC13" s="7">
        <f>+[4]Resumen!AC13*1000</f>
        <v>97162.342442000008</v>
      </c>
      <c r="AD13" s="7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+[4]Resumen!F14*1000</f>
        <v>0</v>
      </c>
      <c r="G14" s="7">
        <f>+[4]Resumen!G14*1000</f>
        <v>0</v>
      </c>
      <c r="H14" s="7">
        <f>+[4]Resumen!H14*1000</f>
        <v>0</v>
      </c>
      <c r="I14" s="7">
        <f>+[4]Resumen!I14*1000</f>
        <v>0</v>
      </c>
      <c r="J14" s="7">
        <f>+[4]Resumen!J14*1000</f>
        <v>0</v>
      </c>
      <c r="K14" s="7">
        <f>+[4]Resumen!K14*1000</f>
        <v>0</v>
      </c>
      <c r="L14" s="7">
        <f>+[4]Resumen!L14*1000</f>
        <v>0</v>
      </c>
      <c r="M14" s="7">
        <f>+[4]Resumen!M14*1000</f>
        <v>0</v>
      </c>
      <c r="N14" s="7">
        <f>+[4]Resumen!N14*1000</f>
        <v>0</v>
      </c>
      <c r="O14" s="7">
        <f>+[4]Resumen!O14*1000</f>
        <v>0</v>
      </c>
      <c r="P14" s="7">
        <f>+[4]Resumen!P14*1000</f>
        <v>0</v>
      </c>
      <c r="Q14" s="7">
        <f>+[4]Resumen!Q14*1000</f>
        <v>0</v>
      </c>
      <c r="R14" s="7">
        <f>+[4]Resumen!R14*1000</f>
        <v>0</v>
      </c>
      <c r="S14" s="7">
        <f>+[4]Resumen!S14*1000</f>
        <v>0</v>
      </c>
      <c r="T14" s="7">
        <f>+[4]Resumen!T14*1000</f>
        <v>0</v>
      </c>
      <c r="U14" s="7">
        <f>+[4]Resumen!U14*1000</f>
        <v>0</v>
      </c>
      <c r="V14" s="7">
        <f>+[4]Resumen!V14*1000</f>
        <v>0</v>
      </c>
      <c r="W14" s="7">
        <f>+[4]Resumen!W14*1000</f>
        <v>0</v>
      </c>
      <c r="X14" s="7">
        <f>+[4]Resumen!X14*1000</f>
        <v>0</v>
      </c>
      <c r="Y14" s="7">
        <f>+[4]Resumen!Y14*1000</f>
        <v>0</v>
      </c>
      <c r="Z14" s="7">
        <f>+[4]Resumen!Z14*1000</f>
        <v>0</v>
      </c>
      <c r="AA14" s="7">
        <f>+[4]Resumen!AA14*1000</f>
        <v>0</v>
      </c>
      <c r="AB14" s="7">
        <f>+[4]Resumen!AB14*1000</f>
        <v>0</v>
      </c>
      <c r="AC14" s="7">
        <f>+[4]Resumen!AC14*1000</f>
        <v>0</v>
      </c>
      <c r="AD14" s="7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19</v>
      </c>
      <c r="F15" s="7">
        <f>+[4]Resumen!F15*1000</f>
        <v>81265.294638000007</v>
      </c>
      <c r="G15" s="7">
        <f>+[4]Resumen!G15*1000</f>
        <v>71065.633738000004</v>
      </c>
      <c r="H15" s="7">
        <f>+[4]Resumen!H15*1000</f>
        <v>65812.330606000003</v>
      </c>
      <c r="I15" s="7">
        <f>+[4]Resumen!I15*1000</f>
        <v>66013.681756000005</v>
      </c>
      <c r="J15" s="7">
        <f>+[4]Resumen!J15*1000</f>
        <v>84199.691400000011</v>
      </c>
      <c r="K15" s="7">
        <f>+[4]Resumen!K15*1000</f>
        <v>119386.99231800002</v>
      </c>
      <c r="L15" s="7">
        <f>+[4]Resumen!L15*1000</f>
        <v>146271.35197400002</v>
      </c>
      <c r="M15" s="7">
        <f>+[4]Resumen!M15*1000</f>
        <v>144862.13977400001</v>
      </c>
      <c r="N15" s="7">
        <f>+[4]Resumen!N15*1000</f>
        <v>160263.44580400002</v>
      </c>
      <c r="O15" s="7">
        <f>+[4]Resumen!O15*1000</f>
        <v>169918.93248000002</v>
      </c>
      <c r="P15" s="7">
        <f>+[4]Resumen!P15*1000</f>
        <v>185922.87914200002</v>
      </c>
      <c r="Q15" s="7">
        <f>+[4]Resumen!Q15*1000</f>
        <v>198993.85825000002</v>
      </c>
      <c r="R15" s="7">
        <f>+[4]Resumen!R15*1000</f>
        <v>200455.64629200002</v>
      </c>
      <c r="S15" s="7">
        <f>+[4]Resumen!S15*1000</f>
        <v>196900.065252</v>
      </c>
      <c r="T15" s="7">
        <f>+[4]Resumen!T15*1000</f>
        <v>199239.246052</v>
      </c>
      <c r="U15" s="7">
        <f>+[4]Resumen!U15*1000</f>
        <v>198581.63991600001</v>
      </c>
      <c r="V15" s="7">
        <f>+[4]Resumen!V15*1000</f>
        <v>192654.937244</v>
      </c>
      <c r="W15" s="7">
        <f>+[4]Resumen!W15*1000</f>
        <v>194305.39057600003</v>
      </c>
      <c r="X15" s="7">
        <f>+[4]Resumen!X15*1000</f>
        <v>211027.76994200001</v>
      </c>
      <c r="Y15" s="7">
        <f>+[4]Resumen!Y15*1000</f>
        <v>218690.53091600002</v>
      </c>
      <c r="Z15" s="7">
        <f>+[4]Resumen!Z15*1000</f>
        <v>202139.56800400003</v>
      </c>
      <c r="AA15" s="7">
        <f>+[4]Resumen!AA15*1000</f>
        <v>169669.54879600002</v>
      </c>
      <c r="AB15" s="7">
        <f>+[4]Resumen!AB15*1000</f>
        <v>135658.52867600002</v>
      </c>
      <c r="AC15" s="7">
        <f>+[4]Resumen!AC15*1000</f>
        <v>102639.218286</v>
      </c>
      <c r="AD15" s="70">
        <f t="shared" ref="AD15" si="1">SUM(F15:AC15)*E15+SUM(F16:AC16)*E16+SUM(F17:AC17)*E17+SUM(F18:AC18)*E18</f>
        <v>108852602.88969001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+[4]Resumen!F16*1000</f>
        <v>90415.090810000009</v>
      </c>
      <c r="G16" s="7">
        <f>+[4]Resumen!G16*1000</f>
        <v>78264.187298000004</v>
      </c>
      <c r="H16" s="7">
        <f>+[4]Resumen!H16*1000</f>
        <v>70928.947694000017</v>
      </c>
      <c r="I16" s="7">
        <f>+[4]Resumen!I16*1000</f>
        <v>69515.641272000008</v>
      </c>
      <c r="J16" s="7">
        <f>+[4]Resumen!J16*1000</f>
        <v>77799.878266000014</v>
      </c>
      <c r="K16" s="7">
        <f>+[4]Resumen!K16*1000</f>
        <v>93478.542432000017</v>
      </c>
      <c r="L16" s="7">
        <f>+[4]Resumen!L16*1000</f>
        <v>116461.823126</v>
      </c>
      <c r="M16" s="7">
        <f>+[4]Resumen!M16*1000</f>
        <v>126180.72599000001</v>
      </c>
      <c r="N16" s="7">
        <f>+[4]Resumen!N16*1000</f>
        <v>148964.82557000002</v>
      </c>
      <c r="O16" s="7">
        <f>+[4]Resumen!O16*1000</f>
        <v>163728.08856800001</v>
      </c>
      <c r="P16" s="7">
        <f>+[4]Resumen!P16*1000</f>
        <v>177759.68885400004</v>
      </c>
      <c r="Q16" s="7">
        <f>+[4]Resumen!Q16*1000</f>
        <v>188385.58481600002</v>
      </c>
      <c r="R16" s="7">
        <f>+[4]Resumen!R16*1000</f>
        <v>188717.678996</v>
      </c>
      <c r="S16" s="7">
        <f>+[4]Resumen!S16*1000</f>
        <v>182838.15985600001</v>
      </c>
      <c r="T16" s="7">
        <f>+[4]Resumen!T16*1000</f>
        <v>176794.21623600001</v>
      </c>
      <c r="U16" s="7">
        <f>+[4]Resumen!U16*1000</f>
        <v>172550.70428199999</v>
      </c>
      <c r="V16" s="7">
        <f>+[4]Resumen!V16*1000</f>
        <v>168900.04485200002</v>
      </c>
      <c r="W16" s="7">
        <f>+[4]Resumen!W16*1000</f>
        <v>177770.74554800004</v>
      </c>
      <c r="X16" s="7">
        <f>+[4]Resumen!X16*1000</f>
        <v>190566.99219800002</v>
      </c>
      <c r="Y16" s="7">
        <f>+[4]Resumen!Y16*1000</f>
        <v>196787.32499800003</v>
      </c>
      <c r="Z16" s="7">
        <f>+[4]Resumen!Z16*1000</f>
        <v>182514.359016</v>
      </c>
      <c r="AA16" s="7">
        <f>+[4]Resumen!AA16*1000</f>
        <v>162020.16206200002</v>
      </c>
      <c r="AB16" s="7">
        <f>+[4]Resumen!AB16*1000</f>
        <v>136663.38318600002</v>
      </c>
      <c r="AC16" s="7">
        <f>+[4]Resumen!AC16*1000</f>
        <v>112719.58948800001</v>
      </c>
      <c r="AD16" s="7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4</v>
      </c>
      <c r="F17" s="7">
        <f>+[4]Resumen!F17*1000</f>
        <v>91050.888412</v>
      </c>
      <c r="G17" s="7">
        <f>+[4]Resumen!G17*1000</f>
        <v>77505.576148000007</v>
      </c>
      <c r="H17" s="7">
        <f>+[4]Resumen!H17*1000</f>
        <v>68626.942692000011</v>
      </c>
      <c r="I17" s="7">
        <f>+[4]Resumen!I17*1000</f>
        <v>64311.337684000006</v>
      </c>
      <c r="J17" s="7">
        <f>+[4]Resumen!J17*1000</f>
        <v>65520.480432000011</v>
      </c>
      <c r="K17" s="7">
        <f>+[4]Resumen!K17*1000</f>
        <v>71104.956626000014</v>
      </c>
      <c r="L17" s="7">
        <f>+[4]Resumen!L17*1000</f>
        <v>80001.701032000012</v>
      </c>
      <c r="M17" s="7">
        <f>+[4]Resumen!M17*1000</f>
        <v>81987.497042000017</v>
      </c>
      <c r="N17" s="7">
        <f>+[4]Resumen!N17*1000</f>
        <v>100985.342722</v>
      </c>
      <c r="O17" s="7">
        <f>+[4]Resumen!O17*1000</f>
        <v>115326.79923600001</v>
      </c>
      <c r="P17" s="7">
        <f>+[4]Resumen!P17*1000</f>
        <v>128192.32641600001</v>
      </c>
      <c r="Q17" s="7">
        <f>+[4]Resumen!Q17*1000</f>
        <v>141950.013744</v>
      </c>
      <c r="R17" s="7">
        <f>+[4]Resumen!R17*1000</f>
        <v>150695.448948</v>
      </c>
      <c r="S17" s="7">
        <f>+[4]Resumen!S17*1000</f>
        <v>151505.88200000001</v>
      </c>
      <c r="T17" s="7">
        <f>+[4]Resumen!T17*1000</f>
        <v>147543.28153400004</v>
      </c>
      <c r="U17" s="7">
        <f>+[4]Resumen!U17*1000</f>
        <v>144938.13692600001</v>
      </c>
      <c r="V17" s="7">
        <f>+[4]Resumen!V17*1000</f>
        <v>141600.739566</v>
      </c>
      <c r="W17" s="7">
        <f>+[4]Resumen!W17*1000</f>
        <v>150973.54135600003</v>
      </c>
      <c r="X17" s="7">
        <f>+[4]Resumen!X17*1000</f>
        <v>168156.26009600001</v>
      </c>
      <c r="Y17" s="7">
        <f>+[4]Resumen!Y17*1000</f>
        <v>179413.74798600003</v>
      </c>
      <c r="Z17" s="7">
        <f>+[4]Resumen!Z17*1000</f>
        <v>169294.18829400002</v>
      </c>
      <c r="AA17" s="7">
        <f>+[4]Resumen!AA17*1000</f>
        <v>150212.52743200003</v>
      </c>
      <c r="AB17" s="7">
        <f>+[4]Resumen!AB17*1000</f>
        <v>124563.18377800002</v>
      </c>
      <c r="AC17" s="7">
        <f>+[4]Resumen!AC17*1000</f>
        <v>97687.264972000004</v>
      </c>
      <c r="AD17" s="7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3</v>
      </c>
      <c r="F18" s="7">
        <f>+[4]Resumen!F18*1000</f>
        <v>98933.819534000024</v>
      </c>
      <c r="G18" s="7">
        <f>+[4]Resumen!G18*1000</f>
        <v>85511.661730000007</v>
      </c>
      <c r="H18" s="7">
        <f>+[4]Resumen!H18*1000</f>
        <v>77147.136682000011</v>
      </c>
      <c r="I18" s="7">
        <f>+[4]Resumen!I18*1000</f>
        <v>73599.350726000019</v>
      </c>
      <c r="J18" s="7">
        <f>+[4]Resumen!J18*1000</f>
        <v>76330.531156000012</v>
      </c>
      <c r="K18" s="7">
        <f>+[4]Resumen!K18*1000</f>
        <v>82114.552322000003</v>
      </c>
      <c r="L18" s="7">
        <f>+[4]Resumen!L18*1000</f>
        <v>90122.686654000005</v>
      </c>
      <c r="M18" s="7">
        <f>+[4]Resumen!M18*1000</f>
        <v>91728.559186000013</v>
      </c>
      <c r="N18" s="7">
        <f>+[4]Resumen!N18*1000</f>
        <v>110226.16895400001</v>
      </c>
      <c r="O18" s="7">
        <f>+[4]Resumen!O18*1000</f>
        <v>127282.75681000002</v>
      </c>
      <c r="P18" s="7">
        <f>+[4]Resumen!P18*1000</f>
        <v>143267.55667400002</v>
      </c>
      <c r="Q18" s="7">
        <f>+[4]Resumen!Q18*1000</f>
        <v>161239.92266800001</v>
      </c>
      <c r="R18" s="7">
        <f>+[4]Resumen!R18*1000</f>
        <v>170168.13915200002</v>
      </c>
      <c r="S18" s="7">
        <f>+[4]Resumen!S18*1000</f>
        <v>167280.47355800003</v>
      </c>
      <c r="T18" s="7">
        <f>+[4]Resumen!T18*1000</f>
        <v>161351.22388000001</v>
      </c>
      <c r="U18" s="7">
        <f>+[4]Resumen!U18*1000</f>
        <v>157766.95378400001</v>
      </c>
      <c r="V18" s="7">
        <f>+[4]Resumen!V18*1000</f>
        <v>155992.65433400002</v>
      </c>
      <c r="W18" s="7">
        <f>+[4]Resumen!W18*1000</f>
        <v>166181.98297800001</v>
      </c>
      <c r="X18" s="7">
        <f>+[4]Resumen!X18*1000</f>
        <v>185684.87995200002</v>
      </c>
      <c r="Y18" s="7">
        <f>+[4]Resumen!Y18*1000</f>
        <v>201457.419482</v>
      </c>
      <c r="Z18" s="7">
        <f>+[4]Resumen!Z18*1000</f>
        <v>187821.98844200003</v>
      </c>
      <c r="AA18" s="7">
        <f>+[4]Resumen!AA18*1000</f>
        <v>165453.37864000001</v>
      </c>
      <c r="AB18" s="7">
        <f>+[4]Resumen!AB18*1000</f>
        <v>136498.84069800001</v>
      </c>
      <c r="AC18" s="7">
        <f>+[4]Resumen!AC18*1000</f>
        <v>108020.891176</v>
      </c>
      <c r="AD18" s="7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21</v>
      </c>
      <c r="F19" s="7">
        <f>+[4]Resumen!F19*1000</f>
        <v>79254.966076000012</v>
      </c>
      <c r="G19" s="7">
        <f>+[4]Resumen!G19*1000</f>
        <v>68709.561404000007</v>
      </c>
      <c r="H19" s="7">
        <f>+[4]Resumen!H19*1000</f>
        <v>63454.783172000003</v>
      </c>
      <c r="I19" s="7">
        <f>+[4]Resumen!I19*1000</f>
        <v>63646.444554000002</v>
      </c>
      <c r="J19" s="7">
        <f>+[4]Resumen!J19*1000</f>
        <v>80419.941052000009</v>
      </c>
      <c r="K19" s="7">
        <f>+[4]Resumen!K19*1000</f>
        <v>110735.14729200002</v>
      </c>
      <c r="L19" s="7">
        <f>+[4]Resumen!L19*1000</f>
        <v>137222.131398</v>
      </c>
      <c r="M19" s="7">
        <f>+[4]Resumen!M19*1000</f>
        <v>138584.68126800001</v>
      </c>
      <c r="N19" s="7">
        <f>+[4]Resumen!N19*1000</f>
        <v>154585.92358</v>
      </c>
      <c r="O19" s="7">
        <f>+[4]Resumen!O19*1000</f>
        <v>164995.82556600001</v>
      </c>
      <c r="P19" s="7">
        <f>+[4]Resumen!P19*1000</f>
        <v>180851.14443000001</v>
      </c>
      <c r="Q19" s="7">
        <f>+[4]Resumen!Q19*1000</f>
        <v>194529.900796</v>
      </c>
      <c r="R19" s="7">
        <f>+[4]Resumen!R19*1000</f>
        <v>197266.39486400003</v>
      </c>
      <c r="S19" s="7">
        <f>+[4]Resumen!S19*1000</f>
        <v>193578.49407600003</v>
      </c>
      <c r="T19" s="7">
        <f>+[4]Resumen!T19*1000</f>
        <v>195560.60889200002</v>
      </c>
      <c r="U19" s="7">
        <f>+[4]Resumen!U19*1000</f>
        <v>195405.63816400003</v>
      </c>
      <c r="V19" s="7">
        <f>+[4]Resumen!V19*1000</f>
        <v>188988.45163000003</v>
      </c>
      <c r="W19" s="7">
        <f>+[4]Resumen!W19*1000</f>
        <v>191643.12354000003</v>
      </c>
      <c r="X19" s="7">
        <f>+[4]Resumen!X19*1000</f>
        <v>210204.90343600002</v>
      </c>
      <c r="Y19" s="7">
        <f>+[4]Resumen!Y19*1000</f>
        <v>215058.77243400004</v>
      </c>
      <c r="Z19" s="7">
        <f>+[4]Resumen!Z19*1000</f>
        <v>198691.27590400004</v>
      </c>
      <c r="AA19" s="7">
        <f>+[4]Resumen!AA19*1000</f>
        <v>167587.95979200001</v>
      </c>
      <c r="AB19" s="7">
        <f>+[4]Resumen!AB19*1000</f>
        <v>135395.534736</v>
      </c>
      <c r="AC19" s="7">
        <f>+[4]Resumen!AC19*1000</f>
        <v>101819.10530000001</v>
      </c>
      <c r="AD19" s="70">
        <f t="shared" ref="AD19" si="2">SUM(F19:AC19)*E19+SUM(F20:AC20)*E20+SUM(F21:AC21)*E21+SUM(F22:AC22)*E22</f>
        <v>103291501.47448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+[4]Resumen!F20*1000</f>
        <v>86186.58554</v>
      </c>
      <c r="G20" s="7">
        <f>+[4]Resumen!G20*1000</f>
        <v>73201.470364000008</v>
      </c>
      <c r="H20" s="7">
        <f>+[4]Resumen!H20*1000</f>
        <v>65873.947172</v>
      </c>
      <c r="I20" s="7">
        <f>+[4]Resumen!I20*1000</f>
        <v>64338.000935999997</v>
      </c>
      <c r="J20" s="7">
        <f>+[4]Resumen!J20*1000</f>
        <v>71170.546128000016</v>
      </c>
      <c r="K20" s="7">
        <f>+[4]Resumen!K20*1000</f>
        <v>83460.971154000013</v>
      </c>
      <c r="L20" s="7">
        <f>+[4]Resumen!L20*1000</f>
        <v>103332.99059600002</v>
      </c>
      <c r="M20" s="7">
        <f>+[4]Resumen!M20*1000</f>
        <v>111043.76771400002</v>
      </c>
      <c r="N20" s="7">
        <f>+[4]Resumen!N20*1000</f>
        <v>132981.04188600002</v>
      </c>
      <c r="O20" s="7">
        <f>+[4]Resumen!O20*1000</f>
        <v>147921.31688400003</v>
      </c>
      <c r="P20" s="7">
        <f>+[4]Resumen!P20*1000</f>
        <v>161046.45510800002</v>
      </c>
      <c r="Q20" s="7">
        <f>+[4]Resumen!Q20*1000</f>
        <v>170881.58274000001</v>
      </c>
      <c r="R20" s="7">
        <f>+[4]Resumen!R20*1000</f>
        <v>173354.187974</v>
      </c>
      <c r="S20" s="7">
        <f>+[4]Resumen!S20*1000</f>
        <v>169628.33450200001</v>
      </c>
      <c r="T20" s="7">
        <f>+[4]Resumen!T20*1000</f>
        <v>165086.121354</v>
      </c>
      <c r="U20" s="7">
        <f>+[4]Resumen!U20*1000</f>
        <v>163997.22875800001</v>
      </c>
      <c r="V20" s="7">
        <f>+[4]Resumen!V20*1000</f>
        <v>162186.76313400004</v>
      </c>
      <c r="W20" s="7">
        <f>+[4]Resumen!W20*1000</f>
        <v>171867.31667600005</v>
      </c>
      <c r="X20" s="7">
        <f>+[4]Resumen!X20*1000</f>
        <v>186090.67996200002</v>
      </c>
      <c r="Y20" s="7">
        <f>+[4]Resumen!Y20*1000</f>
        <v>190456.44820400004</v>
      </c>
      <c r="Z20" s="7">
        <f>+[4]Resumen!Z20*1000</f>
        <v>175828.64200000002</v>
      </c>
      <c r="AA20" s="7">
        <f>+[4]Resumen!AA20*1000</f>
        <v>155402.679894</v>
      </c>
      <c r="AB20" s="7">
        <f>+[4]Resumen!AB20*1000</f>
        <v>132476.45934600002</v>
      </c>
      <c r="AC20" s="7">
        <f>+[4]Resumen!AC20*1000</f>
        <v>108955.19657000001</v>
      </c>
      <c r="AD20" s="7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5</v>
      </c>
      <c r="F21" s="7">
        <f>+[4]Resumen!F21*1000</f>
        <v>90198.870652000012</v>
      </c>
      <c r="G21" s="7">
        <f>+[4]Resumen!G21*1000</f>
        <v>76466.876287999999</v>
      </c>
      <c r="H21" s="7">
        <f>+[4]Resumen!H21*1000</f>
        <v>67783.959100000007</v>
      </c>
      <c r="I21" s="7">
        <f>+[4]Resumen!I21*1000</f>
        <v>63945.548942000009</v>
      </c>
      <c r="J21" s="7">
        <f>+[4]Resumen!J21*1000</f>
        <v>65473.316568000017</v>
      </c>
      <c r="K21" s="7">
        <f>+[4]Resumen!K21*1000</f>
        <v>69095.929430000004</v>
      </c>
      <c r="L21" s="7">
        <f>+[4]Resumen!L21*1000</f>
        <v>79513.38392800001</v>
      </c>
      <c r="M21" s="7">
        <f>+[4]Resumen!M21*1000</f>
        <v>81837.633438000004</v>
      </c>
      <c r="N21" s="7">
        <f>+[4]Resumen!N21*1000</f>
        <v>100809.85171400002</v>
      </c>
      <c r="O21" s="7">
        <f>+[4]Resumen!O21*1000</f>
        <v>116704.72948200001</v>
      </c>
      <c r="P21" s="7">
        <f>+[4]Resumen!P21*1000</f>
        <v>128277.81993400003</v>
      </c>
      <c r="Q21" s="7">
        <f>+[4]Resumen!Q21*1000</f>
        <v>139464.32929000002</v>
      </c>
      <c r="R21" s="7">
        <f>+[4]Resumen!R21*1000</f>
        <v>147573.12116800001</v>
      </c>
      <c r="S21" s="7">
        <f>+[4]Resumen!S21*1000</f>
        <v>149216.169498</v>
      </c>
      <c r="T21" s="7">
        <f>+[4]Resumen!T21*1000</f>
        <v>147470.26408400002</v>
      </c>
      <c r="U21" s="7">
        <f>+[4]Resumen!U21*1000</f>
        <v>144740.13589200002</v>
      </c>
      <c r="V21" s="7">
        <f>+[4]Resumen!V21*1000</f>
        <v>141506.68719000003</v>
      </c>
      <c r="W21" s="7">
        <f>+[4]Resumen!W21*1000</f>
        <v>152349.11472000001</v>
      </c>
      <c r="X21" s="7">
        <f>+[4]Resumen!X21*1000</f>
        <v>169352.49080200001</v>
      </c>
      <c r="Y21" s="7">
        <f>+[4]Resumen!Y21*1000</f>
        <v>177887.74392400001</v>
      </c>
      <c r="Z21" s="7">
        <f>+[4]Resumen!Z21*1000</f>
        <v>166897.24257800003</v>
      </c>
      <c r="AA21" s="7">
        <f>+[4]Resumen!AA21*1000</f>
        <v>147258.00375</v>
      </c>
      <c r="AB21" s="7">
        <f>+[4]Resumen!AB21*1000</f>
        <v>120712.48112000003</v>
      </c>
      <c r="AC21" s="7">
        <f>+[4]Resumen!AC21*1000</f>
        <v>93948.607632000014</v>
      </c>
      <c r="AD21" s="7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0</v>
      </c>
      <c r="F22" s="7">
        <f>+[4]Resumen!F22*1000</f>
        <v>170172.66607000004</v>
      </c>
      <c r="G22" s="7">
        <f>+[4]Resumen!G22*1000</f>
        <v>154176.98324600002</v>
      </c>
      <c r="H22" s="7">
        <f>+[4]Resumen!H22*1000</f>
        <v>144281.15688800003</v>
      </c>
      <c r="I22" s="7">
        <f>+[4]Resumen!I22*1000</f>
        <v>139792.79800200003</v>
      </c>
      <c r="J22" s="7">
        <f>+[4]Resumen!J22*1000</f>
        <v>142034.08788800001</v>
      </c>
      <c r="K22" s="7">
        <f>+[4]Resumen!K22*1000</f>
        <v>146620.20001200002</v>
      </c>
      <c r="L22" s="7">
        <f>+[4]Resumen!L22*1000</f>
        <v>155896.62860200001</v>
      </c>
      <c r="M22" s="7">
        <f>+[4]Resumen!M22*1000</f>
        <v>154348.66521800001</v>
      </c>
      <c r="N22" s="7">
        <f>+[4]Resumen!N22*1000</f>
        <v>173481.55138600001</v>
      </c>
      <c r="O22" s="7">
        <f>+[4]Resumen!O22*1000</f>
        <v>184646.16370200002</v>
      </c>
      <c r="P22" s="7">
        <f>+[4]Resumen!P22*1000</f>
        <v>191268.20229000004</v>
      </c>
      <c r="Q22" s="7">
        <f>+[4]Resumen!Q22*1000</f>
        <v>206534.22198200002</v>
      </c>
      <c r="R22" s="7">
        <f>+[4]Resumen!R22*1000</f>
        <v>220121.39758400002</v>
      </c>
      <c r="S22" s="7">
        <f>+[4]Resumen!S22*1000</f>
        <v>218972.32746400003</v>
      </c>
      <c r="T22" s="7">
        <f>+[4]Resumen!T22*1000</f>
        <v>213785.85291800005</v>
      </c>
      <c r="U22" s="7">
        <f>+[4]Resumen!U22*1000</f>
        <v>210504.01438000001</v>
      </c>
      <c r="V22" s="7">
        <f>+[4]Resumen!V22*1000</f>
        <v>210562.13332000002</v>
      </c>
      <c r="W22" s="7">
        <f>+[4]Resumen!W22*1000</f>
        <v>226980.76009400003</v>
      </c>
      <c r="X22" s="7">
        <f>+[4]Resumen!X22*1000</f>
        <v>247496.80491800004</v>
      </c>
      <c r="Y22" s="7">
        <f>+[4]Resumen!Y22*1000</f>
        <v>254675.33317600004</v>
      </c>
      <c r="Z22" s="7">
        <f>+[4]Resumen!Z22*1000</f>
        <v>239937.05181600002</v>
      </c>
      <c r="AA22" s="7">
        <f>+[4]Resumen!AA22*1000</f>
        <v>225264.25178400002</v>
      </c>
      <c r="AB22" s="7">
        <f>+[4]Resumen!AB22*1000</f>
        <v>207892.66124000004</v>
      </c>
      <c r="AC22" s="7">
        <f>+[4]Resumen!AC22*1000</f>
        <v>183150.18939800002</v>
      </c>
      <c r="AD22" s="7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21</v>
      </c>
      <c r="F23" s="7">
        <f>+[4]Resumen!F23*1000</f>
        <v>80497.600150000013</v>
      </c>
      <c r="G23" s="7">
        <f>+[4]Resumen!G23*1000</f>
        <v>69671.467558000004</v>
      </c>
      <c r="H23" s="7">
        <f>+[4]Resumen!H23*1000</f>
        <v>64215.377512000006</v>
      </c>
      <c r="I23" s="7">
        <f>+[4]Resumen!I23*1000</f>
        <v>64571.574826000018</v>
      </c>
      <c r="J23" s="7">
        <f>+[4]Resumen!J23*1000</f>
        <v>81763.583418000009</v>
      </c>
      <c r="K23" s="7">
        <f>+[4]Resumen!K23*1000</f>
        <v>112603.15492800002</v>
      </c>
      <c r="L23" s="7">
        <f>+[4]Resumen!L23*1000</f>
        <v>140988.26165600002</v>
      </c>
      <c r="M23" s="7">
        <f>+[4]Resumen!M23*1000</f>
        <v>143088.67621400001</v>
      </c>
      <c r="N23" s="7">
        <f>+[4]Resumen!N23*1000</f>
        <v>158360.47502000001</v>
      </c>
      <c r="O23" s="7">
        <f>+[4]Resumen!O23*1000</f>
        <v>168997.35883800001</v>
      </c>
      <c r="P23" s="7">
        <f>+[4]Resumen!P23*1000</f>
        <v>185172.08274400001</v>
      </c>
      <c r="Q23" s="7">
        <f>+[4]Resumen!Q23*1000</f>
        <v>198541.14022600005</v>
      </c>
      <c r="R23" s="7">
        <f>+[4]Resumen!R23*1000</f>
        <v>199483.43410600003</v>
      </c>
      <c r="S23" s="7">
        <f>+[4]Resumen!S23*1000</f>
        <v>194943.794188</v>
      </c>
      <c r="T23" s="7">
        <f>+[4]Resumen!T23*1000</f>
        <v>196423.00152200001</v>
      </c>
      <c r="U23" s="7">
        <f>+[4]Resumen!U23*1000</f>
        <v>196816.90567000004</v>
      </c>
      <c r="V23" s="7">
        <f>+[4]Resumen!V23*1000</f>
        <v>190503.35310600002</v>
      </c>
      <c r="W23" s="7">
        <f>+[4]Resumen!W23*1000</f>
        <v>192440.29380400004</v>
      </c>
      <c r="X23" s="7">
        <f>+[4]Resumen!X23*1000</f>
        <v>211314.60805400004</v>
      </c>
      <c r="Y23" s="7">
        <f>+[4]Resumen!Y23*1000</f>
        <v>218296.83328200001</v>
      </c>
      <c r="Z23" s="7">
        <f>+[4]Resumen!Z23*1000</f>
        <v>201530.43365400005</v>
      </c>
      <c r="AA23" s="7">
        <f>+[4]Resumen!AA23*1000</f>
        <v>169908.24947800001</v>
      </c>
      <c r="AB23" s="7">
        <f>+[4]Resumen!AB23*1000</f>
        <v>136701.23425200002</v>
      </c>
      <c r="AC23" s="7">
        <f>+[4]Resumen!AC23*1000</f>
        <v>103061.00510200002</v>
      </c>
      <c r="AD23" s="70">
        <f t="shared" ref="AD23" si="3">SUM(F23:AC23)*E23+SUM(F24:AC24)*E24+SUM(F25:AC25)*E25+SUM(F26:AC26)*E26</f>
        <v>107669892.86178403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+[4]Resumen!F24*1000</f>
        <v>90723.698120000015</v>
      </c>
      <c r="G24" s="7">
        <f>+[4]Resumen!G24*1000</f>
        <v>77618.722873999999</v>
      </c>
      <c r="H24" s="7">
        <f>+[4]Resumen!H24*1000</f>
        <v>70721.912492000018</v>
      </c>
      <c r="I24" s="7">
        <f>+[4]Resumen!I24*1000</f>
        <v>68639.313864000011</v>
      </c>
      <c r="J24" s="7">
        <f>+[4]Resumen!J24*1000</f>
        <v>75482.948530000009</v>
      </c>
      <c r="K24" s="7">
        <f>+[4]Resumen!K24*1000</f>
        <v>86640.35580200002</v>
      </c>
      <c r="L24" s="7">
        <f>+[4]Resumen!L24*1000</f>
        <v>109188.42627000003</v>
      </c>
      <c r="M24" s="7">
        <f>+[4]Resumen!M24*1000</f>
        <v>119638.46408800002</v>
      </c>
      <c r="N24" s="7">
        <f>+[4]Resumen!N24*1000</f>
        <v>143310.83938600001</v>
      </c>
      <c r="O24" s="7">
        <f>+[4]Resumen!O24*1000</f>
        <v>158946.31262400001</v>
      </c>
      <c r="P24" s="7">
        <f>+[4]Resumen!P24*1000</f>
        <v>172907.21300600003</v>
      </c>
      <c r="Q24" s="7">
        <f>+[4]Resumen!Q24*1000</f>
        <v>182426.02675000002</v>
      </c>
      <c r="R24" s="7">
        <f>+[4]Resumen!R24*1000</f>
        <v>182374.44414200002</v>
      </c>
      <c r="S24" s="7">
        <f>+[4]Resumen!S24*1000</f>
        <v>175804.12256000002</v>
      </c>
      <c r="T24" s="7">
        <f>+[4]Resumen!T24*1000</f>
        <v>169085.46820000003</v>
      </c>
      <c r="U24" s="7">
        <f>+[4]Resumen!U24*1000</f>
        <v>166388.15934400001</v>
      </c>
      <c r="V24" s="7">
        <f>+[4]Resumen!V24*1000</f>
        <v>163393.80140600001</v>
      </c>
      <c r="W24" s="7">
        <f>+[4]Resumen!W24*1000</f>
        <v>173438.69481400002</v>
      </c>
      <c r="X24" s="7">
        <f>+[4]Resumen!X24*1000</f>
        <v>186423.72476200003</v>
      </c>
      <c r="Y24" s="7">
        <f>+[4]Resumen!Y24*1000</f>
        <v>192255.385102</v>
      </c>
      <c r="Z24" s="7">
        <f>+[4]Resumen!Z24*1000</f>
        <v>178986.69670200002</v>
      </c>
      <c r="AA24" s="7">
        <f>+[4]Resumen!AA24*1000</f>
        <v>158148.29008000001</v>
      </c>
      <c r="AB24" s="7">
        <f>+[4]Resumen!AB24*1000</f>
        <v>134630.95762600002</v>
      </c>
      <c r="AC24" s="7">
        <f>+[4]Resumen!AC24*1000</f>
        <v>110266.01632200001</v>
      </c>
      <c r="AD24" s="7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+[4]Resumen!F25*1000</f>
        <v>88596.046660000007</v>
      </c>
      <c r="G25" s="7">
        <f>+[4]Resumen!G25*1000</f>
        <v>75435.129066000009</v>
      </c>
      <c r="H25" s="7">
        <f>+[4]Resumen!H25*1000</f>
        <v>66478.967632000014</v>
      </c>
      <c r="I25" s="7">
        <f>+[4]Resumen!I25*1000</f>
        <v>62217.459458000005</v>
      </c>
      <c r="J25" s="7">
        <f>+[4]Resumen!J25*1000</f>
        <v>62319.165964000007</v>
      </c>
      <c r="K25" s="7">
        <f>+[4]Resumen!K25*1000</f>
        <v>64725.617880000013</v>
      </c>
      <c r="L25" s="7">
        <f>+[4]Resumen!L25*1000</f>
        <v>74701.476607999997</v>
      </c>
      <c r="M25" s="7">
        <f>+[4]Resumen!M25*1000</f>
        <v>77059.145328000013</v>
      </c>
      <c r="N25" s="7">
        <f>+[4]Resumen!N25*1000</f>
        <v>96845.441792000012</v>
      </c>
      <c r="O25" s="7">
        <f>+[4]Resumen!O25*1000</f>
        <v>113704.09417400001</v>
      </c>
      <c r="P25" s="7">
        <f>+[4]Resumen!P25*1000</f>
        <v>127024.11277600001</v>
      </c>
      <c r="Q25" s="7">
        <f>+[4]Resumen!Q25*1000</f>
        <v>140803.71353400004</v>
      </c>
      <c r="R25" s="7">
        <f>+[4]Resumen!R25*1000</f>
        <v>147523.62992400001</v>
      </c>
      <c r="S25" s="7">
        <f>+[4]Resumen!S25*1000</f>
        <v>146867.71851400001</v>
      </c>
      <c r="T25" s="7">
        <f>+[4]Resumen!T25*1000</f>
        <v>140546.32825200004</v>
      </c>
      <c r="U25" s="7">
        <f>+[4]Resumen!U25*1000</f>
        <v>139209.87781800001</v>
      </c>
      <c r="V25" s="7">
        <f>+[4]Resumen!V25*1000</f>
        <v>136189.604012</v>
      </c>
      <c r="W25" s="7">
        <f>+[4]Resumen!W25*1000</f>
        <v>147740.76136600002</v>
      </c>
      <c r="X25" s="7">
        <f>+[4]Resumen!X25*1000</f>
        <v>164995.55021400002</v>
      </c>
      <c r="Y25" s="7">
        <f>+[4]Resumen!Y25*1000</f>
        <v>175018.81210000001</v>
      </c>
      <c r="Z25" s="7">
        <f>+[4]Resumen!Z25*1000</f>
        <v>165018.13563400003</v>
      </c>
      <c r="AA25" s="7">
        <f>+[4]Resumen!AA25*1000</f>
        <v>146555.31200200002</v>
      </c>
      <c r="AB25" s="7">
        <f>+[4]Resumen!AB25*1000</f>
        <v>120544.00175400001</v>
      </c>
      <c r="AC25" s="7">
        <f>+[4]Resumen!AC25*1000</f>
        <v>93251.593380000006</v>
      </c>
      <c r="AD25" s="7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2</v>
      </c>
      <c r="F26" s="7">
        <f>+[4]Resumen!F26*1000</f>
        <v>82115.925804000013</v>
      </c>
      <c r="G26" s="7">
        <f>+[4]Resumen!G26*1000</f>
        <v>69599.128654</v>
      </c>
      <c r="H26" s="7">
        <f>+[4]Resumen!H26*1000</f>
        <v>62227.345906000002</v>
      </c>
      <c r="I26" s="7">
        <f>+[4]Resumen!I26*1000</f>
        <v>59908.078956000005</v>
      </c>
      <c r="J26" s="7">
        <f>+[4]Resumen!J26*1000</f>
        <v>66233.170080000011</v>
      </c>
      <c r="K26" s="7">
        <f>+[4]Resumen!K26*1000</f>
        <v>76068.579620000004</v>
      </c>
      <c r="L26" s="7">
        <f>+[4]Resumen!L26*1000</f>
        <v>87649.153746000011</v>
      </c>
      <c r="M26" s="7">
        <f>+[4]Resumen!M26*1000</f>
        <v>90724.606125999999</v>
      </c>
      <c r="N26" s="7">
        <f>+[4]Resumen!N26*1000</f>
        <v>109539.39517400002</v>
      </c>
      <c r="O26" s="7">
        <f>+[4]Resumen!O26*1000</f>
        <v>124533.96368600002</v>
      </c>
      <c r="P26" s="7">
        <f>+[4]Resumen!P26*1000</f>
        <v>141798.80288200002</v>
      </c>
      <c r="Q26" s="7">
        <f>+[4]Resumen!Q26*1000</f>
        <v>155602.96241599999</v>
      </c>
      <c r="R26" s="7">
        <f>+[4]Resumen!R26*1000</f>
        <v>167201.62782400002</v>
      </c>
      <c r="S26" s="7">
        <f>+[4]Resumen!S26*1000</f>
        <v>162977.14138200003</v>
      </c>
      <c r="T26" s="7">
        <f>+[4]Resumen!T26*1000</f>
        <v>155365.17301800003</v>
      </c>
      <c r="U26" s="7">
        <f>+[4]Resumen!U26*1000</f>
        <v>147448.47194000002</v>
      </c>
      <c r="V26" s="7">
        <f>+[4]Resumen!V26*1000</f>
        <v>145571.21378800002</v>
      </c>
      <c r="W26" s="7">
        <f>+[4]Resumen!W26*1000</f>
        <v>161316.23123</v>
      </c>
      <c r="X26" s="7">
        <f>+[4]Resumen!X26*1000</f>
        <v>177192.22444000005</v>
      </c>
      <c r="Y26" s="7">
        <f>+[4]Resumen!Y26*1000</f>
        <v>182751.33874800004</v>
      </c>
      <c r="Z26" s="7">
        <f>+[4]Resumen!Z26*1000</f>
        <v>168471.85610200002</v>
      </c>
      <c r="AA26" s="7">
        <f>+[4]Resumen!AA26*1000</f>
        <v>147141.10371400003</v>
      </c>
      <c r="AB26" s="7">
        <f>+[4]Resumen!AB26*1000</f>
        <v>120162.763798</v>
      </c>
      <c r="AC26" s="7">
        <f>+[4]Resumen!AC26*1000</f>
        <v>92836.847708000001</v>
      </c>
      <c r="AD26" s="7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19</v>
      </c>
      <c r="F27" s="7">
        <f>+[4]Resumen!F27*1000</f>
        <v>76119.421400000007</v>
      </c>
      <c r="G27" s="7">
        <f>+[4]Resumen!G27*1000</f>
        <v>65287.263844000008</v>
      </c>
      <c r="H27" s="7">
        <f>+[4]Resumen!H27*1000</f>
        <v>59797.512016000008</v>
      </c>
      <c r="I27" s="7">
        <f>+[4]Resumen!I27*1000</f>
        <v>59790.575768000002</v>
      </c>
      <c r="J27" s="7">
        <f>+[4]Resumen!J27*1000</f>
        <v>74428.307756000009</v>
      </c>
      <c r="K27" s="7">
        <f>+[4]Resumen!K27*1000</f>
        <v>98775.141388000018</v>
      </c>
      <c r="L27" s="7">
        <f>+[4]Resumen!L27*1000</f>
        <v>126429.24756000002</v>
      </c>
      <c r="M27" s="7">
        <f>+[4]Resumen!M27*1000</f>
        <v>132309.04532999999</v>
      </c>
      <c r="N27" s="7">
        <f>+[4]Resumen!N27*1000</f>
        <v>149122.88417400004</v>
      </c>
      <c r="O27" s="7">
        <f>+[4]Resumen!O27*1000</f>
        <v>160103.16143800001</v>
      </c>
      <c r="P27" s="7">
        <f>+[4]Resumen!P27*1000</f>
        <v>175166.74168400004</v>
      </c>
      <c r="Q27" s="7">
        <f>+[4]Resumen!Q27*1000</f>
        <v>189012.08601</v>
      </c>
      <c r="R27" s="7">
        <f>+[4]Resumen!R27*1000</f>
        <v>192216.76698400002</v>
      </c>
      <c r="S27" s="7">
        <f>+[4]Resumen!S27*1000</f>
        <v>188720.50135400004</v>
      </c>
      <c r="T27" s="7">
        <f>+[4]Resumen!T27*1000</f>
        <v>190575.62645000001</v>
      </c>
      <c r="U27" s="7">
        <f>+[4]Resumen!U27*1000</f>
        <v>190821.27977000002</v>
      </c>
      <c r="V27" s="7">
        <f>+[4]Resumen!V27*1000</f>
        <v>184790.81200800001</v>
      </c>
      <c r="W27" s="7">
        <f>+[4]Resumen!W27*1000</f>
        <v>185764.01742800002</v>
      </c>
      <c r="X27" s="7">
        <f>+[4]Resumen!X27*1000</f>
        <v>198882.30463200001</v>
      </c>
      <c r="Y27" s="7">
        <f>+[4]Resumen!Y27*1000</f>
        <v>206385.07298200001</v>
      </c>
      <c r="Z27" s="7">
        <f>+[4]Resumen!Z27*1000</f>
        <v>189972.32694000003</v>
      </c>
      <c r="AA27" s="7">
        <f>+[4]Resumen!AA27*1000</f>
        <v>160343.199544</v>
      </c>
      <c r="AB27" s="7">
        <f>+[4]Resumen!AB27*1000</f>
        <v>127906.90112200001</v>
      </c>
      <c r="AC27" s="7">
        <f>+[4]Resumen!AC27*1000</f>
        <v>97023.155284000022</v>
      </c>
      <c r="AD27" s="70">
        <f t="shared" ref="AD27" si="4">SUM(F27:AC27)*E27+SUM(F28:AC28)*E28+SUM(F29:AC29)*E29+SUM(F30:AC30)*E30</f>
        <v>97804192.589092016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+[4]Resumen!F28*1000</f>
        <v>84776.557118000012</v>
      </c>
      <c r="G28" s="7">
        <f>+[4]Resumen!G28*1000</f>
        <v>71984.994730000006</v>
      </c>
      <c r="H28" s="7">
        <f>+[4]Resumen!H28*1000</f>
        <v>64050.179424000009</v>
      </c>
      <c r="I28" s="7">
        <f>+[4]Resumen!I28*1000</f>
        <v>61978.181848000007</v>
      </c>
      <c r="J28" s="7">
        <f>+[4]Resumen!J28*1000</f>
        <v>68518.037698000015</v>
      </c>
      <c r="K28" s="7">
        <f>+[4]Resumen!K28*1000</f>
        <v>79821.414310000007</v>
      </c>
      <c r="L28" s="7">
        <f>+[4]Resumen!L28*1000</f>
        <v>101736.36530200002</v>
      </c>
      <c r="M28" s="7">
        <f>+[4]Resumen!M28*1000</f>
        <v>111345.59612000002</v>
      </c>
      <c r="N28" s="7">
        <f>+[4]Resumen!N28*1000</f>
        <v>133100.79378200002</v>
      </c>
      <c r="O28" s="7">
        <f>+[4]Resumen!O28*1000</f>
        <v>147683.724166</v>
      </c>
      <c r="P28" s="7">
        <f>+[4]Resumen!P28*1000</f>
        <v>161817.06046000001</v>
      </c>
      <c r="Q28" s="7">
        <f>+[4]Resumen!Q28*1000</f>
        <v>171666.42444600002</v>
      </c>
      <c r="R28" s="7">
        <f>+[4]Resumen!R28*1000</f>
        <v>172969.90475600003</v>
      </c>
      <c r="S28" s="7">
        <f>+[4]Resumen!S28*1000</f>
        <v>166791.76965000003</v>
      </c>
      <c r="T28" s="7">
        <f>+[4]Resumen!T28*1000</f>
        <v>161637.99315400003</v>
      </c>
      <c r="U28" s="7">
        <f>+[4]Resumen!U28*1000</f>
        <v>160082.13634600001</v>
      </c>
      <c r="V28" s="7">
        <f>+[4]Resumen!V28*1000</f>
        <v>156148.696968</v>
      </c>
      <c r="W28" s="7">
        <f>+[4]Resumen!W28*1000</f>
        <v>165059.05490800002</v>
      </c>
      <c r="X28" s="7">
        <f>+[4]Resumen!X28*1000</f>
        <v>174737.022108</v>
      </c>
      <c r="Y28" s="7">
        <f>+[4]Resumen!Y28*1000</f>
        <v>183260.49082000004</v>
      </c>
      <c r="Z28" s="7">
        <f>+[4]Resumen!Z28*1000</f>
        <v>169701.01759600002</v>
      </c>
      <c r="AA28" s="7">
        <f>+[4]Resumen!AA28*1000</f>
        <v>150040.79629</v>
      </c>
      <c r="AB28" s="7">
        <f>+[4]Resumen!AB28*1000</f>
        <v>127467.30493200001</v>
      </c>
      <c r="AC28" s="7">
        <f>+[4]Resumen!AC28*1000</f>
        <v>104471.94153000001</v>
      </c>
      <c r="AD28" s="7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4</v>
      </c>
      <c r="F29" s="7">
        <f>+[4]Resumen!F29*1000</f>
        <v>86948.396018000014</v>
      </c>
      <c r="G29" s="7">
        <f>+[4]Resumen!G29*1000</f>
        <v>74106.152472000002</v>
      </c>
      <c r="H29" s="7">
        <f>+[4]Resumen!H29*1000</f>
        <v>65311.534156000009</v>
      </c>
      <c r="I29" s="7">
        <f>+[4]Resumen!I29*1000</f>
        <v>61573.568474</v>
      </c>
      <c r="J29" s="7">
        <f>+[4]Resumen!J29*1000</f>
        <v>62567.644920000006</v>
      </c>
      <c r="K29" s="7">
        <f>+[4]Resumen!K29*1000</f>
        <v>65391.533746000008</v>
      </c>
      <c r="L29" s="7">
        <f>+[4]Resumen!L29*1000</f>
        <v>73929.405989999999</v>
      </c>
      <c r="M29" s="7">
        <f>+[4]Resumen!M29*1000</f>
        <v>74337.789064000011</v>
      </c>
      <c r="N29" s="7">
        <f>+[4]Resumen!N29*1000</f>
        <v>91322.333036000011</v>
      </c>
      <c r="O29" s="7">
        <f>+[4]Resumen!O29*1000</f>
        <v>106057.24133400002</v>
      </c>
      <c r="P29" s="7">
        <f>+[4]Resumen!P29*1000</f>
        <v>116707.34532600001</v>
      </c>
      <c r="Q29" s="7">
        <f>+[4]Resumen!Q29*1000</f>
        <v>129675.349342</v>
      </c>
      <c r="R29" s="7">
        <f>+[4]Resumen!R29*1000</f>
        <v>137926.10484400002</v>
      </c>
      <c r="S29" s="7">
        <f>+[4]Resumen!S29*1000</f>
        <v>139024.83144000001</v>
      </c>
      <c r="T29" s="7">
        <f>+[4]Resumen!T29*1000</f>
        <v>135407.98458000002</v>
      </c>
      <c r="U29" s="7">
        <f>+[4]Resumen!U29*1000</f>
        <v>133449.98601000002</v>
      </c>
      <c r="V29" s="7">
        <f>+[4]Resumen!V29*1000</f>
        <v>130317.79800600003</v>
      </c>
      <c r="W29" s="7">
        <f>+[4]Resumen!W29*1000</f>
        <v>139921.58078800002</v>
      </c>
      <c r="X29" s="7">
        <f>+[4]Resumen!X29*1000</f>
        <v>152098.02975400002</v>
      </c>
      <c r="Y29" s="7">
        <f>+[4]Resumen!Y29*1000</f>
        <v>163714.17673600002</v>
      </c>
      <c r="Z29" s="7">
        <f>+[4]Resumen!Z29*1000</f>
        <v>154657.64622000002</v>
      </c>
      <c r="AA29" s="7">
        <f>+[4]Resumen!AA29*1000</f>
        <v>139848.82885600001</v>
      </c>
      <c r="AB29" s="7">
        <f>+[4]Resumen!AB29*1000</f>
        <v>117798.64397400002</v>
      </c>
      <c r="AC29" s="7">
        <f>+[4]Resumen!AC29*1000</f>
        <v>94472.677882000018</v>
      </c>
      <c r="AD29" s="7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+[4]Resumen!F30*1000</f>
        <v>79527.226922000002</v>
      </c>
      <c r="G30" s="7">
        <f>+[4]Resumen!G30*1000</f>
        <v>67176.244124000004</v>
      </c>
      <c r="H30" s="7">
        <f>+[4]Resumen!H30*1000</f>
        <v>59546.686012000006</v>
      </c>
      <c r="I30" s="7">
        <f>+[4]Resumen!I30*1000</f>
        <v>56522.262258000002</v>
      </c>
      <c r="J30" s="7">
        <f>+[4]Resumen!J30*1000</f>
        <v>58775.107094000006</v>
      </c>
      <c r="K30" s="7">
        <f>+[4]Resumen!K30*1000</f>
        <v>63390.986736000006</v>
      </c>
      <c r="L30" s="7">
        <f>+[4]Resumen!L30*1000</f>
        <v>71700.431550000008</v>
      </c>
      <c r="M30" s="7">
        <f>+[4]Resumen!M30*1000</f>
        <v>71568.80346000001</v>
      </c>
      <c r="N30" s="7">
        <f>+[4]Resumen!N30*1000</f>
        <v>88738.564266000001</v>
      </c>
      <c r="O30" s="7">
        <f>+[4]Resumen!O30*1000</f>
        <v>104367.38316400001</v>
      </c>
      <c r="P30" s="7">
        <f>+[4]Resumen!P30*1000</f>
        <v>120383.34369600001</v>
      </c>
      <c r="Q30" s="7">
        <f>+[4]Resumen!Q30*1000</f>
        <v>136855.365812</v>
      </c>
      <c r="R30" s="7">
        <f>+[4]Resumen!R30*1000</f>
        <v>146192.89632200002</v>
      </c>
      <c r="S30" s="7">
        <f>+[4]Resumen!S30*1000</f>
        <v>144516.43533800001</v>
      </c>
      <c r="T30" s="7">
        <f>+[4]Resumen!T30*1000</f>
        <v>138249.05668200002</v>
      </c>
      <c r="U30" s="7">
        <f>+[4]Resumen!U30*1000</f>
        <v>135436.92932000002</v>
      </c>
      <c r="V30" s="7">
        <f>+[4]Resumen!V30*1000</f>
        <v>132778.802398</v>
      </c>
      <c r="W30" s="7">
        <f>+[4]Resumen!W30*1000</f>
        <v>143686.75059200003</v>
      </c>
      <c r="X30" s="7">
        <f>+[4]Resumen!X30*1000</f>
        <v>158134.38152600001</v>
      </c>
      <c r="Y30" s="7">
        <f>+[4]Resumen!Y30*1000</f>
        <v>175244.10904000004</v>
      </c>
      <c r="Z30" s="7">
        <f>+[4]Resumen!Z30*1000</f>
        <v>164339.52735200003</v>
      </c>
      <c r="AA30" s="7">
        <f>+[4]Resumen!AA30*1000</f>
        <v>145912.42736400003</v>
      </c>
      <c r="AB30" s="7">
        <f>+[4]Resumen!AB30*1000</f>
        <v>119119.032208</v>
      </c>
      <c r="AC30" s="7">
        <f>+[4]Resumen!AC30*1000</f>
        <v>92119.87699200002</v>
      </c>
      <c r="AD30" s="7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20</v>
      </c>
      <c r="F31" s="7">
        <f>+[4]Resumen!F31*1000</f>
        <v>86465.300768000016</v>
      </c>
      <c r="G31" s="7">
        <f>+[4]Resumen!G31*1000</f>
        <v>74986.954350000015</v>
      </c>
      <c r="H31" s="7">
        <f>+[4]Resumen!H31*1000</f>
        <v>68707.266803999999</v>
      </c>
      <c r="I31" s="7">
        <f>+[4]Resumen!I31*1000</f>
        <v>68309.825694000014</v>
      </c>
      <c r="J31" s="7">
        <f>+[4]Resumen!J31*1000</f>
        <v>83567.073457999999</v>
      </c>
      <c r="K31" s="7">
        <f>+[4]Resumen!K31*1000</f>
        <v>111604.34832800002</v>
      </c>
      <c r="L31" s="7">
        <f>+[4]Resumen!L31*1000</f>
        <v>139222.85214200002</v>
      </c>
      <c r="M31" s="7">
        <f>+[4]Resumen!M31*1000</f>
        <v>142680.91923800003</v>
      </c>
      <c r="N31" s="7">
        <f>+[4]Resumen!N31*1000</f>
        <v>159555.35846800002</v>
      </c>
      <c r="O31" s="7">
        <f>+[4]Resumen!O31*1000</f>
        <v>170411.88467600002</v>
      </c>
      <c r="P31" s="7">
        <f>+[4]Resumen!P31*1000</f>
        <v>186256.76311</v>
      </c>
      <c r="Q31" s="7">
        <f>+[4]Resumen!Q31*1000</f>
        <v>200073.87730000002</v>
      </c>
      <c r="R31" s="7">
        <f>+[4]Resumen!R31*1000</f>
        <v>202774.75589800003</v>
      </c>
      <c r="S31" s="7">
        <f>+[4]Resumen!S31*1000</f>
        <v>200073.30037200003</v>
      </c>
      <c r="T31" s="7">
        <f>+[4]Resumen!T31*1000</f>
        <v>203633.43127600005</v>
      </c>
      <c r="U31" s="7">
        <f>+[4]Resumen!U31*1000</f>
        <v>204451.24310600004</v>
      </c>
      <c r="V31" s="7">
        <f>+[4]Resumen!V31*1000</f>
        <v>197783.88289000004</v>
      </c>
      <c r="W31" s="7">
        <f>+[4]Resumen!W31*1000</f>
        <v>196318.25303200001</v>
      </c>
      <c r="X31" s="7">
        <f>+[4]Resumen!X31*1000</f>
        <v>208890.11730400004</v>
      </c>
      <c r="Y31" s="7">
        <f>+[4]Resumen!Y31*1000</f>
        <v>222771.28689200003</v>
      </c>
      <c r="Z31" s="7">
        <f>+[4]Resumen!Z31*1000</f>
        <v>207312.86826800005</v>
      </c>
      <c r="AA31" s="7">
        <f>+[4]Resumen!AA31*1000</f>
        <v>176634.889046</v>
      </c>
      <c r="AB31" s="7">
        <f>+[4]Resumen!AB31*1000</f>
        <v>142007.51314200001</v>
      </c>
      <c r="AC31" s="7">
        <f>+[4]Resumen!AC31*1000</f>
        <v>108704.94093800001</v>
      </c>
      <c r="AD31" s="70">
        <f t="shared" ref="AD31" si="5">SUM(F31:AC31)*E31+SUM(F32:AC32)*E32+SUM(F33:AC33)*E33+SUM(F34:AC34)*E34</f>
        <v>108283860.31793001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4</v>
      </c>
      <c r="F32" s="7">
        <f>+[4]Resumen!F32*1000</f>
        <v>94051.169696000012</v>
      </c>
      <c r="G32" s="7">
        <f>+[4]Resumen!G32*1000</f>
        <v>80994.299100000004</v>
      </c>
      <c r="H32" s="7">
        <f>+[4]Resumen!H32*1000</f>
        <v>73231.431284000006</v>
      </c>
      <c r="I32" s="7">
        <f>+[4]Resumen!I32*1000</f>
        <v>70417.697702000005</v>
      </c>
      <c r="J32" s="7">
        <f>+[4]Resumen!J32*1000</f>
        <v>76826.61712000001</v>
      </c>
      <c r="K32" s="7">
        <f>+[4]Resumen!K32*1000</f>
        <v>88992.691216000007</v>
      </c>
      <c r="L32" s="7">
        <f>+[4]Resumen!L32*1000</f>
        <v>110669.57418000001</v>
      </c>
      <c r="M32" s="7">
        <f>+[4]Resumen!M32*1000</f>
        <v>120510.59237800002</v>
      </c>
      <c r="N32" s="7">
        <f>+[4]Resumen!N32*1000</f>
        <v>142830.59599600002</v>
      </c>
      <c r="O32" s="7">
        <f>+[4]Resumen!O32*1000</f>
        <v>158061.04611000002</v>
      </c>
      <c r="P32" s="7">
        <f>+[4]Resumen!P32*1000</f>
        <v>172583.402332</v>
      </c>
      <c r="Q32" s="7">
        <f>+[4]Resumen!Q32*1000</f>
        <v>183840.673874</v>
      </c>
      <c r="R32" s="7">
        <f>+[4]Resumen!R32*1000</f>
        <v>184250.13541000002</v>
      </c>
      <c r="S32" s="7">
        <f>+[4]Resumen!S32*1000</f>
        <v>176323.09879800002</v>
      </c>
      <c r="T32" s="7">
        <f>+[4]Resumen!T32*1000</f>
        <v>169100.60272600001</v>
      </c>
      <c r="U32" s="7">
        <f>+[4]Resumen!U32*1000</f>
        <v>167084.34098400004</v>
      </c>
      <c r="V32" s="7">
        <f>+[4]Resumen!V32*1000</f>
        <v>165649.28175400003</v>
      </c>
      <c r="W32" s="7">
        <f>+[4]Resumen!W32*1000</f>
        <v>174473.95605199999</v>
      </c>
      <c r="X32" s="7">
        <f>+[4]Resumen!X32*1000</f>
        <v>184714.011746</v>
      </c>
      <c r="Y32" s="7">
        <f>+[4]Resumen!Y32*1000</f>
        <v>193528.638974</v>
      </c>
      <c r="Z32" s="7">
        <f>+[4]Resumen!Z32*1000</f>
        <v>178630.84357800003</v>
      </c>
      <c r="AA32" s="7">
        <f>+[4]Resumen!AA32*1000</f>
        <v>156974.33010600004</v>
      </c>
      <c r="AB32" s="7">
        <f>+[4]Resumen!AB32*1000</f>
        <v>132955.46037400002</v>
      </c>
      <c r="AC32" s="7">
        <f>+[4]Resumen!AC32*1000</f>
        <v>109217.220222</v>
      </c>
      <c r="AD32" s="7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5</v>
      </c>
      <c r="F33" s="7">
        <f>+[4]Resumen!F33*1000</f>
        <v>86712.717652000021</v>
      </c>
      <c r="G33" s="7">
        <f>+[4]Resumen!G33*1000</f>
        <v>73144.816690000007</v>
      </c>
      <c r="H33" s="7">
        <f>+[4]Resumen!H33*1000</f>
        <v>64287.28699800001</v>
      </c>
      <c r="I33" s="7">
        <f>+[4]Resumen!I33*1000</f>
        <v>59783.901760000008</v>
      </c>
      <c r="J33" s="7">
        <f>+[4]Resumen!J33*1000</f>
        <v>61431.277050000004</v>
      </c>
      <c r="K33" s="7">
        <f>+[4]Resumen!K33*1000</f>
        <v>64944.457160000013</v>
      </c>
      <c r="L33" s="7">
        <f>+[4]Resumen!L33*1000</f>
        <v>75215.660410000011</v>
      </c>
      <c r="M33" s="7">
        <f>+[4]Resumen!M33*1000</f>
        <v>76101.890656000003</v>
      </c>
      <c r="N33" s="7">
        <f>+[4]Resumen!N33*1000</f>
        <v>93791.230852000022</v>
      </c>
      <c r="O33" s="7">
        <f>+[4]Resumen!O33*1000</f>
        <v>109536.87111400001</v>
      </c>
      <c r="P33" s="7">
        <f>+[4]Resumen!P33*1000</f>
        <v>121552.80953200001</v>
      </c>
      <c r="Q33" s="7">
        <f>+[4]Resumen!Q33*1000</f>
        <v>135713.50729200002</v>
      </c>
      <c r="R33" s="7">
        <f>+[4]Resumen!R33*1000</f>
        <v>144524.07635600003</v>
      </c>
      <c r="S33" s="7">
        <f>+[4]Resumen!S33*1000</f>
        <v>144961.88603600001</v>
      </c>
      <c r="T33" s="7">
        <f>+[4]Resumen!T33*1000</f>
        <v>140616.20537800001</v>
      </c>
      <c r="U33" s="7">
        <f>+[4]Resumen!U33*1000</f>
        <v>138379.45224400001</v>
      </c>
      <c r="V33" s="7">
        <f>+[4]Resumen!V33*1000</f>
        <v>135764.50313800003</v>
      </c>
      <c r="W33" s="7">
        <f>+[4]Resumen!W33*1000</f>
        <v>145810.38322400002</v>
      </c>
      <c r="X33" s="7">
        <f>+[4]Resumen!X33*1000</f>
        <v>159723.33630000002</v>
      </c>
      <c r="Y33" s="7">
        <f>+[4]Resumen!Y33*1000</f>
        <v>176423.76290000003</v>
      </c>
      <c r="Z33" s="7">
        <f>+[4]Resumen!Z33*1000</f>
        <v>165836.80957800001</v>
      </c>
      <c r="AA33" s="7">
        <f>+[4]Resumen!AA33*1000</f>
        <v>145920.68136800002</v>
      </c>
      <c r="AB33" s="7">
        <f>+[4]Resumen!AB33*1000</f>
        <v>118377.13558</v>
      </c>
      <c r="AC33" s="7">
        <f>+[4]Resumen!AC33*1000</f>
        <v>93123.053165999998</v>
      </c>
      <c r="AD33" s="7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+[4]Resumen!F34*1000</f>
        <v>101477.550812</v>
      </c>
      <c r="G34" s="7">
        <f>+[4]Resumen!G34*1000</f>
        <v>86679.026368000006</v>
      </c>
      <c r="H34" s="7">
        <f>+[4]Resumen!H34*1000</f>
        <v>77181.437674000001</v>
      </c>
      <c r="I34" s="7">
        <f>+[4]Resumen!I34*1000</f>
        <v>72401.133552000014</v>
      </c>
      <c r="J34" s="7">
        <f>+[4]Resumen!J34*1000</f>
        <v>72178.990048000007</v>
      </c>
      <c r="K34" s="7">
        <f>+[4]Resumen!K34*1000</f>
        <v>72928.498192000014</v>
      </c>
      <c r="L34" s="7">
        <f>+[4]Resumen!L34*1000</f>
        <v>82453.336900000009</v>
      </c>
      <c r="M34" s="7">
        <f>+[4]Resumen!M34*1000</f>
        <v>83596.608238000001</v>
      </c>
      <c r="N34" s="7">
        <f>+[4]Resumen!N34*1000</f>
        <v>100845.23444600002</v>
      </c>
      <c r="O34" s="7">
        <f>+[4]Resumen!O34*1000</f>
        <v>115056.43307400002</v>
      </c>
      <c r="P34" s="7">
        <f>+[4]Resumen!P34*1000</f>
        <v>126630.65115800001</v>
      </c>
      <c r="Q34" s="7">
        <f>+[4]Resumen!Q34*1000</f>
        <v>141329.68502400003</v>
      </c>
      <c r="R34" s="7">
        <f>+[4]Resumen!R34*1000</f>
        <v>147664.55442200002</v>
      </c>
      <c r="S34" s="7">
        <f>+[4]Resumen!S34*1000</f>
        <v>149194.46913800001</v>
      </c>
      <c r="T34" s="7">
        <f>+[4]Resumen!T34*1000</f>
        <v>146913.44989200003</v>
      </c>
      <c r="U34" s="7">
        <f>+[4]Resumen!U34*1000</f>
        <v>145512.64248400001</v>
      </c>
      <c r="V34" s="7">
        <f>+[4]Resumen!V34*1000</f>
        <v>143007.91285000002</v>
      </c>
      <c r="W34" s="7">
        <f>+[4]Resumen!W34*1000</f>
        <v>153517.41686600001</v>
      </c>
      <c r="X34" s="7">
        <f>+[4]Resumen!X34*1000</f>
        <v>166527.451398</v>
      </c>
      <c r="Y34" s="7">
        <f>+[4]Resumen!Y34*1000</f>
        <v>182139.470546</v>
      </c>
      <c r="Z34" s="7">
        <f>+[4]Resumen!Z34*1000</f>
        <v>175845.13689600001</v>
      </c>
      <c r="AA34" s="7">
        <f>+[4]Resumen!AA34*1000</f>
        <v>161802.96833800004</v>
      </c>
      <c r="AB34" s="7">
        <f>+[4]Resumen!AB34*1000</f>
        <v>135403.01841000002</v>
      </c>
      <c r="AC34" s="7">
        <f>+[4]Resumen!AC34*1000</f>
        <v>108636.31273000001</v>
      </c>
      <c r="AD34" s="7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21</v>
      </c>
      <c r="F35" s="7">
        <f>+[4]Resumen!F35*1000</f>
        <v>83913.859634000008</v>
      </c>
      <c r="G35" s="7">
        <f>+[4]Resumen!G35*1000</f>
        <v>72457.095568000004</v>
      </c>
      <c r="H35" s="7">
        <f>+[4]Resumen!H35*1000</f>
        <v>66394.096934000001</v>
      </c>
      <c r="I35" s="7">
        <f>+[4]Resumen!I35*1000</f>
        <v>66036.92605400001</v>
      </c>
      <c r="J35" s="7">
        <f>+[4]Resumen!J35*1000</f>
        <v>82563.022058000002</v>
      </c>
      <c r="K35" s="7">
        <f>+[4]Resumen!K35*1000</f>
        <v>113213.51852800002</v>
      </c>
      <c r="L35" s="7">
        <f>+[4]Resumen!L35*1000</f>
        <v>141829.85865400001</v>
      </c>
      <c r="M35" s="7">
        <f>+[4]Resumen!M35*1000</f>
        <v>143069.12950000001</v>
      </c>
      <c r="N35" s="7">
        <f>+[4]Resumen!N35*1000</f>
        <v>158758.40783000001</v>
      </c>
      <c r="O35" s="7">
        <f>+[4]Resumen!O35*1000</f>
        <v>168709.12429800001</v>
      </c>
      <c r="P35" s="7">
        <f>+[4]Resumen!P35*1000</f>
        <v>184309.50326800003</v>
      </c>
      <c r="Q35" s="7">
        <f>+[4]Resumen!Q35*1000</f>
        <v>198115.84595000002</v>
      </c>
      <c r="R35" s="7">
        <f>+[4]Resumen!R35*1000</f>
        <v>200403.73260600003</v>
      </c>
      <c r="S35" s="7">
        <f>+[4]Resumen!S35*1000</f>
        <v>196826.06768000001</v>
      </c>
      <c r="T35" s="7">
        <f>+[4]Resumen!T35*1000</f>
        <v>200100.95358</v>
      </c>
      <c r="U35" s="7">
        <f>+[4]Resumen!U35*1000</f>
        <v>200344.68271400002</v>
      </c>
      <c r="V35" s="7">
        <f>+[4]Resumen!V35*1000</f>
        <v>194281.66113400002</v>
      </c>
      <c r="W35" s="7">
        <f>+[4]Resumen!W35*1000</f>
        <v>195360.51321600002</v>
      </c>
      <c r="X35" s="7">
        <f>+[4]Resumen!X35*1000</f>
        <v>213090.96281</v>
      </c>
      <c r="Y35" s="7">
        <f>+[4]Resumen!Y35*1000</f>
        <v>222820.80436000001</v>
      </c>
      <c r="Z35" s="7">
        <f>+[4]Resumen!Z35*1000</f>
        <v>206756.54577600004</v>
      </c>
      <c r="AA35" s="7">
        <f>+[4]Resumen!AA35*1000</f>
        <v>174258.32265600003</v>
      </c>
      <c r="AB35" s="7">
        <f>+[4]Resumen!AB35*1000</f>
        <v>139853.89008800001</v>
      </c>
      <c r="AC35" s="7">
        <f>+[4]Resumen!AC35*1000</f>
        <v>106532.64639600001</v>
      </c>
      <c r="AD35" s="70">
        <f t="shared" ref="AD35" si="6">SUM(F35:AC35)*E35+SUM(F36:AC36)*E36+SUM(F37:AC37)*E37+SUM(F38:AC38)*E38</f>
        <v>108238947.93839601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4</v>
      </c>
      <c r="F36" s="7">
        <f>+[4]Resumen!F36*1000</f>
        <v>91909.999764000007</v>
      </c>
      <c r="G36" s="7">
        <f>+[4]Resumen!G36*1000</f>
        <v>79356.852872000003</v>
      </c>
      <c r="H36" s="7">
        <f>+[4]Resumen!H36*1000</f>
        <v>71615.495292000007</v>
      </c>
      <c r="I36" s="7">
        <f>+[4]Resumen!I36*1000</f>
        <v>69025.862180000011</v>
      </c>
      <c r="J36" s="7">
        <f>+[4]Resumen!J36*1000</f>
        <v>75921.086010000014</v>
      </c>
      <c r="K36" s="7">
        <f>+[4]Resumen!K36*1000</f>
        <v>87400.294542000018</v>
      </c>
      <c r="L36" s="7">
        <f>+[4]Resumen!L36*1000</f>
        <v>109188.58361400002</v>
      </c>
      <c r="M36" s="7">
        <f>+[4]Resumen!M36*1000</f>
        <v>119337.46173800001</v>
      </c>
      <c r="N36" s="7">
        <f>+[4]Resumen!N36*1000</f>
        <v>141482.82335000002</v>
      </c>
      <c r="O36" s="7">
        <f>+[4]Resumen!O36*1000</f>
        <v>154215.12605400002</v>
      </c>
      <c r="P36" s="7">
        <f>+[4]Resumen!P36*1000</f>
        <v>166380.94446600002</v>
      </c>
      <c r="Q36" s="7">
        <f>+[4]Resumen!Q36*1000</f>
        <v>175115.542602</v>
      </c>
      <c r="R36" s="7">
        <f>+[4]Resumen!R36*1000</f>
        <v>176644.77221600001</v>
      </c>
      <c r="S36" s="7">
        <f>+[4]Resumen!S36*1000</f>
        <v>171311.23020000002</v>
      </c>
      <c r="T36" s="7">
        <f>+[4]Resumen!T36*1000</f>
        <v>165684.20556600002</v>
      </c>
      <c r="U36" s="7">
        <f>+[4]Resumen!U36*1000</f>
        <v>163215.41264600001</v>
      </c>
      <c r="V36" s="7">
        <f>+[4]Resumen!V36*1000</f>
        <v>160538.95514800001</v>
      </c>
      <c r="W36" s="7">
        <f>+[4]Resumen!W36*1000</f>
        <v>170667.85714000001</v>
      </c>
      <c r="X36" s="7">
        <f>+[4]Resumen!X36*1000</f>
        <v>183785.96077600002</v>
      </c>
      <c r="Y36" s="7">
        <f>+[4]Resumen!Y36*1000</f>
        <v>190118.90598800001</v>
      </c>
      <c r="Z36" s="7">
        <f>+[4]Resumen!Z36*1000</f>
        <v>174668.68892000002</v>
      </c>
      <c r="AA36" s="7">
        <f>+[4]Resumen!AA36*1000</f>
        <v>153133.59256800002</v>
      </c>
      <c r="AB36" s="7">
        <f>+[4]Resumen!AB36*1000</f>
        <v>128771.84731400001</v>
      </c>
      <c r="AC36" s="7">
        <f>+[4]Resumen!AC36*1000</f>
        <v>105919.50305200001</v>
      </c>
      <c r="AD36" s="7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+[4]Resumen!F37*1000</f>
        <v>87636.231870000018</v>
      </c>
      <c r="G37" s="7">
        <f>+[4]Resumen!G37*1000</f>
        <v>74668.18851800001</v>
      </c>
      <c r="H37" s="7">
        <f>+[4]Resumen!H37*1000</f>
        <v>65623.137558000002</v>
      </c>
      <c r="I37" s="7">
        <f>+[4]Resumen!I37*1000</f>
        <v>61715.00434</v>
      </c>
      <c r="J37" s="7">
        <f>+[4]Resumen!J37*1000</f>
        <v>63449.692438000005</v>
      </c>
      <c r="K37" s="7">
        <f>+[4]Resumen!K37*1000</f>
        <v>68482.42222800001</v>
      </c>
      <c r="L37" s="7">
        <f>+[4]Resumen!L37*1000</f>
        <v>76237.363840000005</v>
      </c>
      <c r="M37" s="7">
        <f>+[4]Resumen!M37*1000</f>
        <v>77417.427450000003</v>
      </c>
      <c r="N37" s="7">
        <f>+[4]Resumen!N37*1000</f>
        <v>94309.876012000008</v>
      </c>
      <c r="O37" s="7">
        <f>+[4]Resumen!O37*1000</f>
        <v>109717.46924600001</v>
      </c>
      <c r="P37" s="7">
        <f>+[4]Resumen!P37*1000</f>
        <v>122543.08677600001</v>
      </c>
      <c r="Q37" s="7">
        <f>+[4]Resumen!Q37*1000</f>
        <v>136119.58593200002</v>
      </c>
      <c r="R37" s="7">
        <f>+[4]Resumen!R37*1000</f>
        <v>144842.622562</v>
      </c>
      <c r="S37" s="7">
        <f>+[4]Resumen!S37*1000</f>
        <v>146001.293944</v>
      </c>
      <c r="T37" s="7">
        <f>+[4]Resumen!T37*1000</f>
        <v>140447.02452000004</v>
      </c>
      <c r="U37" s="7">
        <f>+[4]Resumen!U37*1000</f>
        <v>137828.89247600001</v>
      </c>
      <c r="V37" s="7">
        <f>+[4]Resumen!V37*1000</f>
        <v>134493.91755800002</v>
      </c>
      <c r="W37" s="7">
        <f>+[4]Resumen!W37*1000</f>
        <v>147307.01312800002</v>
      </c>
      <c r="X37" s="7">
        <f>+[4]Resumen!X37*1000</f>
        <v>165556.14721800003</v>
      </c>
      <c r="Y37" s="7">
        <f>+[4]Resumen!Y37*1000</f>
        <v>176503.86738600003</v>
      </c>
      <c r="Z37" s="7">
        <f>+[4]Resumen!Z37*1000</f>
        <v>165609.80152200002</v>
      </c>
      <c r="AA37" s="7">
        <f>+[4]Resumen!AA37*1000</f>
        <v>146561.41236000002</v>
      </c>
      <c r="AB37" s="7">
        <f>+[4]Resumen!AB37*1000</f>
        <v>120184.06096400002</v>
      </c>
      <c r="AC37" s="7">
        <f>+[4]Resumen!AC37*1000</f>
        <v>95628.267944000007</v>
      </c>
      <c r="AD37" s="7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+[4]Resumen!F38*1000</f>
        <v>83094.634986000005</v>
      </c>
      <c r="G38" s="7">
        <f>+[4]Resumen!G38*1000</f>
        <v>69751.480260000011</v>
      </c>
      <c r="H38" s="7">
        <f>+[4]Resumen!H38*1000</f>
        <v>60974.64181600001</v>
      </c>
      <c r="I38" s="7">
        <f>+[4]Resumen!I38*1000</f>
        <v>58988.819582000004</v>
      </c>
      <c r="J38" s="7">
        <f>+[4]Resumen!J38*1000</f>
        <v>61497.099290000006</v>
      </c>
      <c r="K38" s="7">
        <f>+[4]Resumen!K38*1000</f>
        <v>69152.796174000003</v>
      </c>
      <c r="L38" s="7">
        <f>+[4]Resumen!L38*1000</f>
        <v>80591.750866000002</v>
      </c>
      <c r="M38" s="7">
        <f>+[4]Resumen!M38*1000</f>
        <v>80985.448500000013</v>
      </c>
      <c r="N38" s="7">
        <f>+[4]Resumen!N38*1000</f>
        <v>100776.19976600001</v>
      </c>
      <c r="O38" s="7">
        <f>+[4]Resumen!O38*1000</f>
        <v>116326.70068800003</v>
      </c>
      <c r="P38" s="7">
        <f>+[4]Resumen!P38*1000</f>
        <v>131581.05725600003</v>
      </c>
      <c r="Q38" s="7">
        <f>+[4]Resumen!Q38*1000</f>
        <v>147283.11323000002</v>
      </c>
      <c r="R38" s="7">
        <f>+[4]Resumen!R38*1000</f>
        <v>156631.65454200003</v>
      </c>
      <c r="S38" s="7">
        <f>+[4]Resumen!S38*1000</f>
        <v>155841.69915600002</v>
      </c>
      <c r="T38" s="7">
        <f>+[4]Resumen!T38*1000</f>
        <v>150139.07400800003</v>
      </c>
      <c r="U38" s="7">
        <f>+[4]Resumen!U38*1000</f>
        <v>144681.93172400002</v>
      </c>
      <c r="V38" s="7">
        <f>+[4]Resumen!V38*1000</f>
        <v>143574.24963200002</v>
      </c>
      <c r="W38" s="7">
        <f>+[4]Resumen!W38*1000</f>
        <v>154547.45297200003</v>
      </c>
      <c r="X38" s="7">
        <f>+[4]Resumen!X38*1000</f>
        <v>170844.90847600001</v>
      </c>
      <c r="Y38" s="7">
        <f>+[4]Resumen!Y38*1000</f>
        <v>186328.36118600002</v>
      </c>
      <c r="Z38" s="7">
        <f>+[4]Resumen!Z38*1000</f>
        <v>173454.01618600002</v>
      </c>
      <c r="AA38" s="7">
        <f>+[4]Resumen!AA38*1000</f>
        <v>150522.97042200001</v>
      </c>
      <c r="AB38" s="7">
        <f>+[4]Resumen!AB38*1000</f>
        <v>122582.32443600001</v>
      </c>
      <c r="AC38" s="7">
        <f>+[4]Resumen!AC38*1000</f>
        <v>95719.661862000008</v>
      </c>
      <c r="AD38" s="7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20</v>
      </c>
      <c r="F39" s="7">
        <f>+[4]Resumen!F39*1000</f>
        <v>82963.672330000016</v>
      </c>
      <c r="G39" s="7">
        <f>+[4]Resumen!G39*1000</f>
        <v>72181.681286000006</v>
      </c>
      <c r="H39" s="7">
        <f>+[4]Resumen!H39*1000</f>
        <v>66636.177234000002</v>
      </c>
      <c r="I39" s="7">
        <f>+[4]Resumen!I39*1000</f>
        <v>66380.778420000002</v>
      </c>
      <c r="J39" s="7">
        <f>+[4]Resumen!J39*1000</f>
        <v>83103.875668000008</v>
      </c>
      <c r="K39" s="7">
        <f>+[4]Resumen!K39*1000</f>
        <v>114593.69092600001</v>
      </c>
      <c r="L39" s="7">
        <f>+[4]Resumen!L39*1000</f>
        <v>142392.74698</v>
      </c>
      <c r="M39" s="7">
        <f>+[4]Resumen!M39*1000</f>
        <v>142106.23339000001</v>
      </c>
      <c r="N39" s="7">
        <f>+[4]Resumen!N39*1000</f>
        <v>157584.19217200001</v>
      </c>
      <c r="O39" s="7">
        <f>+[4]Resumen!O39*1000</f>
        <v>167563.56819400002</v>
      </c>
      <c r="P39" s="7">
        <f>+[4]Resumen!P39*1000</f>
        <v>183811.60129200004</v>
      </c>
      <c r="Q39" s="7">
        <f>+[4]Resumen!Q39*1000</f>
        <v>197857.44121000002</v>
      </c>
      <c r="R39" s="7">
        <f>+[4]Resumen!R39*1000</f>
        <v>198935.28039000003</v>
      </c>
      <c r="S39" s="7">
        <f>+[4]Resumen!S39*1000</f>
        <v>195539.42645600002</v>
      </c>
      <c r="T39" s="7">
        <f>+[4]Resumen!T39*1000</f>
        <v>198257.42277000003</v>
      </c>
      <c r="U39" s="7">
        <f>+[4]Resumen!U39*1000</f>
        <v>199010.28103000001</v>
      </c>
      <c r="V39" s="7">
        <f>+[4]Resumen!V39*1000</f>
        <v>193463.21665000002</v>
      </c>
      <c r="W39" s="7">
        <f>+[4]Resumen!W39*1000</f>
        <v>197018.02408199999</v>
      </c>
      <c r="X39" s="7">
        <f>+[4]Resumen!X39*1000</f>
        <v>220500.74085600002</v>
      </c>
      <c r="Y39" s="7">
        <f>+[4]Resumen!Y39*1000</f>
        <v>220937.76381600002</v>
      </c>
      <c r="Z39" s="7">
        <f>+[4]Resumen!Z39*1000</f>
        <v>203811.34472600004</v>
      </c>
      <c r="AA39" s="7">
        <f>+[4]Resumen!AA39*1000</f>
        <v>171865.03518800001</v>
      </c>
      <c r="AB39" s="7">
        <f>+[4]Resumen!AB39*1000</f>
        <v>136956.39049400002</v>
      </c>
      <c r="AC39" s="7">
        <f>+[4]Resumen!AC39*1000</f>
        <v>104202.798062</v>
      </c>
      <c r="AD39" s="70">
        <f t="shared" ref="AD39" si="7">SUM(F39:AC39)*E39+SUM(F40:AC40)*E40+SUM(F41:AC41)*E41+SUM(F42:AC42)*E42</f>
        <v>104916982.55994999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5</v>
      </c>
      <c r="F40" s="7">
        <f>+[4]Resumen!F40*1000</f>
        <v>89980.280500000008</v>
      </c>
      <c r="G40" s="7">
        <f>+[4]Resumen!G40*1000</f>
        <v>77665.555660000013</v>
      </c>
      <c r="H40" s="7">
        <f>+[4]Resumen!H40*1000</f>
        <v>69872.82198600001</v>
      </c>
      <c r="I40" s="7">
        <f>+[4]Resumen!I40*1000</f>
        <v>67897.905658000003</v>
      </c>
      <c r="J40" s="7">
        <f>+[4]Resumen!J40*1000</f>
        <v>75425.252452000001</v>
      </c>
      <c r="K40" s="7">
        <f>+[4]Resumen!K40*1000</f>
        <v>89331.856042000014</v>
      </c>
      <c r="L40" s="7">
        <f>+[4]Resumen!L40*1000</f>
        <v>110053.53964</v>
      </c>
      <c r="M40" s="7">
        <f>+[4]Resumen!M40*1000</f>
        <v>119500.22427200001</v>
      </c>
      <c r="N40" s="7">
        <f>+[4]Resumen!N40*1000</f>
        <v>141552.58246800001</v>
      </c>
      <c r="O40" s="7">
        <f>+[4]Resumen!O40*1000</f>
        <v>155043.33242200001</v>
      </c>
      <c r="P40" s="7">
        <f>+[4]Resumen!P40*1000</f>
        <v>170295.19443200002</v>
      </c>
      <c r="Q40" s="7">
        <f>+[4]Resumen!Q40*1000</f>
        <v>181130.01372400002</v>
      </c>
      <c r="R40" s="7">
        <f>+[4]Resumen!R40*1000</f>
        <v>182009.78631</v>
      </c>
      <c r="S40" s="7">
        <f>+[4]Resumen!S40*1000</f>
        <v>176392.22526200002</v>
      </c>
      <c r="T40" s="7">
        <f>+[4]Resumen!T40*1000</f>
        <v>170096.51485200002</v>
      </c>
      <c r="U40" s="7">
        <f>+[4]Resumen!U40*1000</f>
        <v>167764.84722800003</v>
      </c>
      <c r="V40" s="7">
        <f>+[4]Resumen!V40*1000</f>
        <v>165102.65230800002</v>
      </c>
      <c r="W40" s="7">
        <f>+[4]Resumen!W40*1000</f>
        <v>176785.22796000002</v>
      </c>
      <c r="X40" s="7">
        <f>+[4]Resumen!X40*1000</f>
        <v>194806.29847800001</v>
      </c>
      <c r="Y40" s="7">
        <f>+[4]Resumen!Y40*1000</f>
        <v>193162.79450600003</v>
      </c>
      <c r="Z40" s="7">
        <f>+[4]Resumen!Z40*1000</f>
        <v>177314.63151600002</v>
      </c>
      <c r="AA40" s="7">
        <f>+[4]Resumen!AA40*1000</f>
        <v>155593.42999200002</v>
      </c>
      <c r="AB40" s="7">
        <f>+[4]Resumen!AB40*1000</f>
        <v>132149.11171000003</v>
      </c>
      <c r="AC40" s="7">
        <f>+[4]Resumen!AC40*1000</f>
        <v>109603.07032400001</v>
      </c>
      <c r="AD40" s="7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+[4]Resumen!F41*1000</f>
        <v>90813.043288000015</v>
      </c>
      <c r="G41" s="7">
        <f>+[4]Resumen!G41*1000</f>
        <v>76109.361218000005</v>
      </c>
      <c r="H41" s="7">
        <f>+[4]Resumen!H41*1000</f>
        <v>67359.585942000005</v>
      </c>
      <c r="I41" s="7">
        <f>+[4]Resumen!I41*1000</f>
        <v>62739.323614000008</v>
      </c>
      <c r="J41" s="7">
        <f>+[4]Resumen!J41*1000</f>
        <v>63447.837090000001</v>
      </c>
      <c r="K41" s="7">
        <f>+[4]Resumen!K41*1000</f>
        <v>66976.758156000011</v>
      </c>
      <c r="L41" s="7">
        <f>+[4]Resumen!L41*1000</f>
        <v>75304.005788000009</v>
      </c>
      <c r="M41" s="7">
        <f>+[4]Resumen!M41*1000</f>
        <v>75563.285754000011</v>
      </c>
      <c r="N41" s="7">
        <f>+[4]Resumen!N41*1000</f>
        <v>91593.721934000016</v>
      </c>
      <c r="O41" s="7">
        <f>+[4]Resumen!O41*1000</f>
        <v>106318.61922000002</v>
      </c>
      <c r="P41" s="7">
        <f>+[4]Resumen!P41*1000</f>
        <v>120783.41376200001</v>
      </c>
      <c r="Q41" s="7">
        <f>+[4]Resumen!Q41*1000</f>
        <v>134994.140358</v>
      </c>
      <c r="R41" s="7">
        <f>+[4]Resumen!R41*1000</f>
        <v>142440.85163000002</v>
      </c>
      <c r="S41" s="7">
        <f>+[4]Resumen!S41*1000</f>
        <v>144040.71886600001</v>
      </c>
      <c r="T41" s="7">
        <f>+[4]Resumen!T41*1000</f>
        <v>141016.009926</v>
      </c>
      <c r="U41" s="7">
        <f>+[4]Resumen!U41*1000</f>
        <v>139895.41251400003</v>
      </c>
      <c r="V41" s="7">
        <f>+[4]Resumen!V41*1000</f>
        <v>137962.37919200002</v>
      </c>
      <c r="W41" s="7">
        <f>+[4]Resumen!W41*1000</f>
        <v>152556.31054400001</v>
      </c>
      <c r="X41" s="7">
        <f>+[4]Resumen!X41*1000</f>
        <v>174271.31664800004</v>
      </c>
      <c r="Y41" s="7">
        <f>+[4]Resumen!Y41*1000</f>
        <v>177249.54354800002</v>
      </c>
      <c r="Z41" s="7">
        <f>+[4]Resumen!Z41*1000</f>
        <v>164824.33371800001</v>
      </c>
      <c r="AA41" s="7">
        <f>+[4]Resumen!AA41*1000</f>
        <v>145260.94781000001</v>
      </c>
      <c r="AB41" s="7">
        <f>+[4]Resumen!AB41*1000</f>
        <v>119190.00418600001</v>
      </c>
      <c r="AC41" s="7">
        <f>+[4]Resumen!AC41*1000</f>
        <v>93462.903094000008</v>
      </c>
      <c r="AD41" s="7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+[4]Resumen!F42*1000</f>
        <v>0</v>
      </c>
      <c r="G42" s="7">
        <f>+[4]Resumen!G42*1000</f>
        <v>0</v>
      </c>
      <c r="H42" s="7">
        <f>+[4]Resumen!H42*1000</f>
        <v>0</v>
      </c>
      <c r="I42" s="7">
        <f>+[4]Resumen!I42*1000</f>
        <v>0</v>
      </c>
      <c r="J42" s="7">
        <f>+[4]Resumen!J42*1000</f>
        <v>0</v>
      </c>
      <c r="K42" s="7">
        <f>+[4]Resumen!K42*1000</f>
        <v>0</v>
      </c>
      <c r="L42" s="7">
        <f>+[4]Resumen!L42*1000</f>
        <v>0</v>
      </c>
      <c r="M42" s="7">
        <f>+[4]Resumen!M42*1000</f>
        <v>0</v>
      </c>
      <c r="N42" s="7">
        <f>+[4]Resumen!N42*1000</f>
        <v>0</v>
      </c>
      <c r="O42" s="7">
        <f>+[4]Resumen!O42*1000</f>
        <v>0</v>
      </c>
      <c r="P42" s="7">
        <f>+[4]Resumen!P42*1000</f>
        <v>0</v>
      </c>
      <c r="Q42" s="7">
        <f>+[4]Resumen!Q42*1000</f>
        <v>0</v>
      </c>
      <c r="R42" s="7">
        <f>+[4]Resumen!R42*1000</f>
        <v>0</v>
      </c>
      <c r="S42" s="7">
        <f>+[4]Resumen!S42*1000</f>
        <v>0</v>
      </c>
      <c r="T42" s="7">
        <f>+[4]Resumen!T42*1000</f>
        <v>0</v>
      </c>
      <c r="U42" s="7">
        <f>+[4]Resumen!U42*1000</f>
        <v>0</v>
      </c>
      <c r="V42" s="7">
        <f>+[4]Resumen!V42*1000</f>
        <v>0</v>
      </c>
      <c r="W42" s="7">
        <f>+[4]Resumen!W42*1000</f>
        <v>0</v>
      </c>
      <c r="X42" s="7">
        <f>+[4]Resumen!X42*1000</f>
        <v>0</v>
      </c>
      <c r="Y42" s="7">
        <f>+[4]Resumen!Y42*1000</f>
        <v>0</v>
      </c>
      <c r="Z42" s="7">
        <f>+[4]Resumen!Z42*1000</f>
        <v>0</v>
      </c>
      <c r="AA42" s="7">
        <f>+[4]Resumen!AA42*1000</f>
        <v>0</v>
      </c>
      <c r="AB42" s="7">
        <f>+[4]Resumen!AB42*1000</f>
        <v>0</v>
      </c>
      <c r="AC42" s="7">
        <f>+[4]Resumen!AC42*1000</f>
        <v>0</v>
      </c>
      <c r="AD42" s="7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+[4]Resumen!F43*1000</f>
        <v>71663.714672000002</v>
      </c>
      <c r="G43" s="7">
        <f>+[4]Resumen!G43*1000</f>
        <v>61216.820456000001</v>
      </c>
      <c r="H43" s="7">
        <f>+[4]Resumen!H43*1000</f>
        <v>55982.211758000005</v>
      </c>
      <c r="I43" s="7">
        <f>+[4]Resumen!I43*1000</f>
        <v>56132.127810000013</v>
      </c>
      <c r="J43" s="7">
        <f>+[4]Resumen!J43*1000</f>
        <v>72071.379864000002</v>
      </c>
      <c r="K43" s="7">
        <f>+[4]Resumen!K43*1000</f>
        <v>100262.291316</v>
      </c>
      <c r="L43" s="7">
        <f>+[4]Resumen!L43*1000</f>
        <v>129084.87664600003</v>
      </c>
      <c r="M43" s="7">
        <f>+[4]Resumen!M43*1000</f>
        <v>133105.32397800003</v>
      </c>
      <c r="N43" s="7">
        <f>+[4]Resumen!N43*1000</f>
        <v>150160.82353800003</v>
      </c>
      <c r="O43" s="7">
        <f>+[4]Resumen!O43*1000</f>
        <v>161292.62635200002</v>
      </c>
      <c r="P43" s="7">
        <f>+[4]Resumen!P43*1000</f>
        <v>176759.02690600001</v>
      </c>
      <c r="Q43" s="7">
        <f>+[4]Resumen!Q43*1000</f>
        <v>190782.11094800005</v>
      </c>
      <c r="R43" s="7">
        <f>+[4]Resumen!R43*1000</f>
        <v>193751.84455000001</v>
      </c>
      <c r="S43" s="7">
        <f>+[4]Resumen!S43*1000</f>
        <v>190124.49170000001</v>
      </c>
      <c r="T43" s="7">
        <f>+[4]Resumen!T43*1000</f>
        <v>192113.91645600004</v>
      </c>
      <c r="U43" s="7">
        <f>+[4]Resumen!U43*1000</f>
        <v>191852.24682800003</v>
      </c>
      <c r="V43" s="7">
        <f>+[4]Resumen!V43*1000</f>
        <v>185013.46688000002</v>
      </c>
      <c r="W43" s="7">
        <f>+[4]Resumen!W43*1000</f>
        <v>189689.65516600001</v>
      </c>
      <c r="X43" s="7">
        <f>+[4]Resumen!X43*1000</f>
        <v>208645.53261200004</v>
      </c>
      <c r="Y43" s="7">
        <f>+[4]Resumen!Y43*1000</f>
        <v>203307.93898800001</v>
      </c>
      <c r="Z43" s="7">
        <f>+[4]Resumen!Z43*1000</f>
        <v>186183.90300400005</v>
      </c>
      <c r="AA43" s="7">
        <f>+[4]Resumen!AA43*1000</f>
        <v>156496.28297600002</v>
      </c>
      <c r="AB43" s="7">
        <f>+[4]Resumen!AB43*1000</f>
        <v>124604.43085200002</v>
      </c>
      <c r="AC43" s="7">
        <f>+[4]Resumen!AC43*1000</f>
        <v>94329.209656000021</v>
      </c>
      <c r="AD43" s="70">
        <f t="shared" ref="AD43" si="8">SUM(F43:AC43)*E43+SUM(F44:AC44)*E44+SUM(F45:AC45)*E45+SUM(F46:AC46)*E46</f>
        <v>102866891.63832402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+[4]Resumen!F44*1000</f>
        <v>86402.612296000007</v>
      </c>
      <c r="G44" s="7">
        <f>+[4]Resumen!G44*1000</f>
        <v>72775.359866000013</v>
      </c>
      <c r="H44" s="7">
        <f>+[4]Resumen!H44*1000</f>
        <v>65686.212834000005</v>
      </c>
      <c r="I44" s="7">
        <f>+[4]Resumen!I44*1000</f>
        <v>63086.985016000006</v>
      </c>
      <c r="J44" s="7">
        <f>+[4]Resumen!J44*1000</f>
        <v>70115.990582000013</v>
      </c>
      <c r="K44" s="7">
        <f>+[4]Resumen!K44*1000</f>
        <v>82220.107200000013</v>
      </c>
      <c r="L44" s="7">
        <f>+[4]Resumen!L44*1000</f>
        <v>104682.067886</v>
      </c>
      <c r="M44" s="7">
        <f>+[4]Resumen!M44*1000</f>
        <v>114123.46182600001</v>
      </c>
      <c r="N44" s="7">
        <f>+[4]Resumen!N44*1000</f>
        <v>136820.54361800003</v>
      </c>
      <c r="O44" s="7">
        <f>+[4]Resumen!O44*1000</f>
        <v>152518.37425000002</v>
      </c>
      <c r="P44" s="7">
        <f>+[4]Resumen!P44*1000</f>
        <v>167711.80918800001</v>
      </c>
      <c r="Q44" s="7">
        <f>+[4]Resumen!Q44*1000</f>
        <v>178205.18872200002</v>
      </c>
      <c r="R44" s="7">
        <f>+[4]Resumen!R44*1000</f>
        <v>179249.94304800004</v>
      </c>
      <c r="S44" s="7">
        <f>+[4]Resumen!S44*1000</f>
        <v>172698.34868000002</v>
      </c>
      <c r="T44" s="7">
        <f>+[4]Resumen!T44*1000</f>
        <v>166082.708748</v>
      </c>
      <c r="U44" s="7">
        <f>+[4]Resumen!U44*1000</f>
        <v>163701.01228800003</v>
      </c>
      <c r="V44" s="7">
        <f>+[4]Resumen!V44*1000</f>
        <v>160820.90904000003</v>
      </c>
      <c r="W44" s="7">
        <f>+[4]Resumen!W44*1000</f>
        <v>174596.86138400002</v>
      </c>
      <c r="X44" s="7">
        <f>+[4]Resumen!X44*1000</f>
        <v>190553.14264800004</v>
      </c>
      <c r="Y44" s="7">
        <f>+[4]Resumen!Y44*1000</f>
        <v>184117.92383600003</v>
      </c>
      <c r="Z44" s="7">
        <f>+[4]Resumen!Z44*1000</f>
        <v>168637.03124400001</v>
      </c>
      <c r="AA44" s="7">
        <f>+[4]Resumen!AA44*1000</f>
        <v>148179.08569200002</v>
      </c>
      <c r="AB44" s="7">
        <f>+[4]Resumen!AB44*1000</f>
        <v>125205.92746200001</v>
      </c>
      <c r="AC44" s="7">
        <f>+[4]Resumen!AC44*1000</f>
        <v>102943.54780600002</v>
      </c>
      <c r="AD44" s="7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+[4]Resumen!F45*1000</f>
        <v>85566.463334000015</v>
      </c>
      <c r="G45" s="7">
        <f>+[4]Resumen!G45*1000</f>
        <v>72188.145502000014</v>
      </c>
      <c r="H45" s="7">
        <f>+[4]Resumen!H45*1000</f>
        <v>64369.335337999997</v>
      </c>
      <c r="I45" s="7">
        <f>+[4]Resumen!I45*1000</f>
        <v>60066.845608000003</v>
      </c>
      <c r="J45" s="7">
        <f>+[4]Resumen!J45*1000</f>
        <v>61402.814176000014</v>
      </c>
      <c r="K45" s="7">
        <f>+[4]Resumen!K45*1000</f>
        <v>64783.048439999999</v>
      </c>
      <c r="L45" s="7">
        <f>+[4]Resumen!L45*1000</f>
        <v>75432.19853400001</v>
      </c>
      <c r="M45" s="7">
        <f>+[4]Resumen!M45*1000</f>
        <v>77665.804788000009</v>
      </c>
      <c r="N45" s="7">
        <f>+[4]Resumen!N45*1000</f>
        <v>96236.376279999997</v>
      </c>
      <c r="O45" s="7">
        <f>+[4]Resumen!O45*1000</f>
        <v>111461.81105400001</v>
      </c>
      <c r="P45" s="7">
        <f>+[4]Resumen!P45*1000</f>
        <v>125061.84625000002</v>
      </c>
      <c r="Q45" s="7">
        <f>+[4]Resumen!Q45*1000</f>
        <v>139566.81923800003</v>
      </c>
      <c r="R45" s="7">
        <f>+[4]Resumen!R45*1000</f>
        <v>147291.78026200001</v>
      </c>
      <c r="S45" s="7">
        <f>+[4]Resumen!S45*1000</f>
        <v>145568.24392000004</v>
      </c>
      <c r="T45" s="7">
        <f>+[4]Resumen!T45*1000</f>
        <v>140044.16159800001</v>
      </c>
      <c r="U45" s="7">
        <f>+[4]Resumen!U45*1000</f>
        <v>136781.52230600003</v>
      </c>
      <c r="V45" s="7">
        <f>+[4]Resumen!V45*1000</f>
        <v>132314.71627000003</v>
      </c>
      <c r="W45" s="7">
        <f>+[4]Resumen!W45*1000</f>
        <v>146580.81484200002</v>
      </c>
      <c r="X45" s="7">
        <f>+[4]Resumen!X45*1000</f>
        <v>166106.36279600003</v>
      </c>
      <c r="Y45" s="7">
        <f>+[4]Resumen!Y45*1000</f>
        <v>164502.89959400002</v>
      </c>
      <c r="Z45" s="7">
        <f>+[4]Resumen!Z45*1000</f>
        <v>152448.79870000001</v>
      </c>
      <c r="AA45" s="7">
        <f>+[4]Resumen!AA45*1000</f>
        <v>134551.92832400001</v>
      </c>
      <c r="AB45" s="7">
        <f>+[4]Resumen!AB45*1000</f>
        <v>110735.67177200002</v>
      </c>
      <c r="AC45" s="7">
        <f>+[4]Resumen!AC45*1000</f>
        <v>87742.750480000002</v>
      </c>
      <c r="AD45" s="7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+[4]Resumen!F46*1000</f>
        <v>76907.50832600001</v>
      </c>
      <c r="G46" s="7">
        <f>+[4]Resumen!G46*1000</f>
        <v>65272.476786000014</v>
      </c>
      <c r="H46" s="7">
        <f>+[4]Resumen!H46*1000</f>
        <v>58437.014174000004</v>
      </c>
      <c r="I46" s="7">
        <f>+[4]Resumen!I46*1000</f>
        <v>54993.327664000004</v>
      </c>
      <c r="J46" s="7">
        <f>+[4]Resumen!J46*1000</f>
        <v>58597.61978400001</v>
      </c>
      <c r="K46" s="7">
        <f>+[4]Resumen!K46*1000</f>
        <v>63009.942182000006</v>
      </c>
      <c r="L46" s="7">
        <f>+[4]Resumen!L46*1000</f>
        <v>72943.019732000015</v>
      </c>
      <c r="M46" s="7">
        <f>+[4]Resumen!M46*1000</f>
        <v>75141.957858000009</v>
      </c>
      <c r="N46" s="7">
        <f>+[4]Resumen!N46*1000</f>
        <v>93604.476636000007</v>
      </c>
      <c r="O46" s="7">
        <f>+[4]Resumen!O46*1000</f>
        <v>107259.80513600001</v>
      </c>
      <c r="P46" s="7">
        <f>+[4]Resumen!P46*1000</f>
        <v>121655.174916</v>
      </c>
      <c r="Q46" s="7">
        <f>+[4]Resumen!Q46*1000</f>
        <v>140146.62204400002</v>
      </c>
      <c r="R46" s="7">
        <f>+[4]Resumen!R46*1000</f>
        <v>152083.31153400004</v>
      </c>
      <c r="S46" s="7">
        <f>+[4]Resumen!S46*1000</f>
        <v>152285.07243400003</v>
      </c>
      <c r="T46" s="7">
        <f>+[4]Resumen!T46*1000</f>
        <v>144449.842768</v>
      </c>
      <c r="U46" s="7">
        <f>+[4]Resumen!U46*1000</f>
        <v>142497.81999200003</v>
      </c>
      <c r="V46" s="7">
        <f>+[4]Resumen!V46*1000</f>
        <v>141034.80270000003</v>
      </c>
      <c r="W46" s="7">
        <f>+[4]Resumen!W46*1000</f>
        <v>154046.77453</v>
      </c>
      <c r="X46" s="7">
        <f>+[4]Resumen!X46*1000</f>
        <v>173133.88998400004</v>
      </c>
      <c r="Y46" s="7">
        <f>+[4]Resumen!Y46*1000</f>
        <v>172760.791302</v>
      </c>
      <c r="Z46" s="7">
        <f>+[4]Resumen!Z46*1000</f>
        <v>157092.597068</v>
      </c>
      <c r="AA46" s="7">
        <f>+[4]Resumen!AA46*1000</f>
        <v>135562.80779799999</v>
      </c>
      <c r="AB46" s="7">
        <f>+[4]Resumen!AB46*1000</f>
        <v>109012.95165200002</v>
      </c>
      <c r="AC46" s="7">
        <f>+[4]Resumen!AC46*1000</f>
        <v>84759.186996000019</v>
      </c>
      <c r="AD46" s="7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20</v>
      </c>
      <c r="F47" s="7">
        <f>+[4]Resumen!F47*1000</f>
        <v>76844.577282000013</v>
      </c>
      <c r="G47" s="7">
        <f>+[4]Resumen!G47*1000</f>
        <v>65819.915898000007</v>
      </c>
      <c r="H47" s="7">
        <f>+[4]Resumen!H47*1000</f>
        <v>60708.146972000002</v>
      </c>
      <c r="I47" s="7">
        <f>+[4]Resumen!I47*1000</f>
        <v>60991.533350000005</v>
      </c>
      <c r="J47" s="7">
        <f>+[4]Resumen!J47*1000</f>
        <v>76829.636158000008</v>
      </c>
      <c r="K47" s="7">
        <f>+[4]Resumen!K47*1000</f>
        <v>104227.86165000001</v>
      </c>
      <c r="L47" s="7">
        <f>+[4]Resumen!L47*1000</f>
        <v>134490.85918400003</v>
      </c>
      <c r="M47" s="7">
        <f>+[4]Resumen!M47*1000</f>
        <v>140699.67964800002</v>
      </c>
      <c r="N47" s="7">
        <f>+[4]Resumen!N47*1000</f>
        <v>157395.81862400004</v>
      </c>
      <c r="O47" s="7">
        <f>+[4]Resumen!O47*1000</f>
        <v>168098.84264800002</v>
      </c>
      <c r="P47" s="7">
        <f>+[4]Resumen!P47*1000</f>
        <v>183361.17459000004</v>
      </c>
      <c r="Q47" s="7">
        <f>+[4]Resumen!Q47*1000</f>
        <v>197491.89504000003</v>
      </c>
      <c r="R47" s="7">
        <f>+[4]Resumen!R47*1000</f>
        <v>201028.68658400004</v>
      </c>
      <c r="S47" s="7">
        <f>+[4]Resumen!S47*1000</f>
        <v>196455.35210400005</v>
      </c>
      <c r="T47" s="7">
        <f>+[4]Resumen!T47*1000</f>
        <v>196895.28920600002</v>
      </c>
      <c r="U47" s="7">
        <f>+[4]Resumen!U47*1000</f>
        <v>196665.99966200005</v>
      </c>
      <c r="V47" s="7">
        <f>+[4]Resumen!V47*1000</f>
        <v>191288.68651200004</v>
      </c>
      <c r="W47" s="7">
        <f>+[4]Resumen!W47*1000</f>
        <v>200465.54913000003</v>
      </c>
      <c r="X47" s="7">
        <f>+[4]Resumen!X47*1000</f>
        <v>220236.56028000001</v>
      </c>
      <c r="Y47" s="7">
        <f>+[4]Resumen!Y47*1000</f>
        <v>213832.86599400002</v>
      </c>
      <c r="Z47" s="7">
        <f>+[4]Resumen!Z47*1000</f>
        <v>195318.29913200001</v>
      </c>
      <c r="AA47" s="7">
        <f>+[4]Resumen!AA47*1000</f>
        <v>163606.78945600003</v>
      </c>
      <c r="AB47" s="7">
        <f>+[4]Resumen!AB47*1000</f>
        <v>130895.31604600004</v>
      </c>
      <c r="AC47" s="7">
        <f>+[4]Resumen!AC47*1000</f>
        <v>99082.591564000017</v>
      </c>
      <c r="AD47" s="70">
        <f t="shared" ref="AD47" si="9">SUM(F47:AC47)*E47+SUM(F48:AC48)*E48+SUM(F49:AC49)*E49+SUM(F50:AC50)*E50</f>
        <v>101783483.30022401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4</v>
      </c>
      <c r="F48" s="7">
        <f>+[4]Resumen!F48*1000</f>
        <v>84323.337560000014</v>
      </c>
      <c r="G48" s="7">
        <f>+[4]Resumen!G48*1000</f>
        <v>71213.855064000003</v>
      </c>
      <c r="H48" s="7">
        <f>+[4]Resumen!H48*1000</f>
        <v>63334.260946000009</v>
      </c>
      <c r="I48" s="7">
        <f>+[4]Resumen!I48*1000</f>
        <v>61747.597494000009</v>
      </c>
      <c r="J48" s="7">
        <f>+[4]Resumen!J48*1000</f>
        <v>69697.147410000005</v>
      </c>
      <c r="K48" s="7">
        <f>+[4]Resumen!K48*1000</f>
        <v>83446.692186000015</v>
      </c>
      <c r="L48" s="7">
        <f>+[4]Resumen!L48*1000</f>
        <v>107641.115208</v>
      </c>
      <c r="M48" s="7">
        <f>+[4]Resumen!M48*1000</f>
        <v>119572.10753400002</v>
      </c>
      <c r="N48" s="7">
        <f>+[4]Resumen!N48*1000</f>
        <v>143291.73848</v>
      </c>
      <c r="O48" s="7">
        <f>+[4]Resumen!O48*1000</f>
        <v>158003.12712800002</v>
      </c>
      <c r="P48" s="7">
        <f>+[4]Resumen!P48*1000</f>
        <v>171205.21312400003</v>
      </c>
      <c r="Q48" s="7">
        <f>+[4]Resumen!Q48*1000</f>
        <v>180606.76953000002</v>
      </c>
      <c r="R48" s="7">
        <f>+[4]Resumen!R48*1000</f>
        <v>181730.69083400004</v>
      </c>
      <c r="S48" s="7">
        <f>+[4]Resumen!S48*1000</f>
        <v>174768.88754600001</v>
      </c>
      <c r="T48" s="7">
        <f>+[4]Resumen!T48*1000</f>
        <v>167638.22792200002</v>
      </c>
      <c r="U48" s="7">
        <f>+[4]Resumen!U48*1000</f>
        <v>163850.53498</v>
      </c>
      <c r="V48" s="7">
        <f>+[4]Resumen!V48*1000</f>
        <v>160625.75986600001</v>
      </c>
      <c r="W48" s="7">
        <f>+[4]Resumen!W48*1000</f>
        <v>176986.248032</v>
      </c>
      <c r="X48" s="7">
        <f>+[4]Resumen!X48*1000</f>
        <v>193559.19321200004</v>
      </c>
      <c r="Y48" s="7">
        <f>+[4]Resumen!Y48*1000</f>
        <v>187583.21892200003</v>
      </c>
      <c r="Z48" s="7">
        <f>+[4]Resumen!Z48*1000</f>
        <v>171465.56171800001</v>
      </c>
      <c r="AA48" s="7">
        <f>+[4]Resumen!AA48*1000</f>
        <v>149705.024194</v>
      </c>
      <c r="AB48" s="7">
        <f>+[4]Resumen!AB48*1000</f>
        <v>125545.157848</v>
      </c>
      <c r="AC48" s="7">
        <f>+[4]Resumen!AC48*1000</f>
        <v>101975.79370000001</v>
      </c>
      <c r="AD48" s="7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+[4]Resumen!F49*1000</f>
        <v>79401.197656000004</v>
      </c>
      <c r="G49" s="7">
        <f>+[4]Resumen!G49*1000</f>
        <v>66079.900634000005</v>
      </c>
      <c r="H49" s="7">
        <f>+[4]Resumen!H49*1000</f>
        <v>58217.234108000004</v>
      </c>
      <c r="I49" s="7">
        <f>+[4]Resumen!I49*1000</f>
        <v>54517.542354000005</v>
      </c>
      <c r="J49" s="7">
        <f>+[4]Resumen!J49*1000</f>
        <v>56393.404078000007</v>
      </c>
      <c r="K49" s="7">
        <f>+[4]Resumen!K49*1000</f>
        <v>61449.361776000012</v>
      </c>
      <c r="L49" s="7">
        <f>+[4]Resumen!L49*1000</f>
        <v>72709.065594000014</v>
      </c>
      <c r="M49" s="7">
        <f>+[4]Resumen!M49*1000</f>
        <v>77007.988860000012</v>
      </c>
      <c r="N49" s="7">
        <f>+[4]Resumen!N49*1000</f>
        <v>96345.186212000001</v>
      </c>
      <c r="O49" s="7">
        <f>+[4]Resumen!O49*1000</f>
        <v>112493.71562000002</v>
      </c>
      <c r="P49" s="7">
        <f>+[4]Resumen!P49*1000</f>
        <v>125111.77674600002</v>
      </c>
      <c r="Q49" s="7">
        <f>+[4]Resumen!Q49*1000</f>
        <v>137783.53479000001</v>
      </c>
      <c r="R49" s="7">
        <f>+[4]Resumen!R49*1000</f>
        <v>146544.96007800003</v>
      </c>
      <c r="S49" s="7">
        <f>+[4]Resumen!S49*1000</f>
        <v>147970.76879200002</v>
      </c>
      <c r="T49" s="7">
        <f>+[4]Resumen!T49*1000</f>
        <v>143159.264666</v>
      </c>
      <c r="U49" s="7">
        <f>+[4]Resumen!U49*1000</f>
        <v>138508.34976000001</v>
      </c>
      <c r="V49" s="7">
        <f>+[4]Resumen!V49*1000</f>
        <v>134299.77145200002</v>
      </c>
      <c r="W49" s="7">
        <f>+[4]Resumen!W49*1000</f>
        <v>149283.14231600001</v>
      </c>
      <c r="X49" s="7">
        <f>+[4]Resumen!X49*1000</f>
        <v>168581.81661200002</v>
      </c>
      <c r="Y49" s="7">
        <f>+[4]Resumen!Y49*1000</f>
        <v>165553.50515000001</v>
      </c>
      <c r="Z49" s="7">
        <f>+[4]Resumen!Z49*1000</f>
        <v>153436.21752800001</v>
      </c>
      <c r="AA49" s="7">
        <f>+[4]Resumen!AA49*1000</f>
        <v>135468.794758</v>
      </c>
      <c r="AB49" s="7">
        <f>+[4]Resumen!AB49*1000</f>
        <v>113415.50561000002</v>
      </c>
      <c r="AC49" s="7">
        <f>+[4]Resumen!AC49*1000</f>
        <v>89619.012120000014</v>
      </c>
      <c r="AD49" s="7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+[4]Resumen!F50*1000</f>
        <v>73868.467970000012</v>
      </c>
      <c r="G50" s="7">
        <f>+[4]Resumen!G50*1000</f>
        <v>62121.59762600001</v>
      </c>
      <c r="H50" s="7">
        <f>+[4]Resumen!H50*1000</f>
        <v>55092.221646000005</v>
      </c>
      <c r="I50" s="7">
        <f>+[4]Resumen!I50*1000</f>
        <v>51890.172906</v>
      </c>
      <c r="J50" s="7">
        <f>+[4]Resumen!J50*1000</f>
        <v>55758.022782000007</v>
      </c>
      <c r="K50" s="7">
        <f>+[4]Resumen!K50*1000</f>
        <v>62994.768320000003</v>
      </c>
      <c r="L50" s="7">
        <f>+[4]Resumen!L50*1000</f>
        <v>71911.603587999998</v>
      </c>
      <c r="M50" s="7">
        <f>+[4]Resumen!M50*1000</f>
        <v>72381.478664000009</v>
      </c>
      <c r="N50" s="7">
        <f>+[4]Resumen!N50*1000</f>
        <v>91700.627347999995</v>
      </c>
      <c r="O50" s="7">
        <f>+[4]Resumen!O50*1000</f>
        <v>106848.14406200001</v>
      </c>
      <c r="P50" s="7">
        <f>+[4]Resumen!P50*1000</f>
        <v>123526.10652800002</v>
      </c>
      <c r="Q50" s="7">
        <f>+[4]Resumen!Q50*1000</f>
        <v>139557.21797600001</v>
      </c>
      <c r="R50" s="7">
        <f>+[4]Resumen!R50*1000</f>
        <v>150212.933904</v>
      </c>
      <c r="S50" s="7">
        <f>+[4]Resumen!S50*1000</f>
        <v>150613.98737000002</v>
      </c>
      <c r="T50" s="7">
        <f>+[4]Resumen!T50*1000</f>
        <v>143551.398694</v>
      </c>
      <c r="U50" s="7">
        <f>+[4]Resumen!U50*1000</f>
        <v>138416.64771000002</v>
      </c>
      <c r="V50" s="7">
        <f>+[4]Resumen!V50*1000</f>
        <v>136410.59366000001</v>
      </c>
      <c r="W50" s="7">
        <f>+[4]Resumen!W50*1000</f>
        <v>154468.27943800003</v>
      </c>
      <c r="X50" s="7">
        <f>+[4]Resumen!X50*1000</f>
        <v>173238.08777000001</v>
      </c>
      <c r="Y50" s="7">
        <f>+[4]Resumen!Y50*1000</f>
        <v>171130.48455800003</v>
      </c>
      <c r="Z50" s="7">
        <f>+[4]Resumen!Z50*1000</f>
        <v>155310.27307400003</v>
      </c>
      <c r="AA50" s="7">
        <f>+[4]Resumen!AA50*1000</f>
        <v>132232.61548200002</v>
      </c>
      <c r="AB50" s="7">
        <f>+[4]Resumen!AB50*1000</f>
        <v>105231.329566</v>
      </c>
      <c r="AC50" s="7">
        <f>+[4]Resumen!AC50*1000</f>
        <v>80218.766914000007</v>
      </c>
      <c r="AD50" s="7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20</v>
      </c>
      <c r="F51" s="7">
        <f>+[4]Resumen!F51*1000</f>
        <v>87157.919222000011</v>
      </c>
      <c r="G51" s="7">
        <f>+[4]Resumen!G51*1000</f>
        <v>74521.999552000008</v>
      </c>
      <c r="H51" s="7">
        <f>+[4]Resumen!H51*1000</f>
        <v>67720.339676000018</v>
      </c>
      <c r="I51" s="7">
        <f>+[4]Resumen!I51*1000</f>
        <v>66798.775868000012</v>
      </c>
      <c r="J51" s="7">
        <f>+[4]Resumen!J51*1000</f>
        <v>79603.073286000013</v>
      </c>
      <c r="K51" s="7">
        <f>+[4]Resumen!K51*1000</f>
        <v>99816.162072000006</v>
      </c>
      <c r="L51" s="7">
        <f>+[4]Resumen!L51*1000</f>
        <v>125641.51793600002</v>
      </c>
      <c r="M51" s="7">
        <f>+[4]Resumen!M51*1000</f>
        <v>135584.90479600002</v>
      </c>
      <c r="N51" s="7">
        <f>+[4]Resumen!N51*1000</f>
        <v>157181.97173800002</v>
      </c>
      <c r="O51" s="7">
        <f>+[4]Resumen!O51*1000</f>
        <v>169726.22869400002</v>
      </c>
      <c r="P51" s="7">
        <f>+[4]Resumen!P51*1000</f>
        <v>184605.70334800004</v>
      </c>
      <c r="Q51" s="7">
        <f>+[4]Resumen!Q51*1000</f>
        <v>198812.38489200003</v>
      </c>
      <c r="R51" s="7">
        <f>+[4]Resumen!R51*1000</f>
        <v>204557.40769200004</v>
      </c>
      <c r="S51" s="7">
        <f>+[4]Resumen!S51*1000</f>
        <v>200881.12741400002</v>
      </c>
      <c r="T51" s="7">
        <f>+[4]Resumen!T51*1000</f>
        <v>201198.13623800001</v>
      </c>
      <c r="U51" s="7">
        <f>+[4]Resumen!U51*1000</f>
        <v>200451.99787800002</v>
      </c>
      <c r="V51" s="7">
        <f>+[4]Resumen!V51*1000</f>
        <v>194336.25622400001</v>
      </c>
      <c r="W51" s="7">
        <f>+[4]Resumen!W51*1000</f>
        <v>199523.242138</v>
      </c>
      <c r="X51" s="7">
        <f>+[4]Resumen!X51*1000</f>
        <v>223413.79128200002</v>
      </c>
      <c r="Y51" s="7">
        <f>+[4]Resumen!Y51*1000</f>
        <v>219003.68481200005</v>
      </c>
      <c r="Z51" s="7">
        <f>+[4]Resumen!Z51*1000</f>
        <v>201613.02942000004</v>
      </c>
      <c r="AA51" s="7">
        <f>+[4]Resumen!AA51*1000</f>
        <v>172852.42779200003</v>
      </c>
      <c r="AB51" s="7">
        <f>+[4]Resumen!AB51*1000</f>
        <v>143182.95477200003</v>
      </c>
      <c r="AC51" s="7">
        <f>+[4]Resumen!AC51*1000</f>
        <v>111746.22344600002</v>
      </c>
      <c r="AD51" s="70">
        <f t="shared" ref="AD51" si="10">SUM(F51:AC51)*E51+SUM(F52:AC52)*E52+SUM(F53:AC53)*E53+SUM(F54:AC54)*E54</f>
        <v>107807338.50689001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+[4]Resumen!F52*1000</f>
        <v>98189.533244000006</v>
      </c>
      <c r="G52" s="7">
        <f>+[4]Resumen!G52*1000</f>
        <v>83210.338552000001</v>
      </c>
      <c r="H52" s="7">
        <f>+[4]Resumen!H52*1000</f>
        <v>75032.013738000009</v>
      </c>
      <c r="I52" s="7">
        <f>+[4]Resumen!I52*1000</f>
        <v>71908.181356000001</v>
      </c>
      <c r="J52" s="7">
        <f>+[4]Resumen!J52*1000</f>
        <v>78284.061812000014</v>
      </c>
      <c r="K52" s="7">
        <f>+[4]Resumen!K52*1000</f>
        <v>90937.181148000003</v>
      </c>
      <c r="L52" s="7">
        <f>+[4]Resumen!L52*1000</f>
        <v>111870.55470800001</v>
      </c>
      <c r="M52" s="7">
        <f>+[4]Resumen!M52*1000</f>
        <v>121004.69187400003</v>
      </c>
      <c r="N52" s="7">
        <f>+[4]Resumen!N52*1000</f>
        <v>145130.05727000002</v>
      </c>
      <c r="O52" s="7">
        <f>+[4]Resumen!O52*1000</f>
        <v>161290.46942800001</v>
      </c>
      <c r="P52" s="7">
        <f>+[4]Resumen!P52*1000</f>
        <v>173937.91454600001</v>
      </c>
      <c r="Q52" s="7">
        <f>+[4]Resumen!Q52*1000</f>
        <v>183108.97510400004</v>
      </c>
      <c r="R52" s="7">
        <f>+[4]Resumen!R52*1000</f>
        <v>184840.96213</v>
      </c>
      <c r="S52" s="7">
        <f>+[4]Resumen!S52*1000</f>
        <v>179355.97979200003</v>
      </c>
      <c r="T52" s="7">
        <f>+[4]Resumen!T52*1000</f>
        <v>172915.72597200001</v>
      </c>
      <c r="U52" s="7">
        <f>+[4]Resumen!U52*1000</f>
        <v>168138.345826</v>
      </c>
      <c r="V52" s="7">
        <f>+[4]Resumen!V52*1000</f>
        <v>163457.73224000001</v>
      </c>
      <c r="W52" s="7">
        <f>+[4]Resumen!W52*1000</f>
        <v>175970.95964800002</v>
      </c>
      <c r="X52" s="7">
        <f>+[4]Resumen!X52*1000</f>
        <v>198295.47379400002</v>
      </c>
      <c r="Y52" s="7">
        <f>+[4]Resumen!Y52*1000</f>
        <v>193018.69690400004</v>
      </c>
      <c r="Z52" s="7">
        <f>+[4]Resumen!Z52*1000</f>
        <v>174822.45334400001</v>
      </c>
      <c r="AA52" s="7">
        <f>+[4]Resumen!AA52*1000</f>
        <v>154888.42725400001</v>
      </c>
      <c r="AB52" s="7">
        <f>+[4]Resumen!AB52*1000</f>
        <v>133183.87141400002</v>
      </c>
      <c r="AC52" s="7">
        <f>+[4]Resumen!AC52*1000</f>
        <v>112546.49797600001</v>
      </c>
      <c r="AD52" s="7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5</v>
      </c>
      <c r="F53" s="7">
        <f>+[4]Resumen!F53*1000</f>
        <v>97218.828938000021</v>
      </c>
      <c r="G53" s="7">
        <f>+[4]Resumen!G53*1000</f>
        <v>81559.475470000005</v>
      </c>
      <c r="H53" s="7">
        <f>+[4]Resumen!H53*1000</f>
        <v>72815.728436000005</v>
      </c>
      <c r="I53" s="7">
        <f>+[4]Resumen!I53*1000</f>
        <v>67793.901274000003</v>
      </c>
      <c r="J53" s="7">
        <f>+[4]Resumen!J53*1000</f>
        <v>67661.735592000012</v>
      </c>
      <c r="K53" s="7">
        <f>+[4]Resumen!K53*1000</f>
        <v>72711.232352000006</v>
      </c>
      <c r="L53" s="7">
        <f>+[4]Resumen!L53*1000</f>
        <v>81295.249002000011</v>
      </c>
      <c r="M53" s="7">
        <f>+[4]Resumen!M53*1000</f>
        <v>81031.704358000003</v>
      </c>
      <c r="N53" s="7">
        <f>+[4]Resumen!N53*1000</f>
        <v>100669.61559600002</v>
      </c>
      <c r="O53" s="7">
        <f>+[4]Resumen!O53*1000</f>
        <v>117296.24786000002</v>
      </c>
      <c r="P53" s="7">
        <f>+[4]Resumen!P53*1000</f>
        <v>130922.51033400001</v>
      </c>
      <c r="Q53" s="7">
        <f>+[4]Resumen!Q53*1000</f>
        <v>143862.73330000002</v>
      </c>
      <c r="R53" s="7">
        <f>+[4]Resumen!R53*1000</f>
        <v>152208.819598</v>
      </c>
      <c r="S53" s="7">
        <f>+[4]Resumen!S53*1000</f>
        <v>153716.18823</v>
      </c>
      <c r="T53" s="7">
        <f>+[4]Resumen!T53*1000</f>
        <v>149210.432998</v>
      </c>
      <c r="U53" s="7">
        <f>+[4]Resumen!U53*1000</f>
        <v>146649.92819400001</v>
      </c>
      <c r="V53" s="7">
        <f>+[4]Resumen!V53*1000</f>
        <v>143241.14910600003</v>
      </c>
      <c r="W53" s="7">
        <f>+[4]Resumen!W53*1000</f>
        <v>155056.50342600001</v>
      </c>
      <c r="X53" s="7">
        <f>+[4]Resumen!X53*1000</f>
        <v>175773.63388199999</v>
      </c>
      <c r="Y53" s="7">
        <f>+[4]Resumen!Y53*1000</f>
        <v>176381.961844</v>
      </c>
      <c r="Z53" s="7">
        <f>+[4]Resumen!Z53*1000</f>
        <v>167621.12004000001</v>
      </c>
      <c r="AA53" s="7">
        <f>+[4]Resumen!AA53*1000</f>
        <v>151379.06273600002</v>
      </c>
      <c r="AB53" s="7">
        <f>+[4]Resumen!AB53*1000</f>
        <v>128256.79156400003</v>
      </c>
      <c r="AC53" s="7">
        <f>+[4]Resumen!AC53*1000</f>
        <v>103161.70854000001</v>
      </c>
      <c r="AD53" s="7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+[4]Resumen!F54*1000</f>
        <v>93174.527600000016</v>
      </c>
      <c r="G54" s="7">
        <f>+[4]Resumen!G54*1000</f>
        <v>81149.525512000007</v>
      </c>
      <c r="H54" s="7">
        <f>+[4]Resumen!H54*1000</f>
        <v>71616.403298000005</v>
      </c>
      <c r="I54" s="7">
        <f>+[4]Resumen!I54*1000</f>
        <v>65035.756016000007</v>
      </c>
      <c r="J54" s="7">
        <f>+[4]Resumen!J54*1000</f>
        <v>63296.527888000004</v>
      </c>
      <c r="K54" s="7">
        <f>+[4]Resumen!K54*1000</f>
        <v>65063.773082000014</v>
      </c>
      <c r="L54" s="7">
        <f>+[4]Resumen!L54*1000</f>
        <v>68641.536348000009</v>
      </c>
      <c r="M54" s="7">
        <f>+[4]Resumen!M54*1000</f>
        <v>63682.220646000009</v>
      </c>
      <c r="N54" s="7">
        <f>+[4]Resumen!N54*1000</f>
        <v>78250.298412000018</v>
      </c>
      <c r="O54" s="7">
        <f>+[4]Resumen!O54*1000</f>
        <v>93254.356734000015</v>
      </c>
      <c r="P54" s="7">
        <f>+[4]Resumen!P54*1000</f>
        <v>107611.63615400001</v>
      </c>
      <c r="Q54" s="7">
        <f>+[4]Resumen!Q54*1000</f>
        <v>121286.71788200001</v>
      </c>
      <c r="R54" s="7">
        <f>+[4]Resumen!R54*1000</f>
        <v>131985.32316200002</v>
      </c>
      <c r="S54" s="7">
        <f>+[4]Resumen!S54*1000</f>
        <v>133752.84043000001</v>
      </c>
      <c r="T54" s="7">
        <f>+[4]Resumen!T54*1000</f>
        <v>130036.56855200004</v>
      </c>
      <c r="U54" s="7">
        <f>+[4]Resumen!U54*1000</f>
        <v>129514.87813</v>
      </c>
      <c r="V54" s="7">
        <f>+[4]Resumen!V54*1000</f>
        <v>128281.724032</v>
      </c>
      <c r="W54" s="7">
        <f>+[4]Resumen!W54*1000</f>
        <v>139884.77540400001</v>
      </c>
      <c r="X54" s="7">
        <f>+[4]Resumen!X54*1000</f>
        <v>164937.378826</v>
      </c>
      <c r="Y54" s="7">
        <f>+[4]Resumen!Y54*1000</f>
        <v>165430.46869800001</v>
      </c>
      <c r="Z54" s="7">
        <f>+[4]Resumen!Z54*1000</f>
        <v>154667.38843600001</v>
      </c>
      <c r="AA54" s="7">
        <f>+[4]Resumen!AA54*1000</f>
        <v>138334.81571800003</v>
      </c>
      <c r="AB54" s="7">
        <f>+[4]Resumen!AB54*1000</f>
        <v>117010.22269200001</v>
      </c>
      <c r="AC54" s="7">
        <f>+[4]Resumen!AC54*1000</f>
        <v>94038.133090000003</v>
      </c>
      <c r="AD54" s="7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0" t="s">
        <v>46</v>
      </c>
      <c r="AA55" s="53"/>
      <c r="AB55" s="51"/>
      <c r="AC55" s="52"/>
      <c r="AD55" s="17">
        <f>SUM(AD7:AD54)</f>
        <v>1253310570.3697481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  <ignoredErrors>
    <ignoredError sqref="F7:AD5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8FC-5452-48EB-BFE9-0A227EE50D8E}">
  <dimension ref="C1:BD57"/>
  <sheetViews>
    <sheetView showGridLines="0" zoomScale="55" zoomScaleNormal="55" workbookViewId="0">
      <selection activeCell="C6" sqref="C6:AD5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12" width="8.6328125" style="1" bestFit="1" customWidth="1"/>
    <col min="13" max="22" width="11.54296875" style="1" customWidth="1"/>
    <col min="23" max="25" width="9" style="1" bestFit="1" customWidth="1"/>
    <col min="26" max="26" width="11" style="1" customWidth="1"/>
    <col min="27" max="27" width="9" style="1" bestFit="1" customWidth="1"/>
    <col min="28" max="29" width="8.6328125" style="1" bestFit="1" customWidth="1"/>
    <col min="30" max="30" width="19.54296875" style="1" bestFit="1" customWidth="1"/>
    <col min="31" max="31" width="2.90625" style="1" customWidth="1"/>
    <col min="32" max="55" width="11.453125" style="1"/>
    <col min="56" max="56" width="15.453125" style="1" bestFit="1" customWidth="1"/>
    <col min="57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56" ht="18.649999999999999" customHeight="1"/>
    <row r="2" spans="3:56" ht="18.649999999999999" customHeight="1">
      <c r="C2" s="76" t="s">
        <v>0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3:56" ht="18.649999999999999" customHeight="1">
      <c r="C3" s="76" t="s">
        <v>1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3:56" ht="18.649999999999999" customHeight="1">
      <c r="C4" s="76">
        <v>2030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3:56" ht="18.649999999999999" customHeight="1" thickBot="1"/>
    <row r="6" spans="3:56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56" ht="18.649999999999999" customHeight="1">
      <c r="C7" s="14" t="s">
        <v>30</v>
      </c>
      <c r="D7" s="5" t="s">
        <v>31</v>
      </c>
      <c r="E7" s="6">
        <v>21</v>
      </c>
      <c r="F7" s="7">
        <f>+[5]Resumen!F7*1000</f>
        <v>119217.621081</v>
      </c>
      <c r="G7" s="7">
        <f>+[5]Resumen!G7*1000</f>
        <v>108275.78299199999</v>
      </c>
      <c r="H7" s="7">
        <f>+[5]Resumen!H7*1000</f>
        <v>102213.617493</v>
      </c>
      <c r="I7" s="7">
        <f>+[5]Resumen!I7*1000</f>
        <v>101433.955155</v>
      </c>
      <c r="J7" s="7">
        <f>+[5]Resumen!J7*1000</f>
        <v>116036.312106</v>
      </c>
      <c r="K7" s="7">
        <f>+[5]Resumen!K7*1000</f>
        <v>140189.95547700001</v>
      </c>
      <c r="L7" s="7">
        <f>+[5]Resumen!L7*1000</f>
        <v>165522.25969499999</v>
      </c>
      <c r="M7" s="7">
        <f>+[5]Resumen!M7*1000</f>
        <v>166901.35788300002</v>
      </c>
      <c r="N7" s="7">
        <f>+[5]Resumen!N7*1000</f>
        <v>185487.11766000002</v>
      </c>
      <c r="O7" s="7">
        <f>+[5]Resumen!O7*1000</f>
        <v>197418.04625399999</v>
      </c>
      <c r="P7" s="7">
        <f>+[5]Resumen!P7*1000</f>
        <v>213517.23623099999</v>
      </c>
      <c r="Q7" s="7">
        <f>+[5]Resumen!Q7*1000</f>
        <v>227465.090658</v>
      </c>
      <c r="R7" s="7">
        <f>+[5]Resumen!R7*1000</f>
        <v>232305.09315</v>
      </c>
      <c r="S7" s="7">
        <f>+[5]Resumen!S7*1000</f>
        <v>229662.12909900001</v>
      </c>
      <c r="T7" s="7">
        <f>+[5]Resumen!T7*1000</f>
        <v>231774.04508700001</v>
      </c>
      <c r="U7" s="7">
        <f>+[5]Resumen!U7*1000</f>
        <v>231479.58557100003</v>
      </c>
      <c r="V7" s="7">
        <f>+[5]Resumen!V7*1000</f>
        <v>224851.353909</v>
      </c>
      <c r="W7" s="7">
        <f>+[5]Resumen!W7*1000</f>
        <v>226823.88077700001</v>
      </c>
      <c r="X7" s="7">
        <f>+[5]Resumen!X7*1000</f>
        <v>245075.135136</v>
      </c>
      <c r="Y7" s="7">
        <f>+[5]Resumen!Y7*1000</f>
        <v>251459.159679</v>
      </c>
      <c r="Z7" s="7">
        <f>+[5]Resumen!Z7*1000</f>
        <v>236500.28145899999</v>
      </c>
      <c r="AA7" s="7">
        <f>+[5]Resumen!AA7*1000</f>
        <v>206258.89229400002</v>
      </c>
      <c r="AB7" s="7">
        <f>+[5]Resumen!AB7*1000</f>
        <v>174603.97617000001</v>
      </c>
      <c r="AC7" s="7">
        <f>+[5]Resumen!AC7*1000</f>
        <v>142607.99514000001</v>
      </c>
      <c r="AD7" s="70">
        <f>SUM(F7:AC7)*E7+SUM(F8:AC8)*E8+SUM(F9:AC9)*E9+SUM(F10:AC10)*E10</f>
        <v>131385310.94379598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3:56" ht="18.649999999999999" customHeight="1">
      <c r="C8" s="15"/>
      <c r="D8" s="5" t="s">
        <v>32</v>
      </c>
      <c r="E8" s="6">
        <v>4</v>
      </c>
      <c r="F8" s="7">
        <f>+[5]Resumen!F8*1000</f>
        <v>126194.31984899999</v>
      </c>
      <c r="G8" s="7">
        <f>+[5]Resumen!G8*1000</f>
        <v>113797.08966600001</v>
      </c>
      <c r="H8" s="7">
        <f>+[5]Resumen!H8*1000</f>
        <v>106685.58829499999</v>
      </c>
      <c r="I8" s="7">
        <f>+[5]Resumen!I8*1000</f>
        <v>104141.00517600001</v>
      </c>
      <c r="J8" s="7">
        <f>+[5]Resumen!J8*1000</f>
        <v>110540.608503</v>
      </c>
      <c r="K8" s="7">
        <f>+[5]Resumen!K8*1000</f>
        <v>122613.22089899999</v>
      </c>
      <c r="L8" s="7">
        <f>+[5]Resumen!L8*1000</f>
        <v>141831.29652900001</v>
      </c>
      <c r="M8" s="7">
        <f>+[5]Resumen!M8*1000</f>
        <v>145674.32517300002</v>
      </c>
      <c r="N8" s="7">
        <f>+[5]Resumen!N8*1000</f>
        <v>167249.14740300001</v>
      </c>
      <c r="O8" s="7">
        <f>+[5]Resumen!O8*1000</f>
        <v>183226.35197100003</v>
      </c>
      <c r="P8" s="7">
        <f>+[5]Resumen!P8*1000</f>
        <v>196879.47926399999</v>
      </c>
      <c r="Q8" s="7">
        <f>+[5]Resumen!Q8*1000</f>
        <v>208343.79879299999</v>
      </c>
      <c r="R8" s="7">
        <f>+[5]Resumen!R8*1000</f>
        <v>210787.452915</v>
      </c>
      <c r="S8" s="7">
        <f>+[5]Resumen!S8*1000</f>
        <v>205743.16678500001</v>
      </c>
      <c r="T8" s="7">
        <f>+[5]Resumen!T8*1000</f>
        <v>199538.910363</v>
      </c>
      <c r="U8" s="7">
        <f>+[5]Resumen!U8*1000</f>
        <v>196343.05606499998</v>
      </c>
      <c r="V8" s="7">
        <f>+[5]Resumen!V8*1000</f>
        <v>193047.36032400001</v>
      </c>
      <c r="W8" s="7">
        <f>+[5]Resumen!W8*1000</f>
        <v>203085.67164600003</v>
      </c>
      <c r="X8" s="7">
        <f>+[5]Resumen!X8*1000</f>
        <v>218979.46196099999</v>
      </c>
      <c r="Y8" s="7">
        <f>+[5]Resumen!Y8*1000</f>
        <v>223679.07888300001</v>
      </c>
      <c r="Z8" s="7">
        <f>+[5]Resumen!Z8*1000</f>
        <v>209765.573511</v>
      </c>
      <c r="AA8" s="7">
        <f>+[5]Resumen!AA8*1000</f>
        <v>189560.11557599998</v>
      </c>
      <c r="AB8" s="7">
        <f>+[5]Resumen!AB8*1000</f>
        <v>167408.23776300001</v>
      </c>
      <c r="AC8" s="7">
        <f>+[5]Resumen!AC8*1000</f>
        <v>145280.25766800001</v>
      </c>
      <c r="AD8" s="7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3:56" ht="18.649999999999999" customHeight="1">
      <c r="C9" s="15"/>
      <c r="D9" s="5" t="s">
        <v>33</v>
      </c>
      <c r="E9" s="6">
        <v>4</v>
      </c>
      <c r="F9" s="7">
        <f>+[5]Resumen!F9*1000</f>
        <v>126246.71603700001</v>
      </c>
      <c r="G9" s="7">
        <f>+[5]Resumen!G9*1000</f>
        <v>112832.81076600001</v>
      </c>
      <c r="H9" s="7">
        <f>+[5]Resumen!H9*1000</f>
        <v>104274.29886900001</v>
      </c>
      <c r="I9" s="7">
        <f>+[5]Resumen!I9*1000</f>
        <v>99797.513790000012</v>
      </c>
      <c r="J9" s="7">
        <f>+[5]Resumen!J9*1000</f>
        <v>101057.02659000001</v>
      </c>
      <c r="K9" s="7">
        <f>+[5]Resumen!K9*1000</f>
        <v>106178.46926699999</v>
      </c>
      <c r="L9" s="7">
        <f>+[5]Resumen!L9*1000</f>
        <v>115040.74182900001</v>
      </c>
      <c r="M9" s="7">
        <f>+[5]Resumen!M9*1000</f>
        <v>111571.01182500001</v>
      </c>
      <c r="N9" s="7">
        <f>+[5]Resumen!N9*1000</f>
        <v>128405.34844800002</v>
      </c>
      <c r="O9" s="7">
        <f>+[5]Resumen!O9*1000</f>
        <v>143913.082716</v>
      </c>
      <c r="P9" s="7">
        <f>+[5]Resumen!P9*1000</f>
        <v>156141.37476600002</v>
      </c>
      <c r="Q9" s="7">
        <f>+[5]Resumen!Q9*1000</f>
        <v>170242.722351</v>
      </c>
      <c r="R9" s="7">
        <f>+[5]Resumen!R9*1000</f>
        <v>179444.365854</v>
      </c>
      <c r="S9" s="7">
        <f>+[5]Resumen!S9*1000</f>
        <v>181573.30120800002</v>
      </c>
      <c r="T9" s="7">
        <f>+[5]Resumen!T9*1000</f>
        <v>177543.016833</v>
      </c>
      <c r="U9" s="7">
        <f>+[5]Resumen!U9*1000</f>
        <v>173846.20156799999</v>
      </c>
      <c r="V9" s="7">
        <f>+[5]Resumen!V9*1000</f>
        <v>170407.25902200001</v>
      </c>
      <c r="W9" s="7">
        <f>+[5]Resumen!W9*1000</f>
        <v>181831.08567</v>
      </c>
      <c r="X9" s="7">
        <f>+[5]Resumen!X9*1000</f>
        <v>198685.658769</v>
      </c>
      <c r="Y9" s="7">
        <f>+[5]Resumen!Y9*1000</f>
        <v>208208.32429799999</v>
      </c>
      <c r="Z9" s="7">
        <f>+[5]Resumen!Z9*1000</f>
        <v>198092.27848800001</v>
      </c>
      <c r="AA9" s="7">
        <f>+[5]Resumen!AA9*1000</f>
        <v>180698.019528</v>
      </c>
      <c r="AB9" s="7">
        <f>+[5]Resumen!AB9*1000</f>
        <v>157654.74316799999</v>
      </c>
      <c r="AC9" s="7">
        <f>+[5]Resumen!AC9*1000</f>
        <v>133297.32292500001</v>
      </c>
      <c r="AD9" s="7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3:56" ht="18.649999999999999" customHeight="1">
      <c r="C10" s="16"/>
      <c r="D10" s="5" t="s">
        <v>34</v>
      </c>
      <c r="E10" s="6">
        <v>2</v>
      </c>
      <c r="F10" s="7">
        <f>+[5]Resumen!F10*1000</f>
        <v>121495.172682</v>
      </c>
      <c r="G10" s="7">
        <f>+[5]Resumen!G10*1000</f>
        <v>111857.929638</v>
      </c>
      <c r="H10" s="7">
        <f>+[5]Resumen!H10*1000</f>
        <v>102701.971944</v>
      </c>
      <c r="I10" s="7">
        <f>+[5]Resumen!I10*1000</f>
        <v>97355.681748000017</v>
      </c>
      <c r="J10" s="7">
        <f>+[5]Resumen!J10*1000</f>
        <v>97188.967122000002</v>
      </c>
      <c r="K10" s="7">
        <f>+[5]Resumen!K10*1000</f>
        <v>100513.50012600001</v>
      </c>
      <c r="L10" s="7">
        <f>+[5]Resumen!L10*1000</f>
        <v>102842.09843700001</v>
      </c>
      <c r="M10" s="7">
        <f>+[5]Resumen!M10*1000</f>
        <v>93815.072832000005</v>
      </c>
      <c r="N10" s="7">
        <f>+[5]Resumen!N10*1000</f>
        <v>105925.93751999999</v>
      </c>
      <c r="O10" s="7">
        <f>+[5]Resumen!O10*1000</f>
        <v>118705.924077</v>
      </c>
      <c r="P10" s="7">
        <f>+[5]Resumen!P10*1000</f>
        <v>132476.16271500001</v>
      </c>
      <c r="Q10" s="7">
        <f>+[5]Resumen!Q10*1000</f>
        <v>147234.40715100002</v>
      </c>
      <c r="R10" s="7">
        <f>+[5]Resumen!R10*1000</f>
        <v>158033.36000399999</v>
      </c>
      <c r="S10" s="7">
        <f>+[5]Resumen!S10*1000</f>
        <v>159811.152072</v>
      </c>
      <c r="T10" s="7">
        <f>+[5]Resumen!T10*1000</f>
        <v>156467.42459400001</v>
      </c>
      <c r="U10" s="7">
        <f>+[5]Resumen!U10*1000</f>
        <v>152841.69891900002</v>
      </c>
      <c r="V10" s="7">
        <f>+[5]Resumen!V10*1000</f>
        <v>150374.74210200002</v>
      </c>
      <c r="W10" s="7">
        <f>+[5]Resumen!W10*1000</f>
        <v>163734.13301700001</v>
      </c>
      <c r="X10" s="7">
        <f>+[5]Resumen!X10*1000</f>
        <v>185240.217279</v>
      </c>
      <c r="Y10" s="7">
        <f>+[5]Resumen!Y10*1000</f>
        <v>192708.74953200002</v>
      </c>
      <c r="Z10" s="7">
        <f>+[5]Resumen!Z10*1000</f>
        <v>182171.968368</v>
      </c>
      <c r="AA10" s="7">
        <f>+[5]Resumen!AA10*1000</f>
        <v>165450.68896199999</v>
      </c>
      <c r="AB10" s="7">
        <f>+[5]Resumen!AB10*1000</f>
        <v>145109.09033400001</v>
      </c>
      <c r="AC10" s="7">
        <f>+[5]Resumen!AC10*1000</f>
        <v>124506.13995300001</v>
      </c>
      <c r="AD10" s="72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3:56" ht="18.649999999999999" customHeight="1">
      <c r="C11" s="14" t="s">
        <v>35</v>
      </c>
      <c r="D11" s="5" t="s">
        <v>31</v>
      </c>
      <c r="E11" s="6">
        <v>20</v>
      </c>
      <c r="F11" s="7">
        <f>+[5]Resumen!F11*1000</f>
        <v>124956.091221</v>
      </c>
      <c r="G11" s="7">
        <f>+[5]Resumen!G11*1000</f>
        <v>114105.263181</v>
      </c>
      <c r="H11" s="7">
        <f>+[5]Resumen!H11*1000</f>
        <v>108808.630359</v>
      </c>
      <c r="I11" s="7">
        <f>+[5]Resumen!I11*1000</f>
        <v>108791.733414</v>
      </c>
      <c r="J11" s="7">
        <f>+[5]Resumen!J11*1000</f>
        <v>128309.27643300001</v>
      </c>
      <c r="K11" s="7">
        <f>+[5]Resumen!K11*1000</f>
        <v>164052.75786900002</v>
      </c>
      <c r="L11" s="7">
        <f>+[5]Resumen!L11*1000</f>
        <v>192022.23818699998</v>
      </c>
      <c r="M11" s="7">
        <f>+[5]Resumen!M11*1000</f>
        <v>187606.558269</v>
      </c>
      <c r="N11" s="7">
        <f>+[5]Resumen!N11*1000</f>
        <v>203245.553472</v>
      </c>
      <c r="O11" s="7">
        <f>+[5]Resumen!O11*1000</f>
        <v>213232.04654700001</v>
      </c>
      <c r="P11" s="7">
        <f>+[5]Resumen!P11*1000</f>
        <v>229217.83766700001</v>
      </c>
      <c r="Q11" s="7">
        <f>+[5]Resumen!Q11*1000</f>
        <v>242234.17647000001</v>
      </c>
      <c r="R11" s="7">
        <f>+[5]Resumen!R11*1000</f>
        <v>242986.285542</v>
      </c>
      <c r="S11" s="7">
        <f>+[5]Resumen!S11*1000</f>
        <v>239309.07471900003</v>
      </c>
      <c r="T11" s="7">
        <f>+[5]Resumen!T11*1000</f>
        <v>241690.81513200002</v>
      </c>
      <c r="U11" s="7">
        <f>+[5]Resumen!U11*1000</f>
        <v>242109.967554</v>
      </c>
      <c r="V11" s="7">
        <f>+[5]Resumen!V11*1000</f>
        <v>235995.02436900002</v>
      </c>
      <c r="W11" s="7">
        <f>+[5]Resumen!W11*1000</f>
        <v>238803.749301</v>
      </c>
      <c r="X11" s="7">
        <f>+[5]Resumen!X11*1000</f>
        <v>257272.88456999997</v>
      </c>
      <c r="Y11" s="7">
        <f>+[5]Resumen!Y11*1000</f>
        <v>265889.04252299998</v>
      </c>
      <c r="Z11" s="7">
        <f>+[5]Resumen!Z11*1000</f>
        <v>249792.20132100003</v>
      </c>
      <c r="AA11" s="7">
        <f>+[5]Resumen!AA11*1000</f>
        <v>216153.91125899999</v>
      </c>
      <c r="AB11" s="7">
        <f>+[5]Resumen!AB11*1000</f>
        <v>181619.62474500001</v>
      </c>
      <c r="AC11" s="7">
        <f>+[5]Resumen!AC11*1000</f>
        <v>147513.529878</v>
      </c>
      <c r="AD11" s="70">
        <f>SUM(F11:AC11)*E11+SUM(F12:AC12)*E12+SUM(F13:AC13)*E13+SUM(F14:AC14)*E14</f>
        <v>129401572.270932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3:56" ht="18.649999999999999" customHeight="1">
      <c r="C12" s="15"/>
      <c r="D12" s="5" t="s">
        <v>32</v>
      </c>
      <c r="E12" s="6">
        <v>4</v>
      </c>
      <c r="F12" s="7">
        <f>+[5]Resumen!F12*1000</f>
        <v>140639.11527900002</v>
      </c>
      <c r="G12" s="7">
        <f>+[5]Resumen!G12*1000</f>
        <v>127729.45926</v>
      </c>
      <c r="H12" s="7">
        <f>+[5]Resumen!H12*1000</f>
        <v>119769.66007500001</v>
      </c>
      <c r="I12" s="7">
        <f>+[5]Resumen!I12*1000</f>
        <v>118113.244158</v>
      </c>
      <c r="J12" s="7">
        <f>+[5]Resumen!J12*1000</f>
        <v>125499.37569</v>
      </c>
      <c r="K12" s="7">
        <f>+[5]Resumen!K12*1000</f>
        <v>139364.85217200001</v>
      </c>
      <c r="L12" s="7">
        <f>+[5]Resumen!L12*1000</f>
        <v>162998.20913999999</v>
      </c>
      <c r="M12" s="7">
        <f>+[5]Resumen!M12*1000</f>
        <v>168143.15380200002</v>
      </c>
      <c r="N12" s="7">
        <f>+[5]Resumen!N12*1000</f>
        <v>192468.88693500002</v>
      </c>
      <c r="O12" s="7">
        <f>+[5]Resumen!O12*1000</f>
        <v>207814.706619</v>
      </c>
      <c r="P12" s="7">
        <f>+[5]Resumen!P12*1000</f>
        <v>222067.28969100001</v>
      </c>
      <c r="Q12" s="7">
        <f>+[5]Resumen!Q12*1000</f>
        <v>230625.568134</v>
      </c>
      <c r="R12" s="7">
        <f>+[5]Resumen!R12*1000</f>
        <v>230786.361</v>
      </c>
      <c r="S12" s="7">
        <f>+[5]Resumen!S12*1000</f>
        <v>223336.33994100001</v>
      </c>
      <c r="T12" s="7">
        <f>+[5]Resumen!T12*1000</f>
        <v>216148.37669100001</v>
      </c>
      <c r="U12" s="7">
        <f>+[5]Resumen!U12*1000</f>
        <v>213461.33823300002</v>
      </c>
      <c r="V12" s="7">
        <f>+[5]Resumen!V12*1000</f>
        <v>210157.14989100001</v>
      </c>
      <c r="W12" s="7">
        <f>+[5]Resumen!W12*1000</f>
        <v>220116.83846100001</v>
      </c>
      <c r="X12" s="7">
        <f>+[5]Resumen!X12*1000</f>
        <v>235114.060077</v>
      </c>
      <c r="Y12" s="7">
        <f>+[5]Resumen!Y12*1000</f>
        <v>241248.84400500002</v>
      </c>
      <c r="Z12" s="7">
        <f>+[5]Resumen!Z12*1000</f>
        <v>227510.813478</v>
      </c>
      <c r="AA12" s="7">
        <f>+[5]Resumen!AA12*1000</f>
        <v>205985.312676</v>
      </c>
      <c r="AB12" s="7">
        <f>+[5]Resumen!AB12*1000</f>
        <v>180770.05716900001</v>
      </c>
      <c r="AC12" s="7">
        <f>+[5]Resumen!AC12*1000</f>
        <v>156234.61116900001</v>
      </c>
      <c r="AD12" s="7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3:56" ht="18.649999999999999" customHeight="1">
      <c r="C13" s="15"/>
      <c r="D13" s="5" t="s">
        <v>33</v>
      </c>
      <c r="E13" s="6">
        <v>4</v>
      </c>
      <c r="F13" s="7">
        <f>+[5]Resumen!F13*1000</f>
        <v>137069.50397399999</v>
      </c>
      <c r="G13" s="7">
        <f>+[5]Resumen!G13*1000</f>
        <v>123325.23851700001</v>
      </c>
      <c r="H13" s="7">
        <f>+[5]Resumen!H13*1000</f>
        <v>114597.458235</v>
      </c>
      <c r="I13" s="7">
        <f>+[5]Resumen!I13*1000</f>
        <v>110197.900878</v>
      </c>
      <c r="J13" s="7">
        <f>+[5]Resumen!J13*1000</f>
        <v>111966.48574800001</v>
      </c>
      <c r="K13" s="7">
        <f>+[5]Resumen!K13*1000</f>
        <v>117461.292546</v>
      </c>
      <c r="L13" s="7">
        <f>+[5]Resumen!L13*1000</f>
        <v>128256.29660999999</v>
      </c>
      <c r="M13" s="7">
        <f>+[5]Resumen!M13*1000</f>
        <v>125869.551171</v>
      </c>
      <c r="N13" s="7">
        <f>+[5]Resumen!N13*1000</f>
        <v>144605.80906200001</v>
      </c>
      <c r="O13" s="7">
        <f>+[5]Resumen!O13*1000</f>
        <v>160491.90678300001</v>
      </c>
      <c r="P13" s="7">
        <f>+[5]Resumen!P13*1000</f>
        <v>173977.667487</v>
      </c>
      <c r="Q13" s="7">
        <f>+[5]Resumen!Q13*1000</f>
        <v>188621.06394299999</v>
      </c>
      <c r="R13" s="7">
        <f>+[5]Resumen!R13*1000</f>
        <v>197533.10491200001</v>
      </c>
      <c r="S13" s="7">
        <f>+[5]Resumen!S13*1000</f>
        <v>198181.36965899999</v>
      </c>
      <c r="T13" s="7">
        <f>+[5]Resumen!T13*1000</f>
        <v>193577.01051000002</v>
      </c>
      <c r="U13" s="7">
        <f>+[5]Resumen!U13*1000</f>
        <v>189735.04664400002</v>
      </c>
      <c r="V13" s="7">
        <f>+[5]Resumen!V13*1000</f>
        <v>185745.19536300001</v>
      </c>
      <c r="W13" s="7">
        <f>+[5]Resumen!W13*1000</f>
        <v>196965.21382200002</v>
      </c>
      <c r="X13" s="7">
        <f>+[5]Resumen!X13*1000</f>
        <v>213796.37319299998</v>
      </c>
      <c r="Y13" s="7">
        <f>+[5]Resumen!Y13*1000</f>
        <v>224929.521141</v>
      </c>
      <c r="Z13" s="7">
        <f>+[5]Resumen!Z13*1000</f>
        <v>214462.941303</v>
      </c>
      <c r="AA13" s="7">
        <f>+[5]Resumen!AA13*1000</f>
        <v>195150.800793</v>
      </c>
      <c r="AB13" s="7">
        <f>+[5]Resumen!AB13*1000</f>
        <v>168108.60830399999</v>
      </c>
      <c r="AC13" s="7">
        <f>+[5]Resumen!AC13*1000</f>
        <v>141072.71337899999</v>
      </c>
      <c r="AD13" s="7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3:56" ht="18.649999999999999" customHeight="1">
      <c r="C14" s="16"/>
      <c r="D14" s="5" t="s">
        <v>34</v>
      </c>
      <c r="E14" s="6">
        <v>0</v>
      </c>
      <c r="F14" s="7">
        <f>+[5]Resumen!F14*1000</f>
        <v>0</v>
      </c>
      <c r="G14" s="7">
        <f>+[5]Resumen!G14*1000</f>
        <v>0</v>
      </c>
      <c r="H14" s="7">
        <f>+[5]Resumen!H14*1000</f>
        <v>0</v>
      </c>
      <c r="I14" s="7">
        <f>+[5]Resumen!I14*1000</f>
        <v>0</v>
      </c>
      <c r="J14" s="7">
        <f>+[5]Resumen!J14*1000</f>
        <v>0</v>
      </c>
      <c r="K14" s="7">
        <f>+[5]Resumen!K14*1000</f>
        <v>0</v>
      </c>
      <c r="L14" s="7">
        <f>+[5]Resumen!L14*1000</f>
        <v>0</v>
      </c>
      <c r="M14" s="7">
        <f>+[5]Resumen!M14*1000</f>
        <v>0</v>
      </c>
      <c r="N14" s="7">
        <f>+[5]Resumen!N14*1000</f>
        <v>0</v>
      </c>
      <c r="O14" s="7">
        <f>+[5]Resumen!O14*1000</f>
        <v>0</v>
      </c>
      <c r="P14" s="7">
        <f>+[5]Resumen!P14*1000</f>
        <v>0</v>
      </c>
      <c r="Q14" s="7">
        <f>+[5]Resumen!Q14*1000</f>
        <v>0</v>
      </c>
      <c r="R14" s="7">
        <f>+[5]Resumen!R14*1000</f>
        <v>0</v>
      </c>
      <c r="S14" s="7">
        <f>+[5]Resumen!S14*1000</f>
        <v>0</v>
      </c>
      <c r="T14" s="7">
        <f>+[5]Resumen!T14*1000</f>
        <v>0</v>
      </c>
      <c r="U14" s="7">
        <f>+[5]Resumen!U14*1000</f>
        <v>0</v>
      </c>
      <c r="V14" s="7">
        <f>+[5]Resumen!V14*1000</f>
        <v>0</v>
      </c>
      <c r="W14" s="7">
        <f>+[5]Resumen!W14*1000</f>
        <v>0</v>
      </c>
      <c r="X14" s="7">
        <f>+[5]Resumen!X14*1000</f>
        <v>0</v>
      </c>
      <c r="Y14" s="7">
        <f>+[5]Resumen!Y14*1000</f>
        <v>0</v>
      </c>
      <c r="Z14" s="7">
        <f>+[5]Resumen!Z14*1000</f>
        <v>0</v>
      </c>
      <c r="AA14" s="7">
        <f>+[5]Resumen!AA14*1000</f>
        <v>0</v>
      </c>
      <c r="AB14" s="7">
        <f>+[5]Resumen!AB14*1000</f>
        <v>0</v>
      </c>
      <c r="AC14" s="7">
        <f>+[5]Resumen!AC14*1000</f>
        <v>0</v>
      </c>
      <c r="AD14" s="7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3:56" ht="18.649999999999999" customHeight="1">
      <c r="C15" s="14" t="s">
        <v>36</v>
      </c>
      <c r="D15" s="5" t="s">
        <v>31</v>
      </c>
      <c r="E15" s="6">
        <v>20</v>
      </c>
      <c r="F15" s="7">
        <f>+[5]Resumen!F15*1000</f>
        <v>122214.95691600001</v>
      </c>
      <c r="G15" s="7">
        <f>+[5]Resumen!G15*1000</f>
        <v>111994.46037</v>
      </c>
      <c r="H15" s="7">
        <f>+[5]Resumen!H15*1000</f>
        <v>106749.657183</v>
      </c>
      <c r="I15" s="7">
        <f>+[5]Resumen!I15*1000</f>
        <v>106969.43704200001</v>
      </c>
      <c r="J15" s="7">
        <f>+[5]Resumen!J15*1000</f>
        <v>126333.70896900001</v>
      </c>
      <c r="K15" s="7">
        <f>+[5]Resumen!K15*1000</f>
        <v>160873.79766900002</v>
      </c>
      <c r="L15" s="7">
        <f>+[5]Resumen!L15*1000</f>
        <v>187553.706561</v>
      </c>
      <c r="M15" s="7">
        <f>+[5]Resumen!M15*1000</f>
        <v>185179.43382899999</v>
      </c>
      <c r="N15" s="7">
        <f>+[5]Resumen!N15*1000</f>
        <v>200485.59765000001</v>
      </c>
      <c r="O15" s="7">
        <f>+[5]Resumen!O15*1000</f>
        <v>210343.440489</v>
      </c>
      <c r="P15" s="7">
        <f>+[5]Resumen!P15*1000</f>
        <v>226199.37139799999</v>
      </c>
      <c r="Q15" s="7">
        <f>+[5]Resumen!Q15*1000</f>
        <v>239090.61302100003</v>
      </c>
      <c r="R15" s="7">
        <f>+[5]Resumen!R15*1000</f>
        <v>240474.71908200003</v>
      </c>
      <c r="S15" s="7">
        <f>+[5]Resumen!S15*1000</f>
        <v>236817.10700700001</v>
      </c>
      <c r="T15" s="7">
        <f>+[5]Resumen!T15*1000</f>
        <v>238998.600828</v>
      </c>
      <c r="U15" s="7">
        <f>+[5]Resumen!U15*1000</f>
        <v>238413.59926799999</v>
      </c>
      <c r="V15" s="7">
        <f>+[5]Resumen!V15*1000</f>
        <v>232510.15117200001</v>
      </c>
      <c r="W15" s="7">
        <f>+[5]Resumen!W15*1000</f>
        <v>236163.865704</v>
      </c>
      <c r="X15" s="7">
        <f>+[5]Resumen!X15*1000</f>
        <v>253955.66550900001</v>
      </c>
      <c r="Y15" s="7">
        <f>+[5]Resumen!Y15*1000</f>
        <v>261703.65358800002</v>
      </c>
      <c r="Z15" s="7">
        <f>+[5]Resumen!Z15*1000</f>
        <v>245314.123704</v>
      </c>
      <c r="AA15" s="7">
        <f>+[5]Resumen!AA15*1000</f>
        <v>211703.885133</v>
      </c>
      <c r="AB15" s="7">
        <f>+[5]Resumen!AB15*1000</f>
        <v>178183.90785000002</v>
      </c>
      <c r="AC15" s="7">
        <f>+[5]Resumen!AC15*1000</f>
        <v>144405.966744</v>
      </c>
      <c r="AD15" s="70">
        <f t="shared" ref="AD15" si="0">SUM(F15:AC15)*E15+SUM(F16:AC16)*E16+SUM(F17:AC17)*E17+SUM(F18:AC18)*E18</f>
        <v>139630444.61406299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3:56" ht="18.649999999999999" customHeight="1">
      <c r="C16" s="15"/>
      <c r="D16" s="5" t="s">
        <v>32</v>
      </c>
      <c r="E16" s="6">
        <v>5</v>
      </c>
      <c r="F16" s="7">
        <f>+[5]Resumen!F16*1000</f>
        <v>132598.894038</v>
      </c>
      <c r="G16" s="7">
        <f>+[5]Resumen!G16*1000</f>
        <v>120486.94464300001</v>
      </c>
      <c r="H16" s="7">
        <f>+[5]Resumen!H16*1000</f>
        <v>113270.27793900001</v>
      </c>
      <c r="I16" s="7">
        <f>+[5]Resumen!I16*1000</f>
        <v>111811.347024</v>
      </c>
      <c r="J16" s="7">
        <f>+[5]Resumen!J16*1000</f>
        <v>119871.836058</v>
      </c>
      <c r="K16" s="7">
        <f>+[5]Resumen!K16*1000</f>
        <v>135211.13611200001</v>
      </c>
      <c r="L16" s="7">
        <f>+[5]Resumen!L16*1000</f>
        <v>158043.52948800003</v>
      </c>
      <c r="M16" s="7">
        <f>+[5]Resumen!M16*1000</f>
        <v>166283.74393800003</v>
      </c>
      <c r="N16" s="7">
        <f>+[5]Resumen!N16*1000</f>
        <v>188906.76893399999</v>
      </c>
      <c r="O16" s="7">
        <f>+[5]Resumen!O16*1000</f>
        <v>203503.92441600002</v>
      </c>
      <c r="P16" s="7">
        <f>+[5]Resumen!P16*1000</f>
        <v>217368.87420300001</v>
      </c>
      <c r="Q16" s="7">
        <f>+[5]Resumen!Q16*1000</f>
        <v>227842.281147</v>
      </c>
      <c r="R16" s="7">
        <f>+[5]Resumen!R16*1000</f>
        <v>228443.14334400001</v>
      </c>
      <c r="S16" s="7">
        <f>+[5]Resumen!S16*1000</f>
        <v>222387.97292400003</v>
      </c>
      <c r="T16" s="7">
        <f>+[5]Resumen!T16*1000</f>
        <v>216187.503012</v>
      </c>
      <c r="U16" s="7">
        <f>+[5]Resumen!U16*1000</f>
        <v>212025.37122</v>
      </c>
      <c r="V16" s="7">
        <f>+[5]Resumen!V16*1000</f>
        <v>208242.79008000001</v>
      </c>
      <c r="W16" s="7">
        <f>+[5]Resumen!W16*1000</f>
        <v>219321.53470500003</v>
      </c>
      <c r="X16" s="7">
        <f>+[5]Resumen!X16*1000</f>
        <v>231841.19727599999</v>
      </c>
      <c r="Y16" s="7">
        <f>+[5]Resumen!Y16*1000</f>
        <v>238001.47039500001</v>
      </c>
      <c r="Z16" s="7">
        <f>+[5]Resumen!Z16*1000</f>
        <v>223773.60213000001</v>
      </c>
      <c r="AA16" s="7">
        <f>+[5]Resumen!AA16*1000</f>
        <v>203317.297872</v>
      </c>
      <c r="AB16" s="7">
        <f>+[5]Resumen!AB16*1000</f>
        <v>178524.88165200001</v>
      </c>
      <c r="AC16" s="7">
        <f>+[5]Resumen!AC16*1000</f>
        <v>154955.371506</v>
      </c>
      <c r="AD16" s="7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3:56" ht="18.649999999999999" customHeight="1">
      <c r="C17" s="15"/>
      <c r="D17" s="5" t="s">
        <v>33</v>
      </c>
      <c r="E17" s="6">
        <v>5</v>
      </c>
      <c r="F17" s="7">
        <f>+[5]Resumen!F17*1000</f>
        <v>132963.221781</v>
      </c>
      <c r="G17" s="7">
        <f>+[5]Resumen!G17*1000</f>
        <v>119511.055677</v>
      </c>
      <c r="H17" s="7">
        <f>+[5]Resumen!H17*1000</f>
        <v>110875.034205</v>
      </c>
      <c r="I17" s="7">
        <f>+[5]Resumen!I17*1000</f>
        <v>106589.59314899999</v>
      </c>
      <c r="J17" s="7">
        <f>+[5]Resumen!J17*1000</f>
        <v>107836.88947200001</v>
      </c>
      <c r="K17" s="7">
        <f>+[5]Resumen!K17*1000</f>
        <v>113363.648151</v>
      </c>
      <c r="L17" s="7">
        <f>+[5]Resumen!L17*1000</f>
        <v>122346.74169900001</v>
      </c>
      <c r="M17" s="7">
        <f>+[5]Resumen!M17*1000</f>
        <v>123047.940717</v>
      </c>
      <c r="N17" s="7">
        <f>+[5]Resumen!N17*1000</f>
        <v>141918.79622699998</v>
      </c>
      <c r="O17" s="7">
        <f>+[5]Resumen!O17*1000</f>
        <v>156351.39226200001</v>
      </c>
      <c r="P17" s="7">
        <f>+[5]Resumen!P17*1000</f>
        <v>169083.50366700001</v>
      </c>
      <c r="Q17" s="7">
        <f>+[5]Resumen!Q17*1000</f>
        <v>182534.43132599999</v>
      </c>
      <c r="R17" s="7">
        <f>+[5]Resumen!R17*1000</f>
        <v>191106.39814499998</v>
      </c>
      <c r="S17" s="7">
        <f>+[5]Resumen!S17*1000</f>
        <v>191750.46641399999</v>
      </c>
      <c r="T17" s="7">
        <f>+[5]Resumen!T17*1000</f>
        <v>187608.48284100002</v>
      </c>
      <c r="U17" s="7">
        <f>+[5]Resumen!U17*1000</f>
        <v>184729.46547899998</v>
      </c>
      <c r="V17" s="7">
        <f>+[5]Resumen!V17*1000</f>
        <v>181348.08073200003</v>
      </c>
      <c r="W17" s="7">
        <f>+[5]Resumen!W17*1000</f>
        <v>192937.66826100001</v>
      </c>
      <c r="X17" s="7">
        <f>+[5]Resumen!X17*1000</f>
        <v>209622.28400099999</v>
      </c>
      <c r="Y17" s="7">
        <f>+[5]Resumen!Y17*1000</f>
        <v>220824.33789</v>
      </c>
      <c r="Z17" s="7">
        <f>+[5]Resumen!Z17*1000</f>
        <v>210741.25464600002</v>
      </c>
      <c r="AA17" s="7">
        <f>+[5]Resumen!AA17*1000</f>
        <v>191910.003753</v>
      </c>
      <c r="AB17" s="7">
        <f>+[5]Resumen!AB17*1000</f>
        <v>166636.60396499999</v>
      </c>
      <c r="AC17" s="7">
        <f>+[5]Resumen!AC17*1000</f>
        <v>140313.899622</v>
      </c>
      <c r="AD17" s="7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3:56" ht="18.649999999999999" customHeight="1">
      <c r="C18" s="16"/>
      <c r="D18" s="5" t="s">
        <v>34</v>
      </c>
      <c r="E18" s="6">
        <v>1</v>
      </c>
      <c r="F18" s="7">
        <f>+[5]Resumen!F18*1000</f>
        <v>139281.195924</v>
      </c>
      <c r="G18" s="7">
        <f>+[5]Resumen!G18*1000</f>
        <v>126074.851188</v>
      </c>
      <c r="H18" s="7">
        <f>+[5]Resumen!H18*1000</f>
        <v>117912.49649400001</v>
      </c>
      <c r="I18" s="7">
        <f>+[5]Resumen!I18*1000</f>
        <v>114411.853764</v>
      </c>
      <c r="J18" s="7">
        <f>+[5]Resumen!J18*1000</f>
        <v>117162.42587399999</v>
      </c>
      <c r="K18" s="7">
        <f>+[5]Resumen!K18*1000</f>
        <v>122975.732256</v>
      </c>
      <c r="L18" s="7">
        <f>+[5]Resumen!L18*1000</f>
        <v>131105.93862600002</v>
      </c>
      <c r="M18" s="7">
        <f>+[5]Resumen!M18*1000</f>
        <v>131497.791165</v>
      </c>
      <c r="N18" s="7">
        <f>+[5]Resumen!N18*1000</f>
        <v>149919.95947500001</v>
      </c>
      <c r="O18" s="7">
        <f>+[5]Resumen!O18*1000</f>
        <v>166646.61971100001</v>
      </c>
      <c r="P18" s="7">
        <f>+[5]Resumen!P18*1000</f>
        <v>182287.31742000001</v>
      </c>
      <c r="Q18" s="7">
        <f>+[5]Resumen!Q18*1000</f>
        <v>199890.79386900002</v>
      </c>
      <c r="R18" s="7">
        <f>+[5]Resumen!R18*1000</f>
        <v>208855.27373099999</v>
      </c>
      <c r="S18" s="7">
        <f>+[5]Resumen!S18*1000</f>
        <v>205990.53122700003</v>
      </c>
      <c r="T18" s="7">
        <f>+[5]Resumen!T18*1000</f>
        <v>200005.28028000001</v>
      </c>
      <c r="U18" s="7">
        <f>+[5]Resumen!U18*1000</f>
        <v>196357.46473200002</v>
      </c>
      <c r="V18" s="7">
        <f>+[5]Resumen!V18*1000</f>
        <v>194316.51591300001</v>
      </c>
      <c r="W18" s="7">
        <f>+[5]Resumen!W18*1000</f>
        <v>206530.31103899999</v>
      </c>
      <c r="X18" s="7">
        <f>+[5]Resumen!X18*1000</f>
        <v>225458.68448999999</v>
      </c>
      <c r="Y18" s="7">
        <f>+[5]Resumen!Y18*1000</f>
        <v>240727.51560000001</v>
      </c>
      <c r="Z18" s="7">
        <f>+[5]Resumen!Z18*1000</f>
        <v>227279.551668</v>
      </c>
      <c r="AA18" s="7">
        <f>+[5]Resumen!AA18*1000</f>
        <v>205423.41736799999</v>
      </c>
      <c r="AB18" s="7">
        <f>+[5]Resumen!AB18*1000</f>
        <v>177237.23479799999</v>
      </c>
      <c r="AC18" s="7">
        <f>+[5]Resumen!AC18*1000</f>
        <v>149562.88304100002</v>
      </c>
      <c r="AD18" s="7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3:56" ht="18.649999999999999" customHeight="1">
      <c r="C19" s="14" t="s">
        <v>37</v>
      </c>
      <c r="D19" s="5" t="s">
        <v>31</v>
      </c>
      <c r="E19" s="6">
        <v>20</v>
      </c>
      <c r="F19" s="7">
        <f>+[5]Resumen!F19*1000</f>
        <v>121744.09443300001</v>
      </c>
      <c r="G19" s="7">
        <f>+[5]Resumen!G19*1000</f>
        <v>111193.58788200001</v>
      </c>
      <c r="H19" s="7">
        <f>+[5]Resumen!H19*1000</f>
        <v>105925.314027</v>
      </c>
      <c r="I19" s="7">
        <f>+[5]Resumen!I19*1000</f>
        <v>106130.06172600001</v>
      </c>
      <c r="J19" s="7">
        <f>+[5]Resumen!J19*1000</f>
        <v>124355.132226</v>
      </c>
      <c r="K19" s="7">
        <f>+[5]Resumen!K19*1000</f>
        <v>154637.19078599999</v>
      </c>
      <c r="L19" s="7">
        <f>+[5]Resumen!L19*1000</f>
        <v>181121.27447700003</v>
      </c>
      <c r="M19" s="7">
        <f>+[5]Resumen!M19*1000</f>
        <v>181507.29351300001</v>
      </c>
      <c r="N19" s="7">
        <f>+[5]Resumen!N19*1000</f>
        <v>197532.67786199998</v>
      </c>
      <c r="O19" s="7">
        <f>+[5]Resumen!O19*1000</f>
        <v>208211.77486199999</v>
      </c>
      <c r="P19" s="7">
        <f>+[5]Resumen!P19*1000</f>
        <v>224015.52595500002</v>
      </c>
      <c r="Q19" s="7">
        <f>+[5]Resumen!Q19*1000</f>
        <v>237578.93289</v>
      </c>
      <c r="R19" s="7">
        <f>+[5]Resumen!R19*1000</f>
        <v>240148.41017700001</v>
      </c>
      <c r="S19" s="7">
        <f>+[5]Resumen!S19*1000</f>
        <v>236326.99026300001</v>
      </c>
      <c r="T19" s="7">
        <f>+[5]Resumen!T19*1000</f>
        <v>238217.60894100001</v>
      </c>
      <c r="U19" s="7">
        <f>+[5]Resumen!U19*1000</f>
        <v>237998.39563500002</v>
      </c>
      <c r="V19" s="7">
        <f>+[5]Resumen!V19*1000</f>
        <v>231553.34280000001</v>
      </c>
      <c r="W19" s="7">
        <f>+[5]Resumen!W19*1000</f>
        <v>236030.58339900002</v>
      </c>
      <c r="X19" s="7">
        <f>+[5]Resumen!X19*1000</f>
        <v>255813.629097</v>
      </c>
      <c r="Y19" s="7">
        <f>+[5]Resumen!Y19*1000</f>
        <v>260794.33602300004</v>
      </c>
      <c r="Z19" s="7">
        <f>+[5]Resumen!Z19*1000</f>
        <v>244451.496939</v>
      </c>
      <c r="AA19" s="7">
        <f>+[5]Resumen!AA19*1000</f>
        <v>211782.55913099999</v>
      </c>
      <c r="AB19" s="7">
        <f>+[5]Resumen!AB19*1000</f>
        <v>179626.74467400002</v>
      </c>
      <c r="AC19" s="7">
        <f>+[5]Resumen!AC19*1000</f>
        <v>145087.58409600001</v>
      </c>
      <c r="AD19" s="70">
        <f t="shared" ref="AD19" si="1">SUM(F19:AC19)*E19+SUM(F20:AC20)*E20+SUM(F21:AC21)*E21+SUM(F22:AC22)*E22</f>
        <v>133721199.721434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3:56" ht="18.649999999999999" customHeight="1">
      <c r="C20" s="15"/>
      <c r="D20" s="5" t="s">
        <v>32</v>
      </c>
      <c r="E20" s="6">
        <v>4</v>
      </c>
      <c r="F20" s="7">
        <f>+[5]Resumen!F20*1000</f>
        <v>130090.77529499998</v>
      </c>
      <c r="G20" s="7">
        <f>+[5]Resumen!G20*1000</f>
        <v>117201.876753</v>
      </c>
      <c r="H20" s="7">
        <f>+[5]Resumen!H20*1000</f>
        <v>109946.809713</v>
      </c>
      <c r="I20" s="7">
        <f>+[5]Resumen!I20*1000</f>
        <v>108382.935531</v>
      </c>
      <c r="J20" s="7">
        <f>+[5]Resumen!J20*1000</f>
        <v>115286.164617</v>
      </c>
      <c r="K20" s="7">
        <f>+[5]Resumen!K20*1000</f>
        <v>127591.667307</v>
      </c>
      <c r="L20" s="7">
        <f>+[5]Resumen!L20*1000</f>
        <v>147777.27880500001</v>
      </c>
      <c r="M20" s="7">
        <f>+[5]Resumen!M20*1000</f>
        <v>154685.04031499999</v>
      </c>
      <c r="N20" s="7">
        <f>+[5]Resumen!N20*1000</f>
        <v>176643.64953300002</v>
      </c>
      <c r="O20" s="7">
        <f>+[5]Resumen!O20*1000</f>
        <v>191675.32838999998</v>
      </c>
      <c r="P20" s="7">
        <f>+[5]Resumen!P20*1000</f>
        <v>204928.187412</v>
      </c>
      <c r="Q20" s="7">
        <f>+[5]Resumen!Q20*1000</f>
        <v>214815.920904</v>
      </c>
      <c r="R20" s="7">
        <f>+[5]Resumen!R20*1000</f>
        <v>217263.15085800001</v>
      </c>
      <c r="S20" s="7">
        <f>+[5]Resumen!S20*1000</f>
        <v>213117.52312500001</v>
      </c>
      <c r="T20" s="7">
        <f>+[5]Resumen!T20*1000</f>
        <v>208028.077881</v>
      </c>
      <c r="U20" s="7">
        <f>+[5]Resumen!U20*1000</f>
        <v>206614.53099299999</v>
      </c>
      <c r="V20" s="7">
        <f>+[5]Resumen!V20*1000</f>
        <v>204491.37220200003</v>
      </c>
      <c r="W20" s="7">
        <f>+[5]Resumen!W20*1000</f>
        <v>216135.610743</v>
      </c>
      <c r="X20" s="7">
        <f>+[5]Resumen!X20*1000</f>
        <v>230282.75801700001</v>
      </c>
      <c r="Y20" s="7">
        <f>+[5]Resumen!Y20*1000</f>
        <v>234591.27970200003</v>
      </c>
      <c r="Z20" s="7">
        <f>+[5]Resumen!Z20*1000</f>
        <v>219924.41257800002</v>
      </c>
      <c r="AA20" s="7">
        <f>+[5]Resumen!AA20*1000</f>
        <v>199499.43955500002</v>
      </c>
      <c r="AB20" s="7">
        <f>+[5]Resumen!AB20*1000</f>
        <v>176604.34100399999</v>
      </c>
      <c r="AC20" s="7">
        <f>+[5]Resumen!AC20*1000</f>
        <v>153243.55296900001</v>
      </c>
      <c r="AD20" s="7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3:56" ht="18.649999999999999" customHeight="1">
      <c r="C21" s="15"/>
      <c r="D21" s="5" t="s">
        <v>33</v>
      </c>
      <c r="E21" s="6">
        <v>4</v>
      </c>
      <c r="F21" s="7">
        <f>+[5]Resumen!F21*1000</f>
        <v>133749.016557</v>
      </c>
      <c r="G21" s="7">
        <f>+[5]Resumen!G21*1000</f>
        <v>120144.91175700001</v>
      </c>
      <c r="H21" s="7">
        <f>+[5]Resumen!H21*1000</f>
        <v>111508.68245400001</v>
      </c>
      <c r="I21" s="7">
        <f>+[5]Resumen!I21*1000</f>
        <v>107639.97102300001</v>
      </c>
      <c r="J21" s="7">
        <f>+[5]Resumen!J21*1000</f>
        <v>109153.262556</v>
      </c>
      <c r="K21" s="7">
        <f>+[5]Resumen!K21*1000</f>
        <v>112917.175917</v>
      </c>
      <c r="L21" s="7">
        <f>+[5]Resumen!L21*1000</f>
        <v>123310.229133</v>
      </c>
      <c r="M21" s="7">
        <f>+[5]Resumen!M21*1000</f>
        <v>124595.96565</v>
      </c>
      <c r="N21" s="7">
        <f>+[5]Resumen!N21*1000</f>
        <v>143611.26939900001</v>
      </c>
      <c r="O21" s="7">
        <f>+[5]Resumen!O21*1000</f>
        <v>159489.899439</v>
      </c>
      <c r="P21" s="7">
        <f>+[5]Resumen!P21*1000</f>
        <v>171086.86923899999</v>
      </c>
      <c r="Q21" s="7">
        <f>+[5]Resumen!Q21*1000</f>
        <v>182328.593226</v>
      </c>
      <c r="R21" s="7">
        <f>+[5]Resumen!R21*1000</f>
        <v>190343.54734200001</v>
      </c>
      <c r="S21" s="7">
        <f>+[5]Resumen!S21*1000</f>
        <v>191739.35172599999</v>
      </c>
      <c r="T21" s="7">
        <f>+[5]Resumen!T21*1000</f>
        <v>189470.10197700001</v>
      </c>
      <c r="U21" s="7">
        <f>+[5]Resumen!U21*1000</f>
        <v>186595.90743300001</v>
      </c>
      <c r="V21" s="7">
        <f>+[5]Resumen!V21*1000</f>
        <v>183268.513194</v>
      </c>
      <c r="W21" s="7">
        <f>+[5]Resumen!W21*1000</f>
        <v>196095.30727799999</v>
      </c>
      <c r="X21" s="7">
        <f>+[5]Resumen!X21*1000</f>
        <v>213015.93362400003</v>
      </c>
      <c r="Y21" s="7">
        <f>+[5]Resumen!Y21*1000</f>
        <v>221621.475114</v>
      </c>
      <c r="Z21" s="7">
        <f>+[5]Resumen!Z21*1000</f>
        <v>210631.46293800001</v>
      </c>
      <c r="AA21" s="7">
        <f>+[5]Resumen!AA21*1000</f>
        <v>191169.05492100003</v>
      </c>
      <c r="AB21" s="7">
        <f>+[5]Resumen!AB21*1000</f>
        <v>164920.65158400001</v>
      </c>
      <c r="AC21" s="7">
        <f>+[5]Resumen!AC21*1000</f>
        <v>138415.05026700001</v>
      </c>
      <c r="AD21" s="7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3:56" ht="18.649999999999999" customHeight="1">
      <c r="C22" s="16"/>
      <c r="D22" s="5" t="s">
        <v>34</v>
      </c>
      <c r="E22" s="6">
        <v>2</v>
      </c>
      <c r="F22" s="7">
        <f>+[5]Resumen!F22*1000</f>
        <v>139877.972676</v>
      </c>
      <c r="G22" s="7">
        <f>+[5]Resumen!G22*1000</f>
        <v>125713.512795</v>
      </c>
      <c r="H22" s="7">
        <f>+[5]Resumen!H22*1000</f>
        <v>116981.097597</v>
      </c>
      <c r="I22" s="7">
        <f>+[5]Resumen!I22*1000</f>
        <v>113036.354184</v>
      </c>
      <c r="J22" s="7">
        <f>+[5]Resumen!J22*1000</f>
        <v>115086.87177</v>
      </c>
      <c r="K22" s="7">
        <f>+[5]Resumen!K22*1000</f>
        <v>119209.01744700001</v>
      </c>
      <c r="L22" s="7">
        <f>+[5]Resumen!L22*1000</f>
        <v>127333.55828700001</v>
      </c>
      <c r="M22" s="7">
        <f>+[5]Resumen!M22*1000</f>
        <v>126287.129202</v>
      </c>
      <c r="N22" s="7">
        <f>+[5]Resumen!N22*1000</f>
        <v>143147.55573300002</v>
      </c>
      <c r="O22" s="7">
        <f>+[5]Resumen!O22*1000</f>
        <v>152903.48166600001</v>
      </c>
      <c r="P22" s="7">
        <f>+[5]Resumen!P22*1000</f>
        <v>158505.110751</v>
      </c>
      <c r="Q22" s="7">
        <f>+[5]Resumen!Q22*1000</f>
        <v>171974.44711199999</v>
      </c>
      <c r="R22" s="7">
        <f>+[5]Resumen!R22*1000</f>
        <v>184100.89058400001</v>
      </c>
      <c r="S22" s="7">
        <f>+[5]Resumen!S22*1000</f>
        <v>183037.17736199999</v>
      </c>
      <c r="T22" s="7">
        <f>+[5]Resumen!T22*1000</f>
        <v>178416.63017100003</v>
      </c>
      <c r="U22" s="7">
        <f>+[5]Resumen!U22*1000</f>
        <v>175477.43577000001</v>
      </c>
      <c r="V22" s="7">
        <f>+[5]Resumen!V22*1000</f>
        <v>175543.523181</v>
      </c>
      <c r="W22" s="7">
        <f>+[5]Resumen!W22*1000</f>
        <v>189773.77723200002</v>
      </c>
      <c r="X22" s="7">
        <f>+[5]Resumen!X22*1000</f>
        <v>207854.553231</v>
      </c>
      <c r="Y22" s="7">
        <f>+[5]Resumen!Y22*1000</f>
        <v>214049.17825200001</v>
      </c>
      <c r="Z22" s="7">
        <f>+[5]Resumen!Z22*1000</f>
        <v>200871.64230899999</v>
      </c>
      <c r="AA22" s="7">
        <f>+[5]Resumen!AA22*1000</f>
        <v>187967.46107100003</v>
      </c>
      <c r="AB22" s="7">
        <f>+[5]Resumen!AB22*1000</f>
        <v>172978.60394100001</v>
      </c>
      <c r="AC22" s="7">
        <f>+[5]Resumen!AC22*1000</f>
        <v>151339.68435299999</v>
      </c>
      <c r="AD22" s="7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3:56" ht="18.649999999999999" customHeight="1">
      <c r="C23" s="14" t="s">
        <v>38</v>
      </c>
      <c r="D23" s="5" t="s">
        <v>31</v>
      </c>
      <c r="E23" s="6">
        <v>22</v>
      </c>
      <c r="F23" s="7">
        <f>+[5]Resumen!F23*1000</f>
        <v>111770.162322</v>
      </c>
      <c r="G23" s="7">
        <f>+[5]Resumen!G23*1000</f>
        <v>101077.30861800001</v>
      </c>
      <c r="H23" s="7">
        <f>+[5]Resumen!H23*1000</f>
        <v>95687.772492000004</v>
      </c>
      <c r="I23" s="7">
        <f>+[5]Resumen!I23*1000</f>
        <v>96018.363284999999</v>
      </c>
      <c r="J23" s="7">
        <f>+[5]Resumen!J23*1000</f>
        <v>114155.17109100001</v>
      </c>
      <c r="K23" s="7">
        <f>+[5]Resumen!K23*1000</f>
        <v>144437.807592</v>
      </c>
      <c r="L23" s="7">
        <f>+[5]Resumen!L23*1000</f>
        <v>172387.01727000001</v>
      </c>
      <c r="M23" s="7">
        <f>+[5]Resumen!M23*1000</f>
        <v>173336.44052400001</v>
      </c>
      <c r="N23" s="7">
        <f>+[5]Resumen!N23*1000</f>
        <v>188574.85428600002</v>
      </c>
      <c r="O23" s="7">
        <f>+[5]Resumen!O23*1000</f>
        <v>199403.02305300001</v>
      </c>
      <c r="P23" s="7">
        <f>+[5]Resumen!P23*1000</f>
        <v>215402.25201300002</v>
      </c>
      <c r="Q23" s="7">
        <f>+[5]Resumen!Q23*1000</f>
        <v>228534.75695700003</v>
      </c>
      <c r="R23" s="7">
        <f>+[5]Resumen!R23*1000</f>
        <v>229515.095784</v>
      </c>
      <c r="S23" s="7">
        <f>+[5]Resumen!S23*1000</f>
        <v>225002.370177</v>
      </c>
      <c r="T23" s="7">
        <f>+[5]Resumen!T23*1000</f>
        <v>226311.30405000001</v>
      </c>
      <c r="U23" s="7">
        <f>+[5]Resumen!U23*1000</f>
        <v>226505.33279400002</v>
      </c>
      <c r="V23" s="7">
        <f>+[5]Resumen!V23*1000</f>
        <v>220223.60665500001</v>
      </c>
      <c r="W23" s="7">
        <f>+[5]Resumen!W23*1000</f>
        <v>224211.63016199999</v>
      </c>
      <c r="X23" s="7">
        <f>+[5]Resumen!X23*1000</f>
        <v>243705.56585700004</v>
      </c>
      <c r="Y23" s="7">
        <f>+[5]Resumen!Y23*1000</f>
        <v>250612.339458</v>
      </c>
      <c r="Z23" s="7">
        <f>+[5]Resumen!Z23*1000</f>
        <v>234096.18924900002</v>
      </c>
      <c r="AA23" s="7">
        <f>+[5]Resumen!AA23*1000</f>
        <v>201655.63208700001</v>
      </c>
      <c r="AB23" s="7">
        <f>+[5]Resumen!AB23*1000</f>
        <v>168946.50318</v>
      </c>
      <c r="AC23" s="7">
        <f>+[5]Resumen!AC23*1000</f>
        <v>134798.175915</v>
      </c>
      <c r="AD23" s="70">
        <f t="shared" ref="AD23" si="2">SUM(F23:AC23)*E23+SUM(F24:AC24)*E24+SUM(F25:AC25)*E25+SUM(F26:AC26)*E26</f>
        <v>131728707.03318301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3:56" ht="18.649999999999999" customHeight="1">
      <c r="C24" s="15"/>
      <c r="D24" s="5" t="s">
        <v>32</v>
      </c>
      <c r="E24" s="6">
        <v>4</v>
      </c>
      <c r="F24" s="7">
        <f>+[5]Resumen!F24*1000</f>
        <v>123072.456234</v>
      </c>
      <c r="G24" s="7">
        <f>+[5]Resumen!G24*1000</f>
        <v>110253.739089</v>
      </c>
      <c r="H24" s="7">
        <f>+[5]Resumen!H24*1000</f>
        <v>103428.18755100001</v>
      </c>
      <c r="I24" s="7">
        <f>+[5]Resumen!I24*1000</f>
        <v>101414.142882</v>
      </c>
      <c r="J24" s="7">
        <f>+[5]Resumen!J24*1000</f>
        <v>108408.302301</v>
      </c>
      <c r="K24" s="7">
        <f>+[5]Resumen!K24*1000</f>
        <v>119903.40644100001</v>
      </c>
      <c r="L24" s="7">
        <f>+[5]Resumen!L24*1000</f>
        <v>142394.83740300001</v>
      </c>
      <c r="M24" s="7">
        <f>+[5]Resumen!M24*1000</f>
        <v>151235.612268</v>
      </c>
      <c r="N24" s="7">
        <f>+[5]Resumen!N24*1000</f>
        <v>174483.17796000003</v>
      </c>
      <c r="O24" s="7">
        <f>+[5]Resumen!O24*1000</f>
        <v>189836.07528600001</v>
      </c>
      <c r="P24" s="7">
        <f>+[5]Resumen!P24*1000</f>
        <v>203683.55588100001</v>
      </c>
      <c r="Q24" s="7">
        <f>+[5]Resumen!Q24*1000</f>
        <v>213195.42843300002</v>
      </c>
      <c r="R24" s="7">
        <f>+[5]Resumen!R24*1000</f>
        <v>213283.29254700002</v>
      </c>
      <c r="S24" s="7">
        <f>+[5]Resumen!S24*1000</f>
        <v>206537.94669299998</v>
      </c>
      <c r="T24" s="7">
        <f>+[5]Resumen!T24*1000</f>
        <v>199848.322323</v>
      </c>
      <c r="U24" s="7">
        <f>+[5]Resumen!U24*1000</f>
        <v>197085.417009</v>
      </c>
      <c r="V24" s="7">
        <f>+[5]Resumen!V24*1000</f>
        <v>193926.46552500001</v>
      </c>
      <c r="W24" s="7">
        <f>+[5]Resumen!W24*1000</f>
        <v>205777.587015</v>
      </c>
      <c r="X24" s="7">
        <f>+[5]Resumen!X24*1000</f>
        <v>218549.878131</v>
      </c>
      <c r="Y24" s="7">
        <f>+[5]Resumen!Y24*1000</f>
        <v>224121.74183099999</v>
      </c>
      <c r="Z24" s="7">
        <f>+[5]Resumen!Z24*1000</f>
        <v>210825.43758900001</v>
      </c>
      <c r="AA24" s="7">
        <f>+[5]Resumen!AA24*1000</f>
        <v>190216.73057400002</v>
      </c>
      <c r="AB24" s="7">
        <f>+[5]Resumen!AB24*1000</f>
        <v>166849.647822</v>
      </c>
      <c r="AC24" s="7">
        <f>+[5]Resumen!AC24*1000</f>
        <v>142861.64860500002</v>
      </c>
      <c r="AD24" s="71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3:56" ht="18.649999999999999" customHeight="1">
      <c r="C25" s="15"/>
      <c r="D25" s="5" t="s">
        <v>33</v>
      </c>
      <c r="E25" s="6">
        <v>4</v>
      </c>
      <c r="F25" s="7">
        <f>+[5]Resumen!F25*1000</f>
        <v>121003.974078</v>
      </c>
      <c r="G25" s="7">
        <f>+[5]Resumen!G25*1000</f>
        <v>108015.37929000001</v>
      </c>
      <c r="H25" s="7">
        <f>+[5]Resumen!H25*1000</f>
        <v>99255.336804000006</v>
      </c>
      <c r="I25" s="7">
        <f>+[5]Resumen!I25*1000</f>
        <v>95116.593116999997</v>
      </c>
      <c r="J25" s="7">
        <f>+[5]Resumen!J25*1000</f>
        <v>95516.206577999998</v>
      </c>
      <c r="K25" s="7">
        <f>+[5]Resumen!K25*1000</f>
        <v>98176.878969000012</v>
      </c>
      <c r="L25" s="7">
        <f>+[5]Resumen!L25*1000</f>
        <v>108467.33769300001</v>
      </c>
      <c r="M25" s="7">
        <f>+[5]Resumen!M25*1000</f>
        <v>109877.627613</v>
      </c>
      <c r="N25" s="7">
        <f>+[5]Resumen!N25*1000</f>
        <v>129547.112175</v>
      </c>
      <c r="O25" s="7">
        <f>+[5]Resumen!O25*1000</f>
        <v>146208.98607899999</v>
      </c>
      <c r="P25" s="7">
        <f>+[5]Resumen!P25*1000</f>
        <v>159357.71038200002</v>
      </c>
      <c r="Q25" s="7">
        <f>+[5]Resumen!Q25*1000</f>
        <v>172820.734944</v>
      </c>
      <c r="R25" s="7">
        <f>+[5]Resumen!R25*1000</f>
        <v>179345.24754900002</v>
      </c>
      <c r="S25" s="7">
        <f>+[5]Resumen!S25*1000</f>
        <v>178352.13423300002</v>
      </c>
      <c r="T25" s="7">
        <f>+[5]Resumen!T25*1000</f>
        <v>171911.86435800002</v>
      </c>
      <c r="U25" s="7">
        <f>+[5]Resumen!U25*1000</f>
        <v>170067.24750600001</v>
      </c>
      <c r="V25" s="7">
        <f>+[5]Resumen!V25*1000</f>
        <v>166986.89599799999</v>
      </c>
      <c r="W25" s="7">
        <f>+[5]Resumen!W25*1000</f>
        <v>180361.36177799999</v>
      </c>
      <c r="X25" s="7">
        <f>+[5]Resumen!X25*1000</f>
        <v>197082.117336</v>
      </c>
      <c r="Y25" s="7">
        <f>+[5]Resumen!Y25*1000</f>
        <v>206764.76718300002</v>
      </c>
      <c r="Z25" s="7">
        <f>+[5]Resumen!Z25*1000</f>
        <v>196799.41593000002</v>
      </c>
      <c r="AA25" s="7">
        <f>+[5]Resumen!AA25*1000</f>
        <v>178632.31604400001</v>
      </c>
      <c r="AB25" s="7">
        <f>+[5]Resumen!AB25*1000</f>
        <v>153209.662281</v>
      </c>
      <c r="AC25" s="7">
        <f>+[5]Resumen!AC25*1000</f>
        <v>126635.875314</v>
      </c>
      <c r="AD25" s="7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3:56" ht="18.649999999999999" customHeight="1">
      <c r="C26" s="16"/>
      <c r="D26" s="5" t="s">
        <v>34</v>
      </c>
      <c r="E26" s="6">
        <v>1</v>
      </c>
      <c r="F26" s="7">
        <f>+[5]Resumen!F26*1000</f>
        <v>114377.80933799999</v>
      </c>
      <c r="G26" s="7">
        <f>+[5]Resumen!G26*1000</f>
        <v>102034.68354300001</v>
      </c>
      <c r="H26" s="7">
        <f>+[5]Resumen!H26*1000</f>
        <v>94792.963239000004</v>
      </c>
      <c r="I26" s="7">
        <f>+[5]Resumen!I26*1000</f>
        <v>92464.763508000004</v>
      </c>
      <c r="J26" s="7">
        <f>+[5]Resumen!J26*1000</f>
        <v>98390.261619000012</v>
      </c>
      <c r="K26" s="7">
        <f>+[5]Resumen!K26*1000</f>
        <v>107522.025507</v>
      </c>
      <c r="L26" s="7">
        <f>+[5]Resumen!L26*1000</f>
        <v>118993.274634</v>
      </c>
      <c r="M26" s="7">
        <f>+[5]Resumen!M26*1000</f>
        <v>120857.60980800001</v>
      </c>
      <c r="N26" s="7">
        <f>+[5]Resumen!N26*1000</f>
        <v>139568.45253000001</v>
      </c>
      <c r="O26" s="7">
        <f>+[5]Resumen!O26*1000</f>
        <v>154806.538887</v>
      </c>
      <c r="P26" s="7">
        <f>+[5]Resumen!P26*1000</f>
        <v>171765.13282500001</v>
      </c>
      <c r="Q26" s="7">
        <f>+[5]Resumen!Q26*1000</f>
        <v>185649.59879700001</v>
      </c>
      <c r="R26" s="7">
        <f>+[5]Resumen!R26*1000</f>
        <v>196884.99675000002</v>
      </c>
      <c r="S26" s="7">
        <f>+[5]Resumen!S26*1000</f>
        <v>192801.52472100002</v>
      </c>
      <c r="T26" s="7">
        <f>+[5]Resumen!T26*1000</f>
        <v>185390.983011</v>
      </c>
      <c r="U26" s="7">
        <f>+[5]Resumen!U26*1000</f>
        <v>177918.34538399999</v>
      </c>
      <c r="V26" s="7">
        <f>+[5]Resumen!V26*1000</f>
        <v>175700.74590899999</v>
      </c>
      <c r="W26" s="7">
        <f>+[5]Resumen!W26*1000</f>
        <v>192830.58120300001</v>
      </c>
      <c r="X26" s="7">
        <f>+[5]Resumen!X26*1000</f>
        <v>208630.87034400002</v>
      </c>
      <c r="Y26" s="7">
        <f>+[5]Resumen!Y26*1000</f>
        <v>214634.69796600001</v>
      </c>
      <c r="Z26" s="7">
        <f>+[5]Resumen!Z26*1000</f>
        <v>200721.79615800001</v>
      </c>
      <c r="AA26" s="7">
        <f>+[5]Resumen!AA26*1000</f>
        <v>179663.68449900002</v>
      </c>
      <c r="AB26" s="7">
        <f>+[5]Resumen!AB26*1000</f>
        <v>153098.72892599998</v>
      </c>
      <c r="AC26" s="7">
        <f>+[5]Resumen!AC26*1000</f>
        <v>126272.834415</v>
      </c>
      <c r="AD26" s="72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3:56" ht="18.649999999999999" customHeight="1">
      <c r="C27" s="14" t="s">
        <v>39</v>
      </c>
      <c r="D27" s="5" t="s">
        <v>31</v>
      </c>
      <c r="E27" s="6">
        <v>18</v>
      </c>
      <c r="F27" s="7">
        <f>+[5]Resumen!F27*1000</f>
        <v>109941.32923799999</v>
      </c>
      <c r="G27" s="7">
        <f>+[5]Resumen!G27*1000</f>
        <v>99080.149506000002</v>
      </c>
      <c r="H27" s="7">
        <f>+[5]Resumen!H27*1000</f>
        <v>93521.473110000006</v>
      </c>
      <c r="I27" s="7">
        <f>+[5]Resumen!I27*1000</f>
        <v>93482.42650500001</v>
      </c>
      <c r="J27" s="7">
        <f>+[5]Resumen!J27*1000</f>
        <v>109352.28209100002</v>
      </c>
      <c r="K27" s="7">
        <f>+[5]Resumen!K27*1000</f>
        <v>133421.802306</v>
      </c>
      <c r="L27" s="7">
        <f>+[5]Resumen!L27*1000</f>
        <v>160992.60867300001</v>
      </c>
      <c r="M27" s="7">
        <f>+[5]Resumen!M27*1000</f>
        <v>165970.17535800001</v>
      </c>
      <c r="N27" s="7">
        <f>+[5]Resumen!N27*1000</f>
        <v>183035.121828</v>
      </c>
      <c r="O27" s="7">
        <f>+[5]Resumen!O27*1000</f>
        <v>194360.68427100003</v>
      </c>
      <c r="P27" s="7">
        <f>+[5]Resumen!P27*1000</f>
        <v>209530.57928400001</v>
      </c>
      <c r="Q27" s="7">
        <f>+[5]Resumen!Q27*1000</f>
        <v>223414.586889</v>
      </c>
      <c r="R27" s="7">
        <f>+[5]Resumen!R27*1000</f>
        <v>226686.16284600002</v>
      </c>
      <c r="S27" s="7">
        <f>+[5]Resumen!S27*1000</f>
        <v>222968.32533300002</v>
      </c>
      <c r="T27" s="7">
        <f>+[5]Resumen!T27*1000</f>
        <v>224540.154033</v>
      </c>
      <c r="U27" s="7">
        <f>+[5]Resumen!U27*1000</f>
        <v>224601.842829</v>
      </c>
      <c r="V27" s="7">
        <f>+[5]Resumen!V27*1000</f>
        <v>218408.75518800001</v>
      </c>
      <c r="W27" s="7">
        <f>+[5]Resumen!W27*1000</f>
        <v>221502.48759600002</v>
      </c>
      <c r="X27" s="7">
        <f>+[5]Resumen!X27*1000</f>
        <v>235764.34334700002</v>
      </c>
      <c r="Y27" s="7">
        <f>+[5]Resumen!Y27*1000</f>
        <v>243512.84103899999</v>
      </c>
      <c r="Z27" s="7">
        <f>+[5]Resumen!Z27*1000</f>
        <v>227168.70087599999</v>
      </c>
      <c r="AA27" s="7">
        <f>+[5]Resumen!AA27*1000</f>
        <v>196163.017479</v>
      </c>
      <c r="AB27" s="7">
        <f>+[5]Resumen!AB27*1000</f>
        <v>163929.68490600001</v>
      </c>
      <c r="AC27" s="7">
        <f>+[5]Resumen!AC27*1000</f>
        <v>131861.313207</v>
      </c>
      <c r="AD27" s="70">
        <f t="shared" ref="AD27:AD35" si="3">SUM(F27:AC27)*E27+SUM(F28:AC28)*E28+SUM(F29:AC29)*E29+SUM(F30:AC30)*E30</f>
        <v>122034248.51346299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3:56" ht="18.649999999999999" customHeight="1">
      <c r="C28" s="15"/>
      <c r="D28" s="5" t="s">
        <v>32</v>
      </c>
      <c r="E28" s="6">
        <v>5</v>
      </c>
      <c r="F28" s="7">
        <f>+[5]Resumen!F28*1000</f>
        <v>119874.059565</v>
      </c>
      <c r="G28" s="7">
        <f>+[5]Resumen!G28*1000</f>
        <v>107121.36150300001</v>
      </c>
      <c r="H28" s="7">
        <f>+[5]Resumen!H28*1000</f>
        <v>99298.238247000001</v>
      </c>
      <c r="I28" s="7">
        <f>+[5]Resumen!I28*1000</f>
        <v>97238.735528999998</v>
      </c>
      <c r="J28" s="7">
        <f>+[5]Resumen!J28*1000</f>
        <v>103917.41033700001</v>
      </c>
      <c r="K28" s="7">
        <f>+[5]Resumen!K28*1000</f>
        <v>115283.36032200001</v>
      </c>
      <c r="L28" s="7">
        <f>+[5]Resumen!L28*1000</f>
        <v>137349.75980699999</v>
      </c>
      <c r="M28" s="7">
        <f>+[5]Resumen!M28*1000</f>
        <v>145711.46428799999</v>
      </c>
      <c r="N28" s="7">
        <f>+[5]Resumen!N28*1000</f>
        <v>167640.743712</v>
      </c>
      <c r="O28" s="7">
        <f>+[5]Resumen!O28*1000</f>
        <v>182321.53551300001</v>
      </c>
      <c r="P28" s="7">
        <f>+[5]Resumen!P28*1000</f>
        <v>196459.08270299999</v>
      </c>
      <c r="Q28" s="7">
        <f>+[5]Resumen!Q28*1000</f>
        <v>206360.98286700001</v>
      </c>
      <c r="R28" s="7">
        <f>+[5]Resumen!R28*1000</f>
        <v>207639.51647400003</v>
      </c>
      <c r="S28" s="7">
        <f>+[5]Resumen!S28*1000</f>
        <v>201148.228359</v>
      </c>
      <c r="T28" s="7">
        <f>+[5]Resumen!T28*1000</f>
        <v>195655.932615</v>
      </c>
      <c r="U28" s="7">
        <f>+[5]Resumen!U28*1000</f>
        <v>193916.421309</v>
      </c>
      <c r="V28" s="7">
        <f>+[5]Resumen!V28*1000</f>
        <v>189975.50426400002</v>
      </c>
      <c r="W28" s="7">
        <f>+[5]Resumen!W28*1000</f>
        <v>201066.459672</v>
      </c>
      <c r="X28" s="7">
        <f>+[5]Resumen!X28*1000</f>
        <v>210821.633997</v>
      </c>
      <c r="Y28" s="7">
        <f>+[5]Resumen!Y28*1000</f>
        <v>219158.30480700004</v>
      </c>
      <c r="Z28" s="7">
        <f>+[5]Resumen!Z28*1000</f>
        <v>205443.85028700001</v>
      </c>
      <c r="AA28" s="7">
        <f>+[5]Resumen!AA28*1000</f>
        <v>185634.46414500001</v>
      </c>
      <c r="AB28" s="7">
        <f>+[5]Resumen!AB28*1000</f>
        <v>162997.48600200002</v>
      </c>
      <c r="AC28" s="7">
        <f>+[5]Resumen!AC28*1000</f>
        <v>140053.79770200001</v>
      </c>
      <c r="AD28" s="7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3:56" ht="18.649999999999999" customHeight="1">
      <c r="C29" s="15"/>
      <c r="D29" s="5" t="s">
        <v>33</v>
      </c>
      <c r="E29" s="6">
        <v>5</v>
      </c>
      <c r="F29" s="7">
        <f>+[5]Resumen!F29*1000</f>
        <v>121509.157146</v>
      </c>
      <c r="G29" s="7">
        <f>+[5]Resumen!G29*1000</f>
        <v>108702.19526400001</v>
      </c>
      <c r="H29" s="7">
        <f>+[5]Resumen!H29*1000</f>
        <v>99974.802173999997</v>
      </c>
      <c r="I29" s="7">
        <f>+[5]Resumen!I29*1000</f>
        <v>96184.015980000011</v>
      </c>
      <c r="J29" s="7">
        <f>+[5]Resumen!J29*1000</f>
        <v>97216.386578999998</v>
      </c>
      <c r="K29" s="7">
        <f>+[5]Resumen!K29*1000</f>
        <v>100161.33476699999</v>
      </c>
      <c r="L29" s="7">
        <f>+[5]Resumen!L29*1000</f>
        <v>108862.91410800001</v>
      </c>
      <c r="M29" s="7">
        <f>+[5]Resumen!M29*1000</f>
        <v>108359.05489499999</v>
      </c>
      <c r="N29" s="7">
        <f>+[5]Resumen!N29*1000</f>
        <v>125549.847306</v>
      </c>
      <c r="O29" s="7">
        <f>+[5]Resumen!O29*1000</f>
        <v>140512.45794300002</v>
      </c>
      <c r="P29" s="7">
        <f>+[5]Resumen!P29*1000</f>
        <v>151371.257583</v>
      </c>
      <c r="Q29" s="7">
        <f>+[5]Resumen!Q29*1000</f>
        <v>164486.91398099999</v>
      </c>
      <c r="R29" s="7">
        <f>+[5]Resumen!R29*1000</f>
        <v>172780.93673099999</v>
      </c>
      <c r="S29" s="7">
        <f>+[5]Resumen!S29*1000</f>
        <v>173362.49911499998</v>
      </c>
      <c r="T29" s="7">
        <f>+[5]Resumen!T29*1000</f>
        <v>169385.90346600002</v>
      </c>
      <c r="U29" s="7">
        <f>+[5]Resumen!U29*1000</f>
        <v>167095.58591699999</v>
      </c>
      <c r="V29" s="7">
        <f>+[5]Resumen!V29*1000</f>
        <v>163863.33557100003</v>
      </c>
      <c r="W29" s="7">
        <f>+[5]Resumen!W29*1000</f>
        <v>175723.265679</v>
      </c>
      <c r="X29" s="7">
        <f>+[5]Resumen!X29*1000</f>
        <v>187883.36923200003</v>
      </c>
      <c r="Y29" s="7">
        <f>+[5]Resumen!Y29*1000</f>
        <v>199482.588162</v>
      </c>
      <c r="Z29" s="7">
        <f>+[5]Resumen!Z29*1000</f>
        <v>190207.08778500001</v>
      </c>
      <c r="AA29" s="7">
        <f>+[5]Resumen!AA29*1000</f>
        <v>175195.21835399998</v>
      </c>
      <c r="AB29" s="7">
        <f>+[5]Resumen!AB29*1000</f>
        <v>153144.99267599999</v>
      </c>
      <c r="AC29" s="7">
        <f>+[5]Resumen!AC29*1000</f>
        <v>129883.61049299999</v>
      </c>
      <c r="AD29" s="7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3:56" ht="18.649999999999999" customHeight="1">
      <c r="C30" s="16"/>
      <c r="D30" s="5" t="s">
        <v>34</v>
      </c>
      <c r="E30" s="6">
        <v>2</v>
      </c>
      <c r="F30" s="7">
        <f>+[5]Resumen!F30*1000</f>
        <v>114269.745759</v>
      </c>
      <c r="G30" s="7">
        <f>+[5]Resumen!G30*1000</f>
        <v>102024.95819100001</v>
      </c>
      <c r="H30" s="7">
        <f>+[5]Resumen!H30*1000</f>
        <v>94403.952005999992</v>
      </c>
      <c r="I30" s="7">
        <f>+[5]Resumen!I30*1000</f>
        <v>91380.008108999988</v>
      </c>
      <c r="J30" s="7">
        <f>+[5]Resumen!J30*1000</f>
        <v>93738.030165000004</v>
      </c>
      <c r="K30" s="7">
        <f>+[5]Resumen!K30*1000</f>
        <v>98263.832043000002</v>
      </c>
      <c r="L30" s="7">
        <f>+[5]Resumen!L30*1000</f>
        <v>106882.176492</v>
      </c>
      <c r="M30" s="7">
        <f>+[5]Resumen!M30*1000</f>
        <v>105929.92332</v>
      </c>
      <c r="N30" s="7">
        <f>+[5]Resumen!N30*1000</f>
        <v>123422.662857</v>
      </c>
      <c r="O30" s="7">
        <f>+[5]Resumen!O30*1000</f>
        <v>139090.87966800001</v>
      </c>
      <c r="P30" s="7">
        <f>+[5]Resumen!P30*1000</f>
        <v>155134.99443000002</v>
      </c>
      <c r="Q30" s="7">
        <f>+[5]Resumen!Q30*1000</f>
        <v>171615.83045099999</v>
      </c>
      <c r="R30" s="7">
        <f>+[5]Resumen!R30*1000</f>
        <v>181133.65608000002</v>
      </c>
      <c r="S30" s="7">
        <f>+[5]Resumen!S30*1000</f>
        <v>179290.54813800001</v>
      </c>
      <c r="T30" s="7">
        <f>+[5]Resumen!T30*1000</f>
        <v>172821.86520299999</v>
      </c>
      <c r="U30" s="7">
        <f>+[5]Resumen!U30*1000</f>
        <v>169732.38621300002</v>
      </c>
      <c r="V30" s="7">
        <f>+[5]Resumen!V30*1000</f>
        <v>166896.15926099999</v>
      </c>
      <c r="W30" s="7">
        <f>+[5]Resumen!W30*1000</f>
        <v>179950.027218</v>
      </c>
      <c r="X30" s="7">
        <f>+[5]Resumen!X30*1000</f>
        <v>194421.29690099999</v>
      </c>
      <c r="Y30" s="7">
        <f>+[5]Resumen!Y30*1000</f>
        <v>211223.88662700003</v>
      </c>
      <c r="Z30" s="7">
        <f>+[5]Resumen!Z30*1000</f>
        <v>200118.53393999999</v>
      </c>
      <c r="AA30" s="7">
        <f>+[5]Resumen!AA30*1000</f>
        <v>181348.84372800001</v>
      </c>
      <c r="AB30" s="7">
        <f>+[5]Resumen!AB30*1000</f>
        <v>154707.23268000002</v>
      </c>
      <c r="AC30" s="7">
        <f>+[5]Resumen!AC30*1000</f>
        <v>127957.535277</v>
      </c>
      <c r="AD30" s="72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3:56" ht="18.649999999999999" customHeight="1">
      <c r="C31" s="14" t="s">
        <v>40</v>
      </c>
      <c r="D31" s="5" t="s">
        <v>31</v>
      </c>
      <c r="E31" s="6">
        <v>22</v>
      </c>
      <c r="F31" s="7">
        <f>+[5]Resumen!F31*1000</f>
        <v>121110.79921200001</v>
      </c>
      <c r="G31" s="7">
        <f>+[5]Resumen!G31*1000</f>
        <v>109838.25929700001</v>
      </c>
      <c r="H31" s="7">
        <f>+[5]Resumen!H31*1000</f>
        <v>103692.04751100001</v>
      </c>
      <c r="I31" s="7">
        <f>+[5]Resumen!I31*1000</f>
        <v>103327.77386100001</v>
      </c>
      <c r="J31" s="7">
        <f>+[5]Resumen!J31*1000</f>
        <v>119840.638632</v>
      </c>
      <c r="K31" s="7">
        <f>+[5]Resumen!K31*1000</f>
        <v>147678.06939600001</v>
      </c>
      <c r="L31" s="7">
        <f>+[5]Resumen!L31*1000</f>
        <v>174897.08620800002</v>
      </c>
      <c r="M31" s="7">
        <f>+[5]Resumen!M31*1000</f>
        <v>177029.82515399999</v>
      </c>
      <c r="N31" s="7">
        <f>+[5]Resumen!N31*1000</f>
        <v>193713.83163600002</v>
      </c>
      <c r="O31" s="7">
        <f>+[5]Resumen!O31*1000</f>
        <v>204762.88489799999</v>
      </c>
      <c r="P31" s="7">
        <f>+[5]Resumen!P31*1000</f>
        <v>220536.88768800002</v>
      </c>
      <c r="Q31" s="7">
        <f>+[5]Resumen!Q31*1000</f>
        <v>234119.517567</v>
      </c>
      <c r="R31" s="7">
        <f>+[5]Resumen!R31*1000</f>
        <v>236594.17836600001</v>
      </c>
      <c r="S31" s="7">
        <f>+[5]Resumen!S31*1000</f>
        <v>233654.07292500001</v>
      </c>
      <c r="T31" s="7">
        <f>+[5]Resumen!T31*1000</f>
        <v>236849.821884</v>
      </c>
      <c r="U31" s="7">
        <f>+[5]Resumen!U31*1000</f>
        <v>237502.203393</v>
      </c>
      <c r="V31" s="7">
        <f>+[5]Resumen!V31*1000</f>
        <v>230862.28194900003</v>
      </c>
      <c r="W31" s="7">
        <f>+[5]Resumen!W31*1000</f>
        <v>231791.40039900001</v>
      </c>
      <c r="X31" s="7">
        <f>+[5]Resumen!X31*1000</f>
        <v>245245.556556</v>
      </c>
      <c r="Y31" s="7">
        <f>+[5]Resumen!Y31*1000</f>
        <v>258933.88131</v>
      </c>
      <c r="Z31" s="7">
        <f>+[5]Resumen!Z31*1000</f>
        <v>243691.16573100002</v>
      </c>
      <c r="AA31" s="7">
        <f>+[5]Resumen!AA31*1000</f>
        <v>211999.04785800001</v>
      </c>
      <c r="AB31" s="7">
        <f>+[5]Resumen!AB31*1000</f>
        <v>178021.233117</v>
      </c>
      <c r="AC31" s="7">
        <f>+[5]Resumen!AC31*1000</f>
        <v>144002.58100800001</v>
      </c>
      <c r="AD31" s="70">
        <f t="shared" si="3"/>
        <v>135876875.99553603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3:56" ht="18.649999999999999" customHeight="1">
      <c r="C32" s="15"/>
      <c r="D32" s="5" t="s">
        <v>32</v>
      </c>
      <c r="E32" s="6">
        <v>3</v>
      </c>
      <c r="F32" s="7">
        <f>+[5]Resumen!F32*1000</f>
        <v>130194.47157600001</v>
      </c>
      <c r="G32" s="7">
        <f>+[5]Resumen!G32*1000</f>
        <v>117429.00187200001</v>
      </c>
      <c r="H32" s="7">
        <f>+[5]Resumen!H32*1000</f>
        <v>109797.24826200001</v>
      </c>
      <c r="I32" s="7">
        <f>+[5]Resumen!I32*1000</f>
        <v>107093.500761</v>
      </c>
      <c r="J32" s="7">
        <f>+[5]Resumen!J32*1000</f>
        <v>113506.16897100001</v>
      </c>
      <c r="K32" s="7">
        <f>+[5]Resumen!K32*1000</f>
        <v>125499.75149400001</v>
      </c>
      <c r="L32" s="7">
        <f>+[5]Resumen!L32*1000</f>
        <v>147004.88201100001</v>
      </c>
      <c r="M32" s="7">
        <f>+[5]Resumen!M32*1000</f>
        <v>155502.917934</v>
      </c>
      <c r="N32" s="7">
        <f>+[5]Resumen!N32*1000</f>
        <v>177727.26328500002</v>
      </c>
      <c r="O32" s="7">
        <f>+[5]Resumen!O32*1000</f>
        <v>192779.71954799999</v>
      </c>
      <c r="P32" s="7">
        <f>+[5]Resumen!P32*1000</f>
        <v>207156.80193000002</v>
      </c>
      <c r="Q32" s="7">
        <f>+[5]Resumen!Q32*1000</f>
        <v>218158.90816200001</v>
      </c>
      <c r="R32" s="7">
        <f>+[5]Resumen!R32*1000</f>
        <v>218559.79423200001</v>
      </c>
      <c r="S32" s="7">
        <f>+[5]Resumen!S32*1000</f>
        <v>210585.90809100002</v>
      </c>
      <c r="T32" s="7">
        <f>+[5]Resumen!T32*1000</f>
        <v>203316.55480500002</v>
      </c>
      <c r="U32" s="7">
        <f>+[5]Resumen!U32*1000</f>
        <v>201092.84566799999</v>
      </c>
      <c r="V32" s="7">
        <f>+[5]Resumen!V32*1000</f>
        <v>199271.79912899999</v>
      </c>
      <c r="W32" s="7">
        <f>+[5]Resumen!W32*1000</f>
        <v>210229.84803600001</v>
      </c>
      <c r="X32" s="7">
        <f>+[5]Resumen!X32*1000</f>
        <v>220169.30867100004</v>
      </c>
      <c r="Y32" s="7">
        <f>+[5]Resumen!Y32*1000</f>
        <v>229124.51870099999</v>
      </c>
      <c r="Z32" s="7">
        <f>+[5]Resumen!Z32*1000</f>
        <v>214568.58208500003</v>
      </c>
      <c r="AA32" s="7">
        <f>+[5]Resumen!AA32*1000</f>
        <v>193348.26544799999</v>
      </c>
      <c r="AB32" s="7">
        <f>+[5]Resumen!AB32*1000</f>
        <v>169779.760293</v>
      </c>
      <c r="AC32" s="7">
        <f>+[5]Resumen!AC32*1000</f>
        <v>146430.744603</v>
      </c>
      <c r="AD32" s="7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3:56" ht="18.649999999999999" customHeight="1">
      <c r="C33" s="15"/>
      <c r="D33" s="5" t="s">
        <v>33</v>
      </c>
      <c r="E33" s="6">
        <v>4</v>
      </c>
      <c r="F33" s="7">
        <f>+[5]Resumen!F33*1000</f>
        <v>123690.730683</v>
      </c>
      <c r="G33" s="7">
        <f>+[5]Resumen!G33*1000</f>
        <v>110346.779049</v>
      </c>
      <c r="H33" s="7">
        <f>+[5]Resumen!H33*1000</f>
        <v>101616.56458200001</v>
      </c>
      <c r="I33" s="7">
        <f>+[5]Resumen!I33*1000</f>
        <v>97208.896122000006</v>
      </c>
      <c r="J33" s="7">
        <f>+[5]Resumen!J33*1000</f>
        <v>98791.033809</v>
      </c>
      <c r="K33" s="7">
        <f>+[5]Resumen!K33*1000</f>
        <v>102281.83730700001</v>
      </c>
      <c r="L33" s="7">
        <f>+[5]Resumen!L33*1000</f>
        <v>112412.994993</v>
      </c>
      <c r="M33" s="7">
        <f>+[5]Resumen!M33*1000</f>
        <v>112151.50089000001</v>
      </c>
      <c r="N33" s="7">
        <f>+[5]Resumen!N33*1000</f>
        <v>129704.323515</v>
      </c>
      <c r="O33" s="7">
        <f>+[5]Resumen!O33*1000</f>
        <v>145356.047655</v>
      </c>
      <c r="P33" s="7">
        <f>+[5]Resumen!P33*1000</f>
        <v>157399.22491799999</v>
      </c>
      <c r="Q33" s="7">
        <f>+[5]Resumen!Q33*1000</f>
        <v>171232.16873100001</v>
      </c>
      <c r="R33" s="7">
        <f>+[5]Resumen!R33*1000</f>
        <v>179752.23189299999</v>
      </c>
      <c r="S33" s="7">
        <f>+[5]Resumen!S33*1000</f>
        <v>179993.90233500002</v>
      </c>
      <c r="T33" s="7">
        <f>+[5]Resumen!T33*1000</f>
        <v>175389.37806000002</v>
      </c>
      <c r="U33" s="7">
        <f>+[5]Resumen!U33*1000</f>
        <v>173022.328167</v>
      </c>
      <c r="V33" s="7">
        <f>+[5]Resumen!V33*1000</f>
        <v>170181.059178</v>
      </c>
      <c r="W33" s="7">
        <f>+[5]Resumen!W33*1000</f>
        <v>182272.544337</v>
      </c>
      <c r="X33" s="7">
        <f>+[5]Resumen!X33*1000</f>
        <v>195744.16968600001</v>
      </c>
      <c r="Y33" s="7">
        <f>+[5]Resumen!Y33*1000</f>
        <v>212316.35739600001</v>
      </c>
      <c r="Z33" s="7">
        <f>+[5]Resumen!Z33*1000</f>
        <v>202055.43060300002</v>
      </c>
      <c r="AA33" s="7">
        <f>+[5]Resumen!AA33*1000</f>
        <v>182645.837283</v>
      </c>
      <c r="AB33" s="7">
        <f>+[5]Resumen!AB33*1000</f>
        <v>155855.42778</v>
      </c>
      <c r="AC33" s="7">
        <f>+[5]Resumen!AC33*1000</f>
        <v>131015.05953900002</v>
      </c>
      <c r="AD33" s="7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3:56" ht="18.649999999999999" customHeight="1">
      <c r="C34" s="16"/>
      <c r="D34" s="5" t="s">
        <v>34</v>
      </c>
      <c r="E34" s="6">
        <v>2</v>
      </c>
      <c r="F34" s="7">
        <f>+[5]Resumen!F34*1000</f>
        <v>136176.68477399999</v>
      </c>
      <c r="G34" s="7">
        <f>+[5]Resumen!G34*1000</f>
        <v>121876.274949</v>
      </c>
      <c r="H34" s="7">
        <f>+[5]Resumen!H34*1000</f>
        <v>112724.556438</v>
      </c>
      <c r="I34" s="7">
        <f>+[5]Resumen!I34*1000</f>
        <v>108142.67150700001</v>
      </c>
      <c r="J34" s="7">
        <f>+[5]Resumen!J34*1000</f>
        <v>108368.18237699999</v>
      </c>
      <c r="K34" s="7">
        <f>+[5]Resumen!K34*1000</f>
        <v>109646.05832699999</v>
      </c>
      <c r="L34" s="7">
        <f>+[5]Resumen!L34*1000</f>
        <v>119275.66856400001</v>
      </c>
      <c r="M34" s="7">
        <f>+[5]Resumen!M34*1000</f>
        <v>119422.266288</v>
      </c>
      <c r="N34" s="7">
        <f>+[5]Resumen!N34*1000</f>
        <v>136745.800074</v>
      </c>
      <c r="O34" s="7">
        <f>+[5]Resumen!O34*1000</f>
        <v>151152.48840899998</v>
      </c>
      <c r="P34" s="7">
        <f>+[5]Resumen!P34*1000</f>
        <v>163173.53024700002</v>
      </c>
      <c r="Q34" s="7">
        <f>+[5]Resumen!Q34*1000</f>
        <v>177637.15004100002</v>
      </c>
      <c r="R34" s="7">
        <f>+[5]Resumen!R34*1000</f>
        <v>184108.44367500002</v>
      </c>
      <c r="S34" s="7">
        <f>+[5]Resumen!S34*1000</f>
        <v>185039.35004100003</v>
      </c>
      <c r="T34" s="7">
        <f>+[5]Resumen!T34*1000</f>
        <v>182015.27233500002</v>
      </c>
      <c r="U34" s="7">
        <f>+[5]Resumen!U34*1000</f>
        <v>180260.61498899999</v>
      </c>
      <c r="V34" s="7">
        <f>+[5]Resumen!V34*1000</f>
        <v>177579.04277100001</v>
      </c>
      <c r="W34" s="7">
        <f>+[5]Resumen!W34*1000</f>
        <v>190061.76836400002</v>
      </c>
      <c r="X34" s="7">
        <f>+[5]Resumen!X34*1000</f>
        <v>202824.42238500001</v>
      </c>
      <c r="Y34" s="7">
        <f>+[5]Resumen!Y34*1000</f>
        <v>218467.28950800002</v>
      </c>
      <c r="Z34" s="7">
        <f>+[5]Resumen!Z34*1000</f>
        <v>211660.18653000001</v>
      </c>
      <c r="AA34" s="7">
        <f>+[5]Resumen!AA34*1000</f>
        <v>197068.43750100001</v>
      </c>
      <c r="AB34" s="7">
        <f>+[5]Resumen!AB34*1000</f>
        <v>171111.40468500002</v>
      </c>
      <c r="AC34" s="7">
        <f>+[5]Resumen!AC34*1000</f>
        <v>144890.42649899999</v>
      </c>
      <c r="AD34" s="72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3:56" ht="18.649999999999999" customHeight="1">
      <c r="C35" s="14" t="s">
        <v>41</v>
      </c>
      <c r="D35" s="5" t="s">
        <v>31</v>
      </c>
      <c r="E35" s="6">
        <v>20</v>
      </c>
      <c r="F35" s="7">
        <f>+[5]Resumen!F35*1000</f>
        <v>120510.89075999999</v>
      </c>
      <c r="G35" s="7">
        <f>+[5]Resumen!G35*1000</f>
        <v>109167.95307600001</v>
      </c>
      <c r="H35" s="7">
        <f>+[5]Resumen!H35*1000</f>
        <v>103234.25560500001</v>
      </c>
      <c r="I35" s="7">
        <f>+[5]Resumen!I35*1000</f>
        <v>102908.200083</v>
      </c>
      <c r="J35" s="7">
        <f>+[5]Resumen!J35*1000</f>
        <v>120688.273095</v>
      </c>
      <c r="K35" s="7">
        <f>+[5]Resumen!K35*1000</f>
        <v>151089.77184600002</v>
      </c>
      <c r="L35" s="7">
        <f>+[5]Resumen!L35*1000</f>
        <v>179338.261011</v>
      </c>
      <c r="M35" s="7">
        <f>+[5]Resumen!M35*1000</f>
        <v>179580.486618</v>
      </c>
      <c r="N35" s="7">
        <f>+[5]Resumen!N35*1000</f>
        <v>195210.37142100002</v>
      </c>
      <c r="O35" s="7">
        <f>+[5]Resumen!O35*1000</f>
        <v>205440.644565</v>
      </c>
      <c r="P35" s="7">
        <f>+[5]Resumen!P35*1000</f>
        <v>221072.690241</v>
      </c>
      <c r="Q35" s="7">
        <f>+[5]Resumen!Q35*1000</f>
        <v>234756.57652200002</v>
      </c>
      <c r="R35" s="7">
        <f>+[5]Resumen!R35*1000</f>
        <v>236961.48122400002</v>
      </c>
      <c r="S35" s="7">
        <f>+[5]Resumen!S35*1000</f>
        <v>233243.697804</v>
      </c>
      <c r="T35" s="7">
        <f>+[5]Resumen!T35*1000</f>
        <v>236289.14793900002</v>
      </c>
      <c r="U35" s="7">
        <f>+[5]Resumen!U35*1000</f>
        <v>236434.40472600001</v>
      </c>
      <c r="V35" s="7">
        <f>+[5]Resumen!V35*1000</f>
        <v>230311.598127</v>
      </c>
      <c r="W35" s="7">
        <f>+[5]Resumen!W35*1000</f>
        <v>233146.56101100001</v>
      </c>
      <c r="X35" s="7">
        <f>+[5]Resumen!X35*1000</f>
        <v>251647.71648900001</v>
      </c>
      <c r="Y35" s="7">
        <f>+[5]Resumen!Y35*1000</f>
        <v>261426.60917099999</v>
      </c>
      <c r="Z35" s="7">
        <f>+[5]Resumen!Z35*1000</f>
        <v>245504.200812</v>
      </c>
      <c r="AA35" s="7">
        <f>+[5]Resumen!AA35*1000</f>
        <v>211950.028212</v>
      </c>
      <c r="AB35" s="7">
        <f>+[5]Resumen!AB35*1000</f>
        <v>177908.74245300001</v>
      </c>
      <c r="AC35" s="7">
        <f>+[5]Resumen!AC35*1000</f>
        <v>143716.662492</v>
      </c>
      <c r="AD35" s="70">
        <f t="shared" si="3"/>
        <v>135649164.326208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3:56" ht="18.649999999999999" customHeight="1">
      <c r="C36" s="15"/>
      <c r="D36" s="5" t="s">
        <v>32</v>
      </c>
      <c r="E36" s="6">
        <v>5</v>
      </c>
      <c r="F36" s="7">
        <f>+[5]Resumen!F36*1000</f>
        <v>130004.585217</v>
      </c>
      <c r="G36" s="7">
        <f>+[5]Resumen!G36*1000</f>
        <v>117509.870907</v>
      </c>
      <c r="H36" s="7">
        <f>+[5]Resumen!H36*1000</f>
        <v>109998.04432500001</v>
      </c>
      <c r="I36" s="7">
        <f>+[5]Resumen!I36*1000</f>
        <v>107398.653609</v>
      </c>
      <c r="J36" s="7">
        <f>+[5]Resumen!J36*1000</f>
        <v>114350.68596900001</v>
      </c>
      <c r="K36" s="7">
        <f>+[5]Resumen!K36*1000</f>
        <v>125963.035263</v>
      </c>
      <c r="L36" s="7">
        <f>+[5]Resumen!L36*1000</f>
        <v>147855.79337100001</v>
      </c>
      <c r="M36" s="7">
        <f>+[5]Resumen!M36*1000</f>
        <v>156769.87279200001</v>
      </c>
      <c r="N36" s="7">
        <f>+[5]Resumen!N36*1000</f>
        <v>178862.67250800002</v>
      </c>
      <c r="O36" s="7">
        <f>+[5]Resumen!O36*1000</f>
        <v>191780.20332899998</v>
      </c>
      <c r="P36" s="7">
        <f>+[5]Resumen!P36*1000</f>
        <v>204170.94235200001</v>
      </c>
      <c r="Q36" s="7">
        <f>+[5]Resumen!Q36*1000</f>
        <v>212904.78674400001</v>
      </c>
      <c r="R36" s="7">
        <f>+[5]Resumen!R36*1000</f>
        <v>214403.07743400001</v>
      </c>
      <c r="S36" s="7">
        <f>+[5]Resumen!S36*1000</f>
        <v>208634.07321900001</v>
      </c>
      <c r="T36" s="7">
        <f>+[5]Resumen!T36*1000</f>
        <v>202735.590291</v>
      </c>
      <c r="U36" s="7">
        <f>+[5]Resumen!U36*1000</f>
        <v>200147.97476700001</v>
      </c>
      <c r="V36" s="7">
        <f>+[5]Resumen!V36*1000</f>
        <v>197209.44371700002</v>
      </c>
      <c r="W36" s="7">
        <f>+[5]Resumen!W36*1000</f>
        <v>209071.42366499998</v>
      </c>
      <c r="X36" s="7">
        <f>+[5]Resumen!X36*1000</f>
        <v>222003.42578699999</v>
      </c>
      <c r="Y36" s="7">
        <f>+[5]Resumen!Y36*1000</f>
        <v>228453.540588</v>
      </c>
      <c r="Z36" s="7">
        <f>+[5]Resumen!Z36*1000</f>
        <v>213152.87147700001</v>
      </c>
      <c r="AA36" s="7">
        <f>+[5]Resumen!AA36*1000</f>
        <v>191994.78171900002</v>
      </c>
      <c r="AB36" s="7">
        <f>+[5]Resumen!AB36*1000</f>
        <v>167921.66289600002</v>
      </c>
      <c r="AC36" s="7">
        <f>+[5]Resumen!AC36*1000</f>
        <v>145198.019226</v>
      </c>
      <c r="AD36" s="7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3:56" ht="18.649999999999999" customHeight="1">
      <c r="C37" s="15"/>
      <c r="D37" s="5" t="s">
        <v>33</v>
      </c>
      <c r="E37" s="6">
        <v>4</v>
      </c>
      <c r="F37" s="7">
        <f>+[5]Resumen!F37*1000</f>
        <v>126259.66134600001</v>
      </c>
      <c r="G37" s="7">
        <f>+[5]Resumen!G37*1000</f>
        <v>113328.62435700001</v>
      </c>
      <c r="H37" s="7">
        <f>+[5]Resumen!H37*1000</f>
        <v>104385.20660100001</v>
      </c>
      <c r="I37" s="7">
        <f>+[5]Resumen!I37*1000</f>
        <v>100471.504029</v>
      </c>
      <c r="J37" s="7">
        <f>+[5]Resumen!J37*1000</f>
        <v>102110.026551</v>
      </c>
      <c r="K37" s="7">
        <f>+[5]Resumen!K37*1000</f>
        <v>107159.39742300002</v>
      </c>
      <c r="L37" s="7">
        <f>+[5]Resumen!L37*1000</f>
        <v>114949.44992699999</v>
      </c>
      <c r="M37" s="7">
        <f>+[5]Resumen!M37*1000</f>
        <v>115039.48060800001</v>
      </c>
      <c r="N37" s="7">
        <f>+[5]Resumen!N37*1000</f>
        <v>132108.882633</v>
      </c>
      <c r="O37" s="7">
        <f>+[5]Resumen!O37*1000</f>
        <v>147499.50555599999</v>
      </c>
      <c r="P37" s="7">
        <f>+[5]Resumen!P37*1000</f>
        <v>160307.335773</v>
      </c>
      <c r="Q37" s="7">
        <f>+[5]Resumen!Q37*1000</f>
        <v>173709.61958999999</v>
      </c>
      <c r="R37" s="7">
        <f>+[5]Resumen!R37*1000</f>
        <v>182336.707176</v>
      </c>
      <c r="S37" s="7">
        <f>+[5]Resumen!S37*1000</f>
        <v>183198.53393400001</v>
      </c>
      <c r="T37" s="7">
        <f>+[5]Resumen!T37*1000</f>
        <v>177509.12614499999</v>
      </c>
      <c r="U37" s="7">
        <f>+[5]Resumen!U37*1000</f>
        <v>174672.49491900002</v>
      </c>
      <c r="V37" s="7">
        <f>+[5]Resumen!V37*1000</f>
        <v>171236.18584799999</v>
      </c>
      <c r="W37" s="7">
        <f>+[5]Resumen!W37*1000</f>
        <v>185554.95028200003</v>
      </c>
      <c r="X37" s="7">
        <f>+[5]Resumen!X37*1000</f>
        <v>203361.89328000002</v>
      </c>
      <c r="Y37" s="7">
        <f>+[5]Resumen!Y37*1000</f>
        <v>214293.32558400001</v>
      </c>
      <c r="Z37" s="7">
        <f>+[5]Resumen!Z37*1000</f>
        <v>203445.87693300002</v>
      </c>
      <c r="AA37" s="7">
        <f>+[5]Resumen!AA37*1000</f>
        <v>184812.30748500003</v>
      </c>
      <c r="AB37" s="7">
        <f>+[5]Resumen!AB37*1000</f>
        <v>159046.58168100001</v>
      </c>
      <c r="AC37" s="7">
        <f>+[5]Resumen!AC37*1000</f>
        <v>134682.58202100001</v>
      </c>
      <c r="AD37" s="7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3:56" ht="18.649999999999999" customHeight="1">
      <c r="C38" s="16"/>
      <c r="D38" s="5" t="s">
        <v>34</v>
      </c>
      <c r="E38" s="6">
        <v>2</v>
      </c>
      <c r="F38" s="7">
        <f>+[5]Resumen!F38*1000</f>
        <v>121464.732558</v>
      </c>
      <c r="G38" s="7">
        <f>+[5]Resumen!G38*1000</f>
        <v>108357.030678</v>
      </c>
      <c r="H38" s="7">
        <f>+[5]Resumen!H38*1000</f>
        <v>99740.54531999999</v>
      </c>
      <c r="I38" s="7">
        <f>+[5]Resumen!I38*1000</f>
        <v>97765.945835999999</v>
      </c>
      <c r="J38" s="7">
        <f>+[5]Resumen!J38*1000</f>
        <v>100213.201413</v>
      </c>
      <c r="K38" s="7">
        <f>+[5]Resumen!K38*1000</f>
        <v>107578.919955</v>
      </c>
      <c r="L38" s="7">
        <f>+[5]Resumen!L38*1000</f>
        <v>118657.681662</v>
      </c>
      <c r="M38" s="7">
        <f>+[5]Resumen!M38*1000</f>
        <v>118147.43947500001</v>
      </c>
      <c r="N38" s="7">
        <f>+[5]Resumen!N38*1000</f>
        <v>137796.855534</v>
      </c>
      <c r="O38" s="7">
        <f>+[5]Resumen!O38*1000</f>
        <v>153454.504281</v>
      </c>
      <c r="P38" s="7">
        <f>+[5]Resumen!P38*1000</f>
        <v>168810.31124100002</v>
      </c>
      <c r="Q38" s="7">
        <f>+[5]Resumen!Q38*1000</f>
        <v>184482.12666000001</v>
      </c>
      <c r="R38" s="7">
        <f>+[5]Resumen!R38*1000</f>
        <v>193646.63104800001</v>
      </c>
      <c r="S38" s="7">
        <f>+[5]Resumen!S38*1000</f>
        <v>192635.17451100002</v>
      </c>
      <c r="T38" s="7">
        <f>+[5]Resumen!T38*1000</f>
        <v>186602.475462</v>
      </c>
      <c r="U38" s="7">
        <f>+[5]Resumen!U38*1000</f>
        <v>181272.04875000002</v>
      </c>
      <c r="V38" s="7">
        <f>+[5]Resumen!V38*1000</f>
        <v>179854.20858599999</v>
      </c>
      <c r="W38" s="7">
        <f>+[5]Resumen!W38*1000</f>
        <v>192581.55126600002</v>
      </c>
      <c r="X38" s="7">
        <f>+[5]Resumen!X38*1000</f>
        <v>208639.001376</v>
      </c>
      <c r="Y38" s="7">
        <f>+[5]Resumen!Y38*1000</f>
        <v>223729.62452100002</v>
      </c>
      <c r="Z38" s="7">
        <f>+[5]Resumen!Z38*1000</f>
        <v>210967.63954500001</v>
      </c>
      <c r="AA38" s="7">
        <f>+[5]Resumen!AA38*1000</f>
        <v>188438.31216600002</v>
      </c>
      <c r="AB38" s="7">
        <f>+[5]Resumen!AB38*1000</f>
        <v>160819.90111199999</v>
      </c>
      <c r="AC38" s="7">
        <f>+[5]Resumen!AC38*1000</f>
        <v>134337.94982400001</v>
      </c>
      <c r="AD38" s="72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3:56" ht="18.649999999999999" customHeight="1">
      <c r="C39" s="14" t="s">
        <v>42</v>
      </c>
      <c r="D39" s="5" t="s">
        <v>31</v>
      </c>
      <c r="E39" s="6">
        <v>21</v>
      </c>
      <c r="F39" s="7">
        <f>+[5]Resumen!F39*1000</f>
        <v>110298.60496200001</v>
      </c>
      <c r="G39" s="7">
        <f>+[5]Resumen!G39*1000</f>
        <v>99596.273594999991</v>
      </c>
      <c r="H39" s="7">
        <f>+[5]Resumen!H39*1000</f>
        <v>94082.352039000005</v>
      </c>
      <c r="I39" s="7">
        <f>+[5]Resumen!I39*1000</f>
        <v>93886.10832900001</v>
      </c>
      <c r="J39" s="7">
        <f>+[5]Resumen!J39*1000</f>
        <v>111669.939381</v>
      </c>
      <c r="K39" s="7">
        <f>+[5]Resumen!K39*1000</f>
        <v>142636.98044700001</v>
      </c>
      <c r="L39" s="7">
        <f>+[5]Resumen!L39*1000</f>
        <v>170196.12834900001</v>
      </c>
      <c r="M39" s="7">
        <f>+[5]Resumen!M39*1000</f>
        <v>169177.85324700002</v>
      </c>
      <c r="N39" s="7">
        <f>+[5]Resumen!N39*1000</f>
        <v>184605.30496199999</v>
      </c>
      <c r="O39" s="7">
        <f>+[5]Resumen!O39*1000</f>
        <v>194900.45269499999</v>
      </c>
      <c r="P39" s="7">
        <f>+[5]Resumen!P39*1000</f>
        <v>211101.00441300002</v>
      </c>
      <c r="Q39" s="7">
        <f>+[5]Resumen!Q39*1000</f>
        <v>224937.00590399999</v>
      </c>
      <c r="R39" s="7">
        <f>+[5]Resumen!R39*1000</f>
        <v>226021.74991499999</v>
      </c>
      <c r="S39" s="7">
        <f>+[5]Resumen!S39*1000</f>
        <v>222486.84069299998</v>
      </c>
      <c r="T39" s="7">
        <f>+[5]Resumen!T39*1000</f>
        <v>225031.58039700001</v>
      </c>
      <c r="U39" s="7">
        <f>+[5]Resumen!U39*1000</f>
        <v>225679.87361400001</v>
      </c>
      <c r="V39" s="7">
        <f>+[5]Resumen!V39*1000</f>
        <v>220013.671722</v>
      </c>
      <c r="W39" s="7">
        <f>+[5]Resumen!W39*1000</f>
        <v>225206.670897</v>
      </c>
      <c r="X39" s="7">
        <f>+[5]Resumen!X39*1000</f>
        <v>249100.08708000003</v>
      </c>
      <c r="Y39" s="7">
        <f>+[5]Resumen!Y39*1000</f>
        <v>249618.17275200001</v>
      </c>
      <c r="Z39" s="7">
        <f>+[5]Resumen!Z39*1000</f>
        <v>232703.004105</v>
      </c>
      <c r="AA39" s="7">
        <f>+[5]Resumen!AA39*1000</f>
        <v>199935.45191100001</v>
      </c>
      <c r="AB39" s="7">
        <f>+[5]Resumen!AB39*1000</f>
        <v>165635.77812599999</v>
      </c>
      <c r="AC39" s="7">
        <f>+[5]Resumen!AC39*1000</f>
        <v>132160.23966600001</v>
      </c>
      <c r="AD39" s="70">
        <f t="shared" ref="AD39" si="4">SUM(F39:AC39)*E39+SUM(F40:AC40)*E40+SUM(F41:AC41)*E41+SUM(F42:AC42)*E42</f>
        <v>125276557.41010801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3:56" ht="18.649999999999999" customHeight="1">
      <c r="C40" s="15"/>
      <c r="D40" s="5" t="s">
        <v>32</v>
      </c>
      <c r="E40" s="6">
        <v>4</v>
      </c>
      <c r="F40" s="7">
        <f>+[5]Resumen!F40*1000</f>
        <v>118766.41998000001</v>
      </c>
      <c r="G40" s="7">
        <f>+[5]Resumen!G40*1000</f>
        <v>106586.193831</v>
      </c>
      <c r="H40" s="7">
        <f>+[5]Resumen!H40*1000</f>
        <v>98939.188842000003</v>
      </c>
      <c r="I40" s="7">
        <f>+[5]Resumen!I40*1000</f>
        <v>96972.279105000009</v>
      </c>
      <c r="J40" s="7">
        <f>+[5]Resumen!J40*1000</f>
        <v>104445.460509</v>
      </c>
      <c r="K40" s="7">
        <f>+[5]Resumen!K40*1000</f>
        <v>118037.28335100001</v>
      </c>
      <c r="L40" s="7">
        <f>+[5]Resumen!L40*1000</f>
        <v>138922.54794600001</v>
      </c>
      <c r="M40" s="7">
        <f>+[5]Resumen!M40*1000</f>
        <v>147270.86868000001</v>
      </c>
      <c r="N40" s="7">
        <f>+[5]Resumen!N40*1000</f>
        <v>169291.82719799998</v>
      </c>
      <c r="O40" s="7">
        <f>+[5]Resumen!O40*1000</f>
        <v>182938.97294400001</v>
      </c>
      <c r="P40" s="7">
        <f>+[5]Resumen!P40*1000</f>
        <v>198036.853092</v>
      </c>
      <c r="Q40" s="7">
        <f>+[5]Resumen!Q40*1000</f>
        <v>208598.33482799999</v>
      </c>
      <c r="R40" s="7">
        <f>+[5]Resumen!R40*1000</f>
        <v>209278.82476799999</v>
      </c>
      <c r="S40" s="7">
        <f>+[5]Resumen!S40*1000</f>
        <v>203273.086809</v>
      </c>
      <c r="T40" s="7">
        <f>+[5]Resumen!T40*1000</f>
        <v>196837.25256000002</v>
      </c>
      <c r="U40" s="7">
        <f>+[5]Resumen!U40*1000</f>
        <v>194342.03642100003</v>
      </c>
      <c r="V40" s="7">
        <f>+[5]Resumen!V40*1000</f>
        <v>191456.09515500002</v>
      </c>
      <c r="W40" s="7">
        <f>+[5]Resumen!W40*1000</f>
        <v>204813.99708900001</v>
      </c>
      <c r="X40" s="7">
        <f>+[5]Resumen!X40*1000</f>
        <v>222527.87165700001</v>
      </c>
      <c r="Y40" s="7">
        <f>+[5]Resumen!Y40*1000</f>
        <v>220947.97455899999</v>
      </c>
      <c r="Z40" s="7">
        <f>+[5]Resumen!Z40*1000</f>
        <v>205255.23653699999</v>
      </c>
      <c r="AA40" s="7">
        <f>+[5]Resumen!AA40*1000</f>
        <v>183770.24854500001</v>
      </c>
      <c r="AB40" s="7">
        <f>+[5]Resumen!AB40*1000</f>
        <v>160698.95201100002</v>
      </c>
      <c r="AC40" s="7">
        <f>+[5]Resumen!AC40*1000</f>
        <v>138239.11136100002</v>
      </c>
      <c r="AD40" s="7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3:56" ht="18.649999999999999" customHeight="1">
      <c r="C41" s="15"/>
      <c r="D41" s="5" t="s">
        <v>33</v>
      </c>
      <c r="E41" s="6">
        <v>5</v>
      </c>
      <c r="F41" s="7">
        <f>+[5]Resumen!F41*1000</f>
        <v>118970.77194600001</v>
      </c>
      <c r="G41" s="7">
        <f>+[5]Resumen!G41*1000</f>
        <v>104739.4218</v>
      </c>
      <c r="H41" s="7">
        <f>+[5]Resumen!H41*1000</f>
        <v>96048.476004000011</v>
      </c>
      <c r="I41" s="7">
        <f>+[5]Resumen!I41*1000</f>
        <v>91524.860622000007</v>
      </c>
      <c r="J41" s="7">
        <f>+[5]Resumen!J41*1000</f>
        <v>92273.186031000005</v>
      </c>
      <c r="K41" s="7">
        <f>+[5]Resumen!K41*1000</f>
        <v>95932.070715000009</v>
      </c>
      <c r="L41" s="7">
        <f>+[5]Resumen!L41*1000</f>
        <v>104254.614711</v>
      </c>
      <c r="M41" s="7">
        <f>+[5]Resumen!M41*1000</f>
        <v>103579.554</v>
      </c>
      <c r="N41" s="7">
        <f>+[5]Resumen!N41*1000</f>
        <v>119865.957003</v>
      </c>
      <c r="O41" s="7">
        <f>+[5]Resumen!O41*1000</f>
        <v>134660.44659599999</v>
      </c>
      <c r="P41" s="7">
        <f>+[5]Resumen!P41*1000</f>
        <v>148916.42329199999</v>
      </c>
      <c r="Q41" s="7">
        <f>+[5]Resumen!Q41*1000</f>
        <v>162925.93804499999</v>
      </c>
      <c r="R41" s="7">
        <f>+[5]Resumen!R41*1000</f>
        <v>170456.91924299998</v>
      </c>
      <c r="S41" s="7">
        <f>+[5]Resumen!S41*1000</f>
        <v>171778.75002599999</v>
      </c>
      <c r="T41" s="7">
        <f>+[5]Resumen!T41*1000</f>
        <v>168333.94835399999</v>
      </c>
      <c r="U41" s="7">
        <f>+[5]Resumen!U41*1000</f>
        <v>166740.24330599999</v>
      </c>
      <c r="V41" s="7">
        <f>+[5]Resumen!V41*1000</f>
        <v>164617.742172</v>
      </c>
      <c r="W41" s="7">
        <f>+[5]Resumen!W41*1000</f>
        <v>180573.58569900002</v>
      </c>
      <c r="X41" s="7">
        <f>+[5]Resumen!X41*1000</f>
        <v>201888.86117400002</v>
      </c>
      <c r="Y41" s="7">
        <f>+[5]Resumen!Y41*1000</f>
        <v>205122.52078500003</v>
      </c>
      <c r="Z41" s="7">
        <f>+[5]Resumen!Z41*1000</f>
        <v>192935.04332700002</v>
      </c>
      <c r="AA41" s="7">
        <f>+[5]Resumen!AA41*1000</f>
        <v>173651.79986699999</v>
      </c>
      <c r="AB41" s="7">
        <f>+[5]Resumen!AB41*1000</f>
        <v>147917.14052700001</v>
      </c>
      <c r="AC41" s="7">
        <f>+[5]Resumen!AC41*1000</f>
        <v>122544.92991000001</v>
      </c>
      <c r="AD41" s="7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3:56" ht="18.649999999999999" customHeight="1">
      <c r="C42" s="16"/>
      <c r="D42" s="5" t="s">
        <v>34</v>
      </c>
      <c r="E42" s="6">
        <v>0</v>
      </c>
      <c r="F42" s="7">
        <f>+[5]Resumen!F42*1000</f>
        <v>0</v>
      </c>
      <c r="G42" s="7">
        <f>+[5]Resumen!G42*1000</f>
        <v>0</v>
      </c>
      <c r="H42" s="7">
        <f>+[5]Resumen!H42*1000</f>
        <v>0</v>
      </c>
      <c r="I42" s="7">
        <f>+[5]Resumen!I42*1000</f>
        <v>0</v>
      </c>
      <c r="J42" s="7">
        <f>+[5]Resumen!J42*1000</f>
        <v>0</v>
      </c>
      <c r="K42" s="7">
        <f>+[5]Resumen!K42*1000</f>
        <v>0</v>
      </c>
      <c r="L42" s="7">
        <f>+[5]Resumen!L42*1000</f>
        <v>0</v>
      </c>
      <c r="M42" s="7">
        <f>+[5]Resumen!M42*1000</f>
        <v>0</v>
      </c>
      <c r="N42" s="7">
        <f>+[5]Resumen!N42*1000</f>
        <v>0</v>
      </c>
      <c r="O42" s="7">
        <f>+[5]Resumen!O42*1000</f>
        <v>0</v>
      </c>
      <c r="P42" s="7">
        <f>+[5]Resumen!P42*1000</f>
        <v>0</v>
      </c>
      <c r="Q42" s="7">
        <f>+[5]Resumen!Q42*1000</f>
        <v>0</v>
      </c>
      <c r="R42" s="7">
        <f>+[5]Resumen!R42*1000</f>
        <v>0</v>
      </c>
      <c r="S42" s="7">
        <f>+[5]Resumen!S42*1000</f>
        <v>0</v>
      </c>
      <c r="T42" s="7">
        <f>+[5]Resumen!T42*1000</f>
        <v>0</v>
      </c>
      <c r="U42" s="7">
        <f>+[5]Resumen!U42*1000</f>
        <v>0</v>
      </c>
      <c r="V42" s="7">
        <f>+[5]Resumen!V42*1000</f>
        <v>0</v>
      </c>
      <c r="W42" s="7">
        <f>+[5]Resumen!W42*1000</f>
        <v>0</v>
      </c>
      <c r="X42" s="7">
        <f>+[5]Resumen!X42*1000</f>
        <v>0</v>
      </c>
      <c r="Y42" s="7">
        <f>+[5]Resumen!Y42*1000</f>
        <v>0</v>
      </c>
      <c r="Z42" s="7">
        <f>+[5]Resumen!Z42*1000</f>
        <v>0</v>
      </c>
      <c r="AA42" s="7">
        <f>+[5]Resumen!AA42*1000</f>
        <v>0</v>
      </c>
      <c r="AB42" s="7">
        <f>+[5]Resumen!AB42*1000</f>
        <v>0</v>
      </c>
      <c r="AC42" s="7">
        <f>+[5]Resumen!AC42*1000</f>
        <v>0</v>
      </c>
      <c r="AD42" s="72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3:56" ht="18.649999999999999" customHeight="1">
      <c r="C43" s="14" t="s">
        <v>43</v>
      </c>
      <c r="D43" s="5" t="s">
        <v>31</v>
      </c>
      <c r="E43" s="6">
        <v>22</v>
      </c>
      <c r="F43" s="7">
        <f>+[5]Resumen!F43*1000</f>
        <v>99943.433927999999</v>
      </c>
      <c r="G43" s="7">
        <f>+[5]Resumen!G43*1000</f>
        <v>89623.756443000006</v>
      </c>
      <c r="H43" s="7">
        <f>+[5]Resumen!H43*1000</f>
        <v>84422.59491900001</v>
      </c>
      <c r="I43" s="7">
        <f>+[5]Resumen!I43*1000</f>
        <v>84630.909908999995</v>
      </c>
      <c r="J43" s="7">
        <f>+[5]Resumen!J43*1000</f>
        <v>101793.81595500001</v>
      </c>
      <c r="K43" s="7">
        <f>+[5]Resumen!K43*1000</f>
        <v>129726.22833299999</v>
      </c>
      <c r="L43" s="7">
        <f>+[5]Resumen!L43*1000</f>
        <v>158357.87814600003</v>
      </c>
      <c r="M43" s="7">
        <f>+[5]Resumen!M43*1000</f>
        <v>161322.10052400001</v>
      </c>
      <c r="N43" s="7">
        <f>+[5]Resumen!N43*1000</f>
        <v>178187.50361099999</v>
      </c>
      <c r="O43" s="7">
        <f>+[5]Resumen!O43*1000</f>
        <v>189467.91263400001</v>
      </c>
      <c r="P43" s="7">
        <f>+[5]Resumen!P43*1000</f>
        <v>204935.56398900002</v>
      </c>
      <c r="Q43" s="7">
        <f>+[5]Resumen!Q43*1000</f>
        <v>218763.55686900002</v>
      </c>
      <c r="R43" s="7">
        <f>+[5]Resumen!R43*1000</f>
        <v>221633.68304999999</v>
      </c>
      <c r="S43" s="7">
        <f>+[5]Resumen!S43*1000</f>
        <v>217752.05478000001</v>
      </c>
      <c r="T43" s="7">
        <f>+[5]Resumen!T43*1000</f>
        <v>219452.27179200001</v>
      </c>
      <c r="U43" s="7">
        <f>+[5]Resumen!U43*1000</f>
        <v>219073.76598900001</v>
      </c>
      <c r="V43" s="7">
        <f>+[5]Resumen!V43*1000</f>
        <v>212365.41690000001</v>
      </c>
      <c r="W43" s="7">
        <f>+[5]Resumen!W43*1000</f>
        <v>219220.85624400002</v>
      </c>
      <c r="X43" s="7">
        <f>+[5]Resumen!X43*1000</f>
        <v>239100.39246600002</v>
      </c>
      <c r="Y43" s="7">
        <f>+[5]Resumen!Y43*1000</f>
        <v>233782.96800300002</v>
      </c>
      <c r="Z43" s="7">
        <f>+[5]Resumen!Z43*1000</f>
        <v>216620.528865</v>
      </c>
      <c r="AA43" s="7">
        <f>+[5]Resumen!AA43*1000</f>
        <v>185793.50041199999</v>
      </c>
      <c r="AB43" s="7">
        <f>+[5]Resumen!AB43*1000</f>
        <v>154105.83524700001</v>
      </c>
      <c r="AC43" s="7">
        <f>+[5]Resumen!AC43*1000</f>
        <v>122927.085567</v>
      </c>
      <c r="AD43" s="70">
        <f t="shared" ref="AD43" si="5">SUM(F43:AC43)*E43+SUM(F44:AC44)*E44+SUM(F45:AC45)*E45+SUM(F46:AC46)*E46</f>
        <v>124175380.38983999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3:56" ht="18.649999999999999" customHeight="1">
      <c r="C44" s="15"/>
      <c r="D44" s="5" t="s">
        <v>32</v>
      </c>
      <c r="E44" s="6">
        <v>4</v>
      </c>
      <c r="F44" s="7">
        <f>+[5]Resumen!F44*1000</f>
        <v>115044.62798399999</v>
      </c>
      <c r="G44" s="7">
        <f>+[5]Resumen!G44*1000</f>
        <v>101702.09985</v>
      </c>
      <c r="H44" s="7">
        <f>+[5]Resumen!H44*1000</f>
        <v>94718.739101999992</v>
      </c>
      <c r="I44" s="7">
        <f>+[5]Resumen!I44*1000</f>
        <v>92277.914898000017</v>
      </c>
      <c r="J44" s="7">
        <f>+[5]Resumen!J44*1000</f>
        <v>99405.803601000007</v>
      </c>
      <c r="K44" s="7">
        <f>+[5]Resumen!K44*1000</f>
        <v>111522.54734400001</v>
      </c>
      <c r="L44" s="7">
        <f>+[5]Resumen!L44*1000</f>
        <v>134028.460995</v>
      </c>
      <c r="M44" s="7">
        <f>+[5]Resumen!M44*1000</f>
        <v>142421.41414800001</v>
      </c>
      <c r="N44" s="7">
        <f>+[5]Resumen!N44*1000</f>
        <v>165061.35886499999</v>
      </c>
      <c r="O44" s="7">
        <f>+[5]Resumen!O44*1000</f>
        <v>180663.87261000002</v>
      </c>
      <c r="P44" s="7">
        <f>+[5]Resumen!P44*1000</f>
        <v>195677.66946000003</v>
      </c>
      <c r="Q44" s="7">
        <f>+[5]Resumen!Q44*1000</f>
        <v>206036.635545</v>
      </c>
      <c r="R44" s="7">
        <f>+[5]Resumen!R44*1000</f>
        <v>207045.11696700001</v>
      </c>
      <c r="S44" s="7">
        <f>+[5]Resumen!S44*1000</f>
        <v>200300.32912500002</v>
      </c>
      <c r="T44" s="7">
        <f>+[5]Resumen!T44*1000</f>
        <v>193419.383508</v>
      </c>
      <c r="U44" s="7">
        <f>+[5]Resumen!U44*1000</f>
        <v>190719.26023800002</v>
      </c>
      <c r="V44" s="7">
        <f>+[5]Resumen!V44*1000</f>
        <v>187649.55651000002</v>
      </c>
      <c r="W44" s="7">
        <f>+[5]Resumen!W44*1000</f>
        <v>203290.54176600001</v>
      </c>
      <c r="X44" s="7">
        <f>+[5]Resumen!X44*1000</f>
        <v>219088.22020800001</v>
      </c>
      <c r="Y44" s="7">
        <f>+[5]Resumen!Y44*1000</f>
        <v>212668.44019200001</v>
      </c>
      <c r="Z44" s="7">
        <f>+[5]Resumen!Z44*1000</f>
        <v>197226.04457400003</v>
      </c>
      <c r="AA44" s="7">
        <f>+[5]Resumen!AA44*1000</f>
        <v>176809.524294</v>
      </c>
      <c r="AB44" s="7">
        <f>+[5]Resumen!AB44*1000</f>
        <v>153962.79627299999</v>
      </c>
      <c r="AC44" s="7">
        <f>+[5]Resumen!AC44*1000</f>
        <v>131848.325193</v>
      </c>
      <c r="AD44" s="7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3:56" ht="18.649999999999999" customHeight="1">
      <c r="C45" s="15"/>
      <c r="D45" s="5" t="s">
        <v>33</v>
      </c>
      <c r="E45" s="6">
        <v>4</v>
      </c>
      <c r="F45" s="7">
        <f>+[5]Resumen!F45*1000</f>
        <v>114274.87890000001</v>
      </c>
      <c r="G45" s="7">
        <f>+[5]Resumen!G45*1000</f>
        <v>101125.858509</v>
      </c>
      <c r="H45" s="7">
        <f>+[5]Resumen!H45*1000</f>
        <v>93313.750295999998</v>
      </c>
      <c r="I45" s="7">
        <f>+[5]Resumen!I45*1000</f>
        <v>89112.304281000004</v>
      </c>
      <c r="J45" s="7">
        <f>+[5]Resumen!J45*1000</f>
        <v>90465.896196000002</v>
      </c>
      <c r="K45" s="7">
        <f>+[5]Resumen!K45*1000</f>
        <v>93964.415064000001</v>
      </c>
      <c r="L45" s="7">
        <f>+[5]Resumen!L45*1000</f>
        <v>104736.38974499999</v>
      </c>
      <c r="M45" s="7">
        <f>+[5]Resumen!M45*1000</f>
        <v>105839.69334899999</v>
      </c>
      <c r="N45" s="7">
        <f>+[5]Resumen!N45*1000</f>
        <v>124308.78021900001</v>
      </c>
      <c r="O45" s="7">
        <f>+[5]Resumen!O45*1000</f>
        <v>139498.47326999999</v>
      </c>
      <c r="P45" s="7">
        <f>+[5]Resumen!P45*1000</f>
        <v>152952.96822000001</v>
      </c>
      <c r="Q45" s="7">
        <f>+[5]Resumen!Q45*1000</f>
        <v>167140.15285500002</v>
      </c>
      <c r="R45" s="7">
        <f>+[5]Resumen!R45*1000</f>
        <v>174737.98730700003</v>
      </c>
      <c r="S45" s="7">
        <f>+[5]Resumen!S45*1000</f>
        <v>173073.81331499998</v>
      </c>
      <c r="T45" s="7">
        <f>+[5]Resumen!T45*1000</f>
        <v>167522.237337</v>
      </c>
      <c r="U45" s="7">
        <f>+[5]Resumen!U45*1000</f>
        <v>164177.53049100001</v>
      </c>
      <c r="V45" s="7">
        <f>+[5]Resumen!V45*1000</f>
        <v>159791.84371799999</v>
      </c>
      <c r="W45" s="7">
        <f>+[5]Resumen!W45*1000</f>
        <v>175941.95798400001</v>
      </c>
      <c r="X45" s="7">
        <f>+[5]Resumen!X45*1000</f>
        <v>195280.82328300001</v>
      </c>
      <c r="Y45" s="7">
        <f>+[5]Resumen!Y45*1000</f>
        <v>193879.99963800001</v>
      </c>
      <c r="Z45" s="7">
        <f>+[5]Resumen!Z45*1000</f>
        <v>181898.61935700002</v>
      </c>
      <c r="AA45" s="7">
        <f>+[5]Resumen!AA45*1000</f>
        <v>164098.67997899998</v>
      </c>
      <c r="AB45" s="7">
        <f>+[5]Resumen!AB45*1000</f>
        <v>140487.41573099999</v>
      </c>
      <c r="AC45" s="7">
        <f>+[5]Resumen!AC45*1000</f>
        <v>117669.989034</v>
      </c>
      <c r="AD45" s="7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3:56" ht="18.649999999999999" customHeight="1">
      <c r="C46" s="16"/>
      <c r="D46" s="5" t="s">
        <v>34</v>
      </c>
      <c r="E46" s="6">
        <v>1</v>
      </c>
      <c r="F46" s="7">
        <f>+[5]Resumen!F46*1000</f>
        <v>106201.473027</v>
      </c>
      <c r="G46" s="7">
        <f>+[5]Resumen!G46*1000</f>
        <v>94746.930095999996</v>
      </c>
      <c r="H46" s="7">
        <f>+[5]Resumen!H46*1000</f>
        <v>87951.383091000011</v>
      </c>
      <c r="I46" s="7">
        <f>+[5]Resumen!I46*1000</f>
        <v>84505.280340000012</v>
      </c>
      <c r="J46" s="7">
        <f>+[5]Resumen!J46*1000</f>
        <v>88082.322315000012</v>
      </c>
      <c r="K46" s="7">
        <f>+[5]Resumen!K46*1000</f>
        <v>92506.87917900001</v>
      </c>
      <c r="L46" s="7">
        <f>+[5]Resumen!L46*1000</f>
        <v>102393.596292</v>
      </c>
      <c r="M46" s="7">
        <f>+[5]Resumen!M46*1000</f>
        <v>103566.22149899999</v>
      </c>
      <c r="N46" s="7">
        <f>+[5]Resumen!N46*1000</f>
        <v>122025.634263</v>
      </c>
      <c r="O46" s="7">
        <f>+[5]Resumen!O46*1000</f>
        <v>135738.967065</v>
      </c>
      <c r="P46" s="7">
        <f>+[5]Resumen!P46*1000</f>
        <v>150142.57779299997</v>
      </c>
      <c r="Q46" s="7">
        <f>+[5]Resumen!Q46*1000</f>
        <v>168210.624855</v>
      </c>
      <c r="R46" s="7">
        <f>+[5]Resumen!R46*1000</f>
        <v>179824.884486</v>
      </c>
      <c r="S46" s="7">
        <f>+[5]Resumen!S46*1000</f>
        <v>179735.72214</v>
      </c>
      <c r="T46" s="7">
        <f>+[5]Resumen!T46*1000</f>
        <v>172003.785447</v>
      </c>
      <c r="U46" s="7">
        <f>+[5]Resumen!U46*1000</f>
        <v>169835.96291999999</v>
      </c>
      <c r="V46" s="7">
        <f>+[5]Resumen!V46*1000</f>
        <v>168087.49495200001</v>
      </c>
      <c r="W46" s="7">
        <f>+[5]Resumen!W46*1000</f>
        <v>183606.87345000001</v>
      </c>
      <c r="X46" s="7">
        <f>+[5]Resumen!X46*1000</f>
        <v>202262.680815</v>
      </c>
      <c r="Y46" s="7">
        <f>+[5]Resumen!Y46*1000</f>
        <v>201715.83190200001</v>
      </c>
      <c r="Z46" s="7">
        <f>+[5]Resumen!Z46*1000</f>
        <v>186578.523651</v>
      </c>
      <c r="AA46" s="7">
        <f>+[5]Resumen!AA46*1000</f>
        <v>164933.431767</v>
      </c>
      <c r="AB46" s="7">
        <f>+[5]Resumen!AB46*1000</f>
        <v>138569.64806100001</v>
      </c>
      <c r="AC46" s="7">
        <f>+[5]Resumen!AC46*1000</f>
        <v>114541.57447200001</v>
      </c>
      <c r="AD46" s="72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3:56" ht="18.649999999999999" customHeight="1">
      <c r="C47" s="14" t="s">
        <v>44</v>
      </c>
      <c r="D47" s="5" t="s">
        <v>31</v>
      </c>
      <c r="E47" s="6">
        <v>19</v>
      </c>
      <c r="F47" s="7">
        <f>+[5]Resumen!F47*1000</f>
        <v>105357.76742400001</v>
      </c>
      <c r="G47" s="7">
        <f>+[5]Resumen!G47*1000</f>
        <v>94385.967507000008</v>
      </c>
      <c r="H47" s="7">
        <f>+[5]Resumen!H47*1000</f>
        <v>89275.935605999999</v>
      </c>
      <c r="I47" s="7">
        <f>+[5]Resumen!I47*1000</f>
        <v>89524.125677999997</v>
      </c>
      <c r="J47" s="7">
        <f>+[5]Resumen!J47*1000</f>
        <v>106566.70042200001</v>
      </c>
      <c r="K47" s="7">
        <f>+[5]Resumen!K47*1000</f>
        <v>133743.36241500001</v>
      </c>
      <c r="L47" s="7">
        <f>+[5]Resumen!L47*1000</f>
        <v>163830.03705899999</v>
      </c>
      <c r="M47" s="7">
        <f>+[5]Resumen!M47*1000</f>
        <v>168913.751292</v>
      </c>
      <c r="N47" s="7">
        <f>+[5]Resumen!N47*1000</f>
        <v>185615.28960000002</v>
      </c>
      <c r="O47" s="7">
        <f>+[5]Resumen!O47*1000</f>
        <v>196529.750937</v>
      </c>
      <c r="P47" s="7">
        <f>+[5]Resumen!P47*1000</f>
        <v>211757.45143800002</v>
      </c>
      <c r="Q47" s="7">
        <f>+[5]Resumen!Q47*1000</f>
        <v>225761.47717500001</v>
      </c>
      <c r="R47" s="7">
        <f>+[5]Resumen!R47*1000</f>
        <v>229161.42151499999</v>
      </c>
      <c r="S47" s="7">
        <f>+[5]Resumen!S47*1000</f>
        <v>224539.000998</v>
      </c>
      <c r="T47" s="7">
        <f>+[5]Resumen!T47*1000</f>
        <v>225012.682011</v>
      </c>
      <c r="U47" s="7">
        <f>+[5]Resumen!U47*1000</f>
        <v>224634.059481</v>
      </c>
      <c r="V47" s="7">
        <f>+[5]Resumen!V47*1000</f>
        <v>219169.82092200001</v>
      </c>
      <c r="W47" s="7">
        <f>+[5]Resumen!W47*1000</f>
        <v>230121.63489900003</v>
      </c>
      <c r="X47" s="7">
        <f>+[5]Resumen!X47*1000</f>
        <v>250688.20916100001</v>
      </c>
      <c r="Y47" s="7">
        <f>+[5]Resumen!Y47*1000</f>
        <v>244366.59939900003</v>
      </c>
      <c r="Z47" s="7">
        <f>+[5]Resumen!Z47*1000</f>
        <v>226056.57441900001</v>
      </c>
      <c r="AA47" s="7">
        <f>+[5]Resumen!AA47*1000</f>
        <v>193394.811051</v>
      </c>
      <c r="AB47" s="7">
        <f>+[5]Resumen!AB47*1000</f>
        <v>160876.16637299999</v>
      </c>
      <c r="AC47" s="7">
        <f>+[5]Resumen!AC47*1000</f>
        <v>128182.798458</v>
      </c>
      <c r="AD47" s="70">
        <f t="shared" ref="AD47" si="6">SUM(F47:AC47)*E47+SUM(F48:AC48)*E48+SUM(F49:AC49)*E49+SUM(F50:AC50)*E50</f>
        <v>122387689.60462199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3:56" ht="18.649999999999999" customHeight="1">
      <c r="C48" s="15"/>
      <c r="D48" s="5" t="s">
        <v>32</v>
      </c>
      <c r="E48" s="6">
        <v>5</v>
      </c>
      <c r="F48" s="7">
        <f>+[5]Resumen!F48*1000</f>
        <v>113946.978522</v>
      </c>
      <c r="G48" s="7">
        <f>+[5]Resumen!G48*1000</f>
        <v>100986.14767799999</v>
      </c>
      <c r="H48" s="7">
        <f>+[5]Resumen!H48*1000</f>
        <v>93390.422852999996</v>
      </c>
      <c r="I48" s="7">
        <f>+[5]Resumen!I48*1000</f>
        <v>91786.229457000009</v>
      </c>
      <c r="J48" s="7">
        <f>+[5]Resumen!J48*1000</f>
        <v>99746.649288000001</v>
      </c>
      <c r="K48" s="7">
        <f>+[5]Resumen!K48*1000</f>
        <v>113384.411322</v>
      </c>
      <c r="L48" s="7">
        <f>+[5]Resumen!L48*1000</f>
        <v>137405.15673300001</v>
      </c>
      <c r="M48" s="7">
        <f>+[5]Resumen!M48*1000</f>
        <v>148183.65958499999</v>
      </c>
      <c r="N48" s="7">
        <f>+[5]Resumen!N48*1000</f>
        <v>171701.40557700003</v>
      </c>
      <c r="O48" s="7">
        <f>+[5]Resumen!O48*1000</f>
        <v>186221.87426700001</v>
      </c>
      <c r="P48" s="7">
        <f>+[5]Resumen!P48*1000</f>
        <v>199422.12642300001</v>
      </c>
      <c r="Q48" s="7">
        <f>+[5]Resumen!Q48*1000</f>
        <v>208817.99796000001</v>
      </c>
      <c r="R48" s="7">
        <f>+[5]Resumen!R48*1000</f>
        <v>209897.56043099999</v>
      </c>
      <c r="S48" s="7">
        <f>+[5]Resumen!S48*1000</f>
        <v>202790.73098699999</v>
      </c>
      <c r="T48" s="7">
        <f>+[5]Resumen!T48*1000</f>
        <v>195605.32434299999</v>
      </c>
      <c r="U48" s="7">
        <f>+[5]Resumen!U48*1000</f>
        <v>191843.369718</v>
      </c>
      <c r="V48" s="7">
        <f>+[5]Resumen!V48*1000</f>
        <v>188486.77949400002</v>
      </c>
      <c r="W48" s="7">
        <f>+[5]Resumen!W48*1000</f>
        <v>206670.699456</v>
      </c>
      <c r="X48" s="7">
        <f>+[5]Resumen!X48*1000</f>
        <v>222998.466522</v>
      </c>
      <c r="Y48" s="7">
        <f>+[5]Resumen!Y48*1000</f>
        <v>217032.72321900001</v>
      </c>
      <c r="Z48" s="7">
        <f>+[5]Resumen!Z48*1000</f>
        <v>201047.82890399999</v>
      </c>
      <c r="AA48" s="7">
        <f>+[5]Resumen!AA48*1000</f>
        <v>179461.701237</v>
      </c>
      <c r="AB48" s="7">
        <f>+[5]Resumen!AB48*1000</f>
        <v>155481.84728699998</v>
      </c>
      <c r="AC48" s="7">
        <f>+[5]Resumen!AC48*1000</f>
        <v>132105.82495500002</v>
      </c>
      <c r="AD48" s="7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3:56" ht="18.649999999999999" customHeight="1">
      <c r="C49" s="15"/>
      <c r="D49" s="5" t="s">
        <v>33</v>
      </c>
      <c r="E49" s="6">
        <v>4</v>
      </c>
      <c r="F49" s="7">
        <f>+[5]Resumen!F49*1000</f>
        <v>109461.131442</v>
      </c>
      <c r="G49" s="7">
        <f>+[5]Resumen!G49*1000</f>
        <v>96313.061948999995</v>
      </c>
      <c r="H49" s="7">
        <f>+[5]Resumen!H49*1000</f>
        <v>88445.189547000002</v>
      </c>
      <c r="I49" s="7">
        <f>+[5]Resumen!I49*1000</f>
        <v>84772.297623000006</v>
      </c>
      <c r="J49" s="7">
        <f>+[5]Resumen!J49*1000</f>
        <v>86665.142655000003</v>
      </c>
      <c r="K49" s="7">
        <f>+[5]Resumen!K49*1000</f>
        <v>91687.227878999998</v>
      </c>
      <c r="L49" s="7">
        <f>+[5]Resumen!L49*1000</f>
        <v>102942.771204</v>
      </c>
      <c r="M49" s="7">
        <f>+[5]Resumen!M49*1000</f>
        <v>105988.03343700001</v>
      </c>
      <c r="N49" s="7">
        <f>+[5]Resumen!N49*1000</f>
        <v>125217.240837</v>
      </c>
      <c r="O49" s="7">
        <f>+[5]Resumen!O49*1000</f>
        <v>141417.86657700001</v>
      </c>
      <c r="P49" s="7">
        <f>+[5]Resumen!P49*1000</f>
        <v>154006.457865</v>
      </c>
      <c r="Q49" s="7">
        <f>+[5]Resumen!Q49*1000</f>
        <v>166634.53134900003</v>
      </c>
      <c r="R49" s="7">
        <f>+[5]Resumen!R49*1000</f>
        <v>175139.96093100001</v>
      </c>
      <c r="S49" s="7">
        <f>+[5]Resumen!S49*1000</f>
        <v>176266.703886</v>
      </c>
      <c r="T49" s="7">
        <f>+[5]Resumen!T49*1000</f>
        <v>171282.69728699999</v>
      </c>
      <c r="U49" s="7">
        <f>+[5]Resumen!U49*1000</f>
        <v>166599.46769700001</v>
      </c>
      <c r="V49" s="7">
        <f>+[5]Resumen!V49*1000</f>
        <v>162257.08948800003</v>
      </c>
      <c r="W49" s="7">
        <f>+[5]Resumen!W49*1000</f>
        <v>179504.71656000003</v>
      </c>
      <c r="X49" s="7">
        <f>+[5]Resumen!X49*1000</f>
        <v>198452.44961100002</v>
      </c>
      <c r="Y49" s="7">
        <f>+[5]Resumen!Y49*1000</f>
        <v>195594.11855099999</v>
      </c>
      <c r="Z49" s="7">
        <f>+[5]Resumen!Z49*1000</f>
        <v>183515.49613800002</v>
      </c>
      <c r="AA49" s="7">
        <f>+[5]Resumen!AA49*1000</f>
        <v>165606.49957799999</v>
      </c>
      <c r="AB49" s="7">
        <f>+[5]Resumen!AB49*1000</f>
        <v>143575.88973000002</v>
      </c>
      <c r="AC49" s="7">
        <f>+[5]Resumen!AC49*1000</f>
        <v>120093.23016600001</v>
      </c>
      <c r="AD49" s="7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3:56" ht="18.649999999999999" customHeight="1">
      <c r="C50" s="16"/>
      <c r="D50" s="5" t="s">
        <v>34</v>
      </c>
      <c r="E50" s="6">
        <v>2</v>
      </c>
      <c r="F50" s="7">
        <f>+[5]Resumen!F50*1000</f>
        <v>103858.09593900001</v>
      </c>
      <c r="G50" s="7">
        <f>+[5]Resumen!G50*1000</f>
        <v>92193.307751999993</v>
      </c>
      <c r="H50" s="7">
        <f>+[5]Resumen!H50*1000</f>
        <v>85210.291491000011</v>
      </c>
      <c r="I50" s="7">
        <f>+[5]Resumen!I50*1000</f>
        <v>82052.299446000005</v>
      </c>
      <c r="J50" s="7">
        <f>+[5]Resumen!J50*1000</f>
        <v>85865.443130999993</v>
      </c>
      <c r="K50" s="7">
        <f>+[5]Resumen!K50*1000</f>
        <v>92847.095679000005</v>
      </c>
      <c r="L50" s="7">
        <f>+[5]Resumen!L50*1000</f>
        <v>101966.170488</v>
      </c>
      <c r="M50" s="7">
        <f>+[5]Resumen!M50*1000</f>
        <v>101780.20160100001</v>
      </c>
      <c r="N50" s="7">
        <f>+[5]Resumen!N50*1000</f>
        <v>121255.72859400001</v>
      </c>
      <c r="O50" s="7">
        <f>+[5]Resumen!O50*1000</f>
        <v>136773.89426999999</v>
      </c>
      <c r="P50" s="7">
        <f>+[5]Resumen!P50*1000</f>
        <v>153381.191184</v>
      </c>
      <c r="Q50" s="7">
        <f>+[5]Resumen!Q50*1000</f>
        <v>169346.42696400001</v>
      </c>
      <c r="R50" s="7">
        <f>+[5]Resumen!R50*1000</f>
        <v>179900.70294299998</v>
      </c>
      <c r="S50" s="7">
        <f>+[5]Resumen!S50*1000</f>
        <v>179757.268236</v>
      </c>
      <c r="T50" s="7">
        <f>+[5]Resumen!T50*1000</f>
        <v>172552.51053300002</v>
      </c>
      <c r="U50" s="7">
        <f>+[5]Resumen!U50*1000</f>
        <v>167337.822912</v>
      </c>
      <c r="V50" s="7">
        <f>+[5]Resumen!V50*1000</f>
        <v>165151.469262</v>
      </c>
      <c r="W50" s="7">
        <f>+[5]Resumen!W50*1000</f>
        <v>184907.878428</v>
      </c>
      <c r="X50" s="7">
        <f>+[5]Resumen!X50*1000</f>
        <v>203796.75544800001</v>
      </c>
      <c r="Y50" s="7">
        <f>+[5]Resumen!Y50*1000</f>
        <v>201804.695313</v>
      </c>
      <c r="Z50" s="7">
        <f>+[5]Resumen!Z50*1000</f>
        <v>186122.92962899999</v>
      </c>
      <c r="AA50" s="7">
        <f>+[5]Resumen!AA50*1000</f>
        <v>163304.18477100003</v>
      </c>
      <c r="AB50" s="7">
        <f>+[5]Resumen!AB50*1000</f>
        <v>136295.57834100001</v>
      </c>
      <c r="AC50" s="7">
        <f>+[5]Resumen!AC50*1000</f>
        <v>111543.270657</v>
      </c>
      <c r="AD50" s="72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3:56" ht="18.649999999999999" customHeight="1">
      <c r="C51" s="14" t="s">
        <v>45</v>
      </c>
      <c r="D51" s="5" t="s">
        <v>31</v>
      </c>
      <c r="E51" s="6">
        <v>21</v>
      </c>
      <c r="F51" s="7">
        <f>+[5]Resumen!F51*1000</f>
        <v>127508.17333799999</v>
      </c>
      <c r="G51" s="7">
        <f>+[5]Resumen!G51*1000</f>
        <v>115026.267681</v>
      </c>
      <c r="H51" s="7">
        <f>+[5]Resumen!H51*1000</f>
        <v>108322.88660700001</v>
      </c>
      <c r="I51" s="7">
        <f>+[5]Resumen!I51*1000</f>
        <v>107415.18329100001</v>
      </c>
      <c r="J51" s="7">
        <f>+[5]Resumen!J51*1000</f>
        <v>121461.082704</v>
      </c>
      <c r="K51" s="7">
        <f>+[5]Resumen!K51*1000</f>
        <v>141277.028334</v>
      </c>
      <c r="L51" s="7">
        <f>+[5]Resumen!L51*1000</f>
        <v>166751.95871100001</v>
      </c>
      <c r="M51" s="7">
        <f>+[5]Resumen!M51*1000</f>
        <v>175435.724373</v>
      </c>
      <c r="N51" s="7">
        <f>+[5]Resumen!N51*1000</f>
        <v>196771.535259</v>
      </c>
      <c r="O51" s="7">
        <f>+[5]Resumen!O51*1000</f>
        <v>209397.56174999999</v>
      </c>
      <c r="P51" s="7">
        <f>+[5]Resumen!P51*1000</f>
        <v>224122.68418800001</v>
      </c>
      <c r="Q51" s="7">
        <f>+[5]Resumen!Q51*1000</f>
        <v>238131.330606</v>
      </c>
      <c r="R51" s="7">
        <f>+[5]Resumen!R51*1000</f>
        <v>243787.086855</v>
      </c>
      <c r="S51" s="7">
        <f>+[5]Resumen!S51*1000</f>
        <v>240070.33404900003</v>
      </c>
      <c r="T51" s="7">
        <f>+[5]Resumen!T51*1000</f>
        <v>240295.007901</v>
      </c>
      <c r="U51" s="7">
        <f>+[5]Resumen!U51*1000</f>
        <v>239357.72425500001</v>
      </c>
      <c r="V51" s="7">
        <f>+[5]Resumen!V51*1000</f>
        <v>233146.61795099999</v>
      </c>
      <c r="W51" s="7">
        <f>+[5]Resumen!W51*1000</f>
        <v>240261.470241</v>
      </c>
      <c r="X51" s="7">
        <f>+[5]Resumen!X51*1000</f>
        <v>265059.58900199999</v>
      </c>
      <c r="Y51" s="7">
        <f>+[5]Resumen!Y51*1000</f>
        <v>260783.89322700002</v>
      </c>
      <c r="Z51" s="7">
        <f>+[5]Resumen!Z51*1000</f>
        <v>243769.39559700002</v>
      </c>
      <c r="AA51" s="7">
        <f>+[5]Resumen!AA51*1000</f>
        <v>213880.194567</v>
      </c>
      <c r="AB51" s="7">
        <f>+[5]Resumen!AB51*1000</f>
        <v>184641.20278500003</v>
      </c>
      <c r="AC51" s="7">
        <f>+[5]Resumen!AC51*1000</f>
        <v>152448.36878699998</v>
      </c>
      <c r="AD51" s="70">
        <f t="shared" ref="AD51" si="7">SUM(F51:AC51)*E51+SUM(F52:AC52)*E52+SUM(F53:AC53)*E53+SUM(F54:AC54)*E54</f>
        <v>138832809.55225503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3:56" ht="18.649999999999999" customHeight="1">
      <c r="C52" s="15"/>
      <c r="D52" s="5" t="s">
        <v>32</v>
      </c>
      <c r="E52" s="6">
        <v>4</v>
      </c>
      <c r="F52" s="7">
        <f>+[5]Resumen!F52*1000</f>
        <v>139282.90412399999</v>
      </c>
      <c r="G52" s="7">
        <f>+[5]Resumen!G52*1000</f>
        <v>124650.45153600001</v>
      </c>
      <c r="H52" s="7">
        <f>+[5]Resumen!H52*1000</f>
        <v>116634.56360400001</v>
      </c>
      <c r="I52" s="7">
        <f>+[5]Resumen!I52*1000</f>
        <v>113616.16851</v>
      </c>
      <c r="J52" s="7">
        <f>+[5]Resumen!J52*1000</f>
        <v>119978.42204400001</v>
      </c>
      <c r="K52" s="7">
        <f>+[5]Resumen!K52*1000</f>
        <v>132398.20616100001</v>
      </c>
      <c r="L52" s="7">
        <f>+[5]Resumen!L52*1000</f>
        <v>153004.90034700002</v>
      </c>
      <c r="M52" s="7">
        <f>+[5]Resumen!M52*1000</f>
        <v>160762.741893</v>
      </c>
      <c r="N52" s="7">
        <f>+[5]Resumen!N52*1000</f>
        <v>184454.88371699999</v>
      </c>
      <c r="O52" s="7">
        <f>+[5]Resumen!O52*1000</f>
        <v>200364.14463000002</v>
      </c>
      <c r="P52" s="7">
        <f>+[5]Resumen!P52*1000</f>
        <v>213012.73359600003</v>
      </c>
      <c r="Q52" s="7">
        <f>+[5]Resumen!Q52*1000</f>
        <v>222087.40374600003</v>
      </c>
      <c r="R52" s="7">
        <f>+[5]Resumen!R52*1000</f>
        <v>223811.61812100004</v>
      </c>
      <c r="S52" s="7">
        <f>+[5]Resumen!S52*1000</f>
        <v>218276.711328</v>
      </c>
      <c r="T52" s="7">
        <f>+[5]Resumen!T52*1000</f>
        <v>211910.96737200001</v>
      </c>
      <c r="U52" s="7">
        <f>+[5]Resumen!U52*1000</f>
        <v>207310.11572700003</v>
      </c>
      <c r="V52" s="7">
        <f>+[5]Resumen!V52*1000</f>
        <v>202730.82726000002</v>
      </c>
      <c r="W52" s="7">
        <f>+[5]Resumen!W52*1000</f>
        <v>217255.00843800002</v>
      </c>
      <c r="X52" s="7">
        <f>+[5]Resumen!X52*1000</f>
        <v>238916.05206300001</v>
      </c>
      <c r="Y52" s="7">
        <f>+[5]Resumen!Y52*1000</f>
        <v>233829.15488399999</v>
      </c>
      <c r="Z52" s="7">
        <f>+[5]Resumen!Z52*1000</f>
        <v>216242.35331400001</v>
      </c>
      <c r="AA52" s="7">
        <f>+[5]Resumen!AA52*1000</f>
        <v>196678.156506</v>
      </c>
      <c r="AB52" s="7">
        <f>+[5]Resumen!AB52*1000</f>
        <v>175220.41145700001</v>
      </c>
      <c r="AC52" s="7">
        <f>+[5]Resumen!AC52*1000</f>
        <v>154653.58665899999</v>
      </c>
      <c r="AD52" s="7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3:56" ht="18.649999999999999" customHeight="1">
      <c r="C53" s="15"/>
      <c r="D53" s="5" t="s">
        <v>33</v>
      </c>
      <c r="E53" s="6">
        <v>4</v>
      </c>
      <c r="F53" s="7">
        <f>+[5]Resumen!F53*1000</f>
        <v>138363.58220100001</v>
      </c>
      <c r="G53" s="7">
        <f>+[5]Resumen!G53*1000</f>
        <v>123148.10671800001</v>
      </c>
      <c r="H53" s="7">
        <f>+[5]Resumen!H53*1000</f>
        <v>114530.61921600001</v>
      </c>
      <c r="I53" s="7">
        <f>+[5]Resumen!I53*1000</f>
        <v>109634.21765400001</v>
      </c>
      <c r="J53" s="7">
        <f>+[5]Resumen!J53*1000</f>
        <v>109834.646454</v>
      </c>
      <c r="K53" s="7">
        <f>+[5]Resumen!K53*1000</f>
        <v>114955.303359</v>
      </c>
      <c r="L53" s="7">
        <f>+[5]Resumen!L53*1000</f>
        <v>123821.627202</v>
      </c>
      <c r="M53" s="7">
        <f>+[5]Resumen!M53*1000</f>
        <v>122755.28904600001</v>
      </c>
      <c r="N53" s="7">
        <f>+[5]Resumen!N53*1000</f>
        <v>142176.75435599999</v>
      </c>
      <c r="O53" s="7">
        <f>+[5]Resumen!O53*1000</f>
        <v>158617.202835</v>
      </c>
      <c r="P53" s="7">
        <f>+[5]Resumen!P53*1000</f>
        <v>172042.49041199998</v>
      </c>
      <c r="Q53" s="7">
        <f>+[5]Resumen!Q53*1000</f>
        <v>184606.48077299999</v>
      </c>
      <c r="R53" s="7">
        <f>+[5]Resumen!R53*1000</f>
        <v>192549.52821000002</v>
      </c>
      <c r="S53" s="7">
        <f>+[5]Resumen!S53*1000</f>
        <v>193666.81058399999</v>
      </c>
      <c r="T53" s="7">
        <f>+[5]Resumen!T53*1000</f>
        <v>189123.61068899999</v>
      </c>
      <c r="U53" s="7">
        <f>+[5]Resumen!U53*1000</f>
        <v>186559.54554900003</v>
      </c>
      <c r="V53" s="7">
        <f>+[5]Resumen!V53*1000</f>
        <v>183145.69930800001</v>
      </c>
      <c r="W53" s="7">
        <f>+[5]Resumen!W53*1000</f>
        <v>196895.51356799999</v>
      </c>
      <c r="X53" s="7">
        <f>+[5]Resumen!X53*1000</f>
        <v>217498.26465900001</v>
      </c>
      <c r="Y53" s="7">
        <f>+[5]Resumen!Y53*1000</f>
        <v>217895.72009400002</v>
      </c>
      <c r="Z53" s="7">
        <f>+[5]Resumen!Z53*1000</f>
        <v>208775.694387</v>
      </c>
      <c r="AA53" s="7">
        <f>+[5]Resumen!AA53*1000</f>
        <v>192587.381922</v>
      </c>
      <c r="AB53" s="7">
        <f>+[5]Resumen!AB53*1000</f>
        <v>169965.680781</v>
      </c>
      <c r="AC53" s="7">
        <f>+[5]Resumen!AC53*1000</f>
        <v>145599.14444400001</v>
      </c>
      <c r="AD53" s="7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3:56" ht="18.649999999999999" customHeight="1">
      <c r="C54" s="16"/>
      <c r="D54" s="5" t="s">
        <v>34</v>
      </c>
      <c r="E54" s="6">
        <v>2</v>
      </c>
      <c r="F54" s="7">
        <f>+[5]Resumen!F54*1000</f>
        <v>135257.41979100002</v>
      </c>
      <c r="G54" s="7">
        <f>+[5]Resumen!G54*1000</f>
        <v>123437.18255700001</v>
      </c>
      <c r="H54" s="7">
        <f>+[5]Resumen!H54*1000</f>
        <v>114102.85461900001</v>
      </c>
      <c r="I54" s="7">
        <f>+[5]Resumen!I54*1000</f>
        <v>107726.41163700001</v>
      </c>
      <c r="J54" s="7">
        <f>+[5]Resumen!J54*1000</f>
        <v>106216.64469</v>
      </c>
      <c r="K54" s="7">
        <f>+[5]Resumen!K54*1000</f>
        <v>108102.844824</v>
      </c>
      <c r="L54" s="7">
        <f>+[5]Resumen!L54*1000</f>
        <v>111842.19996299999</v>
      </c>
      <c r="M54" s="7">
        <f>+[5]Resumen!M54*1000</f>
        <v>105988.08753</v>
      </c>
      <c r="N54" s="7">
        <f>+[5]Resumen!N54*1000</f>
        <v>120536.79846000001</v>
      </c>
      <c r="O54" s="7">
        <f>+[5]Resumen!O54*1000</f>
        <v>135303.495639</v>
      </c>
      <c r="P54" s="7">
        <f>+[5]Resumen!P54*1000</f>
        <v>149457.045816</v>
      </c>
      <c r="Q54" s="7">
        <f>+[5]Resumen!Q54*1000</f>
        <v>162939.10542000001</v>
      </c>
      <c r="R54" s="7">
        <f>+[5]Resumen!R54*1000</f>
        <v>173293.621644</v>
      </c>
      <c r="S54" s="7">
        <f>+[5]Resumen!S54*1000</f>
        <v>174887.39502</v>
      </c>
      <c r="T54" s="7">
        <f>+[5]Resumen!T54*1000</f>
        <v>171123.58984500001</v>
      </c>
      <c r="U54" s="7">
        <f>+[5]Resumen!U54*1000</f>
        <v>170321.134425</v>
      </c>
      <c r="V54" s="7">
        <f>+[5]Resumen!V54*1000</f>
        <v>168844.15068300001</v>
      </c>
      <c r="W54" s="7">
        <f>+[5]Resumen!W54*1000</f>
        <v>182546.80154100002</v>
      </c>
      <c r="X54" s="7">
        <f>+[5]Resumen!X54*1000</f>
        <v>206788.7133</v>
      </c>
      <c r="Y54" s="7">
        <f>+[5]Resumen!Y54*1000</f>
        <v>207111.053487</v>
      </c>
      <c r="Z54" s="7">
        <f>+[5]Resumen!Z54*1000</f>
        <v>196357.08608099999</v>
      </c>
      <c r="AA54" s="7">
        <f>+[5]Resumen!AA54*1000</f>
        <v>180225.813261</v>
      </c>
      <c r="AB54" s="7">
        <f>+[5]Resumen!AB54*1000</f>
        <v>159465.71132700003</v>
      </c>
      <c r="AC54" s="7">
        <f>+[5]Resumen!AC54*1000</f>
        <v>137082.640032</v>
      </c>
      <c r="AD54" s="72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3:56" ht="18.649999999999999" customHeight="1">
      <c r="Z55" s="50" t="s">
        <v>46</v>
      </c>
      <c r="AA55" s="53"/>
      <c r="AB55" s="51"/>
      <c r="AC55" s="52"/>
      <c r="AD55" s="17">
        <f>SUM(AD7:AD54)</f>
        <v>1570099960.3754396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3:56" ht="18.649999999999999" customHeight="1"/>
    <row r="57" spans="3:56">
      <c r="AD57" s="18"/>
    </row>
  </sheetData>
  <mergeCells count="15">
    <mergeCell ref="AD43:AD46"/>
    <mergeCell ref="AD47:AD50"/>
    <mergeCell ref="AD51:AD54"/>
    <mergeCell ref="AD19:AD22"/>
    <mergeCell ref="AD23:AD26"/>
    <mergeCell ref="AD27:AD30"/>
    <mergeCell ref="AD31:AD34"/>
    <mergeCell ref="AD35:AD38"/>
    <mergeCell ref="AD39:AD42"/>
    <mergeCell ref="AD15:AD18"/>
    <mergeCell ref="C2:AD2"/>
    <mergeCell ref="C3:AD3"/>
    <mergeCell ref="C4:AD4"/>
    <mergeCell ref="AD7:AD10"/>
    <mergeCell ref="AD11:AD14"/>
  </mergeCells>
  <pageMargins left="0.7" right="0.7" top="0.75" bottom="0.75" header="0.3" footer="0.3"/>
  <pageSetup paperSize="9" orientation="portrait" horizontalDpi="300" verticalDpi="300" r:id="rId1"/>
  <ignoredErrors>
    <ignoredError sqref="F7:AD54 F55:Y55 AB55:AD55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EEA0-0EA2-408B-AC87-BAB683AF2B22}">
  <sheetPr codeName="Hoja8"/>
  <dimension ref="A1:Y32"/>
  <sheetViews>
    <sheetView showGridLines="0" topLeftCell="A16" zoomScale="91" zoomScaleNormal="91" workbookViewId="0">
      <selection activeCell="A29" sqref="A29:A30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54296875" style="19" customWidth="1"/>
    <col min="6" max="6" width="12.453125" style="19" customWidth="1"/>
    <col min="7" max="7" width="16.54296875" style="19" bestFit="1" customWidth="1"/>
    <col min="8" max="8" width="12.453125" style="19" customWidth="1"/>
    <col min="9" max="20" width="14.5429687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80" t="s">
        <v>47</v>
      </c>
      <c r="C2" s="80"/>
      <c r="D2" s="80"/>
      <c r="E2" s="80"/>
      <c r="F2" s="80"/>
      <c r="G2" s="20"/>
      <c r="H2" s="20"/>
      <c r="I2" s="20"/>
    </row>
    <row r="3" spans="2:25" ht="13">
      <c r="B3" s="81" t="s">
        <v>48</v>
      </c>
      <c r="C3" s="81"/>
      <c r="D3" s="81"/>
      <c r="E3" s="81"/>
      <c r="F3" s="81"/>
      <c r="G3" s="20"/>
      <c r="H3" s="20"/>
      <c r="I3" s="20"/>
    </row>
    <row r="4" spans="2:25" ht="13">
      <c r="B4" s="81" t="s">
        <v>66</v>
      </c>
      <c r="C4" s="81"/>
      <c r="D4" s="81"/>
      <c r="E4" s="81"/>
      <c r="F4" s="81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82" t="s">
        <v>63</v>
      </c>
      <c r="C6" s="83"/>
      <c r="D6" s="83"/>
      <c r="E6" s="83"/>
      <c r="F6" s="84"/>
      <c r="G6" s="20"/>
      <c r="H6" s="22"/>
      <c r="I6" s="22"/>
      <c r="Y6" s="22"/>
    </row>
    <row r="7" spans="2:25" ht="18.75" customHeight="1" thickBot="1">
      <c r="B7" s="85" t="s">
        <v>49</v>
      </c>
      <c r="C7" s="87" t="s">
        <v>58</v>
      </c>
      <c r="D7" s="87"/>
      <c r="E7" s="87"/>
      <c r="F7" s="88"/>
      <c r="G7" s="22"/>
      <c r="H7" s="22"/>
      <c r="I7" s="22"/>
      <c r="Y7" s="22"/>
    </row>
    <row r="8" spans="2:25" ht="26.5" thickBot="1">
      <c r="B8" s="86"/>
      <c r="C8" s="23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8">
        <v>46023</v>
      </c>
      <c r="C9" s="58">
        <f>+'Cantidades 2026'!AD7</f>
        <v>112855801.36889398</v>
      </c>
      <c r="D9" s="59" t="s">
        <v>51</v>
      </c>
      <c r="E9" s="41"/>
      <c r="F9" s="77" t="s">
        <v>54</v>
      </c>
      <c r="G9" s="8"/>
    </row>
    <row r="10" spans="2:25" s="27" customFormat="1" ht="18" customHeight="1">
      <c r="B10" s="28">
        <v>46054</v>
      </c>
      <c r="C10" s="55">
        <f>+'Cantidades 2026'!AD11</f>
        <v>119791854.77680001</v>
      </c>
      <c r="D10" s="57" t="s">
        <v>51</v>
      </c>
      <c r="E10" s="42"/>
      <c r="F10" s="78"/>
      <c r="G10" s="8"/>
    </row>
    <row r="11" spans="2:25" s="27" customFormat="1" ht="18" customHeight="1">
      <c r="B11" s="28">
        <v>46082</v>
      </c>
      <c r="C11" s="55">
        <f>+'Cantidades 2026'!AD15</f>
        <v>125915502.95599601</v>
      </c>
      <c r="D11" s="57" t="s">
        <v>51</v>
      </c>
      <c r="E11" s="42"/>
      <c r="F11" s="78"/>
      <c r="G11" s="8"/>
    </row>
    <row r="12" spans="2:25" s="27" customFormat="1" ht="18" customHeight="1">
      <c r="B12" s="28">
        <v>46113</v>
      </c>
      <c r="C12" s="55">
        <f>+'Cantidades 2026'!AD19</f>
        <v>123107011.88197601</v>
      </c>
      <c r="D12" s="57" t="s">
        <v>51</v>
      </c>
      <c r="E12" s="42"/>
      <c r="F12" s="78"/>
      <c r="G12" s="8"/>
    </row>
    <row r="13" spans="2:25" s="27" customFormat="1" ht="18" customHeight="1">
      <c r="B13" s="28">
        <v>46143</v>
      </c>
      <c r="C13" s="55">
        <f>+'Cantidades 2026'!AD23</f>
        <v>61191884.857557997</v>
      </c>
      <c r="D13" s="57" t="s">
        <v>51</v>
      </c>
      <c r="E13" s="42"/>
      <c r="F13" s="78"/>
      <c r="G13" s="8"/>
    </row>
    <row r="14" spans="2:25" s="27" customFormat="1" ht="18" customHeight="1">
      <c r="B14" s="28">
        <v>46174</v>
      </c>
      <c r="C14" s="55">
        <f>+'Cantidades 2026'!AD27</f>
        <v>37597002.949298002</v>
      </c>
      <c r="D14" s="57" t="s">
        <v>51</v>
      </c>
      <c r="E14" s="42"/>
      <c r="F14" s="78"/>
      <c r="G14" s="8"/>
    </row>
    <row r="15" spans="2:25" s="27" customFormat="1" ht="18" customHeight="1">
      <c r="B15" s="28">
        <v>46204</v>
      </c>
      <c r="C15" s="55">
        <f>+'Cantidades 2026'!AD31</f>
        <v>56655222.471898004</v>
      </c>
      <c r="D15" s="57" t="s">
        <v>51</v>
      </c>
      <c r="E15" s="42"/>
      <c r="F15" s="78"/>
      <c r="G15" s="8"/>
    </row>
    <row r="16" spans="2:25" s="27" customFormat="1" ht="18" customHeight="1">
      <c r="B16" s="28">
        <v>46235</v>
      </c>
      <c r="C16" s="55">
        <f>+'Cantidades 2026'!AD35</f>
        <v>59386897.262898006</v>
      </c>
      <c r="D16" s="57" t="s">
        <v>51</v>
      </c>
      <c r="E16" s="42"/>
      <c r="F16" s="78"/>
      <c r="G16" s="8"/>
    </row>
    <row r="17" spans="1:7" s="27" customFormat="1" ht="18" customHeight="1">
      <c r="B17" s="28">
        <v>46266</v>
      </c>
      <c r="C17" s="55">
        <f>+'Cantidades 2026'!AD39</f>
        <v>113316017.019004</v>
      </c>
      <c r="D17" s="57" t="s">
        <v>51</v>
      </c>
      <c r="E17" s="42"/>
      <c r="F17" s="78"/>
      <c r="G17" s="8"/>
    </row>
    <row r="18" spans="1:7" s="27" customFormat="1" ht="18" customHeight="1">
      <c r="B18" s="28">
        <v>46296</v>
      </c>
      <c r="C18" s="55">
        <f>+'Cantidades 2026'!AD43</f>
        <v>105985379.13139598</v>
      </c>
      <c r="D18" s="57" t="s">
        <v>51</v>
      </c>
      <c r="E18" s="42"/>
      <c r="F18" s="78"/>
      <c r="G18" s="8"/>
    </row>
    <row r="19" spans="1:7" s="27" customFormat="1" ht="18" customHeight="1">
      <c r="B19" s="28">
        <v>46327</v>
      </c>
      <c r="C19" s="55">
        <f>+'Cantidades 2026'!AD47</f>
        <v>109202980.61271802</v>
      </c>
      <c r="D19" s="57" t="s">
        <v>51</v>
      </c>
      <c r="E19" s="42"/>
      <c r="F19" s="78"/>
      <c r="G19" s="8"/>
    </row>
    <row r="20" spans="1:7" s="27" customFormat="1" ht="18" customHeight="1">
      <c r="B20" s="28">
        <v>46357</v>
      </c>
      <c r="C20" s="55">
        <f>+'Cantidades 2026'!AD51</f>
        <v>122866258.17727402</v>
      </c>
      <c r="D20" s="57" t="s">
        <v>51</v>
      </c>
      <c r="E20" s="42"/>
      <c r="F20" s="78"/>
      <c r="G20" s="8"/>
    </row>
    <row r="21" spans="1:7" s="27" customFormat="1" ht="18" customHeight="1" thickBot="1">
      <c r="B21" s="31" t="s">
        <v>55</v>
      </c>
      <c r="C21" s="56">
        <f>SUM(C9:C20)</f>
        <v>1147871813.4657099</v>
      </c>
      <c r="D21" s="60" t="s">
        <v>51</v>
      </c>
      <c r="E21" s="43"/>
      <c r="F21" s="79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2"/>
      <c r="D23" s="33"/>
      <c r="E23" s="33"/>
      <c r="F23" s="27"/>
    </row>
    <row r="24" spans="1:7" ht="14.5">
      <c r="A24" s="34" t="s">
        <v>56</v>
      </c>
      <c r="B24" s="27"/>
      <c r="C24" s="54"/>
      <c r="D24" s="2"/>
      <c r="E24" s="35"/>
      <c r="F24" s="27"/>
    </row>
    <row r="25" spans="1:7" ht="14.5">
      <c r="A25" s="36" t="s">
        <v>71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70</v>
      </c>
      <c r="B27" s="27"/>
      <c r="C27" s="27"/>
      <c r="D27" s="27"/>
      <c r="E27" s="27"/>
      <c r="F27" s="27"/>
    </row>
    <row r="28" spans="1:7" ht="14.5">
      <c r="A28" s="36" t="s">
        <v>73</v>
      </c>
      <c r="B28" s="27"/>
      <c r="C28" s="27"/>
      <c r="D28" s="27"/>
      <c r="E28" s="27"/>
      <c r="F28" s="27"/>
    </row>
    <row r="29" spans="1:7" ht="14.5">
      <c r="A29" s="36" t="s">
        <v>76</v>
      </c>
      <c r="B29" s="27"/>
      <c r="C29" s="27"/>
      <c r="D29" s="27"/>
      <c r="E29" s="27"/>
      <c r="F29" s="27"/>
    </row>
    <row r="30" spans="1:7" ht="14.5">
      <c r="A30" s="36" t="s">
        <v>77</v>
      </c>
    </row>
    <row r="31" spans="1:7">
      <c r="A31" s="19" t="s">
        <v>69</v>
      </c>
    </row>
    <row r="32" spans="1:7">
      <c r="C32" s="37"/>
    </row>
  </sheetData>
  <mergeCells count="7"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20B4-37FE-479A-A93F-66F6F3BB6B0E}">
  <sheetPr codeName="Hoja9"/>
  <dimension ref="A1:Y31"/>
  <sheetViews>
    <sheetView showGridLines="0" topLeftCell="A18" zoomScale="91" zoomScaleNormal="91" workbookViewId="0">
      <selection activeCell="C32" sqref="C32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54296875" style="19" customWidth="1"/>
    <col min="6" max="6" width="12.453125" style="19" customWidth="1"/>
    <col min="7" max="7" width="16.54296875" style="19" bestFit="1" customWidth="1"/>
    <col min="8" max="8" width="12.453125" style="19" customWidth="1"/>
    <col min="9" max="20" width="14.5429687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80" t="s">
        <v>47</v>
      </c>
      <c r="C2" s="80"/>
      <c r="D2" s="80"/>
      <c r="E2" s="80"/>
      <c r="F2" s="80"/>
      <c r="G2" s="20"/>
      <c r="H2" s="20"/>
      <c r="I2" s="20"/>
    </row>
    <row r="3" spans="2:25" ht="13">
      <c r="B3" s="81" t="s">
        <v>48</v>
      </c>
      <c r="C3" s="81"/>
      <c r="D3" s="81"/>
      <c r="E3" s="81"/>
      <c r="F3" s="81"/>
      <c r="G3" s="20"/>
      <c r="H3" s="20"/>
      <c r="I3" s="20"/>
    </row>
    <row r="4" spans="2:25" ht="13">
      <c r="B4" s="81" t="s">
        <v>66</v>
      </c>
      <c r="C4" s="81"/>
      <c r="D4" s="81"/>
      <c r="E4" s="81"/>
      <c r="F4" s="81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82" t="s">
        <v>63</v>
      </c>
      <c r="C6" s="83"/>
      <c r="D6" s="83"/>
      <c r="E6" s="83"/>
      <c r="F6" s="84"/>
      <c r="G6" s="20"/>
      <c r="H6" s="22"/>
      <c r="I6" s="22"/>
      <c r="Y6" s="22"/>
    </row>
    <row r="7" spans="2:25" ht="18.75" customHeight="1" thickBot="1">
      <c r="B7" s="85" t="s">
        <v>49</v>
      </c>
      <c r="C7" s="87" t="s">
        <v>59</v>
      </c>
      <c r="D7" s="87"/>
      <c r="E7" s="87"/>
      <c r="F7" s="88"/>
      <c r="G7" s="22"/>
      <c r="H7" s="22"/>
      <c r="I7" s="22"/>
      <c r="Y7" s="22"/>
    </row>
    <row r="8" spans="2:25" ht="26.5" thickBot="1">
      <c r="B8" s="86"/>
      <c r="C8" s="46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66">
        <v>46388</v>
      </c>
      <c r="C9" s="64">
        <f>+'Cantidades 2027'!AD7</f>
        <v>97669209.629974008</v>
      </c>
      <c r="D9" s="61" t="s">
        <v>51</v>
      </c>
      <c r="E9" s="41"/>
      <c r="F9" s="77" t="s">
        <v>54</v>
      </c>
      <c r="G9" s="8"/>
    </row>
    <row r="10" spans="2:25" s="27" customFormat="1" ht="18" customHeight="1">
      <c r="B10" s="67">
        <v>46419</v>
      </c>
      <c r="C10" s="64">
        <f>+'Cantidades 2027'!AD11</f>
        <v>101854480.12795201</v>
      </c>
      <c r="D10" s="62" t="s">
        <v>51</v>
      </c>
      <c r="E10" s="42"/>
      <c r="F10" s="78"/>
      <c r="G10" s="8"/>
    </row>
    <row r="11" spans="2:25" s="27" customFormat="1" ht="18" customHeight="1">
      <c r="B11" s="67">
        <v>46447</v>
      </c>
      <c r="C11" s="64">
        <f>+'Cantidades 2027'!AD15</f>
        <v>106752884.69471002</v>
      </c>
      <c r="D11" s="62" t="s">
        <v>51</v>
      </c>
      <c r="E11" s="42"/>
      <c r="F11" s="78"/>
      <c r="G11" s="8"/>
    </row>
    <row r="12" spans="2:25" s="27" customFormat="1" ht="18" customHeight="1">
      <c r="B12" s="67">
        <v>46478</v>
      </c>
      <c r="C12" s="64">
        <f>+'Cantidades 2027'!AD19</f>
        <v>100538574.45505603</v>
      </c>
      <c r="D12" s="62" t="s">
        <v>51</v>
      </c>
      <c r="E12" s="42"/>
      <c r="F12" s="78"/>
      <c r="G12" s="8"/>
    </row>
    <row r="13" spans="2:25" s="27" customFormat="1" ht="18" customHeight="1">
      <c r="B13" s="67">
        <v>46508</v>
      </c>
      <c r="C13" s="64">
        <f>+'Cantidades 2027'!AD23</f>
        <v>87017545.539003983</v>
      </c>
      <c r="D13" s="62" t="s">
        <v>51</v>
      </c>
      <c r="E13" s="42"/>
      <c r="F13" s="78"/>
      <c r="G13" s="8"/>
    </row>
    <row r="14" spans="2:25" s="27" customFormat="1" ht="18" customHeight="1">
      <c r="B14" s="67">
        <v>46539</v>
      </c>
      <c r="C14" s="64">
        <f>+'Cantidades 2027'!AD27</f>
        <v>68081871.283483997</v>
      </c>
      <c r="D14" s="62" t="s">
        <v>51</v>
      </c>
      <c r="E14" s="42"/>
      <c r="F14" s="78"/>
      <c r="G14" s="8"/>
    </row>
    <row r="15" spans="2:25" s="27" customFormat="1" ht="18" customHeight="1">
      <c r="B15" s="67">
        <v>46569</v>
      </c>
      <c r="C15" s="64">
        <f>+'Cantidades 2027'!AD31</f>
        <v>66098677.588002004</v>
      </c>
      <c r="D15" s="62" t="s">
        <v>51</v>
      </c>
      <c r="E15" s="42"/>
      <c r="F15" s="78"/>
      <c r="G15" s="8"/>
    </row>
    <row r="16" spans="2:25" s="27" customFormat="1" ht="18" customHeight="1">
      <c r="B16" s="67">
        <v>46600</v>
      </c>
      <c r="C16" s="64">
        <f>+'Cantidades 2027'!AD35</f>
        <v>63760822.739264019</v>
      </c>
      <c r="D16" s="62" t="s">
        <v>51</v>
      </c>
      <c r="E16" s="42"/>
      <c r="F16" s="78"/>
      <c r="G16" s="8"/>
    </row>
    <row r="17" spans="1:7" s="27" customFormat="1" ht="18" customHeight="1">
      <c r="B17" s="67">
        <v>46631</v>
      </c>
      <c r="C17" s="64">
        <f>+'Cantidades 2027'!AD39</f>
        <v>78875476.843963996</v>
      </c>
      <c r="D17" s="62" t="s">
        <v>51</v>
      </c>
      <c r="E17" s="42"/>
      <c r="F17" s="78"/>
      <c r="G17" s="8"/>
    </row>
    <row r="18" spans="1:7" s="27" customFormat="1" ht="18" customHeight="1">
      <c r="B18" s="67">
        <v>46661</v>
      </c>
      <c r="C18" s="64">
        <f>+'Cantidades 2027'!AD43</f>
        <v>75208991.09094201</v>
      </c>
      <c r="D18" s="62" t="s">
        <v>51</v>
      </c>
      <c r="E18" s="42"/>
      <c r="F18" s="78"/>
      <c r="G18" s="8"/>
    </row>
    <row r="19" spans="1:7" s="27" customFormat="1" ht="18" customHeight="1">
      <c r="B19" s="67">
        <v>46692</v>
      </c>
      <c r="C19" s="64">
        <f>+'Cantidades 2027'!AD47</f>
        <v>76675513.684579998</v>
      </c>
      <c r="D19" s="62" t="s">
        <v>51</v>
      </c>
      <c r="E19" s="42"/>
      <c r="F19" s="78"/>
      <c r="G19" s="8"/>
    </row>
    <row r="20" spans="1:7" s="27" customFormat="1" ht="18" customHeight="1">
      <c r="B20" s="67">
        <v>46722</v>
      </c>
      <c r="C20" s="64">
        <f>+'Cantidades 2027'!AD51</f>
        <v>88919407.20551002</v>
      </c>
      <c r="D20" s="62" t="s">
        <v>51</v>
      </c>
      <c r="E20" s="42"/>
      <c r="F20" s="78"/>
      <c r="G20" s="8"/>
    </row>
    <row r="21" spans="1:7" s="27" customFormat="1" ht="18" customHeight="1" thickBot="1">
      <c r="B21" s="68" t="s">
        <v>55</v>
      </c>
      <c r="C21" s="65">
        <f>SUM(C9:C20)</f>
        <v>1011453454.882442</v>
      </c>
      <c r="D21" s="63" t="s">
        <v>51</v>
      </c>
      <c r="E21" s="43"/>
      <c r="F21" s="79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2">
        <f>+C21/1000</f>
        <v>1011453.454882442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65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70</v>
      </c>
      <c r="B27" s="27"/>
      <c r="C27" s="27"/>
      <c r="D27" s="27"/>
      <c r="E27" s="27"/>
      <c r="F27" s="27"/>
    </row>
    <row r="28" spans="1:7" ht="14.5">
      <c r="A28" s="36" t="s">
        <v>73</v>
      </c>
      <c r="B28" s="27"/>
      <c r="C28" s="27"/>
      <c r="D28" s="27"/>
      <c r="E28" s="27"/>
      <c r="F28" s="27"/>
    </row>
    <row r="29" spans="1:7" ht="14.5">
      <c r="A29" s="36" t="s">
        <v>76</v>
      </c>
      <c r="B29" s="27"/>
      <c r="C29" s="27"/>
      <c r="D29" s="27"/>
      <c r="E29" s="27"/>
      <c r="F29" s="27"/>
    </row>
    <row r="30" spans="1:7" ht="14.5">
      <c r="A30" s="36" t="s">
        <v>77</v>
      </c>
    </row>
    <row r="31" spans="1:7">
      <c r="C31" s="37"/>
    </row>
  </sheetData>
  <mergeCells count="7"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  <ignoredErrors>
    <ignoredError sqref="C9:C11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145D-97BE-414C-88E3-AD6C05BAF144}">
  <sheetPr codeName="Hoja11"/>
  <dimension ref="A1:Y30"/>
  <sheetViews>
    <sheetView showGridLines="0" topLeftCell="A18" zoomScale="91" zoomScaleNormal="91" workbookViewId="0">
      <selection activeCell="C34" sqref="C34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54296875" style="19" customWidth="1"/>
    <col min="6" max="6" width="12.453125" style="19" customWidth="1"/>
    <col min="7" max="7" width="16.54296875" style="19" bestFit="1" customWidth="1"/>
    <col min="8" max="8" width="12.453125" style="19" customWidth="1"/>
    <col min="9" max="20" width="14.5429687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80" t="s">
        <v>47</v>
      </c>
      <c r="C2" s="80"/>
      <c r="D2" s="80"/>
      <c r="E2" s="80"/>
      <c r="F2" s="80"/>
      <c r="G2" s="20"/>
      <c r="H2" s="20"/>
      <c r="I2" s="20"/>
    </row>
    <row r="3" spans="2:25" ht="13">
      <c r="B3" s="81" t="s">
        <v>48</v>
      </c>
      <c r="C3" s="81"/>
      <c r="D3" s="81"/>
      <c r="E3" s="81"/>
      <c r="F3" s="81"/>
      <c r="G3" s="20"/>
      <c r="H3" s="20"/>
      <c r="I3" s="20"/>
    </row>
    <row r="4" spans="2:25" ht="13">
      <c r="B4" s="81" t="s">
        <v>66</v>
      </c>
      <c r="C4" s="81"/>
      <c r="D4" s="81"/>
      <c r="E4" s="81"/>
      <c r="F4" s="81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82" t="s">
        <v>63</v>
      </c>
      <c r="C6" s="83"/>
      <c r="D6" s="83"/>
      <c r="E6" s="83"/>
      <c r="F6" s="84"/>
      <c r="G6" s="20"/>
      <c r="H6" s="22"/>
      <c r="I6" s="22"/>
      <c r="Y6" s="22"/>
    </row>
    <row r="7" spans="2:25" ht="18.75" customHeight="1" thickBot="1">
      <c r="B7" s="85" t="s">
        <v>49</v>
      </c>
      <c r="C7" s="87" t="s">
        <v>60</v>
      </c>
      <c r="D7" s="87"/>
      <c r="E7" s="87"/>
      <c r="F7" s="88"/>
      <c r="G7" s="22"/>
      <c r="H7" s="22"/>
      <c r="I7" s="22"/>
      <c r="Y7" s="22"/>
    </row>
    <row r="8" spans="2:25" ht="26.5" thickBot="1">
      <c r="B8" s="86"/>
      <c r="C8" s="23" t="s">
        <v>50</v>
      </c>
      <c r="D8" s="24" t="s">
        <v>51</v>
      </c>
      <c r="E8" s="25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8">
        <v>46753</v>
      </c>
      <c r="C9" s="29">
        <f>+'Cantidades 2028'!AD7</f>
        <v>101012460.26834399</v>
      </c>
      <c r="D9" s="89" t="s">
        <v>51</v>
      </c>
      <c r="E9" s="39"/>
      <c r="F9" s="77" t="s">
        <v>54</v>
      </c>
      <c r="G9" s="8"/>
    </row>
    <row r="10" spans="2:25" s="27" customFormat="1" ht="18" customHeight="1">
      <c r="B10" s="28">
        <v>46784</v>
      </c>
      <c r="C10" s="29">
        <f>+'Cantidades 2028'!AD11</f>
        <v>99445566.67509599</v>
      </c>
      <c r="D10" s="90"/>
      <c r="E10" s="30"/>
      <c r="F10" s="78"/>
      <c r="G10" s="8"/>
    </row>
    <row r="11" spans="2:25" s="27" customFormat="1" ht="18" customHeight="1">
      <c r="B11" s="28">
        <v>46813</v>
      </c>
      <c r="C11" s="29">
        <f>+'Cantidades 2028'!AD15</f>
        <v>110898007.21543199</v>
      </c>
      <c r="D11" s="90"/>
      <c r="E11" s="30"/>
      <c r="F11" s="78"/>
      <c r="G11" s="8"/>
    </row>
    <row r="12" spans="2:25" s="27" customFormat="1" ht="18" customHeight="1">
      <c r="B12" s="28">
        <v>46844</v>
      </c>
      <c r="C12" s="29">
        <f>+'Cantidades 2028'!AD19</f>
        <v>103856285.08497599</v>
      </c>
      <c r="D12" s="90"/>
      <c r="E12" s="30"/>
      <c r="F12" s="78"/>
      <c r="G12" s="8"/>
    </row>
    <row r="13" spans="2:25" s="27" customFormat="1" ht="18" customHeight="1">
      <c r="B13" s="28">
        <v>46874</v>
      </c>
      <c r="C13" s="29">
        <f>+'Cantidades 2028'!AD23</f>
        <v>109410044.71154398</v>
      </c>
      <c r="D13" s="90"/>
      <c r="E13" s="30"/>
      <c r="F13" s="78"/>
      <c r="G13" s="8"/>
    </row>
    <row r="14" spans="2:25" s="27" customFormat="1" ht="18" customHeight="1">
      <c r="B14" s="28">
        <v>46905</v>
      </c>
      <c r="C14" s="29">
        <f>+'Cantidades 2028'!AD27</f>
        <v>94806405.002112001</v>
      </c>
      <c r="D14" s="90"/>
      <c r="E14" s="30"/>
      <c r="F14" s="78"/>
      <c r="G14" s="8"/>
    </row>
    <row r="15" spans="2:25" s="27" customFormat="1" ht="18" customHeight="1">
      <c r="B15" s="28">
        <v>46935</v>
      </c>
      <c r="C15" s="29">
        <f>+'Cantidades 2028'!AD31</f>
        <v>94967898.335424006</v>
      </c>
      <c r="D15" s="90"/>
      <c r="E15" s="30"/>
      <c r="F15" s="78"/>
      <c r="G15" s="8"/>
    </row>
    <row r="16" spans="2:25" s="27" customFormat="1" ht="18" customHeight="1">
      <c r="B16" s="28">
        <v>46966</v>
      </c>
      <c r="C16" s="29">
        <f>+'Cantidades 2028'!AD35</f>
        <v>95790141.917328015</v>
      </c>
      <c r="D16" s="90"/>
      <c r="E16" s="30"/>
      <c r="F16" s="78"/>
      <c r="G16" s="8"/>
    </row>
    <row r="17" spans="1:7" s="27" customFormat="1" ht="18" customHeight="1">
      <c r="B17" s="28">
        <v>46997</v>
      </c>
      <c r="C17" s="29">
        <f>+'Cantidades 2028'!AD39</f>
        <v>91500865.830119997</v>
      </c>
      <c r="D17" s="90"/>
      <c r="E17" s="30"/>
      <c r="F17" s="78"/>
      <c r="G17" s="8"/>
    </row>
    <row r="18" spans="1:7" s="27" customFormat="1" ht="18" customHeight="1">
      <c r="B18" s="28">
        <v>47027</v>
      </c>
      <c r="C18" s="29">
        <f>+'Cantidades 2028'!AD43</f>
        <v>88525524.989232004</v>
      </c>
      <c r="D18" s="90"/>
      <c r="E18" s="30"/>
      <c r="F18" s="78"/>
      <c r="G18" s="8"/>
    </row>
    <row r="19" spans="1:7" s="27" customFormat="1" ht="18" customHeight="1">
      <c r="B19" s="28">
        <v>47058</v>
      </c>
      <c r="C19" s="29">
        <f>+'Cantidades 2028'!AD47</f>
        <v>90004301.602175981</v>
      </c>
      <c r="D19" s="90"/>
      <c r="E19" s="30"/>
      <c r="F19" s="78"/>
      <c r="G19" s="8"/>
    </row>
    <row r="20" spans="1:7" s="27" customFormat="1" ht="18" customHeight="1">
      <c r="B20" s="28">
        <v>47088</v>
      </c>
      <c r="C20" s="29">
        <f>+'Cantidades 2028'!AD51</f>
        <v>98808328.52167201</v>
      </c>
      <c r="D20" s="90"/>
      <c r="E20" s="30"/>
      <c r="F20" s="78"/>
      <c r="G20" s="8"/>
    </row>
    <row r="21" spans="1:7" s="27" customFormat="1" ht="18" customHeight="1" thickBot="1">
      <c r="B21" s="31" t="s">
        <v>55</v>
      </c>
      <c r="C21" s="49">
        <f>SUM(C9:C20)</f>
        <v>1179025830.153456</v>
      </c>
      <c r="D21" s="91"/>
      <c r="E21" s="32"/>
      <c r="F21" s="79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2">
        <f>+C21/1000</f>
        <v>1179025.830153456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65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67</v>
      </c>
      <c r="B27" s="27"/>
      <c r="C27" s="27"/>
      <c r="D27" s="27"/>
      <c r="E27" s="27"/>
      <c r="F27" s="27"/>
    </row>
    <row r="28" spans="1:7" ht="14.5">
      <c r="A28" s="36" t="s">
        <v>64</v>
      </c>
      <c r="B28" s="27"/>
      <c r="C28" s="27"/>
      <c r="D28" s="27"/>
      <c r="E28" s="27"/>
      <c r="F28" s="27"/>
    </row>
    <row r="30" spans="1:7">
      <c r="C30" s="37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ADC6-57AF-448D-8F62-AAA7AF0E5263}">
  <dimension ref="A1:Y30"/>
  <sheetViews>
    <sheetView showGridLines="0" zoomScale="91" zoomScaleNormal="91" workbookViewId="0">
      <selection activeCell="C31" sqref="C31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54296875" style="19" customWidth="1"/>
    <col min="6" max="6" width="12.453125" style="19" customWidth="1"/>
    <col min="7" max="7" width="16.54296875" style="19" bestFit="1" customWidth="1"/>
    <col min="8" max="8" width="18.54296875" style="19" bestFit="1" customWidth="1"/>
    <col min="9" max="20" width="14.5429687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80" t="s">
        <v>47</v>
      </c>
      <c r="C2" s="80"/>
      <c r="D2" s="80"/>
      <c r="E2" s="80"/>
      <c r="F2" s="80"/>
      <c r="G2" s="20"/>
      <c r="H2" s="20"/>
      <c r="I2" s="20"/>
    </row>
    <row r="3" spans="2:25" ht="13">
      <c r="B3" s="81" t="s">
        <v>48</v>
      </c>
      <c r="C3" s="81"/>
      <c r="D3" s="81"/>
      <c r="E3" s="81"/>
      <c r="F3" s="81"/>
      <c r="G3" s="20"/>
      <c r="H3" s="20"/>
      <c r="I3" s="20"/>
    </row>
    <row r="4" spans="2:25" ht="13">
      <c r="B4" s="81" t="s">
        <v>66</v>
      </c>
      <c r="C4" s="81"/>
      <c r="D4" s="81"/>
      <c r="E4" s="81"/>
      <c r="F4" s="81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82" t="s">
        <v>72</v>
      </c>
      <c r="C6" s="83"/>
      <c r="D6" s="83"/>
      <c r="E6" s="83"/>
      <c r="F6" s="84"/>
      <c r="G6" s="20"/>
      <c r="H6" s="22"/>
      <c r="I6" s="22"/>
      <c r="Y6" s="22"/>
    </row>
    <row r="7" spans="2:25" ht="18.75" customHeight="1" thickBot="1">
      <c r="B7" s="85" t="s">
        <v>49</v>
      </c>
      <c r="C7" s="87" t="s">
        <v>61</v>
      </c>
      <c r="D7" s="87"/>
      <c r="E7" s="87"/>
      <c r="F7" s="88"/>
      <c r="G7" s="22"/>
      <c r="H7" s="22"/>
      <c r="I7" s="22"/>
      <c r="Y7" s="22"/>
    </row>
    <row r="8" spans="2:25" ht="26.5" thickBot="1">
      <c r="B8" s="92"/>
      <c r="C8" s="46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8">
        <v>47119</v>
      </c>
      <c r="C9" s="44">
        <f>+'Cantidades 2029'!AD7</f>
        <v>100485238.48726001</v>
      </c>
      <c r="D9" s="89" t="s">
        <v>51</v>
      </c>
      <c r="E9" s="41"/>
      <c r="F9" s="77" t="s">
        <v>54</v>
      </c>
      <c r="G9" s="8"/>
    </row>
    <row r="10" spans="2:25" s="27" customFormat="1" ht="18" customHeight="1">
      <c r="B10" s="28">
        <v>47150</v>
      </c>
      <c r="C10" s="44">
        <f>+'Cantidades 2029'!AD11</f>
        <v>101309637.805728</v>
      </c>
      <c r="D10" s="90"/>
      <c r="E10" s="42"/>
      <c r="F10" s="78"/>
      <c r="G10" s="8"/>
    </row>
    <row r="11" spans="2:25" s="27" customFormat="1" ht="18" customHeight="1">
      <c r="B11" s="28">
        <v>47178</v>
      </c>
      <c r="C11" s="44">
        <f>+'Cantidades 2029'!AD15</f>
        <v>108852602.88969001</v>
      </c>
      <c r="D11" s="90"/>
      <c r="E11" s="42"/>
      <c r="F11" s="78"/>
      <c r="G11" s="8"/>
    </row>
    <row r="12" spans="2:25" s="27" customFormat="1" ht="18" customHeight="1">
      <c r="B12" s="28">
        <v>47209</v>
      </c>
      <c r="C12" s="45">
        <f>+'Cantidades 2029'!AD19</f>
        <v>103291501.47448</v>
      </c>
      <c r="D12" s="90"/>
      <c r="E12" s="42"/>
      <c r="F12" s="78"/>
      <c r="G12" s="8"/>
    </row>
    <row r="13" spans="2:25" s="27" customFormat="1" ht="18" customHeight="1">
      <c r="B13" s="28">
        <v>47239</v>
      </c>
      <c r="C13" s="44">
        <f>+'Cantidades 2029'!AD23</f>
        <v>107669892.86178403</v>
      </c>
      <c r="D13" s="90"/>
      <c r="E13" s="42"/>
      <c r="F13" s="78"/>
      <c r="G13" s="8"/>
    </row>
    <row r="14" spans="2:25" s="27" customFormat="1" ht="18" customHeight="1">
      <c r="B14" s="28">
        <v>47270</v>
      </c>
      <c r="C14" s="44">
        <f>+'Cantidades 2029'!AD27</f>
        <v>97804192.589092016</v>
      </c>
      <c r="D14" s="90"/>
      <c r="E14" s="42"/>
      <c r="F14" s="78"/>
      <c r="G14" s="8"/>
    </row>
    <row r="15" spans="2:25" s="27" customFormat="1" ht="18" customHeight="1">
      <c r="B15" s="28">
        <v>47300</v>
      </c>
      <c r="C15" s="44">
        <f>+'Cantidades 2029'!AD31</f>
        <v>108283860.31793001</v>
      </c>
      <c r="D15" s="90"/>
      <c r="E15" s="42"/>
      <c r="F15" s="78"/>
      <c r="G15" s="8"/>
      <c r="H15" s="47"/>
    </row>
    <row r="16" spans="2:25" s="27" customFormat="1" ht="18" customHeight="1">
      <c r="B16" s="28">
        <v>47331</v>
      </c>
      <c r="C16" s="44">
        <f>+'Cantidades 2029'!AD35</f>
        <v>108238947.93839601</v>
      </c>
      <c r="D16" s="90"/>
      <c r="E16" s="42"/>
      <c r="F16" s="78"/>
      <c r="G16" s="8"/>
      <c r="H16" s="18"/>
    </row>
    <row r="17" spans="1:7" s="27" customFormat="1" ht="18" customHeight="1">
      <c r="B17" s="28">
        <v>47362</v>
      </c>
      <c r="C17" s="44">
        <f>+'Cantidades 2029'!AD39</f>
        <v>104916982.55994999</v>
      </c>
      <c r="D17" s="90"/>
      <c r="E17" s="42"/>
      <c r="F17" s="78"/>
      <c r="G17" s="8"/>
    </row>
    <row r="18" spans="1:7" s="27" customFormat="1" ht="18" customHeight="1">
      <c r="B18" s="28">
        <v>47392</v>
      </c>
      <c r="C18" s="44">
        <f>+'Cantidades 2029'!AD43</f>
        <v>102866891.63832402</v>
      </c>
      <c r="D18" s="90"/>
      <c r="E18" s="42"/>
      <c r="F18" s="78"/>
      <c r="G18" s="8"/>
    </row>
    <row r="19" spans="1:7" s="27" customFormat="1" ht="18" customHeight="1">
      <c r="B19" s="28">
        <v>47423</v>
      </c>
      <c r="C19" s="44">
        <f>+'Cantidades 2029'!AD47</f>
        <v>101783483.30022401</v>
      </c>
      <c r="D19" s="90"/>
      <c r="E19" s="42"/>
      <c r="F19" s="78"/>
      <c r="G19" s="8"/>
    </row>
    <row r="20" spans="1:7" s="27" customFormat="1" ht="18" customHeight="1">
      <c r="B20" s="28">
        <v>47453</v>
      </c>
      <c r="C20" s="44">
        <f>+'Cantidades 2029'!AD51</f>
        <v>107807338.50689001</v>
      </c>
      <c r="D20" s="90"/>
      <c r="E20" s="42"/>
      <c r="F20" s="78"/>
      <c r="G20" s="8"/>
    </row>
    <row r="21" spans="1:7" s="27" customFormat="1" ht="18" customHeight="1" thickBot="1">
      <c r="B21" s="31" t="s">
        <v>55</v>
      </c>
      <c r="C21" s="48">
        <f>SUM(C9:C20)</f>
        <v>1253310570.3697481</v>
      </c>
      <c r="D21" s="91"/>
      <c r="E21" s="43"/>
      <c r="F21" s="79"/>
      <c r="G21" s="8"/>
    </row>
    <row r="22" spans="1:7">
      <c r="B22" s="27"/>
      <c r="C22" s="2"/>
      <c r="D22" s="27"/>
      <c r="E22" s="27"/>
      <c r="F22" s="27"/>
    </row>
    <row r="23" spans="1:7">
      <c r="B23" s="27"/>
      <c r="C23" s="2">
        <f>+C21/1000</f>
        <v>1253310.5703697482</v>
      </c>
      <c r="D23" s="33"/>
      <c r="E23" s="33"/>
      <c r="F23" s="27"/>
    </row>
    <row r="24" spans="1:7" ht="14.5">
      <c r="A24" s="34" t="s">
        <v>56</v>
      </c>
      <c r="B24" s="27"/>
      <c r="C24" s="27"/>
      <c r="D24" s="2"/>
      <c r="E24" s="35"/>
      <c r="F24" s="27"/>
    </row>
    <row r="25" spans="1:7" ht="14.5">
      <c r="A25" s="36" t="s">
        <v>65</v>
      </c>
      <c r="B25" s="27"/>
      <c r="C25" s="27"/>
      <c r="D25" s="27"/>
      <c r="E25" s="27"/>
      <c r="F25" s="27"/>
    </row>
    <row r="26" spans="1:7" ht="14.5">
      <c r="A26" s="36" t="s">
        <v>57</v>
      </c>
      <c r="B26" s="27"/>
      <c r="C26" s="27"/>
      <c r="D26" s="27"/>
      <c r="E26" s="27"/>
      <c r="F26" s="27"/>
    </row>
    <row r="27" spans="1:7" ht="14.5">
      <c r="A27" s="36" t="s">
        <v>67</v>
      </c>
      <c r="B27" s="27"/>
      <c r="C27" s="27"/>
      <c r="D27" s="27"/>
      <c r="E27" s="27"/>
      <c r="F27" s="27"/>
    </row>
    <row r="28" spans="1:7" ht="14.5">
      <c r="A28" s="36" t="s">
        <v>64</v>
      </c>
      <c r="B28" s="27"/>
      <c r="C28" s="27"/>
      <c r="D28" s="27"/>
      <c r="E28" s="27"/>
      <c r="F28" s="27"/>
    </row>
    <row r="29" spans="1:7" ht="14.5">
      <c r="A29" s="36" t="s">
        <v>74</v>
      </c>
    </row>
    <row r="30" spans="1:7">
      <c r="C30" s="37"/>
    </row>
  </sheetData>
  <mergeCells count="8">
    <mergeCell ref="F9:F21"/>
    <mergeCell ref="B2:F2"/>
    <mergeCell ref="B3:F3"/>
    <mergeCell ref="B4:F4"/>
    <mergeCell ref="B6:F6"/>
    <mergeCell ref="B7:B8"/>
    <mergeCell ref="C7:F7"/>
    <mergeCell ref="D9:D21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9DD6-90C1-45E7-8D8C-D18A7F715AFB}">
  <dimension ref="A1:Y30"/>
  <sheetViews>
    <sheetView showGridLines="0" topLeftCell="A21" zoomScale="91" zoomScaleNormal="91" workbookViewId="0">
      <selection activeCell="E38" sqref="E38"/>
    </sheetView>
  </sheetViews>
  <sheetFormatPr baseColWidth="10" defaultColWidth="11.453125" defaultRowHeight="12.5"/>
  <cols>
    <col min="1" max="1" width="11.453125" style="19"/>
    <col min="2" max="2" width="13.90625" style="19" customWidth="1"/>
    <col min="3" max="3" width="20.453125" style="19" customWidth="1"/>
    <col min="4" max="4" width="15.453125" style="19" bestFit="1" customWidth="1"/>
    <col min="5" max="5" width="14.54296875" style="19" customWidth="1"/>
    <col min="6" max="6" width="12.453125" style="19" customWidth="1"/>
    <col min="7" max="7" width="16.54296875" style="19" bestFit="1" customWidth="1"/>
    <col min="8" max="8" width="18.54296875" style="19" bestFit="1" customWidth="1"/>
    <col min="9" max="20" width="14.54296875" style="19" customWidth="1"/>
    <col min="21" max="24" width="17" style="19" customWidth="1"/>
    <col min="25" max="16384" width="11.453125" style="19"/>
  </cols>
  <sheetData>
    <row r="1" spans="2:25" ht="15" customHeight="1"/>
    <row r="2" spans="2:25" ht="13">
      <c r="B2" s="80" t="s">
        <v>47</v>
      </c>
      <c r="C2" s="80"/>
      <c r="D2" s="80"/>
      <c r="E2" s="80"/>
      <c r="F2" s="80"/>
      <c r="G2" s="20"/>
      <c r="H2" s="20"/>
      <c r="I2" s="20"/>
    </row>
    <row r="3" spans="2:25" ht="13">
      <c r="B3" s="81" t="s">
        <v>48</v>
      </c>
      <c r="C3" s="81"/>
      <c r="D3" s="81"/>
      <c r="E3" s="81"/>
      <c r="F3" s="81"/>
      <c r="G3" s="20"/>
      <c r="H3" s="20"/>
      <c r="I3" s="20"/>
    </row>
    <row r="4" spans="2:25" ht="13">
      <c r="B4" s="81" t="s">
        <v>66</v>
      </c>
      <c r="C4" s="81"/>
      <c r="D4" s="81"/>
      <c r="E4" s="81"/>
      <c r="F4" s="81"/>
      <c r="G4" s="20"/>
      <c r="H4" s="20"/>
      <c r="I4" s="20"/>
    </row>
    <row r="5" spans="2:25" ht="13.5" thickBot="1">
      <c r="B5" s="21"/>
      <c r="C5" s="21"/>
      <c r="D5" s="21"/>
      <c r="E5" s="21"/>
      <c r="F5" s="21"/>
      <c r="G5" s="20"/>
      <c r="H5" s="22"/>
      <c r="I5" s="22"/>
      <c r="Y5" s="22"/>
    </row>
    <row r="6" spans="2:25" ht="18" customHeight="1" thickBot="1">
      <c r="B6" s="82" t="s">
        <v>72</v>
      </c>
      <c r="C6" s="83"/>
      <c r="D6" s="83"/>
      <c r="E6" s="83"/>
      <c r="F6" s="84"/>
      <c r="G6" s="20"/>
      <c r="H6" s="22"/>
      <c r="I6" s="22"/>
      <c r="Y6" s="22"/>
    </row>
    <row r="7" spans="2:25" ht="18.75" customHeight="1" thickBot="1">
      <c r="B7" s="85" t="s">
        <v>49</v>
      </c>
      <c r="C7" s="87" t="s">
        <v>62</v>
      </c>
      <c r="D7" s="87"/>
      <c r="E7" s="87"/>
      <c r="F7" s="88"/>
      <c r="G7" s="22"/>
      <c r="H7" s="22"/>
      <c r="I7" s="22"/>
      <c r="Y7" s="22"/>
    </row>
    <row r="8" spans="2:25" ht="26.5" thickBot="1">
      <c r="B8" s="92"/>
      <c r="C8" s="46" t="s">
        <v>50</v>
      </c>
      <c r="D8" s="23" t="s">
        <v>51</v>
      </c>
      <c r="E8" s="24" t="s">
        <v>52</v>
      </c>
      <c r="F8" s="26" t="s">
        <v>53</v>
      </c>
      <c r="G8" s="22"/>
      <c r="H8" s="22"/>
      <c r="I8" s="22"/>
      <c r="Y8" s="22"/>
    </row>
    <row r="9" spans="2:25" s="27" customFormat="1" ht="18" customHeight="1">
      <c r="B9" s="38">
        <v>47484</v>
      </c>
      <c r="C9" s="44">
        <f>+'Cantidades 2030'!AD7</f>
        <v>131385310.94379598</v>
      </c>
      <c r="D9" s="89" t="s">
        <v>51</v>
      </c>
      <c r="E9" s="41"/>
      <c r="F9" s="77" t="s">
        <v>54</v>
      </c>
      <c r="G9" s="8"/>
    </row>
    <row r="10" spans="2:25" s="27" customFormat="1" ht="18" customHeight="1">
      <c r="B10" s="28">
        <v>47515</v>
      </c>
      <c r="C10" s="44">
        <f>+'Cantidades 2030'!AD11</f>
        <v>129401572.270932</v>
      </c>
      <c r="D10" s="90"/>
      <c r="E10" s="42"/>
      <c r="F10" s="78"/>
      <c r="G10" s="8"/>
    </row>
    <row r="11" spans="2:25" s="27" customFormat="1" ht="18" customHeight="1">
      <c r="B11" s="28">
        <v>47543</v>
      </c>
      <c r="C11" s="44">
        <f>+'Cantidades 2030'!AD15</f>
        <v>139630444.61406299</v>
      </c>
      <c r="D11" s="90"/>
      <c r="E11" s="42"/>
      <c r="F11" s="78"/>
      <c r="G11" s="8"/>
    </row>
    <row r="12" spans="2:25" s="27" customFormat="1" ht="18" customHeight="1">
      <c r="B12" s="28">
        <v>47574</v>
      </c>
      <c r="C12" s="45">
        <f>+'Cantidades 2030'!AD19</f>
        <v>133721199.721434</v>
      </c>
      <c r="D12" s="90"/>
      <c r="E12" s="42"/>
      <c r="F12" s="78"/>
      <c r="G12" s="8"/>
    </row>
    <row r="13" spans="2:25" s="27" customFormat="1" ht="18" customHeight="1">
      <c r="B13" s="28">
        <v>47604</v>
      </c>
      <c r="C13" s="44">
        <f>+'Cantidades 2030'!AD23</f>
        <v>131728707.03318301</v>
      </c>
      <c r="D13" s="90"/>
      <c r="E13" s="42"/>
      <c r="F13" s="78"/>
      <c r="G13" s="8"/>
    </row>
    <row r="14" spans="2:25" s="27" customFormat="1" ht="18" customHeight="1">
      <c r="B14" s="28">
        <v>47635</v>
      </c>
      <c r="C14" s="44">
        <f>+'Cantidades 2030'!AD27</f>
        <v>122034248.51346299</v>
      </c>
      <c r="D14" s="90"/>
      <c r="E14" s="42"/>
      <c r="F14" s="78"/>
      <c r="G14" s="8"/>
    </row>
    <row r="15" spans="2:25" s="27" customFormat="1" ht="18" customHeight="1">
      <c r="B15" s="28">
        <v>47665</v>
      </c>
      <c r="C15" s="44">
        <f>+'Cantidades 2030'!AD31</f>
        <v>135876875.99553603</v>
      </c>
      <c r="D15" s="90"/>
      <c r="E15" s="42"/>
      <c r="F15" s="78"/>
      <c r="G15" s="8"/>
      <c r="H15" s="47"/>
    </row>
    <row r="16" spans="2:25" s="27" customFormat="1" ht="18" customHeight="1">
      <c r="B16" s="28">
        <v>47696</v>
      </c>
      <c r="C16" s="44">
        <f>+'Cantidades 2030'!AD35</f>
        <v>135649164.326208</v>
      </c>
      <c r="D16" s="90"/>
      <c r="E16" s="42"/>
      <c r="F16" s="78"/>
      <c r="G16" s="8"/>
      <c r="H16" s="18"/>
    </row>
    <row r="17" spans="1:8" s="27" customFormat="1" ht="18" customHeight="1">
      <c r="B17" s="28">
        <v>47727</v>
      </c>
      <c r="C17" s="44">
        <f>+'Cantidades 2030'!AD39</f>
        <v>125276557.41010801</v>
      </c>
      <c r="D17" s="90"/>
      <c r="E17" s="42"/>
      <c r="F17" s="78"/>
      <c r="G17" s="8"/>
    </row>
    <row r="18" spans="1:8" s="27" customFormat="1" ht="18" customHeight="1">
      <c r="B18" s="28">
        <v>47757</v>
      </c>
      <c r="C18" s="44">
        <f>+'Cantidades 2030'!AD43</f>
        <v>124175380.38983999</v>
      </c>
      <c r="D18" s="90"/>
      <c r="E18" s="42"/>
      <c r="F18" s="78"/>
      <c r="G18" s="8"/>
    </row>
    <row r="19" spans="1:8" s="27" customFormat="1" ht="18" customHeight="1">
      <c r="B19" s="28">
        <v>47788</v>
      </c>
      <c r="C19" s="44">
        <f>+'Cantidades 2030'!AD47</f>
        <v>122387689.60462199</v>
      </c>
      <c r="D19" s="90"/>
      <c r="E19" s="42"/>
      <c r="F19" s="78"/>
      <c r="G19" s="8"/>
    </row>
    <row r="20" spans="1:8" s="27" customFormat="1" ht="18" customHeight="1">
      <c r="B20" s="28">
        <v>47818</v>
      </c>
      <c r="C20" s="44">
        <f>+'Cantidades 2030'!AD51</f>
        <v>138832809.55225503</v>
      </c>
      <c r="D20" s="90"/>
      <c r="E20" s="42"/>
      <c r="F20" s="78"/>
      <c r="G20" s="8"/>
    </row>
    <row r="21" spans="1:8" s="27" customFormat="1" ht="18" customHeight="1" thickBot="1">
      <c r="B21" s="31" t="s">
        <v>55</v>
      </c>
      <c r="C21" s="48">
        <f>SUM(C9:C20)</f>
        <v>1570099960.3754396</v>
      </c>
      <c r="D21" s="91"/>
      <c r="E21" s="43"/>
      <c r="F21" s="79"/>
      <c r="G21" s="8"/>
      <c r="H21" s="69"/>
    </row>
    <row r="22" spans="1:8">
      <c r="B22" s="27"/>
      <c r="C22" s="2"/>
      <c r="D22" s="27"/>
      <c r="E22" s="27"/>
      <c r="F22" s="27"/>
    </row>
    <row r="23" spans="1:8">
      <c r="B23" s="27"/>
      <c r="C23" s="2"/>
      <c r="D23" s="33"/>
      <c r="E23" s="33"/>
      <c r="F23" s="27"/>
    </row>
    <row r="24" spans="1:8" ht="14.5">
      <c r="A24" s="34" t="s">
        <v>56</v>
      </c>
      <c r="B24" s="27"/>
      <c r="C24" s="27"/>
      <c r="D24" s="2"/>
      <c r="E24" s="35"/>
      <c r="F24" s="27"/>
    </row>
    <row r="25" spans="1:8" ht="14.5">
      <c r="A25" s="36" t="s">
        <v>65</v>
      </c>
      <c r="B25" s="27"/>
      <c r="C25" s="27"/>
      <c r="D25" s="27"/>
      <c r="E25" s="27"/>
      <c r="F25" s="27"/>
    </row>
    <row r="26" spans="1:8" ht="14.5">
      <c r="A26" s="36" t="s">
        <v>57</v>
      </c>
      <c r="B26" s="27"/>
      <c r="C26" s="27"/>
      <c r="D26" s="27"/>
      <c r="E26" s="27"/>
      <c r="F26" s="27"/>
    </row>
    <row r="27" spans="1:8" ht="14.5">
      <c r="A27" s="36" t="s">
        <v>67</v>
      </c>
      <c r="B27" s="27"/>
      <c r="C27" s="27"/>
      <c r="D27" s="27"/>
      <c r="E27" s="27"/>
      <c r="F27" s="27"/>
    </row>
    <row r="28" spans="1:8" ht="14.5">
      <c r="A28" s="36" t="s">
        <v>64</v>
      </c>
      <c r="B28" s="27"/>
      <c r="C28" s="27"/>
      <c r="D28" s="27"/>
      <c r="E28" s="27"/>
      <c r="F28" s="27"/>
    </row>
    <row r="29" spans="1:8" ht="14.5">
      <c r="A29" s="36" t="s">
        <v>75</v>
      </c>
    </row>
    <row r="30" spans="1:8">
      <c r="C30" s="37"/>
    </row>
  </sheetData>
  <mergeCells count="8">
    <mergeCell ref="D9:D21"/>
    <mergeCell ref="F9:F21"/>
    <mergeCell ref="B2:F2"/>
    <mergeCell ref="B3:F3"/>
    <mergeCell ref="B4:F4"/>
    <mergeCell ref="B6:F6"/>
    <mergeCell ref="B7:B8"/>
    <mergeCell ref="C7:F7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A101-19D7-4454-8824-90C5A134004E}">
  <sheetPr codeName="Hoja13"/>
  <dimension ref="C1:AD56"/>
  <sheetViews>
    <sheetView showGridLines="0" topLeftCell="A11" zoomScale="57" zoomScaleNormal="57" workbookViewId="0">
      <selection activeCell="W15" sqref="W15"/>
    </sheetView>
  </sheetViews>
  <sheetFormatPr baseColWidth="10" defaultColWidth="11.453125" defaultRowHeight="12.5"/>
  <cols>
    <col min="1" max="2" width="11.453125" style="1"/>
    <col min="3" max="3" width="7" style="1" customWidth="1"/>
    <col min="4" max="4" width="10.54296875" style="1" customWidth="1"/>
    <col min="5" max="5" width="9.453125" style="1" customWidth="1"/>
    <col min="6" max="7" width="10.90625" style="1" bestFit="1" customWidth="1"/>
    <col min="8" max="8" width="10.54296875" style="1" bestFit="1" customWidth="1"/>
    <col min="9" max="12" width="10.90625" style="1" bestFit="1" customWidth="1"/>
    <col min="13" max="28" width="11.453125" style="1" bestFit="1" customWidth="1"/>
    <col min="29" max="29" width="10.90625" style="1" bestFit="1" customWidth="1"/>
    <col min="30" max="30" width="19.54296875" style="1" bestFit="1" customWidth="1"/>
    <col min="31" max="258" width="11.453125" style="1"/>
    <col min="259" max="259" width="7" style="1" customWidth="1"/>
    <col min="260" max="260" width="10.54296875" style="1" customWidth="1"/>
    <col min="261" max="261" width="9.453125" style="1" customWidth="1"/>
    <col min="262" max="285" width="7.453125" style="1" customWidth="1"/>
    <col min="286" max="286" width="14.453125" style="1" bestFit="1" customWidth="1"/>
    <col min="287" max="514" width="11.453125" style="1"/>
    <col min="515" max="515" width="7" style="1" customWidth="1"/>
    <col min="516" max="516" width="10.54296875" style="1" customWidth="1"/>
    <col min="517" max="517" width="9.453125" style="1" customWidth="1"/>
    <col min="518" max="541" width="7.453125" style="1" customWidth="1"/>
    <col min="542" max="542" width="14.453125" style="1" bestFit="1" customWidth="1"/>
    <col min="543" max="770" width="11.453125" style="1"/>
    <col min="771" max="771" width="7" style="1" customWidth="1"/>
    <col min="772" max="772" width="10.54296875" style="1" customWidth="1"/>
    <col min="773" max="773" width="9.453125" style="1" customWidth="1"/>
    <col min="774" max="797" width="7.453125" style="1" customWidth="1"/>
    <col min="798" max="798" width="14.453125" style="1" bestFit="1" customWidth="1"/>
    <col min="799" max="1026" width="11.453125" style="1"/>
    <col min="1027" max="1027" width="7" style="1" customWidth="1"/>
    <col min="1028" max="1028" width="10.54296875" style="1" customWidth="1"/>
    <col min="1029" max="1029" width="9.453125" style="1" customWidth="1"/>
    <col min="1030" max="1053" width="7.453125" style="1" customWidth="1"/>
    <col min="1054" max="1054" width="14.453125" style="1" bestFit="1" customWidth="1"/>
    <col min="1055" max="1282" width="11.453125" style="1"/>
    <col min="1283" max="1283" width="7" style="1" customWidth="1"/>
    <col min="1284" max="1284" width="10.54296875" style="1" customWidth="1"/>
    <col min="1285" max="1285" width="9.453125" style="1" customWidth="1"/>
    <col min="1286" max="1309" width="7.453125" style="1" customWidth="1"/>
    <col min="1310" max="1310" width="14.453125" style="1" bestFit="1" customWidth="1"/>
    <col min="1311" max="1538" width="11.453125" style="1"/>
    <col min="1539" max="1539" width="7" style="1" customWidth="1"/>
    <col min="1540" max="1540" width="10.54296875" style="1" customWidth="1"/>
    <col min="1541" max="1541" width="9.453125" style="1" customWidth="1"/>
    <col min="1542" max="1565" width="7.453125" style="1" customWidth="1"/>
    <col min="1566" max="1566" width="14.453125" style="1" bestFit="1" customWidth="1"/>
    <col min="1567" max="1794" width="11.453125" style="1"/>
    <col min="1795" max="1795" width="7" style="1" customWidth="1"/>
    <col min="1796" max="1796" width="10.54296875" style="1" customWidth="1"/>
    <col min="1797" max="1797" width="9.453125" style="1" customWidth="1"/>
    <col min="1798" max="1821" width="7.453125" style="1" customWidth="1"/>
    <col min="1822" max="1822" width="14.453125" style="1" bestFit="1" customWidth="1"/>
    <col min="1823" max="2050" width="11.453125" style="1"/>
    <col min="2051" max="2051" width="7" style="1" customWidth="1"/>
    <col min="2052" max="2052" width="10.54296875" style="1" customWidth="1"/>
    <col min="2053" max="2053" width="9.453125" style="1" customWidth="1"/>
    <col min="2054" max="2077" width="7.453125" style="1" customWidth="1"/>
    <col min="2078" max="2078" width="14.453125" style="1" bestFit="1" customWidth="1"/>
    <col min="2079" max="2306" width="11.453125" style="1"/>
    <col min="2307" max="2307" width="7" style="1" customWidth="1"/>
    <col min="2308" max="2308" width="10.54296875" style="1" customWidth="1"/>
    <col min="2309" max="2309" width="9.453125" style="1" customWidth="1"/>
    <col min="2310" max="2333" width="7.453125" style="1" customWidth="1"/>
    <col min="2334" max="2334" width="14.453125" style="1" bestFit="1" customWidth="1"/>
    <col min="2335" max="2562" width="11.453125" style="1"/>
    <col min="2563" max="2563" width="7" style="1" customWidth="1"/>
    <col min="2564" max="2564" width="10.54296875" style="1" customWidth="1"/>
    <col min="2565" max="2565" width="9.453125" style="1" customWidth="1"/>
    <col min="2566" max="2589" width="7.453125" style="1" customWidth="1"/>
    <col min="2590" max="2590" width="14.453125" style="1" bestFit="1" customWidth="1"/>
    <col min="2591" max="2818" width="11.453125" style="1"/>
    <col min="2819" max="2819" width="7" style="1" customWidth="1"/>
    <col min="2820" max="2820" width="10.54296875" style="1" customWidth="1"/>
    <col min="2821" max="2821" width="9.453125" style="1" customWidth="1"/>
    <col min="2822" max="2845" width="7.453125" style="1" customWidth="1"/>
    <col min="2846" max="2846" width="14.453125" style="1" bestFit="1" customWidth="1"/>
    <col min="2847" max="3074" width="11.453125" style="1"/>
    <col min="3075" max="3075" width="7" style="1" customWidth="1"/>
    <col min="3076" max="3076" width="10.54296875" style="1" customWidth="1"/>
    <col min="3077" max="3077" width="9.453125" style="1" customWidth="1"/>
    <col min="3078" max="3101" width="7.453125" style="1" customWidth="1"/>
    <col min="3102" max="3102" width="14.453125" style="1" bestFit="1" customWidth="1"/>
    <col min="3103" max="3330" width="11.453125" style="1"/>
    <col min="3331" max="3331" width="7" style="1" customWidth="1"/>
    <col min="3332" max="3332" width="10.54296875" style="1" customWidth="1"/>
    <col min="3333" max="3333" width="9.453125" style="1" customWidth="1"/>
    <col min="3334" max="3357" width="7.453125" style="1" customWidth="1"/>
    <col min="3358" max="3358" width="14.453125" style="1" bestFit="1" customWidth="1"/>
    <col min="3359" max="3586" width="11.453125" style="1"/>
    <col min="3587" max="3587" width="7" style="1" customWidth="1"/>
    <col min="3588" max="3588" width="10.54296875" style="1" customWidth="1"/>
    <col min="3589" max="3589" width="9.453125" style="1" customWidth="1"/>
    <col min="3590" max="3613" width="7.453125" style="1" customWidth="1"/>
    <col min="3614" max="3614" width="14.453125" style="1" bestFit="1" customWidth="1"/>
    <col min="3615" max="3842" width="11.453125" style="1"/>
    <col min="3843" max="3843" width="7" style="1" customWidth="1"/>
    <col min="3844" max="3844" width="10.54296875" style="1" customWidth="1"/>
    <col min="3845" max="3845" width="9.453125" style="1" customWidth="1"/>
    <col min="3846" max="3869" width="7.453125" style="1" customWidth="1"/>
    <col min="3870" max="3870" width="14.453125" style="1" bestFit="1" customWidth="1"/>
    <col min="3871" max="4098" width="11.453125" style="1"/>
    <col min="4099" max="4099" width="7" style="1" customWidth="1"/>
    <col min="4100" max="4100" width="10.54296875" style="1" customWidth="1"/>
    <col min="4101" max="4101" width="9.453125" style="1" customWidth="1"/>
    <col min="4102" max="4125" width="7.453125" style="1" customWidth="1"/>
    <col min="4126" max="4126" width="14.453125" style="1" bestFit="1" customWidth="1"/>
    <col min="4127" max="4354" width="11.453125" style="1"/>
    <col min="4355" max="4355" width="7" style="1" customWidth="1"/>
    <col min="4356" max="4356" width="10.54296875" style="1" customWidth="1"/>
    <col min="4357" max="4357" width="9.453125" style="1" customWidth="1"/>
    <col min="4358" max="4381" width="7.453125" style="1" customWidth="1"/>
    <col min="4382" max="4382" width="14.453125" style="1" bestFit="1" customWidth="1"/>
    <col min="4383" max="4610" width="11.453125" style="1"/>
    <col min="4611" max="4611" width="7" style="1" customWidth="1"/>
    <col min="4612" max="4612" width="10.54296875" style="1" customWidth="1"/>
    <col min="4613" max="4613" width="9.453125" style="1" customWidth="1"/>
    <col min="4614" max="4637" width="7.453125" style="1" customWidth="1"/>
    <col min="4638" max="4638" width="14.453125" style="1" bestFit="1" customWidth="1"/>
    <col min="4639" max="4866" width="11.453125" style="1"/>
    <col min="4867" max="4867" width="7" style="1" customWidth="1"/>
    <col min="4868" max="4868" width="10.54296875" style="1" customWidth="1"/>
    <col min="4869" max="4869" width="9.453125" style="1" customWidth="1"/>
    <col min="4870" max="4893" width="7.453125" style="1" customWidth="1"/>
    <col min="4894" max="4894" width="14.453125" style="1" bestFit="1" customWidth="1"/>
    <col min="4895" max="5122" width="11.453125" style="1"/>
    <col min="5123" max="5123" width="7" style="1" customWidth="1"/>
    <col min="5124" max="5124" width="10.54296875" style="1" customWidth="1"/>
    <col min="5125" max="5125" width="9.453125" style="1" customWidth="1"/>
    <col min="5126" max="5149" width="7.453125" style="1" customWidth="1"/>
    <col min="5150" max="5150" width="14.453125" style="1" bestFit="1" customWidth="1"/>
    <col min="5151" max="5378" width="11.453125" style="1"/>
    <col min="5379" max="5379" width="7" style="1" customWidth="1"/>
    <col min="5380" max="5380" width="10.54296875" style="1" customWidth="1"/>
    <col min="5381" max="5381" width="9.453125" style="1" customWidth="1"/>
    <col min="5382" max="5405" width="7.453125" style="1" customWidth="1"/>
    <col min="5406" max="5406" width="14.453125" style="1" bestFit="1" customWidth="1"/>
    <col min="5407" max="5634" width="11.453125" style="1"/>
    <col min="5635" max="5635" width="7" style="1" customWidth="1"/>
    <col min="5636" max="5636" width="10.54296875" style="1" customWidth="1"/>
    <col min="5637" max="5637" width="9.453125" style="1" customWidth="1"/>
    <col min="5638" max="5661" width="7.453125" style="1" customWidth="1"/>
    <col min="5662" max="5662" width="14.453125" style="1" bestFit="1" customWidth="1"/>
    <col min="5663" max="5890" width="11.453125" style="1"/>
    <col min="5891" max="5891" width="7" style="1" customWidth="1"/>
    <col min="5892" max="5892" width="10.54296875" style="1" customWidth="1"/>
    <col min="5893" max="5893" width="9.453125" style="1" customWidth="1"/>
    <col min="5894" max="5917" width="7.453125" style="1" customWidth="1"/>
    <col min="5918" max="5918" width="14.453125" style="1" bestFit="1" customWidth="1"/>
    <col min="5919" max="6146" width="11.453125" style="1"/>
    <col min="6147" max="6147" width="7" style="1" customWidth="1"/>
    <col min="6148" max="6148" width="10.54296875" style="1" customWidth="1"/>
    <col min="6149" max="6149" width="9.453125" style="1" customWidth="1"/>
    <col min="6150" max="6173" width="7.453125" style="1" customWidth="1"/>
    <col min="6174" max="6174" width="14.453125" style="1" bestFit="1" customWidth="1"/>
    <col min="6175" max="6402" width="11.453125" style="1"/>
    <col min="6403" max="6403" width="7" style="1" customWidth="1"/>
    <col min="6404" max="6404" width="10.54296875" style="1" customWidth="1"/>
    <col min="6405" max="6405" width="9.453125" style="1" customWidth="1"/>
    <col min="6406" max="6429" width="7.453125" style="1" customWidth="1"/>
    <col min="6430" max="6430" width="14.453125" style="1" bestFit="1" customWidth="1"/>
    <col min="6431" max="6658" width="11.453125" style="1"/>
    <col min="6659" max="6659" width="7" style="1" customWidth="1"/>
    <col min="6660" max="6660" width="10.54296875" style="1" customWidth="1"/>
    <col min="6661" max="6661" width="9.453125" style="1" customWidth="1"/>
    <col min="6662" max="6685" width="7.453125" style="1" customWidth="1"/>
    <col min="6686" max="6686" width="14.453125" style="1" bestFit="1" customWidth="1"/>
    <col min="6687" max="6914" width="11.453125" style="1"/>
    <col min="6915" max="6915" width="7" style="1" customWidth="1"/>
    <col min="6916" max="6916" width="10.54296875" style="1" customWidth="1"/>
    <col min="6917" max="6917" width="9.453125" style="1" customWidth="1"/>
    <col min="6918" max="6941" width="7.453125" style="1" customWidth="1"/>
    <col min="6942" max="6942" width="14.453125" style="1" bestFit="1" customWidth="1"/>
    <col min="6943" max="7170" width="11.453125" style="1"/>
    <col min="7171" max="7171" width="7" style="1" customWidth="1"/>
    <col min="7172" max="7172" width="10.54296875" style="1" customWidth="1"/>
    <col min="7173" max="7173" width="9.453125" style="1" customWidth="1"/>
    <col min="7174" max="7197" width="7.453125" style="1" customWidth="1"/>
    <col min="7198" max="7198" width="14.453125" style="1" bestFit="1" customWidth="1"/>
    <col min="7199" max="7426" width="11.453125" style="1"/>
    <col min="7427" max="7427" width="7" style="1" customWidth="1"/>
    <col min="7428" max="7428" width="10.54296875" style="1" customWidth="1"/>
    <col min="7429" max="7429" width="9.453125" style="1" customWidth="1"/>
    <col min="7430" max="7453" width="7.453125" style="1" customWidth="1"/>
    <col min="7454" max="7454" width="14.453125" style="1" bestFit="1" customWidth="1"/>
    <col min="7455" max="7682" width="11.453125" style="1"/>
    <col min="7683" max="7683" width="7" style="1" customWidth="1"/>
    <col min="7684" max="7684" width="10.54296875" style="1" customWidth="1"/>
    <col min="7685" max="7685" width="9.453125" style="1" customWidth="1"/>
    <col min="7686" max="7709" width="7.453125" style="1" customWidth="1"/>
    <col min="7710" max="7710" width="14.453125" style="1" bestFit="1" customWidth="1"/>
    <col min="7711" max="7938" width="11.453125" style="1"/>
    <col min="7939" max="7939" width="7" style="1" customWidth="1"/>
    <col min="7940" max="7940" width="10.54296875" style="1" customWidth="1"/>
    <col min="7941" max="7941" width="9.453125" style="1" customWidth="1"/>
    <col min="7942" max="7965" width="7.453125" style="1" customWidth="1"/>
    <col min="7966" max="7966" width="14.453125" style="1" bestFit="1" customWidth="1"/>
    <col min="7967" max="8194" width="11.453125" style="1"/>
    <col min="8195" max="8195" width="7" style="1" customWidth="1"/>
    <col min="8196" max="8196" width="10.54296875" style="1" customWidth="1"/>
    <col min="8197" max="8197" width="9.453125" style="1" customWidth="1"/>
    <col min="8198" max="8221" width="7.453125" style="1" customWidth="1"/>
    <col min="8222" max="8222" width="14.453125" style="1" bestFit="1" customWidth="1"/>
    <col min="8223" max="8450" width="11.453125" style="1"/>
    <col min="8451" max="8451" width="7" style="1" customWidth="1"/>
    <col min="8452" max="8452" width="10.54296875" style="1" customWidth="1"/>
    <col min="8453" max="8453" width="9.453125" style="1" customWidth="1"/>
    <col min="8454" max="8477" width="7.453125" style="1" customWidth="1"/>
    <col min="8478" max="8478" width="14.453125" style="1" bestFit="1" customWidth="1"/>
    <col min="8479" max="8706" width="11.453125" style="1"/>
    <col min="8707" max="8707" width="7" style="1" customWidth="1"/>
    <col min="8708" max="8708" width="10.54296875" style="1" customWidth="1"/>
    <col min="8709" max="8709" width="9.453125" style="1" customWidth="1"/>
    <col min="8710" max="8733" width="7.453125" style="1" customWidth="1"/>
    <col min="8734" max="8734" width="14.453125" style="1" bestFit="1" customWidth="1"/>
    <col min="8735" max="8962" width="11.453125" style="1"/>
    <col min="8963" max="8963" width="7" style="1" customWidth="1"/>
    <col min="8964" max="8964" width="10.54296875" style="1" customWidth="1"/>
    <col min="8965" max="8965" width="9.453125" style="1" customWidth="1"/>
    <col min="8966" max="8989" width="7.453125" style="1" customWidth="1"/>
    <col min="8990" max="8990" width="14.453125" style="1" bestFit="1" customWidth="1"/>
    <col min="8991" max="9218" width="11.453125" style="1"/>
    <col min="9219" max="9219" width="7" style="1" customWidth="1"/>
    <col min="9220" max="9220" width="10.54296875" style="1" customWidth="1"/>
    <col min="9221" max="9221" width="9.453125" style="1" customWidth="1"/>
    <col min="9222" max="9245" width="7.453125" style="1" customWidth="1"/>
    <col min="9246" max="9246" width="14.453125" style="1" bestFit="1" customWidth="1"/>
    <col min="9247" max="9474" width="11.453125" style="1"/>
    <col min="9475" max="9475" width="7" style="1" customWidth="1"/>
    <col min="9476" max="9476" width="10.54296875" style="1" customWidth="1"/>
    <col min="9477" max="9477" width="9.453125" style="1" customWidth="1"/>
    <col min="9478" max="9501" width="7.453125" style="1" customWidth="1"/>
    <col min="9502" max="9502" width="14.453125" style="1" bestFit="1" customWidth="1"/>
    <col min="9503" max="9730" width="11.453125" style="1"/>
    <col min="9731" max="9731" width="7" style="1" customWidth="1"/>
    <col min="9732" max="9732" width="10.54296875" style="1" customWidth="1"/>
    <col min="9733" max="9733" width="9.453125" style="1" customWidth="1"/>
    <col min="9734" max="9757" width="7.453125" style="1" customWidth="1"/>
    <col min="9758" max="9758" width="14.453125" style="1" bestFit="1" customWidth="1"/>
    <col min="9759" max="9986" width="11.453125" style="1"/>
    <col min="9987" max="9987" width="7" style="1" customWidth="1"/>
    <col min="9988" max="9988" width="10.54296875" style="1" customWidth="1"/>
    <col min="9989" max="9989" width="9.453125" style="1" customWidth="1"/>
    <col min="9990" max="10013" width="7.453125" style="1" customWidth="1"/>
    <col min="10014" max="10014" width="14.453125" style="1" bestFit="1" customWidth="1"/>
    <col min="10015" max="10242" width="11.453125" style="1"/>
    <col min="10243" max="10243" width="7" style="1" customWidth="1"/>
    <col min="10244" max="10244" width="10.54296875" style="1" customWidth="1"/>
    <col min="10245" max="10245" width="9.453125" style="1" customWidth="1"/>
    <col min="10246" max="10269" width="7.453125" style="1" customWidth="1"/>
    <col min="10270" max="10270" width="14.453125" style="1" bestFit="1" customWidth="1"/>
    <col min="10271" max="10498" width="11.453125" style="1"/>
    <col min="10499" max="10499" width="7" style="1" customWidth="1"/>
    <col min="10500" max="10500" width="10.54296875" style="1" customWidth="1"/>
    <col min="10501" max="10501" width="9.453125" style="1" customWidth="1"/>
    <col min="10502" max="10525" width="7.453125" style="1" customWidth="1"/>
    <col min="10526" max="10526" width="14.453125" style="1" bestFit="1" customWidth="1"/>
    <col min="10527" max="10754" width="11.453125" style="1"/>
    <col min="10755" max="10755" width="7" style="1" customWidth="1"/>
    <col min="10756" max="10756" width="10.54296875" style="1" customWidth="1"/>
    <col min="10757" max="10757" width="9.453125" style="1" customWidth="1"/>
    <col min="10758" max="10781" width="7.453125" style="1" customWidth="1"/>
    <col min="10782" max="10782" width="14.453125" style="1" bestFit="1" customWidth="1"/>
    <col min="10783" max="11010" width="11.453125" style="1"/>
    <col min="11011" max="11011" width="7" style="1" customWidth="1"/>
    <col min="11012" max="11012" width="10.54296875" style="1" customWidth="1"/>
    <col min="11013" max="11013" width="9.453125" style="1" customWidth="1"/>
    <col min="11014" max="11037" width="7.453125" style="1" customWidth="1"/>
    <col min="11038" max="11038" width="14.453125" style="1" bestFit="1" customWidth="1"/>
    <col min="11039" max="11266" width="11.453125" style="1"/>
    <col min="11267" max="11267" width="7" style="1" customWidth="1"/>
    <col min="11268" max="11268" width="10.54296875" style="1" customWidth="1"/>
    <col min="11269" max="11269" width="9.453125" style="1" customWidth="1"/>
    <col min="11270" max="11293" width="7.453125" style="1" customWidth="1"/>
    <col min="11294" max="11294" width="14.453125" style="1" bestFit="1" customWidth="1"/>
    <col min="11295" max="11522" width="11.453125" style="1"/>
    <col min="11523" max="11523" width="7" style="1" customWidth="1"/>
    <col min="11524" max="11524" width="10.54296875" style="1" customWidth="1"/>
    <col min="11525" max="11525" width="9.453125" style="1" customWidth="1"/>
    <col min="11526" max="11549" width="7.453125" style="1" customWidth="1"/>
    <col min="11550" max="11550" width="14.453125" style="1" bestFit="1" customWidth="1"/>
    <col min="11551" max="11778" width="11.453125" style="1"/>
    <col min="11779" max="11779" width="7" style="1" customWidth="1"/>
    <col min="11780" max="11780" width="10.54296875" style="1" customWidth="1"/>
    <col min="11781" max="11781" width="9.453125" style="1" customWidth="1"/>
    <col min="11782" max="11805" width="7.453125" style="1" customWidth="1"/>
    <col min="11806" max="11806" width="14.453125" style="1" bestFit="1" customWidth="1"/>
    <col min="11807" max="12034" width="11.453125" style="1"/>
    <col min="12035" max="12035" width="7" style="1" customWidth="1"/>
    <col min="12036" max="12036" width="10.54296875" style="1" customWidth="1"/>
    <col min="12037" max="12037" width="9.453125" style="1" customWidth="1"/>
    <col min="12038" max="12061" width="7.453125" style="1" customWidth="1"/>
    <col min="12062" max="12062" width="14.453125" style="1" bestFit="1" customWidth="1"/>
    <col min="12063" max="12290" width="11.453125" style="1"/>
    <col min="12291" max="12291" width="7" style="1" customWidth="1"/>
    <col min="12292" max="12292" width="10.54296875" style="1" customWidth="1"/>
    <col min="12293" max="12293" width="9.453125" style="1" customWidth="1"/>
    <col min="12294" max="12317" width="7.453125" style="1" customWidth="1"/>
    <col min="12318" max="12318" width="14.453125" style="1" bestFit="1" customWidth="1"/>
    <col min="12319" max="12546" width="11.453125" style="1"/>
    <col min="12547" max="12547" width="7" style="1" customWidth="1"/>
    <col min="12548" max="12548" width="10.54296875" style="1" customWidth="1"/>
    <col min="12549" max="12549" width="9.453125" style="1" customWidth="1"/>
    <col min="12550" max="12573" width="7.453125" style="1" customWidth="1"/>
    <col min="12574" max="12574" width="14.453125" style="1" bestFit="1" customWidth="1"/>
    <col min="12575" max="12802" width="11.453125" style="1"/>
    <col min="12803" max="12803" width="7" style="1" customWidth="1"/>
    <col min="12804" max="12804" width="10.54296875" style="1" customWidth="1"/>
    <col min="12805" max="12805" width="9.453125" style="1" customWidth="1"/>
    <col min="12806" max="12829" width="7.453125" style="1" customWidth="1"/>
    <col min="12830" max="12830" width="14.453125" style="1" bestFit="1" customWidth="1"/>
    <col min="12831" max="13058" width="11.453125" style="1"/>
    <col min="13059" max="13059" width="7" style="1" customWidth="1"/>
    <col min="13060" max="13060" width="10.54296875" style="1" customWidth="1"/>
    <col min="13061" max="13061" width="9.453125" style="1" customWidth="1"/>
    <col min="13062" max="13085" width="7.453125" style="1" customWidth="1"/>
    <col min="13086" max="13086" width="14.453125" style="1" bestFit="1" customWidth="1"/>
    <col min="13087" max="13314" width="11.453125" style="1"/>
    <col min="13315" max="13315" width="7" style="1" customWidth="1"/>
    <col min="13316" max="13316" width="10.54296875" style="1" customWidth="1"/>
    <col min="13317" max="13317" width="9.453125" style="1" customWidth="1"/>
    <col min="13318" max="13341" width="7.453125" style="1" customWidth="1"/>
    <col min="13342" max="13342" width="14.453125" style="1" bestFit="1" customWidth="1"/>
    <col min="13343" max="13570" width="11.453125" style="1"/>
    <col min="13571" max="13571" width="7" style="1" customWidth="1"/>
    <col min="13572" max="13572" width="10.54296875" style="1" customWidth="1"/>
    <col min="13573" max="13573" width="9.453125" style="1" customWidth="1"/>
    <col min="13574" max="13597" width="7.453125" style="1" customWidth="1"/>
    <col min="13598" max="13598" width="14.453125" style="1" bestFit="1" customWidth="1"/>
    <col min="13599" max="13826" width="11.453125" style="1"/>
    <col min="13827" max="13827" width="7" style="1" customWidth="1"/>
    <col min="13828" max="13828" width="10.54296875" style="1" customWidth="1"/>
    <col min="13829" max="13829" width="9.453125" style="1" customWidth="1"/>
    <col min="13830" max="13853" width="7.453125" style="1" customWidth="1"/>
    <col min="13854" max="13854" width="14.453125" style="1" bestFit="1" customWidth="1"/>
    <col min="13855" max="14082" width="11.453125" style="1"/>
    <col min="14083" max="14083" width="7" style="1" customWidth="1"/>
    <col min="14084" max="14084" width="10.54296875" style="1" customWidth="1"/>
    <col min="14085" max="14085" width="9.453125" style="1" customWidth="1"/>
    <col min="14086" max="14109" width="7.453125" style="1" customWidth="1"/>
    <col min="14110" max="14110" width="14.453125" style="1" bestFit="1" customWidth="1"/>
    <col min="14111" max="14338" width="11.453125" style="1"/>
    <col min="14339" max="14339" width="7" style="1" customWidth="1"/>
    <col min="14340" max="14340" width="10.54296875" style="1" customWidth="1"/>
    <col min="14341" max="14341" width="9.453125" style="1" customWidth="1"/>
    <col min="14342" max="14365" width="7.453125" style="1" customWidth="1"/>
    <col min="14366" max="14366" width="14.453125" style="1" bestFit="1" customWidth="1"/>
    <col min="14367" max="14594" width="11.453125" style="1"/>
    <col min="14595" max="14595" width="7" style="1" customWidth="1"/>
    <col min="14596" max="14596" width="10.54296875" style="1" customWidth="1"/>
    <col min="14597" max="14597" width="9.453125" style="1" customWidth="1"/>
    <col min="14598" max="14621" width="7.453125" style="1" customWidth="1"/>
    <col min="14622" max="14622" width="14.453125" style="1" bestFit="1" customWidth="1"/>
    <col min="14623" max="14850" width="11.453125" style="1"/>
    <col min="14851" max="14851" width="7" style="1" customWidth="1"/>
    <col min="14852" max="14852" width="10.54296875" style="1" customWidth="1"/>
    <col min="14853" max="14853" width="9.453125" style="1" customWidth="1"/>
    <col min="14854" max="14877" width="7.453125" style="1" customWidth="1"/>
    <col min="14878" max="14878" width="14.453125" style="1" bestFit="1" customWidth="1"/>
    <col min="14879" max="15106" width="11.453125" style="1"/>
    <col min="15107" max="15107" width="7" style="1" customWidth="1"/>
    <col min="15108" max="15108" width="10.54296875" style="1" customWidth="1"/>
    <col min="15109" max="15109" width="9.453125" style="1" customWidth="1"/>
    <col min="15110" max="15133" width="7.453125" style="1" customWidth="1"/>
    <col min="15134" max="15134" width="14.453125" style="1" bestFit="1" customWidth="1"/>
    <col min="15135" max="15362" width="11.453125" style="1"/>
    <col min="15363" max="15363" width="7" style="1" customWidth="1"/>
    <col min="15364" max="15364" width="10.54296875" style="1" customWidth="1"/>
    <col min="15365" max="15365" width="9.453125" style="1" customWidth="1"/>
    <col min="15366" max="15389" width="7.453125" style="1" customWidth="1"/>
    <col min="15390" max="15390" width="14.453125" style="1" bestFit="1" customWidth="1"/>
    <col min="15391" max="15618" width="11.453125" style="1"/>
    <col min="15619" max="15619" width="7" style="1" customWidth="1"/>
    <col min="15620" max="15620" width="10.54296875" style="1" customWidth="1"/>
    <col min="15621" max="15621" width="9.453125" style="1" customWidth="1"/>
    <col min="15622" max="15645" width="7.453125" style="1" customWidth="1"/>
    <col min="15646" max="15646" width="14.453125" style="1" bestFit="1" customWidth="1"/>
    <col min="15647" max="15874" width="11.453125" style="1"/>
    <col min="15875" max="15875" width="7" style="1" customWidth="1"/>
    <col min="15876" max="15876" width="10.54296875" style="1" customWidth="1"/>
    <col min="15877" max="15877" width="9.453125" style="1" customWidth="1"/>
    <col min="15878" max="15901" width="7.453125" style="1" customWidth="1"/>
    <col min="15902" max="15902" width="14.453125" style="1" bestFit="1" customWidth="1"/>
    <col min="15903" max="16130" width="11.453125" style="1"/>
    <col min="16131" max="16131" width="7" style="1" customWidth="1"/>
    <col min="16132" max="16132" width="10.54296875" style="1" customWidth="1"/>
    <col min="16133" max="16133" width="9.453125" style="1" customWidth="1"/>
    <col min="16134" max="16157" width="7.453125" style="1" customWidth="1"/>
    <col min="16158" max="16158" width="14.453125" style="1" bestFit="1" customWidth="1"/>
    <col min="16159" max="16384" width="11.453125" style="1"/>
  </cols>
  <sheetData>
    <row r="1" spans="3:30" ht="18.649999999999999" customHeight="1"/>
    <row r="2" spans="3:30" ht="18.649999999999999" customHeight="1">
      <c r="C2" s="76" t="s">
        <v>0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3:30" ht="18.649999999999999" customHeight="1">
      <c r="C3" s="76" t="s">
        <v>1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3:30" ht="18.649999999999999" customHeight="1">
      <c r="C4" s="76" t="s">
        <v>68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3:30" ht="18.649999999999999" customHeight="1" thickBot="1"/>
    <row r="6" spans="3:30" ht="15.5">
      <c r="C6" s="3" t="s">
        <v>2</v>
      </c>
      <c r="D6" s="3" t="s">
        <v>3</v>
      </c>
      <c r="E6" s="3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2" t="s">
        <v>14</v>
      </c>
      <c r="P6" s="12" t="s">
        <v>15</v>
      </c>
      <c r="Q6" s="13" t="s">
        <v>16</v>
      </c>
      <c r="R6" s="11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2" t="s">
        <v>25</v>
      </c>
      <c r="AA6" s="12" t="s">
        <v>26</v>
      </c>
      <c r="AB6" s="12" t="s">
        <v>27</v>
      </c>
      <c r="AC6" s="13" t="s">
        <v>28</v>
      </c>
      <c r="AD6" s="4" t="s">
        <v>29</v>
      </c>
    </row>
    <row r="7" spans="3:30" ht="18.649999999999999" customHeight="1">
      <c r="C7" s="14" t="s">
        <v>30</v>
      </c>
      <c r="D7" s="5" t="s">
        <v>31</v>
      </c>
      <c r="E7" s="6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93">
        <f>SUM(F7:AC7)*E7+SUM(F8:AC8)*E8+SUM(F9:AC9)*E9+SUM(F10:AC10)*E10</f>
        <v>0</v>
      </c>
    </row>
    <row r="8" spans="3:30" ht="18.649999999999999" customHeight="1">
      <c r="C8" s="15"/>
      <c r="D8" s="5" t="s">
        <v>32</v>
      </c>
      <c r="E8" s="6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94"/>
    </row>
    <row r="9" spans="3:30" ht="18.649999999999999" customHeight="1">
      <c r="C9" s="15"/>
      <c r="D9" s="5" t="s">
        <v>33</v>
      </c>
      <c r="E9" s="6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94"/>
    </row>
    <row r="10" spans="3:30" ht="18.649999999999999" customHeight="1">
      <c r="C10" s="16"/>
      <c r="D10" s="5" t="s">
        <v>34</v>
      </c>
      <c r="E10" s="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95"/>
    </row>
    <row r="11" spans="3:30" ht="18.649999999999999" customHeight="1">
      <c r="C11" s="14" t="s">
        <v>35</v>
      </c>
      <c r="D11" s="5" t="s">
        <v>31</v>
      </c>
      <c r="E11" s="6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93">
        <f>SUM(F11:AC11)*E11+SUM(F12:AC12)*E12+SUM(F13:AC13)*E13+SUM(F14:AC14)*E14</f>
        <v>0</v>
      </c>
    </row>
    <row r="12" spans="3:30" ht="18.649999999999999" customHeight="1">
      <c r="C12" s="15"/>
      <c r="D12" s="5" t="s">
        <v>32</v>
      </c>
      <c r="E12" s="6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94"/>
    </row>
    <row r="13" spans="3:30" ht="18.649999999999999" customHeight="1">
      <c r="C13" s="15"/>
      <c r="D13" s="5" t="s">
        <v>33</v>
      </c>
      <c r="E13" s="6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94"/>
    </row>
    <row r="14" spans="3:30" ht="18.649999999999999" customHeight="1">
      <c r="C14" s="16"/>
      <c r="D14" s="5" t="s">
        <v>34</v>
      </c>
      <c r="E14" s="6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95"/>
    </row>
    <row r="15" spans="3:30" ht="18.649999999999999" customHeight="1">
      <c r="C15" s="14" t="s">
        <v>36</v>
      </c>
      <c r="D15" s="5" t="s">
        <v>31</v>
      </c>
      <c r="E15" s="6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93">
        <f t="shared" ref="AD15" si="0">SUM(F15:AC15)*E15+SUM(F16:AC16)*E16+SUM(F17:AC17)*E17+SUM(F18:AC18)*E18</f>
        <v>0</v>
      </c>
    </row>
    <row r="16" spans="3:30" ht="18.649999999999999" customHeight="1">
      <c r="C16" s="15"/>
      <c r="D16" s="5" t="s">
        <v>32</v>
      </c>
      <c r="E16" s="6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94"/>
    </row>
    <row r="17" spans="3:30" ht="18.649999999999999" customHeight="1">
      <c r="C17" s="15"/>
      <c r="D17" s="5" t="s">
        <v>33</v>
      </c>
      <c r="E17" s="6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94"/>
    </row>
    <row r="18" spans="3:30" ht="18.649999999999999" customHeight="1">
      <c r="C18" s="16"/>
      <c r="D18" s="5" t="s">
        <v>34</v>
      </c>
      <c r="E18" s="6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95"/>
    </row>
    <row r="19" spans="3:30" ht="18.649999999999999" customHeight="1">
      <c r="C19" s="14" t="s">
        <v>37</v>
      </c>
      <c r="D19" s="5" t="s">
        <v>31</v>
      </c>
      <c r="E19" s="6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93">
        <f t="shared" ref="AD19" si="1">SUM(F19:AC19)*E19+SUM(F20:AC20)*E20+SUM(F21:AC21)*E21+SUM(F22:AC22)*E22</f>
        <v>0</v>
      </c>
    </row>
    <row r="20" spans="3:30" ht="18.649999999999999" customHeight="1">
      <c r="C20" s="15"/>
      <c r="D20" s="5" t="s">
        <v>32</v>
      </c>
      <c r="E20" s="6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94"/>
    </row>
    <row r="21" spans="3:30" ht="18.649999999999999" customHeight="1">
      <c r="C21" s="15"/>
      <c r="D21" s="5" t="s">
        <v>33</v>
      </c>
      <c r="E21" s="6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94"/>
    </row>
    <row r="22" spans="3:30" ht="18.649999999999999" customHeight="1">
      <c r="C22" s="16"/>
      <c r="D22" s="5" t="s">
        <v>34</v>
      </c>
      <c r="E22" s="6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95"/>
    </row>
    <row r="23" spans="3:30" ht="18.649999999999999" customHeight="1">
      <c r="C23" s="14" t="s">
        <v>38</v>
      </c>
      <c r="D23" s="5" t="s">
        <v>31</v>
      </c>
      <c r="E23" s="6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93">
        <f t="shared" ref="AD23" si="2">SUM(F23:AC23)*E23+SUM(F24:AC24)*E24+SUM(F25:AC25)*E25+SUM(F26:AC26)*E26</f>
        <v>0</v>
      </c>
    </row>
    <row r="24" spans="3:30" ht="18.649999999999999" customHeight="1">
      <c r="C24" s="15"/>
      <c r="D24" s="5" t="s">
        <v>32</v>
      </c>
      <c r="E24" s="6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94"/>
    </row>
    <row r="25" spans="3:30" ht="18.649999999999999" customHeight="1">
      <c r="C25" s="15"/>
      <c r="D25" s="5" t="s">
        <v>33</v>
      </c>
      <c r="E25" s="6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94"/>
    </row>
    <row r="26" spans="3:30" ht="18.649999999999999" customHeight="1">
      <c r="C26" s="16"/>
      <c r="D26" s="5" t="s">
        <v>34</v>
      </c>
      <c r="E26" s="6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95"/>
    </row>
    <row r="27" spans="3:30" ht="18.649999999999999" customHeight="1">
      <c r="C27" s="14" t="s">
        <v>39</v>
      </c>
      <c r="D27" s="5" t="s">
        <v>31</v>
      </c>
      <c r="E27" s="6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93">
        <f t="shared" ref="AD27" si="3">SUM(F27:AC27)*E27+SUM(F28:AC28)*E28+SUM(F29:AC29)*E29+SUM(F30:AC30)*E30</f>
        <v>0</v>
      </c>
    </row>
    <row r="28" spans="3:30" ht="18.649999999999999" customHeight="1">
      <c r="C28" s="15"/>
      <c r="D28" s="5" t="s">
        <v>32</v>
      </c>
      <c r="E28" s="6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94"/>
    </row>
    <row r="29" spans="3:30" ht="18.649999999999999" customHeight="1">
      <c r="C29" s="15"/>
      <c r="D29" s="5" t="s">
        <v>33</v>
      </c>
      <c r="E29" s="6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94"/>
    </row>
    <row r="30" spans="3:30" ht="18.649999999999999" customHeight="1">
      <c r="C30" s="16"/>
      <c r="D30" s="5" t="s">
        <v>34</v>
      </c>
      <c r="E30" s="6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95"/>
    </row>
    <row r="31" spans="3:30" ht="18.649999999999999" customHeight="1">
      <c r="C31" s="14" t="s">
        <v>40</v>
      </c>
      <c r="D31" s="5" t="s">
        <v>31</v>
      </c>
      <c r="E31" s="6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93">
        <f t="shared" ref="AD31" si="4">SUM(F31:AC31)*E31+SUM(F32:AC32)*E32+SUM(F33:AC33)*E33+SUM(F34:AC34)*E34</f>
        <v>0</v>
      </c>
    </row>
    <row r="32" spans="3:30" ht="18.649999999999999" customHeight="1">
      <c r="C32" s="15"/>
      <c r="D32" s="5" t="s">
        <v>32</v>
      </c>
      <c r="E32" s="6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94"/>
    </row>
    <row r="33" spans="3:30" ht="18.649999999999999" customHeight="1">
      <c r="C33" s="15"/>
      <c r="D33" s="5" t="s">
        <v>33</v>
      </c>
      <c r="E33" s="6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94"/>
    </row>
    <row r="34" spans="3:30" ht="18.649999999999999" customHeight="1">
      <c r="C34" s="16"/>
      <c r="D34" s="5" t="s">
        <v>34</v>
      </c>
      <c r="E34" s="6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95"/>
    </row>
    <row r="35" spans="3:30" ht="18.649999999999999" customHeight="1">
      <c r="C35" s="14" t="s">
        <v>41</v>
      </c>
      <c r="D35" s="5" t="s">
        <v>31</v>
      </c>
      <c r="E35" s="6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93">
        <f t="shared" ref="AD35" si="5">SUM(F35:AC35)*E35+SUM(F36:AC36)*E36+SUM(F37:AC37)*E37+SUM(F38:AC38)*E38</f>
        <v>0</v>
      </c>
    </row>
    <row r="36" spans="3:30" ht="18.649999999999999" customHeight="1">
      <c r="C36" s="15"/>
      <c r="D36" s="5" t="s">
        <v>32</v>
      </c>
      <c r="E36" s="6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94"/>
    </row>
    <row r="37" spans="3:30" ht="18.649999999999999" customHeight="1">
      <c r="C37" s="15"/>
      <c r="D37" s="5" t="s">
        <v>33</v>
      </c>
      <c r="E37" s="6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94"/>
    </row>
    <row r="38" spans="3:30" ht="18.649999999999999" customHeight="1">
      <c r="C38" s="16"/>
      <c r="D38" s="5" t="s">
        <v>34</v>
      </c>
      <c r="E38" s="6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95"/>
    </row>
    <row r="39" spans="3:30" ht="18.649999999999999" customHeight="1">
      <c r="C39" s="14" t="s">
        <v>42</v>
      </c>
      <c r="D39" s="5" t="s">
        <v>31</v>
      </c>
      <c r="E39" s="6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93">
        <f t="shared" ref="AD39" si="6">SUM(F39:AC39)*E39+SUM(F40:AC40)*E40+SUM(F41:AC41)*E41+SUM(F42:AC42)*E42</f>
        <v>0</v>
      </c>
    </row>
    <row r="40" spans="3:30" ht="18.649999999999999" customHeight="1">
      <c r="C40" s="15"/>
      <c r="D40" s="5" t="s">
        <v>32</v>
      </c>
      <c r="E40" s="6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94"/>
    </row>
    <row r="41" spans="3:30" ht="18.649999999999999" customHeight="1">
      <c r="C41" s="15"/>
      <c r="D41" s="5" t="s">
        <v>33</v>
      </c>
      <c r="E41" s="6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94"/>
    </row>
    <row r="42" spans="3:30" ht="18.649999999999999" customHeight="1">
      <c r="C42" s="16"/>
      <c r="D42" s="5" t="s">
        <v>34</v>
      </c>
      <c r="E42" s="6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95"/>
    </row>
    <row r="43" spans="3:30" ht="18.649999999999999" customHeight="1">
      <c r="C43" s="14" t="s">
        <v>43</v>
      </c>
      <c r="D43" s="5" t="s">
        <v>31</v>
      </c>
      <c r="E43" s="6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93">
        <f t="shared" ref="AD43" si="7">SUM(F43:AC43)*E43+SUM(F44:AC44)*E44+SUM(F45:AC45)*E45+SUM(F46:AC46)*E46</f>
        <v>0</v>
      </c>
    </row>
    <row r="44" spans="3:30" ht="18.649999999999999" customHeight="1">
      <c r="C44" s="15"/>
      <c r="D44" s="5" t="s">
        <v>32</v>
      </c>
      <c r="E44" s="6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94"/>
    </row>
    <row r="45" spans="3:30" ht="18.649999999999999" customHeight="1">
      <c r="C45" s="15"/>
      <c r="D45" s="5" t="s">
        <v>33</v>
      </c>
      <c r="E45" s="6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94"/>
    </row>
    <row r="46" spans="3:30" ht="18.649999999999999" customHeight="1">
      <c r="C46" s="16"/>
      <c r="D46" s="5" t="s">
        <v>34</v>
      </c>
      <c r="E46" s="6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95"/>
    </row>
    <row r="47" spans="3:30" ht="18.649999999999999" customHeight="1">
      <c r="C47" s="14" t="s">
        <v>44</v>
      </c>
      <c r="D47" s="5" t="s">
        <v>31</v>
      </c>
      <c r="E47" s="6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93">
        <f t="shared" ref="AD47" si="8">SUM(F47:AC47)*E47+SUM(F48:AC48)*E48+SUM(F49:AC49)*E49+SUM(F50:AC50)*E50</f>
        <v>0</v>
      </c>
    </row>
    <row r="48" spans="3:30" ht="18.649999999999999" customHeight="1">
      <c r="C48" s="15"/>
      <c r="D48" s="5" t="s">
        <v>32</v>
      </c>
      <c r="E48" s="6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94"/>
    </row>
    <row r="49" spans="3:30" ht="18.649999999999999" customHeight="1">
      <c r="C49" s="15"/>
      <c r="D49" s="5" t="s">
        <v>33</v>
      </c>
      <c r="E49" s="6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94"/>
    </row>
    <row r="50" spans="3:30" ht="18.649999999999999" customHeight="1">
      <c r="C50" s="16"/>
      <c r="D50" s="5" t="s">
        <v>34</v>
      </c>
      <c r="E50" s="6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95"/>
    </row>
    <row r="51" spans="3:30" ht="18.649999999999999" customHeight="1">
      <c r="C51" s="14" t="s">
        <v>45</v>
      </c>
      <c r="D51" s="5" t="s">
        <v>31</v>
      </c>
      <c r="E51" s="6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93">
        <f t="shared" ref="AD51" si="9">SUM(F51:AC51)*E51+SUM(F52:AC52)*E52+SUM(F53:AC53)*E53+SUM(F54:AC54)*E54</f>
        <v>0</v>
      </c>
    </row>
    <row r="52" spans="3:30" ht="18.649999999999999" customHeight="1">
      <c r="C52" s="15"/>
      <c r="D52" s="5" t="s">
        <v>32</v>
      </c>
      <c r="E52" s="6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94"/>
    </row>
    <row r="53" spans="3:30" ht="18.649999999999999" customHeight="1">
      <c r="C53" s="15"/>
      <c r="D53" s="5" t="s">
        <v>33</v>
      </c>
      <c r="E53" s="6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94"/>
    </row>
    <row r="54" spans="3:30" ht="18.649999999999999" customHeight="1">
      <c r="C54" s="16"/>
      <c r="D54" s="5" t="s">
        <v>34</v>
      </c>
      <c r="E54" s="6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95"/>
    </row>
    <row r="55" spans="3:30" ht="18.649999999999999" customHeight="1">
      <c r="AA55" s="73" t="s">
        <v>46</v>
      </c>
      <c r="AB55" s="74"/>
      <c r="AC55" s="75"/>
      <c r="AD55" s="9">
        <f>SUM(AD7:AD54)</f>
        <v>0</v>
      </c>
    </row>
    <row r="56" spans="3:30" ht="18.649999999999999" customHeight="1"/>
  </sheetData>
  <mergeCells count="16">
    <mergeCell ref="AD15:AD18"/>
    <mergeCell ref="C2:AD2"/>
    <mergeCell ref="C3:AD3"/>
    <mergeCell ref="C4:AD4"/>
    <mergeCell ref="AD7:AD10"/>
    <mergeCell ref="AD11:AD14"/>
    <mergeCell ref="AD43:AD46"/>
    <mergeCell ref="AD47:AD50"/>
    <mergeCell ref="AD51:AD54"/>
    <mergeCell ref="AA55:AC55"/>
    <mergeCell ref="AD19:AD22"/>
    <mergeCell ref="AD23:AD26"/>
    <mergeCell ref="AD27:AD30"/>
    <mergeCell ref="AD31:AD34"/>
    <mergeCell ref="AD35:AD38"/>
    <mergeCell ref="AD39:AD4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9E6A8F4FD75D4F983864B74DB84392" ma:contentTypeVersion="19" ma:contentTypeDescription="Crear nuevo documento." ma:contentTypeScope="" ma:versionID="8883d371a79f620dc76a3abe8a16c2af">
  <xsd:schema xmlns:xsd="http://www.w3.org/2001/XMLSchema" xmlns:xs="http://www.w3.org/2001/XMLSchema" xmlns:p="http://schemas.microsoft.com/office/2006/metadata/properties" xmlns:ns2="20f209a7-1359-40c6-86fe-9091c8270b74" xmlns:ns3="82abe3a3-6e4b-4543-a779-2a3e3746bbb7" xmlns:ns4="fde91536-cb6a-48c8-a1c9-f59bb520eba1" targetNamespace="http://schemas.microsoft.com/office/2006/metadata/properties" ma:root="true" ma:fieldsID="219e9e4e3ce64f1ea49b9591a3011a14" ns2:_="" ns3:_="" ns4:_="">
    <xsd:import namespace="20f209a7-1359-40c6-86fe-9091c8270b74"/>
    <xsd:import namespace="82abe3a3-6e4b-4543-a779-2a3e3746bbb7"/>
    <xsd:import namespace="fde91536-cb6a-48c8-a1c9-f59bb520e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209a7-1359-40c6-86fe-9091c8270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ca7b523-58f5-4d52-b53c-05f253e3d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be3a3-6e4b-4543-a779-2a3e3746b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91536-cb6a-48c8-a1c9-f59bb520eba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694ff3e-b4a5-4b34-b281-d10abf799c64}" ma:internalName="TaxCatchAll" ma:showField="CatchAllData" ma:web="82abe3a3-6e4b-4543-a779-2a3e3746b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f209a7-1359-40c6-86fe-9091c8270b74">
      <Terms xmlns="http://schemas.microsoft.com/office/infopath/2007/PartnerControls"/>
    </lcf76f155ced4ddcb4097134ff3c332f>
    <TaxCatchAll xmlns="fde91536-cb6a-48c8-a1c9-f59bb520eb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7E309A-B9BC-45EF-ABAE-7754231D986D}"/>
</file>

<file path=customXml/itemProps2.xml><?xml version="1.0" encoding="utf-8"?>
<ds:datastoreItem xmlns:ds="http://schemas.openxmlformats.org/officeDocument/2006/customXml" ds:itemID="{45335DA5-68F1-4BD9-9A62-5CA5F5498C57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20f209a7-1359-40c6-86fe-9091c8270b74"/>
    <ds:schemaRef ds:uri="82abe3a3-6e4b-4543-a779-2a3e3746bbb7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fde91536-cb6a-48c8-a1c9-f59bb520eba1"/>
  </ds:schemaRefs>
</ds:datastoreItem>
</file>

<file path=customXml/itemProps3.xml><?xml version="1.0" encoding="utf-8"?>
<ds:datastoreItem xmlns:ds="http://schemas.openxmlformats.org/officeDocument/2006/customXml" ds:itemID="{27E0A1FB-D788-4744-96DB-0168C5E344C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Cantidades 2026</vt:lpstr>
      <vt:lpstr>Cantidades 2027</vt:lpstr>
      <vt:lpstr>Cantidades 2028</vt:lpstr>
      <vt:lpstr>Cantidades 2029</vt:lpstr>
      <vt:lpstr>Cantidades 2030</vt:lpstr>
      <vt:lpstr>Oferta 2026</vt:lpstr>
      <vt:lpstr>Oferta 2027</vt:lpstr>
      <vt:lpstr>Oferta 2028</vt:lpstr>
      <vt:lpstr>Oferta 2029</vt:lpstr>
      <vt:lpstr>Oferta 2030</vt:lpstr>
      <vt:lpstr>Oferta Horaria 2026-2030</vt:lpstr>
      <vt:lpstr>'Oferta 2026'!Área_de_impresión</vt:lpstr>
      <vt:lpstr>'Oferta 2027'!Área_de_impresión</vt:lpstr>
      <vt:lpstr>'Oferta 2028'!Área_de_impresión</vt:lpstr>
      <vt:lpstr>'Oferta 2029'!Área_de_impresión</vt:lpstr>
      <vt:lpstr>'Oferta 2030'!Área_de_impresión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 DARIO PUERTA LEON</dc:creator>
  <cp:keywords/>
  <dc:description/>
  <cp:lastModifiedBy>ANGELA MARIA ROLDAN ARANGO</cp:lastModifiedBy>
  <cp:revision/>
  <dcterms:created xsi:type="dcterms:W3CDTF">2020-05-05T11:47:09Z</dcterms:created>
  <dcterms:modified xsi:type="dcterms:W3CDTF">2025-10-31T17:25:07Z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0x010100C49E6A8F4FD75D4F983864B74DB84392</vt:lpwstr>
  </property>
  <property fmtid="{D5CDD505-2E9C-101B-9397-08002B2CF9AE}" pid="5" name="MSIP_Label_666bb131-2344-48ed-84db-fe1e84a9fae2_Enabled">
    <vt:lpwstr>true</vt:lpwstr>
  </property>
  <property fmtid="{D5CDD505-2E9C-101B-9397-08002B2CF9AE}" pid="6" name="MSIP_Label_666bb131-2344-48ed-84db-fe1e84a9fae2_SetDate">
    <vt:lpwstr>2021-05-14T12:22:19Z</vt:lpwstr>
  </property>
  <property fmtid="{D5CDD505-2E9C-101B-9397-08002B2CF9AE}" pid="7" name="MSIP_Label_666bb131-2344-48ed-84db-fe1e84a9fae2_Method">
    <vt:lpwstr>Standard</vt:lpwstr>
  </property>
  <property fmtid="{D5CDD505-2E9C-101B-9397-08002B2CF9AE}" pid="8" name="MSIP_Label_666bb131-2344-48ed-84db-fe1e84a9fae2_Name">
    <vt:lpwstr>666bb131-2344-48ed-84db-fe1e84a9fae2</vt:lpwstr>
  </property>
  <property fmtid="{D5CDD505-2E9C-101B-9397-08002B2CF9AE}" pid="9" name="MSIP_Label_666bb131-2344-48ed-84db-fe1e84a9fae2_SiteId">
    <vt:lpwstr>bf1ce8b5-5d39-4bc5-ad6e-07b3e4d7d67a</vt:lpwstr>
  </property>
  <property fmtid="{D5CDD505-2E9C-101B-9397-08002B2CF9AE}" pid="10" name="MSIP_Label_666bb131-2344-48ed-84db-fe1e84a9fae2_ActionId">
    <vt:lpwstr>17af050d-f21b-4d5c-ade0-0a837a2dd3df</vt:lpwstr>
  </property>
  <property fmtid="{D5CDD505-2E9C-101B-9397-08002B2CF9AE}" pid="11" name="MSIP_Label_666bb131-2344-48ed-84db-fe1e84a9fae2_ContentBits">
    <vt:lpwstr>0</vt:lpwstr>
  </property>
  <property fmtid="{D5CDD505-2E9C-101B-9397-08002B2CF9AE}" pid="12" name="MediaServiceImageTags">
    <vt:lpwstr/>
  </property>
</Properties>
</file>