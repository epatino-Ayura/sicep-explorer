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mprasEnergia\Convocatorias - General\CP-CHCC2025-02\04_Pliegos definitivos y respuestas\"/>
    </mc:Choice>
  </mc:AlternateContent>
  <xr:revisionPtr revIDLastSave="0" documentId="13_ncr:1_{9CB69E9B-764D-4604-ADA2-E9617901F8E2}" xr6:coauthVersionLast="47" xr6:coauthVersionMax="47" xr10:uidLastSave="{00000000-0000-0000-0000-000000000000}"/>
  <bookViews>
    <workbookView xWindow="-110" yWindow="-110" windowWidth="19420" windowHeight="10300" tabRatio="844" firstSheet="7" activeTab="10" xr2:uid="{DBCF6EBD-C4B3-4CEE-B16A-4B2AC1F0ECF6}"/>
  </bookViews>
  <sheets>
    <sheet name="Oferta Producto 1" sheetId="31" r:id="rId1"/>
    <sheet name="Cantidad Producto 1-2027" sheetId="32" r:id="rId2"/>
    <sheet name="Cantidad Producto 1-2029" sheetId="33" r:id="rId3"/>
    <sheet name="Cantidad Producto 1-2030" sheetId="34" r:id="rId4"/>
    <sheet name="Oferta Producto 2" sheetId="17" r:id="rId5"/>
    <sheet name="Cantidad Producto 2 - 2027" sheetId="19" r:id="rId6"/>
    <sheet name="Cantidad Producto 2 - 2028" sheetId="20" r:id="rId7"/>
    <sheet name="Cantidad Producto 2 - 2029" sheetId="21" r:id="rId8"/>
    <sheet name="Cantidad Producto 2 - 2030" sheetId="23" r:id="rId9"/>
    <sheet name="Cantidad Producto 2 - 2031" sheetId="24" r:id="rId10"/>
    <sheet name="Cantidad Producto 2 - 2032" sheetId="25" r:id="rId11"/>
    <sheet name="Cantidad Producto 2 - 2033" sheetId="26" r:id="rId12"/>
    <sheet name="Cantidad Producto 2 - 2034" sheetId="27" r:id="rId13"/>
    <sheet name="Cantidad Producto 2 - 2035" sheetId="28" r:id="rId14"/>
    <sheet name="Cantidad Producto 2 - 2036" sheetId="29" r:id="rId15"/>
    <sheet name="Cantidad Producto 2 - 2037" sheetId="30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34" l="1"/>
  <c r="AE7" i="34"/>
  <c r="AE8" i="34"/>
  <c r="AE9" i="34"/>
  <c r="AE10" i="34"/>
  <c r="AC11" i="34"/>
  <c r="AE12" i="34"/>
  <c r="AE13" i="34"/>
  <c r="AE14" i="34"/>
  <c r="AC15" i="34"/>
  <c r="AE17" i="34"/>
  <c r="AE18" i="34"/>
  <c r="AC19" i="34"/>
  <c r="AC55" i="34" s="1"/>
  <c r="AC23" i="34"/>
  <c r="AE11" i="34" s="1"/>
  <c r="AC27" i="34"/>
  <c r="AC31" i="34"/>
  <c r="AC35" i="34"/>
  <c r="AC39" i="34"/>
  <c r="AE15" i="34" s="1"/>
  <c r="AC43" i="34"/>
  <c r="AE16" i="34" s="1"/>
  <c r="AC47" i="34"/>
  <c r="AC51" i="34"/>
  <c r="AC51" i="33"/>
  <c r="AC47" i="33"/>
  <c r="AC43" i="33"/>
  <c r="AC39" i="33"/>
  <c r="AE15" i="33" s="1"/>
  <c r="AC35" i="33"/>
  <c r="AE14" i="33" s="1"/>
  <c r="AC31" i="33"/>
  <c r="AE13" i="33" s="1"/>
  <c r="AC27" i="33"/>
  <c r="AE12" i="33" s="1"/>
  <c r="AC23" i="33"/>
  <c r="AE11" i="33" s="1"/>
  <c r="AC19" i="33"/>
  <c r="AE10" i="33" s="1"/>
  <c r="AE18" i="33"/>
  <c r="AE17" i="33"/>
  <c r="AE16" i="33"/>
  <c r="AC15" i="33"/>
  <c r="AC11" i="33"/>
  <c r="AE9" i="33"/>
  <c r="AE8" i="33"/>
  <c r="AE7" i="33"/>
  <c r="AC7" i="33"/>
  <c r="AC55" i="33" s="1"/>
  <c r="AC51" i="32"/>
  <c r="AC47" i="32"/>
  <c r="AE17" i="32" s="1"/>
  <c r="AC43" i="32"/>
  <c r="AE16" i="32" s="1"/>
  <c r="AC39" i="32"/>
  <c r="AE15" i="32" s="1"/>
  <c r="AC35" i="32"/>
  <c r="AC31" i="32"/>
  <c r="AE13" i="32" s="1"/>
  <c r="AC27" i="32"/>
  <c r="AE12" i="32" s="1"/>
  <c r="AC23" i="32"/>
  <c r="AE11" i="32" s="1"/>
  <c r="AC19" i="32"/>
  <c r="AE10" i="32" s="1"/>
  <c r="AE18" i="32"/>
  <c r="AC15" i="32"/>
  <c r="AE14" i="32"/>
  <c r="AC11" i="32"/>
  <c r="AE9" i="32"/>
  <c r="AE8" i="32"/>
  <c r="AC7" i="32"/>
  <c r="AC55" i="32" s="1"/>
  <c r="C25" i="31"/>
  <c r="E25" i="31" s="1"/>
  <c r="C24" i="31"/>
  <c r="E24" i="31" s="1"/>
  <c r="C23" i="31"/>
  <c r="E23" i="31" s="1"/>
  <c r="C22" i="31"/>
  <c r="E22" i="31" s="1"/>
  <c r="C21" i="31"/>
  <c r="E21" i="31" s="1"/>
  <c r="C20" i="31"/>
  <c r="E20" i="31" s="1"/>
  <c r="C19" i="31"/>
  <c r="E19" i="31" s="1"/>
  <c r="C18" i="31"/>
  <c r="E18" i="31" s="1"/>
  <c r="C17" i="31"/>
  <c r="E17" i="31" s="1"/>
  <c r="C16" i="31"/>
  <c r="E16" i="31" s="1"/>
  <c r="C15" i="31"/>
  <c r="E15" i="31" s="1"/>
  <c r="C14" i="31"/>
  <c r="E14" i="31" s="1"/>
  <c r="E50" i="31" s="1"/>
  <c r="AC11" i="29"/>
  <c r="AC11" i="25"/>
  <c r="AC11" i="19"/>
  <c r="AC51" i="30"/>
  <c r="AC47" i="30"/>
  <c r="AC43" i="30"/>
  <c r="AC39" i="30"/>
  <c r="AC35" i="30"/>
  <c r="AC31" i="30"/>
  <c r="AC27" i="30"/>
  <c r="AC23" i="30"/>
  <c r="AC19" i="30"/>
  <c r="AC15" i="30"/>
  <c r="AC11" i="30"/>
  <c r="AC7" i="30"/>
  <c r="AC51" i="29"/>
  <c r="AC47" i="29"/>
  <c r="AC43" i="29"/>
  <c r="AC39" i="29"/>
  <c r="AC35" i="29"/>
  <c r="AC31" i="29"/>
  <c r="AC27" i="29"/>
  <c r="AC23" i="29"/>
  <c r="AC19" i="29"/>
  <c r="AC15" i="29"/>
  <c r="AC7" i="29"/>
  <c r="AC51" i="28"/>
  <c r="AC47" i="28"/>
  <c r="AC43" i="28"/>
  <c r="AC39" i="28"/>
  <c r="AC35" i="28"/>
  <c r="AC31" i="28"/>
  <c r="AC27" i="28"/>
  <c r="AC23" i="28"/>
  <c r="AC19" i="28"/>
  <c r="AC15" i="28"/>
  <c r="AC11" i="28"/>
  <c r="AC7" i="28"/>
  <c r="AC51" i="27"/>
  <c r="AC47" i="27"/>
  <c r="AC43" i="27"/>
  <c r="AC39" i="27"/>
  <c r="AC35" i="27"/>
  <c r="AC31" i="27"/>
  <c r="AC27" i="27"/>
  <c r="AC23" i="27"/>
  <c r="AC19" i="27"/>
  <c r="AC15" i="27"/>
  <c r="AC11" i="27"/>
  <c r="AC7" i="27"/>
  <c r="AC55" i="27" s="1"/>
  <c r="AC51" i="26"/>
  <c r="AC47" i="26"/>
  <c r="AC43" i="26"/>
  <c r="AC39" i="26"/>
  <c r="AC35" i="26"/>
  <c r="AC31" i="26"/>
  <c r="AC27" i="26"/>
  <c r="AC23" i="26"/>
  <c r="AC19" i="26"/>
  <c r="AC15" i="26"/>
  <c r="AC11" i="26"/>
  <c r="AC7" i="26"/>
  <c r="AC51" i="25"/>
  <c r="AC47" i="25"/>
  <c r="AC43" i="25"/>
  <c r="AC39" i="25"/>
  <c r="AC35" i="25"/>
  <c r="AC31" i="25"/>
  <c r="AC27" i="25"/>
  <c r="AC23" i="25"/>
  <c r="AC19" i="25"/>
  <c r="AC15" i="25"/>
  <c r="AC7" i="25"/>
  <c r="AC51" i="24"/>
  <c r="AC47" i="24"/>
  <c r="AC43" i="24"/>
  <c r="AC39" i="24"/>
  <c r="AC35" i="24"/>
  <c r="AC31" i="24"/>
  <c r="AC27" i="24"/>
  <c r="AC23" i="24"/>
  <c r="AC19" i="24"/>
  <c r="AC15" i="24"/>
  <c r="AC11" i="24"/>
  <c r="AC7" i="24"/>
  <c r="AC51" i="23"/>
  <c r="AC47" i="23"/>
  <c r="AC43" i="23"/>
  <c r="AC39" i="23"/>
  <c r="AC35" i="23"/>
  <c r="AC31" i="23"/>
  <c r="AC27" i="23"/>
  <c r="AC23" i="23"/>
  <c r="AC19" i="23"/>
  <c r="AC15" i="23"/>
  <c r="AC11" i="23"/>
  <c r="AC7" i="23"/>
  <c r="AC55" i="23" s="1"/>
  <c r="AC51" i="21"/>
  <c r="AC47" i="21"/>
  <c r="AC43" i="21"/>
  <c r="AC39" i="21"/>
  <c r="AC35" i="21"/>
  <c r="AC31" i="21"/>
  <c r="AC27" i="21"/>
  <c r="AC23" i="21"/>
  <c r="AC19" i="21"/>
  <c r="AC15" i="21"/>
  <c r="AC11" i="21"/>
  <c r="AC7" i="21"/>
  <c r="AC51" i="20"/>
  <c r="AC47" i="20"/>
  <c r="AC43" i="20"/>
  <c r="AC39" i="20"/>
  <c r="AC35" i="20"/>
  <c r="AC31" i="20"/>
  <c r="AC27" i="20"/>
  <c r="AC23" i="20"/>
  <c r="AC19" i="20"/>
  <c r="AC15" i="20"/>
  <c r="AC11" i="20"/>
  <c r="AC7" i="20"/>
  <c r="AC55" i="20" s="1"/>
  <c r="AC51" i="19"/>
  <c r="AC47" i="19"/>
  <c r="AC43" i="19"/>
  <c r="AC39" i="19"/>
  <c r="AC35" i="19"/>
  <c r="AC31" i="19"/>
  <c r="AC27" i="19"/>
  <c r="AC23" i="19"/>
  <c r="AC19" i="19"/>
  <c r="AC15" i="19"/>
  <c r="AC7" i="19"/>
  <c r="AE7" i="32" l="1"/>
  <c r="AE19" i="32" s="1"/>
  <c r="C50" i="31"/>
  <c r="AC55" i="30"/>
  <c r="AC55" i="29"/>
  <c r="AC55" i="28"/>
  <c r="AC55" i="26"/>
  <c r="AC55" i="19"/>
  <c r="AC55" i="25"/>
  <c r="AC55" i="24"/>
  <c r="AC55" i="21"/>
  <c r="C146" i="17"/>
</calcChain>
</file>

<file path=xl/sharedStrings.xml><?xml version="1.0" encoding="utf-8"?>
<sst xmlns="http://schemas.openxmlformats.org/spreadsheetml/2006/main" count="1840" uniqueCount="90">
  <si>
    <t>ANEXO. CANTIDADES DE ENERGÍA Y PRECIO</t>
  </si>
  <si>
    <t>PRODUCTO:</t>
  </si>
  <si>
    <t>CONVOCATORIA PUBLICA:</t>
  </si>
  <si>
    <t>OFERENTE:</t>
  </si>
  <si>
    <t>AÑO:</t>
  </si>
  <si>
    <t>CANTIDAD EN:</t>
  </si>
  <si>
    <t>KWh</t>
  </si>
  <si>
    <t>EN PESOS DE</t>
  </si>
  <si>
    <t>INDICADOR:</t>
  </si>
  <si>
    <t>IPP- PROVISIONAL</t>
  </si>
  <si>
    <t>TIPO DE CONTRATO:</t>
  </si>
  <si>
    <t>TIPO DE CARGA:</t>
  </si>
  <si>
    <t xml:space="preserve">Fecha </t>
  </si>
  <si>
    <t>Energia Solicitada kWh</t>
  </si>
  <si>
    <t>Porcentaje Ofertado %</t>
  </si>
  <si>
    <t>Energia Ofertada kWh</t>
  </si>
  <si>
    <t>Precio $/KWh</t>
  </si>
  <si>
    <t>%</t>
  </si>
  <si>
    <t xml:space="preserve">Notas: </t>
  </si>
  <si>
    <t>Total producto</t>
  </si>
  <si>
    <t>2027-2037</t>
  </si>
  <si>
    <r>
      <t>Ofertas Planas:</t>
    </r>
    <r>
      <rPr>
        <sz val="11"/>
        <color theme="1"/>
        <rFont val="Calibri"/>
        <family val="2"/>
        <scheme val="minor"/>
      </rPr>
      <t xml:space="preserve"> Se aceptarán ofertas planas con valores iguales o inferiores a 8000 kWh.</t>
    </r>
  </si>
  <si>
    <r>
      <t>Tipo de Contrato:</t>
    </r>
    <r>
      <rPr>
        <sz val="11"/>
        <color theme="1"/>
        <rFont val="Calibri"/>
        <family val="2"/>
        <scheme val="minor"/>
      </rPr>
      <t xml:space="preserve"> El contrato será bajo la modalidad "pague lo contratado".</t>
    </r>
  </si>
  <si>
    <r>
      <t>Porcentaje de Energía a Ofertar:</t>
    </r>
    <r>
      <rPr>
        <sz val="11"/>
        <color theme="1"/>
        <rFont val="Calibri"/>
        <family val="2"/>
        <scheme val="minor"/>
      </rPr>
      <t xml:space="preserve"> El porcentaje de energía ofrecido debe ser el mismo para la totalidad del producto. </t>
    </r>
  </si>
  <si>
    <t>Los precios pueden variar anualmente; no obstante, el precio debe ser el mismo para cada mes dentro de un mismo año.</t>
  </si>
  <si>
    <t>A continuación, se detallan los parámetros que deben considerar al presentar sus ofertas para el Producto 2:</t>
  </si>
  <si>
    <t>PLANA</t>
  </si>
  <si>
    <t>CHCC2025002</t>
  </si>
  <si>
    <t>PLC</t>
  </si>
  <si>
    <t>CANTIDADES DE ENERGÍA SOLICITADAS (kWh)</t>
  </si>
  <si>
    <t>CENTRAL HIDROELECTRICA DE CALDAS S.A. E.S.P. -BENEFICIO E INTERÉS COLECTIVO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</si>
  <si>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</si>
  <si>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</si>
  <si>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</si>
  <si>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</si>
  <si>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</si>
  <si>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</si>
  <si>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</si>
  <si>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</si>
  <si>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</si>
  <si>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</si>
  <si>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</si>
  <si>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</si>
  <si>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</si>
  <si>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</si>
  <si>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</si>
  <si>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</si>
  <si>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</si>
  <si>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</si>
  <si>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</si>
  <si>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</si>
  <si>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</si>
  <si>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</si>
  <si>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</si>
  <si>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</si>
  <si>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</si>
  <si>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</si>
  <si>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</si>
  <si>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</si>
  <si>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</si>
  <si>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</si>
  <si>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</si>
  <si>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</si>
  <si>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</si>
  <si>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</si>
  <si>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</si>
  <si>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</si>
  <si>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</si>
  <si>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</si>
  <si>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</si>
  <si>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</si>
  <si>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</si>
  <si>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</si>
  <si>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</si>
  <si>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</si>
  <si>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</si>
  <si>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CP-CHCC2025-002</t>
  </si>
  <si>
    <t>2027-2029 y 2030</t>
  </si>
  <si>
    <t>kWh</t>
  </si>
  <si>
    <t>CURVA</t>
  </si>
  <si>
    <t>Total año</t>
  </si>
  <si>
    <t>A continuación, se detallan los parámetros que deben considerar al presentar sus ofertas para el Producto 1:</t>
  </si>
  <si>
    <r>
      <t xml:space="preserve">1)La </t>
    </r>
    <r>
      <rPr>
        <b/>
        <sz val="11"/>
        <color theme="1"/>
        <rFont val="Calibri"/>
        <family val="2"/>
        <scheme val="minor"/>
      </rPr>
      <t>energía ofertada</t>
    </r>
    <r>
      <rPr>
        <sz val="11"/>
        <color theme="1"/>
        <rFont val="Calibri"/>
        <family val="2"/>
        <scheme val="minor"/>
      </rPr>
      <t xml:space="preserve"> debe distribuirse de forma horaria, siguiendo la curva de carga especificada en la hoja "Cantidades Producto 1".</t>
    </r>
  </si>
  <si>
    <r>
      <t xml:space="preserve">2)Se aceptan ofertas con </t>
    </r>
    <r>
      <rPr>
        <b/>
        <sz val="11"/>
        <color theme="1"/>
        <rFont val="Calibri"/>
        <family val="2"/>
        <scheme val="minor"/>
      </rPr>
      <t>curva de carga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ofertas planas</t>
    </r>
    <r>
      <rPr>
        <sz val="11"/>
        <color theme="1"/>
        <rFont val="Calibri"/>
        <family val="2"/>
        <scheme val="minor"/>
      </rPr>
      <t>. Para las ofertas planas, ten en cuenta los siguientes topes:</t>
    </r>
  </si>
  <si>
    <r>
      <t>2027:</t>
    </r>
    <r>
      <rPr>
        <sz val="11"/>
        <color theme="1"/>
        <rFont val="Calibri"/>
        <family val="2"/>
        <scheme val="minor"/>
      </rPr>
      <t xml:space="preserve"> hasta 5.000 kWh</t>
    </r>
  </si>
  <si>
    <r>
      <t>2029:</t>
    </r>
    <r>
      <rPr>
        <sz val="11"/>
        <color theme="1"/>
        <rFont val="Calibri"/>
        <family val="2"/>
        <scheme val="minor"/>
      </rPr>
      <t xml:space="preserve"> hasta 2.000 kWh</t>
    </r>
  </si>
  <si>
    <r>
      <t>2030:</t>
    </r>
    <r>
      <rPr>
        <sz val="11"/>
        <color theme="1"/>
        <rFont val="Calibri"/>
        <family val="2"/>
        <scheme val="minor"/>
      </rPr>
      <t xml:space="preserve"> hasta 3.000 kWh</t>
    </r>
  </si>
  <si>
    <r>
      <t xml:space="preserve">3)El </t>
    </r>
    <r>
      <rPr>
        <b/>
        <sz val="11"/>
        <color theme="1"/>
        <rFont val="Calibri"/>
        <family val="2"/>
        <scheme val="minor"/>
      </rPr>
      <t>tipo de contrato</t>
    </r>
    <r>
      <rPr>
        <sz val="11"/>
        <color theme="1"/>
        <rFont val="Calibri"/>
        <family val="2"/>
        <scheme val="minor"/>
      </rPr>
      <t xml:space="preserve"> es "pague lo contratado".</t>
    </r>
  </si>
  <si>
    <r>
      <t xml:space="preserve">4)El </t>
    </r>
    <r>
      <rPr>
        <b/>
        <sz val="11"/>
        <color theme="1"/>
        <rFont val="Calibri"/>
        <family val="2"/>
        <scheme val="minor"/>
      </rPr>
      <t>precio ofertado</t>
    </r>
    <r>
      <rPr>
        <sz val="11"/>
        <color theme="1"/>
        <rFont val="Calibri"/>
        <family val="2"/>
        <scheme val="minor"/>
      </rPr>
      <t xml:space="preserve"> debe expresarse en </t>
    </r>
    <r>
      <rPr>
        <b/>
        <sz val="11"/>
        <color theme="1"/>
        <rFont val="Calibri"/>
        <family val="2"/>
        <scheme val="minor"/>
      </rPr>
      <t>$kWh</t>
    </r>
    <r>
      <rPr>
        <sz val="11"/>
        <color theme="1"/>
        <rFont val="Calibri"/>
        <family val="2"/>
        <scheme val="minor"/>
      </rPr>
      <t xml:space="preserve"> (pesos colombianos por kilovatio-hora), con valores ajustados a </t>
    </r>
    <r>
      <rPr>
        <b/>
        <sz val="11"/>
        <color theme="1"/>
        <rFont val="Calibri"/>
        <family val="2"/>
        <scheme val="minor"/>
      </rPr>
      <t>julio de 2025</t>
    </r>
    <r>
      <rPr>
        <sz val="11"/>
        <color theme="1"/>
        <rFont val="Calibri"/>
        <family val="2"/>
        <scheme val="minor"/>
      </rPr>
      <t>.</t>
    </r>
  </si>
  <si>
    <r>
      <t xml:space="preserve">5)Tanto el </t>
    </r>
    <r>
      <rPr>
        <b/>
        <sz val="11"/>
        <color theme="1"/>
        <rFont val="Calibri"/>
        <family val="2"/>
        <scheme val="minor"/>
      </rPr>
      <t>porcentaje de oferta</t>
    </r>
    <r>
      <rPr>
        <sz val="11"/>
        <color theme="1"/>
        <rFont val="Calibri"/>
        <family val="2"/>
        <scheme val="minor"/>
      </rPr>
      <t xml:space="preserve"> como el </t>
    </r>
    <r>
      <rPr>
        <b/>
        <sz val="11"/>
        <color theme="1"/>
        <rFont val="Calibri"/>
        <family val="2"/>
        <scheme val="minor"/>
      </rPr>
      <t>precio ofertado</t>
    </r>
    <r>
      <rPr>
        <sz val="11"/>
        <color theme="1"/>
        <rFont val="Calibri"/>
        <family val="2"/>
        <scheme val="minor"/>
      </rPr>
      <t xml:space="preserve"> pueden variar para cada año. 
Sin embargo, para cada mes dentro de un mismo año, el precio y el porcentaje ofertado deben ser </t>
    </r>
    <r>
      <rPr>
        <b/>
        <sz val="11"/>
        <color theme="1"/>
        <rFont val="Calibri"/>
        <family val="2"/>
        <scheme val="minor"/>
      </rPr>
      <t>iguales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</si>
</sst>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\ _€_-;\-* #,##0\ _€_-;_-* &quot;-&quot;\ _€_-;_-@_-"/>
    <numFmt numFmtId="166" formatCode="_-* #,##0.00\ _€_-;\-* #,##0.00\ _€_-;_-* &quot;-&quot;\ _€_-;_-@_-"/>
    <numFmt numFmtId="167" formatCode="_-* #,##0.00_-;\-* #,##0.00_-;_-* &quot;-&quot;_-;_-@_-"/>
    <numFmt numFmtId="168" formatCode="_-* #,##0.0_-;\-* #,##0.0_-;_-* &quot;-&quot;??_-;_-@_-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Arial"/>
      <family val="2"/>
    </font>
    <font>
      <b/>
      <sz val="10"/>
      <name val="Calibri Light"/>
      <family val="2"/>
      <scheme val="major"/>
    </font>
    <font>
      <sz val="11"/>
      <color indexed="8"/>
      <name val="Calibri"/>
      <family val="2"/>
    </font>
    <font>
      <b/>
      <sz val="12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2"/>
      <color theme="1"/>
      <name val="Calibri Light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7" fillId="0" borderId="0"/>
    <xf numFmtId="0" fontId="9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4" fillId="2" borderId="0" xfId="1" applyFont="1" applyFill="1" applyAlignment="1">
      <alignment horizontal="left" vertical="top"/>
    </xf>
    <xf numFmtId="0" fontId="5" fillId="0" borderId="0" xfId="2" applyFont="1"/>
    <xf numFmtId="0" fontId="6" fillId="0" borderId="0" xfId="0" applyFont="1"/>
    <xf numFmtId="0" fontId="4" fillId="0" borderId="0" xfId="3" applyFont="1" applyAlignment="1">
      <alignment horizontal="left"/>
    </xf>
    <xf numFmtId="0" fontId="8" fillId="0" borderId="0" xfId="2" applyFont="1" applyAlignment="1">
      <alignment horizontal="left"/>
    </xf>
    <xf numFmtId="0" fontId="10" fillId="2" borderId="0" xfId="4" applyFont="1" applyFill="1"/>
    <xf numFmtId="0" fontId="4" fillId="2" borderId="0" xfId="3" applyFont="1" applyFill="1" applyAlignment="1">
      <alignment horizontal="left" wrapText="1"/>
    </xf>
    <xf numFmtId="4" fontId="4" fillId="2" borderId="0" xfId="3" applyNumberFormat="1" applyFont="1" applyFill="1" applyAlignment="1">
      <alignment horizontal="left"/>
    </xf>
    <xf numFmtId="0" fontId="4" fillId="2" borderId="0" xfId="3" applyFont="1" applyFill="1" applyAlignment="1">
      <alignment horizontal="left"/>
    </xf>
    <xf numFmtId="17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7" fontId="4" fillId="2" borderId="1" xfId="3" applyNumberFormat="1" applyFont="1" applyFill="1" applyBorder="1" applyAlignment="1">
      <alignment horizontal="left" wrapText="1"/>
    </xf>
    <xf numFmtId="17" fontId="4" fillId="0" borderId="1" xfId="3" applyNumberFormat="1" applyFont="1" applyBorder="1" applyAlignment="1">
      <alignment horizontal="left" wrapText="1"/>
    </xf>
    <xf numFmtId="0" fontId="8" fillId="0" borderId="0" xfId="2" applyFont="1" applyAlignment="1">
      <alignment horizontal="center"/>
    </xf>
    <xf numFmtId="17" fontId="8" fillId="0" borderId="1" xfId="0" applyNumberFormat="1" applyFont="1" applyBorder="1" applyAlignment="1">
      <alignment horizontal="center" vertical="center"/>
    </xf>
    <xf numFmtId="166" fontId="5" fillId="0" borderId="1" xfId="5" applyNumberFormat="1" applyFont="1" applyFill="1" applyBorder="1" applyAlignment="1">
      <alignment horizontal="center" vertical="center"/>
    </xf>
    <xf numFmtId="10" fontId="5" fillId="3" borderId="1" xfId="6" applyNumberFormat="1" applyFont="1" applyFill="1" applyBorder="1" applyAlignment="1">
      <alignment horizontal="center" vertical="center"/>
    </xf>
    <xf numFmtId="164" fontId="5" fillId="3" borderId="1" xfId="7" applyFont="1" applyFill="1" applyBorder="1" applyAlignment="1">
      <alignment vertical="center"/>
    </xf>
    <xf numFmtId="167" fontId="5" fillId="0" borderId="0" xfId="2" applyNumberFormat="1" applyFont="1"/>
    <xf numFmtId="166" fontId="8" fillId="0" borderId="1" xfId="5" applyNumberFormat="1" applyFont="1" applyFill="1" applyBorder="1" applyAlignment="1">
      <alignment horizontal="center" vertical="center"/>
    </xf>
    <xf numFmtId="9" fontId="5" fillId="3" borderId="1" xfId="6" applyFont="1" applyFill="1" applyBorder="1" applyAlignment="1">
      <alignment horizontal="center" vertical="center"/>
    </xf>
    <xf numFmtId="41" fontId="5" fillId="0" borderId="0" xfId="8" applyFont="1"/>
    <xf numFmtId="10" fontId="5" fillId="0" borderId="0" xfId="2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3" fontId="5" fillId="0" borderId="0" xfId="2" applyNumberFormat="1" applyFont="1"/>
    <xf numFmtId="165" fontId="5" fillId="0" borderId="0" xfId="2" applyNumberFormat="1" applyFont="1"/>
    <xf numFmtId="0" fontId="13" fillId="0" borderId="0" xfId="0" applyFont="1"/>
    <xf numFmtId="0" fontId="14" fillId="0" borderId="0" xfId="0" applyFont="1"/>
    <xf numFmtId="43" fontId="14" fillId="0" borderId="0" xfId="9" applyFont="1"/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43" fontId="16" fillId="4" borderId="1" xfId="9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14" fillId="0" borderId="1" xfId="9" applyFont="1" applyBorder="1" applyAlignment="1">
      <alignment horizontal="center" vertical="center" wrapText="1"/>
    </xf>
    <xf numFmtId="43" fontId="16" fillId="0" borderId="1" xfId="9" applyFont="1" applyBorder="1" applyAlignment="1">
      <alignment horizontal="center"/>
    </xf>
    <xf numFmtId="43" fontId="14" fillId="0" borderId="0" xfId="10" applyFont="1"/>
    <xf numFmtId="0" fontId="2" fillId="0" borderId="1" xfId="0" applyFont="1" applyBorder="1" applyAlignment="1">
      <alignment horizontal="center" vertical="center" wrapText="1"/>
    </xf>
    <xf numFmtId="43" fontId="14" fillId="0" borderId="2" xfId="9" applyFont="1" applyBorder="1" applyAlignment="1">
      <alignment horizontal="center" vertical="center" wrapText="1"/>
    </xf>
    <xf numFmtId="43" fontId="14" fillId="0" borderId="3" xfId="9" applyFont="1" applyBorder="1" applyAlignment="1">
      <alignment horizontal="center" vertical="center" wrapText="1"/>
    </xf>
    <xf numFmtId="43" fontId="14" fillId="0" borderId="4" xfId="9" applyFont="1" applyBorder="1" applyAlignment="1">
      <alignment horizontal="center" vertical="center" wrapText="1"/>
    </xf>
    <xf numFmtId="43" fontId="16" fillId="0" borderId="1" xfId="9" applyFont="1" applyBorder="1" applyAlignment="1">
      <alignment horizontal="center"/>
    </xf>
    <xf numFmtId="43" fontId="14" fillId="0" borderId="2" xfId="9" applyFont="1" applyFill="1" applyBorder="1" applyAlignment="1">
      <alignment horizontal="center" vertical="center" wrapText="1"/>
    </xf>
    <xf numFmtId="43" fontId="14" fillId="0" borderId="3" xfId="9" applyFont="1" applyFill="1" applyBorder="1" applyAlignment="1">
      <alignment horizontal="center" vertical="center" wrapText="1"/>
    </xf>
    <xf numFmtId="43" fontId="14" fillId="0" borderId="4" xfId="9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2"/>
    </xf>
    <xf numFmtId="0" fontId="18" fillId="0" borderId="0" xfId="0" applyFont="1" applyAlignment="1">
      <alignment horizontal="center"/>
    </xf>
    <xf numFmtId="0" fontId="2" fillId="0" borderId="0" xfId="0" applyFont="1"/>
    <xf numFmtId="0" fontId="18" fillId="4" borderId="1" xfId="0" applyFont="1" applyFill="1" applyBorder="1" applyAlignment="1">
      <alignment horizontal="center" vertical="center" wrapText="1"/>
    </xf>
    <xf numFmtId="43" fontId="2" fillId="0" borderId="1" xfId="9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43" fontId="14" fillId="0" borderId="0" xfId="0" applyNumberFormat="1" applyFont="1"/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19" fillId="0" borderId="0" xfId="0" applyNumberFormat="1" applyFont="1"/>
    <xf numFmtId="3" fontId="14" fillId="0" borderId="0" xfId="0" applyNumberFormat="1" applyFont="1"/>
    <xf numFmtId="0" fontId="18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0" fontId="16" fillId="4" borderId="1" xfId="0" applyFont="1" applyFill="1" applyBorder="1" applyAlignment="1">
      <alignment horizontal="center" vertical="center" wrapText="1"/>
    </xf>
    <xf numFmtId="168" fontId="14" fillId="0" borderId="1" xfId="9" applyNumberFormat="1" applyFont="1" applyBorder="1" applyAlignment="1">
      <alignment horizontal="center" vertical="center" wrapText="1"/>
    </xf>
    <xf numFmtId="169" fontId="14" fillId="0" borderId="2" xfId="9" applyNumberFormat="1" applyFont="1" applyBorder="1" applyAlignment="1">
      <alignment horizontal="center" vertical="center" wrapText="1"/>
    </xf>
    <xf numFmtId="169" fontId="14" fillId="0" borderId="3" xfId="9" applyNumberFormat="1" applyFont="1" applyBorder="1" applyAlignment="1">
      <alignment horizontal="center" vertical="center" wrapText="1"/>
    </xf>
    <xf numFmtId="169" fontId="14" fillId="0" borderId="4" xfId="9" applyNumberFormat="1" applyFont="1" applyBorder="1" applyAlignment="1">
      <alignment horizontal="center" vertical="center" wrapText="1"/>
    </xf>
    <xf numFmtId="169" fontId="14" fillId="0" borderId="0" xfId="9" applyNumberFormat="1" applyFont="1"/>
    <xf numFmtId="169" fontId="16" fillId="0" borderId="1" xfId="9" applyNumberFormat="1" applyFont="1" applyBorder="1" applyAlignment="1">
      <alignment horizontal="center"/>
    </xf>
    <xf numFmtId="169" fontId="16" fillId="0" borderId="1" xfId="9" applyNumberFormat="1" applyFont="1" applyBorder="1" applyAlignment="1">
      <alignment horizontal="center"/>
    </xf>
    <xf numFmtId="4" fontId="14" fillId="0" borderId="0" xfId="0" applyNumberFormat="1" applyFont="1"/>
    <xf numFmtId="169" fontId="14" fillId="0" borderId="1" xfId="9" applyNumberFormat="1" applyFont="1" applyBorder="1" applyAlignment="1">
      <alignment horizontal="center" vertical="center" wrapText="1"/>
    </xf>
  </cellXfs>
  <cellStyles count="11">
    <cellStyle name="Millares" xfId="10" builtinId="3"/>
    <cellStyle name="Millares [0] 2" xfId="5" xr:uid="{0EA07DCC-854A-4F1A-B1E5-0D0296A936D5}"/>
    <cellStyle name="Millares [0] 3" xfId="8" xr:uid="{F0060658-987A-48E1-A5A6-8CCAA327086E}"/>
    <cellStyle name="Millares 2" xfId="9" xr:uid="{889D0C12-6D05-48AD-BEAF-0C755E2EBD67}"/>
    <cellStyle name="Moneda 2" xfId="7" xr:uid="{EC3682A8-E881-462C-A8F6-3831E16C7F0E}"/>
    <cellStyle name="Normal" xfId="0" builtinId="0"/>
    <cellStyle name="Normal 3 2" xfId="2" xr:uid="{9E89C3C0-3B7A-42E3-AE86-D2559E2D33CF}"/>
    <cellStyle name="Normal_ENE99" xfId="3" xr:uid="{4912E6F3-3141-4459-B182-28057013CBDA}"/>
    <cellStyle name="Normal_GC00-001" xfId="1" xr:uid="{12C5EDDB-28C3-4989-90A7-3A05677D6917}"/>
    <cellStyle name="Normal_TABLA DE COMO SE ARMA PRECIOS" xfId="4" xr:uid="{E3DFA84D-E2C3-49CD-AB44-1B60CD32F390}"/>
    <cellStyle name="Porcentaje 2" xfId="6" xr:uid="{A293A1C8-D519-442D-AB85-A3E837E68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ComprasEnergia\Convocatorias%20-%20General\CP-CHCC2025-02\04_Pliegos%20definitivos%20y%20respuestas\Cantidades%20y%20Ofertas%20_producto1_CHCC2025002.xlsx" TargetMode="External"/><Relationship Id="rId1" Type="http://schemas.openxmlformats.org/officeDocument/2006/relationships/externalLinkPath" Target="Cantidades%20y%20Ofertas%20_producto1_CHCC2025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erta Producto 1"/>
      <sheetName val="Cantidad Producto 1-2027"/>
      <sheetName val="Cantidad Producto 1-2029"/>
    </sheetNames>
    <sheetDataSet>
      <sheetData sheetId="0"/>
      <sheetData sheetId="1">
        <row r="7">
          <cell r="AE7">
            <v>5771094.8400000008</v>
          </cell>
        </row>
        <row r="8">
          <cell r="AE8">
            <v>5363535.4400000013</v>
          </cell>
        </row>
        <row r="9">
          <cell r="AE9">
            <v>5627140.1399999987</v>
          </cell>
        </row>
        <row r="10">
          <cell r="AE10">
            <v>5689823.7400000002</v>
          </cell>
        </row>
        <row r="11">
          <cell r="AE11">
            <v>5648050.7299999986</v>
          </cell>
        </row>
        <row r="12">
          <cell r="AE12">
            <v>5640253.2400000002</v>
          </cell>
        </row>
        <row r="13">
          <cell r="AE13">
            <v>5243214.5</v>
          </cell>
        </row>
        <row r="14">
          <cell r="AE14">
            <v>5463238.9500000002</v>
          </cell>
        </row>
        <row r="15">
          <cell r="AE15">
            <v>5261452.12</v>
          </cell>
        </row>
        <row r="16">
          <cell r="AE16">
            <v>5492375.1399999997</v>
          </cell>
        </row>
        <row r="17">
          <cell r="AE17">
            <v>5323864.0799999991</v>
          </cell>
        </row>
        <row r="18">
          <cell r="AE18">
            <v>5496598.7100000009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CC42-441F-4B99-AD04-E5E63CA42F9C}">
  <dimension ref="B1:K62"/>
  <sheetViews>
    <sheetView showGridLines="0" topLeftCell="A11" workbookViewId="0">
      <selection activeCell="C14" sqref="C14:C25"/>
    </sheetView>
  </sheetViews>
  <sheetFormatPr baseColWidth="10" defaultColWidth="10.81640625" defaultRowHeight="14.5" x14ac:dyDescent="0.35"/>
  <cols>
    <col min="1" max="1" width="4.54296875" style="3" customWidth="1"/>
    <col min="2" max="2" width="25.54296875" style="3" customWidth="1"/>
    <col min="3" max="3" width="20.7265625" style="3" bestFit="1" customWidth="1"/>
    <col min="4" max="4" width="12.54296875" style="3" customWidth="1"/>
    <col min="5" max="5" width="15.26953125" style="3" bestFit="1" customWidth="1"/>
    <col min="6" max="6" width="9" style="3" customWidth="1"/>
    <col min="7" max="16384" width="10.81640625" style="3"/>
  </cols>
  <sheetData>
    <row r="1" spans="2:11" ht="15.5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ht="15.5" x14ac:dyDescent="0.35">
      <c r="B2" s="4" t="s">
        <v>1</v>
      </c>
      <c r="C2" s="5">
        <v>1</v>
      </c>
      <c r="D2" s="2"/>
      <c r="E2" s="2"/>
      <c r="F2" s="2"/>
      <c r="G2" s="2"/>
      <c r="H2" s="2"/>
      <c r="I2" s="2"/>
      <c r="J2" s="2"/>
      <c r="K2" s="2"/>
    </row>
    <row r="3" spans="2:11" ht="15.5" x14ac:dyDescent="0.35">
      <c r="B3" s="6"/>
      <c r="C3" s="5"/>
      <c r="D3" s="2"/>
      <c r="E3" s="2"/>
      <c r="F3" s="2"/>
      <c r="G3" s="2"/>
      <c r="H3" s="2"/>
      <c r="I3" s="2"/>
      <c r="J3" s="2"/>
      <c r="K3" s="2"/>
    </row>
    <row r="4" spans="2:11" ht="31" x14ac:dyDescent="0.35">
      <c r="B4" s="7" t="s">
        <v>2</v>
      </c>
      <c r="C4" s="8" t="s">
        <v>76</v>
      </c>
      <c r="D4" s="2"/>
      <c r="E4" s="2"/>
      <c r="F4" s="2"/>
      <c r="G4" s="2"/>
      <c r="H4" s="2"/>
      <c r="I4" s="2"/>
      <c r="J4" s="2"/>
      <c r="K4" s="2"/>
    </row>
    <row r="5" spans="2:11" ht="15.5" x14ac:dyDescent="0.35">
      <c r="B5" s="9" t="s">
        <v>3</v>
      </c>
      <c r="C5" s="8"/>
      <c r="D5" s="2"/>
      <c r="E5" s="2"/>
      <c r="F5" s="2"/>
      <c r="G5" s="2"/>
      <c r="H5" s="2"/>
      <c r="I5" s="2"/>
      <c r="J5" s="2"/>
      <c r="K5" s="2"/>
    </row>
    <row r="6" spans="2:11" ht="15.5" x14ac:dyDescent="0.35">
      <c r="B6" s="9" t="s">
        <v>4</v>
      </c>
      <c r="C6" s="9" t="s">
        <v>77</v>
      </c>
      <c r="D6" s="2"/>
      <c r="E6" s="2"/>
      <c r="F6" s="2"/>
      <c r="G6" s="2"/>
      <c r="H6" s="2"/>
      <c r="I6" s="2"/>
      <c r="J6" s="2"/>
      <c r="K6" s="2"/>
    </row>
    <row r="7" spans="2:11" ht="15.5" x14ac:dyDescent="0.35">
      <c r="B7" s="9" t="s">
        <v>5</v>
      </c>
      <c r="C7" s="8" t="s">
        <v>78</v>
      </c>
      <c r="D7" s="2"/>
      <c r="E7" s="2"/>
      <c r="F7" s="2"/>
      <c r="G7" s="2"/>
      <c r="H7" s="2"/>
      <c r="I7" s="2"/>
      <c r="J7" s="2"/>
      <c r="K7" s="2"/>
    </row>
    <row r="8" spans="2:11" ht="15.5" x14ac:dyDescent="0.35">
      <c r="B8" s="9" t="s">
        <v>7</v>
      </c>
      <c r="C8" s="10">
        <v>45839</v>
      </c>
      <c r="D8" s="2"/>
      <c r="E8" s="2"/>
      <c r="F8" s="2"/>
      <c r="G8" s="2"/>
      <c r="H8" s="2"/>
      <c r="I8" s="2"/>
      <c r="J8" s="2"/>
      <c r="K8" s="2"/>
    </row>
    <row r="9" spans="2:11" ht="15.5" x14ac:dyDescent="0.35">
      <c r="B9" s="7" t="s">
        <v>8</v>
      </c>
      <c r="C9" s="11" t="s">
        <v>9</v>
      </c>
      <c r="D9" s="2"/>
      <c r="E9" s="2"/>
      <c r="F9" s="2"/>
      <c r="G9" s="2"/>
      <c r="H9" s="2"/>
      <c r="I9" s="2"/>
      <c r="J9" s="2"/>
      <c r="K9" s="2"/>
    </row>
    <row r="10" spans="2:11" ht="15.5" x14ac:dyDescent="0.35">
      <c r="B10" s="9" t="s">
        <v>10</v>
      </c>
      <c r="C10" s="11" t="s">
        <v>28</v>
      </c>
      <c r="D10" s="2"/>
      <c r="E10" s="2"/>
      <c r="F10" s="2"/>
      <c r="G10" s="2"/>
      <c r="H10" s="2"/>
      <c r="I10" s="2"/>
      <c r="J10" s="2"/>
      <c r="K10" s="2"/>
    </row>
    <row r="11" spans="2:11" ht="15.5" x14ac:dyDescent="0.35">
      <c r="B11" s="9" t="s">
        <v>11</v>
      </c>
      <c r="C11" s="11" t="s">
        <v>79</v>
      </c>
      <c r="D11" s="2"/>
      <c r="E11" s="2"/>
      <c r="F11" s="2"/>
      <c r="G11" s="2"/>
      <c r="H11" s="2"/>
      <c r="I11" s="2"/>
      <c r="J11" s="2"/>
      <c r="K11" s="2"/>
    </row>
    <row r="12" spans="2:1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ht="31" x14ac:dyDescent="0.35">
      <c r="B13" s="12" t="s">
        <v>12</v>
      </c>
      <c r="C13" s="12" t="s">
        <v>13</v>
      </c>
      <c r="D13" s="13" t="s">
        <v>14</v>
      </c>
      <c r="E13" s="12" t="s">
        <v>15</v>
      </c>
      <c r="F13" s="12" t="s">
        <v>16</v>
      </c>
      <c r="G13" s="14"/>
      <c r="H13" s="14"/>
      <c r="I13" s="14"/>
      <c r="J13" s="2"/>
      <c r="K13" s="2"/>
    </row>
    <row r="14" spans="2:11" x14ac:dyDescent="0.35">
      <c r="B14" s="15">
        <v>46388</v>
      </c>
      <c r="C14" s="16">
        <f>+'[1]Cantidad Producto 1-2027'!AE7</f>
        <v>5771094.8400000008</v>
      </c>
      <c r="D14" s="17"/>
      <c r="E14" s="16">
        <f>+C14*D14</f>
        <v>0</v>
      </c>
      <c r="F14" s="18"/>
      <c r="G14" s="19"/>
      <c r="H14" s="2"/>
      <c r="I14" s="2"/>
      <c r="J14" s="2"/>
      <c r="K14" s="2"/>
    </row>
    <row r="15" spans="2:11" x14ac:dyDescent="0.35">
      <c r="B15" s="15">
        <v>46419</v>
      </c>
      <c r="C15" s="16">
        <f>+'[1]Cantidad Producto 1-2027'!AE8</f>
        <v>5363535.4400000013</v>
      </c>
      <c r="D15" s="17"/>
      <c r="E15" s="16">
        <f t="shared" ref="E15:E25" si="0">+C15*D15</f>
        <v>0</v>
      </c>
      <c r="F15" s="18"/>
      <c r="G15" s="19"/>
      <c r="H15" s="2"/>
      <c r="I15" s="2"/>
      <c r="J15" s="2"/>
      <c r="K15" s="2"/>
    </row>
    <row r="16" spans="2:11" x14ac:dyDescent="0.35">
      <c r="B16" s="15">
        <v>46447</v>
      </c>
      <c r="C16" s="16">
        <f>+'[1]Cantidad Producto 1-2027'!AE9</f>
        <v>5627140.1399999987</v>
      </c>
      <c r="D16" s="17"/>
      <c r="E16" s="16">
        <f t="shared" si="0"/>
        <v>0</v>
      </c>
      <c r="F16" s="18"/>
      <c r="G16" s="19"/>
      <c r="H16" s="2"/>
      <c r="I16" s="2"/>
      <c r="J16" s="2"/>
      <c r="K16" s="2"/>
    </row>
    <row r="17" spans="2:11" x14ac:dyDescent="0.35">
      <c r="B17" s="15">
        <v>46478</v>
      </c>
      <c r="C17" s="16">
        <f>+'[1]Cantidad Producto 1-2027'!AE10</f>
        <v>5689823.7400000002</v>
      </c>
      <c r="D17" s="17"/>
      <c r="E17" s="16">
        <f t="shared" si="0"/>
        <v>0</v>
      </c>
      <c r="F17" s="18"/>
      <c r="G17" s="19"/>
      <c r="H17" s="2"/>
      <c r="I17" s="2"/>
      <c r="J17" s="2"/>
      <c r="K17" s="2"/>
    </row>
    <row r="18" spans="2:11" x14ac:dyDescent="0.35">
      <c r="B18" s="15">
        <v>46508</v>
      </c>
      <c r="C18" s="16">
        <f>+'[1]Cantidad Producto 1-2027'!AE11</f>
        <v>5648050.7299999986</v>
      </c>
      <c r="D18" s="17"/>
      <c r="E18" s="16">
        <f t="shared" si="0"/>
        <v>0</v>
      </c>
      <c r="F18" s="18"/>
      <c r="G18" s="19"/>
      <c r="H18" s="2"/>
      <c r="I18" s="2"/>
      <c r="J18" s="2"/>
      <c r="K18" s="2"/>
    </row>
    <row r="19" spans="2:11" x14ac:dyDescent="0.35">
      <c r="B19" s="15">
        <v>46539</v>
      </c>
      <c r="C19" s="16">
        <f>+'[1]Cantidad Producto 1-2027'!AE12</f>
        <v>5640253.2400000002</v>
      </c>
      <c r="D19" s="17"/>
      <c r="E19" s="16">
        <f t="shared" si="0"/>
        <v>0</v>
      </c>
      <c r="F19" s="18"/>
      <c r="G19" s="19"/>
      <c r="H19" s="2"/>
      <c r="I19" s="2"/>
      <c r="J19" s="2"/>
      <c r="K19" s="2"/>
    </row>
    <row r="20" spans="2:11" x14ac:dyDescent="0.35">
      <c r="B20" s="15">
        <v>46569</v>
      </c>
      <c r="C20" s="16">
        <f>+'[1]Cantidad Producto 1-2027'!AE13</f>
        <v>5243214.5</v>
      </c>
      <c r="D20" s="17"/>
      <c r="E20" s="16">
        <f t="shared" si="0"/>
        <v>0</v>
      </c>
      <c r="F20" s="18"/>
      <c r="G20" s="19"/>
      <c r="H20" s="2"/>
      <c r="I20" s="2"/>
      <c r="J20" s="2"/>
      <c r="K20" s="2"/>
    </row>
    <row r="21" spans="2:11" x14ac:dyDescent="0.35">
      <c r="B21" s="15">
        <v>46600</v>
      </c>
      <c r="C21" s="16">
        <f>+'[1]Cantidad Producto 1-2027'!AE14</f>
        <v>5463238.9500000002</v>
      </c>
      <c r="D21" s="17"/>
      <c r="E21" s="16">
        <f t="shared" si="0"/>
        <v>0</v>
      </c>
      <c r="F21" s="18"/>
      <c r="G21" s="19"/>
      <c r="H21" s="2"/>
      <c r="I21" s="2"/>
      <c r="J21" s="2"/>
      <c r="K21" s="2"/>
    </row>
    <row r="22" spans="2:11" x14ac:dyDescent="0.35">
      <c r="B22" s="15">
        <v>46631</v>
      </c>
      <c r="C22" s="16">
        <f>+'[1]Cantidad Producto 1-2027'!AE15</f>
        <v>5261452.12</v>
      </c>
      <c r="D22" s="17"/>
      <c r="E22" s="16">
        <f t="shared" si="0"/>
        <v>0</v>
      </c>
      <c r="F22" s="18"/>
      <c r="G22" s="19"/>
      <c r="H22" s="2"/>
      <c r="I22" s="2"/>
      <c r="J22" s="2"/>
      <c r="K22" s="2"/>
    </row>
    <row r="23" spans="2:11" x14ac:dyDescent="0.35">
      <c r="B23" s="15">
        <v>46661</v>
      </c>
      <c r="C23" s="16">
        <f>+'[1]Cantidad Producto 1-2027'!AE16</f>
        <v>5492375.1399999997</v>
      </c>
      <c r="D23" s="17"/>
      <c r="E23" s="16">
        <f t="shared" si="0"/>
        <v>0</v>
      </c>
      <c r="F23" s="18"/>
      <c r="G23" s="19"/>
      <c r="H23" s="2"/>
      <c r="I23" s="2"/>
      <c r="J23" s="2"/>
      <c r="K23" s="2"/>
    </row>
    <row r="24" spans="2:11" x14ac:dyDescent="0.35">
      <c r="B24" s="15">
        <v>46692</v>
      </c>
      <c r="C24" s="16">
        <f>+'[1]Cantidad Producto 1-2027'!AE17</f>
        <v>5323864.0799999991</v>
      </c>
      <c r="D24" s="17"/>
      <c r="E24" s="16">
        <f t="shared" si="0"/>
        <v>0</v>
      </c>
      <c r="F24" s="18"/>
      <c r="G24" s="19"/>
      <c r="H24" s="2"/>
      <c r="I24" s="2"/>
      <c r="J24" s="2"/>
      <c r="K24" s="2"/>
    </row>
    <row r="25" spans="2:11" x14ac:dyDescent="0.35">
      <c r="B25" s="15">
        <v>46722</v>
      </c>
      <c r="C25" s="16">
        <f>+'[1]Cantidad Producto 1-2027'!AE18</f>
        <v>5496598.7100000009</v>
      </c>
      <c r="D25" s="17"/>
      <c r="E25" s="16">
        <f t="shared" si="0"/>
        <v>0</v>
      </c>
      <c r="F25" s="18"/>
      <c r="G25" s="19"/>
      <c r="H25" s="2"/>
      <c r="I25" s="2"/>
      <c r="J25" s="2"/>
      <c r="K25" s="2"/>
    </row>
    <row r="26" spans="2:11" x14ac:dyDescent="0.35">
      <c r="B26" s="15">
        <v>47119</v>
      </c>
      <c r="C26" s="16">
        <v>2225120.8940000003</v>
      </c>
      <c r="D26" s="17"/>
      <c r="E26" s="16"/>
      <c r="F26" s="18"/>
      <c r="G26" s="19"/>
      <c r="H26" s="2"/>
      <c r="I26" s="2"/>
      <c r="J26" s="2"/>
      <c r="K26" s="2"/>
    </row>
    <row r="27" spans="2:11" x14ac:dyDescent="0.35">
      <c r="B27" s="15">
        <v>47150</v>
      </c>
      <c r="C27" s="16">
        <v>2023904.128</v>
      </c>
      <c r="D27" s="17"/>
      <c r="E27" s="16"/>
      <c r="F27" s="18"/>
      <c r="G27" s="19"/>
      <c r="H27" s="2"/>
      <c r="I27" s="2"/>
      <c r="J27" s="2"/>
      <c r="K27" s="2"/>
    </row>
    <row r="28" spans="2:11" x14ac:dyDescent="0.35">
      <c r="B28" s="15">
        <v>47178</v>
      </c>
      <c r="C28" s="16">
        <v>2106282.8510000003</v>
      </c>
      <c r="D28" s="17"/>
      <c r="E28" s="16"/>
      <c r="F28" s="18"/>
      <c r="G28" s="19"/>
      <c r="H28" s="2"/>
      <c r="I28" s="2"/>
      <c r="J28" s="2"/>
      <c r="K28" s="2"/>
    </row>
    <row r="29" spans="2:11" x14ac:dyDescent="0.35">
      <c r="B29" s="15">
        <v>47209</v>
      </c>
      <c r="C29" s="16">
        <v>2185716.8790000007</v>
      </c>
      <c r="D29" s="17"/>
      <c r="E29" s="16"/>
      <c r="F29" s="18"/>
      <c r="G29" s="19"/>
      <c r="H29" s="2"/>
      <c r="I29" s="2"/>
      <c r="J29" s="2"/>
      <c r="K29" s="2"/>
    </row>
    <row r="30" spans="2:11" x14ac:dyDescent="0.35">
      <c r="B30" s="15">
        <v>47239</v>
      </c>
      <c r="C30" s="16">
        <v>2189202.719</v>
      </c>
      <c r="D30" s="17"/>
      <c r="E30" s="16"/>
      <c r="F30" s="18"/>
      <c r="G30" s="19"/>
      <c r="H30" s="2"/>
      <c r="I30" s="2"/>
      <c r="J30" s="2"/>
      <c r="K30" s="2"/>
    </row>
    <row r="31" spans="2:11" x14ac:dyDescent="0.35">
      <c r="B31" s="15">
        <v>47270</v>
      </c>
      <c r="C31" s="16">
        <v>2149468.0060000005</v>
      </c>
      <c r="D31" s="17"/>
      <c r="E31" s="16"/>
      <c r="F31" s="18"/>
      <c r="G31" s="19"/>
      <c r="H31" s="2"/>
      <c r="I31" s="2"/>
      <c r="J31" s="2"/>
      <c r="K31" s="2"/>
    </row>
    <row r="32" spans="2:11" x14ac:dyDescent="0.35">
      <c r="B32" s="15">
        <v>47300</v>
      </c>
      <c r="C32" s="16">
        <v>2246989.0490000001</v>
      </c>
      <c r="D32" s="17"/>
      <c r="E32" s="16"/>
      <c r="F32" s="18"/>
      <c r="G32" s="19"/>
      <c r="H32" s="2"/>
      <c r="I32" s="2"/>
      <c r="J32" s="2"/>
      <c r="K32" s="2"/>
    </row>
    <row r="33" spans="2:11" x14ac:dyDescent="0.35">
      <c r="B33" s="15">
        <v>47331</v>
      </c>
      <c r="C33" s="16">
        <v>2338226.2760000001</v>
      </c>
      <c r="D33" s="17"/>
      <c r="E33" s="16"/>
      <c r="F33" s="18"/>
      <c r="G33" s="19"/>
      <c r="H33" s="2"/>
      <c r="I33" s="2"/>
      <c r="J33" s="2"/>
      <c r="K33" s="2"/>
    </row>
    <row r="34" spans="2:11" x14ac:dyDescent="0.35">
      <c r="B34" s="15">
        <v>47362</v>
      </c>
      <c r="C34" s="16">
        <v>2261092.14</v>
      </c>
      <c r="D34" s="17"/>
      <c r="E34" s="16"/>
      <c r="F34" s="18"/>
      <c r="G34" s="19"/>
      <c r="H34" s="2"/>
      <c r="I34" s="2"/>
      <c r="J34" s="2"/>
      <c r="K34" s="2"/>
    </row>
    <row r="35" spans="2:11" x14ac:dyDescent="0.35">
      <c r="B35" s="15">
        <v>47392</v>
      </c>
      <c r="C35" s="16">
        <v>2344953.6230000001</v>
      </c>
      <c r="D35" s="17"/>
      <c r="E35" s="16"/>
      <c r="F35" s="18"/>
      <c r="G35" s="19"/>
      <c r="H35" s="2"/>
      <c r="I35" s="2"/>
      <c r="J35" s="2"/>
      <c r="K35" s="2"/>
    </row>
    <row r="36" spans="2:11" x14ac:dyDescent="0.35">
      <c r="B36" s="15">
        <v>47423</v>
      </c>
      <c r="C36" s="16">
        <v>2301903.6700000004</v>
      </c>
      <c r="D36" s="17"/>
      <c r="E36" s="16"/>
      <c r="F36" s="18"/>
      <c r="G36" s="19"/>
      <c r="H36" s="2"/>
      <c r="I36" s="2"/>
      <c r="J36" s="2"/>
      <c r="K36" s="2"/>
    </row>
    <row r="37" spans="2:11" x14ac:dyDescent="0.35">
      <c r="B37" s="15">
        <v>47453</v>
      </c>
      <c r="C37" s="16">
        <v>2359415.4449999998</v>
      </c>
      <c r="D37" s="17"/>
      <c r="E37" s="16"/>
      <c r="F37" s="18"/>
      <c r="G37" s="19"/>
      <c r="H37" s="2"/>
      <c r="I37" s="2"/>
      <c r="J37" s="2"/>
      <c r="K37" s="2"/>
    </row>
    <row r="38" spans="2:11" x14ac:dyDescent="0.35">
      <c r="B38" s="15">
        <v>47484</v>
      </c>
      <c r="C38" s="16">
        <v>3544297.2779999995</v>
      </c>
      <c r="D38" s="17"/>
      <c r="E38" s="16"/>
      <c r="F38" s="18"/>
      <c r="G38" s="19"/>
      <c r="H38" s="2"/>
      <c r="I38" s="2"/>
      <c r="J38" s="2"/>
      <c r="K38" s="2"/>
    </row>
    <row r="39" spans="2:11" x14ac:dyDescent="0.35">
      <c r="B39" s="15">
        <v>47515</v>
      </c>
      <c r="C39" s="16">
        <v>3287879.4560000007</v>
      </c>
      <c r="D39" s="17"/>
      <c r="E39" s="16"/>
      <c r="F39" s="18"/>
      <c r="G39" s="19"/>
      <c r="H39" s="2"/>
      <c r="I39" s="2"/>
      <c r="J39" s="2"/>
      <c r="K39" s="2"/>
    </row>
    <row r="40" spans="2:11" x14ac:dyDescent="0.35">
      <c r="B40" s="15">
        <v>47543</v>
      </c>
      <c r="C40" s="16">
        <v>3422352.3789999997</v>
      </c>
      <c r="D40" s="17"/>
      <c r="E40" s="16"/>
      <c r="F40" s="18"/>
      <c r="G40" s="19"/>
      <c r="H40" s="2"/>
      <c r="I40" s="2"/>
      <c r="J40" s="2"/>
      <c r="K40" s="2"/>
    </row>
    <row r="41" spans="2:11" x14ac:dyDescent="0.35">
      <c r="B41" s="15">
        <v>47574</v>
      </c>
      <c r="C41" s="16">
        <v>3496237.9579999996</v>
      </c>
      <c r="D41" s="17"/>
      <c r="E41" s="16"/>
      <c r="F41" s="18"/>
      <c r="G41" s="19"/>
      <c r="H41" s="2"/>
      <c r="I41" s="2"/>
      <c r="J41" s="2"/>
      <c r="K41" s="2"/>
    </row>
    <row r="42" spans="2:11" x14ac:dyDescent="0.35">
      <c r="B42" s="15">
        <v>47604</v>
      </c>
      <c r="C42" s="16">
        <v>3494764.8899999997</v>
      </c>
      <c r="D42" s="17"/>
      <c r="E42" s="16"/>
      <c r="F42" s="18"/>
      <c r="G42" s="19"/>
      <c r="H42" s="2"/>
      <c r="I42" s="2"/>
      <c r="J42" s="2"/>
      <c r="K42" s="2"/>
    </row>
    <row r="43" spans="2:11" x14ac:dyDescent="0.35">
      <c r="B43" s="15">
        <v>47635</v>
      </c>
      <c r="C43" s="16">
        <v>3445022.5600000005</v>
      </c>
      <c r="D43" s="17"/>
      <c r="E43" s="16"/>
      <c r="F43" s="18"/>
      <c r="G43" s="19"/>
      <c r="H43" s="2"/>
      <c r="I43" s="2"/>
      <c r="J43" s="2"/>
      <c r="K43" s="2"/>
    </row>
    <row r="44" spans="2:11" x14ac:dyDescent="0.35">
      <c r="B44" s="15">
        <v>47665</v>
      </c>
      <c r="C44" s="16">
        <v>3546771.6160000004</v>
      </c>
      <c r="D44" s="17"/>
      <c r="E44" s="16"/>
      <c r="F44" s="18"/>
      <c r="G44" s="19"/>
      <c r="H44" s="2"/>
      <c r="I44" s="2"/>
      <c r="J44" s="2"/>
      <c r="K44" s="2"/>
    </row>
    <row r="45" spans="2:11" x14ac:dyDescent="0.35">
      <c r="B45" s="15">
        <v>47696</v>
      </c>
      <c r="C45" s="16">
        <v>3671599.1669999994</v>
      </c>
      <c r="D45" s="17"/>
      <c r="E45" s="16"/>
      <c r="F45" s="18"/>
      <c r="G45" s="19"/>
      <c r="H45" s="2"/>
      <c r="I45" s="2"/>
      <c r="J45" s="2"/>
      <c r="K45" s="2"/>
    </row>
    <row r="46" spans="2:11" x14ac:dyDescent="0.35">
      <c r="B46" s="15">
        <v>47727</v>
      </c>
      <c r="C46" s="16">
        <v>3556917.048</v>
      </c>
      <c r="D46" s="17"/>
      <c r="E46" s="16"/>
      <c r="F46" s="18"/>
      <c r="G46" s="19"/>
      <c r="H46" s="2"/>
      <c r="I46" s="2"/>
      <c r="J46" s="2"/>
      <c r="K46" s="2"/>
    </row>
    <row r="47" spans="2:11" x14ac:dyDescent="0.35">
      <c r="B47" s="15">
        <v>47757</v>
      </c>
      <c r="C47" s="16">
        <v>3679662.9560000002</v>
      </c>
      <c r="D47" s="17"/>
      <c r="E47" s="16"/>
      <c r="F47" s="18"/>
      <c r="G47" s="19"/>
      <c r="H47" s="2"/>
      <c r="I47" s="2"/>
      <c r="J47" s="2"/>
      <c r="K47" s="2"/>
    </row>
    <row r="48" spans="2:11" x14ac:dyDescent="0.35">
      <c r="B48" s="15">
        <v>47788</v>
      </c>
      <c r="C48" s="16">
        <v>3614571.6830000007</v>
      </c>
      <c r="D48" s="17"/>
      <c r="E48" s="16"/>
      <c r="F48" s="18"/>
      <c r="G48" s="19"/>
      <c r="H48" s="2"/>
      <c r="I48" s="2"/>
      <c r="J48" s="2"/>
      <c r="K48" s="2"/>
    </row>
    <row r="49" spans="2:11" x14ac:dyDescent="0.35">
      <c r="B49" s="15">
        <v>47818</v>
      </c>
      <c r="C49" s="16">
        <v>3693835.557</v>
      </c>
      <c r="D49" s="17"/>
      <c r="E49" s="16"/>
      <c r="F49" s="18"/>
      <c r="G49" s="19"/>
      <c r="H49" s="2"/>
      <c r="I49" s="2"/>
      <c r="J49" s="2"/>
      <c r="K49" s="2"/>
    </row>
    <row r="50" spans="2:11" x14ac:dyDescent="0.35">
      <c r="B50" s="15" t="s">
        <v>80</v>
      </c>
      <c r="C50" s="20">
        <f>SUM(C14:C49)</f>
        <v>135206829.85799995</v>
      </c>
      <c r="D50" s="21" t="s">
        <v>17</v>
      </c>
      <c r="E50" s="20">
        <f>SUM(E14:E25)</f>
        <v>0</v>
      </c>
      <c r="F50" s="18"/>
      <c r="G50" s="19"/>
      <c r="H50" s="2"/>
      <c r="I50" s="2"/>
      <c r="J50" s="2"/>
      <c r="K50" s="2"/>
    </row>
    <row r="51" spans="2:11" x14ac:dyDescent="0.35">
      <c r="B51" s="2"/>
      <c r="C51" s="22"/>
      <c r="D51" s="2"/>
      <c r="E51" s="2"/>
      <c r="F51" s="2"/>
      <c r="G51" s="2"/>
      <c r="H51" s="2"/>
      <c r="I51" s="2"/>
      <c r="J51" s="2"/>
      <c r="K51" s="2"/>
    </row>
    <row r="52" spans="2:11" x14ac:dyDescent="0.35">
      <c r="B52" s="2"/>
      <c r="C52" s="22"/>
      <c r="D52" s="23"/>
      <c r="E52" s="23"/>
      <c r="F52" s="2"/>
      <c r="G52" s="2"/>
      <c r="H52" s="2"/>
      <c r="I52" s="2"/>
      <c r="J52" s="2"/>
      <c r="K52" s="2"/>
    </row>
    <row r="53" spans="2:11" x14ac:dyDescent="0.35">
      <c r="B53" s="24" t="s">
        <v>18</v>
      </c>
      <c r="C53" s="24"/>
      <c r="D53" s="24"/>
      <c r="E53" s="24"/>
      <c r="F53" s="24"/>
      <c r="G53" s="24"/>
      <c r="H53" s="24"/>
      <c r="I53" s="24"/>
      <c r="J53" s="24"/>
      <c r="K53" s="24"/>
    </row>
    <row r="54" spans="2:11" x14ac:dyDescent="0.35">
      <c r="B54" t="s">
        <v>81</v>
      </c>
      <c r="C54" s="25"/>
      <c r="D54" s="25"/>
      <c r="E54" s="25"/>
      <c r="F54" s="25"/>
      <c r="G54" s="25"/>
      <c r="H54" s="25"/>
      <c r="I54" s="25"/>
      <c r="J54" s="25"/>
      <c r="K54" s="25"/>
    </row>
    <row r="55" spans="2:11" x14ac:dyDescent="0.35">
      <c r="B55" s="50" t="s">
        <v>82</v>
      </c>
      <c r="C55" s="26"/>
      <c r="D55" s="26"/>
      <c r="E55" s="26"/>
      <c r="F55" s="26"/>
      <c r="G55" s="26"/>
      <c r="H55" s="26"/>
      <c r="I55" s="26"/>
      <c r="J55" s="26"/>
      <c r="K55" s="26"/>
    </row>
    <row r="56" spans="2:11" x14ac:dyDescent="0.35">
      <c r="B56" s="50" t="s">
        <v>83</v>
      </c>
      <c r="C56" s="27"/>
      <c r="D56" s="27"/>
      <c r="E56" s="27"/>
      <c r="F56" s="27"/>
      <c r="G56" s="27"/>
      <c r="H56" s="27"/>
      <c r="I56" s="27"/>
      <c r="J56" s="25"/>
      <c r="K56" s="25"/>
    </row>
    <row r="57" spans="2:11" x14ac:dyDescent="0.35">
      <c r="B57" s="51" t="s">
        <v>84</v>
      </c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35">
      <c r="B58" s="51" t="s">
        <v>85</v>
      </c>
    </row>
    <row r="59" spans="2:11" x14ac:dyDescent="0.35">
      <c r="B59" s="51" t="s">
        <v>86</v>
      </c>
    </row>
    <row r="60" spans="2:11" x14ac:dyDescent="0.35">
      <c r="B60" s="50" t="s">
        <v>87</v>
      </c>
    </row>
    <row r="61" spans="2:11" x14ac:dyDescent="0.35">
      <c r="B61" s="50" t="s">
        <v>88</v>
      </c>
    </row>
    <row r="62" spans="2:11" x14ac:dyDescent="0.35">
      <c r="B62" s="50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74E-608E-4620-A5E4-DE28F6D6920B}">
  <dimension ref="B1:BD62"/>
  <sheetViews>
    <sheetView showGridLines="0" topLeftCell="A6" zoomScale="70" zoomScaleNormal="70" workbookViewId="0">
      <selection activeCell="AG20" sqref="AG20"/>
    </sheetView>
  </sheetViews>
  <sheetFormatPr baseColWidth="10" defaultColWidth="11.453125" defaultRowHeight="11.5" x14ac:dyDescent="0.25"/>
  <cols>
    <col min="1" max="1" width="7.26953125" style="31" customWidth="1"/>
    <col min="2" max="2" width="5.81640625" style="31" customWidth="1"/>
    <col min="3" max="3" width="9.7265625" style="31" bestFit="1" customWidth="1"/>
    <col min="4" max="4" width="7" style="31" customWidth="1"/>
    <col min="5" max="28" width="10.1796875" style="31" bestFit="1" customWidth="1"/>
    <col min="29" max="29" width="13.7265625" style="31" customWidth="1"/>
    <col min="30" max="30" width="6.54296875" style="31" customWidth="1"/>
    <col min="31" max="31" width="13.81640625" style="31" bestFit="1" customWidth="1"/>
    <col min="32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56" ht="18.649999999999999" customHeight="1" x14ac:dyDescent="0.25"/>
    <row r="2" spans="2:56" ht="18.649999999999999" customHeight="1" x14ac:dyDescent="0.3">
      <c r="B2" s="52" t="s">
        <v>29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2:56" ht="18.649999999999999" customHeight="1" x14ac:dyDescent="0.3">
      <c r="B3" s="52" t="s">
        <v>30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spans="2:56" ht="18.649999999999999" customHeight="1" x14ac:dyDescent="0.3">
      <c r="B4" s="52">
        <v>2027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2:56" ht="18.649999999999999" customHeight="1" x14ac:dyDescent="0.25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2:56" ht="15.5" x14ac:dyDescent="0.25">
      <c r="B6" s="33" t="s">
        <v>31</v>
      </c>
      <c r="C6" s="34" t="s">
        <v>32</v>
      </c>
      <c r="D6" s="33" t="s">
        <v>33</v>
      </c>
      <c r="E6" s="33" t="s">
        <v>34</v>
      </c>
      <c r="F6" s="33" t="s">
        <v>35</v>
      </c>
      <c r="G6" s="33" t="s">
        <v>36</v>
      </c>
      <c r="H6" s="33" t="s">
        <v>37</v>
      </c>
      <c r="I6" s="33" t="s">
        <v>38</v>
      </c>
      <c r="J6" s="33" t="s">
        <v>39</v>
      </c>
      <c r="K6" s="33" t="s">
        <v>40</v>
      </c>
      <c r="L6" s="33" t="s">
        <v>41</v>
      </c>
      <c r="M6" s="33" t="s">
        <v>42</v>
      </c>
      <c r="N6" s="33" t="s">
        <v>43</v>
      </c>
      <c r="O6" s="33" t="s">
        <v>44</v>
      </c>
      <c r="P6" s="33" t="s">
        <v>45</v>
      </c>
      <c r="Q6" s="33" t="s">
        <v>46</v>
      </c>
      <c r="R6" s="33" t="s">
        <v>47</v>
      </c>
      <c r="S6" s="33" t="s">
        <v>48</v>
      </c>
      <c r="T6" s="33" t="s">
        <v>49</v>
      </c>
      <c r="U6" s="33" t="s">
        <v>50</v>
      </c>
      <c r="V6" s="33" t="s">
        <v>51</v>
      </c>
      <c r="W6" s="33" t="s">
        <v>52</v>
      </c>
      <c r="X6" s="33" t="s">
        <v>53</v>
      </c>
      <c r="Y6" s="33" t="s">
        <v>54</v>
      </c>
      <c r="Z6" s="33" t="s">
        <v>55</v>
      </c>
      <c r="AA6" s="33" t="s">
        <v>56</v>
      </c>
      <c r="AB6" s="33" t="s">
        <v>57</v>
      </c>
      <c r="AC6" s="54" t="s">
        <v>58</v>
      </c>
    </row>
    <row r="7" spans="2:56" ht="18.649999999999999" customHeight="1" x14ac:dyDescent="0.25">
      <c r="B7" s="41" t="s">
        <v>59</v>
      </c>
      <c r="C7" s="36" t="s">
        <v>60</v>
      </c>
      <c r="D7" s="37">
        <v>19</v>
      </c>
      <c r="E7" s="55">
        <v>4596.3599999999997</v>
      </c>
      <c r="F7" s="55">
        <v>4318.6899999999996</v>
      </c>
      <c r="G7" s="55">
        <v>4172.1000000000004</v>
      </c>
      <c r="H7" s="55">
        <v>4137.45</v>
      </c>
      <c r="I7" s="55">
        <v>4406.97</v>
      </c>
      <c r="J7" s="55">
        <v>5320.41</v>
      </c>
      <c r="K7" s="55">
        <v>5872.81</v>
      </c>
      <c r="L7" s="55">
        <v>9259.77</v>
      </c>
      <c r="M7" s="55">
        <v>9367.69</v>
      </c>
      <c r="N7" s="55">
        <v>9521.32</v>
      </c>
      <c r="O7" s="55">
        <v>9936.68</v>
      </c>
      <c r="P7" s="55">
        <v>10365.219999999999</v>
      </c>
      <c r="Q7" s="55">
        <v>10281.44</v>
      </c>
      <c r="R7" s="55">
        <v>10239.01</v>
      </c>
      <c r="S7" s="55">
        <v>10374.48</v>
      </c>
      <c r="T7" s="55">
        <v>10389.280000000001</v>
      </c>
      <c r="U7" s="55">
        <v>10369.530000000001</v>
      </c>
      <c r="V7" s="55">
        <v>8811.32</v>
      </c>
      <c r="W7" s="55">
        <v>9458.91</v>
      </c>
      <c r="X7" s="55">
        <v>9882.23</v>
      </c>
      <c r="Y7" s="55">
        <v>9482.9500000000007</v>
      </c>
      <c r="Z7" s="55">
        <v>8615.11</v>
      </c>
      <c r="AA7" s="55">
        <v>7255.21</v>
      </c>
      <c r="AB7" s="55">
        <v>6323.98</v>
      </c>
      <c r="AC7" s="56">
        <f>+SUM(E7:AB7)*D7+SUM(E8:AB8)*D8+SUM(E9:AB9)*D9+SUM(E10:AB10)*D10</f>
        <v>5771094.8400000008</v>
      </c>
      <c r="AE7" s="31">
        <f>((+AC7)*1000)/1000</f>
        <v>5771094.8400000008</v>
      </c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</row>
    <row r="8" spans="2:56" ht="18.649999999999999" customHeight="1" x14ac:dyDescent="0.25">
      <c r="B8" s="41" t="s">
        <v>59</v>
      </c>
      <c r="C8" s="36" t="s">
        <v>61</v>
      </c>
      <c r="D8" s="37">
        <v>5</v>
      </c>
      <c r="E8" s="55">
        <v>4750.4799999999996</v>
      </c>
      <c r="F8" s="55">
        <v>4371.2</v>
      </c>
      <c r="G8" s="55">
        <v>4275.6400000000003</v>
      </c>
      <c r="H8" s="55">
        <v>4259.21</v>
      </c>
      <c r="I8" s="55">
        <v>4282.49</v>
      </c>
      <c r="J8" s="55">
        <v>4549.34</v>
      </c>
      <c r="K8" s="55">
        <v>4983.1099999999997</v>
      </c>
      <c r="L8" s="55">
        <v>8691.58</v>
      </c>
      <c r="M8" s="55">
        <v>9236.33</v>
      </c>
      <c r="N8" s="55">
        <v>9586.3700000000008</v>
      </c>
      <c r="O8" s="55">
        <v>9780.5499999999993</v>
      </c>
      <c r="P8" s="55">
        <v>9979.3799999999992</v>
      </c>
      <c r="Q8" s="55">
        <v>10244.75</v>
      </c>
      <c r="R8" s="55">
        <v>10067.86</v>
      </c>
      <c r="S8" s="55">
        <v>10078.65</v>
      </c>
      <c r="T8" s="55">
        <v>9509.7000000000007</v>
      </c>
      <c r="U8" s="55">
        <v>9729.57</v>
      </c>
      <c r="V8" s="55">
        <v>8219.98</v>
      </c>
      <c r="W8" s="55">
        <v>9028.82</v>
      </c>
      <c r="X8" s="55">
        <v>9298.32</v>
      </c>
      <c r="Y8" s="55">
        <v>8862.4699999999993</v>
      </c>
      <c r="Z8" s="55">
        <v>8215.52</v>
      </c>
      <c r="AA8" s="55">
        <v>7321.27</v>
      </c>
      <c r="AB8" s="55">
        <v>6607.07</v>
      </c>
      <c r="AC8" s="58"/>
      <c r="AE8" s="31">
        <f>((+AC11)*1000)/1000</f>
        <v>5363535.4400000013</v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</row>
    <row r="9" spans="2:56" ht="18.649999999999999" customHeight="1" x14ac:dyDescent="0.25">
      <c r="B9" s="41" t="s">
        <v>59</v>
      </c>
      <c r="C9" s="36" t="s">
        <v>62</v>
      </c>
      <c r="D9" s="37">
        <v>5</v>
      </c>
      <c r="E9" s="55">
        <v>4947.95</v>
      </c>
      <c r="F9" s="55">
        <v>4534.75</v>
      </c>
      <c r="G9" s="55">
        <v>4263.0600000000004</v>
      </c>
      <c r="H9" s="55">
        <v>4123.7700000000004</v>
      </c>
      <c r="I9" s="55">
        <v>3982.98</v>
      </c>
      <c r="J9" s="55">
        <v>3966.61</v>
      </c>
      <c r="K9" s="55">
        <v>3993.23</v>
      </c>
      <c r="L9" s="55">
        <v>7191.35</v>
      </c>
      <c r="M9" s="55">
        <v>7769.72</v>
      </c>
      <c r="N9" s="55">
        <v>8160.82</v>
      </c>
      <c r="O9" s="55">
        <v>8477.35</v>
      </c>
      <c r="P9" s="55">
        <v>8867.92</v>
      </c>
      <c r="Q9" s="55">
        <v>9096.2900000000009</v>
      </c>
      <c r="R9" s="55">
        <v>9191.51</v>
      </c>
      <c r="S9" s="55">
        <v>8969.01</v>
      </c>
      <c r="T9" s="55">
        <v>8952.7000000000007</v>
      </c>
      <c r="U9" s="55">
        <v>9008.68</v>
      </c>
      <c r="V9" s="55">
        <v>7642.8</v>
      </c>
      <c r="W9" s="55">
        <v>8647.4599999999991</v>
      </c>
      <c r="X9" s="55">
        <v>9080.19</v>
      </c>
      <c r="Y9" s="55">
        <v>8767.0400000000009</v>
      </c>
      <c r="Z9" s="55">
        <v>7942.09</v>
      </c>
      <c r="AA9" s="55">
        <v>6777.65</v>
      </c>
      <c r="AB9" s="55">
        <v>5898.29</v>
      </c>
      <c r="AC9" s="58"/>
      <c r="AE9" s="31">
        <f>((+AC15)*1000)/1000</f>
        <v>5627140.1399999987</v>
      </c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</row>
    <row r="10" spans="2:56" ht="18.649999999999999" customHeight="1" x14ac:dyDescent="0.25">
      <c r="B10" s="41" t="s">
        <v>59</v>
      </c>
      <c r="C10" s="36" t="s">
        <v>63</v>
      </c>
      <c r="D10" s="37">
        <v>2</v>
      </c>
      <c r="E10" s="55">
        <v>4961.4799999999996</v>
      </c>
      <c r="F10" s="55">
        <v>4816.8</v>
      </c>
      <c r="G10" s="55">
        <v>4586.57</v>
      </c>
      <c r="H10" s="55">
        <v>4338.1400000000003</v>
      </c>
      <c r="I10" s="55">
        <v>4150.97</v>
      </c>
      <c r="J10" s="55">
        <v>3969.97</v>
      </c>
      <c r="K10" s="55">
        <v>3628.59</v>
      </c>
      <c r="L10" s="55">
        <v>6470.85</v>
      </c>
      <c r="M10" s="55">
        <v>6851.27</v>
      </c>
      <c r="N10" s="55">
        <v>7407.3</v>
      </c>
      <c r="O10" s="55">
        <v>7732.77</v>
      </c>
      <c r="P10" s="55">
        <v>8101.09</v>
      </c>
      <c r="Q10" s="55">
        <v>8602.82</v>
      </c>
      <c r="R10" s="55">
        <v>8905.18</v>
      </c>
      <c r="S10" s="55">
        <v>8594.68</v>
      </c>
      <c r="T10" s="55">
        <v>8634.11</v>
      </c>
      <c r="U10" s="55">
        <v>8757.7900000000009</v>
      </c>
      <c r="V10" s="55">
        <v>7579.71</v>
      </c>
      <c r="W10" s="55">
        <v>8417.4</v>
      </c>
      <c r="X10" s="55">
        <v>8651.27</v>
      </c>
      <c r="Y10" s="55">
        <v>8369.75</v>
      </c>
      <c r="Z10" s="55">
        <v>7669.66</v>
      </c>
      <c r="AA10" s="55">
        <v>6763.85</v>
      </c>
      <c r="AB10" s="55">
        <v>5918.46</v>
      </c>
      <c r="AC10" s="59"/>
      <c r="AE10" s="31">
        <f>((+AC19)*1000)/1000</f>
        <v>5689823.7400000002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</row>
    <row r="11" spans="2:56" ht="18.649999999999999" customHeight="1" x14ac:dyDescent="0.25">
      <c r="B11" s="41" t="s">
        <v>64</v>
      </c>
      <c r="C11" s="36" t="s">
        <v>60</v>
      </c>
      <c r="D11" s="37">
        <v>20</v>
      </c>
      <c r="E11" s="55">
        <v>4373.3900000000003</v>
      </c>
      <c r="F11" s="55">
        <v>4312.17</v>
      </c>
      <c r="G11" s="55">
        <v>4133.92</v>
      </c>
      <c r="H11" s="55">
        <v>4265.6400000000003</v>
      </c>
      <c r="I11" s="55">
        <v>4378.8599999999997</v>
      </c>
      <c r="J11" s="55">
        <v>6080.9</v>
      </c>
      <c r="K11" s="55">
        <v>6857.57</v>
      </c>
      <c r="L11" s="55">
        <v>10012.43</v>
      </c>
      <c r="M11" s="55">
        <v>9844.7800000000007</v>
      </c>
      <c r="N11" s="55">
        <v>9828.5</v>
      </c>
      <c r="O11" s="55">
        <v>10115.76</v>
      </c>
      <c r="P11" s="55">
        <v>10418.94</v>
      </c>
      <c r="Q11" s="55">
        <v>10174.73</v>
      </c>
      <c r="R11" s="55">
        <v>10176.540000000001</v>
      </c>
      <c r="S11" s="55">
        <v>10430.4</v>
      </c>
      <c r="T11" s="55">
        <v>10584.06</v>
      </c>
      <c r="U11" s="55">
        <v>10482.11</v>
      </c>
      <c r="V11" s="55">
        <v>8627.16</v>
      </c>
      <c r="W11" s="55">
        <v>9571.65</v>
      </c>
      <c r="X11" s="55">
        <v>9748.39</v>
      </c>
      <c r="Y11" s="55">
        <v>9320.82</v>
      </c>
      <c r="Z11" s="55">
        <v>8479.76</v>
      </c>
      <c r="AA11" s="55">
        <v>7192.98</v>
      </c>
      <c r="AB11" s="55">
        <v>6104.66</v>
      </c>
      <c r="AC11" s="56">
        <f>+SUM(E11:AB11)*D11+SUM(E12:AB12)*D12+SUM(E13:AB13)*D13+SUM(E14:AB14)*D14</f>
        <v>5363535.4400000013</v>
      </c>
      <c r="AE11" s="31">
        <f>((+AC23)*1000)/1000</f>
        <v>5648050.7299999986</v>
      </c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</row>
    <row r="12" spans="2:56" ht="18.649999999999999" customHeight="1" x14ac:dyDescent="0.25">
      <c r="B12" s="41" t="s">
        <v>64</v>
      </c>
      <c r="C12" s="36" t="s">
        <v>61</v>
      </c>
      <c r="D12" s="37">
        <v>4</v>
      </c>
      <c r="E12" s="55">
        <v>4799.0200000000004</v>
      </c>
      <c r="F12" s="55">
        <v>4503.63</v>
      </c>
      <c r="G12" s="55">
        <v>4329.0200000000004</v>
      </c>
      <c r="H12" s="55">
        <v>4215.5</v>
      </c>
      <c r="I12" s="55">
        <v>4315.7299999999996</v>
      </c>
      <c r="J12" s="55">
        <v>4574.2299999999996</v>
      </c>
      <c r="K12" s="55">
        <v>5161.46</v>
      </c>
      <c r="L12" s="55">
        <v>9216.4</v>
      </c>
      <c r="M12" s="55">
        <v>9700.01</v>
      </c>
      <c r="N12" s="55">
        <v>9877.32</v>
      </c>
      <c r="O12" s="55">
        <v>10144.469999999999</v>
      </c>
      <c r="P12" s="55">
        <v>10410.84</v>
      </c>
      <c r="Q12" s="55">
        <v>10259.64</v>
      </c>
      <c r="R12" s="55">
        <v>10030.94</v>
      </c>
      <c r="S12" s="55">
        <v>9999.1200000000008</v>
      </c>
      <c r="T12" s="55">
        <v>9948.25</v>
      </c>
      <c r="U12" s="55">
        <v>10048.129999999999</v>
      </c>
      <c r="V12" s="55">
        <v>8518.94</v>
      </c>
      <c r="W12" s="55">
        <v>9304.82</v>
      </c>
      <c r="X12" s="55">
        <v>9591.67</v>
      </c>
      <c r="Y12" s="55">
        <v>9169.89</v>
      </c>
      <c r="Z12" s="55">
        <v>8238.18</v>
      </c>
      <c r="AA12" s="55">
        <v>7213.35</v>
      </c>
      <c r="AB12" s="55">
        <v>6260.8</v>
      </c>
      <c r="AC12" s="58"/>
      <c r="AE12" s="31">
        <f>((+AC27)*1000)/1000</f>
        <v>5640253.2400000002</v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</row>
    <row r="13" spans="2:56" ht="18.649999999999999" customHeight="1" x14ac:dyDescent="0.25">
      <c r="B13" s="41" t="s">
        <v>64</v>
      </c>
      <c r="C13" s="36" t="s">
        <v>62</v>
      </c>
      <c r="D13" s="37">
        <v>4</v>
      </c>
      <c r="E13" s="55">
        <v>4899.32</v>
      </c>
      <c r="F13" s="55">
        <v>4541.96</v>
      </c>
      <c r="G13" s="55">
        <v>4263.43</v>
      </c>
      <c r="H13" s="55">
        <v>4125.2700000000004</v>
      </c>
      <c r="I13" s="55">
        <v>4068.35</v>
      </c>
      <c r="J13" s="55">
        <v>4041.92</v>
      </c>
      <c r="K13" s="55">
        <v>4065.06</v>
      </c>
      <c r="L13" s="55">
        <v>7481.38</v>
      </c>
      <c r="M13" s="55">
        <v>8160.64</v>
      </c>
      <c r="N13" s="55">
        <v>8669.44</v>
      </c>
      <c r="O13" s="55">
        <v>8735.5</v>
      </c>
      <c r="P13" s="55">
        <v>9169.1299999999992</v>
      </c>
      <c r="Q13" s="55">
        <v>9595.9500000000007</v>
      </c>
      <c r="R13" s="55">
        <v>9656.1200000000008</v>
      </c>
      <c r="S13" s="55">
        <v>9420.24</v>
      </c>
      <c r="T13" s="55">
        <v>9826.5300000000007</v>
      </c>
      <c r="U13" s="55">
        <v>8916.5</v>
      </c>
      <c r="V13" s="55">
        <v>7667.92</v>
      </c>
      <c r="W13" s="55">
        <v>9154.5</v>
      </c>
      <c r="X13" s="55">
        <v>8669.52</v>
      </c>
      <c r="Y13" s="55">
        <v>8509.33</v>
      </c>
      <c r="Z13" s="55">
        <v>7723.8</v>
      </c>
      <c r="AA13" s="55">
        <v>6535.77</v>
      </c>
      <c r="AB13" s="55">
        <v>5574.32</v>
      </c>
      <c r="AC13" s="58"/>
      <c r="AE13" s="31">
        <f>((+AC31)*1000)/1000</f>
        <v>5243214.5</v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</row>
    <row r="14" spans="2:56" ht="18.649999999999999" customHeight="1" x14ac:dyDescent="0.25">
      <c r="B14" s="41" t="s">
        <v>64</v>
      </c>
      <c r="C14" s="36" t="s">
        <v>63</v>
      </c>
      <c r="D14" s="37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9"/>
      <c r="AE14" s="31">
        <f>((+AC35)*1000)/1000</f>
        <v>5463238.9500000002</v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</row>
    <row r="15" spans="2:56" ht="18.649999999999999" customHeight="1" x14ac:dyDescent="0.25">
      <c r="B15" s="41" t="s">
        <v>65</v>
      </c>
      <c r="C15" s="36" t="s">
        <v>60</v>
      </c>
      <c r="D15" s="37">
        <v>20</v>
      </c>
      <c r="E15" s="55">
        <v>4194.33</v>
      </c>
      <c r="F15" s="55">
        <v>3980.09</v>
      </c>
      <c r="G15" s="55">
        <v>3914.3</v>
      </c>
      <c r="H15" s="55">
        <v>3898.14</v>
      </c>
      <c r="I15" s="55">
        <v>4340.5600000000004</v>
      </c>
      <c r="J15" s="55">
        <v>5692.24</v>
      </c>
      <c r="K15" s="55">
        <v>6317.99</v>
      </c>
      <c r="L15" s="55">
        <v>9170.91</v>
      </c>
      <c r="M15" s="55">
        <v>9020.9599999999991</v>
      </c>
      <c r="N15" s="55">
        <v>9070.44</v>
      </c>
      <c r="O15" s="55">
        <v>9177.51</v>
      </c>
      <c r="P15" s="55">
        <v>9750.01</v>
      </c>
      <c r="Q15" s="55">
        <v>9614.9500000000007</v>
      </c>
      <c r="R15" s="55">
        <v>9564.09</v>
      </c>
      <c r="S15" s="55">
        <v>9843.67</v>
      </c>
      <c r="T15" s="55">
        <v>9929.76</v>
      </c>
      <c r="U15" s="55">
        <v>9681.75</v>
      </c>
      <c r="V15" s="55">
        <v>8309.94</v>
      </c>
      <c r="W15" s="55">
        <v>9177.0499999999993</v>
      </c>
      <c r="X15" s="55">
        <v>9528.2000000000007</v>
      </c>
      <c r="Y15" s="55">
        <v>9178.65</v>
      </c>
      <c r="Z15" s="55">
        <v>8059.41</v>
      </c>
      <c r="AA15" s="55">
        <v>6936.77</v>
      </c>
      <c r="AB15" s="55">
        <v>5882.18</v>
      </c>
      <c r="AC15" s="56">
        <f>+SUM(E15:AB15)*D15+SUM(E16:AB16)*D16+SUM(E17:AB17)*D17+SUM(E18:AB18)*D18</f>
        <v>5627140.1399999987</v>
      </c>
      <c r="AE15" s="31">
        <f>((+AC39)*1000)/1000</f>
        <v>5261452.12</v>
      </c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</row>
    <row r="16" spans="2:56" ht="18.649999999999999" customHeight="1" x14ac:dyDescent="0.25">
      <c r="B16" s="41" t="s">
        <v>65</v>
      </c>
      <c r="C16" s="36" t="s">
        <v>61</v>
      </c>
      <c r="D16" s="37">
        <v>4</v>
      </c>
      <c r="E16" s="55">
        <v>4074.34</v>
      </c>
      <c r="F16" s="55">
        <v>4193.3500000000004</v>
      </c>
      <c r="G16" s="55">
        <v>4070.02</v>
      </c>
      <c r="H16" s="55">
        <v>4000.94</v>
      </c>
      <c r="I16" s="55">
        <v>4142.58</v>
      </c>
      <c r="J16" s="55">
        <v>4534.62</v>
      </c>
      <c r="K16" s="55">
        <v>5120.58</v>
      </c>
      <c r="L16" s="55">
        <v>8886.25</v>
      </c>
      <c r="M16" s="55">
        <v>9323.83</v>
      </c>
      <c r="N16" s="55">
        <v>9621.75</v>
      </c>
      <c r="O16" s="55">
        <v>9712.41</v>
      </c>
      <c r="P16" s="55">
        <v>9711.99</v>
      </c>
      <c r="Q16" s="55">
        <v>9777.15</v>
      </c>
      <c r="R16" s="55">
        <v>9618.57</v>
      </c>
      <c r="S16" s="55">
        <v>9635.43</v>
      </c>
      <c r="T16" s="55">
        <v>9684.4599999999991</v>
      </c>
      <c r="U16" s="55">
        <v>9556.56</v>
      </c>
      <c r="V16" s="55">
        <v>8204.43</v>
      </c>
      <c r="W16" s="55">
        <v>8763.57</v>
      </c>
      <c r="X16" s="55">
        <v>9341.0499999999993</v>
      </c>
      <c r="Y16" s="55">
        <v>8973.01</v>
      </c>
      <c r="Z16" s="55">
        <v>8263.32</v>
      </c>
      <c r="AA16" s="55">
        <v>7309.08</v>
      </c>
      <c r="AB16" s="55">
        <v>6395.61</v>
      </c>
      <c r="AC16" s="58"/>
      <c r="AE16" s="31">
        <f>((+AC43)*1000)/1000</f>
        <v>5492375.1399999997</v>
      </c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</row>
    <row r="17" spans="2:56" ht="18.649999999999999" customHeight="1" x14ac:dyDescent="0.25">
      <c r="B17" s="41" t="s">
        <v>65</v>
      </c>
      <c r="C17" s="36" t="s">
        <v>62</v>
      </c>
      <c r="D17" s="37">
        <v>4</v>
      </c>
      <c r="E17" s="55">
        <v>4734.6400000000003</v>
      </c>
      <c r="F17" s="55">
        <v>4470.63</v>
      </c>
      <c r="G17" s="55">
        <v>4141.1499999999996</v>
      </c>
      <c r="H17" s="55">
        <v>4195.5600000000004</v>
      </c>
      <c r="I17" s="55">
        <v>4175.6400000000003</v>
      </c>
      <c r="J17" s="55">
        <v>3522.98</v>
      </c>
      <c r="K17" s="55">
        <v>3937.59</v>
      </c>
      <c r="L17" s="55">
        <v>7161.62</v>
      </c>
      <c r="M17" s="55">
        <v>7781.43</v>
      </c>
      <c r="N17" s="55">
        <v>8010.21</v>
      </c>
      <c r="O17" s="55">
        <v>8372.85</v>
      </c>
      <c r="P17" s="55">
        <v>8820.7800000000007</v>
      </c>
      <c r="Q17" s="55">
        <v>8786.11</v>
      </c>
      <c r="R17" s="55">
        <v>8981.8700000000008</v>
      </c>
      <c r="S17" s="55">
        <v>8861.6</v>
      </c>
      <c r="T17" s="55">
        <v>8825.66</v>
      </c>
      <c r="U17" s="55">
        <v>8678.51</v>
      </c>
      <c r="V17" s="55">
        <v>7535.39</v>
      </c>
      <c r="W17" s="55">
        <v>8300.7800000000007</v>
      </c>
      <c r="X17" s="55">
        <v>8857.85</v>
      </c>
      <c r="Y17" s="55">
        <v>8952.7800000000007</v>
      </c>
      <c r="Z17" s="55">
        <v>8068.9</v>
      </c>
      <c r="AA17" s="55">
        <v>6987.39</v>
      </c>
      <c r="AB17" s="55">
        <v>5859.07</v>
      </c>
      <c r="AC17" s="58"/>
      <c r="AE17" s="31">
        <f>((+AC47)*1000)/1000</f>
        <v>5323864.0799999991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</row>
    <row r="18" spans="2:56" ht="18.649999999999999" customHeight="1" x14ac:dyDescent="0.25">
      <c r="B18" s="41" t="s">
        <v>65</v>
      </c>
      <c r="C18" s="36" t="s">
        <v>63</v>
      </c>
      <c r="D18" s="37">
        <v>3</v>
      </c>
      <c r="E18" s="55">
        <v>4920.91</v>
      </c>
      <c r="F18" s="55">
        <v>4751.3999999999996</v>
      </c>
      <c r="G18" s="55">
        <v>4466.1899999999996</v>
      </c>
      <c r="H18" s="55">
        <v>4442.7700000000004</v>
      </c>
      <c r="I18" s="55">
        <v>4468.08</v>
      </c>
      <c r="J18" s="55">
        <v>4332.32</v>
      </c>
      <c r="K18" s="55">
        <v>4417.32</v>
      </c>
      <c r="L18" s="55">
        <v>7602.62</v>
      </c>
      <c r="M18" s="55">
        <v>8075.47</v>
      </c>
      <c r="N18" s="55">
        <v>8379.57</v>
      </c>
      <c r="O18" s="55">
        <v>8910.7900000000009</v>
      </c>
      <c r="P18" s="55">
        <v>9226.31</v>
      </c>
      <c r="Q18" s="55">
        <v>9518.36</v>
      </c>
      <c r="R18" s="55">
        <v>9377.8700000000008</v>
      </c>
      <c r="S18" s="55">
        <v>9485.32</v>
      </c>
      <c r="T18" s="55">
        <v>9437.36</v>
      </c>
      <c r="U18" s="55">
        <v>9326.9699999999993</v>
      </c>
      <c r="V18" s="55">
        <v>8204.51</v>
      </c>
      <c r="W18" s="55">
        <v>9387.92</v>
      </c>
      <c r="X18" s="55">
        <v>9672.76</v>
      </c>
      <c r="Y18" s="55">
        <v>9334.17</v>
      </c>
      <c r="Z18" s="55">
        <v>8644</v>
      </c>
      <c r="AA18" s="55">
        <v>7110.38</v>
      </c>
      <c r="AB18" s="55">
        <v>6079.49</v>
      </c>
      <c r="AC18" s="59"/>
      <c r="AE18" s="31">
        <f>((+AC51)*1000)/1000</f>
        <v>5496598.7100000009</v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</row>
    <row r="19" spans="2:56" ht="18.649999999999999" customHeight="1" x14ac:dyDescent="0.3">
      <c r="B19" s="41" t="s">
        <v>66</v>
      </c>
      <c r="C19" s="36" t="s">
        <v>60</v>
      </c>
      <c r="D19" s="37">
        <v>22</v>
      </c>
      <c r="E19" s="55">
        <v>4377.16</v>
      </c>
      <c r="F19" s="55">
        <v>4182.84</v>
      </c>
      <c r="G19" s="55">
        <v>4176.09</v>
      </c>
      <c r="H19" s="55">
        <v>4086.99</v>
      </c>
      <c r="I19" s="55">
        <v>4466.59</v>
      </c>
      <c r="J19" s="55">
        <v>5654.7</v>
      </c>
      <c r="K19" s="55">
        <v>6422.9</v>
      </c>
      <c r="L19" s="55">
        <v>9461.23</v>
      </c>
      <c r="M19" s="55">
        <v>9339.2099999999991</v>
      </c>
      <c r="N19" s="55">
        <v>9291.4</v>
      </c>
      <c r="O19" s="55">
        <v>9748.58</v>
      </c>
      <c r="P19" s="55">
        <v>10083.82</v>
      </c>
      <c r="Q19" s="55">
        <v>10028.120000000001</v>
      </c>
      <c r="R19" s="55">
        <v>10040.94</v>
      </c>
      <c r="S19" s="55">
        <v>10426.61</v>
      </c>
      <c r="T19" s="55">
        <v>10414.64</v>
      </c>
      <c r="U19" s="55">
        <v>10351.36</v>
      </c>
      <c r="V19" s="55">
        <v>8714.3799999999992</v>
      </c>
      <c r="W19" s="55">
        <v>9561.8799999999992</v>
      </c>
      <c r="X19" s="55">
        <v>9779.9500000000007</v>
      </c>
      <c r="Y19" s="55">
        <v>9473.5300000000007</v>
      </c>
      <c r="Z19" s="55">
        <v>8600.65</v>
      </c>
      <c r="AA19" s="55">
        <v>7290.52</v>
      </c>
      <c r="AB19" s="55">
        <v>6187.94</v>
      </c>
      <c r="AC19" s="56">
        <f>+SUM(E19:AB19)*D19+SUM(E20:AB20)*D20+SUM(E21:AB21)*D21+SUM(E22:AB22)*D22</f>
        <v>5689823.7400000002</v>
      </c>
      <c r="AE19" s="60">
        <f>SUM(AE7:AE18)</f>
        <v>66020641.630000003</v>
      </c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</row>
    <row r="20" spans="2:56" ht="18.649999999999999" customHeight="1" x14ac:dyDescent="0.25">
      <c r="B20" s="41" t="s">
        <v>66</v>
      </c>
      <c r="C20" s="36" t="s">
        <v>61</v>
      </c>
      <c r="D20" s="37">
        <v>4</v>
      </c>
      <c r="E20" s="55">
        <v>4775.13</v>
      </c>
      <c r="F20" s="55">
        <v>4503.43</v>
      </c>
      <c r="G20" s="55">
        <v>4343.6499999999996</v>
      </c>
      <c r="H20" s="55">
        <v>4302.91</v>
      </c>
      <c r="I20" s="55">
        <v>4451.45</v>
      </c>
      <c r="J20" s="55">
        <v>4663.26</v>
      </c>
      <c r="K20" s="55">
        <v>4827.76</v>
      </c>
      <c r="L20" s="55">
        <v>8912.74</v>
      </c>
      <c r="M20" s="55">
        <v>9170.7900000000009</v>
      </c>
      <c r="N20" s="55">
        <v>9374.16</v>
      </c>
      <c r="O20" s="55">
        <v>9792.48</v>
      </c>
      <c r="P20" s="55">
        <v>9831.0300000000007</v>
      </c>
      <c r="Q20" s="55">
        <v>10190.870000000001</v>
      </c>
      <c r="R20" s="55">
        <v>9924.98</v>
      </c>
      <c r="S20" s="55">
        <v>10085.25</v>
      </c>
      <c r="T20" s="55">
        <v>10171.33</v>
      </c>
      <c r="U20" s="55">
        <v>10240.700000000001</v>
      </c>
      <c r="V20" s="55">
        <v>8429.07</v>
      </c>
      <c r="W20" s="55">
        <v>9862.98</v>
      </c>
      <c r="X20" s="55">
        <v>9390.24</v>
      </c>
      <c r="Y20" s="55">
        <v>8965.39</v>
      </c>
      <c r="Z20" s="55">
        <v>8440.73</v>
      </c>
      <c r="AA20" s="55">
        <v>7574.73</v>
      </c>
      <c r="AB20" s="55">
        <v>7300.49</v>
      </c>
      <c r="AC20" s="58"/>
      <c r="AE20" s="61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</row>
    <row r="21" spans="2:56" ht="18.649999999999999" customHeight="1" x14ac:dyDescent="0.25">
      <c r="B21" s="41" t="s">
        <v>66</v>
      </c>
      <c r="C21" s="36" t="s">
        <v>62</v>
      </c>
      <c r="D21" s="37">
        <v>4</v>
      </c>
      <c r="E21" s="55">
        <v>5100.9799999999996</v>
      </c>
      <c r="F21" s="55">
        <v>4699.42</v>
      </c>
      <c r="G21" s="55">
        <v>4411.95</v>
      </c>
      <c r="H21" s="55">
        <v>4347.26</v>
      </c>
      <c r="I21" s="55">
        <v>4121.8500000000004</v>
      </c>
      <c r="J21" s="55">
        <v>4105.16</v>
      </c>
      <c r="K21" s="55">
        <v>4252.16</v>
      </c>
      <c r="L21" s="55">
        <v>7377.76</v>
      </c>
      <c r="M21" s="55">
        <v>8147.7</v>
      </c>
      <c r="N21" s="55">
        <v>8372.52</v>
      </c>
      <c r="O21" s="55">
        <v>8737.35</v>
      </c>
      <c r="P21" s="55">
        <v>8872.77</v>
      </c>
      <c r="Q21" s="55">
        <v>9275.17</v>
      </c>
      <c r="R21" s="55">
        <v>9281.61</v>
      </c>
      <c r="S21" s="55">
        <v>9236.33</v>
      </c>
      <c r="T21" s="55">
        <v>9125.34</v>
      </c>
      <c r="U21" s="55">
        <v>9354.02</v>
      </c>
      <c r="V21" s="55">
        <v>8076.38</v>
      </c>
      <c r="W21" s="55">
        <v>9010.2800000000007</v>
      </c>
      <c r="X21" s="55">
        <v>9186.08</v>
      </c>
      <c r="Y21" s="55">
        <v>9056.73</v>
      </c>
      <c r="Z21" s="55">
        <v>8416.2800000000007</v>
      </c>
      <c r="AA21" s="55">
        <v>7495.87</v>
      </c>
      <c r="AB21" s="55">
        <v>5978.25</v>
      </c>
      <c r="AC21" s="58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</row>
    <row r="22" spans="2:56" ht="18.649999999999999" customHeight="1" x14ac:dyDescent="0.25">
      <c r="B22" s="41" t="s">
        <v>66</v>
      </c>
      <c r="C22" s="36" t="s">
        <v>63</v>
      </c>
      <c r="D22" s="37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9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</row>
    <row r="23" spans="2:56" ht="18.649999999999999" customHeight="1" x14ac:dyDescent="0.25">
      <c r="B23" s="41" t="s">
        <v>67</v>
      </c>
      <c r="C23" s="36" t="s">
        <v>60</v>
      </c>
      <c r="D23" s="37">
        <v>19</v>
      </c>
      <c r="E23" s="55">
        <v>4270.45</v>
      </c>
      <c r="F23" s="55">
        <v>4083.92</v>
      </c>
      <c r="G23" s="55">
        <v>3952.28</v>
      </c>
      <c r="H23" s="55">
        <v>3994.09</v>
      </c>
      <c r="I23" s="55">
        <v>4377.1499999999996</v>
      </c>
      <c r="J23" s="55">
        <v>5599.35</v>
      </c>
      <c r="K23" s="55">
        <v>6278.39</v>
      </c>
      <c r="L23" s="55">
        <v>9229.93</v>
      </c>
      <c r="M23" s="55">
        <v>9087.6299999999992</v>
      </c>
      <c r="N23" s="55">
        <v>8888.43</v>
      </c>
      <c r="O23" s="55">
        <v>9168.2800000000007</v>
      </c>
      <c r="P23" s="55">
        <v>9774.86</v>
      </c>
      <c r="Q23" s="55">
        <v>9616.98</v>
      </c>
      <c r="R23" s="55">
        <v>9730.9500000000007</v>
      </c>
      <c r="S23" s="55">
        <v>10093.870000000001</v>
      </c>
      <c r="T23" s="55">
        <v>10123.39</v>
      </c>
      <c r="U23" s="55">
        <v>9994.2800000000007</v>
      </c>
      <c r="V23" s="55">
        <v>8493.64</v>
      </c>
      <c r="W23" s="55">
        <v>9275.2999999999993</v>
      </c>
      <c r="X23" s="55">
        <v>9502.6299999999992</v>
      </c>
      <c r="Y23" s="55">
        <v>9100.6200000000008</v>
      </c>
      <c r="Z23" s="55">
        <v>8272.92</v>
      </c>
      <c r="AA23" s="55">
        <v>7106.36</v>
      </c>
      <c r="AB23" s="55">
        <v>6033.36</v>
      </c>
      <c r="AC23" s="56">
        <f>+SUM(E23:AB23)*D23+SUM(E24:AB24)*D24+SUM(E25:AB25)*D25+SUM(E26:AB26)*D26</f>
        <v>5648050.7299999986</v>
      </c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</row>
    <row r="24" spans="2:56" ht="18.649999999999999" customHeight="1" x14ac:dyDescent="0.25">
      <c r="B24" s="41" t="s">
        <v>67</v>
      </c>
      <c r="C24" s="36" t="s">
        <v>61</v>
      </c>
      <c r="D24" s="37">
        <v>4</v>
      </c>
      <c r="E24" s="55">
        <v>4681.1499999999996</v>
      </c>
      <c r="F24" s="55">
        <v>4231.43</v>
      </c>
      <c r="G24" s="55">
        <v>4161.6899999999996</v>
      </c>
      <c r="H24" s="55">
        <v>4107.66</v>
      </c>
      <c r="I24" s="55">
        <v>4228.3100000000004</v>
      </c>
      <c r="J24" s="55">
        <v>4367.99</v>
      </c>
      <c r="K24" s="55">
        <v>4917.8599999999997</v>
      </c>
      <c r="L24" s="55">
        <v>8664.4699999999993</v>
      </c>
      <c r="M24" s="55">
        <v>9196.3700000000008</v>
      </c>
      <c r="N24" s="55">
        <v>9453.85</v>
      </c>
      <c r="O24" s="55">
        <v>9538.7800000000007</v>
      </c>
      <c r="P24" s="55">
        <v>9608.09</v>
      </c>
      <c r="Q24" s="55">
        <v>9705.7000000000007</v>
      </c>
      <c r="R24" s="55">
        <v>9428.2099999999991</v>
      </c>
      <c r="S24" s="55">
        <v>9392.81</v>
      </c>
      <c r="T24" s="55">
        <v>9404.94</v>
      </c>
      <c r="U24" s="55">
        <v>9371.4599999999991</v>
      </c>
      <c r="V24" s="55">
        <v>8048.15</v>
      </c>
      <c r="W24" s="55">
        <v>8875.0400000000009</v>
      </c>
      <c r="X24" s="55">
        <v>9297.31</v>
      </c>
      <c r="Y24" s="55">
        <v>8869.59</v>
      </c>
      <c r="Z24" s="55">
        <v>8276.34</v>
      </c>
      <c r="AA24" s="55">
        <v>7316.23</v>
      </c>
      <c r="AB24" s="55">
        <v>6356.3</v>
      </c>
      <c r="AC24" s="58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</row>
    <row r="25" spans="2:56" ht="18.649999999999999" customHeight="1" x14ac:dyDescent="0.25">
      <c r="B25" s="41" t="s">
        <v>67</v>
      </c>
      <c r="C25" s="36" t="s">
        <v>62</v>
      </c>
      <c r="D25" s="37">
        <v>5</v>
      </c>
      <c r="E25" s="55">
        <v>4734.37</v>
      </c>
      <c r="F25" s="55">
        <v>4454.8100000000004</v>
      </c>
      <c r="G25" s="55">
        <v>4067.99</v>
      </c>
      <c r="H25" s="55">
        <v>3981.5</v>
      </c>
      <c r="I25" s="55">
        <v>3823.03</v>
      </c>
      <c r="J25" s="55">
        <v>3834.57</v>
      </c>
      <c r="K25" s="55">
        <v>3984.3</v>
      </c>
      <c r="L25" s="55">
        <v>7320.65</v>
      </c>
      <c r="M25" s="55">
        <v>7965.98</v>
      </c>
      <c r="N25" s="55">
        <v>8314.7099999999991</v>
      </c>
      <c r="O25" s="55">
        <v>8581.09</v>
      </c>
      <c r="P25" s="55">
        <v>8693.73</v>
      </c>
      <c r="Q25" s="55">
        <v>8841.65</v>
      </c>
      <c r="R25" s="55">
        <v>8636.7000000000007</v>
      </c>
      <c r="S25" s="55">
        <v>8503.2199999999993</v>
      </c>
      <c r="T25" s="55">
        <v>8641.09</v>
      </c>
      <c r="U25" s="55">
        <v>9038.7800000000007</v>
      </c>
      <c r="V25" s="55">
        <v>6971.3</v>
      </c>
      <c r="W25" s="55">
        <v>8523.3799999999992</v>
      </c>
      <c r="X25" s="55">
        <v>8811.5</v>
      </c>
      <c r="Y25" s="55">
        <v>8561.76</v>
      </c>
      <c r="Z25" s="55">
        <v>7812.64</v>
      </c>
      <c r="AA25" s="55">
        <v>6627.32</v>
      </c>
      <c r="AB25" s="55">
        <v>5485.71</v>
      </c>
      <c r="AC25" s="58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</row>
    <row r="26" spans="2:56" ht="18.649999999999999" customHeight="1" x14ac:dyDescent="0.25">
      <c r="B26" s="41" t="s">
        <v>67</v>
      </c>
      <c r="C26" s="36" t="s">
        <v>63</v>
      </c>
      <c r="D26" s="37">
        <v>3</v>
      </c>
      <c r="E26" s="55">
        <v>4120.87</v>
      </c>
      <c r="F26" s="55">
        <v>4453.29</v>
      </c>
      <c r="G26" s="55">
        <v>4436.25</v>
      </c>
      <c r="H26" s="55">
        <v>4172.9799999999996</v>
      </c>
      <c r="I26" s="55">
        <v>4499.1499999999996</v>
      </c>
      <c r="J26" s="55">
        <v>4635.25</v>
      </c>
      <c r="K26" s="55">
        <v>4909.01</v>
      </c>
      <c r="L26" s="55">
        <v>8392.07</v>
      </c>
      <c r="M26" s="55">
        <v>8685.34</v>
      </c>
      <c r="N26" s="55">
        <v>9291.93</v>
      </c>
      <c r="O26" s="55">
        <v>9767.3799999999992</v>
      </c>
      <c r="P26" s="55">
        <v>10236.58</v>
      </c>
      <c r="Q26" s="55">
        <v>10581.43</v>
      </c>
      <c r="R26" s="55">
        <v>10504.42</v>
      </c>
      <c r="S26" s="55">
        <v>10013.209999999999</v>
      </c>
      <c r="T26" s="55">
        <v>9944.81</v>
      </c>
      <c r="U26" s="55">
        <v>9570.73</v>
      </c>
      <c r="V26" s="55">
        <v>8254.68</v>
      </c>
      <c r="W26" s="55">
        <v>9322.2900000000009</v>
      </c>
      <c r="X26" s="55">
        <v>9208.27</v>
      </c>
      <c r="Y26" s="55">
        <v>8798.57</v>
      </c>
      <c r="Z26" s="55">
        <v>8249.91</v>
      </c>
      <c r="AA26" s="55">
        <v>7178.17</v>
      </c>
      <c r="AB26" s="55">
        <v>6127</v>
      </c>
      <c r="AC26" s="59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</row>
    <row r="27" spans="2:56" ht="18.649999999999999" customHeight="1" x14ac:dyDescent="0.25">
      <c r="B27" s="41" t="s">
        <v>68</v>
      </c>
      <c r="C27" s="36" t="s">
        <v>60</v>
      </c>
      <c r="D27" s="37">
        <v>21</v>
      </c>
      <c r="E27" s="55">
        <v>4453.1099999999997</v>
      </c>
      <c r="F27" s="55">
        <v>4215.1099999999997</v>
      </c>
      <c r="G27" s="55">
        <v>4143.8999999999996</v>
      </c>
      <c r="H27" s="55">
        <v>4103.3900000000003</v>
      </c>
      <c r="I27" s="55">
        <v>4495.58</v>
      </c>
      <c r="J27" s="55">
        <v>5489.54</v>
      </c>
      <c r="K27" s="55">
        <v>6190.67</v>
      </c>
      <c r="L27" s="55">
        <v>9508.2900000000009</v>
      </c>
      <c r="M27" s="55">
        <v>9422.93</v>
      </c>
      <c r="N27" s="55">
        <v>9564.42</v>
      </c>
      <c r="O27" s="55">
        <v>9882.49</v>
      </c>
      <c r="P27" s="55">
        <v>10195.24</v>
      </c>
      <c r="Q27" s="55">
        <v>10131.209999999999</v>
      </c>
      <c r="R27" s="55">
        <v>10116.91</v>
      </c>
      <c r="S27" s="55">
        <v>10415.57</v>
      </c>
      <c r="T27" s="55">
        <v>10410.01</v>
      </c>
      <c r="U27" s="55">
        <v>10398.530000000001</v>
      </c>
      <c r="V27" s="55">
        <v>8712.0499999999993</v>
      </c>
      <c r="W27" s="55">
        <v>9658.2199999999993</v>
      </c>
      <c r="X27" s="55">
        <v>9784.14</v>
      </c>
      <c r="Y27" s="55">
        <v>9240.82</v>
      </c>
      <c r="Z27" s="55">
        <v>8334.42</v>
      </c>
      <c r="AA27" s="55">
        <v>7142.78</v>
      </c>
      <c r="AB27" s="55">
        <v>6154.18</v>
      </c>
      <c r="AC27" s="56">
        <f>+SUM(E27:AB27)*D27+SUM(E28:AB28)*D28+SUM(E29:AB29)*D29+SUM(E30:AB30)*D30</f>
        <v>5640253.2400000002</v>
      </c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</row>
    <row r="28" spans="2:56" ht="18.649999999999999" customHeight="1" x14ac:dyDescent="0.25">
      <c r="B28" s="41" t="s">
        <v>68</v>
      </c>
      <c r="C28" s="36" t="s">
        <v>61</v>
      </c>
      <c r="D28" s="37">
        <v>4</v>
      </c>
      <c r="E28" s="55">
        <v>4666.2299999999996</v>
      </c>
      <c r="F28" s="55">
        <v>4359.79</v>
      </c>
      <c r="G28" s="55">
        <v>4216.47</v>
      </c>
      <c r="H28" s="55">
        <v>4116.9399999999996</v>
      </c>
      <c r="I28" s="55">
        <v>4266.1000000000004</v>
      </c>
      <c r="J28" s="55">
        <v>4542.0600000000004</v>
      </c>
      <c r="K28" s="55">
        <v>4975.99</v>
      </c>
      <c r="L28" s="55">
        <v>8975.27</v>
      </c>
      <c r="M28" s="55">
        <v>9340.7999999999993</v>
      </c>
      <c r="N28" s="55">
        <v>9554.93</v>
      </c>
      <c r="O28" s="55">
        <v>9801.57</v>
      </c>
      <c r="P28" s="55">
        <v>9919.1200000000008</v>
      </c>
      <c r="Q28" s="55">
        <v>9948.56</v>
      </c>
      <c r="R28" s="55">
        <v>9752.51</v>
      </c>
      <c r="S28" s="55">
        <v>9573.85</v>
      </c>
      <c r="T28" s="55">
        <v>9570.14</v>
      </c>
      <c r="U28" s="55">
        <v>9525.17</v>
      </c>
      <c r="V28" s="55">
        <v>8146.83</v>
      </c>
      <c r="W28" s="55">
        <v>8994.6</v>
      </c>
      <c r="X28" s="55">
        <v>9412.52</v>
      </c>
      <c r="Y28" s="55">
        <v>8988.85</v>
      </c>
      <c r="Z28" s="55">
        <v>8298.31</v>
      </c>
      <c r="AA28" s="55">
        <v>7503.79</v>
      </c>
      <c r="AB28" s="55">
        <v>6586.35</v>
      </c>
      <c r="AC28" s="58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</row>
    <row r="29" spans="2:56" ht="18.649999999999999" customHeight="1" x14ac:dyDescent="0.25">
      <c r="B29" s="41" t="s">
        <v>68</v>
      </c>
      <c r="C29" s="36" t="s">
        <v>62</v>
      </c>
      <c r="D29" s="37">
        <v>4</v>
      </c>
      <c r="E29" s="55">
        <v>5151.46</v>
      </c>
      <c r="F29" s="55">
        <v>4730.0600000000004</v>
      </c>
      <c r="G29" s="55">
        <v>4493.62</v>
      </c>
      <c r="H29" s="55">
        <v>4392.17</v>
      </c>
      <c r="I29" s="55">
        <v>4287.3599999999997</v>
      </c>
      <c r="J29" s="55">
        <v>4196.34</v>
      </c>
      <c r="K29" s="55">
        <v>4180.8599999999997</v>
      </c>
      <c r="L29" s="55">
        <v>7586.39</v>
      </c>
      <c r="M29" s="55">
        <v>8122.65</v>
      </c>
      <c r="N29" s="55">
        <v>8551.26</v>
      </c>
      <c r="O29" s="55">
        <v>8750.07</v>
      </c>
      <c r="P29" s="55">
        <v>8910.4599999999991</v>
      </c>
      <c r="Q29" s="55">
        <v>8988.24</v>
      </c>
      <c r="R29" s="55">
        <v>8967.4500000000007</v>
      </c>
      <c r="S29" s="55">
        <v>8794.2800000000007</v>
      </c>
      <c r="T29" s="55">
        <v>8862</v>
      </c>
      <c r="U29" s="55">
        <v>8939.8799999999992</v>
      </c>
      <c r="V29" s="55">
        <v>7695.34</v>
      </c>
      <c r="W29" s="55">
        <v>8486.52</v>
      </c>
      <c r="X29" s="55">
        <v>8920.8700000000008</v>
      </c>
      <c r="Y29" s="55">
        <v>8620.7000000000007</v>
      </c>
      <c r="Z29" s="55">
        <v>8034.24</v>
      </c>
      <c r="AA29" s="55">
        <v>7176.92</v>
      </c>
      <c r="AB29" s="55">
        <v>6205.76</v>
      </c>
      <c r="AC29" s="58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</row>
    <row r="30" spans="2:56" ht="18.649999999999999" customHeight="1" x14ac:dyDescent="0.25">
      <c r="B30" s="41" t="s">
        <v>68</v>
      </c>
      <c r="C30" s="36" t="s">
        <v>63</v>
      </c>
      <c r="D30" s="37">
        <v>1</v>
      </c>
      <c r="E30" s="55">
        <v>4647.49</v>
      </c>
      <c r="F30" s="55">
        <v>4388.75</v>
      </c>
      <c r="G30" s="55">
        <v>4194.6400000000003</v>
      </c>
      <c r="H30" s="55">
        <v>4114.51</v>
      </c>
      <c r="I30" s="55">
        <v>4139.32</v>
      </c>
      <c r="J30" s="55">
        <v>4142.2299999999996</v>
      </c>
      <c r="K30" s="55">
        <v>4034.68</v>
      </c>
      <c r="L30" s="55">
        <v>7373.88</v>
      </c>
      <c r="M30" s="55">
        <v>7618.72</v>
      </c>
      <c r="N30" s="55">
        <v>7823.24</v>
      </c>
      <c r="O30" s="55">
        <v>8639.84</v>
      </c>
      <c r="P30" s="55">
        <v>9005.27</v>
      </c>
      <c r="Q30" s="55">
        <v>9460.82</v>
      </c>
      <c r="R30" s="55">
        <v>9383.4599999999991</v>
      </c>
      <c r="S30" s="55">
        <v>9322.6200000000008</v>
      </c>
      <c r="T30" s="55">
        <v>9314.23</v>
      </c>
      <c r="U30" s="55">
        <v>9137.34</v>
      </c>
      <c r="V30" s="55">
        <v>7816.99</v>
      </c>
      <c r="W30" s="55">
        <v>8806.06</v>
      </c>
      <c r="X30" s="55">
        <v>9084.3700000000008</v>
      </c>
      <c r="Y30" s="55">
        <v>8779.2900000000009</v>
      </c>
      <c r="Z30" s="55">
        <v>8136.29</v>
      </c>
      <c r="AA30" s="55">
        <v>7057.24</v>
      </c>
      <c r="AB30" s="55">
        <v>6071.65</v>
      </c>
      <c r="AC30" s="59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</row>
    <row r="31" spans="2:56" ht="18.649999999999999" customHeight="1" x14ac:dyDescent="0.25">
      <c r="B31" s="41" t="s">
        <v>69</v>
      </c>
      <c r="C31" s="36" t="s">
        <v>60</v>
      </c>
      <c r="D31" s="37">
        <v>20</v>
      </c>
      <c r="E31" s="55">
        <v>4184.8999999999996</v>
      </c>
      <c r="F31" s="55">
        <v>3896.52</v>
      </c>
      <c r="G31" s="55">
        <v>3796.35</v>
      </c>
      <c r="H31" s="55">
        <v>3739.98</v>
      </c>
      <c r="I31" s="55">
        <v>4040.91</v>
      </c>
      <c r="J31" s="55">
        <v>5022.6400000000003</v>
      </c>
      <c r="K31" s="55">
        <v>4860.91</v>
      </c>
      <c r="L31" s="55">
        <v>7808.08</v>
      </c>
      <c r="M31" s="55">
        <v>7824.95</v>
      </c>
      <c r="N31" s="55">
        <v>8023.36</v>
      </c>
      <c r="O31" s="55">
        <v>8434.41</v>
      </c>
      <c r="P31" s="55">
        <v>8992.58</v>
      </c>
      <c r="Q31" s="55">
        <v>8700.59</v>
      </c>
      <c r="R31" s="55">
        <v>8680.07</v>
      </c>
      <c r="S31" s="55">
        <v>8980.64</v>
      </c>
      <c r="T31" s="55">
        <v>8945.5400000000009</v>
      </c>
      <c r="U31" s="55">
        <v>8723.58</v>
      </c>
      <c r="V31" s="55">
        <v>8022.5</v>
      </c>
      <c r="W31" s="55">
        <v>9265.5</v>
      </c>
      <c r="X31" s="55">
        <v>9761.6200000000008</v>
      </c>
      <c r="Y31" s="55">
        <v>9339.01</v>
      </c>
      <c r="Z31" s="55">
        <v>8595.68</v>
      </c>
      <c r="AA31" s="55">
        <v>7481.18</v>
      </c>
      <c r="AB31" s="55">
        <v>6353.27</v>
      </c>
      <c r="AC31" s="56">
        <f>+SUM(E31:AB31)*D31+SUM(E32:AB32)*D32+SUM(E33:AB33)*D33+SUM(E34:AB34)*D34</f>
        <v>5243214.5</v>
      </c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</row>
    <row r="32" spans="2:56" ht="18.649999999999999" customHeight="1" x14ac:dyDescent="0.25">
      <c r="B32" s="41" t="s">
        <v>69</v>
      </c>
      <c r="C32" s="36" t="s">
        <v>61</v>
      </c>
      <c r="D32" s="37">
        <v>5</v>
      </c>
      <c r="E32" s="55">
        <v>3917.5</v>
      </c>
      <c r="F32" s="55">
        <v>3710.65</v>
      </c>
      <c r="G32" s="55">
        <v>3511.51</v>
      </c>
      <c r="H32" s="55">
        <v>3541.12</v>
      </c>
      <c r="I32" s="55">
        <v>3613.88</v>
      </c>
      <c r="J32" s="55">
        <v>3800.34</v>
      </c>
      <c r="K32" s="55">
        <v>3811.96</v>
      </c>
      <c r="L32" s="55">
        <v>7319.88</v>
      </c>
      <c r="M32" s="55">
        <v>7876.72</v>
      </c>
      <c r="N32" s="55">
        <v>8263.3799999999992</v>
      </c>
      <c r="O32" s="55">
        <v>8429.6200000000008</v>
      </c>
      <c r="P32" s="55">
        <v>8759.9500000000007</v>
      </c>
      <c r="Q32" s="55">
        <v>8643.2999999999993</v>
      </c>
      <c r="R32" s="55">
        <v>8500.9699999999993</v>
      </c>
      <c r="S32" s="55">
        <v>8354.2900000000009</v>
      </c>
      <c r="T32" s="55">
        <v>8297.65</v>
      </c>
      <c r="U32" s="55">
        <v>8257.89</v>
      </c>
      <c r="V32" s="55">
        <v>7712.62</v>
      </c>
      <c r="W32" s="55">
        <v>8907.7800000000007</v>
      </c>
      <c r="X32" s="55">
        <v>9467.3799999999992</v>
      </c>
      <c r="Y32" s="55">
        <v>9045.18</v>
      </c>
      <c r="Z32" s="55">
        <v>8496.23</v>
      </c>
      <c r="AA32" s="55">
        <v>7594.74</v>
      </c>
      <c r="AB32" s="55">
        <v>6626</v>
      </c>
      <c r="AC32" s="58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</row>
    <row r="33" spans="2:56" ht="18.649999999999999" customHeight="1" x14ac:dyDescent="0.25">
      <c r="B33" s="41" t="s">
        <v>69</v>
      </c>
      <c r="C33" s="36" t="s">
        <v>62</v>
      </c>
      <c r="D33" s="37">
        <v>4</v>
      </c>
      <c r="E33" s="55">
        <v>4396.75</v>
      </c>
      <c r="F33" s="55">
        <v>4145.51</v>
      </c>
      <c r="G33" s="55">
        <v>3807.02</v>
      </c>
      <c r="H33" s="55">
        <v>3711.75</v>
      </c>
      <c r="I33" s="55">
        <v>3655.98</v>
      </c>
      <c r="J33" s="55">
        <v>3514.93</v>
      </c>
      <c r="K33" s="55">
        <v>2961.06</v>
      </c>
      <c r="L33" s="55">
        <v>5980.74</v>
      </c>
      <c r="M33" s="55">
        <v>6541.33</v>
      </c>
      <c r="N33" s="55">
        <v>7067.37</v>
      </c>
      <c r="O33" s="55">
        <v>7467.71</v>
      </c>
      <c r="P33" s="55">
        <v>8010.94</v>
      </c>
      <c r="Q33" s="55">
        <v>8155.97</v>
      </c>
      <c r="R33" s="55">
        <v>8086.52</v>
      </c>
      <c r="S33" s="55">
        <v>7934.75</v>
      </c>
      <c r="T33" s="55">
        <v>7878.26</v>
      </c>
      <c r="U33" s="55">
        <v>7796.01</v>
      </c>
      <c r="V33" s="55">
        <v>7384.32</v>
      </c>
      <c r="W33" s="55">
        <v>8605.2199999999993</v>
      </c>
      <c r="X33" s="55">
        <v>9133.16</v>
      </c>
      <c r="Y33" s="55">
        <v>8694.5400000000009</v>
      </c>
      <c r="Z33" s="55">
        <v>8101.39</v>
      </c>
      <c r="AA33" s="55">
        <v>7468.08</v>
      </c>
      <c r="AB33" s="55">
        <v>6573.53</v>
      </c>
      <c r="AC33" s="58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</row>
    <row r="34" spans="2:56" ht="18.649999999999999" customHeight="1" x14ac:dyDescent="0.25">
      <c r="B34" s="41" t="s">
        <v>69</v>
      </c>
      <c r="C34" s="36" t="s">
        <v>63</v>
      </c>
      <c r="D34" s="37">
        <v>2</v>
      </c>
      <c r="E34" s="55">
        <v>4221.17</v>
      </c>
      <c r="F34" s="55">
        <v>3925.16</v>
      </c>
      <c r="G34" s="55">
        <v>3697.22</v>
      </c>
      <c r="H34" s="55">
        <v>3748.99</v>
      </c>
      <c r="I34" s="55">
        <v>3587.36</v>
      </c>
      <c r="J34" s="55">
        <v>3619.12</v>
      </c>
      <c r="K34" s="55">
        <v>3195.68</v>
      </c>
      <c r="L34" s="55">
        <v>6272.41</v>
      </c>
      <c r="M34" s="55">
        <v>6874.07</v>
      </c>
      <c r="N34" s="55">
        <v>7068.63</v>
      </c>
      <c r="O34" s="55">
        <v>7651.9</v>
      </c>
      <c r="P34" s="55">
        <v>8010.84</v>
      </c>
      <c r="Q34" s="55">
        <v>8118.14</v>
      </c>
      <c r="R34" s="55">
        <v>8039.06</v>
      </c>
      <c r="S34" s="55">
        <v>8021.72</v>
      </c>
      <c r="T34" s="55">
        <v>8003.95</v>
      </c>
      <c r="U34" s="55">
        <v>7688.67</v>
      </c>
      <c r="V34" s="55">
        <v>7171.34</v>
      </c>
      <c r="W34" s="55">
        <v>8398.98</v>
      </c>
      <c r="X34" s="55">
        <v>8950.84</v>
      </c>
      <c r="Y34" s="55">
        <v>8640.19</v>
      </c>
      <c r="Z34" s="55">
        <v>7947.75</v>
      </c>
      <c r="AA34" s="55">
        <v>7264.27</v>
      </c>
      <c r="AB34" s="55">
        <v>6445.06</v>
      </c>
      <c r="AC34" s="59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</row>
    <row r="35" spans="2:56" ht="18.649999999999999" customHeight="1" x14ac:dyDescent="0.25">
      <c r="B35" s="41" t="s">
        <v>70</v>
      </c>
      <c r="C35" s="36" t="s">
        <v>60</v>
      </c>
      <c r="D35" s="37">
        <v>21</v>
      </c>
      <c r="E35" s="55">
        <v>4381.96</v>
      </c>
      <c r="F35" s="55">
        <v>4158.21</v>
      </c>
      <c r="G35" s="55">
        <v>4028.42</v>
      </c>
      <c r="H35" s="55">
        <v>4009.19</v>
      </c>
      <c r="I35" s="55">
        <v>4396.07</v>
      </c>
      <c r="J35" s="55">
        <v>5630.69</v>
      </c>
      <c r="K35" s="55">
        <v>5518.8</v>
      </c>
      <c r="L35" s="55">
        <v>8312.5</v>
      </c>
      <c r="M35" s="55">
        <v>8315.75</v>
      </c>
      <c r="N35" s="55">
        <v>8425.34</v>
      </c>
      <c r="O35" s="55">
        <v>8842.5300000000007</v>
      </c>
      <c r="P35" s="55">
        <v>9221.1</v>
      </c>
      <c r="Q35" s="55">
        <v>8908.85</v>
      </c>
      <c r="R35" s="55">
        <v>9020.1299999999992</v>
      </c>
      <c r="S35" s="55">
        <v>9287.3700000000008</v>
      </c>
      <c r="T35" s="55">
        <v>9260.83</v>
      </c>
      <c r="U35" s="55">
        <v>9134.25</v>
      </c>
      <c r="V35" s="55">
        <v>8103.98</v>
      </c>
      <c r="W35" s="55">
        <v>9577.6</v>
      </c>
      <c r="X35" s="55">
        <v>10015.530000000001</v>
      </c>
      <c r="Y35" s="55">
        <v>9617.9</v>
      </c>
      <c r="Z35" s="55">
        <v>8868.77</v>
      </c>
      <c r="AA35" s="55">
        <v>7515.56</v>
      </c>
      <c r="AB35" s="55">
        <v>6567.82</v>
      </c>
      <c r="AC35" s="56">
        <f>+SUM(E35:AB35)*D35+SUM(E36:AB36)*D36+SUM(E37:AB37)*D37+SUM(E38:AB38)*D38</f>
        <v>5463238.9500000002</v>
      </c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</row>
    <row r="36" spans="2:56" ht="18.649999999999999" customHeight="1" x14ac:dyDescent="0.25">
      <c r="B36" s="41" t="s">
        <v>70</v>
      </c>
      <c r="C36" s="36" t="s">
        <v>61</v>
      </c>
      <c r="D36" s="37">
        <v>3</v>
      </c>
      <c r="E36" s="55">
        <v>4862.6099999999997</v>
      </c>
      <c r="F36" s="55">
        <v>4514.4399999999996</v>
      </c>
      <c r="G36" s="55">
        <v>4353.3</v>
      </c>
      <c r="H36" s="55">
        <v>4291.2299999999996</v>
      </c>
      <c r="I36" s="55">
        <v>4411.1899999999996</v>
      </c>
      <c r="J36" s="55">
        <v>4622.0600000000004</v>
      </c>
      <c r="K36" s="55">
        <v>4392.79</v>
      </c>
      <c r="L36" s="55">
        <v>7964.66</v>
      </c>
      <c r="M36" s="55">
        <v>8450.76</v>
      </c>
      <c r="N36" s="55">
        <v>8859.94</v>
      </c>
      <c r="O36" s="55">
        <v>9102.67</v>
      </c>
      <c r="P36" s="55">
        <v>9475.7800000000007</v>
      </c>
      <c r="Q36" s="55">
        <v>9151.02</v>
      </c>
      <c r="R36" s="55">
        <v>8971.35</v>
      </c>
      <c r="S36" s="55">
        <v>8775.19</v>
      </c>
      <c r="T36" s="55">
        <v>8691.11</v>
      </c>
      <c r="U36" s="55">
        <v>8749.52</v>
      </c>
      <c r="V36" s="55">
        <v>7886.58</v>
      </c>
      <c r="W36" s="55">
        <v>9428.9599999999991</v>
      </c>
      <c r="X36" s="55">
        <v>9712.11</v>
      </c>
      <c r="Y36" s="55">
        <v>9212.1299999999992</v>
      </c>
      <c r="Z36" s="55">
        <v>8614.93</v>
      </c>
      <c r="AA36" s="55">
        <v>7458.08</v>
      </c>
      <c r="AB36" s="55">
        <v>6754.44</v>
      </c>
      <c r="AC36" s="58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</row>
    <row r="37" spans="2:56" ht="18.649999999999999" customHeight="1" x14ac:dyDescent="0.25">
      <c r="B37" s="41" t="s">
        <v>70</v>
      </c>
      <c r="C37" s="36" t="s">
        <v>62</v>
      </c>
      <c r="D37" s="37">
        <v>5</v>
      </c>
      <c r="E37" s="55">
        <v>4518.59</v>
      </c>
      <c r="F37" s="55">
        <v>4296.68</v>
      </c>
      <c r="G37" s="55">
        <v>4116.63</v>
      </c>
      <c r="H37" s="55">
        <v>3981.87</v>
      </c>
      <c r="I37" s="55">
        <v>3879.78</v>
      </c>
      <c r="J37" s="55">
        <v>3892.03</v>
      </c>
      <c r="K37" s="55">
        <v>3031.15</v>
      </c>
      <c r="L37" s="55">
        <v>5991.27</v>
      </c>
      <c r="M37" s="55">
        <v>6659.02</v>
      </c>
      <c r="N37" s="55">
        <v>7027.85</v>
      </c>
      <c r="O37" s="55">
        <v>7484.19</v>
      </c>
      <c r="P37" s="55">
        <v>7899.7</v>
      </c>
      <c r="Q37" s="55">
        <v>7946.18</v>
      </c>
      <c r="R37" s="55">
        <v>8098.39</v>
      </c>
      <c r="S37" s="55">
        <v>7938.48</v>
      </c>
      <c r="T37" s="55">
        <v>7844.69</v>
      </c>
      <c r="U37" s="55">
        <v>7849.26</v>
      </c>
      <c r="V37" s="55">
        <v>7130.39</v>
      </c>
      <c r="W37" s="55">
        <v>8564.1299999999992</v>
      </c>
      <c r="X37" s="55">
        <v>9022.8700000000008</v>
      </c>
      <c r="Y37" s="55">
        <v>8837.8700000000008</v>
      </c>
      <c r="Z37" s="55">
        <v>8277.5499999999993</v>
      </c>
      <c r="AA37" s="55">
        <v>6957.97</v>
      </c>
      <c r="AB37" s="55">
        <v>6236.43</v>
      </c>
      <c r="AC37" s="58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</row>
    <row r="38" spans="2:56" ht="18.649999999999999" customHeight="1" x14ac:dyDescent="0.25">
      <c r="B38" s="41" t="s">
        <v>70</v>
      </c>
      <c r="C38" s="36" t="s">
        <v>63</v>
      </c>
      <c r="D38" s="37">
        <v>2</v>
      </c>
      <c r="E38" s="55">
        <v>4291.43</v>
      </c>
      <c r="F38" s="55">
        <v>4120.33</v>
      </c>
      <c r="G38" s="55">
        <v>3881.69</v>
      </c>
      <c r="H38" s="55">
        <v>3868.09</v>
      </c>
      <c r="I38" s="55">
        <v>3906.27</v>
      </c>
      <c r="J38" s="55">
        <v>3965.68</v>
      </c>
      <c r="K38" s="55">
        <v>3456.87</v>
      </c>
      <c r="L38" s="55">
        <v>6641.19</v>
      </c>
      <c r="M38" s="55">
        <v>7138.51</v>
      </c>
      <c r="N38" s="55">
        <v>7785.96</v>
      </c>
      <c r="O38" s="55">
        <v>8371.25</v>
      </c>
      <c r="P38" s="55">
        <v>9076.16</v>
      </c>
      <c r="Q38" s="55">
        <v>8945.01</v>
      </c>
      <c r="R38" s="55">
        <v>8854.51</v>
      </c>
      <c r="S38" s="55">
        <v>8678.65</v>
      </c>
      <c r="T38" s="55">
        <v>8544.81</v>
      </c>
      <c r="U38" s="55">
        <v>8310.49</v>
      </c>
      <c r="V38" s="55">
        <v>7833.7</v>
      </c>
      <c r="W38" s="55">
        <v>9124.89</v>
      </c>
      <c r="X38" s="55">
        <v>9760.9500000000007</v>
      </c>
      <c r="Y38" s="55">
        <v>9347.99</v>
      </c>
      <c r="Z38" s="55">
        <v>8545.07</v>
      </c>
      <c r="AA38" s="55">
        <v>7283.66</v>
      </c>
      <c r="AB38" s="55">
        <v>6367.54</v>
      </c>
      <c r="AC38" s="59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</row>
    <row r="39" spans="2:56" ht="18.649999999999999" customHeight="1" x14ac:dyDescent="0.25">
      <c r="B39" s="41" t="s">
        <v>71</v>
      </c>
      <c r="C39" s="36" t="s">
        <v>60</v>
      </c>
      <c r="D39" s="37">
        <v>22</v>
      </c>
      <c r="E39" s="55">
        <v>4394.67</v>
      </c>
      <c r="F39" s="55">
        <v>4192.37</v>
      </c>
      <c r="G39" s="55">
        <v>4120.68</v>
      </c>
      <c r="H39" s="55">
        <v>4070.89</v>
      </c>
      <c r="I39" s="55">
        <v>4415.6400000000003</v>
      </c>
      <c r="J39" s="55">
        <v>5482.09</v>
      </c>
      <c r="K39" s="55">
        <v>5380.89</v>
      </c>
      <c r="L39" s="55">
        <v>8287.32</v>
      </c>
      <c r="M39" s="55">
        <v>8182.19</v>
      </c>
      <c r="N39" s="55">
        <v>8340.24</v>
      </c>
      <c r="O39" s="55">
        <v>8603.2199999999993</v>
      </c>
      <c r="P39" s="55">
        <v>8960.74</v>
      </c>
      <c r="Q39" s="55">
        <v>8822.82</v>
      </c>
      <c r="R39" s="55">
        <v>8950.9500000000007</v>
      </c>
      <c r="S39" s="55">
        <v>9254.42</v>
      </c>
      <c r="T39" s="55">
        <v>9358.36</v>
      </c>
      <c r="U39" s="55">
        <v>9204.09</v>
      </c>
      <c r="V39" s="55">
        <v>8109.56</v>
      </c>
      <c r="W39" s="55">
        <v>9584.7000000000007</v>
      </c>
      <c r="X39" s="55">
        <v>9698.3799999999992</v>
      </c>
      <c r="Y39" s="55">
        <v>9309.7000000000007</v>
      </c>
      <c r="Z39" s="55">
        <v>8490.7199999999993</v>
      </c>
      <c r="AA39" s="55">
        <v>7338.38</v>
      </c>
      <c r="AB39" s="55">
        <v>6426.44</v>
      </c>
      <c r="AC39" s="56">
        <f>+SUM(E39:AB39)*D39+SUM(E40:AB40)*D40+SUM(E41:AB41)*D41+SUM(E42:AB42)*D42</f>
        <v>5261452.12</v>
      </c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</row>
    <row r="40" spans="2:56" ht="18.649999999999999" customHeight="1" x14ac:dyDescent="0.25">
      <c r="B40" s="41" t="s">
        <v>71</v>
      </c>
      <c r="C40" s="36" t="s">
        <v>61</v>
      </c>
      <c r="D40" s="37">
        <v>4</v>
      </c>
      <c r="E40" s="55">
        <v>4884.51</v>
      </c>
      <c r="F40" s="55">
        <v>4457.62</v>
      </c>
      <c r="G40" s="55">
        <v>4321.7700000000004</v>
      </c>
      <c r="H40" s="55">
        <v>4229.8100000000004</v>
      </c>
      <c r="I40" s="55">
        <v>4370.75</v>
      </c>
      <c r="J40" s="55">
        <v>4565.21</v>
      </c>
      <c r="K40" s="55">
        <v>4444.29</v>
      </c>
      <c r="L40" s="55">
        <v>7809.29</v>
      </c>
      <c r="M40" s="55">
        <v>8382.58</v>
      </c>
      <c r="N40" s="55">
        <v>8659.3799999999992</v>
      </c>
      <c r="O40" s="55">
        <v>8780.66</v>
      </c>
      <c r="P40" s="55">
        <v>8928.09</v>
      </c>
      <c r="Q40" s="55">
        <v>8846.2099999999991</v>
      </c>
      <c r="R40" s="55">
        <v>8694.6200000000008</v>
      </c>
      <c r="S40" s="55">
        <v>8617.82</v>
      </c>
      <c r="T40" s="55">
        <v>8654.82</v>
      </c>
      <c r="U40" s="55">
        <v>8769.09</v>
      </c>
      <c r="V40" s="55">
        <v>7739.31</v>
      </c>
      <c r="W40" s="55">
        <v>9089.09</v>
      </c>
      <c r="X40" s="55">
        <v>9030.15</v>
      </c>
      <c r="Y40" s="55">
        <v>8757.5400000000009</v>
      </c>
      <c r="Z40" s="55">
        <v>7958.23</v>
      </c>
      <c r="AA40" s="55">
        <v>7173.68</v>
      </c>
      <c r="AB40" s="55">
        <v>6506.06</v>
      </c>
      <c r="AC40" s="58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</row>
    <row r="41" spans="2:56" ht="18.649999999999999" customHeight="1" x14ac:dyDescent="0.25">
      <c r="B41" s="41" t="s">
        <v>71</v>
      </c>
      <c r="C41" s="36" t="s">
        <v>62</v>
      </c>
      <c r="D41" s="37">
        <v>4</v>
      </c>
      <c r="E41" s="55">
        <v>4704</v>
      </c>
      <c r="F41" s="55">
        <v>4443.7700000000004</v>
      </c>
      <c r="G41" s="55">
        <v>4280.1899999999996</v>
      </c>
      <c r="H41" s="55">
        <v>4129.8100000000004</v>
      </c>
      <c r="I41" s="55">
        <v>4025.46</v>
      </c>
      <c r="J41" s="55">
        <v>3823.34</v>
      </c>
      <c r="K41" s="55">
        <v>3271.34</v>
      </c>
      <c r="L41" s="55">
        <v>6236.7</v>
      </c>
      <c r="M41" s="55">
        <v>6899.42</v>
      </c>
      <c r="N41" s="55">
        <v>7183.57</v>
      </c>
      <c r="O41" s="55">
        <v>7443.19</v>
      </c>
      <c r="P41" s="55">
        <v>7638.49</v>
      </c>
      <c r="Q41" s="55">
        <v>7782.8</v>
      </c>
      <c r="R41" s="55">
        <v>7741.18</v>
      </c>
      <c r="S41" s="55">
        <v>7818.93</v>
      </c>
      <c r="T41" s="55">
        <v>7924.5</v>
      </c>
      <c r="U41" s="55">
        <v>7876.7</v>
      </c>
      <c r="V41" s="55">
        <v>7250.64</v>
      </c>
      <c r="W41" s="55">
        <v>8753.77</v>
      </c>
      <c r="X41" s="55">
        <v>8824.83</v>
      </c>
      <c r="Y41" s="55">
        <v>8642.02</v>
      </c>
      <c r="Z41" s="55">
        <v>7754.17</v>
      </c>
      <c r="AA41" s="55">
        <v>6815.61</v>
      </c>
      <c r="AB41" s="55">
        <v>6040.99</v>
      </c>
      <c r="AC41" s="58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</row>
    <row r="42" spans="2:56" ht="18.649999999999999" customHeight="1" x14ac:dyDescent="0.25">
      <c r="B42" s="41" t="s">
        <v>71</v>
      </c>
      <c r="C42" s="36" t="s">
        <v>63</v>
      </c>
      <c r="D42" s="37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9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</row>
    <row r="43" spans="2:56" ht="18.649999999999999" customHeight="1" x14ac:dyDescent="0.25">
      <c r="B43" s="41" t="s">
        <v>72</v>
      </c>
      <c r="C43" s="36" t="s">
        <v>60</v>
      </c>
      <c r="D43" s="37">
        <v>20</v>
      </c>
      <c r="E43" s="55">
        <v>4479.88</v>
      </c>
      <c r="F43" s="55">
        <v>4148.1099999999997</v>
      </c>
      <c r="G43" s="55">
        <v>4047.67</v>
      </c>
      <c r="H43" s="55">
        <v>4065.35</v>
      </c>
      <c r="I43" s="55">
        <v>4491.04</v>
      </c>
      <c r="J43" s="55">
        <v>5536.35</v>
      </c>
      <c r="K43" s="55">
        <v>5502.03</v>
      </c>
      <c r="L43" s="55">
        <v>8452.75</v>
      </c>
      <c r="M43" s="55">
        <v>8269.8700000000008</v>
      </c>
      <c r="N43" s="55">
        <v>8442.6299999999992</v>
      </c>
      <c r="O43" s="55">
        <v>8651.39</v>
      </c>
      <c r="P43" s="55">
        <v>8927.0400000000009</v>
      </c>
      <c r="Q43" s="55">
        <v>8794.7000000000007</v>
      </c>
      <c r="R43" s="55">
        <v>8859.66</v>
      </c>
      <c r="S43" s="55">
        <v>9249.6200000000008</v>
      </c>
      <c r="T43" s="55">
        <v>9343.73</v>
      </c>
      <c r="U43" s="55">
        <v>9330.44</v>
      </c>
      <c r="V43" s="55">
        <v>8563.3799999999992</v>
      </c>
      <c r="W43" s="55">
        <v>9947.0300000000007</v>
      </c>
      <c r="X43" s="55">
        <v>9852.36</v>
      </c>
      <c r="Y43" s="55">
        <v>9226.93</v>
      </c>
      <c r="Z43" s="55">
        <v>8499.02</v>
      </c>
      <c r="AA43" s="55">
        <v>7291.15</v>
      </c>
      <c r="AB43" s="55">
        <v>6405.41</v>
      </c>
      <c r="AC43" s="56">
        <f>+SUM(E43:AB43)*D43+SUM(E44:AB44)*D44+SUM(E45:AB45)*D45+SUM(E46:AB46)*D46</f>
        <v>5492375.1399999997</v>
      </c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</row>
    <row r="44" spans="2:56" ht="18.649999999999999" customHeight="1" x14ac:dyDescent="0.25">
      <c r="B44" s="41" t="s">
        <v>72</v>
      </c>
      <c r="C44" s="36" t="s">
        <v>61</v>
      </c>
      <c r="D44" s="37">
        <v>5</v>
      </c>
      <c r="E44" s="55">
        <v>4914.18</v>
      </c>
      <c r="F44" s="55">
        <v>4498.97</v>
      </c>
      <c r="G44" s="55">
        <v>4305.88</v>
      </c>
      <c r="H44" s="55">
        <v>4279.34</v>
      </c>
      <c r="I44" s="55">
        <v>4417.37</v>
      </c>
      <c r="J44" s="55">
        <v>4567.37</v>
      </c>
      <c r="K44" s="55">
        <v>4323.47</v>
      </c>
      <c r="L44" s="55">
        <v>8096.51</v>
      </c>
      <c r="M44" s="55">
        <v>8372.2000000000007</v>
      </c>
      <c r="N44" s="55">
        <v>8784.4</v>
      </c>
      <c r="O44" s="55">
        <v>8834.34</v>
      </c>
      <c r="P44" s="55">
        <v>9031.7900000000009</v>
      </c>
      <c r="Q44" s="55">
        <v>9011.2999999999993</v>
      </c>
      <c r="R44" s="55">
        <v>8840.7000000000007</v>
      </c>
      <c r="S44" s="55">
        <v>8923</v>
      </c>
      <c r="T44" s="55">
        <v>8968.6</v>
      </c>
      <c r="U44" s="55">
        <v>8941.7099999999991</v>
      </c>
      <c r="V44" s="55">
        <v>8021.52</v>
      </c>
      <c r="W44" s="55">
        <v>9908.98</v>
      </c>
      <c r="X44" s="55">
        <v>9788.7000000000007</v>
      </c>
      <c r="Y44" s="55">
        <v>9416.34</v>
      </c>
      <c r="Z44" s="55">
        <v>8841.35</v>
      </c>
      <c r="AA44" s="55">
        <v>7835.47</v>
      </c>
      <c r="AB44" s="55">
        <v>7089.92</v>
      </c>
      <c r="AC44" s="58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</row>
    <row r="45" spans="2:56" ht="18.649999999999999" customHeight="1" x14ac:dyDescent="0.25">
      <c r="B45" s="41" t="s">
        <v>72</v>
      </c>
      <c r="C45" s="36" t="s">
        <v>62</v>
      </c>
      <c r="D45" s="37">
        <v>5</v>
      </c>
      <c r="E45" s="55">
        <v>5129.47</v>
      </c>
      <c r="F45" s="55">
        <v>4774.3900000000003</v>
      </c>
      <c r="G45" s="55">
        <v>4497.59</v>
      </c>
      <c r="H45" s="55">
        <v>4314.6899999999996</v>
      </c>
      <c r="I45" s="55">
        <v>4290.6000000000004</v>
      </c>
      <c r="J45" s="55">
        <v>4067.23</v>
      </c>
      <c r="K45" s="55">
        <v>3398.76</v>
      </c>
      <c r="L45" s="55">
        <v>6466.23</v>
      </c>
      <c r="M45" s="55">
        <v>7142.92</v>
      </c>
      <c r="N45" s="55">
        <v>7795.49</v>
      </c>
      <c r="O45" s="55">
        <v>7772.53</v>
      </c>
      <c r="P45" s="55">
        <v>8025.52</v>
      </c>
      <c r="Q45" s="55">
        <v>8172.43</v>
      </c>
      <c r="R45" s="55">
        <v>8037.55</v>
      </c>
      <c r="S45" s="55">
        <v>8221.52</v>
      </c>
      <c r="T45" s="55">
        <v>8253.9599999999991</v>
      </c>
      <c r="U45" s="55">
        <v>7968.11</v>
      </c>
      <c r="V45" s="55">
        <v>7498</v>
      </c>
      <c r="W45" s="55">
        <v>8934.27</v>
      </c>
      <c r="X45" s="55">
        <v>9098.49</v>
      </c>
      <c r="Y45" s="55">
        <v>8708.0499999999993</v>
      </c>
      <c r="Z45" s="55">
        <v>7903.72</v>
      </c>
      <c r="AA45" s="55">
        <v>6918.94</v>
      </c>
      <c r="AB45" s="55">
        <v>6033.32</v>
      </c>
      <c r="AC45" s="58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</row>
    <row r="46" spans="2:56" ht="18.649999999999999" customHeight="1" x14ac:dyDescent="0.25">
      <c r="B46" s="41" t="s">
        <v>72</v>
      </c>
      <c r="C46" s="36" t="s">
        <v>63</v>
      </c>
      <c r="D46" s="37">
        <v>1</v>
      </c>
      <c r="E46" s="55">
        <v>4508.68</v>
      </c>
      <c r="F46" s="55">
        <v>4292.28</v>
      </c>
      <c r="G46" s="55">
        <v>4032.04</v>
      </c>
      <c r="H46" s="55">
        <v>3969.95</v>
      </c>
      <c r="I46" s="55">
        <v>4061.75</v>
      </c>
      <c r="J46" s="55">
        <v>4049.25</v>
      </c>
      <c r="K46" s="55">
        <v>3155.71</v>
      </c>
      <c r="L46" s="55">
        <v>6465.28</v>
      </c>
      <c r="M46" s="55">
        <v>6832.72</v>
      </c>
      <c r="N46" s="55">
        <v>7595.27</v>
      </c>
      <c r="O46" s="55">
        <v>7839.69</v>
      </c>
      <c r="P46" s="55">
        <v>8502.48</v>
      </c>
      <c r="Q46" s="55">
        <v>8657.66</v>
      </c>
      <c r="R46" s="55">
        <v>8671.89</v>
      </c>
      <c r="S46" s="55">
        <v>8642.82</v>
      </c>
      <c r="T46" s="55">
        <v>8405.73</v>
      </c>
      <c r="U46" s="55">
        <v>8113</v>
      </c>
      <c r="V46" s="55">
        <v>8190.3</v>
      </c>
      <c r="W46" s="55">
        <v>9914.17</v>
      </c>
      <c r="X46" s="55">
        <v>9803.76</v>
      </c>
      <c r="Y46" s="55">
        <v>9363.5499999999993</v>
      </c>
      <c r="Z46" s="55">
        <v>8594.15</v>
      </c>
      <c r="AA46" s="55">
        <v>7437.06</v>
      </c>
      <c r="AB46" s="55">
        <v>6539.2</v>
      </c>
      <c r="AC46" s="59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</row>
    <row r="47" spans="2:56" ht="18.649999999999999" customHeight="1" x14ac:dyDescent="0.25">
      <c r="B47" s="41" t="s">
        <v>73</v>
      </c>
      <c r="C47" s="36" t="s">
        <v>60</v>
      </c>
      <c r="D47" s="37">
        <v>20</v>
      </c>
      <c r="E47" s="55">
        <v>4344.82</v>
      </c>
      <c r="F47" s="55">
        <v>4122.04</v>
      </c>
      <c r="G47" s="55">
        <v>4073.56</v>
      </c>
      <c r="H47" s="55">
        <v>4049.2</v>
      </c>
      <c r="I47" s="55">
        <v>4472.38</v>
      </c>
      <c r="J47" s="55">
        <v>5476.9</v>
      </c>
      <c r="K47" s="55">
        <v>5543.63</v>
      </c>
      <c r="L47" s="55">
        <v>8601.01</v>
      </c>
      <c r="M47" s="55">
        <v>8390.76</v>
      </c>
      <c r="N47" s="55">
        <v>8546.09</v>
      </c>
      <c r="O47" s="55">
        <v>8739.65</v>
      </c>
      <c r="P47" s="55">
        <v>9079.19</v>
      </c>
      <c r="Q47" s="55">
        <v>8998.7000000000007</v>
      </c>
      <c r="R47" s="55">
        <v>8962.2099999999991</v>
      </c>
      <c r="S47" s="55">
        <v>9397.23</v>
      </c>
      <c r="T47" s="55">
        <v>9486.14</v>
      </c>
      <c r="U47" s="55">
        <v>9416.81</v>
      </c>
      <c r="V47" s="55">
        <v>8596.98</v>
      </c>
      <c r="W47" s="55">
        <v>10087.76</v>
      </c>
      <c r="X47" s="55">
        <v>10011.530000000001</v>
      </c>
      <c r="Y47" s="55">
        <v>9331.1200000000008</v>
      </c>
      <c r="Z47" s="55">
        <v>8533.49</v>
      </c>
      <c r="AA47" s="55">
        <v>7435.89</v>
      </c>
      <c r="AB47" s="55">
        <v>6562.61</v>
      </c>
      <c r="AC47" s="56">
        <f>+SUM(E47:AB47)*D47+SUM(E48:AB48)*D48+SUM(E49:AB49)*D49+SUM(E50:AB50)*D50</f>
        <v>5323864.0799999991</v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</row>
    <row r="48" spans="2:56" ht="18.649999999999999" customHeight="1" x14ac:dyDescent="0.25">
      <c r="B48" s="41" t="s">
        <v>73</v>
      </c>
      <c r="C48" s="36" t="s">
        <v>61</v>
      </c>
      <c r="D48" s="37">
        <v>4</v>
      </c>
      <c r="E48" s="55">
        <v>4568.08</v>
      </c>
      <c r="F48" s="55">
        <v>4231.8999999999996</v>
      </c>
      <c r="G48" s="55">
        <v>4118.5600000000004</v>
      </c>
      <c r="H48" s="55">
        <v>4049.62</v>
      </c>
      <c r="I48" s="55">
        <v>4286.8599999999997</v>
      </c>
      <c r="J48" s="55">
        <v>4421.33</v>
      </c>
      <c r="K48" s="55">
        <v>4451.0200000000004</v>
      </c>
      <c r="L48" s="55">
        <v>8092.58</v>
      </c>
      <c r="M48" s="55">
        <v>8458.7000000000007</v>
      </c>
      <c r="N48" s="55">
        <v>8697.51</v>
      </c>
      <c r="O48" s="55">
        <v>8782.9699999999993</v>
      </c>
      <c r="P48" s="55">
        <v>8946.57</v>
      </c>
      <c r="Q48" s="55">
        <v>8852.99</v>
      </c>
      <c r="R48" s="55">
        <v>8802.61</v>
      </c>
      <c r="S48" s="55">
        <v>8892.51</v>
      </c>
      <c r="T48" s="55">
        <v>9026.82</v>
      </c>
      <c r="U48" s="55">
        <v>8914.6</v>
      </c>
      <c r="V48" s="55">
        <v>8171.06</v>
      </c>
      <c r="W48" s="55">
        <v>9607</v>
      </c>
      <c r="X48" s="55">
        <v>9628.85</v>
      </c>
      <c r="Y48" s="55">
        <v>9026.66</v>
      </c>
      <c r="Z48" s="55">
        <v>8407.4500000000007</v>
      </c>
      <c r="AA48" s="55">
        <v>7644.36</v>
      </c>
      <c r="AB48" s="55">
        <v>6841.03</v>
      </c>
      <c r="AC48" s="58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</row>
    <row r="49" spans="2:56" ht="18.649999999999999" customHeight="1" x14ac:dyDescent="0.25">
      <c r="B49" s="41" t="s">
        <v>73</v>
      </c>
      <c r="C49" s="36" t="s">
        <v>62</v>
      </c>
      <c r="D49" s="37">
        <v>4</v>
      </c>
      <c r="E49" s="55">
        <v>4724.9399999999996</v>
      </c>
      <c r="F49" s="55">
        <v>4447.08</v>
      </c>
      <c r="G49" s="55">
        <v>4171.1099999999997</v>
      </c>
      <c r="H49" s="55">
        <v>4101.3500000000004</v>
      </c>
      <c r="I49" s="55">
        <v>4140.78</v>
      </c>
      <c r="J49" s="55">
        <v>3971.04</v>
      </c>
      <c r="K49" s="55">
        <v>3387.17</v>
      </c>
      <c r="L49" s="55">
        <v>6395.57</v>
      </c>
      <c r="M49" s="55">
        <v>6944.09</v>
      </c>
      <c r="N49" s="55">
        <v>7272.71</v>
      </c>
      <c r="O49" s="55">
        <v>7443.51</v>
      </c>
      <c r="P49" s="55">
        <v>7982.21</v>
      </c>
      <c r="Q49" s="55">
        <v>8102.41</v>
      </c>
      <c r="R49" s="55">
        <v>8263.89</v>
      </c>
      <c r="S49" s="55">
        <v>8331.65</v>
      </c>
      <c r="T49" s="55">
        <v>8362.7000000000007</v>
      </c>
      <c r="U49" s="55">
        <v>8400.66</v>
      </c>
      <c r="V49" s="55">
        <v>7732.52</v>
      </c>
      <c r="W49" s="55">
        <v>9032.31</v>
      </c>
      <c r="X49" s="55">
        <v>9077.9500000000007</v>
      </c>
      <c r="Y49" s="55">
        <v>8680.64</v>
      </c>
      <c r="Z49" s="55">
        <v>8089.65</v>
      </c>
      <c r="AA49" s="55">
        <v>7201.42</v>
      </c>
      <c r="AB49" s="55">
        <v>6316.66</v>
      </c>
      <c r="AC49" s="58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</row>
    <row r="50" spans="2:56" ht="18.649999999999999" customHeight="1" x14ac:dyDescent="0.25">
      <c r="B50" s="41" t="s">
        <v>73</v>
      </c>
      <c r="C50" s="36" t="s">
        <v>63</v>
      </c>
      <c r="D50" s="37">
        <v>2</v>
      </c>
      <c r="E50" s="55">
        <v>4396.33</v>
      </c>
      <c r="F50" s="55">
        <v>4150.4799999999996</v>
      </c>
      <c r="G50" s="55">
        <v>4076.86</v>
      </c>
      <c r="H50" s="55">
        <v>3950.27</v>
      </c>
      <c r="I50" s="55">
        <v>3976.27</v>
      </c>
      <c r="J50" s="55">
        <v>4106.3100000000004</v>
      </c>
      <c r="K50" s="55">
        <v>3344.93</v>
      </c>
      <c r="L50" s="55">
        <v>6275.07</v>
      </c>
      <c r="M50" s="55">
        <v>6767.29</v>
      </c>
      <c r="N50" s="55">
        <v>7266.74</v>
      </c>
      <c r="O50" s="55">
        <v>7588.71</v>
      </c>
      <c r="P50" s="55">
        <v>8023.14</v>
      </c>
      <c r="Q50" s="55">
        <v>8182.24</v>
      </c>
      <c r="R50" s="55">
        <v>8280.23</v>
      </c>
      <c r="S50" s="55">
        <v>8243.99</v>
      </c>
      <c r="T50" s="55">
        <v>8164.58</v>
      </c>
      <c r="U50" s="55">
        <v>7870.69</v>
      </c>
      <c r="V50" s="55">
        <v>7703.13</v>
      </c>
      <c r="W50" s="55">
        <v>9230.58</v>
      </c>
      <c r="X50" s="55">
        <v>9219.15</v>
      </c>
      <c r="Y50" s="55">
        <v>8750.59</v>
      </c>
      <c r="Z50" s="55">
        <v>7868.08</v>
      </c>
      <c r="AA50" s="55">
        <v>6909.21</v>
      </c>
      <c r="AB50" s="55">
        <v>5998.85</v>
      </c>
      <c r="AC50" s="59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2:56" ht="18.649999999999999" customHeight="1" x14ac:dyDescent="0.25">
      <c r="B51" s="41" t="s">
        <v>74</v>
      </c>
      <c r="C51" s="36" t="s">
        <v>60</v>
      </c>
      <c r="D51" s="37">
        <v>22</v>
      </c>
      <c r="E51" s="55">
        <v>4617.55</v>
      </c>
      <c r="F51" s="55">
        <v>4296.1000000000004</v>
      </c>
      <c r="G51" s="55">
        <v>4177.38</v>
      </c>
      <c r="H51" s="55">
        <v>4145.37</v>
      </c>
      <c r="I51" s="55">
        <v>4407.7</v>
      </c>
      <c r="J51" s="55">
        <v>4939</v>
      </c>
      <c r="K51" s="55">
        <v>4868.01</v>
      </c>
      <c r="L51" s="55">
        <v>8258.0300000000007</v>
      </c>
      <c r="M51" s="55">
        <v>8415.57</v>
      </c>
      <c r="N51" s="55">
        <v>8643.93</v>
      </c>
      <c r="O51" s="55">
        <v>8895.19</v>
      </c>
      <c r="P51" s="55">
        <v>9230.1299999999992</v>
      </c>
      <c r="Q51" s="55">
        <v>9173.4699999999993</v>
      </c>
      <c r="R51" s="55">
        <v>9131.67</v>
      </c>
      <c r="S51" s="55">
        <v>9303.91</v>
      </c>
      <c r="T51" s="55">
        <v>9377.82</v>
      </c>
      <c r="U51" s="55">
        <v>9291.89</v>
      </c>
      <c r="V51" s="55">
        <v>8633.16</v>
      </c>
      <c r="W51" s="55">
        <v>10160.09</v>
      </c>
      <c r="X51" s="55">
        <v>10075.450000000001</v>
      </c>
      <c r="Y51" s="55">
        <v>9596.5</v>
      </c>
      <c r="Z51" s="55">
        <v>8846.84</v>
      </c>
      <c r="AA51" s="55">
        <v>7820.23</v>
      </c>
      <c r="AB51" s="55">
        <v>6870.1</v>
      </c>
      <c r="AC51" s="56">
        <f>+SUM(E51:AB51)*D51+SUM(E52:AB52)*D52+SUM(E53:AB53)*D53+SUM(E54:AB54)*D54</f>
        <v>5496598.7100000009</v>
      </c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2:56" ht="18.649999999999999" customHeight="1" x14ac:dyDescent="0.25">
      <c r="B52" s="41" t="s">
        <v>74</v>
      </c>
      <c r="C52" s="36" t="s">
        <v>61</v>
      </c>
      <c r="D52" s="37">
        <v>3</v>
      </c>
      <c r="E52" s="55">
        <v>4909.87</v>
      </c>
      <c r="F52" s="55">
        <v>4494.62</v>
      </c>
      <c r="G52" s="55">
        <v>4294.24</v>
      </c>
      <c r="H52" s="55">
        <v>4243.75</v>
      </c>
      <c r="I52" s="55">
        <v>4324.88</v>
      </c>
      <c r="J52" s="55">
        <v>4591.24</v>
      </c>
      <c r="K52" s="55">
        <v>4288.1400000000003</v>
      </c>
      <c r="L52" s="55">
        <v>7901.75</v>
      </c>
      <c r="M52" s="55">
        <v>8372.65</v>
      </c>
      <c r="N52" s="55">
        <v>8641.58</v>
      </c>
      <c r="O52" s="55">
        <v>8710.17</v>
      </c>
      <c r="P52" s="55">
        <v>8784.07</v>
      </c>
      <c r="Q52" s="55">
        <v>8939.07</v>
      </c>
      <c r="R52" s="55">
        <v>8752.73</v>
      </c>
      <c r="S52" s="55">
        <v>8528.81</v>
      </c>
      <c r="T52" s="55">
        <v>8580.94</v>
      </c>
      <c r="U52" s="55">
        <v>8542.84</v>
      </c>
      <c r="V52" s="55">
        <v>7968.73</v>
      </c>
      <c r="W52" s="55">
        <v>9433.85</v>
      </c>
      <c r="X52" s="55">
        <v>9303.7199999999993</v>
      </c>
      <c r="Y52" s="55">
        <v>8840.19</v>
      </c>
      <c r="Z52" s="55">
        <v>8175.78</v>
      </c>
      <c r="AA52" s="55">
        <v>7468.91</v>
      </c>
      <c r="AB52" s="55">
        <v>6785.32</v>
      </c>
      <c r="AC52" s="58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2:56" ht="18.649999999999999" customHeight="1" x14ac:dyDescent="0.25">
      <c r="B53" s="41" t="s">
        <v>74</v>
      </c>
      <c r="C53" s="36" t="s">
        <v>62</v>
      </c>
      <c r="D53" s="37">
        <v>4</v>
      </c>
      <c r="E53" s="55">
        <v>4950.1099999999997</v>
      </c>
      <c r="F53" s="55">
        <v>4599.47</v>
      </c>
      <c r="G53" s="55">
        <v>4317.88</v>
      </c>
      <c r="H53" s="55">
        <v>4175.08</v>
      </c>
      <c r="I53" s="55">
        <v>4035.84</v>
      </c>
      <c r="J53" s="55">
        <v>3923.18</v>
      </c>
      <c r="K53" s="55">
        <v>3259.24</v>
      </c>
      <c r="L53" s="55">
        <v>6071.86</v>
      </c>
      <c r="M53" s="55">
        <v>6667.93</v>
      </c>
      <c r="N53" s="55">
        <v>7057.08</v>
      </c>
      <c r="O53" s="55">
        <v>7235.78</v>
      </c>
      <c r="P53" s="55">
        <v>7425.88</v>
      </c>
      <c r="Q53" s="55">
        <v>7819.53</v>
      </c>
      <c r="R53" s="55">
        <v>7880.52</v>
      </c>
      <c r="S53" s="55">
        <v>7931.46</v>
      </c>
      <c r="T53" s="55">
        <v>7913.36</v>
      </c>
      <c r="U53" s="55">
        <v>7674.89</v>
      </c>
      <c r="V53" s="55">
        <v>7231.76</v>
      </c>
      <c r="W53" s="55">
        <v>8919.4699999999993</v>
      </c>
      <c r="X53" s="55">
        <v>9187.94</v>
      </c>
      <c r="Y53" s="55">
        <v>8996.81</v>
      </c>
      <c r="Z53" s="55">
        <v>8459.24</v>
      </c>
      <c r="AA53" s="55">
        <v>7466.49</v>
      </c>
      <c r="AB53" s="55">
        <v>6457.22</v>
      </c>
      <c r="AC53" s="58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2:56" ht="18.649999999999999" customHeight="1" x14ac:dyDescent="0.25">
      <c r="B54" s="41" t="s">
        <v>74</v>
      </c>
      <c r="C54" s="36" t="s">
        <v>63</v>
      </c>
      <c r="D54" s="37">
        <v>2</v>
      </c>
      <c r="E54" s="55">
        <v>5131.32</v>
      </c>
      <c r="F54" s="55">
        <v>4923.47</v>
      </c>
      <c r="G54" s="55">
        <v>4620.4799999999996</v>
      </c>
      <c r="H54" s="55">
        <v>4310.72</v>
      </c>
      <c r="I54" s="55">
        <v>4096.58</v>
      </c>
      <c r="J54" s="55">
        <v>3856.05</v>
      </c>
      <c r="K54" s="55">
        <v>2842.38</v>
      </c>
      <c r="L54" s="55">
        <v>5602.09</v>
      </c>
      <c r="M54" s="55">
        <v>5935.84</v>
      </c>
      <c r="N54" s="55">
        <v>6218.41</v>
      </c>
      <c r="O54" s="55">
        <v>6494.59</v>
      </c>
      <c r="P54" s="55">
        <v>6840.33</v>
      </c>
      <c r="Q54" s="55">
        <v>7212.72</v>
      </c>
      <c r="R54" s="55">
        <v>7403.6</v>
      </c>
      <c r="S54" s="55">
        <v>7412.72</v>
      </c>
      <c r="T54" s="55">
        <v>7444.13</v>
      </c>
      <c r="U54" s="55">
        <v>7538.94</v>
      </c>
      <c r="V54" s="55">
        <v>6919.01</v>
      </c>
      <c r="W54" s="55">
        <v>8677.5400000000009</v>
      </c>
      <c r="X54" s="55">
        <v>8800.66</v>
      </c>
      <c r="Y54" s="55">
        <v>8505.2900000000009</v>
      </c>
      <c r="Z54" s="55">
        <v>7895.12</v>
      </c>
      <c r="AA54" s="55">
        <v>6918.5</v>
      </c>
      <c r="AB54" s="55">
        <v>6140.06</v>
      </c>
      <c r="AC54" s="59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  <row r="55" spans="2:56" ht="18.649999999999999" customHeight="1" x14ac:dyDescent="0.3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62" t="s">
        <v>75</v>
      </c>
      <c r="AA55" s="62"/>
      <c r="AB55" s="62"/>
      <c r="AC55" s="63">
        <f>SUM(AC7:AC54)</f>
        <v>66020641.630000003</v>
      </c>
    </row>
    <row r="56" spans="2:56" ht="18.649999999999999" customHeight="1" x14ac:dyDescent="0.25">
      <c r="AC56" s="61"/>
    </row>
    <row r="62" spans="2:56" x14ac:dyDescent="0.25">
      <c r="E62" s="31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2:AC2"/>
    <mergeCell ref="B3:AC3"/>
    <mergeCell ref="B4:AC4"/>
    <mergeCell ref="B7:B10"/>
    <mergeCell ref="AC7:AC10"/>
    <mergeCell ref="B11:B14"/>
    <mergeCell ref="AC11:A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021A-95BB-4B9C-A829-C7C84996015B}">
  <dimension ref="B1:BD61"/>
  <sheetViews>
    <sheetView showGridLines="0" topLeftCell="A8" zoomScale="70" zoomScaleNormal="70" workbookViewId="0">
      <selection activeCell="AC23" sqref="AC23:AC26"/>
    </sheetView>
  </sheetViews>
  <sheetFormatPr baseColWidth="10" defaultColWidth="11.453125" defaultRowHeight="11.5" x14ac:dyDescent="0.25"/>
  <cols>
    <col min="1" max="1" width="6.54296875" style="31" customWidth="1"/>
    <col min="2" max="2" width="6.26953125" style="31" bestFit="1" customWidth="1"/>
    <col min="3" max="3" width="10.1796875" style="31" bestFit="1" customWidth="1"/>
    <col min="4" max="4" width="6" style="31" bestFit="1" customWidth="1"/>
    <col min="5" max="11" width="9.453125" style="31" bestFit="1" customWidth="1"/>
    <col min="12" max="28" width="9.7265625" style="31" bestFit="1" customWidth="1"/>
    <col min="29" max="29" width="13.1796875" style="31" bestFit="1" customWidth="1"/>
    <col min="30" max="30" width="5.81640625" style="31" customWidth="1"/>
    <col min="31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56" ht="18.649999999999999" customHeight="1" x14ac:dyDescent="0.25"/>
    <row r="2" spans="2:56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56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56" ht="18.649999999999999" customHeight="1" x14ac:dyDescent="0.25">
      <c r="B4" s="49">
        <v>2029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56" ht="18.649999999999999" customHeight="1" x14ac:dyDescent="0.25"/>
    <row r="6" spans="2:56" ht="15.5" x14ac:dyDescent="0.25">
      <c r="B6" s="33" t="s">
        <v>31</v>
      </c>
      <c r="C6" s="34" t="s">
        <v>32</v>
      </c>
      <c r="D6" s="33" t="s">
        <v>33</v>
      </c>
      <c r="E6" s="64" t="s">
        <v>34</v>
      </c>
      <c r="F6" s="64" t="s">
        <v>35</v>
      </c>
      <c r="G6" s="64" t="s">
        <v>36</v>
      </c>
      <c r="H6" s="64" t="s">
        <v>37</v>
      </c>
      <c r="I6" s="64" t="s">
        <v>38</v>
      </c>
      <c r="J6" s="64" t="s">
        <v>39</v>
      </c>
      <c r="K6" s="64" t="s">
        <v>40</v>
      </c>
      <c r="L6" s="64" t="s">
        <v>41</v>
      </c>
      <c r="M6" s="64" t="s">
        <v>42</v>
      </c>
      <c r="N6" s="64" t="s">
        <v>43</v>
      </c>
      <c r="O6" s="64" t="s">
        <v>44</v>
      </c>
      <c r="P6" s="64" t="s">
        <v>45</v>
      </c>
      <c r="Q6" s="64" t="s">
        <v>46</v>
      </c>
      <c r="R6" s="64" t="s">
        <v>47</v>
      </c>
      <c r="S6" s="64" t="s">
        <v>48</v>
      </c>
      <c r="T6" s="64" t="s">
        <v>49</v>
      </c>
      <c r="U6" s="64" t="s">
        <v>50</v>
      </c>
      <c r="V6" s="64" t="s">
        <v>51</v>
      </c>
      <c r="W6" s="64" t="s">
        <v>52</v>
      </c>
      <c r="X6" s="64" t="s">
        <v>53</v>
      </c>
      <c r="Y6" s="64" t="s">
        <v>54</v>
      </c>
      <c r="Z6" s="64" t="s">
        <v>55</v>
      </c>
      <c r="AA6" s="64" t="s">
        <v>56</v>
      </c>
      <c r="AB6" s="64" t="s">
        <v>57</v>
      </c>
      <c r="AC6" s="64" t="s">
        <v>58</v>
      </c>
    </row>
    <row r="7" spans="2:56" ht="18.649999999999999" customHeight="1" x14ac:dyDescent="0.25">
      <c r="B7" s="41" t="s">
        <v>59</v>
      </c>
      <c r="C7" s="36" t="s">
        <v>60</v>
      </c>
      <c r="D7" s="37">
        <v>21</v>
      </c>
      <c r="E7" s="65">
        <v>1330.83</v>
      </c>
      <c r="F7" s="65">
        <v>1229.44</v>
      </c>
      <c r="G7" s="65">
        <v>1167.47</v>
      </c>
      <c r="H7" s="65">
        <v>1170.98</v>
      </c>
      <c r="I7" s="65">
        <v>1310.19</v>
      </c>
      <c r="J7" s="65">
        <v>1758.4</v>
      </c>
      <c r="K7" s="65">
        <v>2220.0700000000002</v>
      </c>
      <c r="L7" s="65">
        <v>3793.71</v>
      </c>
      <c r="M7" s="65">
        <v>3827.67</v>
      </c>
      <c r="N7" s="65">
        <v>3863.51</v>
      </c>
      <c r="O7" s="65">
        <v>4065.45</v>
      </c>
      <c r="P7" s="65">
        <v>4225.55</v>
      </c>
      <c r="Q7" s="65">
        <v>4112.43</v>
      </c>
      <c r="R7" s="65">
        <v>4104.96</v>
      </c>
      <c r="S7" s="65">
        <v>4151.17</v>
      </c>
      <c r="T7" s="65">
        <v>4144.37</v>
      </c>
      <c r="U7" s="65">
        <v>4243.1499999999996</v>
      </c>
      <c r="V7" s="65">
        <v>3697.99</v>
      </c>
      <c r="W7" s="65">
        <v>3861.58</v>
      </c>
      <c r="X7" s="65">
        <v>3968.43</v>
      </c>
      <c r="Y7" s="65">
        <v>3761.5</v>
      </c>
      <c r="Z7" s="65">
        <v>3329.16</v>
      </c>
      <c r="AA7" s="65">
        <v>2685.55</v>
      </c>
      <c r="AB7" s="65">
        <v>2244.8200000000002</v>
      </c>
      <c r="AC7" s="66">
        <f>+SUM(E7:AB7)*D7+SUM(E8:AB8)*D8+SUM(E9:AB9)*D9+SUM(E10:AB10)*D10</f>
        <v>2225121.5400000005</v>
      </c>
      <c r="AE7" s="31">
        <f>((+AC7)*1000)/1000</f>
        <v>2225121.5400000005</v>
      </c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</row>
    <row r="8" spans="2:56" ht="18.649999999999999" customHeight="1" x14ac:dyDescent="0.25">
      <c r="B8" s="41" t="s">
        <v>59</v>
      </c>
      <c r="C8" s="36" t="s">
        <v>61</v>
      </c>
      <c r="D8" s="37">
        <v>4</v>
      </c>
      <c r="E8" s="65">
        <v>1465.18</v>
      </c>
      <c r="F8" s="65">
        <v>1288.8599999999999</v>
      </c>
      <c r="G8" s="65">
        <v>1266.77</v>
      </c>
      <c r="H8" s="65">
        <v>1268.9000000000001</v>
      </c>
      <c r="I8" s="65">
        <v>1281.3900000000001</v>
      </c>
      <c r="J8" s="65">
        <v>1426.75</v>
      </c>
      <c r="K8" s="65">
        <v>1838.38</v>
      </c>
      <c r="L8" s="65">
        <v>3582.57</v>
      </c>
      <c r="M8" s="65">
        <v>3788.35</v>
      </c>
      <c r="N8" s="65">
        <v>3954.95</v>
      </c>
      <c r="O8" s="65">
        <v>4055.73</v>
      </c>
      <c r="P8" s="65">
        <v>4118.38</v>
      </c>
      <c r="Q8" s="65">
        <v>4245.34</v>
      </c>
      <c r="R8" s="65">
        <v>4168.3599999999997</v>
      </c>
      <c r="S8" s="65">
        <v>4185.79</v>
      </c>
      <c r="T8" s="65">
        <v>3814.04</v>
      </c>
      <c r="U8" s="65">
        <v>4046.38</v>
      </c>
      <c r="V8" s="65">
        <v>3446.82</v>
      </c>
      <c r="W8" s="65">
        <v>3671.06</v>
      </c>
      <c r="X8" s="65">
        <v>3689.2</v>
      </c>
      <c r="Y8" s="65">
        <v>3489.53</v>
      </c>
      <c r="Z8" s="65">
        <v>3211.9</v>
      </c>
      <c r="AA8" s="65">
        <v>2788.15</v>
      </c>
      <c r="AB8" s="65">
        <v>2425.16</v>
      </c>
      <c r="AC8" s="67"/>
      <c r="AE8" s="31">
        <f>((+AC11)*1000)/1000</f>
        <v>2023904</v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</row>
    <row r="9" spans="2:56" ht="18.649999999999999" customHeight="1" x14ac:dyDescent="0.25">
      <c r="B9" s="41" t="s">
        <v>59</v>
      </c>
      <c r="C9" s="36" t="s">
        <v>62</v>
      </c>
      <c r="D9" s="37">
        <v>4</v>
      </c>
      <c r="E9" s="65">
        <v>1503.34</v>
      </c>
      <c r="F9" s="65">
        <v>1339.69</v>
      </c>
      <c r="G9" s="65">
        <v>1189.19</v>
      </c>
      <c r="H9" s="65">
        <v>1121.6500000000001</v>
      </c>
      <c r="I9" s="65">
        <v>1057.1300000000001</v>
      </c>
      <c r="J9" s="65">
        <v>1076.92</v>
      </c>
      <c r="K9" s="65">
        <v>1278.27</v>
      </c>
      <c r="L9" s="65">
        <v>2821.52</v>
      </c>
      <c r="M9" s="65">
        <v>3057.4</v>
      </c>
      <c r="N9" s="65">
        <v>3215.28</v>
      </c>
      <c r="O9" s="65">
        <v>3370.29</v>
      </c>
      <c r="P9" s="65">
        <v>3576.91</v>
      </c>
      <c r="Q9" s="65">
        <v>3613.24</v>
      </c>
      <c r="R9" s="65">
        <v>3677.86</v>
      </c>
      <c r="S9" s="65">
        <v>3564.97</v>
      </c>
      <c r="T9" s="65">
        <v>3577.31</v>
      </c>
      <c r="U9" s="65">
        <v>3714.33</v>
      </c>
      <c r="V9" s="65">
        <v>3125.94</v>
      </c>
      <c r="W9" s="65">
        <v>3500.27</v>
      </c>
      <c r="X9" s="65">
        <v>3587.94</v>
      </c>
      <c r="Y9" s="65">
        <v>3408.43</v>
      </c>
      <c r="Z9" s="65">
        <v>2943.47</v>
      </c>
      <c r="AA9" s="65">
        <v>2437.4299999999998</v>
      </c>
      <c r="AB9" s="65">
        <v>1977.36</v>
      </c>
      <c r="AC9" s="67"/>
      <c r="AE9" s="31">
        <f>((+AC15)*1000)/1000</f>
        <v>2106283.11</v>
      </c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</row>
    <row r="10" spans="2:56" ht="18.649999999999999" customHeight="1" x14ac:dyDescent="0.25">
      <c r="B10" s="41" t="s">
        <v>59</v>
      </c>
      <c r="C10" s="36" t="s">
        <v>63</v>
      </c>
      <c r="D10" s="37">
        <v>2</v>
      </c>
      <c r="E10" s="65">
        <v>1420.42</v>
      </c>
      <c r="F10" s="65">
        <v>1391.47</v>
      </c>
      <c r="G10" s="65">
        <v>1291.55</v>
      </c>
      <c r="H10" s="65">
        <v>1217.07</v>
      </c>
      <c r="I10" s="65">
        <v>1130.3</v>
      </c>
      <c r="J10" s="65">
        <v>1041.75</v>
      </c>
      <c r="K10" s="65">
        <v>1054.67</v>
      </c>
      <c r="L10" s="65">
        <v>2457.25</v>
      </c>
      <c r="M10" s="65">
        <v>2597.35</v>
      </c>
      <c r="N10" s="65">
        <v>2839.58</v>
      </c>
      <c r="O10" s="65">
        <v>2978.73</v>
      </c>
      <c r="P10" s="65">
        <v>3140.07</v>
      </c>
      <c r="Q10" s="65">
        <v>3366.52</v>
      </c>
      <c r="R10" s="65">
        <v>3583.24</v>
      </c>
      <c r="S10" s="65">
        <v>3381.45</v>
      </c>
      <c r="T10" s="65">
        <v>3444.36</v>
      </c>
      <c r="U10" s="65">
        <v>3623.08</v>
      </c>
      <c r="V10" s="65">
        <v>3185.86</v>
      </c>
      <c r="W10" s="65">
        <v>3339.7</v>
      </c>
      <c r="X10" s="65">
        <v>3356.79</v>
      </c>
      <c r="Y10" s="65">
        <v>3168.12</v>
      </c>
      <c r="Z10" s="65">
        <v>2786.62</v>
      </c>
      <c r="AA10" s="65">
        <v>2417.77</v>
      </c>
      <c r="AB10" s="65">
        <v>2020.9</v>
      </c>
      <c r="AC10" s="68"/>
      <c r="AE10" s="31">
        <f>((+AC19)*1000)/1000</f>
        <v>2185717.5100000007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</row>
    <row r="11" spans="2:56" ht="18.649999999999999" customHeight="1" x14ac:dyDescent="0.25">
      <c r="B11" s="41" t="s">
        <v>64</v>
      </c>
      <c r="C11" s="36" t="s">
        <v>60</v>
      </c>
      <c r="D11" s="37">
        <v>20</v>
      </c>
      <c r="E11" s="65">
        <v>1129.3499999999999</v>
      </c>
      <c r="F11" s="65">
        <v>1166.5</v>
      </c>
      <c r="G11" s="65">
        <v>1062.8699999999999</v>
      </c>
      <c r="H11" s="65">
        <v>1166.33</v>
      </c>
      <c r="I11" s="65">
        <v>1148.45</v>
      </c>
      <c r="J11" s="65">
        <v>1996.99</v>
      </c>
      <c r="K11" s="65">
        <v>2622.91</v>
      </c>
      <c r="L11" s="65">
        <v>4107.3500000000004</v>
      </c>
      <c r="M11" s="65">
        <v>4000.43</v>
      </c>
      <c r="N11" s="65">
        <v>3958.23</v>
      </c>
      <c r="O11" s="65">
        <v>4054.77</v>
      </c>
      <c r="P11" s="65">
        <v>4160.7700000000004</v>
      </c>
      <c r="Q11" s="65">
        <v>4019.39</v>
      </c>
      <c r="R11" s="65">
        <v>3993.21</v>
      </c>
      <c r="S11" s="65">
        <v>4104.37</v>
      </c>
      <c r="T11" s="65">
        <v>4188.2</v>
      </c>
      <c r="U11" s="65">
        <v>4217.33</v>
      </c>
      <c r="V11" s="65">
        <v>3521.6</v>
      </c>
      <c r="W11" s="65">
        <v>3856.85</v>
      </c>
      <c r="X11" s="65">
        <v>3782.51</v>
      </c>
      <c r="Y11" s="65">
        <v>3547.62</v>
      </c>
      <c r="Z11" s="65">
        <v>3203.13</v>
      </c>
      <c r="AA11" s="65">
        <v>2606.89</v>
      </c>
      <c r="AB11" s="65">
        <v>2082.42</v>
      </c>
      <c r="AC11" s="66">
        <f>+SUM(E11:AB11)*D11+SUM(E12:AB12)*D12+SUM(E13:AB13)*D13+SUM(E14:AB14)*D14</f>
        <v>2023904</v>
      </c>
      <c r="AE11" s="31">
        <f>((+AC23)*1000)/1000</f>
        <v>2189203.0900000003</v>
      </c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</row>
    <row r="12" spans="2:56" ht="18.649999999999999" customHeight="1" x14ac:dyDescent="0.25">
      <c r="B12" s="41" t="s">
        <v>64</v>
      </c>
      <c r="C12" s="36" t="s">
        <v>61</v>
      </c>
      <c r="D12" s="37">
        <v>4</v>
      </c>
      <c r="E12" s="65">
        <v>1425.93</v>
      </c>
      <c r="F12" s="65">
        <v>1331.92</v>
      </c>
      <c r="G12" s="65">
        <v>1285.51</v>
      </c>
      <c r="H12" s="65">
        <v>1215.77</v>
      </c>
      <c r="I12" s="65">
        <v>1257.69</v>
      </c>
      <c r="J12" s="65">
        <v>1381.04</v>
      </c>
      <c r="K12" s="65">
        <v>1901.74</v>
      </c>
      <c r="L12" s="65">
        <v>3776.07</v>
      </c>
      <c r="M12" s="65">
        <v>3965.73</v>
      </c>
      <c r="N12" s="65">
        <v>4042.51</v>
      </c>
      <c r="O12" s="65">
        <v>4092.23</v>
      </c>
      <c r="P12" s="65">
        <v>4185.72</v>
      </c>
      <c r="Q12" s="65">
        <v>4028.32</v>
      </c>
      <c r="R12" s="65">
        <v>3948.17</v>
      </c>
      <c r="S12" s="65">
        <v>3959.72</v>
      </c>
      <c r="T12" s="65">
        <v>3951.59</v>
      </c>
      <c r="U12" s="65">
        <v>4094.47</v>
      </c>
      <c r="V12" s="65">
        <v>3552.33</v>
      </c>
      <c r="W12" s="65">
        <v>3742.47</v>
      </c>
      <c r="X12" s="65">
        <v>3748.55</v>
      </c>
      <c r="Y12" s="65">
        <v>3560.91</v>
      </c>
      <c r="Z12" s="65">
        <v>3106.86</v>
      </c>
      <c r="AA12" s="65">
        <v>2624.91</v>
      </c>
      <c r="AB12" s="65">
        <v>2142.1799999999998</v>
      </c>
      <c r="AC12" s="67"/>
      <c r="AE12" s="31">
        <f>((+AC27)*1000)/1000</f>
        <v>2149468.4999999995</v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</row>
    <row r="13" spans="2:56" ht="18.649999999999999" customHeight="1" x14ac:dyDescent="0.25">
      <c r="B13" s="41" t="s">
        <v>64</v>
      </c>
      <c r="C13" s="36" t="s">
        <v>62</v>
      </c>
      <c r="D13" s="37">
        <v>4</v>
      </c>
      <c r="E13" s="65">
        <v>1389.55</v>
      </c>
      <c r="F13" s="65">
        <v>1280.3900000000001</v>
      </c>
      <c r="G13" s="65">
        <v>1164.46</v>
      </c>
      <c r="H13" s="65">
        <v>1115.1500000000001</v>
      </c>
      <c r="I13" s="65">
        <v>1138.9000000000001</v>
      </c>
      <c r="J13" s="65">
        <v>1132.6099999999999</v>
      </c>
      <c r="K13" s="65">
        <v>1322.41</v>
      </c>
      <c r="L13" s="65">
        <v>2973.83</v>
      </c>
      <c r="M13" s="65">
        <v>3290.83</v>
      </c>
      <c r="N13" s="65">
        <v>3479.06</v>
      </c>
      <c r="O13" s="65">
        <v>3443.4</v>
      </c>
      <c r="P13" s="65">
        <v>3687.61</v>
      </c>
      <c r="Q13" s="65">
        <v>3875.11</v>
      </c>
      <c r="R13" s="65">
        <v>3934.46</v>
      </c>
      <c r="S13" s="65">
        <v>3810.09</v>
      </c>
      <c r="T13" s="65">
        <v>4124.53</v>
      </c>
      <c r="U13" s="65">
        <v>3620.8</v>
      </c>
      <c r="V13" s="65">
        <v>3108.58</v>
      </c>
      <c r="W13" s="65">
        <v>3817.37</v>
      </c>
      <c r="X13" s="65">
        <v>3276.42</v>
      </c>
      <c r="Y13" s="65">
        <v>3195.15</v>
      </c>
      <c r="Z13" s="65">
        <v>2833.04</v>
      </c>
      <c r="AA13" s="65">
        <v>2269.3200000000002</v>
      </c>
      <c r="AB13" s="65">
        <v>1878.24</v>
      </c>
      <c r="AC13" s="67"/>
      <c r="AE13" s="31">
        <f>((+AC31)*1000)/1000</f>
        <v>2246989.4</v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</row>
    <row r="14" spans="2:56" ht="18.649999999999999" customHeight="1" x14ac:dyDescent="0.25">
      <c r="B14" s="41" t="s">
        <v>64</v>
      </c>
      <c r="C14" s="36" t="s">
        <v>63</v>
      </c>
      <c r="D14" s="37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8"/>
      <c r="AE14" s="31">
        <f>((+AC35)*1000)/1000</f>
        <v>2338226.5099999998</v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</row>
    <row r="15" spans="2:56" ht="18.649999999999999" customHeight="1" x14ac:dyDescent="0.25">
      <c r="B15" s="41" t="s">
        <v>65</v>
      </c>
      <c r="C15" s="36" t="s">
        <v>60</v>
      </c>
      <c r="D15" s="37">
        <v>19</v>
      </c>
      <c r="E15" s="65">
        <v>1040.42</v>
      </c>
      <c r="F15" s="65">
        <v>969.46</v>
      </c>
      <c r="G15" s="65">
        <v>952.55</v>
      </c>
      <c r="H15" s="65">
        <v>965.74</v>
      </c>
      <c r="I15" s="65">
        <v>1212.74</v>
      </c>
      <c r="J15" s="65">
        <v>1899.09</v>
      </c>
      <c r="K15" s="65">
        <v>2416.44</v>
      </c>
      <c r="L15" s="65">
        <v>3677.63</v>
      </c>
      <c r="M15" s="65">
        <v>3546.62</v>
      </c>
      <c r="N15" s="65">
        <v>3527.58</v>
      </c>
      <c r="O15" s="65">
        <v>3519.03</v>
      </c>
      <c r="P15" s="65">
        <v>3829.44</v>
      </c>
      <c r="Q15" s="65">
        <v>3744.76</v>
      </c>
      <c r="R15" s="65">
        <v>3682.35</v>
      </c>
      <c r="S15" s="65">
        <v>3802.22</v>
      </c>
      <c r="T15" s="65">
        <v>3856.36</v>
      </c>
      <c r="U15" s="65">
        <v>3773.39</v>
      </c>
      <c r="V15" s="65">
        <v>3298.18</v>
      </c>
      <c r="W15" s="65">
        <v>3650.27</v>
      </c>
      <c r="X15" s="65">
        <v>3675.42</v>
      </c>
      <c r="Y15" s="65">
        <v>3500.53</v>
      </c>
      <c r="Z15" s="65">
        <v>2942.98</v>
      </c>
      <c r="AA15" s="65">
        <v>2466.0700000000002</v>
      </c>
      <c r="AB15" s="65">
        <v>1898.87</v>
      </c>
      <c r="AC15" s="66">
        <f>+SUM(E15:AB15)*D15+SUM(E16:AB16)*D16+SUM(E17:AB17)*D17+SUM(E18:AB18)*D18</f>
        <v>2106283.11</v>
      </c>
      <c r="AE15" s="31">
        <f>((+AC39)*1000)/1000</f>
        <v>2261092.9499999997</v>
      </c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</row>
    <row r="16" spans="2:56" ht="18.649999999999999" customHeight="1" x14ac:dyDescent="0.25">
      <c r="B16" s="41" t="s">
        <v>65</v>
      </c>
      <c r="C16" s="36" t="s">
        <v>61</v>
      </c>
      <c r="D16" s="37">
        <v>5</v>
      </c>
      <c r="E16" s="65">
        <v>913.05</v>
      </c>
      <c r="F16" s="65">
        <v>1114.8900000000001</v>
      </c>
      <c r="G16" s="65">
        <v>1079.5</v>
      </c>
      <c r="H16" s="65">
        <v>1054.3699999999999</v>
      </c>
      <c r="I16" s="65">
        <v>1157.3900000000001</v>
      </c>
      <c r="J16" s="65">
        <v>1374.17</v>
      </c>
      <c r="K16" s="65">
        <v>1932.93</v>
      </c>
      <c r="L16" s="65">
        <v>3694.75</v>
      </c>
      <c r="M16" s="65">
        <v>3847.06</v>
      </c>
      <c r="N16" s="65">
        <v>3957.28</v>
      </c>
      <c r="O16" s="65">
        <v>3971.17</v>
      </c>
      <c r="P16" s="65">
        <v>3916.46</v>
      </c>
      <c r="Q16" s="65">
        <v>3948.23</v>
      </c>
      <c r="R16" s="65">
        <v>3843.21</v>
      </c>
      <c r="S16" s="65">
        <v>3872.83</v>
      </c>
      <c r="T16" s="65">
        <v>3926.36</v>
      </c>
      <c r="U16" s="65">
        <v>3930.28</v>
      </c>
      <c r="V16" s="65">
        <v>3385.44</v>
      </c>
      <c r="W16" s="65">
        <v>3448.27</v>
      </c>
      <c r="X16" s="65">
        <v>3722.7</v>
      </c>
      <c r="Y16" s="65">
        <v>3572.12</v>
      </c>
      <c r="Z16" s="65">
        <v>3201.59</v>
      </c>
      <c r="AA16" s="65">
        <v>2736.55</v>
      </c>
      <c r="AB16" s="65">
        <v>2246.9299999999998</v>
      </c>
      <c r="AC16" s="67"/>
      <c r="AE16" s="31">
        <f>((+AC43)*1000)/1000</f>
        <v>2344954.2200000002</v>
      </c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</row>
    <row r="17" spans="2:56" ht="18.649999999999999" customHeight="1" x14ac:dyDescent="0.25">
      <c r="B17" s="41" t="s">
        <v>65</v>
      </c>
      <c r="C17" s="36" t="s">
        <v>62</v>
      </c>
      <c r="D17" s="37">
        <v>4</v>
      </c>
      <c r="E17" s="65">
        <v>1343.81</v>
      </c>
      <c r="F17" s="65">
        <v>1278.98</v>
      </c>
      <c r="G17" s="65">
        <v>1110.03</v>
      </c>
      <c r="H17" s="65">
        <v>1199.04</v>
      </c>
      <c r="I17" s="65">
        <v>1215.3699999999999</v>
      </c>
      <c r="J17" s="65">
        <v>774.93</v>
      </c>
      <c r="K17" s="65">
        <v>1280.8599999999999</v>
      </c>
      <c r="L17" s="65">
        <v>2826.17</v>
      </c>
      <c r="M17" s="65">
        <v>3070.82</v>
      </c>
      <c r="N17" s="65">
        <v>3073.62</v>
      </c>
      <c r="O17" s="65">
        <v>3299.49</v>
      </c>
      <c r="P17" s="65">
        <v>3585.05</v>
      </c>
      <c r="Q17" s="65">
        <v>3512.7</v>
      </c>
      <c r="R17" s="65">
        <v>3581.89</v>
      </c>
      <c r="S17" s="65">
        <v>3529.37</v>
      </c>
      <c r="T17" s="65">
        <v>3498.89</v>
      </c>
      <c r="U17" s="65">
        <v>3484.42</v>
      </c>
      <c r="V17" s="65">
        <v>3095.57</v>
      </c>
      <c r="W17" s="65">
        <v>3335</v>
      </c>
      <c r="X17" s="65">
        <v>3449.46</v>
      </c>
      <c r="Y17" s="65">
        <v>3538.69</v>
      </c>
      <c r="Z17" s="65">
        <v>3069.73</v>
      </c>
      <c r="AA17" s="65">
        <v>2578.62</v>
      </c>
      <c r="AB17" s="65">
        <v>2009.89</v>
      </c>
      <c r="AC17" s="67"/>
      <c r="AE17" s="31">
        <f>((+AC47)*1000)/1000</f>
        <v>2301904.3200000003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</row>
    <row r="18" spans="2:56" ht="18.649999999999999" customHeight="1" x14ac:dyDescent="0.25">
      <c r="B18" s="41" t="s">
        <v>65</v>
      </c>
      <c r="C18" s="36" t="s">
        <v>63</v>
      </c>
      <c r="D18" s="37">
        <v>3</v>
      </c>
      <c r="E18" s="65">
        <v>1573.2</v>
      </c>
      <c r="F18" s="65">
        <v>1572.12</v>
      </c>
      <c r="G18" s="65">
        <v>1432.76</v>
      </c>
      <c r="H18" s="65">
        <v>1439.22</v>
      </c>
      <c r="I18" s="65">
        <v>1484.85</v>
      </c>
      <c r="J18" s="65">
        <v>1357.85</v>
      </c>
      <c r="K18" s="65">
        <v>1591.6</v>
      </c>
      <c r="L18" s="65">
        <v>3041.23</v>
      </c>
      <c r="M18" s="65">
        <v>3187.09</v>
      </c>
      <c r="N18" s="65">
        <v>3397.9</v>
      </c>
      <c r="O18" s="65">
        <v>3801.56</v>
      </c>
      <c r="P18" s="65">
        <v>3938.76</v>
      </c>
      <c r="Q18" s="65">
        <v>4042.27</v>
      </c>
      <c r="R18" s="65">
        <v>3930.47</v>
      </c>
      <c r="S18" s="65">
        <v>4087.21</v>
      </c>
      <c r="T18" s="65">
        <v>4068.79</v>
      </c>
      <c r="U18" s="65">
        <v>4056.22</v>
      </c>
      <c r="V18" s="65">
        <v>3655.62</v>
      </c>
      <c r="W18" s="65">
        <v>4135.18</v>
      </c>
      <c r="X18" s="65">
        <v>4230.99</v>
      </c>
      <c r="Y18" s="65">
        <v>4054.3</v>
      </c>
      <c r="Z18" s="65">
        <v>3565.17</v>
      </c>
      <c r="AA18" s="65">
        <v>2626.57</v>
      </c>
      <c r="AB18" s="65">
        <v>2049.4699999999998</v>
      </c>
      <c r="AC18" s="68"/>
      <c r="AE18" s="31">
        <f>((+AC51)*1000)/1000</f>
        <v>2359416.5999999996</v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</row>
    <row r="19" spans="2:56" ht="18.649999999999999" customHeight="1" x14ac:dyDescent="0.25">
      <c r="B19" s="41" t="s">
        <v>66</v>
      </c>
      <c r="C19" s="36" t="s">
        <v>60</v>
      </c>
      <c r="D19" s="37">
        <v>21</v>
      </c>
      <c r="E19" s="65">
        <v>1260.78</v>
      </c>
      <c r="F19" s="65">
        <v>1213.3900000000001</v>
      </c>
      <c r="G19" s="65">
        <v>1239.8399999999999</v>
      </c>
      <c r="H19" s="65">
        <v>1183.6400000000001</v>
      </c>
      <c r="I19" s="65">
        <v>1337.42</v>
      </c>
      <c r="J19" s="65">
        <v>1779.81</v>
      </c>
      <c r="K19" s="65">
        <v>2323.89</v>
      </c>
      <c r="L19" s="65">
        <v>3814.81</v>
      </c>
      <c r="M19" s="65">
        <v>3836.65</v>
      </c>
      <c r="N19" s="65">
        <v>3787.72</v>
      </c>
      <c r="O19" s="65">
        <v>4019.53</v>
      </c>
      <c r="P19" s="65">
        <v>4296.42</v>
      </c>
      <c r="Q19" s="65">
        <v>4211.59</v>
      </c>
      <c r="R19" s="65">
        <v>4162.46</v>
      </c>
      <c r="S19" s="65">
        <v>4329.87</v>
      </c>
      <c r="T19" s="65">
        <v>4278.33</v>
      </c>
      <c r="U19" s="65">
        <v>4261.92</v>
      </c>
      <c r="V19" s="65">
        <v>3511.2</v>
      </c>
      <c r="W19" s="65">
        <v>3750.06</v>
      </c>
      <c r="X19" s="65">
        <v>3818.23</v>
      </c>
      <c r="Y19" s="65">
        <v>3698.44</v>
      </c>
      <c r="Z19" s="65">
        <v>3310.21</v>
      </c>
      <c r="AA19" s="65">
        <v>2758.69</v>
      </c>
      <c r="AB19" s="65">
        <v>2220.96</v>
      </c>
      <c r="AC19" s="66">
        <f>+SUM(E19:AB19)*D19+SUM(E20:AB20)*D20+SUM(E21:AB21)*D21+SUM(E22:AB22)*D22</f>
        <v>2185717.5100000002</v>
      </c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</row>
    <row r="20" spans="2:56" ht="18.649999999999999" customHeight="1" x14ac:dyDescent="0.25">
      <c r="B20" s="41" t="s">
        <v>66</v>
      </c>
      <c r="C20" s="36" t="s">
        <v>61</v>
      </c>
      <c r="D20" s="37">
        <v>4</v>
      </c>
      <c r="E20" s="65">
        <v>1442.52</v>
      </c>
      <c r="F20" s="65">
        <v>1335.8</v>
      </c>
      <c r="G20" s="65">
        <v>1324.05</v>
      </c>
      <c r="H20" s="65">
        <v>1299.0899999999999</v>
      </c>
      <c r="I20" s="65">
        <v>1360.75</v>
      </c>
      <c r="J20" s="65">
        <v>1423.35</v>
      </c>
      <c r="K20" s="65">
        <v>1665.58</v>
      </c>
      <c r="L20" s="65">
        <v>3508.86</v>
      </c>
      <c r="M20" s="65">
        <v>3491.37</v>
      </c>
      <c r="N20" s="65">
        <v>3580.16</v>
      </c>
      <c r="O20" s="65">
        <v>3847.61</v>
      </c>
      <c r="P20" s="65">
        <v>3867.56</v>
      </c>
      <c r="Q20" s="65">
        <v>4038.09</v>
      </c>
      <c r="R20" s="65">
        <v>3982.15</v>
      </c>
      <c r="S20" s="65">
        <v>4120.8500000000004</v>
      </c>
      <c r="T20" s="65">
        <v>4166.7700000000004</v>
      </c>
      <c r="U20" s="65">
        <v>4256.96</v>
      </c>
      <c r="V20" s="65">
        <v>3625.76</v>
      </c>
      <c r="W20" s="65">
        <v>4020.75</v>
      </c>
      <c r="X20" s="65">
        <v>3571.66</v>
      </c>
      <c r="Y20" s="65">
        <v>3394.23</v>
      </c>
      <c r="Z20" s="65">
        <v>3186.43</v>
      </c>
      <c r="AA20" s="65">
        <v>2847.06</v>
      </c>
      <c r="AB20" s="65">
        <v>2659.79</v>
      </c>
      <c r="AC20" s="6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</row>
    <row r="21" spans="2:56" ht="18.649999999999999" customHeight="1" x14ac:dyDescent="0.25">
      <c r="B21" s="41" t="s">
        <v>66</v>
      </c>
      <c r="C21" s="36" t="s">
        <v>62</v>
      </c>
      <c r="D21" s="37">
        <v>5</v>
      </c>
      <c r="E21" s="65">
        <v>1592.61</v>
      </c>
      <c r="F21" s="65">
        <v>1410.31</v>
      </c>
      <c r="G21" s="65">
        <v>1277.79</v>
      </c>
      <c r="H21" s="65">
        <v>1285.1400000000001</v>
      </c>
      <c r="I21" s="65">
        <v>1181.3599999999999</v>
      </c>
      <c r="J21" s="65">
        <v>1185.58</v>
      </c>
      <c r="K21" s="65">
        <v>1453.64</v>
      </c>
      <c r="L21" s="65">
        <v>2925.48</v>
      </c>
      <c r="M21" s="65">
        <v>3302.88</v>
      </c>
      <c r="N21" s="65">
        <v>3367.15</v>
      </c>
      <c r="O21" s="65">
        <v>3537.49</v>
      </c>
      <c r="P21" s="65">
        <v>3542.65</v>
      </c>
      <c r="Q21" s="65">
        <v>3662.86</v>
      </c>
      <c r="R21" s="65">
        <v>3606.87</v>
      </c>
      <c r="S21" s="65">
        <v>3672.53</v>
      </c>
      <c r="T21" s="65">
        <v>3623.43</v>
      </c>
      <c r="U21" s="65">
        <v>3883.27</v>
      </c>
      <c r="V21" s="65">
        <v>3295.21</v>
      </c>
      <c r="W21" s="65">
        <v>3589.99</v>
      </c>
      <c r="X21" s="65">
        <v>3618.25</v>
      </c>
      <c r="Y21" s="65">
        <v>3563.72</v>
      </c>
      <c r="Z21" s="65">
        <v>3326.27</v>
      </c>
      <c r="AA21" s="65">
        <v>2964.01</v>
      </c>
      <c r="AB21" s="65">
        <v>2156.64</v>
      </c>
      <c r="AC21" s="6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</row>
    <row r="22" spans="2:56" ht="18.649999999999999" customHeight="1" x14ac:dyDescent="0.25">
      <c r="B22" s="41" t="s">
        <v>66</v>
      </c>
      <c r="C22" s="36" t="s">
        <v>63</v>
      </c>
      <c r="D22" s="37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8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</row>
    <row r="23" spans="2:56" ht="18.649999999999999" customHeight="1" x14ac:dyDescent="0.25">
      <c r="B23" s="41" t="s">
        <v>67</v>
      </c>
      <c r="C23" s="36" t="s">
        <v>60</v>
      </c>
      <c r="D23" s="37">
        <v>21</v>
      </c>
      <c r="E23" s="65">
        <v>1293.54</v>
      </c>
      <c r="F23" s="65">
        <v>1222.8</v>
      </c>
      <c r="G23" s="65">
        <v>1160.1099999999999</v>
      </c>
      <c r="H23" s="65">
        <v>1194.1199999999999</v>
      </c>
      <c r="I23" s="65">
        <v>1370.62</v>
      </c>
      <c r="J23" s="65">
        <v>1891.86</v>
      </c>
      <c r="K23" s="65">
        <v>2371.66</v>
      </c>
      <c r="L23" s="65">
        <v>3759.05</v>
      </c>
      <c r="M23" s="65">
        <v>3698.1</v>
      </c>
      <c r="N23" s="65">
        <v>3545</v>
      </c>
      <c r="O23" s="65">
        <v>3630.63</v>
      </c>
      <c r="P23" s="65">
        <v>3963</v>
      </c>
      <c r="Q23" s="65">
        <v>3900.94</v>
      </c>
      <c r="R23" s="65">
        <v>3961.26</v>
      </c>
      <c r="S23" s="65">
        <v>4155.28</v>
      </c>
      <c r="T23" s="65">
        <v>4147.93</v>
      </c>
      <c r="U23" s="65">
        <v>4134.04</v>
      </c>
      <c r="V23" s="65">
        <v>3492.62</v>
      </c>
      <c r="W23" s="65">
        <v>3680.14</v>
      </c>
      <c r="X23" s="65">
        <v>3772.65</v>
      </c>
      <c r="Y23" s="65">
        <v>3601.15</v>
      </c>
      <c r="Z23" s="65">
        <v>3215.4</v>
      </c>
      <c r="AA23" s="65">
        <v>2706.53</v>
      </c>
      <c r="AB23" s="65">
        <v>2190.2399999999998</v>
      </c>
      <c r="AC23" s="66">
        <f>+SUM(E23:AB23)*D23+SUM(E24:AB24)*D24+SUM(E25:AB25)*D25+SUM(E26:AB26)*D26</f>
        <v>2189203.0900000003</v>
      </c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</row>
    <row r="24" spans="2:56" ht="18.649999999999999" customHeight="1" x14ac:dyDescent="0.25">
      <c r="B24" s="41" t="s">
        <v>67</v>
      </c>
      <c r="C24" s="36" t="s">
        <v>61</v>
      </c>
      <c r="D24" s="37">
        <v>4</v>
      </c>
      <c r="E24" s="65">
        <v>1469.78</v>
      </c>
      <c r="F24" s="65">
        <v>1242.83</v>
      </c>
      <c r="G24" s="65">
        <v>1238.17</v>
      </c>
      <c r="H24" s="65">
        <v>1229.9000000000001</v>
      </c>
      <c r="I24" s="65">
        <v>1280.75</v>
      </c>
      <c r="J24" s="65">
        <v>1336.28</v>
      </c>
      <c r="K24" s="65">
        <v>1742</v>
      </c>
      <c r="L24" s="65">
        <v>3465.67</v>
      </c>
      <c r="M24" s="65">
        <v>3690.6</v>
      </c>
      <c r="N24" s="65">
        <v>3780.91</v>
      </c>
      <c r="O24" s="65">
        <v>3790.34</v>
      </c>
      <c r="P24" s="65">
        <v>3783.99</v>
      </c>
      <c r="Q24" s="65">
        <v>3857.23</v>
      </c>
      <c r="R24" s="65">
        <v>3736.96</v>
      </c>
      <c r="S24" s="65">
        <v>3742.05</v>
      </c>
      <c r="T24" s="65">
        <v>3763.3</v>
      </c>
      <c r="U24" s="65">
        <v>3796.99</v>
      </c>
      <c r="V24" s="65">
        <v>3256.29</v>
      </c>
      <c r="W24" s="65">
        <v>3463.92</v>
      </c>
      <c r="X24" s="65">
        <v>3673.66</v>
      </c>
      <c r="Y24" s="65">
        <v>3489.32</v>
      </c>
      <c r="Z24" s="65">
        <v>3227.67</v>
      </c>
      <c r="AA24" s="65">
        <v>2786.52</v>
      </c>
      <c r="AB24" s="65">
        <v>2353.96</v>
      </c>
      <c r="AC24" s="6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</row>
    <row r="25" spans="2:56" ht="18.649999999999999" customHeight="1" x14ac:dyDescent="0.25">
      <c r="B25" s="41" t="s">
        <v>67</v>
      </c>
      <c r="C25" s="36" t="s">
        <v>62</v>
      </c>
      <c r="D25" s="37">
        <v>4</v>
      </c>
      <c r="E25" s="65">
        <v>1477.59</v>
      </c>
      <c r="F25" s="65">
        <v>1380.2</v>
      </c>
      <c r="G25" s="65">
        <v>1169.8699999999999</v>
      </c>
      <c r="H25" s="65">
        <v>1164.01</v>
      </c>
      <c r="I25" s="65">
        <v>1068.83</v>
      </c>
      <c r="J25" s="65">
        <v>1126.94</v>
      </c>
      <c r="K25" s="65">
        <v>1367.94</v>
      </c>
      <c r="L25" s="65">
        <v>2973.75</v>
      </c>
      <c r="M25" s="65">
        <v>3239.45</v>
      </c>
      <c r="N25" s="65">
        <v>3332.09</v>
      </c>
      <c r="O25" s="65">
        <v>3413.64</v>
      </c>
      <c r="P25" s="65">
        <v>3406.06</v>
      </c>
      <c r="Q25" s="65">
        <v>3501.6</v>
      </c>
      <c r="R25" s="65">
        <v>3414.44</v>
      </c>
      <c r="S25" s="65">
        <v>3407.14</v>
      </c>
      <c r="T25" s="65">
        <v>3502.05</v>
      </c>
      <c r="U25" s="65">
        <v>3809.54</v>
      </c>
      <c r="V25" s="65">
        <v>2714.28</v>
      </c>
      <c r="W25" s="65">
        <v>3404.44</v>
      </c>
      <c r="X25" s="65">
        <v>3482.22</v>
      </c>
      <c r="Y25" s="65">
        <v>3344.32</v>
      </c>
      <c r="Z25" s="65">
        <v>2977.26</v>
      </c>
      <c r="AA25" s="65">
        <v>2389.75</v>
      </c>
      <c r="AB25" s="65">
        <v>1850.49</v>
      </c>
      <c r="AC25" s="6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</row>
    <row r="26" spans="2:56" ht="18.649999999999999" customHeight="1" x14ac:dyDescent="0.25">
      <c r="B26" s="41" t="s">
        <v>67</v>
      </c>
      <c r="C26" s="36" t="s">
        <v>63</v>
      </c>
      <c r="D26" s="37">
        <v>2</v>
      </c>
      <c r="E26" s="65">
        <v>1138.4100000000001</v>
      </c>
      <c r="F26" s="65">
        <v>1457.21</v>
      </c>
      <c r="G26" s="65">
        <v>1475.73</v>
      </c>
      <c r="H26" s="65">
        <v>1330.34</v>
      </c>
      <c r="I26" s="65">
        <v>1543.46</v>
      </c>
      <c r="J26" s="65">
        <v>1643.45</v>
      </c>
      <c r="K26" s="65">
        <v>1953.28</v>
      </c>
      <c r="L26" s="65">
        <v>3647.33</v>
      </c>
      <c r="M26" s="65">
        <v>3675.91</v>
      </c>
      <c r="N26" s="65">
        <v>3968.83</v>
      </c>
      <c r="O26" s="65">
        <v>4135.6099999999997</v>
      </c>
      <c r="P26" s="65">
        <v>4303.3900000000003</v>
      </c>
      <c r="Q26" s="65">
        <v>4457.24</v>
      </c>
      <c r="R26" s="65">
        <v>4450.26</v>
      </c>
      <c r="S26" s="65">
        <v>4187.8599999999997</v>
      </c>
      <c r="T26" s="65">
        <v>4165.51</v>
      </c>
      <c r="U26" s="65">
        <v>3988.31</v>
      </c>
      <c r="V26" s="65">
        <v>3405.77</v>
      </c>
      <c r="W26" s="65">
        <v>3738.43</v>
      </c>
      <c r="X26" s="65">
        <v>3541.05</v>
      </c>
      <c r="Y26" s="65">
        <v>3375.04</v>
      </c>
      <c r="Z26" s="65">
        <v>3177.84</v>
      </c>
      <c r="AA26" s="65">
        <v>2714.79</v>
      </c>
      <c r="AB26" s="65">
        <v>2276.48</v>
      </c>
      <c r="AC26" s="68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</row>
    <row r="27" spans="2:56" ht="18.649999999999999" customHeight="1" x14ac:dyDescent="0.25">
      <c r="B27" s="41" t="s">
        <v>68</v>
      </c>
      <c r="C27" s="36" t="s">
        <v>60</v>
      </c>
      <c r="D27" s="37">
        <v>19</v>
      </c>
      <c r="E27" s="65">
        <v>1366.22</v>
      </c>
      <c r="F27" s="65">
        <v>1277.23</v>
      </c>
      <c r="G27" s="65">
        <v>1249.93</v>
      </c>
      <c r="H27" s="65">
        <v>1225.51</v>
      </c>
      <c r="I27" s="65">
        <v>1419.66</v>
      </c>
      <c r="J27" s="65">
        <v>1894.06</v>
      </c>
      <c r="K27" s="65">
        <v>2357.16</v>
      </c>
      <c r="L27" s="65">
        <v>3883.93</v>
      </c>
      <c r="M27" s="65">
        <v>3784.29</v>
      </c>
      <c r="N27" s="65">
        <v>3827.16</v>
      </c>
      <c r="O27" s="65">
        <v>3944.12</v>
      </c>
      <c r="P27" s="65">
        <v>4031.53</v>
      </c>
      <c r="Q27" s="65">
        <v>4037.26</v>
      </c>
      <c r="R27" s="65">
        <v>4048.59</v>
      </c>
      <c r="S27" s="65">
        <v>4202.79</v>
      </c>
      <c r="T27" s="65">
        <v>4214.88</v>
      </c>
      <c r="U27" s="65">
        <v>4288.3100000000004</v>
      </c>
      <c r="V27" s="65">
        <v>3600.6</v>
      </c>
      <c r="W27" s="65">
        <v>3888.14</v>
      </c>
      <c r="X27" s="65">
        <v>3898.99</v>
      </c>
      <c r="Y27" s="65">
        <v>3646.13</v>
      </c>
      <c r="Z27" s="65">
        <v>3206.51</v>
      </c>
      <c r="AA27" s="65">
        <v>2693.74</v>
      </c>
      <c r="AB27" s="65">
        <v>2252</v>
      </c>
      <c r="AC27" s="66">
        <f>+SUM(E27:AB27)*D27+SUM(E28:AB28)*D28+SUM(E29:AB29)*D29+SUM(E30:AB30)*D30</f>
        <v>2149468.4999999995</v>
      </c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</row>
    <row r="28" spans="2:56" ht="18.649999999999999" customHeight="1" x14ac:dyDescent="0.25">
      <c r="B28" s="41" t="s">
        <v>68</v>
      </c>
      <c r="C28" s="36" t="s">
        <v>61</v>
      </c>
      <c r="D28" s="37">
        <v>5</v>
      </c>
      <c r="E28" s="65">
        <v>1370.27</v>
      </c>
      <c r="F28" s="65">
        <v>1263.18</v>
      </c>
      <c r="G28" s="65">
        <v>1190.5</v>
      </c>
      <c r="H28" s="65">
        <v>1156.72</v>
      </c>
      <c r="I28" s="65">
        <v>1220.56</v>
      </c>
      <c r="J28" s="65">
        <v>1366.89</v>
      </c>
      <c r="K28" s="65">
        <v>1687</v>
      </c>
      <c r="L28" s="65">
        <v>3555.13</v>
      </c>
      <c r="M28" s="65">
        <v>3677.09</v>
      </c>
      <c r="N28" s="65">
        <v>3740.18</v>
      </c>
      <c r="O28" s="65">
        <v>3865.86</v>
      </c>
      <c r="P28" s="65">
        <v>3861.51</v>
      </c>
      <c r="Q28" s="65">
        <v>3888.11</v>
      </c>
      <c r="R28" s="65">
        <v>3808.05</v>
      </c>
      <c r="S28" s="65">
        <v>3689.37</v>
      </c>
      <c r="T28" s="65">
        <v>3700.74</v>
      </c>
      <c r="U28" s="65">
        <v>3748.37</v>
      </c>
      <c r="V28" s="65">
        <v>3245.91</v>
      </c>
      <c r="W28" s="65">
        <v>3460.79</v>
      </c>
      <c r="X28" s="65">
        <v>3631.37</v>
      </c>
      <c r="Y28" s="65">
        <v>3455.65</v>
      </c>
      <c r="Z28" s="65">
        <v>3161.05</v>
      </c>
      <c r="AA28" s="65">
        <v>2841.11</v>
      </c>
      <c r="AB28" s="65">
        <v>2432.0100000000002</v>
      </c>
      <c r="AC28" s="6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</row>
    <row r="29" spans="2:56" ht="18.649999999999999" customHeight="1" x14ac:dyDescent="0.25">
      <c r="B29" s="41" t="s">
        <v>68</v>
      </c>
      <c r="C29" s="36" t="s">
        <v>62</v>
      </c>
      <c r="D29" s="37">
        <v>4</v>
      </c>
      <c r="E29" s="65">
        <v>1608.56</v>
      </c>
      <c r="F29" s="65">
        <v>1403.26</v>
      </c>
      <c r="G29" s="65">
        <v>1316.21</v>
      </c>
      <c r="H29" s="65">
        <v>1294.3699999999999</v>
      </c>
      <c r="I29" s="65">
        <v>1251.03</v>
      </c>
      <c r="J29" s="65">
        <v>1223.9100000000001</v>
      </c>
      <c r="K29" s="65">
        <v>1431.16</v>
      </c>
      <c r="L29" s="65">
        <v>3042.5</v>
      </c>
      <c r="M29" s="65">
        <v>3238.1</v>
      </c>
      <c r="N29" s="65">
        <v>3474.25</v>
      </c>
      <c r="O29" s="65">
        <v>3571.71</v>
      </c>
      <c r="P29" s="65">
        <v>3588.2</v>
      </c>
      <c r="Q29" s="65">
        <v>3573.65</v>
      </c>
      <c r="R29" s="65">
        <v>3623.06</v>
      </c>
      <c r="S29" s="65">
        <v>3501.03</v>
      </c>
      <c r="T29" s="65">
        <v>3538.54</v>
      </c>
      <c r="U29" s="65">
        <v>3704.72</v>
      </c>
      <c r="V29" s="65">
        <v>3222.19</v>
      </c>
      <c r="W29" s="65">
        <v>3480.84</v>
      </c>
      <c r="X29" s="65">
        <v>3621.64</v>
      </c>
      <c r="Y29" s="65">
        <v>3470.14</v>
      </c>
      <c r="Z29" s="65">
        <v>3187.67</v>
      </c>
      <c r="AA29" s="65">
        <v>2736.71</v>
      </c>
      <c r="AB29" s="65">
        <v>2252.5100000000002</v>
      </c>
      <c r="AC29" s="6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</row>
    <row r="30" spans="2:56" ht="18.649999999999999" customHeight="1" x14ac:dyDescent="0.25">
      <c r="B30" s="41" t="s">
        <v>68</v>
      </c>
      <c r="C30" s="36" t="s">
        <v>63</v>
      </c>
      <c r="D30" s="37">
        <v>2</v>
      </c>
      <c r="E30" s="65">
        <v>1583.2</v>
      </c>
      <c r="F30" s="65">
        <v>1446.67</v>
      </c>
      <c r="G30" s="65">
        <v>1312.46</v>
      </c>
      <c r="H30" s="65">
        <v>1285.45</v>
      </c>
      <c r="I30" s="65">
        <v>1215.6600000000001</v>
      </c>
      <c r="J30" s="65">
        <v>1162.8900000000001</v>
      </c>
      <c r="K30" s="65">
        <v>1384.03</v>
      </c>
      <c r="L30" s="65">
        <v>3091.29</v>
      </c>
      <c r="M30" s="65">
        <v>3112.6</v>
      </c>
      <c r="N30" s="65">
        <v>3210.97</v>
      </c>
      <c r="O30" s="65">
        <v>3420.62</v>
      </c>
      <c r="P30" s="65">
        <v>3400.06</v>
      </c>
      <c r="Q30" s="65">
        <v>3488.07</v>
      </c>
      <c r="R30" s="65">
        <v>3703.25</v>
      </c>
      <c r="S30" s="65">
        <v>3599.47</v>
      </c>
      <c r="T30" s="65">
        <v>3589.96</v>
      </c>
      <c r="U30" s="65">
        <v>3689.93</v>
      </c>
      <c r="V30" s="65">
        <v>2925.76</v>
      </c>
      <c r="W30" s="65">
        <v>3147.99</v>
      </c>
      <c r="X30" s="65">
        <v>3220.18</v>
      </c>
      <c r="Y30" s="65">
        <v>3191.52</v>
      </c>
      <c r="Z30" s="65">
        <v>3061.56</v>
      </c>
      <c r="AA30" s="65">
        <v>2687.89</v>
      </c>
      <c r="AB30" s="65">
        <v>2279.27</v>
      </c>
      <c r="AC30" s="68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</row>
    <row r="31" spans="2:56" ht="18.649999999999999" customHeight="1" x14ac:dyDescent="0.25">
      <c r="B31" s="41" t="s">
        <v>69</v>
      </c>
      <c r="C31" s="36" t="s">
        <v>60</v>
      </c>
      <c r="D31" s="37">
        <v>20</v>
      </c>
      <c r="E31" s="65">
        <v>1724.65</v>
      </c>
      <c r="F31" s="65">
        <v>1607.53</v>
      </c>
      <c r="G31" s="65">
        <v>1565.77</v>
      </c>
      <c r="H31" s="65">
        <v>1543</v>
      </c>
      <c r="I31" s="65">
        <v>1663.35</v>
      </c>
      <c r="J31" s="65">
        <v>2056.4299999999998</v>
      </c>
      <c r="K31" s="65">
        <v>2002.18</v>
      </c>
      <c r="L31" s="65">
        <v>3530.45</v>
      </c>
      <c r="M31" s="65">
        <v>3543.42</v>
      </c>
      <c r="N31" s="65">
        <v>3627.04</v>
      </c>
      <c r="O31" s="65">
        <v>3794.12</v>
      </c>
      <c r="P31" s="65">
        <v>4018.24</v>
      </c>
      <c r="Q31" s="65">
        <v>3902.94</v>
      </c>
      <c r="R31" s="65">
        <v>3892.5</v>
      </c>
      <c r="S31" s="65">
        <v>4009.22</v>
      </c>
      <c r="T31" s="65">
        <v>3994.19</v>
      </c>
      <c r="U31" s="65">
        <v>3948.49</v>
      </c>
      <c r="V31" s="65">
        <v>3273.12</v>
      </c>
      <c r="W31" s="65">
        <v>3767.75</v>
      </c>
      <c r="X31" s="65">
        <v>3972.34</v>
      </c>
      <c r="Y31" s="65">
        <v>3800.23</v>
      </c>
      <c r="Z31" s="65">
        <v>3497.27</v>
      </c>
      <c r="AA31" s="65">
        <v>3041.67</v>
      </c>
      <c r="AB31" s="65">
        <v>2556.0500000000002</v>
      </c>
      <c r="AC31" s="66">
        <f>+SUM(E31:AB31)*D31+SUM(E32:AB32)*D32+SUM(E33:AB33)*D33+SUM(E34:AB34)*D34</f>
        <v>2246989.4</v>
      </c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</row>
    <row r="32" spans="2:56" ht="18.649999999999999" customHeight="1" x14ac:dyDescent="0.25">
      <c r="B32" s="41" t="s">
        <v>69</v>
      </c>
      <c r="C32" s="36" t="s">
        <v>61</v>
      </c>
      <c r="D32" s="37">
        <v>4</v>
      </c>
      <c r="E32" s="65">
        <v>1620.74</v>
      </c>
      <c r="F32" s="65">
        <v>1534.99</v>
      </c>
      <c r="G32" s="65">
        <v>1454.45</v>
      </c>
      <c r="H32" s="65">
        <v>1465.07</v>
      </c>
      <c r="I32" s="65">
        <v>1494.97</v>
      </c>
      <c r="J32" s="65">
        <v>1571.85</v>
      </c>
      <c r="K32" s="65">
        <v>1584.58</v>
      </c>
      <c r="L32" s="65">
        <v>3338.02</v>
      </c>
      <c r="M32" s="65">
        <v>3564.28</v>
      </c>
      <c r="N32" s="65">
        <v>3722.17</v>
      </c>
      <c r="O32" s="65">
        <v>3793.04</v>
      </c>
      <c r="P32" s="65">
        <v>3926.9</v>
      </c>
      <c r="Q32" s="65">
        <v>3881.33</v>
      </c>
      <c r="R32" s="65">
        <v>3822.61</v>
      </c>
      <c r="S32" s="65">
        <v>3762.28</v>
      </c>
      <c r="T32" s="65">
        <v>3737.95</v>
      </c>
      <c r="U32" s="65">
        <v>3760.11</v>
      </c>
      <c r="V32" s="65">
        <v>3145.96</v>
      </c>
      <c r="W32" s="65">
        <v>3623.03</v>
      </c>
      <c r="X32" s="65">
        <v>3850.76</v>
      </c>
      <c r="Y32" s="65">
        <v>3679.26</v>
      </c>
      <c r="Z32" s="65">
        <v>3453.83</v>
      </c>
      <c r="AA32" s="65">
        <v>3086.44</v>
      </c>
      <c r="AB32" s="65">
        <v>2665.56</v>
      </c>
      <c r="AC32" s="6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</row>
    <row r="33" spans="2:56" ht="18.649999999999999" customHeight="1" x14ac:dyDescent="0.25">
      <c r="B33" s="41" t="s">
        <v>69</v>
      </c>
      <c r="C33" s="36" t="s">
        <v>62</v>
      </c>
      <c r="D33" s="37">
        <v>5</v>
      </c>
      <c r="E33" s="65">
        <v>1809.87</v>
      </c>
      <c r="F33" s="65">
        <v>1706.76</v>
      </c>
      <c r="G33" s="65">
        <v>1571.01</v>
      </c>
      <c r="H33" s="65">
        <v>1532.47</v>
      </c>
      <c r="I33" s="65">
        <v>1511.73</v>
      </c>
      <c r="J33" s="65">
        <v>1459.05</v>
      </c>
      <c r="K33" s="65">
        <v>1247.42</v>
      </c>
      <c r="L33" s="65">
        <v>2811.8</v>
      </c>
      <c r="M33" s="65">
        <v>3038.84</v>
      </c>
      <c r="N33" s="65">
        <v>3251.12</v>
      </c>
      <c r="O33" s="65">
        <v>3412.89</v>
      </c>
      <c r="P33" s="65">
        <v>3629.81</v>
      </c>
      <c r="Q33" s="65">
        <v>3686.83</v>
      </c>
      <c r="R33" s="65">
        <v>3657.44</v>
      </c>
      <c r="S33" s="65">
        <v>3595.18</v>
      </c>
      <c r="T33" s="65">
        <v>3571.48</v>
      </c>
      <c r="U33" s="65">
        <v>3573.14</v>
      </c>
      <c r="V33" s="65">
        <v>3007.61</v>
      </c>
      <c r="W33" s="65">
        <v>3495.37</v>
      </c>
      <c r="X33" s="65">
        <v>3713.13</v>
      </c>
      <c r="Y33" s="65">
        <v>3538.02</v>
      </c>
      <c r="Z33" s="65">
        <v>3296.52</v>
      </c>
      <c r="AA33" s="65">
        <v>3031.6</v>
      </c>
      <c r="AB33" s="65">
        <v>2640.47</v>
      </c>
      <c r="AC33" s="6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</row>
    <row r="34" spans="2:56" ht="18.649999999999999" customHeight="1" x14ac:dyDescent="0.25">
      <c r="B34" s="41" t="s">
        <v>69</v>
      </c>
      <c r="C34" s="36" t="s">
        <v>63</v>
      </c>
      <c r="D34" s="37">
        <v>2</v>
      </c>
      <c r="E34" s="65">
        <v>1739.59</v>
      </c>
      <c r="F34" s="65">
        <v>1619.12</v>
      </c>
      <c r="G34" s="65">
        <v>1527.32</v>
      </c>
      <c r="H34" s="65">
        <v>1546.65</v>
      </c>
      <c r="I34" s="65">
        <v>1484.31</v>
      </c>
      <c r="J34" s="65">
        <v>1499.72</v>
      </c>
      <c r="K34" s="65">
        <v>1339.85</v>
      </c>
      <c r="L34" s="65">
        <v>2926.19</v>
      </c>
      <c r="M34" s="65">
        <v>3168.67</v>
      </c>
      <c r="N34" s="65">
        <v>3251.15</v>
      </c>
      <c r="O34" s="65">
        <v>3485.2</v>
      </c>
      <c r="P34" s="65">
        <v>3630.65</v>
      </c>
      <c r="Q34" s="65">
        <v>3674.28</v>
      </c>
      <c r="R34" s="65">
        <v>3640.44</v>
      </c>
      <c r="S34" s="65">
        <v>3630.93</v>
      </c>
      <c r="T34" s="65">
        <v>3621.82</v>
      </c>
      <c r="U34" s="65">
        <v>3534.09</v>
      </c>
      <c r="V34" s="65">
        <v>2929.4</v>
      </c>
      <c r="W34" s="65">
        <v>3420.52</v>
      </c>
      <c r="X34" s="65">
        <v>3647.32</v>
      </c>
      <c r="Y34" s="65">
        <v>3520.66</v>
      </c>
      <c r="Z34" s="65">
        <v>3238.82</v>
      </c>
      <c r="AA34" s="65">
        <v>2953.3</v>
      </c>
      <c r="AB34" s="65">
        <v>2590.94</v>
      </c>
      <c r="AC34" s="68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</row>
    <row r="35" spans="2:56" ht="18.649999999999999" customHeight="1" x14ac:dyDescent="0.25">
      <c r="B35" s="41" t="s">
        <v>70</v>
      </c>
      <c r="C35" s="36" t="s">
        <v>60</v>
      </c>
      <c r="D35" s="37">
        <v>21</v>
      </c>
      <c r="E35" s="65">
        <v>1787.2</v>
      </c>
      <c r="F35" s="65">
        <v>1694.53</v>
      </c>
      <c r="G35" s="65">
        <v>1641.47</v>
      </c>
      <c r="H35" s="65">
        <v>1633.08</v>
      </c>
      <c r="I35" s="65">
        <v>1787.47</v>
      </c>
      <c r="J35" s="65">
        <v>2280.2600000000002</v>
      </c>
      <c r="K35" s="65">
        <v>2246.9</v>
      </c>
      <c r="L35" s="65">
        <v>3708.69</v>
      </c>
      <c r="M35" s="65">
        <v>3717.17</v>
      </c>
      <c r="N35" s="65">
        <v>3766.99</v>
      </c>
      <c r="O35" s="65">
        <v>3936.72</v>
      </c>
      <c r="P35" s="65">
        <v>4091.47</v>
      </c>
      <c r="Q35" s="65">
        <v>3968.5</v>
      </c>
      <c r="R35" s="65">
        <v>4009.31</v>
      </c>
      <c r="S35" s="65">
        <v>4113.24</v>
      </c>
      <c r="T35" s="65">
        <v>4101.47</v>
      </c>
      <c r="U35" s="65">
        <v>4095.35</v>
      </c>
      <c r="V35" s="65">
        <v>3312.77</v>
      </c>
      <c r="W35" s="65">
        <v>3899.28</v>
      </c>
      <c r="X35" s="65">
        <v>4079.61</v>
      </c>
      <c r="Y35" s="65">
        <v>3918.19</v>
      </c>
      <c r="Z35" s="65">
        <v>3612.45</v>
      </c>
      <c r="AA35" s="65">
        <v>3061.37</v>
      </c>
      <c r="AB35" s="65">
        <v>2641.66</v>
      </c>
      <c r="AC35" s="66">
        <f>+SUM(E35:AB35)*D35+SUM(E36:AB36)*D36+SUM(E37:AB37)*D37+SUM(E38:AB38)*D38</f>
        <v>2338226.5099999998</v>
      </c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</row>
    <row r="36" spans="2:56" ht="18.649999999999999" customHeight="1" x14ac:dyDescent="0.25">
      <c r="B36" s="41" t="s">
        <v>70</v>
      </c>
      <c r="C36" s="36" t="s">
        <v>61</v>
      </c>
      <c r="D36" s="37">
        <v>4</v>
      </c>
      <c r="E36" s="65">
        <v>1979.4</v>
      </c>
      <c r="F36" s="65">
        <v>1837.73</v>
      </c>
      <c r="G36" s="65">
        <v>1771.57</v>
      </c>
      <c r="H36" s="65">
        <v>1745.81</v>
      </c>
      <c r="I36" s="65">
        <v>1794.51</v>
      </c>
      <c r="J36" s="65">
        <v>1882.91</v>
      </c>
      <c r="K36" s="65">
        <v>1802.89</v>
      </c>
      <c r="L36" s="65">
        <v>3575.03</v>
      </c>
      <c r="M36" s="65">
        <v>3773.62</v>
      </c>
      <c r="N36" s="65">
        <v>3940.18</v>
      </c>
      <c r="O36" s="65">
        <v>4042.4</v>
      </c>
      <c r="P36" s="65">
        <v>4194.1400000000003</v>
      </c>
      <c r="Q36" s="65">
        <v>4067.07</v>
      </c>
      <c r="R36" s="65">
        <v>3992.78</v>
      </c>
      <c r="S36" s="65">
        <v>3913.3</v>
      </c>
      <c r="T36" s="65">
        <v>3877.65</v>
      </c>
      <c r="U36" s="65">
        <v>3940.87</v>
      </c>
      <c r="V36" s="65">
        <v>3221.32</v>
      </c>
      <c r="W36" s="65">
        <v>3836.05</v>
      </c>
      <c r="X36" s="65">
        <v>3955.73</v>
      </c>
      <c r="Y36" s="65">
        <v>3753.85</v>
      </c>
      <c r="Z36" s="65">
        <v>3509.14</v>
      </c>
      <c r="AA36" s="65">
        <v>3041.16</v>
      </c>
      <c r="AB36" s="65">
        <v>2718.96</v>
      </c>
      <c r="AC36" s="6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</row>
    <row r="37" spans="2:56" ht="18.649999999999999" customHeight="1" x14ac:dyDescent="0.25">
      <c r="B37" s="41" t="s">
        <v>70</v>
      </c>
      <c r="C37" s="36" t="s">
        <v>62</v>
      </c>
      <c r="D37" s="37">
        <v>4</v>
      </c>
      <c r="E37" s="65">
        <v>1842.06</v>
      </c>
      <c r="F37" s="65">
        <v>1749.7</v>
      </c>
      <c r="G37" s="65">
        <v>1675.88</v>
      </c>
      <c r="H37" s="65">
        <v>1621.17</v>
      </c>
      <c r="I37" s="65">
        <v>1582.21</v>
      </c>
      <c r="J37" s="65">
        <v>1590.62</v>
      </c>
      <c r="K37" s="65">
        <v>1260.81</v>
      </c>
      <c r="L37" s="65">
        <v>2794.98</v>
      </c>
      <c r="M37" s="65">
        <v>3064.14</v>
      </c>
      <c r="N37" s="65">
        <v>3214.43</v>
      </c>
      <c r="O37" s="65">
        <v>3398.22</v>
      </c>
      <c r="P37" s="65">
        <v>3565.34</v>
      </c>
      <c r="Q37" s="65">
        <v>3584.13</v>
      </c>
      <c r="R37" s="65">
        <v>3642.17</v>
      </c>
      <c r="S37" s="65">
        <v>3576.65</v>
      </c>
      <c r="T37" s="65">
        <v>3537.61</v>
      </c>
      <c r="U37" s="65">
        <v>3576.05</v>
      </c>
      <c r="V37" s="65">
        <v>2910.04</v>
      </c>
      <c r="W37" s="65">
        <v>3481.03</v>
      </c>
      <c r="X37" s="65">
        <v>3670.8</v>
      </c>
      <c r="Y37" s="65">
        <v>3594.55</v>
      </c>
      <c r="Z37" s="65">
        <v>3365.07</v>
      </c>
      <c r="AA37" s="65">
        <v>2831.82</v>
      </c>
      <c r="AB37" s="65">
        <v>2505.9</v>
      </c>
      <c r="AC37" s="6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</row>
    <row r="38" spans="2:56" ht="18.649999999999999" customHeight="1" x14ac:dyDescent="0.25">
      <c r="B38" s="41" t="s">
        <v>70</v>
      </c>
      <c r="C38" s="36" t="s">
        <v>63</v>
      </c>
      <c r="D38" s="37">
        <v>2</v>
      </c>
      <c r="E38" s="65">
        <v>1754.27</v>
      </c>
      <c r="F38" s="65">
        <v>1682.32</v>
      </c>
      <c r="G38" s="65">
        <v>1585.97</v>
      </c>
      <c r="H38" s="65">
        <v>1579.19</v>
      </c>
      <c r="I38" s="65">
        <v>1595.42</v>
      </c>
      <c r="J38" s="65">
        <v>1622.66</v>
      </c>
      <c r="K38" s="65">
        <v>1429.23</v>
      </c>
      <c r="L38" s="65">
        <v>3049.72</v>
      </c>
      <c r="M38" s="65">
        <v>3251.41</v>
      </c>
      <c r="N38" s="65">
        <v>3512.67</v>
      </c>
      <c r="O38" s="65">
        <v>3749.76</v>
      </c>
      <c r="P38" s="65">
        <v>4032.13</v>
      </c>
      <c r="Q38" s="65">
        <v>3982.66</v>
      </c>
      <c r="R38" s="65">
        <v>3943.38</v>
      </c>
      <c r="S38" s="65">
        <v>3871.01</v>
      </c>
      <c r="T38" s="65">
        <v>3816.47</v>
      </c>
      <c r="U38" s="65">
        <v>3763.63</v>
      </c>
      <c r="V38" s="65">
        <v>3197.04</v>
      </c>
      <c r="W38" s="65">
        <v>3713.68</v>
      </c>
      <c r="X38" s="65">
        <v>3970.67</v>
      </c>
      <c r="Y38" s="65">
        <v>3802.92</v>
      </c>
      <c r="Z38" s="65">
        <v>3474.1</v>
      </c>
      <c r="AA38" s="65">
        <v>2961.36</v>
      </c>
      <c r="AB38" s="65">
        <v>2560.61</v>
      </c>
      <c r="AC38" s="68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</row>
    <row r="39" spans="2:56" ht="18.649999999999999" customHeight="1" x14ac:dyDescent="0.25">
      <c r="B39" s="41" t="s">
        <v>71</v>
      </c>
      <c r="C39" s="36" t="s">
        <v>60</v>
      </c>
      <c r="D39" s="37">
        <v>20</v>
      </c>
      <c r="E39" s="65">
        <v>1818.77</v>
      </c>
      <c r="F39" s="65">
        <v>1733.46</v>
      </c>
      <c r="G39" s="65">
        <v>1702.13</v>
      </c>
      <c r="H39" s="65">
        <v>1681.08</v>
      </c>
      <c r="I39" s="65">
        <v>1820.88</v>
      </c>
      <c r="J39" s="65">
        <v>2252.67</v>
      </c>
      <c r="K39" s="65">
        <v>2225.6999999999998</v>
      </c>
      <c r="L39" s="65">
        <v>3734.73</v>
      </c>
      <c r="M39" s="65">
        <v>3703.42</v>
      </c>
      <c r="N39" s="65">
        <v>3774.35</v>
      </c>
      <c r="O39" s="65">
        <v>3887.35</v>
      </c>
      <c r="P39" s="65">
        <v>4035.51</v>
      </c>
      <c r="Q39" s="65">
        <v>3979.95</v>
      </c>
      <c r="R39" s="65">
        <v>4027.63</v>
      </c>
      <c r="S39" s="65">
        <v>4145.71</v>
      </c>
      <c r="T39" s="65">
        <v>4183.51</v>
      </c>
      <c r="U39" s="65">
        <v>4165.67</v>
      </c>
      <c r="V39" s="65">
        <v>3358.69</v>
      </c>
      <c r="W39" s="65">
        <v>3956.31</v>
      </c>
      <c r="X39" s="65">
        <v>4006.84</v>
      </c>
      <c r="Y39" s="65">
        <v>3844.63</v>
      </c>
      <c r="Z39" s="65">
        <v>3506.21</v>
      </c>
      <c r="AA39" s="65">
        <v>3027.99</v>
      </c>
      <c r="AB39" s="65">
        <v>2619.4299999999998</v>
      </c>
      <c r="AC39" s="66">
        <f>+SUM(E39:AB39)*D39+SUM(E40:AB40)*D40+SUM(E41:AB41)*D41+SUM(E42:AB42)*D42</f>
        <v>2261092.9499999997</v>
      </c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</row>
    <row r="40" spans="2:56" ht="18.649999999999999" customHeight="1" x14ac:dyDescent="0.25">
      <c r="B40" s="41" t="s">
        <v>71</v>
      </c>
      <c r="C40" s="36" t="s">
        <v>61</v>
      </c>
      <c r="D40" s="37">
        <v>5</v>
      </c>
      <c r="E40" s="65">
        <v>2014.37</v>
      </c>
      <c r="F40" s="65">
        <v>1839.27</v>
      </c>
      <c r="G40" s="65">
        <v>1781.83</v>
      </c>
      <c r="H40" s="65">
        <v>1743.77</v>
      </c>
      <c r="I40" s="65">
        <v>1801.41</v>
      </c>
      <c r="J40" s="65">
        <v>1883.16</v>
      </c>
      <c r="K40" s="65">
        <v>1847.26</v>
      </c>
      <c r="L40" s="65">
        <v>3544.73</v>
      </c>
      <c r="M40" s="65">
        <v>3782.98</v>
      </c>
      <c r="N40" s="65">
        <v>3901.19</v>
      </c>
      <c r="O40" s="65">
        <v>3956.89</v>
      </c>
      <c r="P40" s="65">
        <v>4020.57</v>
      </c>
      <c r="Q40" s="65">
        <v>3988.41</v>
      </c>
      <c r="R40" s="65">
        <v>3924.47</v>
      </c>
      <c r="S40" s="65">
        <v>3890.61</v>
      </c>
      <c r="T40" s="65">
        <v>3901.55</v>
      </c>
      <c r="U40" s="65">
        <v>3985.56</v>
      </c>
      <c r="V40" s="65">
        <v>3204.91</v>
      </c>
      <c r="W40" s="65">
        <v>3753.19</v>
      </c>
      <c r="X40" s="65">
        <v>3733.35</v>
      </c>
      <c r="Y40" s="65">
        <v>3618.03</v>
      </c>
      <c r="Z40" s="65">
        <v>3289.87</v>
      </c>
      <c r="AA40" s="65">
        <v>2961.76</v>
      </c>
      <c r="AB40" s="65">
        <v>2652.91</v>
      </c>
      <c r="AC40" s="6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</row>
    <row r="41" spans="2:56" ht="18.649999999999999" customHeight="1" x14ac:dyDescent="0.25">
      <c r="B41" s="41" t="s">
        <v>71</v>
      </c>
      <c r="C41" s="36" t="s">
        <v>62</v>
      </c>
      <c r="D41" s="37">
        <v>5</v>
      </c>
      <c r="E41" s="65">
        <v>1942.94</v>
      </c>
      <c r="F41" s="65">
        <v>1833.62</v>
      </c>
      <c r="G41" s="65">
        <v>1765.49</v>
      </c>
      <c r="H41" s="65">
        <v>1703.82</v>
      </c>
      <c r="I41" s="65">
        <v>1663.17</v>
      </c>
      <c r="J41" s="65">
        <v>1587.42</v>
      </c>
      <c r="K41" s="65">
        <v>1376.59</v>
      </c>
      <c r="L41" s="65">
        <v>2918.93</v>
      </c>
      <c r="M41" s="65">
        <v>3191.47</v>
      </c>
      <c r="N41" s="65">
        <v>3312.04</v>
      </c>
      <c r="O41" s="65">
        <v>3421.08</v>
      </c>
      <c r="P41" s="65">
        <v>3504.43</v>
      </c>
      <c r="Q41" s="65">
        <v>3562.72</v>
      </c>
      <c r="R41" s="65">
        <v>3542.73</v>
      </c>
      <c r="S41" s="65">
        <v>3570.57</v>
      </c>
      <c r="T41" s="65">
        <v>3608.87</v>
      </c>
      <c r="U41" s="65">
        <v>3625.14</v>
      </c>
      <c r="V41" s="65">
        <v>3000.08</v>
      </c>
      <c r="W41" s="65">
        <v>3609.67</v>
      </c>
      <c r="X41" s="65">
        <v>3644.61</v>
      </c>
      <c r="Y41" s="65">
        <v>3566.37</v>
      </c>
      <c r="Z41" s="65">
        <v>3202.63</v>
      </c>
      <c r="AA41" s="65">
        <v>2810.52</v>
      </c>
      <c r="AB41" s="65">
        <v>2461.15</v>
      </c>
      <c r="AC41" s="6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</row>
    <row r="42" spans="2:56" ht="18.649999999999999" customHeight="1" x14ac:dyDescent="0.25">
      <c r="B42" s="41" t="s">
        <v>71</v>
      </c>
      <c r="C42" s="36" t="s">
        <v>63</v>
      </c>
      <c r="D42" s="37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8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</row>
    <row r="43" spans="2:56" ht="18.649999999999999" customHeight="1" x14ac:dyDescent="0.25">
      <c r="B43" s="41" t="s">
        <v>72</v>
      </c>
      <c r="C43" s="36" t="s">
        <v>60</v>
      </c>
      <c r="D43" s="37">
        <v>22</v>
      </c>
      <c r="E43" s="65">
        <v>1978.41</v>
      </c>
      <c r="F43" s="65">
        <v>1866.85</v>
      </c>
      <c r="G43" s="65">
        <v>1808.08</v>
      </c>
      <c r="H43" s="65">
        <v>1819.34</v>
      </c>
      <c r="I43" s="65">
        <v>1991.33</v>
      </c>
      <c r="J43" s="65">
        <v>2378.21</v>
      </c>
      <c r="K43" s="65">
        <v>2091</v>
      </c>
      <c r="L43" s="65">
        <v>3596.25</v>
      </c>
      <c r="M43" s="65">
        <v>3496.24</v>
      </c>
      <c r="N43" s="65">
        <v>3587.78</v>
      </c>
      <c r="O43" s="65">
        <v>3629.25</v>
      </c>
      <c r="P43" s="65">
        <v>3700.87</v>
      </c>
      <c r="Q43" s="65">
        <v>3646.22</v>
      </c>
      <c r="R43" s="65">
        <v>3702.99</v>
      </c>
      <c r="S43" s="65">
        <v>3945.44</v>
      </c>
      <c r="T43" s="65">
        <v>4011.54</v>
      </c>
      <c r="U43" s="65">
        <v>4092.25</v>
      </c>
      <c r="V43" s="65">
        <v>3445.89</v>
      </c>
      <c r="W43" s="65">
        <v>4148.49</v>
      </c>
      <c r="X43" s="65">
        <v>4092.97</v>
      </c>
      <c r="Y43" s="65">
        <v>3809.83</v>
      </c>
      <c r="Z43" s="65">
        <v>3560.32</v>
      </c>
      <c r="AA43" s="65">
        <v>3074.6</v>
      </c>
      <c r="AB43" s="65">
        <v>2719.83</v>
      </c>
      <c r="AC43" s="66">
        <f>+SUM(E43:AB43)*D43+SUM(E44:AB44)*D44+SUM(E45:AB45)*D45+SUM(E46:AB46)*D46</f>
        <v>2344954.2200000002</v>
      </c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</row>
    <row r="44" spans="2:56" ht="18.649999999999999" customHeight="1" x14ac:dyDescent="0.25">
      <c r="B44" s="41" t="s">
        <v>72</v>
      </c>
      <c r="C44" s="36" t="s">
        <v>61</v>
      </c>
      <c r="D44" s="37">
        <v>4</v>
      </c>
      <c r="E44" s="65">
        <v>2195.3200000000002</v>
      </c>
      <c r="F44" s="65">
        <v>2045.92</v>
      </c>
      <c r="G44" s="65">
        <v>1958.34</v>
      </c>
      <c r="H44" s="65">
        <v>1955.58</v>
      </c>
      <c r="I44" s="65">
        <v>2007.3</v>
      </c>
      <c r="J44" s="65">
        <v>2012.08</v>
      </c>
      <c r="K44" s="65">
        <v>1627.6</v>
      </c>
      <c r="L44" s="65">
        <v>3530.96</v>
      </c>
      <c r="M44" s="65">
        <v>3574.08</v>
      </c>
      <c r="N44" s="65">
        <v>3774.63</v>
      </c>
      <c r="O44" s="65">
        <v>3712.76</v>
      </c>
      <c r="P44" s="65">
        <v>3769.12</v>
      </c>
      <c r="Q44" s="65">
        <v>3757.58</v>
      </c>
      <c r="R44" s="65">
        <v>3706.26</v>
      </c>
      <c r="S44" s="65">
        <v>3855.5</v>
      </c>
      <c r="T44" s="65">
        <v>3951.24</v>
      </c>
      <c r="U44" s="65">
        <v>4016.88</v>
      </c>
      <c r="V44" s="65">
        <v>3152.77</v>
      </c>
      <c r="W44" s="65">
        <v>4266.78</v>
      </c>
      <c r="X44" s="65">
        <v>4208.71</v>
      </c>
      <c r="Y44" s="65">
        <v>4100.26</v>
      </c>
      <c r="Z44" s="65">
        <v>3915.13</v>
      </c>
      <c r="AA44" s="65">
        <v>3479.75</v>
      </c>
      <c r="AB44" s="65">
        <v>3167.26</v>
      </c>
      <c r="AC44" s="6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</row>
    <row r="45" spans="2:56" ht="18.649999999999999" customHeight="1" x14ac:dyDescent="0.25">
      <c r="B45" s="41" t="s">
        <v>72</v>
      </c>
      <c r="C45" s="36" t="s">
        <v>62</v>
      </c>
      <c r="D45" s="37">
        <v>4</v>
      </c>
      <c r="E45" s="65">
        <v>2296.87</v>
      </c>
      <c r="F45" s="65">
        <v>2202.09</v>
      </c>
      <c r="G45" s="65">
        <v>2071.13</v>
      </c>
      <c r="H45" s="65">
        <v>1980.73</v>
      </c>
      <c r="I45" s="65">
        <v>1994.1</v>
      </c>
      <c r="J45" s="65">
        <v>1834.35</v>
      </c>
      <c r="K45" s="65">
        <v>1267.3499999999999</v>
      </c>
      <c r="L45" s="65">
        <v>2865.77</v>
      </c>
      <c r="M45" s="65">
        <v>3163.04</v>
      </c>
      <c r="N45" s="65">
        <v>3494.94</v>
      </c>
      <c r="O45" s="65">
        <v>3415.08</v>
      </c>
      <c r="P45" s="65">
        <v>3499.78</v>
      </c>
      <c r="Q45" s="65">
        <v>3539.66</v>
      </c>
      <c r="R45" s="65">
        <v>3466.89</v>
      </c>
      <c r="S45" s="65">
        <v>3667.3</v>
      </c>
      <c r="T45" s="65">
        <v>3748.36</v>
      </c>
      <c r="U45" s="65">
        <v>3617.02</v>
      </c>
      <c r="V45" s="65">
        <v>3028.91</v>
      </c>
      <c r="W45" s="65">
        <v>3756.36</v>
      </c>
      <c r="X45" s="65">
        <v>3814.53</v>
      </c>
      <c r="Y45" s="65">
        <v>3652.19</v>
      </c>
      <c r="Z45" s="65">
        <v>3317.64</v>
      </c>
      <c r="AA45" s="65">
        <v>2937.61</v>
      </c>
      <c r="AB45" s="65">
        <v>2554.8200000000002</v>
      </c>
      <c r="AC45" s="6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</row>
    <row r="46" spans="2:56" ht="18.649999999999999" customHeight="1" x14ac:dyDescent="0.25">
      <c r="B46" s="41" t="s">
        <v>72</v>
      </c>
      <c r="C46" s="36" t="s">
        <v>63</v>
      </c>
      <c r="D46" s="37">
        <v>1</v>
      </c>
      <c r="E46" s="65">
        <v>1874.81</v>
      </c>
      <c r="F46" s="65">
        <v>1891.55</v>
      </c>
      <c r="G46" s="65">
        <v>1752.35</v>
      </c>
      <c r="H46" s="65">
        <v>1737.98</v>
      </c>
      <c r="I46" s="65">
        <v>1796.56</v>
      </c>
      <c r="J46" s="65">
        <v>1806.44</v>
      </c>
      <c r="K46" s="65">
        <v>1073.28</v>
      </c>
      <c r="L46" s="65">
        <v>2857.43</v>
      </c>
      <c r="M46" s="65">
        <v>2930.14</v>
      </c>
      <c r="N46" s="65">
        <v>3325.53</v>
      </c>
      <c r="O46" s="65">
        <v>3341.92</v>
      </c>
      <c r="P46" s="65">
        <v>3651.01</v>
      </c>
      <c r="Q46" s="65">
        <v>3698.38</v>
      </c>
      <c r="R46" s="65">
        <v>3758.46</v>
      </c>
      <c r="S46" s="65">
        <v>3896.51</v>
      </c>
      <c r="T46" s="65">
        <v>3732.11</v>
      </c>
      <c r="U46" s="65">
        <v>3642.93</v>
      </c>
      <c r="V46" s="65">
        <v>3402.54</v>
      </c>
      <c r="W46" s="65">
        <v>4342.1899999999996</v>
      </c>
      <c r="X46" s="65">
        <v>4257.3900000000003</v>
      </c>
      <c r="Y46" s="65">
        <v>4089.07</v>
      </c>
      <c r="Z46" s="65">
        <v>3829.65</v>
      </c>
      <c r="AA46" s="65">
        <v>3349.7</v>
      </c>
      <c r="AB46" s="65">
        <v>2935.41</v>
      </c>
      <c r="AC46" s="68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</row>
    <row r="47" spans="2:56" ht="18.649999999999999" customHeight="1" x14ac:dyDescent="0.25">
      <c r="B47" s="41" t="s">
        <v>73</v>
      </c>
      <c r="C47" s="36" t="s">
        <v>60</v>
      </c>
      <c r="D47" s="37">
        <v>20</v>
      </c>
      <c r="E47" s="65">
        <v>1884.22</v>
      </c>
      <c r="F47" s="65">
        <v>1801.26</v>
      </c>
      <c r="G47" s="65">
        <v>1803.19</v>
      </c>
      <c r="H47" s="65">
        <v>1788.41</v>
      </c>
      <c r="I47" s="65">
        <v>1995.82</v>
      </c>
      <c r="J47" s="65">
        <v>2427.5700000000002</v>
      </c>
      <c r="K47" s="65">
        <v>2253.66</v>
      </c>
      <c r="L47" s="65">
        <v>3840.18</v>
      </c>
      <c r="M47" s="65">
        <v>3730.09</v>
      </c>
      <c r="N47" s="65">
        <v>3779.95</v>
      </c>
      <c r="O47" s="65">
        <v>3842.17</v>
      </c>
      <c r="P47" s="65">
        <v>3982.02</v>
      </c>
      <c r="Q47" s="65">
        <v>3894.46</v>
      </c>
      <c r="R47" s="65">
        <v>3873.55</v>
      </c>
      <c r="S47" s="65">
        <v>4082.54</v>
      </c>
      <c r="T47" s="65">
        <v>4125.1499999999996</v>
      </c>
      <c r="U47" s="65">
        <v>4145.12</v>
      </c>
      <c r="V47" s="65">
        <v>3495.17</v>
      </c>
      <c r="W47" s="65">
        <v>4314.71</v>
      </c>
      <c r="X47" s="65">
        <v>4244.96</v>
      </c>
      <c r="Y47" s="65">
        <v>3850.58</v>
      </c>
      <c r="Z47" s="65">
        <v>3493.74</v>
      </c>
      <c r="AA47" s="65">
        <v>3067.64</v>
      </c>
      <c r="AB47" s="65">
        <v>2684.99</v>
      </c>
      <c r="AC47" s="66">
        <f>+SUM(E47:AB47)*D47+SUM(E48:AB48)*D48+SUM(E49:AB49)*D49+SUM(E50:AB50)*D50</f>
        <v>2301904.3200000003</v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</row>
    <row r="48" spans="2:56" ht="18.649999999999999" customHeight="1" x14ac:dyDescent="0.25">
      <c r="B48" s="41" t="s">
        <v>73</v>
      </c>
      <c r="C48" s="36" t="s">
        <v>61</v>
      </c>
      <c r="D48" s="37">
        <v>4</v>
      </c>
      <c r="E48" s="65">
        <v>2040.52</v>
      </c>
      <c r="F48" s="65">
        <v>1889.88</v>
      </c>
      <c r="G48" s="65">
        <v>1832.1</v>
      </c>
      <c r="H48" s="65">
        <v>1802.49</v>
      </c>
      <c r="I48" s="65">
        <v>1904.7</v>
      </c>
      <c r="J48" s="65">
        <v>1896.88</v>
      </c>
      <c r="K48" s="65">
        <v>1851.16</v>
      </c>
      <c r="L48" s="65">
        <v>3685.54</v>
      </c>
      <c r="M48" s="65">
        <v>3821.75</v>
      </c>
      <c r="N48" s="65">
        <v>3882.76</v>
      </c>
      <c r="O48" s="65">
        <v>3891.6</v>
      </c>
      <c r="P48" s="65">
        <v>3956.78</v>
      </c>
      <c r="Q48" s="65">
        <v>3811.67</v>
      </c>
      <c r="R48" s="65">
        <v>3832.25</v>
      </c>
      <c r="S48" s="65">
        <v>3913.07</v>
      </c>
      <c r="T48" s="65">
        <v>4020.81</v>
      </c>
      <c r="U48" s="65">
        <v>4035.77</v>
      </c>
      <c r="V48" s="65">
        <v>3378.05</v>
      </c>
      <c r="W48" s="65">
        <v>4085.01</v>
      </c>
      <c r="X48" s="65">
        <v>4122.1400000000003</v>
      </c>
      <c r="Y48" s="65">
        <v>3812.11</v>
      </c>
      <c r="Z48" s="65">
        <v>3552.06</v>
      </c>
      <c r="AA48" s="65">
        <v>3249.91</v>
      </c>
      <c r="AB48" s="65">
        <v>2878.37</v>
      </c>
      <c r="AC48" s="6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</row>
    <row r="49" spans="2:56" ht="18.649999999999999" customHeight="1" x14ac:dyDescent="0.25">
      <c r="B49" s="41" t="s">
        <v>73</v>
      </c>
      <c r="C49" s="36" t="s">
        <v>62</v>
      </c>
      <c r="D49" s="37">
        <v>4</v>
      </c>
      <c r="E49" s="65">
        <v>2089.98</v>
      </c>
      <c r="F49" s="65">
        <v>1976.71</v>
      </c>
      <c r="G49" s="65">
        <v>1827.63</v>
      </c>
      <c r="H49" s="65">
        <v>1842.72</v>
      </c>
      <c r="I49" s="65">
        <v>1869.03</v>
      </c>
      <c r="J49" s="65">
        <v>1746.89</v>
      </c>
      <c r="K49" s="65">
        <v>1339.24</v>
      </c>
      <c r="L49" s="65">
        <v>2859.1</v>
      </c>
      <c r="M49" s="65">
        <v>3135.9</v>
      </c>
      <c r="N49" s="65">
        <v>3274.36</v>
      </c>
      <c r="O49" s="65">
        <v>3322.01</v>
      </c>
      <c r="P49" s="65">
        <v>3670.9</v>
      </c>
      <c r="Q49" s="65">
        <v>3667.15</v>
      </c>
      <c r="R49" s="65">
        <v>3714.68</v>
      </c>
      <c r="S49" s="65">
        <v>3777.04</v>
      </c>
      <c r="T49" s="65">
        <v>3782.78</v>
      </c>
      <c r="U49" s="65">
        <v>3974.45</v>
      </c>
      <c r="V49" s="65">
        <v>3278.46</v>
      </c>
      <c r="W49" s="65">
        <v>3887.98</v>
      </c>
      <c r="X49" s="65">
        <v>3900.4</v>
      </c>
      <c r="Y49" s="65">
        <v>3675.22</v>
      </c>
      <c r="Z49" s="65">
        <v>3440.94</v>
      </c>
      <c r="AA49" s="65">
        <v>3053.57</v>
      </c>
      <c r="AB49" s="65">
        <v>2653.07</v>
      </c>
      <c r="AC49" s="6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</row>
    <row r="50" spans="2:56" ht="18.649999999999999" customHeight="1" x14ac:dyDescent="0.25">
      <c r="B50" s="41" t="s">
        <v>73</v>
      </c>
      <c r="C50" s="36" t="s">
        <v>63</v>
      </c>
      <c r="D50" s="37">
        <v>2</v>
      </c>
      <c r="E50" s="65">
        <v>1980.74</v>
      </c>
      <c r="F50" s="65">
        <v>1898.03</v>
      </c>
      <c r="G50" s="65">
        <v>1877.82</v>
      </c>
      <c r="H50" s="65">
        <v>1778.06</v>
      </c>
      <c r="I50" s="65">
        <v>1831.11</v>
      </c>
      <c r="J50" s="65">
        <v>1868.41</v>
      </c>
      <c r="K50" s="65">
        <v>1324.32</v>
      </c>
      <c r="L50" s="65">
        <v>2768.26</v>
      </c>
      <c r="M50" s="65">
        <v>3038.97</v>
      </c>
      <c r="N50" s="65">
        <v>3242.45</v>
      </c>
      <c r="O50" s="65">
        <v>3336.72</v>
      </c>
      <c r="P50" s="65">
        <v>3499.17</v>
      </c>
      <c r="Q50" s="65">
        <v>3494.05</v>
      </c>
      <c r="R50" s="65">
        <v>3572.64</v>
      </c>
      <c r="S50" s="65">
        <v>3548.33</v>
      </c>
      <c r="T50" s="65">
        <v>3503.99</v>
      </c>
      <c r="U50" s="65">
        <v>3493.63</v>
      </c>
      <c r="V50" s="65">
        <v>3199.84</v>
      </c>
      <c r="W50" s="65">
        <v>3926.64</v>
      </c>
      <c r="X50" s="65">
        <v>3863.44</v>
      </c>
      <c r="Y50" s="65">
        <v>3604.77</v>
      </c>
      <c r="Z50" s="65">
        <v>3211.83</v>
      </c>
      <c r="AA50" s="65">
        <v>2836.08</v>
      </c>
      <c r="AB50" s="65">
        <v>2426.1799999999998</v>
      </c>
      <c r="AC50" s="68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2:56" ht="18.649999999999999" customHeight="1" x14ac:dyDescent="0.25">
      <c r="B51" s="41" t="s">
        <v>74</v>
      </c>
      <c r="C51" s="36" t="s">
        <v>60</v>
      </c>
      <c r="D51" s="37">
        <v>20</v>
      </c>
      <c r="E51" s="65">
        <v>1989.45</v>
      </c>
      <c r="F51" s="65">
        <v>1860.98</v>
      </c>
      <c r="G51" s="65">
        <v>1824.67</v>
      </c>
      <c r="H51" s="65">
        <v>1812.33</v>
      </c>
      <c r="I51" s="65">
        <v>1928.41</v>
      </c>
      <c r="J51" s="65">
        <v>2152.23</v>
      </c>
      <c r="K51" s="65">
        <v>1919.38</v>
      </c>
      <c r="L51" s="65">
        <v>3654.26</v>
      </c>
      <c r="M51" s="65">
        <v>3712.84</v>
      </c>
      <c r="N51" s="65">
        <v>3769.87</v>
      </c>
      <c r="O51" s="65">
        <v>3825.1</v>
      </c>
      <c r="P51" s="65">
        <v>4027.76</v>
      </c>
      <c r="Q51" s="65">
        <v>3931.81</v>
      </c>
      <c r="R51" s="65">
        <v>3954.44</v>
      </c>
      <c r="S51" s="65">
        <v>4048.13</v>
      </c>
      <c r="T51" s="65">
        <v>4114.74</v>
      </c>
      <c r="U51" s="65">
        <v>4153</v>
      </c>
      <c r="V51" s="65">
        <v>3565.01</v>
      </c>
      <c r="W51" s="65">
        <v>4398.57</v>
      </c>
      <c r="X51" s="65">
        <v>4232.3500000000004</v>
      </c>
      <c r="Y51" s="65">
        <v>3976.46</v>
      </c>
      <c r="Z51" s="65">
        <v>3647.73</v>
      </c>
      <c r="AA51" s="65">
        <v>3274.04</v>
      </c>
      <c r="AB51" s="65">
        <v>2888.03</v>
      </c>
      <c r="AC51" s="66">
        <f>+SUM(E51:AB51)*D51+SUM(E52:AB52)*D52+SUM(E53:AB53)*D53+SUM(E54:AB54)*D54</f>
        <v>2359416.5999999996</v>
      </c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2:56" ht="18.649999999999999" customHeight="1" x14ac:dyDescent="0.25">
      <c r="B52" s="41" t="s">
        <v>74</v>
      </c>
      <c r="C52" s="36" t="s">
        <v>61</v>
      </c>
      <c r="D52" s="37">
        <v>4</v>
      </c>
      <c r="E52" s="65">
        <v>2206.48</v>
      </c>
      <c r="F52" s="65">
        <v>2033.61</v>
      </c>
      <c r="G52" s="65">
        <v>1954.4</v>
      </c>
      <c r="H52" s="65">
        <v>1934.28</v>
      </c>
      <c r="I52" s="65">
        <v>1967.13</v>
      </c>
      <c r="J52" s="65">
        <v>2082.6999999999998</v>
      </c>
      <c r="K52" s="65">
        <v>1777.63</v>
      </c>
      <c r="L52" s="65">
        <v>3676.3</v>
      </c>
      <c r="M52" s="65">
        <v>3872.51</v>
      </c>
      <c r="N52" s="65">
        <v>3970.82</v>
      </c>
      <c r="O52" s="65">
        <v>3961.98</v>
      </c>
      <c r="P52" s="65">
        <v>3969.22</v>
      </c>
      <c r="Q52" s="65">
        <v>4036.73</v>
      </c>
      <c r="R52" s="65">
        <v>3913.54</v>
      </c>
      <c r="S52" s="65">
        <v>3800.08</v>
      </c>
      <c r="T52" s="65">
        <v>3861.78</v>
      </c>
      <c r="U52" s="65">
        <v>3917.57</v>
      </c>
      <c r="V52" s="65">
        <v>3288.5</v>
      </c>
      <c r="W52" s="65">
        <v>4049.42</v>
      </c>
      <c r="X52" s="65">
        <v>3930.59</v>
      </c>
      <c r="Y52" s="65">
        <v>3665.67</v>
      </c>
      <c r="Z52" s="65">
        <v>3328.75</v>
      </c>
      <c r="AA52" s="65">
        <v>3101.68</v>
      </c>
      <c r="AB52" s="65">
        <v>2891.05</v>
      </c>
      <c r="AC52" s="6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2:56" ht="18.649999999999999" customHeight="1" x14ac:dyDescent="0.25">
      <c r="B53" s="41" t="s">
        <v>74</v>
      </c>
      <c r="C53" s="36" t="s">
        <v>62</v>
      </c>
      <c r="D53" s="37">
        <v>5</v>
      </c>
      <c r="E53" s="65">
        <v>2158.81</v>
      </c>
      <c r="F53" s="65">
        <v>2028.73</v>
      </c>
      <c r="G53" s="65">
        <v>1907.3</v>
      </c>
      <c r="H53" s="65">
        <v>1886.24</v>
      </c>
      <c r="I53" s="65">
        <v>1808.77</v>
      </c>
      <c r="J53" s="65">
        <v>1746.54</v>
      </c>
      <c r="K53" s="65">
        <v>1242.2</v>
      </c>
      <c r="L53" s="65">
        <v>2666.65</v>
      </c>
      <c r="M53" s="65">
        <v>2951.14</v>
      </c>
      <c r="N53" s="65">
        <v>3113.27</v>
      </c>
      <c r="O53" s="65">
        <v>3193.87</v>
      </c>
      <c r="P53" s="65">
        <v>3312.54</v>
      </c>
      <c r="Q53" s="65">
        <v>3493.85</v>
      </c>
      <c r="R53" s="65">
        <v>3515.33</v>
      </c>
      <c r="S53" s="65">
        <v>3563.8</v>
      </c>
      <c r="T53" s="65">
        <v>3530.53</v>
      </c>
      <c r="U53" s="65">
        <v>3482.18</v>
      </c>
      <c r="V53" s="65">
        <v>2895.59</v>
      </c>
      <c r="W53" s="65">
        <v>3759.66</v>
      </c>
      <c r="X53" s="65">
        <v>3923.5</v>
      </c>
      <c r="Y53" s="65">
        <v>3932.66</v>
      </c>
      <c r="Z53" s="65">
        <v>3699.4</v>
      </c>
      <c r="AA53" s="65">
        <v>3163.15</v>
      </c>
      <c r="AB53" s="65">
        <v>2576.9299999999998</v>
      </c>
      <c r="AC53" s="6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2:56" ht="18.649999999999999" customHeight="1" x14ac:dyDescent="0.25">
      <c r="B54" s="41" t="s">
        <v>74</v>
      </c>
      <c r="C54" s="36" t="s">
        <v>63</v>
      </c>
      <c r="D54" s="37">
        <v>2</v>
      </c>
      <c r="E54" s="65">
        <v>2273.4899999999998</v>
      </c>
      <c r="F54" s="65">
        <v>2197.39</v>
      </c>
      <c r="G54" s="65">
        <v>2054.35</v>
      </c>
      <c r="H54" s="65">
        <v>1886</v>
      </c>
      <c r="I54" s="65">
        <v>1788.98</v>
      </c>
      <c r="J54" s="65">
        <v>1632.66</v>
      </c>
      <c r="K54" s="65">
        <v>1006.93</v>
      </c>
      <c r="L54" s="65">
        <v>2427.9899999999998</v>
      </c>
      <c r="M54" s="65">
        <v>2617.19</v>
      </c>
      <c r="N54" s="65">
        <v>2677.53</v>
      </c>
      <c r="O54" s="65">
        <v>2777.34</v>
      </c>
      <c r="P54" s="65">
        <v>2895.8</v>
      </c>
      <c r="Q54" s="65">
        <v>3029.36</v>
      </c>
      <c r="R54" s="65">
        <v>3127.97</v>
      </c>
      <c r="S54" s="65">
        <v>3162.98</v>
      </c>
      <c r="T54" s="65">
        <v>3240.32</v>
      </c>
      <c r="U54" s="65">
        <v>3349.73</v>
      </c>
      <c r="V54" s="65">
        <v>2749.94</v>
      </c>
      <c r="W54" s="65">
        <v>3671.08</v>
      </c>
      <c r="X54" s="65">
        <v>3733.89</v>
      </c>
      <c r="Y54" s="65">
        <v>3646.89</v>
      </c>
      <c r="Z54" s="65">
        <v>3396.98</v>
      </c>
      <c r="AA54" s="65">
        <v>2921.97</v>
      </c>
      <c r="AB54" s="65">
        <v>2559.1999999999998</v>
      </c>
      <c r="AC54" s="68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  <row r="55" spans="2:56" ht="18.649999999999999" customHeight="1" x14ac:dyDescent="0.2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70" t="s">
        <v>75</v>
      </c>
      <c r="AA55" s="70"/>
      <c r="AB55" s="70"/>
      <c r="AC55" s="71">
        <f>SUM(AC7:AC54)</f>
        <v>26732281.75</v>
      </c>
    </row>
    <row r="56" spans="2:56" x14ac:dyDescent="0.25">
      <c r="AC56" s="72"/>
    </row>
    <row r="61" spans="2:56" x14ac:dyDescent="0.25">
      <c r="G61" s="31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2:AC2"/>
    <mergeCell ref="B3:AC3"/>
    <mergeCell ref="B4:AC4"/>
    <mergeCell ref="B7:B10"/>
    <mergeCell ref="AC7:AC10"/>
    <mergeCell ref="B11:B14"/>
    <mergeCell ref="AC11:A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27B5-6ACB-4292-9D94-FB4120233F4D}">
  <dimension ref="B1:BD57"/>
  <sheetViews>
    <sheetView showGridLines="0" topLeftCell="A2" zoomScale="70" zoomScaleNormal="70" workbookViewId="0">
      <selection activeCell="I13" sqref="I13"/>
    </sheetView>
  </sheetViews>
  <sheetFormatPr baseColWidth="10" defaultColWidth="11.453125" defaultRowHeight="11.5" x14ac:dyDescent="0.25"/>
  <cols>
    <col min="1" max="1" width="7.26953125" style="31" customWidth="1"/>
    <col min="2" max="2" width="6.26953125" style="31" bestFit="1" customWidth="1"/>
    <col min="3" max="3" width="11.1796875" style="31" customWidth="1"/>
    <col min="4" max="4" width="7" style="31" customWidth="1"/>
    <col min="5" max="8" width="9.7265625" style="31" bestFit="1" customWidth="1"/>
    <col min="9" max="9" width="9.453125" style="31" bestFit="1" customWidth="1"/>
    <col min="10" max="27" width="9.7265625" style="31" bestFit="1" customWidth="1"/>
    <col min="28" max="28" width="10.1796875" style="31" bestFit="1" customWidth="1"/>
    <col min="29" max="29" width="14" style="31" bestFit="1" customWidth="1"/>
    <col min="30" max="30" width="7.1796875" style="31" customWidth="1"/>
    <col min="31" max="31" width="9.1796875" style="31" bestFit="1" customWidth="1"/>
    <col min="32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56" ht="18.649999999999999" customHeight="1" x14ac:dyDescent="0.25"/>
    <row r="2" spans="2:56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56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56" ht="18.649999999999999" customHeight="1" x14ac:dyDescent="0.25">
      <c r="B4" s="49">
        <v>2030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56" ht="18.649999999999999" customHeight="1" x14ac:dyDescent="0.25"/>
    <row r="6" spans="2:56" ht="15.5" x14ac:dyDescent="0.25">
      <c r="B6" s="33" t="s">
        <v>31</v>
      </c>
      <c r="C6" s="34" t="s">
        <v>32</v>
      </c>
      <c r="D6" s="33" t="s">
        <v>33</v>
      </c>
      <c r="E6" s="64" t="s">
        <v>34</v>
      </c>
      <c r="F6" s="64" t="s">
        <v>35</v>
      </c>
      <c r="G6" s="64" t="s">
        <v>36</v>
      </c>
      <c r="H6" s="64" t="s">
        <v>37</v>
      </c>
      <c r="I6" s="64" t="s">
        <v>38</v>
      </c>
      <c r="J6" s="64" t="s">
        <v>39</v>
      </c>
      <c r="K6" s="64" t="s">
        <v>40</v>
      </c>
      <c r="L6" s="64" t="s">
        <v>41</v>
      </c>
      <c r="M6" s="64" t="s">
        <v>42</v>
      </c>
      <c r="N6" s="64" t="s">
        <v>43</v>
      </c>
      <c r="O6" s="64" t="s">
        <v>44</v>
      </c>
      <c r="P6" s="64" t="s">
        <v>45</v>
      </c>
      <c r="Q6" s="64" t="s">
        <v>46</v>
      </c>
      <c r="R6" s="64" t="s">
        <v>47</v>
      </c>
      <c r="S6" s="64" t="s">
        <v>48</v>
      </c>
      <c r="T6" s="64" t="s">
        <v>49</v>
      </c>
      <c r="U6" s="64" t="s">
        <v>50</v>
      </c>
      <c r="V6" s="64" t="s">
        <v>51</v>
      </c>
      <c r="W6" s="64" t="s">
        <v>52</v>
      </c>
      <c r="X6" s="64" t="s">
        <v>53</v>
      </c>
      <c r="Y6" s="64" t="s">
        <v>54</v>
      </c>
      <c r="Z6" s="64" t="s">
        <v>55</v>
      </c>
      <c r="AA6" s="64" t="s">
        <v>56</v>
      </c>
      <c r="AB6" s="64" t="s">
        <v>57</v>
      </c>
      <c r="AC6" s="64" t="s">
        <v>58</v>
      </c>
      <c r="AE6" s="31">
        <v>1000</v>
      </c>
    </row>
    <row r="7" spans="2:56" ht="18.649999999999999" customHeight="1" x14ac:dyDescent="0.25">
      <c r="B7" s="41" t="s">
        <v>59</v>
      </c>
      <c r="C7" s="36" t="s">
        <v>60</v>
      </c>
      <c r="D7" s="37">
        <v>21</v>
      </c>
      <c r="E7" s="73">
        <v>2539.0300000000002</v>
      </c>
      <c r="F7" s="73">
        <v>2353.13</v>
      </c>
      <c r="G7" s="73">
        <v>2249.0500000000002</v>
      </c>
      <c r="H7" s="73">
        <v>2238.56</v>
      </c>
      <c r="I7" s="73">
        <v>2434.64</v>
      </c>
      <c r="J7" s="73">
        <v>3061.71</v>
      </c>
      <c r="K7" s="73">
        <v>3654.15</v>
      </c>
      <c r="L7" s="73">
        <v>5552.83</v>
      </c>
      <c r="M7" s="73">
        <v>5672.47</v>
      </c>
      <c r="N7" s="73">
        <v>5811.82</v>
      </c>
      <c r="O7" s="73">
        <v>6125.53</v>
      </c>
      <c r="P7" s="73">
        <v>6418.21</v>
      </c>
      <c r="Q7" s="73">
        <v>6293.17</v>
      </c>
      <c r="R7" s="73">
        <v>6249.2</v>
      </c>
      <c r="S7" s="73">
        <v>6299.81</v>
      </c>
      <c r="T7" s="73">
        <v>6275.76</v>
      </c>
      <c r="U7" s="73">
        <v>6350.14</v>
      </c>
      <c r="V7" s="73">
        <v>5818.87</v>
      </c>
      <c r="W7" s="73">
        <v>6182.06</v>
      </c>
      <c r="X7" s="73">
        <v>6411.84</v>
      </c>
      <c r="Y7" s="73">
        <v>6100.19</v>
      </c>
      <c r="Z7" s="73">
        <v>5473.53</v>
      </c>
      <c r="AA7" s="73">
        <v>4535.1000000000004</v>
      </c>
      <c r="AB7" s="73">
        <v>3830.8</v>
      </c>
      <c r="AC7" s="66">
        <f>+SUM(E7:AB7)*D7+SUM(E8:AB8)*D8+SUM(E9:AB9)*D9+SUM(E10:AB10)*D10</f>
        <v>3544297.4</v>
      </c>
      <c r="AE7" s="31">
        <f>((+AC7)*1000)/1000</f>
        <v>3544297.4</v>
      </c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</row>
    <row r="8" spans="2:56" ht="18.649999999999999" customHeight="1" x14ac:dyDescent="0.25">
      <c r="B8" s="41" t="s">
        <v>59</v>
      </c>
      <c r="C8" s="36" t="s">
        <v>61</v>
      </c>
      <c r="D8" s="37">
        <v>4</v>
      </c>
      <c r="E8" s="73">
        <v>2721.33</v>
      </c>
      <c r="F8" s="73">
        <v>2440.89</v>
      </c>
      <c r="G8" s="73">
        <v>2362.9299999999998</v>
      </c>
      <c r="H8" s="73">
        <v>2342.0300000000002</v>
      </c>
      <c r="I8" s="73">
        <v>2376.02</v>
      </c>
      <c r="J8" s="73">
        <v>2592.41</v>
      </c>
      <c r="K8" s="73">
        <v>3084.79</v>
      </c>
      <c r="L8" s="73">
        <v>5216.2700000000004</v>
      </c>
      <c r="M8" s="73">
        <v>5596.95</v>
      </c>
      <c r="N8" s="73">
        <v>5880.55</v>
      </c>
      <c r="O8" s="73">
        <v>6063.73</v>
      </c>
      <c r="P8" s="73">
        <v>6226.25</v>
      </c>
      <c r="Q8" s="73">
        <v>6376.19</v>
      </c>
      <c r="R8" s="73">
        <v>6235.49</v>
      </c>
      <c r="S8" s="73">
        <v>6202.91</v>
      </c>
      <c r="T8" s="73">
        <v>5784.8</v>
      </c>
      <c r="U8" s="73">
        <v>6003.55</v>
      </c>
      <c r="V8" s="73">
        <v>5455.66</v>
      </c>
      <c r="W8" s="73">
        <v>5898.1</v>
      </c>
      <c r="X8" s="73">
        <v>6037.83</v>
      </c>
      <c r="Y8" s="73">
        <v>5727.13</v>
      </c>
      <c r="Z8" s="73">
        <v>5285.94</v>
      </c>
      <c r="AA8" s="73">
        <v>4642.99</v>
      </c>
      <c r="AB8" s="73">
        <v>4052.77</v>
      </c>
      <c r="AC8" s="67"/>
      <c r="AE8" s="31">
        <f>((+AC11)*1000)/1000</f>
        <v>3287879.9999999995</v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</row>
    <row r="9" spans="2:56" ht="18.649999999999999" customHeight="1" x14ac:dyDescent="0.25">
      <c r="B9" s="41" t="s">
        <v>59</v>
      </c>
      <c r="C9" s="36" t="s">
        <v>62</v>
      </c>
      <c r="D9" s="37">
        <v>4</v>
      </c>
      <c r="E9" s="73">
        <v>2795.47</v>
      </c>
      <c r="F9" s="73">
        <v>2522.41</v>
      </c>
      <c r="G9" s="73">
        <v>2312.83</v>
      </c>
      <c r="H9" s="73">
        <v>2209.29</v>
      </c>
      <c r="I9" s="73">
        <v>2127.7399999999998</v>
      </c>
      <c r="J9" s="73">
        <v>2159.0100000000002</v>
      </c>
      <c r="K9" s="73">
        <v>2363.86</v>
      </c>
      <c r="L9" s="73">
        <v>4195.29</v>
      </c>
      <c r="M9" s="73">
        <v>4614.6899999999996</v>
      </c>
      <c r="N9" s="73">
        <v>4915.8599999999997</v>
      </c>
      <c r="O9" s="73">
        <v>5162.57</v>
      </c>
      <c r="P9" s="73">
        <v>5458.92</v>
      </c>
      <c r="Q9" s="73">
        <v>5559.24</v>
      </c>
      <c r="R9" s="73">
        <v>5599.85</v>
      </c>
      <c r="S9" s="73">
        <v>5428.2</v>
      </c>
      <c r="T9" s="73">
        <v>5406.51</v>
      </c>
      <c r="U9" s="73">
        <v>5516.43</v>
      </c>
      <c r="V9" s="73">
        <v>5009.1099999999997</v>
      </c>
      <c r="W9" s="73">
        <v>5590.66</v>
      </c>
      <c r="X9" s="73">
        <v>5840.58</v>
      </c>
      <c r="Y9" s="73">
        <v>5599.22</v>
      </c>
      <c r="Z9" s="73">
        <v>4969.18</v>
      </c>
      <c r="AA9" s="73">
        <v>4200.51</v>
      </c>
      <c r="AB9" s="73">
        <v>3500.97</v>
      </c>
      <c r="AC9" s="67"/>
      <c r="AE9" s="31">
        <f>((+AC15)*1000)/1000</f>
        <v>3422352.5300000003</v>
      </c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</row>
    <row r="10" spans="2:56" ht="18.649999999999999" customHeight="1" x14ac:dyDescent="0.25">
      <c r="B10" s="41" t="s">
        <v>59</v>
      </c>
      <c r="C10" s="36" t="s">
        <v>63</v>
      </c>
      <c r="D10" s="37">
        <v>2</v>
      </c>
      <c r="E10" s="73">
        <v>2783.78</v>
      </c>
      <c r="F10" s="73">
        <v>2665.03</v>
      </c>
      <c r="G10" s="73">
        <v>2492.5300000000002</v>
      </c>
      <c r="H10" s="73">
        <v>2359.94</v>
      </c>
      <c r="I10" s="73">
        <v>2240.2600000000002</v>
      </c>
      <c r="J10" s="73">
        <v>2147.02</v>
      </c>
      <c r="K10" s="73">
        <v>2101.89</v>
      </c>
      <c r="L10" s="73">
        <v>3727.39</v>
      </c>
      <c r="M10" s="73">
        <v>3988.72</v>
      </c>
      <c r="N10" s="73">
        <v>4371.53</v>
      </c>
      <c r="O10" s="73">
        <v>4618.8999999999996</v>
      </c>
      <c r="P10" s="73">
        <v>4905.3900000000003</v>
      </c>
      <c r="Q10" s="73">
        <v>5215.7</v>
      </c>
      <c r="R10" s="73">
        <v>5426.47</v>
      </c>
      <c r="S10" s="73">
        <v>5170.26</v>
      </c>
      <c r="T10" s="73">
        <v>5199.04</v>
      </c>
      <c r="U10" s="73">
        <v>5361.5</v>
      </c>
      <c r="V10" s="73">
        <v>5013.7</v>
      </c>
      <c r="W10" s="73">
        <v>5435.51</v>
      </c>
      <c r="X10" s="73">
        <v>5577.82</v>
      </c>
      <c r="Y10" s="73">
        <v>5304.45</v>
      </c>
      <c r="Z10" s="73">
        <v>4757.83</v>
      </c>
      <c r="AA10" s="73">
        <v>4145.96</v>
      </c>
      <c r="AB10" s="73">
        <v>3524.46</v>
      </c>
      <c r="AC10" s="68"/>
      <c r="AE10" s="31">
        <f>((+AC19)*1000)/1000</f>
        <v>3496238.34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</row>
    <row r="11" spans="2:56" ht="18.649999999999999" customHeight="1" x14ac:dyDescent="0.25">
      <c r="B11" s="41" t="s">
        <v>64</v>
      </c>
      <c r="C11" s="36" t="s">
        <v>60</v>
      </c>
      <c r="D11" s="37">
        <v>20</v>
      </c>
      <c r="E11" s="73">
        <v>2374.5</v>
      </c>
      <c r="F11" s="73">
        <v>2337.96</v>
      </c>
      <c r="G11" s="73">
        <v>2200.6999999999998</v>
      </c>
      <c r="H11" s="73">
        <v>2296.1999999999998</v>
      </c>
      <c r="I11" s="73">
        <v>2364.87</v>
      </c>
      <c r="J11" s="73">
        <v>3542.66</v>
      </c>
      <c r="K11" s="73">
        <v>4313.4399999999996</v>
      </c>
      <c r="L11" s="73">
        <v>6021.52</v>
      </c>
      <c r="M11" s="73">
        <v>5961</v>
      </c>
      <c r="N11" s="73">
        <v>5995.02</v>
      </c>
      <c r="O11" s="73">
        <v>6199.6</v>
      </c>
      <c r="P11" s="73">
        <v>6412.8</v>
      </c>
      <c r="Q11" s="73">
        <v>6232.38</v>
      </c>
      <c r="R11" s="73">
        <v>6185.7</v>
      </c>
      <c r="S11" s="73">
        <v>6332.49</v>
      </c>
      <c r="T11" s="73">
        <v>6425.69</v>
      </c>
      <c r="U11" s="73">
        <v>6431.97</v>
      </c>
      <c r="V11" s="73">
        <v>5726.2</v>
      </c>
      <c r="W11" s="73">
        <v>6259.36</v>
      </c>
      <c r="X11" s="73">
        <v>6353.91</v>
      </c>
      <c r="Y11" s="73">
        <v>6006.4</v>
      </c>
      <c r="Z11" s="73">
        <v>5428.78</v>
      </c>
      <c r="AA11" s="73">
        <v>4502.24</v>
      </c>
      <c r="AB11" s="73">
        <v>3705.3</v>
      </c>
      <c r="AC11" s="66">
        <f>+SUM(E11:AB11)*D11+SUM(E12:AB12)*D12+SUM(E13:AB13)*D13+SUM(E14:AB14)*D14</f>
        <v>3287879.9999999995</v>
      </c>
      <c r="AE11" s="31">
        <f>((+AC23)*1000)/1000</f>
        <v>3494765.5300000007</v>
      </c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</row>
    <row r="12" spans="2:56" ht="18.649999999999999" customHeight="1" x14ac:dyDescent="0.25">
      <c r="B12" s="41" t="s">
        <v>64</v>
      </c>
      <c r="C12" s="36" t="s">
        <v>61</v>
      </c>
      <c r="D12" s="37">
        <v>4</v>
      </c>
      <c r="E12" s="73">
        <v>2747.66</v>
      </c>
      <c r="F12" s="73">
        <v>2565.88</v>
      </c>
      <c r="G12" s="73">
        <v>2460.9299999999998</v>
      </c>
      <c r="H12" s="73">
        <v>2375.14</v>
      </c>
      <c r="I12" s="73">
        <v>2450.9499999999998</v>
      </c>
      <c r="J12" s="73">
        <v>2666.23</v>
      </c>
      <c r="K12" s="73">
        <v>3302.37</v>
      </c>
      <c r="L12" s="73">
        <v>5582</v>
      </c>
      <c r="M12" s="73">
        <v>5931.81</v>
      </c>
      <c r="N12" s="73">
        <v>6107.58</v>
      </c>
      <c r="O12" s="73">
        <v>6257.45</v>
      </c>
      <c r="P12" s="73">
        <v>6436.3</v>
      </c>
      <c r="Q12" s="73">
        <v>6293.6</v>
      </c>
      <c r="R12" s="73">
        <v>6128.1</v>
      </c>
      <c r="S12" s="73">
        <v>6078.64</v>
      </c>
      <c r="T12" s="73">
        <v>6050.99</v>
      </c>
      <c r="U12" s="73">
        <v>6179</v>
      </c>
      <c r="V12" s="73">
        <v>5673.03</v>
      </c>
      <c r="W12" s="73">
        <v>6056.71</v>
      </c>
      <c r="X12" s="73">
        <v>6224.58</v>
      </c>
      <c r="Y12" s="73">
        <v>5919.92</v>
      </c>
      <c r="Z12" s="73">
        <v>5289.8</v>
      </c>
      <c r="AA12" s="73">
        <v>4569.34</v>
      </c>
      <c r="AB12" s="73">
        <v>3849.09</v>
      </c>
      <c r="AC12" s="67"/>
      <c r="AE12" s="31">
        <f>((+AC27)*1000)/1000</f>
        <v>3445023.3000000003</v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</row>
    <row r="13" spans="2:56" ht="18.649999999999999" customHeight="1" x14ac:dyDescent="0.25">
      <c r="B13" s="41" t="s">
        <v>64</v>
      </c>
      <c r="C13" s="36" t="s">
        <v>62</v>
      </c>
      <c r="D13" s="37">
        <v>4</v>
      </c>
      <c r="E13" s="73">
        <v>2754.34</v>
      </c>
      <c r="F13" s="73">
        <v>2539.14</v>
      </c>
      <c r="G13" s="73">
        <v>2364.14</v>
      </c>
      <c r="H13" s="73">
        <v>2278.7399999999998</v>
      </c>
      <c r="I13" s="73">
        <v>2281.98</v>
      </c>
      <c r="J13" s="73">
        <v>2290.67</v>
      </c>
      <c r="K13" s="73">
        <v>2499.42</v>
      </c>
      <c r="L13" s="73">
        <v>4457.32</v>
      </c>
      <c r="M13" s="73">
        <v>4969.71</v>
      </c>
      <c r="N13" s="73">
        <v>5298.35</v>
      </c>
      <c r="O13" s="73">
        <v>5348.97</v>
      </c>
      <c r="P13" s="73">
        <v>5696.8</v>
      </c>
      <c r="Q13" s="73">
        <v>5941.37</v>
      </c>
      <c r="R13" s="73">
        <v>5963.99</v>
      </c>
      <c r="S13" s="73">
        <v>5785.19</v>
      </c>
      <c r="T13" s="73">
        <v>6065.74</v>
      </c>
      <c r="U13" s="73">
        <v>5515.65</v>
      </c>
      <c r="V13" s="73">
        <v>5086.28</v>
      </c>
      <c r="W13" s="73">
        <v>6001.14</v>
      </c>
      <c r="X13" s="73">
        <v>5640.61</v>
      </c>
      <c r="Y13" s="73">
        <v>5493.11</v>
      </c>
      <c r="Z13" s="73">
        <v>4937.04</v>
      </c>
      <c r="AA13" s="73">
        <v>4086.99</v>
      </c>
      <c r="AB13" s="73">
        <v>3422.76</v>
      </c>
      <c r="AC13" s="67"/>
      <c r="AE13" s="31">
        <f>((+AC31)*1000)/1000</f>
        <v>3546771.88</v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</row>
    <row r="14" spans="2:56" ht="18.649999999999999" customHeight="1" x14ac:dyDescent="0.25">
      <c r="B14" s="41" t="s">
        <v>64</v>
      </c>
      <c r="C14" s="36" t="s">
        <v>63</v>
      </c>
      <c r="D14" s="37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68"/>
      <c r="AE14" s="31">
        <f>((+AC35)*1000)/1000</f>
        <v>3671599.6400000006</v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</row>
    <row r="15" spans="2:56" ht="18.649999999999999" customHeight="1" x14ac:dyDescent="0.25">
      <c r="B15" s="41" t="s">
        <v>65</v>
      </c>
      <c r="C15" s="36" t="s">
        <v>60</v>
      </c>
      <c r="D15" s="37">
        <v>20</v>
      </c>
      <c r="E15" s="73">
        <v>2292.2399999999998</v>
      </c>
      <c r="F15" s="73">
        <v>2143.89</v>
      </c>
      <c r="G15" s="73">
        <v>2092.98</v>
      </c>
      <c r="H15" s="73">
        <v>2091.1999999999998</v>
      </c>
      <c r="I15" s="73">
        <v>2410.5500000000002</v>
      </c>
      <c r="J15" s="73">
        <v>3366.95</v>
      </c>
      <c r="K15" s="73">
        <v>3975.09</v>
      </c>
      <c r="L15" s="73">
        <v>5470</v>
      </c>
      <c r="M15" s="73">
        <v>5393.09</v>
      </c>
      <c r="N15" s="73">
        <v>5449.54</v>
      </c>
      <c r="O15" s="73">
        <v>5536.34</v>
      </c>
      <c r="P15" s="73">
        <v>5943.93</v>
      </c>
      <c r="Q15" s="73">
        <v>5827.81</v>
      </c>
      <c r="R15" s="73">
        <v>5754.48</v>
      </c>
      <c r="S15" s="73">
        <v>5909.78</v>
      </c>
      <c r="T15" s="73">
        <v>5962.06</v>
      </c>
      <c r="U15" s="73">
        <v>5866.92</v>
      </c>
      <c r="V15" s="73">
        <v>5424.93</v>
      </c>
      <c r="W15" s="73">
        <v>5979.14</v>
      </c>
      <c r="X15" s="73">
        <v>6160.05</v>
      </c>
      <c r="Y15" s="73">
        <v>5887.98</v>
      </c>
      <c r="Z15" s="73">
        <v>5115.49</v>
      </c>
      <c r="AA15" s="73">
        <v>4345.16</v>
      </c>
      <c r="AB15" s="73">
        <v>3533.82</v>
      </c>
      <c r="AC15" s="66">
        <f>+SUM(E15:AB15)*D15+SUM(E16:AB16)*D16+SUM(E17:AB17)*D17+SUM(E18:AB18)*D18</f>
        <v>3422352.5300000003</v>
      </c>
      <c r="AE15" s="31">
        <f>((+AC39)*1000)/1000</f>
        <v>3556916.3999999994</v>
      </c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</row>
    <row r="16" spans="2:56" ht="18.649999999999999" customHeight="1" x14ac:dyDescent="0.25">
      <c r="B16" s="41" t="s">
        <v>65</v>
      </c>
      <c r="C16" s="36" t="s">
        <v>61</v>
      </c>
      <c r="D16" s="37">
        <v>5</v>
      </c>
      <c r="E16" s="73">
        <v>2209.2399999999998</v>
      </c>
      <c r="F16" s="73">
        <v>2312.12</v>
      </c>
      <c r="G16" s="73">
        <v>2229.3000000000002</v>
      </c>
      <c r="H16" s="73">
        <v>2182.4899999999998</v>
      </c>
      <c r="I16" s="73">
        <v>2306.33</v>
      </c>
      <c r="J16" s="73">
        <v>2603.87</v>
      </c>
      <c r="K16" s="73">
        <v>3206.14</v>
      </c>
      <c r="L16" s="73">
        <v>5351.54</v>
      </c>
      <c r="M16" s="73">
        <v>5658.86</v>
      </c>
      <c r="N16" s="73">
        <v>5876.46</v>
      </c>
      <c r="O16" s="73">
        <v>5964.53</v>
      </c>
      <c r="P16" s="73">
        <v>5986.44</v>
      </c>
      <c r="Q16" s="73">
        <v>6020.76</v>
      </c>
      <c r="R16" s="73">
        <v>5865.61</v>
      </c>
      <c r="S16" s="73">
        <v>5855.59</v>
      </c>
      <c r="T16" s="73">
        <v>5880.59</v>
      </c>
      <c r="U16" s="73">
        <v>5865.66</v>
      </c>
      <c r="V16" s="73">
        <v>5403.07</v>
      </c>
      <c r="W16" s="73">
        <v>5695.48</v>
      </c>
      <c r="X16" s="73">
        <v>6086.62</v>
      </c>
      <c r="Y16" s="73">
        <v>5830.05</v>
      </c>
      <c r="Z16" s="73">
        <v>5308.4</v>
      </c>
      <c r="AA16" s="73">
        <v>4626.33</v>
      </c>
      <c r="AB16" s="73">
        <v>3924.21</v>
      </c>
      <c r="AC16" s="67"/>
      <c r="AE16" s="31">
        <f>((+AC43)*1000)/1000</f>
        <v>3679663.54</v>
      </c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</row>
    <row r="17" spans="2:56" ht="18.649999999999999" customHeight="1" x14ac:dyDescent="0.25">
      <c r="B17" s="41" t="s">
        <v>65</v>
      </c>
      <c r="C17" s="36" t="s">
        <v>62</v>
      </c>
      <c r="D17" s="37">
        <v>5</v>
      </c>
      <c r="E17" s="73">
        <v>2672.4</v>
      </c>
      <c r="F17" s="73">
        <v>2498.63</v>
      </c>
      <c r="G17" s="73">
        <v>2270.06</v>
      </c>
      <c r="H17" s="73">
        <v>2320.81</v>
      </c>
      <c r="I17" s="73">
        <v>2327.48</v>
      </c>
      <c r="J17" s="73">
        <v>1889.31</v>
      </c>
      <c r="K17" s="73">
        <v>2354.84</v>
      </c>
      <c r="L17" s="73">
        <v>4197.25</v>
      </c>
      <c r="M17" s="73">
        <v>4625.8900000000003</v>
      </c>
      <c r="N17" s="73">
        <v>4775.32</v>
      </c>
      <c r="O17" s="73">
        <v>5073.3999999999996</v>
      </c>
      <c r="P17" s="73">
        <v>5426.72</v>
      </c>
      <c r="Q17" s="73">
        <v>5393.64</v>
      </c>
      <c r="R17" s="73">
        <v>5468.14</v>
      </c>
      <c r="S17" s="73">
        <v>5366.99</v>
      </c>
      <c r="T17" s="73">
        <v>5315.29</v>
      </c>
      <c r="U17" s="73">
        <v>5278.63</v>
      </c>
      <c r="V17" s="73">
        <v>4958.37</v>
      </c>
      <c r="W17" s="73">
        <v>5424.79</v>
      </c>
      <c r="X17" s="73">
        <v>5732.52</v>
      </c>
      <c r="Y17" s="73">
        <v>5767.94</v>
      </c>
      <c r="Z17" s="73">
        <v>5132</v>
      </c>
      <c r="AA17" s="73">
        <v>4382.1499999999996</v>
      </c>
      <c r="AB17" s="73">
        <v>3567.74</v>
      </c>
      <c r="AC17" s="67"/>
      <c r="AE17" s="31">
        <f>((+AC47)*1000)/1000</f>
        <v>3614572.3499999996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</row>
    <row r="18" spans="2:56" ht="18.649999999999999" customHeight="1" x14ac:dyDescent="0.25">
      <c r="B18" s="41" t="s">
        <v>65</v>
      </c>
      <c r="C18" s="36" t="s">
        <v>63</v>
      </c>
      <c r="D18" s="37">
        <v>1</v>
      </c>
      <c r="E18" s="73">
        <v>2840.03</v>
      </c>
      <c r="F18" s="73">
        <v>2736.28</v>
      </c>
      <c r="G18" s="73">
        <v>2544.4</v>
      </c>
      <c r="H18" s="73">
        <v>2525.04</v>
      </c>
      <c r="I18" s="73">
        <v>2571.67</v>
      </c>
      <c r="J18" s="73">
        <v>2479.33</v>
      </c>
      <c r="K18" s="73">
        <v>2685.83</v>
      </c>
      <c r="L18" s="73">
        <v>4464.79</v>
      </c>
      <c r="M18" s="73">
        <v>4776.55</v>
      </c>
      <c r="N18" s="73">
        <v>5072.92</v>
      </c>
      <c r="O18" s="73">
        <v>5545.08</v>
      </c>
      <c r="P18" s="73">
        <v>5783.78</v>
      </c>
      <c r="Q18" s="73">
        <v>5948.17</v>
      </c>
      <c r="R18" s="73">
        <v>5803.39</v>
      </c>
      <c r="S18" s="73">
        <v>5887</v>
      </c>
      <c r="T18" s="73">
        <v>5841.75</v>
      </c>
      <c r="U18" s="73">
        <v>5813.4</v>
      </c>
      <c r="V18" s="73">
        <v>5483.66</v>
      </c>
      <c r="W18" s="73">
        <v>6214.89</v>
      </c>
      <c r="X18" s="73">
        <v>6457.7</v>
      </c>
      <c r="Y18" s="73">
        <v>6190.02</v>
      </c>
      <c r="Z18" s="73">
        <v>5570.84</v>
      </c>
      <c r="AA18" s="73">
        <v>4444.84</v>
      </c>
      <c r="AB18" s="73">
        <v>3652.77</v>
      </c>
      <c r="AC18" s="68"/>
      <c r="AE18" s="31">
        <f>((+AC51)*1000)/1000</f>
        <v>3693835.76</v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</row>
    <row r="19" spans="2:56" ht="18.649999999999999" customHeight="1" x14ac:dyDescent="0.25">
      <c r="B19" s="41" t="s">
        <v>66</v>
      </c>
      <c r="C19" s="36" t="s">
        <v>60</v>
      </c>
      <c r="D19" s="37">
        <v>20</v>
      </c>
      <c r="E19" s="73">
        <v>2502.9899999999998</v>
      </c>
      <c r="F19" s="73">
        <v>2373.33</v>
      </c>
      <c r="G19" s="73">
        <v>2366.23</v>
      </c>
      <c r="H19" s="73">
        <v>2301.16</v>
      </c>
      <c r="I19" s="73">
        <v>2545.27</v>
      </c>
      <c r="J19" s="73">
        <v>3291.1</v>
      </c>
      <c r="K19" s="73">
        <v>3957.71</v>
      </c>
      <c r="L19" s="73">
        <v>5672.48</v>
      </c>
      <c r="M19" s="73">
        <v>5692.88</v>
      </c>
      <c r="N19" s="73">
        <v>5703.82</v>
      </c>
      <c r="O19" s="73">
        <v>6038.87</v>
      </c>
      <c r="P19" s="73">
        <v>6358.28</v>
      </c>
      <c r="Q19" s="73">
        <v>6269.25</v>
      </c>
      <c r="R19" s="73">
        <v>6224.22</v>
      </c>
      <c r="S19" s="73">
        <v>6435.13</v>
      </c>
      <c r="T19" s="73">
        <v>6395.42</v>
      </c>
      <c r="U19" s="73">
        <v>6390.93</v>
      </c>
      <c r="V19" s="73">
        <v>5687.61</v>
      </c>
      <c r="W19" s="73">
        <v>6184.1</v>
      </c>
      <c r="X19" s="73">
        <v>6338.54</v>
      </c>
      <c r="Y19" s="73">
        <v>6115.24</v>
      </c>
      <c r="Z19" s="73">
        <v>5513.76</v>
      </c>
      <c r="AA19" s="73">
        <v>4640.08</v>
      </c>
      <c r="AB19" s="73">
        <v>3829.66</v>
      </c>
      <c r="AC19" s="66">
        <f>+SUM(E19:AB19)*D19+SUM(E20:AB20)*D20+SUM(E21:AB21)*D21+SUM(E22:AB22)*D22</f>
        <v>3496238.34</v>
      </c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</row>
    <row r="20" spans="2:56" ht="18.649999999999999" customHeight="1" x14ac:dyDescent="0.25">
      <c r="B20" s="41" t="s">
        <v>66</v>
      </c>
      <c r="C20" s="36" t="s">
        <v>61</v>
      </c>
      <c r="D20" s="37">
        <v>4</v>
      </c>
      <c r="E20" s="73">
        <v>2750.32</v>
      </c>
      <c r="F20" s="73">
        <v>2556.98</v>
      </c>
      <c r="G20" s="73">
        <v>2476.9499999999998</v>
      </c>
      <c r="H20" s="73">
        <v>2437.7199999999998</v>
      </c>
      <c r="I20" s="73">
        <v>2536.56</v>
      </c>
      <c r="J20" s="73">
        <v>2685.14</v>
      </c>
      <c r="K20" s="73">
        <v>2965.42</v>
      </c>
      <c r="L20" s="73">
        <v>5272.19</v>
      </c>
      <c r="M20" s="73">
        <v>5427.94</v>
      </c>
      <c r="N20" s="73">
        <v>5613.79</v>
      </c>
      <c r="O20" s="73">
        <v>5952.2</v>
      </c>
      <c r="P20" s="73">
        <v>6030.95</v>
      </c>
      <c r="Q20" s="73">
        <v>6240.13</v>
      </c>
      <c r="R20" s="73">
        <v>6082.54</v>
      </c>
      <c r="S20" s="73">
        <v>6178.57</v>
      </c>
      <c r="T20" s="73">
        <v>6210.51</v>
      </c>
      <c r="U20" s="73">
        <v>6302.08</v>
      </c>
      <c r="V20" s="73">
        <v>5626.33</v>
      </c>
      <c r="W20" s="73">
        <v>6383.87</v>
      </c>
      <c r="X20" s="73">
        <v>6018.2</v>
      </c>
      <c r="Y20" s="73">
        <v>5727.65</v>
      </c>
      <c r="Z20" s="73">
        <v>5365.72</v>
      </c>
      <c r="AA20" s="73">
        <v>4785.6899999999996</v>
      </c>
      <c r="AB20" s="73">
        <v>4443.01</v>
      </c>
      <c r="AC20" s="6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</row>
    <row r="21" spans="2:56" ht="18.649999999999999" customHeight="1" x14ac:dyDescent="0.25">
      <c r="B21" s="41" t="s">
        <v>66</v>
      </c>
      <c r="C21" s="36" t="s">
        <v>62</v>
      </c>
      <c r="D21" s="37">
        <v>4</v>
      </c>
      <c r="E21" s="73">
        <v>2956.51</v>
      </c>
      <c r="F21" s="73">
        <v>2672.52</v>
      </c>
      <c r="G21" s="73">
        <v>2475.71</v>
      </c>
      <c r="H21" s="73">
        <v>2442.0300000000002</v>
      </c>
      <c r="I21" s="73">
        <v>2314.25</v>
      </c>
      <c r="J21" s="73">
        <v>2328.23</v>
      </c>
      <c r="K21" s="73">
        <v>2575.87</v>
      </c>
      <c r="L21" s="73">
        <v>4363.63</v>
      </c>
      <c r="M21" s="73">
        <v>4915.41</v>
      </c>
      <c r="N21" s="73">
        <v>5100.1000000000004</v>
      </c>
      <c r="O21" s="73">
        <v>5363.9</v>
      </c>
      <c r="P21" s="73">
        <v>5449.42</v>
      </c>
      <c r="Q21" s="73">
        <v>5654.8</v>
      </c>
      <c r="R21" s="73">
        <v>5602.56</v>
      </c>
      <c r="S21" s="73">
        <v>5592.53</v>
      </c>
      <c r="T21" s="73">
        <v>5501.85</v>
      </c>
      <c r="U21" s="73">
        <v>5745.23</v>
      </c>
      <c r="V21" s="73">
        <v>5251.08</v>
      </c>
      <c r="W21" s="73">
        <v>5811.69</v>
      </c>
      <c r="X21" s="73">
        <v>5944.59</v>
      </c>
      <c r="Y21" s="73">
        <v>5826.31</v>
      </c>
      <c r="Z21" s="73">
        <v>5398.59</v>
      </c>
      <c r="AA21" s="73">
        <v>4775.8999999999996</v>
      </c>
      <c r="AB21" s="73">
        <v>3693.75</v>
      </c>
      <c r="AC21" s="6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</row>
    <row r="22" spans="2:56" ht="18.649999999999999" customHeight="1" x14ac:dyDescent="0.25">
      <c r="B22" s="41" t="s">
        <v>66</v>
      </c>
      <c r="C22" s="36" t="s">
        <v>63</v>
      </c>
      <c r="D22" s="37">
        <v>2</v>
      </c>
      <c r="E22" s="73">
        <v>3176.55</v>
      </c>
      <c r="F22" s="73">
        <v>2868.42</v>
      </c>
      <c r="G22" s="73">
        <v>2785.56</v>
      </c>
      <c r="H22" s="73">
        <v>2680.47</v>
      </c>
      <c r="I22" s="73">
        <v>2710.87</v>
      </c>
      <c r="J22" s="73">
        <v>2731.67</v>
      </c>
      <c r="K22" s="73">
        <v>2951.89</v>
      </c>
      <c r="L22" s="73">
        <v>4976.12</v>
      </c>
      <c r="M22" s="73">
        <v>5250.95</v>
      </c>
      <c r="N22" s="73">
        <v>5261.92</v>
      </c>
      <c r="O22" s="73">
        <v>5168.3599999999997</v>
      </c>
      <c r="P22" s="73">
        <v>5627.03</v>
      </c>
      <c r="Q22" s="73">
        <v>5769.21</v>
      </c>
      <c r="R22" s="73">
        <v>5610.32</v>
      </c>
      <c r="S22" s="73">
        <v>5665.95</v>
      </c>
      <c r="T22" s="73">
        <v>5628.22</v>
      </c>
      <c r="U22" s="73">
        <v>5698.84</v>
      </c>
      <c r="V22" s="73">
        <v>5317.26</v>
      </c>
      <c r="W22" s="73">
        <v>5802.96</v>
      </c>
      <c r="X22" s="73">
        <v>5867.44</v>
      </c>
      <c r="Y22" s="73">
        <v>5630.7</v>
      </c>
      <c r="Z22" s="73">
        <v>5479.95</v>
      </c>
      <c r="AA22" s="73">
        <v>5123.7</v>
      </c>
      <c r="AB22" s="73">
        <v>4400.37</v>
      </c>
      <c r="AC22" s="68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</row>
    <row r="23" spans="2:56" ht="18.649999999999999" customHeight="1" x14ac:dyDescent="0.25">
      <c r="B23" s="41" t="s">
        <v>67</v>
      </c>
      <c r="C23" s="36" t="s">
        <v>60</v>
      </c>
      <c r="D23" s="37">
        <v>22</v>
      </c>
      <c r="E23" s="73">
        <v>2469.0300000000002</v>
      </c>
      <c r="F23" s="73">
        <v>2328.15</v>
      </c>
      <c r="G23" s="73">
        <v>2230.9699999999998</v>
      </c>
      <c r="H23" s="73">
        <v>2258.9899999999998</v>
      </c>
      <c r="I23" s="73">
        <v>2521.67</v>
      </c>
      <c r="J23" s="73">
        <v>3325.4</v>
      </c>
      <c r="K23" s="73">
        <v>3927.96</v>
      </c>
      <c r="L23" s="73">
        <v>5539.72</v>
      </c>
      <c r="M23" s="73">
        <v>5507.31</v>
      </c>
      <c r="N23" s="73">
        <v>5411.6</v>
      </c>
      <c r="O23" s="73">
        <v>5607.78</v>
      </c>
      <c r="P23" s="73">
        <v>6045</v>
      </c>
      <c r="Q23" s="73">
        <v>5942.06</v>
      </c>
      <c r="R23" s="73">
        <v>5982.3</v>
      </c>
      <c r="S23" s="73">
        <v>6199.24</v>
      </c>
      <c r="T23" s="73">
        <v>6190.72</v>
      </c>
      <c r="U23" s="73">
        <v>6166.66</v>
      </c>
      <c r="V23" s="73">
        <v>5576.77</v>
      </c>
      <c r="W23" s="73">
        <v>6018.25</v>
      </c>
      <c r="X23" s="73">
        <v>6192.49</v>
      </c>
      <c r="Y23" s="73">
        <v>5909.05</v>
      </c>
      <c r="Z23" s="73">
        <v>5327.43</v>
      </c>
      <c r="AA23" s="73">
        <v>4522.16</v>
      </c>
      <c r="AB23" s="73">
        <v>3739.85</v>
      </c>
      <c r="AC23" s="66">
        <f>+SUM(E23:AB23)*D23+SUM(E24:AB24)*D24+SUM(E25:AB25)*D25+SUM(E26:AB26)*D26</f>
        <v>3494765.5300000007</v>
      </c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</row>
    <row r="24" spans="2:56" ht="18.649999999999999" customHeight="1" x14ac:dyDescent="0.25">
      <c r="B24" s="41" t="s">
        <v>67</v>
      </c>
      <c r="C24" s="36" t="s">
        <v>61</v>
      </c>
      <c r="D24" s="37">
        <v>4</v>
      </c>
      <c r="E24" s="73">
        <v>2727.23</v>
      </c>
      <c r="F24" s="73">
        <v>2409.5100000000002</v>
      </c>
      <c r="G24" s="73">
        <v>2357.56</v>
      </c>
      <c r="H24" s="73">
        <v>2325.71</v>
      </c>
      <c r="I24" s="73">
        <v>2409.94</v>
      </c>
      <c r="J24" s="73">
        <v>2531.5700000000002</v>
      </c>
      <c r="K24" s="73">
        <v>3033.86</v>
      </c>
      <c r="L24" s="73">
        <v>5156.17</v>
      </c>
      <c r="M24" s="73">
        <v>5532.4</v>
      </c>
      <c r="N24" s="73">
        <v>5727.18</v>
      </c>
      <c r="O24" s="73">
        <v>5817.31</v>
      </c>
      <c r="P24" s="73">
        <v>5883.07</v>
      </c>
      <c r="Q24" s="73">
        <v>5951.74</v>
      </c>
      <c r="R24" s="73">
        <v>5758.11</v>
      </c>
      <c r="S24" s="73">
        <v>5713.4</v>
      </c>
      <c r="T24" s="73">
        <v>5709.4</v>
      </c>
      <c r="U24" s="73">
        <v>5739.56</v>
      </c>
      <c r="V24" s="73">
        <v>5266.4</v>
      </c>
      <c r="W24" s="73">
        <v>5731.02</v>
      </c>
      <c r="X24" s="73">
        <v>6014.2</v>
      </c>
      <c r="Y24" s="73">
        <v>5724.89</v>
      </c>
      <c r="Z24" s="73">
        <v>5310.23</v>
      </c>
      <c r="AA24" s="73">
        <v>4646.7</v>
      </c>
      <c r="AB24" s="73">
        <v>3969.12</v>
      </c>
      <c r="AC24" s="6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</row>
    <row r="25" spans="2:56" ht="18.649999999999999" customHeight="1" x14ac:dyDescent="0.25">
      <c r="B25" s="41" t="s">
        <v>67</v>
      </c>
      <c r="C25" s="36" t="s">
        <v>62</v>
      </c>
      <c r="D25" s="37">
        <v>4</v>
      </c>
      <c r="E25" s="73">
        <v>2760.44</v>
      </c>
      <c r="F25" s="73">
        <v>2566.0500000000002</v>
      </c>
      <c r="G25" s="73">
        <v>2293.77</v>
      </c>
      <c r="H25" s="73">
        <v>2246.87</v>
      </c>
      <c r="I25" s="73">
        <v>2144.17</v>
      </c>
      <c r="J25" s="73">
        <v>2189.94</v>
      </c>
      <c r="K25" s="73">
        <v>2430.6</v>
      </c>
      <c r="L25" s="73">
        <v>4348.8500000000004</v>
      </c>
      <c r="M25" s="73">
        <v>4791.21</v>
      </c>
      <c r="N25" s="73">
        <v>5026.63</v>
      </c>
      <c r="O25" s="73">
        <v>5210.58</v>
      </c>
      <c r="P25" s="73">
        <v>5284.52</v>
      </c>
      <c r="Q25" s="73">
        <v>5390.96</v>
      </c>
      <c r="R25" s="73">
        <v>5253.5</v>
      </c>
      <c r="S25" s="73">
        <v>5179.13</v>
      </c>
      <c r="T25" s="73">
        <v>5253.48</v>
      </c>
      <c r="U25" s="73">
        <v>5565.18</v>
      </c>
      <c r="V25" s="73">
        <v>4537.84</v>
      </c>
      <c r="W25" s="73">
        <v>5502.18</v>
      </c>
      <c r="X25" s="73">
        <v>5692.32</v>
      </c>
      <c r="Y25" s="73">
        <v>5499.28</v>
      </c>
      <c r="Z25" s="73">
        <v>4973.0200000000004</v>
      </c>
      <c r="AA25" s="73">
        <v>4149.2700000000004</v>
      </c>
      <c r="AB25" s="73">
        <v>3349.89</v>
      </c>
      <c r="AC25" s="6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</row>
    <row r="26" spans="2:56" ht="18.649999999999999" customHeight="1" x14ac:dyDescent="0.25">
      <c r="B26" s="41" t="s">
        <v>67</v>
      </c>
      <c r="C26" s="36" t="s">
        <v>63</v>
      </c>
      <c r="D26" s="37">
        <v>1</v>
      </c>
      <c r="E26" s="73">
        <v>2333.2800000000002</v>
      </c>
      <c r="F26" s="73">
        <v>2573.11</v>
      </c>
      <c r="G26" s="73">
        <v>2551.8200000000002</v>
      </c>
      <c r="H26" s="73">
        <v>2374.84</v>
      </c>
      <c r="I26" s="73">
        <v>2609.0500000000002</v>
      </c>
      <c r="J26" s="73">
        <v>2724.23</v>
      </c>
      <c r="K26" s="73">
        <v>3042.74</v>
      </c>
      <c r="L26" s="73">
        <v>5053.55</v>
      </c>
      <c r="M26" s="73">
        <v>5242.74</v>
      </c>
      <c r="N26" s="73">
        <v>5677.41</v>
      </c>
      <c r="O26" s="73">
        <v>5987.72</v>
      </c>
      <c r="P26" s="73">
        <v>6289.24</v>
      </c>
      <c r="Q26" s="73">
        <v>6497.4</v>
      </c>
      <c r="R26" s="73">
        <v>6440.29</v>
      </c>
      <c r="S26" s="73">
        <v>6105.49</v>
      </c>
      <c r="T26" s="73">
        <v>6048.49</v>
      </c>
      <c r="U26" s="73">
        <v>5850.46</v>
      </c>
      <c r="V26" s="73">
        <v>5349.68</v>
      </c>
      <c r="W26" s="73">
        <v>5976.11</v>
      </c>
      <c r="X26" s="73">
        <v>5889.46</v>
      </c>
      <c r="Y26" s="73">
        <v>5617.01</v>
      </c>
      <c r="Z26" s="73">
        <v>5229.13</v>
      </c>
      <c r="AA26" s="73">
        <v>4489.72</v>
      </c>
      <c r="AB26" s="73">
        <v>3776.4</v>
      </c>
      <c r="AC26" s="68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</row>
    <row r="27" spans="2:56" ht="18.649999999999999" customHeight="1" x14ac:dyDescent="0.25">
      <c r="B27" s="41" t="s">
        <v>68</v>
      </c>
      <c r="C27" s="36" t="s">
        <v>60</v>
      </c>
      <c r="D27" s="37">
        <v>18</v>
      </c>
      <c r="E27" s="73">
        <v>2585.06</v>
      </c>
      <c r="F27" s="73">
        <v>2415.35</v>
      </c>
      <c r="G27" s="73">
        <v>2352.8000000000002</v>
      </c>
      <c r="H27" s="73">
        <v>2321.42</v>
      </c>
      <c r="I27" s="73">
        <v>2589.27</v>
      </c>
      <c r="J27" s="73">
        <v>3270.13</v>
      </c>
      <c r="K27" s="73">
        <v>3873.9</v>
      </c>
      <c r="L27" s="73">
        <v>5708.99</v>
      </c>
      <c r="M27" s="73">
        <v>5675.41</v>
      </c>
      <c r="N27" s="73">
        <v>5802.04</v>
      </c>
      <c r="O27" s="73">
        <v>6036.34</v>
      </c>
      <c r="P27" s="73">
        <v>6249.33</v>
      </c>
      <c r="Q27" s="73">
        <v>6211.65</v>
      </c>
      <c r="R27" s="73">
        <v>6187.92</v>
      </c>
      <c r="S27" s="73">
        <v>6362.37</v>
      </c>
      <c r="T27" s="73">
        <v>6357.72</v>
      </c>
      <c r="U27" s="73">
        <v>6420.02</v>
      </c>
      <c r="V27" s="73">
        <v>5767.14</v>
      </c>
      <c r="W27" s="73">
        <v>6301.32</v>
      </c>
      <c r="X27" s="73">
        <v>6416.15</v>
      </c>
      <c r="Y27" s="73">
        <v>6043.47</v>
      </c>
      <c r="Z27" s="73">
        <v>5405.14</v>
      </c>
      <c r="AA27" s="73">
        <v>4584.2700000000004</v>
      </c>
      <c r="AB27" s="73">
        <v>3860.15</v>
      </c>
      <c r="AC27" s="66">
        <f>+SUM(E27:AB27)*D27+SUM(E28:AB28)*D28+SUM(E29:AB29)*D29+SUM(E30:AB30)*D30</f>
        <v>3445023.3000000003</v>
      </c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</row>
    <row r="28" spans="2:56" ht="18.649999999999999" customHeight="1" x14ac:dyDescent="0.25">
      <c r="B28" s="41" t="s">
        <v>68</v>
      </c>
      <c r="C28" s="36" t="s">
        <v>61</v>
      </c>
      <c r="D28" s="37">
        <v>5</v>
      </c>
      <c r="E28" s="73">
        <v>2670.37</v>
      </c>
      <c r="F28" s="73">
        <v>2465.65</v>
      </c>
      <c r="G28" s="73">
        <v>2346.7600000000002</v>
      </c>
      <c r="H28" s="73">
        <v>2284.48</v>
      </c>
      <c r="I28" s="73">
        <v>2388.08</v>
      </c>
      <c r="J28" s="73">
        <v>2598.8200000000002</v>
      </c>
      <c r="K28" s="73">
        <v>3022.19</v>
      </c>
      <c r="L28" s="73">
        <v>5308.79</v>
      </c>
      <c r="M28" s="73">
        <v>5581.45</v>
      </c>
      <c r="N28" s="73">
        <v>5746.08</v>
      </c>
      <c r="O28" s="73">
        <v>5955.05</v>
      </c>
      <c r="P28" s="73">
        <v>6041.15</v>
      </c>
      <c r="Q28" s="73">
        <v>6064.57</v>
      </c>
      <c r="R28" s="73">
        <v>5921.13</v>
      </c>
      <c r="S28" s="73">
        <v>5762.97</v>
      </c>
      <c r="T28" s="73">
        <v>5749.83</v>
      </c>
      <c r="U28" s="73">
        <v>5779.15</v>
      </c>
      <c r="V28" s="73">
        <v>5337.89</v>
      </c>
      <c r="W28" s="73">
        <v>5799.11</v>
      </c>
      <c r="X28" s="73">
        <v>6091.04</v>
      </c>
      <c r="Y28" s="73">
        <v>5804.02</v>
      </c>
      <c r="Z28" s="73">
        <v>5333.87</v>
      </c>
      <c r="AA28" s="73">
        <v>4786.49</v>
      </c>
      <c r="AB28" s="73">
        <v>4123.38</v>
      </c>
      <c r="AC28" s="6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</row>
    <row r="29" spans="2:56" ht="18.649999999999999" customHeight="1" x14ac:dyDescent="0.25">
      <c r="B29" s="41" t="s">
        <v>68</v>
      </c>
      <c r="C29" s="36" t="s">
        <v>62</v>
      </c>
      <c r="D29" s="37">
        <v>5</v>
      </c>
      <c r="E29" s="73">
        <v>2942.78</v>
      </c>
      <c r="F29" s="73">
        <v>2649.07</v>
      </c>
      <c r="G29" s="73">
        <v>2488.75</v>
      </c>
      <c r="H29" s="73">
        <v>2433.63</v>
      </c>
      <c r="I29" s="73">
        <v>2381.9899999999998</v>
      </c>
      <c r="J29" s="73">
        <v>2339.38</v>
      </c>
      <c r="K29" s="73">
        <v>2531.0700000000002</v>
      </c>
      <c r="L29" s="73">
        <v>4473.2700000000004</v>
      </c>
      <c r="M29" s="73">
        <v>4848.54</v>
      </c>
      <c r="N29" s="73">
        <v>5208.68</v>
      </c>
      <c r="O29" s="73">
        <v>5392.98</v>
      </c>
      <c r="P29" s="73">
        <v>5503.38</v>
      </c>
      <c r="Q29" s="73">
        <v>5533.35</v>
      </c>
      <c r="R29" s="73">
        <v>5538.44</v>
      </c>
      <c r="S29" s="73">
        <v>5362.13</v>
      </c>
      <c r="T29" s="73">
        <v>5371.71</v>
      </c>
      <c r="U29" s="73">
        <v>5518.79</v>
      </c>
      <c r="V29" s="73">
        <v>5118.84</v>
      </c>
      <c r="W29" s="73">
        <v>5626.56</v>
      </c>
      <c r="X29" s="73">
        <v>5895.83</v>
      </c>
      <c r="Y29" s="73">
        <v>5675.98</v>
      </c>
      <c r="Z29" s="73">
        <v>5234.6099999999997</v>
      </c>
      <c r="AA29" s="73">
        <v>4554.18</v>
      </c>
      <c r="AB29" s="73">
        <v>3823.44</v>
      </c>
      <c r="AC29" s="6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</row>
    <row r="30" spans="2:56" ht="18.649999999999999" customHeight="1" x14ac:dyDescent="0.25">
      <c r="B30" s="41" t="s">
        <v>68</v>
      </c>
      <c r="C30" s="36" t="s">
        <v>63</v>
      </c>
      <c r="D30" s="37">
        <v>2</v>
      </c>
      <c r="E30" s="73">
        <v>2881.7</v>
      </c>
      <c r="F30" s="73">
        <v>2651.45</v>
      </c>
      <c r="G30" s="73">
        <v>2459.4699999999998</v>
      </c>
      <c r="H30" s="73">
        <v>2397.9899999999998</v>
      </c>
      <c r="I30" s="73">
        <v>2343.34</v>
      </c>
      <c r="J30" s="73">
        <v>2292.13</v>
      </c>
      <c r="K30" s="73">
        <v>2498.4499999999998</v>
      </c>
      <c r="L30" s="73">
        <v>4506.63</v>
      </c>
      <c r="M30" s="73">
        <v>4695.53</v>
      </c>
      <c r="N30" s="73">
        <v>4899.2</v>
      </c>
      <c r="O30" s="73">
        <v>5265.06</v>
      </c>
      <c r="P30" s="73">
        <v>5380.07</v>
      </c>
      <c r="Q30" s="73">
        <v>5508.17</v>
      </c>
      <c r="R30" s="73">
        <v>5638.62</v>
      </c>
      <c r="S30" s="73">
        <v>5490.11</v>
      </c>
      <c r="T30" s="73">
        <v>5439.37</v>
      </c>
      <c r="U30" s="73">
        <v>5510.28</v>
      </c>
      <c r="V30" s="73">
        <v>4911.57</v>
      </c>
      <c r="W30" s="73">
        <v>5430.23</v>
      </c>
      <c r="X30" s="73">
        <v>5635.04</v>
      </c>
      <c r="Y30" s="73">
        <v>5498.95</v>
      </c>
      <c r="Z30" s="73">
        <v>5159.88</v>
      </c>
      <c r="AA30" s="73">
        <v>4499.33</v>
      </c>
      <c r="AB30" s="73">
        <v>3818.59</v>
      </c>
      <c r="AC30" s="68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</row>
    <row r="31" spans="2:56" ht="18.649999999999999" customHeight="1" x14ac:dyDescent="0.25">
      <c r="B31" s="41" t="s">
        <v>69</v>
      </c>
      <c r="C31" s="36" t="s">
        <v>60</v>
      </c>
      <c r="D31" s="37">
        <v>22</v>
      </c>
      <c r="E31" s="73">
        <v>2911.38</v>
      </c>
      <c r="F31" s="73">
        <v>2711.66</v>
      </c>
      <c r="G31" s="73">
        <v>2635.85</v>
      </c>
      <c r="H31" s="73">
        <v>2598.88</v>
      </c>
      <c r="I31" s="73">
        <v>2794.17</v>
      </c>
      <c r="J31" s="73">
        <v>3432.1</v>
      </c>
      <c r="K31" s="73">
        <v>3456.37</v>
      </c>
      <c r="L31" s="73">
        <v>5250.6</v>
      </c>
      <c r="M31" s="73">
        <v>5307.78</v>
      </c>
      <c r="N31" s="73">
        <v>5470.14</v>
      </c>
      <c r="O31" s="73">
        <v>5754.13</v>
      </c>
      <c r="P31" s="73">
        <v>6111.1</v>
      </c>
      <c r="Q31" s="73">
        <v>5936.29</v>
      </c>
      <c r="R31" s="73">
        <v>5901.81</v>
      </c>
      <c r="S31" s="73">
        <v>6060.13</v>
      </c>
      <c r="T31" s="73">
        <v>6033.41</v>
      </c>
      <c r="U31" s="73">
        <v>5961.28</v>
      </c>
      <c r="V31" s="73">
        <v>5324.52</v>
      </c>
      <c r="W31" s="73">
        <v>6053.14</v>
      </c>
      <c r="X31" s="73">
        <v>6403.37</v>
      </c>
      <c r="Y31" s="73">
        <v>6122.18</v>
      </c>
      <c r="Z31" s="73">
        <v>5629.36</v>
      </c>
      <c r="AA31" s="73">
        <v>4875.04</v>
      </c>
      <c r="AB31" s="73">
        <v>4096.32</v>
      </c>
      <c r="AC31" s="66">
        <f>+SUM(E31:AB31)*D31+SUM(E32:AB32)*D32+SUM(E33:AB33)*D33+SUM(E34:AB34)*D34</f>
        <v>3546771.88</v>
      </c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</row>
    <row r="32" spans="2:56" ht="18.649999999999999" customHeight="1" x14ac:dyDescent="0.25">
      <c r="B32" s="41" t="s">
        <v>69</v>
      </c>
      <c r="C32" s="36" t="s">
        <v>61</v>
      </c>
      <c r="D32" s="37">
        <v>3</v>
      </c>
      <c r="E32" s="73">
        <v>2788.14</v>
      </c>
      <c r="F32" s="73">
        <v>2625.11</v>
      </c>
      <c r="G32" s="73">
        <v>2492.64</v>
      </c>
      <c r="H32" s="73">
        <v>2497.7600000000002</v>
      </c>
      <c r="I32" s="73">
        <v>2551.87</v>
      </c>
      <c r="J32" s="73">
        <v>2696.27</v>
      </c>
      <c r="K32" s="73">
        <v>2793.77</v>
      </c>
      <c r="L32" s="73">
        <v>4950.84</v>
      </c>
      <c r="M32" s="73">
        <v>5337.51</v>
      </c>
      <c r="N32" s="73">
        <v>5608.61</v>
      </c>
      <c r="O32" s="73">
        <v>5754.62</v>
      </c>
      <c r="P32" s="73">
        <v>5977.09</v>
      </c>
      <c r="Q32" s="73">
        <v>5916.82</v>
      </c>
      <c r="R32" s="73">
        <v>5801.12</v>
      </c>
      <c r="S32" s="73">
        <v>5694.32</v>
      </c>
      <c r="T32" s="73">
        <v>5640.45</v>
      </c>
      <c r="U32" s="73">
        <v>5655.87</v>
      </c>
      <c r="V32" s="73">
        <v>5110.71</v>
      </c>
      <c r="W32" s="73">
        <v>5822.06</v>
      </c>
      <c r="X32" s="73">
        <v>6192.8</v>
      </c>
      <c r="Y32" s="73">
        <v>5917.46</v>
      </c>
      <c r="Z32" s="73">
        <v>5539.2</v>
      </c>
      <c r="AA32" s="73">
        <v>4938.62</v>
      </c>
      <c r="AB32" s="73">
        <v>4275.5</v>
      </c>
      <c r="AC32" s="6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</row>
    <row r="33" spans="2:56" ht="18.649999999999999" customHeight="1" x14ac:dyDescent="0.25">
      <c r="B33" s="41" t="s">
        <v>69</v>
      </c>
      <c r="C33" s="36" t="s">
        <v>62</v>
      </c>
      <c r="D33" s="37">
        <v>4</v>
      </c>
      <c r="E33" s="73">
        <v>3066.76</v>
      </c>
      <c r="F33" s="73">
        <v>2877.98</v>
      </c>
      <c r="G33" s="73">
        <v>2661.77</v>
      </c>
      <c r="H33" s="73">
        <v>2594.0500000000002</v>
      </c>
      <c r="I33" s="73">
        <v>2565.7399999999998</v>
      </c>
      <c r="J33" s="73">
        <v>2507.84</v>
      </c>
      <c r="K33" s="73">
        <v>2260.7399999999998</v>
      </c>
      <c r="L33" s="73">
        <v>4147.34</v>
      </c>
      <c r="M33" s="73">
        <v>4539.62</v>
      </c>
      <c r="N33" s="73">
        <v>4892.6499999999996</v>
      </c>
      <c r="O33" s="73">
        <v>5159.6000000000004</v>
      </c>
      <c r="P33" s="73">
        <v>5494.31</v>
      </c>
      <c r="Q33" s="73">
        <v>5582.38</v>
      </c>
      <c r="R33" s="73">
        <v>5524.31</v>
      </c>
      <c r="S33" s="73">
        <v>5407.18</v>
      </c>
      <c r="T33" s="73">
        <v>5357.89</v>
      </c>
      <c r="U33" s="73">
        <v>5344.49</v>
      </c>
      <c r="V33" s="73">
        <v>4854.5600000000004</v>
      </c>
      <c r="W33" s="73">
        <v>5584.5</v>
      </c>
      <c r="X33" s="73">
        <v>5959.27</v>
      </c>
      <c r="Y33" s="73">
        <v>5696.59</v>
      </c>
      <c r="Z33" s="73">
        <v>5303.06</v>
      </c>
      <c r="AA33" s="73">
        <v>4825.5200000000004</v>
      </c>
      <c r="AB33" s="73">
        <v>4193.04</v>
      </c>
      <c r="AC33" s="6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</row>
    <row r="34" spans="2:56" ht="18.649999999999999" customHeight="1" x14ac:dyDescent="0.25">
      <c r="B34" s="41" t="s">
        <v>69</v>
      </c>
      <c r="C34" s="36" t="s">
        <v>63</v>
      </c>
      <c r="D34" s="37">
        <v>2</v>
      </c>
      <c r="E34" s="73">
        <v>2945.72</v>
      </c>
      <c r="F34" s="73">
        <v>2735.05</v>
      </c>
      <c r="G34" s="73">
        <v>2588.5500000000002</v>
      </c>
      <c r="H34" s="73">
        <v>2603.84</v>
      </c>
      <c r="I34" s="73">
        <v>2526.7199999999998</v>
      </c>
      <c r="J34" s="73">
        <v>2569.63</v>
      </c>
      <c r="K34" s="73">
        <v>2400.59</v>
      </c>
      <c r="L34" s="73">
        <v>4327.38</v>
      </c>
      <c r="M34" s="73">
        <v>4724.0600000000004</v>
      </c>
      <c r="N34" s="73">
        <v>4911.62</v>
      </c>
      <c r="O34" s="73">
        <v>5280.71</v>
      </c>
      <c r="P34" s="73">
        <v>5531.12</v>
      </c>
      <c r="Q34" s="73">
        <v>5605.53</v>
      </c>
      <c r="R34" s="73">
        <v>5534.11</v>
      </c>
      <c r="S34" s="73">
        <v>5490.83</v>
      </c>
      <c r="T34" s="73">
        <v>5455.81</v>
      </c>
      <c r="U34" s="73">
        <v>5318.75</v>
      </c>
      <c r="V34" s="73">
        <v>4784.3</v>
      </c>
      <c r="W34" s="73">
        <v>5524.71</v>
      </c>
      <c r="X34" s="73">
        <v>5908.92</v>
      </c>
      <c r="Y34" s="73">
        <v>5702.14</v>
      </c>
      <c r="Z34" s="73">
        <v>5241.87</v>
      </c>
      <c r="AA34" s="73">
        <v>4727.71</v>
      </c>
      <c r="AB34" s="73">
        <v>4134.04</v>
      </c>
      <c r="AC34" s="68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</row>
    <row r="35" spans="2:56" ht="18.649999999999999" customHeight="1" x14ac:dyDescent="0.25">
      <c r="B35" s="41" t="s">
        <v>70</v>
      </c>
      <c r="C35" s="36" t="s">
        <v>60</v>
      </c>
      <c r="D35" s="37">
        <v>20</v>
      </c>
      <c r="E35" s="73">
        <v>2996.6</v>
      </c>
      <c r="F35" s="73">
        <v>2833.47</v>
      </c>
      <c r="G35" s="73">
        <v>2742.36</v>
      </c>
      <c r="H35" s="73">
        <v>2725.99</v>
      </c>
      <c r="I35" s="73">
        <v>2972.32</v>
      </c>
      <c r="J35" s="73">
        <v>3766.44</v>
      </c>
      <c r="K35" s="73">
        <v>3830.18</v>
      </c>
      <c r="L35" s="73">
        <v>5525.7</v>
      </c>
      <c r="M35" s="73">
        <v>5578.6</v>
      </c>
      <c r="N35" s="73">
        <v>5693.01</v>
      </c>
      <c r="O35" s="73">
        <v>5982.56</v>
      </c>
      <c r="P35" s="73">
        <v>6246.3</v>
      </c>
      <c r="Q35" s="73">
        <v>6053.15</v>
      </c>
      <c r="R35" s="73">
        <v>6085.54</v>
      </c>
      <c r="S35" s="73">
        <v>6226.15</v>
      </c>
      <c r="T35" s="73">
        <v>6197.54</v>
      </c>
      <c r="U35" s="73">
        <v>6180.65</v>
      </c>
      <c r="V35" s="73">
        <v>5407.43</v>
      </c>
      <c r="W35" s="73">
        <v>6287.71</v>
      </c>
      <c r="X35" s="73">
        <v>6591.49</v>
      </c>
      <c r="Y35" s="73">
        <v>6313.3</v>
      </c>
      <c r="Z35" s="73">
        <v>5796.44</v>
      </c>
      <c r="AA35" s="73">
        <v>4903.1899999999996</v>
      </c>
      <c r="AB35" s="73">
        <v>4212.96</v>
      </c>
      <c r="AC35" s="66">
        <f>+SUM(E35:AB35)*D35+SUM(E36:AB36)*D36+SUM(E37:AB37)*D37+SUM(E38:AB38)*D38</f>
        <v>3671599.6400000006</v>
      </c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</row>
    <row r="36" spans="2:56" ht="18.649999999999999" customHeight="1" x14ac:dyDescent="0.25">
      <c r="B36" s="41" t="s">
        <v>70</v>
      </c>
      <c r="C36" s="36" t="s">
        <v>61</v>
      </c>
      <c r="D36" s="37">
        <v>5</v>
      </c>
      <c r="E36" s="73">
        <v>3275.5</v>
      </c>
      <c r="F36" s="73">
        <v>3039.33</v>
      </c>
      <c r="G36" s="73">
        <v>2927.11</v>
      </c>
      <c r="H36" s="73">
        <v>2882.77</v>
      </c>
      <c r="I36" s="73">
        <v>2965.38</v>
      </c>
      <c r="J36" s="73">
        <v>3126.48</v>
      </c>
      <c r="K36" s="73">
        <v>3101.56</v>
      </c>
      <c r="L36" s="73">
        <v>5293.12</v>
      </c>
      <c r="M36" s="73">
        <v>5652</v>
      </c>
      <c r="N36" s="73">
        <v>5939.84</v>
      </c>
      <c r="O36" s="73">
        <v>6126.93</v>
      </c>
      <c r="P36" s="73">
        <v>6377.84</v>
      </c>
      <c r="Q36" s="73">
        <v>6205.75</v>
      </c>
      <c r="R36" s="73">
        <v>6067.3</v>
      </c>
      <c r="S36" s="73">
        <v>5927.93</v>
      </c>
      <c r="T36" s="73">
        <v>5858.53</v>
      </c>
      <c r="U36" s="73">
        <v>5932.86</v>
      </c>
      <c r="V36" s="73">
        <v>5246.06</v>
      </c>
      <c r="W36" s="73">
        <v>6159.77</v>
      </c>
      <c r="X36" s="73">
        <v>6370.93</v>
      </c>
      <c r="Y36" s="73">
        <v>6046.33</v>
      </c>
      <c r="Z36" s="73">
        <v>5633.35</v>
      </c>
      <c r="AA36" s="73">
        <v>4893.09</v>
      </c>
      <c r="AB36" s="73">
        <v>4351.8999999999996</v>
      </c>
      <c r="AC36" s="6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</row>
    <row r="37" spans="2:56" ht="18.649999999999999" customHeight="1" x14ac:dyDescent="0.25">
      <c r="B37" s="41" t="s">
        <v>70</v>
      </c>
      <c r="C37" s="36" t="s">
        <v>62</v>
      </c>
      <c r="D37" s="37">
        <v>4</v>
      </c>
      <c r="E37" s="73">
        <v>3106.55</v>
      </c>
      <c r="F37" s="73">
        <v>2933.16</v>
      </c>
      <c r="G37" s="73">
        <v>2806.27</v>
      </c>
      <c r="H37" s="73">
        <v>2715.82</v>
      </c>
      <c r="I37" s="73">
        <v>2669.15</v>
      </c>
      <c r="J37" s="73">
        <v>2689.29</v>
      </c>
      <c r="K37" s="73">
        <v>2273.61</v>
      </c>
      <c r="L37" s="73">
        <v>4125.5600000000004</v>
      </c>
      <c r="M37" s="73">
        <v>4586</v>
      </c>
      <c r="N37" s="73">
        <v>4867.34</v>
      </c>
      <c r="O37" s="73">
        <v>5168.3999999999996</v>
      </c>
      <c r="P37" s="73">
        <v>5444.07</v>
      </c>
      <c r="Q37" s="73">
        <v>5486.76</v>
      </c>
      <c r="R37" s="73">
        <v>5532.92</v>
      </c>
      <c r="S37" s="73">
        <v>5411.85</v>
      </c>
      <c r="T37" s="73">
        <v>5333.58</v>
      </c>
      <c r="U37" s="73">
        <v>5367.41</v>
      </c>
      <c r="V37" s="73">
        <v>4757.12</v>
      </c>
      <c r="W37" s="73">
        <v>5620.77</v>
      </c>
      <c r="X37" s="73">
        <v>5943.71</v>
      </c>
      <c r="Y37" s="73">
        <v>5799.01</v>
      </c>
      <c r="Z37" s="73">
        <v>5400.17</v>
      </c>
      <c r="AA37" s="73">
        <v>4559.97</v>
      </c>
      <c r="AB37" s="73">
        <v>4012.07</v>
      </c>
      <c r="AC37" s="6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</row>
    <row r="38" spans="2:56" ht="18.649999999999999" customHeight="1" x14ac:dyDescent="0.25">
      <c r="B38" s="41" t="s">
        <v>70</v>
      </c>
      <c r="C38" s="36" t="s">
        <v>63</v>
      </c>
      <c r="D38" s="37">
        <v>2</v>
      </c>
      <c r="E38" s="73">
        <v>2971.44</v>
      </c>
      <c r="F38" s="73">
        <v>2830.63</v>
      </c>
      <c r="G38" s="73">
        <v>2669.09</v>
      </c>
      <c r="H38" s="73">
        <v>2648.44</v>
      </c>
      <c r="I38" s="73">
        <v>2676.75</v>
      </c>
      <c r="J38" s="73">
        <v>2729.37</v>
      </c>
      <c r="K38" s="73">
        <v>2505.8000000000002</v>
      </c>
      <c r="L38" s="73">
        <v>4473.17</v>
      </c>
      <c r="M38" s="73">
        <v>4847.28</v>
      </c>
      <c r="N38" s="73">
        <v>5281.13</v>
      </c>
      <c r="O38" s="73">
        <v>5659.28</v>
      </c>
      <c r="P38" s="73">
        <v>6103.14</v>
      </c>
      <c r="Q38" s="73">
        <v>6048.5</v>
      </c>
      <c r="R38" s="73">
        <v>5965.8</v>
      </c>
      <c r="S38" s="73">
        <v>5828.73</v>
      </c>
      <c r="T38" s="73">
        <v>5734.37</v>
      </c>
      <c r="U38" s="73">
        <v>5644.06</v>
      </c>
      <c r="V38" s="73">
        <v>5159.9399999999996</v>
      </c>
      <c r="W38" s="73">
        <v>5934.52</v>
      </c>
      <c r="X38" s="73">
        <v>6371.52</v>
      </c>
      <c r="Y38" s="73">
        <v>6103.12</v>
      </c>
      <c r="Z38" s="73">
        <v>5567.16</v>
      </c>
      <c r="AA38" s="73">
        <v>4744.3999999999996</v>
      </c>
      <c r="AB38" s="73">
        <v>4086.11</v>
      </c>
      <c r="AC38" s="68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</row>
    <row r="39" spans="2:56" ht="18.649999999999999" customHeight="1" x14ac:dyDescent="0.25">
      <c r="B39" s="41" t="s">
        <v>71</v>
      </c>
      <c r="C39" s="36" t="s">
        <v>60</v>
      </c>
      <c r="D39" s="37">
        <v>21</v>
      </c>
      <c r="E39" s="73">
        <v>3034.81</v>
      </c>
      <c r="F39" s="73">
        <v>2880.5</v>
      </c>
      <c r="G39" s="73">
        <v>2819.74</v>
      </c>
      <c r="H39" s="73">
        <v>2786.73</v>
      </c>
      <c r="I39" s="73">
        <v>3012.75</v>
      </c>
      <c r="J39" s="73">
        <v>3719.26</v>
      </c>
      <c r="K39" s="73">
        <v>3799.17</v>
      </c>
      <c r="L39" s="73">
        <v>5565.14</v>
      </c>
      <c r="M39" s="73">
        <v>5569.25</v>
      </c>
      <c r="N39" s="73">
        <v>5707.77</v>
      </c>
      <c r="O39" s="73">
        <v>5909.65</v>
      </c>
      <c r="P39" s="73">
        <v>6167.85</v>
      </c>
      <c r="Q39" s="73">
        <v>6061.89</v>
      </c>
      <c r="R39" s="73">
        <v>6107.95</v>
      </c>
      <c r="S39" s="73">
        <v>6265.02</v>
      </c>
      <c r="T39" s="73">
        <v>6308.62</v>
      </c>
      <c r="U39" s="73">
        <v>6277.31</v>
      </c>
      <c r="V39" s="73">
        <v>5489.78</v>
      </c>
      <c r="W39" s="73">
        <v>6405.94</v>
      </c>
      <c r="X39" s="73">
        <v>6489.51</v>
      </c>
      <c r="Y39" s="73">
        <v>6207.15</v>
      </c>
      <c r="Z39" s="73">
        <v>5648.98</v>
      </c>
      <c r="AA39" s="73">
        <v>4858.8500000000004</v>
      </c>
      <c r="AB39" s="73">
        <v>4182.92</v>
      </c>
      <c r="AC39" s="66">
        <f>+SUM(E39:AB39)*D39+SUM(E40:AB40)*D40+SUM(E41:AB41)*D41+SUM(E42:AB42)*D42</f>
        <v>3556916.3999999994</v>
      </c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</row>
    <row r="40" spans="2:56" ht="18.649999999999999" customHeight="1" x14ac:dyDescent="0.25">
      <c r="B40" s="41" t="s">
        <v>71</v>
      </c>
      <c r="C40" s="36" t="s">
        <v>61</v>
      </c>
      <c r="D40" s="37">
        <v>4</v>
      </c>
      <c r="E40" s="73">
        <v>3321.8</v>
      </c>
      <c r="F40" s="73">
        <v>3040.53</v>
      </c>
      <c r="G40" s="73">
        <v>2939.45</v>
      </c>
      <c r="H40" s="73">
        <v>2878.43</v>
      </c>
      <c r="I40" s="73">
        <v>2976.46</v>
      </c>
      <c r="J40" s="73">
        <v>3132.45</v>
      </c>
      <c r="K40" s="73">
        <v>3174.62</v>
      </c>
      <c r="L40" s="73">
        <v>5269.9</v>
      </c>
      <c r="M40" s="73">
        <v>5677.28</v>
      </c>
      <c r="N40" s="73">
        <v>5895.58</v>
      </c>
      <c r="O40" s="73">
        <v>6018.62</v>
      </c>
      <c r="P40" s="73">
        <v>6154.62</v>
      </c>
      <c r="Q40" s="73">
        <v>6105.33</v>
      </c>
      <c r="R40" s="73">
        <v>5977.72</v>
      </c>
      <c r="S40" s="73">
        <v>5898.67</v>
      </c>
      <c r="T40" s="73">
        <v>5894.58</v>
      </c>
      <c r="U40" s="73">
        <v>5989.96</v>
      </c>
      <c r="V40" s="73">
        <v>5243</v>
      </c>
      <c r="W40" s="73">
        <v>6085.22</v>
      </c>
      <c r="X40" s="73">
        <v>6065.53</v>
      </c>
      <c r="Y40" s="73">
        <v>5848.95</v>
      </c>
      <c r="Z40" s="73">
        <v>5328.26</v>
      </c>
      <c r="AA40" s="73">
        <v>4779.97</v>
      </c>
      <c r="AB40" s="73">
        <v>4259.26</v>
      </c>
      <c r="AC40" s="6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</row>
    <row r="41" spans="2:56" ht="18.649999999999999" customHeight="1" x14ac:dyDescent="0.25">
      <c r="B41" s="41" t="s">
        <v>71</v>
      </c>
      <c r="C41" s="36" t="s">
        <v>62</v>
      </c>
      <c r="D41" s="37">
        <v>5</v>
      </c>
      <c r="E41" s="73">
        <v>3242.02</v>
      </c>
      <c r="F41" s="73">
        <v>3047.11</v>
      </c>
      <c r="G41" s="73">
        <v>2925.57</v>
      </c>
      <c r="H41" s="73">
        <v>2826.1</v>
      </c>
      <c r="I41" s="73">
        <v>2771.86</v>
      </c>
      <c r="J41" s="73">
        <v>2679.03</v>
      </c>
      <c r="K41" s="73">
        <v>2435.38</v>
      </c>
      <c r="L41" s="73">
        <v>4296.72</v>
      </c>
      <c r="M41" s="73">
        <v>4763.8100000000004</v>
      </c>
      <c r="N41" s="73">
        <v>4997.75</v>
      </c>
      <c r="O41" s="73">
        <v>5197.2299999999996</v>
      </c>
      <c r="P41" s="73">
        <v>5358.97</v>
      </c>
      <c r="Q41" s="73">
        <v>5447.05</v>
      </c>
      <c r="R41" s="73">
        <v>5390.54</v>
      </c>
      <c r="S41" s="73">
        <v>5393.97</v>
      </c>
      <c r="T41" s="73">
        <v>5419.64</v>
      </c>
      <c r="U41" s="73">
        <v>5429.1</v>
      </c>
      <c r="V41" s="73">
        <v>4882.07</v>
      </c>
      <c r="W41" s="73">
        <v>5823.52</v>
      </c>
      <c r="X41" s="73">
        <v>5909.16</v>
      </c>
      <c r="Y41" s="73">
        <v>5765.4</v>
      </c>
      <c r="Z41" s="73">
        <v>5181.1499999999996</v>
      </c>
      <c r="AA41" s="73">
        <v>4528.71</v>
      </c>
      <c r="AB41" s="73">
        <v>3945</v>
      </c>
      <c r="AC41" s="6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</row>
    <row r="42" spans="2:56" ht="18.649999999999999" customHeight="1" x14ac:dyDescent="0.25">
      <c r="B42" s="41" t="s">
        <v>71</v>
      </c>
      <c r="C42" s="36" t="s">
        <v>63</v>
      </c>
      <c r="D42" s="37">
        <v>0</v>
      </c>
      <c r="E42" s="73">
        <v>0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  <c r="Z42" s="73">
        <v>0</v>
      </c>
      <c r="AA42" s="73">
        <v>0</v>
      </c>
      <c r="AB42" s="73">
        <v>0</v>
      </c>
      <c r="AC42" s="68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</row>
    <row r="43" spans="2:56" ht="18.649999999999999" customHeight="1" x14ac:dyDescent="0.25">
      <c r="B43" s="41" t="s">
        <v>72</v>
      </c>
      <c r="C43" s="36" t="s">
        <v>60</v>
      </c>
      <c r="D43" s="37">
        <v>22</v>
      </c>
      <c r="E43" s="73">
        <v>3093.57</v>
      </c>
      <c r="F43" s="73">
        <v>2912.64</v>
      </c>
      <c r="G43" s="73">
        <v>2826.8</v>
      </c>
      <c r="H43" s="73">
        <v>2833.96</v>
      </c>
      <c r="I43" s="73">
        <v>3101.9</v>
      </c>
      <c r="J43" s="73">
        <v>3754.61</v>
      </c>
      <c r="K43" s="73">
        <v>3706.83</v>
      </c>
      <c r="L43" s="73">
        <v>5496.63</v>
      </c>
      <c r="M43" s="73">
        <v>5430.68</v>
      </c>
      <c r="N43" s="73">
        <v>5592.61</v>
      </c>
      <c r="O43" s="73">
        <v>5741.9</v>
      </c>
      <c r="P43" s="73">
        <v>5927.81</v>
      </c>
      <c r="Q43" s="73">
        <v>5831.84</v>
      </c>
      <c r="R43" s="73">
        <v>5857.03</v>
      </c>
      <c r="S43" s="73">
        <v>6109.69</v>
      </c>
      <c r="T43" s="73">
        <v>6167.33</v>
      </c>
      <c r="U43" s="73">
        <v>6242.03</v>
      </c>
      <c r="V43" s="73">
        <v>5667.64</v>
      </c>
      <c r="W43" s="73">
        <v>6602.24</v>
      </c>
      <c r="X43" s="73">
        <v>6526.42</v>
      </c>
      <c r="Y43" s="73">
        <v>6102.99</v>
      </c>
      <c r="Z43" s="73">
        <v>5628.11</v>
      </c>
      <c r="AA43" s="73">
        <v>4826.4799999999996</v>
      </c>
      <c r="AB43" s="73">
        <v>4198.03</v>
      </c>
      <c r="AC43" s="66">
        <f>+SUM(E43:AB43)*D43+SUM(E44:AB44)*D44+SUM(E45:AB45)*D45+SUM(E46:AB46)*D46</f>
        <v>3679663.54</v>
      </c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</row>
    <row r="44" spans="2:56" ht="18.649999999999999" customHeight="1" x14ac:dyDescent="0.25">
      <c r="B44" s="41" t="s">
        <v>72</v>
      </c>
      <c r="C44" s="36" t="s">
        <v>61</v>
      </c>
      <c r="D44" s="37">
        <v>4</v>
      </c>
      <c r="E44" s="73">
        <v>3377.99</v>
      </c>
      <c r="F44" s="73">
        <v>3143.12</v>
      </c>
      <c r="G44" s="73">
        <v>3007.62</v>
      </c>
      <c r="H44" s="73">
        <v>2985.29</v>
      </c>
      <c r="I44" s="73">
        <v>3079.79</v>
      </c>
      <c r="J44" s="73">
        <v>3177.4</v>
      </c>
      <c r="K44" s="73">
        <v>2981.04</v>
      </c>
      <c r="L44" s="73">
        <v>5301.26</v>
      </c>
      <c r="M44" s="73">
        <v>5496.88</v>
      </c>
      <c r="N44" s="73">
        <v>5807.31</v>
      </c>
      <c r="O44" s="73">
        <v>5840.93</v>
      </c>
      <c r="P44" s="73">
        <v>5986.89</v>
      </c>
      <c r="Q44" s="73">
        <v>5973.63</v>
      </c>
      <c r="R44" s="73">
        <v>5848.86</v>
      </c>
      <c r="S44" s="73">
        <v>5923.55</v>
      </c>
      <c r="T44" s="73">
        <v>5970.12</v>
      </c>
      <c r="U44" s="73">
        <v>6022.9</v>
      </c>
      <c r="V44" s="73">
        <v>5274.3</v>
      </c>
      <c r="W44" s="73">
        <v>6599.1</v>
      </c>
      <c r="X44" s="73">
        <v>6520.5</v>
      </c>
      <c r="Y44" s="73">
        <v>6280.63</v>
      </c>
      <c r="Z44" s="73">
        <v>5911.55</v>
      </c>
      <c r="AA44" s="73">
        <v>5237.05</v>
      </c>
      <c r="AB44" s="73">
        <v>4696.43</v>
      </c>
      <c r="AC44" s="6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</row>
    <row r="45" spans="2:56" ht="18.649999999999999" customHeight="1" x14ac:dyDescent="0.25">
      <c r="B45" s="41" t="s">
        <v>72</v>
      </c>
      <c r="C45" s="36" t="s">
        <v>62</v>
      </c>
      <c r="D45" s="37">
        <v>4</v>
      </c>
      <c r="E45" s="73">
        <v>3516.11</v>
      </c>
      <c r="F45" s="73">
        <v>3327.95</v>
      </c>
      <c r="G45" s="73">
        <v>3135.35</v>
      </c>
      <c r="H45" s="73">
        <v>3007.97</v>
      </c>
      <c r="I45" s="73">
        <v>3012.23</v>
      </c>
      <c r="J45" s="73">
        <v>2858.17</v>
      </c>
      <c r="K45" s="73">
        <v>2388.04</v>
      </c>
      <c r="L45" s="73">
        <v>4313.79</v>
      </c>
      <c r="M45" s="73">
        <v>4794.08</v>
      </c>
      <c r="N45" s="73">
        <v>5266.07</v>
      </c>
      <c r="O45" s="73">
        <v>5265.38</v>
      </c>
      <c r="P45" s="73">
        <v>5435.19</v>
      </c>
      <c r="Q45" s="73">
        <v>5511.63</v>
      </c>
      <c r="R45" s="73">
        <v>5397.7</v>
      </c>
      <c r="S45" s="73">
        <v>5531.73</v>
      </c>
      <c r="T45" s="73">
        <v>5570.67</v>
      </c>
      <c r="U45" s="73">
        <v>5424.04</v>
      </c>
      <c r="V45" s="73">
        <v>4956.49</v>
      </c>
      <c r="W45" s="73">
        <v>5934.06</v>
      </c>
      <c r="X45" s="73">
        <v>6034.89</v>
      </c>
      <c r="Y45" s="73">
        <v>5771.05</v>
      </c>
      <c r="Z45" s="73">
        <v>5246.71</v>
      </c>
      <c r="AA45" s="73">
        <v>4598.0600000000004</v>
      </c>
      <c r="AB45" s="73">
        <v>3969.51</v>
      </c>
      <c r="AC45" s="6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</row>
    <row r="46" spans="2:56" ht="18.649999999999999" customHeight="1" x14ac:dyDescent="0.25">
      <c r="B46" s="41" t="s">
        <v>72</v>
      </c>
      <c r="C46" s="36" t="s">
        <v>63</v>
      </c>
      <c r="D46" s="37">
        <v>1</v>
      </c>
      <c r="E46" s="73">
        <v>3072.81</v>
      </c>
      <c r="F46" s="73">
        <v>2993.38</v>
      </c>
      <c r="G46" s="73">
        <v>2804.41</v>
      </c>
      <c r="H46" s="73">
        <v>2759.93</v>
      </c>
      <c r="I46" s="73">
        <v>2833.69</v>
      </c>
      <c r="J46" s="73">
        <v>2852.17</v>
      </c>
      <c r="K46" s="73">
        <v>2210.14</v>
      </c>
      <c r="L46" s="73">
        <v>4308.78</v>
      </c>
      <c r="M46" s="73">
        <v>4547.75</v>
      </c>
      <c r="N46" s="73">
        <v>5089.2299999999996</v>
      </c>
      <c r="O46" s="73">
        <v>5250.47</v>
      </c>
      <c r="P46" s="73">
        <v>5696.42</v>
      </c>
      <c r="Q46" s="73">
        <v>5791.66</v>
      </c>
      <c r="R46" s="73">
        <v>5782.98</v>
      </c>
      <c r="S46" s="73">
        <v>5810.16</v>
      </c>
      <c r="T46" s="73">
        <v>5624.41</v>
      </c>
      <c r="U46" s="73">
        <v>5520.13</v>
      </c>
      <c r="V46" s="73">
        <v>5448</v>
      </c>
      <c r="W46" s="73">
        <v>6619.8</v>
      </c>
      <c r="X46" s="73">
        <v>6539.9</v>
      </c>
      <c r="Y46" s="73">
        <v>6246.38</v>
      </c>
      <c r="Z46" s="73">
        <v>5751.98</v>
      </c>
      <c r="AA46" s="73">
        <v>4984.4399999999996</v>
      </c>
      <c r="AB46" s="73">
        <v>4325.54</v>
      </c>
      <c r="AC46" s="68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</row>
    <row r="47" spans="2:56" ht="18.649999999999999" customHeight="1" x14ac:dyDescent="0.25">
      <c r="B47" s="41" t="s">
        <v>73</v>
      </c>
      <c r="C47" s="36" t="s">
        <v>60</v>
      </c>
      <c r="D47" s="37">
        <v>19</v>
      </c>
      <c r="E47" s="73">
        <v>3047.83</v>
      </c>
      <c r="F47" s="73">
        <v>2891.09</v>
      </c>
      <c r="G47" s="73">
        <v>2857.45</v>
      </c>
      <c r="H47" s="73">
        <v>2836.22</v>
      </c>
      <c r="I47" s="73">
        <v>3133.99</v>
      </c>
      <c r="J47" s="73">
        <v>3824.53</v>
      </c>
      <c r="K47" s="73">
        <v>3901.08</v>
      </c>
      <c r="L47" s="73">
        <v>5786.24</v>
      </c>
      <c r="M47" s="73">
        <v>5709.15</v>
      </c>
      <c r="N47" s="73">
        <v>5835.76</v>
      </c>
      <c r="O47" s="73">
        <v>5999.69</v>
      </c>
      <c r="P47" s="73">
        <v>6245.78</v>
      </c>
      <c r="Q47" s="73">
        <v>6119.45</v>
      </c>
      <c r="R47" s="73">
        <v>6063.51</v>
      </c>
      <c r="S47" s="73">
        <v>6292.7</v>
      </c>
      <c r="T47" s="73">
        <v>6318.53</v>
      </c>
      <c r="U47" s="73">
        <v>6343.84</v>
      </c>
      <c r="V47" s="73">
        <v>5766.44</v>
      </c>
      <c r="W47" s="73">
        <v>6810.42</v>
      </c>
      <c r="X47" s="73">
        <v>6729.01</v>
      </c>
      <c r="Y47" s="73">
        <v>6204.4</v>
      </c>
      <c r="Z47" s="73">
        <v>5627.16</v>
      </c>
      <c r="AA47" s="73">
        <v>4873.68</v>
      </c>
      <c r="AB47" s="73">
        <v>4205.95</v>
      </c>
      <c r="AC47" s="66">
        <f>+SUM(E47:AB47)*D47+SUM(E48:AB48)*D48+SUM(E49:AB49)*D49+SUM(E50:AB50)*D50</f>
        <v>3614572.3499999996</v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</row>
    <row r="48" spans="2:56" ht="18.649999999999999" customHeight="1" x14ac:dyDescent="0.25">
      <c r="B48" s="41" t="s">
        <v>73</v>
      </c>
      <c r="C48" s="36" t="s">
        <v>61</v>
      </c>
      <c r="D48" s="37">
        <v>5</v>
      </c>
      <c r="E48" s="73">
        <v>3250.29</v>
      </c>
      <c r="F48" s="73">
        <v>3009.09</v>
      </c>
      <c r="G48" s="73">
        <v>2911.83</v>
      </c>
      <c r="H48" s="73">
        <v>2855.44</v>
      </c>
      <c r="I48" s="73">
        <v>3008.93</v>
      </c>
      <c r="J48" s="73">
        <v>3095.67</v>
      </c>
      <c r="K48" s="73">
        <v>3216.69</v>
      </c>
      <c r="L48" s="73">
        <v>5493.03</v>
      </c>
      <c r="M48" s="73">
        <v>5782.76</v>
      </c>
      <c r="N48" s="73">
        <v>5954.91</v>
      </c>
      <c r="O48" s="73">
        <v>6039.46</v>
      </c>
      <c r="P48" s="73">
        <v>6166.5</v>
      </c>
      <c r="Q48" s="73">
        <v>6040.11</v>
      </c>
      <c r="R48" s="73">
        <v>5984.22</v>
      </c>
      <c r="S48" s="73">
        <v>6001.56</v>
      </c>
      <c r="T48" s="73">
        <v>6072.16</v>
      </c>
      <c r="U48" s="73">
        <v>6069.9</v>
      </c>
      <c r="V48" s="73">
        <v>5502.33</v>
      </c>
      <c r="W48" s="73">
        <v>6470</v>
      </c>
      <c r="X48" s="73">
        <v>6481.39</v>
      </c>
      <c r="Y48" s="73">
        <v>6048.52</v>
      </c>
      <c r="Z48" s="73">
        <v>5610.85</v>
      </c>
      <c r="AA48" s="73">
        <v>5070.59</v>
      </c>
      <c r="AB48" s="73">
        <v>4457.5</v>
      </c>
      <c r="AC48" s="6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</row>
    <row r="49" spans="2:56" ht="18.649999999999999" customHeight="1" x14ac:dyDescent="0.25">
      <c r="B49" s="41" t="s">
        <v>73</v>
      </c>
      <c r="C49" s="36" t="s">
        <v>62</v>
      </c>
      <c r="D49" s="37">
        <v>4</v>
      </c>
      <c r="E49" s="73">
        <v>3335.81</v>
      </c>
      <c r="F49" s="73">
        <v>3130.92</v>
      </c>
      <c r="G49" s="73">
        <v>2923.51</v>
      </c>
      <c r="H49" s="73">
        <v>2894.14</v>
      </c>
      <c r="I49" s="73">
        <v>2918.64</v>
      </c>
      <c r="J49" s="73">
        <v>2797.75</v>
      </c>
      <c r="K49" s="73">
        <v>2461.12</v>
      </c>
      <c r="L49" s="73">
        <v>4341.54</v>
      </c>
      <c r="M49" s="73">
        <v>4802.58</v>
      </c>
      <c r="N49" s="73">
        <v>5081.54</v>
      </c>
      <c r="O49" s="73">
        <v>5212.74</v>
      </c>
      <c r="P49" s="73">
        <v>5645.78</v>
      </c>
      <c r="Q49" s="73">
        <v>5690.47</v>
      </c>
      <c r="R49" s="73">
        <v>5716.95</v>
      </c>
      <c r="S49" s="73">
        <v>5710.07</v>
      </c>
      <c r="T49" s="73">
        <v>5674.6</v>
      </c>
      <c r="U49" s="73">
        <v>5818.71</v>
      </c>
      <c r="V49" s="73">
        <v>5248.66</v>
      </c>
      <c r="W49" s="73">
        <v>6111.47</v>
      </c>
      <c r="X49" s="73">
        <v>6137.07</v>
      </c>
      <c r="Y49" s="73">
        <v>5826.51</v>
      </c>
      <c r="Z49" s="73">
        <v>5407.02</v>
      </c>
      <c r="AA49" s="73">
        <v>4775.46</v>
      </c>
      <c r="AB49" s="73">
        <v>4121.9799999999996</v>
      </c>
      <c r="AC49" s="6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</row>
    <row r="50" spans="2:56" ht="18.649999999999999" customHeight="1" x14ac:dyDescent="0.25">
      <c r="B50" s="41" t="s">
        <v>73</v>
      </c>
      <c r="C50" s="36" t="s">
        <v>63</v>
      </c>
      <c r="D50" s="37">
        <v>2</v>
      </c>
      <c r="E50" s="73">
        <v>3153.29</v>
      </c>
      <c r="F50" s="73">
        <v>2977.49</v>
      </c>
      <c r="G50" s="73">
        <v>2914.1</v>
      </c>
      <c r="H50" s="73">
        <v>2798.39</v>
      </c>
      <c r="I50" s="73">
        <v>2863.92</v>
      </c>
      <c r="J50" s="73">
        <v>2917.51</v>
      </c>
      <c r="K50" s="73">
        <v>2446.12</v>
      </c>
      <c r="L50" s="73">
        <v>4266.47</v>
      </c>
      <c r="M50" s="73">
        <v>4685.8</v>
      </c>
      <c r="N50" s="73">
        <v>5055.5600000000004</v>
      </c>
      <c r="O50" s="73">
        <v>5293.22</v>
      </c>
      <c r="P50" s="73">
        <v>5579.21</v>
      </c>
      <c r="Q50" s="73">
        <v>5627.79</v>
      </c>
      <c r="R50" s="73">
        <v>5652.42</v>
      </c>
      <c r="S50" s="73">
        <v>5552.72</v>
      </c>
      <c r="T50" s="73">
        <v>5460.71</v>
      </c>
      <c r="U50" s="73">
        <v>5417.54</v>
      </c>
      <c r="V50" s="73">
        <v>5245.93</v>
      </c>
      <c r="W50" s="73">
        <v>6239.13</v>
      </c>
      <c r="X50" s="73">
        <v>6194.13</v>
      </c>
      <c r="Y50" s="73">
        <v>5811</v>
      </c>
      <c r="Z50" s="73">
        <v>5179.79</v>
      </c>
      <c r="AA50" s="73">
        <v>4519.47</v>
      </c>
      <c r="AB50" s="73">
        <v>3853.01</v>
      </c>
      <c r="AC50" s="68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2:56" ht="18.649999999999999" customHeight="1" x14ac:dyDescent="0.25">
      <c r="B51" s="41" t="s">
        <v>74</v>
      </c>
      <c r="C51" s="36" t="s">
        <v>60</v>
      </c>
      <c r="D51" s="37">
        <v>21</v>
      </c>
      <c r="E51" s="73">
        <v>3200.96</v>
      </c>
      <c r="F51" s="73">
        <v>2980.57</v>
      </c>
      <c r="G51" s="73">
        <v>2900.98</v>
      </c>
      <c r="H51" s="73">
        <v>2875.58</v>
      </c>
      <c r="I51" s="73">
        <v>3056.56</v>
      </c>
      <c r="J51" s="73">
        <v>3423.53</v>
      </c>
      <c r="K51" s="73">
        <v>3384.72</v>
      </c>
      <c r="L51" s="73">
        <v>5485.63</v>
      </c>
      <c r="M51" s="73">
        <v>5629.7</v>
      </c>
      <c r="N51" s="73">
        <v>5791.1</v>
      </c>
      <c r="O51" s="73">
        <v>5962.08</v>
      </c>
      <c r="P51" s="73">
        <v>6243.11</v>
      </c>
      <c r="Q51" s="73">
        <v>6152.73</v>
      </c>
      <c r="R51" s="73">
        <v>6129.44</v>
      </c>
      <c r="S51" s="73">
        <v>6230.75</v>
      </c>
      <c r="T51" s="73">
        <v>6277.89</v>
      </c>
      <c r="U51" s="73">
        <v>6294.33</v>
      </c>
      <c r="V51" s="73">
        <v>5754.92</v>
      </c>
      <c r="W51" s="73">
        <v>6817.76</v>
      </c>
      <c r="X51" s="73">
        <v>6702.04</v>
      </c>
      <c r="Y51" s="73">
        <v>6347.37</v>
      </c>
      <c r="Z51" s="73">
        <v>5835.93</v>
      </c>
      <c r="AA51" s="73">
        <v>5167.24</v>
      </c>
      <c r="AB51" s="73">
        <v>4497.58</v>
      </c>
      <c r="AC51" s="66">
        <f>+SUM(E51:AB51)*D51+SUM(E52:AB52)*D52+SUM(E53:AB53)*D53+SUM(E54:AB54)*D54</f>
        <v>3693835.76</v>
      </c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2:56" ht="18.649999999999999" customHeight="1" x14ac:dyDescent="0.25">
      <c r="B52" s="41" t="s">
        <v>74</v>
      </c>
      <c r="C52" s="36" t="s">
        <v>61</v>
      </c>
      <c r="D52" s="37">
        <v>4</v>
      </c>
      <c r="E52" s="73">
        <v>3475.77</v>
      </c>
      <c r="F52" s="73">
        <v>3184.84</v>
      </c>
      <c r="G52" s="73">
        <v>3044.82</v>
      </c>
      <c r="H52" s="73">
        <v>2994.48</v>
      </c>
      <c r="I52" s="73">
        <v>3036.91</v>
      </c>
      <c r="J52" s="73">
        <v>3200.98</v>
      </c>
      <c r="K52" s="73">
        <v>2983.56</v>
      </c>
      <c r="L52" s="73">
        <v>5273.23</v>
      </c>
      <c r="M52" s="73">
        <v>5641.01</v>
      </c>
      <c r="N52" s="73">
        <v>5858.43</v>
      </c>
      <c r="O52" s="73">
        <v>5918.21</v>
      </c>
      <c r="P52" s="73">
        <v>5979.9</v>
      </c>
      <c r="Q52" s="73">
        <v>6078.9</v>
      </c>
      <c r="R52" s="73">
        <v>5890.57</v>
      </c>
      <c r="S52" s="73">
        <v>5708.83</v>
      </c>
      <c r="T52" s="73">
        <v>5736.63</v>
      </c>
      <c r="U52" s="73">
        <v>5792.15</v>
      </c>
      <c r="V52" s="73">
        <v>5276.32</v>
      </c>
      <c r="W52" s="73">
        <v>6278.52</v>
      </c>
      <c r="X52" s="73">
        <v>6166.43</v>
      </c>
      <c r="Y52" s="73">
        <v>5809.08</v>
      </c>
      <c r="Z52" s="73">
        <v>5328.84</v>
      </c>
      <c r="AA52" s="73">
        <v>4913.51</v>
      </c>
      <c r="AB52" s="73">
        <v>4481.17</v>
      </c>
      <c r="AC52" s="6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2:56" ht="18.649999999999999" customHeight="1" x14ac:dyDescent="0.25">
      <c r="B53" s="41" t="s">
        <v>74</v>
      </c>
      <c r="C53" s="36" t="s">
        <v>62</v>
      </c>
      <c r="D53" s="37">
        <v>4</v>
      </c>
      <c r="E53" s="73">
        <v>3418.17</v>
      </c>
      <c r="F53" s="73">
        <v>3181.38</v>
      </c>
      <c r="G53" s="73">
        <v>2989.36</v>
      </c>
      <c r="H53" s="73">
        <v>2923.17</v>
      </c>
      <c r="I53" s="73">
        <v>2824.39</v>
      </c>
      <c r="J53" s="73">
        <v>2738.48</v>
      </c>
      <c r="K53" s="73">
        <v>2258.08</v>
      </c>
      <c r="L53" s="73">
        <v>3982.66</v>
      </c>
      <c r="M53" s="73">
        <v>4443.51</v>
      </c>
      <c r="N53" s="73">
        <v>4748.55</v>
      </c>
      <c r="O53" s="73">
        <v>4916.45</v>
      </c>
      <c r="P53" s="73">
        <v>5100.0200000000004</v>
      </c>
      <c r="Q53" s="73">
        <v>5332.49</v>
      </c>
      <c r="R53" s="73">
        <v>5363.63</v>
      </c>
      <c r="S53" s="73">
        <v>5364.61</v>
      </c>
      <c r="T53" s="73">
        <v>5295.07</v>
      </c>
      <c r="U53" s="73">
        <v>5199.63</v>
      </c>
      <c r="V53" s="73">
        <v>4732.6099999999997</v>
      </c>
      <c r="W53" s="73">
        <v>5879.14</v>
      </c>
      <c r="X53" s="73">
        <v>6089.2</v>
      </c>
      <c r="Y53" s="73">
        <v>6011.78</v>
      </c>
      <c r="Z53" s="73">
        <v>5624.48</v>
      </c>
      <c r="AA53" s="73">
        <v>4861.3</v>
      </c>
      <c r="AB53" s="73">
        <v>4042.65</v>
      </c>
      <c r="AC53" s="6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2:56" ht="18.649999999999999" customHeight="1" x14ac:dyDescent="0.25">
      <c r="B54" s="41" t="s">
        <v>74</v>
      </c>
      <c r="C54" s="36" t="s">
        <v>63</v>
      </c>
      <c r="D54" s="37">
        <v>2</v>
      </c>
      <c r="E54" s="73">
        <v>3573.35</v>
      </c>
      <c r="F54" s="73">
        <v>3412.03</v>
      </c>
      <c r="G54" s="73">
        <v>3201.3</v>
      </c>
      <c r="H54" s="73">
        <v>2985.34</v>
      </c>
      <c r="I54" s="73">
        <v>2860.02</v>
      </c>
      <c r="J54" s="73">
        <v>2708.12</v>
      </c>
      <c r="K54" s="73">
        <v>2073.84</v>
      </c>
      <c r="L54" s="73">
        <v>3788.39</v>
      </c>
      <c r="M54" s="73">
        <v>4078.55</v>
      </c>
      <c r="N54" s="73">
        <v>4268.95</v>
      </c>
      <c r="O54" s="73">
        <v>4469.08</v>
      </c>
      <c r="P54" s="73">
        <v>4703.42</v>
      </c>
      <c r="Q54" s="73">
        <v>4916.78</v>
      </c>
      <c r="R54" s="73">
        <v>5015.32</v>
      </c>
      <c r="S54" s="73">
        <v>5003.2299999999996</v>
      </c>
      <c r="T54" s="73">
        <v>5036.28</v>
      </c>
      <c r="U54" s="73">
        <v>5143.8999999999996</v>
      </c>
      <c r="V54" s="73">
        <v>4623.6000000000004</v>
      </c>
      <c r="W54" s="73">
        <v>5800.04</v>
      </c>
      <c r="X54" s="73">
        <v>5885.09</v>
      </c>
      <c r="Y54" s="73">
        <v>5696.41</v>
      </c>
      <c r="Z54" s="73">
        <v>5289.2</v>
      </c>
      <c r="AA54" s="73">
        <v>4610.03</v>
      </c>
      <c r="AB54" s="73">
        <v>4031.56</v>
      </c>
      <c r="AC54" s="68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  <row r="55" spans="2:56" ht="18.649999999999999" customHeight="1" x14ac:dyDescent="0.2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70" t="s">
        <v>75</v>
      </c>
      <c r="AA55" s="70"/>
      <c r="AB55" s="70"/>
      <c r="AC55" s="71">
        <f>SUM(AC7:AC54)</f>
        <v>42453916.670000002</v>
      </c>
    </row>
    <row r="57" spans="2:56" x14ac:dyDescent="0.25">
      <c r="AC57" s="72"/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E15A-FA7D-493A-B6A0-758A70899397}">
  <dimension ref="B1:K160"/>
  <sheetViews>
    <sheetView showGridLines="0" topLeftCell="A2" workbookViewId="0">
      <selection activeCell="E5" sqref="E5"/>
    </sheetView>
  </sheetViews>
  <sheetFormatPr baseColWidth="10" defaultColWidth="10.81640625" defaultRowHeight="14.5" x14ac:dyDescent="0.35"/>
  <cols>
    <col min="1" max="1" width="4.54296875" style="3" customWidth="1"/>
    <col min="2" max="2" width="25.54296875" style="3" customWidth="1"/>
    <col min="3" max="3" width="20.7265625" style="3" bestFit="1" customWidth="1"/>
    <col min="4" max="4" width="12.54296875" style="3" customWidth="1"/>
    <col min="5" max="5" width="15.26953125" style="3" bestFit="1" customWidth="1"/>
    <col min="6" max="6" width="9" style="3" customWidth="1"/>
    <col min="7" max="16384" width="10.81640625" style="3"/>
  </cols>
  <sheetData>
    <row r="1" spans="2:11" ht="15.5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ht="15.5" x14ac:dyDescent="0.35">
      <c r="B2" s="4" t="s">
        <v>1</v>
      </c>
      <c r="C2" s="5">
        <v>2</v>
      </c>
      <c r="D2" s="2"/>
      <c r="E2" s="2"/>
      <c r="F2" s="2"/>
      <c r="G2" s="2"/>
      <c r="H2" s="2"/>
      <c r="I2" s="2"/>
      <c r="J2" s="2"/>
      <c r="K2" s="2"/>
    </row>
    <row r="3" spans="2:11" ht="15.5" x14ac:dyDescent="0.35">
      <c r="B3" s="6"/>
      <c r="C3" s="5"/>
      <c r="D3" s="2"/>
      <c r="E3" s="2"/>
      <c r="F3" s="2"/>
      <c r="G3" s="2"/>
      <c r="H3" s="2"/>
      <c r="I3" s="2"/>
      <c r="J3" s="2"/>
      <c r="K3" s="2"/>
    </row>
    <row r="4" spans="2:11" ht="31" x14ac:dyDescent="0.35">
      <c r="B4" s="7" t="s">
        <v>2</v>
      </c>
      <c r="C4" s="8" t="s">
        <v>27</v>
      </c>
      <c r="D4" s="2"/>
      <c r="E4" s="2"/>
      <c r="F4" s="2"/>
      <c r="G4" s="2"/>
      <c r="H4" s="2"/>
      <c r="I4" s="2"/>
      <c r="J4" s="2"/>
      <c r="K4" s="2"/>
    </row>
    <row r="5" spans="2:11" ht="15.5" x14ac:dyDescent="0.35">
      <c r="B5" s="9" t="s">
        <v>3</v>
      </c>
      <c r="C5" s="8"/>
      <c r="D5" s="2"/>
      <c r="E5" s="2"/>
      <c r="F5" s="2"/>
      <c r="G5" s="2"/>
      <c r="H5" s="2"/>
      <c r="I5" s="2"/>
      <c r="J5" s="2"/>
      <c r="K5" s="2"/>
    </row>
    <row r="6" spans="2:11" ht="15.5" x14ac:dyDescent="0.35">
      <c r="B6" s="9" t="s">
        <v>4</v>
      </c>
      <c r="C6" s="9" t="s">
        <v>20</v>
      </c>
      <c r="D6" s="2"/>
      <c r="E6" s="2"/>
      <c r="F6" s="2"/>
      <c r="G6" s="2"/>
      <c r="H6" s="2"/>
      <c r="I6" s="2"/>
      <c r="J6" s="2"/>
      <c r="K6" s="2"/>
    </row>
    <row r="7" spans="2:11" ht="15.5" x14ac:dyDescent="0.35">
      <c r="B7" s="9" t="s">
        <v>5</v>
      </c>
      <c r="C7" s="8" t="s">
        <v>6</v>
      </c>
      <c r="D7" s="2"/>
      <c r="E7" s="2"/>
      <c r="F7" s="2"/>
      <c r="G7" s="2"/>
      <c r="H7" s="2"/>
      <c r="I7" s="2"/>
      <c r="J7" s="2"/>
      <c r="K7" s="2"/>
    </row>
    <row r="8" spans="2:11" ht="15.5" x14ac:dyDescent="0.35">
      <c r="B8" s="9" t="s">
        <v>7</v>
      </c>
      <c r="C8" s="10">
        <v>45839</v>
      </c>
      <c r="D8" s="2"/>
      <c r="E8" s="2"/>
      <c r="F8" s="2"/>
      <c r="G8" s="2"/>
      <c r="H8" s="2"/>
      <c r="I8" s="2"/>
      <c r="J8" s="2"/>
      <c r="K8" s="2"/>
    </row>
    <row r="9" spans="2:11" ht="15.5" x14ac:dyDescent="0.35">
      <c r="B9" s="7" t="s">
        <v>8</v>
      </c>
      <c r="C9" s="11" t="s">
        <v>9</v>
      </c>
      <c r="D9" s="2"/>
      <c r="E9" s="2"/>
      <c r="F9" s="2"/>
      <c r="G9" s="2"/>
      <c r="H9" s="2"/>
      <c r="I9" s="2"/>
      <c r="J9" s="2"/>
      <c r="K9" s="2"/>
    </row>
    <row r="10" spans="2:11" ht="15.5" x14ac:dyDescent="0.35">
      <c r="B10" s="9" t="s">
        <v>10</v>
      </c>
      <c r="C10" s="11" t="s">
        <v>28</v>
      </c>
      <c r="D10" s="2"/>
      <c r="E10" s="2"/>
      <c r="F10" s="2"/>
      <c r="G10" s="2"/>
      <c r="H10" s="2"/>
      <c r="I10" s="2"/>
      <c r="J10" s="2"/>
      <c r="K10" s="2"/>
    </row>
    <row r="11" spans="2:11" ht="15.5" x14ac:dyDescent="0.35">
      <c r="B11" s="9" t="s">
        <v>11</v>
      </c>
      <c r="C11" s="11" t="s">
        <v>26</v>
      </c>
      <c r="D11" s="2"/>
      <c r="E11" s="2"/>
      <c r="F11" s="2"/>
      <c r="G11" s="2"/>
      <c r="H11" s="2"/>
      <c r="I11" s="2"/>
      <c r="J11" s="2"/>
      <c r="K11" s="2"/>
    </row>
    <row r="12" spans="2:1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ht="31" x14ac:dyDescent="0.35">
      <c r="B13" s="12" t="s">
        <v>12</v>
      </c>
      <c r="C13" s="12" t="s">
        <v>13</v>
      </c>
      <c r="D13" s="13" t="s">
        <v>14</v>
      </c>
      <c r="E13" s="12" t="s">
        <v>15</v>
      </c>
      <c r="F13" s="12" t="s">
        <v>16</v>
      </c>
      <c r="G13" s="14"/>
      <c r="H13" s="14"/>
      <c r="I13" s="14"/>
      <c r="J13" s="2"/>
      <c r="K13" s="2"/>
    </row>
    <row r="14" spans="2:11" x14ac:dyDescent="0.35">
      <c r="B14" s="15">
        <v>46388</v>
      </c>
      <c r="C14" s="16">
        <v>5952000</v>
      </c>
      <c r="D14" s="17"/>
      <c r="E14" s="16"/>
      <c r="F14" s="18"/>
      <c r="G14" s="14"/>
      <c r="H14" s="14"/>
      <c r="I14" s="14"/>
      <c r="J14" s="2"/>
      <c r="K14" s="2"/>
    </row>
    <row r="15" spans="2:11" x14ac:dyDescent="0.35">
      <c r="B15" s="15">
        <v>46419</v>
      </c>
      <c r="C15" s="16">
        <v>5376000</v>
      </c>
      <c r="D15" s="17"/>
      <c r="E15" s="16"/>
      <c r="F15" s="18"/>
      <c r="G15" s="14"/>
      <c r="H15" s="14"/>
      <c r="I15" s="14"/>
      <c r="J15" s="2"/>
      <c r="K15" s="2"/>
    </row>
    <row r="16" spans="2:11" x14ac:dyDescent="0.35">
      <c r="B16" s="15">
        <v>46447</v>
      </c>
      <c r="C16" s="16">
        <v>5952000</v>
      </c>
      <c r="D16" s="17"/>
      <c r="E16" s="16"/>
      <c r="F16" s="18"/>
      <c r="G16" s="14"/>
      <c r="H16" s="14"/>
      <c r="I16" s="14"/>
      <c r="J16" s="2"/>
      <c r="K16" s="2"/>
    </row>
    <row r="17" spans="2:11" x14ac:dyDescent="0.35">
      <c r="B17" s="15">
        <v>46478</v>
      </c>
      <c r="C17" s="16">
        <v>5760000</v>
      </c>
      <c r="D17" s="17"/>
      <c r="E17" s="16"/>
      <c r="F17" s="18"/>
      <c r="G17" s="14"/>
      <c r="H17" s="14"/>
      <c r="I17" s="14"/>
      <c r="J17" s="2"/>
      <c r="K17" s="2"/>
    </row>
    <row r="18" spans="2:11" x14ac:dyDescent="0.35">
      <c r="B18" s="15">
        <v>46508</v>
      </c>
      <c r="C18" s="16">
        <v>5952000</v>
      </c>
      <c r="D18" s="17"/>
      <c r="E18" s="16"/>
      <c r="F18" s="18"/>
      <c r="G18" s="14"/>
      <c r="H18" s="14"/>
      <c r="I18" s="14"/>
      <c r="J18" s="2"/>
      <c r="K18" s="2"/>
    </row>
    <row r="19" spans="2:11" x14ac:dyDescent="0.35">
      <c r="B19" s="15">
        <v>46539</v>
      </c>
      <c r="C19" s="16">
        <v>5760000</v>
      </c>
      <c r="D19" s="17"/>
      <c r="E19" s="16"/>
      <c r="F19" s="18"/>
      <c r="G19" s="14"/>
      <c r="H19" s="14"/>
      <c r="I19" s="14"/>
      <c r="J19" s="2"/>
      <c r="K19" s="2"/>
    </row>
    <row r="20" spans="2:11" x14ac:dyDescent="0.35">
      <c r="B20" s="15">
        <v>46569</v>
      </c>
      <c r="C20" s="16">
        <v>5952000</v>
      </c>
      <c r="D20" s="17"/>
      <c r="E20" s="16"/>
      <c r="F20" s="18"/>
      <c r="G20" s="14"/>
      <c r="H20" s="14"/>
      <c r="I20" s="14"/>
      <c r="J20" s="2"/>
      <c r="K20" s="2"/>
    </row>
    <row r="21" spans="2:11" x14ac:dyDescent="0.35">
      <c r="B21" s="15">
        <v>46600</v>
      </c>
      <c r="C21" s="16">
        <v>5952000</v>
      </c>
      <c r="D21" s="17"/>
      <c r="E21" s="16"/>
      <c r="F21" s="18"/>
      <c r="G21" s="14"/>
      <c r="H21" s="14"/>
      <c r="I21" s="14"/>
      <c r="J21" s="2"/>
      <c r="K21" s="2"/>
    </row>
    <row r="22" spans="2:11" x14ac:dyDescent="0.35">
      <c r="B22" s="15">
        <v>46631</v>
      </c>
      <c r="C22" s="16">
        <v>5760000</v>
      </c>
      <c r="D22" s="17"/>
      <c r="E22" s="16"/>
      <c r="F22" s="18"/>
      <c r="G22" s="14"/>
      <c r="H22" s="14"/>
      <c r="I22" s="14"/>
      <c r="J22" s="2"/>
      <c r="K22" s="2"/>
    </row>
    <row r="23" spans="2:11" x14ac:dyDescent="0.35">
      <c r="B23" s="15">
        <v>46661</v>
      </c>
      <c r="C23" s="16">
        <v>5952000</v>
      </c>
      <c r="D23" s="17"/>
      <c r="E23" s="16"/>
      <c r="F23" s="18"/>
      <c r="G23" s="14"/>
      <c r="H23" s="14"/>
      <c r="I23" s="14"/>
      <c r="J23" s="2"/>
      <c r="K23" s="2"/>
    </row>
    <row r="24" spans="2:11" x14ac:dyDescent="0.35">
      <c r="B24" s="15">
        <v>46692</v>
      </c>
      <c r="C24" s="16">
        <v>5760000</v>
      </c>
      <c r="D24" s="17"/>
      <c r="E24" s="16"/>
      <c r="F24" s="18"/>
      <c r="G24" s="14"/>
      <c r="H24" s="14"/>
      <c r="I24" s="14"/>
      <c r="J24" s="2"/>
      <c r="K24" s="2"/>
    </row>
    <row r="25" spans="2:11" x14ac:dyDescent="0.35">
      <c r="B25" s="15">
        <v>46722</v>
      </c>
      <c r="C25" s="16">
        <v>5952000</v>
      </c>
      <c r="D25" s="17"/>
      <c r="E25" s="16"/>
      <c r="F25" s="18"/>
      <c r="G25" s="14"/>
      <c r="H25" s="14"/>
      <c r="I25" s="14"/>
      <c r="J25" s="2"/>
      <c r="K25" s="2"/>
    </row>
    <row r="26" spans="2:11" x14ac:dyDescent="0.35">
      <c r="B26" s="15">
        <v>46753</v>
      </c>
      <c r="C26" s="16">
        <v>5952000</v>
      </c>
      <c r="D26" s="17"/>
      <c r="E26" s="16"/>
      <c r="F26" s="18"/>
      <c r="G26" s="14"/>
      <c r="H26" s="14"/>
      <c r="I26" s="14"/>
      <c r="J26" s="2"/>
      <c r="K26" s="2"/>
    </row>
    <row r="27" spans="2:11" x14ac:dyDescent="0.35">
      <c r="B27" s="15">
        <v>46784</v>
      </c>
      <c r="C27" s="16">
        <v>5568000</v>
      </c>
      <c r="D27" s="17"/>
      <c r="E27" s="16"/>
      <c r="F27" s="18"/>
      <c r="G27" s="14"/>
      <c r="H27" s="14"/>
      <c r="I27" s="14"/>
      <c r="J27" s="2"/>
      <c r="K27" s="2"/>
    </row>
    <row r="28" spans="2:11" x14ac:dyDescent="0.35">
      <c r="B28" s="15">
        <v>46813</v>
      </c>
      <c r="C28" s="16">
        <v>5952000</v>
      </c>
      <c r="D28" s="17"/>
      <c r="E28" s="16"/>
      <c r="F28" s="18"/>
      <c r="G28" s="14"/>
      <c r="H28" s="14"/>
      <c r="I28" s="14"/>
      <c r="J28" s="2"/>
      <c r="K28" s="2"/>
    </row>
    <row r="29" spans="2:11" x14ac:dyDescent="0.35">
      <c r="B29" s="15">
        <v>46844</v>
      </c>
      <c r="C29" s="16">
        <v>5760000</v>
      </c>
      <c r="D29" s="17"/>
      <c r="E29" s="16"/>
      <c r="F29" s="18"/>
      <c r="G29" s="14"/>
      <c r="H29" s="14"/>
      <c r="I29" s="14"/>
      <c r="J29" s="2"/>
      <c r="K29" s="2"/>
    </row>
    <row r="30" spans="2:11" x14ac:dyDescent="0.35">
      <c r="B30" s="15">
        <v>46874</v>
      </c>
      <c r="C30" s="16">
        <v>5952000</v>
      </c>
      <c r="D30" s="17"/>
      <c r="E30" s="16"/>
      <c r="F30" s="18"/>
      <c r="G30" s="14"/>
      <c r="H30" s="14"/>
      <c r="I30" s="14"/>
      <c r="J30" s="2"/>
      <c r="K30" s="2"/>
    </row>
    <row r="31" spans="2:11" x14ac:dyDescent="0.35">
      <c r="B31" s="15">
        <v>46905</v>
      </c>
      <c r="C31" s="16">
        <v>5760000</v>
      </c>
      <c r="D31" s="17"/>
      <c r="E31" s="16"/>
      <c r="F31" s="18"/>
      <c r="G31" s="14"/>
      <c r="H31" s="14"/>
      <c r="I31" s="14"/>
      <c r="J31" s="2"/>
      <c r="K31" s="2"/>
    </row>
    <row r="32" spans="2:11" x14ac:dyDescent="0.35">
      <c r="B32" s="15">
        <v>46935</v>
      </c>
      <c r="C32" s="16">
        <v>5952000</v>
      </c>
      <c r="D32" s="17"/>
      <c r="E32" s="16"/>
      <c r="F32" s="18"/>
      <c r="G32" s="14"/>
      <c r="H32" s="14"/>
      <c r="I32" s="14"/>
      <c r="J32" s="2"/>
      <c r="K32" s="2"/>
    </row>
    <row r="33" spans="2:11" x14ac:dyDescent="0.35">
      <c r="B33" s="15">
        <v>46966</v>
      </c>
      <c r="C33" s="16">
        <v>5952000</v>
      </c>
      <c r="D33" s="17"/>
      <c r="E33" s="16"/>
      <c r="F33" s="18"/>
      <c r="G33" s="14"/>
      <c r="H33" s="14"/>
      <c r="I33" s="14"/>
      <c r="J33" s="2"/>
      <c r="K33" s="2"/>
    </row>
    <row r="34" spans="2:11" x14ac:dyDescent="0.35">
      <c r="B34" s="15">
        <v>46997</v>
      </c>
      <c r="C34" s="16">
        <v>5760000</v>
      </c>
      <c r="D34" s="17"/>
      <c r="E34" s="16"/>
      <c r="F34" s="18"/>
      <c r="G34" s="14"/>
      <c r="H34" s="14"/>
      <c r="I34" s="14"/>
      <c r="J34" s="2"/>
      <c r="K34" s="2"/>
    </row>
    <row r="35" spans="2:11" x14ac:dyDescent="0.35">
      <c r="B35" s="15">
        <v>47027</v>
      </c>
      <c r="C35" s="16">
        <v>5952000</v>
      </c>
      <c r="D35" s="17"/>
      <c r="E35" s="16"/>
      <c r="F35" s="18"/>
      <c r="G35" s="14"/>
      <c r="H35" s="14"/>
      <c r="I35" s="14"/>
      <c r="J35" s="2"/>
      <c r="K35" s="2"/>
    </row>
    <row r="36" spans="2:11" x14ac:dyDescent="0.35">
      <c r="B36" s="15">
        <v>47058</v>
      </c>
      <c r="C36" s="16">
        <v>5760000</v>
      </c>
      <c r="D36" s="17"/>
      <c r="E36" s="16"/>
      <c r="F36" s="18"/>
      <c r="G36" s="14"/>
      <c r="H36" s="14"/>
      <c r="I36" s="14"/>
      <c r="J36" s="2"/>
      <c r="K36" s="2"/>
    </row>
    <row r="37" spans="2:11" x14ac:dyDescent="0.35">
      <c r="B37" s="15">
        <v>47088</v>
      </c>
      <c r="C37" s="16">
        <v>5952000</v>
      </c>
      <c r="D37" s="17"/>
      <c r="E37" s="16"/>
      <c r="F37" s="18"/>
      <c r="G37" s="14"/>
      <c r="H37" s="14"/>
      <c r="I37" s="14"/>
      <c r="J37" s="2"/>
      <c r="K37" s="2"/>
    </row>
    <row r="38" spans="2:11" x14ac:dyDescent="0.35">
      <c r="B38" s="15">
        <v>47119</v>
      </c>
      <c r="C38" s="16">
        <v>5952000</v>
      </c>
      <c r="D38" s="17"/>
      <c r="E38" s="16"/>
      <c r="F38" s="18"/>
      <c r="G38" s="14"/>
      <c r="H38" s="14"/>
      <c r="I38" s="14"/>
      <c r="J38" s="2"/>
      <c r="K38" s="2"/>
    </row>
    <row r="39" spans="2:11" x14ac:dyDescent="0.35">
      <c r="B39" s="15">
        <v>47150</v>
      </c>
      <c r="C39" s="16">
        <v>5376000</v>
      </c>
      <c r="D39" s="17"/>
      <c r="E39" s="16"/>
      <c r="F39" s="18"/>
      <c r="G39" s="14"/>
      <c r="H39" s="14"/>
      <c r="I39" s="14"/>
      <c r="J39" s="2"/>
      <c r="K39" s="2"/>
    </row>
    <row r="40" spans="2:11" x14ac:dyDescent="0.35">
      <c r="B40" s="15">
        <v>47178</v>
      </c>
      <c r="C40" s="16">
        <v>5952000</v>
      </c>
      <c r="D40" s="17"/>
      <c r="E40" s="16"/>
      <c r="F40" s="18"/>
      <c r="G40" s="14"/>
      <c r="H40" s="14"/>
      <c r="I40" s="14"/>
      <c r="J40" s="2"/>
      <c r="K40" s="2"/>
    </row>
    <row r="41" spans="2:11" x14ac:dyDescent="0.35">
      <c r="B41" s="15">
        <v>47209</v>
      </c>
      <c r="C41" s="16">
        <v>5760000</v>
      </c>
      <c r="D41" s="17"/>
      <c r="E41" s="16"/>
      <c r="F41" s="18"/>
      <c r="G41" s="14"/>
      <c r="H41" s="14"/>
      <c r="I41" s="14"/>
      <c r="J41" s="2"/>
      <c r="K41" s="2"/>
    </row>
    <row r="42" spans="2:11" x14ac:dyDescent="0.35">
      <c r="B42" s="15">
        <v>47239</v>
      </c>
      <c r="C42" s="16">
        <v>5952000</v>
      </c>
      <c r="D42" s="17"/>
      <c r="E42" s="16"/>
      <c r="F42" s="18"/>
      <c r="G42" s="14"/>
      <c r="H42" s="14"/>
      <c r="I42" s="14"/>
      <c r="J42" s="2"/>
      <c r="K42" s="2"/>
    </row>
    <row r="43" spans="2:11" x14ac:dyDescent="0.35">
      <c r="B43" s="15">
        <v>47270</v>
      </c>
      <c r="C43" s="16">
        <v>5760000</v>
      </c>
      <c r="D43" s="17"/>
      <c r="E43" s="16"/>
      <c r="F43" s="18"/>
      <c r="G43" s="14"/>
      <c r="H43" s="14"/>
      <c r="I43" s="14"/>
      <c r="J43" s="2"/>
      <c r="K43" s="2"/>
    </row>
    <row r="44" spans="2:11" x14ac:dyDescent="0.35">
      <c r="B44" s="15">
        <v>47300</v>
      </c>
      <c r="C44" s="16">
        <v>5952000</v>
      </c>
      <c r="D44" s="17"/>
      <c r="E44" s="16"/>
      <c r="F44" s="18"/>
      <c r="G44" s="14"/>
      <c r="H44" s="14"/>
      <c r="I44" s="14"/>
      <c r="J44" s="2"/>
      <c r="K44" s="2"/>
    </row>
    <row r="45" spans="2:11" x14ac:dyDescent="0.35">
      <c r="B45" s="15">
        <v>47331</v>
      </c>
      <c r="C45" s="16">
        <v>5952000</v>
      </c>
      <c r="D45" s="17"/>
      <c r="E45" s="16"/>
      <c r="F45" s="18"/>
      <c r="G45" s="14"/>
      <c r="H45" s="14"/>
      <c r="I45" s="14"/>
      <c r="J45" s="2"/>
      <c r="K45" s="2"/>
    </row>
    <row r="46" spans="2:11" x14ac:dyDescent="0.35">
      <c r="B46" s="15">
        <v>47362</v>
      </c>
      <c r="C46" s="16">
        <v>5760000</v>
      </c>
      <c r="D46" s="17"/>
      <c r="E46" s="16"/>
      <c r="F46" s="18"/>
      <c r="G46" s="14"/>
      <c r="H46" s="14"/>
      <c r="I46" s="14"/>
      <c r="J46" s="2"/>
      <c r="K46" s="2"/>
    </row>
    <row r="47" spans="2:11" x14ac:dyDescent="0.35">
      <c r="B47" s="15">
        <v>47392</v>
      </c>
      <c r="C47" s="16">
        <v>5952000</v>
      </c>
      <c r="D47" s="17"/>
      <c r="E47" s="16"/>
      <c r="F47" s="18"/>
      <c r="G47" s="14"/>
      <c r="H47" s="14"/>
      <c r="I47" s="14"/>
      <c r="J47" s="2"/>
      <c r="K47" s="2"/>
    </row>
    <row r="48" spans="2:11" x14ac:dyDescent="0.35">
      <c r="B48" s="15">
        <v>47423</v>
      </c>
      <c r="C48" s="16">
        <v>5760000</v>
      </c>
      <c r="D48" s="17"/>
      <c r="E48" s="16"/>
      <c r="F48" s="18"/>
      <c r="G48" s="14"/>
      <c r="H48" s="14"/>
      <c r="I48" s="14"/>
      <c r="J48" s="2"/>
      <c r="K48" s="2"/>
    </row>
    <row r="49" spans="2:11" x14ac:dyDescent="0.35">
      <c r="B49" s="15">
        <v>47453</v>
      </c>
      <c r="C49" s="16">
        <v>5952000</v>
      </c>
      <c r="D49" s="17"/>
      <c r="E49" s="16"/>
      <c r="F49" s="18"/>
      <c r="G49" s="14"/>
      <c r="H49" s="14"/>
      <c r="I49" s="14"/>
      <c r="J49" s="2"/>
      <c r="K49" s="2"/>
    </row>
    <row r="50" spans="2:11" x14ac:dyDescent="0.35">
      <c r="B50" s="15">
        <v>47484</v>
      </c>
      <c r="C50" s="16">
        <v>5952000</v>
      </c>
      <c r="D50" s="17"/>
      <c r="E50" s="16"/>
      <c r="F50" s="18"/>
      <c r="G50" s="14"/>
      <c r="H50" s="14"/>
      <c r="I50" s="14"/>
      <c r="J50" s="2"/>
      <c r="K50" s="2"/>
    </row>
    <row r="51" spans="2:11" x14ac:dyDescent="0.35">
      <c r="B51" s="15">
        <v>47515</v>
      </c>
      <c r="C51" s="16">
        <v>5376000</v>
      </c>
      <c r="D51" s="17"/>
      <c r="E51" s="16"/>
      <c r="F51" s="18"/>
      <c r="G51" s="14"/>
      <c r="H51" s="14"/>
      <c r="I51" s="14"/>
      <c r="J51" s="2"/>
      <c r="K51" s="2"/>
    </row>
    <row r="52" spans="2:11" x14ac:dyDescent="0.35">
      <c r="B52" s="15">
        <v>47543</v>
      </c>
      <c r="C52" s="16">
        <v>5952000</v>
      </c>
      <c r="D52" s="17"/>
      <c r="E52" s="16"/>
      <c r="F52" s="18"/>
      <c r="G52" s="14"/>
      <c r="H52" s="14"/>
      <c r="I52" s="14"/>
      <c r="J52" s="2"/>
      <c r="K52" s="2"/>
    </row>
    <row r="53" spans="2:11" x14ac:dyDescent="0.35">
      <c r="B53" s="15">
        <v>47574</v>
      </c>
      <c r="C53" s="16">
        <v>5760000</v>
      </c>
      <c r="D53" s="17"/>
      <c r="E53" s="16"/>
      <c r="F53" s="18"/>
      <c r="G53" s="14"/>
      <c r="H53" s="14"/>
      <c r="I53" s="14"/>
      <c r="J53" s="2"/>
      <c r="K53" s="2"/>
    </row>
    <row r="54" spans="2:11" x14ac:dyDescent="0.35">
      <c r="B54" s="15">
        <v>47604</v>
      </c>
      <c r="C54" s="16">
        <v>5952000</v>
      </c>
      <c r="D54" s="17"/>
      <c r="E54" s="16"/>
      <c r="F54" s="18"/>
      <c r="G54" s="14"/>
      <c r="H54" s="14"/>
      <c r="I54" s="14"/>
      <c r="J54" s="2"/>
      <c r="K54" s="2"/>
    </row>
    <row r="55" spans="2:11" x14ac:dyDescent="0.35">
      <c r="B55" s="15">
        <v>47635</v>
      </c>
      <c r="C55" s="16">
        <v>5760000</v>
      </c>
      <c r="D55" s="17"/>
      <c r="E55" s="16"/>
      <c r="F55" s="18"/>
      <c r="G55" s="14"/>
      <c r="H55" s="14"/>
      <c r="I55" s="14"/>
      <c r="J55" s="2"/>
      <c r="K55" s="2"/>
    </row>
    <row r="56" spans="2:11" x14ac:dyDescent="0.35">
      <c r="B56" s="15">
        <v>47665</v>
      </c>
      <c r="C56" s="16">
        <v>5952000</v>
      </c>
      <c r="D56" s="17"/>
      <c r="E56" s="16"/>
      <c r="F56" s="18"/>
      <c r="G56" s="14"/>
      <c r="H56" s="14"/>
      <c r="I56" s="14"/>
      <c r="J56" s="2"/>
      <c r="K56" s="2"/>
    </row>
    <row r="57" spans="2:11" x14ac:dyDescent="0.35">
      <c r="B57" s="15">
        <v>47696</v>
      </c>
      <c r="C57" s="16">
        <v>5952000</v>
      </c>
      <c r="D57" s="17"/>
      <c r="E57" s="16"/>
      <c r="F57" s="18"/>
      <c r="G57" s="14"/>
      <c r="H57" s="14"/>
      <c r="I57" s="14"/>
      <c r="J57" s="2"/>
      <c r="K57" s="2"/>
    </row>
    <row r="58" spans="2:11" x14ac:dyDescent="0.35">
      <c r="B58" s="15">
        <v>47727</v>
      </c>
      <c r="C58" s="16">
        <v>5760000</v>
      </c>
      <c r="D58" s="17"/>
      <c r="E58" s="16"/>
      <c r="F58" s="18"/>
      <c r="G58" s="14"/>
      <c r="H58" s="14"/>
      <c r="I58" s="14"/>
      <c r="J58" s="2"/>
      <c r="K58" s="2"/>
    </row>
    <row r="59" spans="2:11" x14ac:dyDescent="0.35">
      <c r="B59" s="15">
        <v>47757</v>
      </c>
      <c r="C59" s="16">
        <v>5952000</v>
      </c>
      <c r="D59" s="17"/>
      <c r="E59" s="16"/>
      <c r="F59" s="18"/>
      <c r="G59" s="14"/>
      <c r="H59" s="14"/>
      <c r="I59" s="14"/>
      <c r="J59" s="2"/>
      <c r="K59" s="2"/>
    </row>
    <row r="60" spans="2:11" x14ac:dyDescent="0.35">
      <c r="B60" s="15">
        <v>47788</v>
      </c>
      <c r="C60" s="16">
        <v>5760000</v>
      </c>
      <c r="D60" s="17"/>
      <c r="E60" s="16"/>
      <c r="F60" s="18"/>
      <c r="G60" s="14"/>
      <c r="H60" s="14"/>
      <c r="I60" s="14"/>
      <c r="J60" s="2"/>
      <c r="K60" s="2"/>
    </row>
    <row r="61" spans="2:11" x14ac:dyDescent="0.35">
      <c r="B61" s="15">
        <v>47818</v>
      </c>
      <c r="C61" s="16">
        <v>5952000</v>
      </c>
      <c r="D61" s="17"/>
      <c r="E61" s="16"/>
      <c r="F61" s="18"/>
      <c r="G61" s="14"/>
      <c r="H61" s="14"/>
      <c r="I61" s="14"/>
      <c r="J61" s="2"/>
      <c r="K61" s="2"/>
    </row>
    <row r="62" spans="2:11" x14ac:dyDescent="0.35">
      <c r="B62" s="15">
        <v>47849</v>
      </c>
      <c r="C62" s="16">
        <v>5952000</v>
      </c>
      <c r="D62" s="17"/>
      <c r="E62" s="16"/>
      <c r="F62" s="18"/>
      <c r="G62" s="19"/>
      <c r="H62" s="2"/>
      <c r="I62" s="2"/>
      <c r="J62" s="2"/>
      <c r="K62" s="2"/>
    </row>
    <row r="63" spans="2:11" x14ac:dyDescent="0.35">
      <c r="B63" s="15">
        <v>47880</v>
      </c>
      <c r="C63" s="16">
        <v>5376000</v>
      </c>
      <c r="D63" s="17"/>
      <c r="E63" s="16"/>
      <c r="F63" s="18"/>
      <c r="G63" s="19"/>
      <c r="H63" s="2"/>
      <c r="I63" s="2"/>
      <c r="J63" s="2"/>
      <c r="K63" s="2"/>
    </row>
    <row r="64" spans="2:11" x14ac:dyDescent="0.35">
      <c r="B64" s="15">
        <v>47908</v>
      </c>
      <c r="C64" s="16">
        <v>5952000</v>
      </c>
      <c r="D64" s="17"/>
      <c r="E64" s="16"/>
      <c r="F64" s="18"/>
      <c r="G64" s="19"/>
      <c r="H64" s="2"/>
      <c r="I64" s="2"/>
      <c r="J64" s="2"/>
      <c r="K64" s="2"/>
    </row>
    <row r="65" spans="2:11" x14ac:dyDescent="0.35">
      <c r="B65" s="15">
        <v>47939</v>
      </c>
      <c r="C65" s="16">
        <v>5760000</v>
      </c>
      <c r="D65" s="17"/>
      <c r="E65" s="16"/>
      <c r="F65" s="18"/>
      <c r="G65" s="19"/>
      <c r="H65" s="2"/>
      <c r="I65" s="2"/>
      <c r="J65" s="2"/>
      <c r="K65" s="2"/>
    </row>
    <row r="66" spans="2:11" x14ac:dyDescent="0.35">
      <c r="B66" s="15">
        <v>47969</v>
      </c>
      <c r="C66" s="16">
        <v>5952000</v>
      </c>
      <c r="D66" s="17"/>
      <c r="E66" s="16"/>
      <c r="F66" s="18"/>
      <c r="G66" s="19"/>
      <c r="H66" s="2"/>
      <c r="I66" s="2"/>
      <c r="J66" s="2"/>
      <c r="K66" s="2"/>
    </row>
    <row r="67" spans="2:11" x14ac:dyDescent="0.35">
      <c r="B67" s="15">
        <v>48000</v>
      </c>
      <c r="C67" s="16">
        <v>5760000</v>
      </c>
      <c r="D67" s="17"/>
      <c r="E67" s="16"/>
      <c r="F67" s="18"/>
      <c r="G67" s="19"/>
      <c r="H67" s="2"/>
      <c r="I67" s="2"/>
      <c r="J67" s="2"/>
      <c r="K67" s="2"/>
    </row>
    <row r="68" spans="2:11" x14ac:dyDescent="0.35">
      <c r="B68" s="15">
        <v>48030</v>
      </c>
      <c r="C68" s="16">
        <v>5952000</v>
      </c>
      <c r="D68" s="17"/>
      <c r="E68" s="16"/>
      <c r="F68" s="18"/>
      <c r="G68" s="19"/>
      <c r="H68" s="2"/>
      <c r="I68" s="2"/>
      <c r="J68" s="2"/>
      <c r="K68" s="2"/>
    </row>
    <row r="69" spans="2:11" x14ac:dyDescent="0.35">
      <c r="B69" s="15">
        <v>48061</v>
      </c>
      <c r="C69" s="16">
        <v>5952000</v>
      </c>
      <c r="D69" s="17"/>
      <c r="E69" s="16"/>
      <c r="F69" s="18"/>
      <c r="G69" s="19"/>
      <c r="H69" s="2"/>
      <c r="I69" s="2"/>
      <c r="J69" s="2"/>
      <c r="K69" s="2"/>
    </row>
    <row r="70" spans="2:11" x14ac:dyDescent="0.35">
      <c r="B70" s="15">
        <v>48092</v>
      </c>
      <c r="C70" s="16">
        <v>5760000</v>
      </c>
      <c r="D70" s="17"/>
      <c r="E70" s="16"/>
      <c r="F70" s="18"/>
      <c r="G70" s="19"/>
      <c r="H70" s="2"/>
      <c r="I70" s="2"/>
      <c r="J70" s="2"/>
      <c r="K70" s="2"/>
    </row>
    <row r="71" spans="2:11" x14ac:dyDescent="0.35">
      <c r="B71" s="15">
        <v>48122</v>
      </c>
      <c r="C71" s="16">
        <v>5952000</v>
      </c>
      <c r="D71" s="17"/>
      <c r="E71" s="16"/>
      <c r="F71" s="18"/>
      <c r="G71" s="19"/>
      <c r="H71" s="2"/>
      <c r="I71" s="2"/>
      <c r="J71" s="2"/>
      <c r="K71" s="2"/>
    </row>
    <row r="72" spans="2:11" x14ac:dyDescent="0.35">
      <c r="B72" s="15">
        <v>48153</v>
      </c>
      <c r="C72" s="16">
        <v>5760000</v>
      </c>
      <c r="D72" s="17"/>
      <c r="E72" s="16"/>
      <c r="F72" s="18"/>
      <c r="G72" s="19"/>
      <c r="H72" s="2"/>
      <c r="I72" s="2"/>
      <c r="J72" s="2"/>
      <c r="K72" s="2"/>
    </row>
    <row r="73" spans="2:11" x14ac:dyDescent="0.35">
      <c r="B73" s="15">
        <v>48183</v>
      </c>
      <c r="C73" s="16">
        <v>5952000</v>
      </c>
      <c r="D73" s="17"/>
      <c r="E73" s="16"/>
      <c r="F73" s="18"/>
      <c r="G73" s="19"/>
      <c r="H73" s="2"/>
      <c r="I73" s="2"/>
      <c r="J73" s="2"/>
      <c r="K73" s="2"/>
    </row>
    <row r="74" spans="2:11" x14ac:dyDescent="0.35">
      <c r="B74" s="15">
        <v>48214</v>
      </c>
      <c r="C74" s="16">
        <v>5952000</v>
      </c>
      <c r="D74" s="17"/>
      <c r="E74" s="16"/>
      <c r="F74" s="18"/>
      <c r="G74" s="19"/>
      <c r="H74" s="2"/>
      <c r="I74" s="2"/>
      <c r="J74" s="2"/>
      <c r="K74" s="2"/>
    </row>
    <row r="75" spans="2:11" x14ac:dyDescent="0.35">
      <c r="B75" s="15">
        <v>48245</v>
      </c>
      <c r="C75" s="16">
        <v>5568000</v>
      </c>
      <c r="D75" s="17"/>
      <c r="E75" s="16"/>
      <c r="F75" s="18"/>
      <c r="G75" s="19"/>
      <c r="H75" s="2"/>
      <c r="I75" s="2"/>
      <c r="J75" s="2"/>
      <c r="K75" s="2"/>
    </row>
    <row r="76" spans="2:11" x14ac:dyDescent="0.35">
      <c r="B76" s="15">
        <v>48274</v>
      </c>
      <c r="C76" s="16">
        <v>5952000</v>
      </c>
      <c r="D76" s="17"/>
      <c r="E76" s="16"/>
      <c r="F76" s="18"/>
      <c r="G76" s="19"/>
      <c r="H76" s="2"/>
      <c r="I76" s="2"/>
      <c r="J76" s="2"/>
      <c r="K76" s="2"/>
    </row>
    <row r="77" spans="2:11" x14ac:dyDescent="0.35">
      <c r="B77" s="15">
        <v>48305</v>
      </c>
      <c r="C77" s="16">
        <v>5760000</v>
      </c>
      <c r="D77" s="17"/>
      <c r="E77" s="16"/>
      <c r="F77" s="18"/>
      <c r="G77" s="19"/>
      <c r="H77" s="2"/>
      <c r="I77" s="2"/>
      <c r="J77" s="2"/>
      <c r="K77" s="2"/>
    </row>
    <row r="78" spans="2:11" x14ac:dyDescent="0.35">
      <c r="B78" s="15">
        <v>48335</v>
      </c>
      <c r="C78" s="16">
        <v>5952000</v>
      </c>
      <c r="D78" s="17"/>
      <c r="E78" s="16"/>
      <c r="F78" s="18"/>
      <c r="G78" s="19"/>
      <c r="H78" s="2"/>
      <c r="I78" s="2"/>
      <c r="J78" s="2"/>
      <c r="K78" s="2"/>
    </row>
    <row r="79" spans="2:11" x14ac:dyDescent="0.35">
      <c r="B79" s="15">
        <v>48366</v>
      </c>
      <c r="C79" s="16">
        <v>5760000</v>
      </c>
      <c r="D79" s="17"/>
      <c r="E79" s="16"/>
      <c r="F79" s="18"/>
      <c r="G79" s="19"/>
      <c r="H79" s="2"/>
      <c r="I79" s="2"/>
      <c r="J79" s="2"/>
      <c r="K79" s="2"/>
    </row>
    <row r="80" spans="2:11" x14ac:dyDescent="0.35">
      <c r="B80" s="15">
        <v>48396</v>
      </c>
      <c r="C80" s="16">
        <v>5952000</v>
      </c>
      <c r="D80" s="17"/>
      <c r="E80" s="16"/>
      <c r="F80" s="18"/>
      <c r="G80" s="19"/>
      <c r="H80" s="2"/>
      <c r="I80" s="2"/>
      <c r="J80" s="2"/>
      <c r="K80" s="2"/>
    </row>
    <row r="81" spans="2:11" x14ac:dyDescent="0.35">
      <c r="B81" s="15">
        <v>48427</v>
      </c>
      <c r="C81" s="16">
        <v>5952000</v>
      </c>
      <c r="D81" s="17"/>
      <c r="E81" s="16"/>
      <c r="F81" s="18"/>
      <c r="G81" s="19"/>
      <c r="H81" s="2"/>
      <c r="I81" s="2"/>
      <c r="J81" s="2"/>
      <c r="K81" s="2"/>
    </row>
    <row r="82" spans="2:11" x14ac:dyDescent="0.35">
      <c r="B82" s="15">
        <v>48458</v>
      </c>
      <c r="C82" s="16">
        <v>5760000</v>
      </c>
      <c r="D82" s="17"/>
      <c r="E82" s="16"/>
      <c r="F82" s="18"/>
      <c r="G82" s="19"/>
      <c r="H82" s="2"/>
      <c r="I82" s="2"/>
      <c r="J82" s="2"/>
      <c r="K82" s="2"/>
    </row>
    <row r="83" spans="2:11" x14ac:dyDescent="0.35">
      <c r="B83" s="15">
        <v>48488</v>
      </c>
      <c r="C83" s="16">
        <v>5952000</v>
      </c>
      <c r="D83" s="17"/>
      <c r="E83" s="16"/>
      <c r="F83" s="18"/>
      <c r="G83" s="19"/>
      <c r="H83" s="2"/>
      <c r="I83" s="2"/>
      <c r="J83" s="2"/>
      <c r="K83" s="2"/>
    </row>
    <row r="84" spans="2:11" x14ac:dyDescent="0.35">
      <c r="B84" s="15">
        <v>48519</v>
      </c>
      <c r="C84" s="16">
        <v>5760000</v>
      </c>
      <c r="D84" s="17"/>
      <c r="E84" s="16"/>
      <c r="F84" s="18"/>
      <c r="G84" s="19"/>
      <c r="H84" s="2"/>
      <c r="I84" s="2"/>
      <c r="J84" s="2"/>
      <c r="K84" s="2"/>
    </row>
    <row r="85" spans="2:11" x14ac:dyDescent="0.35">
      <c r="B85" s="15">
        <v>48549</v>
      </c>
      <c r="C85" s="16">
        <v>5952000</v>
      </c>
      <c r="D85" s="17"/>
      <c r="E85" s="16"/>
      <c r="F85" s="18"/>
      <c r="G85" s="19"/>
      <c r="H85" s="2"/>
      <c r="I85" s="2"/>
      <c r="J85" s="2"/>
      <c r="K85" s="2"/>
    </row>
    <row r="86" spans="2:11" x14ac:dyDescent="0.35">
      <c r="B86" s="15">
        <v>48580</v>
      </c>
      <c r="C86" s="16">
        <v>5952000</v>
      </c>
      <c r="D86" s="17"/>
      <c r="E86" s="16"/>
      <c r="F86" s="18"/>
      <c r="G86" s="19"/>
      <c r="H86" s="2"/>
      <c r="I86" s="2"/>
      <c r="J86" s="2"/>
      <c r="K86" s="2"/>
    </row>
    <row r="87" spans="2:11" x14ac:dyDescent="0.35">
      <c r="B87" s="15">
        <v>48611</v>
      </c>
      <c r="C87" s="16">
        <v>5376000</v>
      </c>
      <c r="D87" s="17"/>
      <c r="E87" s="16"/>
      <c r="F87" s="18"/>
      <c r="G87" s="19"/>
      <c r="H87" s="2"/>
      <c r="I87" s="2"/>
      <c r="J87" s="2"/>
      <c r="K87" s="2"/>
    </row>
    <row r="88" spans="2:11" x14ac:dyDescent="0.35">
      <c r="B88" s="15">
        <v>48639</v>
      </c>
      <c r="C88" s="16">
        <v>5952000</v>
      </c>
      <c r="D88" s="17"/>
      <c r="E88" s="16"/>
      <c r="F88" s="18"/>
      <c r="G88" s="19"/>
      <c r="H88" s="2"/>
      <c r="I88" s="2"/>
      <c r="J88" s="2"/>
      <c r="K88" s="2"/>
    </row>
    <row r="89" spans="2:11" x14ac:dyDescent="0.35">
      <c r="B89" s="15">
        <v>48670</v>
      </c>
      <c r="C89" s="16">
        <v>5760000</v>
      </c>
      <c r="D89" s="17"/>
      <c r="E89" s="16"/>
      <c r="F89" s="18"/>
      <c r="G89" s="19"/>
      <c r="H89" s="2"/>
      <c r="I89" s="2"/>
      <c r="J89" s="2"/>
      <c r="K89" s="2"/>
    </row>
    <row r="90" spans="2:11" x14ac:dyDescent="0.35">
      <c r="B90" s="15">
        <v>48700</v>
      </c>
      <c r="C90" s="16">
        <v>5952000</v>
      </c>
      <c r="D90" s="17"/>
      <c r="E90" s="16"/>
      <c r="F90" s="18"/>
      <c r="G90" s="19"/>
      <c r="H90" s="2"/>
      <c r="I90" s="2"/>
      <c r="J90" s="2"/>
      <c r="K90" s="2"/>
    </row>
    <row r="91" spans="2:11" x14ac:dyDescent="0.35">
      <c r="B91" s="15">
        <v>48731</v>
      </c>
      <c r="C91" s="16">
        <v>5760000</v>
      </c>
      <c r="D91" s="17"/>
      <c r="E91" s="16"/>
      <c r="F91" s="18"/>
      <c r="G91" s="19"/>
      <c r="H91" s="2"/>
      <c r="I91" s="2"/>
      <c r="J91" s="2"/>
      <c r="K91" s="2"/>
    </row>
    <row r="92" spans="2:11" x14ac:dyDescent="0.35">
      <c r="B92" s="15">
        <v>48761</v>
      </c>
      <c r="C92" s="16">
        <v>5952000</v>
      </c>
      <c r="D92" s="17"/>
      <c r="E92" s="16"/>
      <c r="F92" s="18"/>
      <c r="G92" s="19"/>
      <c r="H92" s="2"/>
      <c r="I92" s="2"/>
      <c r="J92" s="2"/>
      <c r="K92" s="2"/>
    </row>
    <row r="93" spans="2:11" x14ac:dyDescent="0.35">
      <c r="B93" s="15">
        <v>48792</v>
      </c>
      <c r="C93" s="16">
        <v>5952000</v>
      </c>
      <c r="D93" s="17"/>
      <c r="E93" s="16"/>
      <c r="F93" s="18"/>
      <c r="G93" s="19"/>
      <c r="H93" s="2"/>
      <c r="I93" s="2"/>
      <c r="J93" s="2"/>
      <c r="K93" s="2"/>
    </row>
    <row r="94" spans="2:11" x14ac:dyDescent="0.35">
      <c r="B94" s="15">
        <v>48823</v>
      </c>
      <c r="C94" s="16">
        <v>5760000</v>
      </c>
      <c r="D94" s="17"/>
      <c r="E94" s="16"/>
      <c r="F94" s="18"/>
      <c r="G94" s="19"/>
      <c r="H94" s="2"/>
      <c r="I94" s="2"/>
      <c r="J94" s="2"/>
      <c r="K94" s="2"/>
    </row>
    <row r="95" spans="2:11" x14ac:dyDescent="0.35">
      <c r="B95" s="15">
        <v>48853</v>
      </c>
      <c r="C95" s="16">
        <v>5952000</v>
      </c>
      <c r="D95" s="17"/>
      <c r="E95" s="16"/>
      <c r="F95" s="18"/>
      <c r="G95" s="19"/>
      <c r="H95" s="2"/>
      <c r="I95" s="2"/>
      <c r="J95" s="2"/>
      <c r="K95" s="2"/>
    </row>
    <row r="96" spans="2:11" x14ac:dyDescent="0.35">
      <c r="B96" s="15">
        <v>48884</v>
      </c>
      <c r="C96" s="16">
        <v>5760000</v>
      </c>
      <c r="D96" s="17"/>
      <c r="E96" s="16"/>
      <c r="F96" s="18"/>
      <c r="G96" s="19"/>
      <c r="H96" s="2"/>
      <c r="I96" s="2"/>
      <c r="J96" s="2"/>
      <c r="K96" s="2"/>
    </row>
    <row r="97" spans="2:11" x14ac:dyDescent="0.35">
      <c r="B97" s="15">
        <v>48914</v>
      </c>
      <c r="C97" s="16">
        <v>5952000</v>
      </c>
      <c r="D97" s="17"/>
      <c r="E97" s="16"/>
      <c r="F97" s="18"/>
      <c r="G97" s="19"/>
      <c r="H97" s="2"/>
      <c r="I97" s="2"/>
      <c r="J97" s="2"/>
      <c r="K97" s="2"/>
    </row>
    <row r="98" spans="2:11" x14ac:dyDescent="0.35">
      <c r="B98" s="15">
        <v>48945</v>
      </c>
      <c r="C98" s="16">
        <v>5952000</v>
      </c>
      <c r="D98" s="17"/>
      <c r="E98" s="16"/>
      <c r="F98" s="18"/>
      <c r="G98" s="19"/>
      <c r="H98" s="2"/>
      <c r="I98" s="2"/>
      <c r="J98" s="2"/>
      <c r="K98" s="2"/>
    </row>
    <row r="99" spans="2:11" x14ac:dyDescent="0.35">
      <c r="B99" s="15">
        <v>48976</v>
      </c>
      <c r="C99" s="16">
        <v>5376000</v>
      </c>
      <c r="D99" s="17"/>
      <c r="E99" s="16"/>
      <c r="F99" s="18"/>
      <c r="G99" s="19"/>
      <c r="H99" s="2"/>
      <c r="I99" s="2"/>
      <c r="J99" s="2"/>
      <c r="K99" s="2"/>
    </row>
    <row r="100" spans="2:11" x14ac:dyDescent="0.35">
      <c r="B100" s="15">
        <v>49004</v>
      </c>
      <c r="C100" s="16">
        <v>5952000</v>
      </c>
      <c r="D100" s="17"/>
      <c r="E100" s="16"/>
      <c r="F100" s="18"/>
      <c r="G100" s="19"/>
      <c r="H100" s="2"/>
      <c r="I100" s="2"/>
      <c r="J100" s="2"/>
      <c r="K100" s="2"/>
    </row>
    <row r="101" spans="2:11" x14ac:dyDescent="0.35">
      <c r="B101" s="15">
        <v>49035</v>
      </c>
      <c r="C101" s="16">
        <v>5760000</v>
      </c>
      <c r="D101" s="17"/>
      <c r="E101" s="16"/>
      <c r="F101" s="18"/>
      <c r="G101" s="19"/>
      <c r="H101" s="2"/>
      <c r="I101" s="2"/>
      <c r="J101" s="2"/>
      <c r="K101" s="2"/>
    </row>
    <row r="102" spans="2:11" x14ac:dyDescent="0.35">
      <c r="B102" s="15">
        <v>49065</v>
      </c>
      <c r="C102" s="16">
        <v>5952000</v>
      </c>
      <c r="D102" s="17"/>
      <c r="E102" s="16"/>
      <c r="F102" s="18"/>
      <c r="G102" s="19"/>
      <c r="H102" s="2"/>
      <c r="I102" s="2"/>
      <c r="J102" s="2"/>
      <c r="K102" s="2"/>
    </row>
    <row r="103" spans="2:11" x14ac:dyDescent="0.35">
      <c r="B103" s="15">
        <v>49096</v>
      </c>
      <c r="C103" s="16">
        <v>5760000</v>
      </c>
      <c r="D103" s="17"/>
      <c r="E103" s="16"/>
      <c r="F103" s="18"/>
      <c r="G103" s="19"/>
      <c r="H103" s="2"/>
      <c r="I103" s="2"/>
      <c r="J103" s="2"/>
      <c r="K103" s="2"/>
    </row>
    <row r="104" spans="2:11" x14ac:dyDescent="0.35">
      <c r="B104" s="15">
        <v>49126</v>
      </c>
      <c r="C104" s="16">
        <v>5952000</v>
      </c>
      <c r="D104" s="17"/>
      <c r="E104" s="16"/>
      <c r="F104" s="18"/>
      <c r="G104" s="19"/>
      <c r="H104" s="2"/>
      <c r="I104" s="2"/>
      <c r="J104" s="2"/>
      <c r="K104" s="2"/>
    </row>
    <row r="105" spans="2:11" x14ac:dyDescent="0.35">
      <c r="B105" s="15">
        <v>49157</v>
      </c>
      <c r="C105" s="16">
        <v>5952000</v>
      </c>
      <c r="D105" s="17"/>
      <c r="E105" s="16"/>
      <c r="F105" s="18"/>
      <c r="G105" s="19"/>
      <c r="H105" s="2"/>
      <c r="I105" s="2"/>
      <c r="J105" s="2"/>
      <c r="K105" s="2"/>
    </row>
    <row r="106" spans="2:11" x14ac:dyDescent="0.35">
      <c r="B106" s="15">
        <v>49188</v>
      </c>
      <c r="C106" s="16">
        <v>5760000</v>
      </c>
      <c r="D106" s="17"/>
      <c r="E106" s="16"/>
      <c r="F106" s="18"/>
      <c r="G106" s="19"/>
      <c r="H106" s="2"/>
      <c r="I106" s="2"/>
      <c r="J106" s="2"/>
      <c r="K106" s="2"/>
    </row>
    <row r="107" spans="2:11" x14ac:dyDescent="0.35">
      <c r="B107" s="15">
        <v>49218</v>
      </c>
      <c r="C107" s="16">
        <v>5952000</v>
      </c>
      <c r="D107" s="17"/>
      <c r="E107" s="16"/>
      <c r="F107" s="18"/>
      <c r="G107" s="19"/>
      <c r="H107" s="2"/>
      <c r="I107" s="2"/>
      <c r="J107" s="2"/>
      <c r="K107" s="2"/>
    </row>
    <row r="108" spans="2:11" x14ac:dyDescent="0.35">
      <c r="B108" s="15">
        <v>49249</v>
      </c>
      <c r="C108" s="16">
        <v>5760000</v>
      </c>
      <c r="D108" s="17"/>
      <c r="E108" s="16"/>
      <c r="F108" s="18"/>
      <c r="G108" s="19"/>
      <c r="H108" s="2"/>
      <c r="I108" s="2"/>
      <c r="J108" s="2"/>
      <c r="K108" s="2"/>
    </row>
    <row r="109" spans="2:11" x14ac:dyDescent="0.35">
      <c r="B109" s="15">
        <v>49279</v>
      </c>
      <c r="C109" s="16">
        <v>5952000</v>
      </c>
      <c r="D109" s="17"/>
      <c r="E109" s="16"/>
      <c r="F109" s="18"/>
      <c r="G109" s="19"/>
      <c r="H109" s="2"/>
      <c r="I109" s="2"/>
      <c r="J109" s="2"/>
      <c r="K109" s="2"/>
    </row>
    <row r="110" spans="2:11" x14ac:dyDescent="0.35">
      <c r="B110" s="15">
        <v>49310</v>
      </c>
      <c r="C110" s="16">
        <v>5952000</v>
      </c>
      <c r="D110" s="17"/>
      <c r="E110" s="16"/>
      <c r="F110" s="18"/>
      <c r="G110" s="19"/>
      <c r="H110" s="2"/>
      <c r="I110" s="2"/>
      <c r="J110" s="2"/>
      <c r="K110" s="2"/>
    </row>
    <row r="111" spans="2:11" x14ac:dyDescent="0.35">
      <c r="B111" s="15">
        <v>49341</v>
      </c>
      <c r="C111" s="16">
        <v>5376000</v>
      </c>
      <c r="D111" s="17"/>
      <c r="E111" s="16"/>
      <c r="F111" s="18"/>
      <c r="G111" s="19"/>
      <c r="H111" s="2"/>
      <c r="I111" s="2"/>
      <c r="J111" s="2"/>
      <c r="K111" s="2"/>
    </row>
    <row r="112" spans="2:11" x14ac:dyDescent="0.35">
      <c r="B112" s="15">
        <v>49369</v>
      </c>
      <c r="C112" s="16">
        <v>5952000</v>
      </c>
      <c r="D112" s="17"/>
      <c r="E112" s="16"/>
      <c r="F112" s="18"/>
      <c r="G112" s="19"/>
      <c r="H112" s="2"/>
      <c r="I112" s="2"/>
      <c r="J112" s="2"/>
      <c r="K112" s="2"/>
    </row>
    <row r="113" spans="2:11" x14ac:dyDescent="0.35">
      <c r="B113" s="15">
        <v>49400</v>
      </c>
      <c r="C113" s="16">
        <v>5760000</v>
      </c>
      <c r="D113" s="17"/>
      <c r="E113" s="16"/>
      <c r="F113" s="18"/>
      <c r="G113" s="19"/>
      <c r="H113" s="2"/>
      <c r="I113" s="2"/>
      <c r="J113" s="2"/>
      <c r="K113" s="2"/>
    </row>
    <row r="114" spans="2:11" x14ac:dyDescent="0.35">
      <c r="B114" s="15">
        <v>49430</v>
      </c>
      <c r="C114" s="16">
        <v>5952000</v>
      </c>
      <c r="D114" s="17"/>
      <c r="E114" s="16"/>
      <c r="F114" s="18"/>
      <c r="G114" s="19"/>
      <c r="H114" s="2"/>
      <c r="I114" s="2"/>
      <c r="J114" s="2"/>
      <c r="K114" s="2"/>
    </row>
    <row r="115" spans="2:11" x14ac:dyDescent="0.35">
      <c r="B115" s="15">
        <v>49461</v>
      </c>
      <c r="C115" s="16">
        <v>5760000</v>
      </c>
      <c r="D115" s="17"/>
      <c r="E115" s="16"/>
      <c r="F115" s="18"/>
      <c r="G115" s="19"/>
      <c r="H115" s="2"/>
      <c r="I115" s="2"/>
      <c r="J115" s="2"/>
      <c r="K115" s="2"/>
    </row>
    <row r="116" spans="2:11" x14ac:dyDescent="0.35">
      <c r="B116" s="15">
        <v>49491</v>
      </c>
      <c r="C116" s="16">
        <v>5952000</v>
      </c>
      <c r="D116" s="17"/>
      <c r="E116" s="16"/>
      <c r="F116" s="18"/>
      <c r="G116" s="19"/>
      <c r="H116" s="2"/>
      <c r="I116" s="2"/>
      <c r="J116" s="2"/>
      <c r="K116" s="2"/>
    </row>
    <row r="117" spans="2:11" x14ac:dyDescent="0.35">
      <c r="B117" s="15">
        <v>49522</v>
      </c>
      <c r="C117" s="16">
        <v>5952000</v>
      </c>
      <c r="D117" s="17"/>
      <c r="E117" s="16"/>
      <c r="F117" s="18"/>
      <c r="G117" s="19"/>
      <c r="H117" s="2"/>
      <c r="I117" s="2"/>
      <c r="J117" s="2"/>
      <c r="K117" s="2"/>
    </row>
    <row r="118" spans="2:11" x14ac:dyDescent="0.35">
      <c r="B118" s="15">
        <v>49553</v>
      </c>
      <c r="C118" s="16">
        <v>5760000</v>
      </c>
      <c r="D118" s="17"/>
      <c r="E118" s="16"/>
      <c r="F118" s="18"/>
      <c r="G118" s="19"/>
      <c r="H118" s="2"/>
      <c r="I118" s="2"/>
      <c r="J118" s="2"/>
      <c r="K118" s="2"/>
    </row>
    <row r="119" spans="2:11" x14ac:dyDescent="0.35">
      <c r="B119" s="15">
        <v>49583</v>
      </c>
      <c r="C119" s="16">
        <v>5952000</v>
      </c>
      <c r="D119" s="17"/>
      <c r="E119" s="16"/>
      <c r="F119" s="18"/>
      <c r="G119" s="19"/>
      <c r="H119" s="2"/>
      <c r="I119" s="2"/>
      <c r="J119" s="2"/>
      <c r="K119" s="2"/>
    </row>
    <row r="120" spans="2:11" x14ac:dyDescent="0.35">
      <c r="B120" s="15">
        <v>49614</v>
      </c>
      <c r="C120" s="16">
        <v>5760000</v>
      </c>
      <c r="D120" s="17"/>
      <c r="E120" s="16"/>
      <c r="F120" s="18"/>
      <c r="G120" s="19"/>
      <c r="H120" s="2"/>
      <c r="I120" s="2"/>
      <c r="J120" s="2"/>
      <c r="K120" s="2"/>
    </row>
    <row r="121" spans="2:11" x14ac:dyDescent="0.35">
      <c r="B121" s="15">
        <v>49644</v>
      </c>
      <c r="C121" s="16">
        <v>5952000</v>
      </c>
      <c r="D121" s="17"/>
      <c r="E121" s="16"/>
      <c r="F121" s="18"/>
      <c r="G121" s="19"/>
      <c r="H121" s="2"/>
      <c r="I121" s="2"/>
      <c r="J121" s="2"/>
      <c r="K121" s="2"/>
    </row>
    <row r="122" spans="2:11" x14ac:dyDescent="0.35">
      <c r="B122" s="15">
        <v>49675</v>
      </c>
      <c r="C122" s="16">
        <v>5952000</v>
      </c>
      <c r="D122" s="17"/>
      <c r="E122" s="16"/>
      <c r="F122" s="18"/>
      <c r="G122" s="19"/>
      <c r="H122" s="2"/>
      <c r="I122" s="2"/>
      <c r="J122" s="2"/>
      <c r="K122" s="2"/>
    </row>
    <row r="123" spans="2:11" x14ac:dyDescent="0.35">
      <c r="B123" s="15">
        <v>49706</v>
      </c>
      <c r="C123" s="16">
        <v>5568000</v>
      </c>
      <c r="D123" s="17"/>
      <c r="E123" s="16"/>
      <c r="F123" s="18"/>
      <c r="G123" s="19"/>
      <c r="H123" s="2"/>
      <c r="I123" s="2"/>
      <c r="J123" s="2"/>
      <c r="K123" s="2"/>
    </row>
    <row r="124" spans="2:11" x14ac:dyDescent="0.35">
      <c r="B124" s="15">
        <v>49735</v>
      </c>
      <c r="C124" s="16">
        <v>5952000</v>
      </c>
      <c r="D124" s="17"/>
      <c r="E124" s="16"/>
      <c r="F124" s="18"/>
      <c r="G124" s="19"/>
      <c r="H124" s="2"/>
      <c r="I124" s="2"/>
      <c r="J124" s="2"/>
      <c r="K124" s="2"/>
    </row>
    <row r="125" spans="2:11" x14ac:dyDescent="0.35">
      <c r="B125" s="15">
        <v>49766</v>
      </c>
      <c r="C125" s="16">
        <v>5760000</v>
      </c>
      <c r="D125" s="17"/>
      <c r="E125" s="16"/>
      <c r="F125" s="18"/>
      <c r="G125" s="19"/>
      <c r="H125" s="2"/>
      <c r="I125" s="2"/>
      <c r="J125" s="2"/>
      <c r="K125" s="2"/>
    </row>
    <row r="126" spans="2:11" x14ac:dyDescent="0.35">
      <c r="B126" s="15">
        <v>49796</v>
      </c>
      <c r="C126" s="16">
        <v>5952000</v>
      </c>
      <c r="D126" s="17"/>
      <c r="E126" s="16"/>
      <c r="F126" s="18"/>
      <c r="G126" s="19"/>
      <c r="H126" s="2"/>
      <c r="I126" s="2"/>
      <c r="J126" s="2"/>
      <c r="K126" s="2"/>
    </row>
    <row r="127" spans="2:11" x14ac:dyDescent="0.35">
      <c r="B127" s="15">
        <v>49827</v>
      </c>
      <c r="C127" s="16">
        <v>5760000</v>
      </c>
      <c r="D127" s="17"/>
      <c r="E127" s="16"/>
      <c r="F127" s="18"/>
      <c r="G127" s="19"/>
      <c r="H127" s="2"/>
      <c r="I127" s="2"/>
      <c r="J127" s="2"/>
      <c r="K127" s="2"/>
    </row>
    <row r="128" spans="2:11" x14ac:dyDescent="0.35">
      <c r="B128" s="15">
        <v>49857</v>
      </c>
      <c r="C128" s="16">
        <v>5952000</v>
      </c>
      <c r="D128" s="17"/>
      <c r="E128" s="16"/>
      <c r="F128" s="18"/>
      <c r="G128" s="19"/>
      <c r="H128" s="2"/>
      <c r="I128" s="2"/>
      <c r="J128" s="2"/>
      <c r="K128" s="2"/>
    </row>
    <row r="129" spans="2:11" x14ac:dyDescent="0.35">
      <c r="B129" s="15">
        <v>49888</v>
      </c>
      <c r="C129" s="16">
        <v>5952000</v>
      </c>
      <c r="D129" s="17"/>
      <c r="E129" s="16"/>
      <c r="F129" s="18"/>
      <c r="G129" s="19"/>
      <c r="H129" s="2"/>
      <c r="I129" s="2"/>
      <c r="J129" s="2"/>
      <c r="K129" s="2"/>
    </row>
    <row r="130" spans="2:11" x14ac:dyDescent="0.35">
      <c r="B130" s="15">
        <v>49919</v>
      </c>
      <c r="C130" s="16">
        <v>5760000</v>
      </c>
      <c r="D130" s="17"/>
      <c r="E130" s="16"/>
      <c r="F130" s="18"/>
      <c r="G130" s="19"/>
      <c r="H130" s="2"/>
      <c r="I130" s="2"/>
      <c r="J130" s="2"/>
      <c r="K130" s="2"/>
    </row>
    <row r="131" spans="2:11" x14ac:dyDescent="0.35">
      <c r="B131" s="15">
        <v>49949</v>
      </c>
      <c r="C131" s="16">
        <v>5952000</v>
      </c>
      <c r="D131" s="17"/>
      <c r="E131" s="16"/>
      <c r="F131" s="18"/>
      <c r="G131" s="19"/>
      <c r="H131" s="2"/>
      <c r="I131" s="2"/>
      <c r="J131" s="2"/>
      <c r="K131" s="2"/>
    </row>
    <row r="132" spans="2:11" x14ac:dyDescent="0.35">
      <c r="B132" s="15">
        <v>49980</v>
      </c>
      <c r="C132" s="16">
        <v>5760000</v>
      </c>
      <c r="D132" s="17"/>
      <c r="E132" s="16"/>
      <c r="F132" s="18"/>
      <c r="G132" s="19"/>
      <c r="H132" s="2"/>
      <c r="I132" s="2"/>
      <c r="J132" s="2"/>
      <c r="K132" s="2"/>
    </row>
    <row r="133" spans="2:11" x14ac:dyDescent="0.35">
      <c r="B133" s="15">
        <v>50010</v>
      </c>
      <c r="C133" s="16">
        <v>5952000</v>
      </c>
      <c r="D133" s="17"/>
      <c r="E133" s="16"/>
      <c r="F133" s="18"/>
      <c r="G133" s="19"/>
      <c r="H133" s="2"/>
      <c r="I133" s="2"/>
      <c r="J133" s="2"/>
      <c r="K133" s="2"/>
    </row>
    <row r="134" spans="2:11" x14ac:dyDescent="0.35">
      <c r="B134" s="15">
        <v>50041</v>
      </c>
      <c r="C134" s="16">
        <v>5952000</v>
      </c>
      <c r="D134" s="17"/>
      <c r="E134" s="16"/>
      <c r="F134" s="18"/>
      <c r="G134" s="19"/>
      <c r="H134" s="2"/>
      <c r="I134" s="2"/>
      <c r="J134" s="2"/>
      <c r="K134" s="2"/>
    </row>
    <row r="135" spans="2:11" x14ac:dyDescent="0.35">
      <c r="B135" s="15">
        <v>50072</v>
      </c>
      <c r="C135" s="16">
        <v>5376000</v>
      </c>
      <c r="D135" s="17"/>
      <c r="E135" s="16"/>
      <c r="F135" s="18"/>
      <c r="G135" s="19"/>
      <c r="H135" s="2"/>
      <c r="I135" s="2"/>
      <c r="J135" s="2"/>
      <c r="K135" s="2"/>
    </row>
    <row r="136" spans="2:11" x14ac:dyDescent="0.35">
      <c r="B136" s="15">
        <v>50100</v>
      </c>
      <c r="C136" s="16">
        <v>5952000</v>
      </c>
      <c r="D136" s="17"/>
      <c r="E136" s="16"/>
      <c r="F136" s="18"/>
      <c r="G136" s="19"/>
      <c r="H136" s="2"/>
      <c r="I136" s="2"/>
      <c r="J136" s="2"/>
      <c r="K136" s="2"/>
    </row>
    <row r="137" spans="2:11" x14ac:dyDescent="0.35">
      <c r="B137" s="15">
        <v>50131</v>
      </c>
      <c r="C137" s="16">
        <v>5760000</v>
      </c>
      <c r="D137" s="17"/>
      <c r="E137" s="16"/>
      <c r="F137" s="18"/>
      <c r="G137" s="19"/>
      <c r="H137" s="2"/>
      <c r="I137" s="2"/>
      <c r="J137" s="2"/>
      <c r="K137" s="2"/>
    </row>
    <row r="138" spans="2:11" x14ac:dyDescent="0.35">
      <c r="B138" s="15">
        <v>50161</v>
      </c>
      <c r="C138" s="16">
        <v>5952000</v>
      </c>
      <c r="D138" s="17"/>
      <c r="E138" s="16"/>
      <c r="F138" s="18"/>
      <c r="G138" s="19"/>
      <c r="H138" s="2"/>
      <c r="I138" s="2"/>
      <c r="J138" s="2"/>
      <c r="K138" s="2"/>
    </row>
    <row r="139" spans="2:11" x14ac:dyDescent="0.35">
      <c r="B139" s="15">
        <v>50192</v>
      </c>
      <c r="C139" s="16">
        <v>5760000</v>
      </c>
      <c r="D139" s="17"/>
      <c r="E139" s="16"/>
      <c r="F139" s="18"/>
      <c r="G139" s="19"/>
      <c r="H139" s="2"/>
      <c r="I139" s="2"/>
      <c r="J139" s="2"/>
      <c r="K139" s="2"/>
    </row>
    <row r="140" spans="2:11" x14ac:dyDescent="0.35">
      <c r="B140" s="15">
        <v>50222</v>
      </c>
      <c r="C140" s="16">
        <v>5952000</v>
      </c>
      <c r="D140" s="17"/>
      <c r="E140" s="16"/>
      <c r="F140" s="18"/>
      <c r="G140" s="19"/>
      <c r="H140" s="2"/>
      <c r="I140" s="2"/>
      <c r="J140" s="2"/>
      <c r="K140" s="2"/>
    </row>
    <row r="141" spans="2:11" x14ac:dyDescent="0.35">
      <c r="B141" s="15">
        <v>50253</v>
      </c>
      <c r="C141" s="16">
        <v>5952000</v>
      </c>
      <c r="D141" s="17"/>
      <c r="E141" s="16"/>
      <c r="F141" s="18"/>
      <c r="G141" s="19"/>
      <c r="H141" s="2"/>
      <c r="I141" s="2"/>
      <c r="J141" s="2"/>
      <c r="K141" s="2"/>
    </row>
    <row r="142" spans="2:11" x14ac:dyDescent="0.35">
      <c r="B142" s="15">
        <v>50284</v>
      </c>
      <c r="C142" s="16">
        <v>5760000</v>
      </c>
      <c r="D142" s="17"/>
      <c r="E142" s="16"/>
      <c r="F142" s="18"/>
      <c r="G142" s="19"/>
      <c r="H142" s="2"/>
      <c r="I142" s="2"/>
      <c r="J142" s="2"/>
      <c r="K142" s="2"/>
    </row>
    <row r="143" spans="2:11" x14ac:dyDescent="0.35">
      <c r="B143" s="15">
        <v>50314</v>
      </c>
      <c r="C143" s="16">
        <v>5952000</v>
      </c>
      <c r="D143" s="17"/>
      <c r="E143" s="16"/>
      <c r="F143" s="18"/>
      <c r="G143" s="19"/>
      <c r="H143" s="2"/>
      <c r="I143" s="2"/>
      <c r="J143" s="2"/>
      <c r="K143" s="2"/>
    </row>
    <row r="144" spans="2:11" x14ac:dyDescent="0.35">
      <c r="B144" s="15">
        <v>50345</v>
      </c>
      <c r="C144" s="16">
        <v>5760000</v>
      </c>
      <c r="D144" s="17"/>
      <c r="E144" s="16"/>
      <c r="F144" s="18"/>
      <c r="G144" s="19"/>
      <c r="H144" s="2"/>
      <c r="I144" s="2"/>
      <c r="J144" s="2"/>
      <c r="K144" s="2"/>
    </row>
    <row r="145" spans="2:11" x14ac:dyDescent="0.35">
      <c r="B145" s="15">
        <v>50375</v>
      </c>
      <c r="C145" s="16">
        <v>5952000</v>
      </c>
      <c r="D145" s="17"/>
      <c r="E145" s="16"/>
      <c r="F145" s="18"/>
      <c r="G145" s="19"/>
      <c r="H145" s="2"/>
      <c r="I145" s="2"/>
      <c r="J145" s="2"/>
      <c r="K145" s="2"/>
    </row>
    <row r="146" spans="2:11" x14ac:dyDescent="0.35">
      <c r="B146" s="15" t="s">
        <v>19</v>
      </c>
      <c r="C146" s="20">
        <f>SUM(C14:C145)</f>
        <v>771456000</v>
      </c>
      <c r="D146" s="21" t="s">
        <v>17</v>
      </c>
      <c r="E146" s="20"/>
      <c r="F146" s="18"/>
      <c r="G146" s="19"/>
      <c r="H146" s="2"/>
      <c r="I146" s="2"/>
      <c r="J146" s="2"/>
      <c r="K146" s="2"/>
    </row>
    <row r="147" spans="2:11" x14ac:dyDescent="0.35">
      <c r="B147" s="2"/>
      <c r="C147" s="22"/>
      <c r="D147" s="2"/>
      <c r="E147" s="2"/>
      <c r="F147" s="2"/>
      <c r="G147" s="2"/>
      <c r="H147" s="2"/>
      <c r="I147" s="2"/>
      <c r="J147" s="2"/>
      <c r="K147" s="2"/>
    </row>
    <row r="148" spans="2:11" x14ac:dyDescent="0.35">
      <c r="B148" s="2"/>
      <c r="C148" s="22"/>
      <c r="D148" s="23"/>
      <c r="E148" s="23"/>
      <c r="F148" s="2"/>
      <c r="G148" s="2"/>
      <c r="H148" s="2"/>
      <c r="I148" s="2"/>
      <c r="J148" s="2"/>
      <c r="K148" s="2"/>
    </row>
    <row r="149" spans="2:11" x14ac:dyDescent="0.35">
      <c r="B149" s="24" t="s">
        <v>18</v>
      </c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2:11" x14ac:dyDescent="0.35">
      <c r="B150" t="s">
        <v>25</v>
      </c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2:11" x14ac:dyDescent="0.35">
      <c r="B151" s="30" t="s">
        <v>23</v>
      </c>
      <c r="C151" s="25"/>
      <c r="D151" s="25"/>
      <c r="E151" s="25"/>
      <c r="F151" s="25"/>
      <c r="G151" s="25"/>
      <c r="H151" s="25"/>
      <c r="I151" s="25"/>
      <c r="J151" s="25"/>
      <c r="K151" s="25"/>
    </row>
    <row r="152" spans="2:11" x14ac:dyDescent="0.35">
      <c r="B152" t="s">
        <v>24</v>
      </c>
      <c r="C152" s="25"/>
      <c r="D152" s="25"/>
      <c r="E152" s="25"/>
      <c r="F152" s="25"/>
      <c r="G152" s="25"/>
      <c r="H152" s="25"/>
      <c r="I152" s="25"/>
      <c r="J152" s="25"/>
      <c r="K152" s="25"/>
    </row>
    <row r="153" spans="2:11" x14ac:dyDescent="0.35">
      <c r="B153" s="30" t="s">
        <v>21</v>
      </c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2:11" x14ac:dyDescent="0.35">
      <c r="B154" s="30" t="s">
        <v>22</v>
      </c>
      <c r="C154" s="27"/>
      <c r="D154" s="27"/>
      <c r="E154" s="27"/>
      <c r="F154" s="27"/>
      <c r="G154" s="27"/>
      <c r="H154" s="27"/>
      <c r="I154" s="25"/>
      <c r="J154" s="25"/>
      <c r="K154" s="25"/>
    </row>
    <row r="155" spans="2:11" x14ac:dyDescent="0.35"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spans="2:11" x14ac:dyDescent="0.35">
      <c r="B156" s="25"/>
      <c r="C156" s="27"/>
      <c r="D156" s="27"/>
      <c r="E156" s="27"/>
      <c r="F156" s="27"/>
      <c r="G156" s="27"/>
      <c r="H156" s="27"/>
      <c r="I156" s="27"/>
      <c r="J156" s="25"/>
      <c r="K156" s="25"/>
    </row>
    <row r="157" spans="2:11" x14ac:dyDescent="0.35">
      <c r="B157" s="2"/>
      <c r="C157" s="2"/>
      <c r="D157" s="28"/>
      <c r="E157" s="2"/>
      <c r="F157" s="2"/>
      <c r="G157" s="2"/>
      <c r="H157" s="2"/>
      <c r="I157" s="2"/>
      <c r="J157" s="2"/>
      <c r="K157" s="2"/>
    </row>
    <row r="158" spans="2:11" x14ac:dyDescent="0.35">
      <c r="B158" s="2"/>
      <c r="C158" s="29"/>
      <c r="D158" s="2"/>
      <c r="E158" s="2"/>
      <c r="F158" s="2"/>
      <c r="G158" s="2"/>
      <c r="H158" s="2"/>
      <c r="I158" s="2"/>
      <c r="J158" s="2"/>
      <c r="K158" s="2"/>
    </row>
    <row r="159" spans="2:1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168C-BDCB-4F5B-935A-DDC6F59CF838}">
  <dimension ref="B1:AC56"/>
  <sheetViews>
    <sheetView showGridLines="0" zoomScale="60" zoomScaleNormal="60" workbookViewId="0">
      <selection activeCell="AF10" sqref="AF10"/>
    </sheetView>
  </sheetViews>
  <sheetFormatPr baseColWidth="10" defaultColWidth="11.453125" defaultRowHeight="11.5" x14ac:dyDescent="0.25"/>
  <cols>
    <col min="1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253" width="11.453125" style="31"/>
    <col min="254" max="254" width="7" style="31" customWidth="1"/>
    <col min="255" max="255" width="10.7265625" style="31" customWidth="1"/>
    <col min="256" max="256" width="9.26953125" style="31" customWidth="1"/>
    <col min="257" max="280" width="7.26953125" style="31" customWidth="1"/>
    <col min="281" max="281" width="11.26953125" style="31" bestFit="1" customWidth="1"/>
    <col min="282" max="509" width="11.453125" style="31"/>
    <col min="510" max="510" width="7" style="31" customWidth="1"/>
    <col min="511" max="511" width="10.7265625" style="31" customWidth="1"/>
    <col min="512" max="512" width="9.26953125" style="31" customWidth="1"/>
    <col min="513" max="536" width="7.26953125" style="31" customWidth="1"/>
    <col min="537" max="537" width="11.26953125" style="31" bestFit="1" customWidth="1"/>
    <col min="538" max="765" width="11.453125" style="31"/>
    <col min="766" max="766" width="7" style="31" customWidth="1"/>
    <col min="767" max="767" width="10.7265625" style="31" customWidth="1"/>
    <col min="768" max="768" width="9.26953125" style="31" customWidth="1"/>
    <col min="769" max="792" width="7.26953125" style="31" customWidth="1"/>
    <col min="793" max="793" width="11.26953125" style="31" bestFit="1" customWidth="1"/>
    <col min="794" max="1021" width="11.453125" style="31"/>
    <col min="1022" max="1022" width="7" style="31" customWidth="1"/>
    <col min="1023" max="1023" width="10.7265625" style="31" customWidth="1"/>
    <col min="1024" max="1024" width="9.26953125" style="31" customWidth="1"/>
    <col min="1025" max="1048" width="7.26953125" style="31" customWidth="1"/>
    <col min="1049" max="1049" width="11.26953125" style="31" bestFit="1" customWidth="1"/>
    <col min="1050" max="1277" width="11.453125" style="31"/>
    <col min="1278" max="1278" width="7" style="31" customWidth="1"/>
    <col min="1279" max="1279" width="10.7265625" style="31" customWidth="1"/>
    <col min="1280" max="1280" width="9.26953125" style="31" customWidth="1"/>
    <col min="1281" max="1304" width="7.26953125" style="31" customWidth="1"/>
    <col min="1305" max="1305" width="11.26953125" style="31" bestFit="1" customWidth="1"/>
    <col min="1306" max="1533" width="11.453125" style="31"/>
    <col min="1534" max="1534" width="7" style="31" customWidth="1"/>
    <col min="1535" max="1535" width="10.7265625" style="31" customWidth="1"/>
    <col min="1536" max="1536" width="9.26953125" style="31" customWidth="1"/>
    <col min="1537" max="1560" width="7.26953125" style="31" customWidth="1"/>
    <col min="1561" max="1561" width="11.26953125" style="31" bestFit="1" customWidth="1"/>
    <col min="1562" max="1789" width="11.453125" style="31"/>
    <col min="1790" max="1790" width="7" style="31" customWidth="1"/>
    <col min="1791" max="1791" width="10.7265625" style="31" customWidth="1"/>
    <col min="1792" max="1792" width="9.26953125" style="31" customWidth="1"/>
    <col min="1793" max="1816" width="7.26953125" style="31" customWidth="1"/>
    <col min="1817" max="1817" width="11.26953125" style="31" bestFit="1" customWidth="1"/>
    <col min="1818" max="2045" width="11.453125" style="31"/>
    <col min="2046" max="2046" width="7" style="31" customWidth="1"/>
    <col min="2047" max="2047" width="10.7265625" style="31" customWidth="1"/>
    <col min="2048" max="2048" width="9.26953125" style="31" customWidth="1"/>
    <col min="2049" max="2072" width="7.26953125" style="31" customWidth="1"/>
    <col min="2073" max="2073" width="11.26953125" style="31" bestFit="1" customWidth="1"/>
    <col min="2074" max="2301" width="11.453125" style="31"/>
    <col min="2302" max="2302" width="7" style="31" customWidth="1"/>
    <col min="2303" max="2303" width="10.7265625" style="31" customWidth="1"/>
    <col min="2304" max="2304" width="9.26953125" style="31" customWidth="1"/>
    <col min="2305" max="2328" width="7.26953125" style="31" customWidth="1"/>
    <col min="2329" max="2329" width="11.26953125" style="31" bestFit="1" customWidth="1"/>
    <col min="2330" max="2557" width="11.453125" style="31"/>
    <col min="2558" max="2558" width="7" style="31" customWidth="1"/>
    <col min="2559" max="2559" width="10.7265625" style="31" customWidth="1"/>
    <col min="2560" max="2560" width="9.26953125" style="31" customWidth="1"/>
    <col min="2561" max="2584" width="7.26953125" style="31" customWidth="1"/>
    <col min="2585" max="2585" width="11.26953125" style="31" bestFit="1" customWidth="1"/>
    <col min="2586" max="2813" width="11.453125" style="31"/>
    <col min="2814" max="2814" width="7" style="31" customWidth="1"/>
    <col min="2815" max="2815" width="10.7265625" style="31" customWidth="1"/>
    <col min="2816" max="2816" width="9.26953125" style="31" customWidth="1"/>
    <col min="2817" max="2840" width="7.26953125" style="31" customWidth="1"/>
    <col min="2841" max="2841" width="11.26953125" style="31" bestFit="1" customWidth="1"/>
    <col min="2842" max="3069" width="11.453125" style="31"/>
    <col min="3070" max="3070" width="7" style="31" customWidth="1"/>
    <col min="3071" max="3071" width="10.7265625" style="31" customWidth="1"/>
    <col min="3072" max="3072" width="9.26953125" style="31" customWidth="1"/>
    <col min="3073" max="3096" width="7.26953125" style="31" customWidth="1"/>
    <col min="3097" max="3097" width="11.26953125" style="31" bestFit="1" customWidth="1"/>
    <col min="3098" max="3325" width="11.453125" style="31"/>
    <col min="3326" max="3326" width="7" style="31" customWidth="1"/>
    <col min="3327" max="3327" width="10.7265625" style="31" customWidth="1"/>
    <col min="3328" max="3328" width="9.26953125" style="31" customWidth="1"/>
    <col min="3329" max="3352" width="7.26953125" style="31" customWidth="1"/>
    <col min="3353" max="3353" width="11.26953125" style="31" bestFit="1" customWidth="1"/>
    <col min="3354" max="3581" width="11.453125" style="31"/>
    <col min="3582" max="3582" width="7" style="31" customWidth="1"/>
    <col min="3583" max="3583" width="10.7265625" style="31" customWidth="1"/>
    <col min="3584" max="3584" width="9.26953125" style="31" customWidth="1"/>
    <col min="3585" max="3608" width="7.26953125" style="31" customWidth="1"/>
    <col min="3609" max="3609" width="11.26953125" style="31" bestFit="1" customWidth="1"/>
    <col min="3610" max="3837" width="11.453125" style="31"/>
    <col min="3838" max="3838" width="7" style="31" customWidth="1"/>
    <col min="3839" max="3839" width="10.7265625" style="31" customWidth="1"/>
    <col min="3840" max="3840" width="9.26953125" style="31" customWidth="1"/>
    <col min="3841" max="3864" width="7.26953125" style="31" customWidth="1"/>
    <col min="3865" max="3865" width="11.26953125" style="31" bestFit="1" customWidth="1"/>
    <col min="3866" max="4093" width="11.453125" style="31"/>
    <col min="4094" max="4094" width="7" style="31" customWidth="1"/>
    <col min="4095" max="4095" width="10.7265625" style="31" customWidth="1"/>
    <col min="4096" max="4096" width="9.26953125" style="31" customWidth="1"/>
    <col min="4097" max="4120" width="7.26953125" style="31" customWidth="1"/>
    <col min="4121" max="4121" width="11.26953125" style="31" bestFit="1" customWidth="1"/>
    <col min="4122" max="4349" width="11.453125" style="31"/>
    <col min="4350" max="4350" width="7" style="31" customWidth="1"/>
    <col min="4351" max="4351" width="10.7265625" style="31" customWidth="1"/>
    <col min="4352" max="4352" width="9.26953125" style="31" customWidth="1"/>
    <col min="4353" max="4376" width="7.26953125" style="31" customWidth="1"/>
    <col min="4377" max="4377" width="11.26953125" style="31" bestFit="1" customWidth="1"/>
    <col min="4378" max="4605" width="11.453125" style="31"/>
    <col min="4606" max="4606" width="7" style="31" customWidth="1"/>
    <col min="4607" max="4607" width="10.7265625" style="31" customWidth="1"/>
    <col min="4608" max="4608" width="9.26953125" style="31" customWidth="1"/>
    <col min="4609" max="4632" width="7.26953125" style="31" customWidth="1"/>
    <col min="4633" max="4633" width="11.26953125" style="31" bestFit="1" customWidth="1"/>
    <col min="4634" max="4861" width="11.453125" style="31"/>
    <col min="4862" max="4862" width="7" style="31" customWidth="1"/>
    <col min="4863" max="4863" width="10.7265625" style="31" customWidth="1"/>
    <col min="4864" max="4864" width="9.26953125" style="31" customWidth="1"/>
    <col min="4865" max="4888" width="7.26953125" style="31" customWidth="1"/>
    <col min="4889" max="4889" width="11.26953125" style="31" bestFit="1" customWidth="1"/>
    <col min="4890" max="5117" width="11.453125" style="31"/>
    <col min="5118" max="5118" width="7" style="31" customWidth="1"/>
    <col min="5119" max="5119" width="10.7265625" style="31" customWidth="1"/>
    <col min="5120" max="5120" width="9.26953125" style="31" customWidth="1"/>
    <col min="5121" max="5144" width="7.26953125" style="31" customWidth="1"/>
    <col min="5145" max="5145" width="11.26953125" style="31" bestFit="1" customWidth="1"/>
    <col min="5146" max="5373" width="11.453125" style="31"/>
    <col min="5374" max="5374" width="7" style="31" customWidth="1"/>
    <col min="5375" max="5375" width="10.7265625" style="31" customWidth="1"/>
    <col min="5376" max="5376" width="9.26953125" style="31" customWidth="1"/>
    <col min="5377" max="5400" width="7.26953125" style="31" customWidth="1"/>
    <col min="5401" max="5401" width="11.26953125" style="31" bestFit="1" customWidth="1"/>
    <col min="5402" max="5629" width="11.453125" style="31"/>
    <col min="5630" max="5630" width="7" style="31" customWidth="1"/>
    <col min="5631" max="5631" width="10.7265625" style="31" customWidth="1"/>
    <col min="5632" max="5632" width="9.26953125" style="31" customWidth="1"/>
    <col min="5633" max="5656" width="7.26953125" style="31" customWidth="1"/>
    <col min="5657" max="5657" width="11.26953125" style="31" bestFit="1" customWidth="1"/>
    <col min="5658" max="5885" width="11.453125" style="31"/>
    <col min="5886" max="5886" width="7" style="31" customWidth="1"/>
    <col min="5887" max="5887" width="10.7265625" style="31" customWidth="1"/>
    <col min="5888" max="5888" width="9.26953125" style="31" customWidth="1"/>
    <col min="5889" max="5912" width="7.26953125" style="31" customWidth="1"/>
    <col min="5913" max="5913" width="11.26953125" style="31" bestFit="1" customWidth="1"/>
    <col min="5914" max="6141" width="11.453125" style="31"/>
    <col min="6142" max="6142" width="7" style="31" customWidth="1"/>
    <col min="6143" max="6143" width="10.7265625" style="31" customWidth="1"/>
    <col min="6144" max="6144" width="9.26953125" style="31" customWidth="1"/>
    <col min="6145" max="6168" width="7.26953125" style="31" customWidth="1"/>
    <col min="6169" max="6169" width="11.26953125" style="31" bestFit="1" customWidth="1"/>
    <col min="6170" max="6397" width="11.453125" style="31"/>
    <col min="6398" max="6398" width="7" style="31" customWidth="1"/>
    <col min="6399" max="6399" width="10.7265625" style="31" customWidth="1"/>
    <col min="6400" max="6400" width="9.26953125" style="31" customWidth="1"/>
    <col min="6401" max="6424" width="7.26953125" style="31" customWidth="1"/>
    <col min="6425" max="6425" width="11.26953125" style="31" bestFit="1" customWidth="1"/>
    <col min="6426" max="6653" width="11.453125" style="31"/>
    <col min="6654" max="6654" width="7" style="31" customWidth="1"/>
    <col min="6655" max="6655" width="10.7265625" style="31" customWidth="1"/>
    <col min="6656" max="6656" width="9.26953125" style="31" customWidth="1"/>
    <col min="6657" max="6680" width="7.26953125" style="31" customWidth="1"/>
    <col min="6681" max="6681" width="11.26953125" style="31" bestFit="1" customWidth="1"/>
    <col min="6682" max="6909" width="11.453125" style="31"/>
    <col min="6910" max="6910" width="7" style="31" customWidth="1"/>
    <col min="6911" max="6911" width="10.7265625" style="31" customWidth="1"/>
    <col min="6912" max="6912" width="9.26953125" style="31" customWidth="1"/>
    <col min="6913" max="6936" width="7.26953125" style="31" customWidth="1"/>
    <col min="6937" max="6937" width="11.26953125" style="31" bestFit="1" customWidth="1"/>
    <col min="6938" max="7165" width="11.453125" style="31"/>
    <col min="7166" max="7166" width="7" style="31" customWidth="1"/>
    <col min="7167" max="7167" width="10.7265625" style="31" customWidth="1"/>
    <col min="7168" max="7168" width="9.26953125" style="31" customWidth="1"/>
    <col min="7169" max="7192" width="7.26953125" style="31" customWidth="1"/>
    <col min="7193" max="7193" width="11.26953125" style="31" bestFit="1" customWidth="1"/>
    <col min="7194" max="7421" width="11.453125" style="31"/>
    <col min="7422" max="7422" width="7" style="31" customWidth="1"/>
    <col min="7423" max="7423" width="10.7265625" style="31" customWidth="1"/>
    <col min="7424" max="7424" width="9.26953125" style="31" customWidth="1"/>
    <col min="7425" max="7448" width="7.26953125" style="31" customWidth="1"/>
    <col min="7449" max="7449" width="11.26953125" style="31" bestFit="1" customWidth="1"/>
    <col min="7450" max="7677" width="11.453125" style="31"/>
    <col min="7678" max="7678" width="7" style="31" customWidth="1"/>
    <col min="7679" max="7679" width="10.7265625" style="31" customWidth="1"/>
    <col min="7680" max="7680" width="9.26953125" style="31" customWidth="1"/>
    <col min="7681" max="7704" width="7.26953125" style="31" customWidth="1"/>
    <col min="7705" max="7705" width="11.26953125" style="31" bestFit="1" customWidth="1"/>
    <col min="7706" max="7933" width="11.453125" style="31"/>
    <col min="7934" max="7934" width="7" style="31" customWidth="1"/>
    <col min="7935" max="7935" width="10.7265625" style="31" customWidth="1"/>
    <col min="7936" max="7936" width="9.26953125" style="31" customWidth="1"/>
    <col min="7937" max="7960" width="7.26953125" style="31" customWidth="1"/>
    <col min="7961" max="7961" width="11.26953125" style="31" bestFit="1" customWidth="1"/>
    <col min="7962" max="8189" width="11.453125" style="31"/>
    <col min="8190" max="8190" width="7" style="31" customWidth="1"/>
    <col min="8191" max="8191" width="10.7265625" style="31" customWidth="1"/>
    <col min="8192" max="8192" width="9.26953125" style="31" customWidth="1"/>
    <col min="8193" max="8216" width="7.26953125" style="31" customWidth="1"/>
    <col min="8217" max="8217" width="11.26953125" style="31" bestFit="1" customWidth="1"/>
    <col min="8218" max="8445" width="11.453125" style="31"/>
    <col min="8446" max="8446" width="7" style="31" customWidth="1"/>
    <col min="8447" max="8447" width="10.7265625" style="31" customWidth="1"/>
    <col min="8448" max="8448" width="9.26953125" style="31" customWidth="1"/>
    <col min="8449" max="8472" width="7.26953125" style="31" customWidth="1"/>
    <col min="8473" max="8473" width="11.26953125" style="31" bestFit="1" customWidth="1"/>
    <col min="8474" max="8701" width="11.453125" style="31"/>
    <col min="8702" max="8702" width="7" style="31" customWidth="1"/>
    <col min="8703" max="8703" width="10.7265625" style="31" customWidth="1"/>
    <col min="8704" max="8704" width="9.26953125" style="31" customWidth="1"/>
    <col min="8705" max="8728" width="7.26953125" style="31" customWidth="1"/>
    <col min="8729" max="8729" width="11.26953125" style="31" bestFit="1" customWidth="1"/>
    <col min="8730" max="8957" width="11.453125" style="31"/>
    <col min="8958" max="8958" width="7" style="31" customWidth="1"/>
    <col min="8959" max="8959" width="10.7265625" style="31" customWidth="1"/>
    <col min="8960" max="8960" width="9.26953125" style="31" customWidth="1"/>
    <col min="8961" max="8984" width="7.26953125" style="31" customWidth="1"/>
    <col min="8985" max="8985" width="11.26953125" style="31" bestFit="1" customWidth="1"/>
    <col min="8986" max="9213" width="11.453125" style="31"/>
    <col min="9214" max="9214" width="7" style="31" customWidth="1"/>
    <col min="9215" max="9215" width="10.7265625" style="31" customWidth="1"/>
    <col min="9216" max="9216" width="9.26953125" style="31" customWidth="1"/>
    <col min="9217" max="9240" width="7.26953125" style="31" customWidth="1"/>
    <col min="9241" max="9241" width="11.26953125" style="31" bestFit="1" customWidth="1"/>
    <col min="9242" max="9469" width="11.453125" style="31"/>
    <col min="9470" max="9470" width="7" style="31" customWidth="1"/>
    <col min="9471" max="9471" width="10.7265625" style="31" customWidth="1"/>
    <col min="9472" max="9472" width="9.26953125" style="31" customWidth="1"/>
    <col min="9473" max="9496" width="7.26953125" style="31" customWidth="1"/>
    <col min="9497" max="9497" width="11.26953125" style="31" bestFit="1" customWidth="1"/>
    <col min="9498" max="9725" width="11.453125" style="31"/>
    <col min="9726" max="9726" width="7" style="31" customWidth="1"/>
    <col min="9727" max="9727" width="10.7265625" style="31" customWidth="1"/>
    <col min="9728" max="9728" width="9.26953125" style="31" customWidth="1"/>
    <col min="9729" max="9752" width="7.26953125" style="31" customWidth="1"/>
    <col min="9753" max="9753" width="11.26953125" style="31" bestFit="1" customWidth="1"/>
    <col min="9754" max="9981" width="11.453125" style="31"/>
    <col min="9982" max="9982" width="7" style="31" customWidth="1"/>
    <col min="9983" max="9983" width="10.7265625" style="31" customWidth="1"/>
    <col min="9984" max="9984" width="9.26953125" style="31" customWidth="1"/>
    <col min="9985" max="10008" width="7.26953125" style="31" customWidth="1"/>
    <col min="10009" max="10009" width="11.26953125" style="31" bestFit="1" customWidth="1"/>
    <col min="10010" max="10237" width="11.453125" style="31"/>
    <col min="10238" max="10238" width="7" style="31" customWidth="1"/>
    <col min="10239" max="10239" width="10.7265625" style="31" customWidth="1"/>
    <col min="10240" max="10240" width="9.26953125" style="31" customWidth="1"/>
    <col min="10241" max="10264" width="7.26953125" style="31" customWidth="1"/>
    <col min="10265" max="10265" width="11.26953125" style="31" bestFit="1" customWidth="1"/>
    <col min="10266" max="10493" width="11.453125" style="31"/>
    <col min="10494" max="10494" width="7" style="31" customWidth="1"/>
    <col min="10495" max="10495" width="10.7265625" style="31" customWidth="1"/>
    <col min="10496" max="10496" width="9.26953125" style="31" customWidth="1"/>
    <col min="10497" max="10520" width="7.26953125" style="31" customWidth="1"/>
    <col min="10521" max="10521" width="11.26953125" style="31" bestFit="1" customWidth="1"/>
    <col min="10522" max="10749" width="11.453125" style="31"/>
    <col min="10750" max="10750" width="7" style="31" customWidth="1"/>
    <col min="10751" max="10751" width="10.7265625" style="31" customWidth="1"/>
    <col min="10752" max="10752" width="9.26953125" style="31" customWidth="1"/>
    <col min="10753" max="10776" width="7.26953125" style="31" customWidth="1"/>
    <col min="10777" max="10777" width="11.26953125" style="31" bestFit="1" customWidth="1"/>
    <col min="10778" max="11005" width="11.453125" style="31"/>
    <col min="11006" max="11006" width="7" style="31" customWidth="1"/>
    <col min="11007" max="11007" width="10.7265625" style="31" customWidth="1"/>
    <col min="11008" max="11008" width="9.26953125" style="31" customWidth="1"/>
    <col min="11009" max="11032" width="7.26953125" style="31" customWidth="1"/>
    <col min="11033" max="11033" width="11.26953125" style="31" bestFit="1" customWidth="1"/>
    <col min="11034" max="11261" width="11.453125" style="31"/>
    <col min="11262" max="11262" width="7" style="31" customWidth="1"/>
    <col min="11263" max="11263" width="10.7265625" style="31" customWidth="1"/>
    <col min="11264" max="11264" width="9.26953125" style="31" customWidth="1"/>
    <col min="11265" max="11288" width="7.26953125" style="31" customWidth="1"/>
    <col min="11289" max="11289" width="11.26953125" style="31" bestFit="1" customWidth="1"/>
    <col min="11290" max="11517" width="11.453125" style="31"/>
    <col min="11518" max="11518" width="7" style="31" customWidth="1"/>
    <col min="11519" max="11519" width="10.7265625" style="31" customWidth="1"/>
    <col min="11520" max="11520" width="9.26953125" style="31" customWidth="1"/>
    <col min="11521" max="11544" width="7.26953125" style="31" customWidth="1"/>
    <col min="11545" max="11545" width="11.26953125" style="31" bestFit="1" customWidth="1"/>
    <col min="11546" max="11773" width="11.453125" style="31"/>
    <col min="11774" max="11774" width="7" style="31" customWidth="1"/>
    <col min="11775" max="11775" width="10.7265625" style="31" customWidth="1"/>
    <col min="11776" max="11776" width="9.26953125" style="31" customWidth="1"/>
    <col min="11777" max="11800" width="7.26953125" style="31" customWidth="1"/>
    <col min="11801" max="11801" width="11.26953125" style="31" bestFit="1" customWidth="1"/>
    <col min="11802" max="12029" width="11.453125" style="31"/>
    <col min="12030" max="12030" width="7" style="31" customWidth="1"/>
    <col min="12031" max="12031" width="10.7265625" style="31" customWidth="1"/>
    <col min="12032" max="12032" width="9.26953125" style="31" customWidth="1"/>
    <col min="12033" max="12056" width="7.26953125" style="31" customWidth="1"/>
    <col min="12057" max="12057" width="11.26953125" style="31" bestFit="1" customWidth="1"/>
    <col min="12058" max="12285" width="11.453125" style="31"/>
    <col min="12286" max="12286" width="7" style="31" customWidth="1"/>
    <col min="12287" max="12287" width="10.7265625" style="31" customWidth="1"/>
    <col min="12288" max="12288" width="9.26953125" style="31" customWidth="1"/>
    <col min="12289" max="12312" width="7.26953125" style="31" customWidth="1"/>
    <col min="12313" max="12313" width="11.26953125" style="31" bestFit="1" customWidth="1"/>
    <col min="12314" max="12541" width="11.453125" style="31"/>
    <col min="12542" max="12542" width="7" style="31" customWidth="1"/>
    <col min="12543" max="12543" width="10.7265625" style="31" customWidth="1"/>
    <col min="12544" max="12544" width="9.26953125" style="31" customWidth="1"/>
    <col min="12545" max="12568" width="7.26953125" style="31" customWidth="1"/>
    <col min="12569" max="12569" width="11.26953125" style="31" bestFit="1" customWidth="1"/>
    <col min="12570" max="12797" width="11.453125" style="31"/>
    <col min="12798" max="12798" width="7" style="31" customWidth="1"/>
    <col min="12799" max="12799" width="10.7265625" style="31" customWidth="1"/>
    <col min="12800" max="12800" width="9.26953125" style="31" customWidth="1"/>
    <col min="12801" max="12824" width="7.26953125" style="31" customWidth="1"/>
    <col min="12825" max="12825" width="11.26953125" style="31" bestFit="1" customWidth="1"/>
    <col min="12826" max="13053" width="11.453125" style="31"/>
    <col min="13054" max="13054" width="7" style="31" customWidth="1"/>
    <col min="13055" max="13055" width="10.7265625" style="31" customWidth="1"/>
    <col min="13056" max="13056" width="9.26953125" style="31" customWidth="1"/>
    <col min="13057" max="13080" width="7.26953125" style="31" customWidth="1"/>
    <col min="13081" max="13081" width="11.26953125" style="31" bestFit="1" customWidth="1"/>
    <col min="13082" max="13309" width="11.453125" style="31"/>
    <col min="13310" max="13310" width="7" style="31" customWidth="1"/>
    <col min="13311" max="13311" width="10.7265625" style="31" customWidth="1"/>
    <col min="13312" max="13312" width="9.26953125" style="31" customWidth="1"/>
    <col min="13313" max="13336" width="7.26953125" style="31" customWidth="1"/>
    <col min="13337" max="13337" width="11.26953125" style="31" bestFit="1" customWidth="1"/>
    <col min="13338" max="13565" width="11.453125" style="31"/>
    <col min="13566" max="13566" width="7" style="31" customWidth="1"/>
    <col min="13567" max="13567" width="10.7265625" style="31" customWidth="1"/>
    <col min="13568" max="13568" width="9.26953125" style="31" customWidth="1"/>
    <col min="13569" max="13592" width="7.26953125" style="31" customWidth="1"/>
    <col min="13593" max="13593" width="11.26953125" style="31" bestFit="1" customWidth="1"/>
    <col min="13594" max="13821" width="11.453125" style="31"/>
    <col min="13822" max="13822" width="7" style="31" customWidth="1"/>
    <col min="13823" max="13823" width="10.7265625" style="31" customWidth="1"/>
    <col min="13824" max="13824" width="9.26953125" style="31" customWidth="1"/>
    <col min="13825" max="13848" width="7.26953125" style="31" customWidth="1"/>
    <col min="13849" max="13849" width="11.26953125" style="31" bestFit="1" customWidth="1"/>
    <col min="13850" max="14077" width="11.453125" style="31"/>
    <col min="14078" max="14078" width="7" style="31" customWidth="1"/>
    <col min="14079" max="14079" width="10.7265625" style="31" customWidth="1"/>
    <col min="14080" max="14080" width="9.26953125" style="31" customWidth="1"/>
    <col min="14081" max="14104" width="7.26953125" style="31" customWidth="1"/>
    <col min="14105" max="14105" width="11.26953125" style="31" bestFit="1" customWidth="1"/>
    <col min="14106" max="14333" width="11.453125" style="31"/>
    <col min="14334" max="14334" width="7" style="31" customWidth="1"/>
    <col min="14335" max="14335" width="10.7265625" style="31" customWidth="1"/>
    <col min="14336" max="14336" width="9.26953125" style="31" customWidth="1"/>
    <col min="14337" max="14360" width="7.26953125" style="31" customWidth="1"/>
    <col min="14361" max="14361" width="11.26953125" style="31" bestFit="1" customWidth="1"/>
    <col min="14362" max="14589" width="11.453125" style="31"/>
    <col min="14590" max="14590" width="7" style="31" customWidth="1"/>
    <col min="14591" max="14591" width="10.7265625" style="31" customWidth="1"/>
    <col min="14592" max="14592" width="9.26953125" style="31" customWidth="1"/>
    <col min="14593" max="14616" width="7.26953125" style="31" customWidth="1"/>
    <col min="14617" max="14617" width="11.26953125" style="31" bestFit="1" customWidth="1"/>
    <col min="14618" max="14845" width="11.453125" style="31"/>
    <col min="14846" max="14846" width="7" style="31" customWidth="1"/>
    <col min="14847" max="14847" width="10.7265625" style="31" customWidth="1"/>
    <col min="14848" max="14848" width="9.26953125" style="31" customWidth="1"/>
    <col min="14849" max="14872" width="7.26953125" style="31" customWidth="1"/>
    <col min="14873" max="14873" width="11.26953125" style="31" bestFit="1" customWidth="1"/>
    <col min="14874" max="15101" width="11.453125" style="31"/>
    <col min="15102" max="15102" width="7" style="31" customWidth="1"/>
    <col min="15103" max="15103" width="10.7265625" style="31" customWidth="1"/>
    <col min="15104" max="15104" width="9.26953125" style="31" customWidth="1"/>
    <col min="15105" max="15128" width="7.26953125" style="31" customWidth="1"/>
    <col min="15129" max="15129" width="11.26953125" style="31" bestFit="1" customWidth="1"/>
    <col min="15130" max="15357" width="11.453125" style="31"/>
    <col min="15358" max="15358" width="7" style="31" customWidth="1"/>
    <col min="15359" max="15359" width="10.7265625" style="31" customWidth="1"/>
    <col min="15360" max="15360" width="9.26953125" style="31" customWidth="1"/>
    <col min="15361" max="15384" width="7.26953125" style="31" customWidth="1"/>
    <col min="15385" max="15385" width="11.26953125" style="31" bestFit="1" customWidth="1"/>
    <col min="15386" max="15613" width="11.453125" style="31"/>
    <col min="15614" max="15614" width="7" style="31" customWidth="1"/>
    <col min="15615" max="15615" width="10.7265625" style="31" customWidth="1"/>
    <col min="15616" max="15616" width="9.26953125" style="31" customWidth="1"/>
    <col min="15617" max="15640" width="7.26953125" style="31" customWidth="1"/>
    <col min="15641" max="15641" width="11.26953125" style="31" bestFit="1" customWidth="1"/>
    <col min="15642" max="15869" width="11.453125" style="31"/>
    <col min="15870" max="15870" width="7" style="31" customWidth="1"/>
    <col min="15871" max="15871" width="10.7265625" style="31" customWidth="1"/>
    <col min="15872" max="15872" width="9.26953125" style="31" customWidth="1"/>
    <col min="15873" max="15896" width="7.26953125" style="31" customWidth="1"/>
    <col min="15897" max="15897" width="11.26953125" style="31" bestFit="1" customWidth="1"/>
    <col min="15898" max="16125" width="11.453125" style="31"/>
    <col min="16126" max="16126" width="7" style="31" customWidth="1"/>
    <col min="16127" max="16127" width="10.7265625" style="31" customWidth="1"/>
    <col min="16128" max="16128" width="9.26953125" style="31" customWidth="1"/>
    <col min="16129" max="16152" width="7.26953125" style="31" customWidth="1"/>
    <col min="16153" max="16153" width="11.26953125" style="31" bestFit="1" customWidth="1"/>
    <col min="16154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2027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19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5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5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6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7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7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8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3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22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19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5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3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21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1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20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3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5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20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5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22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3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E8E9-EAF1-450C-8766-491273855D6C}">
  <dimension ref="B1:AC56"/>
  <sheetViews>
    <sheetView showGridLines="0" zoomScale="60" zoomScaleNormal="60" workbookViewId="0">
      <selection activeCell="O14" sqref="O14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2" width="11.453125" style="31"/>
    <col min="33" max="33" width="12.54296875" style="31" bestFit="1" customWidth="1"/>
    <col min="34" max="256" width="11.453125" style="31"/>
    <col min="257" max="257" width="7" style="31" customWidth="1"/>
    <col min="258" max="258" width="10.7265625" style="31" customWidth="1"/>
    <col min="259" max="259" width="9.26953125" style="31" customWidth="1"/>
    <col min="260" max="283" width="7.26953125" style="31" customWidth="1"/>
    <col min="284" max="284" width="11.26953125" style="31" bestFit="1" customWidth="1"/>
    <col min="285" max="512" width="11.453125" style="31"/>
    <col min="513" max="513" width="7" style="31" customWidth="1"/>
    <col min="514" max="514" width="10.7265625" style="31" customWidth="1"/>
    <col min="515" max="515" width="9.26953125" style="31" customWidth="1"/>
    <col min="516" max="539" width="7.26953125" style="31" customWidth="1"/>
    <col min="540" max="540" width="11.26953125" style="31" bestFit="1" customWidth="1"/>
    <col min="541" max="768" width="11.453125" style="31"/>
    <col min="769" max="769" width="7" style="31" customWidth="1"/>
    <col min="770" max="770" width="10.7265625" style="31" customWidth="1"/>
    <col min="771" max="771" width="9.26953125" style="31" customWidth="1"/>
    <col min="772" max="795" width="7.26953125" style="31" customWidth="1"/>
    <col min="796" max="796" width="11.26953125" style="31" bestFit="1" customWidth="1"/>
    <col min="797" max="1024" width="11.453125" style="31"/>
    <col min="1025" max="1025" width="7" style="31" customWidth="1"/>
    <col min="1026" max="1026" width="10.7265625" style="31" customWidth="1"/>
    <col min="1027" max="1027" width="9.26953125" style="31" customWidth="1"/>
    <col min="1028" max="1051" width="7.26953125" style="31" customWidth="1"/>
    <col min="1052" max="1052" width="11.26953125" style="31" bestFit="1" customWidth="1"/>
    <col min="1053" max="1280" width="11.453125" style="31"/>
    <col min="1281" max="1281" width="7" style="31" customWidth="1"/>
    <col min="1282" max="1282" width="10.7265625" style="31" customWidth="1"/>
    <col min="1283" max="1283" width="9.26953125" style="31" customWidth="1"/>
    <col min="1284" max="1307" width="7.26953125" style="31" customWidth="1"/>
    <col min="1308" max="1308" width="11.26953125" style="31" bestFit="1" customWidth="1"/>
    <col min="1309" max="1536" width="11.453125" style="31"/>
    <col min="1537" max="1537" width="7" style="31" customWidth="1"/>
    <col min="1538" max="1538" width="10.7265625" style="31" customWidth="1"/>
    <col min="1539" max="1539" width="9.26953125" style="31" customWidth="1"/>
    <col min="1540" max="1563" width="7.26953125" style="31" customWidth="1"/>
    <col min="1564" max="1564" width="11.26953125" style="31" bestFit="1" customWidth="1"/>
    <col min="1565" max="1792" width="11.453125" style="31"/>
    <col min="1793" max="1793" width="7" style="31" customWidth="1"/>
    <col min="1794" max="1794" width="10.7265625" style="31" customWidth="1"/>
    <col min="1795" max="1795" width="9.26953125" style="31" customWidth="1"/>
    <col min="1796" max="1819" width="7.26953125" style="31" customWidth="1"/>
    <col min="1820" max="1820" width="11.26953125" style="31" bestFit="1" customWidth="1"/>
    <col min="1821" max="2048" width="11.453125" style="31"/>
    <col min="2049" max="2049" width="7" style="31" customWidth="1"/>
    <col min="2050" max="2050" width="10.7265625" style="31" customWidth="1"/>
    <col min="2051" max="2051" width="9.26953125" style="31" customWidth="1"/>
    <col min="2052" max="2075" width="7.26953125" style="31" customWidth="1"/>
    <col min="2076" max="2076" width="11.26953125" style="31" bestFit="1" customWidth="1"/>
    <col min="2077" max="2304" width="11.453125" style="31"/>
    <col min="2305" max="2305" width="7" style="31" customWidth="1"/>
    <col min="2306" max="2306" width="10.7265625" style="31" customWidth="1"/>
    <col min="2307" max="2307" width="9.26953125" style="31" customWidth="1"/>
    <col min="2308" max="2331" width="7.26953125" style="31" customWidth="1"/>
    <col min="2332" max="2332" width="11.26953125" style="31" bestFit="1" customWidth="1"/>
    <col min="2333" max="2560" width="11.453125" style="31"/>
    <col min="2561" max="2561" width="7" style="31" customWidth="1"/>
    <col min="2562" max="2562" width="10.7265625" style="31" customWidth="1"/>
    <col min="2563" max="2563" width="9.26953125" style="31" customWidth="1"/>
    <col min="2564" max="2587" width="7.26953125" style="31" customWidth="1"/>
    <col min="2588" max="2588" width="11.26953125" style="31" bestFit="1" customWidth="1"/>
    <col min="2589" max="2816" width="11.453125" style="31"/>
    <col min="2817" max="2817" width="7" style="31" customWidth="1"/>
    <col min="2818" max="2818" width="10.7265625" style="31" customWidth="1"/>
    <col min="2819" max="2819" width="9.26953125" style="31" customWidth="1"/>
    <col min="2820" max="2843" width="7.26953125" style="31" customWidth="1"/>
    <col min="2844" max="2844" width="11.26953125" style="31" bestFit="1" customWidth="1"/>
    <col min="2845" max="3072" width="11.453125" style="31"/>
    <col min="3073" max="3073" width="7" style="31" customWidth="1"/>
    <col min="3074" max="3074" width="10.7265625" style="31" customWidth="1"/>
    <col min="3075" max="3075" width="9.26953125" style="31" customWidth="1"/>
    <col min="3076" max="3099" width="7.26953125" style="31" customWidth="1"/>
    <col min="3100" max="3100" width="11.26953125" style="31" bestFit="1" customWidth="1"/>
    <col min="3101" max="3328" width="11.453125" style="31"/>
    <col min="3329" max="3329" width="7" style="31" customWidth="1"/>
    <col min="3330" max="3330" width="10.7265625" style="31" customWidth="1"/>
    <col min="3331" max="3331" width="9.26953125" style="31" customWidth="1"/>
    <col min="3332" max="3355" width="7.26953125" style="31" customWidth="1"/>
    <col min="3356" max="3356" width="11.26953125" style="31" bestFit="1" customWidth="1"/>
    <col min="3357" max="3584" width="11.453125" style="31"/>
    <col min="3585" max="3585" width="7" style="31" customWidth="1"/>
    <col min="3586" max="3586" width="10.7265625" style="31" customWidth="1"/>
    <col min="3587" max="3587" width="9.26953125" style="31" customWidth="1"/>
    <col min="3588" max="3611" width="7.26953125" style="31" customWidth="1"/>
    <col min="3612" max="3612" width="11.26953125" style="31" bestFit="1" customWidth="1"/>
    <col min="3613" max="3840" width="11.453125" style="31"/>
    <col min="3841" max="3841" width="7" style="31" customWidth="1"/>
    <col min="3842" max="3842" width="10.7265625" style="31" customWidth="1"/>
    <col min="3843" max="3843" width="9.26953125" style="31" customWidth="1"/>
    <col min="3844" max="3867" width="7.26953125" style="31" customWidth="1"/>
    <col min="3868" max="3868" width="11.26953125" style="31" bestFit="1" customWidth="1"/>
    <col min="3869" max="4096" width="11.453125" style="31"/>
    <col min="4097" max="4097" width="7" style="31" customWidth="1"/>
    <col min="4098" max="4098" width="10.7265625" style="31" customWidth="1"/>
    <col min="4099" max="4099" width="9.26953125" style="31" customWidth="1"/>
    <col min="4100" max="4123" width="7.26953125" style="31" customWidth="1"/>
    <col min="4124" max="4124" width="11.26953125" style="31" bestFit="1" customWidth="1"/>
    <col min="4125" max="4352" width="11.453125" style="31"/>
    <col min="4353" max="4353" width="7" style="31" customWidth="1"/>
    <col min="4354" max="4354" width="10.7265625" style="31" customWidth="1"/>
    <col min="4355" max="4355" width="9.26953125" style="31" customWidth="1"/>
    <col min="4356" max="4379" width="7.26953125" style="31" customWidth="1"/>
    <col min="4380" max="4380" width="11.26953125" style="31" bestFit="1" customWidth="1"/>
    <col min="4381" max="4608" width="11.453125" style="31"/>
    <col min="4609" max="4609" width="7" style="31" customWidth="1"/>
    <col min="4610" max="4610" width="10.7265625" style="31" customWidth="1"/>
    <col min="4611" max="4611" width="9.26953125" style="31" customWidth="1"/>
    <col min="4612" max="4635" width="7.26953125" style="31" customWidth="1"/>
    <col min="4636" max="4636" width="11.26953125" style="31" bestFit="1" customWidth="1"/>
    <col min="4637" max="4864" width="11.453125" style="31"/>
    <col min="4865" max="4865" width="7" style="31" customWidth="1"/>
    <col min="4866" max="4866" width="10.7265625" style="31" customWidth="1"/>
    <col min="4867" max="4867" width="9.26953125" style="31" customWidth="1"/>
    <col min="4868" max="4891" width="7.26953125" style="31" customWidth="1"/>
    <col min="4892" max="4892" width="11.26953125" style="31" bestFit="1" customWidth="1"/>
    <col min="4893" max="5120" width="11.453125" style="31"/>
    <col min="5121" max="5121" width="7" style="31" customWidth="1"/>
    <col min="5122" max="5122" width="10.7265625" style="31" customWidth="1"/>
    <col min="5123" max="5123" width="9.26953125" style="31" customWidth="1"/>
    <col min="5124" max="5147" width="7.26953125" style="31" customWidth="1"/>
    <col min="5148" max="5148" width="11.26953125" style="31" bestFit="1" customWidth="1"/>
    <col min="5149" max="5376" width="11.453125" style="31"/>
    <col min="5377" max="5377" width="7" style="31" customWidth="1"/>
    <col min="5378" max="5378" width="10.7265625" style="31" customWidth="1"/>
    <col min="5379" max="5379" width="9.26953125" style="31" customWidth="1"/>
    <col min="5380" max="5403" width="7.26953125" style="31" customWidth="1"/>
    <col min="5404" max="5404" width="11.26953125" style="31" bestFit="1" customWidth="1"/>
    <col min="5405" max="5632" width="11.453125" style="31"/>
    <col min="5633" max="5633" width="7" style="31" customWidth="1"/>
    <col min="5634" max="5634" width="10.7265625" style="31" customWidth="1"/>
    <col min="5635" max="5635" width="9.26953125" style="31" customWidth="1"/>
    <col min="5636" max="5659" width="7.26953125" style="31" customWidth="1"/>
    <col min="5660" max="5660" width="11.26953125" style="31" bestFit="1" customWidth="1"/>
    <col min="5661" max="5888" width="11.453125" style="31"/>
    <col min="5889" max="5889" width="7" style="31" customWidth="1"/>
    <col min="5890" max="5890" width="10.7265625" style="31" customWidth="1"/>
    <col min="5891" max="5891" width="9.26953125" style="31" customWidth="1"/>
    <col min="5892" max="5915" width="7.26953125" style="31" customWidth="1"/>
    <col min="5916" max="5916" width="11.26953125" style="31" bestFit="1" customWidth="1"/>
    <col min="5917" max="6144" width="11.453125" style="31"/>
    <col min="6145" max="6145" width="7" style="31" customWidth="1"/>
    <col min="6146" max="6146" width="10.7265625" style="31" customWidth="1"/>
    <col min="6147" max="6147" width="9.26953125" style="31" customWidth="1"/>
    <col min="6148" max="6171" width="7.26953125" style="31" customWidth="1"/>
    <col min="6172" max="6172" width="11.26953125" style="31" bestFit="1" customWidth="1"/>
    <col min="6173" max="6400" width="11.453125" style="31"/>
    <col min="6401" max="6401" width="7" style="31" customWidth="1"/>
    <col min="6402" max="6402" width="10.7265625" style="31" customWidth="1"/>
    <col min="6403" max="6403" width="9.26953125" style="31" customWidth="1"/>
    <col min="6404" max="6427" width="7.26953125" style="31" customWidth="1"/>
    <col min="6428" max="6428" width="11.26953125" style="31" bestFit="1" customWidth="1"/>
    <col min="6429" max="6656" width="11.453125" style="31"/>
    <col min="6657" max="6657" width="7" style="31" customWidth="1"/>
    <col min="6658" max="6658" width="10.7265625" style="31" customWidth="1"/>
    <col min="6659" max="6659" width="9.26953125" style="31" customWidth="1"/>
    <col min="6660" max="6683" width="7.26953125" style="31" customWidth="1"/>
    <col min="6684" max="6684" width="11.26953125" style="31" bestFit="1" customWidth="1"/>
    <col min="6685" max="6912" width="11.453125" style="31"/>
    <col min="6913" max="6913" width="7" style="31" customWidth="1"/>
    <col min="6914" max="6914" width="10.7265625" style="31" customWidth="1"/>
    <col min="6915" max="6915" width="9.26953125" style="31" customWidth="1"/>
    <col min="6916" max="6939" width="7.26953125" style="31" customWidth="1"/>
    <col min="6940" max="6940" width="11.26953125" style="31" bestFit="1" customWidth="1"/>
    <col min="6941" max="7168" width="11.453125" style="31"/>
    <col min="7169" max="7169" width="7" style="31" customWidth="1"/>
    <col min="7170" max="7170" width="10.7265625" style="31" customWidth="1"/>
    <col min="7171" max="7171" width="9.26953125" style="31" customWidth="1"/>
    <col min="7172" max="7195" width="7.26953125" style="31" customWidth="1"/>
    <col min="7196" max="7196" width="11.26953125" style="31" bestFit="1" customWidth="1"/>
    <col min="7197" max="7424" width="11.453125" style="31"/>
    <col min="7425" max="7425" width="7" style="31" customWidth="1"/>
    <col min="7426" max="7426" width="10.7265625" style="31" customWidth="1"/>
    <col min="7427" max="7427" width="9.26953125" style="31" customWidth="1"/>
    <col min="7428" max="7451" width="7.26953125" style="31" customWidth="1"/>
    <col min="7452" max="7452" width="11.26953125" style="31" bestFit="1" customWidth="1"/>
    <col min="7453" max="7680" width="11.453125" style="31"/>
    <col min="7681" max="7681" width="7" style="31" customWidth="1"/>
    <col min="7682" max="7682" width="10.7265625" style="31" customWidth="1"/>
    <col min="7683" max="7683" width="9.26953125" style="31" customWidth="1"/>
    <col min="7684" max="7707" width="7.26953125" style="31" customWidth="1"/>
    <col min="7708" max="7708" width="11.26953125" style="31" bestFit="1" customWidth="1"/>
    <col min="7709" max="7936" width="11.453125" style="31"/>
    <col min="7937" max="7937" width="7" style="31" customWidth="1"/>
    <col min="7938" max="7938" width="10.7265625" style="31" customWidth="1"/>
    <col min="7939" max="7939" width="9.26953125" style="31" customWidth="1"/>
    <col min="7940" max="7963" width="7.26953125" style="31" customWidth="1"/>
    <col min="7964" max="7964" width="11.26953125" style="31" bestFit="1" customWidth="1"/>
    <col min="7965" max="8192" width="11.453125" style="31"/>
    <col min="8193" max="8193" width="7" style="31" customWidth="1"/>
    <col min="8194" max="8194" width="10.7265625" style="31" customWidth="1"/>
    <col min="8195" max="8195" width="9.26953125" style="31" customWidth="1"/>
    <col min="8196" max="8219" width="7.26953125" style="31" customWidth="1"/>
    <col min="8220" max="8220" width="11.26953125" style="31" bestFit="1" customWidth="1"/>
    <col min="8221" max="8448" width="11.453125" style="31"/>
    <col min="8449" max="8449" width="7" style="31" customWidth="1"/>
    <col min="8450" max="8450" width="10.7265625" style="31" customWidth="1"/>
    <col min="8451" max="8451" width="9.26953125" style="31" customWidth="1"/>
    <col min="8452" max="8475" width="7.26953125" style="31" customWidth="1"/>
    <col min="8476" max="8476" width="11.26953125" style="31" bestFit="1" customWidth="1"/>
    <col min="8477" max="8704" width="11.453125" style="31"/>
    <col min="8705" max="8705" width="7" style="31" customWidth="1"/>
    <col min="8706" max="8706" width="10.7265625" style="31" customWidth="1"/>
    <col min="8707" max="8707" width="9.26953125" style="31" customWidth="1"/>
    <col min="8708" max="8731" width="7.26953125" style="31" customWidth="1"/>
    <col min="8732" max="8732" width="11.26953125" style="31" bestFit="1" customWidth="1"/>
    <col min="8733" max="8960" width="11.453125" style="31"/>
    <col min="8961" max="8961" width="7" style="31" customWidth="1"/>
    <col min="8962" max="8962" width="10.7265625" style="31" customWidth="1"/>
    <col min="8963" max="8963" width="9.26953125" style="31" customWidth="1"/>
    <col min="8964" max="8987" width="7.26953125" style="31" customWidth="1"/>
    <col min="8988" max="8988" width="11.26953125" style="31" bestFit="1" customWidth="1"/>
    <col min="8989" max="9216" width="11.453125" style="31"/>
    <col min="9217" max="9217" width="7" style="31" customWidth="1"/>
    <col min="9218" max="9218" width="10.7265625" style="31" customWidth="1"/>
    <col min="9219" max="9219" width="9.26953125" style="31" customWidth="1"/>
    <col min="9220" max="9243" width="7.26953125" style="31" customWidth="1"/>
    <col min="9244" max="9244" width="11.26953125" style="31" bestFit="1" customWidth="1"/>
    <col min="9245" max="9472" width="11.453125" style="31"/>
    <col min="9473" max="9473" width="7" style="31" customWidth="1"/>
    <col min="9474" max="9474" width="10.7265625" style="31" customWidth="1"/>
    <col min="9475" max="9475" width="9.26953125" style="31" customWidth="1"/>
    <col min="9476" max="9499" width="7.26953125" style="31" customWidth="1"/>
    <col min="9500" max="9500" width="11.26953125" style="31" bestFit="1" customWidth="1"/>
    <col min="9501" max="9728" width="11.453125" style="31"/>
    <col min="9729" max="9729" width="7" style="31" customWidth="1"/>
    <col min="9730" max="9730" width="10.7265625" style="31" customWidth="1"/>
    <col min="9731" max="9731" width="9.26953125" style="31" customWidth="1"/>
    <col min="9732" max="9755" width="7.26953125" style="31" customWidth="1"/>
    <col min="9756" max="9756" width="11.26953125" style="31" bestFit="1" customWidth="1"/>
    <col min="9757" max="9984" width="11.453125" style="31"/>
    <col min="9985" max="9985" width="7" style="31" customWidth="1"/>
    <col min="9986" max="9986" width="10.7265625" style="31" customWidth="1"/>
    <col min="9987" max="9987" width="9.26953125" style="31" customWidth="1"/>
    <col min="9988" max="10011" width="7.26953125" style="31" customWidth="1"/>
    <col min="10012" max="10012" width="11.26953125" style="31" bestFit="1" customWidth="1"/>
    <col min="10013" max="10240" width="11.453125" style="31"/>
    <col min="10241" max="10241" width="7" style="31" customWidth="1"/>
    <col min="10242" max="10242" width="10.7265625" style="31" customWidth="1"/>
    <col min="10243" max="10243" width="9.26953125" style="31" customWidth="1"/>
    <col min="10244" max="10267" width="7.26953125" style="31" customWidth="1"/>
    <col min="10268" max="10268" width="11.26953125" style="31" bestFit="1" customWidth="1"/>
    <col min="10269" max="10496" width="11.453125" style="31"/>
    <col min="10497" max="10497" width="7" style="31" customWidth="1"/>
    <col min="10498" max="10498" width="10.7265625" style="31" customWidth="1"/>
    <col min="10499" max="10499" width="9.26953125" style="31" customWidth="1"/>
    <col min="10500" max="10523" width="7.26953125" style="31" customWidth="1"/>
    <col min="10524" max="10524" width="11.26953125" style="31" bestFit="1" customWidth="1"/>
    <col min="10525" max="10752" width="11.453125" style="31"/>
    <col min="10753" max="10753" width="7" style="31" customWidth="1"/>
    <col min="10754" max="10754" width="10.7265625" style="31" customWidth="1"/>
    <col min="10755" max="10755" width="9.26953125" style="31" customWidth="1"/>
    <col min="10756" max="10779" width="7.26953125" style="31" customWidth="1"/>
    <col min="10780" max="10780" width="11.26953125" style="31" bestFit="1" customWidth="1"/>
    <col min="10781" max="11008" width="11.453125" style="31"/>
    <col min="11009" max="11009" width="7" style="31" customWidth="1"/>
    <col min="11010" max="11010" width="10.7265625" style="31" customWidth="1"/>
    <col min="11011" max="11011" width="9.26953125" style="31" customWidth="1"/>
    <col min="11012" max="11035" width="7.26953125" style="31" customWidth="1"/>
    <col min="11036" max="11036" width="11.26953125" style="31" bestFit="1" customWidth="1"/>
    <col min="11037" max="11264" width="11.453125" style="31"/>
    <col min="11265" max="11265" width="7" style="31" customWidth="1"/>
    <col min="11266" max="11266" width="10.7265625" style="31" customWidth="1"/>
    <col min="11267" max="11267" width="9.26953125" style="31" customWidth="1"/>
    <col min="11268" max="11291" width="7.26953125" style="31" customWidth="1"/>
    <col min="11292" max="11292" width="11.26953125" style="31" bestFit="1" customWidth="1"/>
    <col min="11293" max="11520" width="11.453125" style="31"/>
    <col min="11521" max="11521" width="7" style="31" customWidth="1"/>
    <col min="11522" max="11522" width="10.7265625" style="31" customWidth="1"/>
    <col min="11523" max="11523" width="9.26953125" style="31" customWidth="1"/>
    <col min="11524" max="11547" width="7.26953125" style="31" customWidth="1"/>
    <col min="11548" max="11548" width="11.26953125" style="31" bestFit="1" customWidth="1"/>
    <col min="11549" max="11776" width="11.453125" style="31"/>
    <col min="11777" max="11777" width="7" style="31" customWidth="1"/>
    <col min="11778" max="11778" width="10.7265625" style="31" customWidth="1"/>
    <col min="11779" max="11779" width="9.26953125" style="31" customWidth="1"/>
    <col min="11780" max="11803" width="7.26953125" style="31" customWidth="1"/>
    <col min="11804" max="11804" width="11.26953125" style="31" bestFit="1" customWidth="1"/>
    <col min="11805" max="12032" width="11.453125" style="31"/>
    <col min="12033" max="12033" width="7" style="31" customWidth="1"/>
    <col min="12034" max="12034" width="10.7265625" style="31" customWidth="1"/>
    <col min="12035" max="12035" width="9.26953125" style="31" customWidth="1"/>
    <col min="12036" max="12059" width="7.26953125" style="31" customWidth="1"/>
    <col min="12060" max="12060" width="11.26953125" style="31" bestFit="1" customWidth="1"/>
    <col min="12061" max="12288" width="11.453125" style="31"/>
    <col min="12289" max="12289" width="7" style="31" customWidth="1"/>
    <col min="12290" max="12290" width="10.7265625" style="31" customWidth="1"/>
    <col min="12291" max="12291" width="9.26953125" style="31" customWidth="1"/>
    <col min="12292" max="12315" width="7.26953125" style="31" customWidth="1"/>
    <col min="12316" max="12316" width="11.26953125" style="31" bestFit="1" customWidth="1"/>
    <col min="12317" max="12544" width="11.453125" style="31"/>
    <col min="12545" max="12545" width="7" style="31" customWidth="1"/>
    <col min="12546" max="12546" width="10.7265625" style="31" customWidth="1"/>
    <col min="12547" max="12547" width="9.26953125" style="31" customWidth="1"/>
    <col min="12548" max="12571" width="7.26953125" style="31" customWidth="1"/>
    <col min="12572" max="12572" width="11.26953125" style="31" bestFit="1" customWidth="1"/>
    <col min="12573" max="12800" width="11.453125" style="31"/>
    <col min="12801" max="12801" width="7" style="31" customWidth="1"/>
    <col min="12802" max="12802" width="10.7265625" style="31" customWidth="1"/>
    <col min="12803" max="12803" width="9.26953125" style="31" customWidth="1"/>
    <col min="12804" max="12827" width="7.26953125" style="31" customWidth="1"/>
    <col min="12828" max="12828" width="11.26953125" style="31" bestFit="1" customWidth="1"/>
    <col min="12829" max="13056" width="11.453125" style="31"/>
    <col min="13057" max="13057" width="7" style="31" customWidth="1"/>
    <col min="13058" max="13058" width="10.7265625" style="31" customWidth="1"/>
    <col min="13059" max="13059" width="9.26953125" style="31" customWidth="1"/>
    <col min="13060" max="13083" width="7.26953125" style="31" customWidth="1"/>
    <col min="13084" max="13084" width="11.26953125" style="31" bestFit="1" customWidth="1"/>
    <col min="13085" max="13312" width="11.453125" style="31"/>
    <col min="13313" max="13313" width="7" style="31" customWidth="1"/>
    <col min="13314" max="13314" width="10.7265625" style="31" customWidth="1"/>
    <col min="13315" max="13315" width="9.26953125" style="31" customWidth="1"/>
    <col min="13316" max="13339" width="7.26953125" style="31" customWidth="1"/>
    <col min="13340" max="13340" width="11.26953125" style="31" bestFit="1" customWidth="1"/>
    <col min="13341" max="13568" width="11.453125" style="31"/>
    <col min="13569" max="13569" width="7" style="31" customWidth="1"/>
    <col min="13570" max="13570" width="10.7265625" style="31" customWidth="1"/>
    <col min="13571" max="13571" width="9.26953125" style="31" customWidth="1"/>
    <col min="13572" max="13595" width="7.26953125" style="31" customWidth="1"/>
    <col min="13596" max="13596" width="11.26953125" style="31" bestFit="1" customWidth="1"/>
    <col min="13597" max="13824" width="11.453125" style="31"/>
    <col min="13825" max="13825" width="7" style="31" customWidth="1"/>
    <col min="13826" max="13826" width="10.7265625" style="31" customWidth="1"/>
    <col min="13827" max="13827" width="9.26953125" style="31" customWidth="1"/>
    <col min="13828" max="13851" width="7.26953125" style="31" customWidth="1"/>
    <col min="13852" max="13852" width="11.26953125" style="31" bestFit="1" customWidth="1"/>
    <col min="13853" max="14080" width="11.453125" style="31"/>
    <col min="14081" max="14081" width="7" style="31" customWidth="1"/>
    <col min="14082" max="14082" width="10.7265625" style="31" customWidth="1"/>
    <col min="14083" max="14083" width="9.26953125" style="31" customWidth="1"/>
    <col min="14084" max="14107" width="7.26953125" style="31" customWidth="1"/>
    <col min="14108" max="14108" width="11.26953125" style="31" bestFit="1" customWidth="1"/>
    <col min="14109" max="14336" width="11.453125" style="31"/>
    <col min="14337" max="14337" width="7" style="31" customWidth="1"/>
    <col min="14338" max="14338" width="10.7265625" style="31" customWidth="1"/>
    <col min="14339" max="14339" width="9.26953125" style="31" customWidth="1"/>
    <col min="14340" max="14363" width="7.26953125" style="31" customWidth="1"/>
    <col min="14364" max="14364" width="11.26953125" style="31" bestFit="1" customWidth="1"/>
    <col min="14365" max="14592" width="11.453125" style="31"/>
    <col min="14593" max="14593" width="7" style="31" customWidth="1"/>
    <col min="14594" max="14594" width="10.7265625" style="31" customWidth="1"/>
    <col min="14595" max="14595" width="9.26953125" style="31" customWidth="1"/>
    <col min="14596" max="14619" width="7.26953125" style="31" customWidth="1"/>
    <col min="14620" max="14620" width="11.26953125" style="31" bestFit="1" customWidth="1"/>
    <col min="14621" max="14848" width="11.453125" style="31"/>
    <col min="14849" max="14849" width="7" style="31" customWidth="1"/>
    <col min="14850" max="14850" width="10.7265625" style="31" customWidth="1"/>
    <col min="14851" max="14851" width="9.26953125" style="31" customWidth="1"/>
    <col min="14852" max="14875" width="7.26953125" style="31" customWidth="1"/>
    <col min="14876" max="14876" width="11.26953125" style="31" bestFit="1" customWidth="1"/>
    <col min="14877" max="15104" width="11.453125" style="31"/>
    <col min="15105" max="15105" width="7" style="31" customWidth="1"/>
    <col min="15106" max="15106" width="10.7265625" style="31" customWidth="1"/>
    <col min="15107" max="15107" width="9.26953125" style="31" customWidth="1"/>
    <col min="15108" max="15131" width="7.26953125" style="31" customWidth="1"/>
    <col min="15132" max="15132" width="11.26953125" style="31" bestFit="1" customWidth="1"/>
    <col min="15133" max="15360" width="11.453125" style="31"/>
    <col min="15361" max="15361" width="7" style="31" customWidth="1"/>
    <col min="15362" max="15362" width="10.7265625" style="31" customWidth="1"/>
    <col min="15363" max="15363" width="9.26953125" style="31" customWidth="1"/>
    <col min="15364" max="15387" width="7.26953125" style="31" customWidth="1"/>
    <col min="15388" max="15388" width="11.26953125" style="31" bestFit="1" customWidth="1"/>
    <col min="15389" max="15616" width="11.453125" style="31"/>
    <col min="15617" max="15617" width="7" style="31" customWidth="1"/>
    <col min="15618" max="15618" width="10.7265625" style="31" customWidth="1"/>
    <col min="15619" max="15619" width="9.26953125" style="31" customWidth="1"/>
    <col min="15620" max="15643" width="7.26953125" style="31" customWidth="1"/>
    <col min="15644" max="15644" width="11.26953125" style="31" bestFit="1" customWidth="1"/>
    <col min="15645" max="15872" width="11.453125" style="31"/>
    <col min="15873" max="15873" width="7" style="31" customWidth="1"/>
    <col min="15874" max="15874" width="10.7265625" style="31" customWidth="1"/>
    <col min="15875" max="15875" width="9.26953125" style="31" customWidth="1"/>
    <col min="15876" max="15899" width="7.26953125" style="31" customWidth="1"/>
    <col min="15900" max="15900" width="11.26953125" style="31" bestFit="1" customWidth="1"/>
    <col min="15901" max="16128" width="11.453125" style="31"/>
    <col min="16129" max="16129" width="7" style="31" customWidth="1"/>
    <col min="16130" max="16130" width="10.7265625" style="31" customWidth="1"/>
    <col min="16131" max="16131" width="9.26953125" style="31" customWidth="1"/>
    <col min="16132" max="16155" width="7.26953125" style="31" customWidth="1"/>
    <col min="16156" max="16156" width="11.26953125" style="31" bestFit="1" customWidth="1"/>
    <col min="16157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2028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20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5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21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6">
        <f>+SUM(E11:AB11)*D11+SUM(E12:AB12)*D12+SUM(E13:AB13)*D13+SUM(E14:AB14)*D14</f>
        <v>5568000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7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7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8"/>
    </row>
    <row r="15" spans="2:29" ht="18.649999999999999" customHeight="1" x14ac:dyDescent="0.25">
      <c r="B15" s="41" t="s">
        <v>65</v>
      </c>
      <c r="C15" s="36" t="s">
        <v>60</v>
      </c>
      <c r="D15" s="37">
        <v>22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18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5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5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21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20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19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5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4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21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5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21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19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5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5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70272000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F815-B365-44FB-AAF5-3114D898FE52}">
  <dimension ref="B1:AC56"/>
  <sheetViews>
    <sheetView showGridLines="0" zoomScale="60" zoomScaleNormal="60" workbookViewId="0">
      <selection activeCell="H9" sqref="H9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3.7265625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19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5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3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21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5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21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19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5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20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4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5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4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20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5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5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22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4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20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4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5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41C0-9ADD-4FB0-93CE-BB78C8BF1E44}">
  <dimension ref="B1:AC56"/>
  <sheetViews>
    <sheetView showGridLines="0" zoomScale="60" zoomScaleNormal="60" workbookViewId="0">
      <selection activeCell="N12" sqref="N12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3.7265625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5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5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20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22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1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18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5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5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22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3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20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5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21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5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22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4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19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5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21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4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BD12-DD70-46E8-BE08-4DDF7586D757}">
  <dimension ref="B1:AC56"/>
  <sheetViews>
    <sheetView showGridLines="0" zoomScale="70" zoomScaleNormal="70" workbookViewId="0">
      <selection activeCell="E58" sqref="E58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2031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5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5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20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20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5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18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5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3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23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4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19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5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5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22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4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18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5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5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21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4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A79B-8727-42BE-AE28-7FE642A94174}">
  <dimension ref="B1:AC56"/>
  <sheetViews>
    <sheetView showGridLines="0" tabSelected="1" zoomScale="70" zoomScaleNormal="70" workbookViewId="0">
      <selection activeCell="H53" sqref="H53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20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5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5568000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5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3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22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19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5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3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21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1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20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3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5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20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5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22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3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70272000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2D22-9287-4497-98E6-09E451CE4FE4}">
  <dimension ref="B1:AC56"/>
  <sheetViews>
    <sheetView showGridLines="0" zoomScale="70" zoomScaleNormal="70" workbookViewId="0">
      <selection activeCell="AA9" sqref="AA9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20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5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22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19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5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21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5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1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20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19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5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4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20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5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21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5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1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7EA3-A542-4C6F-ABCA-44A108C4C222}">
  <dimension ref="B1:AC56"/>
  <sheetViews>
    <sheetView showGridLines="0" zoomScale="70" zoomScaleNormal="70" workbookViewId="0">
      <selection activeCell="AE5" sqref="AE5:AE58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2034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5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1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22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18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5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5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21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20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19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5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4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21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5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21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19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5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5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E147-4705-46E5-AB87-2F6781C12EC6}">
  <dimension ref="B1:AC56"/>
  <sheetViews>
    <sheetView showGridLines="0" zoomScale="70" zoomScaleNormal="70" workbookViewId="0">
      <selection activeCell="AA15" sqref="AA15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4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3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20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19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5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5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19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3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22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4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1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19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5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5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21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5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4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19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5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21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4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E652-1A99-4D26-B69F-F5556940CD94}">
  <dimension ref="B1:AE56"/>
  <sheetViews>
    <sheetView showGridLines="0" topLeftCell="A4" zoomScale="70" zoomScaleNormal="70" workbookViewId="0">
      <selection activeCell="M16" sqref="M16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5.6328125" style="40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21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4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21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5568000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20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5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5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20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4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4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20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5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18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5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3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23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4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4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19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5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5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22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4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22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4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18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5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5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21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4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4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70272000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6A82-A1CE-4F51-8D20-4064EADC4D05}">
  <dimension ref="B1:AC56"/>
  <sheetViews>
    <sheetView showGridLines="0" zoomScale="70" zoomScaleNormal="70" workbookViewId="0">
      <selection activeCell="W10" sqref="W10"/>
    </sheetView>
  </sheetViews>
  <sheetFormatPr baseColWidth="10" defaultColWidth="11.453125" defaultRowHeight="11.5" x14ac:dyDescent="0.25"/>
  <cols>
    <col min="1" max="1" width="6.1796875" style="31" customWidth="1"/>
    <col min="2" max="2" width="7" style="31" customWidth="1"/>
    <col min="3" max="3" width="9.7265625" style="31" bestFit="1" customWidth="1"/>
    <col min="4" max="4" width="6.453125" style="31" customWidth="1"/>
    <col min="5" max="27" width="10.1796875" style="32" bestFit="1" customWidth="1"/>
    <col min="28" max="28" width="10" style="32" bestFit="1" customWidth="1"/>
    <col min="29" max="29" width="16.81640625" style="32" customWidth="1"/>
    <col min="30" max="30" width="7.1796875" style="31" customWidth="1"/>
    <col min="31" max="31" width="14" style="31" bestFit="1" customWidth="1"/>
    <col min="32" max="33" width="11.453125" style="31"/>
    <col min="34" max="34" width="12.54296875" style="31" bestFit="1" customWidth="1"/>
    <col min="35" max="257" width="11.453125" style="31"/>
    <col min="258" max="258" width="7" style="31" customWidth="1"/>
    <col min="259" max="259" width="10.7265625" style="31" customWidth="1"/>
    <col min="260" max="260" width="9.26953125" style="31" customWidth="1"/>
    <col min="261" max="284" width="7.26953125" style="31" customWidth="1"/>
    <col min="285" max="285" width="11.26953125" style="31" bestFit="1" customWidth="1"/>
    <col min="286" max="513" width="11.453125" style="31"/>
    <col min="514" max="514" width="7" style="31" customWidth="1"/>
    <col min="515" max="515" width="10.7265625" style="31" customWidth="1"/>
    <col min="516" max="516" width="9.26953125" style="31" customWidth="1"/>
    <col min="517" max="540" width="7.26953125" style="31" customWidth="1"/>
    <col min="541" max="541" width="11.26953125" style="31" bestFit="1" customWidth="1"/>
    <col min="542" max="769" width="11.453125" style="31"/>
    <col min="770" max="770" width="7" style="31" customWidth="1"/>
    <col min="771" max="771" width="10.7265625" style="31" customWidth="1"/>
    <col min="772" max="772" width="9.26953125" style="31" customWidth="1"/>
    <col min="773" max="796" width="7.26953125" style="31" customWidth="1"/>
    <col min="797" max="797" width="11.26953125" style="31" bestFit="1" customWidth="1"/>
    <col min="798" max="1025" width="11.453125" style="31"/>
    <col min="1026" max="1026" width="7" style="31" customWidth="1"/>
    <col min="1027" max="1027" width="10.7265625" style="31" customWidth="1"/>
    <col min="1028" max="1028" width="9.26953125" style="31" customWidth="1"/>
    <col min="1029" max="1052" width="7.26953125" style="31" customWidth="1"/>
    <col min="1053" max="1053" width="11.26953125" style="31" bestFit="1" customWidth="1"/>
    <col min="1054" max="1281" width="11.453125" style="31"/>
    <col min="1282" max="1282" width="7" style="31" customWidth="1"/>
    <col min="1283" max="1283" width="10.7265625" style="31" customWidth="1"/>
    <col min="1284" max="1284" width="9.26953125" style="31" customWidth="1"/>
    <col min="1285" max="1308" width="7.26953125" style="31" customWidth="1"/>
    <col min="1309" max="1309" width="11.26953125" style="31" bestFit="1" customWidth="1"/>
    <col min="1310" max="1537" width="11.453125" style="31"/>
    <col min="1538" max="1538" width="7" style="31" customWidth="1"/>
    <col min="1539" max="1539" width="10.7265625" style="31" customWidth="1"/>
    <col min="1540" max="1540" width="9.26953125" style="31" customWidth="1"/>
    <col min="1541" max="1564" width="7.26953125" style="31" customWidth="1"/>
    <col min="1565" max="1565" width="11.26953125" style="31" bestFit="1" customWidth="1"/>
    <col min="1566" max="1793" width="11.453125" style="31"/>
    <col min="1794" max="1794" width="7" style="31" customWidth="1"/>
    <col min="1795" max="1795" width="10.7265625" style="31" customWidth="1"/>
    <col min="1796" max="1796" width="9.26953125" style="31" customWidth="1"/>
    <col min="1797" max="1820" width="7.26953125" style="31" customWidth="1"/>
    <col min="1821" max="1821" width="11.26953125" style="31" bestFit="1" customWidth="1"/>
    <col min="1822" max="2049" width="11.453125" style="31"/>
    <col min="2050" max="2050" width="7" style="31" customWidth="1"/>
    <col min="2051" max="2051" width="10.7265625" style="31" customWidth="1"/>
    <col min="2052" max="2052" width="9.26953125" style="31" customWidth="1"/>
    <col min="2053" max="2076" width="7.26953125" style="31" customWidth="1"/>
    <col min="2077" max="2077" width="11.26953125" style="31" bestFit="1" customWidth="1"/>
    <col min="2078" max="2305" width="11.453125" style="31"/>
    <col min="2306" max="2306" width="7" style="31" customWidth="1"/>
    <col min="2307" max="2307" width="10.7265625" style="31" customWidth="1"/>
    <col min="2308" max="2308" width="9.26953125" style="31" customWidth="1"/>
    <col min="2309" max="2332" width="7.26953125" style="31" customWidth="1"/>
    <col min="2333" max="2333" width="11.26953125" style="31" bestFit="1" customWidth="1"/>
    <col min="2334" max="2561" width="11.453125" style="31"/>
    <col min="2562" max="2562" width="7" style="31" customWidth="1"/>
    <col min="2563" max="2563" width="10.7265625" style="31" customWidth="1"/>
    <col min="2564" max="2564" width="9.26953125" style="31" customWidth="1"/>
    <col min="2565" max="2588" width="7.26953125" style="31" customWidth="1"/>
    <col min="2589" max="2589" width="11.26953125" style="31" bestFit="1" customWidth="1"/>
    <col min="2590" max="2817" width="11.453125" style="31"/>
    <col min="2818" max="2818" width="7" style="31" customWidth="1"/>
    <col min="2819" max="2819" width="10.7265625" style="31" customWidth="1"/>
    <col min="2820" max="2820" width="9.26953125" style="31" customWidth="1"/>
    <col min="2821" max="2844" width="7.26953125" style="31" customWidth="1"/>
    <col min="2845" max="2845" width="11.26953125" style="31" bestFit="1" customWidth="1"/>
    <col min="2846" max="3073" width="11.453125" style="31"/>
    <col min="3074" max="3074" width="7" style="31" customWidth="1"/>
    <col min="3075" max="3075" width="10.7265625" style="31" customWidth="1"/>
    <col min="3076" max="3076" width="9.26953125" style="31" customWidth="1"/>
    <col min="3077" max="3100" width="7.26953125" style="31" customWidth="1"/>
    <col min="3101" max="3101" width="11.26953125" style="31" bestFit="1" customWidth="1"/>
    <col min="3102" max="3329" width="11.453125" style="31"/>
    <col min="3330" max="3330" width="7" style="31" customWidth="1"/>
    <col min="3331" max="3331" width="10.7265625" style="31" customWidth="1"/>
    <col min="3332" max="3332" width="9.26953125" style="31" customWidth="1"/>
    <col min="3333" max="3356" width="7.26953125" style="31" customWidth="1"/>
    <col min="3357" max="3357" width="11.26953125" style="31" bestFit="1" customWidth="1"/>
    <col min="3358" max="3585" width="11.453125" style="31"/>
    <col min="3586" max="3586" width="7" style="31" customWidth="1"/>
    <col min="3587" max="3587" width="10.7265625" style="31" customWidth="1"/>
    <col min="3588" max="3588" width="9.26953125" style="31" customWidth="1"/>
    <col min="3589" max="3612" width="7.26953125" style="31" customWidth="1"/>
    <col min="3613" max="3613" width="11.26953125" style="31" bestFit="1" customWidth="1"/>
    <col min="3614" max="3841" width="11.453125" style="31"/>
    <col min="3842" max="3842" width="7" style="31" customWidth="1"/>
    <col min="3843" max="3843" width="10.7265625" style="31" customWidth="1"/>
    <col min="3844" max="3844" width="9.26953125" style="31" customWidth="1"/>
    <col min="3845" max="3868" width="7.26953125" style="31" customWidth="1"/>
    <col min="3869" max="3869" width="11.26953125" style="31" bestFit="1" customWidth="1"/>
    <col min="3870" max="4097" width="11.453125" style="31"/>
    <col min="4098" max="4098" width="7" style="31" customWidth="1"/>
    <col min="4099" max="4099" width="10.7265625" style="31" customWidth="1"/>
    <col min="4100" max="4100" width="9.26953125" style="31" customWidth="1"/>
    <col min="4101" max="4124" width="7.26953125" style="31" customWidth="1"/>
    <col min="4125" max="4125" width="11.26953125" style="31" bestFit="1" customWidth="1"/>
    <col min="4126" max="4353" width="11.453125" style="31"/>
    <col min="4354" max="4354" width="7" style="31" customWidth="1"/>
    <col min="4355" max="4355" width="10.7265625" style="31" customWidth="1"/>
    <col min="4356" max="4356" width="9.26953125" style="31" customWidth="1"/>
    <col min="4357" max="4380" width="7.26953125" style="31" customWidth="1"/>
    <col min="4381" max="4381" width="11.26953125" style="31" bestFit="1" customWidth="1"/>
    <col min="4382" max="4609" width="11.453125" style="31"/>
    <col min="4610" max="4610" width="7" style="31" customWidth="1"/>
    <col min="4611" max="4611" width="10.7265625" style="31" customWidth="1"/>
    <col min="4612" max="4612" width="9.26953125" style="31" customWidth="1"/>
    <col min="4613" max="4636" width="7.26953125" style="31" customWidth="1"/>
    <col min="4637" max="4637" width="11.26953125" style="31" bestFit="1" customWidth="1"/>
    <col min="4638" max="4865" width="11.453125" style="31"/>
    <col min="4866" max="4866" width="7" style="31" customWidth="1"/>
    <col min="4867" max="4867" width="10.7265625" style="31" customWidth="1"/>
    <col min="4868" max="4868" width="9.26953125" style="31" customWidth="1"/>
    <col min="4869" max="4892" width="7.26953125" style="31" customWidth="1"/>
    <col min="4893" max="4893" width="11.26953125" style="31" bestFit="1" customWidth="1"/>
    <col min="4894" max="5121" width="11.453125" style="31"/>
    <col min="5122" max="5122" width="7" style="31" customWidth="1"/>
    <col min="5123" max="5123" width="10.7265625" style="31" customWidth="1"/>
    <col min="5124" max="5124" width="9.26953125" style="31" customWidth="1"/>
    <col min="5125" max="5148" width="7.26953125" style="31" customWidth="1"/>
    <col min="5149" max="5149" width="11.26953125" style="31" bestFit="1" customWidth="1"/>
    <col min="5150" max="5377" width="11.453125" style="31"/>
    <col min="5378" max="5378" width="7" style="31" customWidth="1"/>
    <col min="5379" max="5379" width="10.7265625" style="31" customWidth="1"/>
    <col min="5380" max="5380" width="9.26953125" style="31" customWidth="1"/>
    <col min="5381" max="5404" width="7.26953125" style="31" customWidth="1"/>
    <col min="5405" max="5405" width="11.26953125" style="31" bestFit="1" customWidth="1"/>
    <col min="5406" max="5633" width="11.453125" style="31"/>
    <col min="5634" max="5634" width="7" style="31" customWidth="1"/>
    <col min="5635" max="5635" width="10.7265625" style="31" customWidth="1"/>
    <col min="5636" max="5636" width="9.26953125" style="31" customWidth="1"/>
    <col min="5637" max="5660" width="7.26953125" style="31" customWidth="1"/>
    <col min="5661" max="5661" width="11.26953125" style="31" bestFit="1" customWidth="1"/>
    <col min="5662" max="5889" width="11.453125" style="31"/>
    <col min="5890" max="5890" width="7" style="31" customWidth="1"/>
    <col min="5891" max="5891" width="10.7265625" style="31" customWidth="1"/>
    <col min="5892" max="5892" width="9.26953125" style="31" customWidth="1"/>
    <col min="5893" max="5916" width="7.26953125" style="31" customWidth="1"/>
    <col min="5917" max="5917" width="11.26953125" style="31" bestFit="1" customWidth="1"/>
    <col min="5918" max="6145" width="11.453125" style="31"/>
    <col min="6146" max="6146" width="7" style="31" customWidth="1"/>
    <col min="6147" max="6147" width="10.7265625" style="31" customWidth="1"/>
    <col min="6148" max="6148" width="9.26953125" style="31" customWidth="1"/>
    <col min="6149" max="6172" width="7.26953125" style="31" customWidth="1"/>
    <col min="6173" max="6173" width="11.26953125" style="31" bestFit="1" customWidth="1"/>
    <col min="6174" max="6401" width="11.453125" style="31"/>
    <col min="6402" max="6402" width="7" style="31" customWidth="1"/>
    <col min="6403" max="6403" width="10.7265625" style="31" customWidth="1"/>
    <col min="6404" max="6404" width="9.26953125" style="31" customWidth="1"/>
    <col min="6405" max="6428" width="7.26953125" style="31" customWidth="1"/>
    <col min="6429" max="6429" width="11.26953125" style="31" bestFit="1" customWidth="1"/>
    <col min="6430" max="6657" width="11.453125" style="31"/>
    <col min="6658" max="6658" width="7" style="31" customWidth="1"/>
    <col min="6659" max="6659" width="10.7265625" style="31" customWidth="1"/>
    <col min="6660" max="6660" width="9.26953125" style="31" customWidth="1"/>
    <col min="6661" max="6684" width="7.26953125" style="31" customWidth="1"/>
    <col min="6685" max="6685" width="11.26953125" style="31" bestFit="1" customWidth="1"/>
    <col min="6686" max="6913" width="11.453125" style="31"/>
    <col min="6914" max="6914" width="7" style="31" customWidth="1"/>
    <col min="6915" max="6915" width="10.7265625" style="31" customWidth="1"/>
    <col min="6916" max="6916" width="9.26953125" style="31" customWidth="1"/>
    <col min="6917" max="6940" width="7.26953125" style="31" customWidth="1"/>
    <col min="6941" max="6941" width="11.26953125" style="31" bestFit="1" customWidth="1"/>
    <col min="6942" max="7169" width="11.453125" style="31"/>
    <col min="7170" max="7170" width="7" style="31" customWidth="1"/>
    <col min="7171" max="7171" width="10.7265625" style="31" customWidth="1"/>
    <col min="7172" max="7172" width="9.26953125" style="31" customWidth="1"/>
    <col min="7173" max="7196" width="7.26953125" style="31" customWidth="1"/>
    <col min="7197" max="7197" width="11.26953125" style="31" bestFit="1" customWidth="1"/>
    <col min="7198" max="7425" width="11.453125" style="31"/>
    <col min="7426" max="7426" width="7" style="31" customWidth="1"/>
    <col min="7427" max="7427" width="10.7265625" style="31" customWidth="1"/>
    <col min="7428" max="7428" width="9.26953125" style="31" customWidth="1"/>
    <col min="7429" max="7452" width="7.26953125" style="31" customWidth="1"/>
    <col min="7453" max="7453" width="11.26953125" style="31" bestFit="1" customWidth="1"/>
    <col min="7454" max="7681" width="11.453125" style="31"/>
    <col min="7682" max="7682" width="7" style="31" customWidth="1"/>
    <col min="7683" max="7683" width="10.7265625" style="31" customWidth="1"/>
    <col min="7684" max="7684" width="9.26953125" style="31" customWidth="1"/>
    <col min="7685" max="7708" width="7.26953125" style="31" customWidth="1"/>
    <col min="7709" max="7709" width="11.26953125" style="31" bestFit="1" customWidth="1"/>
    <col min="7710" max="7937" width="11.453125" style="31"/>
    <col min="7938" max="7938" width="7" style="31" customWidth="1"/>
    <col min="7939" max="7939" width="10.7265625" style="31" customWidth="1"/>
    <col min="7940" max="7940" width="9.26953125" style="31" customWidth="1"/>
    <col min="7941" max="7964" width="7.26953125" style="31" customWidth="1"/>
    <col min="7965" max="7965" width="11.26953125" style="31" bestFit="1" customWidth="1"/>
    <col min="7966" max="8193" width="11.453125" style="31"/>
    <col min="8194" max="8194" width="7" style="31" customWidth="1"/>
    <col min="8195" max="8195" width="10.7265625" style="31" customWidth="1"/>
    <col min="8196" max="8196" width="9.26953125" style="31" customWidth="1"/>
    <col min="8197" max="8220" width="7.26953125" style="31" customWidth="1"/>
    <col min="8221" max="8221" width="11.26953125" style="31" bestFit="1" customWidth="1"/>
    <col min="8222" max="8449" width="11.453125" style="31"/>
    <col min="8450" max="8450" width="7" style="31" customWidth="1"/>
    <col min="8451" max="8451" width="10.7265625" style="31" customWidth="1"/>
    <col min="8452" max="8452" width="9.26953125" style="31" customWidth="1"/>
    <col min="8453" max="8476" width="7.26953125" style="31" customWidth="1"/>
    <col min="8477" max="8477" width="11.26953125" style="31" bestFit="1" customWidth="1"/>
    <col min="8478" max="8705" width="11.453125" style="31"/>
    <col min="8706" max="8706" width="7" style="31" customWidth="1"/>
    <col min="8707" max="8707" width="10.7265625" style="31" customWidth="1"/>
    <col min="8708" max="8708" width="9.26953125" style="31" customWidth="1"/>
    <col min="8709" max="8732" width="7.26953125" style="31" customWidth="1"/>
    <col min="8733" max="8733" width="11.26953125" style="31" bestFit="1" customWidth="1"/>
    <col min="8734" max="8961" width="11.453125" style="31"/>
    <col min="8962" max="8962" width="7" style="31" customWidth="1"/>
    <col min="8963" max="8963" width="10.7265625" style="31" customWidth="1"/>
    <col min="8964" max="8964" width="9.26953125" style="31" customWidth="1"/>
    <col min="8965" max="8988" width="7.26953125" style="31" customWidth="1"/>
    <col min="8989" max="8989" width="11.26953125" style="31" bestFit="1" customWidth="1"/>
    <col min="8990" max="9217" width="11.453125" style="31"/>
    <col min="9218" max="9218" width="7" style="31" customWidth="1"/>
    <col min="9219" max="9219" width="10.7265625" style="31" customWidth="1"/>
    <col min="9220" max="9220" width="9.26953125" style="31" customWidth="1"/>
    <col min="9221" max="9244" width="7.26953125" style="31" customWidth="1"/>
    <col min="9245" max="9245" width="11.26953125" style="31" bestFit="1" customWidth="1"/>
    <col min="9246" max="9473" width="11.453125" style="31"/>
    <col min="9474" max="9474" width="7" style="31" customWidth="1"/>
    <col min="9475" max="9475" width="10.7265625" style="31" customWidth="1"/>
    <col min="9476" max="9476" width="9.26953125" style="31" customWidth="1"/>
    <col min="9477" max="9500" width="7.26953125" style="31" customWidth="1"/>
    <col min="9501" max="9501" width="11.26953125" style="31" bestFit="1" customWidth="1"/>
    <col min="9502" max="9729" width="11.453125" style="31"/>
    <col min="9730" max="9730" width="7" style="31" customWidth="1"/>
    <col min="9731" max="9731" width="10.7265625" style="31" customWidth="1"/>
    <col min="9732" max="9732" width="9.26953125" style="31" customWidth="1"/>
    <col min="9733" max="9756" width="7.26953125" style="31" customWidth="1"/>
    <col min="9757" max="9757" width="11.26953125" style="31" bestFit="1" customWidth="1"/>
    <col min="9758" max="9985" width="11.453125" style="31"/>
    <col min="9986" max="9986" width="7" style="31" customWidth="1"/>
    <col min="9987" max="9987" width="10.7265625" style="31" customWidth="1"/>
    <col min="9988" max="9988" width="9.26953125" style="31" customWidth="1"/>
    <col min="9989" max="10012" width="7.26953125" style="31" customWidth="1"/>
    <col min="10013" max="10013" width="11.26953125" style="31" bestFit="1" customWidth="1"/>
    <col min="10014" max="10241" width="11.453125" style="31"/>
    <col min="10242" max="10242" width="7" style="31" customWidth="1"/>
    <col min="10243" max="10243" width="10.7265625" style="31" customWidth="1"/>
    <col min="10244" max="10244" width="9.26953125" style="31" customWidth="1"/>
    <col min="10245" max="10268" width="7.26953125" style="31" customWidth="1"/>
    <col min="10269" max="10269" width="11.26953125" style="31" bestFit="1" customWidth="1"/>
    <col min="10270" max="10497" width="11.453125" style="31"/>
    <col min="10498" max="10498" width="7" style="31" customWidth="1"/>
    <col min="10499" max="10499" width="10.7265625" style="31" customWidth="1"/>
    <col min="10500" max="10500" width="9.26953125" style="31" customWidth="1"/>
    <col min="10501" max="10524" width="7.26953125" style="31" customWidth="1"/>
    <col min="10525" max="10525" width="11.26953125" style="31" bestFit="1" customWidth="1"/>
    <col min="10526" max="10753" width="11.453125" style="31"/>
    <col min="10754" max="10754" width="7" style="31" customWidth="1"/>
    <col min="10755" max="10755" width="10.7265625" style="31" customWidth="1"/>
    <col min="10756" max="10756" width="9.26953125" style="31" customWidth="1"/>
    <col min="10757" max="10780" width="7.26953125" style="31" customWidth="1"/>
    <col min="10781" max="10781" width="11.26953125" style="31" bestFit="1" customWidth="1"/>
    <col min="10782" max="11009" width="11.453125" style="31"/>
    <col min="11010" max="11010" width="7" style="31" customWidth="1"/>
    <col min="11011" max="11011" width="10.7265625" style="31" customWidth="1"/>
    <col min="11012" max="11012" width="9.26953125" style="31" customWidth="1"/>
    <col min="11013" max="11036" width="7.26953125" style="31" customWidth="1"/>
    <col min="11037" max="11037" width="11.26953125" style="31" bestFit="1" customWidth="1"/>
    <col min="11038" max="11265" width="11.453125" style="31"/>
    <col min="11266" max="11266" width="7" style="31" customWidth="1"/>
    <col min="11267" max="11267" width="10.7265625" style="31" customWidth="1"/>
    <col min="11268" max="11268" width="9.26953125" style="31" customWidth="1"/>
    <col min="11269" max="11292" width="7.26953125" style="31" customWidth="1"/>
    <col min="11293" max="11293" width="11.26953125" style="31" bestFit="1" customWidth="1"/>
    <col min="11294" max="11521" width="11.453125" style="31"/>
    <col min="11522" max="11522" width="7" style="31" customWidth="1"/>
    <col min="11523" max="11523" width="10.7265625" style="31" customWidth="1"/>
    <col min="11524" max="11524" width="9.26953125" style="31" customWidth="1"/>
    <col min="11525" max="11548" width="7.26953125" style="31" customWidth="1"/>
    <col min="11549" max="11549" width="11.26953125" style="31" bestFit="1" customWidth="1"/>
    <col min="11550" max="11777" width="11.453125" style="31"/>
    <col min="11778" max="11778" width="7" style="31" customWidth="1"/>
    <col min="11779" max="11779" width="10.7265625" style="31" customWidth="1"/>
    <col min="11780" max="11780" width="9.26953125" style="31" customWidth="1"/>
    <col min="11781" max="11804" width="7.26953125" style="31" customWidth="1"/>
    <col min="11805" max="11805" width="11.26953125" style="31" bestFit="1" customWidth="1"/>
    <col min="11806" max="12033" width="11.453125" style="31"/>
    <col min="12034" max="12034" width="7" style="31" customWidth="1"/>
    <col min="12035" max="12035" width="10.7265625" style="31" customWidth="1"/>
    <col min="12036" max="12036" width="9.26953125" style="31" customWidth="1"/>
    <col min="12037" max="12060" width="7.26953125" style="31" customWidth="1"/>
    <col min="12061" max="12061" width="11.26953125" style="31" bestFit="1" customWidth="1"/>
    <col min="12062" max="12289" width="11.453125" style="31"/>
    <col min="12290" max="12290" width="7" style="31" customWidth="1"/>
    <col min="12291" max="12291" width="10.7265625" style="31" customWidth="1"/>
    <col min="12292" max="12292" width="9.26953125" style="31" customWidth="1"/>
    <col min="12293" max="12316" width="7.26953125" style="31" customWidth="1"/>
    <col min="12317" max="12317" width="11.26953125" style="31" bestFit="1" customWidth="1"/>
    <col min="12318" max="12545" width="11.453125" style="31"/>
    <col min="12546" max="12546" width="7" style="31" customWidth="1"/>
    <col min="12547" max="12547" width="10.7265625" style="31" customWidth="1"/>
    <col min="12548" max="12548" width="9.26953125" style="31" customWidth="1"/>
    <col min="12549" max="12572" width="7.26953125" style="31" customWidth="1"/>
    <col min="12573" max="12573" width="11.26953125" style="31" bestFit="1" customWidth="1"/>
    <col min="12574" max="12801" width="11.453125" style="31"/>
    <col min="12802" max="12802" width="7" style="31" customWidth="1"/>
    <col min="12803" max="12803" width="10.7265625" style="31" customWidth="1"/>
    <col min="12804" max="12804" width="9.26953125" style="31" customWidth="1"/>
    <col min="12805" max="12828" width="7.26953125" style="31" customWidth="1"/>
    <col min="12829" max="12829" width="11.26953125" style="31" bestFit="1" customWidth="1"/>
    <col min="12830" max="13057" width="11.453125" style="31"/>
    <col min="13058" max="13058" width="7" style="31" customWidth="1"/>
    <col min="13059" max="13059" width="10.7265625" style="31" customWidth="1"/>
    <col min="13060" max="13060" width="9.26953125" style="31" customWidth="1"/>
    <col min="13061" max="13084" width="7.26953125" style="31" customWidth="1"/>
    <col min="13085" max="13085" width="11.26953125" style="31" bestFit="1" customWidth="1"/>
    <col min="13086" max="13313" width="11.453125" style="31"/>
    <col min="13314" max="13314" width="7" style="31" customWidth="1"/>
    <col min="13315" max="13315" width="10.7265625" style="31" customWidth="1"/>
    <col min="13316" max="13316" width="9.26953125" style="31" customWidth="1"/>
    <col min="13317" max="13340" width="7.26953125" style="31" customWidth="1"/>
    <col min="13341" max="13341" width="11.26953125" style="31" bestFit="1" customWidth="1"/>
    <col min="13342" max="13569" width="11.453125" style="31"/>
    <col min="13570" max="13570" width="7" style="31" customWidth="1"/>
    <col min="13571" max="13571" width="10.7265625" style="31" customWidth="1"/>
    <col min="13572" max="13572" width="9.26953125" style="31" customWidth="1"/>
    <col min="13573" max="13596" width="7.26953125" style="31" customWidth="1"/>
    <col min="13597" max="13597" width="11.26953125" style="31" bestFit="1" customWidth="1"/>
    <col min="13598" max="13825" width="11.453125" style="31"/>
    <col min="13826" max="13826" width="7" style="31" customWidth="1"/>
    <col min="13827" max="13827" width="10.7265625" style="31" customWidth="1"/>
    <col min="13828" max="13828" width="9.26953125" style="31" customWidth="1"/>
    <col min="13829" max="13852" width="7.26953125" style="31" customWidth="1"/>
    <col min="13853" max="13853" width="11.26953125" style="31" bestFit="1" customWidth="1"/>
    <col min="13854" max="14081" width="11.453125" style="31"/>
    <col min="14082" max="14082" width="7" style="31" customWidth="1"/>
    <col min="14083" max="14083" width="10.7265625" style="31" customWidth="1"/>
    <col min="14084" max="14084" width="9.26953125" style="31" customWidth="1"/>
    <col min="14085" max="14108" width="7.26953125" style="31" customWidth="1"/>
    <col min="14109" max="14109" width="11.26953125" style="31" bestFit="1" customWidth="1"/>
    <col min="14110" max="14337" width="11.453125" style="31"/>
    <col min="14338" max="14338" width="7" style="31" customWidth="1"/>
    <col min="14339" max="14339" width="10.7265625" style="31" customWidth="1"/>
    <col min="14340" max="14340" width="9.26953125" style="31" customWidth="1"/>
    <col min="14341" max="14364" width="7.26953125" style="31" customWidth="1"/>
    <col min="14365" max="14365" width="11.26953125" style="31" bestFit="1" customWidth="1"/>
    <col min="14366" max="14593" width="11.453125" style="31"/>
    <col min="14594" max="14594" width="7" style="31" customWidth="1"/>
    <col min="14595" max="14595" width="10.7265625" style="31" customWidth="1"/>
    <col min="14596" max="14596" width="9.26953125" style="31" customWidth="1"/>
    <col min="14597" max="14620" width="7.26953125" style="31" customWidth="1"/>
    <col min="14621" max="14621" width="11.26953125" style="31" bestFit="1" customWidth="1"/>
    <col min="14622" max="14849" width="11.453125" style="31"/>
    <col min="14850" max="14850" width="7" style="31" customWidth="1"/>
    <col min="14851" max="14851" width="10.7265625" style="31" customWidth="1"/>
    <col min="14852" max="14852" width="9.26953125" style="31" customWidth="1"/>
    <col min="14853" max="14876" width="7.26953125" style="31" customWidth="1"/>
    <col min="14877" max="14877" width="11.26953125" style="31" bestFit="1" customWidth="1"/>
    <col min="14878" max="15105" width="11.453125" style="31"/>
    <col min="15106" max="15106" width="7" style="31" customWidth="1"/>
    <col min="15107" max="15107" width="10.7265625" style="31" customWidth="1"/>
    <col min="15108" max="15108" width="9.26953125" style="31" customWidth="1"/>
    <col min="15109" max="15132" width="7.26953125" style="31" customWidth="1"/>
    <col min="15133" max="15133" width="11.26953125" style="31" bestFit="1" customWidth="1"/>
    <col min="15134" max="15361" width="11.453125" style="31"/>
    <col min="15362" max="15362" width="7" style="31" customWidth="1"/>
    <col min="15363" max="15363" width="10.7265625" style="31" customWidth="1"/>
    <col min="15364" max="15364" width="9.26953125" style="31" customWidth="1"/>
    <col min="15365" max="15388" width="7.26953125" style="31" customWidth="1"/>
    <col min="15389" max="15389" width="11.26953125" style="31" bestFit="1" customWidth="1"/>
    <col min="15390" max="15617" width="11.453125" style="31"/>
    <col min="15618" max="15618" width="7" style="31" customWidth="1"/>
    <col min="15619" max="15619" width="10.7265625" style="31" customWidth="1"/>
    <col min="15620" max="15620" width="9.26953125" style="31" customWidth="1"/>
    <col min="15621" max="15644" width="7.26953125" style="31" customWidth="1"/>
    <col min="15645" max="15645" width="11.26953125" style="31" bestFit="1" customWidth="1"/>
    <col min="15646" max="15873" width="11.453125" style="31"/>
    <col min="15874" max="15874" width="7" style="31" customWidth="1"/>
    <col min="15875" max="15875" width="10.7265625" style="31" customWidth="1"/>
    <col min="15876" max="15876" width="9.26953125" style="31" customWidth="1"/>
    <col min="15877" max="15900" width="7.26953125" style="31" customWidth="1"/>
    <col min="15901" max="15901" width="11.26953125" style="31" bestFit="1" customWidth="1"/>
    <col min="15902" max="16129" width="11.453125" style="31"/>
    <col min="16130" max="16130" width="7" style="31" customWidth="1"/>
    <col min="16131" max="16131" width="10.7265625" style="31" customWidth="1"/>
    <col min="16132" max="16132" width="9.26953125" style="31" customWidth="1"/>
    <col min="16133" max="16156" width="7.26953125" style="31" customWidth="1"/>
    <col min="16157" max="16157" width="11.26953125" style="31" bestFit="1" customWidth="1"/>
    <col min="16158" max="16384" width="11.453125" style="31"/>
  </cols>
  <sheetData>
    <row r="1" spans="2:29" ht="18.649999999999999" customHeight="1" x14ac:dyDescent="0.25"/>
    <row r="2" spans="2:29" ht="18.649999999999999" customHeight="1" x14ac:dyDescent="0.25">
      <c r="B2" s="49" t="s">
        <v>29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18.649999999999999" customHeight="1" x14ac:dyDescent="0.25">
      <c r="B3" s="49" t="s">
        <v>30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2:29" ht="18.649999999999999" customHeight="1" x14ac:dyDescent="0.25">
      <c r="B4" s="49">
        <v>2037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2:29" ht="18.649999999999999" customHeight="1" x14ac:dyDescent="0.25"/>
    <row r="6" spans="2:29" ht="15.5" x14ac:dyDescent="0.25">
      <c r="B6" s="33" t="s">
        <v>31</v>
      </c>
      <c r="C6" s="34" t="s">
        <v>32</v>
      </c>
      <c r="D6" s="33" t="s">
        <v>33</v>
      </c>
      <c r="E6" s="35" t="s">
        <v>34</v>
      </c>
      <c r="F6" s="35" t="s">
        <v>35</v>
      </c>
      <c r="G6" s="35" t="s">
        <v>36</v>
      </c>
      <c r="H6" s="35" t="s">
        <v>37</v>
      </c>
      <c r="I6" s="35" t="s">
        <v>38</v>
      </c>
      <c r="J6" s="35" t="s">
        <v>39</v>
      </c>
      <c r="K6" s="35" t="s">
        <v>40</v>
      </c>
      <c r="L6" s="35" t="s">
        <v>41</v>
      </c>
      <c r="M6" s="35" t="s">
        <v>42</v>
      </c>
      <c r="N6" s="35" t="s">
        <v>43</v>
      </c>
      <c r="O6" s="35" t="s">
        <v>44</v>
      </c>
      <c r="P6" s="35" t="s">
        <v>45</v>
      </c>
      <c r="Q6" s="35" t="s">
        <v>46</v>
      </c>
      <c r="R6" s="35" t="s">
        <v>47</v>
      </c>
      <c r="S6" s="35" t="s">
        <v>48</v>
      </c>
      <c r="T6" s="35" t="s">
        <v>49</v>
      </c>
      <c r="U6" s="35" t="s">
        <v>50</v>
      </c>
      <c r="V6" s="35" t="s">
        <v>51</v>
      </c>
      <c r="W6" s="35" t="s">
        <v>52</v>
      </c>
      <c r="X6" s="35" t="s">
        <v>53</v>
      </c>
      <c r="Y6" s="35" t="s">
        <v>54</v>
      </c>
      <c r="Z6" s="35" t="s">
        <v>55</v>
      </c>
      <c r="AA6" s="35" t="s">
        <v>56</v>
      </c>
      <c r="AB6" s="35" t="s">
        <v>57</v>
      </c>
      <c r="AC6" s="35" t="s">
        <v>58</v>
      </c>
    </row>
    <row r="7" spans="2:29" ht="18.649999999999999" customHeight="1" x14ac:dyDescent="0.25">
      <c r="B7" s="41" t="s">
        <v>59</v>
      </c>
      <c r="C7" s="36" t="s">
        <v>60</v>
      </c>
      <c r="D7" s="37">
        <v>20</v>
      </c>
      <c r="E7" s="38">
        <v>8000</v>
      </c>
      <c r="F7" s="38">
        <v>8000</v>
      </c>
      <c r="G7" s="38">
        <v>8000</v>
      </c>
      <c r="H7" s="38">
        <v>8000</v>
      </c>
      <c r="I7" s="38">
        <v>8000</v>
      </c>
      <c r="J7" s="38">
        <v>8000</v>
      </c>
      <c r="K7" s="38">
        <v>8000</v>
      </c>
      <c r="L7" s="38">
        <v>8000</v>
      </c>
      <c r="M7" s="38">
        <v>8000</v>
      </c>
      <c r="N7" s="38">
        <v>8000</v>
      </c>
      <c r="O7" s="38">
        <v>8000</v>
      </c>
      <c r="P7" s="38">
        <v>8000</v>
      </c>
      <c r="Q7" s="38">
        <v>8000</v>
      </c>
      <c r="R7" s="38">
        <v>8000</v>
      </c>
      <c r="S7" s="38">
        <v>8000</v>
      </c>
      <c r="T7" s="38">
        <v>8000</v>
      </c>
      <c r="U7" s="38">
        <v>8000</v>
      </c>
      <c r="V7" s="38">
        <v>8000</v>
      </c>
      <c r="W7" s="38">
        <v>8000</v>
      </c>
      <c r="X7" s="38">
        <v>8000</v>
      </c>
      <c r="Y7" s="38">
        <v>8000</v>
      </c>
      <c r="Z7" s="38">
        <v>8000</v>
      </c>
      <c r="AA7" s="38">
        <v>8000</v>
      </c>
      <c r="AB7" s="38">
        <v>8000</v>
      </c>
      <c r="AC7" s="42">
        <f>+SUM(E7:AB7)*D7+SUM(E8:AB8)*D8+SUM(E9:AB9)*D9+SUM(E10:AB10)*D10</f>
        <v>5952000</v>
      </c>
    </row>
    <row r="8" spans="2:29" ht="18.649999999999999" customHeight="1" x14ac:dyDescent="0.25">
      <c r="B8" s="41" t="s">
        <v>59</v>
      </c>
      <c r="C8" s="36" t="s">
        <v>61</v>
      </c>
      <c r="D8" s="37">
        <v>5</v>
      </c>
      <c r="E8" s="38">
        <v>8000</v>
      </c>
      <c r="F8" s="38">
        <v>8000</v>
      </c>
      <c r="G8" s="38">
        <v>8000</v>
      </c>
      <c r="H8" s="38">
        <v>8000</v>
      </c>
      <c r="I8" s="38">
        <v>8000</v>
      </c>
      <c r="J8" s="38">
        <v>8000</v>
      </c>
      <c r="K8" s="38">
        <v>8000</v>
      </c>
      <c r="L8" s="38">
        <v>8000</v>
      </c>
      <c r="M8" s="38">
        <v>8000</v>
      </c>
      <c r="N8" s="38">
        <v>8000</v>
      </c>
      <c r="O8" s="38">
        <v>8000</v>
      </c>
      <c r="P8" s="38">
        <v>8000</v>
      </c>
      <c r="Q8" s="38">
        <v>8000</v>
      </c>
      <c r="R8" s="38">
        <v>8000</v>
      </c>
      <c r="S8" s="38">
        <v>8000</v>
      </c>
      <c r="T8" s="38">
        <v>8000</v>
      </c>
      <c r="U8" s="38">
        <v>8000</v>
      </c>
      <c r="V8" s="38">
        <v>8000</v>
      </c>
      <c r="W8" s="38">
        <v>8000</v>
      </c>
      <c r="X8" s="38">
        <v>8000</v>
      </c>
      <c r="Y8" s="38">
        <v>8000</v>
      </c>
      <c r="Z8" s="38">
        <v>8000</v>
      </c>
      <c r="AA8" s="38">
        <v>8000</v>
      </c>
      <c r="AB8" s="38">
        <v>8000</v>
      </c>
      <c r="AC8" s="43"/>
    </row>
    <row r="9" spans="2:29" ht="18.649999999999999" customHeight="1" x14ac:dyDescent="0.25">
      <c r="B9" s="41" t="s">
        <v>59</v>
      </c>
      <c r="C9" s="36" t="s">
        <v>62</v>
      </c>
      <c r="D9" s="37">
        <v>4</v>
      </c>
      <c r="E9" s="38">
        <v>8000</v>
      </c>
      <c r="F9" s="38">
        <v>8000</v>
      </c>
      <c r="G9" s="38">
        <v>8000</v>
      </c>
      <c r="H9" s="38">
        <v>8000</v>
      </c>
      <c r="I9" s="38">
        <v>8000</v>
      </c>
      <c r="J9" s="38">
        <v>8000</v>
      </c>
      <c r="K9" s="38">
        <v>8000</v>
      </c>
      <c r="L9" s="38">
        <v>8000</v>
      </c>
      <c r="M9" s="38">
        <v>8000</v>
      </c>
      <c r="N9" s="38">
        <v>8000</v>
      </c>
      <c r="O9" s="38">
        <v>8000</v>
      </c>
      <c r="P9" s="38">
        <v>8000</v>
      </c>
      <c r="Q9" s="38">
        <v>8000</v>
      </c>
      <c r="R9" s="38">
        <v>8000</v>
      </c>
      <c r="S9" s="38">
        <v>8000</v>
      </c>
      <c r="T9" s="38">
        <v>8000</v>
      </c>
      <c r="U9" s="38">
        <v>8000</v>
      </c>
      <c r="V9" s="38">
        <v>8000</v>
      </c>
      <c r="W9" s="38">
        <v>8000</v>
      </c>
      <c r="X9" s="38">
        <v>8000</v>
      </c>
      <c r="Y9" s="38">
        <v>8000</v>
      </c>
      <c r="Z9" s="38">
        <v>8000</v>
      </c>
      <c r="AA9" s="38">
        <v>8000</v>
      </c>
      <c r="AB9" s="38">
        <v>8000</v>
      </c>
      <c r="AC9" s="43"/>
    </row>
    <row r="10" spans="2:29" ht="18.649999999999999" customHeight="1" x14ac:dyDescent="0.25">
      <c r="B10" s="41" t="s">
        <v>59</v>
      </c>
      <c r="C10" s="36" t="s">
        <v>63</v>
      </c>
      <c r="D10" s="37">
        <v>2</v>
      </c>
      <c r="E10" s="38">
        <v>8000</v>
      </c>
      <c r="F10" s="38">
        <v>8000</v>
      </c>
      <c r="G10" s="38">
        <v>8000</v>
      </c>
      <c r="H10" s="38">
        <v>8000</v>
      </c>
      <c r="I10" s="38">
        <v>8000</v>
      </c>
      <c r="J10" s="38">
        <v>8000</v>
      </c>
      <c r="K10" s="38">
        <v>8000</v>
      </c>
      <c r="L10" s="38">
        <v>8000</v>
      </c>
      <c r="M10" s="38">
        <v>8000</v>
      </c>
      <c r="N10" s="38">
        <v>8000</v>
      </c>
      <c r="O10" s="38">
        <v>8000</v>
      </c>
      <c r="P10" s="38">
        <v>8000</v>
      </c>
      <c r="Q10" s="38">
        <v>8000</v>
      </c>
      <c r="R10" s="38">
        <v>8000</v>
      </c>
      <c r="S10" s="38">
        <v>8000</v>
      </c>
      <c r="T10" s="38">
        <v>8000</v>
      </c>
      <c r="U10" s="38">
        <v>8000</v>
      </c>
      <c r="V10" s="38">
        <v>8000</v>
      </c>
      <c r="W10" s="38">
        <v>8000</v>
      </c>
      <c r="X10" s="38">
        <v>8000</v>
      </c>
      <c r="Y10" s="38">
        <v>8000</v>
      </c>
      <c r="Z10" s="38">
        <v>8000</v>
      </c>
      <c r="AA10" s="38">
        <v>8000</v>
      </c>
      <c r="AB10" s="38">
        <v>8000</v>
      </c>
      <c r="AC10" s="44"/>
    </row>
    <row r="11" spans="2:29" ht="18.649999999999999" customHeight="1" x14ac:dyDescent="0.25">
      <c r="B11" s="41" t="s">
        <v>64</v>
      </c>
      <c r="C11" s="36" t="s">
        <v>60</v>
      </c>
      <c r="D11" s="37">
        <v>20</v>
      </c>
      <c r="E11" s="38">
        <v>8000</v>
      </c>
      <c r="F11" s="38">
        <v>8000</v>
      </c>
      <c r="G11" s="38">
        <v>8000</v>
      </c>
      <c r="H11" s="38">
        <v>8000</v>
      </c>
      <c r="I11" s="38">
        <v>8000</v>
      </c>
      <c r="J11" s="38">
        <v>8000</v>
      </c>
      <c r="K11" s="38">
        <v>8000</v>
      </c>
      <c r="L11" s="38">
        <v>8000</v>
      </c>
      <c r="M11" s="38">
        <v>8000</v>
      </c>
      <c r="N11" s="38">
        <v>8000</v>
      </c>
      <c r="O11" s="38">
        <v>8000</v>
      </c>
      <c r="P11" s="38">
        <v>8000</v>
      </c>
      <c r="Q11" s="38">
        <v>8000</v>
      </c>
      <c r="R11" s="38">
        <v>8000</v>
      </c>
      <c r="S11" s="38">
        <v>8000</v>
      </c>
      <c r="T11" s="38">
        <v>8000</v>
      </c>
      <c r="U11" s="38">
        <v>8000</v>
      </c>
      <c r="V11" s="38">
        <v>8000</v>
      </c>
      <c r="W11" s="38">
        <v>8000</v>
      </c>
      <c r="X11" s="38">
        <v>8000</v>
      </c>
      <c r="Y11" s="38">
        <v>8000</v>
      </c>
      <c r="Z11" s="38">
        <v>8000</v>
      </c>
      <c r="AA11" s="38">
        <v>8000</v>
      </c>
      <c r="AB11" s="38">
        <v>8000</v>
      </c>
      <c r="AC11" s="42">
        <f>+SUM(E11:AB11)*D11+SUM(E12:AB12)*D12+SUM(E13:AB13)*D13+SUM(E14:AB14)*D14</f>
        <v>5376000</v>
      </c>
    </row>
    <row r="12" spans="2:29" ht="18.649999999999999" customHeight="1" x14ac:dyDescent="0.25">
      <c r="B12" s="41" t="s">
        <v>64</v>
      </c>
      <c r="C12" s="36" t="s">
        <v>61</v>
      </c>
      <c r="D12" s="37">
        <v>4</v>
      </c>
      <c r="E12" s="38">
        <v>8000</v>
      </c>
      <c r="F12" s="38">
        <v>8000</v>
      </c>
      <c r="G12" s="38">
        <v>8000</v>
      </c>
      <c r="H12" s="38">
        <v>8000</v>
      </c>
      <c r="I12" s="38">
        <v>8000</v>
      </c>
      <c r="J12" s="38">
        <v>8000</v>
      </c>
      <c r="K12" s="38">
        <v>8000</v>
      </c>
      <c r="L12" s="38">
        <v>8000</v>
      </c>
      <c r="M12" s="38">
        <v>8000</v>
      </c>
      <c r="N12" s="38">
        <v>8000</v>
      </c>
      <c r="O12" s="38">
        <v>8000</v>
      </c>
      <c r="P12" s="38">
        <v>8000</v>
      </c>
      <c r="Q12" s="38">
        <v>8000</v>
      </c>
      <c r="R12" s="38">
        <v>8000</v>
      </c>
      <c r="S12" s="38">
        <v>8000</v>
      </c>
      <c r="T12" s="38">
        <v>8000</v>
      </c>
      <c r="U12" s="38">
        <v>8000</v>
      </c>
      <c r="V12" s="38">
        <v>8000</v>
      </c>
      <c r="W12" s="38">
        <v>8000</v>
      </c>
      <c r="X12" s="38">
        <v>8000</v>
      </c>
      <c r="Y12" s="38">
        <v>8000</v>
      </c>
      <c r="Z12" s="38">
        <v>8000</v>
      </c>
      <c r="AA12" s="38">
        <v>8000</v>
      </c>
      <c r="AB12" s="38">
        <v>8000</v>
      </c>
      <c r="AC12" s="43"/>
    </row>
    <row r="13" spans="2:29" ht="18.649999999999999" customHeight="1" x14ac:dyDescent="0.25">
      <c r="B13" s="41" t="s">
        <v>64</v>
      </c>
      <c r="C13" s="36" t="s">
        <v>62</v>
      </c>
      <c r="D13" s="37">
        <v>4</v>
      </c>
      <c r="E13" s="38">
        <v>8000</v>
      </c>
      <c r="F13" s="38">
        <v>8000</v>
      </c>
      <c r="G13" s="38">
        <v>8000</v>
      </c>
      <c r="H13" s="38">
        <v>8000</v>
      </c>
      <c r="I13" s="38">
        <v>8000</v>
      </c>
      <c r="J13" s="38">
        <v>8000</v>
      </c>
      <c r="K13" s="38">
        <v>8000</v>
      </c>
      <c r="L13" s="38">
        <v>8000</v>
      </c>
      <c r="M13" s="38">
        <v>8000</v>
      </c>
      <c r="N13" s="38">
        <v>8000</v>
      </c>
      <c r="O13" s="38">
        <v>8000</v>
      </c>
      <c r="P13" s="38">
        <v>8000</v>
      </c>
      <c r="Q13" s="38">
        <v>8000</v>
      </c>
      <c r="R13" s="38">
        <v>8000</v>
      </c>
      <c r="S13" s="38">
        <v>8000</v>
      </c>
      <c r="T13" s="38">
        <v>8000</v>
      </c>
      <c r="U13" s="38">
        <v>8000</v>
      </c>
      <c r="V13" s="38">
        <v>8000</v>
      </c>
      <c r="W13" s="38">
        <v>8000</v>
      </c>
      <c r="X13" s="38">
        <v>8000</v>
      </c>
      <c r="Y13" s="38">
        <v>8000</v>
      </c>
      <c r="Z13" s="38">
        <v>8000</v>
      </c>
      <c r="AA13" s="38">
        <v>8000</v>
      </c>
      <c r="AB13" s="38">
        <v>8000</v>
      </c>
      <c r="AC13" s="43"/>
    </row>
    <row r="14" spans="2:29" ht="18.649999999999999" customHeight="1" x14ac:dyDescent="0.25">
      <c r="B14" s="41" t="s">
        <v>64</v>
      </c>
      <c r="C14" s="36" t="s">
        <v>63</v>
      </c>
      <c r="D14" s="37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4"/>
    </row>
    <row r="15" spans="2:29" ht="18.649999999999999" customHeight="1" x14ac:dyDescent="0.25">
      <c r="B15" s="41" t="s">
        <v>65</v>
      </c>
      <c r="C15" s="36" t="s">
        <v>60</v>
      </c>
      <c r="D15" s="37">
        <v>21</v>
      </c>
      <c r="E15" s="38">
        <v>8000</v>
      </c>
      <c r="F15" s="38">
        <v>8000</v>
      </c>
      <c r="G15" s="38">
        <v>8000</v>
      </c>
      <c r="H15" s="38">
        <v>8000</v>
      </c>
      <c r="I15" s="38">
        <v>8000</v>
      </c>
      <c r="J15" s="38">
        <v>8000</v>
      </c>
      <c r="K15" s="38">
        <v>8000</v>
      </c>
      <c r="L15" s="38">
        <v>8000</v>
      </c>
      <c r="M15" s="38">
        <v>8000</v>
      </c>
      <c r="N15" s="38">
        <v>8000</v>
      </c>
      <c r="O15" s="38">
        <v>8000</v>
      </c>
      <c r="P15" s="38">
        <v>8000</v>
      </c>
      <c r="Q15" s="38">
        <v>8000</v>
      </c>
      <c r="R15" s="38">
        <v>8000</v>
      </c>
      <c r="S15" s="38">
        <v>8000</v>
      </c>
      <c r="T15" s="38">
        <v>8000</v>
      </c>
      <c r="U15" s="38">
        <v>8000</v>
      </c>
      <c r="V15" s="38">
        <v>8000</v>
      </c>
      <c r="W15" s="38">
        <v>8000</v>
      </c>
      <c r="X15" s="38">
        <v>8000</v>
      </c>
      <c r="Y15" s="38">
        <v>8000</v>
      </c>
      <c r="Z15" s="38">
        <v>8000</v>
      </c>
      <c r="AA15" s="38">
        <v>8000</v>
      </c>
      <c r="AB15" s="38">
        <v>8000</v>
      </c>
      <c r="AC15" s="42">
        <f>+SUM(E15:AB15)*D15+SUM(E16:AB16)*D16+SUM(E17:AB17)*D17+SUM(E18:AB18)*D18</f>
        <v>5952000</v>
      </c>
    </row>
    <row r="16" spans="2:29" ht="18.649999999999999" customHeight="1" x14ac:dyDescent="0.25">
      <c r="B16" s="41" t="s">
        <v>65</v>
      </c>
      <c r="C16" s="36" t="s">
        <v>61</v>
      </c>
      <c r="D16" s="37">
        <v>4</v>
      </c>
      <c r="E16" s="38">
        <v>8000</v>
      </c>
      <c r="F16" s="38">
        <v>8000</v>
      </c>
      <c r="G16" s="38">
        <v>8000</v>
      </c>
      <c r="H16" s="38">
        <v>8000</v>
      </c>
      <c r="I16" s="38">
        <v>8000</v>
      </c>
      <c r="J16" s="38">
        <v>8000</v>
      </c>
      <c r="K16" s="38">
        <v>8000</v>
      </c>
      <c r="L16" s="38">
        <v>8000</v>
      </c>
      <c r="M16" s="38">
        <v>8000</v>
      </c>
      <c r="N16" s="38">
        <v>8000</v>
      </c>
      <c r="O16" s="38">
        <v>8000</v>
      </c>
      <c r="P16" s="38">
        <v>8000</v>
      </c>
      <c r="Q16" s="38">
        <v>8000</v>
      </c>
      <c r="R16" s="38">
        <v>8000</v>
      </c>
      <c r="S16" s="38">
        <v>8000</v>
      </c>
      <c r="T16" s="38">
        <v>8000</v>
      </c>
      <c r="U16" s="38">
        <v>8000</v>
      </c>
      <c r="V16" s="38">
        <v>8000</v>
      </c>
      <c r="W16" s="38">
        <v>8000</v>
      </c>
      <c r="X16" s="38">
        <v>8000</v>
      </c>
      <c r="Y16" s="38">
        <v>8000</v>
      </c>
      <c r="Z16" s="38">
        <v>8000</v>
      </c>
      <c r="AA16" s="38">
        <v>8000</v>
      </c>
      <c r="AB16" s="38">
        <v>8000</v>
      </c>
      <c r="AC16" s="43"/>
    </row>
    <row r="17" spans="2:29" ht="18.649999999999999" customHeight="1" x14ac:dyDescent="0.25">
      <c r="B17" s="41" t="s">
        <v>65</v>
      </c>
      <c r="C17" s="36" t="s">
        <v>62</v>
      </c>
      <c r="D17" s="37">
        <v>5</v>
      </c>
      <c r="E17" s="38">
        <v>8000</v>
      </c>
      <c r="F17" s="38">
        <v>8000</v>
      </c>
      <c r="G17" s="38">
        <v>8000</v>
      </c>
      <c r="H17" s="38">
        <v>8000</v>
      </c>
      <c r="I17" s="38">
        <v>8000</v>
      </c>
      <c r="J17" s="38">
        <v>8000</v>
      </c>
      <c r="K17" s="38">
        <v>8000</v>
      </c>
      <c r="L17" s="38">
        <v>8000</v>
      </c>
      <c r="M17" s="38">
        <v>8000</v>
      </c>
      <c r="N17" s="38">
        <v>8000</v>
      </c>
      <c r="O17" s="38">
        <v>8000</v>
      </c>
      <c r="P17" s="38">
        <v>8000</v>
      </c>
      <c r="Q17" s="38">
        <v>8000</v>
      </c>
      <c r="R17" s="38">
        <v>8000</v>
      </c>
      <c r="S17" s="38">
        <v>8000</v>
      </c>
      <c r="T17" s="38">
        <v>8000</v>
      </c>
      <c r="U17" s="38">
        <v>8000</v>
      </c>
      <c r="V17" s="38">
        <v>8000</v>
      </c>
      <c r="W17" s="38">
        <v>8000</v>
      </c>
      <c r="X17" s="38">
        <v>8000</v>
      </c>
      <c r="Y17" s="38">
        <v>8000</v>
      </c>
      <c r="Z17" s="38">
        <v>8000</v>
      </c>
      <c r="AA17" s="38">
        <v>8000</v>
      </c>
      <c r="AB17" s="38">
        <v>8000</v>
      </c>
      <c r="AC17" s="43"/>
    </row>
    <row r="18" spans="2:29" ht="18.649999999999999" customHeight="1" x14ac:dyDescent="0.25">
      <c r="B18" s="41" t="s">
        <v>65</v>
      </c>
      <c r="C18" s="36" t="s">
        <v>63</v>
      </c>
      <c r="D18" s="37">
        <v>1</v>
      </c>
      <c r="E18" s="38">
        <v>8000</v>
      </c>
      <c r="F18" s="38">
        <v>8000</v>
      </c>
      <c r="G18" s="38">
        <v>8000</v>
      </c>
      <c r="H18" s="38">
        <v>8000</v>
      </c>
      <c r="I18" s="38">
        <v>8000</v>
      </c>
      <c r="J18" s="38">
        <v>8000</v>
      </c>
      <c r="K18" s="38">
        <v>8000</v>
      </c>
      <c r="L18" s="38">
        <v>8000</v>
      </c>
      <c r="M18" s="38">
        <v>8000</v>
      </c>
      <c r="N18" s="38">
        <v>8000</v>
      </c>
      <c r="O18" s="38">
        <v>8000</v>
      </c>
      <c r="P18" s="38">
        <v>8000</v>
      </c>
      <c r="Q18" s="38">
        <v>8000</v>
      </c>
      <c r="R18" s="38">
        <v>8000</v>
      </c>
      <c r="S18" s="38">
        <v>8000</v>
      </c>
      <c r="T18" s="38">
        <v>8000</v>
      </c>
      <c r="U18" s="38">
        <v>8000</v>
      </c>
      <c r="V18" s="38">
        <v>8000</v>
      </c>
      <c r="W18" s="38">
        <v>8000</v>
      </c>
      <c r="X18" s="38">
        <v>8000</v>
      </c>
      <c r="Y18" s="38">
        <v>8000</v>
      </c>
      <c r="Z18" s="38">
        <v>8000</v>
      </c>
      <c r="AA18" s="38">
        <v>8000</v>
      </c>
      <c r="AB18" s="38">
        <v>8000</v>
      </c>
      <c r="AC18" s="44"/>
    </row>
    <row r="19" spans="2:29" ht="18.649999999999999" customHeight="1" x14ac:dyDescent="0.25">
      <c r="B19" s="41" t="s">
        <v>66</v>
      </c>
      <c r="C19" s="36" t="s">
        <v>60</v>
      </c>
      <c r="D19" s="37">
        <v>18</v>
      </c>
      <c r="E19" s="38">
        <v>8000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2">
        <f>+SUM(E19:AB19)*D19+SUM(E20:AB20)*D20+SUM(E21:AB21)*D21+SUM(E22:AB22)*D22</f>
        <v>5760000</v>
      </c>
    </row>
    <row r="20" spans="2:29" ht="18.649999999999999" customHeight="1" x14ac:dyDescent="0.25">
      <c r="B20" s="41" t="s">
        <v>66</v>
      </c>
      <c r="C20" s="36" t="s">
        <v>61</v>
      </c>
      <c r="D20" s="37">
        <v>5</v>
      </c>
      <c r="E20" s="38">
        <v>8000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3"/>
    </row>
    <row r="21" spans="2:29" ht="18.649999999999999" customHeight="1" x14ac:dyDescent="0.25">
      <c r="B21" s="41" t="s">
        <v>66</v>
      </c>
      <c r="C21" s="36" t="s">
        <v>62</v>
      </c>
      <c r="D21" s="37">
        <v>5</v>
      </c>
      <c r="E21" s="38">
        <v>8000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3"/>
    </row>
    <row r="22" spans="2:29" ht="18.649999999999999" customHeight="1" x14ac:dyDescent="0.25">
      <c r="B22" s="41" t="s">
        <v>66</v>
      </c>
      <c r="C22" s="36" t="s">
        <v>63</v>
      </c>
      <c r="D22" s="37">
        <v>2</v>
      </c>
      <c r="E22" s="38">
        <v>8000</v>
      </c>
      <c r="F22" s="38">
        <v>8000</v>
      </c>
      <c r="G22" s="38">
        <v>8000</v>
      </c>
      <c r="H22" s="38">
        <v>8000</v>
      </c>
      <c r="I22" s="38">
        <v>8000</v>
      </c>
      <c r="J22" s="38">
        <v>8000</v>
      </c>
      <c r="K22" s="38">
        <v>8000</v>
      </c>
      <c r="L22" s="38">
        <v>8000</v>
      </c>
      <c r="M22" s="38">
        <v>8000</v>
      </c>
      <c r="N22" s="38">
        <v>8000</v>
      </c>
      <c r="O22" s="38">
        <v>8000</v>
      </c>
      <c r="P22" s="38">
        <v>8000</v>
      </c>
      <c r="Q22" s="38">
        <v>8000</v>
      </c>
      <c r="R22" s="38">
        <v>8000</v>
      </c>
      <c r="S22" s="38">
        <v>8000</v>
      </c>
      <c r="T22" s="38">
        <v>8000</v>
      </c>
      <c r="U22" s="38">
        <v>8000</v>
      </c>
      <c r="V22" s="38">
        <v>8000</v>
      </c>
      <c r="W22" s="38">
        <v>8000</v>
      </c>
      <c r="X22" s="38">
        <v>8000</v>
      </c>
      <c r="Y22" s="38">
        <v>8000</v>
      </c>
      <c r="Z22" s="38">
        <v>8000</v>
      </c>
      <c r="AA22" s="38">
        <v>8000</v>
      </c>
      <c r="AB22" s="38">
        <v>8000</v>
      </c>
      <c r="AC22" s="44"/>
    </row>
    <row r="23" spans="2:29" ht="18.649999999999999" customHeight="1" x14ac:dyDescent="0.25">
      <c r="B23" s="41" t="s">
        <v>67</v>
      </c>
      <c r="C23" s="36" t="s">
        <v>60</v>
      </c>
      <c r="D23" s="37">
        <v>21</v>
      </c>
      <c r="E23" s="38">
        <v>8000</v>
      </c>
      <c r="F23" s="38">
        <v>8000</v>
      </c>
      <c r="G23" s="38">
        <v>8000</v>
      </c>
      <c r="H23" s="38">
        <v>8000</v>
      </c>
      <c r="I23" s="38">
        <v>8000</v>
      </c>
      <c r="J23" s="38">
        <v>8000</v>
      </c>
      <c r="K23" s="38">
        <v>8000</v>
      </c>
      <c r="L23" s="38">
        <v>8000</v>
      </c>
      <c r="M23" s="38">
        <v>8000</v>
      </c>
      <c r="N23" s="38">
        <v>8000</v>
      </c>
      <c r="O23" s="38">
        <v>8000</v>
      </c>
      <c r="P23" s="38">
        <v>8000</v>
      </c>
      <c r="Q23" s="38">
        <v>8000</v>
      </c>
      <c r="R23" s="38">
        <v>8000</v>
      </c>
      <c r="S23" s="38">
        <v>8000</v>
      </c>
      <c r="T23" s="38">
        <v>8000</v>
      </c>
      <c r="U23" s="38">
        <v>8000</v>
      </c>
      <c r="V23" s="38">
        <v>8000</v>
      </c>
      <c r="W23" s="38">
        <v>8000</v>
      </c>
      <c r="X23" s="38">
        <v>8000</v>
      </c>
      <c r="Y23" s="38">
        <v>8000</v>
      </c>
      <c r="Z23" s="38">
        <v>8000</v>
      </c>
      <c r="AA23" s="38">
        <v>8000</v>
      </c>
      <c r="AB23" s="38">
        <v>8000</v>
      </c>
      <c r="AC23" s="42">
        <f>+SUM(E23:AB23)*D23+SUM(E24:AB24)*D24+SUM(E25:AB25)*D25+SUM(E26:AB26)*D26</f>
        <v>5952000</v>
      </c>
    </row>
    <row r="24" spans="2:29" ht="18.649999999999999" customHeight="1" x14ac:dyDescent="0.25">
      <c r="B24" s="41" t="s">
        <v>67</v>
      </c>
      <c r="C24" s="36" t="s">
        <v>61</v>
      </c>
      <c r="D24" s="37">
        <v>4</v>
      </c>
      <c r="E24" s="38">
        <v>8000</v>
      </c>
      <c r="F24" s="38">
        <v>8000</v>
      </c>
      <c r="G24" s="38">
        <v>8000</v>
      </c>
      <c r="H24" s="38">
        <v>8000</v>
      </c>
      <c r="I24" s="38">
        <v>8000</v>
      </c>
      <c r="J24" s="38">
        <v>8000</v>
      </c>
      <c r="K24" s="38">
        <v>8000</v>
      </c>
      <c r="L24" s="38">
        <v>8000</v>
      </c>
      <c r="M24" s="38">
        <v>8000</v>
      </c>
      <c r="N24" s="38">
        <v>8000</v>
      </c>
      <c r="O24" s="38">
        <v>8000</v>
      </c>
      <c r="P24" s="38">
        <v>8000</v>
      </c>
      <c r="Q24" s="38">
        <v>8000</v>
      </c>
      <c r="R24" s="38">
        <v>8000</v>
      </c>
      <c r="S24" s="38">
        <v>8000</v>
      </c>
      <c r="T24" s="38">
        <v>8000</v>
      </c>
      <c r="U24" s="38">
        <v>8000</v>
      </c>
      <c r="V24" s="38">
        <v>8000</v>
      </c>
      <c r="W24" s="38">
        <v>8000</v>
      </c>
      <c r="X24" s="38">
        <v>8000</v>
      </c>
      <c r="Y24" s="38">
        <v>8000</v>
      </c>
      <c r="Z24" s="38">
        <v>8000</v>
      </c>
      <c r="AA24" s="38">
        <v>8000</v>
      </c>
      <c r="AB24" s="38">
        <v>8000</v>
      </c>
      <c r="AC24" s="43"/>
    </row>
    <row r="25" spans="2:29" ht="18.649999999999999" customHeight="1" x14ac:dyDescent="0.25">
      <c r="B25" s="41" t="s">
        <v>67</v>
      </c>
      <c r="C25" s="36" t="s">
        <v>62</v>
      </c>
      <c r="D25" s="37">
        <v>4</v>
      </c>
      <c r="E25" s="38">
        <v>8000</v>
      </c>
      <c r="F25" s="38">
        <v>8000</v>
      </c>
      <c r="G25" s="38">
        <v>8000</v>
      </c>
      <c r="H25" s="38">
        <v>8000</v>
      </c>
      <c r="I25" s="38">
        <v>8000</v>
      </c>
      <c r="J25" s="38">
        <v>8000</v>
      </c>
      <c r="K25" s="38">
        <v>8000</v>
      </c>
      <c r="L25" s="38">
        <v>8000</v>
      </c>
      <c r="M25" s="38">
        <v>8000</v>
      </c>
      <c r="N25" s="38">
        <v>8000</v>
      </c>
      <c r="O25" s="38">
        <v>8000</v>
      </c>
      <c r="P25" s="38">
        <v>8000</v>
      </c>
      <c r="Q25" s="38">
        <v>8000</v>
      </c>
      <c r="R25" s="38">
        <v>8000</v>
      </c>
      <c r="S25" s="38">
        <v>8000</v>
      </c>
      <c r="T25" s="38">
        <v>8000</v>
      </c>
      <c r="U25" s="38">
        <v>8000</v>
      </c>
      <c r="V25" s="38">
        <v>8000</v>
      </c>
      <c r="W25" s="38">
        <v>8000</v>
      </c>
      <c r="X25" s="38">
        <v>8000</v>
      </c>
      <c r="Y25" s="38">
        <v>8000</v>
      </c>
      <c r="Z25" s="38">
        <v>8000</v>
      </c>
      <c r="AA25" s="38">
        <v>8000</v>
      </c>
      <c r="AB25" s="38">
        <v>8000</v>
      </c>
      <c r="AC25" s="43"/>
    </row>
    <row r="26" spans="2:29" ht="18.649999999999999" customHeight="1" x14ac:dyDescent="0.25">
      <c r="B26" s="41" t="s">
        <v>67</v>
      </c>
      <c r="C26" s="36" t="s">
        <v>63</v>
      </c>
      <c r="D26" s="37">
        <v>2</v>
      </c>
      <c r="E26" s="38">
        <v>8000</v>
      </c>
      <c r="F26" s="38">
        <v>8000</v>
      </c>
      <c r="G26" s="38">
        <v>8000</v>
      </c>
      <c r="H26" s="38">
        <v>8000</v>
      </c>
      <c r="I26" s="38">
        <v>8000</v>
      </c>
      <c r="J26" s="38">
        <v>8000</v>
      </c>
      <c r="K26" s="38">
        <v>8000</v>
      </c>
      <c r="L26" s="38">
        <v>8000</v>
      </c>
      <c r="M26" s="38">
        <v>8000</v>
      </c>
      <c r="N26" s="38">
        <v>8000</v>
      </c>
      <c r="O26" s="38">
        <v>8000</v>
      </c>
      <c r="P26" s="38">
        <v>8000</v>
      </c>
      <c r="Q26" s="38">
        <v>8000</v>
      </c>
      <c r="R26" s="38">
        <v>8000</v>
      </c>
      <c r="S26" s="38">
        <v>8000</v>
      </c>
      <c r="T26" s="38">
        <v>8000</v>
      </c>
      <c r="U26" s="38">
        <v>8000</v>
      </c>
      <c r="V26" s="38">
        <v>8000</v>
      </c>
      <c r="W26" s="38">
        <v>8000</v>
      </c>
      <c r="X26" s="38">
        <v>8000</v>
      </c>
      <c r="Y26" s="38">
        <v>8000</v>
      </c>
      <c r="Z26" s="38">
        <v>8000</v>
      </c>
      <c r="AA26" s="38">
        <v>8000</v>
      </c>
      <c r="AB26" s="38">
        <v>8000</v>
      </c>
      <c r="AC26" s="44"/>
    </row>
    <row r="27" spans="2:29" ht="18.649999999999999" customHeight="1" x14ac:dyDescent="0.25">
      <c r="B27" s="41" t="s">
        <v>68</v>
      </c>
      <c r="C27" s="36" t="s">
        <v>60</v>
      </c>
      <c r="D27" s="37">
        <v>20</v>
      </c>
      <c r="E27" s="38">
        <v>8000</v>
      </c>
      <c r="F27" s="38">
        <v>8000</v>
      </c>
      <c r="G27" s="38">
        <v>8000</v>
      </c>
      <c r="H27" s="38">
        <v>8000</v>
      </c>
      <c r="I27" s="38">
        <v>8000</v>
      </c>
      <c r="J27" s="38">
        <v>8000</v>
      </c>
      <c r="K27" s="38">
        <v>8000</v>
      </c>
      <c r="L27" s="38">
        <v>8000</v>
      </c>
      <c r="M27" s="38">
        <v>8000</v>
      </c>
      <c r="N27" s="38">
        <v>8000</v>
      </c>
      <c r="O27" s="38">
        <v>8000</v>
      </c>
      <c r="P27" s="38">
        <v>8000</v>
      </c>
      <c r="Q27" s="38">
        <v>8000</v>
      </c>
      <c r="R27" s="38">
        <v>8000</v>
      </c>
      <c r="S27" s="38">
        <v>8000</v>
      </c>
      <c r="T27" s="38">
        <v>8000</v>
      </c>
      <c r="U27" s="38">
        <v>8000</v>
      </c>
      <c r="V27" s="38">
        <v>8000</v>
      </c>
      <c r="W27" s="38">
        <v>8000</v>
      </c>
      <c r="X27" s="38">
        <v>8000</v>
      </c>
      <c r="Y27" s="38">
        <v>8000</v>
      </c>
      <c r="Z27" s="38">
        <v>8000</v>
      </c>
      <c r="AA27" s="38">
        <v>8000</v>
      </c>
      <c r="AB27" s="38">
        <v>8000</v>
      </c>
      <c r="AC27" s="42">
        <f>+SUM(E27:AB27)*D27+SUM(E28:AB28)*D28+SUM(E29:AB29)*D29+SUM(E30:AB30)*D30</f>
        <v>5760000</v>
      </c>
    </row>
    <row r="28" spans="2:29" ht="18.649999999999999" customHeight="1" x14ac:dyDescent="0.25">
      <c r="B28" s="41" t="s">
        <v>68</v>
      </c>
      <c r="C28" s="36" t="s">
        <v>61</v>
      </c>
      <c r="D28" s="37">
        <v>4</v>
      </c>
      <c r="E28" s="38">
        <v>8000</v>
      </c>
      <c r="F28" s="38">
        <v>8000</v>
      </c>
      <c r="G28" s="38">
        <v>8000</v>
      </c>
      <c r="H28" s="38">
        <v>8000</v>
      </c>
      <c r="I28" s="38">
        <v>8000</v>
      </c>
      <c r="J28" s="38">
        <v>8000</v>
      </c>
      <c r="K28" s="38">
        <v>8000</v>
      </c>
      <c r="L28" s="38">
        <v>8000</v>
      </c>
      <c r="M28" s="38">
        <v>8000</v>
      </c>
      <c r="N28" s="38">
        <v>8000</v>
      </c>
      <c r="O28" s="38">
        <v>8000</v>
      </c>
      <c r="P28" s="38">
        <v>8000</v>
      </c>
      <c r="Q28" s="38">
        <v>8000</v>
      </c>
      <c r="R28" s="38">
        <v>8000</v>
      </c>
      <c r="S28" s="38">
        <v>8000</v>
      </c>
      <c r="T28" s="38">
        <v>8000</v>
      </c>
      <c r="U28" s="38">
        <v>8000</v>
      </c>
      <c r="V28" s="38">
        <v>8000</v>
      </c>
      <c r="W28" s="38">
        <v>8000</v>
      </c>
      <c r="X28" s="38">
        <v>8000</v>
      </c>
      <c r="Y28" s="38">
        <v>8000</v>
      </c>
      <c r="Z28" s="38">
        <v>8000</v>
      </c>
      <c r="AA28" s="38">
        <v>8000</v>
      </c>
      <c r="AB28" s="38">
        <v>8000</v>
      </c>
      <c r="AC28" s="43"/>
    </row>
    <row r="29" spans="2:29" ht="18.649999999999999" customHeight="1" x14ac:dyDescent="0.25">
      <c r="B29" s="41" t="s">
        <v>68</v>
      </c>
      <c r="C29" s="36" t="s">
        <v>62</v>
      </c>
      <c r="D29" s="37">
        <v>4</v>
      </c>
      <c r="E29" s="38">
        <v>8000</v>
      </c>
      <c r="F29" s="38">
        <v>8000</v>
      </c>
      <c r="G29" s="38">
        <v>8000</v>
      </c>
      <c r="H29" s="38">
        <v>8000</v>
      </c>
      <c r="I29" s="38">
        <v>8000</v>
      </c>
      <c r="J29" s="38">
        <v>8000</v>
      </c>
      <c r="K29" s="38">
        <v>8000</v>
      </c>
      <c r="L29" s="38">
        <v>8000</v>
      </c>
      <c r="M29" s="38">
        <v>8000</v>
      </c>
      <c r="N29" s="38">
        <v>8000</v>
      </c>
      <c r="O29" s="38">
        <v>8000</v>
      </c>
      <c r="P29" s="38">
        <v>8000</v>
      </c>
      <c r="Q29" s="38">
        <v>8000</v>
      </c>
      <c r="R29" s="38">
        <v>8000</v>
      </c>
      <c r="S29" s="38">
        <v>8000</v>
      </c>
      <c r="T29" s="38">
        <v>8000</v>
      </c>
      <c r="U29" s="38">
        <v>8000</v>
      </c>
      <c r="V29" s="38">
        <v>8000</v>
      </c>
      <c r="W29" s="38">
        <v>8000</v>
      </c>
      <c r="X29" s="38">
        <v>8000</v>
      </c>
      <c r="Y29" s="38">
        <v>8000</v>
      </c>
      <c r="Z29" s="38">
        <v>8000</v>
      </c>
      <c r="AA29" s="38">
        <v>8000</v>
      </c>
      <c r="AB29" s="38">
        <v>8000</v>
      </c>
      <c r="AC29" s="43"/>
    </row>
    <row r="30" spans="2:29" ht="18.649999999999999" customHeight="1" x14ac:dyDescent="0.25">
      <c r="B30" s="41" t="s">
        <v>68</v>
      </c>
      <c r="C30" s="36" t="s">
        <v>63</v>
      </c>
      <c r="D30" s="37">
        <v>2</v>
      </c>
      <c r="E30" s="38">
        <v>8000</v>
      </c>
      <c r="F30" s="38">
        <v>8000</v>
      </c>
      <c r="G30" s="38">
        <v>8000</v>
      </c>
      <c r="H30" s="38">
        <v>8000</v>
      </c>
      <c r="I30" s="38">
        <v>8000</v>
      </c>
      <c r="J30" s="38">
        <v>8000</v>
      </c>
      <c r="K30" s="38">
        <v>8000</v>
      </c>
      <c r="L30" s="38">
        <v>8000</v>
      </c>
      <c r="M30" s="38">
        <v>8000</v>
      </c>
      <c r="N30" s="38">
        <v>8000</v>
      </c>
      <c r="O30" s="38">
        <v>8000</v>
      </c>
      <c r="P30" s="38">
        <v>8000</v>
      </c>
      <c r="Q30" s="38">
        <v>8000</v>
      </c>
      <c r="R30" s="38">
        <v>8000</v>
      </c>
      <c r="S30" s="38">
        <v>8000</v>
      </c>
      <c r="T30" s="38">
        <v>8000</v>
      </c>
      <c r="U30" s="38">
        <v>8000</v>
      </c>
      <c r="V30" s="38">
        <v>8000</v>
      </c>
      <c r="W30" s="38">
        <v>8000</v>
      </c>
      <c r="X30" s="38">
        <v>8000</v>
      </c>
      <c r="Y30" s="38">
        <v>8000</v>
      </c>
      <c r="Z30" s="38">
        <v>8000</v>
      </c>
      <c r="AA30" s="38">
        <v>8000</v>
      </c>
      <c r="AB30" s="38">
        <v>8000</v>
      </c>
      <c r="AC30" s="44"/>
    </row>
    <row r="31" spans="2:29" ht="18.649999999999999" customHeight="1" x14ac:dyDescent="0.25">
      <c r="B31" s="41" t="s">
        <v>69</v>
      </c>
      <c r="C31" s="36" t="s">
        <v>60</v>
      </c>
      <c r="D31" s="37">
        <v>19</v>
      </c>
      <c r="E31" s="38">
        <v>8000</v>
      </c>
      <c r="F31" s="38">
        <v>8000</v>
      </c>
      <c r="G31" s="38">
        <v>8000</v>
      </c>
      <c r="H31" s="38">
        <v>8000</v>
      </c>
      <c r="I31" s="38">
        <v>8000</v>
      </c>
      <c r="J31" s="38">
        <v>8000</v>
      </c>
      <c r="K31" s="38">
        <v>8000</v>
      </c>
      <c r="L31" s="38">
        <v>8000</v>
      </c>
      <c r="M31" s="38">
        <v>8000</v>
      </c>
      <c r="N31" s="38">
        <v>8000</v>
      </c>
      <c r="O31" s="38">
        <v>8000</v>
      </c>
      <c r="P31" s="38">
        <v>8000</v>
      </c>
      <c r="Q31" s="38">
        <v>8000</v>
      </c>
      <c r="R31" s="38">
        <v>8000</v>
      </c>
      <c r="S31" s="38">
        <v>8000</v>
      </c>
      <c r="T31" s="38">
        <v>8000</v>
      </c>
      <c r="U31" s="38">
        <v>8000</v>
      </c>
      <c r="V31" s="38">
        <v>8000</v>
      </c>
      <c r="W31" s="38">
        <v>8000</v>
      </c>
      <c r="X31" s="38">
        <v>8000</v>
      </c>
      <c r="Y31" s="38">
        <v>8000</v>
      </c>
      <c r="Z31" s="38">
        <v>8000</v>
      </c>
      <c r="AA31" s="38">
        <v>8000</v>
      </c>
      <c r="AB31" s="38">
        <v>8000</v>
      </c>
      <c r="AC31" s="42">
        <f>+SUM(E31:AB31)*D31+SUM(E32:AB32)*D32+SUM(E33:AB33)*D33+SUM(E34:AB34)*D34</f>
        <v>5952000</v>
      </c>
    </row>
    <row r="32" spans="2:29" ht="18.649999999999999" customHeight="1" x14ac:dyDescent="0.25">
      <c r="B32" s="41" t="s">
        <v>69</v>
      </c>
      <c r="C32" s="36" t="s">
        <v>61</v>
      </c>
      <c r="D32" s="37">
        <v>5</v>
      </c>
      <c r="E32" s="38">
        <v>8000</v>
      </c>
      <c r="F32" s="38">
        <v>8000</v>
      </c>
      <c r="G32" s="38">
        <v>8000</v>
      </c>
      <c r="H32" s="38">
        <v>8000</v>
      </c>
      <c r="I32" s="38">
        <v>8000</v>
      </c>
      <c r="J32" s="38">
        <v>8000</v>
      </c>
      <c r="K32" s="38">
        <v>8000</v>
      </c>
      <c r="L32" s="38">
        <v>8000</v>
      </c>
      <c r="M32" s="38">
        <v>8000</v>
      </c>
      <c r="N32" s="38">
        <v>8000</v>
      </c>
      <c r="O32" s="38">
        <v>8000</v>
      </c>
      <c r="P32" s="38">
        <v>8000</v>
      </c>
      <c r="Q32" s="38">
        <v>8000</v>
      </c>
      <c r="R32" s="38">
        <v>8000</v>
      </c>
      <c r="S32" s="38">
        <v>8000</v>
      </c>
      <c r="T32" s="38">
        <v>8000</v>
      </c>
      <c r="U32" s="38">
        <v>8000</v>
      </c>
      <c r="V32" s="38">
        <v>8000</v>
      </c>
      <c r="W32" s="38">
        <v>8000</v>
      </c>
      <c r="X32" s="38">
        <v>8000</v>
      </c>
      <c r="Y32" s="38">
        <v>8000</v>
      </c>
      <c r="Z32" s="38">
        <v>8000</v>
      </c>
      <c r="AA32" s="38">
        <v>8000</v>
      </c>
      <c r="AB32" s="38">
        <v>8000</v>
      </c>
      <c r="AC32" s="43"/>
    </row>
    <row r="33" spans="2:29" ht="18.649999999999999" customHeight="1" x14ac:dyDescent="0.25">
      <c r="B33" s="41" t="s">
        <v>69</v>
      </c>
      <c r="C33" s="36" t="s">
        <v>62</v>
      </c>
      <c r="D33" s="37">
        <v>5</v>
      </c>
      <c r="E33" s="38">
        <v>8000</v>
      </c>
      <c r="F33" s="38">
        <v>8000</v>
      </c>
      <c r="G33" s="38">
        <v>8000</v>
      </c>
      <c r="H33" s="38">
        <v>8000</v>
      </c>
      <c r="I33" s="38">
        <v>8000</v>
      </c>
      <c r="J33" s="38">
        <v>8000</v>
      </c>
      <c r="K33" s="38">
        <v>8000</v>
      </c>
      <c r="L33" s="38">
        <v>8000</v>
      </c>
      <c r="M33" s="38">
        <v>8000</v>
      </c>
      <c r="N33" s="38">
        <v>8000</v>
      </c>
      <c r="O33" s="38">
        <v>8000</v>
      </c>
      <c r="P33" s="38">
        <v>8000</v>
      </c>
      <c r="Q33" s="38">
        <v>8000</v>
      </c>
      <c r="R33" s="38">
        <v>8000</v>
      </c>
      <c r="S33" s="38">
        <v>8000</v>
      </c>
      <c r="T33" s="38">
        <v>8000</v>
      </c>
      <c r="U33" s="38">
        <v>8000</v>
      </c>
      <c r="V33" s="38">
        <v>8000</v>
      </c>
      <c r="W33" s="38">
        <v>8000</v>
      </c>
      <c r="X33" s="38">
        <v>8000</v>
      </c>
      <c r="Y33" s="38">
        <v>8000</v>
      </c>
      <c r="Z33" s="38">
        <v>8000</v>
      </c>
      <c r="AA33" s="38">
        <v>8000</v>
      </c>
      <c r="AB33" s="38">
        <v>8000</v>
      </c>
      <c r="AC33" s="43"/>
    </row>
    <row r="34" spans="2:29" ht="18.649999999999999" customHeight="1" x14ac:dyDescent="0.25">
      <c r="B34" s="41" t="s">
        <v>69</v>
      </c>
      <c r="C34" s="36" t="s">
        <v>63</v>
      </c>
      <c r="D34" s="37">
        <v>2</v>
      </c>
      <c r="E34" s="38">
        <v>8000</v>
      </c>
      <c r="F34" s="38">
        <v>8000</v>
      </c>
      <c r="G34" s="38">
        <v>8000</v>
      </c>
      <c r="H34" s="38">
        <v>8000</v>
      </c>
      <c r="I34" s="38">
        <v>8000</v>
      </c>
      <c r="J34" s="38">
        <v>8000</v>
      </c>
      <c r="K34" s="38">
        <v>8000</v>
      </c>
      <c r="L34" s="38">
        <v>8000</v>
      </c>
      <c r="M34" s="38">
        <v>8000</v>
      </c>
      <c r="N34" s="38">
        <v>8000</v>
      </c>
      <c r="O34" s="38">
        <v>8000</v>
      </c>
      <c r="P34" s="38">
        <v>8000</v>
      </c>
      <c r="Q34" s="38">
        <v>8000</v>
      </c>
      <c r="R34" s="38">
        <v>8000</v>
      </c>
      <c r="S34" s="38">
        <v>8000</v>
      </c>
      <c r="T34" s="38">
        <v>8000</v>
      </c>
      <c r="U34" s="38">
        <v>8000</v>
      </c>
      <c r="V34" s="38">
        <v>8000</v>
      </c>
      <c r="W34" s="38">
        <v>8000</v>
      </c>
      <c r="X34" s="38">
        <v>8000</v>
      </c>
      <c r="Y34" s="38">
        <v>8000</v>
      </c>
      <c r="Z34" s="38">
        <v>8000</v>
      </c>
      <c r="AA34" s="38">
        <v>8000</v>
      </c>
      <c r="AB34" s="38">
        <v>8000</v>
      </c>
      <c r="AC34" s="44"/>
    </row>
    <row r="35" spans="2:29" ht="18.649999999999999" customHeight="1" x14ac:dyDescent="0.25">
      <c r="B35" s="41" t="s">
        <v>70</v>
      </c>
      <c r="C35" s="36" t="s">
        <v>60</v>
      </c>
      <c r="D35" s="37">
        <v>21</v>
      </c>
      <c r="E35" s="38">
        <v>8000</v>
      </c>
      <c r="F35" s="38">
        <v>8000</v>
      </c>
      <c r="G35" s="38">
        <v>8000</v>
      </c>
      <c r="H35" s="38">
        <v>8000</v>
      </c>
      <c r="I35" s="38">
        <v>8000</v>
      </c>
      <c r="J35" s="38">
        <v>8000</v>
      </c>
      <c r="K35" s="38">
        <v>8000</v>
      </c>
      <c r="L35" s="38">
        <v>8000</v>
      </c>
      <c r="M35" s="38">
        <v>8000</v>
      </c>
      <c r="N35" s="38">
        <v>8000</v>
      </c>
      <c r="O35" s="38">
        <v>8000</v>
      </c>
      <c r="P35" s="38">
        <v>8000</v>
      </c>
      <c r="Q35" s="38">
        <v>8000</v>
      </c>
      <c r="R35" s="38">
        <v>8000</v>
      </c>
      <c r="S35" s="38">
        <v>8000</v>
      </c>
      <c r="T35" s="38">
        <v>8000</v>
      </c>
      <c r="U35" s="38">
        <v>8000</v>
      </c>
      <c r="V35" s="38">
        <v>8000</v>
      </c>
      <c r="W35" s="38">
        <v>8000</v>
      </c>
      <c r="X35" s="38">
        <v>8000</v>
      </c>
      <c r="Y35" s="38">
        <v>8000</v>
      </c>
      <c r="Z35" s="38">
        <v>8000</v>
      </c>
      <c r="AA35" s="38">
        <v>8000</v>
      </c>
      <c r="AB35" s="38">
        <v>8000</v>
      </c>
      <c r="AC35" s="42">
        <f>+SUM(E35:AB35)*D35+SUM(E36:AB36)*D36+SUM(E37:AB37)*D37+SUM(E38:AB38)*D38</f>
        <v>5952000</v>
      </c>
    </row>
    <row r="36" spans="2:29" ht="18.649999999999999" customHeight="1" x14ac:dyDescent="0.25">
      <c r="B36" s="41" t="s">
        <v>70</v>
      </c>
      <c r="C36" s="36" t="s">
        <v>61</v>
      </c>
      <c r="D36" s="37">
        <v>4</v>
      </c>
      <c r="E36" s="38">
        <v>8000</v>
      </c>
      <c r="F36" s="38">
        <v>8000</v>
      </c>
      <c r="G36" s="38">
        <v>8000</v>
      </c>
      <c r="H36" s="38">
        <v>8000</v>
      </c>
      <c r="I36" s="38">
        <v>8000</v>
      </c>
      <c r="J36" s="38">
        <v>8000</v>
      </c>
      <c r="K36" s="38">
        <v>8000</v>
      </c>
      <c r="L36" s="38">
        <v>8000</v>
      </c>
      <c r="M36" s="38">
        <v>8000</v>
      </c>
      <c r="N36" s="38">
        <v>8000</v>
      </c>
      <c r="O36" s="38">
        <v>8000</v>
      </c>
      <c r="P36" s="38">
        <v>8000</v>
      </c>
      <c r="Q36" s="38">
        <v>8000</v>
      </c>
      <c r="R36" s="38">
        <v>8000</v>
      </c>
      <c r="S36" s="38">
        <v>8000</v>
      </c>
      <c r="T36" s="38">
        <v>8000</v>
      </c>
      <c r="U36" s="38">
        <v>8000</v>
      </c>
      <c r="V36" s="38">
        <v>8000</v>
      </c>
      <c r="W36" s="38">
        <v>8000</v>
      </c>
      <c r="X36" s="38">
        <v>8000</v>
      </c>
      <c r="Y36" s="38">
        <v>8000</v>
      </c>
      <c r="Z36" s="38">
        <v>8000</v>
      </c>
      <c r="AA36" s="38">
        <v>8000</v>
      </c>
      <c r="AB36" s="38">
        <v>8000</v>
      </c>
      <c r="AC36" s="43"/>
    </row>
    <row r="37" spans="2:29" ht="18.649999999999999" customHeight="1" x14ac:dyDescent="0.25">
      <c r="B37" s="41" t="s">
        <v>70</v>
      </c>
      <c r="C37" s="36" t="s">
        <v>62</v>
      </c>
      <c r="D37" s="37">
        <v>4</v>
      </c>
      <c r="E37" s="38">
        <v>8000</v>
      </c>
      <c r="F37" s="38">
        <v>8000</v>
      </c>
      <c r="G37" s="38">
        <v>8000</v>
      </c>
      <c r="H37" s="38">
        <v>8000</v>
      </c>
      <c r="I37" s="38">
        <v>8000</v>
      </c>
      <c r="J37" s="38">
        <v>8000</v>
      </c>
      <c r="K37" s="38">
        <v>8000</v>
      </c>
      <c r="L37" s="38">
        <v>8000</v>
      </c>
      <c r="M37" s="38">
        <v>8000</v>
      </c>
      <c r="N37" s="38">
        <v>8000</v>
      </c>
      <c r="O37" s="38">
        <v>8000</v>
      </c>
      <c r="P37" s="38">
        <v>8000</v>
      </c>
      <c r="Q37" s="38">
        <v>8000</v>
      </c>
      <c r="R37" s="38">
        <v>8000</v>
      </c>
      <c r="S37" s="38">
        <v>8000</v>
      </c>
      <c r="T37" s="38">
        <v>8000</v>
      </c>
      <c r="U37" s="38">
        <v>8000</v>
      </c>
      <c r="V37" s="38">
        <v>8000</v>
      </c>
      <c r="W37" s="38">
        <v>8000</v>
      </c>
      <c r="X37" s="38">
        <v>8000</v>
      </c>
      <c r="Y37" s="38">
        <v>8000</v>
      </c>
      <c r="Z37" s="38">
        <v>8000</v>
      </c>
      <c r="AA37" s="38">
        <v>8000</v>
      </c>
      <c r="AB37" s="38">
        <v>8000</v>
      </c>
      <c r="AC37" s="43"/>
    </row>
    <row r="38" spans="2:29" ht="18.649999999999999" customHeight="1" x14ac:dyDescent="0.25">
      <c r="B38" s="41" t="s">
        <v>70</v>
      </c>
      <c r="C38" s="36" t="s">
        <v>63</v>
      </c>
      <c r="D38" s="37">
        <v>2</v>
      </c>
      <c r="E38" s="38">
        <v>8000</v>
      </c>
      <c r="F38" s="38">
        <v>8000</v>
      </c>
      <c r="G38" s="38">
        <v>8000</v>
      </c>
      <c r="H38" s="38">
        <v>8000</v>
      </c>
      <c r="I38" s="38">
        <v>8000</v>
      </c>
      <c r="J38" s="38">
        <v>8000</v>
      </c>
      <c r="K38" s="38">
        <v>8000</v>
      </c>
      <c r="L38" s="38">
        <v>8000</v>
      </c>
      <c r="M38" s="38">
        <v>8000</v>
      </c>
      <c r="N38" s="38">
        <v>8000</v>
      </c>
      <c r="O38" s="38">
        <v>8000</v>
      </c>
      <c r="P38" s="38">
        <v>8000</v>
      </c>
      <c r="Q38" s="38">
        <v>8000</v>
      </c>
      <c r="R38" s="38">
        <v>8000</v>
      </c>
      <c r="S38" s="38">
        <v>8000</v>
      </c>
      <c r="T38" s="38">
        <v>8000</v>
      </c>
      <c r="U38" s="38">
        <v>8000</v>
      </c>
      <c r="V38" s="38">
        <v>8000</v>
      </c>
      <c r="W38" s="38">
        <v>8000</v>
      </c>
      <c r="X38" s="38">
        <v>8000</v>
      </c>
      <c r="Y38" s="38">
        <v>8000</v>
      </c>
      <c r="Z38" s="38">
        <v>8000</v>
      </c>
      <c r="AA38" s="38">
        <v>8000</v>
      </c>
      <c r="AB38" s="38">
        <v>8000</v>
      </c>
      <c r="AC38" s="44"/>
    </row>
    <row r="39" spans="2:29" ht="18.649999999999999" customHeight="1" x14ac:dyDescent="0.25">
      <c r="B39" s="41" t="s">
        <v>71</v>
      </c>
      <c r="C39" s="36" t="s">
        <v>60</v>
      </c>
      <c r="D39" s="37">
        <v>21</v>
      </c>
      <c r="E39" s="38">
        <v>8000</v>
      </c>
      <c r="F39" s="38">
        <v>8000</v>
      </c>
      <c r="G39" s="38">
        <v>8000</v>
      </c>
      <c r="H39" s="38">
        <v>8000</v>
      </c>
      <c r="I39" s="38">
        <v>8000</v>
      </c>
      <c r="J39" s="38">
        <v>8000</v>
      </c>
      <c r="K39" s="38">
        <v>8000</v>
      </c>
      <c r="L39" s="38">
        <v>8000</v>
      </c>
      <c r="M39" s="38">
        <v>8000</v>
      </c>
      <c r="N39" s="38">
        <v>8000</v>
      </c>
      <c r="O39" s="38">
        <v>8000</v>
      </c>
      <c r="P39" s="38">
        <v>8000</v>
      </c>
      <c r="Q39" s="38">
        <v>8000</v>
      </c>
      <c r="R39" s="38">
        <v>8000</v>
      </c>
      <c r="S39" s="38">
        <v>8000</v>
      </c>
      <c r="T39" s="38">
        <v>8000</v>
      </c>
      <c r="U39" s="38">
        <v>8000</v>
      </c>
      <c r="V39" s="38">
        <v>8000</v>
      </c>
      <c r="W39" s="38">
        <v>8000</v>
      </c>
      <c r="X39" s="38">
        <v>8000</v>
      </c>
      <c r="Y39" s="38">
        <v>8000</v>
      </c>
      <c r="Z39" s="38">
        <v>8000</v>
      </c>
      <c r="AA39" s="38">
        <v>8000</v>
      </c>
      <c r="AB39" s="38">
        <v>8000</v>
      </c>
      <c r="AC39" s="42">
        <f>+SUM(E39:AB39)*D39+SUM(E40:AB40)*D40+SUM(E41:AB41)*D41+SUM(E42:AB42)*D42</f>
        <v>5760000</v>
      </c>
    </row>
    <row r="40" spans="2:29" ht="18.649999999999999" customHeight="1" x14ac:dyDescent="0.25">
      <c r="B40" s="41" t="s">
        <v>71</v>
      </c>
      <c r="C40" s="36" t="s">
        <v>61</v>
      </c>
      <c r="D40" s="37">
        <v>5</v>
      </c>
      <c r="E40" s="38">
        <v>8000</v>
      </c>
      <c r="F40" s="38">
        <v>8000</v>
      </c>
      <c r="G40" s="38">
        <v>8000</v>
      </c>
      <c r="H40" s="38">
        <v>8000</v>
      </c>
      <c r="I40" s="38">
        <v>8000</v>
      </c>
      <c r="J40" s="38">
        <v>8000</v>
      </c>
      <c r="K40" s="38">
        <v>8000</v>
      </c>
      <c r="L40" s="38">
        <v>8000</v>
      </c>
      <c r="M40" s="38">
        <v>8000</v>
      </c>
      <c r="N40" s="38">
        <v>8000</v>
      </c>
      <c r="O40" s="38">
        <v>8000</v>
      </c>
      <c r="P40" s="38">
        <v>8000</v>
      </c>
      <c r="Q40" s="38">
        <v>8000</v>
      </c>
      <c r="R40" s="38">
        <v>8000</v>
      </c>
      <c r="S40" s="38">
        <v>8000</v>
      </c>
      <c r="T40" s="38">
        <v>8000</v>
      </c>
      <c r="U40" s="38">
        <v>8000</v>
      </c>
      <c r="V40" s="38">
        <v>8000</v>
      </c>
      <c r="W40" s="38">
        <v>8000</v>
      </c>
      <c r="X40" s="38">
        <v>8000</v>
      </c>
      <c r="Y40" s="38">
        <v>8000</v>
      </c>
      <c r="Z40" s="38">
        <v>8000</v>
      </c>
      <c r="AA40" s="38">
        <v>8000</v>
      </c>
      <c r="AB40" s="38">
        <v>8000</v>
      </c>
      <c r="AC40" s="43"/>
    </row>
    <row r="41" spans="2:29" ht="18.649999999999999" customHeight="1" x14ac:dyDescent="0.25">
      <c r="B41" s="41" t="s">
        <v>71</v>
      </c>
      <c r="C41" s="36" t="s">
        <v>62</v>
      </c>
      <c r="D41" s="37">
        <v>4</v>
      </c>
      <c r="E41" s="38">
        <v>8000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3"/>
    </row>
    <row r="42" spans="2:29" ht="18.649999999999999" customHeight="1" x14ac:dyDescent="0.25">
      <c r="B42" s="41" t="s">
        <v>71</v>
      </c>
      <c r="C42" s="36" t="s">
        <v>63</v>
      </c>
      <c r="D42" s="37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4"/>
    </row>
    <row r="43" spans="2:29" ht="18.649999999999999" customHeight="1" x14ac:dyDescent="0.25">
      <c r="B43" s="41" t="s">
        <v>72</v>
      </c>
      <c r="C43" s="36" t="s">
        <v>60</v>
      </c>
      <c r="D43" s="37">
        <v>21</v>
      </c>
      <c r="E43" s="38">
        <v>8000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2">
        <f>+SUM(E43:AB43)*D43+SUM(E44:AB44)*D44+SUM(E45:AB45)*D45+SUM(E46:AB46)*D46</f>
        <v>5952000</v>
      </c>
    </row>
    <row r="44" spans="2:29" ht="18.649999999999999" customHeight="1" x14ac:dyDescent="0.25">
      <c r="B44" s="41" t="s">
        <v>72</v>
      </c>
      <c r="C44" s="36" t="s">
        <v>61</v>
      </c>
      <c r="D44" s="37">
        <v>4</v>
      </c>
      <c r="E44" s="38">
        <v>8000</v>
      </c>
      <c r="F44" s="38">
        <v>8000</v>
      </c>
      <c r="G44" s="38">
        <v>8000</v>
      </c>
      <c r="H44" s="38">
        <v>8000</v>
      </c>
      <c r="I44" s="38">
        <v>8000</v>
      </c>
      <c r="J44" s="38">
        <v>8000</v>
      </c>
      <c r="K44" s="38">
        <v>8000</v>
      </c>
      <c r="L44" s="38">
        <v>8000</v>
      </c>
      <c r="M44" s="38">
        <v>8000</v>
      </c>
      <c r="N44" s="38">
        <v>8000</v>
      </c>
      <c r="O44" s="38">
        <v>8000</v>
      </c>
      <c r="P44" s="38">
        <v>8000</v>
      </c>
      <c r="Q44" s="38">
        <v>8000</v>
      </c>
      <c r="R44" s="38">
        <v>8000</v>
      </c>
      <c r="S44" s="38">
        <v>8000</v>
      </c>
      <c r="T44" s="38">
        <v>8000</v>
      </c>
      <c r="U44" s="38">
        <v>8000</v>
      </c>
      <c r="V44" s="38">
        <v>8000</v>
      </c>
      <c r="W44" s="38">
        <v>8000</v>
      </c>
      <c r="X44" s="38">
        <v>8000</v>
      </c>
      <c r="Y44" s="38">
        <v>8000</v>
      </c>
      <c r="Z44" s="38">
        <v>8000</v>
      </c>
      <c r="AA44" s="38">
        <v>8000</v>
      </c>
      <c r="AB44" s="38">
        <v>8000</v>
      </c>
      <c r="AC44" s="43"/>
    </row>
    <row r="45" spans="2:29" ht="18.649999999999999" customHeight="1" x14ac:dyDescent="0.25">
      <c r="B45" s="41" t="s">
        <v>72</v>
      </c>
      <c r="C45" s="36" t="s">
        <v>62</v>
      </c>
      <c r="D45" s="37">
        <v>5</v>
      </c>
      <c r="E45" s="38">
        <v>8000</v>
      </c>
      <c r="F45" s="38">
        <v>8000</v>
      </c>
      <c r="G45" s="38">
        <v>8000</v>
      </c>
      <c r="H45" s="38">
        <v>8000</v>
      </c>
      <c r="I45" s="38">
        <v>8000</v>
      </c>
      <c r="J45" s="38">
        <v>8000</v>
      </c>
      <c r="K45" s="38">
        <v>8000</v>
      </c>
      <c r="L45" s="38">
        <v>8000</v>
      </c>
      <c r="M45" s="38">
        <v>8000</v>
      </c>
      <c r="N45" s="38">
        <v>8000</v>
      </c>
      <c r="O45" s="38">
        <v>8000</v>
      </c>
      <c r="P45" s="38">
        <v>8000</v>
      </c>
      <c r="Q45" s="38">
        <v>8000</v>
      </c>
      <c r="R45" s="38">
        <v>8000</v>
      </c>
      <c r="S45" s="38">
        <v>8000</v>
      </c>
      <c r="T45" s="38">
        <v>8000</v>
      </c>
      <c r="U45" s="38">
        <v>8000</v>
      </c>
      <c r="V45" s="38">
        <v>8000</v>
      </c>
      <c r="W45" s="38">
        <v>8000</v>
      </c>
      <c r="X45" s="38">
        <v>8000</v>
      </c>
      <c r="Y45" s="38">
        <v>8000</v>
      </c>
      <c r="Z45" s="38">
        <v>8000</v>
      </c>
      <c r="AA45" s="38">
        <v>8000</v>
      </c>
      <c r="AB45" s="38">
        <v>8000</v>
      </c>
      <c r="AC45" s="43"/>
    </row>
    <row r="46" spans="2:29" ht="18.649999999999999" customHeight="1" x14ac:dyDescent="0.25">
      <c r="B46" s="41" t="s">
        <v>72</v>
      </c>
      <c r="C46" s="36" t="s">
        <v>63</v>
      </c>
      <c r="D46" s="37">
        <v>1</v>
      </c>
      <c r="E46" s="38">
        <v>8000</v>
      </c>
      <c r="F46" s="38">
        <v>8000</v>
      </c>
      <c r="G46" s="38">
        <v>8000</v>
      </c>
      <c r="H46" s="38">
        <v>8000</v>
      </c>
      <c r="I46" s="38">
        <v>8000</v>
      </c>
      <c r="J46" s="38">
        <v>8000</v>
      </c>
      <c r="K46" s="38">
        <v>8000</v>
      </c>
      <c r="L46" s="38">
        <v>8000</v>
      </c>
      <c r="M46" s="38">
        <v>8000</v>
      </c>
      <c r="N46" s="38">
        <v>8000</v>
      </c>
      <c r="O46" s="38">
        <v>8000</v>
      </c>
      <c r="P46" s="38">
        <v>8000</v>
      </c>
      <c r="Q46" s="38">
        <v>8000</v>
      </c>
      <c r="R46" s="38">
        <v>8000</v>
      </c>
      <c r="S46" s="38">
        <v>8000</v>
      </c>
      <c r="T46" s="38">
        <v>8000</v>
      </c>
      <c r="U46" s="38">
        <v>8000</v>
      </c>
      <c r="V46" s="38">
        <v>8000</v>
      </c>
      <c r="W46" s="38">
        <v>8000</v>
      </c>
      <c r="X46" s="38">
        <v>8000</v>
      </c>
      <c r="Y46" s="38">
        <v>8000</v>
      </c>
      <c r="Z46" s="38">
        <v>8000</v>
      </c>
      <c r="AA46" s="38">
        <v>8000</v>
      </c>
      <c r="AB46" s="38">
        <v>8000</v>
      </c>
      <c r="AC46" s="44"/>
    </row>
    <row r="47" spans="2:29" ht="18.649999999999999" customHeight="1" x14ac:dyDescent="0.25">
      <c r="B47" s="41" t="s">
        <v>73</v>
      </c>
      <c r="C47" s="36" t="s">
        <v>60</v>
      </c>
      <c r="D47" s="37">
        <v>20</v>
      </c>
      <c r="E47" s="38">
        <v>8000</v>
      </c>
      <c r="F47" s="38">
        <v>8000</v>
      </c>
      <c r="G47" s="38">
        <v>8000</v>
      </c>
      <c r="H47" s="38">
        <v>8000</v>
      </c>
      <c r="I47" s="38">
        <v>8000</v>
      </c>
      <c r="J47" s="38">
        <v>8000</v>
      </c>
      <c r="K47" s="38">
        <v>8000</v>
      </c>
      <c r="L47" s="38">
        <v>8000</v>
      </c>
      <c r="M47" s="38">
        <v>8000</v>
      </c>
      <c r="N47" s="38">
        <v>8000</v>
      </c>
      <c r="O47" s="38">
        <v>8000</v>
      </c>
      <c r="P47" s="38">
        <v>8000</v>
      </c>
      <c r="Q47" s="38">
        <v>8000</v>
      </c>
      <c r="R47" s="38">
        <v>8000</v>
      </c>
      <c r="S47" s="38">
        <v>8000</v>
      </c>
      <c r="T47" s="38">
        <v>8000</v>
      </c>
      <c r="U47" s="38">
        <v>8000</v>
      </c>
      <c r="V47" s="38">
        <v>8000</v>
      </c>
      <c r="W47" s="38">
        <v>8000</v>
      </c>
      <c r="X47" s="38">
        <v>8000</v>
      </c>
      <c r="Y47" s="38">
        <v>8000</v>
      </c>
      <c r="Z47" s="38">
        <v>8000</v>
      </c>
      <c r="AA47" s="38">
        <v>8000</v>
      </c>
      <c r="AB47" s="38">
        <v>8000</v>
      </c>
      <c r="AC47" s="42">
        <f>+SUM(E47:AB47)*D47+SUM(E48:AB48)*D48+SUM(E49:AB49)*D49+SUM(E50:AB50)*D50</f>
        <v>5760000</v>
      </c>
    </row>
    <row r="48" spans="2:29" ht="18.649999999999999" customHeight="1" x14ac:dyDescent="0.25">
      <c r="B48" s="41" t="s">
        <v>73</v>
      </c>
      <c r="C48" s="36" t="s">
        <v>61</v>
      </c>
      <c r="D48" s="37">
        <v>4</v>
      </c>
      <c r="E48" s="38">
        <v>8000</v>
      </c>
      <c r="F48" s="38">
        <v>8000</v>
      </c>
      <c r="G48" s="38">
        <v>8000</v>
      </c>
      <c r="H48" s="38">
        <v>8000</v>
      </c>
      <c r="I48" s="38">
        <v>8000</v>
      </c>
      <c r="J48" s="38">
        <v>8000</v>
      </c>
      <c r="K48" s="38">
        <v>8000</v>
      </c>
      <c r="L48" s="38">
        <v>8000</v>
      </c>
      <c r="M48" s="38">
        <v>8000</v>
      </c>
      <c r="N48" s="38">
        <v>8000</v>
      </c>
      <c r="O48" s="38">
        <v>8000</v>
      </c>
      <c r="P48" s="38">
        <v>8000</v>
      </c>
      <c r="Q48" s="38">
        <v>8000</v>
      </c>
      <c r="R48" s="38">
        <v>8000</v>
      </c>
      <c r="S48" s="38">
        <v>8000</v>
      </c>
      <c r="T48" s="38">
        <v>8000</v>
      </c>
      <c r="U48" s="38">
        <v>8000</v>
      </c>
      <c r="V48" s="38">
        <v>8000</v>
      </c>
      <c r="W48" s="38">
        <v>8000</v>
      </c>
      <c r="X48" s="38">
        <v>8000</v>
      </c>
      <c r="Y48" s="38">
        <v>8000</v>
      </c>
      <c r="Z48" s="38">
        <v>8000</v>
      </c>
      <c r="AA48" s="38">
        <v>8000</v>
      </c>
      <c r="AB48" s="38">
        <v>8000</v>
      </c>
      <c r="AC48" s="43"/>
    </row>
    <row r="49" spans="2:29" ht="18.649999999999999" customHeight="1" x14ac:dyDescent="0.25">
      <c r="B49" s="41" t="s">
        <v>73</v>
      </c>
      <c r="C49" s="36" t="s">
        <v>62</v>
      </c>
      <c r="D49" s="37">
        <v>4</v>
      </c>
      <c r="E49" s="38">
        <v>8000</v>
      </c>
      <c r="F49" s="38">
        <v>8000</v>
      </c>
      <c r="G49" s="38">
        <v>8000</v>
      </c>
      <c r="H49" s="38">
        <v>8000</v>
      </c>
      <c r="I49" s="38">
        <v>8000</v>
      </c>
      <c r="J49" s="38">
        <v>8000</v>
      </c>
      <c r="K49" s="38">
        <v>8000</v>
      </c>
      <c r="L49" s="38">
        <v>8000</v>
      </c>
      <c r="M49" s="38">
        <v>8000</v>
      </c>
      <c r="N49" s="38">
        <v>8000</v>
      </c>
      <c r="O49" s="38">
        <v>8000</v>
      </c>
      <c r="P49" s="38">
        <v>8000</v>
      </c>
      <c r="Q49" s="38">
        <v>8000</v>
      </c>
      <c r="R49" s="38">
        <v>8000</v>
      </c>
      <c r="S49" s="38">
        <v>8000</v>
      </c>
      <c r="T49" s="38">
        <v>8000</v>
      </c>
      <c r="U49" s="38">
        <v>8000</v>
      </c>
      <c r="V49" s="38">
        <v>8000</v>
      </c>
      <c r="W49" s="38">
        <v>8000</v>
      </c>
      <c r="X49" s="38">
        <v>8000</v>
      </c>
      <c r="Y49" s="38">
        <v>8000</v>
      </c>
      <c r="Z49" s="38">
        <v>8000</v>
      </c>
      <c r="AA49" s="38">
        <v>8000</v>
      </c>
      <c r="AB49" s="38">
        <v>8000</v>
      </c>
      <c r="AC49" s="43"/>
    </row>
    <row r="50" spans="2:29" ht="18.649999999999999" customHeight="1" x14ac:dyDescent="0.25">
      <c r="B50" s="41" t="s">
        <v>73</v>
      </c>
      <c r="C50" s="36" t="s">
        <v>63</v>
      </c>
      <c r="D50" s="37">
        <v>2</v>
      </c>
      <c r="E50" s="38">
        <v>8000</v>
      </c>
      <c r="F50" s="38">
        <v>8000</v>
      </c>
      <c r="G50" s="38">
        <v>8000</v>
      </c>
      <c r="H50" s="38">
        <v>8000</v>
      </c>
      <c r="I50" s="38">
        <v>8000</v>
      </c>
      <c r="J50" s="38">
        <v>8000</v>
      </c>
      <c r="K50" s="38">
        <v>8000</v>
      </c>
      <c r="L50" s="38">
        <v>8000</v>
      </c>
      <c r="M50" s="38">
        <v>8000</v>
      </c>
      <c r="N50" s="38">
        <v>8000</v>
      </c>
      <c r="O50" s="38">
        <v>8000</v>
      </c>
      <c r="P50" s="38">
        <v>8000</v>
      </c>
      <c r="Q50" s="38">
        <v>8000</v>
      </c>
      <c r="R50" s="38">
        <v>8000</v>
      </c>
      <c r="S50" s="38">
        <v>8000</v>
      </c>
      <c r="T50" s="38">
        <v>8000</v>
      </c>
      <c r="U50" s="38">
        <v>8000</v>
      </c>
      <c r="V50" s="38">
        <v>8000</v>
      </c>
      <c r="W50" s="38">
        <v>8000</v>
      </c>
      <c r="X50" s="38">
        <v>8000</v>
      </c>
      <c r="Y50" s="38">
        <v>8000</v>
      </c>
      <c r="Z50" s="38">
        <v>8000</v>
      </c>
      <c r="AA50" s="38">
        <v>8000</v>
      </c>
      <c r="AB50" s="38">
        <v>8000</v>
      </c>
      <c r="AC50" s="44"/>
    </row>
    <row r="51" spans="2:29" ht="18.649999999999999" customHeight="1" x14ac:dyDescent="0.25">
      <c r="B51" s="41" t="s">
        <v>74</v>
      </c>
      <c r="C51" s="36" t="s">
        <v>60</v>
      </c>
      <c r="D51" s="37">
        <v>19</v>
      </c>
      <c r="E51" s="38">
        <v>8000</v>
      </c>
      <c r="F51" s="38">
        <v>8000</v>
      </c>
      <c r="G51" s="38">
        <v>8000</v>
      </c>
      <c r="H51" s="38">
        <v>8000</v>
      </c>
      <c r="I51" s="38">
        <v>8000</v>
      </c>
      <c r="J51" s="38">
        <v>8000</v>
      </c>
      <c r="K51" s="38">
        <v>8000</v>
      </c>
      <c r="L51" s="38">
        <v>8000</v>
      </c>
      <c r="M51" s="38">
        <v>8000</v>
      </c>
      <c r="N51" s="38">
        <v>8000</v>
      </c>
      <c r="O51" s="38">
        <v>8000</v>
      </c>
      <c r="P51" s="38">
        <v>8000</v>
      </c>
      <c r="Q51" s="38">
        <v>8000</v>
      </c>
      <c r="R51" s="38">
        <v>8000</v>
      </c>
      <c r="S51" s="38">
        <v>8000</v>
      </c>
      <c r="T51" s="38">
        <v>8000</v>
      </c>
      <c r="U51" s="38">
        <v>8000</v>
      </c>
      <c r="V51" s="38">
        <v>8000</v>
      </c>
      <c r="W51" s="38">
        <v>8000</v>
      </c>
      <c r="X51" s="38">
        <v>8000</v>
      </c>
      <c r="Y51" s="38">
        <v>8000</v>
      </c>
      <c r="Z51" s="38">
        <v>8000</v>
      </c>
      <c r="AA51" s="38">
        <v>8000</v>
      </c>
      <c r="AB51" s="38">
        <v>8000</v>
      </c>
      <c r="AC51" s="42">
        <f>+SUM(E51:AB51)*D51+SUM(E52:AB52)*D52+SUM(E53:AB53)*D53+SUM(E54:AB54)*D54</f>
        <v>5952000</v>
      </c>
    </row>
    <row r="52" spans="2:29" ht="18.649999999999999" customHeight="1" x14ac:dyDescent="0.25">
      <c r="B52" s="41" t="s">
        <v>74</v>
      </c>
      <c r="C52" s="36" t="s">
        <v>61</v>
      </c>
      <c r="D52" s="37">
        <v>5</v>
      </c>
      <c r="E52" s="38">
        <v>8000</v>
      </c>
      <c r="F52" s="38">
        <v>8000</v>
      </c>
      <c r="G52" s="38">
        <v>8000</v>
      </c>
      <c r="H52" s="38">
        <v>8000</v>
      </c>
      <c r="I52" s="38">
        <v>8000</v>
      </c>
      <c r="J52" s="38">
        <v>8000</v>
      </c>
      <c r="K52" s="38">
        <v>8000</v>
      </c>
      <c r="L52" s="38">
        <v>8000</v>
      </c>
      <c r="M52" s="38">
        <v>8000</v>
      </c>
      <c r="N52" s="38">
        <v>8000</v>
      </c>
      <c r="O52" s="38">
        <v>8000</v>
      </c>
      <c r="P52" s="38">
        <v>8000</v>
      </c>
      <c r="Q52" s="38">
        <v>8000</v>
      </c>
      <c r="R52" s="38">
        <v>8000</v>
      </c>
      <c r="S52" s="38">
        <v>8000</v>
      </c>
      <c r="T52" s="38">
        <v>8000</v>
      </c>
      <c r="U52" s="38">
        <v>8000</v>
      </c>
      <c r="V52" s="38">
        <v>8000</v>
      </c>
      <c r="W52" s="38">
        <v>8000</v>
      </c>
      <c r="X52" s="38">
        <v>8000</v>
      </c>
      <c r="Y52" s="38">
        <v>8000</v>
      </c>
      <c r="Z52" s="38">
        <v>8000</v>
      </c>
      <c r="AA52" s="38">
        <v>8000</v>
      </c>
      <c r="AB52" s="38">
        <v>8000</v>
      </c>
      <c r="AC52" s="43"/>
    </row>
    <row r="53" spans="2:29" ht="18.649999999999999" customHeight="1" x14ac:dyDescent="0.25">
      <c r="B53" s="41" t="s">
        <v>74</v>
      </c>
      <c r="C53" s="36" t="s">
        <v>62</v>
      </c>
      <c r="D53" s="37">
        <v>5</v>
      </c>
      <c r="E53" s="38">
        <v>8000</v>
      </c>
      <c r="F53" s="38">
        <v>8000</v>
      </c>
      <c r="G53" s="38">
        <v>8000</v>
      </c>
      <c r="H53" s="38">
        <v>8000</v>
      </c>
      <c r="I53" s="38">
        <v>8000</v>
      </c>
      <c r="J53" s="38">
        <v>8000</v>
      </c>
      <c r="K53" s="38">
        <v>8000</v>
      </c>
      <c r="L53" s="38">
        <v>8000</v>
      </c>
      <c r="M53" s="38">
        <v>8000</v>
      </c>
      <c r="N53" s="38">
        <v>8000</v>
      </c>
      <c r="O53" s="38">
        <v>8000</v>
      </c>
      <c r="P53" s="38">
        <v>8000</v>
      </c>
      <c r="Q53" s="38">
        <v>8000</v>
      </c>
      <c r="R53" s="38">
        <v>8000</v>
      </c>
      <c r="S53" s="38">
        <v>8000</v>
      </c>
      <c r="T53" s="38">
        <v>8000</v>
      </c>
      <c r="U53" s="38">
        <v>8000</v>
      </c>
      <c r="V53" s="38">
        <v>8000</v>
      </c>
      <c r="W53" s="38">
        <v>8000</v>
      </c>
      <c r="X53" s="38">
        <v>8000</v>
      </c>
      <c r="Y53" s="38">
        <v>8000</v>
      </c>
      <c r="Z53" s="38">
        <v>8000</v>
      </c>
      <c r="AA53" s="38">
        <v>8000</v>
      </c>
      <c r="AB53" s="38">
        <v>8000</v>
      </c>
      <c r="AC53" s="43"/>
    </row>
    <row r="54" spans="2:29" ht="18.649999999999999" customHeight="1" x14ac:dyDescent="0.25">
      <c r="B54" s="41" t="s">
        <v>74</v>
      </c>
      <c r="C54" s="36" t="s">
        <v>63</v>
      </c>
      <c r="D54" s="37">
        <v>2</v>
      </c>
      <c r="E54" s="38">
        <v>8000</v>
      </c>
      <c r="F54" s="38">
        <v>8000</v>
      </c>
      <c r="G54" s="38">
        <v>8000</v>
      </c>
      <c r="H54" s="38">
        <v>8000</v>
      </c>
      <c r="I54" s="38">
        <v>8000</v>
      </c>
      <c r="J54" s="38">
        <v>8000</v>
      </c>
      <c r="K54" s="38">
        <v>8000</v>
      </c>
      <c r="L54" s="38">
        <v>8000</v>
      </c>
      <c r="M54" s="38">
        <v>8000</v>
      </c>
      <c r="N54" s="38">
        <v>8000</v>
      </c>
      <c r="O54" s="38">
        <v>8000</v>
      </c>
      <c r="P54" s="38">
        <v>8000</v>
      </c>
      <c r="Q54" s="38">
        <v>8000</v>
      </c>
      <c r="R54" s="38">
        <v>8000</v>
      </c>
      <c r="S54" s="38">
        <v>8000</v>
      </c>
      <c r="T54" s="38">
        <v>8000</v>
      </c>
      <c r="U54" s="38">
        <v>8000</v>
      </c>
      <c r="V54" s="38">
        <v>8000</v>
      </c>
      <c r="W54" s="38">
        <v>8000</v>
      </c>
      <c r="X54" s="38">
        <v>8000</v>
      </c>
      <c r="Y54" s="38">
        <v>8000</v>
      </c>
      <c r="Z54" s="38">
        <v>8000</v>
      </c>
      <c r="AA54" s="38">
        <v>8000</v>
      </c>
      <c r="AB54" s="38">
        <v>8000</v>
      </c>
      <c r="AC54" s="44"/>
    </row>
    <row r="55" spans="2:29" ht="18.649999999999999" customHeight="1" x14ac:dyDescent="0.25">
      <c r="Z55" s="45" t="s">
        <v>75</v>
      </c>
      <c r="AA55" s="45"/>
      <c r="AB55" s="45"/>
      <c r="AC55" s="39">
        <f>SUM(AC7:AC54)</f>
        <v>70080000</v>
      </c>
    </row>
    <row r="56" spans="2:29" ht="18.649999999999999" customHeight="1" x14ac:dyDescent="0.25"/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Oferta Producto 1</vt:lpstr>
      <vt:lpstr>Cantidad Producto 1-2027</vt:lpstr>
      <vt:lpstr>Cantidad Producto 1-2029</vt:lpstr>
      <vt:lpstr>Cantidad Producto 1-2030</vt:lpstr>
      <vt:lpstr>Oferta Producto 2</vt:lpstr>
      <vt:lpstr>Cantidad Producto 2 - 2027</vt:lpstr>
      <vt:lpstr>Cantidad Producto 2 - 2028</vt:lpstr>
      <vt:lpstr>Cantidad Producto 2 - 2029</vt:lpstr>
      <vt:lpstr>Cantidad Producto 2 - 2030</vt:lpstr>
      <vt:lpstr>Cantidad Producto 2 - 2031</vt:lpstr>
      <vt:lpstr>Cantidad Producto 2 - 2032</vt:lpstr>
      <vt:lpstr>Cantidad Producto 2 - 2033</vt:lpstr>
      <vt:lpstr>Cantidad Producto 2 - 2034</vt:lpstr>
      <vt:lpstr>Cantidad Producto 2 - 2035</vt:lpstr>
      <vt:lpstr>Cantidad Producto 2 - 2036</vt:lpstr>
      <vt:lpstr>Cantidad Producto 2 - 2037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 QUICENO PEREZ</dc:creator>
  <cp:lastModifiedBy>VALENTINA HINCAPIE BEDOYA</cp:lastModifiedBy>
  <dcterms:created xsi:type="dcterms:W3CDTF">2024-09-16T15:42:34Z</dcterms:created>
  <dcterms:modified xsi:type="dcterms:W3CDTF">2025-08-11T17:17:50Z</dcterms:modified>
</cp:coreProperties>
</file>