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lectrificadoradelmeta-my.sharepoint.com/personal/juan_vanegas_emsa-esp_com_co/Documents/00-Gerencia Comercial/COMPRAS SICEP/SICEP-5/1.Terminos-Iniciales/1.PrePliegos/"/>
    </mc:Choice>
  </mc:AlternateContent>
  <xr:revisionPtr revIDLastSave="121" documentId="8_{3257B8B0-F184-417A-886C-4B508338C6A7}" xr6:coauthVersionLast="47" xr6:coauthVersionMax="47" xr10:uidLastSave="{C77283F0-E17F-4349-AE9A-1C581342F76D}"/>
  <bookViews>
    <workbookView xWindow="-108" yWindow="-108" windowWidth="23256" windowHeight="13896" tabRatio="859" xr2:uid="{574F7F76-0D02-4071-8D06-9F6B36B96E04}"/>
  </bookViews>
  <sheets>
    <sheet name="Producto 1" sheetId="2" r:id="rId1"/>
    <sheet name="Cant producto 1_2027-2028" sheetId="3" r:id="rId2"/>
    <sheet name="Producto 2" sheetId="4" r:id="rId3"/>
    <sheet name="Cant producto 2_2029-2030" sheetId="5" r:id="rId4"/>
    <sheet name="Producto 3" sheetId="6" r:id="rId5"/>
    <sheet name="Cant producto 3_2031" sheetId="7" r:id="rId6"/>
    <sheet name="Producto 4" sheetId="8" r:id="rId7"/>
    <sheet name="Cant producto 4_2032" sheetId="9" r:id="rId8"/>
    <sheet name="Producto 5" sheetId="10" r:id="rId9"/>
    <sheet name="Cant producto_5_2033-36" sheetId="11" r:id="rId10"/>
  </sheet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ultipleCPUManualCount" hidden="1">8</definedName>
    <definedName name="_AtRisk_SimSetting_MultipleCPUMode" hidden="1">0</definedName>
    <definedName name="_AtRisk_SimSetting_RandomNumberGenerator" hidden="1">0</definedName>
    <definedName name="_AtRisk_SimSetting_ReportOptionCustomItemCumulativeOverlay01" hidden="1">0</definedName>
    <definedName name="_AtRisk_SimSetting_ReportOptionCustomItemCumulativeOverlay02" hidden="1">0</definedName>
    <definedName name="_AtRisk_SimSetting_ReportOptionCustomItemCumulativeOverlay03" hidden="1">0</definedName>
    <definedName name="_AtRisk_SimSetting_ReportOptionCustomItemCumulativeOverlay04" hidden="1">0</definedName>
    <definedName name="_AtRisk_SimSetting_ReportOptionCustomItemCumulativeOverlay05" hidden="1">0</definedName>
    <definedName name="_AtRisk_SimSetting_ReportOptionCustomItemCumulativeOverlay06" hidden="1">0</definedName>
    <definedName name="_AtRisk_SimSetting_ReportOptionCustomItemDistributionFormat01" hidden="1">1</definedName>
    <definedName name="_AtRisk_SimSetting_ReportOptionCustomItemDistributionFormat02" hidden="1">1</definedName>
    <definedName name="_AtRisk_SimSetting_ReportOptionCustomItemDistributionFormat03" hidden="1">4</definedName>
    <definedName name="_AtRisk_SimSetting_ReportOptionCustomItemDistributionFormat04" hidden="1">1</definedName>
    <definedName name="_AtRisk_SimSetting_ReportOptionCustomItemDistributionFormat05" hidden="1">1</definedName>
    <definedName name="_AtRisk_SimSetting_ReportOptionCustomItemDistributionFormat06" hidden="1">1</definedName>
    <definedName name="_AtRisk_SimSetting_ReportOptionCustomItemGraphFormat01" hidden="1">1</definedName>
    <definedName name="_AtRisk_SimSetting_ReportOptionCustomItemGraphFormat02" hidden="1">1</definedName>
    <definedName name="_AtRisk_SimSetting_ReportOptionCustomItemGraphFormat03" hidden="1">1</definedName>
    <definedName name="_AtRisk_SimSetting_ReportOptionCustomItemGraphFormat04" hidden="1">1</definedName>
    <definedName name="_AtRisk_SimSetting_ReportOptionCustomItemGraphFormat05" hidden="1">1</definedName>
    <definedName name="_AtRisk_SimSetting_ReportOptionCustomItemGraphFormat06" hidden="1">1</definedName>
    <definedName name="_AtRisk_SimSetting_ReportOptionCustomItemItemIndex01" hidden="1">0</definedName>
    <definedName name="_AtRisk_SimSetting_ReportOptionCustomItemItemIndex02" hidden="1">1</definedName>
    <definedName name="_AtRisk_SimSetting_ReportOptionCustomItemItemIndex03" hidden="1">2</definedName>
    <definedName name="_AtRisk_SimSetting_ReportOptionCustomItemItemIndex04" hidden="1">3</definedName>
    <definedName name="_AtRisk_SimSetting_ReportOptionCustomItemItemIndex05" hidden="1">4</definedName>
    <definedName name="_AtRisk_SimSetting_ReportOptionCustomItemItemIndex06" hidden="1">5</definedName>
    <definedName name="_AtRisk_SimSetting_ReportOptionCustomItemItemSize01" hidden="1">0</definedName>
    <definedName name="_AtRisk_SimSetting_ReportOptionCustomItemItemSize02" hidden="1">0</definedName>
    <definedName name="_AtRisk_SimSetting_ReportOptionCustomItemItemSize03" hidden="1">0</definedName>
    <definedName name="_AtRisk_SimSetting_ReportOptionCustomItemItemSize04" hidden="1">0</definedName>
    <definedName name="_AtRisk_SimSetting_ReportOptionCustomItemItemSize05" hidden="1">0</definedName>
    <definedName name="_AtRisk_SimSetting_ReportOptionCustomItemItemSize06" hidden="1">0</definedName>
    <definedName name="_AtRisk_SimSetting_ReportOptionCustomItemItemType01" hidden="1">1</definedName>
    <definedName name="_AtRisk_SimSetting_ReportOptionCustomItemItemType02" hidden="1">5</definedName>
    <definedName name="_AtRisk_SimSetting_ReportOptionCustomItemItemType03" hidden="1">1</definedName>
    <definedName name="_AtRisk_SimSetting_ReportOptionCustomItemItemType04" hidden="1">3</definedName>
    <definedName name="_AtRisk_SimSetting_ReportOptionCustomItemItemType05" hidden="1">2</definedName>
    <definedName name="_AtRisk_SimSetting_ReportOptionCustomItemItemType06" hidden="1">4</definedName>
    <definedName name="_AtRisk_SimSetting_ReportOptionCustomItemLegendType01" hidden="1">0</definedName>
    <definedName name="_AtRisk_SimSetting_ReportOptionCustomItemLegendType02" hidden="1">0</definedName>
    <definedName name="_AtRisk_SimSetting_ReportOptionCustomItemLegendType03" hidden="1">0</definedName>
    <definedName name="_AtRisk_SimSetting_ReportOptionCustomItemLegendType04" hidden="1">0</definedName>
    <definedName name="_AtRisk_SimSetting_ReportOptionCustomItemLegendType05" hidden="1">0</definedName>
    <definedName name="_AtRisk_SimSetting_ReportOptionCustomItemLegendType06" hidden="1">0</definedName>
    <definedName name="_AtRisk_SimSetting_ReportOptionCustomItemsCount" hidden="1">6</definedName>
    <definedName name="_AtRisk_SimSetting_ReportOptionCustomItemSensitivityFormat01" hidden="1">1</definedName>
    <definedName name="_AtRisk_SimSetting_ReportOptionCustomItemSensitivityFormat02" hidden="1">1</definedName>
    <definedName name="_AtRisk_SimSetting_ReportOptionCustomItemSensitivityFormat03" hidden="1">1</definedName>
    <definedName name="_AtRisk_SimSetting_ReportOptionCustomItemSensitivityFormat04" hidden="1">1</definedName>
    <definedName name="_AtRisk_SimSetting_ReportOptionCustomItemSensitivityFormat05" hidden="1">1</definedName>
    <definedName name="_AtRisk_SimSetting_ReportOptionCustomItemSensitivityFormat06" hidden="1">1</definedName>
    <definedName name="_AtRisk_SimSetting_ReportOptionCustomItemSummaryGraphType01" hidden="1">0</definedName>
    <definedName name="_AtRisk_SimSetting_ReportOptionCustomItemSummaryGraphType02" hidden="1">0</definedName>
    <definedName name="_AtRisk_SimSetting_ReportOptionCustomItemSummaryGraphType03" hidden="1">0</definedName>
    <definedName name="_AtRisk_SimSetting_ReportOptionCustomItemSummaryGraphType04" hidden="1">0</definedName>
    <definedName name="_AtRisk_SimSetting_ReportOptionCustomItemSummaryGraphType05" hidden="1">0</definedName>
    <definedName name="_AtRisk_SimSetting_ReportOptionCustomItemSummaryGraphType06" hidden="1">0</definedName>
    <definedName name="_AtRisk_SimSetting_ReportOptionDataMode" hidden="1">1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hidden="1">2052</definedName>
    <definedName name="_AtRisk_SimSetting_ReportOptionReportsFileType" hidden="1">1</definedName>
    <definedName name="_AtRisk_SimSetting_ReportOptionReportStyle" hidden="1">2</definedName>
    <definedName name="_AtRisk_SimSetting_ReportOptionSelectiveQR" hidden="1">FALSE</definedName>
    <definedName name="_AtRisk_SimSetting_ReportsList" hidden="1">2052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xlnm.Print_Area" localSheetId="1">'Cant producto 1_2027-2028'!$A$1:$AD$77</definedName>
    <definedName name="_xlnm.Print_Area" localSheetId="3">'Cant producto 2_2029-2030'!$A$1:$AD$41</definedName>
    <definedName name="_xlnm.Print_Area" localSheetId="5">'Cant producto 3_2031'!$A$1:$AD$41</definedName>
    <definedName name="_xlnm.Print_Area" localSheetId="7">'Cant producto 4_2032'!$A$1:$AD$5</definedName>
    <definedName name="_xlnm.Print_Area" localSheetId="9">'Cant producto_5_2033-36'!$A$1:$AD$5</definedName>
    <definedName name="_xlnm.Print_Area" localSheetId="0">'Producto 1'!$A$1:$D$41</definedName>
    <definedName name="_xlnm.Print_Area" localSheetId="2">'Producto 2'!$A$1:$D$41</definedName>
    <definedName name="_xlnm.Print_Area" localSheetId="4">'Producto 3'!$A$1:$D$29</definedName>
    <definedName name="_xlnm.Print_Area" localSheetId="6">'Producto 4'!$A$1:$D$319</definedName>
    <definedName name="_xlnm.Print_Area" localSheetId="8">'Producto 5'!$A$1:$D$355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7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5000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_xlnm.Print_Titles" localSheetId="1">'Cant producto 1_2027-2028'!$A:$A</definedName>
    <definedName name="_xlnm.Print_Titles" localSheetId="3">'Cant producto 2_2029-2030'!$A:$A</definedName>
    <definedName name="_xlnm.Print_Titles" localSheetId="5">'Cant producto 3_2031'!$A:$A</definedName>
    <definedName name="_xlnm.Print_Titles" localSheetId="7">'Cant producto 4_2032'!$A:$A</definedName>
    <definedName name="_xlnm.Print_Titles" localSheetId="9">'Cant producto_5_2033-36'!$A:$A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6" l="1"/>
  <c r="B18" i="6"/>
  <c r="B17" i="6"/>
  <c r="B16" i="6"/>
  <c r="B15" i="6"/>
  <c r="B14" i="6"/>
  <c r="B13" i="6"/>
  <c r="B12" i="6"/>
  <c r="B11" i="6"/>
  <c r="B10" i="6"/>
  <c r="B9" i="6"/>
  <c r="B8" i="6"/>
  <c r="D149" i="11"/>
  <c r="D148" i="11"/>
  <c r="D147" i="11"/>
  <c r="D146" i="11"/>
  <c r="D145" i="11"/>
  <c r="D144" i="11"/>
  <c r="D143" i="11"/>
  <c r="D142" i="11"/>
  <c r="D141" i="11"/>
  <c r="D140" i="11"/>
  <c r="D139" i="11"/>
  <c r="D138" i="11"/>
  <c r="D137" i="11"/>
  <c r="D136" i="11"/>
  <c r="D135" i="11"/>
  <c r="D134" i="11"/>
  <c r="D133" i="11"/>
  <c r="D132" i="11"/>
  <c r="D131" i="11"/>
  <c r="D130" i="11"/>
  <c r="D129" i="11"/>
  <c r="D128" i="11"/>
  <c r="D127" i="11"/>
  <c r="D126" i="11"/>
  <c r="D125" i="11"/>
  <c r="D124" i="11"/>
  <c r="D123" i="11"/>
  <c r="D122" i="11"/>
  <c r="D121" i="11"/>
  <c r="D120" i="11"/>
  <c r="D119" i="11"/>
  <c r="D118" i="11"/>
  <c r="D117" i="11"/>
  <c r="D116" i="11"/>
  <c r="D115" i="11"/>
  <c r="D114" i="11"/>
  <c r="D113" i="11"/>
  <c r="D112" i="11"/>
  <c r="D111" i="11"/>
  <c r="D110" i="11"/>
  <c r="D109" i="11"/>
  <c r="D108" i="11"/>
  <c r="D107" i="11"/>
  <c r="D106" i="11"/>
  <c r="D105" i="11"/>
  <c r="D104" i="11"/>
  <c r="E103" i="11"/>
  <c r="F103" i="11" s="1"/>
  <c r="G103" i="11" s="1"/>
  <c r="H103" i="11" s="1"/>
  <c r="I103" i="11" s="1"/>
  <c r="J103" i="11" s="1"/>
  <c r="K103" i="11" s="1"/>
  <c r="L103" i="11" s="1"/>
  <c r="M103" i="11" s="1"/>
  <c r="N103" i="11" s="1"/>
  <c r="O103" i="11" s="1"/>
  <c r="P103" i="11" s="1"/>
  <c r="Q103" i="11" s="1"/>
  <c r="R103" i="11" s="1"/>
  <c r="S103" i="11" s="1"/>
  <c r="T103" i="11" s="1"/>
  <c r="U103" i="11" s="1"/>
  <c r="V103" i="11" s="1"/>
  <c r="W103" i="11" s="1"/>
  <c r="X103" i="11" s="1"/>
  <c r="Y103" i="11" s="1"/>
  <c r="Z103" i="11" s="1"/>
  <c r="D103" i="11"/>
  <c r="AB103" i="11" s="1"/>
  <c r="D102" i="11"/>
  <c r="D101" i="11"/>
  <c r="D100" i="11"/>
  <c r="D99" i="11"/>
  <c r="E98" i="11"/>
  <c r="F98" i="11" s="1"/>
  <c r="G98" i="11" s="1"/>
  <c r="H98" i="11" s="1"/>
  <c r="I98" i="11" s="1"/>
  <c r="J98" i="11" s="1"/>
  <c r="K98" i="11" s="1"/>
  <c r="L98" i="11" s="1"/>
  <c r="M98" i="11" s="1"/>
  <c r="N98" i="11" s="1"/>
  <c r="O98" i="11" s="1"/>
  <c r="P98" i="11" s="1"/>
  <c r="Q98" i="11" s="1"/>
  <c r="R98" i="11" s="1"/>
  <c r="S98" i="11" s="1"/>
  <c r="T98" i="11" s="1"/>
  <c r="U98" i="11" s="1"/>
  <c r="V98" i="11" s="1"/>
  <c r="W98" i="11" s="1"/>
  <c r="X98" i="11" s="1"/>
  <c r="Y98" i="11" s="1"/>
  <c r="Z98" i="11" s="1"/>
  <c r="D98" i="11"/>
  <c r="AB98" i="11" s="1"/>
  <c r="D97" i="11"/>
  <c r="D96" i="11"/>
  <c r="D95" i="11"/>
  <c r="D94" i="11"/>
  <c r="D93" i="11"/>
  <c r="D92" i="11"/>
  <c r="D91" i="11"/>
  <c r="D90" i="11"/>
  <c r="E89" i="11"/>
  <c r="F89" i="11" s="1"/>
  <c r="G89" i="11" s="1"/>
  <c r="H89" i="11" s="1"/>
  <c r="I89" i="11" s="1"/>
  <c r="J89" i="11" s="1"/>
  <c r="K89" i="11" s="1"/>
  <c r="L89" i="11" s="1"/>
  <c r="M89" i="11" s="1"/>
  <c r="N89" i="11" s="1"/>
  <c r="O89" i="11" s="1"/>
  <c r="P89" i="11" s="1"/>
  <c r="Q89" i="11" s="1"/>
  <c r="R89" i="11" s="1"/>
  <c r="S89" i="11" s="1"/>
  <c r="T89" i="11" s="1"/>
  <c r="U89" i="11" s="1"/>
  <c r="V89" i="11" s="1"/>
  <c r="W89" i="11" s="1"/>
  <c r="X89" i="11" s="1"/>
  <c r="Y89" i="11" s="1"/>
  <c r="Z89" i="11" s="1"/>
  <c r="D89" i="11"/>
  <c r="AB89" i="11" s="1"/>
  <c r="D88" i="11"/>
  <c r="D87" i="11"/>
  <c r="D86" i="11"/>
  <c r="D85" i="11"/>
  <c r="D84" i="11"/>
  <c r="D83" i="11"/>
  <c r="E82" i="11"/>
  <c r="F82" i="11" s="1"/>
  <c r="G82" i="11" s="1"/>
  <c r="H82" i="11" s="1"/>
  <c r="I82" i="11" s="1"/>
  <c r="J82" i="11" s="1"/>
  <c r="K82" i="11" s="1"/>
  <c r="L82" i="11" s="1"/>
  <c r="M82" i="11" s="1"/>
  <c r="N82" i="11" s="1"/>
  <c r="O82" i="11" s="1"/>
  <c r="P82" i="11" s="1"/>
  <c r="Q82" i="11" s="1"/>
  <c r="R82" i="11" s="1"/>
  <c r="S82" i="11" s="1"/>
  <c r="T82" i="11" s="1"/>
  <c r="U82" i="11" s="1"/>
  <c r="V82" i="11" s="1"/>
  <c r="W82" i="11" s="1"/>
  <c r="X82" i="11" s="1"/>
  <c r="Y82" i="11" s="1"/>
  <c r="Z82" i="11" s="1"/>
  <c r="D82" i="11"/>
  <c r="AB82" i="11" s="1"/>
  <c r="D81" i="11"/>
  <c r="D80" i="11"/>
  <c r="D79" i="11"/>
  <c r="D78" i="11"/>
  <c r="D77" i="11"/>
  <c r="D76" i="11"/>
  <c r="D75" i="11"/>
  <c r="D74" i="11"/>
  <c r="D73" i="11"/>
  <c r="D72" i="11"/>
  <c r="D71" i="11"/>
  <c r="D70" i="11"/>
  <c r="E69" i="11"/>
  <c r="F69" i="11" s="1"/>
  <c r="G69" i="11" s="1"/>
  <c r="H69" i="11" s="1"/>
  <c r="I69" i="11" s="1"/>
  <c r="J69" i="11" s="1"/>
  <c r="K69" i="11" s="1"/>
  <c r="L69" i="11" s="1"/>
  <c r="M69" i="11" s="1"/>
  <c r="N69" i="11" s="1"/>
  <c r="O69" i="11" s="1"/>
  <c r="P69" i="11" s="1"/>
  <c r="Q69" i="11" s="1"/>
  <c r="R69" i="11" s="1"/>
  <c r="S69" i="11" s="1"/>
  <c r="T69" i="11" s="1"/>
  <c r="U69" i="11" s="1"/>
  <c r="V69" i="11" s="1"/>
  <c r="W69" i="11" s="1"/>
  <c r="X69" i="11" s="1"/>
  <c r="Y69" i="11" s="1"/>
  <c r="Z69" i="11" s="1"/>
  <c r="D69" i="11"/>
  <c r="AB69" i="11" s="1"/>
  <c r="D68" i="11"/>
  <c r="D67" i="11"/>
  <c r="D66" i="11"/>
  <c r="D65" i="11"/>
  <c r="D64" i="11"/>
  <c r="E63" i="11"/>
  <c r="F63" i="11" s="1"/>
  <c r="G63" i="11" s="1"/>
  <c r="H63" i="11" s="1"/>
  <c r="I63" i="11" s="1"/>
  <c r="J63" i="11" s="1"/>
  <c r="K63" i="11" s="1"/>
  <c r="L63" i="11" s="1"/>
  <c r="M63" i="11" s="1"/>
  <c r="N63" i="11" s="1"/>
  <c r="O63" i="11" s="1"/>
  <c r="P63" i="11" s="1"/>
  <c r="Q63" i="11" s="1"/>
  <c r="R63" i="11" s="1"/>
  <c r="S63" i="11" s="1"/>
  <c r="T63" i="11" s="1"/>
  <c r="U63" i="11" s="1"/>
  <c r="V63" i="11" s="1"/>
  <c r="W63" i="11" s="1"/>
  <c r="X63" i="11" s="1"/>
  <c r="Y63" i="11" s="1"/>
  <c r="Z63" i="11" s="1"/>
  <c r="D63" i="11"/>
  <c r="AB63" i="11" s="1"/>
  <c r="D62" i="11"/>
  <c r="D61" i="11"/>
  <c r="E60" i="11"/>
  <c r="F60" i="11" s="1"/>
  <c r="G60" i="11" s="1"/>
  <c r="H60" i="11" s="1"/>
  <c r="I60" i="11" s="1"/>
  <c r="J60" i="11" s="1"/>
  <c r="K60" i="11" s="1"/>
  <c r="L60" i="11" s="1"/>
  <c r="M60" i="11" s="1"/>
  <c r="N60" i="11" s="1"/>
  <c r="O60" i="11" s="1"/>
  <c r="P60" i="11" s="1"/>
  <c r="Q60" i="11" s="1"/>
  <c r="R60" i="11" s="1"/>
  <c r="S60" i="11" s="1"/>
  <c r="T60" i="11" s="1"/>
  <c r="U60" i="11" s="1"/>
  <c r="V60" i="11" s="1"/>
  <c r="W60" i="11" s="1"/>
  <c r="X60" i="11" s="1"/>
  <c r="Y60" i="11" s="1"/>
  <c r="Z60" i="11" s="1"/>
  <c r="D60" i="11"/>
  <c r="AB60" i="11" s="1"/>
  <c r="D59" i="11"/>
  <c r="D58" i="11"/>
  <c r="D57" i="11"/>
  <c r="D56" i="11"/>
  <c r="D55" i="11"/>
  <c r="D54" i="11"/>
  <c r="D53" i="11"/>
  <c r="D52" i="11"/>
  <c r="D51" i="11"/>
  <c r="D50" i="11"/>
  <c r="D49" i="11"/>
  <c r="D48" i="11"/>
  <c r="D47" i="11"/>
  <c r="D46" i="11"/>
  <c r="D45" i="11"/>
  <c r="D44" i="11"/>
  <c r="D43" i="11"/>
  <c r="D42" i="11"/>
  <c r="D41" i="11"/>
  <c r="D40" i="11"/>
  <c r="D39" i="11"/>
  <c r="D38" i="11"/>
  <c r="D37" i="11"/>
  <c r="D36" i="11"/>
  <c r="D35" i="11"/>
  <c r="D34" i="11"/>
  <c r="D33" i="11"/>
  <c r="D32" i="11"/>
  <c r="D31" i="11"/>
  <c r="D30" i="11"/>
  <c r="D29" i="11"/>
  <c r="D28" i="11"/>
  <c r="D27" i="11"/>
  <c r="D26" i="11"/>
  <c r="D25" i="11"/>
  <c r="D24" i="11"/>
  <c r="D23" i="11"/>
  <c r="D22" i="11"/>
  <c r="D21" i="11"/>
  <c r="D20" i="11"/>
  <c r="D19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41" i="9"/>
  <c r="D40" i="9"/>
  <c r="D39" i="9"/>
  <c r="D38" i="9"/>
  <c r="D37" i="9"/>
  <c r="D36" i="9"/>
  <c r="D35" i="9"/>
  <c r="D34" i="9"/>
  <c r="D33" i="9"/>
  <c r="D32" i="9"/>
  <c r="D31" i="9"/>
  <c r="D30" i="9"/>
  <c r="D29" i="9"/>
  <c r="E28" i="9"/>
  <c r="F28" i="9" s="1"/>
  <c r="G28" i="9" s="1"/>
  <c r="H28" i="9" s="1"/>
  <c r="I28" i="9" s="1"/>
  <c r="J28" i="9" s="1"/>
  <c r="K28" i="9" s="1"/>
  <c r="L28" i="9" s="1"/>
  <c r="M28" i="9" s="1"/>
  <c r="N28" i="9" s="1"/>
  <c r="O28" i="9" s="1"/>
  <c r="P28" i="9" s="1"/>
  <c r="Q28" i="9" s="1"/>
  <c r="R28" i="9" s="1"/>
  <c r="S28" i="9" s="1"/>
  <c r="T28" i="9" s="1"/>
  <c r="U28" i="9" s="1"/>
  <c r="V28" i="9" s="1"/>
  <c r="W28" i="9" s="1"/>
  <c r="X28" i="9" s="1"/>
  <c r="Y28" i="9" s="1"/>
  <c r="Z28" i="9" s="1"/>
  <c r="D28" i="9"/>
  <c r="AB28" i="9" s="1"/>
  <c r="D27" i="9"/>
  <c r="E26" i="9"/>
  <c r="F26" i="9" s="1"/>
  <c r="G26" i="9" s="1"/>
  <c r="H26" i="9" s="1"/>
  <c r="I26" i="9" s="1"/>
  <c r="J26" i="9" s="1"/>
  <c r="K26" i="9" s="1"/>
  <c r="L26" i="9" s="1"/>
  <c r="M26" i="9" s="1"/>
  <c r="N26" i="9" s="1"/>
  <c r="O26" i="9" s="1"/>
  <c r="P26" i="9" s="1"/>
  <c r="Q26" i="9" s="1"/>
  <c r="R26" i="9" s="1"/>
  <c r="S26" i="9" s="1"/>
  <c r="T26" i="9" s="1"/>
  <c r="U26" i="9" s="1"/>
  <c r="V26" i="9" s="1"/>
  <c r="W26" i="9" s="1"/>
  <c r="X26" i="9" s="1"/>
  <c r="Y26" i="9" s="1"/>
  <c r="Z26" i="9" s="1"/>
  <c r="D26" i="9"/>
  <c r="AB26" i="9" s="1"/>
  <c r="D25" i="9"/>
  <c r="D24" i="9"/>
  <c r="E23" i="9"/>
  <c r="F23" i="9" s="1"/>
  <c r="G23" i="9" s="1"/>
  <c r="H23" i="9" s="1"/>
  <c r="I23" i="9" s="1"/>
  <c r="J23" i="9" s="1"/>
  <c r="K23" i="9" s="1"/>
  <c r="L23" i="9" s="1"/>
  <c r="M23" i="9" s="1"/>
  <c r="N23" i="9" s="1"/>
  <c r="O23" i="9" s="1"/>
  <c r="P23" i="9" s="1"/>
  <c r="Q23" i="9" s="1"/>
  <c r="R23" i="9" s="1"/>
  <c r="S23" i="9" s="1"/>
  <c r="T23" i="9" s="1"/>
  <c r="U23" i="9" s="1"/>
  <c r="V23" i="9" s="1"/>
  <c r="W23" i="9" s="1"/>
  <c r="X23" i="9" s="1"/>
  <c r="Y23" i="9" s="1"/>
  <c r="Z23" i="9" s="1"/>
  <c r="D23" i="9"/>
  <c r="AB23" i="9" s="1"/>
  <c r="E22" i="9"/>
  <c r="F22" i="9" s="1"/>
  <c r="G22" i="9" s="1"/>
  <c r="H22" i="9" s="1"/>
  <c r="I22" i="9" s="1"/>
  <c r="J22" i="9" s="1"/>
  <c r="K22" i="9" s="1"/>
  <c r="L22" i="9" s="1"/>
  <c r="M22" i="9" s="1"/>
  <c r="N22" i="9" s="1"/>
  <c r="O22" i="9" s="1"/>
  <c r="P22" i="9" s="1"/>
  <c r="Q22" i="9" s="1"/>
  <c r="R22" i="9" s="1"/>
  <c r="S22" i="9" s="1"/>
  <c r="T22" i="9" s="1"/>
  <c r="U22" i="9" s="1"/>
  <c r="V22" i="9" s="1"/>
  <c r="W22" i="9" s="1"/>
  <c r="X22" i="9" s="1"/>
  <c r="Y22" i="9" s="1"/>
  <c r="Z22" i="9" s="1"/>
  <c r="D22" i="9"/>
  <c r="AB22" i="9" s="1"/>
  <c r="D21" i="9"/>
  <c r="D20" i="9"/>
  <c r="D19" i="9"/>
  <c r="F18" i="9"/>
  <c r="G18" i="9" s="1"/>
  <c r="H18" i="9" s="1"/>
  <c r="I18" i="9" s="1"/>
  <c r="J18" i="9" s="1"/>
  <c r="K18" i="9" s="1"/>
  <c r="L18" i="9" s="1"/>
  <c r="M18" i="9" s="1"/>
  <c r="N18" i="9" s="1"/>
  <c r="O18" i="9" s="1"/>
  <c r="P18" i="9" s="1"/>
  <c r="Q18" i="9" s="1"/>
  <c r="R18" i="9" s="1"/>
  <c r="S18" i="9" s="1"/>
  <c r="T18" i="9" s="1"/>
  <c r="U18" i="9" s="1"/>
  <c r="V18" i="9" s="1"/>
  <c r="W18" i="9" s="1"/>
  <c r="X18" i="9" s="1"/>
  <c r="Y18" i="9" s="1"/>
  <c r="Z18" i="9" s="1"/>
  <c r="E18" i="9"/>
  <c r="D18" i="9"/>
  <c r="AB18" i="9" s="1"/>
  <c r="D17" i="9"/>
  <c r="E16" i="9"/>
  <c r="F16" i="9" s="1"/>
  <c r="G16" i="9" s="1"/>
  <c r="H16" i="9" s="1"/>
  <c r="I16" i="9" s="1"/>
  <c r="J16" i="9" s="1"/>
  <c r="K16" i="9" s="1"/>
  <c r="L16" i="9" s="1"/>
  <c r="M16" i="9" s="1"/>
  <c r="N16" i="9" s="1"/>
  <c r="O16" i="9" s="1"/>
  <c r="P16" i="9" s="1"/>
  <c r="Q16" i="9" s="1"/>
  <c r="R16" i="9" s="1"/>
  <c r="S16" i="9" s="1"/>
  <c r="T16" i="9" s="1"/>
  <c r="U16" i="9" s="1"/>
  <c r="V16" i="9" s="1"/>
  <c r="W16" i="9" s="1"/>
  <c r="X16" i="9" s="1"/>
  <c r="Y16" i="9" s="1"/>
  <c r="Z16" i="9" s="1"/>
  <c r="D16" i="9"/>
  <c r="AB16" i="9" s="1"/>
  <c r="D15" i="9"/>
  <c r="D14" i="9"/>
  <c r="D13" i="9"/>
  <c r="D12" i="9"/>
  <c r="D11" i="9"/>
  <c r="D10" i="9"/>
  <c r="E9" i="9"/>
  <c r="F9" i="9" s="1"/>
  <c r="G9" i="9" s="1"/>
  <c r="H9" i="9" s="1"/>
  <c r="I9" i="9" s="1"/>
  <c r="J9" i="9" s="1"/>
  <c r="K9" i="9" s="1"/>
  <c r="L9" i="9" s="1"/>
  <c r="M9" i="9" s="1"/>
  <c r="N9" i="9" s="1"/>
  <c r="O9" i="9" s="1"/>
  <c r="P9" i="9" s="1"/>
  <c r="Q9" i="9" s="1"/>
  <c r="R9" i="9" s="1"/>
  <c r="S9" i="9" s="1"/>
  <c r="T9" i="9" s="1"/>
  <c r="U9" i="9" s="1"/>
  <c r="V9" i="9" s="1"/>
  <c r="W9" i="9" s="1"/>
  <c r="X9" i="9" s="1"/>
  <c r="Y9" i="9" s="1"/>
  <c r="Z9" i="9" s="1"/>
  <c r="D9" i="9"/>
  <c r="AB9" i="9" s="1"/>
  <c r="D8" i="9"/>
  <c r="D7" i="9"/>
  <c r="D6" i="9"/>
  <c r="D41" i="7"/>
  <c r="E40" i="7"/>
  <c r="F40" i="7" s="1"/>
  <c r="G40" i="7" s="1"/>
  <c r="H40" i="7" s="1"/>
  <c r="I40" i="7" s="1"/>
  <c r="J40" i="7" s="1"/>
  <c r="K40" i="7" s="1"/>
  <c r="L40" i="7" s="1"/>
  <c r="M40" i="7" s="1"/>
  <c r="N40" i="7" s="1"/>
  <c r="O40" i="7" s="1"/>
  <c r="P40" i="7" s="1"/>
  <c r="Q40" i="7" s="1"/>
  <c r="R40" i="7" s="1"/>
  <c r="S40" i="7" s="1"/>
  <c r="T40" i="7" s="1"/>
  <c r="U40" i="7" s="1"/>
  <c r="V40" i="7" s="1"/>
  <c r="W40" i="7" s="1"/>
  <c r="X40" i="7" s="1"/>
  <c r="Y40" i="7" s="1"/>
  <c r="Z40" i="7" s="1"/>
  <c r="D40" i="7"/>
  <c r="AB40" i="7" s="1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E15" i="7"/>
  <c r="F15" i="7" s="1"/>
  <c r="G15" i="7" s="1"/>
  <c r="H15" i="7" s="1"/>
  <c r="I15" i="7" s="1"/>
  <c r="J15" i="7" s="1"/>
  <c r="K15" i="7" s="1"/>
  <c r="L15" i="7" s="1"/>
  <c r="M15" i="7" s="1"/>
  <c r="N15" i="7" s="1"/>
  <c r="O15" i="7" s="1"/>
  <c r="P15" i="7" s="1"/>
  <c r="Q15" i="7" s="1"/>
  <c r="R15" i="7" s="1"/>
  <c r="S15" i="7" s="1"/>
  <c r="T15" i="7" s="1"/>
  <c r="U15" i="7" s="1"/>
  <c r="V15" i="7" s="1"/>
  <c r="W15" i="7" s="1"/>
  <c r="X15" i="7" s="1"/>
  <c r="Y15" i="7" s="1"/>
  <c r="Z15" i="7" s="1"/>
  <c r="D15" i="7"/>
  <c r="AB15" i="7" s="1"/>
  <c r="D14" i="7"/>
  <c r="E13" i="7"/>
  <c r="F13" i="7" s="1"/>
  <c r="G13" i="7" s="1"/>
  <c r="H13" i="7" s="1"/>
  <c r="I13" i="7" s="1"/>
  <c r="J13" i="7" s="1"/>
  <c r="K13" i="7" s="1"/>
  <c r="L13" i="7" s="1"/>
  <c r="M13" i="7" s="1"/>
  <c r="N13" i="7" s="1"/>
  <c r="O13" i="7" s="1"/>
  <c r="P13" i="7" s="1"/>
  <c r="Q13" i="7" s="1"/>
  <c r="R13" i="7" s="1"/>
  <c r="S13" i="7" s="1"/>
  <c r="T13" i="7" s="1"/>
  <c r="U13" i="7" s="1"/>
  <c r="V13" i="7" s="1"/>
  <c r="W13" i="7" s="1"/>
  <c r="X13" i="7" s="1"/>
  <c r="Y13" i="7" s="1"/>
  <c r="Z13" i="7" s="1"/>
  <c r="D13" i="7"/>
  <c r="AB13" i="7" s="1"/>
  <c r="D12" i="7"/>
  <c r="E11" i="7"/>
  <c r="F11" i="7" s="1"/>
  <c r="G11" i="7" s="1"/>
  <c r="H11" i="7" s="1"/>
  <c r="I11" i="7" s="1"/>
  <c r="J11" i="7" s="1"/>
  <c r="K11" i="7" s="1"/>
  <c r="L11" i="7" s="1"/>
  <c r="M11" i="7" s="1"/>
  <c r="N11" i="7" s="1"/>
  <c r="O11" i="7" s="1"/>
  <c r="P11" i="7" s="1"/>
  <c r="Q11" i="7" s="1"/>
  <c r="R11" i="7" s="1"/>
  <c r="S11" i="7" s="1"/>
  <c r="T11" i="7" s="1"/>
  <c r="U11" i="7" s="1"/>
  <c r="V11" i="7" s="1"/>
  <c r="W11" i="7" s="1"/>
  <c r="X11" i="7" s="1"/>
  <c r="Y11" i="7" s="1"/>
  <c r="Z11" i="7" s="1"/>
  <c r="D11" i="7"/>
  <c r="AB11" i="7" s="1"/>
  <c r="D10" i="7"/>
  <c r="D9" i="7"/>
  <c r="D8" i="7"/>
  <c r="D7" i="7"/>
  <c r="E6" i="7"/>
  <c r="F6" i="7" s="1"/>
  <c r="G6" i="7" s="1"/>
  <c r="H6" i="7" s="1"/>
  <c r="I6" i="7" s="1"/>
  <c r="J6" i="7" s="1"/>
  <c r="K6" i="7" s="1"/>
  <c r="L6" i="7" s="1"/>
  <c r="M6" i="7" s="1"/>
  <c r="N6" i="7" s="1"/>
  <c r="O6" i="7" s="1"/>
  <c r="P6" i="7" s="1"/>
  <c r="Q6" i="7" s="1"/>
  <c r="R6" i="7" s="1"/>
  <c r="S6" i="7" s="1"/>
  <c r="T6" i="7" s="1"/>
  <c r="U6" i="7" s="1"/>
  <c r="V6" i="7" s="1"/>
  <c r="W6" i="7" s="1"/>
  <c r="X6" i="7" s="1"/>
  <c r="Y6" i="7" s="1"/>
  <c r="Z6" i="7" s="1"/>
  <c r="D6" i="7"/>
  <c r="AB6" i="7" s="1"/>
  <c r="E77" i="5"/>
  <c r="F77" i="5" s="1"/>
  <c r="G77" i="5" s="1"/>
  <c r="H77" i="5" s="1"/>
  <c r="I77" i="5" s="1"/>
  <c r="J77" i="5" s="1"/>
  <c r="K77" i="5" s="1"/>
  <c r="L77" i="5" s="1"/>
  <c r="M77" i="5" s="1"/>
  <c r="N77" i="5" s="1"/>
  <c r="O77" i="5" s="1"/>
  <c r="P77" i="5" s="1"/>
  <c r="Q77" i="5" s="1"/>
  <c r="R77" i="5" s="1"/>
  <c r="S77" i="5" s="1"/>
  <c r="T77" i="5" s="1"/>
  <c r="U77" i="5" s="1"/>
  <c r="V77" i="5" s="1"/>
  <c r="W77" i="5" s="1"/>
  <c r="X77" i="5" s="1"/>
  <c r="Y77" i="5" s="1"/>
  <c r="Z77" i="5" s="1"/>
  <c r="D77" i="5"/>
  <c r="AB77" i="5" s="1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E55" i="5"/>
  <c r="F55" i="5" s="1"/>
  <c r="G55" i="5" s="1"/>
  <c r="H55" i="5" s="1"/>
  <c r="I55" i="5" s="1"/>
  <c r="J55" i="5" s="1"/>
  <c r="K55" i="5" s="1"/>
  <c r="L55" i="5" s="1"/>
  <c r="M55" i="5" s="1"/>
  <c r="N55" i="5" s="1"/>
  <c r="O55" i="5" s="1"/>
  <c r="P55" i="5" s="1"/>
  <c r="Q55" i="5" s="1"/>
  <c r="R55" i="5" s="1"/>
  <c r="S55" i="5" s="1"/>
  <c r="T55" i="5" s="1"/>
  <c r="U55" i="5" s="1"/>
  <c r="V55" i="5" s="1"/>
  <c r="W55" i="5" s="1"/>
  <c r="X55" i="5" s="1"/>
  <c r="Y55" i="5" s="1"/>
  <c r="Z55" i="5" s="1"/>
  <c r="D55" i="5"/>
  <c r="AB55" i="5" s="1"/>
  <c r="D54" i="5"/>
  <c r="D53" i="5"/>
  <c r="D52" i="5"/>
  <c r="D51" i="5"/>
  <c r="D50" i="5"/>
  <c r="D49" i="5"/>
  <c r="D48" i="5"/>
  <c r="D47" i="5"/>
  <c r="D46" i="5"/>
  <c r="D45" i="5"/>
  <c r="D44" i="5"/>
  <c r="D43" i="5"/>
  <c r="E42" i="5"/>
  <c r="F42" i="5" s="1"/>
  <c r="G42" i="5" s="1"/>
  <c r="H42" i="5" s="1"/>
  <c r="I42" i="5" s="1"/>
  <c r="J42" i="5" s="1"/>
  <c r="K42" i="5" s="1"/>
  <c r="L42" i="5" s="1"/>
  <c r="M42" i="5" s="1"/>
  <c r="N42" i="5" s="1"/>
  <c r="O42" i="5" s="1"/>
  <c r="P42" i="5" s="1"/>
  <c r="Q42" i="5" s="1"/>
  <c r="R42" i="5" s="1"/>
  <c r="S42" i="5" s="1"/>
  <c r="T42" i="5" s="1"/>
  <c r="U42" i="5" s="1"/>
  <c r="V42" i="5" s="1"/>
  <c r="W42" i="5" s="1"/>
  <c r="X42" i="5" s="1"/>
  <c r="Y42" i="5" s="1"/>
  <c r="Z42" i="5" s="1"/>
  <c r="D42" i="5"/>
  <c r="AB42" i="5" s="1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E24" i="5" s="1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B20" i="6" l="1"/>
  <c r="E149" i="11"/>
  <c r="E148" i="11"/>
  <c r="E147" i="11"/>
  <c r="E146" i="11"/>
  <c r="E145" i="11"/>
  <c r="E144" i="11"/>
  <c r="E143" i="11"/>
  <c r="E142" i="11"/>
  <c r="E141" i="11"/>
  <c r="E140" i="11"/>
  <c r="E139" i="11"/>
  <c r="E138" i="11"/>
  <c r="E137" i="11"/>
  <c r="E136" i="11"/>
  <c r="E135" i="11"/>
  <c r="E134" i="11"/>
  <c r="E133" i="11"/>
  <c r="E132" i="11"/>
  <c r="E131" i="11"/>
  <c r="E130" i="11"/>
  <c r="E129" i="11"/>
  <c r="E128" i="11"/>
  <c r="E127" i="11"/>
  <c r="E126" i="11"/>
  <c r="E125" i="11"/>
  <c r="E124" i="11"/>
  <c r="E123" i="11"/>
  <c r="E122" i="11"/>
  <c r="E121" i="11"/>
  <c r="E120" i="11"/>
  <c r="E119" i="11"/>
  <c r="E118" i="11"/>
  <c r="AB117" i="11"/>
  <c r="E117" i="11"/>
  <c r="F117" i="11" s="1"/>
  <c r="G117" i="11" s="1"/>
  <c r="H117" i="11" s="1"/>
  <c r="I117" i="11" s="1"/>
  <c r="J117" i="11" s="1"/>
  <c r="K117" i="11" s="1"/>
  <c r="L117" i="11" s="1"/>
  <c r="M117" i="11" s="1"/>
  <c r="N117" i="11" s="1"/>
  <c r="O117" i="11" s="1"/>
  <c r="P117" i="11" s="1"/>
  <c r="Q117" i="11" s="1"/>
  <c r="R117" i="11" s="1"/>
  <c r="S117" i="11" s="1"/>
  <c r="T117" i="11" s="1"/>
  <c r="U117" i="11" s="1"/>
  <c r="V117" i="11" s="1"/>
  <c r="W117" i="11" s="1"/>
  <c r="X117" i="11" s="1"/>
  <c r="Y117" i="11" s="1"/>
  <c r="Z117" i="11" s="1"/>
  <c r="E116" i="11"/>
  <c r="E115" i="11"/>
  <c r="E114" i="11"/>
  <c r="E113" i="11"/>
  <c r="E112" i="11"/>
  <c r="E111" i="11"/>
  <c r="E110" i="11"/>
  <c r="F110" i="11" s="1"/>
  <c r="G110" i="11" s="1"/>
  <c r="H110" i="11" s="1"/>
  <c r="I110" i="11" s="1"/>
  <c r="J110" i="11" s="1"/>
  <c r="K110" i="11" s="1"/>
  <c r="L110" i="11" s="1"/>
  <c r="M110" i="11" s="1"/>
  <c r="N110" i="11" s="1"/>
  <c r="O110" i="11" s="1"/>
  <c r="P110" i="11" s="1"/>
  <c r="Q110" i="11" s="1"/>
  <c r="R110" i="11" s="1"/>
  <c r="S110" i="11" s="1"/>
  <c r="T110" i="11" s="1"/>
  <c r="U110" i="11" s="1"/>
  <c r="V110" i="11" s="1"/>
  <c r="W110" i="11" s="1"/>
  <c r="X110" i="11" s="1"/>
  <c r="Y110" i="11" s="1"/>
  <c r="Z110" i="11" s="1"/>
  <c r="AB110" i="11"/>
  <c r="E109" i="11"/>
  <c r="F109" i="11" s="1"/>
  <c r="G109" i="11" s="1"/>
  <c r="H109" i="11" s="1"/>
  <c r="I109" i="11" s="1"/>
  <c r="J109" i="11" s="1"/>
  <c r="K109" i="11" s="1"/>
  <c r="L109" i="11" s="1"/>
  <c r="M109" i="11" s="1"/>
  <c r="N109" i="11" s="1"/>
  <c r="O109" i="11" s="1"/>
  <c r="P109" i="11" s="1"/>
  <c r="Q109" i="11" s="1"/>
  <c r="R109" i="11" s="1"/>
  <c r="S109" i="11" s="1"/>
  <c r="T109" i="11" s="1"/>
  <c r="U109" i="11" s="1"/>
  <c r="V109" i="11" s="1"/>
  <c r="W109" i="11" s="1"/>
  <c r="X109" i="11" s="1"/>
  <c r="Y109" i="11" s="1"/>
  <c r="Z109" i="11" s="1"/>
  <c r="AB109" i="11"/>
  <c r="E108" i="11"/>
  <c r="E107" i="11"/>
  <c r="F107" i="11" s="1"/>
  <c r="G107" i="11" s="1"/>
  <c r="H107" i="11" s="1"/>
  <c r="I107" i="11" s="1"/>
  <c r="J107" i="11" s="1"/>
  <c r="K107" i="11" s="1"/>
  <c r="L107" i="11" s="1"/>
  <c r="M107" i="11" s="1"/>
  <c r="N107" i="11" s="1"/>
  <c r="O107" i="11" s="1"/>
  <c r="P107" i="11" s="1"/>
  <c r="Q107" i="11" s="1"/>
  <c r="E106" i="11"/>
  <c r="E105" i="11"/>
  <c r="F105" i="11" s="1"/>
  <c r="G105" i="11" s="1"/>
  <c r="H105" i="11" s="1"/>
  <c r="I105" i="11" s="1"/>
  <c r="J105" i="11" s="1"/>
  <c r="K105" i="11" s="1"/>
  <c r="L105" i="11" s="1"/>
  <c r="M105" i="11" s="1"/>
  <c r="N105" i="11" s="1"/>
  <c r="O105" i="11" s="1"/>
  <c r="P105" i="11" s="1"/>
  <c r="Q105" i="11" s="1"/>
  <c r="R105" i="11" s="1"/>
  <c r="S105" i="11" s="1"/>
  <c r="T105" i="11" s="1"/>
  <c r="U105" i="11" s="1"/>
  <c r="V105" i="11" s="1"/>
  <c r="W105" i="11" s="1"/>
  <c r="X105" i="11" s="1"/>
  <c r="Y105" i="11" s="1"/>
  <c r="Z105" i="11" s="1"/>
  <c r="AB105" i="11"/>
  <c r="E104" i="11"/>
  <c r="F104" i="11" s="1"/>
  <c r="G104" i="11" s="1"/>
  <c r="H104" i="11" s="1"/>
  <c r="I104" i="11" s="1"/>
  <c r="J104" i="11" s="1"/>
  <c r="K104" i="11" s="1"/>
  <c r="L104" i="11" s="1"/>
  <c r="M104" i="11" s="1"/>
  <c r="N104" i="11" s="1"/>
  <c r="O104" i="11" s="1"/>
  <c r="P104" i="11" s="1"/>
  <c r="Q104" i="11" s="1"/>
  <c r="R104" i="11" s="1"/>
  <c r="S104" i="11" s="1"/>
  <c r="T104" i="11" s="1"/>
  <c r="U104" i="11" s="1"/>
  <c r="V104" i="11" s="1"/>
  <c r="W104" i="11" s="1"/>
  <c r="X104" i="11" s="1"/>
  <c r="Y104" i="11" s="1"/>
  <c r="Z104" i="11" s="1"/>
  <c r="AB104" i="11"/>
  <c r="E102" i="11"/>
  <c r="E101" i="11"/>
  <c r="E100" i="11"/>
  <c r="E99" i="11"/>
  <c r="E97" i="11"/>
  <c r="E96" i="11"/>
  <c r="E95" i="11"/>
  <c r="E94" i="11"/>
  <c r="F94" i="11" s="1"/>
  <c r="G94" i="11" s="1"/>
  <c r="H94" i="11" s="1"/>
  <c r="I94" i="11" s="1"/>
  <c r="J94" i="11" s="1"/>
  <c r="K94" i="11" s="1"/>
  <c r="L94" i="11" s="1"/>
  <c r="M94" i="11" s="1"/>
  <c r="N94" i="11" s="1"/>
  <c r="O94" i="11" s="1"/>
  <c r="P94" i="11" s="1"/>
  <c r="Q94" i="11" s="1"/>
  <c r="R94" i="11" s="1"/>
  <c r="S94" i="11" s="1"/>
  <c r="T94" i="11" s="1"/>
  <c r="U94" i="11" s="1"/>
  <c r="V94" i="11" s="1"/>
  <c r="W94" i="11" s="1"/>
  <c r="X94" i="11" s="1"/>
  <c r="Y94" i="11" s="1"/>
  <c r="Z94" i="11" s="1"/>
  <c r="AB94" i="11"/>
  <c r="E93" i="11"/>
  <c r="F93" i="11" s="1"/>
  <c r="G93" i="11" s="1"/>
  <c r="H93" i="11" s="1"/>
  <c r="I93" i="11" s="1"/>
  <c r="J93" i="11" s="1"/>
  <c r="K93" i="11" s="1"/>
  <c r="L93" i="11" s="1"/>
  <c r="M93" i="11" s="1"/>
  <c r="N93" i="11" s="1"/>
  <c r="O93" i="11" s="1"/>
  <c r="P93" i="11" s="1"/>
  <c r="Q93" i="11" s="1"/>
  <c r="R93" i="11" s="1"/>
  <c r="S93" i="11" s="1"/>
  <c r="T93" i="11" s="1"/>
  <c r="U93" i="11" s="1"/>
  <c r="V93" i="11" s="1"/>
  <c r="W93" i="11" s="1"/>
  <c r="X93" i="11" s="1"/>
  <c r="Y93" i="11" s="1"/>
  <c r="Z93" i="11" s="1"/>
  <c r="AB93" i="11"/>
  <c r="E92" i="11"/>
  <c r="F92" i="11" s="1"/>
  <c r="G92" i="11" s="1"/>
  <c r="H92" i="11" s="1"/>
  <c r="I92" i="11" s="1"/>
  <c r="J92" i="11" s="1"/>
  <c r="K92" i="11" s="1"/>
  <c r="L92" i="11" s="1"/>
  <c r="M92" i="11" s="1"/>
  <c r="N92" i="11" s="1"/>
  <c r="O92" i="11" s="1"/>
  <c r="P92" i="11" s="1"/>
  <c r="Q92" i="11" s="1"/>
  <c r="R92" i="11" s="1"/>
  <c r="S92" i="11" s="1"/>
  <c r="T92" i="11" s="1"/>
  <c r="U92" i="11" s="1"/>
  <c r="V92" i="11" s="1"/>
  <c r="W92" i="11" s="1"/>
  <c r="X92" i="11" s="1"/>
  <c r="Y92" i="11" s="1"/>
  <c r="Z92" i="11" s="1"/>
  <c r="AB92" i="11"/>
  <c r="E91" i="11"/>
  <c r="F91" i="11" s="1"/>
  <c r="G91" i="11" s="1"/>
  <c r="H91" i="11" s="1"/>
  <c r="I91" i="11" s="1"/>
  <c r="J91" i="11" s="1"/>
  <c r="K91" i="11" s="1"/>
  <c r="L91" i="11" s="1"/>
  <c r="M91" i="11" s="1"/>
  <c r="N91" i="11" s="1"/>
  <c r="O91" i="11" s="1"/>
  <c r="P91" i="11" s="1"/>
  <c r="Q91" i="11" s="1"/>
  <c r="R91" i="11" s="1"/>
  <c r="S91" i="11" s="1"/>
  <c r="T91" i="11" s="1"/>
  <c r="U91" i="11" s="1"/>
  <c r="V91" i="11" s="1"/>
  <c r="W91" i="11" s="1"/>
  <c r="X91" i="11" s="1"/>
  <c r="Y91" i="11" s="1"/>
  <c r="Z91" i="11" s="1"/>
  <c r="AB91" i="11"/>
  <c r="E90" i="11"/>
  <c r="F90" i="11" s="1"/>
  <c r="G90" i="11" s="1"/>
  <c r="H90" i="11" s="1"/>
  <c r="I90" i="11" s="1"/>
  <c r="J90" i="11" s="1"/>
  <c r="K90" i="11" s="1"/>
  <c r="L90" i="11" s="1"/>
  <c r="M90" i="11" s="1"/>
  <c r="N90" i="11" s="1"/>
  <c r="O90" i="11" s="1"/>
  <c r="P90" i="11" s="1"/>
  <c r="Q90" i="11" s="1"/>
  <c r="R90" i="11" s="1"/>
  <c r="S90" i="11" s="1"/>
  <c r="T90" i="11" s="1"/>
  <c r="U90" i="11" s="1"/>
  <c r="V90" i="11" s="1"/>
  <c r="E88" i="11"/>
  <c r="E87" i="11"/>
  <c r="F87" i="11" s="1"/>
  <c r="G87" i="11" s="1"/>
  <c r="H87" i="11" s="1"/>
  <c r="I87" i="11" s="1"/>
  <c r="J87" i="11" s="1"/>
  <c r="K87" i="11" s="1"/>
  <c r="L87" i="11" s="1"/>
  <c r="M87" i="11" s="1"/>
  <c r="N87" i="11" s="1"/>
  <c r="O87" i="11" s="1"/>
  <c r="P87" i="11" s="1"/>
  <c r="Q87" i="11" s="1"/>
  <c r="R87" i="11" s="1"/>
  <c r="S87" i="11" s="1"/>
  <c r="T87" i="11" s="1"/>
  <c r="U87" i="11" s="1"/>
  <c r="V87" i="11" s="1"/>
  <c r="W87" i="11" s="1"/>
  <c r="X87" i="11" s="1"/>
  <c r="Y87" i="11" s="1"/>
  <c r="Z87" i="11" s="1"/>
  <c r="AB87" i="11"/>
  <c r="E86" i="11"/>
  <c r="F86" i="11" s="1"/>
  <c r="G86" i="11" s="1"/>
  <c r="H86" i="11" s="1"/>
  <c r="I86" i="11" s="1"/>
  <c r="J86" i="11" s="1"/>
  <c r="K86" i="11" s="1"/>
  <c r="L86" i="11" s="1"/>
  <c r="M86" i="11" s="1"/>
  <c r="N86" i="11" s="1"/>
  <c r="O86" i="11" s="1"/>
  <c r="P86" i="11" s="1"/>
  <c r="Q86" i="11" s="1"/>
  <c r="R86" i="11" s="1"/>
  <c r="S86" i="11" s="1"/>
  <c r="T86" i="11" s="1"/>
  <c r="U86" i="11" s="1"/>
  <c r="V86" i="11" s="1"/>
  <c r="W86" i="11" s="1"/>
  <c r="X86" i="11" s="1"/>
  <c r="Y86" i="11" s="1"/>
  <c r="Z86" i="11" s="1"/>
  <c r="AB86" i="11"/>
  <c r="E85" i="11"/>
  <c r="E84" i="11"/>
  <c r="E83" i="11"/>
  <c r="E81" i="11"/>
  <c r="E80" i="11"/>
  <c r="E79" i="11"/>
  <c r="F79" i="11" s="1"/>
  <c r="E78" i="11"/>
  <c r="F78" i="11" s="1"/>
  <c r="G78" i="11" s="1"/>
  <c r="H78" i="11" s="1"/>
  <c r="E77" i="11"/>
  <c r="E76" i="11"/>
  <c r="E75" i="11"/>
  <c r="E74" i="11"/>
  <c r="F74" i="11" s="1"/>
  <c r="G74" i="11" s="1"/>
  <c r="H74" i="11" s="1"/>
  <c r="I74" i="11" s="1"/>
  <c r="J74" i="11" s="1"/>
  <c r="K74" i="11" s="1"/>
  <c r="L74" i="11" s="1"/>
  <c r="M74" i="11" s="1"/>
  <c r="N74" i="11" s="1"/>
  <c r="E73" i="11"/>
  <c r="F73" i="11" s="1"/>
  <c r="G73" i="11" s="1"/>
  <c r="H73" i="11" s="1"/>
  <c r="I73" i="11" s="1"/>
  <c r="J73" i="11" s="1"/>
  <c r="K73" i="11" s="1"/>
  <c r="L73" i="11" s="1"/>
  <c r="M73" i="11" s="1"/>
  <c r="N73" i="11" s="1"/>
  <c r="O73" i="11" s="1"/>
  <c r="P73" i="11" s="1"/>
  <c r="Q73" i="11" s="1"/>
  <c r="R73" i="11" s="1"/>
  <c r="S73" i="11" s="1"/>
  <c r="T73" i="11" s="1"/>
  <c r="U73" i="11" s="1"/>
  <c r="V73" i="11" s="1"/>
  <c r="W73" i="11" s="1"/>
  <c r="X73" i="11" s="1"/>
  <c r="Y73" i="11" s="1"/>
  <c r="Z73" i="11" s="1"/>
  <c r="AB73" i="11"/>
  <c r="E72" i="11"/>
  <c r="E71" i="11"/>
  <c r="E70" i="11"/>
  <c r="E68" i="11"/>
  <c r="F68" i="11" s="1"/>
  <c r="G68" i="11" s="1"/>
  <c r="H68" i="11" s="1"/>
  <c r="I68" i="11" s="1"/>
  <c r="J68" i="11" s="1"/>
  <c r="K68" i="11" s="1"/>
  <c r="L68" i="11" s="1"/>
  <c r="M68" i="11" s="1"/>
  <c r="N68" i="11" s="1"/>
  <c r="O68" i="11" s="1"/>
  <c r="P68" i="11" s="1"/>
  <c r="Q68" i="11" s="1"/>
  <c r="R68" i="11" s="1"/>
  <c r="S68" i="11" s="1"/>
  <c r="T68" i="11" s="1"/>
  <c r="E67" i="11"/>
  <c r="E66" i="11"/>
  <c r="E65" i="11"/>
  <c r="F65" i="11" s="1"/>
  <c r="G65" i="11" s="1"/>
  <c r="H65" i="11" s="1"/>
  <c r="I65" i="11" s="1"/>
  <c r="J65" i="11" s="1"/>
  <c r="K65" i="11" s="1"/>
  <c r="E64" i="11"/>
  <c r="E62" i="11"/>
  <c r="F62" i="11" s="1"/>
  <c r="G62" i="11" s="1"/>
  <c r="H62" i="11" s="1"/>
  <c r="I62" i="11" s="1"/>
  <c r="J62" i="11" s="1"/>
  <c r="K62" i="11" s="1"/>
  <c r="L62" i="11" s="1"/>
  <c r="M62" i="11" s="1"/>
  <c r="N62" i="11" s="1"/>
  <c r="O62" i="11" s="1"/>
  <c r="P62" i="11" s="1"/>
  <c r="Q62" i="11" s="1"/>
  <c r="R62" i="11" s="1"/>
  <c r="S62" i="11" s="1"/>
  <c r="T62" i="11" s="1"/>
  <c r="U62" i="11" s="1"/>
  <c r="V62" i="11" s="1"/>
  <c r="W62" i="11" s="1"/>
  <c r="X62" i="11" s="1"/>
  <c r="Y62" i="11" s="1"/>
  <c r="Z62" i="11" s="1"/>
  <c r="AB62" i="11"/>
  <c r="E61" i="11"/>
  <c r="E59" i="11"/>
  <c r="F59" i="11" s="1"/>
  <c r="G59" i="11" s="1"/>
  <c r="E58" i="11"/>
  <c r="F58" i="11" s="1"/>
  <c r="G58" i="11" s="1"/>
  <c r="H58" i="11" s="1"/>
  <c r="I58" i="11" s="1"/>
  <c r="J58" i="11" s="1"/>
  <c r="K58" i="11" s="1"/>
  <c r="L58" i="11" s="1"/>
  <c r="M58" i="11" s="1"/>
  <c r="N58" i="11" s="1"/>
  <c r="O58" i="11" s="1"/>
  <c r="P58" i="11" s="1"/>
  <c r="Q58" i="11" s="1"/>
  <c r="R58" i="11" s="1"/>
  <c r="S58" i="11" s="1"/>
  <c r="T58" i="11" s="1"/>
  <c r="U58" i="11" s="1"/>
  <c r="V58" i="11" s="1"/>
  <c r="W58" i="11" s="1"/>
  <c r="X58" i="11" s="1"/>
  <c r="Y58" i="11" s="1"/>
  <c r="Z58" i="11" s="1"/>
  <c r="AB58" i="11"/>
  <c r="E57" i="11"/>
  <c r="F57" i="11" s="1"/>
  <c r="G57" i="11" s="1"/>
  <c r="H57" i="11" s="1"/>
  <c r="I57" i="11" s="1"/>
  <c r="J57" i="11" s="1"/>
  <c r="K57" i="11" s="1"/>
  <c r="E56" i="11"/>
  <c r="F56" i="11" s="1"/>
  <c r="G56" i="11" s="1"/>
  <c r="H56" i="11" s="1"/>
  <c r="I56" i="11" s="1"/>
  <c r="J56" i="11" s="1"/>
  <c r="K56" i="11" s="1"/>
  <c r="L56" i="11" s="1"/>
  <c r="M56" i="11" s="1"/>
  <c r="N56" i="11" s="1"/>
  <c r="O56" i="11" s="1"/>
  <c r="P56" i="11" s="1"/>
  <c r="Q56" i="11" s="1"/>
  <c r="R56" i="11" s="1"/>
  <c r="E55" i="11"/>
  <c r="F55" i="11" s="1"/>
  <c r="G55" i="11" s="1"/>
  <c r="H55" i="11" s="1"/>
  <c r="I55" i="11" s="1"/>
  <c r="J55" i="11" s="1"/>
  <c r="K55" i="11" s="1"/>
  <c r="L55" i="11" s="1"/>
  <c r="M55" i="11" s="1"/>
  <c r="N55" i="11" s="1"/>
  <c r="O55" i="11" s="1"/>
  <c r="P55" i="11" s="1"/>
  <c r="Q55" i="11" s="1"/>
  <c r="R55" i="11" s="1"/>
  <c r="S55" i="11" s="1"/>
  <c r="T55" i="11" s="1"/>
  <c r="U55" i="11" s="1"/>
  <c r="V55" i="11" s="1"/>
  <c r="W55" i="11" s="1"/>
  <c r="X55" i="11" s="1"/>
  <c r="Y55" i="11" s="1"/>
  <c r="Z55" i="11" s="1"/>
  <c r="AB55" i="11"/>
  <c r="E54" i="11"/>
  <c r="E53" i="11"/>
  <c r="E52" i="11"/>
  <c r="E51" i="11"/>
  <c r="F51" i="11" s="1"/>
  <c r="G51" i="11" s="1"/>
  <c r="E50" i="11"/>
  <c r="E49" i="11"/>
  <c r="F49" i="11" s="1"/>
  <c r="G49" i="11" s="1"/>
  <c r="E48" i="11"/>
  <c r="E47" i="11"/>
  <c r="F47" i="11" s="1"/>
  <c r="G47" i="11" s="1"/>
  <c r="H47" i="11" s="1"/>
  <c r="I47" i="11" s="1"/>
  <c r="J47" i="11" s="1"/>
  <c r="K47" i="11" s="1"/>
  <c r="L47" i="11" s="1"/>
  <c r="M47" i="11" s="1"/>
  <c r="N47" i="11" s="1"/>
  <c r="O47" i="11" s="1"/>
  <c r="P47" i="11" s="1"/>
  <c r="Q47" i="11" s="1"/>
  <c r="R47" i="11" s="1"/>
  <c r="S47" i="11" s="1"/>
  <c r="T47" i="11" s="1"/>
  <c r="U47" i="11" s="1"/>
  <c r="V47" i="11" s="1"/>
  <c r="W47" i="11" s="1"/>
  <c r="X47" i="11" s="1"/>
  <c r="Y47" i="11" s="1"/>
  <c r="Z47" i="11" s="1"/>
  <c r="AB47" i="11"/>
  <c r="E46" i="11"/>
  <c r="F46" i="11" s="1"/>
  <c r="G46" i="11" s="1"/>
  <c r="H46" i="11" s="1"/>
  <c r="I46" i="11" s="1"/>
  <c r="J46" i="11" s="1"/>
  <c r="K46" i="11" s="1"/>
  <c r="L46" i="11" s="1"/>
  <c r="M46" i="11" s="1"/>
  <c r="N46" i="11" s="1"/>
  <c r="O46" i="11" s="1"/>
  <c r="P46" i="11" s="1"/>
  <c r="Q46" i="11" s="1"/>
  <c r="R46" i="11" s="1"/>
  <c r="S46" i="11" s="1"/>
  <c r="T46" i="11" s="1"/>
  <c r="E45" i="11"/>
  <c r="F45" i="11" s="1"/>
  <c r="E44" i="11"/>
  <c r="E43" i="11"/>
  <c r="E42" i="11"/>
  <c r="E41" i="11"/>
  <c r="E40" i="11"/>
  <c r="F40" i="11" s="1"/>
  <c r="G40" i="11" s="1"/>
  <c r="H40" i="11" s="1"/>
  <c r="I40" i="11" s="1"/>
  <c r="J40" i="11" s="1"/>
  <c r="K40" i="11" s="1"/>
  <c r="E39" i="11"/>
  <c r="F39" i="11" s="1"/>
  <c r="G39" i="11" s="1"/>
  <c r="H39" i="11" s="1"/>
  <c r="I39" i="11" s="1"/>
  <c r="J39" i="11" s="1"/>
  <c r="K39" i="11" s="1"/>
  <c r="L39" i="11" s="1"/>
  <c r="M39" i="11" s="1"/>
  <c r="N39" i="11" s="1"/>
  <c r="O39" i="11" s="1"/>
  <c r="P39" i="11" s="1"/>
  <c r="Q39" i="11" s="1"/>
  <c r="R39" i="11" s="1"/>
  <c r="S39" i="11" s="1"/>
  <c r="T39" i="11" s="1"/>
  <c r="U39" i="11" s="1"/>
  <c r="V39" i="11" s="1"/>
  <c r="W39" i="11" s="1"/>
  <c r="X39" i="11" s="1"/>
  <c r="Y39" i="11" s="1"/>
  <c r="Z39" i="11" s="1"/>
  <c r="AB39" i="11"/>
  <c r="E38" i="11"/>
  <c r="E37" i="11"/>
  <c r="F37" i="11" s="1"/>
  <c r="G37" i="11" s="1"/>
  <c r="H37" i="11" s="1"/>
  <c r="I37" i="11" s="1"/>
  <c r="J37" i="11" s="1"/>
  <c r="K37" i="11" s="1"/>
  <c r="L37" i="11" s="1"/>
  <c r="M37" i="11" s="1"/>
  <c r="N37" i="11" s="1"/>
  <c r="O37" i="11" s="1"/>
  <c r="P37" i="11" s="1"/>
  <c r="Q37" i="11" s="1"/>
  <c r="R37" i="11" s="1"/>
  <c r="S37" i="11" s="1"/>
  <c r="T37" i="11" s="1"/>
  <c r="U37" i="11" s="1"/>
  <c r="V37" i="11" s="1"/>
  <c r="E36" i="11"/>
  <c r="E35" i="11"/>
  <c r="F35" i="11" s="1"/>
  <c r="G35" i="11" s="1"/>
  <c r="H35" i="11" s="1"/>
  <c r="E34" i="11"/>
  <c r="F34" i="11" s="1"/>
  <c r="G34" i="11" s="1"/>
  <c r="H34" i="11" s="1"/>
  <c r="I34" i="11" s="1"/>
  <c r="J34" i="11" s="1"/>
  <c r="K34" i="11" s="1"/>
  <c r="L34" i="11" s="1"/>
  <c r="M34" i="11" s="1"/>
  <c r="N34" i="11" s="1"/>
  <c r="O34" i="11" s="1"/>
  <c r="P34" i="11" s="1"/>
  <c r="Q34" i="11" s="1"/>
  <c r="E33" i="11"/>
  <c r="F33" i="11" s="1"/>
  <c r="G33" i="11" s="1"/>
  <c r="H33" i="11" s="1"/>
  <c r="I33" i="11" s="1"/>
  <c r="J33" i="11" s="1"/>
  <c r="K33" i="11" s="1"/>
  <c r="L33" i="11" s="1"/>
  <c r="M33" i="11" s="1"/>
  <c r="N33" i="11" s="1"/>
  <c r="O33" i="11" s="1"/>
  <c r="P33" i="11" s="1"/>
  <c r="Q33" i="11" s="1"/>
  <c r="R33" i="11" s="1"/>
  <c r="S33" i="11" s="1"/>
  <c r="T33" i="11" s="1"/>
  <c r="U33" i="11" s="1"/>
  <c r="V33" i="11" s="1"/>
  <c r="W33" i="11" s="1"/>
  <c r="X33" i="11" s="1"/>
  <c r="Y33" i="11" s="1"/>
  <c r="Z33" i="11" s="1"/>
  <c r="AB33" i="11"/>
  <c r="E32" i="11"/>
  <c r="F32" i="11" s="1"/>
  <c r="G32" i="11" s="1"/>
  <c r="H32" i="11" s="1"/>
  <c r="I32" i="11" s="1"/>
  <c r="J32" i="11" s="1"/>
  <c r="K32" i="11" s="1"/>
  <c r="L32" i="11" s="1"/>
  <c r="M32" i="11" s="1"/>
  <c r="N32" i="11" s="1"/>
  <c r="O32" i="11" s="1"/>
  <c r="P32" i="11" s="1"/>
  <c r="Q32" i="11" s="1"/>
  <c r="R32" i="11" s="1"/>
  <c r="S32" i="11" s="1"/>
  <c r="T32" i="11" s="1"/>
  <c r="U32" i="11" s="1"/>
  <c r="V32" i="11" s="1"/>
  <c r="W32" i="11" s="1"/>
  <c r="X32" i="11" s="1"/>
  <c r="E31" i="11"/>
  <c r="E30" i="11"/>
  <c r="F30" i="11" s="1"/>
  <c r="G30" i="11" s="1"/>
  <c r="H30" i="11" s="1"/>
  <c r="I30" i="11" s="1"/>
  <c r="J30" i="11" s="1"/>
  <c r="K30" i="11" s="1"/>
  <c r="L30" i="11" s="1"/>
  <c r="M30" i="11" s="1"/>
  <c r="N30" i="11" s="1"/>
  <c r="O30" i="11" s="1"/>
  <c r="P30" i="11" s="1"/>
  <c r="Q30" i="11" s="1"/>
  <c r="R30" i="11" s="1"/>
  <c r="S30" i="11" s="1"/>
  <c r="T30" i="11" s="1"/>
  <c r="U30" i="11" s="1"/>
  <c r="V30" i="11" s="1"/>
  <c r="W30" i="11" s="1"/>
  <c r="X30" i="11" s="1"/>
  <c r="Y30" i="11" s="1"/>
  <c r="Z30" i="11" s="1"/>
  <c r="AB30" i="11"/>
  <c r="E29" i="11"/>
  <c r="F29" i="11" s="1"/>
  <c r="G29" i="11" s="1"/>
  <c r="H29" i="11" s="1"/>
  <c r="I29" i="11" s="1"/>
  <c r="J29" i="11" s="1"/>
  <c r="K29" i="11" s="1"/>
  <c r="L29" i="11" s="1"/>
  <c r="M29" i="11" s="1"/>
  <c r="N29" i="11" s="1"/>
  <c r="O29" i="11" s="1"/>
  <c r="P29" i="11" s="1"/>
  <c r="Q29" i="11" s="1"/>
  <c r="R29" i="11" s="1"/>
  <c r="S29" i="11" s="1"/>
  <c r="T29" i="11" s="1"/>
  <c r="U29" i="11" s="1"/>
  <c r="V29" i="11" s="1"/>
  <c r="W29" i="11" s="1"/>
  <c r="X29" i="11" s="1"/>
  <c r="Y29" i="11" s="1"/>
  <c r="Z29" i="11" s="1"/>
  <c r="AB29" i="11"/>
  <c r="E28" i="11"/>
  <c r="E27" i="11"/>
  <c r="E26" i="11"/>
  <c r="E25" i="11"/>
  <c r="F25" i="11" s="1"/>
  <c r="G25" i="11" s="1"/>
  <c r="H25" i="11" s="1"/>
  <c r="I25" i="11" s="1"/>
  <c r="J25" i="11" s="1"/>
  <c r="K25" i="11" s="1"/>
  <c r="L25" i="11" s="1"/>
  <c r="M25" i="11" s="1"/>
  <c r="N25" i="11" s="1"/>
  <c r="O25" i="11" s="1"/>
  <c r="P25" i="11" s="1"/>
  <c r="Q25" i="11" s="1"/>
  <c r="R25" i="11" s="1"/>
  <c r="S25" i="11" s="1"/>
  <c r="T25" i="11" s="1"/>
  <c r="U25" i="11" s="1"/>
  <c r="V25" i="11" s="1"/>
  <c r="W25" i="11" s="1"/>
  <c r="X25" i="11" s="1"/>
  <c r="Y25" i="11" s="1"/>
  <c r="Z25" i="11" s="1"/>
  <c r="AB25" i="11"/>
  <c r="E24" i="11"/>
  <c r="F24" i="11" s="1"/>
  <c r="G24" i="11" s="1"/>
  <c r="H24" i="11" s="1"/>
  <c r="I24" i="11" s="1"/>
  <c r="J24" i="11" s="1"/>
  <c r="K24" i="11" s="1"/>
  <c r="L24" i="11" s="1"/>
  <c r="M24" i="11" s="1"/>
  <c r="N24" i="11" s="1"/>
  <c r="O24" i="11" s="1"/>
  <c r="P24" i="11" s="1"/>
  <c r="Q24" i="11" s="1"/>
  <c r="R24" i="11" s="1"/>
  <c r="S24" i="11" s="1"/>
  <c r="T24" i="11" s="1"/>
  <c r="U24" i="11" s="1"/>
  <c r="V24" i="11" s="1"/>
  <c r="W24" i="11" s="1"/>
  <c r="X24" i="11" s="1"/>
  <c r="Y24" i="11" s="1"/>
  <c r="Z24" i="11" s="1"/>
  <c r="AB24" i="11"/>
  <c r="E23" i="11"/>
  <c r="F23" i="11" s="1"/>
  <c r="G23" i="11" s="1"/>
  <c r="H23" i="11" s="1"/>
  <c r="I23" i="11" s="1"/>
  <c r="J23" i="11" s="1"/>
  <c r="K23" i="11" s="1"/>
  <c r="L23" i="11" s="1"/>
  <c r="M23" i="11" s="1"/>
  <c r="N23" i="11" s="1"/>
  <c r="O23" i="11" s="1"/>
  <c r="P23" i="11" s="1"/>
  <c r="Q23" i="11" s="1"/>
  <c r="R23" i="11" s="1"/>
  <c r="S23" i="11" s="1"/>
  <c r="T23" i="11" s="1"/>
  <c r="U23" i="11" s="1"/>
  <c r="V23" i="11" s="1"/>
  <c r="W23" i="11" s="1"/>
  <c r="X23" i="11" s="1"/>
  <c r="Y23" i="11" s="1"/>
  <c r="Z23" i="11" s="1"/>
  <c r="AB23" i="11"/>
  <c r="E22" i="11"/>
  <c r="E21" i="11"/>
  <c r="F21" i="11" s="1"/>
  <c r="G21" i="11" s="1"/>
  <c r="H21" i="11" s="1"/>
  <c r="I21" i="11" s="1"/>
  <c r="J21" i="11" s="1"/>
  <c r="K21" i="11" s="1"/>
  <c r="L21" i="11" s="1"/>
  <c r="M21" i="11" s="1"/>
  <c r="N21" i="11" s="1"/>
  <c r="O21" i="11" s="1"/>
  <c r="P21" i="11" s="1"/>
  <c r="Q21" i="11" s="1"/>
  <c r="R21" i="11" s="1"/>
  <c r="S21" i="11" s="1"/>
  <c r="T21" i="11" s="1"/>
  <c r="U21" i="11" s="1"/>
  <c r="V21" i="11" s="1"/>
  <c r="W21" i="11" s="1"/>
  <c r="X21" i="11" s="1"/>
  <c r="Y21" i="11" s="1"/>
  <c r="Z21" i="11" s="1"/>
  <c r="AB21" i="11"/>
  <c r="E20" i="11"/>
  <c r="F20" i="11" s="1"/>
  <c r="G20" i="11" s="1"/>
  <c r="H20" i="11" s="1"/>
  <c r="I20" i="11" s="1"/>
  <c r="J20" i="11" s="1"/>
  <c r="K20" i="11" s="1"/>
  <c r="L20" i="11" s="1"/>
  <c r="M20" i="11" s="1"/>
  <c r="N20" i="11" s="1"/>
  <c r="O20" i="11" s="1"/>
  <c r="P20" i="11" s="1"/>
  <c r="Q20" i="11" s="1"/>
  <c r="R20" i="11" s="1"/>
  <c r="S20" i="11" s="1"/>
  <c r="T20" i="11" s="1"/>
  <c r="U20" i="11" s="1"/>
  <c r="V20" i="11" s="1"/>
  <c r="W20" i="11" s="1"/>
  <c r="X20" i="11" s="1"/>
  <c r="Y20" i="11" s="1"/>
  <c r="Z20" i="11" s="1"/>
  <c r="AB20" i="11"/>
  <c r="E19" i="11"/>
  <c r="F19" i="11" s="1"/>
  <c r="G19" i="11" s="1"/>
  <c r="H19" i="11" s="1"/>
  <c r="I19" i="11" s="1"/>
  <c r="J19" i="11" s="1"/>
  <c r="K19" i="11" s="1"/>
  <c r="L19" i="11" s="1"/>
  <c r="M19" i="11" s="1"/>
  <c r="N19" i="11" s="1"/>
  <c r="O19" i="11" s="1"/>
  <c r="P19" i="11" s="1"/>
  <c r="Q19" i="11" s="1"/>
  <c r="R19" i="11" s="1"/>
  <c r="S19" i="11" s="1"/>
  <c r="T19" i="11" s="1"/>
  <c r="U19" i="11" s="1"/>
  <c r="V19" i="11" s="1"/>
  <c r="W19" i="11" s="1"/>
  <c r="X19" i="11" s="1"/>
  <c r="Y19" i="11" s="1"/>
  <c r="Z19" i="11" s="1"/>
  <c r="AB19" i="11"/>
  <c r="E18" i="11"/>
  <c r="F18" i="11" s="1"/>
  <c r="G18" i="11" s="1"/>
  <c r="H18" i="11" s="1"/>
  <c r="I18" i="11" s="1"/>
  <c r="J18" i="11" s="1"/>
  <c r="K18" i="11" s="1"/>
  <c r="L18" i="11" s="1"/>
  <c r="M18" i="11" s="1"/>
  <c r="N18" i="11" s="1"/>
  <c r="O18" i="11" s="1"/>
  <c r="P18" i="11" s="1"/>
  <c r="Q18" i="11" s="1"/>
  <c r="R18" i="11" s="1"/>
  <c r="S18" i="11" s="1"/>
  <c r="T18" i="11" s="1"/>
  <c r="U18" i="11" s="1"/>
  <c r="V18" i="11" s="1"/>
  <c r="W18" i="11" s="1"/>
  <c r="X18" i="11" s="1"/>
  <c r="Y18" i="11" s="1"/>
  <c r="Z18" i="11" s="1"/>
  <c r="AB18" i="11"/>
  <c r="AC18" i="11" s="1"/>
  <c r="B12" i="10" s="1"/>
  <c r="E17" i="11"/>
  <c r="E16" i="11"/>
  <c r="E15" i="11"/>
  <c r="E14" i="11"/>
  <c r="F14" i="11" s="1"/>
  <c r="G14" i="11" s="1"/>
  <c r="H14" i="11" s="1"/>
  <c r="I14" i="11" s="1"/>
  <c r="J14" i="11" s="1"/>
  <c r="K14" i="11" s="1"/>
  <c r="L14" i="11" s="1"/>
  <c r="M14" i="11" s="1"/>
  <c r="N14" i="11" s="1"/>
  <c r="O14" i="11" s="1"/>
  <c r="P14" i="11" s="1"/>
  <c r="Q14" i="11" s="1"/>
  <c r="R14" i="11" s="1"/>
  <c r="S14" i="11" s="1"/>
  <c r="T14" i="11" s="1"/>
  <c r="U14" i="11" s="1"/>
  <c r="V14" i="11" s="1"/>
  <c r="W14" i="11" s="1"/>
  <c r="X14" i="11" s="1"/>
  <c r="Y14" i="11" s="1"/>
  <c r="Z14" i="11" s="1"/>
  <c r="AB14" i="11"/>
  <c r="E13" i="11"/>
  <c r="E12" i="11"/>
  <c r="E11" i="11"/>
  <c r="E10" i="11"/>
  <c r="E9" i="11"/>
  <c r="E8" i="11"/>
  <c r="F8" i="11" s="1"/>
  <c r="G8" i="11" s="1"/>
  <c r="H8" i="11" s="1"/>
  <c r="I8" i="11" s="1"/>
  <c r="J8" i="11" s="1"/>
  <c r="K8" i="11" s="1"/>
  <c r="L8" i="11" s="1"/>
  <c r="M8" i="11" s="1"/>
  <c r="N8" i="11" s="1"/>
  <c r="O8" i="11" s="1"/>
  <c r="P8" i="11" s="1"/>
  <c r="Q8" i="11" s="1"/>
  <c r="R8" i="11" s="1"/>
  <c r="S8" i="11" s="1"/>
  <c r="T8" i="11" s="1"/>
  <c r="U8" i="11" s="1"/>
  <c r="V8" i="11" s="1"/>
  <c r="W8" i="11" s="1"/>
  <c r="X8" i="11" s="1"/>
  <c r="Y8" i="11" s="1"/>
  <c r="Z8" i="11" s="1"/>
  <c r="AB8" i="11"/>
  <c r="E7" i="11"/>
  <c r="E6" i="11"/>
  <c r="E41" i="9"/>
  <c r="E40" i="9"/>
  <c r="E39" i="9"/>
  <c r="E38" i="9"/>
  <c r="F38" i="9" s="1"/>
  <c r="G38" i="9" s="1"/>
  <c r="H38" i="9" s="1"/>
  <c r="I38" i="9" s="1"/>
  <c r="J38" i="9" s="1"/>
  <c r="K38" i="9" s="1"/>
  <c r="L38" i="9" s="1"/>
  <c r="M38" i="9" s="1"/>
  <c r="N38" i="9" s="1"/>
  <c r="O38" i="9" s="1"/>
  <c r="P38" i="9" s="1"/>
  <c r="Q38" i="9" s="1"/>
  <c r="R38" i="9" s="1"/>
  <c r="S38" i="9" s="1"/>
  <c r="T38" i="9" s="1"/>
  <c r="U38" i="9" s="1"/>
  <c r="V38" i="9" s="1"/>
  <c r="W38" i="9" s="1"/>
  <c r="X38" i="9" s="1"/>
  <c r="Y38" i="9" s="1"/>
  <c r="Z38" i="9" s="1"/>
  <c r="AB38" i="9"/>
  <c r="E37" i="9"/>
  <c r="F37" i="9" s="1"/>
  <c r="G37" i="9" s="1"/>
  <c r="H37" i="9" s="1"/>
  <c r="I37" i="9" s="1"/>
  <c r="J37" i="9" s="1"/>
  <c r="K37" i="9" s="1"/>
  <c r="L37" i="9" s="1"/>
  <c r="M37" i="9" s="1"/>
  <c r="N37" i="9" s="1"/>
  <c r="O37" i="9" s="1"/>
  <c r="P37" i="9" s="1"/>
  <c r="Q37" i="9" s="1"/>
  <c r="R37" i="9" s="1"/>
  <c r="S37" i="9" s="1"/>
  <c r="T37" i="9" s="1"/>
  <c r="U37" i="9" s="1"/>
  <c r="V37" i="9" s="1"/>
  <c r="W37" i="9" s="1"/>
  <c r="X37" i="9" s="1"/>
  <c r="Y37" i="9" s="1"/>
  <c r="Z37" i="9" s="1"/>
  <c r="AB37" i="9"/>
  <c r="E36" i="9"/>
  <c r="F36" i="9" s="1"/>
  <c r="G36" i="9" s="1"/>
  <c r="H36" i="9" s="1"/>
  <c r="I36" i="9" s="1"/>
  <c r="J36" i="9" s="1"/>
  <c r="K36" i="9" s="1"/>
  <c r="L36" i="9" s="1"/>
  <c r="M36" i="9" s="1"/>
  <c r="N36" i="9" s="1"/>
  <c r="O36" i="9" s="1"/>
  <c r="P36" i="9" s="1"/>
  <c r="Q36" i="9" s="1"/>
  <c r="R36" i="9" s="1"/>
  <c r="S36" i="9" s="1"/>
  <c r="T36" i="9" s="1"/>
  <c r="U36" i="9" s="1"/>
  <c r="V36" i="9" s="1"/>
  <c r="W36" i="9" s="1"/>
  <c r="X36" i="9" s="1"/>
  <c r="Y36" i="9" s="1"/>
  <c r="Z36" i="9" s="1"/>
  <c r="AB36" i="9"/>
  <c r="AC36" i="9" s="1"/>
  <c r="B18" i="8" s="1"/>
  <c r="E35" i="9"/>
  <c r="F35" i="9" s="1"/>
  <c r="G35" i="9" s="1"/>
  <c r="H35" i="9" s="1"/>
  <c r="I35" i="9" s="1"/>
  <c r="J35" i="9" s="1"/>
  <c r="K35" i="9" s="1"/>
  <c r="L35" i="9" s="1"/>
  <c r="M35" i="9" s="1"/>
  <c r="N35" i="9" s="1"/>
  <c r="O35" i="9" s="1"/>
  <c r="P35" i="9" s="1"/>
  <c r="Q35" i="9" s="1"/>
  <c r="R35" i="9" s="1"/>
  <c r="S35" i="9" s="1"/>
  <c r="T35" i="9" s="1"/>
  <c r="U35" i="9" s="1"/>
  <c r="V35" i="9" s="1"/>
  <c r="W35" i="9" s="1"/>
  <c r="X35" i="9" s="1"/>
  <c r="Y35" i="9" s="1"/>
  <c r="Z35" i="9" s="1"/>
  <c r="AB35" i="9"/>
  <c r="E34" i="9"/>
  <c r="F34" i="9" s="1"/>
  <c r="G34" i="9" s="1"/>
  <c r="H34" i="9" s="1"/>
  <c r="I34" i="9" s="1"/>
  <c r="J34" i="9" s="1"/>
  <c r="K34" i="9" s="1"/>
  <c r="L34" i="9" s="1"/>
  <c r="M34" i="9" s="1"/>
  <c r="N34" i="9" s="1"/>
  <c r="O34" i="9" s="1"/>
  <c r="P34" i="9" s="1"/>
  <c r="Q34" i="9" s="1"/>
  <c r="R34" i="9" s="1"/>
  <c r="S34" i="9" s="1"/>
  <c r="T34" i="9" s="1"/>
  <c r="U34" i="9" s="1"/>
  <c r="V34" i="9" s="1"/>
  <c r="W34" i="9" s="1"/>
  <c r="X34" i="9" s="1"/>
  <c r="Y34" i="9" s="1"/>
  <c r="Z34" i="9" s="1"/>
  <c r="AB34" i="9"/>
  <c r="E33" i="9"/>
  <c r="E32" i="9"/>
  <c r="F32" i="9" s="1"/>
  <c r="G32" i="9" s="1"/>
  <c r="H32" i="9" s="1"/>
  <c r="I32" i="9" s="1"/>
  <c r="J32" i="9" s="1"/>
  <c r="K32" i="9" s="1"/>
  <c r="L32" i="9" s="1"/>
  <c r="M32" i="9" s="1"/>
  <c r="N32" i="9" s="1"/>
  <c r="O32" i="9" s="1"/>
  <c r="P32" i="9" s="1"/>
  <c r="Q32" i="9" s="1"/>
  <c r="R32" i="9" s="1"/>
  <c r="S32" i="9" s="1"/>
  <c r="T32" i="9" s="1"/>
  <c r="U32" i="9" s="1"/>
  <c r="V32" i="9" s="1"/>
  <c r="W32" i="9" s="1"/>
  <c r="X32" i="9" s="1"/>
  <c r="Y32" i="9" s="1"/>
  <c r="Z32" i="9" s="1"/>
  <c r="AB32" i="9"/>
  <c r="E31" i="9"/>
  <c r="E30" i="9"/>
  <c r="E29" i="9"/>
  <c r="F29" i="9" s="1"/>
  <c r="G29" i="9" s="1"/>
  <c r="H29" i="9" s="1"/>
  <c r="I29" i="9" s="1"/>
  <c r="J29" i="9" s="1"/>
  <c r="K29" i="9" s="1"/>
  <c r="L29" i="9" s="1"/>
  <c r="M29" i="9" s="1"/>
  <c r="N29" i="9" s="1"/>
  <c r="O29" i="9" s="1"/>
  <c r="P29" i="9" s="1"/>
  <c r="Q29" i="9" s="1"/>
  <c r="R29" i="9" s="1"/>
  <c r="S29" i="9" s="1"/>
  <c r="T29" i="9" s="1"/>
  <c r="U29" i="9" s="1"/>
  <c r="V29" i="9" s="1"/>
  <c r="W29" i="9" s="1"/>
  <c r="X29" i="9" s="1"/>
  <c r="Y29" i="9" s="1"/>
  <c r="Z29" i="9" s="1"/>
  <c r="AB29" i="9"/>
  <c r="E27" i="9"/>
  <c r="F27" i="9" s="1"/>
  <c r="G27" i="9" s="1"/>
  <c r="H27" i="9" s="1"/>
  <c r="I27" i="9" s="1"/>
  <c r="J27" i="9" s="1"/>
  <c r="K27" i="9" s="1"/>
  <c r="L27" i="9" s="1"/>
  <c r="M27" i="9" s="1"/>
  <c r="N27" i="9" s="1"/>
  <c r="O27" i="9" s="1"/>
  <c r="P27" i="9" s="1"/>
  <c r="Q27" i="9" s="1"/>
  <c r="R27" i="9" s="1"/>
  <c r="S27" i="9" s="1"/>
  <c r="T27" i="9" s="1"/>
  <c r="U27" i="9" s="1"/>
  <c r="V27" i="9" s="1"/>
  <c r="W27" i="9" s="1"/>
  <c r="X27" i="9" s="1"/>
  <c r="Y27" i="9" s="1"/>
  <c r="Z27" i="9" s="1"/>
  <c r="AB27" i="9"/>
  <c r="AC27" i="9" s="1"/>
  <c r="B15" i="8" s="1"/>
  <c r="E25" i="9"/>
  <c r="E24" i="9"/>
  <c r="E21" i="9"/>
  <c r="F21" i="9" s="1"/>
  <c r="G21" i="9" s="1"/>
  <c r="H21" i="9" s="1"/>
  <c r="I21" i="9" s="1"/>
  <c r="J21" i="9" s="1"/>
  <c r="K21" i="9" s="1"/>
  <c r="L21" i="9" s="1"/>
  <c r="M21" i="9" s="1"/>
  <c r="N21" i="9" s="1"/>
  <c r="O21" i="9" s="1"/>
  <c r="P21" i="9" s="1"/>
  <c r="Q21" i="9" s="1"/>
  <c r="R21" i="9" s="1"/>
  <c r="S21" i="9" s="1"/>
  <c r="T21" i="9" s="1"/>
  <c r="U21" i="9" s="1"/>
  <c r="V21" i="9" s="1"/>
  <c r="W21" i="9" s="1"/>
  <c r="X21" i="9" s="1"/>
  <c r="Y21" i="9" s="1"/>
  <c r="Z21" i="9" s="1"/>
  <c r="AB21" i="9"/>
  <c r="AC21" i="9" s="1"/>
  <c r="B13" i="8" s="1"/>
  <c r="E20" i="9"/>
  <c r="F20" i="9" s="1"/>
  <c r="G20" i="9" s="1"/>
  <c r="H20" i="9" s="1"/>
  <c r="I20" i="9" s="1"/>
  <c r="J20" i="9" s="1"/>
  <c r="K20" i="9" s="1"/>
  <c r="L20" i="9" s="1"/>
  <c r="M20" i="9" s="1"/>
  <c r="N20" i="9" s="1"/>
  <c r="O20" i="9" s="1"/>
  <c r="P20" i="9" s="1"/>
  <c r="Q20" i="9" s="1"/>
  <c r="R20" i="9" s="1"/>
  <c r="S20" i="9" s="1"/>
  <c r="T20" i="9" s="1"/>
  <c r="U20" i="9" s="1"/>
  <c r="V20" i="9" s="1"/>
  <c r="W20" i="9" s="1"/>
  <c r="X20" i="9" s="1"/>
  <c r="Y20" i="9" s="1"/>
  <c r="Z20" i="9" s="1"/>
  <c r="AB20" i="9"/>
  <c r="E19" i="9"/>
  <c r="E17" i="9"/>
  <c r="E15" i="9"/>
  <c r="F15" i="9" s="1"/>
  <c r="G15" i="9" s="1"/>
  <c r="H15" i="9" s="1"/>
  <c r="I15" i="9" s="1"/>
  <c r="J15" i="9" s="1"/>
  <c r="K15" i="9" s="1"/>
  <c r="L15" i="9" s="1"/>
  <c r="M15" i="9" s="1"/>
  <c r="N15" i="9" s="1"/>
  <c r="O15" i="9" s="1"/>
  <c r="P15" i="9" s="1"/>
  <c r="Q15" i="9" s="1"/>
  <c r="R15" i="9" s="1"/>
  <c r="S15" i="9" s="1"/>
  <c r="T15" i="9" s="1"/>
  <c r="U15" i="9" s="1"/>
  <c r="V15" i="9" s="1"/>
  <c r="W15" i="9" s="1"/>
  <c r="X15" i="9" s="1"/>
  <c r="Y15" i="9" s="1"/>
  <c r="Z15" i="9" s="1"/>
  <c r="AB15" i="9"/>
  <c r="E14" i="9"/>
  <c r="E13" i="9"/>
  <c r="E12" i="9"/>
  <c r="E11" i="9"/>
  <c r="F11" i="9" s="1"/>
  <c r="G11" i="9" s="1"/>
  <c r="H11" i="9" s="1"/>
  <c r="I11" i="9" s="1"/>
  <c r="J11" i="9" s="1"/>
  <c r="K11" i="9" s="1"/>
  <c r="L11" i="9" s="1"/>
  <c r="M11" i="9" s="1"/>
  <c r="N11" i="9" s="1"/>
  <c r="O11" i="9" s="1"/>
  <c r="P11" i="9" s="1"/>
  <c r="Q11" i="9" s="1"/>
  <c r="R11" i="9" s="1"/>
  <c r="S11" i="9" s="1"/>
  <c r="T11" i="9" s="1"/>
  <c r="U11" i="9" s="1"/>
  <c r="V11" i="9" s="1"/>
  <c r="W11" i="9" s="1"/>
  <c r="X11" i="9" s="1"/>
  <c r="Y11" i="9" s="1"/>
  <c r="Z11" i="9" s="1"/>
  <c r="AB11" i="9"/>
  <c r="E10" i="9"/>
  <c r="F10" i="9" s="1"/>
  <c r="G10" i="9" s="1"/>
  <c r="H10" i="9" s="1"/>
  <c r="I10" i="9" s="1"/>
  <c r="J10" i="9" s="1"/>
  <c r="K10" i="9" s="1"/>
  <c r="L10" i="9" s="1"/>
  <c r="M10" i="9" s="1"/>
  <c r="N10" i="9" s="1"/>
  <c r="O10" i="9" s="1"/>
  <c r="P10" i="9" s="1"/>
  <c r="Q10" i="9" s="1"/>
  <c r="R10" i="9" s="1"/>
  <c r="S10" i="9" s="1"/>
  <c r="T10" i="9" s="1"/>
  <c r="U10" i="9" s="1"/>
  <c r="V10" i="9" s="1"/>
  <c r="W10" i="9" s="1"/>
  <c r="X10" i="9" s="1"/>
  <c r="Y10" i="9" s="1"/>
  <c r="Z10" i="9" s="1"/>
  <c r="AB10" i="9"/>
  <c r="AC9" i="9" s="1"/>
  <c r="B9" i="8" s="1"/>
  <c r="E8" i="9"/>
  <c r="F8" i="9" s="1"/>
  <c r="G8" i="9" s="1"/>
  <c r="H8" i="9" s="1"/>
  <c r="I8" i="9" s="1"/>
  <c r="J8" i="9" s="1"/>
  <c r="K8" i="9" s="1"/>
  <c r="L8" i="9" s="1"/>
  <c r="M8" i="9" s="1"/>
  <c r="N8" i="9" s="1"/>
  <c r="O8" i="9" s="1"/>
  <c r="P8" i="9" s="1"/>
  <c r="Q8" i="9" s="1"/>
  <c r="R8" i="9" s="1"/>
  <c r="S8" i="9" s="1"/>
  <c r="T8" i="9" s="1"/>
  <c r="U8" i="9" s="1"/>
  <c r="V8" i="9" s="1"/>
  <c r="W8" i="9" s="1"/>
  <c r="X8" i="9" s="1"/>
  <c r="Y8" i="9" s="1"/>
  <c r="Z8" i="9" s="1"/>
  <c r="AB8" i="9"/>
  <c r="E7" i="9"/>
  <c r="F7" i="9" s="1"/>
  <c r="G7" i="9" s="1"/>
  <c r="H7" i="9" s="1"/>
  <c r="I7" i="9" s="1"/>
  <c r="J7" i="9" s="1"/>
  <c r="K7" i="9" s="1"/>
  <c r="L7" i="9" s="1"/>
  <c r="M7" i="9" s="1"/>
  <c r="N7" i="9" s="1"/>
  <c r="O7" i="9" s="1"/>
  <c r="P7" i="9" s="1"/>
  <c r="Q7" i="9" s="1"/>
  <c r="R7" i="9" s="1"/>
  <c r="S7" i="9" s="1"/>
  <c r="T7" i="9" s="1"/>
  <c r="U7" i="9" s="1"/>
  <c r="V7" i="9" s="1"/>
  <c r="W7" i="9" s="1"/>
  <c r="X7" i="9" s="1"/>
  <c r="Y7" i="9" s="1"/>
  <c r="Z7" i="9" s="1"/>
  <c r="AB7" i="9"/>
  <c r="E6" i="9"/>
  <c r="F6" i="9" s="1"/>
  <c r="G6" i="9" s="1"/>
  <c r="H6" i="9" s="1"/>
  <c r="I6" i="9" s="1"/>
  <c r="J6" i="9" s="1"/>
  <c r="K6" i="9" s="1"/>
  <c r="L6" i="9" s="1"/>
  <c r="M6" i="9" s="1"/>
  <c r="N6" i="9" s="1"/>
  <c r="O6" i="9" s="1"/>
  <c r="P6" i="9" s="1"/>
  <c r="Q6" i="9" s="1"/>
  <c r="R6" i="9" s="1"/>
  <c r="S6" i="9" s="1"/>
  <c r="T6" i="9" s="1"/>
  <c r="U6" i="9" s="1"/>
  <c r="V6" i="9" s="1"/>
  <c r="W6" i="9" s="1"/>
  <c r="X6" i="9" s="1"/>
  <c r="Y6" i="9" s="1"/>
  <c r="Z6" i="9" s="1"/>
  <c r="AB6" i="9"/>
  <c r="AC6" i="9" s="1"/>
  <c r="B8" i="8" s="1"/>
  <c r="E41" i="7"/>
  <c r="E39" i="7"/>
  <c r="E38" i="7"/>
  <c r="F38" i="7" s="1"/>
  <c r="G38" i="7" s="1"/>
  <c r="H38" i="7" s="1"/>
  <c r="I38" i="7" s="1"/>
  <c r="J38" i="7" s="1"/>
  <c r="K38" i="7" s="1"/>
  <c r="L38" i="7" s="1"/>
  <c r="M38" i="7" s="1"/>
  <c r="N38" i="7" s="1"/>
  <c r="O38" i="7" s="1"/>
  <c r="P38" i="7" s="1"/>
  <c r="Q38" i="7" s="1"/>
  <c r="R38" i="7" s="1"/>
  <c r="S38" i="7" s="1"/>
  <c r="T38" i="7" s="1"/>
  <c r="U38" i="7" s="1"/>
  <c r="V38" i="7" s="1"/>
  <c r="W38" i="7" s="1"/>
  <c r="X38" i="7" s="1"/>
  <c r="Y38" i="7" s="1"/>
  <c r="Z38" i="7" s="1"/>
  <c r="AB38" i="7"/>
  <c r="E37" i="7"/>
  <c r="E36" i="7"/>
  <c r="E35" i="7"/>
  <c r="F35" i="7" s="1"/>
  <c r="G35" i="7" s="1"/>
  <c r="H35" i="7" s="1"/>
  <c r="I35" i="7" s="1"/>
  <c r="J35" i="7" s="1"/>
  <c r="K35" i="7" s="1"/>
  <c r="L35" i="7" s="1"/>
  <c r="M35" i="7" s="1"/>
  <c r="N35" i="7" s="1"/>
  <c r="O35" i="7" s="1"/>
  <c r="P35" i="7" s="1"/>
  <c r="Q35" i="7" s="1"/>
  <c r="R35" i="7" s="1"/>
  <c r="S35" i="7" s="1"/>
  <c r="T35" i="7" s="1"/>
  <c r="U35" i="7" s="1"/>
  <c r="V35" i="7" s="1"/>
  <c r="W35" i="7" s="1"/>
  <c r="X35" i="7" s="1"/>
  <c r="Y35" i="7" s="1"/>
  <c r="Z35" i="7" s="1"/>
  <c r="AB35" i="7"/>
  <c r="E34" i="7"/>
  <c r="F34" i="7" s="1"/>
  <c r="G34" i="7" s="1"/>
  <c r="H34" i="7" s="1"/>
  <c r="I34" i="7" s="1"/>
  <c r="J34" i="7" s="1"/>
  <c r="K34" i="7" s="1"/>
  <c r="L34" i="7" s="1"/>
  <c r="M34" i="7" s="1"/>
  <c r="N34" i="7" s="1"/>
  <c r="O34" i="7" s="1"/>
  <c r="P34" i="7" s="1"/>
  <c r="Q34" i="7" s="1"/>
  <c r="R34" i="7" s="1"/>
  <c r="S34" i="7" s="1"/>
  <c r="T34" i="7" s="1"/>
  <c r="U34" i="7" s="1"/>
  <c r="V34" i="7" s="1"/>
  <c r="W34" i="7" s="1"/>
  <c r="X34" i="7" s="1"/>
  <c r="Y34" i="7" s="1"/>
  <c r="Z34" i="7" s="1"/>
  <c r="AB34" i="7"/>
  <c r="E33" i="7"/>
  <c r="E32" i="7"/>
  <c r="F32" i="7" s="1"/>
  <c r="G32" i="7" s="1"/>
  <c r="H32" i="7" s="1"/>
  <c r="I32" i="7" s="1"/>
  <c r="J32" i="7" s="1"/>
  <c r="K32" i="7" s="1"/>
  <c r="L32" i="7" s="1"/>
  <c r="M32" i="7" s="1"/>
  <c r="N32" i="7" s="1"/>
  <c r="O32" i="7" s="1"/>
  <c r="P32" i="7" s="1"/>
  <c r="Q32" i="7" s="1"/>
  <c r="R32" i="7" s="1"/>
  <c r="S32" i="7" s="1"/>
  <c r="T32" i="7" s="1"/>
  <c r="U32" i="7" s="1"/>
  <c r="V32" i="7" s="1"/>
  <c r="W32" i="7" s="1"/>
  <c r="X32" i="7" s="1"/>
  <c r="Y32" i="7" s="1"/>
  <c r="Z32" i="7" s="1"/>
  <c r="AB32" i="7"/>
  <c r="E31" i="7"/>
  <c r="F31" i="7" s="1"/>
  <c r="G31" i="7" s="1"/>
  <c r="H31" i="7" s="1"/>
  <c r="I31" i="7" s="1"/>
  <c r="J31" i="7" s="1"/>
  <c r="K31" i="7" s="1"/>
  <c r="L31" i="7" s="1"/>
  <c r="M31" i="7" s="1"/>
  <c r="N31" i="7" s="1"/>
  <c r="O31" i="7" s="1"/>
  <c r="P31" i="7" s="1"/>
  <c r="Q31" i="7" s="1"/>
  <c r="R31" i="7" s="1"/>
  <c r="S31" i="7" s="1"/>
  <c r="T31" i="7" s="1"/>
  <c r="U31" i="7" s="1"/>
  <c r="V31" i="7" s="1"/>
  <c r="W31" i="7" s="1"/>
  <c r="X31" i="7" s="1"/>
  <c r="Y31" i="7" s="1"/>
  <c r="Z31" i="7" s="1"/>
  <c r="AB31" i="7"/>
  <c r="E30" i="7"/>
  <c r="F30" i="7" s="1"/>
  <c r="G30" i="7" s="1"/>
  <c r="H30" i="7" s="1"/>
  <c r="I30" i="7" s="1"/>
  <c r="J30" i="7" s="1"/>
  <c r="K30" i="7" s="1"/>
  <c r="L30" i="7" s="1"/>
  <c r="M30" i="7" s="1"/>
  <c r="N30" i="7" s="1"/>
  <c r="O30" i="7" s="1"/>
  <c r="P30" i="7" s="1"/>
  <c r="Q30" i="7" s="1"/>
  <c r="R30" i="7" s="1"/>
  <c r="S30" i="7" s="1"/>
  <c r="T30" i="7" s="1"/>
  <c r="U30" i="7" s="1"/>
  <c r="V30" i="7" s="1"/>
  <c r="W30" i="7" s="1"/>
  <c r="X30" i="7" s="1"/>
  <c r="Y30" i="7" s="1"/>
  <c r="Z30" i="7" s="1"/>
  <c r="AB30" i="7"/>
  <c r="AC30" i="7" s="1"/>
  <c r="E29" i="7"/>
  <c r="F29" i="7" s="1"/>
  <c r="G29" i="7" s="1"/>
  <c r="H29" i="7" s="1"/>
  <c r="I29" i="7" s="1"/>
  <c r="J29" i="7" s="1"/>
  <c r="K29" i="7" s="1"/>
  <c r="L29" i="7" s="1"/>
  <c r="M29" i="7" s="1"/>
  <c r="N29" i="7" s="1"/>
  <c r="O29" i="7" s="1"/>
  <c r="P29" i="7" s="1"/>
  <c r="Q29" i="7" s="1"/>
  <c r="R29" i="7" s="1"/>
  <c r="S29" i="7" s="1"/>
  <c r="T29" i="7" s="1"/>
  <c r="U29" i="7" s="1"/>
  <c r="V29" i="7" s="1"/>
  <c r="W29" i="7" s="1"/>
  <c r="X29" i="7" s="1"/>
  <c r="Y29" i="7" s="1"/>
  <c r="Z29" i="7" s="1"/>
  <c r="AB29" i="7"/>
  <c r="E28" i="7"/>
  <c r="E27" i="7"/>
  <c r="E26" i="7"/>
  <c r="E25" i="7"/>
  <c r="F25" i="7" s="1"/>
  <c r="G25" i="7" s="1"/>
  <c r="H25" i="7" s="1"/>
  <c r="I25" i="7" s="1"/>
  <c r="J25" i="7" s="1"/>
  <c r="K25" i="7" s="1"/>
  <c r="L25" i="7" s="1"/>
  <c r="M25" i="7" s="1"/>
  <c r="N25" i="7" s="1"/>
  <c r="O25" i="7" s="1"/>
  <c r="P25" i="7" s="1"/>
  <c r="Q25" i="7" s="1"/>
  <c r="R25" i="7" s="1"/>
  <c r="S25" i="7" s="1"/>
  <c r="T25" i="7" s="1"/>
  <c r="U25" i="7" s="1"/>
  <c r="V25" i="7" s="1"/>
  <c r="W25" i="7" s="1"/>
  <c r="X25" i="7" s="1"/>
  <c r="Y25" i="7" s="1"/>
  <c r="Z25" i="7" s="1"/>
  <c r="AB25" i="7"/>
  <c r="E24" i="7"/>
  <c r="F24" i="7" s="1"/>
  <c r="G24" i="7" s="1"/>
  <c r="H24" i="7" s="1"/>
  <c r="I24" i="7" s="1"/>
  <c r="J24" i="7" s="1"/>
  <c r="K24" i="7" s="1"/>
  <c r="L24" i="7" s="1"/>
  <c r="M24" i="7" s="1"/>
  <c r="N24" i="7" s="1"/>
  <c r="O24" i="7" s="1"/>
  <c r="P24" i="7" s="1"/>
  <c r="Q24" i="7" s="1"/>
  <c r="R24" i="7" s="1"/>
  <c r="S24" i="7" s="1"/>
  <c r="T24" i="7" s="1"/>
  <c r="U24" i="7" s="1"/>
  <c r="V24" i="7" s="1"/>
  <c r="W24" i="7" s="1"/>
  <c r="X24" i="7" s="1"/>
  <c r="Y24" i="7" s="1"/>
  <c r="Z24" i="7" s="1"/>
  <c r="AB24" i="7"/>
  <c r="E23" i="7"/>
  <c r="F23" i="7" s="1"/>
  <c r="G23" i="7" s="1"/>
  <c r="H23" i="7" s="1"/>
  <c r="I23" i="7" s="1"/>
  <c r="J23" i="7" s="1"/>
  <c r="K23" i="7" s="1"/>
  <c r="L23" i="7" s="1"/>
  <c r="M23" i="7" s="1"/>
  <c r="N23" i="7" s="1"/>
  <c r="O23" i="7" s="1"/>
  <c r="P23" i="7" s="1"/>
  <c r="Q23" i="7" s="1"/>
  <c r="R23" i="7" s="1"/>
  <c r="S23" i="7" s="1"/>
  <c r="T23" i="7" s="1"/>
  <c r="U23" i="7" s="1"/>
  <c r="V23" i="7" s="1"/>
  <c r="W23" i="7" s="1"/>
  <c r="X23" i="7" s="1"/>
  <c r="Y23" i="7" s="1"/>
  <c r="Z23" i="7" s="1"/>
  <c r="AB23" i="7"/>
  <c r="E22" i="7"/>
  <c r="F22" i="7" s="1"/>
  <c r="G22" i="7" s="1"/>
  <c r="H22" i="7" s="1"/>
  <c r="I22" i="7" s="1"/>
  <c r="J22" i="7" s="1"/>
  <c r="K22" i="7" s="1"/>
  <c r="L22" i="7" s="1"/>
  <c r="M22" i="7" s="1"/>
  <c r="N22" i="7" s="1"/>
  <c r="O22" i="7" s="1"/>
  <c r="P22" i="7" s="1"/>
  <c r="Q22" i="7" s="1"/>
  <c r="R22" i="7" s="1"/>
  <c r="S22" i="7" s="1"/>
  <c r="T22" i="7" s="1"/>
  <c r="U22" i="7" s="1"/>
  <c r="V22" i="7" s="1"/>
  <c r="W22" i="7" s="1"/>
  <c r="X22" i="7" s="1"/>
  <c r="Y22" i="7" s="1"/>
  <c r="Z22" i="7" s="1"/>
  <c r="AB22" i="7"/>
  <c r="E21" i="7"/>
  <c r="F21" i="7" s="1"/>
  <c r="G21" i="7" s="1"/>
  <c r="H21" i="7" s="1"/>
  <c r="I21" i="7" s="1"/>
  <c r="J21" i="7" s="1"/>
  <c r="K21" i="7" s="1"/>
  <c r="L21" i="7" s="1"/>
  <c r="M21" i="7" s="1"/>
  <c r="N21" i="7" s="1"/>
  <c r="O21" i="7" s="1"/>
  <c r="P21" i="7" s="1"/>
  <c r="Q21" i="7" s="1"/>
  <c r="R21" i="7" s="1"/>
  <c r="S21" i="7" s="1"/>
  <c r="T21" i="7" s="1"/>
  <c r="U21" i="7" s="1"/>
  <c r="V21" i="7" s="1"/>
  <c r="W21" i="7" s="1"/>
  <c r="X21" i="7" s="1"/>
  <c r="Y21" i="7" s="1"/>
  <c r="Z21" i="7" s="1"/>
  <c r="AB21" i="7"/>
  <c r="AC21" i="7" s="1"/>
  <c r="E20" i="7"/>
  <c r="F20" i="7" s="1"/>
  <c r="G20" i="7" s="1"/>
  <c r="H20" i="7" s="1"/>
  <c r="I20" i="7" s="1"/>
  <c r="J20" i="7" s="1"/>
  <c r="K20" i="7" s="1"/>
  <c r="L20" i="7" s="1"/>
  <c r="M20" i="7" s="1"/>
  <c r="N20" i="7" s="1"/>
  <c r="O20" i="7" s="1"/>
  <c r="P20" i="7" s="1"/>
  <c r="Q20" i="7" s="1"/>
  <c r="R20" i="7" s="1"/>
  <c r="S20" i="7" s="1"/>
  <c r="T20" i="7" s="1"/>
  <c r="U20" i="7" s="1"/>
  <c r="V20" i="7" s="1"/>
  <c r="W20" i="7" s="1"/>
  <c r="X20" i="7" s="1"/>
  <c r="Y20" i="7" s="1"/>
  <c r="Z20" i="7" s="1"/>
  <c r="AB20" i="7"/>
  <c r="E19" i="7"/>
  <c r="F19" i="7" s="1"/>
  <c r="G19" i="7" s="1"/>
  <c r="H19" i="7" s="1"/>
  <c r="I19" i="7" s="1"/>
  <c r="J19" i="7" s="1"/>
  <c r="K19" i="7" s="1"/>
  <c r="L19" i="7" s="1"/>
  <c r="M19" i="7" s="1"/>
  <c r="N19" i="7" s="1"/>
  <c r="O19" i="7" s="1"/>
  <c r="P19" i="7" s="1"/>
  <c r="Q19" i="7" s="1"/>
  <c r="R19" i="7" s="1"/>
  <c r="S19" i="7" s="1"/>
  <c r="T19" i="7" s="1"/>
  <c r="U19" i="7" s="1"/>
  <c r="V19" i="7" s="1"/>
  <c r="W19" i="7" s="1"/>
  <c r="X19" i="7" s="1"/>
  <c r="Y19" i="7" s="1"/>
  <c r="Z19" i="7" s="1"/>
  <c r="AB19" i="7"/>
  <c r="E18" i="7"/>
  <c r="F18" i="7" s="1"/>
  <c r="G18" i="7" s="1"/>
  <c r="H18" i="7" s="1"/>
  <c r="I18" i="7" s="1"/>
  <c r="J18" i="7" s="1"/>
  <c r="K18" i="7" s="1"/>
  <c r="L18" i="7" s="1"/>
  <c r="M18" i="7" s="1"/>
  <c r="N18" i="7" s="1"/>
  <c r="O18" i="7" s="1"/>
  <c r="P18" i="7" s="1"/>
  <c r="Q18" i="7" s="1"/>
  <c r="R18" i="7" s="1"/>
  <c r="S18" i="7" s="1"/>
  <c r="T18" i="7" s="1"/>
  <c r="U18" i="7" s="1"/>
  <c r="V18" i="7" s="1"/>
  <c r="W18" i="7" s="1"/>
  <c r="X18" i="7" s="1"/>
  <c r="Y18" i="7" s="1"/>
  <c r="Z18" i="7" s="1"/>
  <c r="AB18" i="7"/>
  <c r="AC18" i="7" s="1"/>
  <c r="E17" i="7"/>
  <c r="F17" i="7" s="1"/>
  <c r="G17" i="7" s="1"/>
  <c r="H17" i="7" s="1"/>
  <c r="I17" i="7" s="1"/>
  <c r="J17" i="7" s="1"/>
  <c r="K17" i="7" s="1"/>
  <c r="L17" i="7" s="1"/>
  <c r="M17" i="7" s="1"/>
  <c r="N17" i="7" s="1"/>
  <c r="O17" i="7" s="1"/>
  <c r="P17" i="7" s="1"/>
  <c r="Q17" i="7" s="1"/>
  <c r="R17" i="7" s="1"/>
  <c r="S17" i="7" s="1"/>
  <c r="T17" i="7" s="1"/>
  <c r="U17" i="7" s="1"/>
  <c r="V17" i="7" s="1"/>
  <c r="W17" i="7" s="1"/>
  <c r="X17" i="7" s="1"/>
  <c r="Y17" i="7" s="1"/>
  <c r="Z17" i="7" s="1"/>
  <c r="AB17" i="7"/>
  <c r="E16" i="7"/>
  <c r="F16" i="7" s="1"/>
  <c r="G16" i="7" s="1"/>
  <c r="H16" i="7" s="1"/>
  <c r="I16" i="7" s="1"/>
  <c r="J16" i="7" s="1"/>
  <c r="K16" i="7" s="1"/>
  <c r="L16" i="7" s="1"/>
  <c r="M16" i="7" s="1"/>
  <c r="N16" i="7" s="1"/>
  <c r="O16" i="7" s="1"/>
  <c r="P16" i="7" s="1"/>
  <c r="Q16" i="7" s="1"/>
  <c r="R16" i="7" s="1"/>
  <c r="S16" i="7" s="1"/>
  <c r="T16" i="7" s="1"/>
  <c r="U16" i="7" s="1"/>
  <c r="V16" i="7" s="1"/>
  <c r="W16" i="7" s="1"/>
  <c r="X16" i="7" s="1"/>
  <c r="Y16" i="7" s="1"/>
  <c r="Z16" i="7" s="1"/>
  <c r="AB16" i="7"/>
  <c r="AC15" i="7" s="1"/>
  <c r="E14" i="7"/>
  <c r="F14" i="7" s="1"/>
  <c r="G14" i="7" s="1"/>
  <c r="H14" i="7" s="1"/>
  <c r="I14" i="7" s="1"/>
  <c r="J14" i="7" s="1"/>
  <c r="K14" i="7" s="1"/>
  <c r="L14" i="7" s="1"/>
  <c r="M14" i="7" s="1"/>
  <c r="N14" i="7" s="1"/>
  <c r="O14" i="7" s="1"/>
  <c r="P14" i="7" s="1"/>
  <c r="Q14" i="7" s="1"/>
  <c r="R14" i="7" s="1"/>
  <c r="S14" i="7" s="1"/>
  <c r="T14" i="7" s="1"/>
  <c r="U14" i="7" s="1"/>
  <c r="V14" i="7" s="1"/>
  <c r="W14" i="7" s="1"/>
  <c r="X14" i="7" s="1"/>
  <c r="Y14" i="7" s="1"/>
  <c r="Z14" i="7" s="1"/>
  <c r="AB14" i="7"/>
  <c r="E12" i="7"/>
  <c r="E10" i="7"/>
  <c r="F10" i="7" s="1"/>
  <c r="G10" i="7" s="1"/>
  <c r="H10" i="7" s="1"/>
  <c r="I10" i="7" s="1"/>
  <c r="J10" i="7" s="1"/>
  <c r="K10" i="7" s="1"/>
  <c r="L10" i="7" s="1"/>
  <c r="M10" i="7" s="1"/>
  <c r="N10" i="7" s="1"/>
  <c r="O10" i="7" s="1"/>
  <c r="P10" i="7" s="1"/>
  <c r="Q10" i="7" s="1"/>
  <c r="R10" i="7" s="1"/>
  <c r="S10" i="7" s="1"/>
  <c r="T10" i="7" s="1"/>
  <c r="U10" i="7" s="1"/>
  <c r="V10" i="7" s="1"/>
  <c r="W10" i="7" s="1"/>
  <c r="X10" i="7" s="1"/>
  <c r="Y10" i="7" s="1"/>
  <c r="Z10" i="7" s="1"/>
  <c r="AB10" i="7"/>
  <c r="E9" i="7"/>
  <c r="E8" i="7"/>
  <c r="E7" i="7"/>
  <c r="E76" i="5"/>
  <c r="F76" i="5" s="1"/>
  <c r="G76" i="5" s="1"/>
  <c r="H76" i="5" s="1"/>
  <c r="I76" i="5" s="1"/>
  <c r="J76" i="5" s="1"/>
  <c r="K76" i="5" s="1"/>
  <c r="L76" i="5" s="1"/>
  <c r="M76" i="5" s="1"/>
  <c r="N76" i="5" s="1"/>
  <c r="O76" i="5" s="1"/>
  <c r="P76" i="5" s="1"/>
  <c r="Q76" i="5" s="1"/>
  <c r="R76" i="5" s="1"/>
  <c r="S76" i="5" s="1"/>
  <c r="T76" i="5" s="1"/>
  <c r="U76" i="5" s="1"/>
  <c r="V76" i="5" s="1"/>
  <c r="W76" i="5" s="1"/>
  <c r="X76" i="5" s="1"/>
  <c r="Y76" i="5" s="1"/>
  <c r="Z76" i="5" s="1"/>
  <c r="AB76" i="5"/>
  <c r="E75" i="5"/>
  <c r="F75" i="5" s="1"/>
  <c r="G75" i="5" s="1"/>
  <c r="H75" i="5" s="1"/>
  <c r="I75" i="5" s="1"/>
  <c r="J75" i="5" s="1"/>
  <c r="K75" i="5" s="1"/>
  <c r="L75" i="5" s="1"/>
  <c r="M75" i="5" s="1"/>
  <c r="N75" i="5" s="1"/>
  <c r="O75" i="5" s="1"/>
  <c r="P75" i="5" s="1"/>
  <c r="Q75" i="5" s="1"/>
  <c r="R75" i="5" s="1"/>
  <c r="S75" i="5" s="1"/>
  <c r="T75" i="5" s="1"/>
  <c r="U75" i="5" s="1"/>
  <c r="V75" i="5" s="1"/>
  <c r="W75" i="5" s="1"/>
  <c r="X75" i="5" s="1"/>
  <c r="Y75" i="5" s="1"/>
  <c r="Z75" i="5" s="1"/>
  <c r="AB75" i="5"/>
  <c r="AC75" i="5" s="1"/>
  <c r="B31" i="4" s="1"/>
  <c r="E74" i="5"/>
  <c r="E73" i="5"/>
  <c r="E72" i="5"/>
  <c r="F72" i="5" s="1"/>
  <c r="G72" i="5" s="1"/>
  <c r="H72" i="5" s="1"/>
  <c r="I72" i="5" s="1"/>
  <c r="J72" i="5" s="1"/>
  <c r="K72" i="5" s="1"/>
  <c r="L72" i="5" s="1"/>
  <c r="M72" i="5" s="1"/>
  <c r="N72" i="5" s="1"/>
  <c r="O72" i="5" s="1"/>
  <c r="P72" i="5" s="1"/>
  <c r="Q72" i="5" s="1"/>
  <c r="R72" i="5" s="1"/>
  <c r="S72" i="5" s="1"/>
  <c r="T72" i="5" s="1"/>
  <c r="U72" i="5" s="1"/>
  <c r="V72" i="5" s="1"/>
  <c r="W72" i="5" s="1"/>
  <c r="X72" i="5" s="1"/>
  <c r="Y72" i="5" s="1"/>
  <c r="Z72" i="5" s="1"/>
  <c r="AB72" i="5"/>
  <c r="E71" i="5"/>
  <c r="E70" i="5"/>
  <c r="E69" i="5"/>
  <c r="E68" i="5"/>
  <c r="E67" i="5"/>
  <c r="E66" i="5"/>
  <c r="F66" i="5" s="1"/>
  <c r="G66" i="5" s="1"/>
  <c r="H66" i="5" s="1"/>
  <c r="I66" i="5" s="1"/>
  <c r="E65" i="5"/>
  <c r="E64" i="5"/>
  <c r="F64" i="5" s="1"/>
  <c r="G64" i="5" s="1"/>
  <c r="H64" i="5" s="1"/>
  <c r="I64" i="5" s="1"/>
  <c r="J64" i="5" s="1"/>
  <c r="K64" i="5" s="1"/>
  <c r="L64" i="5" s="1"/>
  <c r="M64" i="5" s="1"/>
  <c r="N64" i="5" s="1"/>
  <c r="O64" i="5" s="1"/>
  <c r="P64" i="5" s="1"/>
  <c r="Q64" i="5" s="1"/>
  <c r="R64" i="5" s="1"/>
  <c r="S64" i="5" s="1"/>
  <c r="T64" i="5" s="1"/>
  <c r="U64" i="5" s="1"/>
  <c r="V64" i="5" s="1"/>
  <c r="W64" i="5" s="1"/>
  <c r="X64" i="5" s="1"/>
  <c r="Y64" i="5" s="1"/>
  <c r="Z64" i="5" s="1"/>
  <c r="AB64" i="5"/>
  <c r="E63" i="5"/>
  <c r="F63" i="5" s="1"/>
  <c r="G63" i="5" s="1"/>
  <c r="H63" i="5" s="1"/>
  <c r="I63" i="5" s="1"/>
  <c r="J63" i="5" s="1"/>
  <c r="K63" i="5" s="1"/>
  <c r="L63" i="5" s="1"/>
  <c r="E62" i="5"/>
  <c r="E61" i="5"/>
  <c r="E60" i="5"/>
  <c r="F60" i="5" s="1"/>
  <c r="G60" i="5" s="1"/>
  <c r="H60" i="5" s="1"/>
  <c r="I60" i="5" s="1"/>
  <c r="J60" i="5" s="1"/>
  <c r="K60" i="5" s="1"/>
  <c r="L60" i="5" s="1"/>
  <c r="M60" i="5" s="1"/>
  <c r="N60" i="5" s="1"/>
  <c r="O60" i="5" s="1"/>
  <c r="P60" i="5" s="1"/>
  <c r="Q60" i="5" s="1"/>
  <c r="R60" i="5" s="1"/>
  <c r="S60" i="5" s="1"/>
  <c r="T60" i="5" s="1"/>
  <c r="U60" i="5" s="1"/>
  <c r="V60" i="5" s="1"/>
  <c r="W60" i="5" s="1"/>
  <c r="X60" i="5" s="1"/>
  <c r="Y60" i="5" s="1"/>
  <c r="Z60" i="5" s="1"/>
  <c r="AB60" i="5"/>
  <c r="E59" i="5"/>
  <c r="F59" i="5" s="1"/>
  <c r="G59" i="5" s="1"/>
  <c r="H59" i="5" s="1"/>
  <c r="E58" i="5"/>
  <c r="E57" i="5"/>
  <c r="F57" i="5" s="1"/>
  <c r="G57" i="5" s="1"/>
  <c r="H57" i="5" s="1"/>
  <c r="I57" i="5" s="1"/>
  <c r="J57" i="5" s="1"/>
  <c r="K57" i="5" s="1"/>
  <c r="L57" i="5" s="1"/>
  <c r="M57" i="5" s="1"/>
  <c r="N57" i="5" s="1"/>
  <c r="O57" i="5" s="1"/>
  <c r="P57" i="5" s="1"/>
  <c r="Q57" i="5" s="1"/>
  <c r="R57" i="5" s="1"/>
  <c r="S57" i="5" s="1"/>
  <c r="T57" i="5" s="1"/>
  <c r="U57" i="5" s="1"/>
  <c r="V57" i="5" s="1"/>
  <c r="W57" i="5" s="1"/>
  <c r="X57" i="5" s="1"/>
  <c r="Y57" i="5" s="1"/>
  <c r="Z57" i="5" s="1"/>
  <c r="AB57" i="5"/>
  <c r="E56" i="5"/>
  <c r="F56" i="5" s="1"/>
  <c r="G56" i="5" s="1"/>
  <c r="H56" i="5" s="1"/>
  <c r="I56" i="5" s="1"/>
  <c r="J56" i="5" s="1"/>
  <c r="K56" i="5" s="1"/>
  <c r="E54" i="5"/>
  <c r="E53" i="5"/>
  <c r="F53" i="5" s="1"/>
  <c r="G53" i="5" s="1"/>
  <c r="H53" i="5" s="1"/>
  <c r="I53" i="5" s="1"/>
  <c r="J53" i="5" s="1"/>
  <c r="E52" i="5"/>
  <c r="E51" i="5"/>
  <c r="F51" i="5" s="1"/>
  <c r="E50" i="5"/>
  <c r="E49" i="5"/>
  <c r="E48" i="5"/>
  <c r="E47" i="5"/>
  <c r="F47" i="5" s="1"/>
  <c r="G47" i="5" s="1"/>
  <c r="H47" i="5" s="1"/>
  <c r="E46" i="5"/>
  <c r="F46" i="5" s="1"/>
  <c r="G46" i="5" s="1"/>
  <c r="H46" i="5" s="1"/>
  <c r="I46" i="5" s="1"/>
  <c r="J46" i="5" s="1"/>
  <c r="K46" i="5" s="1"/>
  <c r="L46" i="5" s="1"/>
  <c r="M46" i="5" s="1"/>
  <c r="E45" i="5"/>
  <c r="E44" i="5"/>
  <c r="F44" i="5" s="1"/>
  <c r="G44" i="5" s="1"/>
  <c r="H44" i="5" s="1"/>
  <c r="E43" i="5"/>
  <c r="E41" i="5"/>
  <c r="E40" i="5"/>
  <c r="F40" i="5" s="1"/>
  <c r="G40" i="5" s="1"/>
  <c r="H40" i="5" s="1"/>
  <c r="I40" i="5" s="1"/>
  <c r="E39" i="5"/>
  <c r="E38" i="5"/>
  <c r="F38" i="5" s="1"/>
  <c r="G38" i="5" s="1"/>
  <c r="H38" i="5" s="1"/>
  <c r="I38" i="5" s="1"/>
  <c r="J38" i="5" s="1"/>
  <c r="K38" i="5" s="1"/>
  <c r="L38" i="5" s="1"/>
  <c r="M38" i="5" s="1"/>
  <c r="N38" i="5" s="1"/>
  <c r="O38" i="5" s="1"/>
  <c r="P38" i="5" s="1"/>
  <c r="Q38" i="5" s="1"/>
  <c r="R38" i="5" s="1"/>
  <c r="S38" i="5" s="1"/>
  <c r="T38" i="5" s="1"/>
  <c r="U38" i="5" s="1"/>
  <c r="V38" i="5" s="1"/>
  <c r="E37" i="5"/>
  <c r="E36" i="5"/>
  <c r="F36" i="5" s="1"/>
  <c r="G36" i="5" s="1"/>
  <c r="H36" i="5" s="1"/>
  <c r="I36" i="5" s="1"/>
  <c r="J36" i="5" s="1"/>
  <c r="K36" i="5" s="1"/>
  <c r="L36" i="5" s="1"/>
  <c r="E35" i="5"/>
  <c r="F35" i="5" s="1"/>
  <c r="G35" i="5" s="1"/>
  <c r="H35" i="5" s="1"/>
  <c r="I35" i="5" s="1"/>
  <c r="J35" i="5" s="1"/>
  <c r="K35" i="5" s="1"/>
  <c r="L35" i="5" s="1"/>
  <c r="M35" i="5" s="1"/>
  <c r="N35" i="5" s="1"/>
  <c r="O35" i="5" s="1"/>
  <c r="P35" i="5" s="1"/>
  <c r="Q35" i="5" s="1"/>
  <c r="R35" i="5" s="1"/>
  <c r="S35" i="5" s="1"/>
  <c r="T35" i="5" s="1"/>
  <c r="U35" i="5" s="1"/>
  <c r="V35" i="5" s="1"/>
  <c r="W35" i="5" s="1"/>
  <c r="E34" i="5"/>
  <c r="E33" i="5"/>
  <c r="E32" i="5"/>
  <c r="E31" i="5"/>
  <c r="F31" i="5" s="1"/>
  <c r="G31" i="5" s="1"/>
  <c r="H31" i="5" s="1"/>
  <c r="I31" i="5" s="1"/>
  <c r="J31" i="5" s="1"/>
  <c r="K31" i="5" s="1"/>
  <c r="L31" i="5" s="1"/>
  <c r="M31" i="5" s="1"/>
  <c r="N31" i="5" s="1"/>
  <c r="E30" i="5"/>
  <c r="F30" i="5" s="1"/>
  <c r="G30" i="5" s="1"/>
  <c r="H30" i="5" s="1"/>
  <c r="I30" i="5" s="1"/>
  <c r="J30" i="5" s="1"/>
  <c r="E29" i="5"/>
  <c r="F29" i="5" s="1"/>
  <c r="G29" i="5" s="1"/>
  <c r="H29" i="5" s="1"/>
  <c r="I29" i="5" s="1"/>
  <c r="J29" i="5" s="1"/>
  <c r="K29" i="5" s="1"/>
  <c r="L29" i="5" s="1"/>
  <c r="M29" i="5" s="1"/>
  <c r="E28" i="5"/>
  <c r="F28" i="5" s="1"/>
  <c r="G28" i="5" s="1"/>
  <c r="H28" i="5" s="1"/>
  <c r="I28" i="5" s="1"/>
  <c r="J28" i="5" s="1"/>
  <c r="K28" i="5" s="1"/>
  <c r="L28" i="5" s="1"/>
  <c r="M28" i="5" s="1"/>
  <c r="E27" i="5"/>
  <c r="F27" i="5" s="1"/>
  <c r="G27" i="5" s="1"/>
  <c r="H27" i="5" s="1"/>
  <c r="E26" i="5"/>
  <c r="F26" i="5" s="1"/>
  <c r="G26" i="5" s="1"/>
  <c r="H26" i="5" s="1"/>
  <c r="I26" i="5" s="1"/>
  <c r="J26" i="5" s="1"/>
  <c r="K26" i="5" s="1"/>
  <c r="L26" i="5" s="1"/>
  <c r="M26" i="5" s="1"/>
  <c r="N26" i="5" s="1"/>
  <c r="O26" i="5" s="1"/>
  <c r="P26" i="5" s="1"/>
  <c r="Q26" i="5" s="1"/>
  <c r="R26" i="5" s="1"/>
  <c r="S26" i="5" s="1"/>
  <c r="T26" i="5" s="1"/>
  <c r="U26" i="5" s="1"/>
  <c r="V26" i="5" s="1"/>
  <c r="W26" i="5" s="1"/>
  <c r="X26" i="5" s="1"/>
  <c r="Y26" i="5" s="1"/>
  <c r="Z26" i="5" s="1"/>
  <c r="AB26" i="5"/>
  <c r="E25" i="5"/>
  <c r="F24" i="5"/>
  <c r="G24" i="5" s="1"/>
  <c r="H24" i="5" s="1"/>
  <c r="I24" i="5" s="1"/>
  <c r="J24" i="5" s="1"/>
  <c r="K24" i="5" s="1"/>
  <c r="L24" i="5" s="1"/>
  <c r="M24" i="5" s="1"/>
  <c r="N24" i="5" s="1"/>
  <c r="O24" i="5" s="1"/>
  <c r="E23" i="5"/>
  <c r="F23" i="5" s="1"/>
  <c r="G23" i="5" s="1"/>
  <c r="H23" i="5" s="1"/>
  <c r="I23" i="5" s="1"/>
  <c r="J23" i="5" s="1"/>
  <c r="K23" i="5" s="1"/>
  <c r="L23" i="5" s="1"/>
  <c r="E22" i="5"/>
  <c r="E21" i="5"/>
  <c r="F21" i="5" s="1"/>
  <c r="G21" i="5" s="1"/>
  <c r="H21" i="5" s="1"/>
  <c r="I21" i="5" s="1"/>
  <c r="J21" i="5" s="1"/>
  <c r="K21" i="5" s="1"/>
  <c r="L21" i="5" s="1"/>
  <c r="M21" i="5" s="1"/>
  <c r="E20" i="5"/>
  <c r="E19" i="5"/>
  <c r="E18" i="5"/>
  <c r="F18" i="5" s="1"/>
  <c r="G18" i="5" s="1"/>
  <c r="H18" i="5" s="1"/>
  <c r="E17" i="5"/>
  <c r="F17" i="5" s="1"/>
  <c r="G17" i="5" s="1"/>
  <c r="H17" i="5" s="1"/>
  <c r="I17" i="5" s="1"/>
  <c r="J17" i="5" s="1"/>
  <c r="K17" i="5" s="1"/>
  <c r="L17" i="5" s="1"/>
  <c r="M17" i="5" s="1"/>
  <c r="N17" i="5" s="1"/>
  <c r="O17" i="5" s="1"/>
  <c r="P17" i="5" s="1"/>
  <c r="Q17" i="5" s="1"/>
  <c r="R17" i="5" s="1"/>
  <c r="S17" i="5" s="1"/>
  <c r="T17" i="5" s="1"/>
  <c r="U17" i="5" s="1"/>
  <c r="V17" i="5" s="1"/>
  <c r="W17" i="5" s="1"/>
  <c r="E16" i="5"/>
  <c r="F16" i="5" s="1"/>
  <c r="G16" i="5" s="1"/>
  <c r="H16" i="5" s="1"/>
  <c r="I16" i="5" s="1"/>
  <c r="J16" i="5" s="1"/>
  <c r="K16" i="5" s="1"/>
  <c r="L16" i="5" s="1"/>
  <c r="M16" i="5" s="1"/>
  <c r="N16" i="5" s="1"/>
  <c r="O16" i="5" s="1"/>
  <c r="P16" i="5" s="1"/>
  <c r="E15" i="5"/>
  <c r="E14" i="5"/>
  <c r="E13" i="5"/>
  <c r="E12" i="5"/>
  <c r="E11" i="5"/>
  <c r="F11" i="5" s="1"/>
  <c r="G11" i="5" s="1"/>
  <c r="H11" i="5" s="1"/>
  <c r="I11" i="5" s="1"/>
  <c r="J11" i="5" s="1"/>
  <c r="K11" i="5" s="1"/>
  <c r="L11" i="5" s="1"/>
  <c r="M11" i="5" s="1"/>
  <c r="N11" i="5" s="1"/>
  <c r="O11" i="5" s="1"/>
  <c r="P11" i="5" s="1"/>
  <c r="Q11" i="5" s="1"/>
  <c r="R11" i="5" s="1"/>
  <c r="S11" i="5" s="1"/>
  <c r="T11" i="5" s="1"/>
  <c r="U11" i="5" s="1"/>
  <c r="V11" i="5" s="1"/>
  <c r="W11" i="5" s="1"/>
  <c r="X11" i="5" s="1"/>
  <c r="Y11" i="5" s="1"/>
  <c r="Z11" i="5" s="1"/>
  <c r="AB11" i="5"/>
  <c r="E10" i="5"/>
  <c r="F10" i="5" s="1"/>
  <c r="G10" i="5" s="1"/>
  <c r="H10" i="5" s="1"/>
  <c r="I10" i="5" s="1"/>
  <c r="J10" i="5" s="1"/>
  <c r="K10" i="5" s="1"/>
  <c r="L10" i="5" s="1"/>
  <c r="M10" i="5" s="1"/>
  <c r="N10" i="5" s="1"/>
  <c r="O10" i="5" s="1"/>
  <c r="P10" i="5" s="1"/>
  <c r="Q10" i="5" s="1"/>
  <c r="R10" i="5" s="1"/>
  <c r="S10" i="5" s="1"/>
  <c r="T10" i="5" s="1"/>
  <c r="U10" i="5" s="1"/>
  <c r="V10" i="5" s="1"/>
  <c r="W10" i="5" s="1"/>
  <c r="X10" i="5" s="1"/>
  <c r="Y10" i="5" s="1"/>
  <c r="E9" i="5"/>
  <c r="E8" i="5"/>
  <c r="E7" i="5"/>
  <c r="E6" i="5"/>
  <c r="E77" i="3"/>
  <c r="E76" i="3"/>
  <c r="F76" i="3" s="1"/>
  <c r="G76" i="3" s="1"/>
  <c r="H76" i="3" s="1"/>
  <c r="I76" i="3" s="1"/>
  <c r="J76" i="3" s="1"/>
  <c r="K76" i="3" s="1"/>
  <c r="L76" i="3" s="1"/>
  <c r="M76" i="3" s="1"/>
  <c r="N76" i="3" s="1"/>
  <c r="E75" i="3"/>
  <c r="F75" i="3" s="1"/>
  <c r="G75" i="3" s="1"/>
  <c r="H75" i="3" s="1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F61" i="3" s="1"/>
  <c r="E60" i="3"/>
  <c r="E59" i="3"/>
  <c r="F59" i="3" s="1"/>
  <c r="G59" i="3" s="1"/>
  <c r="H59" i="3" s="1"/>
  <c r="I59" i="3" s="1"/>
  <c r="E58" i="3"/>
  <c r="E57" i="3"/>
  <c r="E56" i="3"/>
  <c r="E55" i="3"/>
  <c r="E54" i="3"/>
  <c r="F54" i="3" s="1"/>
  <c r="G54" i="3" s="1"/>
  <c r="H54" i="3" s="1"/>
  <c r="I54" i="3" s="1"/>
  <c r="J54" i="3" s="1"/>
  <c r="K54" i="3" s="1"/>
  <c r="L54" i="3" s="1"/>
  <c r="M54" i="3" s="1"/>
  <c r="E53" i="3"/>
  <c r="E52" i="3"/>
  <c r="F52" i="3" s="1"/>
  <c r="G52" i="3" s="1"/>
  <c r="H52" i="3" s="1"/>
  <c r="I52" i="3" s="1"/>
  <c r="J52" i="3" s="1"/>
  <c r="K52" i="3" s="1"/>
  <c r="L52" i="3" s="1"/>
  <c r="M52" i="3" s="1"/>
  <c r="N52" i="3" s="1"/>
  <c r="O52" i="3" s="1"/>
  <c r="P52" i="3" s="1"/>
  <c r="E51" i="3"/>
  <c r="F51" i="3" s="1"/>
  <c r="G51" i="3" s="1"/>
  <c r="H51" i="3" s="1"/>
  <c r="I51" i="3" s="1"/>
  <c r="J51" i="3" s="1"/>
  <c r="E50" i="3"/>
  <c r="E49" i="3"/>
  <c r="E48" i="3"/>
  <c r="E47" i="3"/>
  <c r="F47" i="3" s="1"/>
  <c r="G47" i="3" s="1"/>
  <c r="H47" i="3" s="1"/>
  <c r="E46" i="3"/>
  <c r="E45" i="3"/>
  <c r="E44" i="3"/>
  <c r="E43" i="3"/>
  <c r="F43" i="3" s="1"/>
  <c r="G43" i="3" s="1"/>
  <c r="H43" i="3" s="1"/>
  <c r="I43" i="3" s="1"/>
  <c r="J43" i="3" s="1"/>
  <c r="K43" i="3" s="1"/>
  <c r="L43" i="3" s="1"/>
  <c r="M43" i="3" s="1"/>
  <c r="N43" i="3" s="1"/>
  <c r="O43" i="3" s="1"/>
  <c r="P43" i="3" s="1"/>
  <c r="Q43" i="3" s="1"/>
  <c r="R43" i="3" s="1"/>
  <c r="S43" i="3" s="1"/>
  <c r="T43" i="3" s="1"/>
  <c r="E42" i="3"/>
  <c r="E41" i="3"/>
  <c r="F41" i="3" s="1"/>
  <c r="G41" i="3" s="1"/>
  <c r="H41" i="3" s="1"/>
  <c r="I41" i="3" s="1"/>
  <c r="J41" i="3" s="1"/>
  <c r="K41" i="3" s="1"/>
  <c r="L41" i="3" s="1"/>
  <c r="M41" i="3" s="1"/>
  <c r="E40" i="3"/>
  <c r="E39" i="3"/>
  <c r="E38" i="3"/>
  <c r="E37" i="3"/>
  <c r="E36" i="3"/>
  <c r="E35" i="3"/>
  <c r="E34" i="3"/>
  <c r="F34" i="3" s="1"/>
  <c r="G34" i="3" s="1"/>
  <c r="H34" i="3" s="1"/>
  <c r="I34" i="3" s="1"/>
  <c r="J34" i="3" s="1"/>
  <c r="K34" i="3" s="1"/>
  <c r="L34" i="3" s="1"/>
  <c r="M34" i="3" s="1"/>
  <c r="E33" i="3"/>
  <c r="E32" i="3"/>
  <c r="E31" i="3"/>
  <c r="F31" i="3" s="1"/>
  <c r="G31" i="3" s="1"/>
  <c r="H31" i="3" s="1"/>
  <c r="I31" i="3" s="1"/>
  <c r="J31" i="3" s="1"/>
  <c r="K31" i="3" s="1"/>
  <c r="L31" i="3" s="1"/>
  <c r="M31" i="3" s="1"/>
  <c r="N31" i="3" s="1"/>
  <c r="O31" i="3" s="1"/>
  <c r="P31" i="3" s="1"/>
  <c r="E30" i="3"/>
  <c r="E29" i="3"/>
  <c r="F29" i="3" s="1"/>
  <c r="G29" i="3" s="1"/>
  <c r="H29" i="3" s="1"/>
  <c r="E28" i="3"/>
  <c r="E27" i="3"/>
  <c r="E26" i="3"/>
  <c r="E25" i="3"/>
  <c r="F25" i="3" s="1"/>
  <c r="G25" i="3" s="1"/>
  <c r="H25" i="3" s="1"/>
  <c r="I25" i="3" s="1"/>
  <c r="J25" i="3" s="1"/>
  <c r="K25" i="3" s="1"/>
  <c r="L25" i="3" s="1"/>
  <c r="M25" i="3" s="1"/>
  <c r="N25" i="3" s="1"/>
  <c r="O25" i="3" s="1"/>
  <c r="P25" i="3" s="1"/>
  <c r="Q25" i="3" s="1"/>
  <c r="R25" i="3" s="1"/>
  <c r="S25" i="3" s="1"/>
  <c r="T25" i="3" s="1"/>
  <c r="U25" i="3" s="1"/>
  <c r="V25" i="3" s="1"/>
  <c r="W25" i="3" s="1"/>
  <c r="X25" i="3" s="1"/>
  <c r="Y25" i="3" s="1"/>
  <c r="Z25" i="3" s="1"/>
  <c r="AB25" i="3" s="1"/>
  <c r="E24" i="3"/>
  <c r="F24" i="3" s="1"/>
  <c r="G24" i="3" s="1"/>
  <c r="H24" i="3" s="1"/>
  <c r="I24" i="3" s="1"/>
  <c r="J24" i="3" s="1"/>
  <c r="K24" i="3" s="1"/>
  <c r="L24" i="3" s="1"/>
  <c r="E23" i="3"/>
  <c r="E22" i="3"/>
  <c r="F22" i="3" s="1"/>
  <c r="G22" i="3" s="1"/>
  <c r="H22" i="3" s="1"/>
  <c r="I22" i="3" s="1"/>
  <c r="J22" i="3" s="1"/>
  <c r="K22" i="3" s="1"/>
  <c r="L22" i="3" s="1"/>
  <c r="M22" i="3" s="1"/>
  <c r="E21" i="3"/>
  <c r="F21" i="3" s="1"/>
  <c r="E20" i="3"/>
  <c r="F20" i="3" s="1"/>
  <c r="G20" i="3" s="1"/>
  <c r="H20" i="3" s="1"/>
  <c r="E19" i="3"/>
  <c r="E18" i="3"/>
  <c r="F18" i="3" s="1"/>
  <c r="E17" i="3"/>
  <c r="E16" i="3"/>
  <c r="E15" i="3"/>
  <c r="E14" i="3"/>
  <c r="E13" i="3"/>
  <c r="E12" i="3"/>
  <c r="E11" i="3"/>
  <c r="E10" i="3"/>
  <c r="E9" i="3"/>
  <c r="E8" i="3"/>
  <c r="F8" i="3" s="1"/>
  <c r="G8" i="3" s="1"/>
  <c r="H8" i="3" s="1"/>
  <c r="I8" i="3" s="1"/>
  <c r="J8" i="3" s="1"/>
  <c r="E7" i="3"/>
  <c r="F7" i="3" s="1"/>
  <c r="G7" i="3" s="1"/>
  <c r="H7" i="3" s="1"/>
  <c r="I7" i="3" s="1"/>
  <c r="J7" i="3" s="1"/>
  <c r="K7" i="3" s="1"/>
  <c r="L7" i="3" s="1"/>
  <c r="M7" i="3" s="1"/>
  <c r="N7" i="3" s="1"/>
  <c r="O7" i="3" s="1"/>
  <c r="P7" i="3" s="1"/>
  <c r="Q7" i="3" s="1"/>
  <c r="R7" i="3" s="1"/>
  <c r="S7" i="3" s="1"/>
  <c r="T7" i="3" s="1"/>
  <c r="U7" i="3" s="1"/>
  <c r="V7" i="3" s="1"/>
  <c r="E6" i="3"/>
  <c r="F6" i="3" s="1"/>
  <c r="G6" i="3" s="1"/>
  <c r="H6" i="3" s="1"/>
  <c r="I6" i="3" s="1"/>
  <c r="J6" i="3" s="1"/>
  <c r="K6" i="3" s="1"/>
  <c r="L6" i="3" s="1"/>
  <c r="M6" i="3" s="1"/>
  <c r="N6" i="3" s="1"/>
  <c r="O6" i="3" s="1"/>
  <c r="P6" i="3" s="1"/>
  <c r="Q6" i="3" s="1"/>
  <c r="R6" i="3" s="1"/>
  <c r="S6" i="3" s="1"/>
  <c r="T6" i="3" s="1"/>
  <c r="U6" i="3" s="1"/>
  <c r="V6" i="3" s="1"/>
  <c r="W6" i="3" s="1"/>
  <c r="X6" i="3" s="1"/>
  <c r="Y6" i="3" s="1"/>
  <c r="Z6" i="3" s="1"/>
  <c r="AB6" i="3"/>
  <c r="F149" i="11" l="1"/>
  <c r="G149" i="11" s="1"/>
  <c r="H149" i="11" s="1"/>
  <c r="I149" i="11" s="1"/>
  <c r="J149" i="11" s="1"/>
  <c r="K149" i="11" s="1"/>
  <c r="L149" i="11" s="1"/>
  <c r="M149" i="11" s="1"/>
  <c r="N149" i="11" s="1"/>
  <c r="O149" i="11" s="1"/>
  <c r="P149" i="11" s="1"/>
  <c r="Q149" i="11" s="1"/>
  <c r="R149" i="11" s="1"/>
  <c r="S149" i="11" s="1"/>
  <c r="T149" i="11" s="1"/>
  <c r="U149" i="11" s="1"/>
  <c r="V149" i="11" s="1"/>
  <c r="W149" i="11" s="1"/>
  <c r="X149" i="11" s="1"/>
  <c r="Y149" i="11" s="1"/>
  <c r="Z149" i="11" s="1"/>
  <c r="AB149" i="11"/>
  <c r="F148" i="11"/>
  <c r="G148" i="11" s="1"/>
  <c r="H148" i="11" s="1"/>
  <c r="I148" i="11" s="1"/>
  <c r="J148" i="11" s="1"/>
  <c r="K148" i="11" s="1"/>
  <c r="L148" i="11" s="1"/>
  <c r="M148" i="11" s="1"/>
  <c r="N148" i="11" s="1"/>
  <c r="O148" i="11" s="1"/>
  <c r="P148" i="11" s="1"/>
  <c r="Q148" i="11" s="1"/>
  <c r="R148" i="11" s="1"/>
  <c r="S148" i="11" s="1"/>
  <c r="T148" i="11" s="1"/>
  <c r="U148" i="11" s="1"/>
  <c r="V148" i="11" s="1"/>
  <c r="W148" i="11" s="1"/>
  <c r="X148" i="11" s="1"/>
  <c r="Y148" i="11" s="1"/>
  <c r="Z148" i="11" s="1"/>
  <c r="AB148" i="11"/>
  <c r="F147" i="11"/>
  <c r="G147" i="11" s="1"/>
  <c r="H147" i="11" s="1"/>
  <c r="I147" i="11" s="1"/>
  <c r="J147" i="11" s="1"/>
  <c r="K147" i="11" s="1"/>
  <c r="L147" i="11" s="1"/>
  <c r="M147" i="11" s="1"/>
  <c r="N147" i="11" s="1"/>
  <c r="O147" i="11" s="1"/>
  <c r="P147" i="11" s="1"/>
  <c r="Q147" i="11" s="1"/>
  <c r="R147" i="11" s="1"/>
  <c r="S147" i="11" s="1"/>
  <c r="T147" i="11" s="1"/>
  <c r="U147" i="11" s="1"/>
  <c r="V147" i="11" s="1"/>
  <c r="W147" i="11" s="1"/>
  <c r="X147" i="11" s="1"/>
  <c r="Y147" i="11" s="1"/>
  <c r="Z147" i="11" s="1"/>
  <c r="AB147" i="11"/>
  <c r="AC147" i="11" s="1"/>
  <c r="B55" i="10" s="1"/>
  <c r="F146" i="11"/>
  <c r="G146" i="11" s="1"/>
  <c r="H146" i="11" s="1"/>
  <c r="I146" i="11" s="1"/>
  <c r="J146" i="11" s="1"/>
  <c r="K146" i="11" s="1"/>
  <c r="L146" i="11" s="1"/>
  <c r="M146" i="11" s="1"/>
  <c r="N146" i="11" s="1"/>
  <c r="O146" i="11" s="1"/>
  <c r="P146" i="11" s="1"/>
  <c r="Q146" i="11" s="1"/>
  <c r="R146" i="11" s="1"/>
  <c r="S146" i="11" s="1"/>
  <c r="T146" i="11" s="1"/>
  <c r="U146" i="11" s="1"/>
  <c r="V146" i="11" s="1"/>
  <c r="W146" i="11" s="1"/>
  <c r="X146" i="11" s="1"/>
  <c r="Y146" i="11" s="1"/>
  <c r="Z146" i="11" s="1"/>
  <c r="AB146" i="11"/>
  <c r="F145" i="11"/>
  <c r="G145" i="11" s="1"/>
  <c r="H145" i="11" s="1"/>
  <c r="I145" i="11" s="1"/>
  <c r="J145" i="11" s="1"/>
  <c r="K145" i="11" s="1"/>
  <c r="L145" i="11" s="1"/>
  <c r="M145" i="11" s="1"/>
  <c r="N145" i="11" s="1"/>
  <c r="O145" i="11" s="1"/>
  <c r="P145" i="11" s="1"/>
  <c r="Q145" i="11" s="1"/>
  <c r="R145" i="11" s="1"/>
  <c r="S145" i="11" s="1"/>
  <c r="T145" i="11" s="1"/>
  <c r="U145" i="11" s="1"/>
  <c r="V145" i="11" s="1"/>
  <c r="W145" i="11" s="1"/>
  <c r="X145" i="11" s="1"/>
  <c r="Y145" i="11" s="1"/>
  <c r="Z145" i="11" s="1"/>
  <c r="AB145" i="11"/>
  <c r="F144" i="11"/>
  <c r="G144" i="11" s="1"/>
  <c r="H144" i="11" s="1"/>
  <c r="I144" i="11" s="1"/>
  <c r="J144" i="11" s="1"/>
  <c r="K144" i="11" s="1"/>
  <c r="L144" i="11" s="1"/>
  <c r="M144" i="11" s="1"/>
  <c r="N144" i="11" s="1"/>
  <c r="O144" i="11" s="1"/>
  <c r="P144" i="11" s="1"/>
  <c r="Q144" i="11" s="1"/>
  <c r="R144" i="11" s="1"/>
  <c r="S144" i="11" s="1"/>
  <c r="T144" i="11" s="1"/>
  <c r="U144" i="11" s="1"/>
  <c r="V144" i="11" s="1"/>
  <c r="W144" i="11" s="1"/>
  <c r="X144" i="11" s="1"/>
  <c r="Y144" i="11" s="1"/>
  <c r="Z144" i="11" s="1"/>
  <c r="AB144" i="11"/>
  <c r="AC144" i="11" s="1"/>
  <c r="B54" i="10" s="1"/>
  <c r="F143" i="11"/>
  <c r="G143" i="11" s="1"/>
  <c r="H143" i="11" s="1"/>
  <c r="I143" i="11" s="1"/>
  <c r="J143" i="11" s="1"/>
  <c r="K143" i="11" s="1"/>
  <c r="L143" i="11" s="1"/>
  <c r="M143" i="11" s="1"/>
  <c r="N143" i="11" s="1"/>
  <c r="O143" i="11" s="1"/>
  <c r="P143" i="11" s="1"/>
  <c r="Q143" i="11" s="1"/>
  <c r="R143" i="11" s="1"/>
  <c r="S143" i="11" s="1"/>
  <c r="T143" i="11" s="1"/>
  <c r="U143" i="11" s="1"/>
  <c r="V143" i="11" s="1"/>
  <c r="W143" i="11" s="1"/>
  <c r="X143" i="11" s="1"/>
  <c r="Y143" i="11" s="1"/>
  <c r="Z143" i="11" s="1"/>
  <c r="AB143" i="11"/>
  <c r="F142" i="11"/>
  <c r="G142" i="11" s="1"/>
  <c r="H142" i="11" s="1"/>
  <c r="I142" i="11" s="1"/>
  <c r="J142" i="11" s="1"/>
  <c r="K142" i="11" s="1"/>
  <c r="L142" i="11" s="1"/>
  <c r="M142" i="11" s="1"/>
  <c r="N142" i="11" s="1"/>
  <c r="O142" i="11" s="1"/>
  <c r="P142" i="11" s="1"/>
  <c r="Q142" i="11" s="1"/>
  <c r="R142" i="11" s="1"/>
  <c r="S142" i="11" s="1"/>
  <c r="T142" i="11" s="1"/>
  <c r="U142" i="11" s="1"/>
  <c r="V142" i="11" s="1"/>
  <c r="W142" i="11" s="1"/>
  <c r="X142" i="11" s="1"/>
  <c r="Y142" i="11" s="1"/>
  <c r="Z142" i="11" s="1"/>
  <c r="AB142" i="11"/>
  <c r="F141" i="11"/>
  <c r="G141" i="11" s="1"/>
  <c r="H141" i="11" s="1"/>
  <c r="I141" i="11" s="1"/>
  <c r="J141" i="11" s="1"/>
  <c r="K141" i="11" s="1"/>
  <c r="L141" i="11" s="1"/>
  <c r="M141" i="11" s="1"/>
  <c r="N141" i="11" s="1"/>
  <c r="O141" i="11" s="1"/>
  <c r="P141" i="11" s="1"/>
  <c r="Q141" i="11" s="1"/>
  <c r="R141" i="11" s="1"/>
  <c r="S141" i="11" s="1"/>
  <c r="T141" i="11" s="1"/>
  <c r="U141" i="11" s="1"/>
  <c r="V141" i="11" s="1"/>
  <c r="W141" i="11" s="1"/>
  <c r="X141" i="11" s="1"/>
  <c r="Y141" i="11" s="1"/>
  <c r="Z141" i="11" s="1"/>
  <c r="AB141" i="11"/>
  <c r="AC141" i="11" s="1"/>
  <c r="B53" i="10" s="1"/>
  <c r="F140" i="11"/>
  <c r="G140" i="11" s="1"/>
  <c r="H140" i="11" s="1"/>
  <c r="I140" i="11" s="1"/>
  <c r="J140" i="11" s="1"/>
  <c r="K140" i="11" s="1"/>
  <c r="L140" i="11" s="1"/>
  <c r="M140" i="11" s="1"/>
  <c r="N140" i="11" s="1"/>
  <c r="O140" i="11" s="1"/>
  <c r="P140" i="11" s="1"/>
  <c r="Q140" i="11" s="1"/>
  <c r="R140" i="11" s="1"/>
  <c r="S140" i="11" s="1"/>
  <c r="T140" i="11" s="1"/>
  <c r="U140" i="11" s="1"/>
  <c r="V140" i="11" s="1"/>
  <c r="W140" i="11" s="1"/>
  <c r="X140" i="11" s="1"/>
  <c r="Y140" i="11" s="1"/>
  <c r="Z140" i="11" s="1"/>
  <c r="AB140" i="11"/>
  <c r="F139" i="11"/>
  <c r="G139" i="11" s="1"/>
  <c r="H139" i="11" s="1"/>
  <c r="I139" i="11" s="1"/>
  <c r="J139" i="11" s="1"/>
  <c r="K139" i="11" s="1"/>
  <c r="L139" i="11" s="1"/>
  <c r="M139" i="11" s="1"/>
  <c r="N139" i="11" s="1"/>
  <c r="O139" i="11" s="1"/>
  <c r="P139" i="11" s="1"/>
  <c r="Q139" i="11" s="1"/>
  <c r="R139" i="11" s="1"/>
  <c r="S139" i="11" s="1"/>
  <c r="T139" i="11" s="1"/>
  <c r="U139" i="11" s="1"/>
  <c r="V139" i="11" s="1"/>
  <c r="W139" i="11" s="1"/>
  <c r="X139" i="11" s="1"/>
  <c r="Y139" i="11" s="1"/>
  <c r="Z139" i="11" s="1"/>
  <c r="AB139" i="11"/>
  <c r="F138" i="11"/>
  <c r="G138" i="11" s="1"/>
  <c r="H138" i="11" s="1"/>
  <c r="I138" i="11" s="1"/>
  <c r="J138" i="11" s="1"/>
  <c r="K138" i="11" s="1"/>
  <c r="L138" i="11" s="1"/>
  <c r="M138" i="11" s="1"/>
  <c r="N138" i="11" s="1"/>
  <c r="O138" i="11" s="1"/>
  <c r="P138" i="11" s="1"/>
  <c r="Q138" i="11" s="1"/>
  <c r="R138" i="11" s="1"/>
  <c r="S138" i="11" s="1"/>
  <c r="T138" i="11" s="1"/>
  <c r="U138" i="11" s="1"/>
  <c r="V138" i="11" s="1"/>
  <c r="W138" i="11" s="1"/>
  <c r="X138" i="11" s="1"/>
  <c r="Y138" i="11" s="1"/>
  <c r="Z138" i="11" s="1"/>
  <c r="AB138" i="11"/>
  <c r="AC138" i="11" s="1"/>
  <c r="B52" i="10" s="1"/>
  <c r="F137" i="11"/>
  <c r="G137" i="11" s="1"/>
  <c r="H137" i="11" s="1"/>
  <c r="I137" i="11" s="1"/>
  <c r="J137" i="11" s="1"/>
  <c r="K137" i="11" s="1"/>
  <c r="L137" i="11" s="1"/>
  <c r="M137" i="11" s="1"/>
  <c r="N137" i="11" s="1"/>
  <c r="O137" i="11" s="1"/>
  <c r="P137" i="11" s="1"/>
  <c r="Q137" i="11" s="1"/>
  <c r="R137" i="11" s="1"/>
  <c r="S137" i="11" s="1"/>
  <c r="T137" i="11" s="1"/>
  <c r="U137" i="11" s="1"/>
  <c r="V137" i="11" s="1"/>
  <c r="W137" i="11" s="1"/>
  <c r="X137" i="11" s="1"/>
  <c r="Y137" i="11" s="1"/>
  <c r="Z137" i="11" s="1"/>
  <c r="AB137" i="11"/>
  <c r="F136" i="11"/>
  <c r="G136" i="11" s="1"/>
  <c r="H136" i="11" s="1"/>
  <c r="I136" i="11" s="1"/>
  <c r="J136" i="11" s="1"/>
  <c r="K136" i="11" s="1"/>
  <c r="L136" i="11" s="1"/>
  <c r="M136" i="11" s="1"/>
  <c r="N136" i="11" s="1"/>
  <c r="O136" i="11" s="1"/>
  <c r="P136" i="11" s="1"/>
  <c r="Q136" i="11" s="1"/>
  <c r="R136" i="11" s="1"/>
  <c r="S136" i="11" s="1"/>
  <c r="T136" i="11" s="1"/>
  <c r="U136" i="11" s="1"/>
  <c r="V136" i="11" s="1"/>
  <c r="W136" i="11" s="1"/>
  <c r="X136" i="11" s="1"/>
  <c r="Y136" i="11" s="1"/>
  <c r="Z136" i="11" s="1"/>
  <c r="AB136" i="11"/>
  <c r="F135" i="11"/>
  <c r="G135" i="11" s="1"/>
  <c r="H135" i="11" s="1"/>
  <c r="I135" i="11" s="1"/>
  <c r="J135" i="11" s="1"/>
  <c r="K135" i="11" s="1"/>
  <c r="L135" i="11" s="1"/>
  <c r="M135" i="11" s="1"/>
  <c r="N135" i="11" s="1"/>
  <c r="O135" i="11" s="1"/>
  <c r="P135" i="11" s="1"/>
  <c r="Q135" i="11" s="1"/>
  <c r="R135" i="11" s="1"/>
  <c r="S135" i="11" s="1"/>
  <c r="T135" i="11" s="1"/>
  <c r="U135" i="11" s="1"/>
  <c r="V135" i="11" s="1"/>
  <c r="W135" i="11" s="1"/>
  <c r="X135" i="11" s="1"/>
  <c r="Y135" i="11" s="1"/>
  <c r="Z135" i="11" s="1"/>
  <c r="AB135" i="11"/>
  <c r="AC135" i="11" s="1"/>
  <c r="B51" i="10" s="1"/>
  <c r="F134" i="11"/>
  <c r="G134" i="11" s="1"/>
  <c r="H134" i="11" s="1"/>
  <c r="I134" i="11" s="1"/>
  <c r="J134" i="11" s="1"/>
  <c r="K134" i="11" s="1"/>
  <c r="L134" i="11" s="1"/>
  <c r="M134" i="11" s="1"/>
  <c r="N134" i="11" s="1"/>
  <c r="O134" i="11" s="1"/>
  <c r="P134" i="11" s="1"/>
  <c r="Q134" i="11" s="1"/>
  <c r="R134" i="11" s="1"/>
  <c r="S134" i="11" s="1"/>
  <c r="T134" i="11" s="1"/>
  <c r="U134" i="11" s="1"/>
  <c r="V134" i="11" s="1"/>
  <c r="W134" i="11" s="1"/>
  <c r="X134" i="11" s="1"/>
  <c r="Y134" i="11" s="1"/>
  <c r="Z134" i="11" s="1"/>
  <c r="AB134" i="11"/>
  <c r="F133" i="11"/>
  <c r="G133" i="11" s="1"/>
  <c r="H133" i="11" s="1"/>
  <c r="I133" i="11" s="1"/>
  <c r="J133" i="11" s="1"/>
  <c r="K133" i="11" s="1"/>
  <c r="L133" i="11" s="1"/>
  <c r="M133" i="11" s="1"/>
  <c r="N133" i="11" s="1"/>
  <c r="O133" i="11" s="1"/>
  <c r="P133" i="11" s="1"/>
  <c r="Q133" i="11" s="1"/>
  <c r="R133" i="11" s="1"/>
  <c r="S133" i="11" s="1"/>
  <c r="T133" i="11" s="1"/>
  <c r="U133" i="11" s="1"/>
  <c r="V133" i="11" s="1"/>
  <c r="W133" i="11" s="1"/>
  <c r="X133" i="11" s="1"/>
  <c r="Y133" i="11" s="1"/>
  <c r="Z133" i="11" s="1"/>
  <c r="AB133" i="11"/>
  <c r="F132" i="11"/>
  <c r="G132" i="11" s="1"/>
  <c r="H132" i="11" s="1"/>
  <c r="I132" i="11" s="1"/>
  <c r="J132" i="11" s="1"/>
  <c r="K132" i="11" s="1"/>
  <c r="L132" i="11" s="1"/>
  <c r="M132" i="11" s="1"/>
  <c r="N132" i="11" s="1"/>
  <c r="O132" i="11" s="1"/>
  <c r="P132" i="11" s="1"/>
  <c r="Q132" i="11" s="1"/>
  <c r="R132" i="11" s="1"/>
  <c r="S132" i="11" s="1"/>
  <c r="T132" i="11" s="1"/>
  <c r="U132" i="11" s="1"/>
  <c r="V132" i="11" s="1"/>
  <c r="W132" i="11" s="1"/>
  <c r="X132" i="11" s="1"/>
  <c r="Y132" i="11" s="1"/>
  <c r="Z132" i="11" s="1"/>
  <c r="AB132" i="11"/>
  <c r="AC132" i="11" s="1"/>
  <c r="B50" i="10" s="1"/>
  <c r="F131" i="11"/>
  <c r="G131" i="11" s="1"/>
  <c r="H131" i="11" s="1"/>
  <c r="I131" i="11" s="1"/>
  <c r="J131" i="11" s="1"/>
  <c r="K131" i="11" s="1"/>
  <c r="L131" i="11" s="1"/>
  <c r="M131" i="11" s="1"/>
  <c r="N131" i="11" s="1"/>
  <c r="O131" i="11" s="1"/>
  <c r="P131" i="11" s="1"/>
  <c r="Q131" i="11" s="1"/>
  <c r="R131" i="11" s="1"/>
  <c r="S131" i="11" s="1"/>
  <c r="T131" i="11" s="1"/>
  <c r="U131" i="11" s="1"/>
  <c r="V131" i="11" s="1"/>
  <c r="W131" i="11" s="1"/>
  <c r="X131" i="11" s="1"/>
  <c r="Y131" i="11" s="1"/>
  <c r="Z131" i="11" s="1"/>
  <c r="AB131" i="11"/>
  <c r="F130" i="11"/>
  <c r="G130" i="11" s="1"/>
  <c r="H130" i="11" s="1"/>
  <c r="I130" i="11" s="1"/>
  <c r="J130" i="11" s="1"/>
  <c r="K130" i="11" s="1"/>
  <c r="L130" i="11" s="1"/>
  <c r="M130" i="11" s="1"/>
  <c r="N130" i="11" s="1"/>
  <c r="O130" i="11" s="1"/>
  <c r="P130" i="11" s="1"/>
  <c r="Q130" i="11" s="1"/>
  <c r="R130" i="11" s="1"/>
  <c r="S130" i="11" s="1"/>
  <c r="T130" i="11" s="1"/>
  <c r="U130" i="11" s="1"/>
  <c r="V130" i="11" s="1"/>
  <c r="W130" i="11" s="1"/>
  <c r="X130" i="11" s="1"/>
  <c r="Y130" i="11" s="1"/>
  <c r="Z130" i="11" s="1"/>
  <c r="AB130" i="11"/>
  <c r="F129" i="11"/>
  <c r="G129" i="11" s="1"/>
  <c r="H129" i="11" s="1"/>
  <c r="I129" i="11" s="1"/>
  <c r="J129" i="11" s="1"/>
  <c r="K129" i="11" s="1"/>
  <c r="L129" i="11" s="1"/>
  <c r="M129" i="11" s="1"/>
  <c r="N129" i="11" s="1"/>
  <c r="O129" i="11" s="1"/>
  <c r="P129" i="11" s="1"/>
  <c r="Q129" i="11" s="1"/>
  <c r="R129" i="11" s="1"/>
  <c r="S129" i="11" s="1"/>
  <c r="T129" i="11" s="1"/>
  <c r="U129" i="11" s="1"/>
  <c r="V129" i="11" s="1"/>
  <c r="W129" i="11" s="1"/>
  <c r="X129" i="11" s="1"/>
  <c r="Y129" i="11" s="1"/>
  <c r="Z129" i="11" s="1"/>
  <c r="AB129" i="11"/>
  <c r="AC129" i="11" s="1"/>
  <c r="B49" i="10" s="1"/>
  <c r="F128" i="11"/>
  <c r="G128" i="11" s="1"/>
  <c r="H128" i="11" s="1"/>
  <c r="I128" i="11" s="1"/>
  <c r="J128" i="11" s="1"/>
  <c r="K128" i="11" s="1"/>
  <c r="L128" i="11" s="1"/>
  <c r="M128" i="11" s="1"/>
  <c r="N128" i="11" s="1"/>
  <c r="O128" i="11" s="1"/>
  <c r="P128" i="11" s="1"/>
  <c r="Q128" i="11" s="1"/>
  <c r="R128" i="11" s="1"/>
  <c r="S128" i="11" s="1"/>
  <c r="T128" i="11" s="1"/>
  <c r="U128" i="11" s="1"/>
  <c r="V128" i="11" s="1"/>
  <c r="W128" i="11" s="1"/>
  <c r="X128" i="11" s="1"/>
  <c r="Y128" i="11" s="1"/>
  <c r="Z128" i="11" s="1"/>
  <c r="AB128" i="11"/>
  <c r="F127" i="11"/>
  <c r="G127" i="11" s="1"/>
  <c r="H127" i="11" s="1"/>
  <c r="I127" i="11" s="1"/>
  <c r="J127" i="11" s="1"/>
  <c r="K127" i="11" s="1"/>
  <c r="L127" i="11" s="1"/>
  <c r="M127" i="11" s="1"/>
  <c r="N127" i="11" s="1"/>
  <c r="O127" i="11" s="1"/>
  <c r="P127" i="11" s="1"/>
  <c r="Q127" i="11" s="1"/>
  <c r="R127" i="11" s="1"/>
  <c r="S127" i="11" s="1"/>
  <c r="T127" i="11" s="1"/>
  <c r="U127" i="11" s="1"/>
  <c r="V127" i="11" s="1"/>
  <c r="W127" i="11" s="1"/>
  <c r="X127" i="11" s="1"/>
  <c r="Y127" i="11" s="1"/>
  <c r="Z127" i="11" s="1"/>
  <c r="AB127" i="11"/>
  <c r="F126" i="11"/>
  <c r="G126" i="11" s="1"/>
  <c r="H126" i="11" s="1"/>
  <c r="I126" i="11" s="1"/>
  <c r="J126" i="11" s="1"/>
  <c r="K126" i="11" s="1"/>
  <c r="L126" i="11" s="1"/>
  <c r="M126" i="11" s="1"/>
  <c r="N126" i="11" s="1"/>
  <c r="O126" i="11" s="1"/>
  <c r="P126" i="11" s="1"/>
  <c r="Q126" i="11" s="1"/>
  <c r="R126" i="11" s="1"/>
  <c r="S126" i="11" s="1"/>
  <c r="T126" i="11" s="1"/>
  <c r="U126" i="11" s="1"/>
  <c r="V126" i="11" s="1"/>
  <c r="W126" i="11" s="1"/>
  <c r="X126" i="11" s="1"/>
  <c r="Y126" i="11" s="1"/>
  <c r="Z126" i="11" s="1"/>
  <c r="AB126" i="11"/>
  <c r="AC126" i="11" s="1"/>
  <c r="B48" i="10" s="1"/>
  <c r="F125" i="11"/>
  <c r="G125" i="11" s="1"/>
  <c r="H125" i="11" s="1"/>
  <c r="I125" i="11" s="1"/>
  <c r="J125" i="11" s="1"/>
  <c r="K125" i="11" s="1"/>
  <c r="L125" i="11" s="1"/>
  <c r="M125" i="11" s="1"/>
  <c r="N125" i="11" s="1"/>
  <c r="O125" i="11" s="1"/>
  <c r="P125" i="11" s="1"/>
  <c r="Q125" i="11" s="1"/>
  <c r="R125" i="11" s="1"/>
  <c r="S125" i="11" s="1"/>
  <c r="T125" i="11" s="1"/>
  <c r="U125" i="11" s="1"/>
  <c r="V125" i="11" s="1"/>
  <c r="W125" i="11" s="1"/>
  <c r="X125" i="11" s="1"/>
  <c r="Y125" i="11" s="1"/>
  <c r="Z125" i="11" s="1"/>
  <c r="AB125" i="11"/>
  <c r="F124" i="11"/>
  <c r="G124" i="11" s="1"/>
  <c r="H124" i="11" s="1"/>
  <c r="I124" i="11" s="1"/>
  <c r="J124" i="11" s="1"/>
  <c r="K124" i="11" s="1"/>
  <c r="L124" i="11" s="1"/>
  <c r="M124" i="11" s="1"/>
  <c r="N124" i="11" s="1"/>
  <c r="O124" i="11" s="1"/>
  <c r="P124" i="11" s="1"/>
  <c r="Q124" i="11" s="1"/>
  <c r="R124" i="11" s="1"/>
  <c r="S124" i="11" s="1"/>
  <c r="T124" i="11" s="1"/>
  <c r="U124" i="11" s="1"/>
  <c r="V124" i="11" s="1"/>
  <c r="W124" i="11" s="1"/>
  <c r="X124" i="11" s="1"/>
  <c r="Y124" i="11" s="1"/>
  <c r="Z124" i="11" s="1"/>
  <c r="AB124" i="11"/>
  <c r="F123" i="11"/>
  <c r="G123" i="11" s="1"/>
  <c r="H123" i="11" s="1"/>
  <c r="I123" i="11" s="1"/>
  <c r="J123" i="11" s="1"/>
  <c r="K123" i="11" s="1"/>
  <c r="L123" i="11" s="1"/>
  <c r="M123" i="11" s="1"/>
  <c r="N123" i="11" s="1"/>
  <c r="O123" i="11" s="1"/>
  <c r="P123" i="11" s="1"/>
  <c r="Q123" i="11" s="1"/>
  <c r="R123" i="11" s="1"/>
  <c r="S123" i="11" s="1"/>
  <c r="T123" i="11" s="1"/>
  <c r="U123" i="11" s="1"/>
  <c r="V123" i="11" s="1"/>
  <c r="W123" i="11" s="1"/>
  <c r="X123" i="11" s="1"/>
  <c r="Y123" i="11" s="1"/>
  <c r="Z123" i="11" s="1"/>
  <c r="AB123" i="11"/>
  <c r="AC123" i="11" s="1"/>
  <c r="B47" i="10" s="1"/>
  <c r="F122" i="11"/>
  <c r="G122" i="11" s="1"/>
  <c r="H122" i="11" s="1"/>
  <c r="I122" i="11" s="1"/>
  <c r="J122" i="11" s="1"/>
  <c r="K122" i="11" s="1"/>
  <c r="L122" i="11" s="1"/>
  <c r="M122" i="11" s="1"/>
  <c r="N122" i="11" s="1"/>
  <c r="O122" i="11" s="1"/>
  <c r="P122" i="11" s="1"/>
  <c r="Q122" i="11" s="1"/>
  <c r="R122" i="11" s="1"/>
  <c r="S122" i="11" s="1"/>
  <c r="T122" i="11" s="1"/>
  <c r="U122" i="11" s="1"/>
  <c r="V122" i="11" s="1"/>
  <c r="W122" i="11" s="1"/>
  <c r="X122" i="11" s="1"/>
  <c r="Y122" i="11" s="1"/>
  <c r="Z122" i="11" s="1"/>
  <c r="AB122" i="11"/>
  <c r="F121" i="11"/>
  <c r="G121" i="11" s="1"/>
  <c r="H121" i="11" s="1"/>
  <c r="I121" i="11" s="1"/>
  <c r="J121" i="11" s="1"/>
  <c r="K121" i="11" s="1"/>
  <c r="L121" i="11" s="1"/>
  <c r="M121" i="11" s="1"/>
  <c r="N121" i="11" s="1"/>
  <c r="O121" i="11" s="1"/>
  <c r="P121" i="11" s="1"/>
  <c r="Q121" i="11" s="1"/>
  <c r="R121" i="11" s="1"/>
  <c r="S121" i="11" s="1"/>
  <c r="T121" i="11" s="1"/>
  <c r="U121" i="11" s="1"/>
  <c r="V121" i="11" s="1"/>
  <c r="W121" i="11" s="1"/>
  <c r="X121" i="11" s="1"/>
  <c r="Y121" i="11" s="1"/>
  <c r="Z121" i="11" s="1"/>
  <c r="AB121" i="11"/>
  <c r="F120" i="11"/>
  <c r="G120" i="11" s="1"/>
  <c r="H120" i="11" s="1"/>
  <c r="I120" i="11" s="1"/>
  <c r="J120" i="11" s="1"/>
  <c r="K120" i="11" s="1"/>
  <c r="L120" i="11" s="1"/>
  <c r="M120" i="11" s="1"/>
  <c r="N120" i="11" s="1"/>
  <c r="O120" i="11" s="1"/>
  <c r="P120" i="11" s="1"/>
  <c r="Q120" i="11" s="1"/>
  <c r="R120" i="11" s="1"/>
  <c r="S120" i="11" s="1"/>
  <c r="T120" i="11" s="1"/>
  <c r="U120" i="11" s="1"/>
  <c r="V120" i="11" s="1"/>
  <c r="W120" i="11" s="1"/>
  <c r="X120" i="11" s="1"/>
  <c r="Y120" i="11" s="1"/>
  <c r="Z120" i="11" s="1"/>
  <c r="AB120" i="11"/>
  <c r="AC120" i="11" s="1"/>
  <c r="B46" i="10" s="1"/>
  <c r="F119" i="11"/>
  <c r="G119" i="11" s="1"/>
  <c r="H119" i="11" s="1"/>
  <c r="I119" i="11" s="1"/>
  <c r="J119" i="11" s="1"/>
  <c r="K119" i="11" s="1"/>
  <c r="L119" i="11" s="1"/>
  <c r="M119" i="11" s="1"/>
  <c r="N119" i="11" s="1"/>
  <c r="O119" i="11" s="1"/>
  <c r="P119" i="11" s="1"/>
  <c r="Q119" i="11" s="1"/>
  <c r="R119" i="11" s="1"/>
  <c r="S119" i="11" s="1"/>
  <c r="T119" i="11" s="1"/>
  <c r="U119" i="11" s="1"/>
  <c r="V119" i="11" s="1"/>
  <c r="W119" i="11" s="1"/>
  <c r="X119" i="11" s="1"/>
  <c r="Y119" i="11" s="1"/>
  <c r="Z119" i="11" s="1"/>
  <c r="AB119" i="11"/>
  <c r="F118" i="11"/>
  <c r="G118" i="11" s="1"/>
  <c r="H118" i="11" s="1"/>
  <c r="I118" i="11" s="1"/>
  <c r="J118" i="11" s="1"/>
  <c r="K118" i="11" s="1"/>
  <c r="L118" i="11" s="1"/>
  <c r="M118" i="11" s="1"/>
  <c r="N118" i="11" s="1"/>
  <c r="O118" i="11" s="1"/>
  <c r="P118" i="11" s="1"/>
  <c r="Q118" i="11" s="1"/>
  <c r="R118" i="11" s="1"/>
  <c r="S118" i="11" s="1"/>
  <c r="T118" i="11" s="1"/>
  <c r="U118" i="11" s="1"/>
  <c r="V118" i="11" s="1"/>
  <c r="W118" i="11" s="1"/>
  <c r="X118" i="11" s="1"/>
  <c r="Y118" i="11" s="1"/>
  <c r="Z118" i="11" s="1"/>
  <c r="AB118" i="11"/>
  <c r="AC117" i="11" s="1"/>
  <c r="B45" i="10" s="1"/>
  <c r="F116" i="11"/>
  <c r="G116" i="11" s="1"/>
  <c r="H116" i="11" s="1"/>
  <c r="I116" i="11" s="1"/>
  <c r="J116" i="11" s="1"/>
  <c r="K116" i="11" s="1"/>
  <c r="L116" i="11" s="1"/>
  <c r="M116" i="11" s="1"/>
  <c r="N116" i="11" s="1"/>
  <c r="O116" i="11" s="1"/>
  <c r="P116" i="11" s="1"/>
  <c r="Q116" i="11" s="1"/>
  <c r="R116" i="11" s="1"/>
  <c r="S116" i="11" s="1"/>
  <c r="T116" i="11" s="1"/>
  <c r="U116" i="11" s="1"/>
  <c r="V116" i="11" s="1"/>
  <c r="W116" i="11" s="1"/>
  <c r="X116" i="11" s="1"/>
  <c r="Y116" i="11" s="1"/>
  <c r="Z116" i="11" s="1"/>
  <c r="AB116" i="11"/>
  <c r="F115" i="11"/>
  <c r="G115" i="11" s="1"/>
  <c r="H115" i="11" s="1"/>
  <c r="I115" i="11" s="1"/>
  <c r="J115" i="11" s="1"/>
  <c r="K115" i="11" s="1"/>
  <c r="L115" i="11" s="1"/>
  <c r="M115" i="11" s="1"/>
  <c r="N115" i="11" s="1"/>
  <c r="O115" i="11" s="1"/>
  <c r="P115" i="11" s="1"/>
  <c r="Q115" i="11" s="1"/>
  <c r="R115" i="11" s="1"/>
  <c r="S115" i="11" s="1"/>
  <c r="T115" i="11" s="1"/>
  <c r="U115" i="11" s="1"/>
  <c r="V115" i="11" s="1"/>
  <c r="W115" i="11" s="1"/>
  <c r="X115" i="11" s="1"/>
  <c r="Y115" i="11" s="1"/>
  <c r="Z115" i="11" s="1"/>
  <c r="AB115" i="11"/>
  <c r="F114" i="11"/>
  <c r="G114" i="11" s="1"/>
  <c r="H114" i="11" s="1"/>
  <c r="I114" i="11" s="1"/>
  <c r="J114" i="11" s="1"/>
  <c r="K114" i="11" s="1"/>
  <c r="L114" i="11" s="1"/>
  <c r="M114" i="11" s="1"/>
  <c r="N114" i="11" s="1"/>
  <c r="O114" i="11" s="1"/>
  <c r="P114" i="11" s="1"/>
  <c r="Q114" i="11" s="1"/>
  <c r="R114" i="11" s="1"/>
  <c r="S114" i="11" s="1"/>
  <c r="T114" i="11" s="1"/>
  <c r="U114" i="11" s="1"/>
  <c r="V114" i="11" s="1"/>
  <c r="W114" i="11" s="1"/>
  <c r="X114" i="11" s="1"/>
  <c r="Y114" i="11" s="1"/>
  <c r="Z114" i="11" s="1"/>
  <c r="AB114" i="11"/>
  <c r="AC114" i="11" s="1"/>
  <c r="B44" i="10" s="1"/>
  <c r="F113" i="11"/>
  <c r="G113" i="11" s="1"/>
  <c r="H113" i="11" s="1"/>
  <c r="I113" i="11" s="1"/>
  <c r="J113" i="11" s="1"/>
  <c r="K113" i="11" s="1"/>
  <c r="L113" i="11" s="1"/>
  <c r="M113" i="11" s="1"/>
  <c r="N113" i="11" s="1"/>
  <c r="O113" i="11" s="1"/>
  <c r="P113" i="11" s="1"/>
  <c r="Q113" i="11" s="1"/>
  <c r="R113" i="11" s="1"/>
  <c r="S113" i="11" s="1"/>
  <c r="T113" i="11" s="1"/>
  <c r="U113" i="11" s="1"/>
  <c r="V113" i="11" s="1"/>
  <c r="W113" i="11" s="1"/>
  <c r="X113" i="11" s="1"/>
  <c r="Y113" i="11" s="1"/>
  <c r="Z113" i="11" s="1"/>
  <c r="AB113" i="11"/>
  <c r="F112" i="11"/>
  <c r="G112" i="11" s="1"/>
  <c r="H112" i="11" s="1"/>
  <c r="I112" i="11" s="1"/>
  <c r="J112" i="11" s="1"/>
  <c r="K112" i="11" s="1"/>
  <c r="L112" i="11" s="1"/>
  <c r="M112" i="11" s="1"/>
  <c r="N112" i="11" s="1"/>
  <c r="O112" i="11" s="1"/>
  <c r="P112" i="11" s="1"/>
  <c r="Q112" i="11" s="1"/>
  <c r="R112" i="11" s="1"/>
  <c r="S112" i="11" s="1"/>
  <c r="T112" i="11" s="1"/>
  <c r="U112" i="11" s="1"/>
  <c r="V112" i="11" s="1"/>
  <c r="W112" i="11" s="1"/>
  <c r="X112" i="11" s="1"/>
  <c r="Y112" i="11" s="1"/>
  <c r="Z112" i="11" s="1"/>
  <c r="AB112" i="11"/>
  <c r="F111" i="11"/>
  <c r="G111" i="11" s="1"/>
  <c r="H111" i="11" s="1"/>
  <c r="I111" i="11" s="1"/>
  <c r="J111" i="11" s="1"/>
  <c r="K111" i="11" s="1"/>
  <c r="L111" i="11" s="1"/>
  <c r="M111" i="11" s="1"/>
  <c r="N111" i="11" s="1"/>
  <c r="O111" i="11" s="1"/>
  <c r="P111" i="11" s="1"/>
  <c r="Q111" i="11" s="1"/>
  <c r="R111" i="11" s="1"/>
  <c r="S111" i="11" s="1"/>
  <c r="T111" i="11" s="1"/>
  <c r="U111" i="11" s="1"/>
  <c r="V111" i="11" s="1"/>
  <c r="W111" i="11" s="1"/>
  <c r="X111" i="11" s="1"/>
  <c r="Y111" i="11" s="1"/>
  <c r="Z111" i="11" s="1"/>
  <c r="AB111" i="11"/>
  <c r="AC111" i="11" s="1"/>
  <c r="B43" i="10" s="1"/>
  <c r="F108" i="11"/>
  <c r="G108" i="11" s="1"/>
  <c r="H108" i="11" s="1"/>
  <c r="I108" i="11" s="1"/>
  <c r="J108" i="11" s="1"/>
  <c r="K108" i="11" s="1"/>
  <c r="L108" i="11" s="1"/>
  <c r="M108" i="11" s="1"/>
  <c r="N108" i="11" s="1"/>
  <c r="O108" i="11" s="1"/>
  <c r="P108" i="11" s="1"/>
  <c r="Q108" i="11" s="1"/>
  <c r="R108" i="11" s="1"/>
  <c r="S108" i="11" s="1"/>
  <c r="T108" i="11" s="1"/>
  <c r="U108" i="11" s="1"/>
  <c r="V108" i="11" s="1"/>
  <c r="W108" i="11" s="1"/>
  <c r="X108" i="11" s="1"/>
  <c r="Y108" i="11" s="1"/>
  <c r="Z108" i="11" s="1"/>
  <c r="AB108" i="11"/>
  <c r="AC108" i="11" s="1"/>
  <c r="B42" i="10" s="1"/>
  <c r="R107" i="11"/>
  <c r="S107" i="11" s="1"/>
  <c r="T107" i="11" s="1"/>
  <c r="U107" i="11" s="1"/>
  <c r="V107" i="11" s="1"/>
  <c r="W107" i="11" s="1"/>
  <c r="X107" i="11" s="1"/>
  <c r="Y107" i="11" s="1"/>
  <c r="Z107" i="11" s="1"/>
  <c r="AB107" i="11"/>
  <c r="F106" i="11"/>
  <c r="G106" i="11" s="1"/>
  <c r="H106" i="11" s="1"/>
  <c r="I106" i="11" s="1"/>
  <c r="J106" i="11" s="1"/>
  <c r="K106" i="11" s="1"/>
  <c r="L106" i="11" s="1"/>
  <c r="M106" i="11" s="1"/>
  <c r="N106" i="11" s="1"/>
  <c r="O106" i="11" s="1"/>
  <c r="P106" i="11" s="1"/>
  <c r="Q106" i="11" s="1"/>
  <c r="R106" i="11" s="1"/>
  <c r="S106" i="11" s="1"/>
  <c r="T106" i="11" s="1"/>
  <c r="U106" i="11" s="1"/>
  <c r="V106" i="11" s="1"/>
  <c r="W106" i="11" s="1"/>
  <c r="X106" i="11" s="1"/>
  <c r="Y106" i="11" s="1"/>
  <c r="Z106" i="11" s="1"/>
  <c r="AB106" i="11"/>
  <c r="AC105" i="11" s="1"/>
  <c r="B41" i="10" s="1"/>
  <c r="F102" i="11"/>
  <c r="G102" i="11" s="1"/>
  <c r="H102" i="11" s="1"/>
  <c r="I102" i="11" s="1"/>
  <c r="J102" i="11" s="1"/>
  <c r="K102" i="11" s="1"/>
  <c r="L102" i="11" s="1"/>
  <c r="M102" i="11" s="1"/>
  <c r="N102" i="11" s="1"/>
  <c r="O102" i="11" s="1"/>
  <c r="P102" i="11" s="1"/>
  <c r="Q102" i="11" s="1"/>
  <c r="R102" i="11" s="1"/>
  <c r="S102" i="11" s="1"/>
  <c r="T102" i="11" s="1"/>
  <c r="U102" i="11" s="1"/>
  <c r="V102" i="11" s="1"/>
  <c r="W102" i="11" s="1"/>
  <c r="X102" i="11" s="1"/>
  <c r="Y102" i="11" s="1"/>
  <c r="Z102" i="11" s="1"/>
  <c r="AB102" i="11"/>
  <c r="AC102" i="11" s="1"/>
  <c r="B40" i="10" s="1"/>
  <c r="F101" i="11"/>
  <c r="G101" i="11" s="1"/>
  <c r="H101" i="11" s="1"/>
  <c r="I101" i="11" s="1"/>
  <c r="J101" i="11" s="1"/>
  <c r="K101" i="11" s="1"/>
  <c r="L101" i="11" s="1"/>
  <c r="M101" i="11" s="1"/>
  <c r="N101" i="11" s="1"/>
  <c r="O101" i="11" s="1"/>
  <c r="P101" i="11" s="1"/>
  <c r="Q101" i="11" s="1"/>
  <c r="R101" i="11" s="1"/>
  <c r="S101" i="11" s="1"/>
  <c r="T101" i="11" s="1"/>
  <c r="U101" i="11" s="1"/>
  <c r="V101" i="11" s="1"/>
  <c r="W101" i="11" s="1"/>
  <c r="X101" i="11" s="1"/>
  <c r="Y101" i="11" s="1"/>
  <c r="Z101" i="11" s="1"/>
  <c r="AB101" i="11"/>
  <c r="F100" i="11"/>
  <c r="G100" i="11" s="1"/>
  <c r="H100" i="11" s="1"/>
  <c r="I100" i="11" s="1"/>
  <c r="J100" i="11" s="1"/>
  <c r="K100" i="11" s="1"/>
  <c r="L100" i="11" s="1"/>
  <c r="M100" i="11" s="1"/>
  <c r="N100" i="11" s="1"/>
  <c r="O100" i="11" s="1"/>
  <c r="P100" i="11" s="1"/>
  <c r="Q100" i="11" s="1"/>
  <c r="R100" i="11" s="1"/>
  <c r="S100" i="11" s="1"/>
  <c r="T100" i="11" s="1"/>
  <c r="U100" i="11" s="1"/>
  <c r="V100" i="11" s="1"/>
  <c r="W100" i="11" s="1"/>
  <c r="X100" i="11" s="1"/>
  <c r="Y100" i="11" s="1"/>
  <c r="Z100" i="11" s="1"/>
  <c r="AB100" i="11"/>
  <c r="F99" i="11"/>
  <c r="G99" i="11" s="1"/>
  <c r="H99" i="11" s="1"/>
  <c r="I99" i="11" s="1"/>
  <c r="J99" i="11" s="1"/>
  <c r="K99" i="11" s="1"/>
  <c r="L99" i="11" s="1"/>
  <c r="M99" i="11" s="1"/>
  <c r="N99" i="11" s="1"/>
  <c r="O99" i="11" s="1"/>
  <c r="P99" i="11" s="1"/>
  <c r="Q99" i="11" s="1"/>
  <c r="R99" i="11" s="1"/>
  <c r="S99" i="11" s="1"/>
  <c r="T99" i="11" s="1"/>
  <c r="U99" i="11" s="1"/>
  <c r="V99" i="11" s="1"/>
  <c r="W99" i="11" s="1"/>
  <c r="X99" i="11" s="1"/>
  <c r="Y99" i="11" s="1"/>
  <c r="Z99" i="11" s="1"/>
  <c r="AB99" i="11"/>
  <c r="AC99" i="11" s="1"/>
  <c r="B39" i="10" s="1"/>
  <c r="F97" i="11"/>
  <c r="G97" i="11" s="1"/>
  <c r="H97" i="11" s="1"/>
  <c r="I97" i="11" s="1"/>
  <c r="J97" i="11" s="1"/>
  <c r="K97" i="11" s="1"/>
  <c r="L97" i="11" s="1"/>
  <c r="M97" i="11" s="1"/>
  <c r="N97" i="11" s="1"/>
  <c r="O97" i="11" s="1"/>
  <c r="P97" i="11" s="1"/>
  <c r="Q97" i="11" s="1"/>
  <c r="R97" i="11" s="1"/>
  <c r="S97" i="11" s="1"/>
  <c r="T97" i="11" s="1"/>
  <c r="U97" i="11" s="1"/>
  <c r="V97" i="11" s="1"/>
  <c r="W97" i="11" s="1"/>
  <c r="X97" i="11" s="1"/>
  <c r="Y97" i="11" s="1"/>
  <c r="Z97" i="11" s="1"/>
  <c r="AB97" i="11"/>
  <c r="F96" i="11"/>
  <c r="G96" i="11" s="1"/>
  <c r="H96" i="11" s="1"/>
  <c r="I96" i="11" s="1"/>
  <c r="J96" i="11" s="1"/>
  <c r="K96" i="11" s="1"/>
  <c r="L96" i="11" s="1"/>
  <c r="M96" i="11" s="1"/>
  <c r="N96" i="11" s="1"/>
  <c r="O96" i="11" s="1"/>
  <c r="P96" i="11" s="1"/>
  <c r="Q96" i="11" s="1"/>
  <c r="R96" i="11" s="1"/>
  <c r="S96" i="11" s="1"/>
  <c r="T96" i="11" s="1"/>
  <c r="U96" i="11" s="1"/>
  <c r="V96" i="11" s="1"/>
  <c r="W96" i="11" s="1"/>
  <c r="X96" i="11" s="1"/>
  <c r="Y96" i="11" s="1"/>
  <c r="Z96" i="11" s="1"/>
  <c r="AB96" i="11"/>
  <c r="AC96" i="11" s="1"/>
  <c r="B38" i="10" s="1"/>
  <c r="F95" i="11"/>
  <c r="G95" i="11" s="1"/>
  <c r="H95" i="11" s="1"/>
  <c r="I95" i="11" s="1"/>
  <c r="J95" i="11" s="1"/>
  <c r="K95" i="11" s="1"/>
  <c r="L95" i="11" s="1"/>
  <c r="M95" i="11" s="1"/>
  <c r="N95" i="11" s="1"/>
  <c r="O95" i="11" s="1"/>
  <c r="P95" i="11" s="1"/>
  <c r="Q95" i="11" s="1"/>
  <c r="R95" i="11" s="1"/>
  <c r="S95" i="11" s="1"/>
  <c r="T95" i="11" s="1"/>
  <c r="U95" i="11" s="1"/>
  <c r="V95" i="11" s="1"/>
  <c r="W95" i="11" s="1"/>
  <c r="X95" i="11" s="1"/>
  <c r="Y95" i="11" s="1"/>
  <c r="Z95" i="11" s="1"/>
  <c r="AB95" i="11"/>
  <c r="AC93" i="11" s="1"/>
  <c r="B37" i="10" s="1"/>
  <c r="W90" i="11"/>
  <c r="X90" i="11" s="1"/>
  <c r="Y90" i="11" s="1"/>
  <c r="Z90" i="11" s="1"/>
  <c r="AB90" i="11"/>
  <c r="AC90" i="11" s="1"/>
  <c r="B36" i="10" s="1"/>
  <c r="F88" i="11"/>
  <c r="G88" i="11" s="1"/>
  <c r="H88" i="11" s="1"/>
  <c r="I88" i="11" s="1"/>
  <c r="J88" i="11" s="1"/>
  <c r="K88" i="11" s="1"/>
  <c r="L88" i="11" s="1"/>
  <c r="M88" i="11" s="1"/>
  <c r="N88" i="11" s="1"/>
  <c r="O88" i="11" s="1"/>
  <c r="P88" i="11" s="1"/>
  <c r="Q88" i="11" s="1"/>
  <c r="R88" i="11" s="1"/>
  <c r="S88" i="11" s="1"/>
  <c r="T88" i="11" s="1"/>
  <c r="U88" i="11" s="1"/>
  <c r="V88" i="11" s="1"/>
  <c r="W88" i="11" s="1"/>
  <c r="X88" i="11" s="1"/>
  <c r="Y88" i="11" s="1"/>
  <c r="Z88" i="11" s="1"/>
  <c r="AB88" i="11"/>
  <c r="AC87" i="11" s="1"/>
  <c r="B35" i="10" s="1"/>
  <c r="F85" i="11"/>
  <c r="G85" i="11" s="1"/>
  <c r="H85" i="11" s="1"/>
  <c r="I85" i="11" s="1"/>
  <c r="J85" i="11" s="1"/>
  <c r="K85" i="11" s="1"/>
  <c r="L85" i="11" s="1"/>
  <c r="M85" i="11" s="1"/>
  <c r="N85" i="11" s="1"/>
  <c r="O85" i="11" s="1"/>
  <c r="P85" i="11" s="1"/>
  <c r="Q85" i="11" s="1"/>
  <c r="R85" i="11" s="1"/>
  <c r="S85" i="11" s="1"/>
  <c r="T85" i="11" s="1"/>
  <c r="U85" i="11" s="1"/>
  <c r="V85" i="11" s="1"/>
  <c r="W85" i="11" s="1"/>
  <c r="X85" i="11" s="1"/>
  <c r="Y85" i="11" s="1"/>
  <c r="Z85" i="11" s="1"/>
  <c r="AB85" i="11"/>
  <c r="F84" i="11"/>
  <c r="G84" i="11" s="1"/>
  <c r="H84" i="11" s="1"/>
  <c r="I84" i="11" s="1"/>
  <c r="J84" i="11" s="1"/>
  <c r="K84" i="11" s="1"/>
  <c r="L84" i="11" s="1"/>
  <c r="M84" i="11" s="1"/>
  <c r="N84" i="11" s="1"/>
  <c r="O84" i="11" s="1"/>
  <c r="P84" i="11" s="1"/>
  <c r="Q84" i="11" s="1"/>
  <c r="R84" i="11" s="1"/>
  <c r="S84" i="11" s="1"/>
  <c r="T84" i="11" s="1"/>
  <c r="U84" i="11" s="1"/>
  <c r="V84" i="11" s="1"/>
  <c r="W84" i="11" s="1"/>
  <c r="X84" i="11" s="1"/>
  <c r="Y84" i="11" s="1"/>
  <c r="Z84" i="11" s="1"/>
  <c r="AB84" i="11"/>
  <c r="AC84" i="11" s="1"/>
  <c r="B34" i="10" s="1"/>
  <c r="F83" i="11"/>
  <c r="G83" i="11" s="1"/>
  <c r="H83" i="11" s="1"/>
  <c r="I83" i="11" s="1"/>
  <c r="J83" i="11" s="1"/>
  <c r="K83" i="11" s="1"/>
  <c r="L83" i="11" s="1"/>
  <c r="M83" i="11" s="1"/>
  <c r="N83" i="11" s="1"/>
  <c r="O83" i="11" s="1"/>
  <c r="P83" i="11" s="1"/>
  <c r="Q83" i="11" s="1"/>
  <c r="R83" i="11" s="1"/>
  <c r="S83" i="11" s="1"/>
  <c r="T83" i="11" s="1"/>
  <c r="U83" i="11" s="1"/>
  <c r="V83" i="11" s="1"/>
  <c r="W83" i="11" s="1"/>
  <c r="X83" i="11" s="1"/>
  <c r="Y83" i="11" s="1"/>
  <c r="Z83" i="11" s="1"/>
  <c r="AB83" i="11"/>
  <c r="F81" i="11"/>
  <c r="G81" i="11" s="1"/>
  <c r="H81" i="11" s="1"/>
  <c r="I81" i="11" s="1"/>
  <c r="J81" i="11" s="1"/>
  <c r="K81" i="11" s="1"/>
  <c r="L81" i="11" s="1"/>
  <c r="M81" i="11" s="1"/>
  <c r="N81" i="11" s="1"/>
  <c r="O81" i="11" s="1"/>
  <c r="P81" i="11" s="1"/>
  <c r="Q81" i="11" s="1"/>
  <c r="R81" i="11" s="1"/>
  <c r="S81" i="11" s="1"/>
  <c r="T81" i="11" s="1"/>
  <c r="U81" i="11" s="1"/>
  <c r="V81" i="11" s="1"/>
  <c r="W81" i="11" s="1"/>
  <c r="X81" i="11" s="1"/>
  <c r="Y81" i="11" s="1"/>
  <c r="Z81" i="11" s="1"/>
  <c r="AB81" i="11"/>
  <c r="AC81" i="11" s="1"/>
  <c r="B33" i="10" s="1"/>
  <c r="F80" i="11"/>
  <c r="G80" i="11" s="1"/>
  <c r="H80" i="11" s="1"/>
  <c r="I80" i="11" s="1"/>
  <c r="J80" i="11" s="1"/>
  <c r="K80" i="11" s="1"/>
  <c r="L80" i="11" s="1"/>
  <c r="M80" i="11" s="1"/>
  <c r="N80" i="11" s="1"/>
  <c r="O80" i="11" s="1"/>
  <c r="P80" i="11" s="1"/>
  <c r="Q80" i="11" s="1"/>
  <c r="R80" i="11" s="1"/>
  <c r="S80" i="11" s="1"/>
  <c r="T80" i="11" s="1"/>
  <c r="U80" i="11" s="1"/>
  <c r="V80" i="11" s="1"/>
  <c r="W80" i="11" s="1"/>
  <c r="X80" i="11" s="1"/>
  <c r="Y80" i="11" s="1"/>
  <c r="Z80" i="11" s="1"/>
  <c r="AB80" i="11"/>
  <c r="G79" i="11"/>
  <c r="H79" i="11" s="1"/>
  <c r="I79" i="11" s="1"/>
  <c r="J79" i="11" s="1"/>
  <c r="K79" i="11" s="1"/>
  <c r="L79" i="11" s="1"/>
  <c r="M79" i="11" s="1"/>
  <c r="N79" i="11" s="1"/>
  <c r="O79" i="11" s="1"/>
  <c r="P79" i="11" s="1"/>
  <c r="Q79" i="11" s="1"/>
  <c r="R79" i="11" s="1"/>
  <c r="S79" i="11" s="1"/>
  <c r="T79" i="11" s="1"/>
  <c r="U79" i="11" s="1"/>
  <c r="V79" i="11" s="1"/>
  <c r="W79" i="11" s="1"/>
  <c r="X79" i="11" s="1"/>
  <c r="Y79" i="11" s="1"/>
  <c r="Z79" i="11" s="1"/>
  <c r="AB79" i="11"/>
  <c r="I78" i="11"/>
  <c r="J78" i="11" s="1"/>
  <c r="K78" i="11" s="1"/>
  <c r="L78" i="11" s="1"/>
  <c r="M78" i="11" s="1"/>
  <c r="N78" i="11" s="1"/>
  <c r="O78" i="11" s="1"/>
  <c r="P78" i="11" s="1"/>
  <c r="Q78" i="11" s="1"/>
  <c r="R78" i="11" s="1"/>
  <c r="S78" i="11" s="1"/>
  <c r="T78" i="11" s="1"/>
  <c r="U78" i="11" s="1"/>
  <c r="V78" i="11" s="1"/>
  <c r="W78" i="11" s="1"/>
  <c r="X78" i="11" s="1"/>
  <c r="Y78" i="11" s="1"/>
  <c r="Z78" i="11" s="1"/>
  <c r="AB78" i="11"/>
  <c r="AC78" i="11" s="1"/>
  <c r="B32" i="10" s="1"/>
  <c r="F77" i="11"/>
  <c r="G77" i="11" s="1"/>
  <c r="H77" i="11" s="1"/>
  <c r="I77" i="11" s="1"/>
  <c r="J77" i="11" s="1"/>
  <c r="K77" i="11" s="1"/>
  <c r="L77" i="11" s="1"/>
  <c r="M77" i="11" s="1"/>
  <c r="N77" i="11" s="1"/>
  <c r="O77" i="11" s="1"/>
  <c r="P77" i="11" s="1"/>
  <c r="Q77" i="11" s="1"/>
  <c r="R77" i="11" s="1"/>
  <c r="S77" i="11" s="1"/>
  <c r="T77" i="11" s="1"/>
  <c r="U77" i="11" s="1"/>
  <c r="V77" i="11" s="1"/>
  <c r="W77" i="11" s="1"/>
  <c r="X77" i="11" s="1"/>
  <c r="Y77" i="11" s="1"/>
  <c r="Z77" i="11" s="1"/>
  <c r="AB77" i="11"/>
  <c r="F76" i="11"/>
  <c r="G76" i="11" s="1"/>
  <c r="H76" i="11" s="1"/>
  <c r="I76" i="11" s="1"/>
  <c r="J76" i="11" s="1"/>
  <c r="K76" i="11" s="1"/>
  <c r="L76" i="11" s="1"/>
  <c r="M76" i="11" s="1"/>
  <c r="N76" i="11" s="1"/>
  <c r="O76" i="11" s="1"/>
  <c r="P76" i="11" s="1"/>
  <c r="Q76" i="11" s="1"/>
  <c r="R76" i="11" s="1"/>
  <c r="S76" i="11" s="1"/>
  <c r="T76" i="11" s="1"/>
  <c r="U76" i="11" s="1"/>
  <c r="V76" i="11" s="1"/>
  <c r="W76" i="11" s="1"/>
  <c r="X76" i="11" s="1"/>
  <c r="Y76" i="11" s="1"/>
  <c r="Z76" i="11" s="1"/>
  <c r="AB76" i="11"/>
  <c r="F75" i="11"/>
  <c r="G75" i="11" s="1"/>
  <c r="H75" i="11" s="1"/>
  <c r="I75" i="11" s="1"/>
  <c r="J75" i="11" s="1"/>
  <c r="K75" i="11" s="1"/>
  <c r="L75" i="11" s="1"/>
  <c r="M75" i="11" s="1"/>
  <c r="N75" i="11" s="1"/>
  <c r="O75" i="11" s="1"/>
  <c r="P75" i="11" s="1"/>
  <c r="Q75" i="11" s="1"/>
  <c r="R75" i="11" s="1"/>
  <c r="S75" i="11" s="1"/>
  <c r="T75" i="11" s="1"/>
  <c r="U75" i="11" s="1"/>
  <c r="V75" i="11" s="1"/>
  <c r="W75" i="11" s="1"/>
  <c r="X75" i="11" s="1"/>
  <c r="Y75" i="11" s="1"/>
  <c r="Z75" i="11" s="1"/>
  <c r="AB75" i="11"/>
  <c r="AC75" i="11" s="1"/>
  <c r="B31" i="10" s="1"/>
  <c r="O74" i="11"/>
  <c r="P74" i="11" s="1"/>
  <c r="Q74" i="11" s="1"/>
  <c r="R74" i="11" s="1"/>
  <c r="S74" i="11" s="1"/>
  <c r="T74" i="11" s="1"/>
  <c r="U74" i="11" s="1"/>
  <c r="V74" i="11" s="1"/>
  <c r="W74" i="11" s="1"/>
  <c r="X74" i="11" s="1"/>
  <c r="Y74" i="11" s="1"/>
  <c r="Z74" i="11" s="1"/>
  <c r="AB74" i="11"/>
  <c r="F72" i="11"/>
  <c r="G72" i="11" s="1"/>
  <c r="H72" i="11" s="1"/>
  <c r="I72" i="11" s="1"/>
  <c r="J72" i="11" s="1"/>
  <c r="K72" i="11" s="1"/>
  <c r="L72" i="11" s="1"/>
  <c r="M72" i="11" s="1"/>
  <c r="N72" i="11" s="1"/>
  <c r="O72" i="11" s="1"/>
  <c r="P72" i="11" s="1"/>
  <c r="Q72" i="11" s="1"/>
  <c r="R72" i="11" s="1"/>
  <c r="S72" i="11" s="1"/>
  <c r="T72" i="11" s="1"/>
  <c r="U72" i="11" s="1"/>
  <c r="V72" i="11" s="1"/>
  <c r="W72" i="11" s="1"/>
  <c r="X72" i="11" s="1"/>
  <c r="Y72" i="11" s="1"/>
  <c r="Z72" i="11" s="1"/>
  <c r="AB72" i="11"/>
  <c r="AC72" i="11" s="1"/>
  <c r="B30" i="10" s="1"/>
  <c r="F71" i="11"/>
  <c r="G71" i="11" s="1"/>
  <c r="H71" i="11" s="1"/>
  <c r="I71" i="11" s="1"/>
  <c r="J71" i="11" s="1"/>
  <c r="K71" i="11" s="1"/>
  <c r="L71" i="11" s="1"/>
  <c r="M71" i="11" s="1"/>
  <c r="N71" i="11" s="1"/>
  <c r="O71" i="11" s="1"/>
  <c r="P71" i="11" s="1"/>
  <c r="Q71" i="11" s="1"/>
  <c r="R71" i="11" s="1"/>
  <c r="S71" i="11" s="1"/>
  <c r="T71" i="11" s="1"/>
  <c r="U71" i="11" s="1"/>
  <c r="V71" i="11" s="1"/>
  <c r="W71" i="11" s="1"/>
  <c r="X71" i="11" s="1"/>
  <c r="Y71" i="11" s="1"/>
  <c r="Z71" i="11" s="1"/>
  <c r="AB71" i="11"/>
  <c r="F70" i="11"/>
  <c r="G70" i="11" s="1"/>
  <c r="H70" i="11" s="1"/>
  <c r="I70" i="11" s="1"/>
  <c r="J70" i="11" s="1"/>
  <c r="K70" i="11" s="1"/>
  <c r="L70" i="11" s="1"/>
  <c r="M70" i="11" s="1"/>
  <c r="N70" i="11" s="1"/>
  <c r="O70" i="11" s="1"/>
  <c r="P70" i="11" s="1"/>
  <c r="Q70" i="11" s="1"/>
  <c r="R70" i="11" s="1"/>
  <c r="S70" i="11" s="1"/>
  <c r="T70" i="11" s="1"/>
  <c r="U70" i="11" s="1"/>
  <c r="V70" i="11" s="1"/>
  <c r="W70" i="11" s="1"/>
  <c r="X70" i="11" s="1"/>
  <c r="Y70" i="11" s="1"/>
  <c r="Z70" i="11" s="1"/>
  <c r="AB70" i="11"/>
  <c r="AC69" i="11" s="1"/>
  <c r="B29" i="10" s="1"/>
  <c r="U68" i="11"/>
  <c r="V68" i="11" s="1"/>
  <c r="W68" i="11" s="1"/>
  <c r="X68" i="11" s="1"/>
  <c r="Y68" i="11" s="1"/>
  <c r="Z68" i="11" s="1"/>
  <c r="AB68" i="11"/>
  <c r="F67" i="11"/>
  <c r="G67" i="11" s="1"/>
  <c r="H67" i="11" s="1"/>
  <c r="I67" i="11" s="1"/>
  <c r="J67" i="11" s="1"/>
  <c r="K67" i="11" s="1"/>
  <c r="L67" i="11" s="1"/>
  <c r="M67" i="11" s="1"/>
  <c r="N67" i="11" s="1"/>
  <c r="O67" i="11" s="1"/>
  <c r="P67" i="11" s="1"/>
  <c r="Q67" i="11" s="1"/>
  <c r="R67" i="11" s="1"/>
  <c r="S67" i="11" s="1"/>
  <c r="T67" i="11" s="1"/>
  <c r="U67" i="11" s="1"/>
  <c r="V67" i="11" s="1"/>
  <c r="W67" i="11" s="1"/>
  <c r="X67" i="11" s="1"/>
  <c r="Y67" i="11" s="1"/>
  <c r="Z67" i="11" s="1"/>
  <c r="AB67" i="11"/>
  <c r="F66" i="11"/>
  <c r="G66" i="11" s="1"/>
  <c r="H66" i="11" s="1"/>
  <c r="I66" i="11" s="1"/>
  <c r="J66" i="11" s="1"/>
  <c r="K66" i="11" s="1"/>
  <c r="L66" i="11" s="1"/>
  <c r="M66" i="11" s="1"/>
  <c r="N66" i="11" s="1"/>
  <c r="O66" i="11" s="1"/>
  <c r="P66" i="11" s="1"/>
  <c r="Q66" i="11" s="1"/>
  <c r="R66" i="11" s="1"/>
  <c r="S66" i="11" s="1"/>
  <c r="T66" i="11" s="1"/>
  <c r="U66" i="11" s="1"/>
  <c r="V66" i="11" s="1"/>
  <c r="W66" i="11" s="1"/>
  <c r="X66" i="11" s="1"/>
  <c r="Y66" i="11" s="1"/>
  <c r="Z66" i="11" s="1"/>
  <c r="AB66" i="11"/>
  <c r="AC66" i="11" s="1"/>
  <c r="B28" i="10" s="1"/>
  <c r="L65" i="11"/>
  <c r="M65" i="11" s="1"/>
  <c r="N65" i="11" s="1"/>
  <c r="O65" i="11" s="1"/>
  <c r="P65" i="11" s="1"/>
  <c r="Q65" i="11" s="1"/>
  <c r="R65" i="11" s="1"/>
  <c r="S65" i="11" s="1"/>
  <c r="T65" i="11" s="1"/>
  <c r="U65" i="11" s="1"/>
  <c r="V65" i="11" s="1"/>
  <c r="W65" i="11" s="1"/>
  <c r="X65" i="11" s="1"/>
  <c r="Y65" i="11" s="1"/>
  <c r="Z65" i="11" s="1"/>
  <c r="AB65" i="11"/>
  <c r="F64" i="11"/>
  <c r="G64" i="11" s="1"/>
  <c r="H64" i="11" s="1"/>
  <c r="I64" i="11" s="1"/>
  <c r="J64" i="11" s="1"/>
  <c r="K64" i="11" s="1"/>
  <c r="L64" i="11" s="1"/>
  <c r="M64" i="11" s="1"/>
  <c r="N64" i="11" s="1"/>
  <c r="O64" i="11" s="1"/>
  <c r="P64" i="11" s="1"/>
  <c r="Q64" i="11" s="1"/>
  <c r="R64" i="11" s="1"/>
  <c r="S64" i="11" s="1"/>
  <c r="T64" i="11" s="1"/>
  <c r="U64" i="11" s="1"/>
  <c r="V64" i="11" s="1"/>
  <c r="W64" i="11" s="1"/>
  <c r="X64" i="11" s="1"/>
  <c r="Y64" i="11" s="1"/>
  <c r="Z64" i="11" s="1"/>
  <c r="AB64" i="11"/>
  <c r="AC63" i="11" s="1"/>
  <c r="B27" i="10" s="1"/>
  <c r="F61" i="11"/>
  <c r="G61" i="11" s="1"/>
  <c r="H61" i="11" s="1"/>
  <c r="I61" i="11" s="1"/>
  <c r="J61" i="11" s="1"/>
  <c r="K61" i="11" s="1"/>
  <c r="L61" i="11" s="1"/>
  <c r="M61" i="11" s="1"/>
  <c r="N61" i="11" s="1"/>
  <c r="O61" i="11" s="1"/>
  <c r="P61" i="11" s="1"/>
  <c r="Q61" i="11" s="1"/>
  <c r="R61" i="11" s="1"/>
  <c r="S61" i="11" s="1"/>
  <c r="T61" i="11" s="1"/>
  <c r="U61" i="11" s="1"/>
  <c r="V61" i="11" s="1"/>
  <c r="W61" i="11" s="1"/>
  <c r="X61" i="11" s="1"/>
  <c r="Y61" i="11" s="1"/>
  <c r="Z61" i="11" s="1"/>
  <c r="AB61" i="11"/>
  <c r="AC60" i="11" s="1"/>
  <c r="B26" i="10" s="1"/>
  <c r="H59" i="11"/>
  <c r="I59" i="11" s="1"/>
  <c r="J59" i="11" s="1"/>
  <c r="K59" i="11" s="1"/>
  <c r="L59" i="11" s="1"/>
  <c r="M59" i="11" s="1"/>
  <c r="N59" i="11" s="1"/>
  <c r="O59" i="11" s="1"/>
  <c r="P59" i="11" s="1"/>
  <c r="Q59" i="11" s="1"/>
  <c r="R59" i="11" s="1"/>
  <c r="S59" i="11" s="1"/>
  <c r="T59" i="11" s="1"/>
  <c r="U59" i="11" s="1"/>
  <c r="V59" i="11" s="1"/>
  <c r="W59" i="11" s="1"/>
  <c r="X59" i="11" s="1"/>
  <c r="Y59" i="11" s="1"/>
  <c r="Z59" i="11" s="1"/>
  <c r="AB59" i="11"/>
  <c r="L57" i="11"/>
  <c r="M57" i="11" s="1"/>
  <c r="N57" i="11" s="1"/>
  <c r="O57" i="11" s="1"/>
  <c r="P57" i="11" s="1"/>
  <c r="Q57" i="11" s="1"/>
  <c r="R57" i="11" s="1"/>
  <c r="S57" i="11" s="1"/>
  <c r="T57" i="11" s="1"/>
  <c r="U57" i="11" s="1"/>
  <c r="V57" i="11" s="1"/>
  <c r="W57" i="11" s="1"/>
  <c r="X57" i="11" s="1"/>
  <c r="Y57" i="11" s="1"/>
  <c r="Z57" i="11" s="1"/>
  <c r="AB57" i="11"/>
  <c r="AC57" i="11" s="1"/>
  <c r="B25" i="10" s="1"/>
  <c r="S56" i="11"/>
  <c r="T56" i="11" s="1"/>
  <c r="U56" i="11" s="1"/>
  <c r="V56" i="11" s="1"/>
  <c r="W56" i="11" s="1"/>
  <c r="X56" i="11" s="1"/>
  <c r="Y56" i="11" s="1"/>
  <c r="Z56" i="11" s="1"/>
  <c r="AB56" i="11"/>
  <c r="F54" i="11"/>
  <c r="G54" i="11" s="1"/>
  <c r="H54" i="11" s="1"/>
  <c r="I54" i="11" s="1"/>
  <c r="J54" i="11" s="1"/>
  <c r="K54" i="11" s="1"/>
  <c r="L54" i="11" s="1"/>
  <c r="M54" i="11" s="1"/>
  <c r="N54" i="11" s="1"/>
  <c r="O54" i="11" s="1"/>
  <c r="P54" i="11" s="1"/>
  <c r="Q54" i="11" s="1"/>
  <c r="R54" i="11" s="1"/>
  <c r="S54" i="11" s="1"/>
  <c r="T54" i="11" s="1"/>
  <c r="U54" i="11" s="1"/>
  <c r="V54" i="11" s="1"/>
  <c r="W54" i="11" s="1"/>
  <c r="X54" i="11" s="1"/>
  <c r="Y54" i="11" s="1"/>
  <c r="Z54" i="11" s="1"/>
  <c r="AB54" i="11"/>
  <c r="AC54" i="11" s="1"/>
  <c r="B24" i="10" s="1"/>
  <c r="F53" i="11"/>
  <c r="G53" i="11" s="1"/>
  <c r="H53" i="11" s="1"/>
  <c r="I53" i="11" s="1"/>
  <c r="J53" i="11" s="1"/>
  <c r="K53" i="11" s="1"/>
  <c r="L53" i="11" s="1"/>
  <c r="M53" i="11" s="1"/>
  <c r="N53" i="11" s="1"/>
  <c r="O53" i="11" s="1"/>
  <c r="P53" i="11" s="1"/>
  <c r="Q53" i="11" s="1"/>
  <c r="R53" i="11" s="1"/>
  <c r="S53" i="11" s="1"/>
  <c r="T53" i="11" s="1"/>
  <c r="U53" i="11" s="1"/>
  <c r="V53" i="11" s="1"/>
  <c r="W53" i="11" s="1"/>
  <c r="X53" i="11" s="1"/>
  <c r="Y53" i="11" s="1"/>
  <c r="Z53" i="11" s="1"/>
  <c r="AB53" i="11"/>
  <c r="F52" i="11"/>
  <c r="G52" i="11" s="1"/>
  <c r="H52" i="11" s="1"/>
  <c r="I52" i="11" s="1"/>
  <c r="J52" i="11" s="1"/>
  <c r="K52" i="11" s="1"/>
  <c r="L52" i="11" s="1"/>
  <c r="M52" i="11" s="1"/>
  <c r="N52" i="11" s="1"/>
  <c r="O52" i="11" s="1"/>
  <c r="P52" i="11" s="1"/>
  <c r="Q52" i="11" s="1"/>
  <c r="R52" i="11" s="1"/>
  <c r="S52" i="11" s="1"/>
  <c r="T52" i="11" s="1"/>
  <c r="U52" i="11" s="1"/>
  <c r="V52" i="11" s="1"/>
  <c r="W52" i="11" s="1"/>
  <c r="X52" i="11" s="1"/>
  <c r="Y52" i="11" s="1"/>
  <c r="Z52" i="11" s="1"/>
  <c r="AB52" i="11"/>
  <c r="H51" i="11"/>
  <c r="I51" i="11" s="1"/>
  <c r="J51" i="11" s="1"/>
  <c r="K51" i="11" s="1"/>
  <c r="L51" i="11" s="1"/>
  <c r="M51" i="11" s="1"/>
  <c r="N51" i="11" s="1"/>
  <c r="O51" i="11" s="1"/>
  <c r="P51" i="11" s="1"/>
  <c r="Q51" i="11" s="1"/>
  <c r="R51" i="11" s="1"/>
  <c r="S51" i="11" s="1"/>
  <c r="T51" i="11" s="1"/>
  <c r="U51" i="11" s="1"/>
  <c r="V51" i="11" s="1"/>
  <c r="W51" i="11" s="1"/>
  <c r="X51" i="11" s="1"/>
  <c r="Y51" i="11" s="1"/>
  <c r="Z51" i="11" s="1"/>
  <c r="AB51" i="11"/>
  <c r="AC51" i="11" s="1"/>
  <c r="B23" i="10" s="1"/>
  <c r="F50" i="11"/>
  <c r="G50" i="11" s="1"/>
  <c r="H50" i="11" s="1"/>
  <c r="I50" i="11" s="1"/>
  <c r="J50" i="11" s="1"/>
  <c r="K50" i="11" s="1"/>
  <c r="L50" i="11" s="1"/>
  <c r="M50" i="11" s="1"/>
  <c r="N50" i="11" s="1"/>
  <c r="O50" i="11" s="1"/>
  <c r="P50" i="11" s="1"/>
  <c r="Q50" i="11" s="1"/>
  <c r="R50" i="11" s="1"/>
  <c r="S50" i="11" s="1"/>
  <c r="T50" i="11" s="1"/>
  <c r="U50" i="11" s="1"/>
  <c r="V50" i="11" s="1"/>
  <c r="W50" i="11" s="1"/>
  <c r="X50" i="11" s="1"/>
  <c r="Y50" i="11" s="1"/>
  <c r="Z50" i="11" s="1"/>
  <c r="AB50" i="11"/>
  <c r="H49" i="11"/>
  <c r="I49" i="11" s="1"/>
  <c r="J49" i="11" s="1"/>
  <c r="K49" i="11" s="1"/>
  <c r="L49" i="11" s="1"/>
  <c r="M49" i="11" s="1"/>
  <c r="N49" i="11" s="1"/>
  <c r="O49" i="11" s="1"/>
  <c r="P49" i="11" s="1"/>
  <c r="Q49" i="11" s="1"/>
  <c r="R49" i="11" s="1"/>
  <c r="S49" i="11" s="1"/>
  <c r="T49" i="11" s="1"/>
  <c r="U49" i="11" s="1"/>
  <c r="V49" i="11" s="1"/>
  <c r="W49" i="11" s="1"/>
  <c r="X49" i="11" s="1"/>
  <c r="Y49" i="11" s="1"/>
  <c r="Z49" i="11" s="1"/>
  <c r="AB49" i="11"/>
  <c r="F48" i="11"/>
  <c r="G48" i="11" s="1"/>
  <c r="H48" i="11" s="1"/>
  <c r="I48" i="11" s="1"/>
  <c r="J48" i="11" s="1"/>
  <c r="K48" i="11" s="1"/>
  <c r="L48" i="11" s="1"/>
  <c r="M48" i="11" s="1"/>
  <c r="N48" i="11" s="1"/>
  <c r="O48" i="11" s="1"/>
  <c r="P48" i="11" s="1"/>
  <c r="Q48" i="11" s="1"/>
  <c r="R48" i="11" s="1"/>
  <c r="S48" i="11" s="1"/>
  <c r="T48" i="11" s="1"/>
  <c r="U48" i="11" s="1"/>
  <c r="V48" i="11" s="1"/>
  <c r="W48" i="11" s="1"/>
  <c r="X48" i="11" s="1"/>
  <c r="Y48" i="11" s="1"/>
  <c r="Z48" i="11" s="1"/>
  <c r="AB48" i="11"/>
  <c r="AC48" i="11" s="1"/>
  <c r="B22" i="10" s="1"/>
  <c r="U46" i="11"/>
  <c r="V46" i="11" s="1"/>
  <c r="W46" i="11" s="1"/>
  <c r="X46" i="11" s="1"/>
  <c r="Y46" i="11" s="1"/>
  <c r="Z46" i="11" s="1"/>
  <c r="AB46" i="11"/>
  <c r="G45" i="11"/>
  <c r="H45" i="11" s="1"/>
  <c r="I45" i="11" s="1"/>
  <c r="J45" i="11" s="1"/>
  <c r="K45" i="11" s="1"/>
  <c r="L45" i="11" s="1"/>
  <c r="M45" i="11" s="1"/>
  <c r="N45" i="11" s="1"/>
  <c r="O45" i="11" s="1"/>
  <c r="P45" i="11" s="1"/>
  <c r="Q45" i="11" s="1"/>
  <c r="R45" i="11" s="1"/>
  <c r="S45" i="11" s="1"/>
  <c r="T45" i="11" s="1"/>
  <c r="U45" i="11" s="1"/>
  <c r="V45" i="11" s="1"/>
  <c r="W45" i="11" s="1"/>
  <c r="X45" i="11" s="1"/>
  <c r="Y45" i="11" s="1"/>
  <c r="Z45" i="11" s="1"/>
  <c r="AB45" i="11"/>
  <c r="AC45" i="11" s="1"/>
  <c r="B21" i="10" s="1"/>
  <c r="F44" i="11"/>
  <c r="G44" i="11" s="1"/>
  <c r="H44" i="11" s="1"/>
  <c r="I44" i="11" s="1"/>
  <c r="J44" i="11" s="1"/>
  <c r="K44" i="11" s="1"/>
  <c r="L44" i="11" s="1"/>
  <c r="M44" i="11" s="1"/>
  <c r="N44" i="11" s="1"/>
  <c r="O44" i="11" s="1"/>
  <c r="P44" i="11" s="1"/>
  <c r="Q44" i="11" s="1"/>
  <c r="R44" i="11" s="1"/>
  <c r="S44" i="11" s="1"/>
  <c r="T44" i="11" s="1"/>
  <c r="U44" i="11" s="1"/>
  <c r="V44" i="11" s="1"/>
  <c r="W44" i="11" s="1"/>
  <c r="X44" i="11" s="1"/>
  <c r="Y44" i="11" s="1"/>
  <c r="Z44" i="11" s="1"/>
  <c r="AB44" i="11"/>
  <c r="F43" i="11"/>
  <c r="G43" i="11" s="1"/>
  <c r="H43" i="11" s="1"/>
  <c r="I43" i="11" s="1"/>
  <c r="J43" i="11" s="1"/>
  <c r="K43" i="11" s="1"/>
  <c r="L43" i="11" s="1"/>
  <c r="M43" i="11" s="1"/>
  <c r="N43" i="11" s="1"/>
  <c r="O43" i="11" s="1"/>
  <c r="P43" i="11" s="1"/>
  <c r="Q43" i="11" s="1"/>
  <c r="R43" i="11" s="1"/>
  <c r="S43" i="11" s="1"/>
  <c r="T43" i="11" s="1"/>
  <c r="U43" i="11" s="1"/>
  <c r="V43" i="11" s="1"/>
  <c r="W43" i="11" s="1"/>
  <c r="X43" i="11" s="1"/>
  <c r="Y43" i="11" s="1"/>
  <c r="Z43" i="11" s="1"/>
  <c r="AB43" i="11"/>
  <c r="F42" i="11"/>
  <c r="G42" i="11" s="1"/>
  <c r="H42" i="11" s="1"/>
  <c r="I42" i="11" s="1"/>
  <c r="J42" i="11" s="1"/>
  <c r="K42" i="11" s="1"/>
  <c r="L42" i="11" s="1"/>
  <c r="M42" i="11" s="1"/>
  <c r="N42" i="11" s="1"/>
  <c r="O42" i="11" s="1"/>
  <c r="P42" i="11" s="1"/>
  <c r="Q42" i="11" s="1"/>
  <c r="R42" i="11" s="1"/>
  <c r="S42" i="11" s="1"/>
  <c r="T42" i="11" s="1"/>
  <c r="U42" i="11" s="1"/>
  <c r="V42" i="11" s="1"/>
  <c r="W42" i="11" s="1"/>
  <c r="X42" i="11" s="1"/>
  <c r="Y42" i="11" s="1"/>
  <c r="Z42" i="11" s="1"/>
  <c r="AB42" i="11"/>
  <c r="AC42" i="11" s="1"/>
  <c r="B20" i="10" s="1"/>
  <c r="F41" i="11"/>
  <c r="G41" i="11" s="1"/>
  <c r="H41" i="11" s="1"/>
  <c r="I41" i="11" s="1"/>
  <c r="J41" i="11" s="1"/>
  <c r="K41" i="11" s="1"/>
  <c r="L41" i="11" s="1"/>
  <c r="M41" i="11" s="1"/>
  <c r="N41" i="11" s="1"/>
  <c r="O41" i="11" s="1"/>
  <c r="P41" i="11" s="1"/>
  <c r="Q41" i="11" s="1"/>
  <c r="R41" i="11" s="1"/>
  <c r="S41" i="11" s="1"/>
  <c r="T41" i="11" s="1"/>
  <c r="U41" i="11" s="1"/>
  <c r="V41" i="11" s="1"/>
  <c r="W41" i="11" s="1"/>
  <c r="X41" i="11" s="1"/>
  <c r="Y41" i="11" s="1"/>
  <c r="Z41" i="11" s="1"/>
  <c r="AB41" i="11"/>
  <c r="L40" i="11"/>
  <c r="M40" i="11" s="1"/>
  <c r="N40" i="11" s="1"/>
  <c r="O40" i="11" s="1"/>
  <c r="P40" i="11" s="1"/>
  <c r="Q40" i="11" s="1"/>
  <c r="R40" i="11" s="1"/>
  <c r="S40" i="11" s="1"/>
  <c r="T40" i="11" s="1"/>
  <c r="U40" i="11" s="1"/>
  <c r="V40" i="11" s="1"/>
  <c r="W40" i="11" s="1"/>
  <c r="X40" i="11" s="1"/>
  <c r="Y40" i="11" s="1"/>
  <c r="Z40" i="11" s="1"/>
  <c r="AB40" i="11"/>
  <c r="AC39" i="11" s="1"/>
  <c r="B19" i="10" s="1"/>
  <c r="F38" i="11"/>
  <c r="G38" i="11" s="1"/>
  <c r="H38" i="11" s="1"/>
  <c r="I38" i="11" s="1"/>
  <c r="J38" i="11" s="1"/>
  <c r="K38" i="11" s="1"/>
  <c r="L38" i="11" s="1"/>
  <c r="M38" i="11" s="1"/>
  <c r="N38" i="11" s="1"/>
  <c r="O38" i="11" s="1"/>
  <c r="P38" i="11" s="1"/>
  <c r="Q38" i="11" s="1"/>
  <c r="R38" i="11" s="1"/>
  <c r="S38" i="11" s="1"/>
  <c r="T38" i="11" s="1"/>
  <c r="U38" i="11" s="1"/>
  <c r="V38" i="11" s="1"/>
  <c r="W38" i="11" s="1"/>
  <c r="X38" i="11" s="1"/>
  <c r="Y38" i="11" s="1"/>
  <c r="Z38" i="11" s="1"/>
  <c r="AB38" i="11"/>
  <c r="W37" i="11"/>
  <c r="X37" i="11" s="1"/>
  <c r="Y37" i="11" s="1"/>
  <c r="Z37" i="11" s="1"/>
  <c r="AB37" i="11"/>
  <c r="F36" i="11"/>
  <c r="G36" i="11" s="1"/>
  <c r="H36" i="11" s="1"/>
  <c r="I36" i="11" s="1"/>
  <c r="J36" i="11" s="1"/>
  <c r="K36" i="11" s="1"/>
  <c r="L36" i="11" s="1"/>
  <c r="M36" i="11" s="1"/>
  <c r="N36" i="11" s="1"/>
  <c r="O36" i="11" s="1"/>
  <c r="P36" i="11" s="1"/>
  <c r="Q36" i="11" s="1"/>
  <c r="R36" i="11" s="1"/>
  <c r="S36" i="11" s="1"/>
  <c r="T36" i="11" s="1"/>
  <c r="U36" i="11" s="1"/>
  <c r="V36" i="11" s="1"/>
  <c r="W36" i="11" s="1"/>
  <c r="X36" i="11" s="1"/>
  <c r="Y36" i="11" s="1"/>
  <c r="Z36" i="11" s="1"/>
  <c r="AB36" i="11"/>
  <c r="AC36" i="11" s="1"/>
  <c r="B18" i="10" s="1"/>
  <c r="I35" i="11"/>
  <c r="J35" i="11" s="1"/>
  <c r="K35" i="11" s="1"/>
  <c r="L35" i="11" s="1"/>
  <c r="M35" i="11" s="1"/>
  <c r="N35" i="11" s="1"/>
  <c r="O35" i="11" s="1"/>
  <c r="P35" i="11" s="1"/>
  <c r="Q35" i="11" s="1"/>
  <c r="R35" i="11" s="1"/>
  <c r="S35" i="11" s="1"/>
  <c r="T35" i="11" s="1"/>
  <c r="U35" i="11" s="1"/>
  <c r="V35" i="11" s="1"/>
  <c r="W35" i="11" s="1"/>
  <c r="X35" i="11" s="1"/>
  <c r="Y35" i="11" s="1"/>
  <c r="Z35" i="11" s="1"/>
  <c r="AB35" i="11"/>
  <c r="R34" i="11"/>
  <c r="S34" i="11" s="1"/>
  <c r="T34" i="11" s="1"/>
  <c r="U34" i="11" s="1"/>
  <c r="V34" i="11" s="1"/>
  <c r="W34" i="11" s="1"/>
  <c r="X34" i="11" s="1"/>
  <c r="Y34" i="11" s="1"/>
  <c r="Z34" i="11" s="1"/>
  <c r="AB34" i="11"/>
  <c r="AC33" i="11" s="1"/>
  <c r="B17" i="10" s="1"/>
  <c r="Y32" i="11"/>
  <c r="Z32" i="11" s="1"/>
  <c r="AB32" i="11"/>
  <c r="F31" i="11"/>
  <c r="G31" i="11" s="1"/>
  <c r="H31" i="11" s="1"/>
  <c r="I31" i="11" s="1"/>
  <c r="J31" i="11" s="1"/>
  <c r="K31" i="11" s="1"/>
  <c r="L31" i="11" s="1"/>
  <c r="M31" i="11" s="1"/>
  <c r="N31" i="11" s="1"/>
  <c r="O31" i="11" s="1"/>
  <c r="P31" i="11" s="1"/>
  <c r="Q31" i="11" s="1"/>
  <c r="R31" i="11" s="1"/>
  <c r="S31" i="11" s="1"/>
  <c r="T31" i="11" s="1"/>
  <c r="U31" i="11" s="1"/>
  <c r="V31" i="11" s="1"/>
  <c r="W31" i="11" s="1"/>
  <c r="X31" i="11" s="1"/>
  <c r="Y31" i="11" s="1"/>
  <c r="Z31" i="11" s="1"/>
  <c r="AB31" i="11"/>
  <c r="AC30" i="11" s="1"/>
  <c r="B16" i="10" s="1"/>
  <c r="F28" i="11"/>
  <c r="G28" i="11" s="1"/>
  <c r="H28" i="11" s="1"/>
  <c r="I28" i="11" s="1"/>
  <c r="J28" i="11" s="1"/>
  <c r="K28" i="11" s="1"/>
  <c r="L28" i="11" s="1"/>
  <c r="M28" i="11" s="1"/>
  <c r="N28" i="11" s="1"/>
  <c r="O28" i="11" s="1"/>
  <c r="P28" i="11" s="1"/>
  <c r="Q28" i="11" s="1"/>
  <c r="R28" i="11" s="1"/>
  <c r="S28" i="11" s="1"/>
  <c r="T28" i="11" s="1"/>
  <c r="U28" i="11" s="1"/>
  <c r="V28" i="11" s="1"/>
  <c r="W28" i="11" s="1"/>
  <c r="X28" i="11" s="1"/>
  <c r="Y28" i="11" s="1"/>
  <c r="Z28" i="11" s="1"/>
  <c r="AB28" i="11"/>
  <c r="F27" i="11"/>
  <c r="G27" i="11" s="1"/>
  <c r="H27" i="11" s="1"/>
  <c r="I27" i="11" s="1"/>
  <c r="J27" i="11" s="1"/>
  <c r="K27" i="11" s="1"/>
  <c r="L27" i="11" s="1"/>
  <c r="M27" i="11" s="1"/>
  <c r="N27" i="11" s="1"/>
  <c r="O27" i="11" s="1"/>
  <c r="P27" i="11" s="1"/>
  <c r="Q27" i="11" s="1"/>
  <c r="R27" i="11" s="1"/>
  <c r="S27" i="11" s="1"/>
  <c r="T27" i="11" s="1"/>
  <c r="U27" i="11" s="1"/>
  <c r="V27" i="11" s="1"/>
  <c r="W27" i="11" s="1"/>
  <c r="X27" i="11" s="1"/>
  <c r="Y27" i="11" s="1"/>
  <c r="Z27" i="11" s="1"/>
  <c r="AB27" i="11"/>
  <c r="AC27" i="11" s="1"/>
  <c r="B15" i="10" s="1"/>
  <c r="F26" i="11"/>
  <c r="G26" i="11" s="1"/>
  <c r="H26" i="11" s="1"/>
  <c r="I26" i="11" s="1"/>
  <c r="J26" i="11" s="1"/>
  <c r="K26" i="11" s="1"/>
  <c r="L26" i="11" s="1"/>
  <c r="M26" i="11" s="1"/>
  <c r="N26" i="11" s="1"/>
  <c r="O26" i="11" s="1"/>
  <c r="P26" i="11" s="1"/>
  <c r="Q26" i="11" s="1"/>
  <c r="R26" i="11" s="1"/>
  <c r="S26" i="11" s="1"/>
  <c r="T26" i="11" s="1"/>
  <c r="U26" i="11" s="1"/>
  <c r="V26" i="11" s="1"/>
  <c r="W26" i="11" s="1"/>
  <c r="X26" i="11" s="1"/>
  <c r="Y26" i="11" s="1"/>
  <c r="Z26" i="11" s="1"/>
  <c r="AB26" i="11"/>
  <c r="AC24" i="11" s="1"/>
  <c r="B14" i="10" s="1"/>
  <c r="F22" i="11"/>
  <c r="G22" i="11" s="1"/>
  <c r="H22" i="11" s="1"/>
  <c r="I22" i="11" s="1"/>
  <c r="J22" i="11" s="1"/>
  <c r="K22" i="11" s="1"/>
  <c r="L22" i="11" s="1"/>
  <c r="M22" i="11" s="1"/>
  <c r="N22" i="11" s="1"/>
  <c r="O22" i="11" s="1"/>
  <c r="P22" i="11" s="1"/>
  <c r="Q22" i="11" s="1"/>
  <c r="R22" i="11" s="1"/>
  <c r="S22" i="11" s="1"/>
  <c r="T22" i="11" s="1"/>
  <c r="U22" i="11" s="1"/>
  <c r="V22" i="11" s="1"/>
  <c r="W22" i="11" s="1"/>
  <c r="X22" i="11" s="1"/>
  <c r="Y22" i="11" s="1"/>
  <c r="Z22" i="11" s="1"/>
  <c r="AB22" i="11"/>
  <c r="AC21" i="11" s="1"/>
  <c r="B13" i="10" s="1"/>
  <c r="F17" i="11"/>
  <c r="G17" i="11" s="1"/>
  <c r="H17" i="11" s="1"/>
  <c r="I17" i="11" s="1"/>
  <c r="J17" i="11" s="1"/>
  <c r="K17" i="11" s="1"/>
  <c r="L17" i="11" s="1"/>
  <c r="M17" i="11" s="1"/>
  <c r="N17" i="11" s="1"/>
  <c r="O17" i="11" s="1"/>
  <c r="P17" i="11" s="1"/>
  <c r="Q17" i="11" s="1"/>
  <c r="R17" i="11" s="1"/>
  <c r="S17" i="11" s="1"/>
  <c r="T17" i="11" s="1"/>
  <c r="U17" i="11" s="1"/>
  <c r="V17" i="11" s="1"/>
  <c r="W17" i="11" s="1"/>
  <c r="X17" i="11" s="1"/>
  <c r="Y17" i="11" s="1"/>
  <c r="Z17" i="11" s="1"/>
  <c r="AB17" i="11"/>
  <c r="F16" i="11"/>
  <c r="G16" i="11" s="1"/>
  <c r="H16" i="11" s="1"/>
  <c r="I16" i="11" s="1"/>
  <c r="J16" i="11" s="1"/>
  <c r="K16" i="11" s="1"/>
  <c r="L16" i="11" s="1"/>
  <c r="M16" i="11" s="1"/>
  <c r="N16" i="11" s="1"/>
  <c r="O16" i="11" s="1"/>
  <c r="P16" i="11" s="1"/>
  <c r="Q16" i="11" s="1"/>
  <c r="R16" i="11" s="1"/>
  <c r="S16" i="11" s="1"/>
  <c r="T16" i="11" s="1"/>
  <c r="U16" i="11" s="1"/>
  <c r="V16" i="11" s="1"/>
  <c r="W16" i="11" s="1"/>
  <c r="X16" i="11" s="1"/>
  <c r="Y16" i="11" s="1"/>
  <c r="Z16" i="11" s="1"/>
  <c r="AB16" i="11"/>
  <c r="F15" i="11"/>
  <c r="G15" i="11" s="1"/>
  <c r="H15" i="11" s="1"/>
  <c r="I15" i="11" s="1"/>
  <c r="J15" i="11" s="1"/>
  <c r="K15" i="11" s="1"/>
  <c r="L15" i="11" s="1"/>
  <c r="M15" i="11" s="1"/>
  <c r="N15" i="11" s="1"/>
  <c r="O15" i="11" s="1"/>
  <c r="P15" i="11" s="1"/>
  <c r="Q15" i="11" s="1"/>
  <c r="R15" i="11" s="1"/>
  <c r="S15" i="11" s="1"/>
  <c r="T15" i="11" s="1"/>
  <c r="U15" i="11" s="1"/>
  <c r="V15" i="11" s="1"/>
  <c r="W15" i="11" s="1"/>
  <c r="X15" i="11" s="1"/>
  <c r="Y15" i="11" s="1"/>
  <c r="Z15" i="11" s="1"/>
  <c r="AB15" i="11"/>
  <c r="AC15" i="11" s="1"/>
  <c r="B11" i="10" s="1"/>
  <c r="F13" i="11"/>
  <c r="G13" i="11" s="1"/>
  <c r="H13" i="11" s="1"/>
  <c r="I13" i="11" s="1"/>
  <c r="J13" i="11" s="1"/>
  <c r="K13" i="11" s="1"/>
  <c r="L13" i="11" s="1"/>
  <c r="M13" i="11" s="1"/>
  <c r="N13" i="11" s="1"/>
  <c r="O13" i="11" s="1"/>
  <c r="P13" i="11" s="1"/>
  <c r="Q13" i="11" s="1"/>
  <c r="R13" i="11" s="1"/>
  <c r="S13" i="11" s="1"/>
  <c r="T13" i="11" s="1"/>
  <c r="U13" i="11" s="1"/>
  <c r="V13" i="11" s="1"/>
  <c r="W13" i="11" s="1"/>
  <c r="X13" i="11" s="1"/>
  <c r="Y13" i="11" s="1"/>
  <c r="Z13" i="11" s="1"/>
  <c r="AB13" i="11"/>
  <c r="F12" i="11"/>
  <c r="G12" i="11" s="1"/>
  <c r="H12" i="11" s="1"/>
  <c r="I12" i="11" s="1"/>
  <c r="J12" i="11" s="1"/>
  <c r="K12" i="11" s="1"/>
  <c r="L12" i="11" s="1"/>
  <c r="M12" i="11" s="1"/>
  <c r="N12" i="11" s="1"/>
  <c r="O12" i="11" s="1"/>
  <c r="P12" i="11" s="1"/>
  <c r="Q12" i="11" s="1"/>
  <c r="R12" i="11" s="1"/>
  <c r="S12" i="11" s="1"/>
  <c r="T12" i="11" s="1"/>
  <c r="U12" i="11" s="1"/>
  <c r="V12" i="11" s="1"/>
  <c r="W12" i="11" s="1"/>
  <c r="X12" i="11" s="1"/>
  <c r="Y12" i="11" s="1"/>
  <c r="Z12" i="11" s="1"/>
  <c r="AB12" i="11"/>
  <c r="AC12" i="11" s="1"/>
  <c r="B10" i="10" s="1"/>
  <c r="F11" i="11"/>
  <c r="G11" i="11" s="1"/>
  <c r="H11" i="11" s="1"/>
  <c r="I11" i="11" s="1"/>
  <c r="J11" i="11" s="1"/>
  <c r="K11" i="11" s="1"/>
  <c r="L11" i="11" s="1"/>
  <c r="M11" i="11" s="1"/>
  <c r="N11" i="11" s="1"/>
  <c r="O11" i="11" s="1"/>
  <c r="P11" i="11" s="1"/>
  <c r="Q11" i="11" s="1"/>
  <c r="R11" i="11" s="1"/>
  <c r="S11" i="11" s="1"/>
  <c r="T11" i="11" s="1"/>
  <c r="U11" i="11" s="1"/>
  <c r="V11" i="11" s="1"/>
  <c r="W11" i="11" s="1"/>
  <c r="X11" i="11" s="1"/>
  <c r="Y11" i="11" s="1"/>
  <c r="Z11" i="11" s="1"/>
  <c r="AB11" i="11"/>
  <c r="F10" i="1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B10" i="11"/>
  <c r="F9" i="11"/>
  <c r="G9" i="11" s="1"/>
  <c r="H9" i="11" s="1"/>
  <c r="I9" i="11" s="1"/>
  <c r="J9" i="11" s="1"/>
  <c r="K9" i="11" s="1"/>
  <c r="L9" i="11" s="1"/>
  <c r="M9" i="11" s="1"/>
  <c r="N9" i="11" s="1"/>
  <c r="O9" i="11" s="1"/>
  <c r="P9" i="11" s="1"/>
  <c r="Q9" i="11" s="1"/>
  <c r="R9" i="11" s="1"/>
  <c r="S9" i="11" s="1"/>
  <c r="T9" i="11" s="1"/>
  <c r="U9" i="11" s="1"/>
  <c r="V9" i="11" s="1"/>
  <c r="W9" i="11" s="1"/>
  <c r="X9" i="11" s="1"/>
  <c r="Y9" i="11" s="1"/>
  <c r="Z9" i="11" s="1"/>
  <c r="AB9" i="11"/>
  <c r="AC9" i="11" s="1"/>
  <c r="B9" i="10" s="1"/>
  <c r="F7" i="11"/>
  <c r="G7" i="11" s="1"/>
  <c r="H7" i="11" s="1"/>
  <c r="I7" i="11" s="1"/>
  <c r="J7" i="11" s="1"/>
  <c r="K7" i="11" s="1"/>
  <c r="L7" i="11" s="1"/>
  <c r="M7" i="11" s="1"/>
  <c r="N7" i="11" s="1"/>
  <c r="O7" i="11" s="1"/>
  <c r="P7" i="11" s="1"/>
  <c r="Q7" i="11" s="1"/>
  <c r="R7" i="11" s="1"/>
  <c r="S7" i="11" s="1"/>
  <c r="T7" i="11" s="1"/>
  <c r="U7" i="11" s="1"/>
  <c r="V7" i="11" s="1"/>
  <c r="W7" i="11" s="1"/>
  <c r="X7" i="11" s="1"/>
  <c r="Y7" i="11" s="1"/>
  <c r="Z7" i="11" s="1"/>
  <c r="AB7" i="11"/>
  <c r="F6" i="11"/>
  <c r="G6" i="11" s="1"/>
  <c r="H6" i="11" s="1"/>
  <c r="I6" i="11" s="1"/>
  <c r="J6" i="11" s="1"/>
  <c r="K6" i="11" s="1"/>
  <c r="L6" i="11" s="1"/>
  <c r="M6" i="11" s="1"/>
  <c r="N6" i="11" s="1"/>
  <c r="O6" i="11" s="1"/>
  <c r="P6" i="11" s="1"/>
  <c r="Q6" i="11" s="1"/>
  <c r="R6" i="11" s="1"/>
  <c r="S6" i="11" s="1"/>
  <c r="T6" i="11" s="1"/>
  <c r="U6" i="11" s="1"/>
  <c r="V6" i="11" s="1"/>
  <c r="W6" i="11" s="1"/>
  <c r="X6" i="11" s="1"/>
  <c r="Y6" i="11" s="1"/>
  <c r="Z6" i="11" s="1"/>
  <c r="AB6" i="11"/>
  <c r="AC6" i="11" s="1"/>
  <c r="B8" i="10" s="1"/>
  <c r="F41" i="9"/>
  <c r="G41" i="9" s="1"/>
  <c r="H41" i="9" s="1"/>
  <c r="I41" i="9" s="1"/>
  <c r="J41" i="9" s="1"/>
  <c r="K41" i="9" s="1"/>
  <c r="L41" i="9" s="1"/>
  <c r="M41" i="9" s="1"/>
  <c r="N41" i="9" s="1"/>
  <c r="O41" i="9" s="1"/>
  <c r="P41" i="9" s="1"/>
  <c r="Q41" i="9" s="1"/>
  <c r="R41" i="9" s="1"/>
  <c r="S41" i="9" s="1"/>
  <c r="T41" i="9" s="1"/>
  <c r="U41" i="9" s="1"/>
  <c r="V41" i="9" s="1"/>
  <c r="W41" i="9" s="1"/>
  <c r="X41" i="9" s="1"/>
  <c r="Y41" i="9" s="1"/>
  <c r="Z41" i="9" s="1"/>
  <c r="AB41" i="9"/>
  <c r="F40" i="9"/>
  <c r="G40" i="9" s="1"/>
  <c r="H40" i="9" s="1"/>
  <c r="I40" i="9" s="1"/>
  <c r="J40" i="9" s="1"/>
  <c r="K40" i="9" s="1"/>
  <c r="L40" i="9" s="1"/>
  <c r="M40" i="9" s="1"/>
  <c r="N40" i="9" s="1"/>
  <c r="O40" i="9" s="1"/>
  <c r="P40" i="9" s="1"/>
  <c r="Q40" i="9" s="1"/>
  <c r="R40" i="9" s="1"/>
  <c r="S40" i="9" s="1"/>
  <c r="T40" i="9" s="1"/>
  <c r="U40" i="9" s="1"/>
  <c r="V40" i="9" s="1"/>
  <c r="W40" i="9" s="1"/>
  <c r="X40" i="9" s="1"/>
  <c r="Y40" i="9" s="1"/>
  <c r="Z40" i="9" s="1"/>
  <c r="AB40" i="9"/>
  <c r="F39" i="9"/>
  <c r="G39" i="9" s="1"/>
  <c r="H39" i="9" s="1"/>
  <c r="I39" i="9" s="1"/>
  <c r="J39" i="9" s="1"/>
  <c r="K39" i="9" s="1"/>
  <c r="L39" i="9" s="1"/>
  <c r="M39" i="9" s="1"/>
  <c r="N39" i="9" s="1"/>
  <c r="O39" i="9" s="1"/>
  <c r="P39" i="9" s="1"/>
  <c r="Q39" i="9" s="1"/>
  <c r="R39" i="9" s="1"/>
  <c r="S39" i="9" s="1"/>
  <c r="T39" i="9" s="1"/>
  <c r="U39" i="9" s="1"/>
  <c r="V39" i="9" s="1"/>
  <c r="W39" i="9" s="1"/>
  <c r="X39" i="9" s="1"/>
  <c r="Y39" i="9" s="1"/>
  <c r="Z39" i="9" s="1"/>
  <c r="AB39" i="9"/>
  <c r="AC39" i="9" s="1"/>
  <c r="B19" i="8" s="1"/>
  <c r="F33" i="9"/>
  <c r="G33" i="9" s="1"/>
  <c r="H33" i="9" s="1"/>
  <c r="I33" i="9" s="1"/>
  <c r="J33" i="9" s="1"/>
  <c r="K33" i="9" s="1"/>
  <c r="L33" i="9" s="1"/>
  <c r="M33" i="9" s="1"/>
  <c r="N33" i="9" s="1"/>
  <c r="O33" i="9" s="1"/>
  <c r="P33" i="9" s="1"/>
  <c r="Q33" i="9" s="1"/>
  <c r="R33" i="9" s="1"/>
  <c r="S33" i="9" s="1"/>
  <c r="T33" i="9" s="1"/>
  <c r="U33" i="9" s="1"/>
  <c r="V33" i="9" s="1"/>
  <c r="W33" i="9" s="1"/>
  <c r="X33" i="9" s="1"/>
  <c r="Y33" i="9" s="1"/>
  <c r="Z33" i="9" s="1"/>
  <c r="AB33" i="9"/>
  <c r="AC33" i="9" s="1"/>
  <c r="B17" i="8" s="1"/>
  <c r="F31" i="9"/>
  <c r="G31" i="9" s="1"/>
  <c r="H31" i="9" s="1"/>
  <c r="I31" i="9" s="1"/>
  <c r="J31" i="9" s="1"/>
  <c r="K31" i="9" s="1"/>
  <c r="L31" i="9" s="1"/>
  <c r="M31" i="9" s="1"/>
  <c r="N31" i="9" s="1"/>
  <c r="O31" i="9" s="1"/>
  <c r="P31" i="9" s="1"/>
  <c r="Q31" i="9" s="1"/>
  <c r="R31" i="9" s="1"/>
  <c r="S31" i="9" s="1"/>
  <c r="T31" i="9" s="1"/>
  <c r="U31" i="9" s="1"/>
  <c r="V31" i="9" s="1"/>
  <c r="W31" i="9" s="1"/>
  <c r="X31" i="9" s="1"/>
  <c r="Y31" i="9" s="1"/>
  <c r="Z31" i="9" s="1"/>
  <c r="AB31" i="9"/>
  <c r="F30" i="9"/>
  <c r="G30" i="9" s="1"/>
  <c r="H30" i="9" s="1"/>
  <c r="I30" i="9" s="1"/>
  <c r="J30" i="9" s="1"/>
  <c r="K30" i="9" s="1"/>
  <c r="L30" i="9" s="1"/>
  <c r="M30" i="9" s="1"/>
  <c r="N30" i="9" s="1"/>
  <c r="O30" i="9" s="1"/>
  <c r="P30" i="9" s="1"/>
  <c r="Q30" i="9" s="1"/>
  <c r="R30" i="9" s="1"/>
  <c r="S30" i="9" s="1"/>
  <c r="T30" i="9" s="1"/>
  <c r="U30" i="9" s="1"/>
  <c r="V30" i="9" s="1"/>
  <c r="W30" i="9" s="1"/>
  <c r="X30" i="9" s="1"/>
  <c r="Y30" i="9" s="1"/>
  <c r="Z30" i="9" s="1"/>
  <c r="AB30" i="9"/>
  <c r="AC30" i="9" s="1"/>
  <c r="B16" i="8" s="1"/>
  <c r="F25" i="9"/>
  <c r="G25" i="9" s="1"/>
  <c r="H25" i="9" s="1"/>
  <c r="I25" i="9" s="1"/>
  <c r="J25" i="9" s="1"/>
  <c r="K25" i="9" s="1"/>
  <c r="L25" i="9" s="1"/>
  <c r="M25" i="9" s="1"/>
  <c r="N25" i="9" s="1"/>
  <c r="O25" i="9" s="1"/>
  <c r="P25" i="9" s="1"/>
  <c r="Q25" i="9" s="1"/>
  <c r="R25" i="9" s="1"/>
  <c r="S25" i="9" s="1"/>
  <c r="T25" i="9" s="1"/>
  <c r="U25" i="9" s="1"/>
  <c r="V25" i="9" s="1"/>
  <c r="W25" i="9" s="1"/>
  <c r="X25" i="9" s="1"/>
  <c r="Y25" i="9" s="1"/>
  <c r="Z25" i="9" s="1"/>
  <c r="AB25" i="9"/>
  <c r="F24" i="9"/>
  <c r="G24" i="9" s="1"/>
  <c r="H24" i="9" s="1"/>
  <c r="I24" i="9" s="1"/>
  <c r="J24" i="9" s="1"/>
  <c r="K24" i="9" s="1"/>
  <c r="L24" i="9" s="1"/>
  <c r="M24" i="9" s="1"/>
  <c r="N24" i="9" s="1"/>
  <c r="O24" i="9" s="1"/>
  <c r="P24" i="9" s="1"/>
  <c r="Q24" i="9" s="1"/>
  <c r="R24" i="9" s="1"/>
  <c r="S24" i="9" s="1"/>
  <c r="T24" i="9" s="1"/>
  <c r="U24" i="9" s="1"/>
  <c r="V24" i="9" s="1"/>
  <c r="W24" i="9" s="1"/>
  <c r="X24" i="9" s="1"/>
  <c r="Y24" i="9" s="1"/>
  <c r="Z24" i="9" s="1"/>
  <c r="AB24" i="9"/>
  <c r="AC24" i="9" s="1"/>
  <c r="B14" i="8" s="1"/>
  <c r="F19" i="9"/>
  <c r="G19" i="9" s="1"/>
  <c r="H19" i="9" s="1"/>
  <c r="I19" i="9" s="1"/>
  <c r="J19" i="9" s="1"/>
  <c r="K19" i="9" s="1"/>
  <c r="L19" i="9" s="1"/>
  <c r="M19" i="9" s="1"/>
  <c r="N19" i="9" s="1"/>
  <c r="O19" i="9" s="1"/>
  <c r="P19" i="9" s="1"/>
  <c r="Q19" i="9" s="1"/>
  <c r="R19" i="9" s="1"/>
  <c r="S19" i="9" s="1"/>
  <c r="T19" i="9" s="1"/>
  <c r="U19" i="9" s="1"/>
  <c r="V19" i="9" s="1"/>
  <c r="W19" i="9" s="1"/>
  <c r="X19" i="9" s="1"/>
  <c r="Y19" i="9" s="1"/>
  <c r="Z19" i="9" s="1"/>
  <c r="AB19" i="9"/>
  <c r="AC18" i="9" s="1"/>
  <c r="B12" i="8" s="1"/>
  <c r="F17" i="9"/>
  <c r="G17" i="9" s="1"/>
  <c r="H17" i="9" s="1"/>
  <c r="I17" i="9" s="1"/>
  <c r="J17" i="9" s="1"/>
  <c r="K17" i="9" s="1"/>
  <c r="L17" i="9" s="1"/>
  <c r="M17" i="9" s="1"/>
  <c r="N17" i="9" s="1"/>
  <c r="O17" i="9" s="1"/>
  <c r="P17" i="9" s="1"/>
  <c r="Q17" i="9" s="1"/>
  <c r="R17" i="9" s="1"/>
  <c r="S17" i="9" s="1"/>
  <c r="T17" i="9" s="1"/>
  <c r="U17" i="9" s="1"/>
  <c r="V17" i="9" s="1"/>
  <c r="W17" i="9" s="1"/>
  <c r="X17" i="9" s="1"/>
  <c r="Y17" i="9" s="1"/>
  <c r="Z17" i="9" s="1"/>
  <c r="AB17" i="9"/>
  <c r="AC15" i="9" s="1"/>
  <c r="B11" i="8" s="1"/>
  <c r="F14" i="9"/>
  <c r="G14" i="9" s="1"/>
  <c r="H14" i="9" s="1"/>
  <c r="I14" i="9" s="1"/>
  <c r="J14" i="9" s="1"/>
  <c r="K14" i="9" s="1"/>
  <c r="L14" i="9" s="1"/>
  <c r="M14" i="9" s="1"/>
  <c r="N14" i="9" s="1"/>
  <c r="O14" i="9" s="1"/>
  <c r="P14" i="9" s="1"/>
  <c r="Q14" i="9" s="1"/>
  <c r="R14" i="9" s="1"/>
  <c r="S14" i="9" s="1"/>
  <c r="T14" i="9" s="1"/>
  <c r="U14" i="9" s="1"/>
  <c r="V14" i="9" s="1"/>
  <c r="W14" i="9" s="1"/>
  <c r="X14" i="9" s="1"/>
  <c r="Y14" i="9" s="1"/>
  <c r="Z14" i="9" s="1"/>
  <c r="AB14" i="9"/>
  <c r="F13" i="9"/>
  <c r="G13" i="9" s="1"/>
  <c r="H13" i="9" s="1"/>
  <c r="I13" i="9" s="1"/>
  <c r="J13" i="9" s="1"/>
  <c r="K13" i="9" s="1"/>
  <c r="L13" i="9" s="1"/>
  <c r="M13" i="9" s="1"/>
  <c r="N13" i="9" s="1"/>
  <c r="O13" i="9" s="1"/>
  <c r="P13" i="9" s="1"/>
  <c r="Q13" i="9" s="1"/>
  <c r="R13" i="9" s="1"/>
  <c r="S13" i="9" s="1"/>
  <c r="T13" i="9" s="1"/>
  <c r="U13" i="9" s="1"/>
  <c r="V13" i="9" s="1"/>
  <c r="W13" i="9" s="1"/>
  <c r="X13" i="9" s="1"/>
  <c r="Y13" i="9" s="1"/>
  <c r="Z13" i="9" s="1"/>
  <c r="AB13" i="9"/>
  <c r="F12" i="9"/>
  <c r="G12" i="9" s="1"/>
  <c r="H12" i="9" s="1"/>
  <c r="I12" i="9" s="1"/>
  <c r="J12" i="9" s="1"/>
  <c r="K12" i="9" s="1"/>
  <c r="L12" i="9" s="1"/>
  <c r="M12" i="9" s="1"/>
  <c r="N12" i="9" s="1"/>
  <c r="O12" i="9" s="1"/>
  <c r="P12" i="9" s="1"/>
  <c r="Q12" i="9" s="1"/>
  <c r="R12" i="9" s="1"/>
  <c r="S12" i="9" s="1"/>
  <c r="T12" i="9" s="1"/>
  <c r="U12" i="9" s="1"/>
  <c r="V12" i="9" s="1"/>
  <c r="W12" i="9" s="1"/>
  <c r="X12" i="9" s="1"/>
  <c r="Y12" i="9" s="1"/>
  <c r="Z12" i="9" s="1"/>
  <c r="AB12" i="9"/>
  <c r="AC12" i="9" s="1"/>
  <c r="B10" i="8" s="1"/>
  <c r="F41" i="7"/>
  <c r="G41" i="7" s="1"/>
  <c r="H41" i="7" s="1"/>
  <c r="I41" i="7" s="1"/>
  <c r="J41" i="7" s="1"/>
  <c r="K41" i="7" s="1"/>
  <c r="L41" i="7" s="1"/>
  <c r="M41" i="7" s="1"/>
  <c r="N41" i="7" s="1"/>
  <c r="O41" i="7" s="1"/>
  <c r="P41" i="7" s="1"/>
  <c r="Q41" i="7" s="1"/>
  <c r="R41" i="7" s="1"/>
  <c r="S41" i="7" s="1"/>
  <c r="T41" i="7" s="1"/>
  <c r="U41" i="7" s="1"/>
  <c r="V41" i="7" s="1"/>
  <c r="W41" i="7" s="1"/>
  <c r="X41" i="7" s="1"/>
  <c r="Y41" i="7" s="1"/>
  <c r="Z41" i="7" s="1"/>
  <c r="AB41" i="7"/>
  <c r="F39" i="7"/>
  <c r="G39" i="7" s="1"/>
  <c r="H39" i="7" s="1"/>
  <c r="I39" i="7" s="1"/>
  <c r="J39" i="7" s="1"/>
  <c r="K39" i="7" s="1"/>
  <c r="L39" i="7" s="1"/>
  <c r="M39" i="7" s="1"/>
  <c r="N39" i="7" s="1"/>
  <c r="O39" i="7" s="1"/>
  <c r="P39" i="7" s="1"/>
  <c r="Q39" i="7" s="1"/>
  <c r="R39" i="7" s="1"/>
  <c r="S39" i="7" s="1"/>
  <c r="T39" i="7" s="1"/>
  <c r="U39" i="7" s="1"/>
  <c r="V39" i="7" s="1"/>
  <c r="W39" i="7" s="1"/>
  <c r="X39" i="7" s="1"/>
  <c r="Y39" i="7" s="1"/>
  <c r="Z39" i="7" s="1"/>
  <c r="AB39" i="7"/>
  <c r="AC39" i="7" s="1"/>
  <c r="F37" i="7"/>
  <c r="G37" i="7" s="1"/>
  <c r="H37" i="7" s="1"/>
  <c r="I37" i="7" s="1"/>
  <c r="J37" i="7" s="1"/>
  <c r="K37" i="7" s="1"/>
  <c r="L37" i="7" s="1"/>
  <c r="M37" i="7" s="1"/>
  <c r="N37" i="7" s="1"/>
  <c r="O37" i="7" s="1"/>
  <c r="P37" i="7" s="1"/>
  <c r="Q37" i="7" s="1"/>
  <c r="R37" i="7" s="1"/>
  <c r="S37" i="7" s="1"/>
  <c r="T37" i="7" s="1"/>
  <c r="U37" i="7" s="1"/>
  <c r="V37" i="7" s="1"/>
  <c r="W37" i="7" s="1"/>
  <c r="X37" i="7" s="1"/>
  <c r="Y37" i="7" s="1"/>
  <c r="Z37" i="7" s="1"/>
  <c r="AB37" i="7"/>
  <c r="F36" i="7"/>
  <c r="G36" i="7" s="1"/>
  <c r="H36" i="7" s="1"/>
  <c r="I36" i="7" s="1"/>
  <c r="J36" i="7" s="1"/>
  <c r="K36" i="7" s="1"/>
  <c r="L36" i="7" s="1"/>
  <c r="M36" i="7" s="1"/>
  <c r="N36" i="7" s="1"/>
  <c r="O36" i="7" s="1"/>
  <c r="P36" i="7" s="1"/>
  <c r="Q36" i="7" s="1"/>
  <c r="R36" i="7" s="1"/>
  <c r="S36" i="7" s="1"/>
  <c r="T36" i="7" s="1"/>
  <c r="U36" i="7" s="1"/>
  <c r="V36" i="7" s="1"/>
  <c r="W36" i="7" s="1"/>
  <c r="X36" i="7" s="1"/>
  <c r="Y36" i="7" s="1"/>
  <c r="Z36" i="7" s="1"/>
  <c r="AB36" i="7"/>
  <c r="F33" i="7"/>
  <c r="G33" i="7" s="1"/>
  <c r="H33" i="7" s="1"/>
  <c r="I33" i="7" s="1"/>
  <c r="J33" i="7" s="1"/>
  <c r="K33" i="7" s="1"/>
  <c r="L33" i="7" s="1"/>
  <c r="M33" i="7" s="1"/>
  <c r="N33" i="7" s="1"/>
  <c r="O33" i="7" s="1"/>
  <c r="P33" i="7" s="1"/>
  <c r="Q33" i="7" s="1"/>
  <c r="R33" i="7" s="1"/>
  <c r="S33" i="7" s="1"/>
  <c r="T33" i="7" s="1"/>
  <c r="U33" i="7" s="1"/>
  <c r="V33" i="7" s="1"/>
  <c r="W33" i="7" s="1"/>
  <c r="X33" i="7" s="1"/>
  <c r="Y33" i="7" s="1"/>
  <c r="Z33" i="7" s="1"/>
  <c r="AB33" i="7"/>
  <c r="AC33" i="7" s="1"/>
  <c r="F28" i="7"/>
  <c r="G28" i="7" s="1"/>
  <c r="H28" i="7" s="1"/>
  <c r="I28" i="7" s="1"/>
  <c r="J28" i="7" s="1"/>
  <c r="K28" i="7" s="1"/>
  <c r="L28" i="7" s="1"/>
  <c r="M28" i="7" s="1"/>
  <c r="N28" i="7" s="1"/>
  <c r="O28" i="7" s="1"/>
  <c r="P28" i="7" s="1"/>
  <c r="Q28" i="7" s="1"/>
  <c r="R28" i="7" s="1"/>
  <c r="S28" i="7" s="1"/>
  <c r="T28" i="7" s="1"/>
  <c r="U28" i="7" s="1"/>
  <c r="V28" i="7" s="1"/>
  <c r="W28" i="7" s="1"/>
  <c r="X28" i="7" s="1"/>
  <c r="Y28" i="7" s="1"/>
  <c r="Z28" i="7" s="1"/>
  <c r="AB28" i="7"/>
  <c r="F27" i="7"/>
  <c r="G27" i="7" s="1"/>
  <c r="H27" i="7" s="1"/>
  <c r="I27" i="7" s="1"/>
  <c r="J27" i="7" s="1"/>
  <c r="K27" i="7" s="1"/>
  <c r="L27" i="7" s="1"/>
  <c r="M27" i="7" s="1"/>
  <c r="N27" i="7" s="1"/>
  <c r="O27" i="7" s="1"/>
  <c r="P27" i="7" s="1"/>
  <c r="Q27" i="7" s="1"/>
  <c r="R27" i="7" s="1"/>
  <c r="S27" i="7" s="1"/>
  <c r="T27" i="7" s="1"/>
  <c r="U27" i="7" s="1"/>
  <c r="V27" i="7" s="1"/>
  <c r="W27" i="7" s="1"/>
  <c r="X27" i="7" s="1"/>
  <c r="Y27" i="7" s="1"/>
  <c r="Z27" i="7" s="1"/>
  <c r="AB27" i="7"/>
  <c r="AC27" i="7" s="1"/>
  <c r="F26" i="7"/>
  <c r="G26" i="7" s="1"/>
  <c r="H26" i="7" s="1"/>
  <c r="I26" i="7" s="1"/>
  <c r="J26" i="7" s="1"/>
  <c r="K26" i="7" s="1"/>
  <c r="L26" i="7" s="1"/>
  <c r="M26" i="7" s="1"/>
  <c r="N26" i="7" s="1"/>
  <c r="O26" i="7" s="1"/>
  <c r="P26" i="7" s="1"/>
  <c r="Q26" i="7" s="1"/>
  <c r="R26" i="7" s="1"/>
  <c r="S26" i="7" s="1"/>
  <c r="T26" i="7" s="1"/>
  <c r="U26" i="7" s="1"/>
  <c r="V26" i="7" s="1"/>
  <c r="W26" i="7" s="1"/>
  <c r="X26" i="7" s="1"/>
  <c r="Y26" i="7" s="1"/>
  <c r="Z26" i="7" s="1"/>
  <c r="AB26" i="7"/>
  <c r="AC24" i="7" s="1"/>
  <c r="F12" i="7"/>
  <c r="G12" i="7" s="1"/>
  <c r="H12" i="7" s="1"/>
  <c r="I12" i="7" s="1"/>
  <c r="J12" i="7" s="1"/>
  <c r="K12" i="7" s="1"/>
  <c r="L12" i="7" s="1"/>
  <c r="M12" i="7" s="1"/>
  <c r="N12" i="7" s="1"/>
  <c r="O12" i="7" s="1"/>
  <c r="P12" i="7" s="1"/>
  <c r="Q12" i="7" s="1"/>
  <c r="R12" i="7" s="1"/>
  <c r="S12" i="7" s="1"/>
  <c r="T12" i="7" s="1"/>
  <c r="U12" i="7" s="1"/>
  <c r="V12" i="7" s="1"/>
  <c r="W12" i="7" s="1"/>
  <c r="X12" i="7" s="1"/>
  <c r="Y12" i="7" s="1"/>
  <c r="Z12" i="7" s="1"/>
  <c r="AB12" i="7"/>
  <c r="AC12" i="7" s="1"/>
  <c r="F9" i="7"/>
  <c r="G9" i="7" s="1"/>
  <c r="H9" i="7" s="1"/>
  <c r="I9" i="7" s="1"/>
  <c r="J9" i="7" s="1"/>
  <c r="K9" i="7" s="1"/>
  <c r="L9" i="7" s="1"/>
  <c r="M9" i="7" s="1"/>
  <c r="N9" i="7" s="1"/>
  <c r="O9" i="7" s="1"/>
  <c r="P9" i="7" s="1"/>
  <c r="Q9" i="7" s="1"/>
  <c r="R9" i="7" s="1"/>
  <c r="S9" i="7" s="1"/>
  <c r="T9" i="7" s="1"/>
  <c r="U9" i="7" s="1"/>
  <c r="V9" i="7" s="1"/>
  <c r="W9" i="7" s="1"/>
  <c r="X9" i="7" s="1"/>
  <c r="Y9" i="7" s="1"/>
  <c r="Z9" i="7" s="1"/>
  <c r="AB9" i="7"/>
  <c r="AC9" i="7" s="1"/>
  <c r="F8" i="7"/>
  <c r="G8" i="7" s="1"/>
  <c r="H8" i="7" s="1"/>
  <c r="I8" i="7" s="1"/>
  <c r="J8" i="7" s="1"/>
  <c r="K8" i="7" s="1"/>
  <c r="L8" i="7" s="1"/>
  <c r="M8" i="7" s="1"/>
  <c r="N8" i="7" s="1"/>
  <c r="O8" i="7" s="1"/>
  <c r="P8" i="7" s="1"/>
  <c r="Q8" i="7" s="1"/>
  <c r="R8" i="7" s="1"/>
  <c r="S8" i="7" s="1"/>
  <c r="T8" i="7" s="1"/>
  <c r="U8" i="7" s="1"/>
  <c r="V8" i="7" s="1"/>
  <c r="W8" i="7" s="1"/>
  <c r="X8" i="7" s="1"/>
  <c r="Y8" i="7" s="1"/>
  <c r="Z8" i="7" s="1"/>
  <c r="AB8" i="7"/>
  <c r="F7" i="7"/>
  <c r="G7" i="7" s="1"/>
  <c r="H7" i="7" s="1"/>
  <c r="I7" i="7" s="1"/>
  <c r="J7" i="7" s="1"/>
  <c r="K7" i="7" s="1"/>
  <c r="L7" i="7" s="1"/>
  <c r="M7" i="7" s="1"/>
  <c r="N7" i="7" s="1"/>
  <c r="O7" i="7" s="1"/>
  <c r="P7" i="7" s="1"/>
  <c r="Q7" i="7" s="1"/>
  <c r="R7" i="7" s="1"/>
  <c r="S7" i="7" s="1"/>
  <c r="T7" i="7" s="1"/>
  <c r="U7" i="7" s="1"/>
  <c r="V7" i="7" s="1"/>
  <c r="W7" i="7" s="1"/>
  <c r="X7" i="7" s="1"/>
  <c r="Y7" i="7" s="1"/>
  <c r="Z7" i="7" s="1"/>
  <c r="AB7" i="7"/>
  <c r="F74" i="5"/>
  <c r="G74" i="5" s="1"/>
  <c r="H74" i="5" s="1"/>
  <c r="I74" i="5" s="1"/>
  <c r="J74" i="5" s="1"/>
  <c r="K74" i="5" s="1"/>
  <c r="L74" i="5" s="1"/>
  <c r="M74" i="5" s="1"/>
  <c r="N74" i="5" s="1"/>
  <c r="O74" i="5" s="1"/>
  <c r="P74" i="5" s="1"/>
  <c r="Q74" i="5" s="1"/>
  <c r="R74" i="5" s="1"/>
  <c r="S74" i="5" s="1"/>
  <c r="T74" i="5" s="1"/>
  <c r="U74" i="5" s="1"/>
  <c r="V74" i="5" s="1"/>
  <c r="W74" i="5" s="1"/>
  <c r="X74" i="5" s="1"/>
  <c r="Y74" i="5" s="1"/>
  <c r="Z74" i="5" s="1"/>
  <c r="AB74" i="5"/>
  <c r="F73" i="5"/>
  <c r="G73" i="5" s="1"/>
  <c r="H73" i="5" s="1"/>
  <c r="I73" i="5" s="1"/>
  <c r="J73" i="5" s="1"/>
  <c r="K73" i="5" s="1"/>
  <c r="L73" i="5" s="1"/>
  <c r="M73" i="5" s="1"/>
  <c r="N73" i="5" s="1"/>
  <c r="O73" i="5" s="1"/>
  <c r="P73" i="5" s="1"/>
  <c r="Q73" i="5" s="1"/>
  <c r="R73" i="5" s="1"/>
  <c r="S73" i="5" s="1"/>
  <c r="T73" i="5" s="1"/>
  <c r="U73" i="5" s="1"/>
  <c r="V73" i="5" s="1"/>
  <c r="W73" i="5" s="1"/>
  <c r="X73" i="5" s="1"/>
  <c r="Y73" i="5" s="1"/>
  <c r="Z73" i="5" s="1"/>
  <c r="AB73" i="5"/>
  <c r="AC72" i="5" s="1"/>
  <c r="B30" i="4" s="1"/>
  <c r="F71" i="5"/>
  <c r="G71" i="5" s="1"/>
  <c r="H71" i="5" s="1"/>
  <c r="I71" i="5" s="1"/>
  <c r="J71" i="5" s="1"/>
  <c r="K71" i="5" s="1"/>
  <c r="L71" i="5" s="1"/>
  <c r="M71" i="5" s="1"/>
  <c r="N71" i="5" s="1"/>
  <c r="O71" i="5" s="1"/>
  <c r="P71" i="5" s="1"/>
  <c r="Q71" i="5" s="1"/>
  <c r="R71" i="5" s="1"/>
  <c r="S71" i="5" s="1"/>
  <c r="T71" i="5" s="1"/>
  <c r="U71" i="5" s="1"/>
  <c r="V71" i="5" s="1"/>
  <c r="W71" i="5" s="1"/>
  <c r="X71" i="5" s="1"/>
  <c r="Y71" i="5" s="1"/>
  <c r="Z71" i="5" s="1"/>
  <c r="AB71" i="5"/>
  <c r="F70" i="5"/>
  <c r="G70" i="5" s="1"/>
  <c r="H70" i="5" s="1"/>
  <c r="I70" i="5" s="1"/>
  <c r="J70" i="5" s="1"/>
  <c r="K70" i="5" s="1"/>
  <c r="L70" i="5" s="1"/>
  <c r="M70" i="5" s="1"/>
  <c r="N70" i="5" s="1"/>
  <c r="O70" i="5" s="1"/>
  <c r="P70" i="5" s="1"/>
  <c r="Q70" i="5" s="1"/>
  <c r="R70" i="5" s="1"/>
  <c r="S70" i="5" s="1"/>
  <c r="T70" i="5" s="1"/>
  <c r="U70" i="5" s="1"/>
  <c r="V70" i="5" s="1"/>
  <c r="W70" i="5" s="1"/>
  <c r="X70" i="5" s="1"/>
  <c r="Y70" i="5" s="1"/>
  <c r="Z70" i="5" s="1"/>
  <c r="AB70" i="5"/>
  <c r="F69" i="5"/>
  <c r="G69" i="5" s="1"/>
  <c r="H69" i="5" s="1"/>
  <c r="I69" i="5" s="1"/>
  <c r="J69" i="5" s="1"/>
  <c r="K69" i="5" s="1"/>
  <c r="L69" i="5" s="1"/>
  <c r="M69" i="5" s="1"/>
  <c r="N69" i="5" s="1"/>
  <c r="O69" i="5" s="1"/>
  <c r="P69" i="5" s="1"/>
  <c r="Q69" i="5" s="1"/>
  <c r="R69" i="5" s="1"/>
  <c r="S69" i="5" s="1"/>
  <c r="T69" i="5" s="1"/>
  <c r="U69" i="5" s="1"/>
  <c r="V69" i="5" s="1"/>
  <c r="W69" i="5" s="1"/>
  <c r="X69" i="5" s="1"/>
  <c r="Y69" i="5" s="1"/>
  <c r="Z69" i="5" s="1"/>
  <c r="AB69" i="5"/>
  <c r="AC69" i="5" s="1"/>
  <c r="B29" i="4" s="1"/>
  <c r="F68" i="5"/>
  <c r="G68" i="5" s="1"/>
  <c r="H68" i="5" s="1"/>
  <c r="I68" i="5" s="1"/>
  <c r="J68" i="5" s="1"/>
  <c r="K68" i="5" s="1"/>
  <c r="L68" i="5" s="1"/>
  <c r="M68" i="5" s="1"/>
  <c r="N68" i="5" s="1"/>
  <c r="O68" i="5" s="1"/>
  <c r="P68" i="5" s="1"/>
  <c r="Q68" i="5" s="1"/>
  <c r="R68" i="5" s="1"/>
  <c r="S68" i="5" s="1"/>
  <c r="T68" i="5" s="1"/>
  <c r="U68" i="5" s="1"/>
  <c r="V68" i="5" s="1"/>
  <c r="W68" i="5" s="1"/>
  <c r="X68" i="5" s="1"/>
  <c r="Y68" i="5" s="1"/>
  <c r="Z68" i="5" s="1"/>
  <c r="AB68" i="5"/>
  <c r="F67" i="5"/>
  <c r="G67" i="5" s="1"/>
  <c r="H67" i="5" s="1"/>
  <c r="I67" i="5" s="1"/>
  <c r="J67" i="5" s="1"/>
  <c r="K67" i="5" s="1"/>
  <c r="L67" i="5" s="1"/>
  <c r="M67" i="5" s="1"/>
  <c r="N67" i="5" s="1"/>
  <c r="O67" i="5" s="1"/>
  <c r="P67" i="5" s="1"/>
  <c r="Q67" i="5" s="1"/>
  <c r="R67" i="5" s="1"/>
  <c r="S67" i="5" s="1"/>
  <c r="T67" i="5" s="1"/>
  <c r="U67" i="5" s="1"/>
  <c r="V67" i="5" s="1"/>
  <c r="W67" i="5" s="1"/>
  <c r="X67" i="5" s="1"/>
  <c r="Y67" i="5" s="1"/>
  <c r="Z67" i="5" s="1"/>
  <c r="AB67" i="5"/>
  <c r="J66" i="5"/>
  <c r="K66" i="5" s="1"/>
  <c r="L66" i="5" s="1"/>
  <c r="M66" i="5" s="1"/>
  <c r="N66" i="5" s="1"/>
  <c r="O66" i="5" s="1"/>
  <c r="P66" i="5" s="1"/>
  <c r="Q66" i="5" s="1"/>
  <c r="R66" i="5" s="1"/>
  <c r="S66" i="5" s="1"/>
  <c r="T66" i="5" s="1"/>
  <c r="U66" i="5" s="1"/>
  <c r="V66" i="5" s="1"/>
  <c r="W66" i="5" s="1"/>
  <c r="X66" i="5" s="1"/>
  <c r="Y66" i="5" s="1"/>
  <c r="Z66" i="5" s="1"/>
  <c r="AB66" i="5"/>
  <c r="F65" i="5"/>
  <c r="G65" i="5" s="1"/>
  <c r="H65" i="5" s="1"/>
  <c r="I65" i="5" s="1"/>
  <c r="J65" i="5" s="1"/>
  <c r="K65" i="5" s="1"/>
  <c r="L65" i="5" s="1"/>
  <c r="M65" i="5" s="1"/>
  <c r="N65" i="5" s="1"/>
  <c r="O65" i="5" s="1"/>
  <c r="P65" i="5" s="1"/>
  <c r="Q65" i="5" s="1"/>
  <c r="R65" i="5" s="1"/>
  <c r="S65" i="5" s="1"/>
  <c r="T65" i="5" s="1"/>
  <c r="U65" i="5" s="1"/>
  <c r="V65" i="5" s="1"/>
  <c r="W65" i="5" s="1"/>
  <c r="X65" i="5" s="1"/>
  <c r="Y65" i="5" s="1"/>
  <c r="Z65" i="5" s="1"/>
  <c r="AB65" i="5"/>
  <c r="M63" i="5"/>
  <c r="N63" i="5" s="1"/>
  <c r="O63" i="5" s="1"/>
  <c r="P63" i="5" s="1"/>
  <c r="Q63" i="5" s="1"/>
  <c r="R63" i="5" s="1"/>
  <c r="S63" i="5" s="1"/>
  <c r="T63" i="5" s="1"/>
  <c r="U63" i="5" s="1"/>
  <c r="V63" i="5" s="1"/>
  <c r="W63" i="5" s="1"/>
  <c r="X63" i="5" s="1"/>
  <c r="Y63" i="5" s="1"/>
  <c r="Z63" i="5" s="1"/>
  <c r="AB63" i="5"/>
  <c r="AC63" i="5" s="1"/>
  <c r="B27" i="4" s="1"/>
  <c r="F62" i="5"/>
  <c r="G62" i="5" s="1"/>
  <c r="H62" i="5" s="1"/>
  <c r="I62" i="5" s="1"/>
  <c r="J62" i="5" s="1"/>
  <c r="K62" i="5" s="1"/>
  <c r="L62" i="5" s="1"/>
  <c r="M62" i="5" s="1"/>
  <c r="N62" i="5" s="1"/>
  <c r="O62" i="5" s="1"/>
  <c r="P62" i="5" s="1"/>
  <c r="Q62" i="5" s="1"/>
  <c r="R62" i="5" s="1"/>
  <c r="S62" i="5" s="1"/>
  <c r="T62" i="5" s="1"/>
  <c r="U62" i="5" s="1"/>
  <c r="V62" i="5" s="1"/>
  <c r="W62" i="5" s="1"/>
  <c r="X62" i="5" s="1"/>
  <c r="Y62" i="5" s="1"/>
  <c r="Z62" i="5" s="1"/>
  <c r="AB62" i="5"/>
  <c r="F61" i="5"/>
  <c r="G61" i="5" s="1"/>
  <c r="H61" i="5" s="1"/>
  <c r="I61" i="5" s="1"/>
  <c r="J61" i="5" s="1"/>
  <c r="K61" i="5" s="1"/>
  <c r="L61" i="5" s="1"/>
  <c r="M61" i="5" s="1"/>
  <c r="N61" i="5" s="1"/>
  <c r="O61" i="5" s="1"/>
  <c r="P61" i="5" s="1"/>
  <c r="Q61" i="5" s="1"/>
  <c r="R61" i="5" s="1"/>
  <c r="S61" i="5" s="1"/>
  <c r="T61" i="5" s="1"/>
  <c r="U61" i="5" s="1"/>
  <c r="V61" i="5" s="1"/>
  <c r="W61" i="5" s="1"/>
  <c r="X61" i="5" s="1"/>
  <c r="Y61" i="5" s="1"/>
  <c r="Z61" i="5" s="1"/>
  <c r="AB61" i="5"/>
  <c r="AC60" i="5" s="1"/>
  <c r="B26" i="4" s="1"/>
  <c r="I59" i="5"/>
  <c r="J59" i="5" s="1"/>
  <c r="K59" i="5" s="1"/>
  <c r="L59" i="5" s="1"/>
  <c r="M59" i="5" s="1"/>
  <c r="N59" i="5" s="1"/>
  <c r="O59" i="5" s="1"/>
  <c r="P59" i="5" s="1"/>
  <c r="Q59" i="5" s="1"/>
  <c r="R59" i="5" s="1"/>
  <c r="S59" i="5" s="1"/>
  <c r="T59" i="5" s="1"/>
  <c r="U59" i="5" s="1"/>
  <c r="V59" i="5" s="1"/>
  <c r="W59" i="5" s="1"/>
  <c r="X59" i="5" s="1"/>
  <c r="Y59" i="5" s="1"/>
  <c r="Z59" i="5" s="1"/>
  <c r="AB59" i="5"/>
  <c r="F58" i="5"/>
  <c r="G58" i="5" s="1"/>
  <c r="H58" i="5" s="1"/>
  <c r="I58" i="5" s="1"/>
  <c r="J58" i="5" s="1"/>
  <c r="K58" i="5" s="1"/>
  <c r="L58" i="5" s="1"/>
  <c r="M58" i="5" s="1"/>
  <c r="N58" i="5" s="1"/>
  <c r="O58" i="5" s="1"/>
  <c r="P58" i="5" s="1"/>
  <c r="Q58" i="5" s="1"/>
  <c r="R58" i="5" s="1"/>
  <c r="S58" i="5" s="1"/>
  <c r="T58" i="5" s="1"/>
  <c r="U58" i="5" s="1"/>
  <c r="V58" i="5" s="1"/>
  <c r="W58" i="5" s="1"/>
  <c r="X58" i="5" s="1"/>
  <c r="Y58" i="5" s="1"/>
  <c r="Z58" i="5" s="1"/>
  <c r="AB58" i="5"/>
  <c r="AC57" i="5" s="1"/>
  <c r="B25" i="4" s="1"/>
  <c r="L56" i="5"/>
  <c r="M56" i="5" s="1"/>
  <c r="N56" i="5" s="1"/>
  <c r="O56" i="5" s="1"/>
  <c r="P56" i="5" s="1"/>
  <c r="Q56" i="5" s="1"/>
  <c r="R56" i="5" s="1"/>
  <c r="S56" i="5" s="1"/>
  <c r="T56" i="5" s="1"/>
  <c r="U56" i="5" s="1"/>
  <c r="V56" i="5" s="1"/>
  <c r="W56" i="5" s="1"/>
  <c r="X56" i="5" s="1"/>
  <c r="Y56" i="5" s="1"/>
  <c r="Z56" i="5" s="1"/>
  <c r="AB56" i="5"/>
  <c r="F54" i="5"/>
  <c r="G54" i="5" s="1"/>
  <c r="H54" i="5" s="1"/>
  <c r="I54" i="5" s="1"/>
  <c r="J54" i="5" s="1"/>
  <c r="K54" i="5" s="1"/>
  <c r="L54" i="5" s="1"/>
  <c r="M54" i="5" s="1"/>
  <c r="N54" i="5" s="1"/>
  <c r="O54" i="5" s="1"/>
  <c r="P54" i="5" s="1"/>
  <c r="Q54" i="5" s="1"/>
  <c r="R54" i="5" s="1"/>
  <c r="S54" i="5" s="1"/>
  <c r="T54" i="5" s="1"/>
  <c r="U54" i="5" s="1"/>
  <c r="V54" i="5" s="1"/>
  <c r="W54" i="5" s="1"/>
  <c r="X54" i="5" s="1"/>
  <c r="Y54" i="5" s="1"/>
  <c r="Z54" i="5" s="1"/>
  <c r="AB54" i="5"/>
  <c r="AC54" i="5" s="1"/>
  <c r="B24" i="4" s="1"/>
  <c r="K53" i="5"/>
  <c r="L53" i="5" s="1"/>
  <c r="M53" i="5" s="1"/>
  <c r="N53" i="5" s="1"/>
  <c r="O53" i="5" s="1"/>
  <c r="P53" i="5" s="1"/>
  <c r="Q53" i="5" s="1"/>
  <c r="R53" i="5" s="1"/>
  <c r="S53" i="5" s="1"/>
  <c r="T53" i="5" s="1"/>
  <c r="U53" i="5" s="1"/>
  <c r="V53" i="5" s="1"/>
  <c r="W53" i="5" s="1"/>
  <c r="X53" i="5" s="1"/>
  <c r="Y53" i="5" s="1"/>
  <c r="Z53" i="5" s="1"/>
  <c r="AB53" i="5"/>
  <c r="F52" i="5"/>
  <c r="G52" i="5" s="1"/>
  <c r="H52" i="5" s="1"/>
  <c r="I52" i="5" s="1"/>
  <c r="J52" i="5" s="1"/>
  <c r="K52" i="5" s="1"/>
  <c r="L52" i="5" s="1"/>
  <c r="M52" i="5" s="1"/>
  <c r="N52" i="5" s="1"/>
  <c r="O52" i="5" s="1"/>
  <c r="P52" i="5" s="1"/>
  <c r="Q52" i="5" s="1"/>
  <c r="R52" i="5" s="1"/>
  <c r="S52" i="5" s="1"/>
  <c r="T52" i="5" s="1"/>
  <c r="U52" i="5" s="1"/>
  <c r="V52" i="5" s="1"/>
  <c r="W52" i="5" s="1"/>
  <c r="X52" i="5" s="1"/>
  <c r="Y52" i="5" s="1"/>
  <c r="Z52" i="5" s="1"/>
  <c r="AB52" i="5"/>
  <c r="G51" i="5"/>
  <c r="H51" i="5" s="1"/>
  <c r="I51" i="5" s="1"/>
  <c r="J51" i="5" s="1"/>
  <c r="K51" i="5" s="1"/>
  <c r="L51" i="5" s="1"/>
  <c r="M51" i="5" s="1"/>
  <c r="N51" i="5" s="1"/>
  <c r="O51" i="5" s="1"/>
  <c r="P51" i="5" s="1"/>
  <c r="Q51" i="5" s="1"/>
  <c r="R51" i="5" s="1"/>
  <c r="S51" i="5" s="1"/>
  <c r="T51" i="5" s="1"/>
  <c r="U51" i="5" s="1"/>
  <c r="V51" i="5" s="1"/>
  <c r="W51" i="5" s="1"/>
  <c r="X51" i="5" s="1"/>
  <c r="Y51" i="5" s="1"/>
  <c r="Z51" i="5" s="1"/>
  <c r="AB51" i="5"/>
  <c r="AC51" i="5" s="1"/>
  <c r="B23" i="4" s="1"/>
  <c r="F50" i="5"/>
  <c r="G50" i="5" s="1"/>
  <c r="H50" i="5" s="1"/>
  <c r="I50" i="5" s="1"/>
  <c r="J50" i="5" s="1"/>
  <c r="K50" i="5" s="1"/>
  <c r="L50" i="5" s="1"/>
  <c r="M50" i="5" s="1"/>
  <c r="N50" i="5" s="1"/>
  <c r="O50" i="5" s="1"/>
  <c r="P50" i="5" s="1"/>
  <c r="Q50" i="5" s="1"/>
  <c r="R50" i="5" s="1"/>
  <c r="S50" i="5" s="1"/>
  <c r="T50" i="5" s="1"/>
  <c r="U50" i="5" s="1"/>
  <c r="V50" i="5" s="1"/>
  <c r="W50" i="5" s="1"/>
  <c r="X50" i="5" s="1"/>
  <c r="Y50" i="5" s="1"/>
  <c r="Z50" i="5" s="1"/>
  <c r="AB50" i="5"/>
  <c r="F49" i="5"/>
  <c r="G49" i="5" s="1"/>
  <c r="H49" i="5" s="1"/>
  <c r="I49" i="5" s="1"/>
  <c r="J49" i="5" s="1"/>
  <c r="K49" i="5" s="1"/>
  <c r="L49" i="5" s="1"/>
  <c r="M49" i="5" s="1"/>
  <c r="N49" i="5" s="1"/>
  <c r="O49" i="5" s="1"/>
  <c r="P49" i="5" s="1"/>
  <c r="Q49" i="5" s="1"/>
  <c r="R49" i="5" s="1"/>
  <c r="S49" i="5" s="1"/>
  <c r="T49" i="5" s="1"/>
  <c r="U49" i="5" s="1"/>
  <c r="V49" i="5" s="1"/>
  <c r="W49" i="5" s="1"/>
  <c r="X49" i="5" s="1"/>
  <c r="Y49" i="5" s="1"/>
  <c r="Z49" i="5" s="1"/>
  <c r="AB49" i="5"/>
  <c r="F48" i="5"/>
  <c r="G48" i="5" s="1"/>
  <c r="H48" i="5" s="1"/>
  <c r="I48" i="5" s="1"/>
  <c r="J48" i="5" s="1"/>
  <c r="K48" i="5" s="1"/>
  <c r="L48" i="5" s="1"/>
  <c r="M48" i="5" s="1"/>
  <c r="N48" i="5" s="1"/>
  <c r="O48" i="5" s="1"/>
  <c r="P48" i="5" s="1"/>
  <c r="Q48" i="5" s="1"/>
  <c r="R48" i="5" s="1"/>
  <c r="S48" i="5" s="1"/>
  <c r="T48" i="5" s="1"/>
  <c r="U48" i="5" s="1"/>
  <c r="V48" i="5" s="1"/>
  <c r="W48" i="5" s="1"/>
  <c r="X48" i="5" s="1"/>
  <c r="Y48" i="5" s="1"/>
  <c r="Z48" i="5" s="1"/>
  <c r="AB48" i="5"/>
  <c r="AC48" i="5" s="1"/>
  <c r="B22" i="4" s="1"/>
  <c r="I47" i="5"/>
  <c r="J47" i="5" s="1"/>
  <c r="K47" i="5" s="1"/>
  <c r="L47" i="5" s="1"/>
  <c r="M47" i="5" s="1"/>
  <c r="N47" i="5" s="1"/>
  <c r="O47" i="5" s="1"/>
  <c r="P47" i="5" s="1"/>
  <c r="Q47" i="5" s="1"/>
  <c r="R47" i="5" s="1"/>
  <c r="S47" i="5" s="1"/>
  <c r="T47" i="5" s="1"/>
  <c r="U47" i="5" s="1"/>
  <c r="V47" i="5" s="1"/>
  <c r="W47" i="5" s="1"/>
  <c r="X47" i="5" s="1"/>
  <c r="Y47" i="5" s="1"/>
  <c r="Z47" i="5" s="1"/>
  <c r="AB47" i="5"/>
  <c r="N46" i="5"/>
  <c r="O46" i="5" s="1"/>
  <c r="P46" i="5" s="1"/>
  <c r="Q46" i="5" s="1"/>
  <c r="R46" i="5" s="1"/>
  <c r="S46" i="5" s="1"/>
  <c r="T46" i="5" s="1"/>
  <c r="U46" i="5" s="1"/>
  <c r="V46" i="5" s="1"/>
  <c r="W46" i="5" s="1"/>
  <c r="X46" i="5" s="1"/>
  <c r="Y46" i="5" s="1"/>
  <c r="Z46" i="5" s="1"/>
  <c r="AB46" i="5"/>
  <c r="F45" i="5"/>
  <c r="G45" i="5" s="1"/>
  <c r="H45" i="5" s="1"/>
  <c r="I45" i="5" s="1"/>
  <c r="J45" i="5" s="1"/>
  <c r="K45" i="5" s="1"/>
  <c r="L45" i="5" s="1"/>
  <c r="M45" i="5" s="1"/>
  <c r="N45" i="5" s="1"/>
  <c r="O45" i="5" s="1"/>
  <c r="P45" i="5" s="1"/>
  <c r="Q45" i="5" s="1"/>
  <c r="R45" i="5" s="1"/>
  <c r="S45" i="5" s="1"/>
  <c r="T45" i="5" s="1"/>
  <c r="U45" i="5" s="1"/>
  <c r="V45" i="5" s="1"/>
  <c r="W45" i="5" s="1"/>
  <c r="X45" i="5" s="1"/>
  <c r="Y45" i="5" s="1"/>
  <c r="Z45" i="5" s="1"/>
  <c r="AB45" i="5"/>
  <c r="AC45" i="5" s="1"/>
  <c r="B21" i="4" s="1"/>
  <c r="I44" i="5"/>
  <c r="J44" i="5" s="1"/>
  <c r="K44" i="5" s="1"/>
  <c r="L44" i="5" s="1"/>
  <c r="M44" i="5" s="1"/>
  <c r="N44" i="5" s="1"/>
  <c r="O44" i="5" s="1"/>
  <c r="P44" i="5" s="1"/>
  <c r="Q44" i="5" s="1"/>
  <c r="R44" i="5" s="1"/>
  <c r="S44" i="5" s="1"/>
  <c r="T44" i="5" s="1"/>
  <c r="U44" i="5" s="1"/>
  <c r="V44" i="5" s="1"/>
  <c r="W44" i="5" s="1"/>
  <c r="X44" i="5" s="1"/>
  <c r="Y44" i="5" s="1"/>
  <c r="Z44" i="5" s="1"/>
  <c r="AB44" i="5"/>
  <c r="F43" i="5"/>
  <c r="G43" i="5" s="1"/>
  <c r="H43" i="5" s="1"/>
  <c r="I43" i="5" s="1"/>
  <c r="J43" i="5" s="1"/>
  <c r="K43" i="5" s="1"/>
  <c r="L43" i="5" s="1"/>
  <c r="M43" i="5" s="1"/>
  <c r="N43" i="5" s="1"/>
  <c r="O43" i="5" s="1"/>
  <c r="P43" i="5" s="1"/>
  <c r="Q43" i="5" s="1"/>
  <c r="R43" i="5" s="1"/>
  <c r="S43" i="5" s="1"/>
  <c r="T43" i="5" s="1"/>
  <c r="U43" i="5" s="1"/>
  <c r="V43" i="5" s="1"/>
  <c r="W43" i="5" s="1"/>
  <c r="X43" i="5" s="1"/>
  <c r="Y43" i="5" s="1"/>
  <c r="Z43" i="5" s="1"/>
  <c r="AB43" i="5"/>
  <c r="AC42" i="5" s="1"/>
  <c r="B20" i="4" s="1"/>
  <c r="F41" i="5"/>
  <c r="G41" i="5" s="1"/>
  <c r="H41" i="5" s="1"/>
  <c r="I41" i="5" s="1"/>
  <c r="J41" i="5" s="1"/>
  <c r="K41" i="5" s="1"/>
  <c r="L41" i="5" s="1"/>
  <c r="M41" i="5" s="1"/>
  <c r="N41" i="5" s="1"/>
  <c r="O41" i="5" s="1"/>
  <c r="P41" i="5" s="1"/>
  <c r="Q41" i="5" s="1"/>
  <c r="R41" i="5" s="1"/>
  <c r="S41" i="5" s="1"/>
  <c r="T41" i="5" s="1"/>
  <c r="U41" i="5" s="1"/>
  <c r="V41" i="5" s="1"/>
  <c r="W41" i="5" s="1"/>
  <c r="X41" i="5" s="1"/>
  <c r="Y41" i="5" s="1"/>
  <c r="Z41" i="5" s="1"/>
  <c r="AB41" i="5"/>
  <c r="J40" i="5"/>
  <c r="K40" i="5" s="1"/>
  <c r="L40" i="5" s="1"/>
  <c r="M40" i="5" s="1"/>
  <c r="N40" i="5" s="1"/>
  <c r="O40" i="5" s="1"/>
  <c r="P40" i="5" s="1"/>
  <c r="Q40" i="5" s="1"/>
  <c r="R40" i="5" s="1"/>
  <c r="S40" i="5" s="1"/>
  <c r="T40" i="5" s="1"/>
  <c r="U40" i="5" s="1"/>
  <c r="V40" i="5" s="1"/>
  <c r="W40" i="5" s="1"/>
  <c r="X40" i="5" s="1"/>
  <c r="Y40" i="5" s="1"/>
  <c r="Z40" i="5" s="1"/>
  <c r="AB40" i="5"/>
  <c r="F39" i="5"/>
  <c r="G39" i="5" s="1"/>
  <c r="H39" i="5" s="1"/>
  <c r="I39" i="5" s="1"/>
  <c r="J39" i="5" s="1"/>
  <c r="K39" i="5" s="1"/>
  <c r="L39" i="5" s="1"/>
  <c r="M39" i="5" s="1"/>
  <c r="N39" i="5" s="1"/>
  <c r="O39" i="5" s="1"/>
  <c r="P39" i="5" s="1"/>
  <c r="Q39" i="5" s="1"/>
  <c r="R39" i="5" s="1"/>
  <c r="S39" i="5" s="1"/>
  <c r="T39" i="5" s="1"/>
  <c r="U39" i="5" s="1"/>
  <c r="V39" i="5" s="1"/>
  <c r="W39" i="5" s="1"/>
  <c r="X39" i="5" s="1"/>
  <c r="Y39" i="5" s="1"/>
  <c r="Z39" i="5" s="1"/>
  <c r="AB39" i="5"/>
  <c r="AC39" i="5" s="1"/>
  <c r="B19" i="4" s="1"/>
  <c r="W38" i="5"/>
  <c r="X38" i="5" s="1"/>
  <c r="Y38" i="5" s="1"/>
  <c r="Z38" i="5" s="1"/>
  <c r="AB38" i="5"/>
  <c r="F37" i="5"/>
  <c r="G37" i="5" s="1"/>
  <c r="H37" i="5" s="1"/>
  <c r="I37" i="5" s="1"/>
  <c r="J37" i="5" s="1"/>
  <c r="K37" i="5" s="1"/>
  <c r="L37" i="5" s="1"/>
  <c r="M37" i="5" s="1"/>
  <c r="N37" i="5" s="1"/>
  <c r="O37" i="5" s="1"/>
  <c r="P37" i="5" s="1"/>
  <c r="Q37" i="5" s="1"/>
  <c r="R37" i="5" s="1"/>
  <c r="S37" i="5" s="1"/>
  <c r="T37" i="5" s="1"/>
  <c r="U37" i="5" s="1"/>
  <c r="V37" i="5" s="1"/>
  <c r="W37" i="5" s="1"/>
  <c r="X37" i="5" s="1"/>
  <c r="Y37" i="5" s="1"/>
  <c r="Z37" i="5" s="1"/>
  <c r="AB37" i="5"/>
  <c r="M36" i="5"/>
  <c r="N36" i="5" s="1"/>
  <c r="O36" i="5" s="1"/>
  <c r="P36" i="5" s="1"/>
  <c r="Q36" i="5" s="1"/>
  <c r="R36" i="5" s="1"/>
  <c r="S36" i="5" s="1"/>
  <c r="T36" i="5" s="1"/>
  <c r="U36" i="5" s="1"/>
  <c r="V36" i="5" s="1"/>
  <c r="W36" i="5" s="1"/>
  <c r="X36" i="5" s="1"/>
  <c r="Y36" i="5" s="1"/>
  <c r="Z36" i="5" s="1"/>
  <c r="AB36" i="5"/>
  <c r="AC36" i="5" s="1"/>
  <c r="B18" i="4" s="1"/>
  <c r="X35" i="5"/>
  <c r="Y35" i="5" s="1"/>
  <c r="Z35" i="5" s="1"/>
  <c r="AB35" i="5"/>
  <c r="F34" i="5"/>
  <c r="G34" i="5" s="1"/>
  <c r="H34" i="5" s="1"/>
  <c r="I34" i="5" s="1"/>
  <c r="J34" i="5" s="1"/>
  <c r="K34" i="5" s="1"/>
  <c r="L34" i="5" s="1"/>
  <c r="M34" i="5" s="1"/>
  <c r="N34" i="5" s="1"/>
  <c r="O34" i="5" s="1"/>
  <c r="P34" i="5" s="1"/>
  <c r="Q34" i="5" s="1"/>
  <c r="R34" i="5" s="1"/>
  <c r="S34" i="5" s="1"/>
  <c r="T34" i="5" s="1"/>
  <c r="U34" i="5" s="1"/>
  <c r="V34" i="5" s="1"/>
  <c r="W34" i="5" s="1"/>
  <c r="X34" i="5" s="1"/>
  <c r="Y34" i="5" s="1"/>
  <c r="Z34" i="5" s="1"/>
  <c r="AB34" i="5"/>
  <c r="F33" i="5"/>
  <c r="G33" i="5" s="1"/>
  <c r="H33" i="5" s="1"/>
  <c r="I33" i="5" s="1"/>
  <c r="J33" i="5" s="1"/>
  <c r="K33" i="5" s="1"/>
  <c r="L33" i="5" s="1"/>
  <c r="M33" i="5" s="1"/>
  <c r="N33" i="5" s="1"/>
  <c r="O33" i="5" s="1"/>
  <c r="P33" i="5" s="1"/>
  <c r="Q33" i="5" s="1"/>
  <c r="R33" i="5" s="1"/>
  <c r="S33" i="5" s="1"/>
  <c r="T33" i="5" s="1"/>
  <c r="U33" i="5" s="1"/>
  <c r="V33" i="5" s="1"/>
  <c r="W33" i="5" s="1"/>
  <c r="X33" i="5" s="1"/>
  <c r="Y33" i="5" s="1"/>
  <c r="Z33" i="5" s="1"/>
  <c r="AB33" i="5"/>
  <c r="AC33" i="5" s="1"/>
  <c r="B17" i="4" s="1"/>
  <c r="F32" i="5"/>
  <c r="G32" i="5" s="1"/>
  <c r="H32" i="5" s="1"/>
  <c r="I32" i="5" s="1"/>
  <c r="J32" i="5" s="1"/>
  <c r="K32" i="5" s="1"/>
  <c r="L32" i="5" s="1"/>
  <c r="M32" i="5" s="1"/>
  <c r="N32" i="5" s="1"/>
  <c r="O32" i="5" s="1"/>
  <c r="P32" i="5" s="1"/>
  <c r="Q32" i="5" s="1"/>
  <c r="R32" i="5" s="1"/>
  <c r="S32" i="5" s="1"/>
  <c r="T32" i="5" s="1"/>
  <c r="U32" i="5" s="1"/>
  <c r="V32" i="5" s="1"/>
  <c r="W32" i="5" s="1"/>
  <c r="X32" i="5" s="1"/>
  <c r="Y32" i="5" s="1"/>
  <c r="Z32" i="5" s="1"/>
  <c r="AB32" i="5"/>
  <c r="O31" i="5"/>
  <c r="P31" i="5" s="1"/>
  <c r="Q31" i="5" s="1"/>
  <c r="R31" i="5" s="1"/>
  <c r="S31" i="5" s="1"/>
  <c r="T31" i="5" s="1"/>
  <c r="U31" i="5" s="1"/>
  <c r="V31" i="5" s="1"/>
  <c r="W31" i="5" s="1"/>
  <c r="X31" i="5" s="1"/>
  <c r="Y31" i="5" s="1"/>
  <c r="Z31" i="5" s="1"/>
  <c r="AB31" i="5"/>
  <c r="K30" i="5"/>
  <c r="L30" i="5" s="1"/>
  <c r="M30" i="5" s="1"/>
  <c r="N30" i="5" s="1"/>
  <c r="O30" i="5" s="1"/>
  <c r="P30" i="5" s="1"/>
  <c r="Q30" i="5" s="1"/>
  <c r="R30" i="5" s="1"/>
  <c r="S30" i="5" s="1"/>
  <c r="T30" i="5" s="1"/>
  <c r="U30" i="5" s="1"/>
  <c r="V30" i="5" s="1"/>
  <c r="W30" i="5" s="1"/>
  <c r="X30" i="5" s="1"/>
  <c r="Y30" i="5" s="1"/>
  <c r="Z30" i="5" s="1"/>
  <c r="AB30" i="5"/>
  <c r="AC30" i="5" s="1"/>
  <c r="B16" i="4" s="1"/>
  <c r="N29" i="5"/>
  <c r="O29" i="5" s="1"/>
  <c r="P29" i="5" s="1"/>
  <c r="Q29" i="5" s="1"/>
  <c r="R29" i="5" s="1"/>
  <c r="S29" i="5" s="1"/>
  <c r="T29" i="5" s="1"/>
  <c r="U29" i="5" s="1"/>
  <c r="V29" i="5" s="1"/>
  <c r="W29" i="5" s="1"/>
  <c r="X29" i="5" s="1"/>
  <c r="Y29" i="5" s="1"/>
  <c r="Z29" i="5" s="1"/>
  <c r="AB29" i="5"/>
  <c r="N28" i="5"/>
  <c r="O28" i="5" s="1"/>
  <c r="P28" i="5" s="1"/>
  <c r="Q28" i="5" s="1"/>
  <c r="R28" i="5" s="1"/>
  <c r="S28" i="5" s="1"/>
  <c r="T28" i="5" s="1"/>
  <c r="U28" i="5" s="1"/>
  <c r="V28" i="5" s="1"/>
  <c r="W28" i="5" s="1"/>
  <c r="X28" i="5" s="1"/>
  <c r="Y28" i="5" s="1"/>
  <c r="Z28" i="5" s="1"/>
  <c r="AB28" i="5"/>
  <c r="I27" i="5"/>
  <c r="J27" i="5" s="1"/>
  <c r="K27" i="5" s="1"/>
  <c r="L27" i="5" s="1"/>
  <c r="M27" i="5" s="1"/>
  <c r="N27" i="5" s="1"/>
  <c r="O27" i="5" s="1"/>
  <c r="P27" i="5" s="1"/>
  <c r="Q27" i="5" s="1"/>
  <c r="R27" i="5" s="1"/>
  <c r="S27" i="5" s="1"/>
  <c r="T27" i="5" s="1"/>
  <c r="U27" i="5" s="1"/>
  <c r="V27" i="5" s="1"/>
  <c r="W27" i="5" s="1"/>
  <c r="X27" i="5" s="1"/>
  <c r="Y27" i="5" s="1"/>
  <c r="Z27" i="5" s="1"/>
  <c r="AB27" i="5"/>
  <c r="AC27" i="5" s="1"/>
  <c r="B15" i="4" s="1"/>
  <c r="F25" i="5"/>
  <c r="G25" i="5" s="1"/>
  <c r="H25" i="5" s="1"/>
  <c r="I25" i="5" s="1"/>
  <c r="J25" i="5" s="1"/>
  <c r="K25" i="5" s="1"/>
  <c r="L25" i="5" s="1"/>
  <c r="M25" i="5" s="1"/>
  <c r="N25" i="5" s="1"/>
  <c r="O25" i="5" s="1"/>
  <c r="P25" i="5" s="1"/>
  <c r="Q25" i="5" s="1"/>
  <c r="R25" i="5" s="1"/>
  <c r="S25" i="5" s="1"/>
  <c r="T25" i="5" s="1"/>
  <c r="U25" i="5" s="1"/>
  <c r="V25" i="5" s="1"/>
  <c r="W25" i="5" s="1"/>
  <c r="X25" i="5" s="1"/>
  <c r="Y25" i="5" s="1"/>
  <c r="Z25" i="5" s="1"/>
  <c r="AB25" i="5"/>
  <c r="P24" i="5"/>
  <c r="Q24" i="5" s="1"/>
  <c r="R24" i="5" s="1"/>
  <c r="S24" i="5" s="1"/>
  <c r="T24" i="5" s="1"/>
  <c r="U24" i="5" s="1"/>
  <c r="V24" i="5" s="1"/>
  <c r="W24" i="5" s="1"/>
  <c r="X24" i="5" s="1"/>
  <c r="Y24" i="5" s="1"/>
  <c r="Z24" i="5" s="1"/>
  <c r="AB24" i="5"/>
  <c r="AC24" i="5" s="1"/>
  <c r="B14" i="4" s="1"/>
  <c r="M23" i="5"/>
  <c r="N23" i="5" s="1"/>
  <c r="O23" i="5" s="1"/>
  <c r="P23" i="5" s="1"/>
  <c r="Q23" i="5" s="1"/>
  <c r="R23" i="5" s="1"/>
  <c r="S23" i="5" s="1"/>
  <c r="T23" i="5" s="1"/>
  <c r="U23" i="5" s="1"/>
  <c r="V23" i="5" s="1"/>
  <c r="W23" i="5" s="1"/>
  <c r="X23" i="5" s="1"/>
  <c r="Y23" i="5" s="1"/>
  <c r="Z23" i="5" s="1"/>
  <c r="AB23" i="5"/>
  <c r="F22" i="5"/>
  <c r="G22" i="5" s="1"/>
  <c r="H22" i="5" s="1"/>
  <c r="I22" i="5" s="1"/>
  <c r="J22" i="5" s="1"/>
  <c r="K22" i="5" s="1"/>
  <c r="L22" i="5" s="1"/>
  <c r="M22" i="5" s="1"/>
  <c r="N22" i="5" s="1"/>
  <c r="O22" i="5" s="1"/>
  <c r="P22" i="5" s="1"/>
  <c r="Q22" i="5" s="1"/>
  <c r="R22" i="5" s="1"/>
  <c r="S22" i="5" s="1"/>
  <c r="T22" i="5" s="1"/>
  <c r="U22" i="5" s="1"/>
  <c r="V22" i="5" s="1"/>
  <c r="W22" i="5" s="1"/>
  <c r="X22" i="5" s="1"/>
  <c r="Y22" i="5" s="1"/>
  <c r="Z22" i="5" s="1"/>
  <c r="AB22" i="5"/>
  <c r="N21" i="5"/>
  <c r="O21" i="5" s="1"/>
  <c r="P21" i="5" s="1"/>
  <c r="Q21" i="5" s="1"/>
  <c r="R21" i="5" s="1"/>
  <c r="S21" i="5" s="1"/>
  <c r="T21" i="5" s="1"/>
  <c r="U21" i="5" s="1"/>
  <c r="V21" i="5" s="1"/>
  <c r="W21" i="5" s="1"/>
  <c r="X21" i="5" s="1"/>
  <c r="Y21" i="5" s="1"/>
  <c r="Z21" i="5" s="1"/>
  <c r="AB21" i="5"/>
  <c r="AC21" i="5" s="1"/>
  <c r="B13" i="4" s="1"/>
  <c r="F20" i="5"/>
  <c r="G20" i="5" s="1"/>
  <c r="H20" i="5" s="1"/>
  <c r="I20" i="5" s="1"/>
  <c r="J20" i="5" s="1"/>
  <c r="K20" i="5" s="1"/>
  <c r="L20" i="5" s="1"/>
  <c r="M20" i="5" s="1"/>
  <c r="N20" i="5" s="1"/>
  <c r="O20" i="5" s="1"/>
  <c r="P20" i="5" s="1"/>
  <c r="Q20" i="5" s="1"/>
  <c r="R20" i="5" s="1"/>
  <c r="S20" i="5" s="1"/>
  <c r="T20" i="5" s="1"/>
  <c r="U20" i="5" s="1"/>
  <c r="V20" i="5" s="1"/>
  <c r="W20" i="5" s="1"/>
  <c r="X20" i="5" s="1"/>
  <c r="Y20" i="5" s="1"/>
  <c r="Z20" i="5" s="1"/>
  <c r="AB20" i="5"/>
  <c r="F19" i="5"/>
  <c r="G19" i="5" s="1"/>
  <c r="H19" i="5" s="1"/>
  <c r="I19" i="5" s="1"/>
  <c r="J19" i="5" s="1"/>
  <c r="K19" i="5" s="1"/>
  <c r="L19" i="5" s="1"/>
  <c r="M19" i="5" s="1"/>
  <c r="N19" i="5" s="1"/>
  <c r="O19" i="5" s="1"/>
  <c r="P19" i="5" s="1"/>
  <c r="Q19" i="5" s="1"/>
  <c r="R19" i="5" s="1"/>
  <c r="S19" i="5" s="1"/>
  <c r="T19" i="5" s="1"/>
  <c r="U19" i="5" s="1"/>
  <c r="V19" i="5" s="1"/>
  <c r="W19" i="5" s="1"/>
  <c r="X19" i="5" s="1"/>
  <c r="Y19" i="5" s="1"/>
  <c r="Z19" i="5" s="1"/>
  <c r="AB19" i="5"/>
  <c r="I18" i="5"/>
  <c r="J18" i="5" s="1"/>
  <c r="K18" i="5" s="1"/>
  <c r="L18" i="5" s="1"/>
  <c r="M18" i="5" s="1"/>
  <c r="N18" i="5" s="1"/>
  <c r="O18" i="5" s="1"/>
  <c r="P18" i="5" s="1"/>
  <c r="Q18" i="5" s="1"/>
  <c r="R18" i="5" s="1"/>
  <c r="S18" i="5" s="1"/>
  <c r="T18" i="5" s="1"/>
  <c r="U18" i="5" s="1"/>
  <c r="V18" i="5" s="1"/>
  <c r="W18" i="5" s="1"/>
  <c r="X18" i="5" s="1"/>
  <c r="Y18" i="5" s="1"/>
  <c r="Z18" i="5" s="1"/>
  <c r="AB18" i="5"/>
  <c r="AC18" i="5" s="1"/>
  <c r="B12" i="4" s="1"/>
  <c r="X17" i="5"/>
  <c r="Y17" i="5" s="1"/>
  <c r="Z17" i="5" s="1"/>
  <c r="AB17" i="5"/>
  <c r="Q16" i="5"/>
  <c r="R16" i="5" s="1"/>
  <c r="S16" i="5" s="1"/>
  <c r="T16" i="5" s="1"/>
  <c r="U16" i="5" s="1"/>
  <c r="V16" i="5" s="1"/>
  <c r="W16" i="5" s="1"/>
  <c r="X16" i="5" s="1"/>
  <c r="Y16" i="5" s="1"/>
  <c r="Z16" i="5" s="1"/>
  <c r="AB16" i="5"/>
  <c r="F15" i="5"/>
  <c r="G15" i="5" s="1"/>
  <c r="H15" i="5" s="1"/>
  <c r="I15" i="5" s="1"/>
  <c r="J15" i="5" s="1"/>
  <c r="K15" i="5" s="1"/>
  <c r="L15" i="5" s="1"/>
  <c r="M15" i="5" s="1"/>
  <c r="N15" i="5" s="1"/>
  <c r="O15" i="5" s="1"/>
  <c r="P15" i="5" s="1"/>
  <c r="Q15" i="5" s="1"/>
  <c r="R15" i="5" s="1"/>
  <c r="S15" i="5" s="1"/>
  <c r="T15" i="5" s="1"/>
  <c r="U15" i="5" s="1"/>
  <c r="V15" i="5" s="1"/>
  <c r="W15" i="5" s="1"/>
  <c r="X15" i="5" s="1"/>
  <c r="Y15" i="5" s="1"/>
  <c r="Z15" i="5" s="1"/>
  <c r="AB15" i="5"/>
  <c r="AC15" i="5" s="1"/>
  <c r="B11" i="4" s="1"/>
  <c r="F14" i="5"/>
  <c r="G14" i="5" s="1"/>
  <c r="H14" i="5" s="1"/>
  <c r="I14" i="5" s="1"/>
  <c r="J14" i="5" s="1"/>
  <c r="K14" i="5" s="1"/>
  <c r="L14" i="5" s="1"/>
  <c r="M14" i="5" s="1"/>
  <c r="N14" i="5" s="1"/>
  <c r="O14" i="5" s="1"/>
  <c r="P14" i="5" s="1"/>
  <c r="Q14" i="5" s="1"/>
  <c r="R14" i="5" s="1"/>
  <c r="S14" i="5" s="1"/>
  <c r="T14" i="5" s="1"/>
  <c r="U14" i="5" s="1"/>
  <c r="V14" i="5" s="1"/>
  <c r="W14" i="5" s="1"/>
  <c r="X14" i="5" s="1"/>
  <c r="Y14" i="5" s="1"/>
  <c r="Z14" i="5" s="1"/>
  <c r="AB14" i="5"/>
  <c r="F13" i="5"/>
  <c r="G13" i="5" s="1"/>
  <c r="H13" i="5" s="1"/>
  <c r="I13" i="5" s="1"/>
  <c r="J13" i="5" s="1"/>
  <c r="K13" i="5" s="1"/>
  <c r="L13" i="5" s="1"/>
  <c r="M13" i="5" s="1"/>
  <c r="N13" i="5" s="1"/>
  <c r="O13" i="5" s="1"/>
  <c r="P13" i="5" s="1"/>
  <c r="Q13" i="5" s="1"/>
  <c r="R13" i="5" s="1"/>
  <c r="S13" i="5" s="1"/>
  <c r="T13" i="5" s="1"/>
  <c r="U13" i="5" s="1"/>
  <c r="V13" i="5" s="1"/>
  <c r="W13" i="5" s="1"/>
  <c r="X13" i="5" s="1"/>
  <c r="Y13" i="5" s="1"/>
  <c r="Z13" i="5" s="1"/>
  <c r="AB13" i="5"/>
  <c r="F12" i="5"/>
  <c r="G12" i="5" s="1"/>
  <c r="H12" i="5" s="1"/>
  <c r="I12" i="5" s="1"/>
  <c r="J12" i="5" s="1"/>
  <c r="K12" i="5" s="1"/>
  <c r="L12" i="5" s="1"/>
  <c r="M12" i="5" s="1"/>
  <c r="N12" i="5" s="1"/>
  <c r="O12" i="5" s="1"/>
  <c r="P12" i="5" s="1"/>
  <c r="Q12" i="5" s="1"/>
  <c r="R12" i="5" s="1"/>
  <c r="S12" i="5" s="1"/>
  <c r="T12" i="5" s="1"/>
  <c r="U12" i="5" s="1"/>
  <c r="V12" i="5" s="1"/>
  <c r="W12" i="5" s="1"/>
  <c r="X12" i="5" s="1"/>
  <c r="Y12" i="5" s="1"/>
  <c r="Z12" i="5" s="1"/>
  <c r="AB12" i="5"/>
  <c r="Z10" i="5"/>
  <c r="AB10" i="5"/>
  <c r="F9" i="5"/>
  <c r="G9" i="5" s="1"/>
  <c r="H9" i="5" s="1"/>
  <c r="I9" i="5" s="1"/>
  <c r="J9" i="5" s="1"/>
  <c r="K9" i="5" s="1"/>
  <c r="L9" i="5" s="1"/>
  <c r="M9" i="5" s="1"/>
  <c r="N9" i="5" s="1"/>
  <c r="O9" i="5" s="1"/>
  <c r="P9" i="5" s="1"/>
  <c r="Q9" i="5" s="1"/>
  <c r="R9" i="5" s="1"/>
  <c r="S9" i="5" s="1"/>
  <c r="T9" i="5" s="1"/>
  <c r="U9" i="5" s="1"/>
  <c r="V9" i="5" s="1"/>
  <c r="W9" i="5" s="1"/>
  <c r="X9" i="5" s="1"/>
  <c r="Y9" i="5" s="1"/>
  <c r="Z9" i="5" s="1"/>
  <c r="AB9" i="5"/>
  <c r="AC9" i="5" s="1"/>
  <c r="B9" i="4" s="1"/>
  <c r="F8" i="5"/>
  <c r="G8" i="5" s="1"/>
  <c r="H8" i="5" s="1"/>
  <c r="I8" i="5" s="1"/>
  <c r="J8" i="5" s="1"/>
  <c r="K8" i="5" s="1"/>
  <c r="L8" i="5" s="1"/>
  <c r="M8" i="5" s="1"/>
  <c r="N8" i="5" s="1"/>
  <c r="O8" i="5" s="1"/>
  <c r="P8" i="5" s="1"/>
  <c r="Q8" i="5" s="1"/>
  <c r="R8" i="5" s="1"/>
  <c r="S8" i="5" s="1"/>
  <c r="T8" i="5" s="1"/>
  <c r="U8" i="5" s="1"/>
  <c r="V8" i="5" s="1"/>
  <c r="W8" i="5" s="1"/>
  <c r="X8" i="5" s="1"/>
  <c r="Y8" i="5" s="1"/>
  <c r="Z8" i="5" s="1"/>
  <c r="AB8" i="5"/>
  <c r="F7" i="5"/>
  <c r="G7" i="5" s="1"/>
  <c r="H7" i="5" s="1"/>
  <c r="I7" i="5" s="1"/>
  <c r="J7" i="5" s="1"/>
  <c r="K7" i="5" s="1"/>
  <c r="L7" i="5" s="1"/>
  <c r="M7" i="5" s="1"/>
  <c r="N7" i="5" s="1"/>
  <c r="O7" i="5" s="1"/>
  <c r="P7" i="5" s="1"/>
  <c r="Q7" i="5" s="1"/>
  <c r="R7" i="5" s="1"/>
  <c r="S7" i="5" s="1"/>
  <c r="T7" i="5" s="1"/>
  <c r="U7" i="5" s="1"/>
  <c r="V7" i="5" s="1"/>
  <c r="W7" i="5" s="1"/>
  <c r="X7" i="5" s="1"/>
  <c r="Y7" i="5" s="1"/>
  <c r="Z7" i="5" s="1"/>
  <c r="AB7" i="5"/>
  <c r="F6" i="5"/>
  <c r="G6" i="5" s="1"/>
  <c r="H6" i="5" s="1"/>
  <c r="I6" i="5" s="1"/>
  <c r="J6" i="5" s="1"/>
  <c r="K6" i="5" s="1"/>
  <c r="L6" i="5" s="1"/>
  <c r="M6" i="5" s="1"/>
  <c r="N6" i="5" s="1"/>
  <c r="O6" i="5" s="1"/>
  <c r="P6" i="5" s="1"/>
  <c r="Q6" i="5" s="1"/>
  <c r="R6" i="5" s="1"/>
  <c r="S6" i="5" s="1"/>
  <c r="T6" i="5" s="1"/>
  <c r="U6" i="5" s="1"/>
  <c r="V6" i="5" s="1"/>
  <c r="W6" i="5" s="1"/>
  <c r="X6" i="5" s="1"/>
  <c r="Y6" i="5" s="1"/>
  <c r="Z6" i="5" s="1"/>
  <c r="AB6" i="5"/>
  <c r="AC6" i="5" s="1"/>
  <c r="B8" i="4" s="1"/>
  <c r="F77" i="3"/>
  <c r="G77" i="3" s="1"/>
  <c r="H77" i="3" s="1"/>
  <c r="I77" i="3" s="1"/>
  <c r="J77" i="3" s="1"/>
  <c r="K77" i="3" s="1"/>
  <c r="L77" i="3" s="1"/>
  <c r="M77" i="3" s="1"/>
  <c r="N77" i="3" s="1"/>
  <c r="O77" i="3" s="1"/>
  <c r="P77" i="3" s="1"/>
  <c r="Q77" i="3" s="1"/>
  <c r="R77" i="3" s="1"/>
  <c r="S77" i="3" s="1"/>
  <c r="T77" i="3" s="1"/>
  <c r="U77" i="3" s="1"/>
  <c r="V77" i="3" s="1"/>
  <c r="W77" i="3" s="1"/>
  <c r="X77" i="3" s="1"/>
  <c r="Y77" i="3" s="1"/>
  <c r="Z77" i="3" s="1"/>
  <c r="AB77" i="3"/>
  <c r="O76" i="3"/>
  <c r="P76" i="3" s="1"/>
  <c r="Q76" i="3" s="1"/>
  <c r="R76" i="3" s="1"/>
  <c r="S76" i="3" s="1"/>
  <c r="T76" i="3" s="1"/>
  <c r="U76" i="3" s="1"/>
  <c r="V76" i="3" s="1"/>
  <c r="W76" i="3" s="1"/>
  <c r="X76" i="3" s="1"/>
  <c r="Y76" i="3" s="1"/>
  <c r="Z76" i="3" s="1"/>
  <c r="AB76" i="3"/>
  <c r="I75" i="3"/>
  <c r="J75" i="3" s="1"/>
  <c r="K75" i="3" s="1"/>
  <c r="L75" i="3" s="1"/>
  <c r="M75" i="3" s="1"/>
  <c r="N75" i="3" s="1"/>
  <c r="O75" i="3" s="1"/>
  <c r="P75" i="3" s="1"/>
  <c r="Q75" i="3" s="1"/>
  <c r="R75" i="3" s="1"/>
  <c r="S75" i="3" s="1"/>
  <c r="T75" i="3" s="1"/>
  <c r="U75" i="3" s="1"/>
  <c r="V75" i="3" s="1"/>
  <c r="W75" i="3" s="1"/>
  <c r="X75" i="3" s="1"/>
  <c r="Y75" i="3" s="1"/>
  <c r="Z75" i="3" s="1"/>
  <c r="AB75" i="3"/>
  <c r="AC75" i="3" s="1"/>
  <c r="B31" i="2" s="1"/>
  <c r="F74" i="3"/>
  <c r="G74" i="3" s="1"/>
  <c r="H74" i="3" s="1"/>
  <c r="I74" i="3" s="1"/>
  <c r="J74" i="3" s="1"/>
  <c r="K74" i="3" s="1"/>
  <c r="L74" i="3" s="1"/>
  <c r="M74" i="3" s="1"/>
  <c r="N74" i="3" s="1"/>
  <c r="O74" i="3" s="1"/>
  <c r="P74" i="3" s="1"/>
  <c r="Q74" i="3" s="1"/>
  <c r="R74" i="3" s="1"/>
  <c r="S74" i="3" s="1"/>
  <c r="T74" i="3" s="1"/>
  <c r="U74" i="3" s="1"/>
  <c r="V74" i="3" s="1"/>
  <c r="W74" i="3" s="1"/>
  <c r="X74" i="3" s="1"/>
  <c r="Y74" i="3" s="1"/>
  <c r="Z74" i="3" s="1"/>
  <c r="AB74" i="3"/>
  <c r="F73" i="3"/>
  <c r="G73" i="3" s="1"/>
  <c r="H73" i="3" s="1"/>
  <c r="I73" i="3" s="1"/>
  <c r="J73" i="3" s="1"/>
  <c r="K73" i="3" s="1"/>
  <c r="L73" i="3" s="1"/>
  <c r="M73" i="3" s="1"/>
  <c r="N73" i="3" s="1"/>
  <c r="O73" i="3" s="1"/>
  <c r="P73" i="3" s="1"/>
  <c r="Q73" i="3" s="1"/>
  <c r="R73" i="3" s="1"/>
  <c r="S73" i="3" s="1"/>
  <c r="T73" i="3" s="1"/>
  <c r="U73" i="3" s="1"/>
  <c r="V73" i="3" s="1"/>
  <c r="W73" i="3" s="1"/>
  <c r="X73" i="3" s="1"/>
  <c r="Y73" i="3" s="1"/>
  <c r="Z73" i="3" s="1"/>
  <c r="AB73" i="3"/>
  <c r="F72" i="3"/>
  <c r="G72" i="3" s="1"/>
  <c r="H72" i="3" s="1"/>
  <c r="I72" i="3" s="1"/>
  <c r="J72" i="3" s="1"/>
  <c r="K72" i="3" s="1"/>
  <c r="L72" i="3" s="1"/>
  <c r="M72" i="3" s="1"/>
  <c r="N72" i="3" s="1"/>
  <c r="O72" i="3" s="1"/>
  <c r="P72" i="3" s="1"/>
  <c r="Q72" i="3" s="1"/>
  <c r="R72" i="3" s="1"/>
  <c r="S72" i="3" s="1"/>
  <c r="T72" i="3" s="1"/>
  <c r="U72" i="3" s="1"/>
  <c r="V72" i="3" s="1"/>
  <c r="W72" i="3" s="1"/>
  <c r="X72" i="3" s="1"/>
  <c r="Y72" i="3" s="1"/>
  <c r="Z72" i="3" s="1"/>
  <c r="AB72" i="3"/>
  <c r="AC72" i="3" s="1"/>
  <c r="B30" i="2" s="1"/>
  <c r="F71" i="3"/>
  <c r="G71" i="3" s="1"/>
  <c r="H71" i="3" s="1"/>
  <c r="I71" i="3" s="1"/>
  <c r="J71" i="3" s="1"/>
  <c r="K71" i="3" s="1"/>
  <c r="L71" i="3" s="1"/>
  <c r="M71" i="3" s="1"/>
  <c r="N71" i="3" s="1"/>
  <c r="O71" i="3" s="1"/>
  <c r="P71" i="3" s="1"/>
  <c r="Q71" i="3" s="1"/>
  <c r="R71" i="3" s="1"/>
  <c r="S71" i="3" s="1"/>
  <c r="T71" i="3" s="1"/>
  <c r="U71" i="3" s="1"/>
  <c r="V71" i="3" s="1"/>
  <c r="W71" i="3" s="1"/>
  <c r="X71" i="3" s="1"/>
  <c r="Y71" i="3" s="1"/>
  <c r="Z71" i="3" s="1"/>
  <c r="AB71" i="3"/>
  <c r="F70" i="3"/>
  <c r="G70" i="3" s="1"/>
  <c r="H70" i="3" s="1"/>
  <c r="I70" i="3" s="1"/>
  <c r="J70" i="3" s="1"/>
  <c r="K70" i="3" s="1"/>
  <c r="L70" i="3" s="1"/>
  <c r="M70" i="3" s="1"/>
  <c r="N70" i="3" s="1"/>
  <c r="O70" i="3" s="1"/>
  <c r="P70" i="3" s="1"/>
  <c r="Q70" i="3" s="1"/>
  <c r="R70" i="3" s="1"/>
  <c r="S70" i="3" s="1"/>
  <c r="T70" i="3" s="1"/>
  <c r="U70" i="3" s="1"/>
  <c r="V70" i="3" s="1"/>
  <c r="W70" i="3" s="1"/>
  <c r="X70" i="3" s="1"/>
  <c r="Y70" i="3" s="1"/>
  <c r="Z70" i="3" s="1"/>
  <c r="AB70" i="3"/>
  <c r="F69" i="3"/>
  <c r="G69" i="3" s="1"/>
  <c r="H69" i="3" s="1"/>
  <c r="I69" i="3" s="1"/>
  <c r="J69" i="3" s="1"/>
  <c r="K69" i="3" s="1"/>
  <c r="L69" i="3" s="1"/>
  <c r="M69" i="3" s="1"/>
  <c r="N69" i="3" s="1"/>
  <c r="O69" i="3" s="1"/>
  <c r="P69" i="3" s="1"/>
  <c r="Q69" i="3" s="1"/>
  <c r="R69" i="3" s="1"/>
  <c r="S69" i="3" s="1"/>
  <c r="T69" i="3" s="1"/>
  <c r="U69" i="3" s="1"/>
  <c r="V69" i="3" s="1"/>
  <c r="W69" i="3" s="1"/>
  <c r="X69" i="3" s="1"/>
  <c r="Y69" i="3" s="1"/>
  <c r="Z69" i="3" s="1"/>
  <c r="AB69" i="3"/>
  <c r="AC69" i="3" s="1"/>
  <c r="B29" i="2" s="1"/>
  <c r="F68" i="3"/>
  <c r="G68" i="3" s="1"/>
  <c r="H68" i="3" s="1"/>
  <c r="I68" i="3" s="1"/>
  <c r="J68" i="3" s="1"/>
  <c r="K68" i="3" s="1"/>
  <c r="L68" i="3" s="1"/>
  <c r="M68" i="3" s="1"/>
  <c r="N68" i="3" s="1"/>
  <c r="O68" i="3" s="1"/>
  <c r="P68" i="3" s="1"/>
  <c r="Q68" i="3" s="1"/>
  <c r="R68" i="3" s="1"/>
  <c r="S68" i="3" s="1"/>
  <c r="T68" i="3" s="1"/>
  <c r="U68" i="3" s="1"/>
  <c r="V68" i="3" s="1"/>
  <c r="W68" i="3" s="1"/>
  <c r="X68" i="3" s="1"/>
  <c r="Y68" i="3" s="1"/>
  <c r="Z68" i="3" s="1"/>
  <c r="AB68" i="3"/>
  <c r="F67" i="3"/>
  <c r="G67" i="3" s="1"/>
  <c r="H67" i="3" s="1"/>
  <c r="I67" i="3" s="1"/>
  <c r="J67" i="3" s="1"/>
  <c r="K67" i="3" s="1"/>
  <c r="L67" i="3" s="1"/>
  <c r="M67" i="3" s="1"/>
  <c r="N67" i="3" s="1"/>
  <c r="O67" i="3" s="1"/>
  <c r="P67" i="3" s="1"/>
  <c r="Q67" i="3" s="1"/>
  <c r="R67" i="3" s="1"/>
  <c r="S67" i="3" s="1"/>
  <c r="T67" i="3" s="1"/>
  <c r="U67" i="3" s="1"/>
  <c r="V67" i="3" s="1"/>
  <c r="W67" i="3" s="1"/>
  <c r="X67" i="3" s="1"/>
  <c r="Y67" i="3" s="1"/>
  <c r="Z67" i="3" s="1"/>
  <c r="AB67" i="3"/>
  <c r="F66" i="3"/>
  <c r="G66" i="3" s="1"/>
  <c r="H66" i="3" s="1"/>
  <c r="I66" i="3" s="1"/>
  <c r="J66" i="3" s="1"/>
  <c r="K66" i="3" s="1"/>
  <c r="L66" i="3" s="1"/>
  <c r="M66" i="3" s="1"/>
  <c r="N66" i="3" s="1"/>
  <c r="O66" i="3" s="1"/>
  <c r="P66" i="3" s="1"/>
  <c r="Q66" i="3" s="1"/>
  <c r="R66" i="3" s="1"/>
  <c r="S66" i="3" s="1"/>
  <c r="T66" i="3" s="1"/>
  <c r="U66" i="3" s="1"/>
  <c r="V66" i="3" s="1"/>
  <c r="W66" i="3" s="1"/>
  <c r="X66" i="3" s="1"/>
  <c r="Y66" i="3" s="1"/>
  <c r="Z66" i="3" s="1"/>
  <c r="AB66" i="3"/>
  <c r="AC66" i="3" s="1"/>
  <c r="B28" i="2" s="1"/>
  <c r="F65" i="3"/>
  <c r="G65" i="3" s="1"/>
  <c r="H65" i="3" s="1"/>
  <c r="I65" i="3" s="1"/>
  <c r="J65" i="3" s="1"/>
  <c r="K65" i="3" s="1"/>
  <c r="L65" i="3" s="1"/>
  <c r="M65" i="3" s="1"/>
  <c r="N65" i="3" s="1"/>
  <c r="O65" i="3" s="1"/>
  <c r="P65" i="3" s="1"/>
  <c r="Q65" i="3" s="1"/>
  <c r="R65" i="3" s="1"/>
  <c r="S65" i="3" s="1"/>
  <c r="T65" i="3" s="1"/>
  <c r="U65" i="3" s="1"/>
  <c r="V65" i="3" s="1"/>
  <c r="W65" i="3" s="1"/>
  <c r="X65" i="3" s="1"/>
  <c r="Y65" i="3" s="1"/>
  <c r="Z65" i="3" s="1"/>
  <c r="AB65" i="3"/>
  <c r="F64" i="3"/>
  <c r="G64" i="3" s="1"/>
  <c r="H64" i="3" s="1"/>
  <c r="I64" i="3" s="1"/>
  <c r="J64" i="3" s="1"/>
  <c r="K64" i="3" s="1"/>
  <c r="L64" i="3" s="1"/>
  <c r="M64" i="3" s="1"/>
  <c r="N64" i="3" s="1"/>
  <c r="O64" i="3" s="1"/>
  <c r="P64" i="3" s="1"/>
  <c r="Q64" i="3" s="1"/>
  <c r="R64" i="3" s="1"/>
  <c r="S64" i="3" s="1"/>
  <c r="T64" i="3" s="1"/>
  <c r="U64" i="3" s="1"/>
  <c r="V64" i="3" s="1"/>
  <c r="W64" i="3" s="1"/>
  <c r="X64" i="3" s="1"/>
  <c r="Y64" i="3" s="1"/>
  <c r="Z64" i="3" s="1"/>
  <c r="AB64" i="3"/>
  <c r="F63" i="3"/>
  <c r="G63" i="3" s="1"/>
  <c r="H63" i="3" s="1"/>
  <c r="I63" i="3" s="1"/>
  <c r="J63" i="3" s="1"/>
  <c r="K63" i="3" s="1"/>
  <c r="L63" i="3" s="1"/>
  <c r="M63" i="3" s="1"/>
  <c r="N63" i="3" s="1"/>
  <c r="O63" i="3" s="1"/>
  <c r="P63" i="3" s="1"/>
  <c r="Q63" i="3" s="1"/>
  <c r="R63" i="3" s="1"/>
  <c r="S63" i="3" s="1"/>
  <c r="T63" i="3" s="1"/>
  <c r="U63" i="3" s="1"/>
  <c r="V63" i="3" s="1"/>
  <c r="W63" i="3" s="1"/>
  <c r="X63" i="3" s="1"/>
  <c r="Y63" i="3" s="1"/>
  <c r="Z63" i="3" s="1"/>
  <c r="AB63" i="3"/>
  <c r="AC63" i="3" s="1"/>
  <c r="B27" i="2" s="1"/>
  <c r="F62" i="3"/>
  <c r="G62" i="3" s="1"/>
  <c r="H62" i="3" s="1"/>
  <c r="I62" i="3" s="1"/>
  <c r="J62" i="3" s="1"/>
  <c r="K62" i="3" s="1"/>
  <c r="L62" i="3" s="1"/>
  <c r="M62" i="3" s="1"/>
  <c r="N62" i="3" s="1"/>
  <c r="O62" i="3" s="1"/>
  <c r="P62" i="3" s="1"/>
  <c r="Q62" i="3" s="1"/>
  <c r="R62" i="3" s="1"/>
  <c r="S62" i="3" s="1"/>
  <c r="T62" i="3" s="1"/>
  <c r="U62" i="3" s="1"/>
  <c r="V62" i="3" s="1"/>
  <c r="W62" i="3" s="1"/>
  <c r="X62" i="3" s="1"/>
  <c r="Y62" i="3" s="1"/>
  <c r="Z62" i="3" s="1"/>
  <c r="AB62" i="3"/>
  <c r="G61" i="3"/>
  <c r="H61" i="3" s="1"/>
  <c r="I61" i="3" s="1"/>
  <c r="J61" i="3" s="1"/>
  <c r="K61" i="3" s="1"/>
  <c r="L61" i="3" s="1"/>
  <c r="M61" i="3" s="1"/>
  <c r="N61" i="3" s="1"/>
  <c r="O61" i="3" s="1"/>
  <c r="P61" i="3" s="1"/>
  <c r="Q61" i="3" s="1"/>
  <c r="R61" i="3" s="1"/>
  <c r="S61" i="3" s="1"/>
  <c r="T61" i="3" s="1"/>
  <c r="U61" i="3" s="1"/>
  <c r="V61" i="3" s="1"/>
  <c r="W61" i="3" s="1"/>
  <c r="X61" i="3" s="1"/>
  <c r="Y61" i="3" s="1"/>
  <c r="Z61" i="3" s="1"/>
  <c r="AB61" i="3"/>
  <c r="F60" i="3"/>
  <c r="G60" i="3" s="1"/>
  <c r="H60" i="3" s="1"/>
  <c r="I60" i="3" s="1"/>
  <c r="J60" i="3" s="1"/>
  <c r="K60" i="3" s="1"/>
  <c r="L60" i="3" s="1"/>
  <c r="M60" i="3" s="1"/>
  <c r="N60" i="3" s="1"/>
  <c r="O60" i="3" s="1"/>
  <c r="P60" i="3" s="1"/>
  <c r="Q60" i="3" s="1"/>
  <c r="R60" i="3" s="1"/>
  <c r="S60" i="3" s="1"/>
  <c r="T60" i="3" s="1"/>
  <c r="U60" i="3" s="1"/>
  <c r="V60" i="3" s="1"/>
  <c r="W60" i="3" s="1"/>
  <c r="X60" i="3" s="1"/>
  <c r="Y60" i="3" s="1"/>
  <c r="Z60" i="3" s="1"/>
  <c r="AB60" i="3"/>
  <c r="AC60" i="3" s="1"/>
  <c r="B26" i="2" s="1"/>
  <c r="J59" i="3"/>
  <c r="K59" i="3" s="1"/>
  <c r="L59" i="3" s="1"/>
  <c r="M59" i="3" s="1"/>
  <c r="N59" i="3" s="1"/>
  <c r="O59" i="3" s="1"/>
  <c r="P59" i="3" s="1"/>
  <c r="Q59" i="3" s="1"/>
  <c r="R59" i="3" s="1"/>
  <c r="S59" i="3" s="1"/>
  <c r="T59" i="3" s="1"/>
  <c r="U59" i="3" s="1"/>
  <c r="V59" i="3" s="1"/>
  <c r="W59" i="3" s="1"/>
  <c r="X59" i="3" s="1"/>
  <c r="Y59" i="3" s="1"/>
  <c r="Z59" i="3" s="1"/>
  <c r="AB59" i="3"/>
  <c r="F58" i="3"/>
  <c r="G58" i="3" s="1"/>
  <c r="H58" i="3" s="1"/>
  <c r="I58" i="3" s="1"/>
  <c r="J58" i="3" s="1"/>
  <c r="K58" i="3" s="1"/>
  <c r="L58" i="3" s="1"/>
  <c r="M58" i="3" s="1"/>
  <c r="N58" i="3" s="1"/>
  <c r="O58" i="3" s="1"/>
  <c r="P58" i="3" s="1"/>
  <c r="Q58" i="3" s="1"/>
  <c r="R58" i="3" s="1"/>
  <c r="S58" i="3" s="1"/>
  <c r="T58" i="3" s="1"/>
  <c r="U58" i="3" s="1"/>
  <c r="V58" i="3" s="1"/>
  <c r="W58" i="3" s="1"/>
  <c r="X58" i="3" s="1"/>
  <c r="Y58" i="3" s="1"/>
  <c r="Z58" i="3" s="1"/>
  <c r="AB58" i="3"/>
  <c r="F57" i="3"/>
  <c r="G57" i="3" s="1"/>
  <c r="H57" i="3" s="1"/>
  <c r="I57" i="3" s="1"/>
  <c r="J57" i="3" s="1"/>
  <c r="K57" i="3" s="1"/>
  <c r="L57" i="3" s="1"/>
  <c r="M57" i="3" s="1"/>
  <c r="N57" i="3" s="1"/>
  <c r="O57" i="3" s="1"/>
  <c r="P57" i="3" s="1"/>
  <c r="Q57" i="3" s="1"/>
  <c r="R57" i="3" s="1"/>
  <c r="S57" i="3" s="1"/>
  <c r="T57" i="3" s="1"/>
  <c r="U57" i="3" s="1"/>
  <c r="V57" i="3" s="1"/>
  <c r="W57" i="3" s="1"/>
  <c r="X57" i="3" s="1"/>
  <c r="Y57" i="3" s="1"/>
  <c r="Z57" i="3" s="1"/>
  <c r="AB57" i="3"/>
  <c r="AC57" i="3" s="1"/>
  <c r="B25" i="2" s="1"/>
  <c r="F56" i="3"/>
  <c r="G56" i="3" s="1"/>
  <c r="H56" i="3" s="1"/>
  <c r="I56" i="3" s="1"/>
  <c r="J56" i="3" s="1"/>
  <c r="K56" i="3" s="1"/>
  <c r="L56" i="3" s="1"/>
  <c r="M56" i="3" s="1"/>
  <c r="N56" i="3" s="1"/>
  <c r="O56" i="3" s="1"/>
  <c r="P56" i="3" s="1"/>
  <c r="Q56" i="3" s="1"/>
  <c r="R56" i="3" s="1"/>
  <c r="S56" i="3" s="1"/>
  <c r="T56" i="3" s="1"/>
  <c r="U56" i="3" s="1"/>
  <c r="V56" i="3" s="1"/>
  <c r="W56" i="3" s="1"/>
  <c r="X56" i="3" s="1"/>
  <c r="Y56" i="3" s="1"/>
  <c r="Z56" i="3" s="1"/>
  <c r="AB56" i="3"/>
  <c r="F55" i="3"/>
  <c r="G55" i="3" s="1"/>
  <c r="H55" i="3" s="1"/>
  <c r="I55" i="3" s="1"/>
  <c r="J55" i="3" s="1"/>
  <c r="K55" i="3" s="1"/>
  <c r="L55" i="3" s="1"/>
  <c r="M55" i="3" s="1"/>
  <c r="N55" i="3" s="1"/>
  <c r="O55" i="3" s="1"/>
  <c r="P55" i="3" s="1"/>
  <c r="Q55" i="3" s="1"/>
  <c r="R55" i="3" s="1"/>
  <c r="S55" i="3" s="1"/>
  <c r="T55" i="3" s="1"/>
  <c r="U55" i="3" s="1"/>
  <c r="V55" i="3" s="1"/>
  <c r="W55" i="3" s="1"/>
  <c r="X55" i="3" s="1"/>
  <c r="Y55" i="3" s="1"/>
  <c r="Z55" i="3" s="1"/>
  <c r="AB55" i="3"/>
  <c r="N54" i="3"/>
  <c r="O54" i="3" s="1"/>
  <c r="P54" i="3" s="1"/>
  <c r="Q54" i="3" s="1"/>
  <c r="R54" i="3" s="1"/>
  <c r="S54" i="3" s="1"/>
  <c r="T54" i="3" s="1"/>
  <c r="U54" i="3" s="1"/>
  <c r="V54" i="3" s="1"/>
  <c r="W54" i="3" s="1"/>
  <c r="X54" i="3" s="1"/>
  <c r="Y54" i="3" s="1"/>
  <c r="Z54" i="3" s="1"/>
  <c r="AB54" i="3"/>
  <c r="AC54" i="3" s="1"/>
  <c r="B24" i="2" s="1"/>
  <c r="F53" i="3"/>
  <c r="G53" i="3" s="1"/>
  <c r="H53" i="3" s="1"/>
  <c r="I53" i="3" s="1"/>
  <c r="J53" i="3" s="1"/>
  <c r="K53" i="3" s="1"/>
  <c r="L53" i="3" s="1"/>
  <c r="M53" i="3" s="1"/>
  <c r="N53" i="3" s="1"/>
  <c r="O53" i="3" s="1"/>
  <c r="P53" i="3" s="1"/>
  <c r="Q53" i="3" s="1"/>
  <c r="R53" i="3" s="1"/>
  <c r="S53" i="3" s="1"/>
  <c r="T53" i="3" s="1"/>
  <c r="U53" i="3" s="1"/>
  <c r="V53" i="3" s="1"/>
  <c r="W53" i="3" s="1"/>
  <c r="X53" i="3" s="1"/>
  <c r="Y53" i="3" s="1"/>
  <c r="Z53" i="3" s="1"/>
  <c r="AB53" i="3"/>
  <c r="Q52" i="3"/>
  <c r="R52" i="3" s="1"/>
  <c r="S52" i="3" s="1"/>
  <c r="T52" i="3" s="1"/>
  <c r="U52" i="3" s="1"/>
  <c r="V52" i="3" s="1"/>
  <c r="W52" i="3" s="1"/>
  <c r="X52" i="3" s="1"/>
  <c r="Y52" i="3" s="1"/>
  <c r="Z52" i="3" s="1"/>
  <c r="AB52" i="3"/>
  <c r="K51" i="3"/>
  <c r="L51" i="3" s="1"/>
  <c r="M51" i="3" s="1"/>
  <c r="N51" i="3" s="1"/>
  <c r="O51" i="3" s="1"/>
  <c r="P51" i="3" s="1"/>
  <c r="Q51" i="3" s="1"/>
  <c r="R51" i="3" s="1"/>
  <c r="S51" i="3" s="1"/>
  <c r="T51" i="3" s="1"/>
  <c r="U51" i="3" s="1"/>
  <c r="V51" i="3" s="1"/>
  <c r="W51" i="3" s="1"/>
  <c r="X51" i="3" s="1"/>
  <c r="Y51" i="3" s="1"/>
  <c r="Z51" i="3" s="1"/>
  <c r="AB51" i="3"/>
  <c r="AC51" i="3" s="1"/>
  <c r="B23" i="2" s="1"/>
  <c r="F50" i="3"/>
  <c r="G50" i="3" s="1"/>
  <c r="H50" i="3" s="1"/>
  <c r="I50" i="3" s="1"/>
  <c r="J50" i="3" s="1"/>
  <c r="K50" i="3" s="1"/>
  <c r="L50" i="3" s="1"/>
  <c r="M50" i="3" s="1"/>
  <c r="N50" i="3" s="1"/>
  <c r="O50" i="3" s="1"/>
  <c r="P50" i="3" s="1"/>
  <c r="Q50" i="3" s="1"/>
  <c r="R50" i="3" s="1"/>
  <c r="S50" i="3" s="1"/>
  <c r="T50" i="3" s="1"/>
  <c r="U50" i="3" s="1"/>
  <c r="V50" i="3" s="1"/>
  <c r="W50" i="3" s="1"/>
  <c r="X50" i="3" s="1"/>
  <c r="Y50" i="3" s="1"/>
  <c r="Z50" i="3" s="1"/>
  <c r="AB50" i="3"/>
  <c r="F49" i="3"/>
  <c r="G49" i="3" s="1"/>
  <c r="H49" i="3" s="1"/>
  <c r="I49" i="3" s="1"/>
  <c r="J49" i="3" s="1"/>
  <c r="K49" i="3" s="1"/>
  <c r="L49" i="3" s="1"/>
  <c r="M49" i="3" s="1"/>
  <c r="N49" i="3" s="1"/>
  <c r="O49" i="3" s="1"/>
  <c r="P49" i="3" s="1"/>
  <c r="Q49" i="3" s="1"/>
  <c r="R49" i="3" s="1"/>
  <c r="S49" i="3" s="1"/>
  <c r="T49" i="3" s="1"/>
  <c r="U49" i="3" s="1"/>
  <c r="V49" i="3" s="1"/>
  <c r="W49" i="3" s="1"/>
  <c r="X49" i="3" s="1"/>
  <c r="Y49" i="3" s="1"/>
  <c r="Z49" i="3" s="1"/>
  <c r="AB49" i="3"/>
  <c r="F48" i="3"/>
  <c r="G48" i="3" s="1"/>
  <c r="H48" i="3" s="1"/>
  <c r="I48" i="3" s="1"/>
  <c r="J48" i="3" s="1"/>
  <c r="K48" i="3" s="1"/>
  <c r="L48" i="3" s="1"/>
  <c r="M48" i="3" s="1"/>
  <c r="N48" i="3" s="1"/>
  <c r="O48" i="3" s="1"/>
  <c r="P48" i="3" s="1"/>
  <c r="Q48" i="3" s="1"/>
  <c r="R48" i="3" s="1"/>
  <c r="S48" i="3" s="1"/>
  <c r="T48" i="3" s="1"/>
  <c r="U48" i="3" s="1"/>
  <c r="V48" i="3" s="1"/>
  <c r="W48" i="3" s="1"/>
  <c r="X48" i="3" s="1"/>
  <c r="Y48" i="3" s="1"/>
  <c r="Z48" i="3" s="1"/>
  <c r="AB48" i="3"/>
  <c r="I47" i="3"/>
  <c r="J47" i="3" s="1"/>
  <c r="K47" i="3" s="1"/>
  <c r="L47" i="3" s="1"/>
  <c r="M47" i="3" s="1"/>
  <c r="N47" i="3" s="1"/>
  <c r="O47" i="3" s="1"/>
  <c r="P47" i="3" s="1"/>
  <c r="Q47" i="3" s="1"/>
  <c r="R47" i="3" s="1"/>
  <c r="S47" i="3" s="1"/>
  <c r="T47" i="3" s="1"/>
  <c r="U47" i="3" s="1"/>
  <c r="V47" i="3" s="1"/>
  <c r="W47" i="3" s="1"/>
  <c r="X47" i="3" s="1"/>
  <c r="Y47" i="3" s="1"/>
  <c r="Z47" i="3" s="1"/>
  <c r="AB47" i="3"/>
  <c r="F46" i="3"/>
  <c r="G46" i="3" s="1"/>
  <c r="H46" i="3" s="1"/>
  <c r="I46" i="3" s="1"/>
  <c r="J46" i="3" s="1"/>
  <c r="K46" i="3" s="1"/>
  <c r="L46" i="3" s="1"/>
  <c r="M46" i="3" s="1"/>
  <c r="N46" i="3" s="1"/>
  <c r="O46" i="3" s="1"/>
  <c r="P46" i="3" s="1"/>
  <c r="Q46" i="3" s="1"/>
  <c r="R46" i="3" s="1"/>
  <c r="S46" i="3" s="1"/>
  <c r="T46" i="3" s="1"/>
  <c r="U46" i="3" s="1"/>
  <c r="V46" i="3" s="1"/>
  <c r="W46" i="3" s="1"/>
  <c r="X46" i="3" s="1"/>
  <c r="Y46" i="3" s="1"/>
  <c r="Z46" i="3" s="1"/>
  <c r="AB46" i="3"/>
  <c r="F45" i="3"/>
  <c r="G45" i="3" s="1"/>
  <c r="H45" i="3" s="1"/>
  <c r="I45" i="3" s="1"/>
  <c r="J45" i="3" s="1"/>
  <c r="K45" i="3" s="1"/>
  <c r="L45" i="3" s="1"/>
  <c r="M45" i="3" s="1"/>
  <c r="N45" i="3" s="1"/>
  <c r="O45" i="3" s="1"/>
  <c r="P45" i="3" s="1"/>
  <c r="Q45" i="3" s="1"/>
  <c r="R45" i="3" s="1"/>
  <c r="S45" i="3" s="1"/>
  <c r="T45" i="3" s="1"/>
  <c r="U45" i="3" s="1"/>
  <c r="V45" i="3" s="1"/>
  <c r="W45" i="3" s="1"/>
  <c r="X45" i="3" s="1"/>
  <c r="Y45" i="3" s="1"/>
  <c r="Z45" i="3" s="1"/>
  <c r="AB45" i="3"/>
  <c r="AC45" i="3" s="1"/>
  <c r="B21" i="2" s="1"/>
  <c r="F44" i="3"/>
  <c r="G44" i="3" s="1"/>
  <c r="H44" i="3" s="1"/>
  <c r="I44" i="3" s="1"/>
  <c r="J44" i="3" s="1"/>
  <c r="K44" i="3" s="1"/>
  <c r="L44" i="3" s="1"/>
  <c r="M44" i="3" s="1"/>
  <c r="N44" i="3" s="1"/>
  <c r="O44" i="3" s="1"/>
  <c r="P44" i="3" s="1"/>
  <c r="Q44" i="3" s="1"/>
  <c r="R44" i="3" s="1"/>
  <c r="S44" i="3" s="1"/>
  <c r="T44" i="3" s="1"/>
  <c r="U44" i="3" s="1"/>
  <c r="V44" i="3" s="1"/>
  <c r="W44" i="3" s="1"/>
  <c r="X44" i="3" s="1"/>
  <c r="Y44" i="3" s="1"/>
  <c r="Z44" i="3" s="1"/>
  <c r="AB44" i="3"/>
  <c r="U43" i="3"/>
  <c r="V43" i="3" s="1"/>
  <c r="W43" i="3" s="1"/>
  <c r="X43" i="3" s="1"/>
  <c r="Y43" i="3" s="1"/>
  <c r="Z43" i="3" s="1"/>
  <c r="AB43" i="3"/>
  <c r="F42" i="3"/>
  <c r="G42" i="3" s="1"/>
  <c r="H42" i="3" s="1"/>
  <c r="I42" i="3" s="1"/>
  <c r="J42" i="3" s="1"/>
  <c r="K42" i="3" s="1"/>
  <c r="L42" i="3" s="1"/>
  <c r="M42" i="3" s="1"/>
  <c r="N42" i="3" s="1"/>
  <c r="O42" i="3" s="1"/>
  <c r="P42" i="3" s="1"/>
  <c r="Q42" i="3" s="1"/>
  <c r="R42" i="3" s="1"/>
  <c r="S42" i="3" s="1"/>
  <c r="T42" i="3" s="1"/>
  <c r="U42" i="3" s="1"/>
  <c r="V42" i="3" s="1"/>
  <c r="W42" i="3" s="1"/>
  <c r="X42" i="3" s="1"/>
  <c r="Y42" i="3" s="1"/>
  <c r="Z42" i="3" s="1"/>
  <c r="AB42" i="3"/>
  <c r="AC42" i="3" s="1"/>
  <c r="B20" i="2" s="1"/>
  <c r="N41" i="3"/>
  <c r="O41" i="3" s="1"/>
  <c r="P41" i="3" s="1"/>
  <c r="Q41" i="3" s="1"/>
  <c r="R41" i="3" s="1"/>
  <c r="S41" i="3" s="1"/>
  <c r="T41" i="3" s="1"/>
  <c r="U41" i="3" s="1"/>
  <c r="V41" i="3" s="1"/>
  <c r="W41" i="3" s="1"/>
  <c r="X41" i="3" s="1"/>
  <c r="Y41" i="3" s="1"/>
  <c r="Z41" i="3" s="1"/>
  <c r="AB41" i="3"/>
  <c r="F40" i="3"/>
  <c r="G40" i="3" s="1"/>
  <c r="H40" i="3" s="1"/>
  <c r="I40" i="3" s="1"/>
  <c r="J40" i="3" s="1"/>
  <c r="K40" i="3" s="1"/>
  <c r="L40" i="3" s="1"/>
  <c r="M40" i="3" s="1"/>
  <c r="N40" i="3" s="1"/>
  <c r="O40" i="3" s="1"/>
  <c r="P40" i="3" s="1"/>
  <c r="Q40" i="3" s="1"/>
  <c r="R40" i="3" s="1"/>
  <c r="S40" i="3" s="1"/>
  <c r="T40" i="3" s="1"/>
  <c r="U40" i="3" s="1"/>
  <c r="V40" i="3" s="1"/>
  <c r="W40" i="3" s="1"/>
  <c r="X40" i="3" s="1"/>
  <c r="Y40" i="3" s="1"/>
  <c r="Z40" i="3" s="1"/>
  <c r="AB40" i="3"/>
  <c r="F39" i="3"/>
  <c r="G39" i="3" s="1"/>
  <c r="H39" i="3" s="1"/>
  <c r="I39" i="3" s="1"/>
  <c r="J39" i="3" s="1"/>
  <c r="K39" i="3" s="1"/>
  <c r="L39" i="3" s="1"/>
  <c r="M39" i="3" s="1"/>
  <c r="N39" i="3" s="1"/>
  <c r="O39" i="3" s="1"/>
  <c r="P39" i="3" s="1"/>
  <c r="Q39" i="3" s="1"/>
  <c r="R39" i="3" s="1"/>
  <c r="S39" i="3" s="1"/>
  <c r="T39" i="3" s="1"/>
  <c r="U39" i="3" s="1"/>
  <c r="V39" i="3" s="1"/>
  <c r="W39" i="3" s="1"/>
  <c r="X39" i="3" s="1"/>
  <c r="Y39" i="3" s="1"/>
  <c r="Z39" i="3" s="1"/>
  <c r="AB39" i="3"/>
  <c r="AC39" i="3" s="1"/>
  <c r="B19" i="2" s="1"/>
  <c r="F38" i="3"/>
  <c r="G38" i="3" s="1"/>
  <c r="H38" i="3" s="1"/>
  <c r="I38" i="3" s="1"/>
  <c r="J38" i="3" s="1"/>
  <c r="K38" i="3" s="1"/>
  <c r="L38" i="3" s="1"/>
  <c r="M38" i="3" s="1"/>
  <c r="N38" i="3" s="1"/>
  <c r="O38" i="3" s="1"/>
  <c r="P38" i="3" s="1"/>
  <c r="Q38" i="3" s="1"/>
  <c r="R38" i="3" s="1"/>
  <c r="S38" i="3" s="1"/>
  <c r="T38" i="3" s="1"/>
  <c r="U38" i="3" s="1"/>
  <c r="V38" i="3" s="1"/>
  <c r="W38" i="3" s="1"/>
  <c r="X38" i="3" s="1"/>
  <c r="Y38" i="3" s="1"/>
  <c r="Z38" i="3" s="1"/>
  <c r="AB38" i="3"/>
  <c r="F37" i="3"/>
  <c r="G37" i="3" s="1"/>
  <c r="H37" i="3" s="1"/>
  <c r="I37" i="3" s="1"/>
  <c r="J37" i="3" s="1"/>
  <c r="K37" i="3" s="1"/>
  <c r="L37" i="3" s="1"/>
  <c r="M37" i="3" s="1"/>
  <c r="N37" i="3" s="1"/>
  <c r="O37" i="3" s="1"/>
  <c r="P37" i="3" s="1"/>
  <c r="Q37" i="3" s="1"/>
  <c r="R37" i="3" s="1"/>
  <c r="S37" i="3" s="1"/>
  <c r="T37" i="3" s="1"/>
  <c r="U37" i="3" s="1"/>
  <c r="V37" i="3" s="1"/>
  <c r="W37" i="3" s="1"/>
  <c r="X37" i="3" s="1"/>
  <c r="Y37" i="3" s="1"/>
  <c r="Z37" i="3" s="1"/>
  <c r="AB37" i="3"/>
  <c r="F36" i="3"/>
  <c r="G36" i="3" s="1"/>
  <c r="H36" i="3" s="1"/>
  <c r="I36" i="3" s="1"/>
  <c r="J36" i="3" s="1"/>
  <c r="K36" i="3" s="1"/>
  <c r="L36" i="3" s="1"/>
  <c r="M36" i="3" s="1"/>
  <c r="N36" i="3" s="1"/>
  <c r="O36" i="3" s="1"/>
  <c r="P36" i="3" s="1"/>
  <c r="Q36" i="3" s="1"/>
  <c r="R36" i="3" s="1"/>
  <c r="S36" i="3" s="1"/>
  <c r="T36" i="3" s="1"/>
  <c r="U36" i="3" s="1"/>
  <c r="V36" i="3" s="1"/>
  <c r="W36" i="3" s="1"/>
  <c r="X36" i="3" s="1"/>
  <c r="Y36" i="3" s="1"/>
  <c r="Z36" i="3" s="1"/>
  <c r="AB36" i="3"/>
  <c r="AC36" i="3" s="1"/>
  <c r="B18" i="2" s="1"/>
  <c r="F35" i="3"/>
  <c r="G35" i="3" s="1"/>
  <c r="H35" i="3" s="1"/>
  <c r="I35" i="3" s="1"/>
  <c r="J35" i="3" s="1"/>
  <c r="K35" i="3" s="1"/>
  <c r="L35" i="3" s="1"/>
  <c r="M35" i="3" s="1"/>
  <c r="N35" i="3" s="1"/>
  <c r="O35" i="3" s="1"/>
  <c r="P35" i="3" s="1"/>
  <c r="Q35" i="3" s="1"/>
  <c r="R35" i="3" s="1"/>
  <c r="S35" i="3" s="1"/>
  <c r="T35" i="3" s="1"/>
  <c r="U35" i="3" s="1"/>
  <c r="V35" i="3" s="1"/>
  <c r="W35" i="3" s="1"/>
  <c r="X35" i="3" s="1"/>
  <c r="Y35" i="3" s="1"/>
  <c r="Z35" i="3" s="1"/>
  <c r="AB35" i="3"/>
  <c r="N34" i="3"/>
  <c r="O34" i="3" s="1"/>
  <c r="P34" i="3" s="1"/>
  <c r="Q34" i="3" s="1"/>
  <c r="R34" i="3" s="1"/>
  <c r="S34" i="3" s="1"/>
  <c r="T34" i="3" s="1"/>
  <c r="U34" i="3" s="1"/>
  <c r="V34" i="3" s="1"/>
  <c r="W34" i="3" s="1"/>
  <c r="X34" i="3" s="1"/>
  <c r="Y34" i="3" s="1"/>
  <c r="Z34" i="3" s="1"/>
  <c r="AB34" i="3"/>
  <c r="F33" i="3"/>
  <c r="G33" i="3" s="1"/>
  <c r="H33" i="3" s="1"/>
  <c r="I33" i="3" s="1"/>
  <c r="J33" i="3" s="1"/>
  <c r="K33" i="3" s="1"/>
  <c r="L33" i="3" s="1"/>
  <c r="M33" i="3" s="1"/>
  <c r="N33" i="3" s="1"/>
  <c r="O33" i="3" s="1"/>
  <c r="P33" i="3" s="1"/>
  <c r="Q33" i="3" s="1"/>
  <c r="R33" i="3" s="1"/>
  <c r="S33" i="3" s="1"/>
  <c r="T33" i="3" s="1"/>
  <c r="U33" i="3" s="1"/>
  <c r="V33" i="3" s="1"/>
  <c r="W33" i="3" s="1"/>
  <c r="X33" i="3" s="1"/>
  <c r="Y33" i="3" s="1"/>
  <c r="Z33" i="3" s="1"/>
  <c r="AB33" i="3"/>
  <c r="AC33" i="3" s="1"/>
  <c r="B17" i="2" s="1"/>
  <c r="F32" i="3"/>
  <c r="G32" i="3" s="1"/>
  <c r="H32" i="3" s="1"/>
  <c r="I32" i="3" s="1"/>
  <c r="J32" i="3" s="1"/>
  <c r="K32" i="3" s="1"/>
  <c r="L32" i="3" s="1"/>
  <c r="M32" i="3" s="1"/>
  <c r="N32" i="3" s="1"/>
  <c r="O32" i="3" s="1"/>
  <c r="P32" i="3" s="1"/>
  <c r="Q32" i="3" s="1"/>
  <c r="R32" i="3" s="1"/>
  <c r="S32" i="3" s="1"/>
  <c r="T32" i="3" s="1"/>
  <c r="U32" i="3" s="1"/>
  <c r="V32" i="3" s="1"/>
  <c r="W32" i="3" s="1"/>
  <c r="X32" i="3" s="1"/>
  <c r="Y32" i="3" s="1"/>
  <c r="Z32" i="3" s="1"/>
  <c r="AB32" i="3"/>
  <c r="Q31" i="3"/>
  <c r="R31" i="3" s="1"/>
  <c r="S31" i="3" s="1"/>
  <c r="T31" i="3" s="1"/>
  <c r="U31" i="3" s="1"/>
  <c r="V31" i="3" s="1"/>
  <c r="W31" i="3" s="1"/>
  <c r="X31" i="3" s="1"/>
  <c r="Y31" i="3" s="1"/>
  <c r="Z31" i="3" s="1"/>
  <c r="AB31" i="3"/>
  <c r="F30" i="3"/>
  <c r="G30" i="3" s="1"/>
  <c r="H30" i="3" s="1"/>
  <c r="I30" i="3" s="1"/>
  <c r="J30" i="3" s="1"/>
  <c r="K30" i="3" s="1"/>
  <c r="L30" i="3" s="1"/>
  <c r="M30" i="3" s="1"/>
  <c r="N30" i="3" s="1"/>
  <c r="O30" i="3" s="1"/>
  <c r="P30" i="3" s="1"/>
  <c r="Q30" i="3" s="1"/>
  <c r="R30" i="3" s="1"/>
  <c r="S30" i="3" s="1"/>
  <c r="T30" i="3" s="1"/>
  <c r="U30" i="3" s="1"/>
  <c r="V30" i="3" s="1"/>
  <c r="W30" i="3" s="1"/>
  <c r="X30" i="3" s="1"/>
  <c r="Y30" i="3" s="1"/>
  <c r="Z30" i="3" s="1"/>
  <c r="AB30" i="3"/>
  <c r="AC30" i="3" s="1"/>
  <c r="B16" i="2" s="1"/>
  <c r="I29" i="3"/>
  <c r="J29" i="3" s="1"/>
  <c r="K29" i="3" s="1"/>
  <c r="L29" i="3" s="1"/>
  <c r="M29" i="3" s="1"/>
  <c r="N29" i="3" s="1"/>
  <c r="O29" i="3" s="1"/>
  <c r="P29" i="3" s="1"/>
  <c r="Q29" i="3" s="1"/>
  <c r="R29" i="3" s="1"/>
  <c r="S29" i="3" s="1"/>
  <c r="T29" i="3" s="1"/>
  <c r="U29" i="3" s="1"/>
  <c r="V29" i="3" s="1"/>
  <c r="W29" i="3" s="1"/>
  <c r="X29" i="3" s="1"/>
  <c r="Y29" i="3" s="1"/>
  <c r="Z29" i="3" s="1"/>
  <c r="AB29" i="3"/>
  <c r="F28" i="3"/>
  <c r="G28" i="3" s="1"/>
  <c r="H28" i="3" s="1"/>
  <c r="I28" i="3" s="1"/>
  <c r="J28" i="3" s="1"/>
  <c r="K28" i="3" s="1"/>
  <c r="L28" i="3" s="1"/>
  <c r="M28" i="3" s="1"/>
  <c r="N28" i="3" s="1"/>
  <c r="O28" i="3" s="1"/>
  <c r="P28" i="3" s="1"/>
  <c r="Q28" i="3" s="1"/>
  <c r="R28" i="3" s="1"/>
  <c r="S28" i="3" s="1"/>
  <c r="T28" i="3" s="1"/>
  <c r="U28" i="3" s="1"/>
  <c r="V28" i="3" s="1"/>
  <c r="W28" i="3" s="1"/>
  <c r="X28" i="3" s="1"/>
  <c r="Y28" i="3" s="1"/>
  <c r="Z28" i="3" s="1"/>
  <c r="AB28" i="3"/>
  <c r="F27" i="3"/>
  <c r="G27" i="3" s="1"/>
  <c r="H27" i="3" s="1"/>
  <c r="I27" i="3" s="1"/>
  <c r="J27" i="3" s="1"/>
  <c r="K27" i="3" s="1"/>
  <c r="L27" i="3" s="1"/>
  <c r="M27" i="3" s="1"/>
  <c r="N27" i="3" s="1"/>
  <c r="O27" i="3" s="1"/>
  <c r="P27" i="3" s="1"/>
  <c r="Q27" i="3" s="1"/>
  <c r="R27" i="3" s="1"/>
  <c r="S27" i="3" s="1"/>
  <c r="T27" i="3" s="1"/>
  <c r="U27" i="3" s="1"/>
  <c r="V27" i="3" s="1"/>
  <c r="W27" i="3" s="1"/>
  <c r="X27" i="3" s="1"/>
  <c r="Y27" i="3" s="1"/>
  <c r="Z27" i="3" s="1"/>
  <c r="AB27" i="3"/>
  <c r="AC27" i="3" s="1"/>
  <c r="B15" i="2" s="1"/>
  <c r="F26" i="3"/>
  <c r="G26" i="3" s="1"/>
  <c r="H26" i="3" s="1"/>
  <c r="I26" i="3" s="1"/>
  <c r="J26" i="3" s="1"/>
  <c r="K26" i="3" s="1"/>
  <c r="L26" i="3" s="1"/>
  <c r="M26" i="3" s="1"/>
  <c r="N26" i="3" s="1"/>
  <c r="O26" i="3" s="1"/>
  <c r="P26" i="3" s="1"/>
  <c r="Q26" i="3" s="1"/>
  <c r="R26" i="3" s="1"/>
  <c r="S26" i="3" s="1"/>
  <c r="T26" i="3" s="1"/>
  <c r="U26" i="3" s="1"/>
  <c r="V26" i="3" s="1"/>
  <c r="W26" i="3" s="1"/>
  <c r="X26" i="3" s="1"/>
  <c r="Y26" i="3" s="1"/>
  <c r="Z26" i="3" s="1"/>
  <c r="AB26" i="3"/>
  <c r="M24" i="3"/>
  <c r="N24" i="3" s="1"/>
  <c r="O24" i="3" s="1"/>
  <c r="P24" i="3" s="1"/>
  <c r="Q24" i="3" s="1"/>
  <c r="R24" i="3" s="1"/>
  <c r="S24" i="3" s="1"/>
  <c r="T24" i="3" s="1"/>
  <c r="U24" i="3" s="1"/>
  <c r="V24" i="3" s="1"/>
  <c r="W24" i="3" s="1"/>
  <c r="X24" i="3" s="1"/>
  <c r="Y24" i="3" s="1"/>
  <c r="Z24" i="3" s="1"/>
  <c r="AB24" i="3"/>
  <c r="AC24" i="3" s="1"/>
  <c r="B14" i="2" s="1"/>
  <c r="F23" i="3"/>
  <c r="G23" i="3" s="1"/>
  <c r="H23" i="3" s="1"/>
  <c r="I23" i="3" s="1"/>
  <c r="J23" i="3" s="1"/>
  <c r="K23" i="3" s="1"/>
  <c r="L23" i="3" s="1"/>
  <c r="M23" i="3" s="1"/>
  <c r="N23" i="3" s="1"/>
  <c r="O23" i="3" s="1"/>
  <c r="P23" i="3" s="1"/>
  <c r="Q23" i="3" s="1"/>
  <c r="R23" i="3" s="1"/>
  <c r="S23" i="3" s="1"/>
  <c r="T23" i="3" s="1"/>
  <c r="U23" i="3" s="1"/>
  <c r="V23" i="3" s="1"/>
  <c r="W23" i="3" s="1"/>
  <c r="X23" i="3" s="1"/>
  <c r="Y23" i="3" s="1"/>
  <c r="Z23" i="3" s="1"/>
  <c r="AB23" i="3"/>
  <c r="N22" i="3"/>
  <c r="O22" i="3" s="1"/>
  <c r="P22" i="3" s="1"/>
  <c r="Q22" i="3" s="1"/>
  <c r="R22" i="3" s="1"/>
  <c r="S22" i="3" s="1"/>
  <c r="T22" i="3" s="1"/>
  <c r="U22" i="3" s="1"/>
  <c r="V22" i="3" s="1"/>
  <c r="W22" i="3" s="1"/>
  <c r="X22" i="3" s="1"/>
  <c r="Y22" i="3" s="1"/>
  <c r="Z22" i="3" s="1"/>
  <c r="AB22" i="3"/>
  <c r="G21" i="3"/>
  <c r="H21" i="3" s="1"/>
  <c r="I21" i="3" s="1"/>
  <c r="J21" i="3" s="1"/>
  <c r="K21" i="3" s="1"/>
  <c r="L21" i="3" s="1"/>
  <c r="M21" i="3" s="1"/>
  <c r="N21" i="3" s="1"/>
  <c r="O21" i="3" s="1"/>
  <c r="P21" i="3" s="1"/>
  <c r="Q21" i="3" s="1"/>
  <c r="R21" i="3" s="1"/>
  <c r="S21" i="3" s="1"/>
  <c r="T21" i="3" s="1"/>
  <c r="U21" i="3" s="1"/>
  <c r="V21" i="3" s="1"/>
  <c r="W21" i="3" s="1"/>
  <c r="X21" i="3" s="1"/>
  <c r="Y21" i="3" s="1"/>
  <c r="Z21" i="3" s="1"/>
  <c r="AB21" i="3"/>
  <c r="AC21" i="3" s="1"/>
  <c r="B13" i="2" s="1"/>
  <c r="I20" i="3"/>
  <c r="J20" i="3" s="1"/>
  <c r="K20" i="3" s="1"/>
  <c r="L20" i="3" s="1"/>
  <c r="M20" i="3" s="1"/>
  <c r="N20" i="3" s="1"/>
  <c r="O20" i="3" s="1"/>
  <c r="P20" i="3" s="1"/>
  <c r="Q20" i="3" s="1"/>
  <c r="R20" i="3" s="1"/>
  <c r="S20" i="3" s="1"/>
  <c r="T20" i="3" s="1"/>
  <c r="U20" i="3" s="1"/>
  <c r="V20" i="3" s="1"/>
  <c r="W20" i="3" s="1"/>
  <c r="X20" i="3" s="1"/>
  <c r="Y20" i="3" s="1"/>
  <c r="Z20" i="3" s="1"/>
  <c r="AB20" i="3"/>
  <c r="F19" i="3"/>
  <c r="G19" i="3" s="1"/>
  <c r="H19" i="3" s="1"/>
  <c r="I19" i="3" s="1"/>
  <c r="J19" i="3" s="1"/>
  <c r="K19" i="3" s="1"/>
  <c r="L19" i="3" s="1"/>
  <c r="M19" i="3" s="1"/>
  <c r="N19" i="3" s="1"/>
  <c r="O19" i="3" s="1"/>
  <c r="P19" i="3" s="1"/>
  <c r="Q19" i="3" s="1"/>
  <c r="R19" i="3" s="1"/>
  <c r="S19" i="3" s="1"/>
  <c r="T19" i="3" s="1"/>
  <c r="U19" i="3" s="1"/>
  <c r="V19" i="3" s="1"/>
  <c r="W19" i="3" s="1"/>
  <c r="X19" i="3" s="1"/>
  <c r="Y19" i="3" s="1"/>
  <c r="Z19" i="3" s="1"/>
  <c r="AB19" i="3"/>
  <c r="G18" i="3"/>
  <c r="H18" i="3" s="1"/>
  <c r="I18" i="3" s="1"/>
  <c r="J18" i="3" s="1"/>
  <c r="K18" i="3" s="1"/>
  <c r="L18" i="3" s="1"/>
  <c r="M18" i="3" s="1"/>
  <c r="N18" i="3" s="1"/>
  <c r="O18" i="3" s="1"/>
  <c r="P18" i="3" s="1"/>
  <c r="Q18" i="3" s="1"/>
  <c r="R18" i="3" s="1"/>
  <c r="S18" i="3" s="1"/>
  <c r="T18" i="3" s="1"/>
  <c r="U18" i="3" s="1"/>
  <c r="V18" i="3" s="1"/>
  <c r="W18" i="3" s="1"/>
  <c r="X18" i="3" s="1"/>
  <c r="Y18" i="3" s="1"/>
  <c r="Z18" i="3" s="1"/>
  <c r="AB18" i="3"/>
  <c r="AC18" i="3" s="1"/>
  <c r="B12" i="2" s="1"/>
  <c r="F17" i="3"/>
  <c r="G17" i="3" s="1"/>
  <c r="H17" i="3" s="1"/>
  <c r="I17" i="3" s="1"/>
  <c r="J17" i="3" s="1"/>
  <c r="K17" i="3" s="1"/>
  <c r="L17" i="3" s="1"/>
  <c r="M17" i="3" s="1"/>
  <c r="N17" i="3" s="1"/>
  <c r="O17" i="3" s="1"/>
  <c r="P17" i="3" s="1"/>
  <c r="Q17" i="3" s="1"/>
  <c r="R17" i="3" s="1"/>
  <c r="S17" i="3" s="1"/>
  <c r="T17" i="3" s="1"/>
  <c r="U17" i="3" s="1"/>
  <c r="V17" i="3" s="1"/>
  <c r="W17" i="3" s="1"/>
  <c r="X17" i="3" s="1"/>
  <c r="Y17" i="3" s="1"/>
  <c r="Z17" i="3" s="1"/>
  <c r="AB17" i="3"/>
  <c r="F16" i="3"/>
  <c r="G16" i="3" s="1"/>
  <c r="H16" i="3" s="1"/>
  <c r="I16" i="3" s="1"/>
  <c r="J16" i="3" s="1"/>
  <c r="K16" i="3" s="1"/>
  <c r="L16" i="3" s="1"/>
  <c r="M16" i="3" s="1"/>
  <c r="N16" i="3" s="1"/>
  <c r="O16" i="3" s="1"/>
  <c r="P16" i="3" s="1"/>
  <c r="Q16" i="3" s="1"/>
  <c r="R16" i="3" s="1"/>
  <c r="S16" i="3" s="1"/>
  <c r="T16" i="3" s="1"/>
  <c r="U16" i="3" s="1"/>
  <c r="V16" i="3" s="1"/>
  <c r="W16" i="3" s="1"/>
  <c r="X16" i="3" s="1"/>
  <c r="Y16" i="3" s="1"/>
  <c r="Z16" i="3" s="1"/>
  <c r="AB16" i="3"/>
  <c r="F15" i="3"/>
  <c r="G15" i="3" s="1"/>
  <c r="H15" i="3" s="1"/>
  <c r="I15" i="3" s="1"/>
  <c r="J15" i="3" s="1"/>
  <c r="K15" i="3" s="1"/>
  <c r="L15" i="3" s="1"/>
  <c r="M15" i="3" s="1"/>
  <c r="N15" i="3" s="1"/>
  <c r="O15" i="3" s="1"/>
  <c r="P15" i="3" s="1"/>
  <c r="Q15" i="3" s="1"/>
  <c r="R15" i="3" s="1"/>
  <c r="S15" i="3" s="1"/>
  <c r="T15" i="3" s="1"/>
  <c r="U15" i="3" s="1"/>
  <c r="V15" i="3" s="1"/>
  <c r="W15" i="3" s="1"/>
  <c r="X15" i="3" s="1"/>
  <c r="Y15" i="3" s="1"/>
  <c r="Z15" i="3" s="1"/>
  <c r="AB15" i="3"/>
  <c r="AC15" i="3" s="1"/>
  <c r="B11" i="2" s="1"/>
  <c r="F14" i="3"/>
  <c r="G14" i="3" s="1"/>
  <c r="H14" i="3" s="1"/>
  <c r="I14" i="3" s="1"/>
  <c r="J14" i="3" s="1"/>
  <c r="K14" i="3" s="1"/>
  <c r="L14" i="3" s="1"/>
  <c r="M14" i="3" s="1"/>
  <c r="N14" i="3" s="1"/>
  <c r="O14" i="3" s="1"/>
  <c r="P14" i="3" s="1"/>
  <c r="Q14" i="3" s="1"/>
  <c r="R14" i="3" s="1"/>
  <c r="S14" i="3" s="1"/>
  <c r="T14" i="3" s="1"/>
  <c r="U14" i="3" s="1"/>
  <c r="V14" i="3" s="1"/>
  <c r="W14" i="3" s="1"/>
  <c r="X14" i="3" s="1"/>
  <c r="Y14" i="3" s="1"/>
  <c r="Z14" i="3" s="1"/>
  <c r="AB14" i="3"/>
  <c r="F13" i="3"/>
  <c r="G13" i="3" s="1"/>
  <c r="H13" i="3" s="1"/>
  <c r="I13" i="3" s="1"/>
  <c r="J13" i="3" s="1"/>
  <c r="K13" i="3" s="1"/>
  <c r="L13" i="3" s="1"/>
  <c r="M13" i="3" s="1"/>
  <c r="N13" i="3" s="1"/>
  <c r="O13" i="3" s="1"/>
  <c r="P13" i="3" s="1"/>
  <c r="Q13" i="3" s="1"/>
  <c r="R13" i="3" s="1"/>
  <c r="S13" i="3" s="1"/>
  <c r="T13" i="3" s="1"/>
  <c r="U13" i="3" s="1"/>
  <c r="V13" i="3" s="1"/>
  <c r="W13" i="3" s="1"/>
  <c r="X13" i="3" s="1"/>
  <c r="Y13" i="3" s="1"/>
  <c r="Z13" i="3" s="1"/>
  <c r="AB13" i="3"/>
  <c r="F12" i="3"/>
  <c r="G12" i="3" s="1"/>
  <c r="H12" i="3" s="1"/>
  <c r="I12" i="3" s="1"/>
  <c r="J12" i="3" s="1"/>
  <c r="K12" i="3" s="1"/>
  <c r="L12" i="3" s="1"/>
  <c r="M12" i="3" s="1"/>
  <c r="N12" i="3" s="1"/>
  <c r="O12" i="3" s="1"/>
  <c r="P12" i="3" s="1"/>
  <c r="Q12" i="3" s="1"/>
  <c r="R12" i="3" s="1"/>
  <c r="S12" i="3" s="1"/>
  <c r="T12" i="3" s="1"/>
  <c r="U12" i="3" s="1"/>
  <c r="V12" i="3" s="1"/>
  <c r="W12" i="3" s="1"/>
  <c r="X12" i="3" s="1"/>
  <c r="Y12" i="3" s="1"/>
  <c r="Z12" i="3" s="1"/>
  <c r="AB12" i="3"/>
  <c r="AC12" i="3" s="1"/>
  <c r="B10" i="2" s="1"/>
  <c r="F11" i="3"/>
  <c r="G11" i="3" s="1"/>
  <c r="H11" i="3" s="1"/>
  <c r="I11" i="3" s="1"/>
  <c r="J11" i="3" s="1"/>
  <c r="K11" i="3" s="1"/>
  <c r="L11" i="3" s="1"/>
  <c r="M11" i="3" s="1"/>
  <c r="N11" i="3" s="1"/>
  <c r="O11" i="3" s="1"/>
  <c r="P11" i="3" s="1"/>
  <c r="Q11" i="3" s="1"/>
  <c r="R11" i="3" s="1"/>
  <c r="S11" i="3" s="1"/>
  <c r="T11" i="3" s="1"/>
  <c r="U11" i="3" s="1"/>
  <c r="V11" i="3" s="1"/>
  <c r="W11" i="3" s="1"/>
  <c r="X11" i="3" s="1"/>
  <c r="Y11" i="3" s="1"/>
  <c r="Z11" i="3" s="1"/>
  <c r="AB11" i="3"/>
  <c r="F10" i="3"/>
  <c r="G10" i="3" s="1"/>
  <c r="H10" i="3" s="1"/>
  <c r="I10" i="3" s="1"/>
  <c r="J10" i="3" s="1"/>
  <c r="K10" i="3" s="1"/>
  <c r="L10" i="3" s="1"/>
  <c r="M10" i="3" s="1"/>
  <c r="N10" i="3" s="1"/>
  <c r="O10" i="3" s="1"/>
  <c r="P10" i="3" s="1"/>
  <c r="Q10" i="3" s="1"/>
  <c r="R10" i="3" s="1"/>
  <c r="S10" i="3" s="1"/>
  <c r="T10" i="3" s="1"/>
  <c r="U10" i="3" s="1"/>
  <c r="V10" i="3" s="1"/>
  <c r="W10" i="3" s="1"/>
  <c r="X10" i="3" s="1"/>
  <c r="Y10" i="3" s="1"/>
  <c r="Z10" i="3" s="1"/>
  <c r="AB10" i="3"/>
  <c r="F9" i="3"/>
  <c r="G9" i="3" s="1"/>
  <c r="H9" i="3" s="1"/>
  <c r="I9" i="3" s="1"/>
  <c r="J9" i="3" s="1"/>
  <c r="K9" i="3" s="1"/>
  <c r="L9" i="3" s="1"/>
  <c r="M9" i="3" s="1"/>
  <c r="N9" i="3" s="1"/>
  <c r="O9" i="3" s="1"/>
  <c r="P9" i="3" s="1"/>
  <c r="Q9" i="3" s="1"/>
  <c r="R9" i="3" s="1"/>
  <c r="S9" i="3" s="1"/>
  <c r="T9" i="3" s="1"/>
  <c r="U9" i="3" s="1"/>
  <c r="V9" i="3" s="1"/>
  <c r="W9" i="3" s="1"/>
  <c r="X9" i="3" s="1"/>
  <c r="Y9" i="3" s="1"/>
  <c r="Z9" i="3" s="1"/>
  <c r="AB9" i="3"/>
  <c r="AC9" i="3" s="1"/>
  <c r="B9" i="2" s="1"/>
  <c r="K8" i="3"/>
  <c r="L8" i="3" s="1"/>
  <c r="M8" i="3" s="1"/>
  <c r="N8" i="3" s="1"/>
  <c r="O8" i="3" s="1"/>
  <c r="P8" i="3" s="1"/>
  <c r="Q8" i="3" s="1"/>
  <c r="R8" i="3" s="1"/>
  <c r="S8" i="3" s="1"/>
  <c r="T8" i="3" s="1"/>
  <c r="U8" i="3" s="1"/>
  <c r="V8" i="3" s="1"/>
  <c r="W8" i="3" s="1"/>
  <c r="X8" i="3" s="1"/>
  <c r="Y8" i="3" s="1"/>
  <c r="Z8" i="3" s="1"/>
  <c r="AB8" i="3"/>
  <c r="W7" i="3"/>
  <c r="X7" i="3" s="1"/>
  <c r="Y7" i="3" s="1"/>
  <c r="Z7" i="3" s="1"/>
  <c r="AB7" i="3"/>
  <c r="AC6" i="3" s="1"/>
  <c r="B8" i="2" s="1"/>
  <c r="B56" i="10" l="1"/>
  <c r="AC36" i="7"/>
  <c r="AC6" i="7"/>
  <c r="AC66" i="5"/>
  <c r="B28" i="4" s="1"/>
  <c r="AC48" i="3"/>
  <c r="B22" i="2" s="1"/>
  <c r="AC12" i="5"/>
  <c r="B10" i="4" s="1"/>
  <c r="B20" i="8"/>
  <c r="B32" i="2" l="1"/>
  <c r="B32" i="4"/>
</calcChain>
</file>

<file path=xl/sharedStrings.xml><?xml version="1.0" encoding="utf-8"?>
<sst xmlns="http://schemas.openxmlformats.org/spreadsheetml/2006/main" count="608" uniqueCount="38">
  <si>
    <t>PAGUE LO CONTRATADO</t>
  </si>
  <si>
    <t>AÑO</t>
  </si>
  <si>
    <t>ENERGIA SOLICITADA</t>
  </si>
  <si>
    <t>Oferta (%)  De la Curva Demanda</t>
  </si>
  <si>
    <t>Necesidad TOTAL AÑO kWh</t>
  </si>
  <si>
    <t>%</t>
  </si>
  <si>
    <t>Oferta $/kWh</t>
  </si>
  <si>
    <t>TOTAL</t>
  </si>
  <si>
    <t>NOMBRE Y FIRMA DEL REPRESENTANTE LEGAL</t>
  </si>
  <si>
    <t>AGENTE PROPONENTE</t>
  </si>
  <si>
    <t>NOTAS:</t>
  </si>
  <si>
    <t xml:space="preserve">Se acepta adjudicaciones parciales:
NO___                     SI_____   </t>
  </si>
  <si>
    <t>ANEXO No. 1</t>
  </si>
  <si>
    <t>HORA</t>
  </si>
  <si>
    <t># DIAS</t>
  </si>
  <si>
    <t>MES</t>
  </si>
  <si>
    <t>MES/AÑO</t>
  </si>
  <si>
    <t>TIPO DE DIA</t>
  </si>
  <si>
    <t>kWh</t>
  </si>
  <si>
    <t>NORMAL</t>
  </si>
  <si>
    <t>SABADO</t>
  </si>
  <si>
    <t>DOM/FES</t>
  </si>
  <si>
    <t>Se acepta adjudicaciones parciales:
NO___                     SI_____   % Minimo a aceptar: _____</t>
  </si>
  <si>
    <t xml:space="preserve">En este formulario, el oferente debera manifestar formalmente si acepta o no adjudicaciones parciales y en caso afirmativo el porcentaje minimo que acepta. </t>
  </si>
  <si>
    <t>En el caso de no marcar en este  formulario la casilla de adjudicaciones parciales, se entendera que NO acepta adjudicaciones parciales.</t>
  </si>
  <si>
    <t>CONVOCATORIA PÚBLICA EMSA-CP-EMSC2026-001</t>
  </si>
  <si>
    <t>CONVOCATORIA PÚBLICA EMSA No. CP-EMSC2026-001</t>
  </si>
  <si>
    <t xml:space="preserve"> OFERTA DE SUMINISTRO DE ENERGÍA ELECTRICA PLANA DE ENERO-2029 A DICIEMBRE-2030</t>
  </si>
  <si>
    <t xml:space="preserve"> OFERTA DE SUMINISTRO DE ENERGÍA ELECTRICA PLANA DE ENERO-2031 A DICIEMBRE-2031</t>
  </si>
  <si>
    <t xml:space="preserve"> OFERTA DE SUMINISTRO DE ENERGÍA ELECTRICA PLANA DE ENERO-2032 A DICIEMBRE-2032</t>
  </si>
  <si>
    <t xml:space="preserve"> OFERTA DE SUMINISTRO DE ENERGÍA ELECTRICA PLANA DE ENERO-2033 A DICIEMBRE-2036</t>
  </si>
  <si>
    <t>ANEXO No. 1A CANTIDADES DE ENERGIA REQUERIDA</t>
  </si>
  <si>
    <t>ENERGIA ELECTRICA PLANA ENERO-2027 A DICIEMBRE-2028</t>
  </si>
  <si>
    <t>ENERGIA ELECTRICA PLANA ENERO-2029 A DICIEMBRE-2030</t>
  </si>
  <si>
    <t>ENERGIA ELECTRICA PLANA ENERO-2031 A DICIEMBRE-2031</t>
  </si>
  <si>
    <t>ENERGIA ELECTRICA PLANA ENERO-2032 A DICIEMBRE-2032</t>
  </si>
  <si>
    <t>ENERGIA ELECTRICA PLANA ENERO-2033 A DICIEMBRE-2036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</si>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</sst>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 * #,##0.00_ ;_ * \-#,##0.00_ ;_ * &quot;-&quot;??_ ;_ @_ "/>
    <numFmt numFmtId="165" formatCode="0.000"/>
    <numFmt numFmtId="166" formatCode="_-* #,##0_-;\-* #,##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sz val="11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/>
      <diagonal/>
    </border>
    <border>
      <left style="dashed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dashed">
        <color indexed="64"/>
      </right>
      <top/>
      <bottom/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dashed">
        <color indexed="64"/>
      </right>
      <top/>
      <bottom style="medium">
        <color indexed="64"/>
      </bottom>
      <diagonal/>
    </border>
    <border>
      <left style="dashed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/>
      <bottom/>
      <diagonal/>
    </border>
    <border>
      <left style="dashed">
        <color indexed="64"/>
      </left>
      <right style="medium">
        <color indexed="64"/>
      </right>
      <top/>
      <bottom style="double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rgb="FF000000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rgb="FF000000"/>
      </top>
      <bottom style="dashed">
        <color indexed="64"/>
      </bottom>
      <diagonal/>
    </border>
    <border>
      <left style="dashed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rgb="FF000000"/>
      </right>
      <top/>
      <bottom/>
      <diagonal/>
    </border>
    <border>
      <left style="dashed">
        <color indexed="64"/>
      </left>
      <right style="medium">
        <color rgb="FF000000"/>
      </right>
      <top/>
      <bottom style="double">
        <color indexed="64"/>
      </bottom>
      <diagonal/>
    </border>
    <border>
      <left style="medium">
        <color rgb="FF000000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rgb="FF000000"/>
      </right>
      <top style="double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140">
    <xf numFmtId="0" fontId="0" fillId="0" borderId="0" xfId="0"/>
    <xf numFmtId="0" fontId="2" fillId="0" borderId="0" xfId="2" applyAlignment="1">
      <alignment horizontal="left"/>
    </xf>
    <xf numFmtId="0" fontId="3" fillId="0" borderId="0" xfId="2" applyFont="1" applyAlignment="1">
      <alignment horizontal="center"/>
    </xf>
    <xf numFmtId="0" fontId="3" fillId="2" borderId="18" xfId="2" applyFont="1" applyFill="1" applyBorder="1" applyAlignment="1">
      <alignment horizontal="center" vertical="center" wrapText="1"/>
    </xf>
    <xf numFmtId="0" fontId="3" fillId="2" borderId="19" xfId="2" applyFont="1" applyFill="1" applyBorder="1" applyAlignment="1">
      <alignment horizontal="center" vertical="center"/>
    </xf>
    <xf numFmtId="17" fontId="2" fillId="3" borderId="19" xfId="1" applyNumberFormat="1" applyFont="1" applyFill="1" applyBorder="1" applyAlignment="1">
      <alignment horizontal="center" vertical="center"/>
    </xf>
    <xf numFmtId="4" fontId="2" fillId="0" borderId="18" xfId="2" applyNumberFormat="1" applyBorder="1" applyAlignment="1">
      <alignment horizontal="center"/>
    </xf>
    <xf numFmtId="0" fontId="2" fillId="0" borderId="0" xfId="2"/>
    <xf numFmtId="43" fontId="2" fillId="0" borderId="0" xfId="1" applyFont="1" applyBorder="1"/>
    <xf numFmtId="4" fontId="3" fillId="0" borderId="0" xfId="2" applyNumberFormat="1" applyFont="1" applyAlignment="1">
      <alignment horizontal="center"/>
    </xf>
    <xf numFmtId="0" fontId="2" fillId="0" borderId="20" xfId="2" applyBorder="1" applyAlignment="1">
      <alignment horizontal="center"/>
    </xf>
    <xf numFmtId="17" fontId="3" fillId="4" borderId="20" xfId="1" applyNumberFormat="1" applyFont="1" applyFill="1" applyBorder="1" applyAlignment="1">
      <alignment horizontal="center" vertical="center"/>
    </xf>
    <xf numFmtId="4" fontId="3" fillId="4" borderId="14" xfId="2" applyNumberFormat="1" applyFont="1" applyFill="1" applyBorder="1" applyAlignment="1">
      <alignment horizontal="center"/>
    </xf>
    <xf numFmtId="0" fontId="3" fillId="4" borderId="14" xfId="2" applyFont="1" applyFill="1" applyBorder="1"/>
    <xf numFmtId="4" fontId="2" fillId="0" borderId="0" xfId="2" applyNumberFormat="1"/>
    <xf numFmtId="0" fontId="4" fillId="0" borderId="5" xfId="2" applyFont="1" applyBorder="1" applyAlignment="1">
      <alignment horizontal="center"/>
    </xf>
    <xf numFmtId="0" fontId="3" fillId="0" borderId="5" xfId="2" applyFont="1" applyBorder="1"/>
    <xf numFmtId="164" fontId="2" fillId="0" borderId="0" xfId="3" applyFont="1"/>
    <xf numFmtId="165" fontId="2" fillId="0" borderId="0" xfId="2" applyNumberFormat="1"/>
    <xf numFmtId="0" fontId="3" fillId="0" borderId="0" xfId="2" applyFont="1" applyAlignment="1">
      <alignment vertical="center"/>
    </xf>
    <xf numFmtId="0" fontId="2" fillId="0" borderId="0" xfId="2" applyAlignment="1">
      <alignment vertical="center"/>
    </xf>
    <xf numFmtId="0" fontId="6" fillId="0" borderId="21" xfId="2" applyFont="1" applyBorder="1" applyAlignment="1">
      <alignment vertical="center"/>
    </xf>
    <xf numFmtId="0" fontId="6" fillId="0" borderId="22" xfId="2" applyFont="1" applyBorder="1" applyAlignment="1">
      <alignment vertical="center"/>
    </xf>
    <xf numFmtId="0" fontId="6" fillId="0" borderId="22" xfId="2" applyFont="1" applyBorder="1" applyAlignment="1">
      <alignment horizontal="center"/>
    </xf>
    <xf numFmtId="0" fontId="6" fillId="0" borderId="0" xfId="2" applyFont="1" applyAlignment="1">
      <alignment horizontal="center"/>
    </xf>
    <xf numFmtId="0" fontId="6" fillId="0" borderId="7" xfId="2" applyFont="1" applyBorder="1" applyAlignment="1">
      <alignment vertical="center"/>
    </xf>
    <xf numFmtId="0" fontId="6" fillId="0" borderId="25" xfId="2" applyFont="1" applyBorder="1" applyAlignment="1">
      <alignment vertical="center"/>
    </xf>
    <xf numFmtId="0" fontId="6" fillId="0" borderId="26" xfId="2" applyFont="1" applyBorder="1" applyAlignment="1">
      <alignment horizontal="center"/>
    </xf>
    <xf numFmtId="166" fontId="7" fillId="5" borderId="22" xfId="1" applyNumberFormat="1" applyFont="1" applyFill="1" applyBorder="1" applyAlignment="1">
      <alignment horizontal="center"/>
    </xf>
    <xf numFmtId="2" fontId="7" fillId="5" borderId="22" xfId="2" applyNumberFormat="1" applyFont="1" applyFill="1" applyBorder="1" applyAlignment="1">
      <alignment horizontal="center"/>
    </xf>
    <xf numFmtId="3" fontId="7" fillId="0" borderId="22" xfId="2" applyNumberFormat="1" applyFont="1" applyBorder="1" applyAlignment="1">
      <alignment horizontal="center"/>
    </xf>
    <xf numFmtId="3" fontId="2" fillId="0" borderId="0" xfId="2" applyNumberFormat="1"/>
    <xf numFmtId="0" fontId="6" fillId="0" borderId="31" xfId="2" applyFont="1" applyBorder="1" applyAlignment="1">
      <alignment horizontal="center"/>
    </xf>
    <xf numFmtId="2" fontId="7" fillId="5" borderId="31" xfId="2" applyNumberFormat="1" applyFont="1" applyFill="1" applyBorder="1" applyAlignment="1">
      <alignment horizontal="center"/>
    </xf>
    <xf numFmtId="0" fontId="6" fillId="0" borderId="34" xfId="2" applyFont="1" applyBorder="1" applyAlignment="1">
      <alignment horizontal="center"/>
    </xf>
    <xf numFmtId="0" fontId="6" fillId="0" borderId="35" xfId="2" applyFont="1" applyBorder="1" applyAlignment="1">
      <alignment horizontal="center"/>
    </xf>
    <xf numFmtId="0" fontId="6" fillId="0" borderId="37" xfId="2" applyFont="1" applyBorder="1" applyAlignment="1">
      <alignment horizontal="center"/>
    </xf>
    <xf numFmtId="2" fontId="7" fillId="5" borderId="37" xfId="2" applyNumberFormat="1" applyFont="1" applyFill="1" applyBorder="1" applyAlignment="1">
      <alignment horizontal="center"/>
    </xf>
    <xf numFmtId="166" fontId="2" fillId="0" borderId="0" xfId="1" applyNumberFormat="1" applyFont="1"/>
    <xf numFmtId="0" fontId="3" fillId="0" borderId="0" xfId="2" applyFont="1"/>
    <xf numFmtId="0" fontId="4" fillId="0" borderId="0" xfId="2" applyFont="1" applyAlignment="1">
      <alignment horizontal="center"/>
    </xf>
    <xf numFmtId="166" fontId="7" fillId="0" borderId="39" xfId="1" applyNumberFormat="1" applyFont="1" applyFill="1" applyBorder="1" applyAlignment="1">
      <alignment horizontal="center"/>
    </xf>
    <xf numFmtId="2" fontId="7" fillId="0" borderId="22" xfId="2" applyNumberFormat="1" applyFont="1" applyBorder="1" applyAlignment="1">
      <alignment horizontal="center"/>
    </xf>
    <xf numFmtId="0" fontId="7" fillId="0" borderId="0" xfId="2" applyFont="1" applyAlignment="1">
      <alignment horizontal="center"/>
    </xf>
    <xf numFmtId="43" fontId="2" fillId="0" borderId="0" xfId="2" applyNumberFormat="1"/>
    <xf numFmtId="2" fontId="7" fillId="0" borderId="31" xfId="2" applyNumberFormat="1" applyFont="1" applyBorder="1" applyAlignment="1">
      <alignment horizontal="center"/>
    </xf>
    <xf numFmtId="0" fontId="7" fillId="0" borderId="0" xfId="2" applyFont="1"/>
    <xf numFmtId="2" fontId="7" fillId="0" borderId="37" xfId="2" applyNumberFormat="1" applyFont="1" applyBorder="1" applyAlignment="1">
      <alignment horizontal="center"/>
    </xf>
    <xf numFmtId="0" fontId="2" fillId="0" borderId="8" xfId="2" applyBorder="1" applyAlignment="1">
      <alignment horizontal="center"/>
    </xf>
    <xf numFmtId="17" fontId="3" fillId="4" borderId="46" xfId="1" applyNumberFormat="1" applyFont="1" applyFill="1" applyBorder="1" applyAlignment="1">
      <alignment horizontal="center" vertical="center"/>
    </xf>
    <xf numFmtId="4" fontId="3" fillId="4" borderId="46" xfId="2" applyNumberFormat="1" applyFont="1" applyFill="1" applyBorder="1" applyAlignment="1">
      <alignment horizontal="center"/>
    </xf>
    <xf numFmtId="0" fontId="3" fillId="4" borderId="46" xfId="2" applyFont="1" applyFill="1" applyBorder="1"/>
    <xf numFmtId="0" fontId="3" fillId="4" borderId="2" xfId="2" applyFont="1" applyFill="1" applyBorder="1" applyAlignment="1">
      <alignment horizontal="center"/>
    </xf>
    <xf numFmtId="17" fontId="2" fillId="3" borderId="46" xfId="1" applyNumberFormat="1" applyFont="1" applyFill="1" applyBorder="1" applyAlignment="1">
      <alignment horizontal="center" vertical="center"/>
    </xf>
    <xf numFmtId="4" fontId="2" fillId="0" borderId="46" xfId="2" applyNumberFormat="1" applyBorder="1" applyAlignment="1">
      <alignment horizontal="center"/>
    </xf>
    <xf numFmtId="0" fontId="3" fillId="4" borderId="45" xfId="2" applyFont="1" applyFill="1" applyBorder="1" applyAlignment="1">
      <alignment horizontal="center"/>
    </xf>
    <xf numFmtId="0" fontId="2" fillId="5" borderId="0" xfId="2" applyFill="1"/>
    <xf numFmtId="165" fontId="2" fillId="5" borderId="0" xfId="2" applyNumberFormat="1" applyFill="1"/>
    <xf numFmtId="0" fontId="3" fillId="5" borderId="0" xfId="2" applyFont="1" applyFill="1" applyAlignment="1">
      <alignment vertical="center"/>
    </xf>
    <xf numFmtId="0" fontId="2" fillId="5" borderId="0" xfId="2" applyFill="1" applyAlignment="1">
      <alignment vertical="center"/>
    </xf>
    <xf numFmtId="0" fontId="3" fillId="5" borderId="5" xfId="2" applyFont="1" applyFill="1" applyBorder="1"/>
    <xf numFmtId="43" fontId="2" fillId="5" borderId="0" xfId="1" applyFont="1" applyFill="1" applyBorder="1"/>
    <xf numFmtId="0" fontId="3" fillId="4" borderId="8" xfId="2" applyFont="1" applyFill="1" applyBorder="1" applyAlignment="1">
      <alignment horizontal="center"/>
    </xf>
    <xf numFmtId="0" fontId="4" fillId="5" borderId="6" xfId="2" applyFont="1" applyFill="1" applyBorder="1" applyAlignment="1">
      <alignment horizontal="center"/>
    </xf>
    <xf numFmtId="0" fontId="3" fillId="5" borderId="4" xfId="2" applyFont="1" applyFill="1" applyBorder="1"/>
    <xf numFmtId="0" fontId="2" fillId="5" borderId="8" xfId="2" applyFill="1" applyBorder="1"/>
    <xf numFmtId="0" fontId="2" fillId="5" borderId="7" xfId="2" applyFill="1" applyBorder="1"/>
    <xf numFmtId="164" fontId="2" fillId="5" borderId="0" xfId="3" applyFont="1" applyFill="1" applyBorder="1"/>
    <xf numFmtId="0" fontId="2" fillId="0" borderId="10" xfId="2" applyBorder="1"/>
    <xf numFmtId="165" fontId="2" fillId="0" borderId="2" xfId="2" applyNumberFormat="1" applyBorder="1"/>
    <xf numFmtId="43" fontId="2" fillId="5" borderId="7" xfId="1" applyFont="1" applyFill="1" applyBorder="1"/>
    <xf numFmtId="43" fontId="2" fillId="5" borderId="8" xfId="1" applyFont="1" applyFill="1" applyBorder="1"/>
    <xf numFmtId="3" fontId="7" fillId="0" borderId="47" xfId="2" applyNumberFormat="1" applyFont="1" applyBorder="1" applyAlignment="1">
      <alignment horizontal="center" vertical="center"/>
    </xf>
    <xf numFmtId="3" fontId="7" fillId="0" borderId="42" xfId="2" applyNumberFormat="1" applyFont="1" applyBorder="1" applyAlignment="1">
      <alignment horizontal="center" vertical="center"/>
    </xf>
    <xf numFmtId="3" fontId="7" fillId="0" borderId="43" xfId="2" applyNumberFormat="1" applyFont="1" applyBorder="1" applyAlignment="1">
      <alignment horizontal="center" vertical="center"/>
    </xf>
    <xf numFmtId="17" fontId="6" fillId="0" borderId="41" xfId="2" applyNumberFormat="1" applyFont="1" applyBorder="1" applyAlignment="1">
      <alignment horizontal="center" vertical="center"/>
    </xf>
    <xf numFmtId="0" fontId="6" fillId="0" borderId="41" xfId="2" applyFont="1" applyBorder="1" applyAlignment="1">
      <alignment horizontal="center" vertical="center"/>
    </xf>
    <xf numFmtId="0" fontId="6" fillId="0" borderId="44" xfId="2" applyFont="1" applyBorder="1" applyAlignment="1">
      <alignment horizontal="center" vertical="center"/>
    </xf>
    <xf numFmtId="17" fontId="6" fillId="0" borderId="38" xfId="2" applyNumberFormat="1" applyFont="1" applyBorder="1" applyAlignment="1">
      <alignment horizontal="center" vertical="center"/>
    </xf>
    <xf numFmtId="3" fontId="7" fillId="0" borderId="40" xfId="2" applyNumberFormat="1" applyFont="1" applyBorder="1" applyAlignment="1">
      <alignment horizontal="center" vertical="center"/>
    </xf>
    <xf numFmtId="0" fontId="3" fillId="5" borderId="0" xfId="2" applyFont="1" applyFill="1" applyAlignment="1">
      <alignment horizontal="center" vertical="center"/>
    </xf>
    <xf numFmtId="0" fontId="6" fillId="0" borderId="23" xfId="2" applyFont="1" applyBorder="1" applyAlignment="1">
      <alignment horizontal="center" vertical="center"/>
    </xf>
    <xf numFmtId="0" fontId="6" fillId="0" borderId="26" xfId="2" applyFont="1" applyBorder="1" applyAlignment="1">
      <alignment horizontal="center" vertical="center"/>
    </xf>
    <xf numFmtId="0" fontId="6" fillId="0" borderId="24" xfId="2" applyFont="1" applyBorder="1" applyAlignment="1">
      <alignment horizontal="center" vertical="center"/>
    </xf>
    <xf numFmtId="0" fontId="6" fillId="0" borderId="32" xfId="2" applyFont="1" applyBorder="1" applyAlignment="1">
      <alignment horizontal="center" vertical="center"/>
    </xf>
    <xf numFmtId="0" fontId="2" fillId="5" borderId="7" xfId="2" applyFill="1" applyBorder="1" applyAlignment="1">
      <alignment horizontal="left" vertical="center"/>
    </xf>
    <xf numFmtId="0" fontId="2" fillId="5" borderId="0" xfId="2" applyFill="1" applyAlignment="1">
      <alignment horizontal="left" vertical="center"/>
    </xf>
    <xf numFmtId="0" fontId="2" fillId="5" borderId="8" xfId="2" applyFill="1" applyBorder="1" applyAlignment="1">
      <alignment horizontal="left" vertical="center"/>
    </xf>
    <xf numFmtId="0" fontId="2" fillId="5" borderId="9" xfId="2" applyFill="1" applyBorder="1" applyAlignment="1">
      <alignment horizontal="left" vertical="center" wrapText="1"/>
    </xf>
    <xf numFmtId="0" fontId="2" fillId="5" borderId="10" xfId="2" applyFill="1" applyBorder="1" applyAlignment="1">
      <alignment horizontal="left" vertical="center"/>
    </xf>
    <xf numFmtId="0" fontId="2" fillId="5" borderId="2" xfId="2" applyFill="1" applyBorder="1" applyAlignment="1">
      <alignment horizontal="left" vertical="center"/>
    </xf>
    <xf numFmtId="0" fontId="5" fillId="5" borderId="0" xfId="2" applyFont="1" applyFill="1" applyAlignment="1">
      <alignment horizontal="left" vertical="center" wrapText="1"/>
    </xf>
    <xf numFmtId="0" fontId="2" fillId="0" borderId="3" xfId="2" applyBorder="1" applyAlignment="1">
      <alignment horizontal="center"/>
    </xf>
    <xf numFmtId="0" fontId="2" fillId="0" borderId="20" xfId="2" applyBorder="1" applyAlignment="1">
      <alignment horizontal="center"/>
    </xf>
    <xf numFmtId="0" fontId="2" fillId="0" borderId="1" xfId="2" applyBorder="1" applyAlignment="1">
      <alignment horizontal="center"/>
    </xf>
    <xf numFmtId="0" fontId="4" fillId="5" borderId="4" xfId="2" applyFont="1" applyFill="1" applyBorder="1" applyAlignment="1">
      <alignment horizontal="center"/>
    </xf>
    <xf numFmtId="0" fontId="4" fillId="5" borderId="5" xfId="2" applyFont="1" applyFill="1" applyBorder="1" applyAlignment="1">
      <alignment horizontal="center"/>
    </xf>
    <xf numFmtId="0" fontId="3" fillId="5" borderId="7" xfId="2" applyFont="1" applyFill="1" applyBorder="1" applyAlignment="1">
      <alignment horizontal="left"/>
    </xf>
    <xf numFmtId="0" fontId="3" fillId="5" borderId="0" xfId="2" applyFont="1" applyFill="1" applyAlignment="1">
      <alignment horizontal="left"/>
    </xf>
    <xf numFmtId="0" fontId="3" fillId="5" borderId="4" xfId="2" applyFont="1" applyFill="1" applyBorder="1" applyAlignment="1">
      <alignment horizontal="center"/>
    </xf>
    <xf numFmtId="0" fontId="3" fillId="5" borderId="5" xfId="2" applyFont="1" applyFill="1" applyBorder="1" applyAlignment="1">
      <alignment horizontal="center"/>
    </xf>
    <xf numFmtId="0" fontId="3" fillId="5" borderId="6" xfId="2" applyFont="1" applyFill="1" applyBorder="1" applyAlignment="1">
      <alignment horizontal="center"/>
    </xf>
    <xf numFmtId="0" fontId="3" fillId="5" borderId="7" xfId="2" applyFont="1" applyFill="1" applyBorder="1" applyAlignment="1">
      <alignment horizontal="center"/>
    </xf>
    <xf numFmtId="0" fontId="3" fillId="5" borderId="0" xfId="2" applyFont="1" applyFill="1" applyAlignment="1">
      <alignment horizontal="center"/>
    </xf>
    <xf numFmtId="0" fontId="3" fillId="5" borderId="8" xfId="2" applyFont="1" applyFill="1" applyBorder="1" applyAlignment="1">
      <alignment horizontal="center"/>
    </xf>
    <xf numFmtId="0" fontId="3" fillId="5" borderId="7" xfId="2" applyFont="1" applyFill="1" applyBorder="1" applyAlignment="1">
      <alignment horizontal="center" wrapText="1"/>
    </xf>
    <xf numFmtId="0" fontId="3" fillId="5" borderId="0" xfId="2" applyFont="1" applyFill="1" applyAlignment="1">
      <alignment horizontal="center" wrapText="1"/>
    </xf>
    <xf numFmtId="0" fontId="3" fillId="5" borderId="8" xfId="2" applyFont="1" applyFill="1" applyBorder="1" applyAlignment="1">
      <alignment horizontal="center" wrapText="1"/>
    </xf>
    <xf numFmtId="0" fontId="3" fillId="5" borderId="9" xfId="2" applyFont="1" applyFill="1" applyBorder="1" applyAlignment="1">
      <alignment horizontal="center"/>
    </xf>
    <xf numFmtId="0" fontId="3" fillId="5" borderId="10" xfId="2" applyFont="1" applyFill="1" applyBorder="1" applyAlignment="1">
      <alignment horizontal="center"/>
    </xf>
    <xf numFmtId="0" fontId="3" fillId="5" borderId="2" xfId="2" applyFont="1" applyFill="1" applyBorder="1" applyAlignment="1">
      <alignment horizontal="center"/>
    </xf>
    <xf numFmtId="0" fontId="3" fillId="2" borderId="11" xfId="2" applyFont="1" applyFill="1" applyBorder="1" applyAlignment="1">
      <alignment horizontal="center" vertical="center"/>
    </xf>
    <xf numFmtId="0" fontId="3" fillId="2" borderId="14" xfId="2" applyFont="1" applyFill="1" applyBorder="1" applyAlignment="1">
      <alignment horizontal="center" vertical="center"/>
    </xf>
    <xf numFmtId="0" fontId="3" fillId="2" borderId="18" xfId="2" applyFont="1" applyFill="1" applyBorder="1" applyAlignment="1">
      <alignment horizontal="center" vertical="center"/>
    </xf>
    <xf numFmtId="0" fontId="3" fillId="2" borderId="4" xfId="2" applyFont="1" applyFill="1" applyBorder="1" applyAlignment="1">
      <alignment horizontal="center" vertical="center" wrapText="1"/>
    </xf>
    <xf numFmtId="0" fontId="3" fillId="2" borderId="15" xfId="2" applyFont="1" applyFill="1" applyBorder="1" applyAlignment="1">
      <alignment horizontal="center" vertical="center" wrapText="1"/>
    </xf>
    <xf numFmtId="0" fontId="3" fillId="2" borderId="12" xfId="2" applyFont="1" applyFill="1" applyBorder="1" applyAlignment="1">
      <alignment horizontal="center"/>
    </xf>
    <xf numFmtId="0" fontId="3" fillId="2" borderId="13" xfId="2" applyFont="1" applyFill="1" applyBorder="1" applyAlignment="1">
      <alignment horizontal="center"/>
    </xf>
    <xf numFmtId="0" fontId="3" fillId="2" borderId="16" xfId="2" applyFont="1" applyFill="1" applyBorder="1" applyAlignment="1">
      <alignment horizontal="center" vertical="center" wrapText="1"/>
    </xf>
    <xf numFmtId="0" fontId="3" fillId="2" borderId="17" xfId="2" applyFont="1" applyFill="1" applyBorder="1" applyAlignment="1">
      <alignment horizontal="center" vertical="center" wrapText="1"/>
    </xf>
    <xf numFmtId="17" fontId="6" fillId="0" borderId="30" xfId="2" applyNumberFormat="1" applyFont="1" applyBorder="1" applyAlignment="1">
      <alignment horizontal="center" vertical="center"/>
    </xf>
    <xf numFmtId="0" fontId="6" fillId="0" borderId="30" xfId="2" applyFont="1" applyBorder="1" applyAlignment="1">
      <alignment horizontal="center" vertical="center"/>
    </xf>
    <xf numFmtId="3" fontId="7" fillId="0" borderId="24" xfId="2" applyNumberFormat="1" applyFont="1" applyBorder="1" applyAlignment="1">
      <alignment horizontal="center" vertical="center"/>
    </xf>
    <xf numFmtId="3" fontId="7" fillId="0" borderId="32" xfId="2" applyNumberFormat="1" applyFont="1" applyBorder="1" applyAlignment="1">
      <alignment horizontal="center" vertical="center"/>
    </xf>
    <xf numFmtId="3" fontId="7" fillId="0" borderId="33" xfId="2" applyNumberFormat="1" applyFont="1" applyBorder="1" applyAlignment="1">
      <alignment horizontal="center" vertical="center"/>
    </xf>
    <xf numFmtId="0" fontId="6" fillId="0" borderId="36" xfId="2" applyFont="1" applyBorder="1" applyAlignment="1">
      <alignment horizontal="center" vertical="center"/>
    </xf>
    <xf numFmtId="17" fontId="6" fillId="0" borderId="29" xfId="2" applyNumberFormat="1" applyFont="1" applyBorder="1" applyAlignment="1">
      <alignment horizontal="center" vertical="center"/>
    </xf>
    <xf numFmtId="0" fontId="6" fillId="0" borderId="27" xfId="2" applyFont="1" applyBorder="1" applyAlignment="1">
      <alignment horizontal="center" vertical="center"/>
    </xf>
    <xf numFmtId="0" fontId="6" fillId="0" borderId="28" xfId="2" applyFont="1" applyBorder="1" applyAlignment="1">
      <alignment horizontal="center" vertical="center"/>
    </xf>
    <xf numFmtId="0" fontId="2" fillId="0" borderId="9" xfId="2" applyBorder="1" applyAlignment="1">
      <alignment horizontal="left" vertical="center"/>
    </xf>
    <xf numFmtId="0" fontId="2" fillId="0" borderId="10" xfId="2" applyBorder="1" applyAlignment="1">
      <alignment horizontal="left" vertical="center"/>
    </xf>
    <xf numFmtId="0" fontId="2" fillId="0" borderId="0" xfId="2" applyAlignment="1">
      <alignment horizontal="left" vertical="center"/>
    </xf>
    <xf numFmtId="0" fontId="2" fillId="5" borderId="7" xfId="2" applyFill="1" applyBorder="1" applyAlignment="1">
      <alignment horizontal="left" vertical="center" wrapText="1"/>
    </xf>
    <xf numFmtId="0" fontId="3" fillId="0" borderId="0" xfId="2" applyFont="1" applyAlignment="1">
      <alignment horizontal="left"/>
    </xf>
    <xf numFmtId="0" fontId="2" fillId="0" borderId="0" xfId="2" applyAlignment="1">
      <alignment horizontal="left" vertical="center" wrapText="1"/>
    </xf>
    <xf numFmtId="0" fontId="5" fillId="0" borderId="0" xfId="2" applyFont="1" applyAlignment="1">
      <alignment horizontal="left" vertical="center" wrapText="1"/>
    </xf>
    <xf numFmtId="0" fontId="3" fillId="2" borderId="3" xfId="2" applyFont="1" applyFill="1" applyBorder="1" applyAlignment="1">
      <alignment horizontal="center" vertical="center"/>
    </xf>
    <xf numFmtId="0" fontId="3" fillId="2" borderId="20" xfId="2" applyFont="1" applyFill="1" applyBorder="1" applyAlignment="1">
      <alignment horizontal="center" vertical="center"/>
    </xf>
    <xf numFmtId="0" fontId="3" fillId="2" borderId="3" xfId="2" applyFont="1" applyFill="1" applyBorder="1" applyAlignment="1">
      <alignment horizontal="center" vertical="center" wrapText="1"/>
    </xf>
    <xf numFmtId="0" fontId="3" fillId="2" borderId="14" xfId="2" applyFont="1" applyFill="1" applyBorder="1" applyAlignment="1">
      <alignment horizontal="center" vertical="center" wrapText="1"/>
    </xf>
  </cellXfs>
  <cellStyles count="4">
    <cellStyle name="Millares" xfId="1" builtinId="3"/>
    <cellStyle name="Millares 3" xfId="3" xr:uid="{55907043-6EE9-45DB-B6A9-3B638B798484}"/>
    <cellStyle name="Normal" xfId="0" builtinId="0"/>
    <cellStyle name="Normal 2" xfId="2" xr:uid="{0F656893-886B-4650-8195-066B963BBC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BA270-20FE-49C2-A5F7-BEA460DC5066}">
  <sheetPr>
    <pageSetUpPr fitToPage="1"/>
  </sheetPr>
  <dimension ref="A1:G62"/>
  <sheetViews>
    <sheetView tabSelected="1" zoomScale="70" zoomScaleNormal="70" workbookViewId="0">
      <selection sqref="A1:D39"/>
    </sheetView>
  </sheetViews>
  <sheetFormatPr baseColWidth="10" defaultColWidth="11.44140625" defaultRowHeight="13.2" x14ac:dyDescent="0.25"/>
  <cols>
    <col min="1" max="1" width="19.44140625" style="7" customWidth="1"/>
    <col min="2" max="2" width="26.6640625" style="7" customWidth="1"/>
    <col min="3" max="3" width="10.5546875" style="7" customWidth="1"/>
    <col min="4" max="4" width="16.109375" style="7" customWidth="1"/>
    <col min="5" max="5" width="11.44140625" style="7"/>
    <col min="6" max="6" width="16.33203125" style="7" bestFit="1" customWidth="1"/>
    <col min="7" max="16384" width="11.44140625" style="7"/>
  </cols>
  <sheetData>
    <row r="1" spans="1:7" s="1" customFormat="1" ht="16.5" customHeight="1" x14ac:dyDescent="0.25">
      <c r="A1" s="99" t="s">
        <v>31</v>
      </c>
      <c r="B1" s="100"/>
      <c r="C1" s="100"/>
      <c r="D1" s="101"/>
    </row>
    <row r="2" spans="1:7" s="1" customFormat="1" ht="16.5" customHeight="1" x14ac:dyDescent="0.25">
      <c r="A2" s="102" t="s">
        <v>25</v>
      </c>
      <c r="B2" s="103"/>
      <c r="C2" s="103"/>
      <c r="D2" s="104"/>
    </row>
    <row r="3" spans="1:7" s="1" customFormat="1" ht="26.7" customHeight="1" x14ac:dyDescent="0.25">
      <c r="A3" s="105" t="s">
        <v>37</v>
      </c>
      <c r="B3" s="106"/>
      <c r="C3" s="106"/>
      <c r="D3" s="107"/>
    </row>
    <row r="4" spans="1:7" s="1" customFormat="1" ht="16.5" customHeight="1" thickBot="1" x14ac:dyDescent="0.3">
      <c r="A4" s="108"/>
      <c r="B4" s="109"/>
      <c r="C4" s="109"/>
      <c r="D4" s="110"/>
    </row>
    <row r="5" spans="1:7" s="2" customFormat="1" ht="15" customHeight="1" x14ac:dyDescent="0.25">
      <c r="A5" s="111" t="s">
        <v>1</v>
      </c>
      <c r="B5" s="114" t="s">
        <v>2</v>
      </c>
      <c r="C5" s="116" t="s">
        <v>0</v>
      </c>
      <c r="D5" s="117"/>
    </row>
    <row r="6" spans="1:7" s="2" customFormat="1" ht="25.95" customHeight="1" x14ac:dyDescent="0.25">
      <c r="A6" s="112"/>
      <c r="B6" s="115"/>
      <c r="C6" s="118" t="s">
        <v>3</v>
      </c>
      <c r="D6" s="119"/>
    </row>
    <row r="7" spans="1:7" s="2" customFormat="1" ht="13.8" thickBot="1" x14ac:dyDescent="0.3">
      <c r="A7" s="113"/>
      <c r="B7" s="3" t="s">
        <v>4</v>
      </c>
      <c r="C7" s="3" t="s">
        <v>5</v>
      </c>
      <c r="D7" s="4" t="s">
        <v>6</v>
      </c>
    </row>
    <row r="8" spans="1:7" ht="16.5" customHeight="1" x14ac:dyDescent="0.25">
      <c r="A8" s="5">
        <v>46388</v>
      </c>
      <c r="B8" s="6">
        <f>VLOOKUP(A8,'Cant producto 1_2027-2028'!$A$6:$AC$77,29,FALSE)</f>
        <v>7440000</v>
      </c>
      <c r="C8" s="92"/>
      <c r="D8" s="92"/>
      <c r="F8" s="8"/>
      <c r="G8" s="9"/>
    </row>
    <row r="9" spans="1:7" ht="16.5" customHeight="1" x14ac:dyDescent="0.25">
      <c r="A9" s="5">
        <v>46419</v>
      </c>
      <c r="B9" s="6">
        <f>VLOOKUP(A9,'Cant producto 1_2027-2028'!$A$6:$AC$77,29,FALSE)</f>
        <v>6720000</v>
      </c>
      <c r="C9" s="93"/>
      <c r="D9" s="93"/>
      <c r="F9" s="8"/>
      <c r="G9" s="9"/>
    </row>
    <row r="10" spans="1:7" ht="16.5" customHeight="1" x14ac:dyDescent="0.25">
      <c r="A10" s="5">
        <v>46447</v>
      </c>
      <c r="B10" s="6">
        <f>VLOOKUP(A10,'Cant producto 1_2027-2028'!$A$6:$AC$77,29,FALSE)</f>
        <v>7440000</v>
      </c>
      <c r="C10" s="93"/>
      <c r="D10" s="93"/>
      <c r="F10" s="8"/>
      <c r="G10" s="9"/>
    </row>
    <row r="11" spans="1:7" ht="16.5" customHeight="1" x14ac:dyDescent="0.25">
      <c r="A11" s="5">
        <v>46478</v>
      </c>
      <c r="B11" s="6">
        <f>VLOOKUP(A11,'Cant producto 1_2027-2028'!$A$6:$AC$77,29,FALSE)</f>
        <v>7200000</v>
      </c>
      <c r="C11" s="93"/>
      <c r="D11" s="93"/>
      <c r="F11" s="8"/>
      <c r="G11" s="9"/>
    </row>
    <row r="12" spans="1:7" ht="16.5" customHeight="1" x14ac:dyDescent="0.25">
      <c r="A12" s="5">
        <v>46508</v>
      </c>
      <c r="B12" s="6">
        <f>VLOOKUP(A12,'Cant producto 1_2027-2028'!$A$6:$AC$77,29,FALSE)</f>
        <v>7440000</v>
      </c>
      <c r="C12" s="93"/>
      <c r="D12" s="93"/>
      <c r="F12" s="8"/>
      <c r="G12" s="9"/>
    </row>
    <row r="13" spans="1:7" ht="16.5" customHeight="1" x14ac:dyDescent="0.25">
      <c r="A13" s="5">
        <v>46539</v>
      </c>
      <c r="B13" s="6">
        <f>VLOOKUP(A13,'Cant producto 1_2027-2028'!$A$6:$AC$77,29,FALSE)</f>
        <v>7200000</v>
      </c>
      <c r="C13" s="93"/>
      <c r="D13" s="93"/>
      <c r="F13" s="8"/>
      <c r="G13" s="9"/>
    </row>
    <row r="14" spans="1:7" ht="16.5" customHeight="1" x14ac:dyDescent="0.25">
      <c r="A14" s="5">
        <v>46569</v>
      </c>
      <c r="B14" s="6">
        <f>VLOOKUP(A14,'Cant producto 1_2027-2028'!$A$6:$AC$77,29,FALSE)</f>
        <v>7440000</v>
      </c>
      <c r="C14" s="93"/>
      <c r="D14" s="93"/>
      <c r="F14" s="8"/>
      <c r="G14" s="9"/>
    </row>
    <row r="15" spans="1:7" ht="16.5" customHeight="1" x14ac:dyDescent="0.25">
      <c r="A15" s="5">
        <v>46600</v>
      </c>
      <c r="B15" s="6">
        <f>VLOOKUP(A15,'Cant producto 1_2027-2028'!$A$6:$AC$77,29,FALSE)</f>
        <v>7440000</v>
      </c>
      <c r="C15" s="93"/>
      <c r="D15" s="93"/>
      <c r="F15" s="8"/>
      <c r="G15" s="9"/>
    </row>
    <row r="16" spans="1:7" ht="16.5" customHeight="1" x14ac:dyDescent="0.25">
      <c r="A16" s="5">
        <v>46631</v>
      </c>
      <c r="B16" s="6">
        <f>VLOOKUP(A16,'Cant producto 1_2027-2028'!$A$6:$AC$77,29,FALSE)</f>
        <v>7200000</v>
      </c>
      <c r="C16" s="93"/>
      <c r="D16" s="93"/>
      <c r="F16" s="8"/>
      <c r="G16" s="9"/>
    </row>
    <row r="17" spans="1:7" ht="16.5" customHeight="1" x14ac:dyDescent="0.25">
      <c r="A17" s="5">
        <v>46661</v>
      </c>
      <c r="B17" s="6">
        <f>VLOOKUP(A17,'Cant producto 1_2027-2028'!$A$6:$AC$77,29,FALSE)</f>
        <v>7440000</v>
      </c>
      <c r="C17" s="93"/>
      <c r="D17" s="93"/>
      <c r="F17" s="8"/>
      <c r="G17" s="9"/>
    </row>
    <row r="18" spans="1:7" ht="16.5" customHeight="1" x14ac:dyDescent="0.25">
      <c r="A18" s="5">
        <v>46692</v>
      </c>
      <c r="B18" s="6">
        <f>VLOOKUP(A18,'Cant producto 1_2027-2028'!$A$6:$AC$77,29,FALSE)</f>
        <v>7200000</v>
      </c>
      <c r="C18" s="93"/>
      <c r="D18" s="93"/>
      <c r="F18" s="8"/>
      <c r="G18" s="9"/>
    </row>
    <row r="19" spans="1:7" ht="16.5" customHeight="1" thickBot="1" x14ac:dyDescent="0.3">
      <c r="A19" s="5">
        <v>46722</v>
      </c>
      <c r="B19" s="6">
        <f>VLOOKUP(A19,'Cant producto 1_2027-2028'!$A$6:$AC$77,29,FALSE)</f>
        <v>7440000</v>
      </c>
      <c r="C19" s="94"/>
      <c r="D19" s="94"/>
      <c r="F19" s="8"/>
      <c r="G19" s="9"/>
    </row>
    <row r="20" spans="1:7" ht="16.5" customHeight="1" x14ac:dyDescent="0.25">
      <c r="A20" s="5">
        <v>46753</v>
      </c>
      <c r="B20" s="6">
        <f>VLOOKUP(A20,'Cant producto 1_2027-2028'!$A$6:$AC$77,29,FALSE)</f>
        <v>11160000</v>
      </c>
      <c r="C20" s="92"/>
      <c r="D20" s="92"/>
      <c r="F20" s="8"/>
      <c r="G20" s="9"/>
    </row>
    <row r="21" spans="1:7" ht="16.5" customHeight="1" x14ac:dyDescent="0.25">
      <c r="A21" s="5">
        <v>46784</v>
      </c>
      <c r="B21" s="6">
        <f>VLOOKUP(A21,'Cant producto 1_2027-2028'!$A$6:$AC$77,29,FALSE)</f>
        <v>10440000</v>
      </c>
      <c r="C21" s="93"/>
      <c r="D21" s="93"/>
      <c r="F21" s="8"/>
      <c r="G21" s="9"/>
    </row>
    <row r="22" spans="1:7" ht="16.5" customHeight="1" x14ac:dyDescent="0.25">
      <c r="A22" s="5">
        <v>46813</v>
      </c>
      <c r="B22" s="6">
        <f>VLOOKUP(A22,'Cant producto 1_2027-2028'!$A$6:$AC$77,29,FALSE)</f>
        <v>11160000</v>
      </c>
      <c r="C22" s="93"/>
      <c r="D22" s="93"/>
      <c r="F22" s="8"/>
      <c r="G22" s="9"/>
    </row>
    <row r="23" spans="1:7" ht="16.5" customHeight="1" x14ac:dyDescent="0.25">
      <c r="A23" s="5">
        <v>46844</v>
      </c>
      <c r="B23" s="6">
        <f>VLOOKUP(A23,'Cant producto 1_2027-2028'!$A$6:$AC$77,29,FALSE)</f>
        <v>10800000</v>
      </c>
      <c r="C23" s="93"/>
      <c r="D23" s="93"/>
      <c r="F23" s="8"/>
      <c r="G23" s="9"/>
    </row>
    <row r="24" spans="1:7" ht="16.5" customHeight="1" x14ac:dyDescent="0.25">
      <c r="A24" s="5">
        <v>46874</v>
      </c>
      <c r="B24" s="6">
        <f>VLOOKUP(A24,'Cant producto 1_2027-2028'!$A$6:$AC$77,29,FALSE)</f>
        <v>11160000</v>
      </c>
      <c r="C24" s="93"/>
      <c r="D24" s="93"/>
      <c r="F24" s="8"/>
      <c r="G24" s="9"/>
    </row>
    <row r="25" spans="1:7" ht="16.5" customHeight="1" x14ac:dyDescent="0.25">
      <c r="A25" s="5">
        <v>46905</v>
      </c>
      <c r="B25" s="6">
        <f>VLOOKUP(A25,'Cant producto 1_2027-2028'!$A$6:$AC$77,29,FALSE)</f>
        <v>10800000</v>
      </c>
      <c r="C25" s="93"/>
      <c r="D25" s="93"/>
      <c r="F25" s="8"/>
      <c r="G25" s="9"/>
    </row>
    <row r="26" spans="1:7" ht="16.5" customHeight="1" x14ac:dyDescent="0.25">
      <c r="A26" s="5">
        <v>46935</v>
      </c>
      <c r="B26" s="6">
        <f>VLOOKUP(A26,'Cant producto 1_2027-2028'!$A$6:$AC$77,29,FALSE)</f>
        <v>11160000</v>
      </c>
      <c r="C26" s="93"/>
      <c r="D26" s="93"/>
      <c r="F26" s="8"/>
      <c r="G26" s="9"/>
    </row>
    <row r="27" spans="1:7" ht="16.5" customHeight="1" x14ac:dyDescent="0.25">
      <c r="A27" s="5">
        <v>46966</v>
      </c>
      <c r="B27" s="6">
        <f>VLOOKUP(A27,'Cant producto 1_2027-2028'!$A$6:$AC$77,29,FALSE)</f>
        <v>11160000</v>
      </c>
      <c r="C27" s="93"/>
      <c r="D27" s="93"/>
      <c r="F27" s="8"/>
      <c r="G27" s="9"/>
    </row>
    <row r="28" spans="1:7" ht="16.5" customHeight="1" x14ac:dyDescent="0.25">
      <c r="A28" s="5">
        <v>46997</v>
      </c>
      <c r="B28" s="6">
        <f>VLOOKUP(A28,'Cant producto 1_2027-2028'!$A$6:$AC$77,29,FALSE)</f>
        <v>10800000</v>
      </c>
      <c r="C28" s="93"/>
      <c r="D28" s="93"/>
      <c r="F28" s="8"/>
      <c r="G28" s="9"/>
    </row>
    <row r="29" spans="1:7" ht="16.5" customHeight="1" x14ac:dyDescent="0.25">
      <c r="A29" s="5">
        <v>47027</v>
      </c>
      <c r="B29" s="6">
        <f>VLOOKUP(A29,'Cant producto 1_2027-2028'!$A$6:$AC$77,29,FALSE)</f>
        <v>11160000</v>
      </c>
      <c r="C29" s="93"/>
      <c r="D29" s="93"/>
      <c r="F29" s="8"/>
      <c r="G29" s="9"/>
    </row>
    <row r="30" spans="1:7" ht="16.5" customHeight="1" x14ac:dyDescent="0.25">
      <c r="A30" s="5">
        <v>47058</v>
      </c>
      <c r="B30" s="6">
        <f>VLOOKUP(A30,'Cant producto 1_2027-2028'!$A$6:$AC$77,29,FALSE)</f>
        <v>10800000</v>
      </c>
      <c r="C30" s="93"/>
      <c r="D30" s="93"/>
      <c r="F30" s="8"/>
      <c r="G30" s="9"/>
    </row>
    <row r="31" spans="1:7" ht="16.5" customHeight="1" thickBot="1" x14ac:dyDescent="0.3">
      <c r="A31" s="5">
        <v>47088</v>
      </c>
      <c r="B31" s="6">
        <f>VLOOKUP(A31,'Cant producto 1_2027-2028'!$A$6:$AC$77,29,FALSE)</f>
        <v>11160000</v>
      </c>
      <c r="C31" s="94"/>
      <c r="D31" s="94"/>
      <c r="F31" s="8"/>
      <c r="G31" s="9"/>
    </row>
    <row r="32" spans="1:7" ht="16.5" customHeight="1" thickBot="1" x14ac:dyDescent="0.3">
      <c r="A32" s="11" t="s">
        <v>7</v>
      </c>
      <c r="B32" s="12">
        <f>SUM(B8:B31)</f>
        <v>219360000</v>
      </c>
      <c r="C32" s="13"/>
      <c r="D32" s="62"/>
      <c r="F32" s="8"/>
      <c r="G32" s="14"/>
    </row>
    <row r="33" spans="1:6" ht="60" customHeight="1" thickBot="1" x14ac:dyDescent="0.35">
      <c r="A33" s="95"/>
      <c r="B33" s="96"/>
      <c r="C33" s="96"/>
      <c r="D33" s="63"/>
      <c r="F33"/>
    </row>
    <row r="34" spans="1:6" ht="14.4" x14ac:dyDescent="0.3">
      <c r="A34" s="64" t="s">
        <v>8</v>
      </c>
      <c r="B34" s="60"/>
      <c r="C34" s="56"/>
      <c r="D34" s="65"/>
      <c r="F34"/>
    </row>
    <row r="35" spans="1:6" ht="14.4" x14ac:dyDescent="0.3">
      <c r="A35" s="97" t="s">
        <v>9</v>
      </c>
      <c r="B35" s="98"/>
      <c r="C35" s="56"/>
      <c r="D35" s="65"/>
      <c r="F35"/>
    </row>
    <row r="36" spans="1:6" ht="14.4" x14ac:dyDescent="0.3">
      <c r="A36" s="66"/>
      <c r="B36" s="56"/>
      <c r="C36" s="56"/>
      <c r="D36" s="65"/>
      <c r="F36"/>
    </row>
    <row r="37" spans="1:6" ht="14.4" x14ac:dyDescent="0.3">
      <c r="A37" s="66" t="s">
        <v>10</v>
      </c>
      <c r="B37" s="67"/>
      <c r="C37" s="56"/>
      <c r="D37" s="65"/>
      <c r="F37"/>
    </row>
    <row r="38" spans="1:6" ht="14.4" x14ac:dyDescent="0.3">
      <c r="A38" s="85"/>
      <c r="B38" s="86"/>
      <c r="C38" s="86"/>
      <c r="D38" s="87"/>
      <c r="F38"/>
    </row>
    <row r="39" spans="1:6" ht="37.200000000000003" customHeight="1" thickBot="1" x14ac:dyDescent="0.35">
      <c r="A39" s="88" t="s">
        <v>11</v>
      </c>
      <c r="B39" s="89"/>
      <c r="C39" s="89"/>
      <c r="D39" s="90"/>
      <c r="F39"/>
    </row>
    <row r="40" spans="1:6" ht="14.4" x14ac:dyDescent="0.3">
      <c r="A40" s="91"/>
      <c r="B40" s="91"/>
      <c r="C40" s="91"/>
      <c r="D40" s="91"/>
      <c r="F40"/>
    </row>
    <row r="41" spans="1:6" ht="14.4" x14ac:dyDescent="0.3">
      <c r="A41" s="56"/>
      <c r="B41" s="56"/>
      <c r="C41" s="56"/>
      <c r="D41" s="57"/>
      <c r="F41"/>
    </row>
    <row r="42" spans="1:6" ht="14.4" x14ac:dyDescent="0.3">
      <c r="A42" s="58"/>
      <c r="B42" s="59"/>
      <c r="C42" s="56"/>
      <c r="D42" s="56"/>
      <c r="F42"/>
    </row>
    <row r="43" spans="1:6" ht="14.4" x14ac:dyDescent="0.3">
      <c r="F43"/>
    </row>
    <row r="44" spans="1:6" ht="14.4" x14ac:dyDescent="0.3">
      <c r="F44"/>
    </row>
    <row r="45" spans="1:6" ht="14.4" x14ac:dyDescent="0.3">
      <c r="F45"/>
    </row>
    <row r="46" spans="1:6" ht="14.4" x14ac:dyDescent="0.3">
      <c r="F46"/>
    </row>
    <row r="47" spans="1:6" ht="14.4" x14ac:dyDescent="0.3">
      <c r="F47"/>
    </row>
    <row r="48" spans="1:6" ht="14.4" x14ac:dyDescent="0.3">
      <c r="F48"/>
    </row>
    <row r="49" spans="6:6" ht="14.4" x14ac:dyDescent="0.3">
      <c r="F49"/>
    </row>
    <row r="50" spans="6:6" ht="14.4" x14ac:dyDescent="0.3">
      <c r="F50"/>
    </row>
    <row r="51" spans="6:6" ht="14.4" x14ac:dyDescent="0.3">
      <c r="F51"/>
    </row>
    <row r="52" spans="6:6" ht="14.4" x14ac:dyDescent="0.3">
      <c r="F52"/>
    </row>
    <row r="53" spans="6:6" ht="14.4" x14ac:dyDescent="0.3">
      <c r="F53"/>
    </row>
    <row r="54" spans="6:6" ht="14.4" x14ac:dyDescent="0.3">
      <c r="F54"/>
    </row>
    <row r="55" spans="6:6" ht="14.4" x14ac:dyDescent="0.3">
      <c r="F55"/>
    </row>
    <row r="56" spans="6:6" ht="14.4" x14ac:dyDescent="0.3">
      <c r="F56"/>
    </row>
    <row r="57" spans="6:6" ht="14.4" x14ac:dyDescent="0.3">
      <c r="F57"/>
    </row>
    <row r="58" spans="6:6" ht="14.4" x14ac:dyDescent="0.3">
      <c r="F58"/>
    </row>
    <row r="59" spans="6:6" ht="14.4" x14ac:dyDescent="0.3">
      <c r="F59"/>
    </row>
    <row r="60" spans="6:6" ht="14.4" x14ac:dyDescent="0.3">
      <c r="F60"/>
    </row>
    <row r="61" spans="6:6" ht="14.4" x14ac:dyDescent="0.3">
      <c r="F61"/>
    </row>
    <row r="62" spans="6:6" ht="14.4" x14ac:dyDescent="0.3">
      <c r="F62"/>
    </row>
  </sheetData>
  <mergeCells count="17">
    <mergeCell ref="A1:D1"/>
    <mergeCell ref="A2:D2"/>
    <mergeCell ref="A3:D3"/>
    <mergeCell ref="A4:D4"/>
    <mergeCell ref="A5:A7"/>
    <mergeCell ref="B5:B6"/>
    <mergeCell ref="C5:D5"/>
    <mergeCell ref="C6:D6"/>
    <mergeCell ref="A38:D38"/>
    <mergeCell ref="A39:D39"/>
    <mergeCell ref="A40:D40"/>
    <mergeCell ref="C8:C19"/>
    <mergeCell ref="D8:D19"/>
    <mergeCell ref="C20:C31"/>
    <mergeCell ref="D20:D31"/>
    <mergeCell ref="A33:C33"/>
    <mergeCell ref="A35:B35"/>
  </mergeCells>
  <printOptions horizontalCentered="1" verticalCentered="1"/>
  <pageMargins left="0.98425196850393704" right="0.98425196850393704" top="1.3779527559055118" bottom="1.3779527559055118" header="0.70866141732283472" footer="0.51181102362204722"/>
  <pageSetup scale="17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C2C6C-DF1B-4306-92C2-54698D34CBA2}">
  <sheetPr>
    <pageSetUpPr fitToPage="1"/>
  </sheetPr>
  <dimension ref="A1:AF77"/>
  <sheetViews>
    <sheetView workbookViewId="0">
      <selection sqref="A1:AD77"/>
    </sheetView>
  </sheetViews>
  <sheetFormatPr baseColWidth="10" defaultColWidth="11.44140625" defaultRowHeight="13.2" x14ac:dyDescent="0.25"/>
  <cols>
    <col min="1" max="1" width="7.44140625" style="7" bestFit="1" customWidth="1"/>
    <col min="2" max="2" width="9.44140625" style="7" bestFit="1" customWidth="1"/>
    <col min="3" max="18" width="6.6640625" style="7" bestFit="1" customWidth="1"/>
    <col min="19" max="19" width="6.88671875" style="7" bestFit="1" customWidth="1"/>
    <col min="20" max="26" width="6.6640625" style="7" bestFit="1" customWidth="1"/>
    <col min="27" max="27" width="5.6640625" style="7" bestFit="1" customWidth="1"/>
    <col min="28" max="29" width="8.44140625" style="7" bestFit="1" customWidth="1"/>
    <col min="30" max="30" width="3.44140625" style="7" customWidth="1"/>
    <col min="31" max="31" width="17.6640625" style="7" bestFit="1" customWidth="1"/>
    <col min="32" max="16384" width="11.44140625" style="7"/>
  </cols>
  <sheetData>
    <row r="1" spans="1:32" x14ac:dyDescent="0.25">
      <c r="A1" s="80" t="s">
        <v>12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</row>
    <row r="2" spans="1:32" ht="15" customHeight="1" x14ac:dyDescent="0.25">
      <c r="A2" s="80" t="s">
        <v>32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</row>
    <row r="3" spans="1:32" ht="13.8" thickBot="1" x14ac:dyDescent="0.3">
      <c r="A3" s="80" t="s">
        <v>26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</row>
    <row r="4" spans="1:32" x14ac:dyDescent="0.25">
      <c r="A4" s="21"/>
      <c r="B4" s="22" t="s">
        <v>13</v>
      </c>
      <c r="C4" s="23">
        <v>1</v>
      </c>
      <c r="D4" s="23">
        <v>2</v>
      </c>
      <c r="E4" s="23">
        <v>3</v>
      </c>
      <c r="F4" s="23">
        <v>4</v>
      </c>
      <c r="G4" s="23">
        <v>5</v>
      </c>
      <c r="H4" s="23">
        <v>6</v>
      </c>
      <c r="I4" s="23">
        <v>7</v>
      </c>
      <c r="J4" s="23">
        <v>8</v>
      </c>
      <c r="K4" s="23">
        <v>9</v>
      </c>
      <c r="L4" s="23">
        <v>10</v>
      </c>
      <c r="M4" s="23">
        <v>11</v>
      </c>
      <c r="N4" s="23">
        <v>12</v>
      </c>
      <c r="O4" s="23">
        <v>13</v>
      </c>
      <c r="P4" s="23">
        <v>14</v>
      </c>
      <c r="Q4" s="23">
        <v>15</v>
      </c>
      <c r="R4" s="23">
        <v>16</v>
      </c>
      <c r="S4" s="23">
        <v>17</v>
      </c>
      <c r="T4" s="23">
        <v>18</v>
      </c>
      <c r="U4" s="23">
        <v>19</v>
      </c>
      <c r="V4" s="23">
        <v>20</v>
      </c>
      <c r="W4" s="23">
        <v>21</v>
      </c>
      <c r="X4" s="23">
        <v>22</v>
      </c>
      <c r="Y4" s="23">
        <v>23</v>
      </c>
      <c r="Z4" s="23">
        <v>24</v>
      </c>
      <c r="AA4" s="81" t="s">
        <v>14</v>
      </c>
      <c r="AB4" s="81" t="s">
        <v>7</v>
      </c>
      <c r="AC4" s="83" t="s">
        <v>15</v>
      </c>
      <c r="AD4" s="24"/>
    </row>
    <row r="5" spans="1:32" ht="13.8" thickBot="1" x14ac:dyDescent="0.3">
      <c r="A5" s="25" t="s">
        <v>16</v>
      </c>
      <c r="B5" s="26" t="s">
        <v>17</v>
      </c>
      <c r="C5" s="27" t="s">
        <v>18</v>
      </c>
      <c r="D5" s="27" t="s">
        <v>18</v>
      </c>
      <c r="E5" s="27" t="s">
        <v>18</v>
      </c>
      <c r="F5" s="27" t="s">
        <v>18</v>
      </c>
      <c r="G5" s="27" t="s">
        <v>18</v>
      </c>
      <c r="H5" s="27" t="s">
        <v>18</v>
      </c>
      <c r="I5" s="27" t="s">
        <v>18</v>
      </c>
      <c r="J5" s="27" t="s">
        <v>18</v>
      </c>
      <c r="K5" s="27" t="s">
        <v>18</v>
      </c>
      <c r="L5" s="27" t="s">
        <v>18</v>
      </c>
      <c r="M5" s="27" t="s">
        <v>18</v>
      </c>
      <c r="N5" s="27" t="s">
        <v>18</v>
      </c>
      <c r="O5" s="27" t="s">
        <v>18</v>
      </c>
      <c r="P5" s="27" t="s">
        <v>18</v>
      </c>
      <c r="Q5" s="27" t="s">
        <v>18</v>
      </c>
      <c r="R5" s="27" t="s">
        <v>18</v>
      </c>
      <c r="S5" s="27" t="s">
        <v>18</v>
      </c>
      <c r="T5" s="27" t="s">
        <v>18</v>
      </c>
      <c r="U5" s="27" t="s">
        <v>18</v>
      </c>
      <c r="V5" s="27" t="s">
        <v>18</v>
      </c>
      <c r="W5" s="27" t="s">
        <v>18</v>
      </c>
      <c r="X5" s="27" t="s">
        <v>18</v>
      </c>
      <c r="Y5" s="27" t="s">
        <v>18</v>
      </c>
      <c r="Z5" s="27" t="s">
        <v>18</v>
      </c>
      <c r="AA5" s="127"/>
      <c r="AB5" s="127"/>
      <c r="AC5" s="128"/>
      <c r="AD5" s="24"/>
    </row>
    <row r="6" spans="1:32" ht="13.95" customHeight="1" thickBot="1" x14ac:dyDescent="0.3">
      <c r="A6" s="126">
        <v>46388</v>
      </c>
      <c r="B6" s="23" t="s">
        <v>19</v>
      </c>
      <c r="C6" s="28">
        <v>10000</v>
      </c>
      <c r="D6" s="28">
        <f>+C6</f>
        <v>10000</v>
      </c>
      <c r="E6" s="28">
        <f t="shared" ref="E6:Z17" si="0">+D6</f>
        <v>10000</v>
      </c>
      <c r="F6" s="28">
        <f t="shared" si="0"/>
        <v>10000</v>
      </c>
      <c r="G6" s="28">
        <f t="shared" si="0"/>
        <v>10000</v>
      </c>
      <c r="H6" s="28">
        <f t="shared" si="0"/>
        <v>10000</v>
      </c>
      <c r="I6" s="28">
        <f t="shared" si="0"/>
        <v>10000</v>
      </c>
      <c r="J6" s="28">
        <f t="shared" si="0"/>
        <v>10000</v>
      </c>
      <c r="K6" s="28">
        <f t="shared" si="0"/>
        <v>10000</v>
      </c>
      <c r="L6" s="28">
        <f t="shared" si="0"/>
        <v>10000</v>
      </c>
      <c r="M6" s="28">
        <f t="shared" si="0"/>
        <v>10000</v>
      </c>
      <c r="N6" s="28">
        <f t="shared" si="0"/>
        <v>10000</v>
      </c>
      <c r="O6" s="28">
        <f t="shared" si="0"/>
        <v>10000</v>
      </c>
      <c r="P6" s="28">
        <f t="shared" si="0"/>
        <v>10000</v>
      </c>
      <c r="Q6" s="28">
        <f t="shared" si="0"/>
        <v>10000</v>
      </c>
      <c r="R6" s="28">
        <f t="shared" si="0"/>
        <v>10000</v>
      </c>
      <c r="S6" s="28">
        <f t="shared" si="0"/>
        <v>10000</v>
      </c>
      <c r="T6" s="28">
        <f t="shared" si="0"/>
        <v>10000</v>
      </c>
      <c r="U6" s="28">
        <f t="shared" si="0"/>
        <v>10000</v>
      </c>
      <c r="V6" s="28">
        <f t="shared" si="0"/>
        <v>10000</v>
      </c>
      <c r="W6" s="28">
        <f t="shared" si="0"/>
        <v>10000</v>
      </c>
      <c r="X6" s="28">
        <f t="shared" si="0"/>
        <v>10000</v>
      </c>
      <c r="Y6" s="28">
        <f t="shared" si="0"/>
        <v>10000</v>
      </c>
      <c r="Z6" s="28">
        <f t="shared" si="0"/>
        <v>10000</v>
      </c>
      <c r="AA6" s="29">
        <v>19</v>
      </c>
      <c r="AB6" s="30">
        <f t="shared" ref="AB6:AB36" si="1">+SUM(C6:Z6)*AA6</f>
        <v>4560000</v>
      </c>
      <c r="AC6" s="122">
        <f t="shared" ref="AC6:AC66" si="2">+AB6+AB7+AB8</f>
        <v>7440000</v>
      </c>
      <c r="AF6" s="31"/>
    </row>
    <row r="7" spans="1:32" ht="13.95" customHeight="1" thickBot="1" x14ac:dyDescent="0.3">
      <c r="A7" s="121"/>
      <c r="B7" s="32" t="s">
        <v>20</v>
      </c>
      <c r="C7" s="28">
        <v>10000</v>
      </c>
      <c r="D7" s="28">
        <f>+C7</f>
        <v>10000</v>
      </c>
      <c r="E7" s="28">
        <f t="shared" si="0"/>
        <v>10000</v>
      </c>
      <c r="F7" s="28">
        <f t="shared" si="0"/>
        <v>10000</v>
      </c>
      <c r="G7" s="28">
        <f t="shared" si="0"/>
        <v>10000</v>
      </c>
      <c r="H7" s="28">
        <f t="shared" si="0"/>
        <v>10000</v>
      </c>
      <c r="I7" s="28">
        <f t="shared" si="0"/>
        <v>10000</v>
      </c>
      <c r="J7" s="28">
        <f t="shared" si="0"/>
        <v>10000</v>
      </c>
      <c r="K7" s="28">
        <f t="shared" si="0"/>
        <v>10000</v>
      </c>
      <c r="L7" s="28">
        <f t="shared" si="0"/>
        <v>10000</v>
      </c>
      <c r="M7" s="28">
        <f t="shared" si="0"/>
        <v>10000</v>
      </c>
      <c r="N7" s="28">
        <f t="shared" si="0"/>
        <v>10000</v>
      </c>
      <c r="O7" s="28">
        <f t="shared" si="0"/>
        <v>10000</v>
      </c>
      <c r="P7" s="28">
        <f t="shared" si="0"/>
        <v>10000</v>
      </c>
      <c r="Q7" s="28">
        <f t="shared" si="0"/>
        <v>10000</v>
      </c>
      <c r="R7" s="28">
        <f t="shared" si="0"/>
        <v>10000</v>
      </c>
      <c r="S7" s="28">
        <f t="shared" si="0"/>
        <v>10000</v>
      </c>
      <c r="T7" s="28">
        <f t="shared" si="0"/>
        <v>10000</v>
      </c>
      <c r="U7" s="28">
        <f t="shared" si="0"/>
        <v>10000</v>
      </c>
      <c r="V7" s="28">
        <f t="shared" si="0"/>
        <v>10000</v>
      </c>
      <c r="W7" s="28">
        <f t="shared" si="0"/>
        <v>10000</v>
      </c>
      <c r="X7" s="28">
        <f t="shared" si="0"/>
        <v>10000</v>
      </c>
      <c r="Y7" s="28">
        <f t="shared" si="0"/>
        <v>10000</v>
      </c>
      <c r="Z7" s="28">
        <f t="shared" si="0"/>
        <v>10000</v>
      </c>
      <c r="AA7" s="33">
        <v>5</v>
      </c>
      <c r="AB7" s="30">
        <f t="shared" si="1"/>
        <v>1200000</v>
      </c>
      <c r="AC7" s="123"/>
      <c r="AF7" s="31"/>
    </row>
    <row r="8" spans="1:32" ht="13.95" customHeight="1" thickBot="1" x14ac:dyDescent="0.3">
      <c r="A8" s="121"/>
      <c r="B8" s="32" t="s">
        <v>21</v>
      </c>
      <c r="C8" s="28">
        <v>10000</v>
      </c>
      <c r="D8" s="28">
        <f>+C8</f>
        <v>10000</v>
      </c>
      <c r="E8" s="28">
        <f t="shared" si="0"/>
        <v>10000</v>
      </c>
      <c r="F8" s="28">
        <f t="shared" si="0"/>
        <v>10000</v>
      </c>
      <c r="G8" s="28">
        <f t="shared" si="0"/>
        <v>10000</v>
      </c>
      <c r="H8" s="28">
        <f t="shared" si="0"/>
        <v>10000</v>
      </c>
      <c r="I8" s="28">
        <f t="shared" si="0"/>
        <v>10000</v>
      </c>
      <c r="J8" s="28">
        <f t="shared" si="0"/>
        <v>10000</v>
      </c>
      <c r="K8" s="28">
        <f t="shared" si="0"/>
        <v>10000</v>
      </c>
      <c r="L8" s="28">
        <f t="shared" si="0"/>
        <v>10000</v>
      </c>
      <c r="M8" s="28">
        <f t="shared" si="0"/>
        <v>10000</v>
      </c>
      <c r="N8" s="28">
        <f t="shared" si="0"/>
        <v>10000</v>
      </c>
      <c r="O8" s="28">
        <f t="shared" si="0"/>
        <v>10000</v>
      </c>
      <c r="P8" s="28">
        <f t="shared" si="0"/>
        <v>10000</v>
      </c>
      <c r="Q8" s="28">
        <f t="shared" si="0"/>
        <v>10000</v>
      </c>
      <c r="R8" s="28">
        <f t="shared" si="0"/>
        <v>10000</v>
      </c>
      <c r="S8" s="28">
        <f t="shared" si="0"/>
        <v>10000</v>
      </c>
      <c r="T8" s="28">
        <f t="shared" si="0"/>
        <v>10000</v>
      </c>
      <c r="U8" s="28">
        <f t="shared" si="0"/>
        <v>10000</v>
      </c>
      <c r="V8" s="28">
        <f t="shared" si="0"/>
        <v>10000</v>
      </c>
      <c r="W8" s="28">
        <f t="shared" si="0"/>
        <v>10000</v>
      </c>
      <c r="X8" s="28">
        <f t="shared" si="0"/>
        <v>10000</v>
      </c>
      <c r="Y8" s="28">
        <f t="shared" si="0"/>
        <v>10000</v>
      </c>
      <c r="Z8" s="28">
        <f t="shared" si="0"/>
        <v>10000</v>
      </c>
      <c r="AA8" s="33">
        <v>7</v>
      </c>
      <c r="AB8" s="30">
        <f t="shared" si="1"/>
        <v>1680000</v>
      </c>
      <c r="AC8" s="124"/>
      <c r="AF8" s="31"/>
    </row>
    <row r="9" spans="1:32" ht="14.4" customHeight="1" thickTop="1" thickBot="1" x14ac:dyDescent="0.3">
      <c r="A9" s="120">
        <v>46419</v>
      </c>
      <c r="B9" s="34" t="s">
        <v>19</v>
      </c>
      <c r="C9" s="28">
        <v>10000</v>
      </c>
      <c r="D9" s="28">
        <f t="shared" ref="D9:Q35" si="3">+C9</f>
        <v>10000</v>
      </c>
      <c r="E9" s="28">
        <f t="shared" si="0"/>
        <v>10000</v>
      </c>
      <c r="F9" s="28">
        <f t="shared" si="0"/>
        <v>10000</v>
      </c>
      <c r="G9" s="28">
        <f t="shared" si="0"/>
        <v>10000</v>
      </c>
      <c r="H9" s="28">
        <f t="shared" si="0"/>
        <v>10000</v>
      </c>
      <c r="I9" s="28">
        <f t="shared" si="0"/>
        <v>10000</v>
      </c>
      <c r="J9" s="28">
        <f t="shared" si="0"/>
        <v>10000</v>
      </c>
      <c r="K9" s="28">
        <f t="shared" si="0"/>
        <v>10000</v>
      </c>
      <c r="L9" s="28">
        <f t="shared" si="0"/>
        <v>10000</v>
      </c>
      <c r="M9" s="28">
        <f t="shared" si="0"/>
        <v>10000</v>
      </c>
      <c r="N9" s="28">
        <f t="shared" si="0"/>
        <v>10000</v>
      </c>
      <c r="O9" s="28">
        <f t="shared" si="0"/>
        <v>10000</v>
      </c>
      <c r="P9" s="28">
        <f t="shared" si="0"/>
        <v>10000</v>
      </c>
      <c r="Q9" s="28">
        <f t="shared" si="0"/>
        <v>10000</v>
      </c>
      <c r="R9" s="28">
        <f t="shared" si="0"/>
        <v>10000</v>
      </c>
      <c r="S9" s="28">
        <f t="shared" si="0"/>
        <v>10000</v>
      </c>
      <c r="T9" s="28">
        <f t="shared" si="0"/>
        <v>10000</v>
      </c>
      <c r="U9" s="28">
        <f t="shared" si="0"/>
        <v>10000</v>
      </c>
      <c r="V9" s="28">
        <f t="shared" si="0"/>
        <v>10000</v>
      </c>
      <c r="W9" s="28">
        <f t="shared" si="0"/>
        <v>10000</v>
      </c>
      <c r="X9" s="28">
        <f t="shared" si="0"/>
        <v>10000</v>
      </c>
      <c r="Y9" s="28">
        <f t="shared" si="0"/>
        <v>10000</v>
      </c>
      <c r="Z9" s="28">
        <f t="shared" si="0"/>
        <v>10000</v>
      </c>
      <c r="AA9" s="33">
        <v>20</v>
      </c>
      <c r="AB9" s="30">
        <f t="shared" si="1"/>
        <v>4800000</v>
      </c>
      <c r="AC9" s="122">
        <f t="shared" si="2"/>
        <v>6720000</v>
      </c>
      <c r="AF9" s="31"/>
    </row>
    <row r="10" spans="1:32" ht="13.95" customHeight="1" thickBot="1" x14ac:dyDescent="0.3">
      <c r="A10" s="121"/>
      <c r="B10" s="32" t="s">
        <v>20</v>
      </c>
      <c r="C10" s="28">
        <v>10000</v>
      </c>
      <c r="D10" s="28">
        <f t="shared" si="3"/>
        <v>10000</v>
      </c>
      <c r="E10" s="28">
        <f t="shared" si="0"/>
        <v>10000</v>
      </c>
      <c r="F10" s="28">
        <f t="shared" si="0"/>
        <v>10000</v>
      </c>
      <c r="G10" s="28">
        <f t="shared" si="0"/>
        <v>10000</v>
      </c>
      <c r="H10" s="28">
        <f t="shared" si="0"/>
        <v>10000</v>
      </c>
      <c r="I10" s="28">
        <f t="shared" si="0"/>
        <v>10000</v>
      </c>
      <c r="J10" s="28">
        <f t="shared" si="0"/>
        <v>10000</v>
      </c>
      <c r="K10" s="28">
        <f t="shared" si="0"/>
        <v>10000</v>
      </c>
      <c r="L10" s="28">
        <f t="shared" si="0"/>
        <v>10000</v>
      </c>
      <c r="M10" s="28">
        <f t="shared" si="0"/>
        <v>10000</v>
      </c>
      <c r="N10" s="28">
        <f t="shared" si="0"/>
        <v>10000</v>
      </c>
      <c r="O10" s="28">
        <f t="shared" si="0"/>
        <v>10000</v>
      </c>
      <c r="P10" s="28">
        <f t="shared" si="0"/>
        <v>10000</v>
      </c>
      <c r="Q10" s="28">
        <f t="shared" si="0"/>
        <v>10000</v>
      </c>
      <c r="R10" s="28">
        <f t="shared" si="0"/>
        <v>10000</v>
      </c>
      <c r="S10" s="28">
        <f t="shared" si="0"/>
        <v>10000</v>
      </c>
      <c r="T10" s="28">
        <f t="shared" si="0"/>
        <v>10000</v>
      </c>
      <c r="U10" s="28">
        <f t="shared" si="0"/>
        <v>10000</v>
      </c>
      <c r="V10" s="28">
        <f t="shared" si="0"/>
        <v>10000</v>
      </c>
      <c r="W10" s="28">
        <f t="shared" si="0"/>
        <v>10000</v>
      </c>
      <c r="X10" s="28">
        <f t="shared" si="0"/>
        <v>10000</v>
      </c>
      <c r="Y10" s="28">
        <f t="shared" si="0"/>
        <v>10000</v>
      </c>
      <c r="Z10" s="28">
        <f t="shared" si="0"/>
        <v>10000</v>
      </c>
      <c r="AA10" s="33">
        <v>4</v>
      </c>
      <c r="AB10" s="30">
        <f t="shared" si="1"/>
        <v>960000</v>
      </c>
      <c r="AC10" s="123"/>
      <c r="AF10" s="31"/>
    </row>
    <row r="11" spans="1:32" ht="13.95" customHeight="1" thickBot="1" x14ac:dyDescent="0.3">
      <c r="A11" s="121"/>
      <c r="B11" s="32" t="s">
        <v>21</v>
      </c>
      <c r="C11" s="28">
        <v>10000</v>
      </c>
      <c r="D11" s="28">
        <f t="shared" si="3"/>
        <v>10000</v>
      </c>
      <c r="E11" s="28">
        <f t="shared" si="0"/>
        <v>10000</v>
      </c>
      <c r="F11" s="28">
        <f t="shared" si="0"/>
        <v>10000</v>
      </c>
      <c r="G11" s="28">
        <f t="shared" si="0"/>
        <v>10000</v>
      </c>
      <c r="H11" s="28">
        <f t="shared" si="0"/>
        <v>10000</v>
      </c>
      <c r="I11" s="28">
        <f t="shared" si="0"/>
        <v>10000</v>
      </c>
      <c r="J11" s="28">
        <f t="shared" si="0"/>
        <v>10000</v>
      </c>
      <c r="K11" s="28">
        <f t="shared" si="0"/>
        <v>10000</v>
      </c>
      <c r="L11" s="28">
        <f t="shared" si="0"/>
        <v>10000</v>
      </c>
      <c r="M11" s="28">
        <f t="shared" si="0"/>
        <v>10000</v>
      </c>
      <c r="N11" s="28">
        <f t="shared" si="0"/>
        <v>10000</v>
      </c>
      <c r="O11" s="28">
        <f t="shared" si="0"/>
        <v>10000</v>
      </c>
      <c r="P11" s="28">
        <f t="shared" si="0"/>
        <v>10000</v>
      </c>
      <c r="Q11" s="28">
        <f t="shared" si="0"/>
        <v>10000</v>
      </c>
      <c r="R11" s="28">
        <f t="shared" si="0"/>
        <v>10000</v>
      </c>
      <c r="S11" s="28">
        <f t="shared" si="0"/>
        <v>10000</v>
      </c>
      <c r="T11" s="28">
        <f t="shared" si="0"/>
        <v>10000</v>
      </c>
      <c r="U11" s="28">
        <f t="shared" si="0"/>
        <v>10000</v>
      </c>
      <c r="V11" s="28">
        <f t="shared" si="0"/>
        <v>10000</v>
      </c>
      <c r="W11" s="28">
        <f t="shared" si="0"/>
        <v>10000</v>
      </c>
      <c r="X11" s="28">
        <f t="shared" si="0"/>
        <v>10000</v>
      </c>
      <c r="Y11" s="28">
        <f t="shared" si="0"/>
        <v>10000</v>
      </c>
      <c r="Z11" s="28">
        <f t="shared" si="0"/>
        <v>10000</v>
      </c>
      <c r="AA11" s="33">
        <v>4</v>
      </c>
      <c r="AB11" s="30">
        <f t="shared" si="1"/>
        <v>960000</v>
      </c>
      <c r="AC11" s="124"/>
      <c r="AF11" s="31"/>
    </row>
    <row r="12" spans="1:32" ht="14.4" customHeight="1" thickTop="1" thickBot="1" x14ac:dyDescent="0.3">
      <c r="A12" s="120">
        <v>46447</v>
      </c>
      <c r="B12" s="34" t="s">
        <v>19</v>
      </c>
      <c r="C12" s="28">
        <v>10000</v>
      </c>
      <c r="D12" s="28">
        <f t="shared" si="3"/>
        <v>10000</v>
      </c>
      <c r="E12" s="28">
        <f t="shared" si="0"/>
        <v>10000</v>
      </c>
      <c r="F12" s="28">
        <f t="shared" si="0"/>
        <v>10000</v>
      </c>
      <c r="G12" s="28">
        <f t="shared" si="0"/>
        <v>10000</v>
      </c>
      <c r="H12" s="28">
        <f t="shared" si="0"/>
        <v>10000</v>
      </c>
      <c r="I12" s="28">
        <f t="shared" si="0"/>
        <v>10000</v>
      </c>
      <c r="J12" s="28">
        <f t="shared" si="0"/>
        <v>10000</v>
      </c>
      <c r="K12" s="28">
        <f t="shared" si="0"/>
        <v>10000</v>
      </c>
      <c r="L12" s="28">
        <f t="shared" si="0"/>
        <v>10000</v>
      </c>
      <c r="M12" s="28">
        <f t="shared" si="0"/>
        <v>10000</v>
      </c>
      <c r="N12" s="28">
        <f t="shared" si="0"/>
        <v>10000</v>
      </c>
      <c r="O12" s="28">
        <f t="shared" si="0"/>
        <v>10000</v>
      </c>
      <c r="P12" s="28">
        <f t="shared" si="0"/>
        <v>10000</v>
      </c>
      <c r="Q12" s="28">
        <f t="shared" si="0"/>
        <v>10000</v>
      </c>
      <c r="R12" s="28">
        <f t="shared" si="0"/>
        <v>10000</v>
      </c>
      <c r="S12" s="28">
        <f t="shared" si="0"/>
        <v>10000</v>
      </c>
      <c r="T12" s="28">
        <f t="shared" si="0"/>
        <v>10000</v>
      </c>
      <c r="U12" s="28">
        <f t="shared" si="0"/>
        <v>10000</v>
      </c>
      <c r="V12" s="28">
        <f t="shared" si="0"/>
        <v>10000</v>
      </c>
      <c r="W12" s="28">
        <f t="shared" si="0"/>
        <v>10000</v>
      </c>
      <c r="X12" s="28">
        <f t="shared" si="0"/>
        <v>10000</v>
      </c>
      <c r="Y12" s="28">
        <f t="shared" si="0"/>
        <v>10000</v>
      </c>
      <c r="Z12" s="28">
        <f t="shared" si="0"/>
        <v>10000</v>
      </c>
      <c r="AA12" s="33">
        <v>20</v>
      </c>
      <c r="AB12" s="30">
        <f t="shared" si="1"/>
        <v>4800000</v>
      </c>
      <c r="AC12" s="122">
        <f t="shared" si="2"/>
        <v>7440000</v>
      </c>
      <c r="AF12" s="31"/>
    </row>
    <row r="13" spans="1:32" ht="13.95" customHeight="1" thickBot="1" x14ac:dyDescent="0.3">
      <c r="A13" s="121"/>
      <c r="B13" s="32" t="s">
        <v>20</v>
      </c>
      <c r="C13" s="28">
        <v>10000</v>
      </c>
      <c r="D13" s="28">
        <f t="shared" si="3"/>
        <v>10000</v>
      </c>
      <c r="E13" s="28">
        <f t="shared" si="0"/>
        <v>10000</v>
      </c>
      <c r="F13" s="28">
        <f t="shared" si="0"/>
        <v>10000</v>
      </c>
      <c r="G13" s="28">
        <f t="shared" si="0"/>
        <v>10000</v>
      </c>
      <c r="H13" s="28">
        <f t="shared" si="0"/>
        <v>10000</v>
      </c>
      <c r="I13" s="28">
        <f t="shared" si="0"/>
        <v>10000</v>
      </c>
      <c r="J13" s="28">
        <f t="shared" si="0"/>
        <v>10000</v>
      </c>
      <c r="K13" s="28">
        <f t="shared" si="0"/>
        <v>10000</v>
      </c>
      <c r="L13" s="28">
        <f t="shared" si="0"/>
        <v>10000</v>
      </c>
      <c r="M13" s="28">
        <f t="shared" si="0"/>
        <v>10000</v>
      </c>
      <c r="N13" s="28">
        <f t="shared" si="0"/>
        <v>10000</v>
      </c>
      <c r="O13" s="28">
        <f t="shared" si="0"/>
        <v>10000</v>
      </c>
      <c r="P13" s="28">
        <f t="shared" si="0"/>
        <v>10000</v>
      </c>
      <c r="Q13" s="28">
        <f t="shared" si="0"/>
        <v>10000</v>
      </c>
      <c r="R13" s="28">
        <f t="shared" si="0"/>
        <v>10000</v>
      </c>
      <c r="S13" s="28">
        <f t="shared" si="0"/>
        <v>10000</v>
      </c>
      <c r="T13" s="28">
        <f t="shared" si="0"/>
        <v>10000</v>
      </c>
      <c r="U13" s="28">
        <f t="shared" si="0"/>
        <v>10000</v>
      </c>
      <c r="V13" s="28">
        <f t="shared" si="0"/>
        <v>10000</v>
      </c>
      <c r="W13" s="28">
        <f t="shared" si="0"/>
        <v>10000</v>
      </c>
      <c r="X13" s="28">
        <f t="shared" si="0"/>
        <v>10000</v>
      </c>
      <c r="Y13" s="28">
        <f t="shared" si="0"/>
        <v>10000</v>
      </c>
      <c r="Z13" s="28">
        <f t="shared" si="0"/>
        <v>10000</v>
      </c>
      <c r="AA13" s="33">
        <v>4</v>
      </c>
      <c r="AB13" s="30">
        <f t="shared" si="1"/>
        <v>960000</v>
      </c>
      <c r="AC13" s="123"/>
      <c r="AF13" s="31"/>
    </row>
    <row r="14" spans="1:32" ht="13.95" customHeight="1" thickBot="1" x14ac:dyDescent="0.3">
      <c r="A14" s="121"/>
      <c r="B14" s="32" t="s">
        <v>21</v>
      </c>
      <c r="C14" s="28">
        <v>10000</v>
      </c>
      <c r="D14" s="28">
        <f t="shared" si="3"/>
        <v>10000</v>
      </c>
      <c r="E14" s="28">
        <f t="shared" si="0"/>
        <v>10000</v>
      </c>
      <c r="F14" s="28">
        <f t="shared" si="0"/>
        <v>10000</v>
      </c>
      <c r="G14" s="28">
        <f t="shared" si="0"/>
        <v>10000</v>
      </c>
      <c r="H14" s="28">
        <f t="shared" si="0"/>
        <v>10000</v>
      </c>
      <c r="I14" s="28">
        <f t="shared" si="0"/>
        <v>10000</v>
      </c>
      <c r="J14" s="28">
        <f t="shared" si="0"/>
        <v>10000</v>
      </c>
      <c r="K14" s="28">
        <f t="shared" si="0"/>
        <v>10000</v>
      </c>
      <c r="L14" s="28">
        <f t="shared" si="0"/>
        <v>10000</v>
      </c>
      <c r="M14" s="28">
        <f t="shared" si="0"/>
        <v>10000</v>
      </c>
      <c r="N14" s="28">
        <f t="shared" si="0"/>
        <v>10000</v>
      </c>
      <c r="O14" s="28">
        <f t="shared" si="0"/>
        <v>10000</v>
      </c>
      <c r="P14" s="28">
        <f t="shared" si="0"/>
        <v>10000</v>
      </c>
      <c r="Q14" s="28">
        <f t="shared" si="0"/>
        <v>10000</v>
      </c>
      <c r="R14" s="28">
        <f t="shared" si="0"/>
        <v>10000</v>
      </c>
      <c r="S14" s="28">
        <f t="shared" si="0"/>
        <v>10000</v>
      </c>
      <c r="T14" s="28">
        <f t="shared" si="0"/>
        <v>10000</v>
      </c>
      <c r="U14" s="28">
        <f t="shared" si="0"/>
        <v>10000</v>
      </c>
      <c r="V14" s="28">
        <f t="shared" si="0"/>
        <v>10000</v>
      </c>
      <c r="W14" s="28">
        <f t="shared" si="0"/>
        <v>10000</v>
      </c>
      <c r="X14" s="28">
        <f t="shared" si="0"/>
        <v>10000</v>
      </c>
      <c r="Y14" s="28">
        <f t="shared" si="0"/>
        <v>10000</v>
      </c>
      <c r="Z14" s="28">
        <f t="shared" si="0"/>
        <v>10000</v>
      </c>
      <c r="AA14" s="33">
        <v>7</v>
      </c>
      <c r="AB14" s="30">
        <f t="shared" si="1"/>
        <v>1680000</v>
      </c>
      <c r="AC14" s="124"/>
      <c r="AF14" s="31"/>
    </row>
    <row r="15" spans="1:32" ht="14.4" customHeight="1" thickTop="1" thickBot="1" x14ac:dyDescent="0.3">
      <c r="A15" s="120">
        <v>46478</v>
      </c>
      <c r="B15" s="35" t="s">
        <v>19</v>
      </c>
      <c r="C15" s="28">
        <v>10000</v>
      </c>
      <c r="D15" s="28">
        <f t="shared" si="3"/>
        <v>10000</v>
      </c>
      <c r="E15" s="28">
        <f t="shared" si="0"/>
        <v>10000</v>
      </c>
      <c r="F15" s="28">
        <f t="shared" si="0"/>
        <v>10000</v>
      </c>
      <c r="G15" s="28">
        <f t="shared" si="0"/>
        <v>10000</v>
      </c>
      <c r="H15" s="28">
        <f t="shared" si="0"/>
        <v>10000</v>
      </c>
      <c r="I15" s="28">
        <f t="shared" si="0"/>
        <v>10000</v>
      </c>
      <c r="J15" s="28">
        <f t="shared" si="0"/>
        <v>10000</v>
      </c>
      <c r="K15" s="28">
        <f t="shared" si="0"/>
        <v>10000</v>
      </c>
      <c r="L15" s="28">
        <f t="shared" si="0"/>
        <v>10000</v>
      </c>
      <c r="M15" s="28">
        <f t="shared" si="0"/>
        <v>10000</v>
      </c>
      <c r="N15" s="28">
        <f t="shared" si="0"/>
        <v>10000</v>
      </c>
      <c r="O15" s="28">
        <f t="shared" si="0"/>
        <v>10000</v>
      </c>
      <c r="P15" s="28">
        <f t="shared" si="0"/>
        <v>10000</v>
      </c>
      <c r="Q15" s="28">
        <f t="shared" si="0"/>
        <v>10000</v>
      </c>
      <c r="R15" s="28">
        <f t="shared" si="0"/>
        <v>10000</v>
      </c>
      <c r="S15" s="28">
        <f t="shared" si="0"/>
        <v>10000</v>
      </c>
      <c r="T15" s="28">
        <f t="shared" si="0"/>
        <v>10000</v>
      </c>
      <c r="U15" s="28">
        <f t="shared" si="0"/>
        <v>10000</v>
      </c>
      <c r="V15" s="28">
        <f t="shared" si="0"/>
        <v>10000</v>
      </c>
      <c r="W15" s="28">
        <f t="shared" si="0"/>
        <v>10000</v>
      </c>
      <c r="X15" s="28">
        <f t="shared" si="0"/>
        <v>10000</v>
      </c>
      <c r="Y15" s="28">
        <f t="shared" si="0"/>
        <v>10000</v>
      </c>
      <c r="Z15" s="28">
        <f t="shared" si="0"/>
        <v>10000</v>
      </c>
      <c r="AA15" s="33">
        <v>22</v>
      </c>
      <c r="AB15" s="30">
        <f t="shared" si="1"/>
        <v>5280000</v>
      </c>
      <c r="AC15" s="122">
        <f t="shared" si="2"/>
        <v>7200000</v>
      </c>
      <c r="AF15" s="31"/>
    </row>
    <row r="16" spans="1:32" ht="13.95" customHeight="1" thickBot="1" x14ac:dyDescent="0.3">
      <c r="A16" s="121"/>
      <c r="B16" s="32" t="s">
        <v>20</v>
      </c>
      <c r="C16" s="28">
        <v>10000</v>
      </c>
      <c r="D16" s="28">
        <f t="shared" si="3"/>
        <v>10000</v>
      </c>
      <c r="E16" s="28">
        <f t="shared" si="0"/>
        <v>10000</v>
      </c>
      <c r="F16" s="28">
        <f t="shared" si="0"/>
        <v>10000</v>
      </c>
      <c r="G16" s="28">
        <f t="shared" si="0"/>
        <v>10000</v>
      </c>
      <c r="H16" s="28">
        <f t="shared" si="0"/>
        <v>10000</v>
      </c>
      <c r="I16" s="28">
        <f t="shared" si="0"/>
        <v>10000</v>
      </c>
      <c r="J16" s="28">
        <f t="shared" si="0"/>
        <v>10000</v>
      </c>
      <c r="K16" s="28">
        <f t="shared" si="0"/>
        <v>10000</v>
      </c>
      <c r="L16" s="28">
        <f t="shared" si="0"/>
        <v>10000</v>
      </c>
      <c r="M16" s="28">
        <f t="shared" si="0"/>
        <v>10000</v>
      </c>
      <c r="N16" s="28">
        <f t="shared" si="0"/>
        <v>10000</v>
      </c>
      <c r="O16" s="28">
        <f t="shared" si="0"/>
        <v>10000</v>
      </c>
      <c r="P16" s="28">
        <f t="shared" si="0"/>
        <v>10000</v>
      </c>
      <c r="Q16" s="28">
        <f t="shared" si="0"/>
        <v>10000</v>
      </c>
      <c r="R16" s="28">
        <f t="shared" si="0"/>
        <v>10000</v>
      </c>
      <c r="S16" s="28">
        <f t="shared" si="0"/>
        <v>10000</v>
      </c>
      <c r="T16" s="28">
        <f t="shared" si="0"/>
        <v>10000</v>
      </c>
      <c r="U16" s="28">
        <f t="shared" si="0"/>
        <v>10000</v>
      </c>
      <c r="V16" s="28">
        <f t="shared" si="0"/>
        <v>10000</v>
      </c>
      <c r="W16" s="28">
        <f t="shared" si="0"/>
        <v>10000</v>
      </c>
      <c r="X16" s="28">
        <f t="shared" si="0"/>
        <v>10000</v>
      </c>
      <c r="Y16" s="28">
        <f t="shared" si="0"/>
        <v>10000</v>
      </c>
      <c r="Z16" s="28">
        <f t="shared" si="0"/>
        <v>10000</v>
      </c>
      <c r="AA16" s="33">
        <v>4</v>
      </c>
      <c r="AB16" s="30">
        <f t="shared" si="1"/>
        <v>960000</v>
      </c>
      <c r="AC16" s="123"/>
      <c r="AF16" s="31"/>
    </row>
    <row r="17" spans="1:32" ht="13.95" customHeight="1" thickBot="1" x14ac:dyDescent="0.3">
      <c r="A17" s="121"/>
      <c r="B17" s="32" t="s">
        <v>21</v>
      </c>
      <c r="C17" s="28">
        <v>10000</v>
      </c>
      <c r="D17" s="28">
        <f t="shared" si="3"/>
        <v>10000</v>
      </c>
      <c r="E17" s="28">
        <f t="shared" si="0"/>
        <v>10000</v>
      </c>
      <c r="F17" s="28">
        <f t="shared" si="0"/>
        <v>10000</v>
      </c>
      <c r="G17" s="28">
        <f t="shared" si="0"/>
        <v>10000</v>
      </c>
      <c r="H17" s="28">
        <f t="shared" si="0"/>
        <v>10000</v>
      </c>
      <c r="I17" s="28">
        <f t="shared" si="0"/>
        <v>10000</v>
      </c>
      <c r="J17" s="28">
        <f t="shared" si="0"/>
        <v>10000</v>
      </c>
      <c r="K17" s="28">
        <f t="shared" si="0"/>
        <v>10000</v>
      </c>
      <c r="L17" s="28">
        <f t="shared" si="0"/>
        <v>10000</v>
      </c>
      <c r="M17" s="28">
        <f t="shared" si="0"/>
        <v>10000</v>
      </c>
      <c r="N17" s="28">
        <f t="shared" si="0"/>
        <v>10000</v>
      </c>
      <c r="O17" s="28">
        <f t="shared" si="0"/>
        <v>10000</v>
      </c>
      <c r="P17" s="28">
        <f t="shared" si="0"/>
        <v>10000</v>
      </c>
      <c r="Q17" s="28">
        <f t="shared" si="0"/>
        <v>10000</v>
      </c>
      <c r="R17" s="28">
        <f t="shared" ref="R17:Z46" si="4">+Q17</f>
        <v>10000</v>
      </c>
      <c r="S17" s="28">
        <f t="shared" si="4"/>
        <v>10000</v>
      </c>
      <c r="T17" s="28">
        <f t="shared" si="4"/>
        <v>10000</v>
      </c>
      <c r="U17" s="28">
        <f t="shared" si="4"/>
        <v>10000</v>
      </c>
      <c r="V17" s="28">
        <f t="shared" si="4"/>
        <v>10000</v>
      </c>
      <c r="W17" s="28">
        <f t="shared" si="4"/>
        <v>10000</v>
      </c>
      <c r="X17" s="28">
        <f t="shared" si="4"/>
        <v>10000</v>
      </c>
      <c r="Y17" s="28">
        <f t="shared" si="4"/>
        <v>10000</v>
      </c>
      <c r="Z17" s="28">
        <f t="shared" si="4"/>
        <v>10000</v>
      </c>
      <c r="AA17" s="33">
        <v>4</v>
      </c>
      <c r="AB17" s="30">
        <f t="shared" si="1"/>
        <v>960000</v>
      </c>
      <c r="AC17" s="124"/>
      <c r="AF17" s="31"/>
    </row>
    <row r="18" spans="1:32" ht="14.4" customHeight="1" thickTop="1" thickBot="1" x14ac:dyDescent="0.3">
      <c r="A18" s="120">
        <v>46508</v>
      </c>
      <c r="B18" s="34" t="s">
        <v>19</v>
      </c>
      <c r="C18" s="28">
        <v>10000</v>
      </c>
      <c r="D18" s="28">
        <f t="shared" si="3"/>
        <v>10000</v>
      </c>
      <c r="E18" s="28">
        <f t="shared" si="3"/>
        <v>10000</v>
      </c>
      <c r="F18" s="28">
        <f t="shared" si="3"/>
        <v>10000</v>
      </c>
      <c r="G18" s="28">
        <f t="shared" si="3"/>
        <v>10000</v>
      </c>
      <c r="H18" s="28">
        <f t="shared" si="3"/>
        <v>10000</v>
      </c>
      <c r="I18" s="28">
        <f t="shared" si="3"/>
        <v>10000</v>
      </c>
      <c r="J18" s="28">
        <f t="shared" si="3"/>
        <v>10000</v>
      </c>
      <c r="K18" s="28">
        <f t="shared" si="3"/>
        <v>10000</v>
      </c>
      <c r="L18" s="28">
        <f t="shared" si="3"/>
        <v>10000</v>
      </c>
      <c r="M18" s="28">
        <f t="shared" si="3"/>
        <v>10000</v>
      </c>
      <c r="N18" s="28">
        <f t="shared" si="3"/>
        <v>10000</v>
      </c>
      <c r="O18" s="28">
        <f t="shared" si="3"/>
        <v>10000</v>
      </c>
      <c r="P18" s="28">
        <f t="shared" si="3"/>
        <v>10000</v>
      </c>
      <c r="Q18" s="28">
        <f t="shared" si="3"/>
        <v>10000</v>
      </c>
      <c r="R18" s="28">
        <f t="shared" si="4"/>
        <v>10000</v>
      </c>
      <c r="S18" s="28">
        <f t="shared" si="4"/>
        <v>10000</v>
      </c>
      <c r="T18" s="28">
        <f t="shared" si="4"/>
        <v>10000</v>
      </c>
      <c r="U18" s="28">
        <f t="shared" si="4"/>
        <v>10000</v>
      </c>
      <c r="V18" s="28">
        <f t="shared" si="4"/>
        <v>10000</v>
      </c>
      <c r="W18" s="28">
        <f t="shared" si="4"/>
        <v>10000</v>
      </c>
      <c r="X18" s="28">
        <f t="shared" si="4"/>
        <v>10000</v>
      </c>
      <c r="Y18" s="28">
        <f t="shared" si="4"/>
        <v>10000</v>
      </c>
      <c r="Z18" s="28">
        <f t="shared" si="4"/>
        <v>10000</v>
      </c>
      <c r="AA18" s="33">
        <v>19</v>
      </c>
      <c r="AB18" s="30">
        <f t="shared" si="1"/>
        <v>4560000</v>
      </c>
      <c r="AC18" s="122">
        <f t="shared" si="2"/>
        <v>7440000</v>
      </c>
      <c r="AF18" s="31"/>
    </row>
    <row r="19" spans="1:32" ht="13.95" customHeight="1" thickBot="1" x14ac:dyDescent="0.3">
      <c r="A19" s="121"/>
      <c r="B19" s="32" t="s">
        <v>20</v>
      </c>
      <c r="C19" s="28">
        <v>10000</v>
      </c>
      <c r="D19" s="28">
        <f t="shared" si="3"/>
        <v>10000</v>
      </c>
      <c r="E19" s="28">
        <f t="shared" si="3"/>
        <v>10000</v>
      </c>
      <c r="F19" s="28">
        <f t="shared" si="3"/>
        <v>10000</v>
      </c>
      <c r="G19" s="28">
        <f t="shared" si="3"/>
        <v>10000</v>
      </c>
      <c r="H19" s="28">
        <f t="shared" si="3"/>
        <v>10000</v>
      </c>
      <c r="I19" s="28">
        <f t="shared" si="3"/>
        <v>10000</v>
      </c>
      <c r="J19" s="28">
        <f t="shared" si="3"/>
        <v>10000</v>
      </c>
      <c r="K19" s="28">
        <f t="shared" si="3"/>
        <v>10000</v>
      </c>
      <c r="L19" s="28">
        <f t="shared" si="3"/>
        <v>10000</v>
      </c>
      <c r="M19" s="28">
        <f t="shared" si="3"/>
        <v>10000</v>
      </c>
      <c r="N19" s="28">
        <f t="shared" si="3"/>
        <v>10000</v>
      </c>
      <c r="O19" s="28">
        <f t="shared" si="3"/>
        <v>10000</v>
      </c>
      <c r="P19" s="28">
        <f t="shared" si="3"/>
        <v>10000</v>
      </c>
      <c r="Q19" s="28">
        <f t="shared" si="3"/>
        <v>10000</v>
      </c>
      <c r="R19" s="28">
        <f t="shared" si="4"/>
        <v>10000</v>
      </c>
      <c r="S19" s="28">
        <f t="shared" si="4"/>
        <v>10000</v>
      </c>
      <c r="T19" s="28">
        <f t="shared" si="4"/>
        <v>10000</v>
      </c>
      <c r="U19" s="28">
        <f t="shared" si="4"/>
        <v>10000</v>
      </c>
      <c r="V19" s="28">
        <f t="shared" si="4"/>
        <v>10000</v>
      </c>
      <c r="W19" s="28">
        <f t="shared" si="4"/>
        <v>10000</v>
      </c>
      <c r="X19" s="28">
        <f t="shared" si="4"/>
        <v>10000</v>
      </c>
      <c r="Y19" s="28">
        <f t="shared" si="4"/>
        <v>10000</v>
      </c>
      <c r="Z19" s="28">
        <f t="shared" si="4"/>
        <v>10000</v>
      </c>
      <c r="AA19" s="33">
        <v>4</v>
      </c>
      <c r="AB19" s="30">
        <f t="shared" si="1"/>
        <v>960000</v>
      </c>
      <c r="AC19" s="123"/>
      <c r="AF19" s="31"/>
    </row>
    <row r="20" spans="1:32" ht="13.95" customHeight="1" thickBot="1" x14ac:dyDescent="0.3">
      <c r="A20" s="121"/>
      <c r="B20" s="32" t="s">
        <v>21</v>
      </c>
      <c r="C20" s="28">
        <v>10000</v>
      </c>
      <c r="D20" s="28">
        <f t="shared" si="3"/>
        <v>10000</v>
      </c>
      <c r="E20" s="28">
        <f t="shared" si="3"/>
        <v>10000</v>
      </c>
      <c r="F20" s="28">
        <f t="shared" si="3"/>
        <v>10000</v>
      </c>
      <c r="G20" s="28">
        <f t="shared" si="3"/>
        <v>10000</v>
      </c>
      <c r="H20" s="28">
        <f t="shared" si="3"/>
        <v>10000</v>
      </c>
      <c r="I20" s="28">
        <f t="shared" si="3"/>
        <v>10000</v>
      </c>
      <c r="J20" s="28">
        <f t="shared" si="3"/>
        <v>10000</v>
      </c>
      <c r="K20" s="28">
        <f t="shared" si="3"/>
        <v>10000</v>
      </c>
      <c r="L20" s="28">
        <f t="shared" si="3"/>
        <v>10000</v>
      </c>
      <c r="M20" s="28">
        <f t="shared" si="3"/>
        <v>10000</v>
      </c>
      <c r="N20" s="28">
        <f t="shared" si="3"/>
        <v>10000</v>
      </c>
      <c r="O20" s="28">
        <f t="shared" si="3"/>
        <v>10000</v>
      </c>
      <c r="P20" s="28">
        <f t="shared" si="3"/>
        <v>10000</v>
      </c>
      <c r="Q20" s="28">
        <f t="shared" si="3"/>
        <v>10000</v>
      </c>
      <c r="R20" s="28">
        <f t="shared" si="4"/>
        <v>10000</v>
      </c>
      <c r="S20" s="28">
        <f t="shared" si="4"/>
        <v>10000</v>
      </c>
      <c r="T20" s="28">
        <f t="shared" si="4"/>
        <v>10000</v>
      </c>
      <c r="U20" s="28">
        <f t="shared" si="4"/>
        <v>10000</v>
      </c>
      <c r="V20" s="28">
        <f t="shared" si="4"/>
        <v>10000</v>
      </c>
      <c r="W20" s="28">
        <f t="shared" si="4"/>
        <v>10000</v>
      </c>
      <c r="X20" s="28">
        <f t="shared" si="4"/>
        <v>10000</v>
      </c>
      <c r="Y20" s="28">
        <f t="shared" si="4"/>
        <v>10000</v>
      </c>
      <c r="Z20" s="28">
        <f t="shared" si="4"/>
        <v>10000</v>
      </c>
      <c r="AA20" s="33">
        <v>8</v>
      </c>
      <c r="AB20" s="30">
        <f t="shared" si="1"/>
        <v>1920000</v>
      </c>
      <c r="AC20" s="124"/>
      <c r="AF20" s="31"/>
    </row>
    <row r="21" spans="1:32" ht="14.4" customHeight="1" thickTop="1" thickBot="1" x14ac:dyDescent="0.3">
      <c r="A21" s="120">
        <v>46539</v>
      </c>
      <c r="B21" s="35" t="s">
        <v>19</v>
      </c>
      <c r="C21" s="28">
        <v>10000</v>
      </c>
      <c r="D21" s="28">
        <f t="shared" si="3"/>
        <v>10000</v>
      </c>
      <c r="E21" s="28">
        <f t="shared" si="3"/>
        <v>10000</v>
      </c>
      <c r="F21" s="28">
        <f t="shared" si="3"/>
        <v>10000</v>
      </c>
      <c r="G21" s="28">
        <f t="shared" si="3"/>
        <v>10000</v>
      </c>
      <c r="H21" s="28">
        <f t="shared" si="3"/>
        <v>10000</v>
      </c>
      <c r="I21" s="28">
        <f t="shared" si="3"/>
        <v>10000</v>
      </c>
      <c r="J21" s="28">
        <f t="shared" si="3"/>
        <v>10000</v>
      </c>
      <c r="K21" s="28">
        <f t="shared" si="3"/>
        <v>10000</v>
      </c>
      <c r="L21" s="28">
        <f t="shared" si="3"/>
        <v>10000</v>
      </c>
      <c r="M21" s="28">
        <f t="shared" si="3"/>
        <v>10000</v>
      </c>
      <c r="N21" s="28">
        <f t="shared" si="3"/>
        <v>10000</v>
      </c>
      <c r="O21" s="28">
        <f t="shared" si="3"/>
        <v>10000</v>
      </c>
      <c r="P21" s="28">
        <f t="shared" si="3"/>
        <v>10000</v>
      </c>
      <c r="Q21" s="28">
        <f t="shared" si="3"/>
        <v>10000</v>
      </c>
      <c r="R21" s="28">
        <f t="shared" si="4"/>
        <v>10000</v>
      </c>
      <c r="S21" s="28">
        <f t="shared" si="4"/>
        <v>10000</v>
      </c>
      <c r="T21" s="28">
        <f t="shared" si="4"/>
        <v>10000</v>
      </c>
      <c r="U21" s="28">
        <f t="shared" si="4"/>
        <v>10000</v>
      </c>
      <c r="V21" s="28">
        <f t="shared" si="4"/>
        <v>10000</v>
      </c>
      <c r="W21" s="28">
        <f t="shared" si="4"/>
        <v>10000</v>
      </c>
      <c r="X21" s="28">
        <f t="shared" si="4"/>
        <v>10000</v>
      </c>
      <c r="Y21" s="28">
        <f t="shared" si="4"/>
        <v>10000</v>
      </c>
      <c r="Z21" s="28">
        <f t="shared" si="4"/>
        <v>10000</v>
      </c>
      <c r="AA21" s="33">
        <v>21</v>
      </c>
      <c r="AB21" s="30">
        <f t="shared" si="1"/>
        <v>5040000</v>
      </c>
      <c r="AC21" s="122">
        <f t="shared" si="2"/>
        <v>7200000</v>
      </c>
      <c r="AF21" s="31"/>
    </row>
    <row r="22" spans="1:32" ht="13.95" customHeight="1" thickBot="1" x14ac:dyDescent="0.3">
      <c r="A22" s="121"/>
      <c r="B22" s="32" t="s">
        <v>20</v>
      </c>
      <c r="C22" s="28">
        <v>10000</v>
      </c>
      <c r="D22" s="28">
        <f t="shared" si="3"/>
        <v>10000</v>
      </c>
      <c r="E22" s="28">
        <f t="shared" si="3"/>
        <v>10000</v>
      </c>
      <c r="F22" s="28">
        <f t="shared" si="3"/>
        <v>10000</v>
      </c>
      <c r="G22" s="28">
        <f t="shared" si="3"/>
        <v>10000</v>
      </c>
      <c r="H22" s="28">
        <f t="shared" si="3"/>
        <v>10000</v>
      </c>
      <c r="I22" s="28">
        <f t="shared" si="3"/>
        <v>10000</v>
      </c>
      <c r="J22" s="28">
        <f t="shared" si="3"/>
        <v>10000</v>
      </c>
      <c r="K22" s="28">
        <f t="shared" si="3"/>
        <v>10000</v>
      </c>
      <c r="L22" s="28">
        <f t="shared" si="3"/>
        <v>10000</v>
      </c>
      <c r="M22" s="28">
        <f t="shared" si="3"/>
        <v>10000</v>
      </c>
      <c r="N22" s="28">
        <f t="shared" si="3"/>
        <v>10000</v>
      </c>
      <c r="O22" s="28">
        <f t="shared" si="3"/>
        <v>10000</v>
      </c>
      <c r="P22" s="28">
        <f t="shared" si="3"/>
        <v>10000</v>
      </c>
      <c r="Q22" s="28">
        <f t="shared" si="3"/>
        <v>10000</v>
      </c>
      <c r="R22" s="28">
        <f t="shared" si="4"/>
        <v>10000</v>
      </c>
      <c r="S22" s="28">
        <f t="shared" si="4"/>
        <v>10000</v>
      </c>
      <c r="T22" s="28">
        <f t="shared" si="4"/>
        <v>10000</v>
      </c>
      <c r="U22" s="28">
        <f t="shared" si="4"/>
        <v>10000</v>
      </c>
      <c r="V22" s="28">
        <f t="shared" si="4"/>
        <v>10000</v>
      </c>
      <c r="W22" s="28">
        <f t="shared" si="4"/>
        <v>10000</v>
      </c>
      <c r="X22" s="28">
        <f t="shared" si="4"/>
        <v>10000</v>
      </c>
      <c r="Y22" s="28">
        <f t="shared" si="4"/>
        <v>10000</v>
      </c>
      <c r="Z22" s="28">
        <f t="shared" si="4"/>
        <v>10000</v>
      </c>
      <c r="AA22" s="33">
        <v>4</v>
      </c>
      <c r="AB22" s="30">
        <f t="shared" si="1"/>
        <v>960000</v>
      </c>
      <c r="AC22" s="123"/>
      <c r="AF22" s="31"/>
    </row>
    <row r="23" spans="1:32" ht="13.95" customHeight="1" thickBot="1" x14ac:dyDescent="0.3">
      <c r="A23" s="121"/>
      <c r="B23" s="32" t="s">
        <v>21</v>
      </c>
      <c r="C23" s="28">
        <v>10000</v>
      </c>
      <c r="D23" s="28">
        <f t="shared" si="3"/>
        <v>10000</v>
      </c>
      <c r="E23" s="28">
        <f t="shared" si="3"/>
        <v>10000</v>
      </c>
      <c r="F23" s="28">
        <f t="shared" si="3"/>
        <v>10000</v>
      </c>
      <c r="G23" s="28">
        <f t="shared" si="3"/>
        <v>10000</v>
      </c>
      <c r="H23" s="28">
        <f t="shared" si="3"/>
        <v>10000</v>
      </c>
      <c r="I23" s="28">
        <f t="shared" si="3"/>
        <v>10000</v>
      </c>
      <c r="J23" s="28">
        <f t="shared" si="3"/>
        <v>10000</v>
      </c>
      <c r="K23" s="28">
        <f t="shared" si="3"/>
        <v>10000</v>
      </c>
      <c r="L23" s="28">
        <f t="shared" si="3"/>
        <v>10000</v>
      </c>
      <c r="M23" s="28">
        <f t="shared" si="3"/>
        <v>10000</v>
      </c>
      <c r="N23" s="28">
        <f t="shared" si="3"/>
        <v>10000</v>
      </c>
      <c r="O23" s="28">
        <f t="shared" si="3"/>
        <v>10000</v>
      </c>
      <c r="P23" s="28">
        <f t="shared" si="3"/>
        <v>10000</v>
      </c>
      <c r="Q23" s="28">
        <f t="shared" si="3"/>
        <v>10000</v>
      </c>
      <c r="R23" s="28">
        <f t="shared" si="4"/>
        <v>10000</v>
      </c>
      <c r="S23" s="28">
        <f t="shared" si="4"/>
        <v>10000</v>
      </c>
      <c r="T23" s="28">
        <f t="shared" si="4"/>
        <v>10000</v>
      </c>
      <c r="U23" s="28">
        <f t="shared" si="4"/>
        <v>10000</v>
      </c>
      <c r="V23" s="28">
        <f t="shared" si="4"/>
        <v>10000</v>
      </c>
      <c r="W23" s="28">
        <f t="shared" si="4"/>
        <v>10000</v>
      </c>
      <c r="X23" s="28">
        <f t="shared" si="4"/>
        <v>10000</v>
      </c>
      <c r="Y23" s="28">
        <f t="shared" si="4"/>
        <v>10000</v>
      </c>
      <c r="Z23" s="28">
        <f t="shared" si="4"/>
        <v>10000</v>
      </c>
      <c r="AA23" s="33">
        <v>5</v>
      </c>
      <c r="AB23" s="30">
        <f t="shared" si="1"/>
        <v>1200000</v>
      </c>
      <c r="AC23" s="124"/>
      <c r="AF23" s="31"/>
    </row>
    <row r="24" spans="1:32" ht="14.4" customHeight="1" thickTop="1" thickBot="1" x14ac:dyDescent="0.3">
      <c r="A24" s="120">
        <v>46569</v>
      </c>
      <c r="B24" s="34" t="s">
        <v>19</v>
      </c>
      <c r="C24" s="28">
        <v>10000</v>
      </c>
      <c r="D24" s="28">
        <f t="shared" si="3"/>
        <v>10000</v>
      </c>
      <c r="E24" s="28">
        <f t="shared" si="3"/>
        <v>10000</v>
      </c>
      <c r="F24" s="28">
        <f t="shared" si="3"/>
        <v>10000</v>
      </c>
      <c r="G24" s="28">
        <f t="shared" si="3"/>
        <v>10000</v>
      </c>
      <c r="H24" s="28">
        <f t="shared" si="3"/>
        <v>10000</v>
      </c>
      <c r="I24" s="28">
        <f t="shared" si="3"/>
        <v>10000</v>
      </c>
      <c r="J24" s="28">
        <f t="shared" si="3"/>
        <v>10000</v>
      </c>
      <c r="K24" s="28">
        <f t="shared" si="3"/>
        <v>10000</v>
      </c>
      <c r="L24" s="28">
        <f t="shared" si="3"/>
        <v>10000</v>
      </c>
      <c r="M24" s="28">
        <f t="shared" si="3"/>
        <v>10000</v>
      </c>
      <c r="N24" s="28">
        <f t="shared" si="3"/>
        <v>10000</v>
      </c>
      <c r="O24" s="28">
        <f t="shared" si="3"/>
        <v>10000</v>
      </c>
      <c r="P24" s="28">
        <f t="shared" si="3"/>
        <v>10000</v>
      </c>
      <c r="Q24" s="28">
        <f t="shared" si="3"/>
        <v>10000</v>
      </c>
      <c r="R24" s="28">
        <f t="shared" si="4"/>
        <v>10000</v>
      </c>
      <c r="S24" s="28">
        <f t="shared" si="4"/>
        <v>10000</v>
      </c>
      <c r="T24" s="28">
        <f t="shared" si="4"/>
        <v>10000</v>
      </c>
      <c r="U24" s="28">
        <f t="shared" si="4"/>
        <v>10000</v>
      </c>
      <c r="V24" s="28">
        <f t="shared" si="4"/>
        <v>10000</v>
      </c>
      <c r="W24" s="28">
        <f t="shared" si="4"/>
        <v>10000</v>
      </c>
      <c r="X24" s="28">
        <f t="shared" si="4"/>
        <v>10000</v>
      </c>
      <c r="Y24" s="28">
        <f t="shared" si="4"/>
        <v>10000</v>
      </c>
      <c r="Z24" s="28">
        <f t="shared" si="4"/>
        <v>10000</v>
      </c>
      <c r="AA24" s="33">
        <v>20</v>
      </c>
      <c r="AB24" s="30">
        <f t="shared" si="1"/>
        <v>4800000</v>
      </c>
      <c r="AC24" s="122">
        <f t="shared" si="2"/>
        <v>7440000</v>
      </c>
      <c r="AF24" s="31"/>
    </row>
    <row r="25" spans="1:32" ht="13.95" customHeight="1" thickBot="1" x14ac:dyDescent="0.3">
      <c r="A25" s="121"/>
      <c r="B25" s="32" t="s">
        <v>20</v>
      </c>
      <c r="C25" s="28">
        <v>10000</v>
      </c>
      <c r="D25" s="28">
        <f t="shared" si="3"/>
        <v>10000</v>
      </c>
      <c r="E25" s="28">
        <f t="shared" si="3"/>
        <v>10000</v>
      </c>
      <c r="F25" s="28">
        <f t="shared" si="3"/>
        <v>10000</v>
      </c>
      <c r="G25" s="28">
        <f t="shared" si="3"/>
        <v>10000</v>
      </c>
      <c r="H25" s="28">
        <f t="shared" si="3"/>
        <v>10000</v>
      </c>
      <c r="I25" s="28">
        <f t="shared" si="3"/>
        <v>10000</v>
      </c>
      <c r="J25" s="28">
        <f t="shared" si="3"/>
        <v>10000</v>
      </c>
      <c r="K25" s="28">
        <f t="shared" si="3"/>
        <v>10000</v>
      </c>
      <c r="L25" s="28">
        <f t="shared" si="3"/>
        <v>10000</v>
      </c>
      <c r="M25" s="28">
        <f t="shared" si="3"/>
        <v>10000</v>
      </c>
      <c r="N25" s="28">
        <f t="shared" si="3"/>
        <v>10000</v>
      </c>
      <c r="O25" s="28">
        <f t="shared" si="3"/>
        <v>10000</v>
      </c>
      <c r="P25" s="28">
        <f t="shared" si="3"/>
        <v>10000</v>
      </c>
      <c r="Q25" s="28">
        <f t="shared" si="3"/>
        <v>10000</v>
      </c>
      <c r="R25" s="28">
        <f t="shared" si="4"/>
        <v>10000</v>
      </c>
      <c r="S25" s="28">
        <f t="shared" si="4"/>
        <v>10000</v>
      </c>
      <c r="T25" s="28">
        <f t="shared" si="4"/>
        <v>10000</v>
      </c>
      <c r="U25" s="28">
        <f t="shared" si="4"/>
        <v>10000</v>
      </c>
      <c r="V25" s="28">
        <f t="shared" si="4"/>
        <v>10000</v>
      </c>
      <c r="W25" s="28">
        <f t="shared" si="4"/>
        <v>10000</v>
      </c>
      <c r="X25" s="28">
        <f t="shared" si="4"/>
        <v>10000</v>
      </c>
      <c r="Y25" s="28">
        <f t="shared" si="4"/>
        <v>10000</v>
      </c>
      <c r="Z25" s="28">
        <f t="shared" si="4"/>
        <v>10000</v>
      </c>
      <c r="AA25" s="33">
        <v>5</v>
      </c>
      <c r="AB25" s="30">
        <f t="shared" si="1"/>
        <v>1200000</v>
      </c>
      <c r="AC25" s="123"/>
      <c r="AF25" s="31"/>
    </row>
    <row r="26" spans="1:32" ht="13.95" customHeight="1" thickBot="1" x14ac:dyDescent="0.3">
      <c r="A26" s="121"/>
      <c r="B26" s="32" t="s">
        <v>21</v>
      </c>
      <c r="C26" s="28">
        <v>10000</v>
      </c>
      <c r="D26" s="28">
        <f t="shared" si="3"/>
        <v>10000</v>
      </c>
      <c r="E26" s="28">
        <f t="shared" si="3"/>
        <v>10000</v>
      </c>
      <c r="F26" s="28">
        <f t="shared" si="3"/>
        <v>10000</v>
      </c>
      <c r="G26" s="28">
        <f t="shared" si="3"/>
        <v>10000</v>
      </c>
      <c r="H26" s="28">
        <f t="shared" si="3"/>
        <v>10000</v>
      </c>
      <c r="I26" s="28">
        <f t="shared" si="3"/>
        <v>10000</v>
      </c>
      <c r="J26" s="28">
        <f t="shared" si="3"/>
        <v>10000</v>
      </c>
      <c r="K26" s="28">
        <f t="shared" si="3"/>
        <v>10000</v>
      </c>
      <c r="L26" s="28">
        <f t="shared" si="3"/>
        <v>10000</v>
      </c>
      <c r="M26" s="28">
        <f t="shared" si="3"/>
        <v>10000</v>
      </c>
      <c r="N26" s="28">
        <f t="shared" si="3"/>
        <v>10000</v>
      </c>
      <c r="O26" s="28">
        <f t="shared" si="3"/>
        <v>10000</v>
      </c>
      <c r="P26" s="28">
        <f t="shared" si="3"/>
        <v>10000</v>
      </c>
      <c r="Q26" s="28">
        <f t="shared" si="3"/>
        <v>10000</v>
      </c>
      <c r="R26" s="28">
        <f t="shared" si="4"/>
        <v>10000</v>
      </c>
      <c r="S26" s="28">
        <f t="shared" si="4"/>
        <v>10000</v>
      </c>
      <c r="T26" s="28">
        <f t="shared" si="4"/>
        <v>10000</v>
      </c>
      <c r="U26" s="28">
        <f t="shared" si="4"/>
        <v>10000</v>
      </c>
      <c r="V26" s="28">
        <f t="shared" si="4"/>
        <v>10000</v>
      </c>
      <c r="W26" s="28">
        <f t="shared" si="4"/>
        <v>10000</v>
      </c>
      <c r="X26" s="28">
        <f t="shared" si="4"/>
        <v>10000</v>
      </c>
      <c r="Y26" s="28">
        <f t="shared" si="4"/>
        <v>10000</v>
      </c>
      <c r="Z26" s="28">
        <f t="shared" si="4"/>
        <v>10000</v>
      </c>
      <c r="AA26" s="33">
        <v>6</v>
      </c>
      <c r="AB26" s="30">
        <f t="shared" si="1"/>
        <v>1440000</v>
      </c>
      <c r="AC26" s="124"/>
      <c r="AF26" s="31"/>
    </row>
    <row r="27" spans="1:32" ht="14.4" customHeight="1" thickTop="1" thickBot="1" x14ac:dyDescent="0.3">
      <c r="A27" s="120">
        <v>46600</v>
      </c>
      <c r="B27" s="35" t="s">
        <v>19</v>
      </c>
      <c r="C27" s="28">
        <v>10000</v>
      </c>
      <c r="D27" s="28">
        <f t="shared" si="3"/>
        <v>10000</v>
      </c>
      <c r="E27" s="28">
        <f t="shared" si="3"/>
        <v>10000</v>
      </c>
      <c r="F27" s="28">
        <f t="shared" si="3"/>
        <v>10000</v>
      </c>
      <c r="G27" s="28">
        <f t="shared" si="3"/>
        <v>10000</v>
      </c>
      <c r="H27" s="28">
        <f t="shared" si="3"/>
        <v>10000</v>
      </c>
      <c r="I27" s="28">
        <f t="shared" si="3"/>
        <v>10000</v>
      </c>
      <c r="J27" s="28">
        <f t="shared" si="3"/>
        <v>10000</v>
      </c>
      <c r="K27" s="28">
        <f t="shared" si="3"/>
        <v>10000</v>
      </c>
      <c r="L27" s="28">
        <f t="shared" si="3"/>
        <v>10000</v>
      </c>
      <c r="M27" s="28">
        <f t="shared" si="3"/>
        <v>10000</v>
      </c>
      <c r="N27" s="28">
        <f t="shared" si="3"/>
        <v>10000</v>
      </c>
      <c r="O27" s="28">
        <f t="shared" si="3"/>
        <v>10000</v>
      </c>
      <c r="P27" s="28">
        <f t="shared" si="3"/>
        <v>10000</v>
      </c>
      <c r="Q27" s="28">
        <f t="shared" si="3"/>
        <v>10000</v>
      </c>
      <c r="R27" s="28">
        <f t="shared" si="4"/>
        <v>10000</v>
      </c>
      <c r="S27" s="28">
        <f t="shared" si="4"/>
        <v>10000</v>
      </c>
      <c r="T27" s="28">
        <f t="shared" si="4"/>
        <v>10000</v>
      </c>
      <c r="U27" s="28">
        <f t="shared" si="4"/>
        <v>10000</v>
      </c>
      <c r="V27" s="28">
        <f t="shared" si="4"/>
        <v>10000</v>
      </c>
      <c r="W27" s="28">
        <f t="shared" si="4"/>
        <v>10000</v>
      </c>
      <c r="X27" s="28">
        <f t="shared" si="4"/>
        <v>10000</v>
      </c>
      <c r="Y27" s="28">
        <f t="shared" si="4"/>
        <v>10000</v>
      </c>
      <c r="Z27" s="28">
        <f t="shared" si="4"/>
        <v>10000</v>
      </c>
      <c r="AA27" s="33">
        <v>21</v>
      </c>
      <c r="AB27" s="30">
        <f t="shared" si="1"/>
        <v>5040000</v>
      </c>
      <c r="AC27" s="122">
        <f t="shared" si="2"/>
        <v>7440000</v>
      </c>
      <c r="AF27" s="31"/>
    </row>
    <row r="28" spans="1:32" ht="13.95" customHeight="1" thickBot="1" x14ac:dyDescent="0.3">
      <c r="A28" s="121"/>
      <c r="B28" s="32" t="s">
        <v>20</v>
      </c>
      <c r="C28" s="28">
        <v>10000</v>
      </c>
      <c r="D28" s="28">
        <f t="shared" si="3"/>
        <v>10000</v>
      </c>
      <c r="E28" s="28">
        <f t="shared" si="3"/>
        <v>10000</v>
      </c>
      <c r="F28" s="28">
        <f t="shared" si="3"/>
        <v>10000</v>
      </c>
      <c r="G28" s="28">
        <f t="shared" si="3"/>
        <v>10000</v>
      </c>
      <c r="H28" s="28">
        <f t="shared" si="3"/>
        <v>10000</v>
      </c>
      <c r="I28" s="28">
        <f t="shared" si="3"/>
        <v>10000</v>
      </c>
      <c r="J28" s="28">
        <f t="shared" si="3"/>
        <v>10000</v>
      </c>
      <c r="K28" s="28">
        <f t="shared" si="3"/>
        <v>10000</v>
      </c>
      <c r="L28" s="28">
        <f t="shared" si="3"/>
        <v>10000</v>
      </c>
      <c r="M28" s="28">
        <f t="shared" si="3"/>
        <v>10000</v>
      </c>
      <c r="N28" s="28">
        <f t="shared" si="3"/>
        <v>10000</v>
      </c>
      <c r="O28" s="28">
        <f t="shared" si="3"/>
        <v>10000</v>
      </c>
      <c r="P28" s="28">
        <f t="shared" si="3"/>
        <v>10000</v>
      </c>
      <c r="Q28" s="28">
        <f t="shared" si="3"/>
        <v>10000</v>
      </c>
      <c r="R28" s="28">
        <f t="shared" si="4"/>
        <v>10000</v>
      </c>
      <c r="S28" s="28">
        <f t="shared" si="4"/>
        <v>10000</v>
      </c>
      <c r="T28" s="28">
        <f t="shared" si="4"/>
        <v>10000</v>
      </c>
      <c r="U28" s="28">
        <f t="shared" si="4"/>
        <v>10000</v>
      </c>
      <c r="V28" s="28">
        <f t="shared" si="4"/>
        <v>10000</v>
      </c>
      <c r="W28" s="28">
        <f t="shared" si="4"/>
        <v>10000</v>
      </c>
      <c r="X28" s="28">
        <f t="shared" si="4"/>
        <v>10000</v>
      </c>
      <c r="Y28" s="28">
        <f t="shared" si="4"/>
        <v>10000</v>
      </c>
      <c r="Z28" s="28">
        <f t="shared" si="4"/>
        <v>10000</v>
      </c>
      <c r="AA28" s="33">
        <v>3</v>
      </c>
      <c r="AB28" s="30">
        <f t="shared" si="1"/>
        <v>720000</v>
      </c>
      <c r="AC28" s="123"/>
      <c r="AF28" s="31"/>
    </row>
    <row r="29" spans="1:32" ht="13.95" customHeight="1" thickBot="1" x14ac:dyDescent="0.3">
      <c r="A29" s="121"/>
      <c r="B29" s="32" t="s">
        <v>21</v>
      </c>
      <c r="C29" s="28">
        <v>10000</v>
      </c>
      <c r="D29" s="28">
        <f t="shared" si="3"/>
        <v>10000</v>
      </c>
      <c r="E29" s="28">
        <f t="shared" si="3"/>
        <v>10000</v>
      </c>
      <c r="F29" s="28">
        <f t="shared" si="3"/>
        <v>10000</v>
      </c>
      <c r="G29" s="28">
        <f t="shared" si="3"/>
        <v>10000</v>
      </c>
      <c r="H29" s="28">
        <f t="shared" si="3"/>
        <v>10000</v>
      </c>
      <c r="I29" s="28">
        <f t="shared" si="3"/>
        <v>10000</v>
      </c>
      <c r="J29" s="28">
        <f t="shared" si="3"/>
        <v>10000</v>
      </c>
      <c r="K29" s="28">
        <f t="shared" si="3"/>
        <v>10000</v>
      </c>
      <c r="L29" s="28">
        <f t="shared" si="3"/>
        <v>10000</v>
      </c>
      <c r="M29" s="28">
        <f t="shared" si="3"/>
        <v>10000</v>
      </c>
      <c r="N29" s="28">
        <f t="shared" si="3"/>
        <v>10000</v>
      </c>
      <c r="O29" s="28">
        <f t="shared" si="3"/>
        <v>10000</v>
      </c>
      <c r="P29" s="28">
        <f t="shared" si="3"/>
        <v>10000</v>
      </c>
      <c r="Q29" s="28">
        <f t="shared" si="3"/>
        <v>10000</v>
      </c>
      <c r="R29" s="28">
        <f t="shared" si="4"/>
        <v>10000</v>
      </c>
      <c r="S29" s="28">
        <f t="shared" si="4"/>
        <v>10000</v>
      </c>
      <c r="T29" s="28">
        <f t="shared" si="4"/>
        <v>10000</v>
      </c>
      <c r="U29" s="28">
        <f t="shared" si="4"/>
        <v>10000</v>
      </c>
      <c r="V29" s="28">
        <f t="shared" si="4"/>
        <v>10000</v>
      </c>
      <c r="W29" s="28">
        <f t="shared" si="4"/>
        <v>10000</v>
      </c>
      <c r="X29" s="28">
        <f t="shared" si="4"/>
        <v>10000</v>
      </c>
      <c r="Y29" s="28">
        <f t="shared" si="4"/>
        <v>10000</v>
      </c>
      <c r="Z29" s="28">
        <f t="shared" si="4"/>
        <v>10000</v>
      </c>
      <c r="AA29" s="33">
        <v>7</v>
      </c>
      <c r="AB29" s="30">
        <f t="shared" si="1"/>
        <v>1680000</v>
      </c>
      <c r="AC29" s="124"/>
      <c r="AF29" s="31"/>
    </row>
    <row r="30" spans="1:32" ht="14.4" customHeight="1" thickTop="1" thickBot="1" x14ac:dyDescent="0.3">
      <c r="A30" s="120">
        <v>46631</v>
      </c>
      <c r="B30" s="34" t="s">
        <v>19</v>
      </c>
      <c r="C30" s="28">
        <v>10000</v>
      </c>
      <c r="D30" s="28">
        <f t="shared" si="3"/>
        <v>10000</v>
      </c>
      <c r="E30" s="28">
        <f t="shared" si="3"/>
        <v>10000</v>
      </c>
      <c r="F30" s="28">
        <f t="shared" si="3"/>
        <v>10000</v>
      </c>
      <c r="G30" s="28">
        <f t="shared" si="3"/>
        <v>10000</v>
      </c>
      <c r="H30" s="28">
        <f t="shared" si="3"/>
        <v>10000</v>
      </c>
      <c r="I30" s="28">
        <f t="shared" si="3"/>
        <v>10000</v>
      </c>
      <c r="J30" s="28">
        <f t="shared" si="3"/>
        <v>10000</v>
      </c>
      <c r="K30" s="28">
        <f t="shared" si="3"/>
        <v>10000</v>
      </c>
      <c r="L30" s="28">
        <f t="shared" si="3"/>
        <v>10000</v>
      </c>
      <c r="M30" s="28">
        <f t="shared" si="3"/>
        <v>10000</v>
      </c>
      <c r="N30" s="28">
        <f t="shared" si="3"/>
        <v>10000</v>
      </c>
      <c r="O30" s="28">
        <f t="shared" si="3"/>
        <v>10000</v>
      </c>
      <c r="P30" s="28">
        <f t="shared" si="3"/>
        <v>10000</v>
      </c>
      <c r="Q30" s="28">
        <f t="shared" si="3"/>
        <v>10000</v>
      </c>
      <c r="R30" s="28">
        <f t="shared" si="4"/>
        <v>10000</v>
      </c>
      <c r="S30" s="28">
        <f t="shared" si="4"/>
        <v>10000</v>
      </c>
      <c r="T30" s="28">
        <f t="shared" si="4"/>
        <v>10000</v>
      </c>
      <c r="U30" s="28">
        <f t="shared" si="4"/>
        <v>10000</v>
      </c>
      <c r="V30" s="28">
        <f t="shared" si="4"/>
        <v>10000</v>
      </c>
      <c r="W30" s="28">
        <f t="shared" si="4"/>
        <v>10000</v>
      </c>
      <c r="X30" s="28">
        <f t="shared" si="4"/>
        <v>10000</v>
      </c>
      <c r="Y30" s="28">
        <f t="shared" si="4"/>
        <v>10000</v>
      </c>
      <c r="Z30" s="28">
        <f t="shared" si="4"/>
        <v>10000</v>
      </c>
      <c r="AA30" s="33">
        <v>22</v>
      </c>
      <c r="AB30" s="30">
        <f t="shared" si="1"/>
        <v>5280000</v>
      </c>
      <c r="AC30" s="122">
        <f t="shared" si="2"/>
        <v>7200000</v>
      </c>
      <c r="AF30" s="31"/>
    </row>
    <row r="31" spans="1:32" ht="13.95" customHeight="1" thickBot="1" x14ac:dyDescent="0.3">
      <c r="A31" s="121"/>
      <c r="B31" s="32" t="s">
        <v>20</v>
      </c>
      <c r="C31" s="28">
        <v>10000</v>
      </c>
      <c r="D31" s="28">
        <f t="shared" si="3"/>
        <v>10000</v>
      </c>
      <c r="E31" s="28">
        <f t="shared" si="3"/>
        <v>10000</v>
      </c>
      <c r="F31" s="28">
        <f t="shared" si="3"/>
        <v>10000</v>
      </c>
      <c r="G31" s="28">
        <f t="shared" si="3"/>
        <v>10000</v>
      </c>
      <c r="H31" s="28">
        <f t="shared" si="3"/>
        <v>10000</v>
      </c>
      <c r="I31" s="28">
        <f t="shared" si="3"/>
        <v>10000</v>
      </c>
      <c r="J31" s="28">
        <f t="shared" si="3"/>
        <v>10000</v>
      </c>
      <c r="K31" s="28">
        <f t="shared" si="3"/>
        <v>10000</v>
      </c>
      <c r="L31" s="28">
        <f t="shared" si="3"/>
        <v>10000</v>
      </c>
      <c r="M31" s="28">
        <f t="shared" si="3"/>
        <v>10000</v>
      </c>
      <c r="N31" s="28">
        <f t="shared" si="3"/>
        <v>10000</v>
      </c>
      <c r="O31" s="28">
        <f t="shared" si="3"/>
        <v>10000</v>
      </c>
      <c r="P31" s="28">
        <f t="shared" si="3"/>
        <v>10000</v>
      </c>
      <c r="Q31" s="28">
        <f t="shared" si="3"/>
        <v>10000</v>
      </c>
      <c r="R31" s="28">
        <f t="shared" si="4"/>
        <v>10000</v>
      </c>
      <c r="S31" s="28">
        <f t="shared" si="4"/>
        <v>10000</v>
      </c>
      <c r="T31" s="28">
        <f t="shared" si="4"/>
        <v>10000</v>
      </c>
      <c r="U31" s="28">
        <f t="shared" si="4"/>
        <v>10000</v>
      </c>
      <c r="V31" s="28">
        <f t="shared" si="4"/>
        <v>10000</v>
      </c>
      <c r="W31" s="28">
        <f t="shared" si="4"/>
        <v>10000</v>
      </c>
      <c r="X31" s="28">
        <f t="shared" si="4"/>
        <v>10000</v>
      </c>
      <c r="Y31" s="28">
        <f t="shared" si="4"/>
        <v>10000</v>
      </c>
      <c r="Z31" s="28">
        <f t="shared" si="4"/>
        <v>10000</v>
      </c>
      <c r="AA31" s="33">
        <v>4</v>
      </c>
      <c r="AB31" s="30">
        <f t="shared" si="1"/>
        <v>960000</v>
      </c>
      <c r="AC31" s="123"/>
      <c r="AF31" s="31"/>
    </row>
    <row r="32" spans="1:32" ht="13.95" customHeight="1" thickBot="1" x14ac:dyDescent="0.3">
      <c r="A32" s="121"/>
      <c r="B32" s="32" t="s">
        <v>21</v>
      </c>
      <c r="C32" s="28">
        <v>10000</v>
      </c>
      <c r="D32" s="28">
        <f t="shared" si="3"/>
        <v>10000</v>
      </c>
      <c r="E32" s="28">
        <f t="shared" si="3"/>
        <v>10000</v>
      </c>
      <c r="F32" s="28">
        <f t="shared" si="3"/>
        <v>10000</v>
      </c>
      <c r="G32" s="28">
        <f t="shared" si="3"/>
        <v>10000</v>
      </c>
      <c r="H32" s="28">
        <f t="shared" si="3"/>
        <v>10000</v>
      </c>
      <c r="I32" s="28">
        <f t="shared" si="3"/>
        <v>10000</v>
      </c>
      <c r="J32" s="28">
        <f t="shared" si="3"/>
        <v>10000</v>
      </c>
      <c r="K32" s="28">
        <f t="shared" si="3"/>
        <v>10000</v>
      </c>
      <c r="L32" s="28">
        <f t="shared" si="3"/>
        <v>10000</v>
      </c>
      <c r="M32" s="28">
        <f t="shared" si="3"/>
        <v>10000</v>
      </c>
      <c r="N32" s="28">
        <f t="shared" si="3"/>
        <v>10000</v>
      </c>
      <c r="O32" s="28">
        <f t="shared" si="3"/>
        <v>10000</v>
      </c>
      <c r="P32" s="28">
        <f t="shared" si="3"/>
        <v>10000</v>
      </c>
      <c r="Q32" s="28">
        <f t="shared" si="3"/>
        <v>10000</v>
      </c>
      <c r="R32" s="28">
        <f t="shared" si="4"/>
        <v>10000</v>
      </c>
      <c r="S32" s="28">
        <f t="shared" si="4"/>
        <v>10000</v>
      </c>
      <c r="T32" s="28">
        <f t="shared" si="4"/>
        <v>10000</v>
      </c>
      <c r="U32" s="28">
        <f t="shared" si="4"/>
        <v>10000</v>
      </c>
      <c r="V32" s="28">
        <f t="shared" si="4"/>
        <v>10000</v>
      </c>
      <c r="W32" s="28">
        <f t="shared" si="4"/>
        <v>10000</v>
      </c>
      <c r="X32" s="28">
        <f t="shared" si="4"/>
        <v>10000</v>
      </c>
      <c r="Y32" s="28">
        <f t="shared" si="4"/>
        <v>10000</v>
      </c>
      <c r="Z32" s="28">
        <f t="shared" si="4"/>
        <v>10000</v>
      </c>
      <c r="AA32" s="33">
        <v>4</v>
      </c>
      <c r="AB32" s="30">
        <f t="shared" si="1"/>
        <v>960000</v>
      </c>
      <c r="AC32" s="124"/>
      <c r="AF32" s="31"/>
    </row>
    <row r="33" spans="1:32" ht="14.4" customHeight="1" thickTop="1" thickBot="1" x14ac:dyDescent="0.3">
      <c r="A33" s="120">
        <v>46661</v>
      </c>
      <c r="B33" s="35" t="s">
        <v>19</v>
      </c>
      <c r="C33" s="28">
        <v>10000</v>
      </c>
      <c r="D33" s="28">
        <f t="shared" si="3"/>
        <v>10000</v>
      </c>
      <c r="E33" s="28">
        <f t="shared" si="3"/>
        <v>10000</v>
      </c>
      <c r="F33" s="28">
        <f t="shared" si="3"/>
        <v>10000</v>
      </c>
      <c r="G33" s="28">
        <f t="shared" si="3"/>
        <v>10000</v>
      </c>
      <c r="H33" s="28">
        <f t="shared" si="3"/>
        <v>10000</v>
      </c>
      <c r="I33" s="28">
        <f t="shared" si="3"/>
        <v>10000</v>
      </c>
      <c r="J33" s="28">
        <f t="shared" si="3"/>
        <v>10000</v>
      </c>
      <c r="K33" s="28">
        <f t="shared" si="3"/>
        <v>10000</v>
      </c>
      <c r="L33" s="28">
        <f t="shared" si="3"/>
        <v>10000</v>
      </c>
      <c r="M33" s="28">
        <f t="shared" si="3"/>
        <v>10000</v>
      </c>
      <c r="N33" s="28">
        <f t="shared" si="3"/>
        <v>10000</v>
      </c>
      <c r="O33" s="28">
        <f t="shared" si="3"/>
        <v>10000</v>
      </c>
      <c r="P33" s="28">
        <f t="shared" si="3"/>
        <v>10000</v>
      </c>
      <c r="Q33" s="28">
        <f t="shared" si="3"/>
        <v>10000</v>
      </c>
      <c r="R33" s="28">
        <f t="shared" si="4"/>
        <v>10000</v>
      </c>
      <c r="S33" s="28">
        <f t="shared" si="4"/>
        <v>10000</v>
      </c>
      <c r="T33" s="28">
        <f t="shared" si="4"/>
        <v>10000</v>
      </c>
      <c r="U33" s="28">
        <f t="shared" si="4"/>
        <v>10000</v>
      </c>
      <c r="V33" s="28">
        <f t="shared" si="4"/>
        <v>10000</v>
      </c>
      <c r="W33" s="28">
        <f t="shared" si="4"/>
        <v>10000</v>
      </c>
      <c r="X33" s="28">
        <f t="shared" si="4"/>
        <v>10000</v>
      </c>
      <c r="Y33" s="28">
        <f t="shared" si="4"/>
        <v>10000</v>
      </c>
      <c r="Z33" s="28">
        <f t="shared" si="4"/>
        <v>10000</v>
      </c>
      <c r="AA33" s="33">
        <v>20</v>
      </c>
      <c r="AB33" s="30">
        <f t="shared" si="1"/>
        <v>4800000</v>
      </c>
      <c r="AC33" s="122">
        <f t="shared" si="2"/>
        <v>7440000</v>
      </c>
      <c r="AF33" s="31"/>
    </row>
    <row r="34" spans="1:32" ht="13.95" customHeight="1" thickBot="1" x14ac:dyDescent="0.3">
      <c r="A34" s="121"/>
      <c r="B34" s="32" t="s">
        <v>20</v>
      </c>
      <c r="C34" s="28">
        <v>10000</v>
      </c>
      <c r="D34" s="28">
        <f t="shared" si="3"/>
        <v>10000</v>
      </c>
      <c r="E34" s="28">
        <f t="shared" si="3"/>
        <v>10000</v>
      </c>
      <c r="F34" s="28">
        <f t="shared" si="3"/>
        <v>10000</v>
      </c>
      <c r="G34" s="28">
        <f t="shared" si="3"/>
        <v>10000</v>
      </c>
      <c r="H34" s="28">
        <f t="shared" si="3"/>
        <v>10000</v>
      </c>
      <c r="I34" s="28">
        <f t="shared" si="3"/>
        <v>10000</v>
      </c>
      <c r="J34" s="28">
        <f t="shared" si="3"/>
        <v>10000</v>
      </c>
      <c r="K34" s="28">
        <f t="shared" si="3"/>
        <v>10000</v>
      </c>
      <c r="L34" s="28">
        <f t="shared" si="3"/>
        <v>10000</v>
      </c>
      <c r="M34" s="28">
        <f t="shared" si="3"/>
        <v>10000</v>
      </c>
      <c r="N34" s="28">
        <f t="shared" si="3"/>
        <v>10000</v>
      </c>
      <c r="O34" s="28">
        <f t="shared" si="3"/>
        <v>10000</v>
      </c>
      <c r="P34" s="28">
        <f t="shared" si="3"/>
        <v>10000</v>
      </c>
      <c r="Q34" s="28">
        <f t="shared" si="3"/>
        <v>10000</v>
      </c>
      <c r="R34" s="28">
        <f t="shared" si="4"/>
        <v>10000</v>
      </c>
      <c r="S34" s="28">
        <f t="shared" si="4"/>
        <v>10000</v>
      </c>
      <c r="T34" s="28">
        <f t="shared" si="4"/>
        <v>10000</v>
      </c>
      <c r="U34" s="28">
        <f t="shared" si="4"/>
        <v>10000</v>
      </c>
      <c r="V34" s="28">
        <f t="shared" si="4"/>
        <v>10000</v>
      </c>
      <c r="W34" s="28">
        <f t="shared" si="4"/>
        <v>10000</v>
      </c>
      <c r="X34" s="28">
        <f t="shared" si="4"/>
        <v>10000</v>
      </c>
      <c r="Y34" s="28">
        <f t="shared" si="4"/>
        <v>10000</v>
      </c>
      <c r="Z34" s="28">
        <f t="shared" si="4"/>
        <v>10000</v>
      </c>
      <c r="AA34" s="33">
        <v>5</v>
      </c>
      <c r="AB34" s="30">
        <f t="shared" si="1"/>
        <v>1200000</v>
      </c>
      <c r="AC34" s="123"/>
      <c r="AF34" s="31"/>
    </row>
    <row r="35" spans="1:32" ht="13.95" customHeight="1" thickBot="1" x14ac:dyDescent="0.3">
      <c r="A35" s="121"/>
      <c r="B35" s="32" t="s">
        <v>21</v>
      </c>
      <c r="C35" s="28">
        <v>10000</v>
      </c>
      <c r="D35" s="28">
        <f t="shared" si="3"/>
        <v>10000</v>
      </c>
      <c r="E35" s="28">
        <f t="shared" si="3"/>
        <v>10000</v>
      </c>
      <c r="F35" s="28">
        <f t="shared" si="3"/>
        <v>10000</v>
      </c>
      <c r="G35" s="28">
        <f t="shared" si="3"/>
        <v>10000</v>
      </c>
      <c r="H35" s="28">
        <f t="shared" si="3"/>
        <v>10000</v>
      </c>
      <c r="I35" s="28">
        <f t="shared" si="3"/>
        <v>10000</v>
      </c>
      <c r="J35" s="28">
        <f t="shared" si="3"/>
        <v>10000</v>
      </c>
      <c r="K35" s="28">
        <f t="shared" si="3"/>
        <v>10000</v>
      </c>
      <c r="L35" s="28">
        <f t="shared" ref="L35:Q41" si="5">+K35</f>
        <v>10000</v>
      </c>
      <c r="M35" s="28">
        <f t="shared" si="5"/>
        <v>10000</v>
      </c>
      <c r="N35" s="28">
        <f t="shared" si="5"/>
        <v>10000</v>
      </c>
      <c r="O35" s="28">
        <f t="shared" si="5"/>
        <v>10000</v>
      </c>
      <c r="P35" s="28">
        <f t="shared" si="5"/>
        <v>10000</v>
      </c>
      <c r="Q35" s="28">
        <f t="shared" si="5"/>
        <v>10000</v>
      </c>
      <c r="R35" s="28">
        <f t="shared" si="4"/>
        <v>10000</v>
      </c>
      <c r="S35" s="28">
        <f t="shared" si="4"/>
        <v>10000</v>
      </c>
      <c r="T35" s="28">
        <f t="shared" si="4"/>
        <v>10000</v>
      </c>
      <c r="U35" s="28">
        <f t="shared" si="4"/>
        <v>10000</v>
      </c>
      <c r="V35" s="28">
        <f t="shared" si="4"/>
        <v>10000</v>
      </c>
      <c r="W35" s="28">
        <f t="shared" si="4"/>
        <v>10000</v>
      </c>
      <c r="X35" s="28">
        <f t="shared" si="4"/>
        <v>10000</v>
      </c>
      <c r="Y35" s="28">
        <f t="shared" si="4"/>
        <v>10000</v>
      </c>
      <c r="Z35" s="28">
        <f t="shared" si="4"/>
        <v>10000</v>
      </c>
      <c r="AA35" s="33">
        <v>6</v>
      </c>
      <c r="AB35" s="30">
        <f t="shared" si="1"/>
        <v>1440000</v>
      </c>
      <c r="AC35" s="124"/>
      <c r="AF35" s="31"/>
    </row>
    <row r="36" spans="1:32" ht="14.4" customHeight="1" thickTop="1" thickBot="1" x14ac:dyDescent="0.3">
      <c r="A36" s="120">
        <v>46692</v>
      </c>
      <c r="B36" s="34" t="s">
        <v>19</v>
      </c>
      <c r="C36" s="28">
        <v>10000</v>
      </c>
      <c r="D36" s="28">
        <f t="shared" ref="D36:S54" si="6">+C36</f>
        <v>10000</v>
      </c>
      <c r="E36" s="28">
        <f t="shared" si="6"/>
        <v>10000</v>
      </c>
      <c r="F36" s="28">
        <f t="shared" si="6"/>
        <v>10000</v>
      </c>
      <c r="G36" s="28">
        <f t="shared" si="6"/>
        <v>10000</v>
      </c>
      <c r="H36" s="28">
        <f t="shared" si="6"/>
        <v>10000</v>
      </c>
      <c r="I36" s="28">
        <f t="shared" si="6"/>
        <v>10000</v>
      </c>
      <c r="J36" s="28">
        <f t="shared" si="6"/>
        <v>10000</v>
      </c>
      <c r="K36" s="28">
        <f t="shared" si="6"/>
        <v>10000</v>
      </c>
      <c r="L36" s="28">
        <f t="shared" si="5"/>
        <v>10000</v>
      </c>
      <c r="M36" s="28">
        <f t="shared" si="5"/>
        <v>10000</v>
      </c>
      <c r="N36" s="28">
        <f t="shared" si="5"/>
        <v>10000</v>
      </c>
      <c r="O36" s="28">
        <f t="shared" si="5"/>
        <v>10000</v>
      </c>
      <c r="P36" s="28">
        <f t="shared" si="5"/>
        <v>10000</v>
      </c>
      <c r="Q36" s="28">
        <f t="shared" si="5"/>
        <v>10000</v>
      </c>
      <c r="R36" s="28">
        <f t="shared" si="4"/>
        <v>10000</v>
      </c>
      <c r="S36" s="28">
        <f t="shared" si="4"/>
        <v>10000</v>
      </c>
      <c r="T36" s="28">
        <f t="shared" si="4"/>
        <v>10000</v>
      </c>
      <c r="U36" s="28">
        <f t="shared" si="4"/>
        <v>10000</v>
      </c>
      <c r="V36" s="28">
        <f t="shared" si="4"/>
        <v>10000</v>
      </c>
      <c r="W36" s="28">
        <f t="shared" si="4"/>
        <v>10000</v>
      </c>
      <c r="X36" s="28">
        <f t="shared" si="4"/>
        <v>10000</v>
      </c>
      <c r="Y36" s="28">
        <f t="shared" si="4"/>
        <v>10000</v>
      </c>
      <c r="Z36" s="28">
        <f t="shared" si="4"/>
        <v>10000</v>
      </c>
      <c r="AA36" s="33">
        <v>20</v>
      </c>
      <c r="AB36" s="30">
        <f t="shared" si="1"/>
        <v>4800000</v>
      </c>
      <c r="AC36" s="122">
        <f t="shared" si="2"/>
        <v>7200000</v>
      </c>
      <c r="AF36" s="31"/>
    </row>
    <row r="37" spans="1:32" ht="13.95" customHeight="1" thickBot="1" x14ac:dyDescent="0.3">
      <c r="A37" s="121"/>
      <c r="B37" s="32" t="s">
        <v>20</v>
      </c>
      <c r="C37" s="28">
        <v>10000</v>
      </c>
      <c r="D37" s="28">
        <f t="shared" si="6"/>
        <v>10000</v>
      </c>
      <c r="E37" s="28">
        <f t="shared" si="6"/>
        <v>10000</v>
      </c>
      <c r="F37" s="28">
        <f t="shared" si="6"/>
        <v>10000</v>
      </c>
      <c r="G37" s="28">
        <f t="shared" si="6"/>
        <v>10000</v>
      </c>
      <c r="H37" s="28">
        <f t="shared" si="6"/>
        <v>10000</v>
      </c>
      <c r="I37" s="28">
        <f t="shared" si="6"/>
        <v>10000</v>
      </c>
      <c r="J37" s="28">
        <f t="shared" si="6"/>
        <v>10000</v>
      </c>
      <c r="K37" s="28">
        <f t="shared" si="6"/>
        <v>10000</v>
      </c>
      <c r="L37" s="28">
        <f t="shared" si="5"/>
        <v>10000</v>
      </c>
      <c r="M37" s="28">
        <f t="shared" si="5"/>
        <v>10000</v>
      </c>
      <c r="N37" s="28">
        <f t="shared" si="5"/>
        <v>10000</v>
      </c>
      <c r="O37" s="28">
        <f t="shared" si="5"/>
        <v>10000</v>
      </c>
      <c r="P37" s="28">
        <f t="shared" si="5"/>
        <v>10000</v>
      </c>
      <c r="Q37" s="28">
        <f t="shared" si="5"/>
        <v>10000</v>
      </c>
      <c r="R37" s="28">
        <f t="shared" si="4"/>
        <v>10000</v>
      </c>
      <c r="S37" s="28">
        <f t="shared" si="4"/>
        <v>10000</v>
      </c>
      <c r="T37" s="28">
        <f t="shared" si="4"/>
        <v>10000</v>
      </c>
      <c r="U37" s="28">
        <f t="shared" si="4"/>
        <v>10000</v>
      </c>
      <c r="V37" s="28">
        <f t="shared" si="4"/>
        <v>10000</v>
      </c>
      <c r="W37" s="28">
        <f t="shared" si="4"/>
        <v>10000</v>
      </c>
      <c r="X37" s="28">
        <f t="shared" si="4"/>
        <v>10000</v>
      </c>
      <c r="Y37" s="28">
        <f t="shared" si="4"/>
        <v>10000</v>
      </c>
      <c r="Z37" s="28">
        <f t="shared" si="4"/>
        <v>10000</v>
      </c>
      <c r="AA37" s="33">
        <v>4</v>
      </c>
      <c r="AB37" s="30">
        <f t="shared" ref="AB37:AB77" si="7">+SUM(C37:Z37)*AA37</f>
        <v>960000</v>
      </c>
      <c r="AC37" s="123"/>
      <c r="AF37" s="31"/>
    </row>
    <row r="38" spans="1:32" ht="13.95" customHeight="1" thickBot="1" x14ac:dyDescent="0.3">
      <c r="A38" s="121"/>
      <c r="B38" s="32" t="s">
        <v>21</v>
      </c>
      <c r="C38" s="28">
        <v>10000</v>
      </c>
      <c r="D38" s="28">
        <f t="shared" si="6"/>
        <v>10000</v>
      </c>
      <c r="E38" s="28">
        <f t="shared" si="6"/>
        <v>10000</v>
      </c>
      <c r="F38" s="28">
        <f t="shared" si="6"/>
        <v>10000</v>
      </c>
      <c r="G38" s="28">
        <f t="shared" si="6"/>
        <v>10000</v>
      </c>
      <c r="H38" s="28">
        <f t="shared" si="6"/>
        <v>10000</v>
      </c>
      <c r="I38" s="28">
        <f t="shared" si="6"/>
        <v>10000</v>
      </c>
      <c r="J38" s="28">
        <f t="shared" si="6"/>
        <v>10000</v>
      </c>
      <c r="K38" s="28">
        <f t="shared" si="6"/>
        <v>10000</v>
      </c>
      <c r="L38" s="28">
        <f t="shared" si="5"/>
        <v>10000</v>
      </c>
      <c r="M38" s="28">
        <f t="shared" si="5"/>
        <v>10000</v>
      </c>
      <c r="N38" s="28">
        <f t="shared" si="5"/>
        <v>10000</v>
      </c>
      <c r="O38" s="28">
        <f t="shared" si="5"/>
        <v>10000</v>
      </c>
      <c r="P38" s="28">
        <f t="shared" si="5"/>
        <v>10000</v>
      </c>
      <c r="Q38" s="28">
        <f t="shared" si="5"/>
        <v>10000</v>
      </c>
      <c r="R38" s="28">
        <f t="shared" si="4"/>
        <v>10000</v>
      </c>
      <c r="S38" s="28">
        <f t="shared" si="4"/>
        <v>10000</v>
      </c>
      <c r="T38" s="28">
        <f t="shared" si="4"/>
        <v>10000</v>
      </c>
      <c r="U38" s="28">
        <f t="shared" si="4"/>
        <v>10000</v>
      </c>
      <c r="V38" s="28">
        <f t="shared" si="4"/>
        <v>10000</v>
      </c>
      <c r="W38" s="28">
        <f t="shared" si="4"/>
        <v>10000</v>
      </c>
      <c r="X38" s="28">
        <f t="shared" si="4"/>
        <v>10000</v>
      </c>
      <c r="Y38" s="28">
        <f t="shared" si="4"/>
        <v>10000</v>
      </c>
      <c r="Z38" s="28">
        <f t="shared" si="4"/>
        <v>10000</v>
      </c>
      <c r="AA38" s="33">
        <v>6</v>
      </c>
      <c r="AB38" s="30">
        <f t="shared" si="7"/>
        <v>1440000</v>
      </c>
      <c r="AC38" s="124"/>
      <c r="AF38" s="31"/>
    </row>
    <row r="39" spans="1:32" ht="14.4" customHeight="1" thickTop="1" thickBot="1" x14ac:dyDescent="0.3">
      <c r="A39" s="120">
        <v>46722</v>
      </c>
      <c r="B39" s="35" t="s">
        <v>19</v>
      </c>
      <c r="C39" s="28">
        <v>10000</v>
      </c>
      <c r="D39" s="28">
        <f t="shared" si="6"/>
        <v>10000</v>
      </c>
      <c r="E39" s="28">
        <f t="shared" si="6"/>
        <v>10000</v>
      </c>
      <c r="F39" s="28">
        <f t="shared" si="6"/>
        <v>10000</v>
      </c>
      <c r="G39" s="28">
        <f t="shared" si="6"/>
        <v>10000</v>
      </c>
      <c r="H39" s="28">
        <f t="shared" si="6"/>
        <v>10000</v>
      </c>
      <c r="I39" s="28">
        <f t="shared" si="6"/>
        <v>10000</v>
      </c>
      <c r="J39" s="28">
        <f t="shared" si="6"/>
        <v>10000</v>
      </c>
      <c r="K39" s="28">
        <f t="shared" si="6"/>
        <v>10000</v>
      </c>
      <c r="L39" s="28">
        <f t="shared" si="5"/>
        <v>10000</v>
      </c>
      <c r="M39" s="28">
        <f t="shared" si="5"/>
        <v>10000</v>
      </c>
      <c r="N39" s="28">
        <f t="shared" si="5"/>
        <v>10000</v>
      </c>
      <c r="O39" s="28">
        <f t="shared" si="5"/>
        <v>10000</v>
      </c>
      <c r="P39" s="28">
        <f t="shared" si="5"/>
        <v>10000</v>
      </c>
      <c r="Q39" s="28">
        <f t="shared" si="5"/>
        <v>10000</v>
      </c>
      <c r="R39" s="28">
        <f t="shared" si="4"/>
        <v>10000</v>
      </c>
      <c r="S39" s="28">
        <f t="shared" si="4"/>
        <v>10000</v>
      </c>
      <c r="T39" s="28">
        <f t="shared" si="4"/>
        <v>10000</v>
      </c>
      <c r="U39" s="28">
        <f t="shared" si="4"/>
        <v>10000</v>
      </c>
      <c r="V39" s="28">
        <f t="shared" si="4"/>
        <v>10000</v>
      </c>
      <c r="W39" s="28">
        <f t="shared" si="4"/>
        <v>10000</v>
      </c>
      <c r="X39" s="28">
        <f t="shared" si="4"/>
        <v>10000</v>
      </c>
      <c r="Y39" s="28">
        <f t="shared" si="4"/>
        <v>10000</v>
      </c>
      <c r="Z39" s="28">
        <f t="shared" si="4"/>
        <v>10000</v>
      </c>
      <c r="AA39" s="33">
        <v>22</v>
      </c>
      <c r="AB39" s="30">
        <f t="shared" si="7"/>
        <v>5280000</v>
      </c>
      <c r="AC39" s="122">
        <f t="shared" si="2"/>
        <v>7440000</v>
      </c>
      <c r="AF39" s="31"/>
    </row>
    <row r="40" spans="1:32" ht="13.95" customHeight="1" thickBot="1" x14ac:dyDescent="0.3">
      <c r="A40" s="121"/>
      <c r="B40" s="32" t="s">
        <v>20</v>
      </c>
      <c r="C40" s="28">
        <v>10000</v>
      </c>
      <c r="D40" s="28">
        <f t="shared" si="6"/>
        <v>10000</v>
      </c>
      <c r="E40" s="28">
        <f t="shared" si="6"/>
        <v>10000</v>
      </c>
      <c r="F40" s="28">
        <f t="shared" si="6"/>
        <v>10000</v>
      </c>
      <c r="G40" s="28">
        <f t="shared" si="6"/>
        <v>10000</v>
      </c>
      <c r="H40" s="28">
        <f t="shared" si="6"/>
        <v>10000</v>
      </c>
      <c r="I40" s="28">
        <f t="shared" si="6"/>
        <v>10000</v>
      </c>
      <c r="J40" s="28">
        <f t="shared" si="6"/>
        <v>10000</v>
      </c>
      <c r="K40" s="28">
        <f t="shared" si="6"/>
        <v>10000</v>
      </c>
      <c r="L40" s="28">
        <f t="shared" si="5"/>
        <v>10000</v>
      </c>
      <c r="M40" s="28">
        <f t="shared" si="5"/>
        <v>10000</v>
      </c>
      <c r="N40" s="28">
        <f t="shared" si="5"/>
        <v>10000</v>
      </c>
      <c r="O40" s="28">
        <f t="shared" si="5"/>
        <v>10000</v>
      </c>
      <c r="P40" s="28">
        <f t="shared" si="5"/>
        <v>10000</v>
      </c>
      <c r="Q40" s="28">
        <f t="shared" si="5"/>
        <v>10000</v>
      </c>
      <c r="R40" s="28">
        <f t="shared" si="4"/>
        <v>10000</v>
      </c>
      <c r="S40" s="28">
        <f t="shared" si="4"/>
        <v>10000</v>
      </c>
      <c r="T40" s="28">
        <f t="shared" si="4"/>
        <v>10000</v>
      </c>
      <c r="U40" s="28">
        <f t="shared" si="4"/>
        <v>10000</v>
      </c>
      <c r="V40" s="28">
        <f t="shared" si="4"/>
        <v>10000</v>
      </c>
      <c r="W40" s="28">
        <f t="shared" si="4"/>
        <v>10000</v>
      </c>
      <c r="X40" s="28">
        <f t="shared" si="4"/>
        <v>10000</v>
      </c>
      <c r="Y40" s="28">
        <f t="shared" si="4"/>
        <v>10000</v>
      </c>
      <c r="Z40" s="28">
        <f t="shared" si="4"/>
        <v>10000</v>
      </c>
      <c r="AA40" s="33">
        <v>3</v>
      </c>
      <c r="AB40" s="30">
        <f t="shared" si="7"/>
        <v>720000</v>
      </c>
      <c r="AC40" s="123"/>
      <c r="AF40" s="31"/>
    </row>
    <row r="41" spans="1:32" ht="13.95" customHeight="1" thickBot="1" x14ac:dyDescent="0.3">
      <c r="A41" s="125"/>
      <c r="B41" s="36" t="s">
        <v>21</v>
      </c>
      <c r="C41" s="28">
        <v>10000</v>
      </c>
      <c r="D41" s="28">
        <f t="shared" si="6"/>
        <v>10000</v>
      </c>
      <c r="E41" s="28">
        <f t="shared" si="6"/>
        <v>10000</v>
      </c>
      <c r="F41" s="28">
        <f t="shared" si="6"/>
        <v>10000</v>
      </c>
      <c r="G41" s="28">
        <f t="shared" si="6"/>
        <v>10000</v>
      </c>
      <c r="H41" s="28">
        <f t="shared" si="6"/>
        <v>10000</v>
      </c>
      <c r="I41" s="28">
        <f t="shared" si="6"/>
        <v>10000</v>
      </c>
      <c r="J41" s="28">
        <f t="shared" si="6"/>
        <v>10000</v>
      </c>
      <c r="K41" s="28">
        <f t="shared" si="6"/>
        <v>10000</v>
      </c>
      <c r="L41" s="28">
        <f t="shared" si="5"/>
        <v>10000</v>
      </c>
      <c r="M41" s="28">
        <f t="shared" si="5"/>
        <v>10000</v>
      </c>
      <c r="N41" s="28">
        <f t="shared" si="5"/>
        <v>10000</v>
      </c>
      <c r="O41" s="28">
        <f t="shared" si="5"/>
        <v>10000</v>
      </c>
      <c r="P41" s="28">
        <f t="shared" si="5"/>
        <v>10000</v>
      </c>
      <c r="Q41" s="28">
        <f t="shared" si="5"/>
        <v>10000</v>
      </c>
      <c r="R41" s="28">
        <f t="shared" si="4"/>
        <v>10000</v>
      </c>
      <c r="S41" s="28">
        <f t="shared" si="4"/>
        <v>10000</v>
      </c>
      <c r="T41" s="28">
        <f t="shared" si="4"/>
        <v>10000</v>
      </c>
      <c r="U41" s="28">
        <f t="shared" si="4"/>
        <v>10000</v>
      </c>
      <c r="V41" s="28">
        <f t="shared" si="4"/>
        <v>10000</v>
      </c>
      <c r="W41" s="28">
        <f t="shared" si="4"/>
        <v>10000</v>
      </c>
      <c r="X41" s="28">
        <f t="shared" si="4"/>
        <v>10000</v>
      </c>
      <c r="Y41" s="28">
        <f t="shared" si="4"/>
        <v>10000</v>
      </c>
      <c r="Z41" s="28">
        <f t="shared" si="4"/>
        <v>10000</v>
      </c>
      <c r="AA41" s="37">
        <v>6</v>
      </c>
      <c r="AB41" s="30">
        <f t="shared" si="7"/>
        <v>1440000</v>
      </c>
      <c r="AC41" s="124"/>
      <c r="AF41" s="31"/>
    </row>
    <row r="42" spans="1:32" ht="13.95" customHeight="1" thickBot="1" x14ac:dyDescent="0.3">
      <c r="A42" s="126">
        <v>46753</v>
      </c>
      <c r="B42" s="23" t="s">
        <v>19</v>
      </c>
      <c r="C42" s="28">
        <v>15000</v>
      </c>
      <c r="D42" s="28">
        <f t="shared" si="6"/>
        <v>15000</v>
      </c>
      <c r="E42" s="28">
        <f t="shared" si="6"/>
        <v>15000</v>
      </c>
      <c r="F42" s="28">
        <f t="shared" si="6"/>
        <v>15000</v>
      </c>
      <c r="G42" s="28">
        <f t="shared" si="6"/>
        <v>15000</v>
      </c>
      <c r="H42" s="28">
        <f t="shared" si="6"/>
        <v>15000</v>
      </c>
      <c r="I42" s="28">
        <f t="shared" si="6"/>
        <v>15000</v>
      </c>
      <c r="J42" s="28">
        <f t="shared" si="6"/>
        <v>15000</v>
      </c>
      <c r="K42" s="28">
        <f t="shared" si="6"/>
        <v>15000</v>
      </c>
      <c r="L42" s="28">
        <f t="shared" si="6"/>
        <v>15000</v>
      </c>
      <c r="M42" s="28">
        <f t="shared" si="6"/>
        <v>15000</v>
      </c>
      <c r="N42" s="28">
        <f t="shared" si="6"/>
        <v>15000</v>
      </c>
      <c r="O42" s="28">
        <f t="shared" si="6"/>
        <v>15000</v>
      </c>
      <c r="P42" s="28">
        <f t="shared" si="6"/>
        <v>15000</v>
      </c>
      <c r="Q42" s="28">
        <f t="shared" si="6"/>
        <v>15000</v>
      </c>
      <c r="R42" s="28">
        <f t="shared" si="6"/>
        <v>15000</v>
      </c>
      <c r="S42" s="28">
        <f t="shared" si="6"/>
        <v>15000</v>
      </c>
      <c r="T42" s="28">
        <f t="shared" si="4"/>
        <v>15000</v>
      </c>
      <c r="U42" s="28">
        <f t="shared" si="4"/>
        <v>15000</v>
      </c>
      <c r="V42" s="28">
        <f t="shared" si="4"/>
        <v>15000</v>
      </c>
      <c r="W42" s="28">
        <f t="shared" si="4"/>
        <v>15000</v>
      </c>
      <c r="X42" s="28">
        <f t="shared" si="4"/>
        <v>15000</v>
      </c>
      <c r="Y42" s="28">
        <f t="shared" si="4"/>
        <v>15000</v>
      </c>
      <c r="Z42" s="28">
        <f t="shared" si="4"/>
        <v>15000</v>
      </c>
      <c r="AA42" s="29">
        <v>20</v>
      </c>
      <c r="AB42" s="30">
        <f t="shared" si="7"/>
        <v>7200000</v>
      </c>
      <c r="AC42" s="122">
        <f t="shared" si="2"/>
        <v>11160000</v>
      </c>
      <c r="AF42" s="31"/>
    </row>
    <row r="43" spans="1:32" ht="13.95" customHeight="1" thickBot="1" x14ac:dyDescent="0.3">
      <c r="A43" s="121"/>
      <c r="B43" s="32" t="s">
        <v>20</v>
      </c>
      <c r="C43" s="28">
        <v>15000</v>
      </c>
      <c r="D43" s="28">
        <f t="shared" si="6"/>
        <v>15000</v>
      </c>
      <c r="E43" s="28">
        <f t="shared" si="6"/>
        <v>15000</v>
      </c>
      <c r="F43" s="28">
        <f t="shared" si="6"/>
        <v>15000</v>
      </c>
      <c r="G43" s="28">
        <f t="shared" si="6"/>
        <v>15000</v>
      </c>
      <c r="H43" s="28">
        <f t="shared" si="6"/>
        <v>15000</v>
      </c>
      <c r="I43" s="28">
        <f t="shared" si="6"/>
        <v>15000</v>
      </c>
      <c r="J43" s="28">
        <f t="shared" si="6"/>
        <v>15000</v>
      </c>
      <c r="K43" s="28">
        <f t="shared" si="6"/>
        <v>15000</v>
      </c>
      <c r="L43" s="28">
        <f t="shared" si="6"/>
        <v>15000</v>
      </c>
      <c r="M43" s="28">
        <f t="shared" si="6"/>
        <v>15000</v>
      </c>
      <c r="N43" s="28">
        <f t="shared" si="6"/>
        <v>15000</v>
      </c>
      <c r="O43" s="28">
        <f t="shared" si="6"/>
        <v>15000</v>
      </c>
      <c r="P43" s="28">
        <f t="shared" si="6"/>
        <v>15000</v>
      </c>
      <c r="Q43" s="28">
        <f t="shared" si="6"/>
        <v>15000</v>
      </c>
      <c r="R43" s="28">
        <f t="shared" si="6"/>
        <v>15000</v>
      </c>
      <c r="S43" s="28">
        <f t="shared" si="6"/>
        <v>15000</v>
      </c>
      <c r="T43" s="28">
        <f t="shared" si="4"/>
        <v>15000</v>
      </c>
      <c r="U43" s="28">
        <f t="shared" si="4"/>
        <v>15000</v>
      </c>
      <c r="V43" s="28">
        <f t="shared" si="4"/>
        <v>15000</v>
      </c>
      <c r="W43" s="28">
        <f t="shared" si="4"/>
        <v>15000</v>
      </c>
      <c r="X43" s="28">
        <f t="shared" si="4"/>
        <v>15000</v>
      </c>
      <c r="Y43" s="28">
        <f t="shared" si="4"/>
        <v>15000</v>
      </c>
      <c r="Z43" s="28">
        <f t="shared" si="4"/>
        <v>15000</v>
      </c>
      <c r="AA43" s="33">
        <v>4</v>
      </c>
      <c r="AB43" s="30">
        <f t="shared" si="7"/>
        <v>1440000</v>
      </c>
      <c r="AC43" s="123"/>
      <c r="AF43" s="31"/>
    </row>
    <row r="44" spans="1:32" ht="13.95" customHeight="1" thickBot="1" x14ac:dyDescent="0.3">
      <c r="A44" s="121"/>
      <c r="B44" s="32" t="s">
        <v>21</v>
      </c>
      <c r="C44" s="28">
        <v>15000</v>
      </c>
      <c r="D44" s="28">
        <f t="shared" si="6"/>
        <v>15000</v>
      </c>
      <c r="E44" s="28">
        <f t="shared" si="6"/>
        <v>15000</v>
      </c>
      <c r="F44" s="28">
        <f t="shared" si="6"/>
        <v>15000</v>
      </c>
      <c r="G44" s="28">
        <f t="shared" si="6"/>
        <v>15000</v>
      </c>
      <c r="H44" s="28">
        <f t="shared" si="6"/>
        <v>15000</v>
      </c>
      <c r="I44" s="28">
        <f t="shared" si="6"/>
        <v>15000</v>
      </c>
      <c r="J44" s="28">
        <f t="shared" si="6"/>
        <v>15000</v>
      </c>
      <c r="K44" s="28">
        <f t="shared" si="6"/>
        <v>15000</v>
      </c>
      <c r="L44" s="28">
        <f t="shared" si="6"/>
        <v>15000</v>
      </c>
      <c r="M44" s="28">
        <f t="shared" si="6"/>
        <v>15000</v>
      </c>
      <c r="N44" s="28">
        <f t="shared" si="6"/>
        <v>15000</v>
      </c>
      <c r="O44" s="28">
        <f t="shared" si="6"/>
        <v>15000</v>
      </c>
      <c r="P44" s="28">
        <f t="shared" si="6"/>
        <v>15000</v>
      </c>
      <c r="Q44" s="28">
        <f t="shared" si="6"/>
        <v>15000</v>
      </c>
      <c r="R44" s="28">
        <f t="shared" si="6"/>
        <v>15000</v>
      </c>
      <c r="S44" s="28">
        <f t="shared" si="6"/>
        <v>15000</v>
      </c>
      <c r="T44" s="28">
        <f t="shared" si="4"/>
        <v>15000</v>
      </c>
      <c r="U44" s="28">
        <f t="shared" si="4"/>
        <v>15000</v>
      </c>
      <c r="V44" s="28">
        <f t="shared" si="4"/>
        <v>15000</v>
      </c>
      <c r="W44" s="28">
        <f t="shared" si="4"/>
        <v>15000</v>
      </c>
      <c r="X44" s="28">
        <f t="shared" si="4"/>
        <v>15000</v>
      </c>
      <c r="Y44" s="28">
        <f t="shared" si="4"/>
        <v>15000</v>
      </c>
      <c r="Z44" s="28">
        <f t="shared" si="4"/>
        <v>15000</v>
      </c>
      <c r="AA44" s="33">
        <v>7</v>
      </c>
      <c r="AB44" s="30">
        <f t="shared" si="7"/>
        <v>2520000</v>
      </c>
      <c r="AC44" s="124"/>
      <c r="AF44" s="31"/>
    </row>
    <row r="45" spans="1:32" ht="14.4" customHeight="1" thickTop="1" thickBot="1" x14ac:dyDescent="0.3">
      <c r="A45" s="120">
        <v>46784</v>
      </c>
      <c r="B45" s="34" t="s">
        <v>19</v>
      </c>
      <c r="C45" s="28">
        <v>15000</v>
      </c>
      <c r="D45" s="28">
        <f t="shared" si="6"/>
        <v>15000</v>
      </c>
      <c r="E45" s="28">
        <f t="shared" si="6"/>
        <v>15000</v>
      </c>
      <c r="F45" s="28">
        <f t="shared" si="6"/>
        <v>15000</v>
      </c>
      <c r="G45" s="28">
        <f t="shared" si="6"/>
        <v>15000</v>
      </c>
      <c r="H45" s="28">
        <f t="shared" si="6"/>
        <v>15000</v>
      </c>
      <c r="I45" s="28">
        <f t="shared" si="6"/>
        <v>15000</v>
      </c>
      <c r="J45" s="28">
        <f t="shared" si="6"/>
        <v>15000</v>
      </c>
      <c r="K45" s="28">
        <f t="shared" si="6"/>
        <v>15000</v>
      </c>
      <c r="L45" s="28">
        <f t="shared" si="6"/>
        <v>15000</v>
      </c>
      <c r="M45" s="28">
        <f t="shared" si="6"/>
        <v>15000</v>
      </c>
      <c r="N45" s="28">
        <f t="shared" si="6"/>
        <v>15000</v>
      </c>
      <c r="O45" s="28">
        <f t="shared" si="6"/>
        <v>15000</v>
      </c>
      <c r="P45" s="28">
        <f t="shared" si="6"/>
        <v>15000</v>
      </c>
      <c r="Q45" s="28">
        <f t="shared" si="6"/>
        <v>15000</v>
      </c>
      <c r="R45" s="28">
        <f t="shared" si="6"/>
        <v>15000</v>
      </c>
      <c r="S45" s="28">
        <f t="shared" si="6"/>
        <v>15000</v>
      </c>
      <c r="T45" s="28">
        <f t="shared" si="4"/>
        <v>15000</v>
      </c>
      <c r="U45" s="28">
        <f t="shared" si="4"/>
        <v>15000</v>
      </c>
      <c r="V45" s="28">
        <f t="shared" si="4"/>
        <v>15000</v>
      </c>
      <c r="W45" s="28">
        <f t="shared" si="4"/>
        <v>15000</v>
      </c>
      <c r="X45" s="28">
        <f t="shared" si="4"/>
        <v>15000</v>
      </c>
      <c r="Y45" s="28">
        <f t="shared" si="4"/>
        <v>15000</v>
      </c>
      <c r="Z45" s="28">
        <f t="shared" si="4"/>
        <v>15000</v>
      </c>
      <c r="AA45" s="33">
        <v>21</v>
      </c>
      <c r="AB45" s="30">
        <f t="shared" si="7"/>
        <v>7560000</v>
      </c>
      <c r="AC45" s="122">
        <f t="shared" si="2"/>
        <v>10440000</v>
      </c>
      <c r="AF45" s="31"/>
    </row>
    <row r="46" spans="1:32" ht="13.95" customHeight="1" thickBot="1" x14ac:dyDescent="0.3">
      <c r="A46" s="121"/>
      <c r="B46" s="32" t="s">
        <v>20</v>
      </c>
      <c r="C46" s="28">
        <v>15000</v>
      </c>
      <c r="D46" s="28">
        <f t="shared" si="6"/>
        <v>15000</v>
      </c>
      <c r="E46" s="28">
        <f t="shared" si="6"/>
        <v>15000</v>
      </c>
      <c r="F46" s="28">
        <f t="shared" si="6"/>
        <v>15000</v>
      </c>
      <c r="G46" s="28">
        <f t="shared" si="6"/>
        <v>15000</v>
      </c>
      <c r="H46" s="28">
        <f t="shared" si="6"/>
        <v>15000</v>
      </c>
      <c r="I46" s="28">
        <f t="shared" si="6"/>
        <v>15000</v>
      </c>
      <c r="J46" s="28">
        <f t="shared" si="6"/>
        <v>15000</v>
      </c>
      <c r="K46" s="28">
        <f t="shared" si="6"/>
        <v>15000</v>
      </c>
      <c r="L46" s="28">
        <f t="shared" si="6"/>
        <v>15000</v>
      </c>
      <c r="M46" s="28">
        <f t="shared" si="6"/>
        <v>15000</v>
      </c>
      <c r="N46" s="28">
        <f t="shared" si="6"/>
        <v>15000</v>
      </c>
      <c r="O46" s="28">
        <f t="shared" si="6"/>
        <v>15000</v>
      </c>
      <c r="P46" s="28">
        <f t="shared" si="6"/>
        <v>15000</v>
      </c>
      <c r="Q46" s="28">
        <f t="shared" si="6"/>
        <v>15000</v>
      </c>
      <c r="R46" s="28">
        <f t="shared" si="6"/>
        <v>15000</v>
      </c>
      <c r="S46" s="28">
        <f t="shared" si="6"/>
        <v>15000</v>
      </c>
      <c r="T46" s="28">
        <f t="shared" si="4"/>
        <v>15000</v>
      </c>
      <c r="U46" s="28">
        <f t="shared" si="4"/>
        <v>15000</v>
      </c>
      <c r="V46" s="28">
        <f t="shared" ref="V46:Z46" si="8">+U46</f>
        <v>15000</v>
      </c>
      <c r="W46" s="28">
        <f t="shared" si="8"/>
        <v>15000</v>
      </c>
      <c r="X46" s="28">
        <f t="shared" si="8"/>
        <v>15000</v>
      </c>
      <c r="Y46" s="28">
        <f t="shared" si="8"/>
        <v>15000</v>
      </c>
      <c r="Z46" s="28">
        <f t="shared" si="8"/>
        <v>15000</v>
      </c>
      <c r="AA46" s="33">
        <v>4</v>
      </c>
      <c r="AB46" s="30">
        <f t="shared" si="7"/>
        <v>1440000</v>
      </c>
      <c r="AC46" s="123"/>
      <c r="AF46" s="31"/>
    </row>
    <row r="47" spans="1:32" ht="13.95" customHeight="1" thickBot="1" x14ac:dyDescent="0.3">
      <c r="A47" s="121"/>
      <c r="B47" s="32" t="s">
        <v>21</v>
      </c>
      <c r="C47" s="28">
        <v>15000</v>
      </c>
      <c r="D47" s="28">
        <f t="shared" si="6"/>
        <v>15000</v>
      </c>
      <c r="E47" s="28">
        <f t="shared" si="6"/>
        <v>15000</v>
      </c>
      <c r="F47" s="28">
        <f t="shared" si="6"/>
        <v>15000</v>
      </c>
      <c r="G47" s="28">
        <f t="shared" si="6"/>
        <v>15000</v>
      </c>
      <c r="H47" s="28">
        <f t="shared" si="6"/>
        <v>15000</v>
      </c>
      <c r="I47" s="28">
        <f t="shared" si="6"/>
        <v>15000</v>
      </c>
      <c r="J47" s="28">
        <f t="shared" si="6"/>
        <v>15000</v>
      </c>
      <c r="K47" s="28">
        <f t="shared" si="6"/>
        <v>15000</v>
      </c>
      <c r="L47" s="28">
        <f t="shared" si="6"/>
        <v>15000</v>
      </c>
      <c r="M47" s="28">
        <f t="shared" si="6"/>
        <v>15000</v>
      </c>
      <c r="N47" s="28">
        <f t="shared" si="6"/>
        <v>15000</v>
      </c>
      <c r="O47" s="28">
        <f t="shared" si="6"/>
        <v>15000</v>
      </c>
      <c r="P47" s="28">
        <f t="shared" si="6"/>
        <v>15000</v>
      </c>
      <c r="Q47" s="28">
        <f t="shared" si="6"/>
        <v>15000</v>
      </c>
      <c r="R47" s="28">
        <f t="shared" si="6"/>
        <v>15000</v>
      </c>
      <c r="S47" s="28">
        <f t="shared" si="6"/>
        <v>15000</v>
      </c>
      <c r="T47" s="28">
        <f t="shared" ref="T47:Z53" si="9">+S47</f>
        <v>15000</v>
      </c>
      <c r="U47" s="28">
        <f t="shared" si="9"/>
        <v>15000</v>
      </c>
      <c r="V47" s="28">
        <f t="shared" si="9"/>
        <v>15000</v>
      </c>
      <c r="W47" s="28">
        <f t="shared" si="9"/>
        <v>15000</v>
      </c>
      <c r="X47" s="28">
        <f t="shared" si="9"/>
        <v>15000</v>
      </c>
      <c r="Y47" s="28">
        <f t="shared" si="9"/>
        <v>15000</v>
      </c>
      <c r="Z47" s="28">
        <f t="shared" si="9"/>
        <v>15000</v>
      </c>
      <c r="AA47" s="33">
        <v>4</v>
      </c>
      <c r="AB47" s="30">
        <f t="shared" si="7"/>
        <v>1440000</v>
      </c>
      <c r="AC47" s="124"/>
      <c r="AF47" s="31"/>
    </row>
    <row r="48" spans="1:32" ht="14.4" customHeight="1" thickTop="1" thickBot="1" x14ac:dyDescent="0.3">
      <c r="A48" s="120">
        <v>46813</v>
      </c>
      <c r="B48" s="34" t="s">
        <v>19</v>
      </c>
      <c r="C48" s="28">
        <v>15000</v>
      </c>
      <c r="D48" s="28">
        <f t="shared" si="6"/>
        <v>15000</v>
      </c>
      <c r="E48" s="28">
        <f t="shared" si="6"/>
        <v>15000</v>
      </c>
      <c r="F48" s="28">
        <f t="shared" si="6"/>
        <v>15000</v>
      </c>
      <c r="G48" s="28">
        <f t="shared" si="6"/>
        <v>15000</v>
      </c>
      <c r="H48" s="28">
        <f t="shared" si="6"/>
        <v>15000</v>
      </c>
      <c r="I48" s="28">
        <f t="shared" si="6"/>
        <v>15000</v>
      </c>
      <c r="J48" s="28">
        <f t="shared" si="6"/>
        <v>15000</v>
      </c>
      <c r="K48" s="28">
        <f t="shared" si="6"/>
        <v>15000</v>
      </c>
      <c r="L48" s="28">
        <f t="shared" si="6"/>
        <v>15000</v>
      </c>
      <c r="M48" s="28">
        <f t="shared" si="6"/>
        <v>15000</v>
      </c>
      <c r="N48" s="28">
        <f t="shared" si="6"/>
        <v>15000</v>
      </c>
      <c r="O48" s="28">
        <f t="shared" si="6"/>
        <v>15000</v>
      </c>
      <c r="P48" s="28">
        <f t="shared" si="6"/>
        <v>15000</v>
      </c>
      <c r="Q48" s="28">
        <f t="shared" si="6"/>
        <v>15000</v>
      </c>
      <c r="R48" s="28">
        <f t="shared" si="6"/>
        <v>15000</v>
      </c>
      <c r="S48" s="28">
        <f t="shared" si="6"/>
        <v>15000</v>
      </c>
      <c r="T48" s="28">
        <f t="shared" si="9"/>
        <v>15000</v>
      </c>
      <c r="U48" s="28">
        <f t="shared" si="9"/>
        <v>15000</v>
      </c>
      <c r="V48" s="28">
        <f t="shared" si="9"/>
        <v>15000</v>
      </c>
      <c r="W48" s="28">
        <f t="shared" si="9"/>
        <v>15000</v>
      </c>
      <c r="X48" s="28">
        <f t="shared" si="9"/>
        <v>15000</v>
      </c>
      <c r="Y48" s="28">
        <f t="shared" si="9"/>
        <v>15000</v>
      </c>
      <c r="Z48" s="28">
        <f t="shared" si="9"/>
        <v>15000</v>
      </c>
      <c r="AA48" s="33">
        <v>22</v>
      </c>
      <c r="AB48" s="30">
        <f t="shared" si="7"/>
        <v>7920000</v>
      </c>
      <c r="AC48" s="122">
        <f t="shared" si="2"/>
        <v>11160000</v>
      </c>
      <c r="AF48" s="31"/>
    </row>
    <row r="49" spans="1:32" ht="13.95" customHeight="1" thickBot="1" x14ac:dyDescent="0.3">
      <c r="A49" s="121"/>
      <c r="B49" s="32" t="s">
        <v>20</v>
      </c>
      <c r="C49" s="28">
        <v>15000</v>
      </c>
      <c r="D49" s="28">
        <f t="shared" si="6"/>
        <v>15000</v>
      </c>
      <c r="E49" s="28">
        <f t="shared" si="6"/>
        <v>15000</v>
      </c>
      <c r="F49" s="28">
        <f t="shared" si="6"/>
        <v>15000</v>
      </c>
      <c r="G49" s="28">
        <f t="shared" si="6"/>
        <v>15000</v>
      </c>
      <c r="H49" s="28">
        <f t="shared" si="6"/>
        <v>15000</v>
      </c>
      <c r="I49" s="28">
        <f t="shared" si="6"/>
        <v>15000</v>
      </c>
      <c r="J49" s="28">
        <f t="shared" si="6"/>
        <v>15000</v>
      </c>
      <c r="K49" s="28">
        <f t="shared" si="6"/>
        <v>15000</v>
      </c>
      <c r="L49" s="28">
        <f t="shared" si="6"/>
        <v>15000</v>
      </c>
      <c r="M49" s="28">
        <f t="shared" si="6"/>
        <v>15000</v>
      </c>
      <c r="N49" s="28">
        <f t="shared" si="6"/>
        <v>15000</v>
      </c>
      <c r="O49" s="28">
        <f t="shared" si="6"/>
        <v>15000</v>
      </c>
      <c r="P49" s="28">
        <f t="shared" si="6"/>
        <v>15000</v>
      </c>
      <c r="Q49" s="28">
        <f t="shared" si="6"/>
        <v>15000</v>
      </c>
      <c r="R49" s="28">
        <f t="shared" si="6"/>
        <v>15000</v>
      </c>
      <c r="S49" s="28">
        <f t="shared" si="6"/>
        <v>15000</v>
      </c>
      <c r="T49" s="28">
        <f t="shared" si="9"/>
        <v>15000</v>
      </c>
      <c r="U49" s="28">
        <f t="shared" si="9"/>
        <v>15000</v>
      </c>
      <c r="V49" s="28">
        <f t="shared" si="9"/>
        <v>15000</v>
      </c>
      <c r="W49" s="28">
        <f t="shared" si="9"/>
        <v>15000</v>
      </c>
      <c r="X49" s="28">
        <f t="shared" si="9"/>
        <v>15000</v>
      </c>
      <c r="Y49" s="28">
        <f t="shared" si="9"/>
        <v>15000</v>
      </c>
      <c r="Z49" s="28">
        <f t="shared" si="9"/>
        <v>15000</v>
      </c>
      <c r="AA49" s="33">
        <v>4</v>
      </c>
      <c r="AB49" s="30">
        <f t="shared" si="7"/>
        <v>1440000</v>
      </c>
      <c r="AC49" s="123"/>
      <c r="AF49" s="31"/>
    </row>
    <row r="50" spans="1:32" ht="13.95" customHeight="1" thickBot="1" x14ac:dyDescent="0.3">
      <c r="A50" s="121"/>
      <c r="B50" s="32" t="s">
        <v>21</v>
      </c>
      <c r="C50" s="28">
        <v>15000</v>
      </c>
      <c r="D50" s="28">
        <f t="shared" si="6"/>
        <v>15000</v>
      </c>
      <c r="E50" s="28">
        <f t="shared" si="6"/>
        <v>15000</v>
      </c>
      <c r="F50" s="28">
        <f t="shared" si="6"/>
        <v>15000</v>
      </c>
      <c r="G50" s="28">
        <f t="shared" si="6"/>
        <v>15000</v>
      </c>
      <c r="H50" s="28">
        <f t="shared" si="6"/>
        <v>15000</v>
      </c>
      <c r="I50" s="28">
        <f t="shared" si="6"/>
        <v>15000</v>
      </c>
      <c r="J50" s="28">
        <f t="shared" si="6"/>
        <v>15000</v>
      </c>
      <c r="K50" s="28">
        <f t="shared" si="6"/>
        <v>15000</v>
      </c>
      <c r="L50" s="28">
        <f t="shared" si="6"/>
        <v>15000</v>
      </c>
      <c r="M50" s="28">
        <f t="shared" si="6"/>
        <v>15000</v>
      </c>
      <c r="N50" s="28">
        <f t="shared" si="6"/>
        <v>15000</v>
      </c>
      <c r="O50" s="28">
        <f t="shared" si="6"/>
        <v>15000</v>
      </c>
      <c r="P50" s="28">
        <f t="shared" si="6"/>
        <v>15000</v>
      </c>
      <c r="Q50" s="28">
        <f t="shared" si="6"/>
        <v>15000</v>
      </c>
      <c r="R50" s="28">
        <f t="shared" si="6"/>
        <v>15000</v>
      </c>
      <c r="S50" s="28">
        <f t="shared" si="6"/>
        <v>15000</v>
      </c>
      <c r="T50" s="28">
        <f t="shared" si="9"/>
        <v>15000</v>
      </c>
      <c r="U50" s="28">
        <f t="shared" si="9"/>
        <v>15000</v>
      </c>
      <c r="V50" s="28">
        <f t="shared" si="9"/>
        <v>15000</v>
      </c>
      <c r="W50" s="28">
        <f t="shared" si="9"/>
        <v>15000</v>
      </c>
      <c r="X50" s="28">
        <f t="shared" si="9"/>
        <v>15000</v>
      </c>
      <c r="Y50" s="28">
        <f t="shared" si="9"/>
        <v>15000</v>
      </c>
      <c r="Z50" s="28">
        <f t="shared" si="9"/>
        <v>15000</v>
      </c>
      <c r="AA50" s="33">
        <v>5</v>
      </c>
      <c r="AB50" s="30">
        <f t="shared" si="7"/>
        <v>1800000</v>
      </c>
      <c r="AC50" s="124"/>
      <c r="AF50" s="31"/>
    </row>
    <row r="51" spans="1:32" ht="14.4" customHeight="1" thickTop="1" thickBot="1" x14ac:dyDescent="0.3">
      <c r="A51" s="120">
        <v>46844</v>
      </c>
      <c r="B51" s="35" t="s">
        <v>19</v>
      </c>
      <c r="C51" s="28">
        <v>15000</v>
      </c>
      <c r="D51" s="28">
        <f t="shared" si="6"/>
        <v>15000</v>
      </c>
      <c r="E51" s="28">
        <f t="shared" si="6"/>
        <v>15000</v>
      </c>
      <c r="F51" s="28">
        <f t="shared" si="6"/>
        <v>15000</v>
      </c>
      <c r="G51" s="28">
        <f t="shared" si="6"/>
        <v>15000</v>
      </c>
      <c r="H51" s="28">
        <f t="shared" si="6"/>
        <v>15000</v>
      </c>
      <c r="I51" s="28">
        <f t="shared" si="6"/>
        <v>15000</v>
      </c>
      <c r="J51" s="28">
        <f t="shared" si="6"/>
        <v>15000</v>
      </c>
      <c r="K51" s="28">
        <f t="shared" si="6"/>
        <v>15000</v>
      </c>
      <c r="L51" s="28">
        <f t="shared" si="6"/>
        <v>15000</v>
      </c>
      <c r="M51" s="28">
        <f t="shared" si="6"/>
        <v>15000</v>
      </c>
      <c r="N51" s="28">
        <f t="shared" si="6"/>
        <v>15000</v>
      </c>
      <c r="O51" s="28">
        <f t="shared" si="6"/>
        <v>15000</v>
      </c>
      <c r="P51" s="28">
        <f t="shared" si="6"/>
        <v>15000</v>
      </c>
      <c r="Q51" s="28">
        <f t="shared" si="6"/>
        <v>15000</v>
      </c>
      <c r="R51" s="28">
        <f t="shared" si="6"/>
        <v>15000</v>
      </c>
      <c r="S51" s="28">
        <f t="shared" si="6"/>
        <v>15000</v>
      </c>
      <c r="T51" s="28">
        <f t="shared" si="9"/>
        <v>15000</v>
      </c>
      <c r="U51" s="28">
        <f t="shared" si="9"/>
        <v>15000</v>
      </c>
      <c r="V51" s="28">
        <f t="shared" si="9"/>
        <v>15000</v>
      </c>
      <c r="W51" s="28">
        <f t="shared" si="9"/>
        <v>15000</v>
      </c>
      <c r="X51" s="28">
        <f t="shared" si="9"/>
        <v>15000</v>
      </c>
      <c r="Y51" s="28">
        <f t="shared" si="9"/>
        <v>15000</v>
      </c>
      <c r="Z51" s="28">
        <f t="shared" si="9"/>
        <v>15000</v>
      </c>
      <c r="AA51" s="33">
        <v>18</v>
      </c>
      <c r="AB51" s="30">
        <f t="shared" si="7"/>
        <v>6480000</v>
      </c>
      <c r="AC51" s="122">
        <f t="shared" si="2"/>
        <v>10800000</v>
      </c>
      <c r="AF51" s="31"/>
    </row>
    <row r="52" spans="1:32" ht="13.95" customHeight="1" thickBot="1" x14ac:dyDescent="0.3">
      <c r="A52" s="121"/>
      <c r="B52" s="32" t="s">
        <v>20</v>
      </c>
      <c r="C52" s="28">
        <v>15000</v>
      </c>
      <c r="D52" s="28">
        <f t="shared" si="6"/>
        <v>15000</v>
      </c>
      <c r="E52" s="28">
        <f t="shared" si="6"/>
        <v>15000</v>
      </c>
      <c r="F52" s="28">
        <f t="shared" si="6"/>
        <v>15000</v>
      </c>
      <c r="G52" s="28">
        <f t="shared" si="6"/>
        <v>15000</v>
      </c>
      <c r="H52" s="28">
        <f t="shared" si="6"/>
        <v>15000</v>
      </c>
      <c r="I52" s="28">
        <f t="shared" si="6"/>
        <v>15000</v>
      </c>
      <c r="J52" s="28">
        <f t="shared" si="6"/>
        <v>15000</v>
      </c>
      <c r="K52" s="28">
        <f t="shared" si="6"/>
        <v>15000</v>
      </c>
      <c r="L52" s="28">
        <f t="shared" si="6"/>
        <v>15000</v>
      </c>
      <c r="M52" s="28">
        <f t="shared" si="6"/>
        <v>15000</v>
      </c>
      <c r="N52" s="28">
        <f t="shared" si="6"/>
        <v>15000</v>
      </c>
      <c r="O52" s="28">
        <f t="shared" si="6"/>
        <v>15000</v>
      </c>
      <c r="P52" s="28">
        <f t="shared" si="6"/>
        <v>15000</v>
      </c>
      <c r="Q52" s="28">
        <f t="shared" si="6"/>
        <v>15000</v>
      </c>
      <c r="R52" s="28">
        <f t="shared" si="6"/>
        <v>15000</v>
      </c>
      <c r="S52" s="28">
        <f t="shared" si="6"/>
        <v>15000</v>
      </c>
      <c r="T52" s="28">
        <f t="shared" si="9"/>
        <v>15000</v>
      </c>
      <c r="U52" s="28">
        <f t="shared" si="9"/>
        <v>15000</v>
      </c>
      <c r="V52" s="28">
        <f t="shared" si="9"/>
        <v>15000</v>
      </c>
      <c r="W52" s="28">
        <f t="shared" si="9"/>
        <v>15000</v>
      </c>
      <c r="X52" s="28">
        <f t="shared" si="9"/>
        <v>15000</v>
      </c>
      <c r="Y52" s="28">
        <f t="shared" si="9"/>
        <v>15000</v>
      </c>
      <c r="Z52" s="28">
        <f t="shared" si="9"/>
        <v>15000</v>
      </c>
      <c r="AA52" s="33">
        <v>5</v>
      </c>
      <c r="AB52" s="30">
        <f t="shared" si="7"/>
        <v>1800000</v>
      </c>
      <c r="AC52" s="123"/>
      <c r="AF52" s="31"/>
    </row>
    <row r="53" spans="1:32" ht="13.95" customHeight="1" thickBot="1" x14ac:dyDescent="0.3">
      <c r="A53" s="121"/>
      <c r="B53" s="32" t="s">
        <v>21</v>
      </c>
      <c r="C53" s="28">
        <v>15000</v>
      </c>
      <c r="D53" s="28">
        <f t="shared" si="6"/>
        <v>15000</v>
      </c>
      <c r="E53" s="28">
        <f t="shared" si="6"/>
        <v>15000</v>
      </c>
      <c r="F53" s="28">
        <f t="shared" si="6"/>
        <v>15000</v>
      </c>
      <c r="G53" s="28">
        <f t="shared" si="6"/>
        <v>15000</v>
      </c>
      <c r="H53" s="28">
        <f t="shared" si="6"/>
        <v>15000</v>
      </c>
      <c r="I53" s="28">
        <f t="shared" si="6"/>
        <v>15000</v>
      </c>
      <c r="J53" s="28">
        <f t="shared" si="6"/>
        <v>15000</v>
      </c>
      <c r="K53" s="28">
        <f t="shared" si="6"/>
        <v>15000</v>
      </c>
      <c r="L53" s="28">
        <f t="shared" si="6"/>
        <v>15000</v>
      </c>
      <c r="M53" s="28">
        <f t="shared" si="6"/>
        <v>15000</v>
      </c>
      <c r="N53" s="28">
        <f t="shared" si="6"/>
        <v>15000</v>
      </c>
      <c r="O53" s="28">
        <f t="shared" si="6"/>
        <v>15000</v>
      </c>
      <c r="P53" s="28">
        <f t="shared" si="6"/>
        <v>15000</v>
      </c>
      <c r="Q53" s="28">
        <f t="shared" si="6"/>
        <v>15000</v>
      </c>
      <c r="R53" s="28">
        <f t="shared" si="6"/>
        <v>15000</v>
      </c>
      <c r="S53" s="28">
        <f t="shared" si="6"/>
        <v>15000</v>
      </c>
      <c r="T53" s="28">
        <f t="shared" si="9"/>
        <v>15000</v>
      </c>
      <c r="U53" s="28">
        <f t="shared" si="9"/>
        <v>15000</v>
      </c>
      <c r="V53" s="28">
        <f t="shared" si="9"/>
        <v>15000</v>
      </c>
      <c r="W53" s="28">
        <f t="shared" si="9"/>
        <v>15000</v>
      </c>
      <c r="X53" s="28">
        <f t="shared" si="9"/>
        <v>15000</v>
      </c>
      <c r="Y53" s="28">
        <f t="shared" si="9"/>
        <v>15000</v>
      </c>
      <c r="Z53" s="28">
        <f t="shared" si="9"/>
        <v>15000</v>
      </c>
      <c r="AA53" s="33">
        <v>7</v>
      </c>
      <c r="AB53" s="30">
        <f t="shared" si="7"/>
        <v>2520000</v>
      </c>
      <c r="AC53" s="124"/>
      <c r="AF53" s="31"/>
    </row>
    <row r="54" spans="1:32" ht="14.4" customHeight="1" thickTop="1" thickBot="1" x14ac:dyDescent="0.3">
      <c r="A54" s="120">
        <v>46874</v>
      </c>
      <c r="B54" s="34" t="s">
        <v>19</v>
      </c>
      <c r="C54" s="28">
        <v>15000</v>
      </c>
      <c r="D54" s="28">
        <f t="shared" si="6"/>
        <v>15000</v>
      </c>
      <c r="E54" s="28">
        <f t="shared" si="6"/>
        <v>15000</v>
      </c>
      <c r="F54" s="28">
        <f t="shared" si="6"/>
        <v>15000</v>
      </c>
      <c r="G54" s="28">
        <f t="shared" si="6"/>
        <v>15000</v>
      </c>
      <c r="H54" s="28">
        <f t="shared" si="6"/>
        <v>15000</v>
      </c>
      <c r="I54" s="28">
        <f t="shared" si="6"/>
        <v>15000</v>
      </c>
      <c r="J54" s="28">
        <f t="shared" si="6"/>
        <v>15000</v>
      </c>
      <c r="K54" s="28">
        <f t="shared" si="6"/>
        <v>15000</v>
      </c>
      <c r="L54" s="28">
        <f t="shared" si="6"/>
        <v>15000</v>
      </c>
      <c r="M54" s="28">
        <f t="shared" si="6"/>
        <v>15000</v>
      </c>
      <c r="N54" s="28">
        <f t="shared" si="6"/>
        <v>15000</v>
      </c>
      <c r="O54" s="28">
        <f t="shared" si="6"/>
        <v>15000</v>
      </c>
      <c r="P54" s="28">
        <f t="shared" si="6"/>
        <v>15000</v>
      </c>
      <c r="Q54" s="28">
        <f t="shared" si="6"/>
        <v>15000</v>
      </c>
      <c r="R54" s="28">
        <f t="shared" si="6"/>
        <v>15000</v>
      </c>
      <c r="S54" s="28">
        <f t="shared" ref="S54:Z69" si="10">+R54</f>
        <v>15000</v>
      </c>
      <c r="T54" s="28">
        <f t="shared" si="10"/>
        <v>15000</v>
      </c>
      <c r="U54" s="28">
        <f t="shared" si="10"/>
        <v>15000</v>
      </c>
      <c r="V54" s="28">
        <f t="shared" si="10"/>
        <v>15000</v>
      </c>
      <c r="W54" s="28">
        <f t="shared" si="10"/>
        <v>15000</v>
      </c>
      <c r="X54" s="28">
        <f t="shared" si="10"/>
        <v>15000</v>
      </c>
      <c r="Y54" s="28">
        <f t="shared" si="10"/>
        <v>15000</v>
      </c>
      <c r="Z54" s="28">
        <f t="shared" si="10"/>
        <v>15000</v>
      </c>
      <c r="AA54" s="33">
        <v>21</v>
      </c>
      <c r="AB54" s="30">
        <f t="shared" si="7"/>
        <v>7560000</v>
      </c>
      <c r="AC54" s="122">
        <f t="shared" si="2"/>
        <v>11160000</v>
      </c>
      <c r="AF54" s="31"/>
    </row>
    <row r="55" spans="1:32" ht="13.95" customHeight="1" thickBot="1" x14ac:dyDescent="0.3">
      <c r="A55" s="121"/>
      <c r="B55" s="32" t="s">
        <v>20</v>
      </c>
      <c r="C55" s="28">
        <v>15000</v>
      </c>
      <c r="D55" s="28">
        <f t="shared" ref="D55:S70" si="11">+C55</f>
        <v>15000</v>
      </c>
      <c r="E55" s="28">
        <f t="shared" si="11"/>
        <v>15000</v>
      </c>
      <c r="F55" s="28">
        <f t="shared" si="11"/>
        <v>15000</v>
      </c>
      <c r="G55" s="28">
        <f t="shared" si="11"/>
        <v>15000</v>
      </c>
      <c r="H55" s="28">
        <f t="shared" si="11"/>
        <v>15000</v>
      </c>
      <c r="I55" s="28">
        <f t="shared" si="11"/>
        <v>15000</v>
      </c>
      <c r="J55" s="28">
        <f t="shared" si="11"/>
        <v>15000</v>
      </c>
      <c r="K55" s="28">
        <f t="shared" si="11"/>
        <v>15000</v>
      </c>
      <c r="L55" s="28">
        <f t="shared" si="11"/>
        <v>15000</v>
      </c>
      <c r="M55" s="28">
        <f t="shared" si="11"/>
        <v>15000</v>
      </c>
      <c r="N55" s="28">
        <f t="shared" si="11"/>
        <v>15000</v>
      </c>
      <c r="O55" s="28">
        <f t="shared" si="11"/>
        <v>15000</v>
      </c>
      <c r="P55" s="28">
        <f t="shared" si="11"/>
        <v>15000</v>
      </c>
      <c r="Q55" s="28">
        <f t="shared" si="11"/>
        <v>15000</v>
      </c>
      <c r="R55" s="28">
        <f t="shared" si="11"/>
        <v>15000</v>
      </c>
      <c r="S55" s="28">
        <f t="shared" si="11"/>
        <v>15000</v>
      </c>
      <c r="T55" s="28">
        <f t="shared" si="10"/>
        <v>15000</v>
      </c>
      <c r="U55" s="28">
        <f t="shared" si="10"/>
        <v>15000</v>
      </c>
      <c r="V55" s="28">
        <f t="shared" si="10"/>
        <v>15000</v>
      </c>
      <c r="W55" s="28">
        <f t="shared" si="10"/>
        <v>15000</v>
      </c>
      <c r="X55" s="28">
        <f t="shared" si="10"/>
        <v>15000</v>
      </c>
      <c r="Y55" s="28">
        <f t="shared" si="10"/>
        <v>15000</v>
      </c>
      <c r="Z55" s="28">
        <f t="shared" si="10"/>
        <v>15000</v>
      </c>
      <c r="AA55" s="33">
        <v>4</v>
      </c>
      <c r="AB55" s="30">
        <f t="shared" si="7"/>
        <v>1440000</v>
      </c>
      <c r="AC55" s="123"/>
      <c r="AF55" s="31"/>
    </row>
    <row r="56" spans="1:32" ht="13.95" customHeight="1" thickBot="1" x14ac:dyDescent="0.3">
      <c r="A56" s="121"/>
      <c r="B56" s="32" t="s">
        <v>21</v>
      </c>
      <c r="C56" s="28">
        <v>15000</v>
      </c>
      <c r="D56" s="28">
        <f t="shared" si="11"/>
        <v>15000</v>
      </c>
      <c r="E56" s="28">
        <f t="shared" si="11"/>
        <v>15000</v>
      </c>
      <c r="F56" s="28">
        <f t="shared" si="11"/>
        <v>15000</v>
      </c>
      <c r="G56" s="28">
        <f t="shared" si="11"/>
        <v>15000</v>
      </c>
      <c r="H56" s="28">
        <f t="shared" si="11"/>
        <v>15000</v>
      </c>
      <c r="I56" s="28">
        <f t="shared" si="11"/>
        <v>15000</v>
      </c>
      <c r="J56" s="28">
        <f t="shared" si="11"/>
        <v>15000</v>
      </c>
      <c r="K56" s="28">
        <f t="shared" si="11"/>
        <v>15000</v>
      </c>
      <c r="L56" s="28">
        <f t="shared" si="11"/>
        <v>15000</v>
      </c>
      <c r="M56" s="28">
        <f t="shared" si="11"/>
        <v>15000</v>
      </c>
      <c r="N56" s="28">
        <f t="shared" si="11"/>
        <v>15000</v>
      </c>
      <c r="O56" s="28">
        <f t="shared" si="11"/>
        <v>15000</v>
      </c>
      <c r="P56" s="28">
        <f t="shared" si="11"/>
        <v>15000</v>
      </c>
      <c r="Q56" s="28">
        <f t="shared" si="11"/>
        <v>15000</v>
      </c>
      <c r="R56" s="28">
        <f t="shared" si="11"/>
        <v>15000</v>
      </c>
      <c r="S56" s="28">
        <f t="shared" si="11"/>
        <v>15000</v>
      </c>
      <c r="T56" s="28">
        <f t="shared" si="10"/>
        <v>15000</v>
      </c>
      <c r="U56" s="28">
        <f t="shared" si="10"/>
        <v>15000</v>
      </c>
      <c r="V56" s="28">
        <f t="shared" si="10"/>
        <v>15000</v>
      </c>
      <c r="W56" s="28">
        <f t="shared" si="10"/>
        <v>15000</v>
      </c>
      <c r="X56" s="28">
        <f t="shared" si="10"/>
        <v>15000</v>
      </c>
      <c r="Y56" s="28">
        <f t="shared" si="10"/>
        <v>15000</v>
      </c>
      <c r="Z56" s="28">
        <f t="shared" si="10"/>
        <v>15000</v>
      </c>
      <c r="AA56" s="33">
        <v>6</v>
      </c>
      <c r="AB56" s="30">
        <f t="shared" si="7"/>
        <v>2160000</v>
      </c>
      <c r="AC56" s="124"/>
      <c r="AF56" s="31"/>
    </row>
    <row r="57" spans="1:32" ht="14.4" customHeight="1" thickTop="1" thickBot="1" x14ac:dyDescent="0.3">
      <c r="A57" s="120">
        <v>46905</v>
      </c>
      <c r="B57" s="35" t="s">
        <v>19</v>
      </c>
      <c r="C57" s="28">
        <v>15000</v>
      </c>
      <c r="D57" s="28">
        <f t="shared" si="11"/>
        <v>15000</v>
      </c>
      <c r="E57" s="28">
        <f t="shared" si="11"/>
        <v>15000</v>
      </c>
      <c r="F57" s="28">
        <f t="shared" si="11"/>
        <v>15000</v>
      </c>
      <c r="G57" s="28">
        <f t="shared" si="11"/>
        <v>15000</v>
      </c>
      <c r="H57" s="28">
        <f t="shared" si="11"/>
        <v>15000</v>
      </c>
      <c r="I57" s="28">
        <f t="shared" si="11"/>
        <v>15000</v>
      </c>
      <c r="J57" s="28">
        <f t="shared" si="11"/>
        <v>15000</v>
      </c>
      <c r="K57" s="28">
        <f t="shared" si="11"/>
        <v>15000</v>
      </c>
      <c r="L57" s="28">
        <f t="shared" si="11"/>
        <v>15000</v>
      </c>
      <c r="M57" s="28">
        <f t="shared" si="11"/>
        <v>15000</v>
      </c>
      <c r="N57" s="28">
        <f t="shared" si="11"/>
        <v>15000</v>
      </c>
      <c r="O57" s="28">
        <f t="shared" si="11"/>
        <v>15000</v>
      </c>
      <c r="P57" s="28">
        <f t="shared" si="11"/>
        <v>15000</v>
      </c>
      <c r="Q57" s="28">
        <f t="shared" si="11"/>
        <v>15000</v>
      </c>
      <c r="R57" s="28">
        <f t="shared" si="11"/>
        <v>15000</v>
      </c>
      <c r="S57" s="28">
        <f t="shared" si="11"/>
        <v>15000</v>
      </c>
      <c r="T57" s="28">
        <f t="shared" si="10"/>
        <v>15000</v>
      </c>
      <c r="U57" s="28">
        <f t="shared" si="10"/>
        <v>15000</v>
      </c>
      <c r="V57" s="28">
        <f t="shared" si="10"/>
        <v>15000</v>
      </c>
      <c r="W57" s="28">
        <f t="shared" si="10"/>
        <v>15000</v>
      </c>
      <c r="X57" s="28">
        <f t="shared" si="10"/>
        <v>15000</v>
      </c>
      <c r="Y57" s="28">
        <f t="shared" si="10"/>
        <v>15000</v>
      </c>
      <c r="Z57" s="28">
        <f t="shared" si="10"/>
        <v>15000</v>
      </c>
      <c r="AA57" s="33">
        <v>20</v>
      </c>
      <c r="AB57" s="30">
        <f t="shared" si="7"/>
        <v>7200000</v>
      </c>
      <c r="AC57" s="122">
        <f t="shared" si="2"/>
        <v>10800000</v>
      </c>
      <c r="AF57" s="31"/>
    </row>
    <row r="58" spans="1:32" ht="13.95" customHeight="1" thickBot="1" x14ac:dyDescent="0.3">
      <c r="A58" s="121"/>
      <c r="B58" s="32" t="s">
        <v>20</v>
      </c>
      <c r="C58" s="28">
        <v>15000</v>
      </c>
      <c r="D58" s="28">
        <f t="shared" si="11"/>
        <v>15000</v>
      </c>
      <c r="E58" s="28">
        <f t="shared" si="11"/>
        <v>15000</v>
      </c>
      <c r="F58" s="28">
        <f t="shared" si="11"/>
        <v>15000</v>
      </c>
      <c r="G58" s="28">
        <f t="shared" si="11"/>
        <v>15000</v>
      </c>
      <c r="H58" s="28">
        <f t="shared" si="11"/>
        <v>15000</v>
      </c>
      <c r="I58" s="28">
        <f t="shared" si="11"/>
        <v>15000</v>
      </c>
      <c r="J58" s="28">
        <f t="shared" si="11"/>
        <v>15000</v>
      </c>
      <c r="K58" s="28">
        <f t="shared" si="11"/>
        <v>15000</v>
      </c>
      <c r="L58" s="28">
        <f t="shared" si="11"/>
        <v>15000</v>
      </c>
      <c r="M58" s="28">
        <f t="shared" si="11"/>
        <v>15000</v>
      </c>
      <c r="N58" s="28">
        <f t="shared" si="11"/>
        <v>15000</v>
      </c>
      <c r="O58" s="28">
        <f t="shared" si="11"/>
        <v>15000</v>
      </c>
      <c r="P58" s="28">
        <f t="shared" si="11"/>
        <v>15000</v>
      </c>
      <c r="Q58" s="28">
        <f t="shared" si="11"/>
        <v>15000</v>
      </c>
      <c r="R58" s="28">
        <f t="shared" si="11"/>
        <v>15000</v>
      </c>
      <c r="S58" s="28">
        <f t="shared" si="11"/>
        <v>15000</v>
      </c>
      <c r="T58" s="28">
        <f t="shared" si="10"/>
        <v>15000</v>
      </c>
      <c r="U58" s="28">
        <f t="shared" si="10"/>
        <v>15000</v>
      </c>
      <c r="V58" s="28">
        <f t="shared" si="10"/>
        <v>15000</v>
      </c>
      <c r="W58" s="28">
        <f t="shared" si="10"/>
        <v>15000</v>
      </c>
      <c r="X58" s="28">
        <f t="shared" si="10"/>
        <v>15000</v>
      </c>
      <c r="Y58" s="28">
        <f t="shared" si="10"/>
        <v>15000</v>
      </c>
      <c r="Z58" s="28">
        <f t="shared" si="10"/>
        <v>15000</v>
      </c>
      <c r="AA58" s="33">
        <v>4</v>
      </c>
      <c r="AB58" s="30">
        <f t="shared" si="7"/>
        <v>1440000</v>
      </c>
      <c r="AC58" s="123"/>
      <c r="AF58" s="31"/>
    </row>
    <row r="59" spans="1:32" ht="13.95" customHeight="1" thickBot="1" x14ac:dyDescent="0.3">
      <c r="A59" s="121"/>
      <c r="B59" s="32" t="s">
        <v>21</v>
      </c>
      <c r="C59" s="28">
        <v>15000</v>
      </c>
      <c r="D59" s="28">
        <f t="shared" si="11"/>
        <v>15000</v>
      </c>
      <c r="E59" s="28">
        <f t="shared" si="11"/>
        <v>15000</v>
      </c>
      <c r="F59" s="28">
        <f t="shared" si="11"/>
        <v>15000</v>
      </c>
      <c r="G59" s="28">
        <f t="shared" si="11"/>
        <v>15000</v>
      </c>
      <c r="H59" s="28">
        <f t="shared" si="11"/>
        <v>15000</v>
      </c>
      <c r="I59" s="28">
        <f t="shared" si="11"/>
        <v>15000</v>
      </c>
      <c r="J59" s="28">
        <f t="shared" si="11"/>
        <v>15000</v>
      </c>
      <c r="K59" s="28">
        <f t="shared" si="11"/>
        <v>15000</v>
      </c>
      <c r="L59" s="28">
        <f t="shared" si="11"/>
        <v>15000</v>
      </c>
      <c r="M59" s="28">
        <f t="shared" si="11"/>
        <v>15000</v>
      </c>
      <c r="N59" s="28">
        <f t="shared" si="11"/>
        <v>15000</v>
      </c>
      <c r="O59" s="28">
        <f t="shared" si="11"/>
        <v>15000</v>
      </c>
      <c r="P59" s="28">
        <f t="shared" si="11"/>
        <v>15000</v>
      </c>
      <c r="Q59" s="28">
        <f t="shared" si="11"/>
        <v>15000</v>
      </c>
      <c r="R59" s="28">
        <f t="shared" si="11"/>
        <v>15000</v>
      </c>
      <c r="S59" s="28">
        <f t="shared" si="11"/>
        <v>15000</v>
      </c>
      <c r="T59" s="28">
        <f t="shared" si="10"/>
        <v>15000</v>
      </c>
      <c r="U59" s="28">
        <f t="shared" si="10"/>
        <v>15000</v>
      </c>
      <c r="V59" s="28">
        <f t="shared" si="10"/>
        <v>15000</v>
      </c>
      <c r="W59" s="28">
        <f t="shared" si="10"/>
        <v>15000</v>
      </c>
      <c r="X59" s="28">
        <f t="shared" si="10"/>
        <v>15000</v>
      </c>
      <c r="Y59" s="28">
        <f t="shared" si="10"/>
        <v>15000</v>
      </c>
      <c r="Z59" s="28">
        <f t="shared" si="10"/>
        <v>15000</v>
      </c>
      <c r="AA59" s="33">
        <v>6</v>
      </c>
      <c r="AB59" s="30">
        <f t="shared" si="7"/>
        <v>2160000</v>
      </c>
      <c r="AC59" s="124"/>
      <c r="AF59" s="31"/>
    </row>
    <row r="60" spans="1:32" ht="14.4" customHeight="1" thickTop="1" thickBot="1" x14ac:dyDescent="0.3">
      <c r="A60" s="120">
        <v>46935</v>
      </c>
      <c r="B60" s="34" t="s">
        <v>19</v>
      </c>
      <c r="C60" s="28">
        <v>15000</v>
      </c>
      <c r="D60" s="28">
        <f t="shared" si="11"/>
        <v>15000</v>
      </c>
      <c r="E60" s="28">
        <f t="shared" si="11"/>
        <v>15000</v>
      </c>
      <c r="F60" s="28">
        <f t="shared" si="11"/>
        <v>15000</v>
      </c>
      <c r="G60" s="28">
        <f t="shared" si="11"/>
        <v>15000</v>
      </c>
      <c r="H60" s="28">
        <f t="shared" si="11"/>
        <v>15000</v>
      </c>
      <c r="I60" s="28">
        <f t="shared" si="11"/>
        <v>15000</v>
      </c>
      <c r="J60" s="28">
        <f t="shared" si="11"/>
        <v>15000</v>
      </c>
      <c r="K60" s="28">
        <f t="shared" si="11"/>
        <v>15000</v>
      </c>
      <c r="L60" s="28">
        <f t="shared" si="11"/>
        <v>15000</v>
      </c>
      <c r="M60" s="28">
        <f t="shared" si="11"/>
        <v>15000</v>
      </c>
      <c r="N60" s="28">
        <f t="shared" si="11"/>
        <v>15000</v>
      </c>
      <c r="O60" s="28">
        <f t="shared" si="11"/>
        <v>15000</v>
      </c>
      <c r="P60" s="28">
        <f t="shared" si="11"/>
        <v>15000</v>
      </c>
      <c r="Q60" s="28">
        <f t="shared" si="11"/>
        <v>15000</v>
      </c>
      <c r="R60" s="28">
        <f t="shared" si="11"/>
        <v>15000</v>
      </c>
      <c r="S60" s="28">
        <f t="shared" si="11"/>
        <v>15000</v>
      </c>
      <c r="T60" s="28">
        <f t="shared" si="10"/>
        <v>15000</v>
      </c>
      <c r="U60" s="28">
        <f t="shared" si="10"/>
        <v>15000</v>
      </c>
      <c r="V60" s="28">
        <f t="shared" si="10"/>
        <v>15000</v>
      </c>
      <c r="W60" s="28">
        <f t="shared" si="10"/>
        <v>15000</v>
      </c>
      <c r="X60" s="28">
        <f t="shared" si="10"/>
        <v>15000</v>
      </c>
      <c r="Y60" s="28">
        <f t="shared" si="10"/>
        <v>15000</v>
      </c>
      <c r="Z60" s="28">
        <f t="shared" si="10"/>
        <v>15000</v>
      </c>
      <c r="AA60" s="33">
        <v>19</v>
      </c>
      <c r="AB60" s="30">
        <f t="shared" si="7"/>
        <v>6840000</v>
      </c>
      <c r="AC60" s="122">
        <f t="shared" si="2"/>
        <v>11160000</v>
      </c>
      <c r="AF60" s="31"/>
    </row>
    <row r="61" spans="1:32" ht="13.95" customHeight="1" thickBot="1" x14ac:dyDescent="0.3">
      <c r="A61" s="121"/>
      <c r="B61" s="32" t="s">
        <v>20</v>
      </c>
      <c r="C61" s="28">
        <v>15000</v>
      </c>
      <c r="D61" s="28">
        <f t="shared" si="11"/>
        <v>15000</v>
      </c>
      <c r="E61" s="28">
        <f t="shared" si="11"/>
        <v>15000</v>
      </c>
      <c r="F61" s="28">
        <f t="shared" si="11"/>
        <v>15000</v>
      </c>
      <c r="G61" s="28">
        <f t="shared" si="11"/>
        <v>15000</v>
      </c>
      <c r="H61" s="28">
        <f t="shared" si="11"/>
        <v>15000</v>
      </c>
      <c r="I61" s="28">
        <f t="shared" si="11"/>
        <v>15000</v>
      </c>
      <c r="J61" s="28">
        <f t="shared" si="11"/>
        <v>15000</v>
      </c>
      <c r="K61" s="28">
        <f t="shared" si="11"/>
        <v>15000</v>
      </c>
      <c r="L61" s="28">
        <f t="shared" si="11"/>
        <v>15000</v>
      </c>
      <c r="M61" s="28">
        <f t="shared" si="11"/>
        <v>15000</v>
      </c>
      <c r="N61" s="28">
        <f t="shared" si="11"/>
        <v>15000</v>
      </c>
      <c r="O61" s="28">
        <f t="shared" si="11"/>
        <v>15000</v>
      </c>
      <c r="P61" s="28">
        <f t="shared" si="11"/>
        <v>15000</v>
      </c>
      <c r="Q61" s="28">
        <f t="shared" si="11"/>
        <v>15000</v>
      </c>
      <c r="R61" s="28">
        <f t="shared" si="11"/>
        <v>15000</v>
      </c>
      <c r="S61" s="28">
        <f t="shared" si="11"/>
        <v>15000</v>
      </c>
      <c r="T61" s="28">
        <f t="shared" si="10"/>
        <v>15000</v>
      </c>
      <c r="U61" s="28">
        <f t="shared" si="10"/>
        <v>15000</v>
      </c>
      <c r="V61" s="28">
        <f t="shared" si="10"/>
        <v>15000</v>
      </c>
      <c r="W61" s="28">
        <f t="shared" si="10"/>
        <v>15000</v>
      </c>
      <c r="X61" s="28">
        <f t="shared" si="10"/>
        <v>15000</v>
      </c>
      <c r="Y61" s="28">
        <f t="shared" si="10"/>
        <v>15000</v>
      </c>
      <c r="Z61" s="28">
        <f t="shared" si="10"/>
        <v>15000</v>
      </c>
      <c r="AA61" s="33">
        <v>5</v>
      </c>
      <c r="AB61" s="30">
        <f t="shared" si="7"/>
        <v>1800000</v>
      </c>
      <c r="AC61" s="123"/>
      <c r="AF61" s="31"/>
    </row>
    <row r="62" spans="1:32" ht="13.95" customHeight="1" thickBot="1" x14ac:dyDescent="0.3">
      <c r="A62" s="121"/>
      <c r="B62" s="32" t="s">
        <v>21</v>
      </c>
      <c r="C62" s="28">
        <v>15000</v>
      </c>
      <c r="D62" s="28">
        <f t="shared" si="11"/>
        <v>15000</v>
      </c>
      <c r="E62" s="28">
        <f t="shared" si="11"/>
        <v>15000</v>
      </c>
      <c r="F62" s="28">
        <f t="shared" si="11"/>
        <v>15000</v>
      </c>
      <c r="G62" s="28">
        <f t="shared" si="11"/>
        <v>15000</v>
      </c>
      <c r="H62" s="28">
        <f t="shared" si="11"/>
        <v>15000</v>
      </c>
      <c r="I62" s="28">
        <f t="shared" si="11"/>
        <v>15000</v>
      </c>
      <c r="J62" s="28">
        <f t="shared" si="11"/>
        <v>15000</v>
      </c>
      <c r="K62" s="28">
        <f t="shared" si="11"/>
        <v>15000</v>
      </c>
      <c r="L62" s="28">
        <f t="shared" si="11"/>
        <v>15000</v>
      </c>
      <c r="M62" s="28">
        <f t="shared" si="11"/>
        <v>15000</v>
      </c>
      <c r="N62" s="28">
        <f t="shared" si="11"/>
        <v>15000</v>
      </c>
      <c r="O62" s="28">
        <f t="shared" si="11"/>
        <v>15000</v>
      </c>
      <c r="P62" s="28">
        <f t="shared" si="11"/>
        <v>15000</v>
      </c>
      <c r="Q62" s="28">
        <f t="shared" si="11"/>
        <v>15000</v>
      </c>
      <c r="R62" s="28">
        <f t="shared" si="11"/>
        <v>15000</v>
      </c>
      <c r="S62" s="28">
        <f t="shared" si="11"/>
        <v>15000</v>
      </c>
      <c r="T62" s="28">
        <f t="shared" si="10"/>
        <v>15000</v>
      </c>
      <c r="U62" s="28">
        <f t="shared" si="10"/>
        <v>15000</v>
      </c>
      <c r="V62" s="28">
        <f t="shared" si="10"/>
        <v>15000</v>
      </c>
      <c r="W62" s="28">
        <f t="shared" si="10"/>
        <v>15000</v>
      </c>
      <c r="X62" s="28">
        <f t="shared" si="10"/>
        <v>15000</v>
      </c>
      <c r="Y62" s="28">
        <f t="shared" si="10"/>
        <v>15000</v>
      </c>
      <c r="Z62" s="28">
        <f t="shared" si="10"/>
        <v>15000</v>
      </c>
      <c r="AA62" s="33">
        <v>7</v>
      </c>
      <c r="AB62" s="30">
        <f t="shared" si="7"/>
        <v>2520000</v>
      </c>
      <c r="AC62" s="124"/>
      <c r="AF62" s="31"/>
    </row>
    <row r="63" spans="1:32" ht="14.4" customHeight="1" thickTop="1" thickBot="1" x14ac:dyDescent="0.3">
      <c r="A63" s="120">
        <v>46966</v>
      </c>
      <c r="B63" s="35" t="s">
        <v>19</v>
      </c>
      <c r="C63" s="28">
        <v>15000</v>
      </c>
      <c r="D63" s="28">
        <f t="shared" si="11"/>
        <v>15000</v>
      </c>
      <c r="E63" s="28">
        <f t="shared" si="11"/>
        <v>15000</v>
      </c>
      <c r="F63" s="28">
        <f t="shared" si="11"/>
        <v>15000</v>
      </c>
      <c r="G63" s="28">
        <f t="shared" si="11"/>
        <v>15000</v>
      </c>
      <c r="H63" s="28">
        <f t="shared" si="11"/>
        <v>15000</v>
      </c>
      <c r="I63" s="28">
        <f t="shared" si="11"/>
        <v>15000</v>
      </c>
      <c r="J63" s="28">
        <f t="shared" si="11"/>
        <v>15000</v>
      </c>
      <c r="K63" s="28">
        <f t="shared" si="11"/>
        <v>15000</v>
      </c>
      <c r="L63" s="28">
        <f t="shared" si="11"/>
        <v>15000</v>
      </c>
      <c r="M63" s="28">
        <f t="shared" si="11"/>
        <v>15000</v>
      </c>
      <c r="N63" s="28">
        <f t="shared" si="11"/>
        <v>15000</v>
      </c>
      <c r="O63" s="28">
        <f t="shared" si="11"/>
        <v>15000</v>
      </c>
      <c r="P63" s="28">
        <f t="shared" si="11"/>
        <v>15000</v>
      </c>
      <c r="Q63" s="28">
        <f t="shared" si="11"/>
        <v>15000</v>
      </c>
      <c r="R63" s="28">
        <f t="shared" si="11"/>
        <v>15000</v>
      </c>
      <c r="S63" s="28">
        <f t="shared" si="11"/>
        <v>15000</v>
      </c>
      <c r="T63" s="28">
        <f t="shared" si="10"/>
        <v>15000</v>
      </c>
      <c r="U63" s="28">
        <f t="shared" si="10"/>
        <v>15000</v>
      </c>
      <c r="V63" s="28">
        <f t="shared" si="10"/>
        <v>15000</v>
      </c>
      <c r="W63" s="28">
        <f t="shared" si="10"/>
        <v>15000</v>
      </c>
      <c r="X63" s="28">
        <f t="shared" si="10"/>
        <v>15000</v>
      </c>
      <c r="Y63" s="28">
        <f t="shared" si="10"/>
        <v>15000</v>
      </c>
      <c r="Z63" s="28">
        <f t="shared" si="10"/>
        <v>15000</v>
      </c>
      <c r="AA63" s="33">
        <v>21</v>
      </c>
      <c r="AB63" s="30">
        <f t="shared" si="7"/>
        <v>7560000</v>
      </c>
      <c r="AC63" s="122">
        <f t="shared" si="2"/>
        <v>11160000</v>
      </c>
      <c r="AF63" s="31"/>
    </row>
    <row r="64" spans="1:32" ht="13.95" customHeight="1" thickBot="1" x14ac:dyDescent="0.3">
      <c r="A64" s="121"/>
      <c r="B64" s="32" t="s">
        <v>20</v>
      </c>
      <c r="C64" s="28">
        <v>15000</v>
      </c>
      <c r="D64" s="28">
        <f t="shared" si="11"/>
        <v>15000</v>
      </c>
      <c r="E64" s="28">
        <f t="shared" si="11"/>
        <v>15000</v>
      </c>
      <c r="F64" s="28">
        <f t="shared" si="11"/>
        <v>15000</v>
      </c>
      <c r="G64" s="28">
        <f t="shared" si="11"/>
        <v>15000</v>
      </c>
      <c r="H64" s="28">
        <f t="shared" si="11"/>
        <v>15000</v>
      </c>
      <c r="I64" s="28">
        <f t="shared" si="11"/>
        <v>15000</v>
      </c>
      <c r="J64" s="28">
        <f t="shared" si="11"/>
        <v>15000</v>
      </c>
      <c r="K64" s="28">
        <f t="shared" si="11"/>
        <v>15000</v>
      </c>
      <c r="L64" s="28">
        <f t="shared" si="11"/>
        <v>15000</v>
      </c>
      <c r="M64" s="28">
        <f t="shared" si="11"/>
        <v>15000</v>
      </c>
      <c r="N64" s="28">
        <f t="shared" si="11"/>
        <v>15000</v>
      </c>
      <c r="O64" s="28">
        <f t="shared" si="11"/>
        <v>15000</v>
      </c>
      <c r="P64" s="28">
        <f t="shared" si="11"/>
        <v>15000</v>
      </c>
      <c r="Q64" s="28">
        <f t="shared" si="11"/>
        <v>15000</v>
      </c>
      <c r="R64" s="28">
        <f t="shared" si="11"/>
        <v>15000</v>
      </c>
      <c r="S64" s="28">
        <f t="shared" si="11"/>
        <v>15000</v>
      </c>
      <c r="T64" s="28">
        <f t="shared" si="10"/>
        <v>15000</v>
      </c>
      <c r="U64" s="28">
        <f t="shared" si="10"/>
        <v>15000</v>
      </c>
      <c r="V64" s="28">
        <f t="shared" si="10"/>
        <v>15000</v>
      </c>
      <c r="W64" s="28">
        <f t="shared" si="10"/>
        <v>15000</v>
      </c>
      <c r="X64" s="28">
        <f t="shared" si="10"/>
        <v>15000</v>
      </c>
      <c r="Y64" s="28">
        <f t="shared" si="10"/>
        <v>15000</v>
      </c>
      <c r="Z64" s="28">
        <f t="shared" si="10"/>
        <v>15000</v>
      </c>
      <c r="AA64" s="33">
        <v>4</v>
      </c>
      <c r="AB64" s="30">
        <f t="shared" si="7"/>
        <v>1440000</v>
      </c>
      <c r="AC64" s="123"/>
      <c r="AF64" s="31"/>
    </row>
    <row r="65" spans="1:32" ht="13.95" customHeight="1" thickBot="1" x14ac:dyDescent="0.3">
      <c r="A65" s="121"/>
      <c r="B65" s="32" t="s">
        <v>21</v>
      </c>
      <c r="C65" s="28">
        <v>15000</v>
      </c>
      <c r="D65" s="28">
        <f t="shared" si="11"/>
        <v>15000</v>
      </c>
      <c r="E65" s="28">
        <f t="shared" si="11"/>
        <v>15000</v>
      </c>
      <c r="F65" s="28">
        <f t="shared" si="11"/>
        <v>15000</v>
      </c>
      <c r="G65" s="28">
        <f t="shared" si="11"/>
        <v>15000</v>
      </c>
      <c r="H65" s="28">
        <f t="shared" si="11"/>
        <v>15000</v>
      </c>
      <c r="I65" s="28">
        <f t="shared" si="11"/>
        <v>15000</v>
      </c>
      <c r="J65" s="28">
        <f t="shared" si="11"/>
        <v>15000</v>
      </c>
      <c r="K65" s="28">
        <f t="shared" si="11"/>
        <v>15000</v>
      </c>
      <c r="L65" s="28">
        <f t="shared" si="11"/>
        <v>15000</v>
      </c>
      <c r="M65" s="28">
        <f t="shared" si="11"/>
        <v>15000</v>
      </c>
      <c r="N65" s="28">
        <f t="shared" si="11"/>
        <v>15000</v>
      </c>
      <c r="O65" s="28">
        <f t="shared" si="11"/>
        <v>15000</v>
      </c>
      <c r="P65" s="28">
        <f t="shared" si="11"/>
        <v>15000</v>
      </c>
      <c r="Q65" s="28">
        <f t="shared" si="11"/>
        <v>15000</v>
      </c>
      <c r="R65" s="28">
        <f t="shared" si="11"/>
        <v>15000</v>
      </c>
      <c r="S65" s="28">
        <f t="shared" si="11"/>
        <v>15000</v>
      </c>
      <c r="T65" s="28">
        <f t="shared" si="10"/>
        <v>15000</v>
      </c>
      <c r="U65" s="28">
        <f t="shared" si="10"/>
        <v>15000</v>
      </c>
      <c r="V65" s="28">
        <f t="shared" si="10"/>
        <v>15000</v>
      </c>
      <c r="W65" s="28">
        <f t="shared" si="10"/>
        <v>15000</v>
      </c>
      <c r="X65" s="28">
        <f t="shared" si="10"/>
        <v>15000</v>
      </c>
      <c r="Y65" s="28">
        <f t="shared" si="10"/>
        <v>15000</v>
      </c>
      <c r="Z65" s="28">
        <f t="shared" si="10"/>
        <v>15000</v>
      </c>
      <c r="AA65" s="33">
        <v>6</v>
      </c>
      <c r="AB65" s="30">
        <f t="shared" si="7"/>
        <v>2160000</v>
      </c>
      <c r="AC65" s="124"/>
      <c r="AF65" s="31"/>
    </row>
    <row r="66" spans="1:32" ht="14.4" customHeight="1" thickTop="1" thickBot="1" x14ac:dyDescent="0.3">
      <c r="A66" s="120">
        <v>46997</v>
      </c>
      <c r="B66" s="34" t="s">
        <v>19</v>
      </c>
      <c r="C66" s="28">
        <v>15000</v>
      </c>
      <c r="D66" s="28">
        <f t="shared" si="11"/>
        <v>15000</v>
      </c>
      <c r="E66" s="28">
        <f t="shared" si="11"/>
        <v>15000</v>
      </c>
      <c r="F66" s="28">
        <f t="shared" si="11"/>
        <v>15000</v>
      </c>
      <c r="G66" s="28">
        <f t="shared" si="11"/>
        <v>15000</v>
      </c>
      <c r="H66" s="28">
        <f t="shared" si="11"/>
        <v>15000</v>
      </c>
      <c r="I66" s="28">
        <f t="shared" si="11"/>
        <v>15000</v>
      </c>
      <c r="J66" s="28">
        <f t="shared" si="11"/>
        <v>15000</v>
      </c>
      <c r="K66" s="28">
        <f t="shared" si="11"/>
        <v>15000</v>
      </c>
      <c r="L66" s="28">
        <f t="shared" si="11"/>
        <v>15000</v>
      </c>
      <c r="M66" s="28">
        <f t="shared" si="11"/>
        <v>15000</v>
      </c>
      <c r="N66" s="28">
        <f t="shared" si="11"/>
        <v>15000</v>
      </c>
      <c r="O66" s="28">
        <f t="shared" si="11"/>
        <v>15000</v>
      </c>
      <c r="P66" s="28">
        <f t="shared" si="11"/>
        <v>15000</v>
      </c>
      <c r="Q66" s="28">
        <f t="shared" si="11"/>
        <v>15000</v>
      </c>
      <c r="R66" s="28">
        <f t="shared" si="11"/>
        <v>15000</v>
      </c>
      <c r="S66" s="28">
        <f t="shared" si="11"/>
        <v>15000</v>
      </c>
      <c r="T66" s="28">
        <f t="shared" si="10"/>
        <v>15000</v>
      </c>
      <c r="U66" s="28">
        <f t="shared" si="10"/>
        <v>15000</v>
      </c>
      <c r="V66" s="28">
        <f t="shared" si="10"/>
        <v>15000</v>
      </c>
      <c r="W66" s="28">
        <f t="shared" si="10"/>
        <v>15000</v>
      </c>
      <c r="X66" s="28">
        <f t="shared" si="10"/>
        <v>15000</v>
      </c>
      <c r="Y66" s="28">
        <f t="shared" si="10"/>
        <v>15000</v>
      </c>
      <c r="Z66" s="28">
        <f t="shared" si="10"/>
        <v>15000</v>
      </c>
      <c r="AA66" s="33">
        <v>21</v>
      </c>
      <c r="AB66" s="30">
        <f t="shared" si="7"/>
        <v>7560000</v>
      </c>
      <c r="AC66" s="122">
        <f t="shared" si="2"/>
        <v>10800000</v>
      </c>
      <c r="AF66" s="31"/>
    </row>
    <row r="67" spans="1:32" ht="13.95" customHeight="1" thickBot="1" x14ac:dyDescent="0.3">
      <c r="A67" s="121"/>
      <c r="B67" s="32" t="s">
        <v>20</v>
      </c>
      <c r="C67" s="28">
        <v>15000</v>
      </c>
      <c r="D67" s="28">
        <f t="shared" si="11"/>
        <v>15000</v>
      </c>
      <c r="E67" s="28">
        <f t="shared" si="11"/>
        <v>15000</v>
      </c>
      <c r="F67" s="28">
        <f t="shared" si="11"/>
        <v>15000</v>
      </c>
      <c r="G67" s="28">
        <f t="shared" si="11"/>
        <v>15000</v>
      </c>
      <c r="H67" s="28">
        <f t="shared" si="11"/>
        <v>15000</v>
      </c>
      <c r="I67" s="28">
        <f t="shared" si="11"/>
        <v>15000</v>
      </c>
      <c r="J67" s="28">
        <f t="shared" si="11"/>
        <v>15000</v>
      </c>
      <c r="K67" s="28">
        <f t="shared" si="11"/>
        <v>15000</v>
      </c>
      <c r="L67" s="28">
        <f t="shared" si="11"/>
        <v>15000</v>
      </c>
      <c r="M67" s="28">
        <f t="shared" si="11"/>
        <v>15000</v>
      </c>
      <c r="N67" s="28">
        <f t="shared" si="11"/>
        <v>15000</v>
      </c>
      <c r="O67" s="28">
        <f t="shared" si="11"/>
        <v>15000</v>
      </c>
      <c r="P67" s="28">
        <f t="shared" si="11"/>
        <v>15000</v>
      </c>
      <c r="Q67" s="28">
        <f t="shared" si="11"/>
        <v>15000</v>
      </c>
      <c r="R67" s="28">
        <f t="shared" si="11"/>
        <v>15000</v>
      </c>
      <c r="S67" s="28">
        <f t="shared" si="11"/>
        <v>15000</v>
      </c>
      <c r="T67" s="28">
        <f t="shared" si="10"/>
        <v>15000</v>
      </c>
      <c r="U67" s="28">
        <f t="shared" si="10"/>
        <v>15000</v>
      </c>
      <c r="V67" s="28">
        <f t="shared" si="10"/>
        <v>15000</v>
      </c>
      <c r="W67" s="28">
        <f t="shared" si="10"/>
        <v>15000</v>
      </c>
      <c r="X67" s="28">
        <f t="shared" si="10"/>
        <v>15000</v>
      </c>
      <c r="Y67" s="28">
        <f t="shared" si="10"/>
        <v>15000</v>
      </c>
      <c r="Z67" s="28">
        <f t="shared" si="10"/>
        <v>15000</v>
      </c>
      <c r="AA67" s="33">
        <v>5</v>
      </c>
      <c r="AB67" s="30">
        <f t="shared" si="7"/>
        <v>1800000</v>
      </c>
      <c r="AC67" s="123"/>
      <c r="AF67" s="31"/>
    </row>
    <row r="68" spans="1:32" ht="13.95" customHeight="1" thickBot="1" x14ac:dyDescent="0.3">
      <c r="A68" s="121"/>
      <c r="B68" s="32" t="s">
        <v>21</v>
      </c>
      <c r="C68" s="28">
        <v>15000</v>
      </c>
      <c r="D68" s="28">
        <f t="shared" si="11"/>
        <v>15000</v>
      </c>
      <c r="E68" s="28">
        <f t="shared" si="11"/>
        <v>15000</v>
      </c>
      <c r="F68" s="28">
        <f t="shared" si="11"/>
        <v>15000</v>
      </c>
      <c r="G68" s="28">
        <f t="shared" si="11"/>
        <v>15000</v>
      </c>
      <c r="H68" s="28">
        <f t="shared" si="11"/>
        <v>15000</v>
      </c>
      <c r="I68" s="28">
        <f t="shared" si="11"/>
        <v>15000</v>
      </c>
      <c r="J68" s="28">
        <f t="shared" si="11"/>
        <v>15000</v>
      </c>
      <c r="K68" s="28">
        <f t="shared" si="11"/>
        <v>15000</v>
      </c>
      <c r="L68" s="28">
        <f t="shared" si="11"/>
        <v>15000</v>
      </c>
      <c r="M68" s="28">
        <f t="shared" si="11"/>
        <v>15000</v>
      </c>
      <c r="N68" s="28">
        <f t="shared" si="11"/>
        <v>15000</v>
      </c>
      <c r="O68" s="28">
        <f t="shared" si="11"/>
        <v>15000</v>
      </c>
      <c r="P68" s="28">
        <f t="shared" si="11"/>
        <v>15000</v>
      </c>
      <c r="Q68" s="28">
        <f t="shared" si="11"/>
        <v>15000</v>
      </c>
      <c r="R68" s="28">
        <f t="shared" si="11"/>
        <v>15000</v>
      </c>
      <c r="S68" s="28">
        <f t="shared" si="11"/>
        <v>15000</v>
      </c>
      <c r="T68" s="28">
        <f t="shared" si="10"/>
        <v>15000</v>
      </c>
      <c r="U68" s="28">
        <f t="shared" si="10"/>
        <v>15000</v>
      </c>
      <c r="V68" s="28">
        <f t="shared" si="10"/>
        <v>15000</v>
      </c>
      <c r="W68" s="28">
        <f t="shared" si="10"/>
        <v>15000</v>
      </c>
      <c r="X68" s="28">
        <f t="shared" si="10"/>
        <v>15000</v>
      </c>
      <c r="Y68" s="28">
        <f t="shared" si="10"/>
        <v>15000</v>
      </c>
      <c r="Z68" s="28">
        <f t="shared" si="10"/>
        <v>15000</v>
      </c>
      <c r="AA68" s="33">
        <v>4</v>
      </c>
      <c r="AB68" s="30">
        <f t="shared" si="7"/>
        <v>1440000</v>
      </c>
      <c r="AC68" s="124"/>
      <c r="AF68" s="31"/>
    </row>
    <row r="69" spans="1:32" ht="14.4" customHeight="1" thickTop="1" thickBot="1" x14ac:dyDescent="0.3">
      <c r="A69" s="120">
        <v>47027</v>
      </c>
      <c r="B69" s="35" t="s">
        <v>19</v>
      </c>
      <c r="C69" s="28">
        <v>15000</v>
      </c>
      <c r="D69" s="28">
        <f t="shared" si="11"/>
        <v>15000</v>
      </c>
      <c r="E69" s="28">
        <f t="shared" si="11"/>
        <v>15000</v>
      </c>
      <c r="F69" s="28">
        <f t="shared" si="11"/>
        <v>15000</v>
      </c>
      <c r="G69" s="28">
        <f t="shared" si="11"/>
        <v>15000</v>
      </c>
      <c r="H69" s="28">
        <f t="shared" si="11"/>
        <v>15000</v>
      </c>
      <c r="I69" s="28">
        <f t="shared" si="11"/>
        <v>15000</v>
      </c>
      <c r="J69" s="28">
        <f t="shared" si="11"/>
        <v>15000</v>
      </c>
      <c r="K69" s="28">
        <f t="shared" si="11"/>
        <v>15000</v>
      </c>
      <c r="L69" s="28">
        <f t="shared" si="11"/>
        <v>15000</v>
      </c>
      <c r="M69" s="28">
        <f t="shared" si="11"/>
        <v>15000</v>
      </c>
      <c r="N69" s="28">
        <f t="shared" si="11"/>
        <v>15000</v>
      </c>
      <c r="O69" s="28">
        <f t="shared" si="11"/>
        <v>15000</v>
      </c>
      <c r="P69" s="28">
        <f t="shared" si="11"/>
        <v>15000</v>
      </c>
      <c r="Q69" s="28">
        <f t="shared" si="11"/>
        <v>15000</v>
      </c>
      <c r="R69" s="28">
        <f t="shared" si="11"/>
        <v>15000</v>
      </c>
      <c r="S69" s="28">
        <f t="shared" si="11"/>
        <v>15000</v>
      </c>
      <c r="T69" s="28">
        <f t="shared" si="10"/>
        <v>15000</v>
      </c>
      <c r="U69" s="28">
        <f t="shared" si="10"/>
        <v>15000</v>
      </c>
      <c r="V69" s="28">
        <f t="shared" si="10"/>
        <v>15000</v>
      </c>
      <c r="W69" s="28">
        <f t="shared" si="10"/>
        <v>15000</v>
      </c>
      <c r="X69" s="28">
        <f t="shared" si="10"/>
        <v>15000</v>
      </c>
      <c r="Y69" s="28">
        <f t="shared" si="10"/>
        <v>15000</v>
      </c>
      <c r="Z69" s="28">
        <f t="shared" si="10"/>
        <v>15000</v>
      </c>
      <c r="AA69" s="33">
        <v>21</v>
      </c>
      <c r="AB69" s="30">
        <f t="shared" si="7"/>
        <v>7560000</v>
      </c>
      <c r="AC69" s="122">
        <f t="shared" ref="AC69:AC75" si="12">+AB69+AB70+AB71</f>
        <v>11160000</v>
      </c>
      <c r="AF69" s="31"/>
    </row>
    <row r="70" spans="1:32" ht="13.95" customHeight="1" thickBot="1" x14ac:dyDescent="0.3">
      <c r="A70" s="121"/>
      <c r="B70" s="32" t="s">
        <v>20</v>
      </c>
      <c r="C70" s="28">
        <v>15000</v>
      </c>
      <c r="D70" s="28">
        <f t="shared" si="11"/>
        <v>15000</v>
      </c>
      <c r="E70" s="28">
        <f t="shared" si="11"/>
        <v>15000</v>
      </c>
      <c r="F70" s="28">
        <f t="shared" si="11"/>
        <v>15000</v>
      </c>
      <c r="G70" s="28">
        <f t="shared" si="11"/>
        <v>15000</v>
      </c>
      <c r="H70" s="28">
        <f t="shared" si="11"/>
        <v>15000</v>
      </c>
      <c r="I70" s="28">
        <f t="shared" si="11"/>
        <v>15000</v>
      </c>
      <c r="J70" s="28">
        <f t="shared" si="11"/>
        <v>15000</v>
      </c>
      <c r="K70" s="28">
        <f t="shared" si="11"/>
        <v>15000</v>
      </c>
      <c r="L70" s="28">
        <f t="shared" si="11"/>
        <v>15000</v>
      </c>
      <c r="M70" s="28">
        <f t="shared" si="11"/>
        <v>15000</v>
      </c>
      <c r="N70" s="28">
        <f t="shared" si="11"/>
        <v>15000</v>
      </c>
      <c r="O70" s="28">
        <f t="shared" si="11"/>
        <v>15000</v>
      </c>
      <c r="P70" s="28">
        <f t="shared" si="11"/>
        <v>15000</v>
      </c>
      <c r="Q70" s="28">
        <f t="shared" si="11"/>
        <v>15000</v>
      </c>
      <c r="R70" s="28">
        <f t="shared" si="11"/>
        <v>15000</v>
      </c>
      <c r="S70" s="28">
        <f t="shared" ref="S70:Z77" si="13">+R70</f>
        <v>15000</v>
      </c>
      <c r="T70" s="28">
        <f t="shared" si="13"/>
        <v>15000</v>
      </c>
      <c r="U70" s="28">
        <f t="shared" si="13"/>
        <v>15000</v>
      </c>
      <c r="V70" s="28">
        <f t="shared" si="13"/>
        <v>15000</v>
      </c>
      <c r="W70" s="28">
        <f t="shared" si="13"/>
        <v>15000</v>
      </c>
      <c r="X70" s="28">
        <f t="shared" si="13"/>
        <v>15000</v>
      </c>
      <c r="Y70" s="28">
        <f t="shared" si="13"/>
        <v>15000</v>
      </c>
      <c r="Z70" s="28">
        <f t="shared" si="13"/>
        <v>15000</v>
      </c>
      <c r="AA70" s="33">
        <v>4</v>
      </c>
      <c r="AB70" s="30">
        <f t="shared" si="7"/>
        <v>1440000</v>
      </c>
      <c r="AC70" s="123"/>
      <c r="AF70" s="31"/>
    </row>
    <row r="71" spans="1:32" ht="13.95" customHeight="1" thickBot="1" x14ac:dyDescent="0.3">
      <c r="A71" s="121"/>
      <c r="B71" s="32" t="s">
        <v>21</v>
      </c>
      <c r="C71" s="28">
        <v>15000</v>
      </c>
      <c r="D71" s="28">
        <f t="shared" ref="D71:S77" si="14">+C71</f>
        <v>15000</v>
      </c>
      <c r="E71" s="28">
        <f t="shared" si="14"/>
        <v>15000</v>
      </c>
      <c r="F71" s="28">
        <f t="shared" si="14"/>
        <v>15000</v>
      </c>
      <c r="G71" s="28">
        <f t="shared" si="14"/>
        <v>15000</v>
      </c>
      <c r="H71" s="28">
        <f t="shared" si="14"/>
        <v>15000</v>
      </c>
      <c r="I71" s="28">
        <f t="shared" si="14"/>
        <v>15000</v>
      </c>
      <c r="J71" s="28">
        <f t="shared" si="14"/>
        <v>15000</v>
      </c>
      <c r="K71" s="28">
        <f t="shared" si="14"/>
        <v>15000</v>
      </c>
      <c r="L71" s="28">
        <f t="shared" si="14"/>
        <v>15000</v>
      </c>
      <c r="M71" s="28">
        <f t="shared" si="14"/>
        <v>15000</v>
      </c>
      <c r="N71" s="28">
        <f t="shared" si="14"/>
        <v>15000</v>
      </c>
      <c r="O71" s="28">
        <f t="shared" si="14"/>
        <v>15000</v>
      </c>
      <c r="P71" s="28">
        <f t="shared" si="14"/>
        <v>15000</v>
      </c>
      <c r="Q71" s="28">
        <f t="shared" si="14"/>
        <v>15000</v>
      </c>
      <c r="R71" s="28">
        <f t="shared" si="14"/>
        <v>15000</v>
      </c>
      <c r="S71" s="28">
        <f t="shared" si="14"/>
        <v>15000</v>
      </c>
      <c r="T71" s="28">
        <f t="shared" si="13"/>
        <v>15000</v>
      </c>
      <c r="U71" s="28">
        <f t="shared" si="13"/>
        <v>15000</v>
      </c>
      <c r="V71" s="28">
        <f t="shared" si="13"/>
        <v>15000</v>
      </c>
      <c r="W71" s="28">
        <f t="shared" si="13"/>
        <v>15000</v>
      </c>
      <c r="X71" s="28">
        <f t="shared" si="13"/>
        <v>15000</v>
      </c>
      <c r="Y71" s="28">
        <f t="shared" si="13"/>
        <v>15000</v>
      </c>
      <c r="Z71" s="28">
        <f t="shared" si="13"/>
        <v>15000</v>
      </c>
      <c r="AA71" s="33">
        <v>6</v>
      </c>
      <c r="AB71" s="30">
        <f t="shared" si="7"/>
        <v>2160000</v>
      </c>
      <c r="AC71" s="124"/>
      <c r="AF71" s="31"/>
    </row>
    <row r="72" spans="1:32" ht="14.4" customHeight="1" thickTop="1" thickBot="1" x14ac:dyDescent="0.3">
      <c r="A72" s="120">
        <v>47058</v>
      </c>
      <c r="B72" s="34" t="s">
        <v>19</v>
      </c>
      <c r="C72" s="28">
        <v>15000</v>
      </c>
      <c r="D72" s="28">
        <f t="shared" si="14"/>
        <v>15000</v>
      </c>
      <c r="E72" s="28">
        <f t="shared" si="14"/>
        <v>15000</v>
      </c>
      <c r="F72" s="28">
        <f t="shared" si="14"/>
        <v>15000</v>
      </c>
      <c r="G72" s="28">
        <f t="shared" si="14"/>
        <v>15000</v>
      </c>
      <c r="H72" s="28">
        <f t="shared" si="14"/>
        <v>15000</v>
      </c>
      <c r="I72" s="28">
        <f t="shared" si="14"/>
        <v>15000</v>
      </c>
      <c r="J72" s="28">
        <f t="shared" si="14"/>
        <v>15000</v>
      </c>
      <c r="K72" s="28">
        <f t="shared" si="14"/>
        <v>15000</v>
      </c>
      <c r="L72" s="28">
        <f t="shared" si="14"/>
        <v>15000</v>
      </c>
      <c r="M72" s="28">
        <f t="shared" si="14"/>
        <v>15000</v>
      </c>
      <c r="N72" s="28">
        <f t="shared" si="14"/>
        <v>15000</v>
      </c>
      <c r="O72" s="28">
        <f t="shared" si="14"/>
        <v>15000</v>
      </c>
      <c r="P72" s="28">
        <f t="shared" si="14"/>
        <v>15000</v>
      </c>
      <c r="Q72" s="28">
        <f t="shared" si="14"/>
        <v>15000</v>
      </c>
      <c r="R72" s="28">
        <f t="shared" si="14"/>
        <v>15000</v>
      </c>
      <c r="S72" s="28">
        <f t="shared" si="14"/>
        <v>15000</v>
      </c>
      <c r="T72" s="28">
        <f t="shared" si="13"/>
        <v>15000</v>
      </c>
      <c r="U72" s="28">
        <f t="shared" si="13"/>
        <v>15000</v>
      </c>
      <c r="V72" s="28">
        <f t="shared" si="13"/>
        <v>15000</v>
      </c>
      <c r="W72" s="28">
        <f t="shared" si="13"/>
        <v>15000</v>
      </c>
      <c r="X72" s="28">
        <f t="shared" si="13"/>
        <v>15000</v>
      </c>
      <c r="Y72" s="28">
        <f t="shared" si="13"/>
        <v>15000</v>
      </c>
      <c r="Z72" s="28">
        <f t="shared" si="13"/>
        <v>15000</v>
      </c>
      <c r="AA72" s="33">
        <v>20</v>
      </c>
      <c r="AB72" s="30">
        <f t="shared" si="7"/>
        <v>7200000</v>
      </c>
      <c r="AC72" s="122">
        <f t="shared" si="12"/>
        <v>10800000</v>
      </c>
      <c r="AF72" s="31"/>
    </row>
    <row r="73" spans="1:32" ht="13.95" customHeight="1" thickBot="1" x14ac:dyDescent="0.3">
      <c r="A73" s="121"/>
      <c r="B73" s="32" t="s">
        <v>20</v>
      </c>
      <c r="C73" s="28">
        <v>15000</v>
      </c>
      <c r="D73" s="28">
        <f t="shared" si="14"/>
        <v>15000</v>
      </c>
      <c r="E73" s="28">
        <f t="shared" si="14"/>
        <v>15000</v>
      </c>
      <c r="F73" s="28">
        <f t="shared" si="14"/>
        <v>15000</v>
      </c>
      <c r="G73" s="28">
        <f t="shared" si="14"/>
        <v>15000</v>
      </c>
      <c r="H73" s="28">
        <f t="shared" si="14"/>
        <v>15000</v>
      </c>
      <c r="I73" s="28">
        <f t="shared" si="14"/>
        <v>15000</v>
      </c>
      <c r="J73" s="28">
        <f t="shared" si="14"/>
        <v>15000</v>
      </c>
      <c r="K73" s="28">
        <f t="shared" si="14"/>
        <v>15000</v>
      </c>
      <c r="L73" s="28">
        <f t="shared" si="14"/>
        <v>15000</v>
      </c>
      <c r="M73" s="28">
        <f t="shared" si="14"/>
        <v>15000</v>
      </c>
      <c r="N73" s="28">
        <f t="shared" si="14"/>
        <v>15000</v>
      </c>
      <c r="O73" s="28">
        <f t="shared" si="14"/>
        <v>15000</v>
      </c>
      <c r="P73" s="28">
        <f t="shared" si="14"/>
        <v>15000</v>
      </c>
      <c r="Q73" s="28">
        <f t="shared" si="14"/>
        <v>15000</v>
      </c>
      <c r="R73" s="28">
        <f t="shared" si="14"/>
        <v>15000</v>
      </c>
      <c r="S73" s="28">
        <f t="shared" si="14"/>
        <v>15000</v>
      </c>
      <c r="T73" s="28">
        <f t="shared" si="13"/>
        <v>15000</v>
      </c>
      <c r="U73" s="28">
        <f t="shared" si="13"/>
        <v>15000</v>
      </c>
      <c r="V73" s="28">
        <f t="shared" si="13"/>
        <v>15000</v>
      </c>
      <c r="W73" s="28">
        <f t="shared" si="13"/>
        <v>15000</v>
      </c>
      <c r="X73" s="28">
        <f t="shared" si="13"/>
        <v>15000</v>
      </c>
      <c r="Y73" s="28">
        <f t="shared" si="13"/>
        <v>15000</v>
      </c>
      <c r="Z73" s="28">
        <f t="shared" si="13"/>
        <v>15000</v>
      </c>
      <c r="AA73" s="33">
        <v>4</v>
      </c>
      <c r="AB73" s="30">
        <f t="shared" si="7"/>
        <v>1440000</v>
      </c>
      <c r="AC73" s="123"/>
      <c r="AF73" s="31"/>
    </row>
    <row r="74" spans="1:32" ht="13.95" customHeight="1" thickBot="1" x14ac:dyDescent="0.3">
      <c r="A74" s="121"/>
      <c r="B74" s="32" t="s">
        <v>21</v>
      </c>
      <c r="C74" s="28">
        <v>15000</v>
      </c>
      <c r="D74" s="28">
        <f t="shared" si="14"/>
        <v>15000</v>
      </c>
      <c r="E74" s="28">
        <f t="shared" si="14"/>
        <v>15000</v>
      </c>
      <c r="F74" s="28">
        <f t="shared" si="14"/>
        <v>15000</v>
      </c>
      <c r="G74" s="28">
        <f t="shared" si="14"/>
        <v>15000</v>
      </c>
      <c r="H74" s="28">
        <f t="shared" si="14"/>
        <v>15000</v>
      </c>
      <c r="I74" s="28">
        <f t="shared" si="14"/>
        <v>15000</v>
      </c>
      <c r="J74" s="28">
        <f t="shared" si="14"/>
        <v>15000</v>
      </c>
      <c r="K74" s="28">
        <f t="shared" si="14"/>
        <v>15000</v>
      </c>
      <c r="L74" s="28">
        <f t="shared" si="14"/>
        <v>15000</v>
      </c>
      <c r="M74" s="28">
        <f t="shared" si="14"/>
        <v>15000</v>
      </c>
      <c r="N74" s="28">
        <f t="shared" si="14"/>
        <v>15000</v>
      </c>
      <c r="O74" s="28">
        <f t="shared" si="14"/>
        <v>15000</v>
      </c>
      <c r="P74" s="28">
        <f t="shared" si="14"/>
        <v>15000</v>
      </c>
      <c r="Q74" s="28">
        <f t="shared" si="14"/>
        <v>15000</v>
      </c>
      <c r="R74" s="28">
        <f t="shared" si="14"/>
        <v>15000</v>
      </c>
      <c r="S74" s="28">
        <f t="shared" si="14"/>
        <v>15000</v>
      </c>
      <c r="T74" s="28">
        <f t="shared" si="13"/>
        <v>15000</v>
      </c>
      <c r="U74" s="28">
        <f t="shared" si="13"/>
        <v>15000</v>
      </c>
      <c r="V74" s="28">
        <f t="shared" si="13"/>
        <v>15000</v>
      </c>
      <c r="W74" s="28">
        <f t="shared" si="13"/>
        <v>15000</v>
      </c>
      <c r="X74" s="28">
        <f t="shared" si="13"/>
        <v>15000</v>
      </c>
      <c r="Y74" s="28">
        <f t="shared" si="13"/>
        <v>15000</v>
      </c>
      <c r="Z74" s="28">
        <f t="shared" si="13"/>
        <v>15000</v>
      </c>
      <c r="AA74" s="33">
        <v>6</v>
      </c>
      <c r="AB74" s="30">
        <f t="shared" si="7"/>
        <v>2160000</v>
      </c>
      <c r="AC74" s="124"/>
      <c r="AF74" s="31"/>
    </row>
    <row r="75" spans="1:32" ht="14.4" customHeight="1" thickTop="1" thickBot="1" x14ac:dyDescent="0.3">
      <c r="A75" s="120">
        <v>47088</v>
      </c>
      <c r="B75" s="35" t="s">
        <v>19</v>
      </c>
      <c r="C75" s="28">
        <v>15000</v>
      </c>
      <c r="D75" s="28">
        <f t="shared" si="14"/>
        <v>15000</v>
      </c>
      <c r="E75" s="28">
        <f t="shared" si="14"/>
        <v>15000</v>
      </c>
      <c r="F75" s="28">
        <f t="shared" si="14"/>
        <v>15000</v>
      </c>
      <c r="G75" s="28">
        <f t="shared" si="14"/>
        <v>15000</v>
      </c>
      <c r="H75" s="28">
        <f t="shared" si="14"/>
        <v>15000</v>
      </c>
      <c r="I75" s="28">
        <f t="shared" si="14"/>
        <v>15000</v>
      </c>
      <c r="J75" s="28">
        <f t="shared" si="14"/>
        <v>15000</v>
      </c>
      <c r="K75" s="28">
        <f t="shared" si="14"/>
        <v>15000</v>
      </c>
      <c r="L75" s="28">
        <f t="shared" si="14"/>
        <v>15000</v>
      </c>
      <c r="M75" s="28">
        <f t="shared" si="14"/>
        <v>15000</v>
      </c>
      <c r="N75" s="28">
        <f t="shared" si="14"/>
        <v>15000</v>
      </c>
      <c r="O75" s="28">
        <f t="shared" si="14"/>
        <v>15000</v>
      </c>
      <c r="P75" s="28">
        <f t="shared" si="14"/>
        <v>15000</v>
      </c>
      <c r="Q75" s="28">
        <f t="shared" si="14"/>
        <v>15000</v>
      </c>
      <c r="R75" s="28">
        <f t="shared" si="14"/>
        <v>15000</v>
      </c>
      <c r="S75" s="28">
        <f t="shared" si="14"/>
        <v>15000</v>
      </c>
      <c r="T75" s="28">
        <f t="shared" si="13"/>
        <v>15000</v>
      </c>
      <c r="U75" s="28">
        <f t="shared" si="13"/>
        <v>15000</v>
      </c>
      <c r="V75" s="28">
        <f t="shared" si="13"/>
        <v>15000</v>
      </c>
      <c r="W75" s="28">
        <f t="shared" si="13"/>
        <v>15000</v>
      </c>
      <c r="X75" s="28">
        <f t="shared" si="13"/>
        <v>15000</v>
      </c>
      <c r="Y75" s="28">
        <f t="shared" si="13"/>
        <v>15000</v>
      </c>
      <c r="Z75" s="28">
        <f t="shared" si="13"/>
        <v>15000</v>
      </c>
      <c r="AA75" s="33">
        <v>19</v>
      </c>
      <c r="AB75" s="30">
        <f t="shared" si="7"/>
        <v>6840000</v>
      </c>
      <c r="AC75" s="122">
        <f t="shared" si="12"/>
        <v>11160000</v>
      </c>
      <c r="AF75" s="31"/>
    </row>
    <row r="76" spans="1:32" ht="13.95" customHeight="1" thickBot="1" x14ac:dyDescent="0.3">
      <c r="A76" s="121"/>
      <c r="B76" s="32" t="s">
        <v>20</v>
      </c>
      <c r="C76" s="28">
        <v>15000</v>
      </c>
      <c r="D76" s="28">
        <f t="shared" si="14"/>
        <v>15000</v>
      </c>
      <c r="E76" s="28">
        <f t="shared" si="14"/>
        <v>15000</v>
      </c>
      <c r="F76" s="28">
        <f t="shared" si="14"/>
        <v>15000</v>
      </c>
      <c r="G76" s="28">
        <f t="shared" si="14"/>
        <v>15000</v>
      </c>
      <c r="H76" s="28">
        <f t="shared" si="14"/>
        <v>15000</v>
      </c>
      <c r="I76" s="28">
        <f t="shared" si="14"/>
        <v>15000</v>
      </c>
      <c r="J76" s="28">
        <f t="shared" si="14"/>
        <v>15000</v>
      </c>
      <c r="K76" s="28">
        <f t="shared" si="14"/>
        <v>15000</v>
      </c>
      <c r="L76" s="28">
        <f t="shared" si="14"/>
        <v>15000</v>
      </c>
      <c r="M76" s="28">
        <f t="shared" si="14"/>
        <v>15000</v>
      </c>
      <c r="N76" s="28">
        <f t="shared" si="14"/>
        <v>15000</v>
      </c>
      <c r="O76" s="28">
        <f t="shared" si="14"/>
        <v>15000</v>
      </c>
      <c r="P76" s="28">
        <f t="shared" si="14"/>
        <v>15000</v>
      </c>
      <c r="Q76" s="28">
        <f t="shared" si="14"/>
        <v>15000</v>
      </c>
      <c r="R76" s="28">
        <f t="shared" si="14"/>
        <v>15000</v>
      </c>
      <c r="S76" s="28">
        <f t="shared" si="14"/>
        <v>15000</v>
      </c>
      <c r="T76" s="28">
        <f t="shared" si="13"/>
        <v>15000</v>
      </c>
      <c r="U76" s="28">
        <f t="shared" si="13"/>
        <v>15000</v>
      </c>
      <c r="V76" s="28">
        <f t="shared" si="13"/>
        <v>15000</v>
      </c>
      <c r="W76" s="28">
        <f t="shared" si="13"/>
        <v>15000</v>
      </c>
      <c r="X76" s="28">
        <f t="shared" si="13"/>
        <v>15000</v>
      </c>
      <c r="Y76" s="28">
        <f t="shared" si="13"/>
        <v>15000</v>
      </c>
      <c r="Z76" s="28">
        <f t="shared" si="13"/>
        <v>15000</v>
      </c>
      <c r="AA76" s="33">
        <v>5</v>
      </c>
      <c r="AB76" s="30">
        <f t="shared" si="7"/>
        <v>1800000</v>
      </c>
      <c r="AC76" s="123"/>
      <c r="AF76" s="31"/>
    </row>
    <row r="77" spans="1:32" ht="13.95" customHeight="1" thickBot="1" x14ac:dyDescent="0.3">
      <c r="A77" s="125"/>
      <c r="B77" s="36" t="s">
        <v>21</v>
      </c>
      <c r="C77" s="28">
        <v>15000</v>
      </c>
      <c r="D77" s="28">
        <f t="shared" si="14"/>
        <v>15000</v>
      </c>
      <c r="E77" s="28">
        <f t="shared" si="14"/>
        <v>15000</v>
      </c>
      <c r="F77" s="28">
        <f t="shared" si="14"/>
        <v>15000</v>
      </c>
      <c r="G77" s="28">
        <f t="shared" si="14"/>
        <v>15000</v>
      </c>
      <c r="H77" s="28">
        <f t="shared" si="14"/>
        <v>15000</v>
      </c>
      <c r="I77" s="28">
        <f t="shared" si="14"/>
        <v>15000</v>
      </c>
      <c r="J77" s="28">
        <f t="shared" si="14"/>
        <v>15000</v>
      </c>
      <c r="K77" s="28">
        <f t="shared" si="14"/>
        <v>15000</v>
      </c>
      <c r="L77" s="28">
        <f t="shared" si="14"/>
        <v>15000</v>
      </c>
      <c r="M77" s="28">
        <f t="shared" si="14"/>
        <v>15000</v>
      </c>
      <c r="N77" s="28">
        <f t="shared" si="14"/>
        <v>15000</v>
      </c>
      <c r="O77" s="28">
        <f t="shared" si="14"/>
        <v>15000</v>
      </c>
      <c r="P77" s="28">
        <f t="shared" si="14"/>
        <v>15000</v>
      </c>
      <c r="Q77" s="28">
        <f t="shared" si="14"/>
        <v>15000</v>
      </c>
      <c r="R77" s="28">
        <f t="shared" si="14"/>
        <v>15000</v>
      </c>
      <c r="S77" s="28">
        <f t="shared" si="14"/>
        <v>15000</v>
      </c>
      <c r="T77" s="28">
        <f t="shared" si="13"/>
        <v>15000</v>
      </c>
      <c r="U77" s="28">
        <f t="shared" si="13"/>
        <v>15000</v>
      </c>
      <c r="V77" s="28">
        <f t="shared" si="13"/>
        <v>15000</v>
      </c>
      <c r="W77" s="28">
        <f t="shared" si="13"/>
        <v>15000</v>
      </c>
      <c r="X77" s="28">
        <f t="shared" si="13"/>
        <v>15000</v>
      </c>
      <c r="Y77" s="28">
        <f t="shared" si="13"/>
        <v>15000</v>
      </c>
      <c r="Z77" s="28">
        <f t="shared" si="13"/>
        <v>15000</v>
      </c>
      <c r="AA77" s="37">
        <v>7</v>
      </c>
      <c r="AB77" s="30">
        <f t="shared" si="7"/>
        <v>2520000</v>
      </c>
      <c r="AC77" s="124"/>
      <c r="AF77" s="31"/>
    </row>
  </sheetData>
  <mergeCells count="54">
    <mergeCell ref="A1:AD1"/>
    <mergeCell ref="A2:AD2"/>
    <mergeCell ref="A3:AD3"/>
    <mergeCell ref="AA4:AA5"/>
    <mergeCell ref="AB4:AB5"/>
    <mergeCell ref="AC4:AC5"/>
    <mergeCell ref="A6:A8"/>
    <mergeCell ref="AC6:AC8"/>
    <mergeCell ref="A9:A11"/>
    <mergeCell ref="AC9:AC11"/>
    <mergeCell ref="A12:A14"/>
    <mergeCell ref="AC12:AC14"/>
    <mergeCell ref="A15:A17"/>
    <mergeCell ref="AC15:AC17"/>
    <mergeCell ref="A18:A20"/>
    <mergeCell ref="AC18:AC20"/>
    <mergeCell ref="A21:A23"/>
    <mergeCell ref="AC21:AC23"/>
    <mergeCell ref="A24:A26"/>
    <mergeCell ref="AC24:AC26"/>
    <mergeCell ref="A27:A29"/>
    <mergeCell ref="AC27:AC29"/>
    <mergeCell ref="A30:A32"/>
    <mergeCell ref="AC30:AC32"/>
    <mergeCell ref="A33:A35"/>
    <mergeCell ref="AC33:AC35"/>
    <mergeCell ref="A36:A38"/>
    <mergeCell ref="AC36:AC38"/>
    <mergeCell ref="A39:A41"/>
    <mergeCell ref="AC39:AC41"/>
    <mergeCell ref="A42:A44"/>
    <mergeCell ref="AC42:AC44"/>
    <mergeCell ref="A45:A47"/>
    <mergeCell ref="AC45:AC47"/>
    <mergeCell ref="A48:A50"/>
    <mergeCell ref="AC48:AC50"/>
    <mergeCell ref="A51:A53"/>
    <mergeCell ref="AC51:AC53"/>
    <mergeCell ref="A54:A56"/>
    <mergeCell ref="AC54:AC56"/>
    <mergeCell ref="A57:A59"/>
    <mergeCell ref="AC57:AC59"/>
    <mergeCell ref="A60:A62"/>
    <mergeCell ref="AC60:AC62"/>
    <mergeCell ref="A63:A65"/>
    <mergeCell ref="AC63:AC65"/>
    <mergeCell ref="A66:A68"/>
    <mergeCell ref="AC66:AC68"/>
    <mergeCell ref="A69:A71"/>
    <mergeCell ref="AC69:AC71"/>
    <mergeCell ref="A72:A74"/>
    <mergeCell ref="AC72:AC74"/>
    <mergeCell ref="A75:A77"/>
    <mergeCell ref="AC75:AC77"/>
  </mergeCells>
  <printOptions horizontalCentered="1" verticalCentered="1"/>
  <pageMargins left="0.78740157480314965" right="0.78740157480314965" top="1.1811023622047245" bottom="0.98425196850393704" header="0" footer="0"/>
  <pageSetup scale="10" orientation="landscape" r:id="rId1"/>
  <headerFooter alignWithMargins="0"/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7391A-8E5F-40F7-9465-68BD8B34637C}">
  <sheetPr>
    <pageSetUpPr fitToPage="1"/>
  </sheetPr>
  <dimension ref="A1:AE234"/>
  <sheetViews>
    <sheetView workbookViewId="0">
      <selection sqref="A1:D40"/>
    </sheetView>
  </sheetViews>
  <sheetFormatPr baseColWidth="10" defaultColWidth="11.44140625" defaultRowHeight="13.2" x14ac:dyDescent="0.25"/>
  <cols>
    <col min="1" max="1" width="19.44140625" style="7" customWidth="1"/>
    <col min="2" max="2" width="26.6640625" style="7" customWidth="1"/>
    <col min="3" max="3" width="10.5546875" style="7" customWidth="1"/>
    <col min="4" max="4" width="16.109375" style="7" customWidth="1"/>
    <col min="5" max="5" width="13.6640625" style="7" bestFit="1" customWidth="1"/>
    <col min="6" max="6" width="16.33203125" style="7" bestFit="1" customWidth="1"/>
    <col min="7" max="16384" width="11.44140625" style="7"/>
  </cols>
  <sheetData>
    <row r="1" spans="1:7" s="1" customFormat="1" ht="16.5" customHeight="1" x14ac:dyDescent="0.25">
      <c r="A1" s="99" t="s">
        <v>31</v>
      </c>
      <c r="B1" s="100"/>
      <c r="C1" s="100"/>
      <c r="D1" s="101"/>
    </row>
    <row r="2" spans="1:7" s="1" customFormat="1" ht="16.5" customHeight="1" x14ac:dyDescent="0.25">
      <c r="A2" s="102" t="s">
        <v>25</v>
      </c>
      <c r="B2" s="103"/>
      <c r="C2" s="103"/>
      <c r="D2" s="104"/>
    </row>
    <row r="3" spans="1:7" s="1" customFormat="1" ht="26.7" customHeight="1" x14ac:dyDescent="0.25">
      <c r="A3" s="105" t="s">
        <v>27</v>
      </c>
      <c r="B3" s="106"/>
      <c r="C3" s="106"/>
      <c r="D3" s="107"/>
    </row>
    <row r="4" spans="1:7" s="1" customFormat="1" ht="16.5" customHeight="1" thickBot="1" x14ac:dyDescent="0.3">
      <c r="A4" s="108"/>
      <c r="B4" s="109"/>
      <c r="C4" s="109"/>
      <c r="D4" s="110"/>
    </row>
    <row r="5" spans="1:7" s="2" customFormat="1" ht="15" customHeight="1" x14ac:dyDescent="0.25">
      <c r="A5" s="111" t="s">
        <v>1</v>
      </c>
      <c r="B5" s="114" t="s">
        <v>2</v>
      </c>
      <c r="C5" s="116" t="s">
        <v>0</v>
      </c>
      <c r="D5" s="117"/>
    </row>
    <row r="6" spans="1:7" s="2" customFormat="1" ht="25.95" customHeight="1" x14ac:dyDescent="0.25">
      <c r="A6" s="112"/>
      <c r="B6" s="115"/>
      <c r="C6" s="118" t="s">
        <v>3</v>
      </c>
      <c r="D6" s="119"/>
    </row>
    <row r="7" spans="1:7" s="2" customFormat="1" ht="13.8" thickBot="1" x14ac:dyDescent="0.3">
      <c r="A7" s="113"/>
      <c r="B7" s="3" t="s">
        <v>4</v>
      </c>
      <c r="C7" s="3" t="s">
        <v>5</v>
      </c>
      <c r="D7" s="4" t="s">
        <v>6</v>
      </c>
    </row>
    <row r="8" spans="1:7" ht="16.5" customHeight="1" x14ac:dyDescent="0.25">
      <c r="A8" s="5">
        <v>47119</v>
      </c>
      <c r="B8" s="6">
        <f>+VLOOKUP(A8,'Cant producto 2_2029-2030'!$A:$AD,29,FALSE)</f>
        <v>23808000</v>
      </c>
      <c r="C8" s="92"/>
      <c r="D8" s="92"/>
      <c r="F8" s="8"/>
      <c r="G8" s="9"/>
    </row>
    <row r="9" spans="1:7" ht="16.5" customHeight="1" x14ac:dyDescent="0.25">
      <c r="A9" s="5">
        <v>47150</v>
      </c>
      <c r="B9" s="6">
        <f>+VLOOKUP(A9,'Cant producto 2_2029-2030'!$A:$AD,29,FALSE)</f>
        <v>21504000</v>
      </c>
      <c r="C9" s="93"/>
      <c r="D9" s="93"/>
      <c r="F9" s="8"/>
      <c r="G9" s="9"/>
    </row>
    <row r="10" spans="1:7" ht="16.5" customHeight="1" x14ac:dyDescent="0.25">
      <c r="A10" s="5">
        <v>47178</v>
      </c>
      <c r="B10" s="6">
        <f>+VLOOKUP(A10,'Cant producto 2_2029-2030'!$A:$AD,29,FALSE)</f>
        <v>23808000</v>
      </c>
      <c r="C10" s="93"/>
      <c r="D10" s="93"/>
      <c r="F10" s="8"/>
      <c r="G10" s="9"/>
    </row>
    <row r="11" spans="1:7" ht="16.5" customHeight="1" x14ac:dyDescent="0.25">
      <c r="A11" s="5">
        <v>47209</v>
      </c>
      <c r="B11" s="6">
        <f>+VLOOKUP(A11,'Cant producto 2_2029-2030'!$A:$AD,29,FALSE)</f>
        <v>23040000</v>
      </c>
      <c r="C11" s="93"/>
      <c r="D11" s="93"/>
      <c r="F11" s="8"/>
      <c r="G11" s="9"/>
    </row>
    <row r="12" spans="1:7" ht="16.5" customHeight="1" x14ac:dyDescent="0.25">
      <c r="A12" s="5">
        <v>47239</v>
      </c>
      <c r="B12" s="6">
        <f>+VLOOKUP(A12,'Cant producto 2_2029-2030'!$A:$AD,29,FALSE)</f>
        <v>23808000</v>
      </c>
      <c r="C12" s="93"/>
      <c r="D12" s="93"/>
      <c r="F12" s="8"/>
      <c r="G12" s="9"/>
    </row>
    <row r="13" spans="1:7" ht="16.5" customHeight="1" x14ac:dyDescent="0.25">
      <c r="A13" s="5">
        <v>47270</v>
      </c>
      <c r="B13" s="6">
        <f>+VLOOKUP(A13,'Cant producto 2_2029-2030'!$A:$AD,29,FALSE)</f>
        <v>23040000</v>
      </c>
      <c r="C13" s="93"/>
      <c r="D13" s="93"/>
      <c r="F13" s="8"/>
      <c r="G13" s="9"/>
    </row>
    <row r="14" spans="1:7" ht="16.5" customHeight="1" x14ac:dyDescent="0.25">
      <c r="A14" s="5">
        <v>47300</v>
      </c>
      <c r="B14" s="6">
        <f>+VLOOKUP(A14,'Cant producto 2_2029-2030'!$A:$AD,29,FALSE)</f>
        <v>23808000</v>
      </c>
      <c r="C14" s="93"/>
      <c r="D14" s="93"/>
      <c r="F14" s="8"/>
      <c r="G14" s="9"/>
    </row>
    <row r="15" spans="1:7" ht="16.5" customHeight="1" x14ac:dyDescent="0.25">
      <c r="A15" s="5">
        <v>47331</v>
      </c>
      <c r="B15" s="6">
        <f>+VLOOKUP(A15,'Cant producto 2_2029-2030'!$A:$AD,29,FALSE)</f>
        <v>23808000</v>
      </c>
      <c r="C15" s="93"/>
      <c r="D15" s="93"/>
      <c r="F15" s="8"/>
      <c r="G15" s="9"/>
    </row>
    <row r="16" spans="1:7" ht="16.5" customHeight="1" x14ac:dyDescent="0.25">
      <c r="A16" s="5">
        <v>47362</v>
      </c>
      <c r="B16" s="6">
        <f>+VLOOKUP(A16,'Cant producto 2_2029-2030'!$A:$AD,29,FALSE)</f>
        <v>23040000</v>
      </c>
      <c r="C16" s="93"/>
      <c r="D16" s="93"/>
      <c r="F16" s="8"/>
      <c r="G16" s="9"/>
    </row>
    <row r="17" spans="1:7" ht="16.5" customHeight="1" x14ac:dyDescent="0.25">
      <c r="A17" s="5">
        <v>47392</v>
      </c>
      <c r="B17" s="6">
        <f>+VLOOKUP(A17,'Cant producto 2_2029-2030'!$A:$AD,29,FALSE)</f>
        <v>23808000</v>
      </c>
      <c r="C17" s="93"/>
      <c r="D17" s="93"/>
      <c r="F17" s="8"/>
      <c r="G17" s="9"/>
    </row>
    <row r="18" spans="1:7" ht="16.5" customHeight="1" x14ac:dyDescent="0.25">
      <c r="A18" s="5">
        <v>47423</v>
      </c>
      <c r="B18" s="6">
        <f>+VLOOKUP(A18,'Cant producto 2_2029-2030'!$A:$AD,29,FALSE)</f>
        <v>23040000</v>
      </c>
      <c r="C18" s="93"/>
      <c r="D18" s="93"/>
      <c r="F18" s="8"/>
      <c r="G18" s="9"/>
    </row>
    <row r="19" spans="1:7" ht="16.5" customHeight="1" thickBot="1" x14ac:dyDescent="0.3">
      <c r="A19" s="5">
        <v>47453</v>
      </c>
      <c r="B19" s="6">
        <f>+VLOOKUP(A19,'Cant producto 2_2029-2030'!$A:$AD,29,FALSE)</f>
        <v>23808000</v>
      </c>
      <c r="C19" s="94"/>
      <c r="D19" s="94"/>
      <c r="E19" s="14"/>
      <c r="F19" s="8"/>
      <c r="G19" s="9"/>
    </row>
    <row r="20" spans="1:7" ht="16.5" customHeight="1" x14ac:dyDescent="0.25">
      <c r="A20" s="5">
        <v>47484</v>
      </c>
      <c r="B20" s="6">
        <f>+VLOOKUP(A20,'Cant producto 2_2029-2030'!$A:$AD,29,FALSE)</f>
        <v>23808000</v>
      </c>
      <c r="C20" s="10"/>
      <c r="D20" s="48"/>
      <c r="F20" s="8"/>
      <c r="G20" s="9"/>
    </row>
    <row r="21" spans="1:7" ht="16.5" customHeight="1" x14ac:dyDescent="0.25">
      <c r="A21" s="5">
        <v>47515</v>
      </c>
      <c r="B21" s="6">
        <f>+VLOOKUP(A21,'Cant producto 2_2029-2030'!$A:$AD,29,FALSE)</f>
        <v>21504000</v>
      </c>
      <c r="C21" s="10"/>
      <c r="D21" s="48"/>
      <c r="F21" s="8"/>
      <c r="G21" s="9"/>
    </row>
    <row r="22" spans="1:7" ht="16.5" customHeight="1" x14ac:dyDescent="0.25">
      <c r="A22" s="5">
        <v>47543</v>
      </c>
      <c r="B22" s="6">
        <f>+VLOOKUP(A22,'Cant producto 2_2029-2030'!$A:$AD,29,FALSE)</f>
        <v>23808000</v>
      </c>
      <c r="C22" s="10"/>
      <c r="D22" s="48"/>
      <c r="F22" s="8"/>
      <c r="G22" s="9"/>
    </row>
    <row r="23" spans="1:7" ht="16.5" customHeight="1" x14ac:dyDescent="0.25">
      <c r="A23" s="5">
        <v>47574</v>
      </c>
      <c r="B23" s="6">
        <f>+VLOOKUP(A23,'Cant producto 2_2029-2030'!$A:$AD,29,FALSE)</f>
        <v>23040000</v>
      </c>
      <c r="C23" s="10"/>
      <c r="D23" s="48"/>
      <c r="F23" s="8"/>
      <c r="G23" s="9"/>
    </row>
    <row r="24" spans="1:7" ht="16.5" customHeight="1" x14ac:dyDescent="0.25">
      <c r="A24" s="5">
        <v>47604</v>
      </c>
      <c r="B24" s="6">
        <f>+VLOOKUP(A24,'Cant producto 2_2029-2030'!$A:$AD,29,FALSE)</f>
        <v>23808000</v>
      </c>
      <c r="C24" s="10"/>
      <c r="D24" s="48"/>
      <c r="F24" s="8"/>
      <c r="G24" s="9"/>
    </row>
    <row r="25" spans="1:7" ht="16.5" customHeight="1" x14ac:dyDescent="0.25">
      <c r="A25" s="5">
        <v>47635</v>
      </c>
      <c r="B25" s="6">
        <f>+VLOOKUP(A25,'Cant producto 2_2029-2030'!$A:$AD,29,FALSE)</f>
        <v>23040000</v>
      </c>
      <c r="C25" s="10"/>
      <c r="D25" s="48"/>
      <c r="F25" s="8"/>
      <c r="G25" s="9"/>
    </row>
    <row r="26" spans="1:7" ht="16.5" customHeight="1" x14ac:dyDescent="0.25">
      <c r="A26" s="5">
        <v>47665</v>
      </c>
      <c r="B26" s="6">
        <f>+VLOOKUP(A26,'Cant producto 2_2029-2030'!$A:$AD,29,FALSE)</f>
        <v>23808000</v>
      </c>
      <c r="C26" s="10"/>
      <c r="D26" s="48"/>
      <c r="F26" s="8"/>
      <c r="G26" s="9"/>
    </row>
    <row r="27" spans="1:7" ht="16.5" customHeight="1" x14ac:dyDescent="0.25">
      <c r="A27" s="5">
        <v>47696</v>
      </c>
      <c r="B27" s="6">
        <f>+VLOOKUP(A27,'Cant producto 2_2029-2030'!$A:$AD,29,FALSE)</f>
        <v>23808000</v>
      </c>
      <c r="C27" s="10"/>
      <c r="D27" s="48"/>
      <c r="F27" s="8"/>
      <c r="G27" s="9"/>
    </row>
    <row r="28" spans="1:7" ht="16.5" customHeight="1" x14ac:dyDescent="0.25">
      <c r="A28" s="5">
        <v>47727</v>
      </c>
      <c r="B28" s="6">
        <f>+VLOOKUP(A28,'Cant producto 2_2029-2030'!$A:$AD,29,FALSE)</f>
        <v>23040000</v>
      </c>
      <c r="C28" s="10"/>
      <c r="D28" s="48"/>
      <c r="F28" s="8"/>
      <c r="G28" s="9"/>
    </row>
    <row r="29" spans="1:7" ht="16.5" customHeight="1" x14ac:dyDescent="0.25">
      <c r="A29" s="5">
        <v>47757</v>
      </c>
      <c r="B29" s="6">
        <f>+VLOOKUP(A29,'Cant producto 2_2029-2030'!$A:$AD,29,FALSE)</f>
        <v>23808000</v>
      </c>
      <c r="C29" s="10"/>
      <c r="D29" s="48"/>
      <c r="F29" s="8"/>
      <c r="G29" s="9"/>
    </row>
    <row r="30" spans="1:7" ht="16.5" customHeight="1" x14ac:dyDescent="0.25">
      <c r="A30" s="5">
        <v>47788</v>
      </c>
      <c r="B30" s="6">
        <f>+VLOOKUP(A30,'Cant producto 2_2029-2030'!$A:$AD,29,FALSE)</f>
        <v>23040000</v>
      </c>
      <c r="C30" s="10"/>
      <c r="D30" s="48"/>
      <c r="F30" s="8"/>
      <c r="G30" s="9"/>
    </row>
    <row r="31" spans="1:7" ht="16.5" customHeight="1" x14ac:dyDescent="0.25">
      <c r="A31" s="5">
        <v>47818</v>
      </c>
      <c r="B31" s="6">
        <f>+VLOOKUP(A31,'Cant producto 2_2029-2030'!$A:$AD,29,FALSE)</f>
        <v>23808000</v>
      </c>
      <c r="C31" s="10"/>
      <c r="D31" s="48"/>
      <c r="E31" s="14"/>
      <c r="F31" s="8"/>
      <c r="G31" s="9"/>
    </row>
    <row r="32" spans="1:7" ht="16.5" customHeight="1" thickBot="1" x14ac:dyDescent="0.3">
      <c r="A32" s="49" t="s">
        <v>7</v>
      </c>
      <c r="B32" s="50">
        <f>SUM(B8:B31)</f>
        <v>560640000</v>
      </c>
      <c r="C32" s="51"/>
      <c r="D32" s="52"/>
      <c r="F32" s="8"/>
      <c r="G32" s="14"/>
    </row>
    <row r="33" spans="1:6" ht="60" customHeight="1" thickBot="1" x14ac:dyDescent="0.35">
      <c r="A33" s="95"/>
      <c r="B33" s="96"/>
      <c r="C33" s="96"/>
      <c r="D33" s="63"/>
      <c r="F33"/>
    </row>
    <row r="34" spans="1:6" ht="14.4" x14ac:dyDescent="0.3">
      <c r="A34" s="64" t="s">
        <v>8</v>
      </c>
      <c r="B34" s="60"/>
      <c r="C34" s="56"/>
      <c r="D34" s="65"/>
      <c r="F34"/>
    </row>
    <row r="35" spans="1:6" ht="14.4" x14ac:dyDescent="0.3">
      <c r="A35" s="97" t="s">
        <v>9</v>
      </c>
      <c r="B35" s="98"/>
      <c r="C35" s="56"/>
      <c r="D35" s="65"/>
      <c r="F35"/>
    </row>
    <row r="36" spans="1:6" ht="14.4" x14ac:dyDescent="0.3">
      <c r="A36" s="66"/>
      <c r="B36" s="56"/>
      <c r="C36" s="56"/>
      <c r="D36" s="65"/>
      <c r="F36"/>
    </row>
    <row r="37" spans="1:6" ht="14.4" x14ac:dyDescent="0.3">
      <c r="A37" s="66" t="s">
        <v>10</v>
      </c>
      <c r="B37" s="67"/>
      <c r="C37" s="56"/>
      <c r="D37" s="65"/>
      <c r="F37"/>
    </row>
    <row r="38" spans="1:6" ht="14.4" x14ac:dyDescent="0.3">
      <c r="A38" s="85"/>
      <c r="B38" s="86"/>
      <c r="C38" s="86"/>
      <c r="D38" s="87"/>
      <c r="F38"/>
    </row>
    <row r="39" spans="1:6" ht="37.200000000000003" customHeight="1" x14ac:dyDescent="0.3">
      <c r="A39" s="132" t="s">
        <v>11</v>
      </c>
      <c r="B39" s="86"/>
      <c r="C39" s="86"/>
      <c r="D39" s="87"/>
      <c r="F39"/>
    </row>
    <row r="40" spans="1:6" ht="15" thickBot="1" x14ac:dyDescent="0.35">
      <c r="A40" s="129"/>
      <c r="B40" s="130"/>
      <c r="C40" s="68"/>
      <c r="D40" s="69"/>
      <c r="F40"/>
    </row>
    <row r="41" spans="1:6" ht="14.4" x14ac:dyDescent="0.3">
      <c r="A41" s="131"/>
      <c r="B41" s="131"/>
      <c r="F41"/>
    </row>
    <row r="42" spans="1:6" ht="14.4" x14ac:dyDescent="0.3">
      <c r="F42"/>
    </row>
    <row r="43" spans="1:6" ht="14.4" x14ac:dyDescent="0.3">
      <c r="F43"/>
    </row>
    <row r="44" spans="1:6" ht="14.4" x14ac:dyDescent="0.3">
      <c r="F44"/>
    </row>
    <row r="45" spans="1:6" ht="14.4" x14ac:dyDescent="0.3">
      <c r="F45"/>
    </row>
    <row r="46" spans="1:6" ht="14.4" x14ac:dyDescent="0.3">
      <c r="F46"/>
    </row>
    <row r="47" spans="1:6" ht="14.4" x14ac:dyDescent="0.3">
      <c r="F47"/>
    </row>
    <row r="48" spans="1:6" ht="14.4" x14ac:dyDescent="0.3">
      <c r="F48"/>
    </row>
    <row r="49" spans="6:6" ht="14.4" x14ac:dyDescent="0.3">
      <c r="F49"/>
    </row>
    <row r="50" spans="6:6" ht="14.4" x14ac:dyDescent="0.3">
      <c r="F50"/>
    </row>
    <row r="51" spans="6:6" ht="14.4" x14ac:dyDescent="0.3">
      <c r="F51"/>
    </row>
    <row r="52" spans="6:6" ht="14.4" x14ac:dyDescent="0.3">
      <c r="F52"/>
    </row>
    <row r="53" spans="6:6" ht="14.4" x14ac:dyDescent="0.3">
      <c r="F53"/>
    </row>
    <row r="54" spans="6:6" ht="14.4" x14ac:dyDescent="0.3">
      <c r="F54"/>
    </row>
    <row r="55" spans="6:6" ht="14.4" x14ac:dyDescent="0.3">
      <c r="F55"/>
    </row>
    <row r="56" spans="6:6" ht="14.4" x14ac:dyDescent="0.3">
      <c r="F56"/>
    </row>
    <row r="57" spans="6:6" ht="14.4" x14ac:dyDescent="0.3">
      <c r="F57"/>
    </row>
    <row r="58" spans="6:6" ht="14.4" x14ac:dyDescent="0.3">
      <c r="F58"/>
    </row>
    <row r="59" spans="6:6" ht="14.4" x14ac:dyDescent="0.3">
      <c r="F59"/>
    </row>
    <row r="60" spans="6:6" ht="14.4" x14ac:dyDescent="0.3">
      <c r="F60"/>
    </row>
    <row r="61" spans="6:6" ht="14.4" x14ac:dyDescent="0.3">
      <c r="F61"/>
    </row>
    <row r="62" spans="6:6" ht="14.4" x14ac:dyDescent="0.3">
      <c r="F62"/>
    </row>
    <row r="234" spans="31:31" x14ac:dyDescent="0.25">
      <c r="AE234" s="38"/>
    </row>
  </sheetData>
  <mergeCells count="16">
    <mergeCell ref="A1:D1"/>
    <mergeCell ref="A2:D2"/>
    <mergeCell ref="A3:D3"/>
    <mergeCell ref="A4:D4"/>
    <mergeCell ref="A5:A7"/>
    <mergeCell ref="B5:B6"/>
    <mergeCell ref="C5:D5"/>
    <mergeCell ref="C6:D6"/>
    <mergeCell ref="A40:B40"/>
    <mergeCell ref="A41:B41"/>
    <mergeCell ref="C8:C19"/>
    <mergeCell ref="D8:D19"/>
    <mergeCell ref="A33:C33"/>
    <mergeCell ref="A35:B35"/>
    <mergeCell ref="A38:D38"/>
    <mergeCell ref="A39:D39"/>
  </mergeCells>
  <printOptions horizontalCentered="1" verticalCentered="1"/>
  <pageMargins left="0.98425196850393704" right="0.98425196850393704" top="1.3779527559055118" bottom="1.3779527559055118" header="0.70866141732283472" footer="0.51181102362204722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A52F4-E68A-4559-99BF-5090459D3BDE}">
  <sheetPr>
    <pageSetUpPr fitToPage="1"/>
  </sheetPr>
  <dimension ref="A1:AF77"/>
  <sheetViews>
    <sheetView workbookViewId="0">
      <selection sqref="A1:AD77"/>
    </sheetView>
  </sheetViews>
  <sheetFormatPr baseColWidth="10" defaultColWidth="11.44140625" defaultRowHeight="13.2" x14ac:dyDescent="0.25"/>
  <cols>
    <col min="1" max="1" width="8.6640625" style="7" bestFit="1" customWidth="1"/>
    <col min="2" max="2" width="10.6640625" style="7" bestFit="1" customWidth="1"/>
    <col min="3" max="26" width="7.33203125" style="7" bestFit="1" customWidth="1"/>
    <col min="27" max="27" width="6.5546875" style="7" bestFit="1" customWidth="1"/>
    <col min="28" max="28" width="8.44140625" style="7" bestFit="1" customWidth="1"/>
    <col min="29" max="29" width="8.6640625" style="7" bestFit="1" customWidth="1"/>
    <col min="30" max="30" width="3.44140625" style="7" customWidth="1"/>
    <col min="31" max="16384" width="11.44140625" style="7"/>
  </cols>
  <sheetData>
    <row r="1" spans="1:32" x14ac:dyDescent="0.25">
      <c r="A1" s="80" t="s">
        <v>12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</row>
    <row r="2" spans="1:32" ht="15" customHeight="1" x14ac:dyDescent="0.25">
      <c r="A2" s="80" t="s">
        <v>33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</row>
    <row r="3" spans="1:32" ht="13.8" thickBot="1" x14ac:dyDescent="0.3">
      <c r="A3" s="80" t="s">
        <v>26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</row>
    <row r="4" spans="1:32" x14ac:dyDescent="0.25">
      <c r="A4" s="21"/>
      <c r="B4" s="22" t="s">
        <v>13</v>
      </c>
      <c r="C4" s="23">
        <v>1</v>
      </c>
      <c r="D4" s="23">
        <v>2</v>
      </c>
      <c r="E4" s="23">
        <v>3</v>
      </c>
      <c r="F4" s="23">
        <v>4</v>
      </c>
      <c r="G4" s="23">
        <v>5</v>
      </c>
      <c r="H4" s="23">
        <v>6</v>
      </c>
      <c r="I4" s="23">
        <v>7</v>
      </c>
      <c r="J4" s="23">
        <v>8</v>
      </c>
      <c r="K4" s="23">
        <v>9</v>
      </c>
      <c r="L4" s="23">
        <v>10</v>
      </c>
      <c r="M4" s="23">
        <v>11</v>
      </c>
      <c r="N4" s="23">
        <v>12</v>
      </c>
      <c r="O4" s="23">
        <v>13</v>
      </c>
      <c r="P4" s="23">
        <v>14</v>
      </c>
      <c r="Q4" s="23">
        <v>15</v>
      </c>
      <c r="R4" s="23">
        <v>16</v>
      </c>
      <c r="S4" s="23">
        <v>17</v>
      </c>
      <c r="T4" s="23">
        <v>18</v>
      </c>
      <c r="U4" s="23">
        <v>19</v>
      </c>
      <c r="V4" s="23">
        <v>20</v>
      </c>
      <c r="W4" s="23">
        <v>21</v>
      </c>
      <c r="X4" s="23">
        <v>22</v>
      </c>
      <c r="Y4" s="23">
        <v>23</v>
      </c>
      <c r="Z4" s="23">
        <v>24</v>
      </c>
      <c r="AA4" s="81" t="s">
        <v>14</v>
      </c>
      <c r="AB4" s="81" t="s">
        <v>7</v>
      </c>
      <c r="AC4" s="83" t="s">
        <v>15</v>
      </c>
      <c r="AD4" s="24"/>
    </row>
    <row r="5" spans="1:32" ht="13.8" thickBot="1" x14ac:dyDescent="0.3">
      <c r="A5" s="25" t="s">
        <v>16</v>
      </c>
      <c r="B5" s="26" t="s">
        <v>17</v>
      </c>
      <c r="C5" s="27" t="s">
        <v>18</v>
      </c>
      <c r="D5" s="27" t="s">
        <v>18</v>
      </c>
      <c r="E5" s="27" t="s">
        <v>18</v>
      </c>
      <c r="F5" s="27" t="s">
        <v>18</v>
      </c>
      <c r="G5" s="27" t="s">
        <v>18</v>
      </c>
      <c r="H5" s="27" t="s">
        <v>18</v>
      </c>
      <c r="I5" s="27" t="s">
        <v>18</v>
      </c>
      <c r="J5" s="27" t="s">
        <v>18</v>
      </c>
      <c r="K5" s="27" t="s">
        <v>18</v>
      </c>
      <c r="L5" s="27" t="s">
        <v>18</v>
      </c>
      <c r="M5" s="27" t="s">
        <v>18</v>
      </c>
      <c r="N5" s="27" t="s">
        <v>18</v>
      </c>
      <c r="O5" s="27" t="s">
        <v>18</v>
      </c>
      <c r="P5" s="27" t="s">
        <v>18</v>
      </c>
      <c r="Q5" s="27" t="s">
        <v>18</v>
      </c>
      <c r="R5" s="27" t="s">
        <v>18</v>
      </c>
      <c r="S5" s="27" t="s">
        <v>18</v>
      </c>
      <c r="T5" s="27" t="s">
        <v>18</v>
      </c>
      <c r="U5" s="27" t="s">
        <v>18</v>
      </c>
      <c r="V5" s="27" t="s">
        <v>18</v>
      </c>
      <c r="W5" s="27" t="s">
        <v>18</v>
      </c>
      <c r="X5" s="27" t="s">
        <v>18</v>
      </c>
      <c r="Y5" s="27" t="s">
        <v>18</v>
      </c>
      <c r="Z5" s="27" t="s">
        <v>18</v>
      </c>
      <c r="AA5" s="127"/>
      <c r="AB5" s="127"/>
      <c r="AC5" s="128"/>
      <c r="AD5" s="24"/>
    </row>
    <row r="6" spans="1:32" ht="13.8" thickBot="1" x14ac:dyDescent="0.3">
      <c r="A6" s="126">
        <v>47119</v>
      </c>
      <c r="B6" s="23" t="s">
        <v>19</v>
      </c>
      <c r="C6" s="28">
        <v>32000</v>
      </c>
      <c r="D6" s="28">
        <f t="shared" ref="D6:S21" si="0">+C6</f>
        <v>32000</v>
      </c>
      <c r="E6" s="28">
        <f t="shared" si="0"/>
        <v>32000</v>
      </c>
      <c r="F6" s="28">
        <f t="shared" si="0"/>
        <v>32000</v>
      </c>
      <c r="G6" s="28">
        <f t="shared" si="0"/>
        <v>32000</v>
      </c>
      <c r="H6" s="28">
        <f t="shared" si="0"/>
        <v>32000</v>
      </c>
      <c r="I6" s="28">
        <f t="shared" si="0"/>
        <v>32000</v>
      </c>
      <c r="J6" s="28">
        <f t="shared" si="0"/>
        <v>32000</v>
      </c>
      <c r="K6" s="28">
        <f t="shared" si="0"/>
        <v>32000</v>
      </c>
      <c r="L6" s="28">
        <f t="shared" si="0"/>
        <v>32000</v>
      </c>
      <c r="M6" s="28">
        <f t="shared" si="0"/>
        <v>32000</v>
      </c>
      <c r="N6" s="28">
        <f t="shared" si="0"/>
        <v>32000</v>
      </c>
      <c r="O6" s="28">
        <f t="shared" si="0"/>
        <v>32000</v>
      </c>
      <c r="P6" s="28">
        <f t="shared" si="0"/>
        <v>32000</v>
      </c>
      <c r="Q6" s="28">
        <f t="shared" si="0"/>
        <v>32000</v>
      </c>
      <c r="R6" s="28">
        <f t="shared" si="0"/>
        <v>32000</v>
      </c>
      <c r="S6" s="28">
        <f t="shared" si="0"/>
        <v>32000</v>
      </c>
      <c r="T6" s="28">
        <f t="shared" ref="T6:Z20" si="1">+S6</f>
        <v>32000</v>
      </c>
      <c r="U6" s="28">
        <f t="shared" si="1"/>
        <v>32000</v>
      </c>
      <c r="V6" s="28">
        <f t="shared" si="1"/>
        <v>32000</v>
      </c>
      <c r="W6" s="28">
        <f t="shared" si="1"/>
        <v>32000</v>
      </c>
      <c r="X6" s="28">
        <f t="shared" si="1"/>
        <v>32000</v>
      </c>
      <c r="Y6" s="28">
        <f t="shared" si="1"/>
        <v>32000</v>
      </c>
      <c r="Z6" s="28">
        <f t="shared" si="1"/>
        <v>32000</v>
      </c>
      <c r="AA6" s="29">
        <v>21</v>
      </c>
      <c r="AB6" s="30">
        <f t="shared" ref="AB6:AB28" si="2">+SUM(C6:Z6)*AA6</f>
        <v>16128000</v>
      </c>
      <c r="AC6" s="122">
        <f t="shared" ref="AC6" si="3">+AB6+AB7+AB8</f>
        <v>23808000</v>
      </c>
      <c r="AF6" s="31"/>
    </row>
    <row r="7" spans="1:32" ht="13.8" thickBot="1" x14ac:dyDescent="0.3">
      <c r="A7" s="121"/>
      <c r="B7" s="32" t="s">
        <v>20</v>
      </c>
      <c r="C7" s="28">
        <v>32000</v>
      </c>
      <c r="D7" s="28">
        <f t="shared" si="0"/>
        <v>32000</v>
      </c>
      <c r="E7" s="28">
        <f t="shared" si="0"/>
        <v>32000</v>
      </c>
      <c r="F7" s="28">
        <f t="shared" si="0"/>
        <v>32000</v>
      </c>
      <c r="G7" s="28">
        <f t="shared" si="0"/>
        <v>32000</v>
      </c>
      <c r="H7" s="28">
        <f t="shared" si="0"/>
        <v>32000</v>
      </c>
      <c r="I7" s="28">
        <f t="shared" si="0"/>
        <v>32000</v>
      </c>
      <c r="J7" s="28">
        <f t="shared" si="0"/>
        <v>32000</v>
      </c>
      <c r="K7" s="28">
        <f t="shared" si="0"/>
        <v>32000</v>
      </c>
      <c r="L7" s="28">
        <f t="shared" si="0"/>
        <v>32000</v>
      </c>
      <c r="M7" s="28">
        <f t="shared" si="0"/>
        <v>32000</v>
      </c>
      <c r="N7" s="28">
        <f t="shared" si="0"/>
        <v>32000</v>
      </c>
      <c r="O7" s="28">
        <f t="shared" si="0"/>
        <v>32000</v>
      </c>
      <c r="P7" s="28">
        <f t="shared" si="0"/>
        <v>32000</v>
      </c>
      <c r="Q7" s="28">
        <f t="shared" si="0"/>
        <v>32000</v>
      </c>
      <c r="R7" s="28">
        <f t="shared" si="0"/>
        <v>32000</v>
      </c>
      <c r="S7" s="28">
        <f t="shared" si="0"/>
        <v>32000</v>
      </c>
      <c r="T7" s="28">
        <f t="shared" si="1"/>
        <v>32000</v>
      </c>
      <c r="U7" s="28">
        <f t="shared" si="1"/>
        <v>32000</v>
      </c>
      <c r="V7" s="28">
        <f t="shared" si="1"/>
        <v>32000</v>
      </c>
      <c r="W7" s="28">
        <f t="shared" si="1"/>
        <v>32000</v>
      </c>
      <c r="X7" s="28">
        <f t="shared" si="1"/>
        <v>32000</v>
      </c>
      <c r="Y7" s="28">
        <f t="shared" si="1"/>
        <v>32000</v>
      </c>
      <c r="Z7" s="28">
        <f t="shared" si="1"/>
        <v>32000</v>
      </c>
      <c r="AA7" s="33">
        <v>4</v>
      </c>
      <c r="AB7" s="30">
        <f t="shared" si="2"/>
        <v>3072000</v>
      </c>
      <c r="AC7" s="123"/>
      <c r="AF7" s="31"/>
    </row>
    <row r="8" spans="1:32" ht="13.8" thickBot="1" x14ac:dyDescent="0.3">
      <c r="A8" s="121"/>
      <c r="B8" s="32" t="s">
        <v>21</v>
      </c>
      <c r="C8" s="28">
        <v>32000</v>
      </c>
      <c r="D8" s="28">
        <f t="shared" si="0"/>
        <v>32000</v>
      </c>
      <c r="E8" s="28">
        <f t="shared" si="0"/>
        <v>32000</v>
      </c>
      <c r="F8" s="28">
        <f t="shared" si="0"/>
        <v>32000</v>
      </c>
      <c r="G8" s="28">
        <f t="shared" si="0"/>
        <v>32000</v>
      </c>
      <c r="H8" s="28">
        <f t="shared" si="0"/>
        <v>32000</v>
      </c>
      <c r="I8" s="28">
        <f t="shared" si="0"/>
        <v>32000</v>
      </c>
      <c r="J8" s="28">
        <f t="shared" si="0"/>
        <v>32000</v>
      </c>
      <c r="K8" s="28">
        <f t="shared" si="0"/>
        <v>32000</v>
      </c>
      <c r="L8" s="28">
        <f t="shared" si="0"/>
        <v>32000</v>
      </c>
      <c r="M8" s="28">
        <f t="shared" si="0"/>
        <v>32000</v>
      </c>
      <c r="N8" s="28">
        <f t="shared" si="0"/>
        <v>32000</v>
      </c>
      <c r="O8" s="28">
        <f t="shared" si="0"/>
        <v>32000</v>
      </c>
      <c r="P8" s="28">
        <f t="shared" si="0"/>
        <v>32000</v>
      </c>
      <c r="Q8" s="28">
        <f t="shared" si="0"/>
        <v>32000</v>
      </c>
      <c r="R8" s="28">
        <f t="shared" si="0"/>
        <v>32000</v>
      </c>
      <c r="S8" s="28">
        <f t="shared" si="0"/>
        <v>32000</v>
      </c>
      <c r="T8" s="28">
        <f t="shared" si="1"/>
        <v>32000</v>
      </c>
      <c r="U8" s="28">
        <f t="shared" si="1"/>
        <v>32000</v>
      </c>
      <c r="V8" s="28">
        <f t="shared" si="1"/>
        <v>32000</v>
      </c>
      <c r="W8" s="28">
        <f t="shared" si="1"/>
        <v>32000</v>
      </c>
      <c r="X8" s="28">
        <f t="shared" si="1"/>
        <v>32000</v>
      </c>
      <c r="Y8" s="28">
        <f t="shared" si="1"/>
        <v>32000</v>
      </c>
      <c r="Z8" s="28">
        <f t="shared" si="1"/>
        <v>32000</v>
      </c>
      <c r="AA8" s="33">
        <v>6</v>
      </c>
      <c r="AB8" s="30">
        <f t="shared" si="2"/>
        <v>4608000</v>
      </c>
      <c r="AC8" s="124"/>
      <c r="AF8" s="31"/>
    </row>
    <row r="9" spans="1:32" ht="14.4" thickTop="1" thickBot="1" x14ac:dyDescent="0.3">
      <c r="A9" s="120">
        <v>47150</v>
      </c>
      <c r="B9" s="34" t="s">
        <v>19</v>
      </c>
      <c r="C9" s="28">
        <v>32000</v>
      </c>
      <c r="D9" s="28">
        <f t="shared" si="0"/>
        <v>32000</v>
      </c>
      <c r="E9" s="28">
        <f t="shared" si="0"/>
        <v>32000</v>
      </c>
      <c r="F9" s="28">
        <f t="shared" si="0"/>
        <v>32000</v>
      </c>
      <c r="G9" s="28">
        <f t="shared" si="0"/>
        <v>32000</v>
      </c>
      <c r="H9" s="28">
        <f t="shared" si="0"/>
        <v>32000</v>
      </c>
      <c r="I9" s="28">
        <f t="shared" si="0"/>
        <v>32000</v>
      </c>
      <c r="J9" s="28">
        <f t="shared" si="0"/>
        <v>32000</v>
      </c>
      <c r="K9" s="28">
        <f t="shared" si="0"/>
        <v>32000</v>
      </c>
      <c r="L9" s="28">
        <f t="shared" si="0"/>
        <v>32000</v>
      </c>
      <c r="M9" s="28">
        <f t="shared" si="0"/>
        <v>32000</v>
      </c>
      <c r="N9" s="28">
        <f t="shared" si="0"/>
        <v>32000</v>
      </c>
      <c r="O9" s="28">
        <f t="shared" si="0"/>
        <v>32000</v>
      </c>
      <c r="P9" s="28">
        <f t="shared" si="0"/>
        <v>32000</v>
      </c>
      <c r="Q9" s="28">
        <f t="shared" si="0"/>
        <v>32000</v>
      </c>
      <c r="R9" s="28">
        <f t="shared" si="0"/>
        <v>32000</v>
      </c>
      <c r="S9" s="28">
        <f t="shared" si="0"/>
        <v>32000</v>
      </c>
      <c r="T9" s="28">
        <f t="shared" si="1"/>
        <v>32000</v>
      </c>
      <c r="U9" s="28">
        <f t="shared" si="1"/>
        <v>32000</v>
      </c>
      <c r="V9" s="28">
        <f t="shared" si="1"/>
        <v>32000</v>
      </c>
      <c r="W9" s="28">
        <f t="shared" si="1"/>
        <v>32000</v>
      </c>
      <c r="X9" s="28">
        <f t="shared" si="1"/>
        <v>32000</v>
      </c>
      <c r="Y9" s="28">
        <f t="shared" si="1"/>
        <v>32000</v>
      </c>
      <c r="Z9" s="28">
        <f t="shared" si="1"/>
        <v>32000</v>
      </c>
      <c r="AA9" s="33">
        <v>20</v>
      </c>
      <c r="AB9" s="30">
        <f t="shared" si="2"/>
        <v>15360000</v>
      </c>
      <c r="AC9" s="122">
        <f t="shared" ref="AC9" si="4">+AB9+AB10+AB11</f>
        <v>21504000</v>
      </c>
      <c r="AF9" s="31"/>
    </row>
    <row r="10" spans="1:32" ht="13.8" thickBot="1" x14ac:dyDescent="0.3">
      <c r="A10" s="121"/>
      <c r="B10" s="32" t="s">
        <v>20</v>
      </c>
      <c r="C10" s="28">
        <v>32000</v>
      </c>
      <c r="D10" s="28">
        <f t="shared" si="0"/>
        <v>32000</v>
      </c>
      <c r="E10" s="28">
        <f t="shared" si="0"/>
        <v>32000</v>
      </c>
      <c r="F10" s="28">
        <f t="shared" si="0"/>
        <v>32000</v>
      </c>
      <c r="G10" s="28">
        <f t="shared" si="0"/>
        <v>32000</v>
      </c>
      <c r="H10" s="28">
        <f t="shared" si="0"/>
        <v>32000</v>
      </c>
      <c r="I10" s="28">
        <f t="shared" si="0"/>
        <v>32000</v>
      </c>
      <c r="J10" s="28">
        <f t="shared" si="0"/>
        <v>32000</v>
      </c>
      <c r="K10" s="28">
        <f t="shared" si="0"/>
        <v>32000</v>
      </c>
      <c r="L10" s="28">
        <f t="shared" si="0"/>
        <v>32000</v>
      </c>
      <c r="M10" s="28">
        <f t="shared" si="0"/>
        <v>32000</v>
      </c>
      <c r="N10" s="28">
        <f t="shared" si="0"/>
        <v>32000</v>
      </c>
      <c r="O10" s="28">
        <f t="shared" si="0"/>
        <v>32000</v>
      </c>
      <c r="P10" s="28">
        <f t="shared" si="0"/>
        <v>32000</v>
      </c>
      <c r="Q10" s="28">
        <f t="shared" si="0"/>
        <v>32000</v>
      </c>
      <c r="R10" s="28">
        <f t="shared" si="0"/>
        <v>32000</v>
      </c>
      <c r="S10" s="28">
        <f t="shared" si="0"/>
        <v>32000</v>
      </c>
      <c r="T10" s="28">
        <f t="shared" si="1"/>
        <v>32000</v>
      </c>
      <c r="U10" s="28">
        <f t="shared" si="1"/>
        <v>32000</v>
      </c>
      <c r="V10" s="28">
        <f t="shared" si="1"/>
        <v>32000</v>
      </c>
      <c r="W10" s="28">
        <f t="shared" si="1"/>
        <v>32000</v>
      </c>
      <c r="X10" s="28">
        <f t="shared" si="1"/>
        <v>32000</v>
      </c>
      <c r="Y10" s="28">
        <f t="shared" si="1"/>
        <v>32000</v>
      </c>
      <c r="Z10" s="28">
        <f t="shared" si="1"/>
        <v>32000</v>
      </c>
      <c r="AA10" s="33">
        <v>4</v>
      </c>
      <c r="AB10" s="30">
        <f t="shared" si="2"/>
        <v>3072000</v>
      </c>
      <c r="AC10" s="123"/>
      <c r="AF10" s="31"/>
    </row>
    <row r="11" spans="1:32" ht="13.8" thickBot="1" x14ac:dyDescent="0.3">
      <c r="A11" s="121"/>
      <c r="B11" s="32" t="s">
        <v>21</v>
      </c>
      <c r="C11" s="28">
        <v>32000</v>
      </c>
      <c r="D11" s="28">
        <f t="shared" si="0"/>
        <v>32000</v>
      </c>
      <c r="E11" s="28">
        <f t="shared" si="0"/>
        <v>32000</v>
      </c>
      <c r="F11" s="28">
        <f t="shared" si="0"/>
        <v>32000</v>
      </c>
      <c r="G11" s="28">
        <f t="shared" si="0"/>
        <v>32000</v>
      </c>
      <c r="H11" s="28">
        <f t="shared" si="0"/>
        <v>32000</v>
      </c>
      <c r="I11" s="28">
        <f t="shared" si="0"/>
        <v>32000</v>
      </c>
      <c r="J11" s="28">
        <f t="shared" si="0"/>
        <v>32000</v>
      </c>
      <c r="K11" s="28">
        <f t="shared" si="0"/>
        <v>32000</v>
      </c>
      <c r="L11" s="28">
        <f t="shared" si="0"/>
        <v>32000</v>
      </c>
      <c r="M11" s="28">
        <f t="shared" si="0"/>
        <v>32000</v>
      </c>
      <c r="N11" s="28">
        <f t="shared" si="0"/>
        <v>32000</v>
      </c>
      <c r="O11" s="28">
        <f t="shared" si="0"/>
        <v>32000</v>
      </c>
      <c r="P11" s="28">
        <f t="shared" si="0"/>
        <v>32000</v>
      </c>
      <c r="Q11" s="28">
        <f t="shared" si="0"/>
        <v>32000</v>
      </c>
      <c r="R11" s="28">
        <f t="shared" si="0"/>
        <v>32000</v>
      </c>
      <c r="S11" s="28">
        <f t="shared" si="0"/>
        <v>32000</v>
      </c>
      <c r="T11" s="28">
        <f t="shared" si="1"/>
        <v>32000</v>
      </c>
      <c r="U11" s="28">
        <f t="shared" si="1"/>
        <v>32000</v>
      </c>
      <c r="V11" s="28">
        <f t="shared" si="1"/>
        <v>32000</v>
      </c>
      <c r="W11" s="28">
        <f t="shared" si="1"/>
        <v>32000</v>
      </c>
      <c r="X11" s="28">
        <f t="shared" si="1"/>
        <v>32000</v>
      </c>
      <c r="Y11" s="28">
        <f t="shared" si="1"/>
        <v>32000</v>
      </c>
      <c r="Z11" s="28">
        <f t="shared" si="1"/>
        <v>32000</v>
      </c>
      <c r="AA11" s="33">
        <v>4</v>
      </c>
      <c r="AB11" s="30">
        <f t="shared" si="2"/>
        <v>3072000</v>
      </c>
      <c r="AC11" s="124"/>
      <c r="AF11" s="31"/>
    </row>
    <row r="12" spans="1:32" ht="14.4" thickTop="1" thickBot="1" x14ac:dyDescent="0.3">
      <c r="A12" s="120">
        <v>47178</v>
      </c>
      <c r="B12" s="34" t="s">
        <v>19</v>
      </c>
      <c r="C12" s="28">
        <v>32000</v>
      </c>
      <c r="D12" s="28">
        <f t="shared" si="0"/>
        <v>32000</v>
      </c>
      <c r="E12" s="28">
        <f t="shared" si="0"/>
        <v>32000</v>
      </c>
      <c r="F12" s="28">
        <f t="shared" si="0"/>
        <v>32000</v>
      </c>
      <c r="G12" s="28">
        <f t="shared" si="0"/>
        <v>32000</v>
      </c>
      <c r="H12" s="28">
        <f t="shared" si="0"/>
        <v>32000</v>
      </c>
      <c r="I12" s="28">
        <f t="shared" si="0"/>
        <v>32000</v>
      </c>
      <c r="J12" s="28">
        <f t="shared" si="0"/>
        <v>32000</v>
      </c>
      <c r="K12" s="28">
        <f t="shared" si="0"/>
        <v>32000</v>
      </c>
      <c r="L12" s="28">
        <f t="shared" si="0"/>
        <v>32000</v>
      </c>
      <c r="M12" s="28">
        <f t="shared" si="0"/>
        <v>32000</v>
      </c>
      <c r="N12" s="28">
        <f t="shared" si="0"/>
        <v>32000</v>
      </c>
      <c r="O12" s="28">
        <f t="shared" si="0"/>
        <v>32000</v>
      </c>
      <c r="P12" s="28">
        <f t="shared" si="0"/>
        <v>32000</v>
      </c>
      <c r="Q12" s="28">
        <f t="shared" si="0"/>
        <v>32000</v>
      </c>
      <c r="R12" s="28">
        <f t="shared" si="0"/>
        <v>32000</v>
      </c>
      <c r="S12" s="28">
        <f t="shared" si="0"/>
        <v>32000</v>
      </c>
      <c r="T12" s="28">
        <f t="shared" si="1"/>
        <v>32000</v>
      </c>
      <c r="U12" s="28">
        <f t="shared" si="1"/>
        <v>32000</v>
      </c>
      <c r="V12" s="28">
        <f t="shared" si="1"/>
        <v>32000</v>
      </c>
      <c r="W12" s="28">
        <f t="shared" si="1"/>
        <v>32000</v>
      </c>
      <c r="X12" s="28">
        <f t="shared" si="1"/>
        <v>32000</v>
      </c>
      <c r="Y12" s="28">
        <f t="shared" si="1"/>
        <v>32000</v>
      </c>
      <c r="Z12" s="28">
        <f t="shared" si="1"/>
        <v>32000</v>
      </c>
      <c r="AA12" s="33">
        <v>19</v>
      </c>
      <c r="AB12" s="30">
        <f t="shared" si="2"/>
        <v>14592000</v>
      </c>
      <c r="AC12" s="122">
        <f t="shared" ref="AC12" si="5">+AB12+AB13+AB14</f>
        <v>23808000</v>
      </c>
      <c r="AF12" s="31"/>
    </row>
    <row r="13" spans="1:32" ht="13.8" thickBot="1" x14ac:dyDescent="0.3">
      <c r="A13" s="121"/>
      <c r="B13" s="32" t="s">
        <v>20</v>
      </c>
      <c r="C13" s="28">
        <v>32000</v>
      </c>
      <c r="D13" s="28">
        <f t="shared" si="0"/>
        <v>32000</v>
      </c>
      <c r="E13" s="28">
        <f t="shared" si="0"/>
        <v>32000</v>
      </c>
      <c r="F13" s="28">
        <f t="shared" si="0"/>
        <v>32000</v>
      </c>
      <c r="G13" s="28">
        <f t="shared" si="0"/>
        <v>32000</v>
      </c>
      <c r="H13" s="28">
        <f t="shared" si="0"/>
        <v>32000</v>
      </c>
      <c r="I13" s="28">
        <f t="shared" si="0"/>
        <v>32000</v>
      </c>
      <c r="J13" s="28">
        <f t="shared" si="0"/>
        <v>32000</v>
      </c>
      <c r="K13" s="28">
        <f t="shared" si="0"/>
        <v>32000</v>
      </c>
      <c r="L13" s="28">
        <f t="shared" si="0"/>
        <v>32000</v>
      </c>
      <c r="M13" s="28">
        <f t="shared" si="0"/>
        <v>32000</v>
      </c>
      <c r="N13" s="28">
        <f t="shared" si="0"/>
        <v>32000</v>
      </c>
      <c r="O13" s="28">
        <f t="shared" si="0"/>
        <v>32000</v>
      </c>
      <c r="P13" s="28">
        <f t="shared" si="0"/>
        <v>32000</v>
      </c>
      <c r="Q13" s="28">
        <f t="shared" si="0"/>
        <v>32000</v>
      </c>
      <c r="R13" s="28">
        <f t="shared" si="0"/>
        <v>32000</v>
      </c>
      <c r="S13" s="28">
        <f t="shared" si="0"/>
        <v>32000</v>
      </c>
      <c r="T13" s="28">
        <f t="shared" si="1"/>
        <v>32000</v>
      </c>
      <c r="U13" s="28">
        <f t="shared" si="1"/>
        <v>32000</v>
      </c>
      <c r="V13" s="28">
        <f t="shared" si="1"/>
        <v>32000</v>
      </c>
      <c r="W13" s="28">
        <f t="shared" si="1"/>
        <v>32000</v>
      </c>
      <c r="X13" s="28">
        <f t="shared" si="1"/>
        <v>32000</v>
      </c>
      <c r="Y13" s="28">
        <f t="shared" si="1"/>
        <v>32000</v>
      </c>
      <c r="Z13" s="28">
        <f t="shared" si="1"/>
        <v>32000</v>
      </c>
      <c r="AA13" s="33">
        <v>5</v>
      </c>
      <c r="AB13" s="30">
        <f t="shared" si="2"/>
        <v>3840000</v>
      </c>
      <c r="AC13" s="123"/>
      <c r="AF13" s="31"/>
    </row>
    <row r="14" spans="1:32" ht="13.8" thickBot="1" x14ac:dyDescent="0.3">
      <c r="A14" s="121"/>
      <c r="B14" s="32" t="s">
        <v>21</v>
      </c>
      <c r="C14" s="28">
        <v>32000</v>
      </c>
      <c r="D14" s="28">
        <f t="shared" si="0"/>
        <v>32000</v>
      </c>
      <c r="E14" s="28">
        <f t="shared" si="0"/>
        <v>32000</v>
      </c>
      <c r="F14" s="28">
        <f t="shared" si="0"/>
        <v>32000</v>
      </c>
      <c r="G14" s="28">
        <f t="shared" si="0"/>
        <v>32000</v>
      </c>
      <c r="H14" s="28">
        <f t="shared" si="0"/>
        <v>32000</v>
      </c>
      <c r="I14" s="28">
        <f t="shared" si="0"/>
        <v>32000</v>
      </c>
      <c r="J14" s="28">
        <f t="shared" si="0"/>
        <v>32000</v>
      </c>
      <c r="K14" s="28">
        <f t="shared" si="0"/>
        <v>32000</v>
      </c>
      <c r="L14" s="28">
        <f t="shared" si="0"/>
        <v>32000</v>
      </c>
      <c r="M14" s="28">
        <f t="shared" si="0"/>
        <v>32000</v>
      </c>
      <c r="N14" s="28">
        <f t="shared" si="0"/>
        <v>32000</v>
      </c>
      <c r="O14" s="28">
        <f t="shared" si="0"/>
        <v>32000</v>
      </c>
      <c r="P14" s="28">
        <f t="shared" si="0"/>
        <v>32000</v>
      </c>
      <c r="Q14" s="28">
        <f t="shared" si="0"/>
        <v>32000</v>
      </c>
      <c r="R14" s="28">
        <f t="shared" si="0"/>
        <v>32000</v>
      </c>
      <c r="S14" s="28">
        <f t="shared" si="0"/>
        <v>32000</v>
      </c>
      <c r="T14" s="28">
        <f t="shared" si="1"/>
        <v>32000</v>
      </c>
      <c r="U14" s="28">
        <f t="shared" si="1"/>
        <v>32000</v>
      </c>
      <c r="V14" s="28">
        <f t="shared" si="1"/>
        <v>32000</v>
      </c>
      <c r="W14" s="28">
        <f t="shared" si="1"/>
        <v>32000</v>
      </c>
      <c r="X14" s="28">
        <f t="shared" si="1"/>
        <v>32000</v>
      </c>
      <c r="Y14" s="28">
        <f t="shared" si="1"/>
        <v>32000</v>
      </c>
      <c r="Z14" s="28">
        <f t="shared" si="1"/>
        <v>32000</v>
      </c>
      <c r="AA14" s="33">
        <v>7</v>
      </c>
      <c r="AB14" s="30">
        <f t="shared" si="2"/>
        <v>5376000</v>
      </c>
      <c r="AC14" s="124"/>
      <c r="AF14" s="31"/>
    </row>
    <row r="15" spans="1:32" ht="14.4" thickTop="1" thickBot="1" x14ac:dyDescent="0.3">
      <c r="A15" s="120">
        <v>47209</v>
      </c>
      <c r="B15" s="35" t="s">
        <v>19</v>
      </c>
      <c r="C15" s="28">
        <v>32000</v>
      </c>
      <c r="D15" s="28">
        <f t="shared" si="0"/>
        <v>32000</v>
      </c>
      <c r="E15" s="28">
        <f t="shared" si="0"/>
        <v>32000</v>
      </c>
      <c r="F15" s="28">
        <f t="shared" si="0"/>
        <v>32000</v>
      </c>
      <c r="G15" s="28">
        <f t="shared" si="0"/>
        <v>32000</v>
      </c>
      <c r="H15" s="28">
        <f t="shared" si="0"/>
        <v>32000</v>
      </c>
      <c r="I15" s="28">
        <f t="shared" si="0"/>
        <v>32000</v>
      </c>
      <c r="J15" s="28">
        <f t="shared" si="0"/>
        <v>32000</v>
      </c>
      <c r="K15" s="28">
        <f t="shared" si="0"/>
        <v>32000</v>
      </c>
      <c r="L15" s="28">
        <f t="shared" si="0"/>
        <v>32000</v>
      </c>
      <c r="M15" s="28">
        <f t="shared" si="0"/>
        <v>32000</v>
      </c>
      <c r="N15" s="28">
        <f t="shared" si="0"/>
        <v>32000</v>
      </c>
      <c r="O15" s="28">
        <f t="shared" si="0"/>
        <v>32000</v>
      </c>
      <c r="P15" s="28">
        <f t="shared" si="0"/>
        <v>32000</v>
      </c>
      <c r="Q15" s="28">
        <f t="shared" si="0"/>
        <v>32000</v>
      </c>
      <c r="R15" s="28">
        <f t="shared" si="0"/>
        <v>32000</v>
      </c>
      <c r="S15" s="28">
        <f t="shared" si="0"/>
        <v>32000</v>
      </c>
      <c r="T15" s="28">
        <f t="shared" si="1"/>
        <v>32000</v>
      </c>
      <c r="U15" s="28">
        <f t="shared" si="1"/>
        <v>32000</v>
      </c>
      <c r="V15" s="28">
        <f t="shared" si="1"/>
        <v>32000</v>
      </c>
      <c r="W15" s="28">
        <f t="shared" si="1"/>
        <v>32000</v>
      </c>
      <c r="X15" s="28">
        <f t="shared" si="1"/>
        <v>32000</v>
      </c>
      <c r="Y15" s="28">
        <f t="shared" si="1"/>
        <v>32000</v>
      </c>
      <c r="Z15" s="28">
        <f t="shared" si="1"/>
        <v>32000</v>
      </c>
      <c r="AA15" s="33">
        <v>21</v>
      </c>
      <c r="AB15" s="30">
        <f t="shared" si="2"/>
        <v>16128000</v>
      </c>
      <c r="AC15" s="122">
        <f t="shared" ref="AC15" si="6">+AB15+AB16+AB17</f>
        <v>23040000</v>
      </c>
      <c r="AF15" s="31"/>
    </row>
    <row r="16" spans="1:32" ht="13.8" thickBot="1" x14ac:dyDescent="0.3">
      <c r="A16" s="121"/>
      <c r="B16" s="32" t="s">
        <v>20</v>
      </c>
      <c r="C16" s="28">
        <v>32000</v>
      </c>
      <c r="D16" s="28">
        <f t="shared" si="0"/>
        <v>32000</v>
      </c>
      <c r="E16" s="28">
        <f t="shared" si="0"/>
        <v>32000</v>
      </c>
      <c r="F16" s="28">
        <f t="shared" si="0"/>
        <v>32000</v>
      </c>
      <c r="G16" s="28">
        <f t="shared" si="0"/>
        <v>32000</v>
      </c>
      <c r="H16" s="28">
        <f t="shared" si="0"/>
        <v>32000</v>
      </c>
      <c r="I16" s="28">
        <f t="shared" si="0"/>
        <v>32000</v>
      </c>
      <c r="J16" s="28">
        <f t="shared" si="0"/>
        <v>32000</v>
      </c>
      <c r="K16" s="28">
        <f t="shared" si="0"/>
        <v>32000</v>
      </c>
      <c r="L16" s="28">
        <f t="shared" si="0"/>
        <v>32000</v>
      </c>
      <c r="M16" s="28">
        <f t="shared" si="0"/>
        <v>32000</v>
      </c>
      <c r="N16" s="28">
        <f t="shared" si="0"/>
        <v>32000</v>
      </c>
      <c r="O16" s="28">
        <f t="shared" si="0"/>
        <v>32000</v>
      </c>
      <c r="P16" s="28">
        <f t="shared" si="0"/>
        <v>32000</v>
      </c>
      <c r="Q16" s="28">
        <f t="shared" si="0"/>
        <v>32000</v>
      </c>
      <c r="R16" s="28">
        <f t="shared" si="0"/>
        <v>32000</v>
      </c>
      <c r="S16" s="28">
        <f t="shared" si="0"/>
        <v>32000</v>
      </c>
      <c r="T16" s="28">
        <f t="shared" si="1"/>
        <v>32000</v>
      </c>
      <c r="U16" s="28">
        <f t="shared" si="1"/>
        <v>32000</v>
      </c>
      <c r="V16" s="28">
        <f t="shared" si="1"/>
        <v>32000</v>
      </c>
      <c r="W16" s="28">
        <f t="shared" si="1"/>
        <v>32000</v>
      </c>
      <c r="X16" s="28">
        <f t="shared" si="1"/>
        <v>32000</v>
      </c>
      <c r="Y16" s="28">
        <f t="shared" si="1"/>
        <v>32000</v>
      </c>
      <c r="Z16" s="28">
        <f t="shared" si="1"/>
        <v>32000</v>
      </c>
      <c r="AA16" s="33">
        <v>4</v>
      </c>
      <c r="AB16" s="30">
        <f t="shared" si="2"/>
        <v>3072000</v>
      </c>
      <c r="AC16" s="123"/>
      <c r="AF16" s="31"/>
    </row>
    <row r="17" spans="1:32" ht="13.8" thickBot="1" x14ac:dyDescent="0.3">
      <c r="A17" s="121"/>
      <c r="B17" s="32" t="s">
        <v>21</v>
      </c>
      <c r="C17" s="28">
        <v>32000</v>
      </c>
      <c r="D17" s="28">
        <f t="shared" si="0"/>
        <v>32000</v>
      </c>
      <c r="E17" s="28">
        <f t="shared" si="0"/>
        <v>32000</v>
      </c>
      <c r="F17" s="28">
        <f t="shared" si="0"/>
        <v>32000</v>
      </c>
      <c r="G17" s="28">
        <f t="shared" si="0"/>
        <v>32000</v>
      </c>
      <c r="H17" s="28">
        <f t="shared" si="0"/>
        <v>32000</v>
      </c>
      <c r="I17" s="28">
        <f t="shared" si="0"/>
        <v>32000</v>
      </c>
      <c r="J17" s="28">
        <f t="shared" si="0"/>
        <v>32000</v>
      </c>
      <c r="K17" s="28">
        <f t="shared" si="0"/>
        <v>32000</v>
      </c>
      <c r="L17" s="28">
        <f t="shared" si="0"/>
        <v>32000</v>
      </c>
      <c r="M17" s="28">
        <f t="shared" si="0"/>
        <v>32000</v>
      </c>
      <c r="N17" s="28">
        <f t="shared" si="0"/>
        <v>32000</v>
      </c>
      <c r="O17" s="28">
        <f t="shared" si="0"/>
        <v>32000</v>
      </c>
      <c r="P17" s="28">
        <f t="shared" si="0"/>
        <v>32000</v>
      </c>
      <c r="Q17" s="28">
        <f t="shared" si="0"/>
        <v>32000</v>
      </c>
      <c r="R17" s="28">
        <f t="shared" si="0"/>
        <v>32000</v>
      </c>
      <c r="S17" s="28">
        <f t="shared" si="0"/>
        <v>32000</v>
      </c>
      <c r="T17" s="28">
        <f t="shared" si="1"/>
        <v>32000</v>
      </c>
      <c r="U17" s="28">
        <f t="shared" si="1"/>
        <v>32000</v>
      </c>
      <c r="V17" s="28">
        <f t="shared" si="1"/>
        <v>32000</v>
      </c>
      <c r="W17" s="28">
        <f t="shared" si="1"/>
        <v>32000</v>
      </c>
      <c r="X17" s="28">
        <f t="shared" si="1"/>
        <v>32000</v>
      </c>
      <c r="Y17" s="28">
        <f t="shared" si="1"/>
        <v>32000</v>
      </c>
      <c r="Z17" s="28">
        <f t="shared" si="1"/>
        <v>32000</v>
      </c>
      <c r="AA17" s="33">
        <v>5</v>
      </c>
      <c r="AB17" s="30">
        <f t="shared" si="2"/>
        <v>3840000</v>
      </c>
      <c r="AC17" s="124"/>
      <c r="AF17" s="31"/>
    </row>
    <row r="18" spans="1:32" ht="14.4" thickTop="1" thickBot="1" x14ac:dyDescent="0.3">
      <c r="A18" s="120">
        <v>47239</v>
      </c>
      <c r="B18" s="34" t="s">
        <v>19</v>
      </c>
      <c r="C18" s="28">
        <v>32000</v>
      </c>
      <c r="D18" s="28">
        <f t="shared" si="0"/>
        <v>32000</v>
      </c>
      <c r="E18" s="28">
        <f t="shared" si="0"/>
        <v>32000</v>
      </c>
      <c r="F18" s="28">
        <f t="shared" si="0"/>
        <v>32000</v>
      </c>
      <c r="G18" s="28">
        <f t="shared" si="0"/>
        <v>32000</v>
      </c>
      <c r="H18" s="28">
        <f t="shared" si="0"/>
        <v>32000</v>
      </c>
      <c r="I18" s="28">
        <f t="shared" si="0"/>
        <v>32000</v>
      </c>
      <c r="J18" s="28">
        <f t="shared" si="0"/>
        <v>32000</v>
      </c>
      <c r="K18" s="28">
        <f t="shared" si="0"/>
        <v>32000</v>
      </c>
      <c r="L18" s="28">
        <f t="shared" si="0"/>
        <v>32000</v>
      </c>
      <c r="M18" s="28">
        <f t="shared" si="0"/>
        <v>32000</v>
      </c>
      <c r="N18" s="28">
        <f t="shared" si="0"/>
        <v>32000</v>
      </c>
      <c r="O18" s="28">
        <f t="shared" si="0"/>
        <v>32000</v>
      </c>
      <c r="P18" s="28">
        <f t="shared" si="0"/>
        <v>32000</v>
      </c>
      <c r="Q18" s="28">
        <f t="shared" si="0"/>
        <v>32000</v>
      </c>
      <c r="R18" s="28">
        <f t="shared" si="0"/>
        <v>32000</v>
      </c>
      <c r="S18" s="28">
        <f t="shared" si="0"/>
        <v>32000</v>
      </c>
      <c r="T18" s="28">
        <f t="shared" si="1"/>
        <v>32000</v>
      </c>
      <c r="U18" s="28">
        <f t="shared" si="1"/>
        <v>32000</v>
      </c>
      <c r="V18" s="28">
        <f t="shared" si="1"/>
        <v>32000</v>
      </c>
      <c r="W18" s="28">
        <f t="shared" si="1"/>
        <v>32000</v>
      </c>
      <c r="X18" s="28">
        <f t="shared" si="1"/>
        <v>32000</v>
      </c>
      <c r="Y18" s="28">
        <f t="shared" si="1"/>
        <v>32000</v>
      </c>
      <c r="Z18" s="28">
        <f t="shared" si="1"/>
        <v>32000</v>
      </c>
      <c r="AA18" s="33">
        <v>21</v>
      </c>
      <c r="AB18" s="30">
        <f t="shared" si="2"/>
        <v>16128000</v>
      </c>
      <c r="AC18" s="122">
        <f t="shared" ref="AC18" si="7">+AB18+AB19+AB20</f>
        <v>23808000</v>
      </c>
      <c r="AF18" s="31"/>
    </row>
    <row r="19" spans="1:32" ht="13.8" thickBot="1" x14ac:dyDescent="0.3">
      <c r="A19" s="121"/>
      <c r="B19" s="32" t="s">
        <v>20</v>
      </c>
      <c r="C19" s="28">
        <v>32000</v>
      </c>
      <c r="D19" s="28">
        <f t="shared" si="0"/>
        <v>32000</v>
      </c>
      <c r="E19" s="28">
        <f t="shared" si="0"/>
        <v>32000</v>
      </c>
      <c r="F19" s="28">
        <f t="shared" si="0"/>
        <v>32000</v>
      </c>
      <c r="G19" s="28">
        <f t="shared" si="0"/>
        <v>32000</v>
      </c>
      <c r="H19" s="28">
        <f t="shared" si="0"/>
        <v>32000</v>
      </c>
      <c r="I19" s="28">
        <f t="shared" si="0"/>
        <v>32000</v>
      </c>
      <c r="J19" s="28">
        <f t="shared" si="0"/>
        <v>32000</v>
      </c>
      <c r="K19" s="28">
        <f t="shared" si="0"/>
        <v>32000</v>
      </c>
      <c r="L19" s="28">
        <f t="shared" si="0"/>
        <v>32000</v>
      </c>
      <c r="M19" s="28">
        <f t="shared" si="0"/>
        <v>32000</v>
      </c>
      <c r="N19" s="28">
        <f t="shared" si="0"/>
        <v>32000</v>
      </c>
      <c r="O19" s="28">
        <f t="shared" si="0"/>
        <v>32000</v>
      </c>
      <c r="P19" s="28">
        <f t="shared" si="0"/>
        <v>32000</v>
      </c>
      <c r="Q19" s="28">
        <f t="shared" si="0"/>
        <v>32000</v>
      </c>
      <c r="R19" s="28">
        <f t="shared" si="0"/>
        <v>32000</v>
      </c>
      <c r="S19" s="28">
        <f t="shared" si="0"/>
        <v>32000</v>
      </c>
      <c r="T19" s="28">
        <f t="shared" si="1"/>
        <v>32000</v>
      </c>
      <c r="U19" s="28">
        <f t="shared" si="1"/>
        <v>32000</v>
      </c>
      <c r="V19" s="28">
        <f t="shared" si="1"/>
        <v>32000</v>
      </c>
      <c r="W19" s="28">
        <f t="shared" si="1"/>
        <v>32000</v>
      </c>
      <c r="X19" s="28">
        <f t="shared" si="1"/>
        <v>32000</v>
      </c>
      <c r="Y19" s="28">
        <f t="shared" si="1"/>
        <v>32000</v>
      </c>
      <c r="Z19" s="28">
        <f t="shared" si="1"/>
        <v>32000</v>
      </c>
      <c r="AA19" s="33">
        <v>4</v>
      </c>
      <c r="AB19" s="30">
        <f t="shared" si="2"/>
        <v>3072000</v>
      </c>
      <c r="AC19" s="123"/>
      <c r="AF19" s="31"/>
    </row>
    <row r="20" spans="1:32" ht="13.8" thickBot="1" x14ac:dyDescent="0.3">
      <c r="A20" s="121"/>
      <c r="B20" s="32" t="s">
        <v>21</v>
      </c>
      <c r="C20" s="28">
        <v>32000</v>
      </c>
      <c r="D20" s="28">
        <f t="shared" si="0"/>
        <v>32000</v>
      </c>
      <c r="E20" s="28">
        <f t="shared" si="0"/>
        <v>32000</v>
      </c>
      <c r="F20" s="28">
        <f t="shared" si="0"/>
        <v>32000</v>
      </c>
      <c r="G20" s="28">
        <f t="shared" si="0"/>
        <v>32000</v>
      </c>
      <c r="H20" s="28">
        <f t="shared" si="0"/>
        <v>32000</v>
      </c>
      <c r="I20" s="28">
        <f t="shared" si="0"/>
        <v>32000</v>
      </c>
      <c r="J20" s="28">
        <f t="shared" si="0"/>
        <v>32000</v>
      </c>
      <c r="K20" s="28">
        <f t="shared" si="0"/>
        <v>32000</v>
      </c>
      <c r="L20" s="28">
        <f t="shared" si="0"/>
        <v>32000</v>
      </c>
      <c r="M20" s="28">
        <f t="shared" si="0"/>
        <v>32000</v>
      </c>
      <c r="N20" s="28">
        <f t="shared" si="0"/>
        <v>32000</v>
      </c>
      <c r="O20" s="28">
        <f t="shared" si="0"/>
        <v>32000</v>
      </c>
      <c r="P20" s="28">
        <f t="shared" si="0"/>
        <v>32000</v>
      </c>
      <c r="Q20" s="28">
        <f t="shared" si="0"/>
        <v>32000</v>
      </c>
      <c r="R20" s="28">
        <f t="shared" si="0"/>
        <v>32000</v>
      </c>
      <c r="S20" s="28">
        <f t="shared" si="0"/>
        <v>32000</v>
      </c>
      <c r="T20" s="28">
        <f t="shared" si="1"/>
        <v>32000</v>
      </c>
      <c r="U20" s="28">
        <f t="shared" si="1"/>
        <v>32000</v>
      </c>
      <c r="V20" s="28">
        <f t="shared" si="1"/>
        <v>32000</v>
      </c>
      <c r="W20" s="28">
        <f t="shared" si="1"/>
        <v>32000</v>
      </c>
      <c r="X20" s="28">
        <f t="shared" si="1"/>
        <v>32000</v>
      </c>
      <c r="Y20" s="28">
        <f t="shared" si="1"/>
        <v>32000</v>
      </c>
      <c r="Z20" s="28">
        <f t="shared" si="1"/>
        <v>32000</v>
      </c>
      <c r="AA20" s="33">
        <v>6</v>
      </c>
      <c r="AB20" s="30">
        <f t="shared" si="2"/>
        <v>4608000</v>
      </c>
      <c r="AC20" s="124"/>
      <c r="AF20" s="31"/>
    </row>
    <row r="21" spans="1:32" ht="14.4" thickTop="1" thickBot="1" x14ac:dyDescent="0.3">
      <c r="A21" s="120">
        <v>47270</v>
      </c>
      <c r="B21" s="35" t="s">
        <v>19</v>
      </c>
      <c r="C21" s="28">
        <v>32000</v>
      </c>
      <c r="D21" s="28">
        <f t="shared" si="0"/>
        <v>32000</v>
      </c>
      <c r="E21" s="28">
        <f t="shared" si="0"/>
        <v>32000</v>
      </c>
      <c r="F21" s="28">
        <f t="shared" si="0"/>
        <v>32000</v>
      </c>
      <c r="G21" s="28">
        <f t="shared" si="0"/>
        <v>32000</v>
      </c>
      <c r="H21" s="28">
        <f t="shared" si="0"/>
        <v>32000</v>
      </c>
      <c r="I21" s="28">
        <f t="shared" si="0"/>
        <v>32000</v>
      </c>
      <c r="J21" s="28">
        <f t="shared" si="0"/>
        <v>32000</v>
      </c>
      <c r="K21" s="28">
        <f t="shared" si="0"/>
        <v>32000</v>
      </c>
      <c r="L21" s="28">
        <f t="shared" si="0"/>
        <v>32000</v>
      </c>
      <c r="M21" s="28">
        <f t="shared" si="0"/>
        <v>32000</v>
      </c>
      <c r="N21" s="28">
        <f t="shared" si="0"/>
        <v>32000</v>
      </c>
      <c r="O21" s="28">
        <f t="shared" si="0"/>
        <v>32000</v>
      </c>
      <c r="P21" s="28">
        <f t="shared" si="0"/>
        <v>32000</v>
      </c>
      <c r="Q21" s="28">
        <f t="shared" si="0"/>
        <v>32000</v>
      </c>
      <c r="R21" s="28">
        <f t="shared" si="0"/>
        <v>32000</v>
      </c>
      <c r="S21" s="28">
        <f t="shared" ref="S21:Z36" si="8">+R21</f>
        <v>32000</v>
      </c>
      <c r="T21" s="28">
        <f t="shared" si="8"/>
        <v>32000</v>
      </c>
      <c r="U21" s="28">
        <f t="shared" si="8"/>
        <v>32000</v>
      </c>
      <c r="V21" s="28">
        <f t="shared" si="8"/>
        <v>32000</v>
      </c>
      <c r="W21" s="28">
        <f t="shared" si="8"/>
        <v>32000</v>
      </c>
      <c r="X21" s="28">
        <f t="shared" si="8"/>
        <v>32000</v>
      </c>
      <c r="Y21" s="28">
        <f t="shared" si="8"/>
        <v>32000</v>
      </c>
      <c r="Z21" s="28">
        <f t="shared" si="8"/>
        <v>32000</v>
      </c>
      <c r="AA21" s="33">
        <v>19</v>
      </c>
      <c r="AB21" s="30">
        <f t="shared" si="2"/>
        <v>14592000</v>
      </c>
      <c r="AC21" s="122">
        <f t="shared" ref="AC21" si="9">+AB21+AB22+AB23</f>
        <v>23040000</v>
      </c>
      <c r="AF21" s="31"/>
    </row>
    <row r="22" spans="1:32" ht="13.8" thickBot="1" x14ac:dyDescent="0.3">
      <c r="A22" s="121"/>
      <c r="B22" s="32" t="s">
        <v>20</v>
      </c>
      <c r="C22" s="28">
        <v>32000</v>
      </c>
      <c r="D22" s="28">
        <f t="shared" ref="D22:S37" si="10">+C22</f>
        <v>32000</v>
      </c>
      <c r="E22" s="28">
        <f t="shared" si="10"/>
        <v>32000</v>
      </c>
      <c r="F22" s="28">
        <f t="shared" si="10"/>
        <v>32000</v>
      </c>
      <c r="G22" s="28">
        <f t="shared" si="10"/>
        <v>32000</v>
      </c>
      <c r="H22" s="28">
        <f t="shared" si="10"/>
        <v>32000</v>
      </c>
      <c r="I22" s="28">
        <f t="shared" si="10"/>
        <v>32000</v>
      </c>
      <c r="J22" s="28">
        <f t="shared" si="10"/>
        <v>32000</v>
      </c>
      <c r="K22" s="28">
        <f t="shared" si="10"/>
        <v>32000</v>
      </c>
      <c r="L22" s="28">
        <f t="shared" si="10"/>
        <v>32000</v>
      </c>
      <c r="M22" s="28">
        <f t="shared" si="10"/>
        <v>32000</v>
      </c>
      <c r="N22" s="28">
        <f t="shared" si="10"/>
        <v>32000</v>
      </c>
      <c r="O22" s="28">
        <f t="shared" si="10"/>
        <v>32000</v>
      </c>
      <c r="P22" s="28">
        <f t="shared" si="10"/>
        <v>32000</v>
      </c>
      <c r="Q22" s="28">
        <f t="shared" si="10"/>
        <v>32000</v>
      </c>
      <c r="R22" s="28">
        <f t="shared" si="10"/>
        <v>32000</v>
      </c>
      <c r="S22" s="28">
        <f t="shared" si="10"/>
        <v>32000</v>
      </c>
      <c r="T22" s="28">
        <f t="shared" si="8"/>
        <v>32000</v>
      </c>
      <c r="U22" s="28">
        <f t="shared" si="8"/>
        <v>32000</v>
      </c>
      <c r="V22" s="28">
        <f t="shared" si="8"/>
        <v>32000</v>
      </c>
      <c r="W22" s="28">
        <f t="shared" si="8"/>
        <v>32000</v>
      </c>
      <c r="X22" s="28">
        <f t="shared" si="8"/>
        <v>32000</v>
      </c>
      <c r="Y22" s="28">
        <f t="shared" si="8"/>
        <v>32000</v>
      </c>
      <c r="Z22" s="28">
        <f t="shared" si="8"/>
        <v>32000</v>
      </c>
      <c r="AA22" s="33">
        <v>5</v>
      </c>
      <c r="AB22" s="30">
        <f t="shared" si="2"/>
        <v>3840000</v>
      </c>
      <c r="AC22" s="123"/>
      <c r="AF22" s="31"/>
    </row>
    <row r="23" spans="1:32" ht="13.8" thickBot="1" x14ac:dyDescent="0.3">
      <c r="A23" s="121"/>
      <c r="B23" s="32" t="s">
        <v>21</v>
      </c>
      <c r="C23" s="28">
        <v>32000</v>
      </c>
      <c r="D23" s="28">
        <f t="shared" si="10"/>
        <v>32000</v>
      </c>
      <c r="E23" s="28">
        <f t="shared" si="10"/>
        <v>32000</v>
      </c>
      <c r="F23" s="28">
        <f t="shared" si="10"/>
        <v>32000</v>
      </c>
      <c r="G23" s="28">
        <f t="shared" si="10"/>
        <v>32000</v>
      </c>
      <c r="H23" s="28">
        <f t="shared" si="10"/>
        <v>32000</v>
      </c>
      <c r="I23" s="28">
        <f t="shared" si="10"/>
        <v>32000</v>
      </c>
      <c r="J23" s="28">
        <f t="shared" si="10"/>
        <v>32000</v>
      </c>
      <c r="K23" s="28">
        <f t="shared" si="10"/>
        <v>32000</v>
      </c>
      <c r="L23" s="28">
        <f t="shared" si="10"/>
        <v>32000</v>
      </c>
      <c r="M23" s="28">
        <f t="shared" si="10"/>
        <v>32000</v>
      </c>
      <c r="N23" s="28">
        <f t="shared" si="10"/>
        <v>32000</v>
      </c>
      <c r="O23" s="28">
        <f t="shared" si="10"/>
        <v>32000</v>
      </c>
      <c r="P23" s="28">
        <f t="shared" si="10"/>
        <v>32000</v>
      </c>
      <c r="Q23" s="28">
        <f t="shared" si="10"/>
        <v>32000</v>
      </c>
      <c r="R23" s="28">
        <f t="shared" si="10"/>
        <v>32000</v>
      </c>
      <c r="S23" s="28">
        <f t="shared" si="10"/>
        <v>32000</v>
      </c>
      <c r="T23" s="28">
        <f t="shared" si="8"/>
        <v>32000</v>
      </c>
      <c r="U23" s="28">
        <f t="shared" si="8"/>
        <v>32000</v>
      </c>
      <c r="V23" s="28">
        <f t="shared" si="8"/>
        <v>32000</v>
      </c>
      <c r="W23" s="28">
        <f t="shared" si="8"/>
        <v>32000</v>
      </c>
      <c r="X23" s="28">
        <f t="shared" si="8"/>
        <v>32000</v>
      </c>
      <c r="Y23" s="28">
        <f t="shared" si="8"/>
        <v>32000</v>
      </c>
      <c r="Z23" s="28">
        <f t="shared" si="8"/>
        <v>32000</v>
      </c>
      <c r="AA23" s="33">
        <v>6</v>
      </c>
      <c r="AB23" s="30">
        <f t="shared" si="2"/>
        <v>4608000</v>
      </c>
      <c r="AC23" s="124"/>
      <c r="AF23" s="31"/>
    </row>
    <row r="24" spans="1:32" ht="14.4" thickTop="1" thickBot="1" x14ac:dyDescent="0.3">
      <c r="A24" s="120">
        <v>47300</v>
      </c>
      <c r="B24" s="34" t="s">
        <v>19</v>
      </c>
      <c r="C24" s="28">
        <v>32000</v>
      </c>
      <c r="D24" s="28">
        <f t="shared" si="10"/>
        <v>32000</v>
      </c>
      <c r="E24" s="28">
        <f t="shared" si="10"/>
        <v>32000</v>
      </c>
      <c r="F24" s="28">
        <f t="shared" si="10"/>
        <v>32000</v>
      </c>
      <c r="G24" s="28">
        <f t="shared" si="10"/>
        <v>32000</v>
      </c>
      <c r="H24" s="28">
        <f t="shared" si="10"/>
        <v>32000</v>
      </c>
      <c r="I24" s="28">
        <f t="shared" si="10"/>
        <v>32000</v>
      </c>
      <c r="J24" s="28">
        <f t="shared" si="10"/>
        <v>32000</v>
      </c>
      <c r="K24" s="28">
        <f t="shared" si="10"/>
        <v>32000</v>
      </c>
      <c r="L24" s="28">
        <f t="shared" si="10"/>
        <v>32000</v>
      </c>
      <c r="M24" s="28">
        <f t="shared" si="10"/>
        <v>32000</v>
      </c>
      <c r="N24" s="28">
        <f t="shared" si="10"/>
        <v>32000</v>
      </c>
      <c r="O24" s="28">
        <f t="shared" si="10"/>
        <v>32000</v>
      </c>
      <c r="P24" s="28">
        <f t="shared" si="10"/>
        <v>32000</v>
      </c>
      <c r="Q24" s="28">
        <f t="shared" si="10"/>
        <v>32000</v>
      </c>
      <c r="R24" s="28">
        <f t="shared" si="10"/>
        <v>32000</v>
      </c>
      <c r="S24" s="28">
        <f t="shared" si="10"/>
        <v>32000</v>
      </c>
      <c r="T24" s="28">
        <f t="shared" si="8"/>
        <v>32000</v>
      </c>
      <c r="U24" s="28">
        <f t="shared" si="8"/>
        <v>32000</v>
      </c>
      <c r="V24" s="28">
        <f t="shared" si="8"/>
        <v>32000</v>
      </c>
      <c r="W24" s="28">
        <f t="shared" si="8"/>
        <v>32000</v>
      </c>
      <c r="X24" s="28">
        <f t="shared" si="8"/>
        <v>32000</v>
      </c>
      <c r="Y24" s="28">
        <f t="shared" si="8"/>
        <v>32000</v>
      </c>
      <c r="Z24" s="28">
        <f t="shared" si="8"/>
        <v>32000</v>
      </c>
      <c r="AA24" s="33">
        <v>20</v>
      </c>
      <c r="AB24" s="30">
        <f t="shared" si="2"/>
        <v>15360000</v>
      </c>
      <c r="AC24" s="122">
        <f t="shared" ref="AC24" si="11">+AB24+AB25+AB26</f>
        <v>23808000</v>
      </c>
      <c r="AF24" s="31"/>
    </row>
    <row r="25" spans="1:32" ht="13.8" thickBot="1" x14ac:dyDescent="0.3">
      <c r="A25" s="121"/>
      <c r="B25" s="32" t="s">
        <v>20</v>
      </c>
      <c r="C25" s="28">
        <v>32000</v>
      </c>
      <c r="D25" s="28">
        <f t="shared" si="10"/>
        <v>32000</v>
      </c>
      <c r="E25" s="28">
        <f t="shared" si="10"/>
        <v>32000</v>
      </c>
      <c r="F25" s="28">
        <f t="shared" si="10"/>
        <v>32000</v>
      </c>
      <c r="G25" s="28">
        <f t="shared" si="10"/>
        <v>32000</v>
      </c>
      <c r="H25" s="28">
        <f t="shared" si="10"/>
        <v>32000</v>
      </c>
      <c r="I25" s="28">
        <f t="shared" si="10"/>
        <v>32000</v>
      </c>
      <c r="J25" s="28">
        <f t="shared" si="10"/>
        <v>32000</v>
      </c>
      <c r="K25" s="28">
        <f t="shared" si="10"/>
        <v>32000</v>
      </c>
      <c r="L25" s="28">
        <f t="shared" si="10"/>
        <v>32000</v>
      </c>
      <c r="M25" s="28">
        <f t="shared" si="10"/>
        <v>32000</v>
      </c>
      <c r="N25" s="28">
        <f t="shared" si="10"/>
        <v>32000</v>
      </c>
      <c r="O25" s="28">
        <f t="shared" si="10"/>
        <v>32000</v>
      </c>
      <c r="P25" s="28">
        <f t="shared" si="10"/>
        <v>32000</v>
      </c>
      <c r="Q25" s="28">
        <f t="shared" si="10"/>
        <v>32000</v>
      </c>
      <c r="R25" s="28">
        <f t="shared" si="10"/>
        <v>32000</v>
      </c>
      <c r="S25" s="28">
        <f t="shared" si="10"/>
        <v>32000</v>
      </c>
      <c r="T25" s="28">
        <f t="shared" si="8"/>
        <v>32000</v>
      </c>
      <c r="U25" s="28">
        <f t="shared" si="8"/>
        <v>32000</v>
      </c>
      <c r="V25" s="28">
        <f t="shared" si="8"/>
        <v>32000</v>
      </c>
      <c r="W25" s="28">
        <f t="shared" si="8"/>
        <v>32000</v>
      </c>
      <c r="X25" s="28">
        <f t="shared" si="8"/>
        <v>32000</v>
      </c>
      <c r="Y25" s="28">
        <f t="shared" si="8"/>
        <v>32000</v>
      </c>
      <c r="Z25" s="28">
        <f t="shared" si="8"/>
        <v>32000</v>
      </c>
      <c r="AA25" s="33">
        <v>4</v>
      </c>
      <c r="AB25" s="30">
        <f t="shared" si="2"/>
        <v>3072000</v>
      </c>
      <c r="AC25" s="123"/>
      <c r="AF25" s="31"/>
    </row>
    <row r="26" spans="1:32" ht="13.8" thickBot="1" x14ac:dyDescent="0.3">
      <c r="A26" s="121"/>
      <c r="B26" s="32" t="s">
        <v>21</v>
      </c>
      <c r="C26" s="28">
        <v>32000</v>
      </c>
      <c r="D26" s="28">
        <f t="shared" si="10"/>
        <v>32000</v>
      </c>
      <c r="E26" s="28">
        <f t="shared" si="10"/>
        <v>32000</v>
      </c>
      <c r="F26" s="28">
        <f t="shared" si="10"/>
        <v>32000</v>
      </c>
      <c r="G26" s="28">
        <f t="shared" si="10"/>
        <v>32000</v>
      </c>
      <c r="H26" s="28">
        <f t="shared" si="10"/>
        <v>32000</v>
      </c>
      <c r="I26" s="28">
        <f t="shared" si="10"/>
        <v>32000</v>
      </c>
      <c r="J26" s="28">
        <f t="shared" si="10"/>
        <v>32000</v>
      </c>
      <c r="K26" s="28">
        <f t="shared" si="10"/>
        <v>32000</v>
      </c>
      <c r="L26" s="28">
        <f t="shared" si="10"/>
        <v>32000</v>
      </c>
      <c r="M26" s="28">
        <f t="shared" si="10"/>
        <v>32000</v>
      </c>
      <c r="N26" s="28">
        <f t="shared" si="10"/>
        <v>32000</v>
      </c>
      <c r="O26" s="28">
        <f t="shared" si="10"/>
        <v>32000</v>
      </c>
      <c r="P26" s="28">
        <f t="shared" si="10"/>
        <v>32000</v>
      </c>
      <c r="Q26" s="28">
        <f t="shared" si="10"/>
        <v>32000</v>
      </c>
      <c r="R26" s="28">
        <f t="shared" si="10"/>
        <v>32000</v>
      </c>
      <c r="S26" s="28">
        <f t="shared" si="10"/>
        <v>32000</v>
      </c>
      <c r="T26" s="28">
        <f t="shared" si="8"/>
        <v>32000</v>
      </c>
      <c r="U26" s="28">
        <f t="shared" si="8"/>
        <v>32000</v>
      </c>
      <c r="V26" s="28">
        <f t="shared" si="8"/>
        <v>32000</v>
      </c>
      <c r="W26" s="28">
        <f t="shared" si="8"/>
        <v>32000</v>
      </c>
      <c r="X26" s="28">
        <f t="shared" si="8"/>
        <v>32000</v>
      </c>
      <c r="Y26" s="28">
        <f t="shared" si="8"/>
        <v>32000</v>
      </c>
      <c r="Z26" s="28">
        <f t="shared" si="8"/>
        <v>32000</v>
      </c>
      <c r="AA26" s="33">
        <v>7</v>
      </c>
      <c r="AB26" s="30">
        <f t="shared" si="2"/>
        <v>5376000</v>
      </c>
      <c r="AC26" s="124"/>
      <c r="AF26" s="31"/>
    </row>
    <row r="27" spans="1:32" ht="14.4" thickTop="1" thickBot="1" x14ac:dyDescent="0.3">
      <c r="A27" s="120">
        <v>47331</v>
      </c>
      <c r="B27" s="35" t="s">
        <v>19</v>
      </c>
      <c r="C27" s="28">
        <v>32000</v>
      </c>
      <c r="D27" s="28">
        <f t="shared" si="10"/>
        <v>32000</v>
      </c>
      <c r="E27" s="28">
        <f t="shared" si="10"/>
        <v>32000</v>
      </c>
      <c r="F27" s="28">
        <f t="shared" si="10"/>
        <v>32000</v>
      </c>
      <c r="G27" s="28">
        <f t="shared" si="10"/>
        <v>32000</v>
      </c>
      <c r="H27" s="28">
        <f t="shared" si="10"/>
        <v>32000</v>
      </c>
      <c r="I27" s="28">
        <f t="shared" si="10"/>
        <v>32000</v>
      </c>
      <c r="J27" s="28">
        <f t="shared" si="10"/>
        <v>32000</v>
      </c>
      <c r="K27" s="28">
        <f t="shared" si="10"/>
        <v>32000</v>
      </c>
      <c r="L27" s="28">
        <f t="shared" si="10"/>
        <v>32000</v>
      </c>
      <c r="M27" s="28">
        <f t="shared" si="10"/>
        <v>32000</v>
      </c>
      <c r="N27" s="28">
        <f t="shared" si="10"/>
        <v>32000</v>
      </c>
      <c r="O27" s="28">
        <f t="shared" si="10"/>
        <v>32000</v>
      </c>
      <c r="P27" s="28">
        <f t="shared" si="10"/>
        <v>32000</v>
      </c>
      <c r="Q27" s="28">
        <f t="shared" si="10"/>
        <v>32000</v>
      </c>
      <c r="R27" s="28">
        <f t="shared" si="10"/>
        <v>32000</v>
      </c>
      <c r="S27" s="28">
        <f t="shared" si="10"/>
        <v>32000</v>
      </c>
      <c r="T27" s="28">
        <f t="shared" si="8"/>
        <v>32000</v>
      </c>
      <c r="U27" s="28">
        <f t="shared" si="8"/>
        <v>32000</v>
      </c>
      <c r="V27" s="28">
        <f t="shared" si="8"/>
        <v>32000</v>
      </c>
      <c r="W27" s="28">
        <f t="shared" si="8"/>
        <v>32000</v>
      </c>
      <c r="X27" s="28">
        <f t="shared" si="8"/>
        <v>32000</v>
      </c>
      <c r="Y27" s="28">
        <f t="shared" si="8"/>
        <v>32000</v>
      </c>
      <c r="Z27" s="28">
        <f t="shared" si="8"/>
        <v>32000</v>
      </c>
      <c r="AA27" s="33">
        <v>21</v>
      </c>
      <c r="AB27" s="30">
        <f t="shared" si="2"/>
        <v>16128000</v>
      </c>
      <c r="AC27" s="122">
        <f t="shared" ref="AC27" si="12">+AB27+AB28+AB29</f>
        <v>23808000</v>
      </c>
      <c r="AF27" s="31"/>
    </row>
    <row r="28" spans="1:32" ht="13.8" thickBot="1" x14ac:dyDescent="0.3">
      <c r="A28" s="121"/>
      <c r="B28" s="32" t="s">
        <v>20</v>
      </c>
      <c r="C28" s="28">
        <v>32000</v>
      </c>
      <c r="D28" s="28">
        <f t="shared" si="10"/>
        <v>32000</v>
      </c>
      <c r="E28" s="28">
        <f t="shared" si="10"/>
        <v>32000</v>
      </c>
      <c r="F28" s="28">
        <f t="shared" si="10"/>
        <v>32000</v>
      </c>
      <c r="G28" s="28">
        <f t="shared" si="10"/>
        <v>32000</v>
      </c>
      <c r="H28" s="28">
        <f t="shared" si="10"/>
        <v>32000</v>
      </c>
      <c r="I28" s="28">
        <f t="shared" si="10"/>
        <v>32000</v>
      </c>
      <c r="J28" s="28">
        <f t="shared" si="10"/>
        <v>32000</v>
      </c>
      <c r="K28" s="28">
        <f t="shared" si="10"/>
        <v>32000</v>
      </c>
      <c r="L28" s="28">
        <f t="shared" si="10"/>
        <v>32000</v>
      </c>
      <c r="M28" s="28">
        <f t="shared" si="10"/>
        <v>32000</v>
      </c>
      <c r="N28" s="28">
        <f t="shared" si="10"/>
        <v>32000</v>
      </c>
      <c r="O28" s="28">
        <f t="shared" si="10"/>
        <v>32000</v>
      </c>
      <c r="P28" s="28">
        <f t="shared" si="10"/>
        <v>32000</v>
      </c>
      <c r="Q28" s="28">
        <f t="shared" si="10"/>
        <v>32000</v>
      </c>
      <c r="R28" s="28">
        <f t="shared" si="10"/>
        <v>32000</v>
      </c>
      <c r="S28" s="28">
        <f t="shared" si="10"/>
        <v>32000</v>
      </c>
      <c r="T28" s="28">
        <f t="shared" si="8"/>
        <v>32000</v>
      </c>
      <c r="U28" s="28">
        <f t="shared" si="8"/>
        <v>32000</v>
      </c>
      <c r="V28" s="28">
        <f t="shared" si="8"/>
        <v>32000</v>
      </c>
      <c r="W28" s="28">
        <f t="shared" si="8"/>
        <v>32000</v>
      </c>
      <c r="X28" s="28">
        <f t="shared" si="8"/>
        <v>32000</v>
      </c>
      <c r="Y28" s="28">
        <f t="shared" si="8"/>
        <v>32000</v>
      </c>
      <c r="Z28" s="28">
        <f t="shared" si="8"/>
        <v>32000</v>
      </c>
      <c r="AA28" s="33">
        <v>4</v>
      </c>
      <c r="AB28" s="30">
        <f t="shared" si="2"/>
        <v>3072000</v>
      </c>
      <c r="AC28" s="123"/>
      <c r="AF28" s="31"/>
    </row>
    <row r="29" spans="1:32" ht="13.8" thickBot="1" x14ac:dyDescent="0.3">
      <c r="A29" s="121"/>
      <c r="B29" s="32" t="s">
        <v>21</v>
      </c>
      <c r="C29" s="28">
        <v>32000</v>
      </c>
      <c r="D29" s="28">
        <f t="shared" si="10"/>
        <v>32000</v>
      </c>
      <c r="E29" s="28">
        <f t="shared" si="10"/>
        <v>32000</v>
      </c>
      <c r="F29" s="28">
        <f t="shared" si="10"/>
        <v>32000</v>
      </c>
      <c r="G29" s="28">
        <f t="shared" si="10"/>
        <v>32000</v>
      </c>
      <c r="H29" s="28">
        <f t="shared" si="10"/>
        <v>32000</v>
      </c>
      <c r="I29" s="28">
        <f t="shared" si="10"/>
        <v>32000</v>
      </c>
      <c r="J29" s="28">
        <f t="shared" si="10"/>
        <v>32000</v>
      </c>
      <c r="K29" s="28">
        <f t="shared" si="10"/>
        <v>32000</v>
      </c>
      <c r="L29" s="28">
        <f t="shared" si="10"/>
        <v>32000</v>
      </c>
      <c r="M29" s="28">
        <f t="shared" si="10"/>
        <v>32000</v>
      </c>
      <c r="N29" s="28">
        <f t="shared" si="10"/>
        <v>32000</v>
      </c>
      <c r="O29" s="28">
        <f t="shared" si="10"/>
        <v>32000</v>
      </c>
      <c r="P29" s="28">
        <f t="shared" si="10"/>
        <v>32000</v>
      </c>
      <c r="Q29" s="28">
        <f t="shared" si="10"/>
        <v>32000</v>
      </c>
      <c r="R29" s="28">
        <f t="shared" si="10"/>
        <v>32000</v>
      </c>
      <c r="S29" s="28">
        <f t="shared" si="10"/>
        <v>32000</v>
      </c>
      <c r="T29" s="28">
        <f t="shared" si="8"/>
        <v>32000</v>
      </c>
      <c r="U29" s="28">
        <f t="shared" si="8"/>
        <v>32000</v>
      </c>
      <c r="V29" s="28">
        <f t="shared" si="8"/>
        <v>32000</v>
      </c>
      <c r="W29" s="28">
        <f t="shared" si="8"/>
        <v>32000</v>
      </c>
      <c r="X29" s="28">
        <f t="shared" si="8"/>
        <v>32000</v>
      </c>
      <c r="Y29" s="28">
        <f t="shared" si="8"/>
        <v>32000</v>
      </c>
      <c r="Z29" s="28">
        <f t="shared" si="8"/>
        <v>32000</v>
      </c>
      <c r="AA29" s="33">
        <v>6</v>
      </c>
      <c r="AB29" s="30">
        <f t="shared" ref="AB29:AB77" si="13">+SUM(C29:Z29)*AA29</f>
        <v>4608000</v>
      </c>
      <c r="AC29" s="124"/>
      <c r="AF29" s="31"/>
    </row>
    <row r="30" spans="1:32" ht="14.4" thickTop="1" thickBot="1" x14ac:dyDescent="0.3">
      <c r="A30" s="120">
        <v>47362</v>
      </c>
      <c r="B30" s="34" t="s">
        <v>19</v>
      </c>
      <c r="C30" s="28">
        <v>32000</v>
      </c>
      <c r="D30" s="28">
        <f t="shared" si="10"/>
        <v>32000</v>
      </c>
      <c r="E30" s="28">
        <f t="shared" si="10"/>
        <v>32000</v>
      </c>
      <c r="F30" s="28">
        <f t="shared" si="10"/>
        <v>32000</v>
      </c>
      <c r="G30" s="28">
        <f t="shared" si="10"/>
        <v>32000</v>
      </c>
      <c r="H30" s="28">
        <f t="shared" si="10"/>
        <v>32000</v>
      </c>
      <c r="I30" s="28">
        <f t="shared" si="10"/>
        <v>32000</v>
      </c>
      <c r="J30" s="28">
        <f t="shared" si="10"/>
        <v>32000</v>
      </c>
      <c r="K30" s="28">
        <f t="shared" si="10"/>
        <v>32000</v>
      </c>
      <c r="L30" s="28">
        <f t="shared" si="10"/>
        <v>32000</v>
      </c>
      <c r="M30" s="28">
        <f t="shared" si="10"/>
        <v>32000</v>
      </c>
      <c r="N30" s="28">
        <f t="shared" si="10"/>
        <v>32000</v>
      </c>
      <c r="O30" s="28">
        <f t="shared" si="10"/>
        <v>32000</v>
      </c>
      <c r="P30" s="28">
        <f t="shared" si="10"/>
        <v>32000</v>
      </c>
      <c r="Q30" s="28">
        <f t="shared" si="10"/>
        <v>32000</v>
      </c>
      <c r="R30" s="28">
        <f t="shared" si="10"/>
        <v>32000</v>
      </c>
      <c r="S30" s="28">
        <f t="shared" si="10"/>
        <v>32000</v>
      </c>
      <c r="T30" s="28">
        <f t="shared" si="8"/>
        <v>32000</v>
      </c>
      <c r="U30" s="28">
        <f t="shared" si="8"/>
        <v>32000</v>
      </c>
      <c r="V30" s="28">
        <f t="shared" si="8"/>
        <v>32000</v>
      </c>
      <c r="W30" s="28">
        <f t="shared" si="8"/>
        <v>32000</v>
      </c>
      <c r="X30" s="28">
        <f t="shared" si="8"/>
        <v>32000</v>
      </c>
      <c r="Y30" s="28">
        <f t="shared" si="8"/>
        <v>32000</v>
      </c>
      <c r="Z30" s="28">
        <f t="shared" si="8"/>
        <v>32000</v>
      </c>
      <c r="AA30" s="33">
        <v>20</v>
      </c>
      <c r="AB30" s="30">
        <f t="shared" si="13"/>
        <v>15360000</v>
      </c>
      <c r="AC30" s="122">
        <f t="shared" ref="AC30" si="14">+AB30+AB31+AB32</f>
        <v>23040000</v>
      </c>
      <c r="AF30" s="31"/>
    </row>
    <row r="31" spans="1:32" ht="13.8" thickBot="1" x14ac:dyDescent="0.3">
      <c r="A31" s="121"/>
      <c r="B31" s="32" t="s">
        <v>20</v>
      </c>
      <c r="C31" s="28">
        <v>32000</v>
      </c>
      <c r="D31" s="28">
        <f t="shared" si="10"/>
        <v>32000</v>
      </c>
      <c r="E31" s="28">
        <f t="shared" si="10"/>
        <v>32000</v>
      </c>
      <c r="F31" s="28">
        <f t="shared" si="10"/>
        <v>32000</v>
      </c>
      <c r="G31" s="28">
        <f t="shared" si="10"/>
        <v>32000</v>
      </c>
      <c r="H31" s="28">
        <f t="shared" si="10"/>
        <v>32000</v>
      </c>
      <c r="I31" s="28">
        <f t="shared" si="10"/>
        <v>32000</v>
      </c>
      <c r="J31" s="28">
        <f t="shared" si="10"/>
        <v>32000</v>
      </c>
      <c r="K31" s="28">
        <f t="shared" si="10"/>
        <v>32000</v>
      </c>
      <c r="L31" s="28">
        <f t="shared" si="10"/>
        <v>32000</v>
      </c>
      <c r="M31" s="28">
        <f t="shared" si="10"/>
        <v>32000</v>
      </c>
      <c r="N31" s="28">
        <f t="shared" si="10"/>
        <v>32000</v>
      </c>
      <c r="O31" s="28">
        <f t="shared" si="10"/>
        <v>32000</v>
      </c>
      <c r="P31" s="28">
        <f t="shared" si="10"/>
        <v>32000</v>
      </c>
      <c r="Q31" s="28">
        <f t="shared" si="10"/>
        <v>32000</v>
      </c>
      <c r="R31" s="28">
        <f t="shared" si="10"/>
        <v>32000</v>
      </c>
      <c r="S31" s="28">
        <f t="shared" si="10"/>
        <v>32000</v>
      </c>
      <c r="T31" s="28">
        <f t="shared" si="8"/>
        <v>32000</v>
      </c>
      <c r="U31" s="28">
        <f t="shared" si="8"/>
        <v>32000</v>
      </c>
      <c r="V31" s="28">
        <f t="shared" si="8"/>
        <v>32000</v>
      </c>
      <c r="W31" s="28">
        <f t="shared" si="8"/>
        <v>32000</v>
      </c>
      <c r="X31" s="28">
        <f t="shared" si="8"/>
        <v>32000</v>
      </c>
      <c r="Y31" s="28">
        <f t="shared" si="8"/>
        <v>32000</v>
      </c>
      <c r="Z31" s="28">
        <f t="shared" si="8"/>
        <v>32000</v>
      </c>
      <c r="AA31" s="33">
        <v>5</v>
      </c>
      <c r="AB31" s="30">
        <f t="shared" si="13"/>
        <v>3840000</v>
      </c>
      <c r="AC31" s="123"/>
      <c r="AF31" s="31"/>
    </row>
    <row r="32" spans="1:32" ht="13.8" thickBot="1" x14ac:dyDescent="0.3">
      <c r="A32" s="121"/>
      <c r="B32" s="32" t="s">
        <v>21</v>
      </c>
      <c r="C32" s="28">
        <v>32000</v>
      </c>
      <c r="D32" s="28">
        <f t="shared" si="10"/>
        <v>32000</v>
      </c>
      <c r="E32" s="28">
        <f t="shared" si="10"/>
        <v>32000</v>
      </c>
      <c r="F32" s="28">
        <f t="shared" si="10"/>
        <v>32000</v>
      </c>
      <c r="G32" s="28">
        <f t="shared" si="10"/>
        <v>32000</v>
      </c>
      <c r="H32" s="28">
        <f t="shared" si="10"/>
        <v>32000</v>
      </c>
      <c r="I32" s="28">
        <f t="shared" si="10"/>
        <v>32000</v>
      </c>
      <c r="J32" s="28">
        <f t="shared" si="10"/>
        <v>32000</v>
      </c>
      <c r="K32" s="28">
        <f t="shared" si="10"/>
        <v>32000</v>
      </c>
      <c r="L32" s="28">
        <f t="shared" si="10"/>
        <v>32000</v>
      </c>
      <c r="M32" s="28">
        <f t="shared" si="10"/>
        <v>32000</v>
      </c>
      <c r="N32" s="28">
        <f t="shared" si="10"/>
        <v>32000</v>
      </c>
      <c r="O32" s="28">
        <f t="shared" si="10"/>
        <v>32000</v>
      </c>
      <c r="P32" s="28">
        <f t="shared" si="10"/>
        <v>32000</v>
      </c>
      <c r="Q32" s="28">
        <f t="shared" si="10"/>
        <v>32000</v>
      </c>
      <c r="R32" s="28">
        <f t="shared" si="10"/>
        <v>32000</v>
      </c>
      <c r="S32" s="28">
        <f t="shared" si="10"/>
        <v>32000</v>
      </c>
      <c r="T32" s="28">
        <f t="shared" si="8"/>
        <v>32000</v>
      </c>
      <c r="U32" s="28">
        <f t="shared" si="8"/>
        <v>32000</v>
      </c>
      <c r="V32" s="28">
        <f t="shared" si="8"/>
        <v>32000</v>
      </c>
      <c r="W32" s="28">
        <f t="shared" si="8"/>
        <v>32000</v>
      </c>
      <c r="X32" s="28">
        <f t="shared" si="8"/>
        <v>32000</v>
      </c>
      <c r="Y32" s="28">
        <f t="shared" si="8"/>
        <v>32000</v>
      </c>
      <c r="Z32" s="28">
        <f t="shared" si="8"/>
        <v>32000</v>
      </c>
      <c r="AA32" s="33">
        <v>5</v>
      </c>
      <c r="AB32" s="30">
        <f t="shared" si="13"/>
        <v>3840000</v>
      </c>
      <c r="AC32" s="124"/>
      <c r="AF32" s="31"/>
    </row>
    <row r="33" spans="1:32" ht="14.4" thickTop="1" thickBot="1" x14ac:dyDescent="0.3">
      <c r="A33" s="120">
        <v>47392</v>
      </c>
      <c r="B33" s="35" t="s">
        <v>19</v>
      </c>
      <c r="C33" s="28">
        <v>32000</v>
      </c>
      <c r="D33" s="28">
        <f t="shared" si="10"/>
        <v>32000</v>
      </c>
      <c r="E33" s="28">
        <f t="shared" si="10"/>
        <v>32000</v>
      </c>
      <c r="F33" s="28">
        <f t="shared" si="10"/>
        <v>32000</v>
      </c>
      <c r="G33" s="28">
        <f t="shared" si="10"/>
        <v>32000</v>
      </c>
      <c r="H33" s="28">
        <f t="shared" si="10"/>
        <v>32000</v>
      </c>
      <c r="I33" s="28">
        <f t="shared" si="10"/>
        <v>32000</v>
      </c>
      <c r="J33" s="28">
        <f t="shared" si="10"/>
        <v>32000</v>
      </c>
      <c r="K33" s="28">
        <f t="shared" si="10"/>
        <v>32000</v>
      </c>
      <c r="L33" s="28">
        <f t="shared" si="10"/>
        <v>32000</v>
      </c>
      <c r="M33" s="28">
        <f t="shared" si="10"/>
        <v>32000</v>
      </c>
      <c r="N33" s="28">
        <f t="shared" si="10"/>
        <v>32000</v>
      </c>
      <c r="O33" s="28">
        <f t="shared" si="10"/>
        <v>32000</v>
      </c>
      <c r="P33" s="28">
        <f t="shared" si="10"/>
        <v>32000</v>
      </c>
      <c r="Q33" s="28">
        <f t="shared" si="10"/>
        <v>32000</v>
      </c>
      <c r="R33" s="28">
        <f t="shared" si="10"/>
        <v>32000</v>
      </c>
      <c r="S33" s="28">
        <f t="shared" si="10"/>
        <v>32000</v>
      </c>
      <c r="T33" s="28">
        <f t="shared" si="8"/>
        <v>32000</v>
      </c>
      <c r="U33" s="28">
        <f t="shared" si="8"/>
        <v>32000</v>
      </c>
      <c r="V33" s="28">
        <f t="shared" si="8"/>
        <v>32000</v>
      </c>
      <c r="W33" s="28">
        <f t="shared" si="8"/>
        <v>32000</v>
      </c>
      <c r="X33" s="28">
        <f t="shared" si="8"/>
        <v>32000</v>
      </c>
      <c r="Y33" s="28">
        <f t="shared" si="8"/>
        <v>32000</v>
      </c>
      <c r="Z33" s="28">
        <f t="shared" si="8"/>
        <v>32000</v>
      </c>
      <c r="AA33" s="33">
        <v>22</v>
      </c>
      <c r="AB33" s="30">
        <f t="shared" si="13"/>
        <v>16896000</v>
      </c>
      <c r="AC33" s="122">
        <f t="shared" ref="AC33" si="15">+AB33+AB34+AB35</f>
        <v>23808000</v>
      </c>
      <c r="AF33" s="31"/>
    </row>
    <row r="34" spans="1:32" ht="13.8" thickBot="1" x14ac:dyDescent="0.3">
      <c r="A34" s="121"/>
      <c r="B34" s="32" t="s">
        <v>20</v>
      </c>
      <c r="C34" s="28">
        <v>32000</v>
      </c>
      <c r="D34" s="28">
        <f t="shared" si="10"/>
        <v>32000</v>
      </c>
      <c r="E34" s="28">
        <f t="shared" si="10"/>
        <v>32000</v>
      </c>
      <c r="F34" s="28">
        <f t="shared" si="10"/>
        <v>32000</v>
      </c>
      <c r="G34" s="28">
        <f t="shared" si="10"/>
        <v>32000</v>
      </c>
      <c r="H34" s="28">
        <f t="shared" si="10"/>
        <v>32000</v>
      </c>
      <c r="I34" s="28">
        <f t="shared" si="10"/>
        <v>32000</v>
      </c>
      <c r="J34" s="28">
        <f t="shared" si="10"/>
        <v>32000</v>
      </c>
      <c r="K34" s="28">
        <f t="shared" si="10"/>
        <v>32000</v>
      </c>
      <c r="L34" s="28">
        <f t="shared" si="10"/>
        <v>32000</v>
      </c>
      <c r="M34" s="28">
        <f t="shared" si="10"/>
        <v>32000</v>
      </c>
      <c r="N34" s="28">
        <f t="shared" si="10"/>
        <v>32000</v>
      </c>
      <c r="O34" s="28">
        <f t="shared" si="10"/>
        <v>32000</v>
      </c>
      <c r="P34" s="28">
        <f t="shared" si="10"/>
        <v>32000</v>
      </c>
      <c r="Q34" s="28">
        <f t="shared" si="10"/>
        <v>32000</v>
      </c>
      <c r="R34" s="28">
        <f t="shared" si="10"/>
        <v>32000</v>
      </c>
      <c r="S34" s="28">
        <f t="shared" si="10"/>
        <v>32000</v>
      </c>
      <c r="T34" s="28">
        <f t="shared" si="8"/>
        <v>32000</v>
      </c>
      <c r="U34" s="28">
        <f t="shared" si="8"/>
        <v>32000</v>
      </c>
      <c r="V34" s="28">
        <f t="shared" si="8"/>
        <v>32000</v>
      </c>
      <c r="W34" s="28">
        <f t="shared" si="8"/>
        <v>32000</v>
      </c>
      <c r="X34" s="28">
        <f t="shared" si="8"/>
        <v>32000</v>
      </c>
      <c r="Y34" s="28">
        <f t="shared" si="8"/>
        <v>32000</v>
      </c>
      <c r="Z34" s="28">
        <f t="shared" si="8"/>
        <v>32000</v>
      </c>
      <c r="AA34" s="33">
        <v>4</v>
      </c>
      <c r="AB34" s="30">
        <f t="shared" si="13"/>
        <v>3072000</v>
      </c>
      <c r="AC34" s="123"/>
      <c r="AF34" s="31"/>
    </row>
    <row r="35" spans="1:32" ht="13.8" thickBot="1" x14ac:dyDescent="0.3">
      <c r="A35" s="121"/>
      <c r="B35" s="32" t="s">
        <v>21</v>
      </c>
      <c r="C35" s="28">
        <v>32000</v>
      </c>
      <c r="D35" s="28">
        <f t="shared" si="10"/>
        <v>32000</v>
      </c>
      <c r="E35" s="28">
        <f t="shared" si="10"/>
        <v>32000</v>
      </c>
      <c r="F35" s="28">
        <f t="shared" si="10"/>
        <v>32000</v>
      </c>
      <c r="G35" s="28">
        <f t="shared" si="10"/>
        <v>32000</v>
      </c>
      <c r="H35" s="28">
        <f t="shared" si="10"/>
        <v>32000</v>
      </c>
      <c r="I35" s="28">
        <f t="shared" si="10"/>
        <v>32000</v>
      </c>
      <c r="J35" s="28">
        <f t="shared" si="10"/>
        <v>32000</v>
      </c>
      <c r="K35" s="28">
        <f t="shared" si="10"/>
        <v>32000</v>
      </c>
      <c r="L35" s="28">
        <f t="shared" si="10"/>
        <v>32000</v>
      </c>
      <c r="M35" s="28">
        <f t="shared" si="10"/>
        <v>32000</v>
      </c>
      <c r="N35" s="28">
        <f t="shared" si="10"/>
        <v>32000</v>
      </c>
      <c r="O35" s="28">
        <f t="shared" si="10"/>
        <v>32000</v>
      </c>
      <c r="P35" s="28">
        <f t="shared" si="10"/>
        <v>32000</v>
      </c>
      <c r="Q35" s="28">
        <f t="shared" si="10"/>
        <v>32000</v>
      </c>
      <c r="R35" s="28">
        <f t="shared" si="10"/>
        <v>32000</v>
      </c>
      <c r="S35" s="28">
        <f t="shared" si="10"/>
        <v>32000</v>
      </c>
      <c r="T35" s="28">
        <f t="shared" si="8"/>
        <v>32000</v>
      </c>
      <c r="U35" s="28">
        <f t="shared" si="8"/>
        <v>32000</v>
      </c>
      <c r="V35" s="28">
        <f t="shared" si="8"/>
        <v>32000</v>
      </c>
      <c r="W35" s="28">
        <f t="shared" si="8"/>
        <v>32000</v>
      </c>
      <c r="X35" s="28">
        <f t="shared" si="8"/>
        <v>32000</v>
      </c>
      <c r="Y35" s="28">
        <f t="shared" si="8"/>
        <v>32000</v>
      </c>
      <c r="Z35" s="28">
        <f t="shared" si="8"/>
        <v>32000</v>
      </c>
      <c r="AA35" s="33">
        <v>5</v>
      </c>
      <c r="AB35" s="30">
        <f t="shared" si="13"/>
        <v>3840000</v>
      </c>
      <c r="AC35" s="124"/>
      <c r="AF35" s="31"/>
    </row>
    <row r="36" spans="1:32" ht="14.4" thickTop="1" thickBot="1" x14ac:dyDescent="0.3">
      <c r="A36" s="120">
        <v>47423</v>
      </c>
      <c r="B36" s="34" t="s">
        <v>19</v>
      </c>
      <c r="C36" s="28">
        <v>32000</v>
      </c>
      <c r="D36" s="28">
        <f t="shared" si="10"/>
        <v>32000</v>
      </c>
      <c r="E36" s="28">
        <f t="shared" si="10"/>
        <v>32000</v>
      </c>
      <c r="F36" s="28">
        <f t="shared" si="10"/>
        <v>32000</v>
      </c>
      <c r="G36" s="28">
        <f t="shared" si="10"/>
        <v>32000</v>
      </c>
      <c r="H36" s="28">
        <f t="shared" si="10"/>
        <v>32000</v>
      </c>
      <c r="I36" s="28">
        <f t="shared" si="10"/>
        <v>32000</v>
      </c>
      <c r="J36" s="28">
        <f t="shared" si="10"/>
        <v>32000</v>
      </c>
      <c r="K36" s="28">
        <f t="shared" si="10"/>
        <v>32000</v>
      </c>
      <c r="L36" s="28">
        <f t="shared" si="10"/>
        <v>32000</v>
      </c>
      <c r="M36" s="28">
        <f t="shared" si="10"/>
        <v>32000</v>
      </c>
      <c r="N36" s="28">
        <f t="shared" si="10"/>
        <v>32000</v>
      </c>
      <c r="O36" s="28">
        <f t="shared" si="10"/>
        <v>32000</v>
      </c>
      <c r="P36" s="28">
        <f t="shared" si="10"/>
        <v>32000</v>
      </c>
      <c r="Q36" s="28">
        <f t="shared" si="10"/>
        <v>32000</v>
      </c>
      <c r="R36" s="28">
        <f t="shared" si="10"/>
        <v>32000</v>
      </c>
      <c r="S36" s="28">
        <f t="shared" si="10"/>
        <v>32000</v>
      </c>
      <c r="T36" s="28">
        <f t="shared" si="8"/>
        <v>32000</v>
      </c>
      <c r="U36" s="28">
        <f t="shared" si="8"/>
        <v>32000</v>
      </c>
      <c r="V36" s="28">
        <f t="shared" si="8"/>
        <v>32000</v>
      </c>
      <c r="W36" s="28">
        <f t="shared" si="8"/>
        <v>32000</v>
      </c>
      <c r="X36" s="28">
        <f t="shared" si="8"/>
        <v>32000</v>
      </c>
      <c r="Y36" s="28">
        <f t="shared" si="8"/>
        <v>32000</v>
      </c>
      <c r="Z36" s="28">
        <f t="shared" si="8"/>
        <v>32000</v>
      </c>
      <c r="AA36" s="33">
        <v>20</v>
      </c>
      <c r="AB36" s="30">
        <f t="shared" si="13"/>
        <v>15360000</v>
      </c>
      <c r="AC36" s="122">
        <f t="shared" ref="AC36" si="16">+AB36+AB37+AB38</f>
        <v>23040000</v>
      </c>
      <c r="AF36" s="31"/>
    </row>
    <row r="37" spans="1:32" ht="13.8" thickBot="1" x14ac:dyDescent="0.3">
      <c r="A37" s="121"/>
      <c r="B37" s="32" t="s">
        <v>20</v>
      </c>
      <c r="C37" s="28">
        <v>32000</v>
      </c>
      <c r="D37" s="28">
        <f t="shared" si="10"/>
        <v>32000</v>
      </c>
      <c r="E37" s="28">
        <f t="shared" si="10"/>
        <v>32000</v>
      </c>
      <c r="F37" s="28">
        <f t="shared" si="10"/>
        <v>32000</v>
      </c>
      <c r="G37" s="28">
        <f t="shared" si="10"/>
        <v>32000</v>
      </c>
      <c r="H37" s="28">
        <f t="shared" si="10"/>
        <v>32000</v>
      </c>
      <c r="I37" s="28">
        <f t="shared" si="10"/>
        <v>32000</v>
      </c>
      <c r="J37" s="28">
        <f t="shared" si="10"/>
        <v>32000</v>
      </c>
      <c r="K37" s="28">
        <f t="shared" si="10"/>
        <v>32000</v>
      </c>
      <c r="L37" s="28">
        <f t="shared" si="10"/>
        <v>32000</v>
      </c>
      <c r="M37" s="28">
        <f t="shared" si="10"/>
        <v>32000</v>
      </c>
      <c r="N37" s="28">
        <f t="shared" si="10"/>
        <v>32000</v>
      </c>
      <c r="O37" s="28">
        <f t="shared" si="10"/>
        <v>32000</v>
      </c>
      <c r="P37" s="28">
        <f t="shared" si="10"/>
        <v>32000</v>
      </c>
      <c r="Q37" s="28">
        <f t="shared" si="10"/>
        <v>32000</v>
      </c>
      <c r="R37" s="28">
        <f t="shared" si="10"/>
        <v>32000</v>
      </c>
      <c r="S37" s="28">
        <f t="shared" ref="S37:Z52" si="17">+R37</f>
        <v>32000</v>
      </c>
      <c r="T37" s="28">
        <f t="shared" si="17"/>
        <v>32000</v>
      </c>
      <c r="U37" s="28">
        <f t="shared" si="17"/>
        <v>32000</v>
      </c>
      <c r="V37" s="28">
        <f t="shared" si="17"/>
        <v>32000</v>
      </c>
      <c r="W37" s="28">
        <f t="shared" si="17"/>
        <v>32000</v>
      </c>
      <c r="X37" s="28">
        <f t="shared" si="17"/>
        <v>32000</v>
      </c>
      <c r="Y37" s="28">
        <f t="shared" si="17"/>
        <v>32000</v>
      </c>
      <c r="Z37" s="28">
        <f t="shared" si="17"/>
        <v>32000</v>
      </c>
      <c r="AA37" s="33">
        <v>4</v>
      </c>
      <c r="AB37" s="30">
        <f t="shared" si="13"/>
        <v>3072000</v>
      </c>
      <c r="AC37" s="123"/>
      <c r="AF37" s="31"/>
    </row>
    <row r="38" spans="1:32" ht="13.8" thickBot="1" x14ac:dyDescent="0.3">
      <c r="A38" s="121"/>
      <c r="B38" s="32" t="s">
        <v>21</v>
      </c>
      <c r="C38" s="28">
        <v>32000</v>
      </c>
      <c r="D38" s="28">
        <f t="shared" ref="D38:S53" si="18">+C38</f>
        <v>32000</v>
      </c>
      <c r="E38" s="28">
        <f t="shared" si="18"/>
        <v>32000</v>
      </c>
      <c r="F38" s="28">
        <f t="shared" si="18"/>
        <v>32000</v>
      </c>
      <c r="G38" s="28">
        <f t="shared" si="18"/>
        <v>32000</v>
      </c>
      <c r="H38" s="28">
        <f t="shared" si="18"/>
        <v>32000</v>
      </c>
      <c r="I38" s="28">
        <f t="shared" si="18"/>
        <v>32000</v>
      </c>
      <c r="J38" s="28">
        <f t="shared" si="18"/>
        <v>32000</v>
      </c>
      <c r="K38" s="28">
        <f t="shared" si="18"/>
        <v>32000</v>
      </c>
      <c r="L38" s="28">
        <f t="shared" si="18"/>
        <v>32000</v>
      </c>
      <c r="M38" s="28">
        <f t="shared" si="18"/>
        <v>32000</v>
      </c>
      <c r="N38" s="28">
        <f t="shared" si="18"/>
        <v>32000</v>
      </c>
      <c r="O38" s="28">
        <f t="shared" si="18"/>
        <v>32000</v>
      </c>
      <c r="P38" s="28">
        <f t="shared" si="18"/>
        <v>32000</v>
      </c>
      <c r="Q38" s="28">
        <f t="shared" si="18"/>
        <v>32000</v>
      </c>
      <c r="R38" s="28">
        <f t="shared" si="18"/>
        <v>32000</v>
      </c>
      <c r="S38" s="28">
        <f t="shared" si="18"/>
        <v>32000</v>
      </c>
      <c r="T38" s="28">
        <f t="shared" si="17"/>
        <v>32000</v>
      </c>
      <c r="U38" s="28">
        <f t="shared" si="17"/>
        <v>32000</v>
      </c>
      <c r="V38" s="28">
        <f t="shared" si="17"/>
        <v>32000</v>
      </c>
      <c r="W38" s="28">
        <f t="shared" si="17"/>
        <v>32000</v>
      </c>
      <c r="X38" s="28">
        <f t="shared" si="17"/>
        <v>32000</v>
      </c>
      <c r="Y38" s="28">
        <f t="shared" si="17"/>
        <v>32000</v>
      </c>
      <c r="Z38" s="28">
        <f t="shared" si="17"/>
        <v>32000</v>
      </c>
      <c r="AA38" s="33">
        <v>6</v>
      </c>
      <c r="AB38" s="30">
        <f t="shared" si="13"/>
        <v>4608000</v>
      </c>
      <c r="AC38" s="124"/>
      <c r="AF38" s="31"/>
    </row>
    <row r="39" spans="1:32" ht="14.4" thickTop="1" thickBot="1" x14ac:dyDescent="0.3">
      <c r="A39" s="120">
        <v>47453</v>
      </c>
      <c r="B39" s="35" t="s">
        <v>19</v>
      </c>
      <c r="C39" s="28">
        <v>32000</v>
      </c>
      <c r="D39" s="28">
        <f t="shared" si="18"/>
        <v>32000</v>
      </c>
      <c r="E39" s="28">
        <f t="shared" si="18"/>
        <v>32000</v>
      </c>
      <c r="F39" s="28">
        <f t="shared" si="18"/>
        <v>32000</v>
      </c>
      <c r="G39" s="28">
        <f t="shared" si="18"/>
        <v>32000</v>
      </c>
      <c r="H39" s="28">
        <f t="shared" si="18"/>
        <v>32000</v>
      </c>
      <c r="I39" s="28">
        <f t="shared" si="18"/>
        <v>32000</v>
      </c>
      <c r="J39" s="28">
        <f t="shared" si="18"/>
        <v>32000</v>
      </c>
      <c r="K39" s="28">
        <f t="shared" si="18"/>
        <v>32000</v>
      </c>
      <c r="L39" s="28">
        <f t="shared" si="18"/>
        <v>32000</v>
      </c>
      <c r="M39" s="28">
        <f t="shared" si="18"/>
        <v>32000</v>
      </c>
      <c r="N39" s="28">
        <f t="shared" si="18"/>
        <v>32000</v>
      </c>
      <c r="O39" s="28">
        <f t="shared" si="18"/>
        <v>32000</v>
      </c>
      <c r="P39" s="28">
        <f t="shared" si="18"/>
        <v>32000</v>
      </c>
      <c r="Q39" s="28">
        <f t="shared" si="18"/>
        <v>32000</v>
      </c>
      <c r="R39" s="28">
        <f t="shared" si="18"/>
        <v>32000</v>
      </c>
      <c r="S39" s="28">
        <f t="shared" si="18"/>
        <v>32000</v>
      </c>
      <c r="T39" s="28">
        <f t="shared" si="17"/>
        <v>32000</v>
      </c>
      <c r="U39" s="28">
        <f t="shared" si="17"/>
        <v>32000</v>
      </c>
      <c r="V39" s="28">
        <f t="shared" si="17"/>
        <v>32000</v>
      </c>
      <c r="W39" s="28">
        <f t="shared" si="17"/>
        <v>32000</v>
      </c>
      <c r="X39" s="28">
        <f t="shared" si="17"/>
        <v>32000</v>
      </c>
      <c r="Y39" s="28">
        <f t="shared" si="17"/>
        <v>32000</v>
      </c>
      <c r="Z39" s="28">
        <f t="shared" si="17"/>
        <v>32000</v>
      </c>
      <c r="AA39" s="33">
        <v>20</v>
      </c>
      <c r="AB39" s="30">
        <f t="shared" si="13"/>
        <v>15360000</v>
      </c>
      <c r="AC39" s="122">
        <f t="shared" ref="AC39" si="19">+AB39+AB40+AB41</f>
        <v>23808000</v>
      </c>
      <c r="AF39" s="31"/>
    </row>
    <row r="40" spans="1:32" ht="13.8" thickBot="1" x14ac:dyDescent="0.3">
      <c r="A40" s="121"/>
      <c r="B40" s="32" t="s">
        <v>20</v>
      </c>
      <c r="C40" s="28">
        <v>32000</v>
      </c>
      <c r="D40" s="28">
        <f t="shared" si="18"/>
        <v>32000</v>
      </c>
      <c r="E40" s="28">
        <f t="shared" si="18"/>
        <v>32000</v>
      </c>
      <c r="F40" s="28">
        <f t="shared" si="18"/>
        <v>32000</v>
      </c>
      <c r="G40" s="28">
        <f t="shared" si="18"/>
        <v>32000</v>
      </c>
      <c r="H40" s="28">
        <f t="shared" si="18"/>
        <v>32000</v>
      </c>
      <c r="I40" s="28">
        <f t="shared" si="18"/>
        <v>32000</v>
      </c>
      <c r="J40" s="28">
        <f t="shared" si="18"/>
        <v>32000</v>
      </c>
      <c r="K40" s="28">
        <f t="shared" si="18"/>
        <v>32000</v>
      </c>
      <c r="L40" s="28">
        <f t="shared" si="18"/>
        <v>32000</v>
      </c>
      <c r="M40" s="28">
        <f t="shared" si="18"/>
        <v>32000</v>
      </c>
      <c r="N40" s="28">
        <f t="shared" si="18"/>
        <v>32000</v>
      </c>
      <c r="O40" s="28">
        <f t="shared" si="18"/>
        <v>32000</v>
      </c>
      <c r="P40" s="28">
        <f t="shared" si="18"/>
        <v>32000</v>
      </c>
      <c r="Q40" s="28">
        <f t="shared" si="18"/>
        <v>32000</v>
      </c>
      <c r="R40" s="28">
        <f t="shared" si="18"/>
        <v>32000</v>
      </c>
      <c r="S40" s="28">
        <f t="shared" si="18"/>
        <v>32000</v>
      </c>
      <c r="T40" s="28">
        <f t="shared" si="17"/>
        <v>32000</v>
      </c>
      <c r="U40" s="28">
        <f t="shared" si="17"/>
        <v>32000</v>
      </c>
      <c r="V40" s="28">
        <f t="shared" si="17"/>
        <v>32000</v>
      </c>
      <c r="W40" s="28">
        <f t="shared" si="17"/>
        <v>32000</v>
      </c>
      <c r="X40" s="28">
        <f t="shared" si="17"/>
        <v>32000</v>
      </c>
      <c r="Y40" s="28">
        <f t="shared" si="17"/>
        <v>32000</v>
      </c>
      <c r="Z40" s="28">
        <f t="shared" si="17"/>
        <v>32000</v>
      </c>
      <c r="AA40" s="33">
        <v>4</v>
      </c>
      <c r="AB40" s="30">
        <f t="shared" si="13"/>
        <v>3072000</v>
      </c>
      <c r="AC40" s="123"/>
      <c r="AF40" s="31"/>
    </row>
    <row r="41" spans="1:32" ht="13.8" thickBot="1" x14ac:dyDescent="0.3">
      <c r="A41" s="125"/>
      <c r="B41" s="36" t="s">
        <v>21</v>
      </c>
      <c r="C41" s="28">
        <v>32000</v>
      </c>
      <c r="D41" s="28">
        <f t="shared" si="18"/>
        <v>32000</v>
      </c>
      <c r="E41" s="28">
        <f t="shared" si="18"/>
        <v>32000</v>
      </c>
      <c r="F41" s="28">
        <f t="shared" si="18"/>
        <v>32000</v>
      </c>
      <c r="G41" s="28">
        <f t="shared" si="18"/>
        <v>32000</v>
      </c>
      <c r="H41" s="28">
        <f t="shared" si="18"/>
        <v>32000</v>
      </c>
      <c r="I41" s="28">
        <f t="shared" si="18"/>
        <v>32000</v>
      </c>
      <c r="J41" s="28">
        <f t="shared" si="18"/>
        <v>32000</v>
      </c>
      <c r="K41" s="28">
        <f t="shared" si="18"/>
        <v>32000</v>
      </c>
      <c r="L41" s="28">
        <f t="shared" si="18"/>
        <v>32000</v>
      </c>
      <c r="M41" s="28">
        <f t="shared" si="18"/>
        <v>32000</v>
      </c>
      <c r="N41" s="28">
        <f t="shared" si="18"/>
        <v>32000</v>
      </c>
      <c r="O41" s="28">
        <f t="shared" si="18"/>
        <v>32000</v>
      </c>
      <c r="P41" s="28">
        <f t="shared" si="18"/>
        <v>32000</v>
      </c>
      <c r="Q41" s="28">
        <f t="shared" si="18"/>
        <v>32000</v>
      </c>
      <c r="R41" s="28">
        <f t="shared" si="18"/>
        <v>32000</v>
      </c>
      <c r="S41" s="28">
        <f t="shared" si="18"/>
        <v>32000</v>
      </c>
      <c r="T41" s="28">
        <f t="shared" si="17"/>
        <v>32000</v>
      </c>
      <c r="U41" s="28">
        <f t="shared" si="17"/>
        <v>32000</v>
      </c>
      <c r="V41" s="28">
        <f t="shared" si="17"/>
        <v>32000</v>
      </c>
      <c r="W41" s="28">
        <f t="shared" si="17"/>
        <v>32000</v>
      </c>
      <c r="X41" s="28">
        <f t="shared" si="17"/>
        <v>32000</v>
      </c>
      <c r="Y41" s="28">
        <f t="shared" si="17"/>
        <v>32000</v>
      </c>
      <c r="Z41" s="28">
        <f t="shared" si="17"/>
        <v>32000</v>
      </c>
      <c r="AA41" s="37">
        <v>7</v>
      </c>
      <c r="AB41" s="30">
        <f t="shared" si="13"/>
        <v>5376000</v>
      </c>
      <c r="AC41" s="124"/>
      <c r="AF41" s="31"/>
    </row>
    <row r="42" spans="1:32" ht="13.8" thickBot="1" x14ac:dyDescent="0.3">
      <c r="A42" s="126">
        <v>47484</v>
      </c>
      <c r="B42" s="23" t="s">
        <v>19</v>
      </c>
      <c r="C42" s="28">
        <v>32000</v>
      </c>
      <c r="D42" s="28">
        <f t="shared" si="18"/>
        <v>32000</v>
      </c>
      <c r="E42" s="28">
        <f t="shared" si="18"/>
        <v>32000</v>
      </c>
      <c r="F42" s="28">
        <f t="shared" si="18"/>
        <v>32000</v>
      </c>
      <c r="G42" s="28">
        <f t="shared" si="18"/>
        <v>32000</v>
      </c>
      <c r="H42" s="28">
        <f t="shared" si="18"/>
        <v>32000</v>
      </c>
      <c r="I42" s="28">
        <f t="shared" si="18"/>
        <v>32000</v>
      </c>
      <c r="J42" s="28">
        <f t="shared" si="18"/>
        <v>32000</v>
      </c>
      <c r="K42" s="28">
        <f t="shared" si="18"/>
        <v>32000</v>
      </c>
      <c r="L42" s="28">
        <f t="shared" si="18"/>
        <v>32000</v>
      </c>
      <c r="M42" s="28">
        <f t="shared" si="18"/>
        <v>32000</v>
      </c>
      <c r="N42" s="28">
        <f t="shared" si="18"/>
        <v>32000</v>
      </c>
      <c r="O42" s="28">
        <f t="shared" si="18"/>
        <v>32000</v>
      </c>
      <c r="P42" s="28">
        <f t="shared" si="18"/>
        <v>32000</v>
      </c>
      <c r="Q42" s="28">
        <f t="shared" si="18"/>
        <v>32000</v>
      </c>
      <c r="R42" s="28">
        <f t="shared" si="18"/>
        <v>32000</v>
      </c>
      <c r="S42" s="28">
        <f t="shared" si="18"/>
        <v>32000</v>
      </c>
      <c r="T42" s="28">
        <f t="shared" si="17"/>
        <v>32000</v>
      </c>
      <c r="U42" s="28">
        <f t="shared" si="17"/>
        <v>32000</v>
      </c>
      <c r="V42" s="28">
        <f t="shared" si="17"/>
        <v>32000</v>
      </c>
      <c r="W42" s="28">
        <f t="shared" si="17"/>
        <v>32000</v>
      </c>
      <c r="X42" s="28">
        <f t="shared" si="17"/>
        <v>32000</v>
      </c>
      <c r="Y42" s="28">
        <f t="shared" si="17"/>
        <v>32000</v>
      </c>
      <c r="Z42" s="28">
        <f t="shared" si="17"/>
        <v>32000</v>
      </c>
      <c r="AA42" s="29">
        <v>21</v>
      </c>
      <c r="AB42" s="30">
        <f t="shared" si="13"/>
        <v>16128000</v>
      </c>
      <c r="AC42" s="122">
        <f t="shared" ref="AC42" si="20">+AB42+AB43+AB44</f>
        <v>23808000</v>
      </c>
    </row>
    <row r="43" spans="1:32" ht="13.8" thickBot="1" x14ac:dyDescent="0.3">
      <c r="A43" s="121"/>
      <c r="B43" s="32" t="s">
        <v>20</v>
      </c>
      <c r="C43" s="28">
        <v>32000</v>
      </c>
      <c r="D43" s="28">
        <f t="shared" si="18"/>
        <v>32000</v>
      </c>
      <c r="E43" s="28">
        <f t="shared" si="18"/>
        <v>32000</v>
      </c>
      <c r="F43" s="28">
        <f t="shared" si="18"/>
        <v>32000</v>
      </c>
      <c r="G43" s="28">
        <f t="shared" si="18"/>
        <v>32000</v>
      </c>
      <c r="H43" s="28">
        <f t="shared" si="18"/>
        <v>32000</v>
      </c>
      <c r="I43" s="28">
        <f t="shared" si="18"/>
        <v>32000</v>
      </c>
      <c r="J43" s="28">
        <f t="shared" si="18"/>
        <v>32000</v>
      </c>
      <c r="K43" s="28">
        <f t="shared" si="18"/>
        <v>32000</v>
      </c>
      <c r="L43" s="28">
        <f t="shared" si="18"/>
        <v>32000</v>
      </c>
      <c r="M43" s="28">
        <f t="shared" si="18"/>
        <v>32000</v>
      </c>
      <c r="N43" s="28">
        <f t="shared" si="18"/>
        <v>32000</v>
      </c>
      <c r="O43" s="28">
        <f t="shared" si="18"/>
        <v>32000</v>
      </c>
      <c r="P43" s="28">
        <f t="shared" si="18"/>
        <v>32000</v>
      </c>
      <c r="Q43" s="28">
        <f t="shared" si="18"/>
        <v>32000</v>
      </c>
      <c r="R43" s="28">
        <f t="shared" si="18"/>
        <v>32000</v>
      </c>
      <c r="S43" s="28">
        <f t="shared" si="18"/>
        <v>32000</v>
      </c>
      <c r="T43" s="28">
        <f t="shared" si="17"/>
        <v>32000</v>
      </c>
      <c r="U43" s="28">
        <f t="shared" si="17"/>
        <v>32000</v>
      </c>
      <c r="V43" s="28">
        <f t="shared" si="17"/>
        <v>32000</v>
      </c>
      <c r="W43" s="28">
        <f t="shared" si="17"/>
        <v>32000</v>
      </c>
      <c r="X43" s="28">
        <f t="shared" si="17"/>
        <v>32000</v>
      </c>
      <c r="Y43" s="28">
        <f t="shared" si="17"/>
        <v>32000</v>
      </c>
      <c r="Z43" s="28">
        <f t="shared" si="17"/>
        <v>32000</v>
      </c>
      <c r="AA43" s="33">
        <v>4</v>
      </c>
      <c r="AB43" s="30">
        <f t="shared" si="13"/>
        <v>3072000</v>
      </c>
      <c r="AC43" s="123"/>
    </row>
    <row r="44" spans="1:32" ht="13.8" thickBot="1" x14ac:dyDescent="0.3">
      <c r="A44" s="121"/>
      <c r="B44" s="32" t="s">
        <v>21</v>
      </c>
      <c r="C44" s="28">
        <v>32000</v>
      </c>
      <c r="D44" s="28">
        <f t="shared" si="18"/>
        <v>32000</v>
      </c>
      <c r="E44" s="28">
        <f t="shared" si="18"/>
        <v>32000</v>
      </c>
      <c r="F44" s="28">
        <f t="shared" si="18"/>
        <v>32000</v>
      </c>
      <c r="G44" s="28">
        <f t="shared" si="18"/>
        <v>32000</v>
      </c>
      <c r="H44" s="28">
        <f t="shared" si="18"/>
        <v>32000</v>
      </c>
      <c r="I44" s="28">
        <f t="shared" si="18"/>
        <v>32000</v>
      </c>
      <c r="J44" s="28">
        <f t="shared" si="18"/>
        <v>32000</v>
      </c>
      <c r="K44" s="28">
        <f t="shared" si="18"/>
        <v>32000</v>
      </c>
      <c r="L44" s="28">
        <f t="shared" si="18"/>
        <v>32000</v>
      </c>
      <c r="M44" s="28">
        <f t="shared" si="18"/>
        <v>32000</v>
      </c>
      <c r="N44" s="28">
        <f t="shared" si="18"/>
        <v>32000</v>
      </c>
      <c r="O44" s="28">
        <f t="shared" si="18"/>
        <v>32000</v>
      </c>
      <c r="P44" s="28">
        <f t="shared" si="18"/>
        <v>32000</v>
      </c>
      <c r="Q44" s="28">
        <f t="shared" si="18"/>
        <v>32000</v>
      </c>
      <c r="R44" s="28">
        <f t="shared" si="18"/>
        <v>32000</v>
      </c>
      <c r="S44" s="28">
        <f t="shared" si="18"/>
        <v>32000</v>
      </c>
      <c r="T44" s="28">
        <f t="shared" si="17"/>
        <v>32000</v>
      </c>
      <c r="U44" s="28">
        <f t="shared" si="17"/>
        <v>32000</v>
      </c>
      <c r="V44" s="28">
        <f t="shared" si="17"/>
        <v>32000</v>
      </c>
      <c r="W44" s="28">
        <f t="shared" si="17"/>
        <v>32000</v>
      </c>
      <c r="X44" s="28">
        <f t="shared" si="17"/>
        <v>32000</v>
      </c>
      <c r="Y44" s="28">
        <f t="shared" si="17"/>
        <v>32000</v>
      </c>
      <c r="Z44" s="28">
        <f t="shared" si="17"/>
        <v>32000</v>
      </c>
      <c r="AA44" s="33">
        <v>6</v>
      </c>
      <c r="AB44" s="30">
        <f t="shared" si="13"/>
        <v>4608000</v>
      </c>
      <c r="AC44" s="124"/>
    </row>
    <row r="45" spans="1:32" ht="14.4" thickTop="1" thickBot="1" x14ac:dyDescent="0.3">
      <c r="A45" s="120">
        <v>47515</v>
      </c>
      <c r="B45" s="34" t="s">
        <v>19</v>
      </c>
      <c r="C45" s="28">
        <v>32000</v>
      </c>
      <c r="D45" s="28">
        <f t="shared" si="18"/>
        <v>32000</v>
      </c>
      <c r="E45" s="28">
        <f t="shared" si="18"/>
        <v>32000</v>
      </c>
      <c r="F45" s="28">
        <f t="shared" si="18"/>
        <v>32000</v>
      </c>
      <c r="G45" s="28">
        <f t="shared" si="18"/>
        <v>32000</v>
      </c>
      <c r="H45" s="28">
        <f t="shared" si="18"/>
        <v>32000</v>
      </c>
      <c r="I45" s="28">
        <f t="shared" si="18"/>
        <v>32000</v>
      </c>
      <c r="J45" s="28">
        <f t="shared" si="18"/>
        <v>32000</v>
      </c>
      <c r="K45" s="28">
        <f t="shared" si="18"/>
        <v>32000</v>
      </c>
      <c r="L45" s="28">
        <f t="shared" si="18"/>
        <v>32000</v>
      </c>
      <c r="M45" s="28">
        <f t="shared" si="18"/>
        <v>32000</v>
      </c>
      <c r="N45" s="28">
        <f t="shared" si="18"/>
        <v>32000</v>
      </c>
      <c r="O45" s="28">
        <f t="shared" si="18"/>
        <v>32000</v>
      </c>
      <c r="P45" s="28">
        <f t="shared" si="18"/>
        <v>32000</v>
      </c>
      <c r="Q45" s="28">
        <f t="shared" si="18"/>
        <v>32000</v>
      </c>
      <c r="R45" s="28">
        <f t="shared" si="18"/>
        <v>32000</v>
      </c>
      <c r="S45" s="28">
        <f t="shared" si="18"/>
        <v>32000</v>
      </c>
      <c r="T45" s="28">
        <f t="shared" si="17"/>
        <v>32000</v>
      </c>
      <c r="U45" s="28">
        <f t="shared" si="17"/>
        <v>32000</v>
      </c>
      <c r="V45" s="28">
        <f t="shared" si="17"/>
        <v>32000</v>
      </c>
      <c r="W45" s="28">
        <f t="shared" si="17"/>
        <v>32000</v>
      </c>
      <c r="X45" s="28">
        <f t="shared" si="17"/>
        <v>32000</v>
      </c>
      <c r="Y45" s="28">
        <f t="shared" si="17"/>
        <v>32000</v>
      </c>
      <c r="Z45" s="28">
        <f t="shared" si="17"/>
        <v>32000</v>
      </c>
      <c r="AA45" s="33">
        <v>20</v>
      </c>
      <c r="AB45" s="30">
        <f t="shared" si="13"/>
        <v>15360000</v>
      </c>
      <c r="AC45" s="122">
        <f t="shared" ref="AC45" si="21">+AB45+AB46+AB47</f>
        <v>21504000</v>
      </c>
    </row>
    <row r="46" spans="1:32" ht="13.8" thickBot="1" x14ac:dyDescent="0.3">
      <c r="A46" s="121"/>
      <c r="B46" s="32" t="s">
        <v>20</v>
      </c>
      <c r="C46" s="28">
        <v>32000</v>
      </c>
      <c r="D46" s="28">
        <f t="shared" si="18"/>
        <v>32000</v>
      </c>
      <c r="E46" s="28">
        <f t="shared" si="18"/>
        <v>32000</v>
      </c>
      <c r="F46" s="28">
        <f t="shared" si="18"/>
        <v>32000</v>
      </c>
      <c r="G46" s="28">
        <f t="shared" si="18"/>
        <v>32000</v>
      </c>
      <c r="H46" s="28">
        <f t="shared" si="18"/>
        <v>32000</v>
      </c>
      <c r="I46" s="28">
        <f t="shared" si="18"/>
        <v>32000</v>
      </c>
      <c r="J46" s="28">
        <f t="shared" si="18"/>
        <v>32000</v>
      </c>
      <c r="K46" s="28">
        <f t="shared" si="18"/>
        <v>32000</v>
      </c>
      <c r="L46" s="28">
        <f t="shared" si="18"/>
        <v>32000</v>
      </c>
      <c r="M46" s="28">
        <f t="shared" si="18"/>
        <v>32000</v>
      </c>
      <c r="N46" s="28">
        <f t="shared" si="18"/>
        <v>32000</v>
      </c>
      <c r="O46" s="28">
        <f t="shared" si="18"/>
        <v>32000</v>
      </c>
      <c r="P46" s="28">
        <f t="shared" si="18"/>
        <v>32000</v>
      </c>
      <c r="Q46" s="28">
        <f t="shared" si="18"/>
        <v>32000</v>
      </c>
      <c r="R46" s="28">
        <f t="shared" si="18"/>
        <v>32000</v>
      </c>
      <c r="S46" s="28">
        <f t="shared" si="18"/>
        <v>32000</v>
      </c>
      <c r="T46" s="28">
        <f t="shared" si="17"/>
        <v>32000</v>
      </c>
      <c r="U46" s="28">
        <f t="shared" si="17"/>
        <v>32000</v>
      </c>
      <c r="V46" s="28">
        <f t="shared" si="17"/>
        <v>32000</v>
      </c>
      <c r="W46" s="28">
        <f t="shared" si="17"/>
        <v>32000</v>
      </c>
      <c r="X46" s="28">
        <f t="shared" si="17"/>
        <v>32000</v>
      </c>
      <c r="Y46" s="28">
        <f t="shared" si="17"/>
        <v>32000</v>
      </c>
      <c r="Z46" s="28">
        <f t="shared" si="17"/>
        <v>32000</v>
      </c>
      <c r="AA46" s="33">
        <v>4</v>
      </c>
      <c r="AB46" s="30">
        <f t="shared" si="13"/>
        <v>3072000</v>
      </c>
      <c r="AC46" s="123"/>
    </row>
    <row r="47" spans="1:32" ht="13.8" thickBot="1" x14ac:dyDescent="0.3">
      <c r="A47" s="121"/>
      <c r="B47" s="32" t="s">
        <v>21</v>
      </c>
      <c r="C47" s="28">
        <v>32000</v>
      </c>
      <c r="D47" s="28">
        <f t="shared" si="18"/>
        <v>32000</v>
      </c>
      <c r="E47" s="28">
        <f t="shared" si="18"/>
        <v>32000</v>
      </c>
      <c r="F47" s="28">
        <f t="shared" si="18"/>
        <v>32000</v>
      </c>
      <c r="G47" s="28">
        <f t="shared" si="18"/>
        <v>32000</v>
      </c>
      <c r="H47" s="28">
        <f t="shared" si="18"/>
        <v>32000</v>
      </c>
      <c r="I47" s="28">
        <f t="shared" si="18"/>
        <v>32000</v>
      </c>
      <c r="J47" s="28">
        <f t="shared" si="18"/>
        <v>32000</v>
      </c>
      <c r="K47" s="28">
        <f t="shared" si="18"/>
        <v>32000</v>
      </c>
      <c r="L47" s="28">
        <f t="shared" si="18"/>
        <v>32000</v>
      </c>
      <c r="M47" s="28">
        <f t="shared" si="18"/>
        <v>32000</v>
      </c>
      <c r="N47" s="28">
        <f t="shared" si="18"/>
        <v>32000</v>
      </c>
      <c r="O47" s="28">
        <f t="shared" si="18"/>
        <v>32000</v>
      </c>
      <c r="P47" s="28">
        <f t="shared" si="18"/>
        <v>32000</v>
      </c>
      <c r="Q47" s="28">
        <f t="shared" si="18"/>
        <v>32000</v>
      </c>
      <c r="R47" s="28">
        <f t="shared" si="18"/>
        <v>32000</v>
      </c>
      <c r="S47" s="28">
        <f t="shared" si="18"/>
        <v>32000</v>
      </c>
      <c r="T47" s="28">
        <f t="shared" si="17"/>
        <v>32000</v>
      </c>
      <c r="U47" s="28">
        <f t="shared" si="17"/>
        <v>32000</v>
      </c>
      <c r="V47" s="28">
        <f t="shared" si="17"/>
        <v>32000</v>
      </c>
      <c r="W47" s="28">
        <f t="shared" si="17"/>
        <v>32000</v>
      </c>
      <c r="X47" s="28">
        <f t="shared" si="17"/>
        <v>32000</v>
      </c>
      <c r="Y47" s="28">
        <f t="shared" si="17"/>
        <v>32000</v>
      </c>
      <c r="Z47" s="28">
        <f t="shared" si="17"/>
        <v>32000</v>
      </c>
      <c r="AA47" s="33">
        <v>4</v>
      </c>
      <c r="AB47" s="30">
        <f t="shared" si="13"/>
        <v>3072000</v>
      </c>
      <c r="AC47" s="124"/>
    </row>
    <row r="48" spans="1:32" ht="14.4" thickTop="1" thickBot="1" x14ac:dyDescent="0.3">
      <c r="A48" s="120">
        <v>47543</v>
      </c>
      <c r="B48" s="34" t="s">
        <v>19</v>
      </c>
      <c r="C48" s="28">
        <v>32000</v>
      </c>
      <c r="D48" s="28">
        <f t="shared" si="18"/>
        <v>32000</v>
      </c>
      <c r="E48" s="28">
        <f t="shared" si="18"/>
        <v>32000</v>
      </c>
      <c r="F48" s="28">
        <f t="shared" si="18"/>
        <v>32000</v>
      </c>
      <c r="G48" s="28">
        <f t="shared" si="18"/>
        <v>32000</v>
      </c>
      <c r="H48" s="28">
        <f t="shared" si="18"/>
        <v>32000</v>
      </c>
      <c r="I48" s="28">
        <f t="shared" si="18"/>
        <v>32000</v>
      </c>
      <c r="J48" s="28">
        <f t="shared" si="18"/>
        <v>32000</v>
      </c>
      <c r="K48" s="28">
        <f t="shared" si="18"/>
        <v>32000</v>
      </c>
      <c r="L48" s="28">
        <f t="shared" si="18"/>
        <v>32000</v>
      </c>
      <c r="M48" s="28">
        <f t="shared" si="18"/>
        <v>32000</v>
      </c>
      <c r="N48" s="28">
        <f t="shared" si="18"/>
        <v>32000</v>
      </c>
      <c r="O48" s="28">
        <f t="shared" si="18"/>
        <v>32000</v>
      </c>
      <c r="P48" s="28">
        <f t="shared" si="18"/>
        <v>32000</v>
      </c>
      <c r="Q48" s="28">
        <f t="shared" si="18"/>
        <v>32000</v>
      </c>
      <c r="R48" s="28">
        <f t="shared" si="18"/>
        <v>32000</v>
      </c>
      <c r="S48" s="28">
        <f t="shared" si="18"/>
        <v>32000</v>
      </c>
      <c r="T48" s="28">
        <f t="shared" si="17"/>
        <v>32000</v>
      </c>
      <c r="U48" s="28">
        <f t="shared" si="17"/>
        <v>32000</v>
      </c>
      <c r="V48" s="28">
        <f t="shared" si="17"/>
        <v>32000</v>
      </c>
      <c r="W48" s="28">
        <f t="shared" si="17"/>
        <v>32000</v>
      </c>
      <c r="X48" s="28">
        <f t="shared" si="17"/>
        <v>32000</v>
      </c>
      <c r="Y48" s="28">
        <f t="shared" si="17"/>
        <v>32000</v>
      </c>
      <c r="Z48" s="28">
        <f t="shared" si="17"/>
        <v>32000</v>
      </c>
      <c r="AA48" s="33">
        <v>20</v>
      </c>
      <c r="AB48" s="30">
        <f t="shared" si="13"/>
        <v>15360000</v>
      </c>
      <c r="AC48" s="122">
        <f t="shared" ref="AC48" si="22">+AB48+AB49+AB50</f>
        <v>23808000</v>
      </c>
    </row>
    <row r="49" spans="1:29" ht="13.8" thickBot="1" x14ac:dyDescent="0.3">
      <c r="A49" s="121"/>
      <c r="B49" s="32" t="s">
        <v>20</v>
      </c>
      <c r="C49" s="28">
        <v>32000</v>
      </c>
      <c r="D49" s="28">
        <f t="shared" si="18"/>
        <v>32000</v>
      </c>
      <c r="E49" s="28">
        <f t="shared" si="18"/>
        <v>32000</v>
      </c>
      <c r="F49" s="28">
        <f t="shared" si="18"/>
        <v>32000</v>
      </c>
      <c r="G49" s="28">
        <f t="shared" si="18"/>
        <v>32000</v>
      </c>
      <c r="H49" s="28">
        <f t="shared" si="18"/>
        <v>32000</v>
      </c>
      <c r="I49" s="28">
        <f t="shared" si="18"/>
        <v>32000</v>
      </c>
      <c r="J49" s="28">
        <f t="shared" si="18"/>
        <v>32000</v>
      </c>
      <c r="K49" s="28">
        <f t="shared" si="18"/>
        <v>32000</v>
      </c>
      <c r="L49" s="28">
        <f t="shared" si="18"/>
        <v>32000</v>
      </c>
      <c r="M49" s="28">
        <f t="shared" si="18"/>
        <v>32000</v>
      </c>
      <c r="N49" s="28">
        <f t="shared" si="18"/>
        <v>32000</v>
      </c>
      <c r="O49" s="28">
        <f t="shared" si="18"/>
        <v>32000</v>
      </c>
      <c r="P49" s="28">
        <f t="shared" si="18"/>
        <v>32000</v>
      </c>
      <c r="Q49" s="28">
        <f t="shared" si="18"/>
        <v>32000</v>
      </c>
      <c r="R49" s="28">
        <f t="shared" si="18"/>
        <v>32000</v>
      </c>
      <c r="S49" s="28">
        <f t="shared" si="18"/>
        <v>32000</v>
      </c>
      <c r="T49" s="28">
        <f t="shared" si="17"/>
        <v>32000</v>
      </c>
      <c r="U49" s="28">
        <f t="shared" si="17"/>
        <v>32000</v>
      </c>
      <c r="V49" s="28">
        <f t="shared" si="17"/>
        <v>32000</v>
      </c>
      <c r="W49" s="28">
        <f t="shared" si="17"/>
        <v>32000</v>
      </c>
      <c r="X49" s="28">
        <f t="shared" si="17"/>
        <v>32000</v>
      </c>
      <c r="Y49" s="28">
        <f t="shared" si="17"/>
        <v>32000</v>
      </c>
      <c r="Z49" s="28">
        <f t="shared" si="17"/>
        <v>32000</v>
      </c>
      <c r="AA49" s="33">
        <v>5</v>
      </c>
      <c r="AB49" s="30">
        <f t="shared" si="13"/>
        <v>3840000</v>
      </c>
      <c r="AC49" s="123"/>
    </row>
    <row r="50" spans="1:29" ht="13.8" thickBot="1" x14ac:dyDescent="0.3">
      <c r="A50" s="121"/>
      <c r="B50" s="32" t="s">
        <v>21</v>
      </c>
      <c r="C50" s="28">
        <v>32000</v>
      </c>
      <c r="D50" s="28">
        <f t="shared" si="18"/>
        <v>32000</v>
      </c>
      <c r="E50" s="28">
        <f t="shared" si="18"/>
        <v>32000</v>
      </c>
      <c r="F50" s="28">
        <f t="shared" si="18"/>
        <v>32000</v>
      </c>
      <c r="G50" s="28">
        <f t="shared" si="18"/>
        <v>32000</v>
      </c>
      <c r="H50" s="28">
        <f t="shared" si="18"/>
        <v>32000</v>
      </c>
      <c r="I50" s="28">
        <f t="shared" si="18"/>
        <v>32000</v>
      </c>
      <c r="J50" s="28">
        <f t="shared" si="18"/>
        <v>32000</v>
      </c>
      <c r="K50" s="28">
        <f t="shared" si="18"/>
        <v>32000</v>
      </c>
      <c r="L50" s="28">
        <f t="shared" si="18"/>
        <v>32000</v>
      </c>
      <c r="M50" s="28">
        <f t="shared" si="18"/>
        <v>32000</v>
      </c>
      <c r="N50" s="28">
        <f t="shared" si="18"/>
        <v>32000</v>
      </c>
      <c r="O50" s="28">
        <f t="shared" si="18"/>
        <v>32000</v>
      </c>
      <c r="P50" s="28">
        <f t="shared" si="18"/>
        <v>32000</v>
      </c>
      <c r="Q50" s="28">
        <f t="shared" si="18"/>
        <v>32000</v>
      </c>
      <c r="R50" s="28">
        <f t="shared" si="18"/>
        <v>32000</v>
      </c>
      <c r="S50" s="28">
        <f t="shared" si="18"/>
        <v>32000</v>
      </c>
      <c r="T50" s="28">
        <f t="shared" si="17"/>
        <v>32000</v>
      </c>
      <c r="U50" s="28">
        <f t="shared" si="17"/>
        <v>32000</v>
      </c>
      <c r="V50" s="28">
        <f t="shared" si="17"/>
        <v>32000</v>
      </c>
      <c r="W50" s="28">
        <f t="shared" si="17"/>
        <v>32000</v>
      </c>
      <c r="X50" s="28">
        <f t="shared" si="17"/>
        <v>32000</v>
      </c>
      <c r="Y50" s="28">
        <f t="shared" si="17"/>
        <v>32000</v>
      </c>
      <c r="Z50" s="28">
        <f t="shared" si="17"/>
        <v>32000</v>
      </c>
      <c r="AA50" s="33">
        <v>6</v>
      </c>
      <c r="AB50" s="30">
        <f t="shared" si="13"/>
        <v>4608000</v>
      </c>
      <c r="AC50" s="124"/>
    </row>
    <row r="51" spans="1:29" ht="14.4" thickTop="1" thickBot="1" x14ac:dyDescent="0.3">
      <c r="A51" s="120">
        <v>47574</v>
      </c>
      <c r="B51" s="35" t="s">
        <v>19</v>
      </c>
      <c r="C51" s="28">
        <v>32000</v>
      </c>
      <c r="D51" s="28">
        <f t="shared" si="18"/>
        <v>32000</v>
      </c>
      <c r="E51" s="28">
        <f t="shared" si="18"/>
        <v>32000</v>
      </c>
      <c r="F51" s="28">
        <f t="shared" si="18"/>
        <v>32000</v>
      </c>
      <c r="G51" s="28">
        <f t="shared" si="18"/>
        <v>32000</v>
      </c>
      <c r="H51" s="28">
        <f t="shared" si="18"/>
        <v>32000</v>
      </c>
      <c r="I51" s="28">
        <f t="shared" si="18"/>
        <v>32000</v>
      </c>
      <c r="J51" s="28">
        <f t="shared" si="18"/>
        <v>32000</v>
      </c>
      <c r="K51" s="28">
        <f t="shared" si="18"/>
        <v>32000</v>
      </c>
      <c r="L51" s="28">
        <f t="shared" si="18"/>
        <v>32000</v>
      </c>
      <c r="M51" s="28">
        <f t="shared" si="18"/>
        <v>32000</v>
      </c>
      <c r="N51" s="28">
        <f t="shared" si="18"/>
        <v>32000</v>
      </c>
      <c r="O51" s="28">
        <f t="shared" si="18"/>
        <v>32000</v>
      </c>
      <c r="P51" s="28">
        <f t="shared" si="18"/>
        <v>32000</v>
      </c>
      <c r="Q51" s="28">
        <f t="shared" si="18"/>
        <v>32000</v>
      </c>
      <c r="R51" s="28">
        <f t="shared" si="18"/>
        <v>32000</v>
      </c>
      <c r="S51" s="28">
        <f t="shared" si="18"/>
        <v>32000</v>
      </c>
      <c r="T51" s="28">
        <f t="shared" si="17"/>
        <v>32000</v>
      </c>
      <c r="U51" s="28">
        <f t="shared" si="17"/>
        <v>32000</v>
      </c>
      <c r="V51" s="28">
        <f t="shared" si="17"/>
        <v>32000</v>
      </c>
      <c r="W51" s="28">
        <f t="shared" si="17"/>
        <v>32000</v>
      </c>
      <c r="X51" s="28">
        <f t="shared" si="17"/>
        <v>32000</v>
      </c>
      <c r="Y51" s="28">
        <f t="shared" si="17"/>
        <v>32000</v>
      </c>
      <c r="Z51" s="28">
        <f t="shared" si="17"/>
        <v>32000</v>
      </c>
      <c r="AA51" s="33">
        <v>20</v>
      </c>
      <c r="AB51" s="30">
        <f t="shared" si="13"/>
        <v>15360000</v>
      </c>
      <c r="AC51" s="122">
        <f t="shared" ref="AC51" si="23">+AB51+AB52+AB53</f>
        <v>23040000</v>
      </c>
    </row>
    <row r="52" spans="1:29" ht="13.8" thickBot="1" x14ac:dyDescent="0.3">
      <c r="A52" s="121"/>
      <c r="B52" s="32" t="s">
        <v>20</v>
      </c>
      <c r="C52" s="28">
        <v>32000</v>
      </c>
      <c r="D52" s="28">
        <f t="shared" si="18"/>
        <v>32000</v>
      </c>
      <c r="E52" s="28">
        <f t="shared" si="18"/>
        <v>32000</v>
      </c>
      <c r="F52" s="28">
        <f t="shared" si="18"/>
        <v>32000</v>
      </c>
      <c r="G52" s="28">
        <f t="shared" si="18"/>
        <v>32000</v>
      </c>
      <c r="H52" s="28">
        <f t="shared" si="18"/>
        <v>32000</v>
      </c>
      <c r="I52" s="28">
        <f t="shared" si="18"/>
        <v>32000</v>
      </c>
      <c r="J52" s="28">
        <f t="shared" si="18"/>
        <v>32000</v>
      </c>
      <c r="K52" s="28">
        <f t="shared" si="18"/>
        <v>32000</v>
      </c>
      <c r="L52" s="28">
        <f t="shared" si="18"/>
        <v>32000</v>
      </c>
      <c r="M52" s="28">
        <f t="shared" si="18"/>
        <v>32000</v>
      </c>
      <c r="N52" s="28">
        <f t="shared" si="18"/>
        <v>32000</v>
      </c>
      <c r="O52" s="28">
        <f t="shared" si="18"/>
        <v>32000</v>
      </c>
      <c r="P52" s="28">
        <f t="shared" si="18"/>
        <v>32000</v>
      </c>
      <c r="Q52" s="28">
        <f t="shared" si="18"/>
        <v>32000</v>
      </c>
      <c r="R52" s="28">
        <f t="shared" si="18"/>
        <v>32000</v>
      </c>
      <c r="S52" s="28">
        <f t="shared" si="18"/>
        <v>32000</v>
      </c>
      <c r="T52" s="28">
        <f t="shared" si="17"/>
        <v>32000</v>
      </c>
      <c r="U52" s="28">
        <f t="shared" si="17"/>
        <v>32000</v>
      </c>
      <c r="V52" s="28">
        <f t="shared" si="17"/>
        <v>32000</v>
      </c>
      <c r="W52" s="28">
        <f t="shared" si="17"/>
        <v>32000</v>
      </c>
      <c r="X52" s="28">
        <f t="shared" si="17"/>
        <v>32000</v>
      </c>
      <c r="Y52" s="28">
        <f t="shared" si="17"/>
        <v>32000</v>
      </c>
      <c r="Z52" s="28">
        <f t="shared" si="17"/>
        <v>32000</v>
      </c>
      <c r="AA52" s="33">
        <v>4</v>
      </c>
      <c r="AB52" s="30">
        <f t="shared" si="13"/>
        <v>3072000</v>
      </c>
      <c r="AC52" s="123"/>
    </row>
    <row r="53" spans="1:29" ht="13.8" thickBot="1" x14ac:dyDescent="0.3">
      <c r="A53" s="121"/>
      <c r="B53" s="32" t="s">
        <v>21</v>
      </c>
      <c r="C53" s="28">
        <v>32000</v>
      </c>
      <c r="D53" s="28">
        <f t="shared" si="18"/>
        <v>32000</v>
      </c>
      <c r="E53" s="28">
        <f t="shared" si="18"/>
        <v>32000</v>
      </c>
      <c r="F53" s="28">
        <f t="shared" si="18"/>
        <v>32000</v>
      </c>
      <c r="G53" s="28">
        <f t="shared" si="18"/>
        <v>32000</v>
      </c>
      <c r="H53" s="28">
        <f t="shared" si="18"/>
        <v>32000</v>
      </c>
      <c r="I53" s="28">
        <f t="shared" si="18"/>
        <v>32000</v>
      </c>
      <c r="J53" s="28">
        <f t="shared" si="18"/>
        <v>32000</v>
      </c>
      <c r="K53" s="28">
        <f t="shared" si="18"/>
        <v>32000</v>
      </c>
      <c r="L53" s="28">
        <f t="shared" si="18"/>
        <v>32000</v>
      </c>
      <c r="M53" s="28">
        <f t="shared" si="18"/>
        <v>32000</v>
      </c>
      <c r="N53" s="28">
        <f t="shared" si="18"/>
        <v>32000</v>
      </c>
      <c r="O53" s="28">
        <f t="shared" si="18"/>
        <v>32000</v>
      </c>
      <c r="P53" s="28">
        <f t="shared" si="18"/>
        <v>32000</v>
      </c>
      <c r="Q53" s="28">
        <f t="shared" si="18"/>
        <v>32000</v>
      </c>
      <c r="R53" s="28">
        <f t="shared" si="18"/>
        <v>32000</v>
      </c>
      <c r="S53" s="28">
        <f t="shared" ref="S53:Z68" si="24">+R53</f>
        <v>32000</v>
      </c>
      <c r="T53" s="28">
        <f t="shared" si="24"/>
        <v>32000</v>
      </c>
      <c r="U53" s="28">
        <f t="shared" si="24"/>
        <v>32000</v>
      </c>
      <c r="V53" s="28">
        <f t="shared" si="24"/>
        <v>32000</v>
      </c>
      <c r="W53" s="28">
        <f t="shared" si="24"/>
        <v>32000</v>
      </c>
      <c r="X53" s="28">
        <f t="shared" si="24"/>
        <v>32000</v>
      </c>
      <c r="Y53" s="28">
        <f t="shared" si="24"/>
        <v>32000</v>
      </c>
      <c r="Z53" s="28">
        <f t="shared" si="24"/>
        <v>32000</v>
      </c>
      <c r="AA53" s="33">
        <v>6</v>
      </c>
      <c r="AB53" s="30">
        <f t="shared" si="13"/>
        <v>4608000</v>
      </c>
      <c r="AC53" s="124"/>
    </row>
    <row r="54" spans="1:29" ht="14.4" thickTop="1" thickBot="1" x14ac:dyDescent="0.3">
      <c r="A54" s="120">
        <v>47604</v>
      </c>
      <c r="B54" s="34" t="s">
        <v>19</v>
      </c>
      <c r="C54" s="28">
        <v>32000</v>
      </c>
      <c r="D54" s="28">
        <f t="shared" ref="D54:S69" si="25">+C54</f>
        <v>32000</v>
      </c>
      <c r="E54" s="28">
        <f t="shared" si="25"/>
        <v>32000</v>
      </c>
      <c r="F54" s="28">
        <f t="shared" si="25"/>
        <v>32000</v>
      </c>
      <c r="G54" s="28">
        <f t="shared" si="25"/>
        <v>32000</v>
      </c>
      <c r="H54" s="28">
        <f t="shared" si="25"/>
        <v>32000</v>
      </c>
      <c r="I54" s="28">
        <f t="shared" si="25"/>
        <v>32000</v>
      </c>
      <c r="J54" s="28">
        <f t="shared" si="25"/>
        <v>32000</v>
      </c>
      <c r="K54" s="28">
        <f t="shared" si="25"/>
        <v>32000</v>
      </c>
      <c r="L54" s="28">
        <f t="shared" si="25"/>
        <v>32000</v>
      </c>
      <c r="M54" s="28">
        <f t="shared" si="25"/>
        <v>32000</v>
      </c>
      <c r="N54" s="28">
        <f t="shared" si="25"/>
        <v>32000</v>
      </c>
      <c r="O54" s="28">
        <f t="shared" si="25"/>
        <v>32000</v>
      </c>
      <c r="P54" s="28">
        <f t="shared" si="25"/>
        <v>32000</v>
      </c>
      <c r="Q54" s="28">
        <f t="shared" si="25"/>
        <v>32000</v>
      </c>
      <c r="R54" s="28">
        <f t="shared" si="25"/>
        <v>32000</v>
      </c>
      <c r="S54" s="28">
        <f t="shared" si="25"/>
        <v>32000</v>
      </c>
      <c r="T54" s="28">
        <f t="shared" si="24"/>
        <v>32000</v>
      </c>
      <c r="U54" s="28">
        <f t="shared" si="24"/>
        <v>32000</v>
      </c>
      <c r="V54" s="28">
        <f t="shared" si="24"/>
        <v>32000</v>
      </c>
      <c r="W54" s="28">
        <f t="shared" si="24"/>
        <v>32000</v>
      </c>
      <c r="X54" s="28">
        <f t="shared" si="24"/>
        <v>32000</v>
      </c>
      <c r="Y54" s="28">
        <f t="shared" si="24"/>
        <v>32000</v>
      </c>
      <c r="Z54" s="28">
        <f t="shared" si="24"/>
        <v>32000</v>
      </c>
      <c r="AA54" s="33">
        <v>22</v>
      </c>
      <c r="AB54" s="30">
        <f t="shared" si="13"/>
        <v>16896000</v>
      </c>
      <c r="AC54" s="122">
        <f t="shared" ref="AC54" si="26">+AB54+AB55+AB56</f>
        <v>23808000</v>
      </c>
    </row>
    <row r="55" spans="1:29" ht="13.8" thickBot="1" x14ac:dyDescent="0.3">
      <c r="A55" s="121"/>
      <c r="B55" s="32" t="s">
        <v>20</v>
      </c>
      <c r="C55" s="28">
        <v>32000</v>
      </c>
      <c r="D55" s="28">
        <f t="shared" si="25"/>
        <v>32000</v>
      </c>
      <c r="E55" s="28">
        <f t="shared" si="25"/>
        <v>32000</v>
      </c>
      <c r="F55" s="28">
        <f t="shared" si="25"/>
        <v>32000</v>
      </c>
      <c r="G55" s="28">
        <f t="shared" si="25"/>
        <v>32000</v>
      </c>
      <c r="H55" s="28">
        <f t="shared" si="25"/>
        <v>32000</v>
      </c>
      <c r="I55" s="28">
        <f t="shared" si="25"/>
        <v>32000</v>
      </c>
      <c r="J55" s="28">
        <f t="shared" si="25"/>
        <v>32000</v>
      </c>
      <c r="K55" s="28">
        <f t="shared" si="25"/>
        <v>32000</v>
      </c>
      <c r="L55" s="28">
        <f t="shared" si="25"/>
        <v>32000</v>
      </c>
      <c r="M55" s="28">
        <f t="shared" si="25"/>
        <v>32000</v>
      </c>
      <c r="N55" s="28">
        <f t="shared" si="25"/>
        <v>32000</v>
      </c>
      <c r="O55" s="28">
        <f t="shared" si="25"/>
        <v>32000</v>
      </c>
      <c r="P55" s="28">
        <f t="shared" si="25"/>
        <v>32000</v>
      </c>
      <c r="Q55" s="28">
        <f t="shared" si="25"/>
        <v>32000</v>
      </c>
      <c r="R55" s="28">
        <f t="shared" si="25"/>
        <v>32000</v>
      </c>
      <c r="S55" s="28">
        <f t="shared" si="25"/>
        <v>32000</v>
      </c>
      <c r="T55" s="28">
        <f t="shared" si="24"/>
        <v>32000</v>
      </c>
      <c r="U55" s="28">
        <f t="shared" si="24"/>
        <v>32000</v>
      </c>
      <c r="V55" s="28">
        <f t="shared" si="24"/>
        <v>32000</v>
      </c>
      <c r="W55" s="28">
        <f t="shared" si="24"/>
        <v>32000</v>
      </c>
      <c r="X55" s="28">
        <f t="shared" si="24"/>
        <v>32000</v>
      </c>
      <c r="Y55" s="28">
        <f t="shared" si="24"/>
        <v>32000</v>
      </c>
      <c r="Z55" s="28">
        <f t="shared" si="24"/>
        <v>32000</v>
      </c>
      <c r="AA55" s="33">
        <v>4</v>
      </c>
      <c r="AB55" s="30">
        <f t="shared" si="13"/>
        <v>3072000</v>
      </c>
      <c r="AC55" s="123"/>
    </row>
    <row r="56" spans="1:29" ht="13.8" thickBot="1" x14ac:dyDescent="0.3">
      <c r="A56" s="121"/>
      <c r="B56" s="32" t="s">
        <v>21</v>
      </c>
      <c r="C56" s="28">
        <v>32000</v>
      </c>
      <c r="D56" s="28">
        <f t="shared" si="25"/>
        <v>32000</v>
      </c>
      <c r="E56" s="28">
        <f t="shared" si="25"/>
        <v>32000</v>
      </c>
      <c r="F56" s="28">
        <f t="shared" si="25"/>
        <v>32000</v>
      </c>
      <c r="G56" s="28">
        <f t="shared" si="25"/>
        <v>32000</v>
      </c>
      <c r="H56" s="28">
        <f t="shared" si="25"/>
        <v>32000</v>
      </c>
      <c r="I56" s="28">
        <f t="shared" si="25"/>
        <v>32000</v>
      </c>
      <c r="J56" s="28">
        <f t="shared" si="25"/>
        <v>32000</v>
      </c>
      <c r="K56" s="28">
        <f t="shared" si="25"/>
        <v>32000</v>
      </c>
      <c r="L56" s="28">
        <f t="shared" si="25"/>
        <v>32000</v>
      </c>
      <c r="M56" s="28">
        <f t="shared" si="25"/>
        <v>32000</v>
      </c>
      <c r="N56" s="28">
        <f t="shared" si="25"/>
        <v>32000</v>
      </c>
      <c r="O56" s="28">
        <f t="shared" si="25"/>
        <v>32000</v>
      </c>
      <c r="P56" s="28">
        <f t="shared" si="25"/>
        <v>32000</v>
      </c>
      <c r="Q56" s="28">
        <f t="shared" si="25"/>
        <v>32000</v>
      </c>
      <c r="R56" s="28">
        <f t="shared" si="25"/>
        <v>32000</v>
      </c>
      <c r="S56" s="28">
        <f t="shared" si="25"/>
        <v>32000</v>
      </c>
      <c r="T56" s="28">
        <f t="shared" si="24"/>
        <v>32000</v>
      </c>
      <c r="U56" s="28">
        <f t="shared" si="24"/>
        <v>32000</v>
      </c>
      <c r="V56" s="28">
        <f t="shared" si="24"/>
        <v>32000</v>
      </c>
      <c r="W56" s="28">
        <f t="shared" si="24"/>
        <v>32000</v>
      </c>
      <c r="X56" s="28">
        <f t="shared" si="24"/>
        <v>32000</v>
      </c>
      <c r="Y56" s="28">
        <f t="shared" si="24"/>
        <v>32000</v>
      </c>
      <c r="Z56" s="28">
        <f t="shared" si="24"/>
        <v>32000</v>
      </c>
      <c r="AA56" s="33">
        <v>5</v>
      </c>
      <c r="AB56" s="30">
        <f t="shared" si="13"/>
        <v>3840000</v>
      </c>
      <c r="AC56" s="124"/>
    </row>
    <row r="57" spans="1:29" ht="14.4" thickTop="1" thickBot="1" x14ac:dyDescent="0.3">
      <c r="A57" s="120">
        <v>47635</v>
      </c>
      <c r="B57" s="35" t="s">
        <v>19</v>
      </c>
      <c r="C57" s="28">
        <v>32000</v>
      </c>
      <c r="D57" s="28">
        <f t="shared" si="25"/>
        <v>32000</v>
      </c>
      <c r="E57" s="28">
        <f t="shared" si="25"/>
        <v>32000</v>
      </c>
      <c r="F57" s="28">
        <f t="shared" si="25"/>
        <v>32000</v>
      </c>
      <c r="G57" s="28">
        <f t="shared" si="25"/>
        <v>32000</v>
      </c>
      <c r="H57" s="28">
        <f t="shared" si="25"/>
        <v>32000</v>
      </c>
      <c r="I57" s="28">
        <f t="shared" si="25"/>
        <v>32000</v>
      </c>
      <c r="J57" s="28">
        <f t="shared" si="25"/>
        <v>32000</v>
      </c>
      <c r="K57" s="28">
        <f t="shared" si="25"/>
        <v>32000</v>
      </c>
      <c r="L57" s="28">
        <f t="shared" si="25"/>
        <v>32000</v>
      </c>
      <c r="M57" s="28">
        <f t="shared" si="25"/>
        <v>32000</v>
      </c>
      <c r="N57" s="28">
        <f t="shared" si="25"/>
        <v>32000</v>
      </c>
      <c r="O57" s="28">
        <f t="shared" si="25"/>
        <v>32000</v>
      </c>
      <c r="P57" s="28">
        <f t="shared" si="25"/>
        <v>32000</v>
      </c>
      <c r="Q57" s="28">
        <f t="shared" si="25"/>
        <v>32000</v>
      </c>
      <c r="R57" s="28">
        <f t="shared" si="25"/>
        <v>32000</v>
      </c>
      <c r="S57" s="28">
        <f t="shared" si="25"/>
        <v>32000</v>
      </c>
      <c r="T57" s="28">
        <f t="shared" si="24"/>
        <v>32000</v>
      </c>
      <c r="U57" s="28">
        <f t="shared" si="24"/>
        <v>32000</v>
      </c>
      <c r="V57" s="28">
        <f t="shared" si="24"/>
        <v>32000</v>
      </c>
      <c r="W57" s="28">
        <f t="shared" si="24"/>
        <v>32000</v>
      </c>
      <c r="X57" s="28">
        <f t="shared" si="24"/>
        <v>32000</v>
      </c>
      <c r="Y57" s="28">
        <f t="shared" si="24"/>
        <v>32000</v>
      </c>
      <c r="Z57" s="28">
        <f t="shared" si="24"/>
        <v>32000</v>
      </c>
      <c r="AA57" s="33">
        <v>18</v>
      </c>
      <c r="AB57" s="30">
        <f t="shared" si="13"/>
        <v>13824000</v>
      </c>
      <c r="AC57" s="122">
        <f t="shared" ref="AC57" si="27">+AB57+AB58+AB59</f>
        <v>23040000</v>
      </c>
    </row>
    <row r="58" spans="1:29" ht="13.8" thickBot="1" x14ac:dyDescent="0.3">
      <c r="A58" s="121"/>
      <c r="B58" s="32" t="s">
        <v>20</v>
      </c>
      <c r="C58" s="28">
        <v>32000</v>
      </c>
      <c r="D58" s="28">
        <f t="shared" si="25"/>
        <v>32000</v>
      </c>
      <c r="E58" s="28">
        <f t="shared" si="25"/>
        <v>32000</v>
      </c>
      <c r="F58" s="28">
        <f t="shared" si="25"/>
        <v>32000</v>
      </c>
      <c r="G58" s="28">
        <f t="shared" si="25"/>
        <v>32000</v>
      </c>
      <c r="H58" s="28">
        <f t="shared" si="25"/>
        <v>32000</v>
      </c>
      <c r="I58" s="28">
        <f t="shared" si="25"/>
        <v>32000</v>
      </c>
      <c r="J58" s="28">
        <f t="shared" si="25"/>
        <v>32000</v>
      </c>
      <c r="K58" s="28">
        <f t="shared" si="25"/>
        <v>32000</v>
      </c>
      <c r="L58" s="28">
        <f t="shared" si="25"/>
        <v>32000</v>
      </c>
      <c r="M58" s="28">
        <f t="shared" si="25"/>
        <v>32000</v>
      </c>
      <c r="N58" s="28">
        <f t="shared" si="25"/>
        <v>32000</v>
      </c>
      <c r="O58" s="28">
        <f t="shared" si="25"/>
        <v>32000</v>
      </c>
      <c r="P58" s="28">
        <f t="shared" si="25"/>
        <v>32000</v>
      </c>
      <c r="Q58" s="28">
        <f t="shared" si="25"/>
        <v>32000</v>
      </c>
      <c r="R58" s="28">
        <f t="shared" si="25"/>
        <v>32000</v>
      </c>
      <c r="S58" s="28">
        <f t="shared" si="25"/>
        <v>32000</v>
      </c>
      <c r="T58" s="28">
        <f t="shared" si="24"/>
        <v>32000</v>
      </c>
      <c r="U58" s="28">
        <f t="shared" si="24"/>
        <v>32000</v>
      </c>
      <c r="V58" s="28">
        <f t="shared" si="24"/>
        <v>32000</v>
      </c>
      <c r="W58" s="28">
        <f t="shared" si="24"/>
        <v>32000</v>
      </c>
      <c r="X58" s="28">
        <f t="shared" si="24"/>
        <v>32000</v>
      </c>
      <c r="Y58" s="28">
        <f t="shared" si="24"/>
        <v>32000</v>
      </c>
      <c r="Z58" s="28">
        <f t="shared" si="24"/>
        <v>32000</v>
      </c>
      <c r="AA58" s="33">
        <v>5</v>
      </c>
      <c r="AB58" s="30">
        <f t="shared" si="13"/>
        <v>3840000</v>
      </c>
      <c r="AC58" s="123"/>
    </row>
    <row r="59" spans="1:29" ht="13.8" thickBot="1" x14ac:dyDescent="0.3">
      <c r="A59" s="121"/>
      <c r="B59" s="32" t="s">
        <v>21</v>
      </c>
      <c r="C59" s="28">
        <v>32000</v>
      </c>
      <c r="D59" s="28">
        <f t="shared" si="25"/>
        <v>32000</v>
      </c>
      <c r="E59" s="28">
        <f t="shared" si="25"/>
        <v>32000</v>
      </c>
      <c r="F59" s="28">
        <f t="shared" si="25"/>
        <v>32000</v>
      </c>
      <c r="G59" s="28">
        <f t="shared" si="25"/>
        <v>32000</v>
      </c>
      <c r="H59" s="28">
        <f t="shared" si="25"/>
        <v>32000</v>
      </c>
      <c r="I59" s="28">
        <f t="shared" si="25"/>
        <v>32000</v>
      </c>
      <c r="J59" s="28">
        <f t="shared" si="25"/>
        <v>32000</v>
      </c>
      <c r="K59" s="28">
        <f t="shared" si="25"/>
        <v>32000</v>
      </c>
      <c r="L59" s="28">
        <f t="shared" si="25"/>
        <v>32000</v>
      </c>
      <c r="M59" s="28">
        <f t="shared" si="25"/>
        <v>32000</v>
      </c>
      <c r="N59" s="28">
        <f t="shared" si="25"/>
        <v>32000</v>
      </c>
      <c r="O59" s="28">
        <f t="shared" si="25"/>
        <v>32000</v>
      </c>
      <c r="P59" s="28">
        <f t="shared" si="25"/>
        <v>32000</v>
      </c>
      <c r="Q59" s="28">
        <f t="shared" si="25"/>
        <v>32000</v>
      </c>
      <c r="R59" s="28">
        <f t="shared" si="25"/>
        <v>32000</v>
      </c>
      <c r="S59" s="28">
        <f t="shared" si="25"/>
        <v>32000</v>
      </c>
      <c r="T59" s="28">
        <f t="shared" si="24"/>
        <v>32000</v>
      </c>
      <c r="U59" s="28">
        <f t="shared" si="24"/>
        <v>32000</v>
      </c>
      <c r="V59" s="28">
        <f t="shared" si="24"/>
        <v>32000</v>
      </c>
      <c r="W59" s="28">
        <f t="shared" si="24"/>
        <v>32000</v>
      </c>
      <c r="X59" s="28">
        <f t="shared" si="24"/>
        <v>32000</v>
      </c>
      <c r="Y59" s="28">
        <f t="shared" si="24"/>
        <v>32000</v>
      </c>
      <c r="Z59" s="28">
        <f t="shared" si="24"/>
        <v>32000</v>
      </c>
      <c r="AA59" s="33">
        <v>7</v>
      </c>
      <c r="AB59" s="30">
        <f t="shared" si="13"/>
        <v>5376000</v>
      </c>
      <c r="AC59" s="124"/>
    </row>
    <row r="60" spans="1:29" ht="14.4" thickTop="1" thickBot="1" x14ac:dyDescent="0.3">
      <c r="A60" s="120">
        <v>47665</v>
      </c>
      <c r="B60" s="34" t="s">
        <v>19</v>
      </c>
      <c r="C60" s="28">
        <v>32000</v>
      </c>
      <c r="D60" s="28">
        <f t="shared" si="25"/>
        <v>32000</v>
      </c>
      <c r="E60" s="28">
        <f t="shared" si="25"/>
        <v>32000</v>
      </c>
      <c r="F60" s="28">
        <f t="shared" si="25"/>
        <v>32000</v>
      </c>
      <c r="G60" s="28">
        <f t="shared" si="25"/>
        <v>32000</v>
      </c>
      <c r="H60" s="28">
        <f t="shared" si="25"/>
        <v>32000</v>
      </c>
      <c r="I60" s="28">
        <f t="shared" si="25"/>
        <v>32000</v>
      </c>
      <c r="J60" s="28">
        <f t="shared" si="25"/>
        <v>32000</v>
      </c>
      <c r="K60" s="28">
        <f t="shared" si="25"/>
        <v>32000</v>
      </c>
      <c r="L60" s="28">
        <f t="shared" si="25"/>
        <v>32000</v>
      </c>
      <c r="M60" s="28">
        <f t="shared" si="25"/>
        <v>32000</v>
      </c>
      <c r="N60" s="28">
        <f t="shared" si="25"/>
        <v>32000</v>
      </c>
      <c r="O60" s="28">
        <f t="shared" si="25"/>
        <v>32000</v>
      </c>
      <c r="P60" s="28">
        <f t="shared" si="25"/>
        <v>32000</v>
      </c>
      <c r="Q60" s="28">
        <f t="shared" si="25"/>
        <v>32000</v>
      </c>
      <c r="R60" s="28">
        <f t="shared" si="25"/>
        <v>32000</v>
      </c>
      <c r="S60" s="28">
        <f t="shared" si="25"/>
        <v>32000</v>
      </c>
      <c r="T60" s="28">
        <f t="shared" si="24"/>
        <v>32000</v>
      </c>
      <c r="U60" s="28">
        <f t="shared" si="24"/>
        <v>32000</v>
      </c>
      <c r="V60" s="28">
        <f t="shared" si="24"/>
        <v>32000</v>
      </c>
      <c r="W60" s="28">
        <f t="shared" si="24"/>
        <v>32000</v>
      </c>
      <c r="X60" s="28">
        <f t="shared" si="24"/>
        <v>32000</v>
      </c>
      <c r="Y60" s="28">
        <f t="shared" si="24"/>
        <v>32000</v>
      </c>
      <c r="Z60" s="28">
        <f t="shared" si="24"/>
        <v>32000</v>
      </c>
      <c r="AA60" s="33">
        <v>22</v>
      </c>
      <c r="AB60" s="30">
        <f t="shared" si="13"/>
        <v>16896000</v>
      </c>
      <c r="AC60" s="122">
        <f t="shared" ref="AC60" si="28">+AB60+AB61+AB62</f>
        <v>23808000</v>
      </c>
    </row>
    <row r="61" spans="1:29" ht="13.8" thickBot="1" x14ac:dyDescent="0.3">
      <c r="A61" s="121"/>
      <c r="B61" s="32" t="s">
        <v>20</v>
      </c>
      <c r="C61" s="28">
        <v>32000</v>
      </c>
      <c r="D61" s="28">
        <f t="shared" si="25"/>
        <v>32000</v>
      </c>
      <c r="E61" s="28">
        <f t="shared" si="25"/>
        <v>32000</v>
      </c>
      <c r="F61" s="28">
        <f t="shared" si="25"/>
        <v>32000</v>
      </c>
      <c r="G61" s="28">
        <f t="shared" si="25"/>
        <v>32000</v>
      </c>
      <c r="H61" s="28">
        <f t="shared" si="25"/>
        <v>32000</v>
      </c>
      <c r="I61" s="28">
        <f t="shared" si="25"/>
        <v>32000</v>
      </c>
      <c r="J61" s="28">
        <f t="shared" si="25"/>
        <v>32000</v>
      </c>
      <c r="K61" s="28">
        <f t="shared" si="25"/>
        <v>32000</v>
      </c>
      <c r="L61" s="28">
        <f t="shared" si="25"/>
        <v>32000</v>
      </c>
      <c r="M61" s="28">
        <f t="shared" si="25"/>
        <v>32000</v>
      </c>
      <c r="N61" s="28">
        <f t="shared" si="25"/>
        <v>32000</v>
      </c>
      <c r="O61" s="28">
        <f t="shared" si="25"/>
        <v>32000</v>
      </c>
      <c r="P61" s="28">
        <f t="shared" si="25"/>
        <v>32000</v>
      </c>
      <c r="Q61" s="28">
        <f t="shared" si="25"/>
        <v>32000</v>
      </c>
      <c r="R61" s="28">
        <f t="shared" si="25"/>
        <v>32000</v>
      </c>
      <c r="S61" s="28">
        <f t="shared" si="25"/>
        <v>32000</v>
      </c>
      <c r="T61" s="28">
        <f t="shared" si="24"/>
        <v>32000</v>
      </c>
      <c r="U61" s="28">
        <f t="shared" si="24"/>
        <v>32000</v>
      </c>
      <c r="V61" s="28">
        <f t="shared" si="24"/>
        <v>32000</v>
      </c>
      <c r="W61" s="28">
        <f t="shared" si="24"/>
        <v>32000</v>
      </c>
      <c r="X61" s="28">
        <f t="shared" si="24"/>
        <v>32000</v>
      </c>
      <c r="Y61" s="28">
        <f t="shared" si="24"/>
        <v>32000</v>
      </c>
      <c r="Z61" s="28">
        <f t="shared" si="24"/>
        <v>32000</v>
      </c>
      <c r="AA61" s="33">
        <v>3</v>
      </c>
      <c r="AB61" s="30">
        <f t="shared" si="13"/>
        <v>2304000</v>
      </c>
      <c r="AC61" s="123"/>
    </row>
    <row r="62" spans="1:29" ht="13.8" thickBot="1" x14ac:dyDescent="0.3">
      <c r="A62" s="121"/>
      <c r="B62" s="32" t="s">
        <v>21</v>
      </c>
      <c r="C62" s="28">
        <v>32000</v>
      </c>
      <c r="D62" s="28">
        <f t="shared" si="25"/>
        <v>32000</v>
      </c>
      <c r="E62" s="28">
        <f t="shared" si="25"/>
        <v>32000</v>
      </c>
      <c r="F62" s="28">
        <f t="shared" si="25"/>
        <v>32000</v>
      </c>
      <c r="G62" s="28">
        <f t="shared" si="25"/>
        <v>32000</v>
      </c>
      <c r="H62" s="28">
        <f t="shared" si="25"/>
        <v>32000</v>
      </c>
      <c r="I62" s="28">
        <f t="shared" si="25"/>
        <v>32000</v>
      </c>
      <c r="J62" s="28">
        <f t="shared" si="25"/>
        <v>32000</v>
      </c>
      <c r="K62" s="28">
        <f t="shared" si="25"/>
        <v>32000</v>
      </c>
      <c r="L62" s="28">
        <f t="shared" si="25"/>
        <v>32000</v>
      </c>
      <c r="M62" s="28">
        <f t="shared" si="25"/>
        <v>32000</v>
      </c>
      <c r="N62" s="28">
        <f t="shared" si="25"/>
        <v>32000</v>
      </c>
      <c r="O62" s="28">
        <f t="shared" si="25"/>
        <v>32000</v>
      </c>
      <c r="P62" s="28">
        <f t="shared" si="25"/>
        <v>32000</v>
      </c>
      <c r="Q62" s="28">
        <f t="shared" si="25"/>
        <v>32000</v>
      </c>
      <c r="R62" s="28">
        <f t="shared" si="25"/>
        <v>32000</v>
      </c>
      <c r="S62" s="28">
        <f t="shared" si="25"/>
        <v>32000</v>
      </c>
      <c r="T62" s="28">
        <f t="shared" si="24"/>
        <v>32000</v>
      </c>
      <c r="U62" s="28">
        <f t="shared" si="24"/>
        <v>32000</v>
      </c>
      <c r="V62" s="28">
        <f t="shared" si="24"/>
        <v>32000</v>
      </c>
      <c r="W62" s="28">
        <f t="shared" si="24"/>
        <v>32000</v>
      </c>
      <c r="X62" s="28">
        <f t="shared" si="24"/>
        <v>32000</v>
      </c>
      <c r="Y62" s="28">
        <f t="shared" si="24"/>
        <v>32000</v>
      </c>
      <c r="Z62" s="28">
        <f t="shared" si="24"/>
        <v>32000</v>
      </c>
      <c r="AA62" s="33">
        <v>6</v>
      </c>
      <c r="AB62" s="30">
        <f t="shared" si="13"/>
        <v>4608000</v>
      </c>
      <c r="AC62" s="124"/>
    </row>
    <row r="63" spans="1:29" ht="14.4" thickTop="1" thickBot="1" x14ac:dyDescent="0.3">
      <c r="A63" s="120">
        <v>47696</v>
      </c>
      <c r="B63" s="35" t="s">
        <v>19</v>
      </c>
      <c r="C63" s="28">
        <v>32000</v>
      </c>
      <c r="D63" s="28">
        <f t="shared" si="25"/>
        <v>32000</v>
      </c>
      <c r="E63" s="28">
        <f t="shared" si="25"/>
        <v>32000</v>
      </c>
      <c r="F63" s="28">
        <f t="shared" si="25"/>
        <v>32000</v>
      </c>
      <c r="G63" s="28">
        <f t="shared" si="25"/>
        <v>32000</v>
      </c>
      <c r="H63" s="28">
        <f t="shared" si="25"/>
        <v>32000</v>
      </c>
      <c r="I63" s="28">
        <f t="shared" si="25"/>
        <v>32000</v>
      </c>
      <c r="J63" s="28">
        <f t="shared" si="25"/>
        <v>32000</v>
      </c>
      <c r="K63" s="28">
        <f t="shared" si="25"/>
        <v>32000</v>
      </c>
      <c r="L63" s="28">
        <f t="shared" si="25"/>
        <v>32000</v>
      </c>
      <c r="M63" s="28">
        <f t="shared" si="25"/>
        <v>32000</v>
      </c>
      <c r="N63" s="28">
        <f t="shared" si="25"/>
        <v>32000</v>
      </c>
      <c r="O63" s="28">
        <f t="shared" si="25"/>
        <v>32000</v>
      </c>
      <c r="P63" s="28">
        <f t="shared" si="25"/>
        <v>32000</v>
      </c>
      <c r="Q63" s="28">
        <f t="shared" si="25"/>
        <v>32000</v>
      </c>
      <c r="R63" s="28">
        <f t="shared" si="25"/>
        <v>32000</v>
      </c>
      <c r="S63" s="28">
        <f t="shared" si="25"/>
        <v>32000</v>
      </c>
      <c r="T63" s="28">
        <f t="shared" si="24"/>
        <v>32000</v>
      </c>
      <c r="U63" s="28">
        <f t="shared" si="24"/>
        <v>32000</v>
      </c>
      <c r="V63" s="28">
        <f t="shared" si="24"/>
        <v>32000</v>
      </c>
      <c r="W63" s="28">
        <f t="shared" si="24"/>
        <v>32000</v>
      </c>
      <c r="X63" s="28">
        <f t="shared" si="24"/>
        <v>32000</v>
      </c>
      <c r="Y63" s="28">
        <f t="shared" si="24"/>
        <v>32000</v>
      </c>
      <c r="Z63" s="28">
        <f t="shared" si="24"/>
        <v>32000</v>
      </c>
      <c r="AA63" s="33">
        <v>20</v>
      </c>
      <c r="AB63" s="30">
        <f t="shared" si="13"/>
        <v>15360000</v>
      </c>
      <c r="AC63" s="122">
        <f t="shared" ref="AC63" si="29">+AB63+AB64+AB65</f>
        <v>23808000</v>
      </c>
    </row>
    <row r="64" spans="1:29" ht="13.8" thickBot="1" x14ac:dyDescent="0.3">
      <c r="A64" s="121"/>
      <c r="B64" s="32" t="s">
        <v>20</v>
      </c>
      <c r="C64" s="28">
        <v>32000</v>
      </c>
      <c r="D64" s="28">
        <f t="shared" si="25"/>
        <v>32000</v>
      </c>
      <c r="E64" s="28">
        <f t="shared" si="25"/>
        <v>32000</v>
      </c>
      <c r="F64" s="28">
        <f t="shared" si="25"/>
        <v>32000</v>
      </c>
      <c r="G64" s="28">
        <f t="shared" si="25"/>
        <v>32000</v>
      </c>
      <c r="H64" s="28">
        <f t="shared" si="25"/>
        <v>32000</v>
      </c>
      <c r="I64" s="28">
        <f t="shared" si="25"/>
        <v>32000</v>
      </c>
      <c r="J64" s="28">
        <f t="shared" si="25"/>
        <v>32000</v>
      </c>
      <c r="K64" s="28">
        <f t="shared" si="25"/>
        <v>32000</v>
      </c>
      <c r="L64" s="28">
        <f t="shared" si="25"/>
        <v>32000</v>
      </c>
      <c r="M64" s="28">
        <f t="shared" si="25"/>
        <v>32000</v>
      </c>
      <c r="N64" s="28">
        <f t="shared" si="25"/>
        <v>32000</v>
      </c>
      <c r="O64" s="28">
        <f t="shared" si="25"/>
        <v>32000</v>
      </c>
      <c r="P64" s="28">
        <f t="shared" si="25"/>
        <v>32000</v>
      </c>
      <c r="Q64" s="28">
        <f t="shared" si="25"/>
        <v>32000</v>
      </c>
      <c r="R64" s="28">
        <f t="shared" si="25"/>
        <v>32000</v>
      </c>
      <c r="S64" s="28">
        <f t="shared" si="25"/>
        <v>32000</v>
      </c>
      <c r="T64" s="28">
        <f t="shared" si="24"/>
        <v>32000</v>
      </c>
      <c r="U64" s="28">
        <f t="shared" si="24"/>
        <v>32000</v>
      </c>
      <c r="V64" s="28">
        <f t="shared" si="24"/>
        <v>32000</v>
      </c>
      <c r="W64" s="28">
        <f t="shared" si="24"/>
        <v>32000</v>
      </c>
      <c r="X64" s="28">
        <f t="shared" si="24"/>
        <v>32000</v>
      </c>
      <c r="Y64" s="28">
        <f t="shared" si="24"/>
        <v>32000</v>
      </c>
      <c r="Z64" s="28">
        <f t="shared" si="24"/>
        <v>32000</v>
      </c>
      <c r="AA64" s="33">
        <v>5</v>
      </c>
      <c r="AB64" s="30">
        <f t="shared" si="13"/>
        <v>3840000</v>
      </c>
      <c r="AC64" s="123"/>
    </row>
    <row r="65" spans="1:29" ht="13.8" thickBot="1" x14ac:dyDescent="0.3">
      <c r="A65" s="121"/>
      <c r="B65" s="32" t="s">
        <v>21</v>
      </c>
      <c r="C65" s="28">
        <v>32000</v>
      </c>
      <c r="D65" s="28">
        <f t="shared" si="25"/>
        <v>32000</v>
      </c>
      <c r="E65" s="28">
        <f t="shared" si="25"/>
        <v>32000</v>
      </c>
      <c r="F65" s="28">
        <f t="shared" si="25"/>
        <v>32000</v>
      </c>
      <c r="G65" s="28">
        <f t="shared" si="25"/>
        <v>32000</v>
      </c>
      <c r="H65" s="28">
        <f t="shared" si="25"/>
        <v>32000</v>
      </c>
      <c r="I65" s="28">
        <f t="shared" si="25"/>
        <v>32000</v>
      </c>
      <c r="J65" s="28">
        <f t="shared" si="25"/>
        <v>32000</v>
      </c>
      <c r="K65" s="28">
        <f t="shared" si="25"/>
        <v>32000</v>
      </c>
      <c r="L65" s="28">
        <f t="shared" si="25"/>
        <v>32000</v>
      </c>
      <c r="M65" s="28">
        <f t="shared" si="25"/>
        <v>32000</v>
      </c>
      <c r="N65" s="28">
        <f t="shared" si="25"/>
        <v>32000</v>
      </c>
      <c r="O65" s="28">
        <f t="shared" si="25"/>
        <v>32000</v>
      </c>
      <c r="P65" s="28">
        <f t="shared" si="25"/>
        <v>32000</v>
      </c>
      <c r="Q65" s="28">
        <f t="shared" si="25"/>
        <v>32000</v>
      </c>
      <c r="R65" s="28">
        <f t="shared" si="25"/>
        <v>32000</v>
      </c>
      <c r="S65" s="28">
        <f t="shared" si="25"/>
        <v>32000</v>
      </c>
      <c r="T65" s="28">
        <f t="shared" si="24"/>
        <v>32000</v>
      </c>
      <c r="U65" s="28">
        <f t="shared" si="24"/>
        <v>32000</v>
      </c>
      <c r="V65" s="28">
        <f t="shared" si="24"/>
        <v>32000</v>
      </c>
      <c r="W65" s="28">
        <f t="shared" si="24"/>
        <v>32000</v>
      </c>
      <c r="X65" s="28">
        <f t="shared" si="24"/>
        <v>32000</v>
      </c>
      <c r="Y65" s="28">
        <f t="shared" si="24"/>
        <v>32000</v>
      </c>
      <c r="Z65" s="28">
        <f t="shared" si="24"/>
        <v>32000</v>
      </c>
      <c r="AA65" s="33">
        <v>6</v>
      </c>
      <c r="AB65" s="30">
        <f t="shared" si="13"/>
        <v>4608000</v>
      </c>
      <c r="AC65" s="124"/>
    </row>
    <row r="66" spans="1:29" ht="14.4" thickTop="1" thickBot="1" x14ac:dyDescent="0.3">
      <c r="A66" s="120">
        <v>47727</v>
      </c>
      <c r="B66" s="34" t="s">
        <v>19</v>
      </c>
      <c r="C66" s="28">
        <v>32000</v>
      </c>
      <c r="D66" s="28">
        <f t="shared" si="25"/>
        <v>32000</v>
      </c>
      <c r="E66" s="28">
        <f t="shared" si="25"/>
        <v>32000</v>
      </c>
      <c r="F66" s="28">
        <f t="shared" si="25"/>
        <v>32000</v>
      </c>
      <c r="G66" s="28">
        <f t="shared" si="25"/>
        <v>32000</v>
      </c>
      <c r="H66" s="28">
        <f t="shared" si="25"/>
        <v>32000</v>
      </c>
      <c r="I66" s="28">
        <f t="shared" si="25"/>
        <v>32000</v>
      </c>
      <c r="J66" s="28">
        <f t="shared" si="25"/>
        <v>32000</v>
      </c>
      <c r="K66" s="28">
        <f t="shared" si="25"/>
        <v>32000</v>
      </c>
      <c r="L66" s="28">
        <f t="shared" si="25"/>
        <v>32000</v>
      </c>
      <c r="M66" s="28">
        <f t="shared" si="25"/>
        <v>32000</v>
      </c>
      <c r="N66" s="28">
        <f t="shared" si="25"/>
        <v>32000</v>
      </c>
      <c r="O66" s="28">
        <f t="shared" si="25"/>
        <v>32000</v>
      </c>
      <c r="P66" s="28">
        <f t="shared" si="25"/>
        <v>32000</v>
      </c>
      <c r="Q66" s="28">
        <f t="shared" si="25"/>
        <v>32000</v>
      </c>
      <c r="R66" s="28">
        <f t="shared" si="25"/>
        <v>32000</v>
      </c>
      <c r="S66" s="28">
        <f t="shared" si="25"/>
        <v>32000</v>
      </c>
      <c r="T66" s="28">
        <f t="shared" si="24"/>
        <v>32000</v>
      </c>
      <c r="U66" s="28">
        <f t="shared" si="24"/>
        <v>32000</v>
      </c>
      <c r="V66" s="28">
        <f t="shared" si="24"/>
        <v>32000</v>
      </c>
      <c r="W66" s="28">
        <f t="shared" si="24"/>
        <v>32000</v>
      </c>
      <c r="X66" s="28">
        <f t="shared" si="24"/>
        <v>32000</v>
      </c>
      <c r="Y66" s="28">
        <f t="shared" si="24"/>
        <v>32000</v>
      </c>
      <c r="Z66" s="28">
        <f t="shared" si="24"/>
        <v>32000</v>
      </c>
      <c r="AA66" s="33">
        <v>21</v>
      </c>
      <c r="AB66" s="30">
        <f t="shared" si="13"/>
        <v>16128000</v>
      </c>
      <c r="AC66" s="122">
        <f t="shared" ref="AC66" si="30">+AB66+AB67+AB68</f>
        <v>23040000</v>
      </c>
    </row>
    <row r="67" spans="1:29" ht="13.8" thickBot="1" x14ac:dyDescent="0.3">
      <c r="A67" s="121"/>
      <c r="B67" s="32" t="s">
        <v>20</v>
      </c>
      <c r="C67" s="28">
        <v>32000</v>
      </c>
      <c r="D67" s="28">
        <f t="shared" si="25"/>
        <v>32000</v>
      </c>
      <c r="E67" s="28">
        <f t="shared" si="25"/>
        <v>32000</v>
      </c>
      <c r="F67" s="28">
        <f t="shared" si="25"/>
        <v>32000</v>
      </c>
      <c r="G67" s="28">
        <f t="shared" si="25"/>
        <v>32000</v>
      </c>
      <c r="H67" s="28">
        <f t="shared" si="25"/>
        <v>32000</v>
      </c>
      <c r="I67" s="28">
        <f t="shared" si="25"/>
        <v>32000</v>
      </c>
      <c r="J67" s="28">
        <f t="shared" si="25"/>
        <v>32000</v>
      </c>
      <c r="K67" s="28">
        <f t="shared" si="25"/>
        <v>32000</v>
      </c>
      <c r="L67" s="28">
        <f t="shared" si="25"/>
        <v>32000</v>
      </c>
      <c r="M67" s="28">
        <f t="shared" si="25"/>
        <v>32000</v>
      </c>
      <c r="N67" s="28">
        <f t="shared" si="25"/>
        <v>32000</v>
      </c>
      <c r="O67" s="28">
        <f t="shared" si="25"/>
        <v>32000</v>
      </c>
      <c r="P67" s="28">
        <f t="shared" si="25"/>
        <v>32000</v>
      </c>
      <c r="Q67" s="28">
        <f t="shared" si="25"/>
        <v>32000</v>
      </c>
      <c r="R67" s="28">
        <f t="shared" si="25"/>
        <v>32000</v>
      </c>
      <c r="S67" s="28">
        <f t="shared" si="25"/>
        <v>32000</v>
      </c>
      <c r="T67" s="28">
        <f t="shared" si="24"/>
        <v>32000</v>
      </c>
      <c r="U67" s="28">
        <f t="shared" si="24"/>
        <v>32000</v>
      </c>
      <c r="V67" s="28">
        <f t="shared" si="24"/>
        <v>32000</v>
      </c>
      <c r="W67" s="28">
        <f t="shared" si="24"/>
        <v>32000</v>
      </c>
      <c r="X67" s="28">
        <f t="shared" si="24"/>
        <v>32000</v>
      </c>
      <c r="Y67" s="28">
        <f t="shared" si="24"/>
        <v>32000</v>
      </c>
      <c r="Z67" s="28">
        <f t="shared" si="24"/>
        <v>32000</v>
      </c>
      <c r="AA67" s="33">
        <v>4</v>
      </c>
      <c r="AB67" s="30">
        <f t="shared" si="13"/>
        <v>3072000</v>
      </c>
      <c r="AC67" s="123"/>
    </row>
    <row r="68" spans="1:29" ht="13.8" thickBot="1" x14ac:dyDescent="0.3">
      <c r="A68" s="121"/>
      <c r="B68" s="32" t="s">
        <v>21</v>
      </c>
      <c r="C68" s="28">
        <v>32000</v>
      </c>
      <c r="D68" s="28">
        <f t="shared" si="25"/>
        <v>32000</v>
      </c>
      <c r="E68" s="28">
        <f t="shared" si="25"/>
        <v>32000</v>
      </c>
      <c r="F68" s="28">
        <f t="shared" si="25"/>
        <v>32000</v>
      </c>
      <c r="G68" s="28">
        <f t="shared" si="25"/>
        <v>32000</v>
      </c>
      <c r="H68" s="28">
        <f t="shared" si="25"/>
        <v>32000</v>
      </c>
      <c r="I68" s="28">
        <f t="shared" si="25"/>
        <v>32000</v>
      </c>
      <c r="J68" s="28">
        <f t="shared" si="25"/>
        <v>32000</v>
      </c>
      <c r="K68" s="28">
        <f t="shared" si="25"/>
        <v>32000</v>
      </c>
      <c r="L68" s="28">
        <f t="shared" si="25"/>
        <v>32000</v>
      </c>
      <c r="M68" s="28">
        <f t="shared" si="25"/>
        <v>32000</v>
      </c>
      <c r="N68" s="28">
        <f t="shared" si="25"/>
        <v>32000</v>
      </c>
      <c r="O68" s="28">
        <f t="shared" si="25"/>
        <v>32000</v>
      </c>
      <c r="P68" s="28">
        <f t="shared" si="25"/>
        <v>32000</v>
      </c>
      <c r="Q68" s="28">
        <f t="shared" si="25"/>
        <v>32000</v>
      </c>
      <c r="R68" s="28">
        <f t="shared" si="25"/>
        <v>32000</v>
      </c>
      <c r="S68" s="28">
        <f t="shared" si="25"/>
        <v>32000</v>
      </c>
      <c r="T68" s="28">
        <f t="shared" si="24"/>
        <v>32000</v>
      </c>
      <c r="U68" s="28">
        <f t="shared" si="24"/>
        <v>32000</v>
      </c>
      <c r="V68" s="28">
        <f t="shared" si="24"/>
        <v>32000</v>
      </c>
      <c r="W68" s="28">
        <f t="shared" si="24"/>
        <v>32000</v>
      </c>
      <c r="X68" s="28">
        <f t="shared" si="24"/>
        <v>32000</v>
      </c>
      <c r="Y68" s="28">
        <f t="shared" si="24"/>
        <v>32000</v>
      </c>
      <c r="Z68" s="28">
        <f t="shared" si="24"/>
        <v>32000</v>
      </c>
      <c r="AA68" s="33">
        <v>5</v>
      </c>
      <c r="AB68" s="30">
        <f t="shared" si="13"/>
        <v>3840000</v>
      </c>
      <c r="AC68" s="124"/>
    </row>
    <row r="69" spans="1:29" ht="14.4" thickTop="1" thickBot="1" x14ac:dyDescent="0.3">
      <c r="A69" s="120">
        <v>47757</v>
      </c>
      <c r="B69" s="35" t="s">
        <v>19</v>
      </c>
      <c r="C69" s="28">
        <v>32000</v>
      </c>
      <c r="D69" s="28">
        <f t="shared" si="25"/>
        <v>32000</v>
      </c>
      <c r="E69" s="28">
        <f t="shared" si="25"/>
        <v>32000</v>
      </c>
      <c r="F69" s="28">
        <f t="shared" si="25"/>
        <v>32000</v>
      </c>
      <c r="G69" s="28">
        <f t="shared" si="25"/>
        <v>32000</v>
      </c>
      <c r="H69" s="28">
        <f t="shared" si="25"/>
        <v>32000</v>
      </c>
      <c r="I69" s="28">
        <f t="shared" si="25"/>
        <v>32000</v>
      </c>
      <c r="J69" s="28">
        <f t="shared" si="25"/>
        <v>32000</v>
      </c>
      <c r="K69" s="28">
        <f t="shared" si="25"/>
        <v>32000</v>
      </c>
      <c r="L69" s="28">
        <f t="shared" si="25"/>
        <v>32000</v>
      </c>
      <c r="M69" s="28">
        <f t="shared" si="25"/>
        <v>32000</v>
      </c>
      <c r="N69" s="28">
        <f t="shared" si="25"/>
        <v>32000</v>
      </c>
      <c r="O69" s="28">
        <f t="shared" si="25"/>
        <v>32000</v>
      </c>
      <c r="P69" s="28">
        <f t="shared" si="25"/>
        <v>32000</v>
      </c>
      <c r="Q69" s="28">
        <f t="shared" si="25"/>
        <v>32000</v>
      </c>
      <c r="R69" s="28">
        <f t="shared" si="25"/>
        <v>32000</v>
      </c>
      <c r="S69" s="28">
        <f t="shared" ref="S69:Z77" si="31">+R69</f>
        <v>32000</v>
      </c>
      <c r="T69" s="28">
        <f t="shared" si="31"/>
        <v>32000</v>
      </c>
      <c r="U69" s="28">
        <f t="shared" si="31"/>
        <v>32000</v>
      </c>
      <c r="V69" s="28">
        <f t="shared" si="31"/>
        <v>32000</v>
      </c>
      <c r="W69" s="28">
        <f t="shared" si="31"/>
        <v>32000</v>
      </c>
      <c r="X69" s="28">
        <f t="shared" si="31"/>
        <v>32000</v>
      </c>
      <c r="Y69" s="28">
        <f t="shared" si="31"/>
        <v>32000</v>
      </c>
      <c r="Z69" s="28">
        <f t="shared" si="31"/>
        <v>32000</v>
      </c>
      <c r="AA69" s="33">
        <v>22</v>
      </c>
      <c r="AB69" s="30">
        <f t="shared" si="13"/>
        <v>16896000</v>
      </c>
      <c r="AC69" s="122">
        <f t="shared" ref="AC69" si="32">+AB69+AB70+AB71</f>
        <v>23808000</v>
      </c>
    </row>
    <row r="70" spans="1:29" ht="13.8" thickBot="1" x14ac:dyDescent="0.3">
      <c r="A70" s="121"/>
      <c r="B70" s="32" t="s">
        <v>20</v>
      </c>
      <c r="C70" s="28">
        <v>32000</v>
      </c>
      <c r="D70" s="28">
        <f t="shared" ref="D70:S77" si="33">+C70</f>
        <v>32000</v>
      </c>
      <c r="E70" s="28">
        <f t="shared" si="33"/>
        <v>32000</v>
      </c>
      <c r="F70" s="28">
        <f t="shared" si="33"/>
        <v>32000</v>
      </c>
      <c r="G70" s="28">
        <f t="shared" si="33"/>
        <v>32000</v>
      </c>
      <c r="H70" s="28">
        <f t="shared" si="33"/>
        <v>32000</v>
      </c>
      <c r="I70" s="28">
        <f t="shared" si="33"/>
        <v>32000</v>
      </c>
      <c r="J70" s="28">
        <f t="shared" si="33"/>
        <v>32000</v>
      </c>
      <c r="K70" s="28">
        <f t="shared" si="33"/>
        <v>32000</v>
      </c>
      <c r="L70" s="28">
        <f t="shared" si="33"/>
        <v>32000</v>
      </c>
      <c r="M70" s="28">
        <f t="shared" si="33"/>
        <v>32000</v>
      </c>
      <c r="N70" s="28">
        <f t="shared" si="33"/>
        <v>32000</v>
      </c>
      <c r="O70" s="28">
        <f t="shared" si="33"/>
        <v>32000</v>
      </c>
      <c r="P70" s="28">
        <f t="shared" si="33"/>
        <v>32000</v>
      </c>
      <c r="Q70" s="28">
        <f t="shared" si="33"/>
        <v>32000</v>
      </c>
      <c r="R70" s="28">
        <f t="shared" si="33"/>
        <v>32000</v>
      </c>
      <c r="S70" s="28">
        <f t="shared" si="33"/>
        <v>32000</v>
      </c>
      <c r="T70" s="28">
        <f t="shared" si="31"/>
        <v>32000</v>
      </c>
      <c r="U70" s="28">
        <f t="shared" si="31"/>
        <v>32000</v>
      </c>
      <c r="V70" s="28">
        <f t="shared" si="31"/>
        <v>32000</v>
      </c>
      <c r="W70" s="28">
        <f t="shared" si="31"/>
        <v>32000</v>
      </c>
      <c r="X70" s="28">
        <f t="shared" si="31"/>
        <v>32000</v>
      </c>
      <c r="Y70" s="28">
        <f t="shared" si="31"/>
        <v>32000</v>
      </c>
      <c r="Z70" s="28">
        <f t="shared" si="31"/>
        <v>32000</v>
      </c>
      <c r="AA70" s="33">
        <v>4</v>
      </c>
      <c r="AB70" s="30">
        <f t="shared" si="13"/>
        <v>3072000</v>
      </c>
      <c r="AC70" s="123"/>
    </row>
    <row r="71" spans="1:29" ht="13.8" thickBot="1" x14ac:dyDescent="0.3">
      <c r="A71" s="121"/>
      <c r="B71" s="32" t="s">
        <v>21</v>
      </c>
      <c r="C71" s="28">
        <v>32000</v>
      </c>
      <c r="D71" s="28">
        <f t="shared" si="33"/>
        <v>32000</v>
      </c>
      <c r="E71" s="28">
        <f t="shared" si="33"/>
        <v>32000</v>
      </c>
      <c r="F71" s="28">
        <f t="shared" si="33"/>
        <v>32000</v>
      </c>
      <c r="G71" s="28">
        <f t="shared" si="33"/>
        <v>32000</v>
      </c>
      <c r="H71" s="28">
        <f t="shared" si="33"/>
        <v>32000</v>
      </c>
      <c r="I71" s="28">
        <f t="shared" si="33"/>
        <v>32000</v>
      </c>
      <c r="J71" s="28">
        <f t="shared" si="33"/>
        <v>32000</v>
      </c>
      <c r="K71" s="28">
        <f t="shared" si="33"/>
        <v>32000</v>
      </c>
      <c r="L71" s="28">
        <f t="shared" si="33"/>
        <v>32000</v>
      </c>
      <c r="M71" s="28">
        <f t="shared" si="33"/>
        <v>32000</v>
      </c>
      <c r="N71" s="28">
        <f t="shared" si="33"/>
        <v>32000</v>
      </c>
      <c r="O71" s="28">
        <f t="shared" si="33"/>
        <v>32000</v>
      </c>
      <c r="P71" s="28">
        <f t="shared" si="33"/>
        <v>32000</v>
      </c>
      <c r="Q71" s="28">
        <f t="shared" si="33"/>
        <v>32000</v>
      </c>
      <c r="R71" s="28">
        <f t="shared" si="33"/>
        <v>32000</v>
      </c>
      <c r="S71" s="28">
        <f t="shared" si="33"/>
        <v>32000</v>
      </c>
      <c r="T71" s="28">
        <f t="shared" si="31"/>
        <v>32000</v>
      </c>
      <c r="U71" s="28">
        <f t="shared" si="31"/>
        <v>32000</v>
      </c>
      <c r="V71" s="28">
        <f t="shared" si="31"/>
        <v>32000</v>
      </c>
      <c r="W71" s="28">
        <f t="shared" si="31"/>
        <v>32000</v>
      </c>
      <c r="X71" s="28">
        <f t="shared" si="31"/>
        <v>32000</v>
      </c>
      <c r="Y71" s="28">
        <f t="shared" si="31"/>
        <v>32000</v>
      </c>
      <c r="Z71" s="28">
        <f t="shared" si="31"/>
        <v>32000</v>
      </c>
      <c r="AA71" s="33">
        <v>5</v>
      </c>
      <c r="AB71" s="30">
        <f t="shared" si="13"/>
        <v>3840000</v>
      </c>
      <c r="AC71" s="124"/>
    </row>
    <row r="72" spans="1:29" ht="14.4" thickTop="1" thickBot="1" x14ac:dyDescent="0.3">
      <c r="A72" s="120">
        <v>47788</v>
      </c>
      <c r="B72" s="34" t="s">
        <v>19</v>
      </c>
      <c r="C72" s="28">
        <v>32000</v>
      </c>
      <c r="D72" s="28">
        <f t="shared" si="33"/>
        <v>32000</v>
      </c>
      <c r="E72" s="28">
        <f t="shared" si="33"/>
        <v>32000</v>
      </c>
      <c r="F72" s="28">
        <f t="shared" si="33"/>
        <v>32000</v>
      </c>
      <c r="G72" s="28">
        <f t="shared" si="33"/>
        <v>32000</v>
      </c>
      <c r="H72" s="28">
        <f t="shared" si="33"/>
        <v>32000</v>
      </c>
      <c r="I72" s="28">
        <f t="shared" si="33"/>
        <v>32000</v>
      </c>
      <c r="J72" s="28">
        <f t="shared" si="33"/>
        <v>32000</v>
      </c>
      <c r="K72" s="28">
        <f t="shared" si="33"/>
        <v>32000</v>
      </c>
      <c r="L72" s="28">
        <f t="shared" si="33"/>
        <v>32000</v>
      </c>
      <c r="M72" s="28">
        <f t="shared" si="33"/>
        <v>32000</v>
      </c>
      <c r="N72" s="28">
        <f t="shared" si="33"/>
        <v>32000</v>
      </c>
      <c r="O72" s="28">
        <f t="shared" si="33"/>
        <v>32000</v>
      </c>
      <c r="P72" s="28">
        <f t="shared" si="33"/>
        <v>32000</v>
      </c>
      <c r="Q72" s="28">
        <f t="shared" si="33"/>
        <v>32000</v>
      </c>
      <c r="R72" s="28">
        <f t="shared" si="33"/>
        <v>32000</v>
      </c>
      <c r="S72" s="28">
        <f t="shared" si="33"/>
        <v>32000</v>
      </c>
      <c r="T72" s="28">
        <f t="shared" si="31"/>
        <v>32000</v>
      </c>
      <c r="U72" s="28">
        <f t="shared" si="31"/>
        <v>32000</v>
      </c>
      <c r="V72" s="28">
        <f t="shared" si="31"/>
        <v>32000</v>
      </c>
      <c r="W72" s="28">
        <f t="shared" si="31"/>
        <v>32000</v>
      </c>
      <c r="X72" s="28">
        <f t="shared" si="31"/>
        <v>32000</v>
      </c>
      <c r="Y72" s="28">
        <f t="shared" si="31"/>
        <v>32000</v>
      </c>
      <c r="Z72" s="28">
        <f t="shared" si="31"/>
        <v>32000</v>
      </c>
      <c r="AA72" s="33">
        <v>19</v>
      </c>
      <c r="AB72" s="30">
        <f t="shared" si="13"/>
        <v>14592000</v>
      </c>
      <c r="AC72" s="122">
        <f t="shared" ref="AC72" si="34">+AB72+AB73+AB74</f>
        <v>23040000</v>
      </c>
    </row>
    <row r="73" spans="1:29" ht="13.8" thickBot="1" x14ac:dyDescent="0.3">
      <c r="A73" s="121"/>
      <c r="B73" s="32" t="s">
        <v>20</v>
      </c>
      <c r="C73" s="28">
        <v>32000</v>
      </c>
      <c r="D73" s="28">
        <f t="shared" si="33"/>
        <v>32000</v>
      </c>
      <c r="E73" s="28">
        <f t="shared" si="33"/>
        <v>32000</v>
      </c>
      <c r="F73" s="28">
        <f t="shared" si="33"/>
        <v>32000</v>
      </c>
      <c r="G73" s="28">
        <f t="shared" si="33"/>
        <v>32000</v>
      </c>
      <c r="H73" s="28">
        <f t="shared" si="33"/>
        <v>32000</v>
      </c>
      <c r="I73" s="28">
        <f t="shared" si="33"/>
        <v>32000</v>
      </c>
      <c r="J73" s="28">
        <f t="shared" si="33"/>
        <v>32000</v>
      </c>
      <c r="K73" s="28">
        <f t="shared" si="33"/>
        <v>32000</v>
      </c>
      <c r="L73" s="28">
        <f t="shared" si="33"/>
        <v>32000</v>
      </c>
      <c r="M73" s="28">
        <f t="shared" si="33"/>
        <v>32000</v>
      </c>
      <c r="N73" s="28">
        <f t="shared" si="33"/>
        <v>32000</v>
      </c>
      <c r="O73" s="28">
        <f t="shared" si="33"/>
        <v>32000</v>
      </c>
      <c r="P73" s="28">
        <f t="shared" si="33"/>
        <v>32000</v>
      </c>
      <c r="Q73" s="28">
        <f t="shared" si="33"/>
        <v>32000</v>
      </c>
      <c r="R73" s="28">
        <f t="shared" si="33"/>
        <v>32000</v>
      </c>
      <c r="S73" s="28">
        <f t="shared" si="33"/>
        <v>32000</v>
      </c>
      <c r="T73" s="28">
        <f t="shared" si="31"/>
        <v>32000</v>
      </c>
      <c r="U73" s="28">
        <f t="shared" si="31"/>
        <v>32000</v>
      </c>
      <c r="V73" s="28">
        <f t="shared" si="31"/>
        <v>32000</v>
      </c>
      <c r="W73" s="28">
        <f t="shared" si="31"/>
        <v>32000</v>
      </c>
      <c r="X73" s="28">
        <f t="shared" si="31"/>
        <v>32000</v>
      </c>
      <c r="Y73" s="28">
        <f t="shared" si="31"/>
        <v>32000</v>
      </c>
      <c r="Z73" s="28">
        <f t="shared" si="31"/>
        <v>32000</v>
      </c>
      <c r="AA73" s="33">
        <v>5</v>
      </c>
      <c r="AB73" s="30">
        <f t="shared" si="13"/>
        <v>3840000</v>
      </c>
      <c r="AC73" s="123"/>
    </row>
    <row r="74" spans="1:29" ht="13.8" thickBot="1" x14ac:dyDescent="0.3">
      <c r="A74" s="121"/>
      <c r="B74" s="32" t="s">
        <v>21</v>
      </c>
      <c r="C74" s="28">
        <v>32000</v>
      </c>
      <c r="D74" s="28">
        <f t="shared" si="33"/>
        <v>32000</v>
      </c>
      <c r="E74" s="28">
        <f t="shared" si="33"/>
        <v>32000</v>
      </c>
      <c r="F74" s="28">
        <f t="shared" si="33"/>
        <v>32000</v>
      </c>
      <c r="G74" s="28">
        <f t="shared" si="33"/>
        <v>32000</v>
      </c>
      <c r="H74" s="28">
        <f t="shared" si="33"/>
        <v>32000</v>
      </c>
      <c r="I74" s="28">
        <f t="shared" si="33"/>
        <v>32000</v>
      </c>
      <c r="J74" s="28">
        <f t="shared" si="33"/>
        <v>32000</v>
      </c>
      <c r="K74" s="28">
        <f t="shared" si="33"/>
        <v>32000</v>
      </c>
      <c r="L74" s="28">
        <f t="shared" si="33"/>
        <v>32000</v>
      </c>
      <c r="M74" s="28">
        <f t="shared" si="33"/>
        <v>32000</v>
      </c>
      <c r="N74" s="28">
        <f t="shared" si="33"/>
        <v>32000</v>
      </c>
      <c r="O74" s="28">
        <f t="shared" si="33"/>
        <v>32000</v>
      </c>
      <c r="P74" s="28">
        <f t="shared" si="33"/>
        <v>32000</v>
      </c>
      <c r="Q74" s="28">
        <f t="shared" si="33"/>
        <v>32000</v>
      </c>
      <c r="R74" s="28">
        <f t="shared" si="33"/>
        <v>32000</v>
      </c>
      <c r="S74" s="28">
        <f t="shared" si="33"/>
        <v>32000</v>
      </c>
      <c r="T74" s="28">
        <f t="shared" si="31"/>
        <v>32000</v>
      </c>
      <c r="U74" s="28">
        <f t="shared" si="31"/>
        <v>32000</v>
      </c>
      <c r="V74" s="28">
        <f t="shared" si="31"/>
        <v>32000</v>
      </c>
      <c r="W74" s="28">
        <f t="shared" si="31"/>
        <v>32000</v>
      </c>
      <c r="X74" s="28">
        <f t="shared" si="31"/>
        <v>32000</v>
      </c>
      <c r="Y74" s="28">
        <f t="shared" si="31"/>
        <v>32000</v>
      </c>
      <c r="Z74" s="28">
        <f t="shared" si="31"/>
        <v>32000</v>
      </c>
      <c r="AA74" s="33">
        <v>6</v>
      </c>
      <c r="AB74" s="30">
        <f t="shared" si="13"/>
        <v>4608000</v>
      </c>
      <c r="AC74" s="124"/>
    </row>
    <row r="75" spans="1:29" ht="14.4" thickTop="1" thickBot="1" x14ac:dyDescent="0.3">
      <c r="A75" s="120">
        <v>47818</v>
      </c>
      <c r="B75" s="35" t="s">
        <v>19</v>
      </c>
      <c r="C75" s="28">
        <v>32000</v>
      </c>
      <c r="D75" s="28">
        <f t="shared" si="33"/>
        <v>32000</v>
      </c>
      <c r="E75" s="28">
        <f t="shared" si="33"/>
        <v>32000</v>
      </c>
      <c r="F75" s="28">
        <f t="shared" si="33"/>
        <v>32000</v>
      </c>
      <c r="G75" s="28">
        <f t="shared" si="33"/>
        <v>32000</v>
      </c>
      <c r="H75" s="28">
        <f t="shared" si="33"/>
        <v>32000</v>
      </c>
      <c r="I75" s="28">
        <f t="shared" si="33"/>
        <v>32000</v>
      </c>
      <c r="J75" s="28">
        <f t="shared" si="33"/>
        <v>32000</v>
      </c>
      <c r="K75" s="28">
        <f t="shared" si="33"/>
        <v>32000</v>
      </c>
      <c r="L75" s="28">
        <f t="shared" si="33"/>
        <v>32000</v>
      </c>
      <c r="M75" s="28">
        <f t="shared" si="33"/>
        <v>32000</v>
      </c>
      <c r="N75" s="28">
        <f t="shared" si="33"/>
        <v>32000</v>
      </c>
      <c r="O75" s="28">
        <f t="shared" si="33"/>
        <v>32000</v>
      </c>
      <c r="P75" s="28">
        <f t="shared" si="33"/>
        <v>32000</v>
      </c>
      <c r="Q75" s="28">
        <f t="shared" si="33"/>
        <v>32000</v>
      </c>
      <c r="R75" s="28">
        <f t="shared" si="33"/>
        <v>32000</v>
      </c>
      <c r="S75" s="28">
        <f t="shared" si="33"/>
        <v>32000</v>
      </c>
      <c r="T75" s="28">
        <f t="shared" si="31"/>
        <v>32000</v>
      </c>
      <c r="U75" s="28">
        <f t="shared" si="31"/>
        <v>32000</v>
      </c>
      <c r="V75" s="28">
        <f t="shared" si="31"/>
        <v>32000</v>
      </c>
      <c r="W75" s="28">
        <f t="shared" si="31"/>
        <v>32000</v>
      </c>
      <c r="X75" s="28">
        <f t="shared" si="31"/>
        <v>32000</v>
      </c>
      <c r="Y75" s="28">
        <f t="shared" si="31"/>
        <v>32000</v>
      </c>
      <c r="Z75" s="28">
        <f t="shared" si="31"/>
        <v>32000</v>
      </c>
      <c r="AA75" s="33">
        <v>21</v>
      </c>
      <c r="AB75" s="30">
        <f t="shared" si="13"/>
        <v>16128000</v>
      </c>
      <c r="AC75" s="122">
        <f t="shared" ref="AC75" si="35">+AB75+AB76+AB77</f>
        <v>23808000</v>
      </c>
    </row>
    <row r="76" spans="1:29" ht="13.8" thickBot="1" x14ac:dyDescent="0.3">
      <c r="A76" s="121"/>
      <c r="B76" s="32" t="s">
        <v>20</v>
      </c>
      <c r="C76" s="28">
        <v>32000</v>
      </c>
      <c r="D76" s="28">
        <f t="shared" si="33"/>
        <v>32000</v>
      </c>
      <c r="E76" s="28">
        <f t="shared" si="33"/>
        <v>32000</v>
      </c>
      <c r="F76" s="28">
        <f t="shared" si="33"/>
        <v>32000</v>
      </c>
      <c r="G76" s="28">
        <f t="shared" si="33"/>
        <v>32000</v>
      </c>
      <c r="H76" s="28">
        <f t="shared" si="33"/>
        <v>32000</v>
      </c>
      <c r="I76" s="28">
        <f t="shared" si="33"/>
        <v>32000</v>
      </c>
      <c r="J76" s="28">
        <f t="shared" si="33"/>
        <v>32000</v>
      </c>
      <c r="K76" s="28">
        <f t="shared" si="33"/>
        <v>32000</v>
      </c>
      <c r="L76" s="28">
        <f t="shared" si="33"/>
        <v>32000</v>
      </c>
      <c r="M76" s="28">
        <f t="shared" si="33"/>
        <v>32000</v>
      </c>
      <c r="N76" s="28">
        <f t="shared" si="33"/>
        <v>32000</v>
      </c>
      <c r="O76" s="28">
        <f t="shared" si="33"/>
        <v>32000</v>
      </c>
      <c r="P76" s="28">
        <f t="shared" si="33"/>
        <v>32000</v>
      </c>
      <c r="Q76" s="28">
        <f t="shared" si="33"/>
        <v>32000</v>
      </c>
      <c r="R76" s="28">
        <f t="shared" si="33"/>
        <v>32000</v>
      </c>
      <c r="S76" s="28">
        <f t="shared" si="33"/>
        <v>32000</v>
      </c>
      <c r="T76" s="28">
        <f t="shared" si="31"/>
        <v>32000</v>
      </c>
      <c r="U76" s="28">
        <f t="shared" si="31"/>
        <v>32000</v>
      </c>
      <c r="V76" s="28">
        <f t="shared" si="31"/>
        <v>32000</v>
      </c>
      <c r="W76" s="28">
        <f t="shared" si="31"/>
        <v>32000</v>
      </c>
      <c r="X76" s="28">
        <f t="shared" si="31"/>
        <v>32000</v>
      </c>
      <c r="Y76" s="28">
        <f t="shared" si="31"/>
        <v>32000</v>
      </c>
      <c r="Z76" s="28">
        <f t="shared" si="31"/>
        <v>32000</v>
      </c>
      <c r="AA76" s="33">
        <v>4</v>
      </c>
      <c r="AB76" s="30">
        <f t="shared" si="13"/>
        <v>3072000</v>
      </c>
      <c r="AC76" s="123"/>
    </row>
    <row r="77" spans="1:29" ht="13.8" thickBot="1" x14ac:dyDescent="0.3">
      <c r="A77" s="125"/>
      <c r="B77" s="36" t="s">
        <v>21</v>
      </c>
      <c r="C77" s="28">
        <v>32000</v>
      </c>
      <c r="D77" s="28">
        <f t="shared" si="33"/>
        <v>32000</v>
      </c>
      <c r="E77" s="28">
        <f t="shared" si="33"/>
        <v>32000</v>
      </c>
      <c r="F77" s="28">
        <f t="shared" si="33"/>
        <v>32000</v>
      </c>
      <c r="G77" s="28">
        <f t="shared" si="33"/>
        <v>32000</v>
      </c>
      <c r="H77" s="28">
        <f t="shared" si="33"/>
        <v>32000</v>
      </c>
      <c r="I77" s="28">
        <f t="shared" si="33"/>
        <v>32000</v>
      </c>
      <c r="J77" s="28">
        <f t="shared" si="33"/>
        <v>32000</v>
      </c>
      <c r="K77" s="28">
        <f t="shared" si="33"/>
        <v>32000</v>
      </c>
      <c r="L77" s="28">
        <f t="shared" si="33"/>
        <v>32000</v>
      </c>
      <c r="M77" s="28">
        <f t="shared" si="33"/>
        <v>32000</v>
      </c>
      <c r="N77" s="28">
        <f t="shared" si="33"/>
        <v>32000</v>
      </c>
      <c r="O77" s="28">
        <f t="shared" si="33"/>
        <v>32000</v>
      </c>
      <c r="P77" s="28">
        <f t="shared" si="33"/>
        <v>32000</v>
      </c>
      <c r="Q77" s="28">
        <f t="shared" si="33"/>
        <v>32000</v>
      </c>
      <c r="R77" s="28">
        <f t="shared" si="33"/>
        <v>32000</v>
      </c>
      <c r="S77" s="28">
        <f t="shared" si="33"/>
        <v>32000</v>
      </c>
      <c r="T77" s="28">
        <f t="shared" si="31"/>
        <v>32000</v>
      </c>
      <c r="U77" s="28">
        <f t="shared" si="31"/>
        <v>32000</v>
      </c>
      <c r="V77" s="28">
        <f t="shared" si="31"/>
        <v>32000</v>
      </c>
      <c r="W77" s="28">
        <f t="shared" si="31"/>
        <v>32000</v>
      </c>
      <c r="X77" s="28">
        <f t="shared" si="31"/>
        <v>32000</v>
      </c>
      <c r="Y77" s="28">
        <f t="shared" si="31"/>
        <v>32000</v>
      </c>
      <c r="Z77" s="28">
        <f t="shared" si="31"/>
        <v>32000</v>
      </c>
      <c r="AA77" s="37">
        <v>6</v>
      </c>
      <c r="AB77" s="30">
        <f t="shared" si="13"/>
        <v>4608000</v>
      </c>
      <c r="AC77" s="124"/>
    </row>
  </sheetData>
  <mergeCells count="54">
    <mergeCell ref="A1:AD1"/>
    <mergeCell ref="A2:AD2"/>
    <mergeCell ref="A3:AD3"/>
    <mergeCell ref="AA4:AA5"/>
    <mergeCell ref="AB4:AB5"/>
    <mergeCell ref="AC4:AC5"/>
    <mergeCell ref="A6:A8"/>
    <mergeCell ref="AC6:AC8"/>
    <mergeCell ref="A9:A11"/>
    <mergeCell ref="AC9:AC11"/>
    <mergeCell ref="A12:A14"/>
    <mergeCell ref="AC12:AC14"/>
    <mergeCell ref="A15:A17"/>
    <mergeCell ref="AC15:AC17"/>
    <mergeCell ref="A18:A20"/>
    <mergeCell ref="AC18:AC20"/>
    <mergeCell ref="A21:A23"/>
    <mergeCell ref="AC21:AC23"/>
    <mergeCell ref="A24:A26"/>
    <mergeCell ref="AC24:AC26"/>
    <mergeCell ref="A27:A29"/>
    <mergeCell ref="AC27:AC29"/>
    <mergeCell ref="A30:A32"/>
    <mergeCell ref="AC30:AC32"/>
    <mergeCell ref="A33:A35"/>
    <mergeCell ref="AC33:AC35"/>
    <mergeCell ref="A36:A38"/>
    <mergeCell ref="AC36:AC38"/>
    <mergeCell ref="A39:A41"/>
    <mergeCell ref="AC39:AC41"/>
    <mergeCell ref="A42:A44"/>
    <mergeCell ref="AC42:AC44"/>
    <mergeCell ref="A45:A47"/>
    <mergeCell ref="AC45:AC47"/>
    <mergeCell ref="A48:A50"/>
    <mergeCell ref="AC48:AC50"/>
    <mergeCell ref="A51:A53"/>
    <mergeCell ref="AC51:AC53"/>
    <mergeCell ref="A54:A56"/>
    <mergeCell ref="AC54:AC56"/>
    <mergeCell ref="A57:A59"/>
    <mergeCell ref="AC57:AC59"/>
    <mergeCell ref="A60:A62"/>
    <mergeCell ref="AC60:AC62"/>
    <mergeCell ref="A63:A65"/>
    <mergeCell ref="AC63:AC65"/>
    <mergeCell ref="A66:A68"/>
    <mergeCell ref="AC66:AC68"/>
    <mergeCell ref="A69:A71"/>
    <mergeCell ref="AC69:AC71"/>
    <mergeCell ref="A72:A74"/>
    <mergeCell ref="AC72:AC74"/>
    <mergeCell ref="A75:A77"/>
    <mergeCell ref="AC75:AC77"/>
  </mergeCells>
  <printOptions horizontalCentered="1" verticalCentered="1"/>
  <pageMargins left="0.78740157480314965" right="0.78740157480314965" top="1.1811023622047245" bottom="0.98425196850393704" header="0" footer="0"/>
  <pageSetup scale="62" orientation="landscape" r:id="rId1"/>
  <headerFooter alignWithMargins="0"/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5E2AD-AD6E-4A16-8C5C-53C677FAEF71}">
  <sheetPr>
    <pageSetUpPr fitToPage="1"/>
  </sheetPr>
  <dimension ref="A1:G133"/>
  <sheetViews>
    <sheetView workbookViewId="0">
      <selection sqref="A1:D27"/>
    </sheetView>
  </sheetViews>
  <sheetFormatPr baseColWidth="10" defaultColWidth="11.44140625" defaultRowHeight="13.2" x14ac:dyDescent="0.25"/>
  <cols>
    <col min="1" max="1" width="19.44140625" style="7" customWidth="1"/>
    <col min="2" max="2" width="26.6640625" style="7" customWidth="1"/>
    <col min="3" max="3" width="10.5546875" style="7" customWidth="1"/>
    <col min="4" max="4" width="16.109375" style="7" customWidth="1"/>
    <col min="5" max="5" width="11.44140625" style="7"/>
    <col min="6" max="6" width="16.33203125" style="7" bestFit="1" customWidth="1"/>
    <col min="7" max="16384" width="11.44140625" style="7"/>
  </cols>
  <sheetData>
    <row r="1" spans="1:7" s="1" customFormat="1" ht="16.5" customHeight="1" x14ac:dyDescent="0.25">
      <c r="A1" s="99" t="s">
        <v>31</v>
      </c>
      <c r="B1" s="100"/>
      <c r="C1" s="100"/>
      <c r="D1" s="101"/>
    </row>
    <row r="2" spans="1:7" s="1" customFormat="1" ht="16.5" customHeight="1" x14ac:dyDescent="0.25">
      <c r="A2" s="102" t="s">
        <v>25</v>
      </c>
      <c r="B2" s="103"/>
      <c r="C2" s="103"/>
      <c r="D2" s="104"/>
    </row>
    <row r="3" spans="1:7" s="1" customFormat="1" ht="26.7" customHeight="1" x14ac:dyDescent="0.25">
      <c r="A3" s="105" t="s">
        <v>28</v>
      </c>
      <c r="B3" s="106"/>
      <c r="C3" s="106"/>
      <c r="D3" s="107"/>
    </row>
    <row r="4" spans="1:7" s="1" customFormat="1" ht="16.5" customHeight="1" thickBot="1" x14ac:dyDescent="0.3">
      <c r="A4" s="108"/>
      <c r="B4" s="109"/>
      <c r="C4" s="109"/>
      <c r="D4" s="110"/>
    </row>
    <row r="5" spans="1:7" s="2" customFormat="1" ht="15" customHeight="1" x14ac:dyDescent="0.25">
      <c r="A5" s="111" t="s">
        <v>1</v>
      </c>
      <c r="B5" s="114" t="s">
        <v>2</v>
      </c>
      <c r="C5" s="116" t="s">
        <v>0</v>
      </c>
      <c r="D5" s="117"/>
    </row>
    <row r="6" spans="1:7" s="2" customFormat="1" ht="25.95" customHeight="1" x14ac:dyDescent="0.25">
      <c r="A6" s="112"/>
      <c r="B6" s="115"/>
      <c r="C6" s="118" t="s">
        <v>3</v>
      </c>
      <c r="D6" s="119"/>
    </row>
    <row r="7" spans="1:7" s="2" customFormat="1" ht="13.8" thickBot="1" x14ac:dyDescent="0.3">
      <c r="A7" s="113"/>
      <c r="B7" s="3" t="s">
        <v>4</v>
      </c>
      <c r="C7" s="3" t="s">
        <v>5</v>
      </c>
      <c r="D7" s="4" t="s">
        <v>6</v>
      </c>
    </row>
    <row r="8" spans="1:7" ht="16.5" customHeight="1" x14ac:dyDescent="0.25">
      <c r="A8" s="5">
        <v>47849</v>
      </c>
      <c r="B8" s="6">
        <f>+VLOOKUP(A8,'Cant producto 3_2031'!$A:$AD,29,FALSE)</f>
        <v>29760000</v>
      </c>
      <c r="C8" s="92"/>
      <c r="D8" s="92"/>
      <c r="F8" s="8"/>
      <c r="G8" s="9"/>
    </row>
    <row r="9" spans="1:7" ht="16.5" customHeight="1" x14ac:dyDescent="0.25">
      <c r="A9" s="5">
        <v>47880</v>
      </c>
      <c r="B9" s="6">
        <f>+VLOOKUP(A9,'Cant producto 3_2031'!$A:$AD,29,FALSE)</f>
        <v>26880000</v>
      </c>
      <c r="C9" s="93"/>
      <c r="D9" s="93"/>
      <c r="F9" s="8"/>
      <c r="G9" s="9"/>
    </row>
    <row r="10" spans="1:7" ht="16.5" customHeight="1" x14ac:dyDescent="0.25">
      <c r="A10" s="5">
        <v>47908</v>
      </c>
      <c r="B10" s="6">
        <f>+VLOOKUP(A10,'Cant producto 3_2031'!$A:$AD,29,FALSE)</f>
        <v>29760000</v>
      </c>
      <c r="C10" s="93"/>
      <c r="D10" s="93"/>
      <c r="F10" s="8"/>
      <c r="G10" s="9"/>
    </row>
    <row r="11" spans="1:7" ht="16.5" customHeight="1" x14ac:dyDescent="0.25">
      <c r="A11" s="5">
        <v>47939</v>
      </c>
      <c r="B11" s="6">
        <f>+VLOOKUP(A11,'Cant producto 3_2031'!$A:$AD,29,FALSE)</f>
        <v>28800000</v>
      </c>
      <c r="C11" s="93"/>
      <c r="D11" s="93"/>
      <c r="F11" s="8"/>
      <c r="G11" s="9"/>
    </row>
    <row r="12" spans="1:7" ht="16.5" customHeight="1" x14ac:dyDescent="0.25">
      <c r="A12" s="5">
        <v>47969</v>
      </c>
      <c r="B12" s="6">
        <f>+VLOOKUP(A12,'Cant producto 3_2031'!$A:$AD,29,FALSE)</f>
        <v>29760000</v>
      </c>
      <c r="C12" s="93"/>
      <c r="D12" s="93"/>
      <c r="F12" s="8"/>
      <c r="G12" s="9"/>
    </row>
    <row r="13" spans="1:7" ht="16.5" customHeight="1" x14ac:dyDescent="0.25">
      <c r="A13" s="5">
        <v>48000</v>
      </c>
      <c r="B13" s="6">
        <f>+VLOOKUP(A13,'Cant producto 3_2031'!$A:$AD,29,FALSE)</f>
        <v>28800000</v>
      </c>
      <c r="C13" s="93"/>
      <c r="D13" s="93"/>
      <c r="F13" s="8"/>
      <c r="G13" s="9"/>
    </row>
    <row r="14" spans="1:7" ht="16.5" customHeight="1" x14ac:dyDescent="0.25">
      <c r="A14" s="5">
        <v>48030</v>
      </c>
      <c r="B14" s="6">
        <f>+VLOOKUP(A14,'Cant producto 3_2031'!$A:$AD,29,FALSE)</f>
        <v>29760000</v>
      </c>
      <c r="C14" s="93"/>
      <c r="D14" s="93"/>
      <c r="F14" s="8"/>
      <c r="G14" s="9"/>
    </row>
    <row r="15" spans="1:7" ht="16.5" customHeight="1" x14ac:dyDescent="0.25">
      <c r="A15" s="5">
        <v>48061</v>
      </c>
      <c r="B15" s="6">
        <f>+VLOOKUP(A15,'Cant producto 3_2031'!$A:$AD,29,FALSE)</f>
        <v>29760000</v>
      </c>
      <c r="C15" s="93"/>
      <c r="D15" s="93"/>
      <c r="F15" s="8"/>
      <c r="G15" s="9"/>
    </row>
    <row r="16" spans="1:7" ht="16.5" customHeight="1" x14ac:dyDescent="0.25">
      <c r="A16" s="5">
        <v>48092</v>
      </c>
      <c r="B16" s="6">
        <f>+VLOOKUP(A16,'Cant producto 3_2031'!$A:$AD,29,FALSE)</f>
        <v>28800000</v>
      </c>
      <c r="C16" s="93"/>
      <c r="D16" s="93"/>
      <c r="F16" s="8"/>
      <c r="G16" s="9"/>
    </row>
    <row r="17" spans="1:7" ht="16.5" customHeight="1" x14ac:dyDescent="0.25">
      <c r="A17" s="5">
        <v>48122</v>
      </c>
      <c r="B17" s="6">
        <f>+VLOOKUP(A17,'Cant producto 3_2031'!$A:$AD,29,FALSE)</f>
        <v>29760000</v>
      </c>
      <c r="C17" s="93"/>
      <c r="D17" s="93"/>
      <c r="F17" s="8"/>
      <c r="G17" s="9"/>
    </row>
    <row r="18" spans="1:7" ht="16.5" customHeight="1" x14ac:dyDescent="0.25">
      <c r="A18" s="5">
        <v>48153</v>
      </c>
      <c r="B18" s="6">
        <f>+VLOOKUP(A18,'Cant producto 3_2031'!$A:$AD,29,FALSE)</f>
        <v>28800000</v>
      </c>
      <c r="C18" s="93"/>
      <c r="D18" s="93"/>
      <c r="F18" s="8"/>
      <c r="G18" s="9"/>
    </row>
    <row r="19" spans="1:7" ht="16.5" customHeight="1" thickBot="1" x14ac:dyDescent="0.3">
      <c r="A19" s="53">
        <v>48183</v>
      </c>
      <c r="B19" s="54">
        <f>+VLOOKUP(A19,'Cant producto 3_2031'!$A:$AD,29,FALSE)</f>
        <v>29760000</v>
      </c>
      <c r="C19" s="94"/>
      <c r="D19" s="94"/>
      <c r="F19" s="8"/>
      <c r="G19" s="9"/>
    </row>
    <row r="20" spans="1:7" ht="16.5" customHeight="1" thickBot="1" x14ac:dyDescent="0.3">
      <c r="A20" s="11" t="s">
        <v>7</v>
      </c>
      <c r="B20" s="12">
        <f>SUM(B8:B19)</f>
        <v>350400000</v>
      </c>
      <c r="C20" s="13"/>
      <c r="D20" s="55"/>
      <c r="F20" s="8"/>
      <c r="G20" s="9"/>
    </row>
    <row r="21" spans="1:7" ht="16.5" customHeight="1" thickBot="1" x14ac:dyDescent="0.3">
      <c r="A21" s="95"/>
      <c r="B21" s="96"/>
      <c r="C21" s="96"/>
      <c r="D21" s="63"/>
      <c r="F21" s="8"/>
      <c r="G21" s="9"/>
    </row>
    <row r="22" spans="1:7" ht="16.5" customHeight="1" x14ac:dyDescent="0.25">
      <c r="A22" s="64" t="s">
        <v>8</v>
      </c>
      <c r="B22" s="60"/>
      <c r="C22" s="56"/>
      <c r="D22" s="65"/>
      <c r="F22" s="8"/>
      <c r="G22" s="9"/>
    </row>
    <row r="23" spans="1:7" ht="16.5" customHeight="1" x14ac:dyDescent="0.25">
      <c r="A23" s="97" t="s">
        <v>9</v>
      </c>
      <c r="B23" s="98"/>
      <c r="C23" s="56"/>
      <c r="D23" s="65"/>
      <c r="F23" s="8"/>
      <c r="G23" s="9"/>
    </row>
    <row r="24" spans="1:7" ht="16.5" customHeight="1" x14ac:dyDescent="0.25">
      <c r="A24" s="66"/>
      <c r="B24" s="56"/>
      <c r="C24" s="56"/>
      <c r="D24" s="65"/>
      <c r="F24" s="8"/>
      <c r="G24" s="9"/>
    </row>
    <row r="25" spans="1:7" ht="14.4" x14ac:dyDescent="0.3">
      <c r="A25" s="66" t="s">
        <v>10</v>
      </c>
      <c r="B25" s="67"/>
      <c r="C25" s="56"/>
      <c r="D25" s="65"/>
      <c r="F25"/>
    </row>
    <row r="26" spans="1:7" ht="14.4" x14ac:dyDescent="0.3">
      <c r="A26" s="85"/>
      <c r="B26" s="86"/>
      <c r="C26" s="86"/>
      <c r="D26" s="87"/>
      <c r="F26"/>
    </row>
    <row r="27" spans="1:7" ht="37.200000000000003" customHeight="1" thickBot="1" x14ac:dyDescent="0.35">
      <c r="A27" s="88" t="s">
        <v>11</v>
      </c>
      <c r="B27" s="89"/>
      <c r="C27" s="89"/>
      <c r="D27" s="90"/>
      <c r="F27"/>
    </row>
    <row r="28" spans="1:7" ht="16.5" customHeight="1" x14ac:dyDescent="0.25">
      <c r="D28" s="18"/>
      <c r="F28" s="8"/>
      <c r="G28" s="9"/>
    </row>
    <row r="29" spans="1:7" ht="16.5" customHeight="1" x14ac:dyDescent="0.25">
      <c r="F29" s="8"/>
      <c r="G29" s="9"/>
    </row>
    <row r="30" spans="1:7" ht="16.5" customHeight="1" x14ac:dyDescent="0.25">
      <c r="F30" s="8"/>
      <c r="G30" s="9"/>
    </row>
    <row r="31" spans="1:7" ht="16.5" customHeight="1" x14ac:dyDescent="0.25">
      <c r="F31" s="8"/>
      <c r="G31" s="9"/>
    </row>
    <row r="32" spans="1:7" ht="16.5" customHeight="1" x14ac:dyDescent="0.25">
      <c r="F32" s="8"/>
      <c r="G32" s="9"/>
    </row>
    <row r="33" spans="6:7" ht="16.5" customHeight="1" x14ac:dyDescent="0.25">
      <c r="F33" s="8"/>
      <c r="G33" s="9"/>
    </row>
    <row r="34" spans="6:7" ht="16.5" customHeight="1" x14ac:dyDescent="0.25">
      <c r="F34" s="8"/>
      <c r="G34" s="9"/>
    </row>
    <row r="35" spans="6:7" ht="16.5" customHeight="1" x14ac:dyDescent="0.25">
      <c r="F35" s="8"/>
      <c r="G35" s="9"/>
    </row>
    <row r="36" spans="6:7" ht="16.5" customHeight="1" x14ac:dyDescent="0.25">
      <c r="F36" s="8"/>
      <c r="G36" s="9"/>
    </row>
    <row r="37" spans="6:7" ht="16.5" customHeight="1" x14ac:dyDescent="0.25">
      <c r="F37" s="8"/>
      <c r="G37" s="9"/>
    </row>
    <row r="38" spans="6:7" ht="16.5" customHeight="1" x14ac:dyDescent="0.25">
      <c r="F38" s="8"/>
      <c r="G38" s="9"/>
    </row>
    <row r="39" spans="6:7" ht="16.5" customHeight="1" x14ac:dyDescent="0.25">
      <c r="F39" s="8"/>
      <c r="G39" s="9"/>
    </row>
    <row r="40" spans="6:7" ht="16.5" customHeight="1" x14ac:dyDescent="0.25">
      <c r="F40" s="8"/>
      <c r="G40" s="9"/>
    </row>
    <row r="41" spans="6:7" ht="16.5" customHeight="1" x14ac:dyDescent="0.25">
      <c r="F41" s="8"/>
      <c r="G41" s="9"/>
    </row>
    <row r="42" spans="6:7" ht="16.5" customHeight="1" x14ac:dyDescent="0.25">
      <c r="F42" s="8"/>
      <c r="G42" s="9"/>
    </row>
    <row r="43" spans="6:7" ht="16.5" customHeight="1" x14ac:dyDescent="0.25">
      <c r="F43" s="8"/>
      <c r="G43" s="9"/>
    </row>
    <row r="44" spans="6:7" ht="16.5" customHeight="1" x14ac:dyDescent="0.25">
      <c r="F44" s="8"/>
      <c r="G44" s="9"/>
    </row>
    <row r="45" spans="6:7" ht="16.5" customHeight="1" x14ac:dyDescent="0.25">
      <c r="F45" s="8"/>
      <c r="G45" s="9"/>
    </row>
    <row r="46" spans="6:7" ht="16.5" customHeight="1" x14ac:dyDescent="0.25">
      <c r="F46" s="8"/>
      <c r="G46" s="9"/>
    </row>
    <row r="47" spans="6:7" ht="16.5" customHeight="1" x14ac:dyDescent="0.25">
      <c r="F47" s="8"/>
      <c r="G47" s="9"/>
    </row>
    <row r="48" spans="6:7" ht="16.5" customHeight="1" x14ac:dyDescent="0.25">
      <c r="F48" s="8"/>
      <c r="G48" s="9"/>
    </row>
    <row r="49" spans="6:7" ht="16.5" customHeight="1" x14ac:dyDescent="0.25">
      <c r="F49" s="8"/>
      <c r="G49" s="9"/>
    </row>
    <row r="50" spans="6:7" ht="16.5" customHeight="1" x14ac:dyDescent="0.25">
      <c r="F50" s="8"/>
      <c r="G50" s="9"/>
    </row>
    <row r="51" spans="6:7" ht="16.5" customHeight="1" x14ac:dyDescent="0.25">
      <c r="F51" s="8"/>
      <c r="G51" s="9"/>
    </row>
    <row r="52" spans="6:7" ht="16.5" customHeight="1" x14ac:dyDescent="0.25">
      <c r="F52" s="8"/>
      <c r="G52" s="9"/>
    </row>
    <row r="53" spans="6:7" ht="16.5" customHeight="1" x14ac:dyDescent="0.25">
      <c r="F53" s="8"/>
      <c r="G53" s="9"/>
    </row>
    <row r="54" spans="6:7" ht="16.5" customHeight="1" x14ac:dyDescent="0.25">
      <c r="F54" s="8"/>
      <c r="G54" s="9"/>
    </row>
    <row r="55" spans="6:7" ht="16.5" customHeight="1" x14ac:dyDescent="0.25">
      <c r="F55" s="8"/>
      <c r="G55" s="9"/>
    </row>
    <row r="56" spans="6:7" ht="16.5" customHeight="1" x14ac:dyDescent="0.25">
      <c r="F56" s="8"/>
      <c r="G56" s="9"/>
    </row>
    <row r="57" spans="6:7" ht="16.5" customHeight="1" x14ac:dyDescent="0.25">
      <c r="F57" s="8"/>
      <c r="G57" s="9"/>
    </row>
    <row r="58" spans="6:7" ht="16.5" customHeight="1" x14ac:dyDescent="0.25">
      <c r="F58" s="8"/>
      <c r="G58" s="9"/>
    </row>
    <row r="59" spans="6:7" ht="16.5" customHeight="1" x14ac:dyDescent="0.25">
      <c r="F59" s="8"/>
      <c r="G59" s="9"/>
    </row>
    <row r="60" spans="6:7" ht="16.5" customHeight="1" x14ac:dyDescent="0.25">
      <c r="F60" s="8"/>
      <c r="G60" s="9"/>
    </row>
    <row r="61" spans="6:7" ht="16.5" customHeight="1" x14ac:dyDescent="0.25">
      <c r="F61" s="8"/>
      <c r="G61" s="9"/>
    </row>
    <row r="62" spans="6:7" ht="16.5" customHeight="1" x14ac:dyDescent="0.25">
      <c r="F62" s="8"/>
      <c r="G62" s="9"/>
    </row>
    <row r="63" spans="6:7" ht="16.5" customHeight="1" x14ac:dyDescent="0.25">
      <c r="F63" s="8"/>
      <c r="G63" s="9"/>
    </row>
    <row r="64" spans="6:7" ht="16.5" customHeight="1" x14ac:dyDescent="0.25">
      <c r="F64" s="8"/>
      <c r="G64" s="9"/>
    </row>
    <row r="65" spans="6:7" ht="16.5" customHeight="1" x14ac:dyDescent="0.25">
      <c r="F65" s="8"/>
      <c r="G65" s="9"/>
    </row>
    <row r="66" spans="6:7" ht="16.5" customHeight="1" x14ac:dyDescent="0.25">
      <c r="F66" s="8"/>
      <c r="G66" s="9"/>
    </row>
    <row r="67" spans="6:7" ht="16.5" customHeight="1" x14ac:dyDescent="0.25">
      <c r="F67" s="8"/>
      <c r="G67" s="9"/>
    </row>
    <row r="68" spans="6:7" ht="16.5" customHeight="1" x14ac:dyDescent="0.25">
      <c r="F68" s="8"/>
      <c r="G68" s="9"/>
    </row>
    <row r="69" spans="6:7" ht="16.5" customHeight="1" x14ac:dyDescent="0.25">
      <c r="F69" s="8"/>
      <c r="G69" s="9"/>
    </row>
    <row r="70" spans="6:7" ht="16.5" customHeight="1" x14ac:dyDescent="0.25">
      <c r="F70" s="8"/>
      <c r="G70" s="9"/>
    </row>
    <row r="71" spans="6:7" ht="16.5" customHeight="1" x14ac:dyDescent="0.25">
      <c r="F71" s="8"/>
      <c r="G71" s="9"/>
    </row>
    <row r="72" spans="6:7" ht="16.5" customHeight="1" x14ac:dyDescent="0.25">
      <c r="F72" s="8"/>
      <c r="G72" s="9"/>
    </row>
    <row r="73" spans="6:7" ht="16.5" customHeight="1" x14ac:dyDescent="0.25">
      <c r="F73" s="8"/>
      <c r="G73" s="9"/>
    </row>
    <row r="74" spans="6:7" ht="16.5" customHeight="1" x14ac:dyDescent="0.25">
      <c r="F74" s="8"/>
      <c r="G74" s="9"/>
    </row>
    <row r="75" spans="6:7" ht="16.5" customHeight="1" x14ac:dyDescent="0.25">
      <c r="F75" s="8"/>
      <c r="G75" s="9"/>
    </row>
    <row r="76" spans="6:7" ht="16.5" customHeight="1" x14ac:dyDescent="0.25">
      <c r="F76" s="8"/>
      <c r="G76" s="9"/>
    </row>
    <row r="77" spans="6:7" ht="16.5" customHeight="1" x14ac:dyDescent="0.25">
      <c r="F77" s="8"/>
      <c r="G77" s="9"/>
    </row>
    <row r="78" spans="6:7" ht="16.5" customHeight="1" x14ac:dyDescent="0.25">
      <c r="F78" s="8"/>
      <c r="G78" s="9"/>
    </row>
    <row r="79" spans="6:7" ht="16.5" customHeight="1" x14ac:dyDescent="0.25">
      <c r="F79" s="8"/>
      <c r="G79" s="9"/>
    </row>
    <row r="80" spans="6:7" ht="16.5" customHeight="1" x14ac:dyDescent="0.25">
      <c r="F80" s="8"/>
      <c r="G80" s="9"/>
    </row>
    <row r="81" spans="6:7" ht="16.5" customHeight="1" x14ac:dyDescent="0.25">
      <c r="F81" s="8"/>
      <c r="G81" s="9"/>
    </row>
    <row r="82" spans="6:7" ht="16.5" customHeight="1" x14ac:dyDescent="0.25">
      <c r="F82" s="8"/>
      <c r="G82" s="9"/>
    </row>
    <row r="83" spans="6:7" ht="16.5" customHeight="1" x14ac:dyDescent="0.25">
      <c r="F83" s="8"/>
      <c r="G83" s="9"/>
    </row>
    <row r="84" spans="6:7" ht="16.5" customHeight="1" x14ac:dyDescent="0.25">
      <c r="F84" s="8"/>
      <c r="G84" s="9"/>
    </row>
    <row r="85" spans="6:7" ht="16.5" customHeight="1" x14ac:dyDescent="0.25">
      <c r="F85" s="8"/>
      <c r="G85" s="9"/>
    </row>
    <row r="86" spans="6:7" ht="16.5" customHeight="1" x14ac:dyDescent="0.25">
      <c r="F86" s="8"/>
      <c r="G86" s="9"/>
    </row>
    <row r="87" spans="6:7" ht="16.5" customHeight="1" x14ac:dyDescent="0.25">
      <c r="F87" s="8"/>
      <c r="G87" s="9"/>
    </row>
    <row r="88" spans="6:7" ht="16.5" customHeight="1" x14ac:dyDescent="0.25">
      <c r="F88" s="8"/>
      <c r="G88" s="9"/>
    </row>
    <row r="89" spans="6:7" ht="16.5" customHeight="1" x14ac:dyDescent="0.25">
      <c r="F89" s="8"/>
      <c r="G89" s="9"/>
    </row>
    <row r="90" spans="6:7" ht="16.5" customHeight="1" x14ac:dyDescent="0.25">
      <c r="F90" s="8"/>
      <c r="G90" s="9"/>
    </row>
    <row r="91" spans="6:7" ht="16.5" customHeight="1" x14ac:dyDescent="0.25">
      <c r="F91" s="8"/>
      <c r="G91" s="9"/>
    </row>
    <row r="92" spans="6:7" ht="16.5" customHeight="1" x14ac:dyDescent="0.25">
      <c r="F92" s="8"/>
      <c r="G92" s="9"/>
    </row>
    <row r="93" spans="6:7" ht="16.5" customHeight="1" x14ac:dyDescent="0.25">
      <c r="F93" s="8"/>
      <c r="G93" s="9"/>
    </row>
    <row r="94" spans="6:7" ht="16.5" customHeight="1" x14ac:dyDescent="0.25">
      <c r="F94" s="8"/>
      <c r="G94" s="9"/>
    </row>
    <row r="95" spans="6:7" ht="16.5" customHeight="1" x14ac:dyDescent="0.25">
      <c r="F95" s="8"/>
      <c r="G95" s="9"/>
    </row>
    <row r="96" spans="6:7" ht="16.5" customHeight="1" x14ac:dyDescent="0.25">
      <c r="F96" s="8"/>
      <c r="G96" s="9"/>
    </row>
    <row r="97" spans="6:7" ht="16.5" customHeight="1" x14ac:dyDescent="0.25">
      <c r="F97" s="8"/>
      <c r="G97" s="9"/>
    </row>
    <row r="98" spans="6:7" ht="16.5" customHeight="1" x14ac:dyDescent="0.25">
      <c r="F98" s="8"/>
      <c r="G98" s="9"/>
    </row>
    <row r="99" spans="6:7" ht="16.5" customHeight="1" x14ac:dyDescent="0.25">
      <c r="F99" s="8"/>
      <c r="G99" s="9"/>
    </row>
    <row r="100" spans="6:7" ht="16.5" customHeight="1" x14ac:dyDescent="0.25">
      <c r="F100" s="8"/>
      <c r="G100" s="9"/>
    </row>
    <row r="101" spans="6:7" ht="16.5" customHeight="1" x14ac:dyDescent="0.25">
      <c r="F101" s="8"/>
      <c r="G101" s="9"/>
    </row>
    <row r="102" spans="6:7" ht="16.5" customHeight="1" x14ac:dyDescent="0.25">
      <c r="F102" s="8"/>
      <c r="G102" s="9"/>
    </row>
    <row r="103" spans="6:7" ht="16.5" customHeight="1" x14ac:dyDescent="0.25">
      <c r="F103" s="8"/>
      <c r="G103" s="14"/>
    </row>
    <row r="104" spans="6:7" ht="60" customHeight="1" x14ac:dyDescent="0.3">
      <c r="F104"/>
    </row>
    <row r="105" spans="6:7" ht="14.4" x14ac:dyDescent="0.3">
      <c r="F105"/>
    </row>
    <row r="106" spans="6:7" ht="14.4" x14ac:dyDescent="0.3">
      <c r="F106"/>
    </row>
    <row r="107" spans="6:7" ht="14.4" x14ac:dyDescent="0.3">
      <c r="F107"/>
    </row>
    <row r="108" spans="6:7" ht="14.4" x14ac:dyDescent="0.3">
      <c r="F108"/>
    </row>
    <row r="109" spans="6:7" ht="14.4" x14ac:dyDescent="0.3">
      <c r="F109"/>
    </row>
    <row r="110" spans="6:7" ht="14.4" x14ac:dyDescent="0.3">
      <c r="F110"/>
    </row>
    <row r="111" spans="6:7" ht="14.4" x14ac:dyDescent="0.3">
      <c r="F111"/>
    </row>
    <row r="112" spans="6:7" ht="14.4" x14ac:dyDescent="0.3">
      <c r="F112"/>
    </row>
    <row r="113" spans="6:6" ht="14.4" x14ac:dyDescent="0.3">
      <c r="F113"/>
    </row>
    <row r="114" spans="6:6" ht="14.4" x14ac:dyDescent="0.3">
      <c r="F114"/>
    </row>
    <row r="115" spans="6:6" ht="14.4" x14ac:dyDescent="0.3">
      <c r="F115"/>
    </row>
    <row r="116" spans="6:6" ht="14.4" x14ac:dyDescent="0.3">
      <c r="F116"/>
    </row>
    <row r="117" spans="6:6" ht="14.4" x14ac:dyDescent="0.3">
      <c r="F117"/>
    </row>
    <row r="118" spans="6:6" ht="14.4" x14ac:dyDescent="0.3">
      <c r="F118"/>
    </row>
    <row r="119" spans="6:6" ht="14.4" x14ac:dyDescent="0.3">
      <c r="F119"/>
    </row>
    <row r="120" spans="6:6" ht="14.4" x14ac:dyDescent="0.3">
      <c r="F120"/>
    </row>
    <row r="121" spans="6:6" ht="14.4" x14ac:dyDescent="0.3">
      <c r="F121"/>
    </row>
    <row r="122" spans="6:6" ht="14.4" x14ac:dyDescent="0.3">
      <c r="F122"/>
    </row>
    <row r="123" spans="6:6" ht="14.4" x14ac:dyDescent="0.3">
      <c r="F123"/>
    </row>
    <row r="124" spans="6:6" ht="14.4" x14ac:dyDescent="0.3">
      <c r="F124"/>
    </row>
    <row r="125" spans="6:6" ht="14.4" x14ac:dyDescent="0.3">
      <c r="F125"/>
    </row>
    <row r="126" spans="6:6" ht="14.4" x14ac:dyDescent="0.3">
      <c r="F126"/>
    </row>
    <row r="127" spans="6:6" ht="14.4" x14ac:dyDescent="0.3">
      <c r="F127"/>
    </row>
    <row r="128" spans="6:6" ht="14.4" x14ac:dyDescent="0.3">
      <c r="F128"/>
    </row>
    <row r="129" spans="6:6" ht="14.4" x14ac:dyDescent="0.3">
      <c r="F129"/>
    </row>
    <row r="130" spans="6:6" ht="14.4" x14ac:dyDescent="0.3">
      <c r="F130"/>
    </row>
    <row r="131" spans="6:6" ht="14.4" x14ac:dyDescent="0.3">
      <c r="F131"/>
    </row>
    <row r="132" spans="6:6" ht="14.4" x14ac:dyDescent="0.3">
      <c r="F132"/>
    </row>
    <row r="133" spans="6:6" ht="14.4" x14ac:dyDescent="0.3">
      <c r="F133"/>
    </row>
  </sheetData>
  <mergeCells count="14">
    <mergeCell ref="A27:D27"/>
    <mergeCell ref="A1:D1"/>
    <mergeCell ref="A2:D2"/>
    <mergeCell ref="A3:D3"/>
    <mergeCell ref="A4:D4"/>
    <mergeCell ref="A5:A7"/>
    <mergeCell ref="B5:B6"/>
    <mergeCell ref="C5:D5"/>
    <mergeCell ref="C6:D6"/>
    <mergeCell ref="C8:C19"/>
    <mergeCell ref="D8:D19"/>
    <mergeCell ref="A21:C21"/>
    <mergeCell ref="A23:B23"/>
    <mergeCell ref="A26:D26"/>
  </mergeCells>
  <printOptions horizontalCentered="1" verticalCentered="1"/>
  <pageMargins left="0.98425196850393704" right="0.98425196850393704" top="1.3779527559055118" bottom="1.3779527559055118" header="0.70866141732283472" footer="0.51181102362204722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7639B-DA5D-4D78-B139-20C8D9575AA8}">
  <sheetPr>
    <pageSetUpPr fitToPage="1"/>
  </sheetPr>
  <dimension ref="A1:AF42"/>
  <sheetViews>
    <sheetView topLeftCell="A12" workbookViewId="0">
      <selection sqref="A1:AD41"/>
    </sheetView>
  </sheetViews>
  <sheetFormatPr baseColWidth="10" defaultColWidth="11.44140625" defaultRowHeight="13.2" x14ac:dyDescent="0.25"/>
  <cols>
    <col min="1" max="1" width="7.6640625" style="7" bestFit="1" customWidth="1"/>
    <col min="2" max="2" width="9.5546875" style="7" bestFit="1" customWidth="1"/>
    <col min="3" max="26" width="6.6640625" style="7" bestFit="1" customWidth="1"/>
    <col min="27" max="27" width="5.6640625" style="7" bestFit="1" customWidth="1"/>
    <col min="28" max="29" width="8.44140625" style="7" bestFit="1" customWidth="1"/>
    <col min="30" max="30" width="3.44140625" style="7" customWidth="1"/>
    <col min="31" max="16384" width="11.44140625" style="7"/>
  </cols>
  <sheetData>
    <row r="1" spans="1:32" x14ac:dyDescent="0.25">
      <c r="A1" s="80" t="s">
        <v>12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</row>
    <row r="2" spans="1:32" ht="15" customHeight="1" x14ac:dyDescent="0.25">
      <c r="A2" s="80" t="s">
        <v>34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</row>
    <row r="3" spans="1:32" ht="13.8" thickBot="1" x14ac:dyDescent="0.3">
      <c r="A3" s="80" t="s">
        <v>26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</row>
    <row r="4" spans="1:32" x14ac:dyDescent="0.25">
      <c r="A4" s="21"/>
      <c r="B4" s="22" t="s">
        <v>13</v>
      </c>
      <c r="C4" s="23">
        <v>1</v>
      </c>
      <c r="D4" s="23">
        <v>2</v>
      </c>
      <c r="E4" s="23">
        <v>3</v>
      </c>
      <c r="F4" s="23">
        <v>4</v>
      </c>
      <c r="G4" s="23">
        <v>5</v>
      </c>
      <c r="H4" s="23">
        <v>6</v>
      </c>
      <c r="I4" s="23">
        <v>7</v>
      </c>
      <c r="J4" s="23">
        <v>8</v>
      </c>
      <c r="K4" s="23">
        <v>9</v>
      </c>
      <c r="L4" s="23">
        <v>10</v>
      </c>
      <c r="M4" s="23">
        <v>11</v>
      </c>
      <c r="N4" s="23">
        <v>12</v>
      </c>
      <c r="O4" s="23">
        <v>13</v>
      </c>
      <c r="P4" s="23">
        <v>14</v>
      </c>
      <c r="Q4" s="23">
        <v>15</v>
      </c>
      <c r="R4" s="23">
        <v>16</v>
      </c>
      <c r="S4" s="23">
        <v>17</v>
      </c>
      <c r="T4" s="23">
        <v>18</v>
      </c>
      <c r="U4" s="23">
        <v>19</v>
      </c>
      <c r="V4" s="23">
        <v>20</v>
      </c>
      <c r="W4" s="23">
        <v>21</v>
      </c>
      <c r="X4" s="23">
        <v>22</v>
      </c>
      <c r="Y4" s="23">
        <v>23</v>
      </c>
      <c r="Z4" s="23">
        <v>24</v>
      </c>
      <c r="AA4" s="81" t="s">
        <v>14</v>
      </c>
      <c r="AB4" s="81" t="s">
        <v>7</v>
      </c>
      <c r="AC4" s="83" t="s">
        <v>15</v>
      </c>
      <c r="AD4" s="24"/>
    </row>
    <row r="5" spans="1:32" ht="13.8" thickBot="1" x14ac:dyDescent="0.3">
      <c r="A5" s="25" t="s">
        <v>16</v>
      </c>
      <c r="B5" s="26" t="s">
        <v>17</v>
      </c>
      <c r="C5" s="27" t="s">
        <v>18</v>
      </c>
      <c r="D5" s="27" t="s">
        <v>18</v>
      </c>
      <c r="E5" s="27" t="s">
        <v>18</v>
      </c>
      <c r="F5" s="27" t="s">
        <v>18</v>
      </c>
      <c r="G5" s="27" t="s">
        <v>18</v>
      </c>
      <c r="H5" s="27" t="s">
        <v>18</v>
      </c>
      <c r="I5" s="27" t="s">
        <v>18</v>
      </c>
      <c r="J5" s="27" t="s">
        <v>18</v>
      </c>
      <c r="K5" s="27" t="s">
        <v>18</v>
      </c>
      <c r="L5" s="27" t="s">
        <v>18</v>
      </c>
      <c r="M5" s="27" t="s">
        <v>18</v>
      </c>
      <c r="N5" s="27" t="s">
        <v>18</v>
      </c>
      <c r="O5" s="27" t="s">
        <v>18</v>
      </c>
      <c r="P5" s="27" t="s">
        <v>18</v>
      </c>
      <c r="Q5" s="27" t="s">
        <v>18</v>
      </c>
      <c r="R5" s="27" t="s">
        <v>18</v>
      </c>
      <c r="S5" s="27" t="s">
        <v>18</v>
      </c>
      <c r="T5" s="27" t="s">
        <v>18</v>
      </c>
      <c r="U5" s="27" t="s">
        <v>18</v>
      </c>
      <c r="V5" s="27" t="s">
        <v>18</v>
      </c>
      <c r="W5" s="27" t="s">
        <v>18</v>
      </c>
      <c r="X5" s="27" t="s">
        <v>18</v>
      </c>
      <c r="Y5" s="27" t="s">
        <v>18</v>
      </c>
      <c r="Z5" s="27" t="s">
        <v>18</v>
      </c>
      <c r="AA5" s="127"/>
      <c r="AB5" s="127"/>
      <c r="AC5" s="128"/>
      <c r="AD5" s="24"/>
    </row>
    <row r="6" spans="1:32" ht="13.8" thickBot="1" x14ac:dyDescent="0.3">
      <c r="A6" s="126">
        <v>47849</v>
      </c>
      <c r="B6" s="23" t="s">
        <v>19</v>
      </c>
      <c r="C6" s="28">
        <v>40000</v>
      </c>
      <c r="D6" s="28">
        <f t="shared" ref="D6:S21" si="0">+C6</f>
        <v>40000</v>
      </c>
      <c r="E6" s="28">
        <f t="shared" si="0"/>
        <v>40000</v>
      </c>
      <c r="F6" s="28">
        <f t="shared" si="0"/>
        <v>40000</v>
      </c>
      <c r="G6" s="28">
        <f t="shared" si="0"/>
        <v>40000</v>
      </c>
      <c r="H6" s="28">
        <f t="shared" si="0"/>
        <v>40000</v>
      </c>
      <c r="I6" s="28">
        <f t="shared" si="0"/>
        <v>40000</v>
      </c>
      <c r="J6" s="28">
        <f t="shared" si="0"/>
        <v>40000</v>
      </c>
      <c r="K6" s="28">
        <f t="shared" si="0"/>
        <v>40000</v>
      </c>
      <c r="L6" s="28">
        <f t="shared" si="0"/>
        <v>40000</v>
      </c>
      <c r="M6" s="28">
        <f t="shared" si="0"/>
        <v>40000</v>
      </c>
      <c r="N6" s="28">
        <f t="shared" si="0"/>
        <v>40000</v>
      </c>
      <c r="O6" s="28">
        <f t="shared" si="0"/>
        <v>40000</v>
      </c>
      <c r="P6" s="28">
        <f t="shared" si="0"/>
        <v>40000</v>
      </c>
      <c r="Q6" s="28">
        <f t="shared" si="0"/>
        <v>40000</v>
      </c>
      <c r="R6" s="28">
        <f t="shared" si="0"/>
        <v>40000</v>
      </c>
      <c r="S6" s="28">
        <f t="shared" si="0"/>
        <v>40000</v>
      </c>
      <c r="T6" s="28">
        <f t="shared" ref="T6:Z20" si="1">+S6</f>
        <v>40000</v>
      </c>
      <c r="U6" s="28">
        <f t="shared" si="1"/>
        <v>40000</v>
      </c>
      <c r="V6" s="28">
        <f t="shared" si="1"/>
        <v>40000</v>
      </c>
      <c r="W6" s="28">
        <f t="shared" si="1"/>
        <v>40000</v>
      </c>
      <c r="X6" s="28">
        <f t="shared" si="1"/>
        <v>40000</v>
      </c>
      <c r="Y6" s="28">
        <f t="shared" si="1"/>
        <v>40000</v>
      </c>
      <c r="Z6" s="28">
        <f t="shared" si="1"/>
        <v>40000</v>
      </c>
      <c r="AA6" s="29">
        <v>21</v>
      </c>
      <c r="AB6" s="30">
        <f t="shared" ref="AB6:AB41" si="2">+SUM(C6:Z6)*AA6</f>
        <v>20160000</v>
      </c>
      <c r="AC6" s="122">
        <f t="shared" ref="AC6" si="3">+AB6+AB7+AB8</f>
        <v>29760000</v>
      </c>
      <c r="AF6" s="31"/>
    </row>
    <row r="7" spans="1:32" ht="13.8" thickBot="1" x14ac:dyDescent="0.3">
      <c r="A7" s="121"/>
      <c r="B7" s="32" t="s">
        <v>20</v>
      </c>
      <c r="C7" s="28">
        <v>40000</v>
      </c>
      <c r="D7" s="28">
        <f t="shared" si="0"/>
        <v>40000</v>
      </c>
      <c r="E7" s="28">
        <f t="shared" si="0"/>
        <v>40000</v>
      </c>
      <c r="F7" s="28">
        <f t="shared" si="0"/>
        <v>40000</v>
      </c>
      <c r="G7" s="28">
        <f t="shared" si="0"/>
        <v>40000</v>
      </c>
      <c r="H7" s="28">
        <f t="shared" si="0"/>
        <v>40000</v>
      </c>
      <c r="I7" s="28">
        <f t="shared" si="0"/>
        <v>40000</v>
      </c>
      <c r="J7" s="28">
        <f t="shared" si="0"/>
        <v>40000</v>
      </c>
      <c r="K7" s="28">
        <f t="shared" si="0"/>
        <v>40000</v>
      </c>
      <c r="L7" s="28">
        <f t="shared" si="0"/>
        <v>40000</v>
      </c>
      <c r="M7" s="28">
        <f t="shared" si="0"/>
        <v>40000</v>
      </c>
      <c r="N7" s="28">
        <f t="shared" si="0"/>
        <v>40000</v>
      </c>
      <c r="O7" s="28">
        <f t="shared" si="0"/>
        <v>40000</v>
      </c>
      <c r="P7" s="28">
        <f t="shared" si="0"/>
        <v>40000</v>
      </c>
      <c r="Q7" s="28">
        <f t="shared" si="0"/>
        <v>40000</v>
      </c>
      <c r="R7" s="28">
        <f t="shared" si="0"/>
        <v>40000</v>
      </c>
      <c r="S7" s="28">
        <f t="shared" si="0"/>
        <v>40000</v>
      </c>
      <c r="T7" s="28">
        <f t="shared" si="1"/>
        <v>40000</v>
      </c>
      <c r="U7" s="28">
        <f t="shared" si="1"/>
        <v>40000</v>
      </c>
      <c r="V7" s="28">
        <f t="shared" si="1"/>
        <v>40000</v>
      </c>
      <c r="W7" s="28">
        <f t="shared" si="1"/>
        <v>40000</v>
      </c>
      <c r="X7" s="28">
        <f t="shared" si="1"/>
        <v>40000</v>
      </c>
      <c r="Y7" s="28">
        <f t="shared" si="1"/>
        <v>40000</v>
      </c>
      <c r="Z7" s="28">
        <f t="shared" si="1"/>
        <v>40000</v>
      </c>
      <c r="AA7" s="33">
        <v>4</v>
      </c>
      <c r="AB7" s="30">
        <f t="shared" si="2"/>
        <v>3840000</v>
      </c>
      <c r="AC7" s="123"/>
      <c r="AF7" s="31"/>
    </row>
    <row r="8" spans="1:32" ht="13.8" thickBot="1" x14ac:dyDescent="0.3">
      <c r="A8" s="121"/>
      <c r="B8" s="32" t="s">
        <v>21</v>
      </c>
      <c r="C8" s="28">
        <v>40000</v>
      </c>
      <c r="D8" s="28">
        <f t="shared" si="0"/>
        <v>40000</v>
      </c>
      <c r="E8" s="28">
        <f t="shared" si="0"/>
        <v>40000</v>
      </c>
      <c r="F8" s="28">
        <f t="shared" si="0"/>
        <v>40000</v>
      </c>
      <c r="G8" s="28">
        <f t="shared" si="0"/>
        <v>40000</v>
      </c>
      <c r="H8" s="28">
        <f t="shared" si="0"/>
        <v>40000</v>
      </c>
      <c r="I8" s="28">
        <f t="shared" si="0"/>
        <v>40000</v>
      </c>
      <c r="J8" s="28">
        <f t="shared" si="0"/>
        <v>40000</v>
      </c>
      <c r="K8" s="28">
        <f t="shared" si="0"/>
        <v>40000</v>
      </c>
      <c r="L8" s="28">
        <f t="shared" si="0"/>
        <v>40000</v>
      </c>
      <c r="M8" s="28">
        <f t="shared" si="0"/>
        <v>40000</v>
      </c>
      <c r="N8" s="28">
        <f t="shared" si="0"/>
        <v>40000</v>
      </c>
      <c r="O8" s="28">
        <f t="shared" si="0"/>
        <v>40000</v>
      </c>
      <c r="P8" s="28">
        <f t="shared" si="0"/>
        <v>40000</v>
      </c>
      <c r="Q8" s="28">
        <f t="shared" si="0"/>
        <v>40000</v>
      </c>
      <c r="R8" s="28">
        <f t="shared" si="0"/>
        <v>40000</v>
      </c>
      <c r="S8" s="28">
        <f t="shared" si="0"/>
        <v>40000</v>
      </c>
      <c r="T8" s="28">
        <f t="shared" si="1"/>
        <v>40000</v>
      </c>
      <c r="U8" s="28">
        <f t="shared" si="1"/>
        <v>40000</v>
      </c>
      <c r="V8" s="28">
        <f t="shared" si="1"/>
        <v>40000</v>
      </c>
      <c r="W8" s="28">
        <f t="shared" si="1"/>
        <v>40000</v>
      </c>
      <c r="X8" s="28">
        <f t="shared" si="1"/>
        <v>40000</v>
      </c>
      <c r="Y8" s="28">
        <f t="shared" si="1"/>
        <v>40000</v>
      </c>
      <c r="Z8" s="28">
        <f t="shared" si="1"/>
        <v>40000</v>
      </c>
      <c r="AA8" s="33">
        <v>6</v>
      </c>
      <c r="AB8" s="30">
        <f t="shared" si="2"/>
        <v>5760000</v>
      </c>
      <c r="AC8" s="124"/>
      <c r="AF8" s="31"/>
    </row>
    <row r="9" spans="1:32" ht="14.4" thickTop="1" thickBot="1" x14ac:dyDescent="0.3">
      <c r="A9" s="120">
        <v>47880</v>
      </c>
      <c r="B9" s="34" t="s">
        <v>19</v>
      </c>
      <c r="C9" s="28">
        <v>40000</v>
      </c>
      <c r="D9" s="28">
        <f t="shared" si="0"/>
        <v>40000</v>
      </c>
      <c r="E9" s="28">
        <f t="shared" si="0"/>
        <v>40000</v>
      </c>
      <c r="F9" s="28">
        <f t="shared" si="0"/>
        <v>40000</v>
      </c>
      <c r="G9" s="28">
        <f t="shared" si="0"/>
        <v>40000</v>
      </c>
      <c r="H9" s="28">
        <f t="shared" si="0"/>
        <v>40000</v>
      </c>
      <c r="I9" s="28">
        <f t="shared" si="0"/>
        <v>40000</v>
      </c>
      <c r="J9" s="28">
        <f t="shared" si="0"/>
        <v>40000</v>
      </c>
      <c r="K9" s="28">
        <f t="shared" si="0"/>
        <v>40000</v>
      </c>
      <c r="L9" s="28">
        <f t="shared" si="0"/>
        <v>40000</v>
      </c>
      <c r="M9" s="28">
        <f t="shared" si="0"/>
        <v>40000</v>
      </c>
      <c r="N9" s="28">
        <f t="shared" si="0"/>
        <v>40000</v>
      </c>
      <c r="O9" s="28">
        <f t="shared" si="0"/>
        <v>40000</v>
      </c>
      <c r="P9" s="28">
        <f t="shared" si="0"/>
        <v>40000</v>
      </c>
      <c r="Q9" s="28">
        <f t="shared" si="0"/>
        <v>40000</v>
      </c>
      <c r="R9" s="28">
        <f t="shared" si="0"/>
        <v>40000</v>
      </c>
      <c r="S9" s="28">
        <f t="shared" si="0"/>
        <v>40000</v>
      </c>
      <c r="T9" s="28">
        <f t="shared" si="1"/>
        <v>40000</v>
      </c>
      <c r="U9" s="28">
        <f t="shared" si="1"/>
        <v>40000</v>
      </c>
      <c r="V9" s="28">
        <f t="shared" si="1"/>
        <v>40000</v>
      </c>
      <c r="W9" s="28">
        <f t="shared" si="1"/>
        <v>40000</v>
      </c>
      <c r="X9" s="28">
        <f t="shared" si="1"/>
        <v>40000</v>
      </c>
      <c r="Y9" s="28">
        <f t="shared" si="1"/>
        <v>40000</v>
      </c>
      <c r="Z9" s="28">
        <f t="shared" si="1"/>
        <v>40000</v>
      </c>
      <c r="AA9" s="33">
        <v>20</v>
      </c>
      <c r="AB9" s="30">
        <f t="shared" si="2"/>
        <v>19200000</v>
      </c>
      <c r="AC9" s="122">
        <f t="shared" ref="AC9" si="4">+AB9+AB10+AB11</f>
        <v>26880000</v>
      </c>
      <c r="AF9" s="31"/>
    </row>
    <row r="10" spans="1:32" ht="13.8" thickBot="1" x14ac:dyDescent="0.3">
      <c r="A10" s="121"/>
      <c r="B10" s="32" t="s">
        <v>20</v>
      </c>
      <c r="C10" s="28">
        <v>40000</v>
      </c>
      <c r="D10" s="28">
        <f t="shared" si="0"/>
        <v>40000</v>
      </c>
      <c r="E10" s="28">
        <f t="shared" si="0"/>
        <v>40000</v>
      </c>
      <c r="F10" s="28">
        <f t="shared" si="0"/>
        <v>40000</v>
      </c>
      <c r="G10" s="28">
        <f t="shared" si="0"/>
        <v>40000</v>
      </c>
      <c r="H10" s="28">
        <f t="shared" si="0"/>
        <v>40000</v>
      </c>
      <c r="I10" s="28">
        <f t="shared" si="0"/>
        <v>40000</v>
      </c>
      <c r="J10" s="28">
        <f t="shared" si="0"/>
        <v>40000</v>
      </c>
      <c r="K10" s="28">
        <f t="shared" si="0"/>
        <v>40000</v>
      </c>
      <c r="L10" s="28">
        <f t="shared" si="0"/>
        <v>40000</v>
      </c>
      <c r="M10" s="28">
        <f t="shared" si="0"/>
        <v>40000</v>
      </c>
      <c r="N10" s="28">
        <f t="shared" si="0"/>
        <v>40000</v>
      </c>
      <c r="O10" s="28">
        <f t="shared" si="0"/>
        <v>40000</v>
      </c>
      <c r="P10" s="28">
        <f t="shared" si="0"/>
        <v>40000</v>
      </c>
      <c r="Q10" s="28">
        <f t="shared" si="0"/>
        <v>40000</v>
      </c>
      <c r="R10" s="28">
        <f t="shared" si="0"/>
        <v>40000</v>
      </c>
      <c r="S10" s="28">
        <f t="shared" si="0"/>
        <v>40000</v>
      </c>
      <c r="T10" s="28">
        <f t="shared" si="1"/>
        <v>40000</v>
      </c>
      <c r="U10" s="28">
        <f t="shared" si="1"/>
        <v>40000</v>
      </c>
      <c r="V10" s="28">
        <f t="shared" si="1"/>
        <v>40000</v>
      </c>
      <c r="W10" s="28">
        <f t="shared" si="1"/>
        <v>40000</v>
      </c>
      <c r="X10" s="28">
        <f t="shared" si="1"/>
        <v>40000</v>
      </c>
      <c r="Y10" s="28">
        <f t="shared" si="1"/>
        <v>40000</v>
      </c>
      <c r="Z10" s="28">
        <f t="shared" si="1"/>
        <v>40000</v>
      </c>
      <c r="AA10" s="33">
        <v>4</v>
      </c>
      <c r="AB10" s="30">
        <f t="shared" si="2"/>
        <v>3840000</v>
      </c>
      <c r="AC10" s="123"/>
      <c r="AF10" s="31"/>
    </row>
    <row r="11" spans="1:32" ht="13.8" thickBot="1" x14ac:dyDescent="0.3">
      <c r="A11" s="121"/>
      <c r="B11" s="32" t="s">
        <v>21</v>
      </c>
      <c r="C11" s="28">
        <v>40000</v>
      </c>
      <c r="D11" s="28">
        <f t="shared" si="0"/>
        <v>40000</v>
      </c>
      <c r="E11" s="28">
        <f t="shared" si="0"/>
        <v>40000</v>
      </c>
      <c r="F11" s="28">
        <f t="shared" si="0"/>
        <v>40000</v>
      </c>
      <c r="G11" s="28">
        <f t="shared" si="0"/>
        <v>40000</v>
      </c>
      <c r="H11" s="28">
        <f t="shared" si="0"/>
        <v>40000</v>
      </c>
      <c r="I11" s="28">
        <f t="shared" si="0"/>
        <v>40000</v>
      </c>
      <c r="J11" s="28">
        <f t="shared" si="0"/>
        <v>40000</v>
      </c>
      <c r="K11" s="28">
        <f t="shared" si="0"/>
        <v>40000</v>
      </c>
      <c r="L11" s="28">
        <f t="shared" si="0"/>
        <v>40000</v>
      </c>
      <c r="M11" s="28">
        <f t="shared" si="0"/>
        <v>40000</v>
      </c>
      <c r="N11" s="28">
        <f t="shared" si="0"/>
        <v>40000</v>
      </c>
      <c r="O11" s="28">
        <f t="shared" si="0"/>
        <v>40000</v>
      </c>
      <c r="P11" s="28">
        <f t="shared" si="0"/>
        <v>40000</v>
      </c>
      <c r="Q11" s="28">
        <f t="shared" si="0"/>
        <v>40000</v>
      </c>
      <c r="R11" s="28">
        <f t="shared" si="0"/>
        <v>40000</v>
      </c>
      <c r="S11" s="28">
        <f t="shared" si="0"/>
        <v>40000</v>
      </c>
      <c r="T11" s="28">
        <f t="shared" si="1"/>
        <v>40000</v>
      </c>
      <c r="U11" s="28">
        <f t="shared" si="1"/>
        <v>40000</v>
      </c>
      <c r="V11" s="28">
        <f t="shared" si="1"/>
        <v>40000</v>
      </c>
      <c r="W11" s="28">
        <f t="shared" si="1"/>
        <v>40000</v>
      </c>
      <c r="X11" s="28">
        <f t="shared" si="1"/>
        <v>40000</v>
      </c>
      <c r="Y11" s="28">
        <f t="shared" si="1"/>
        <v>40000</v>
      </c>
      <c r="Z11" s="28">
        <f t="shared" si="1"/>
        <v>40000</v>
      </c>
      <c r="AA11" s="33">
        <v>4</v>
      </c>
      <c r="AB11" s="30">
        <f t="shared" si="2"/>
        <v>3840000</v>
      </c>
      <c r="AC11" s="124"/>
      <c r="AF11" s="31"/>
    </row>
    <row r="12" spans="1:32" ht="14.4" thickTop="1" thickBot="1" x14ac:dyDescent="0.3">
      <c r="A12" s="120">
        <v>47908</v>
      </c>
      <c r="B12" s="34" t="s">
        <v>19</v>
      </c>
      <c r="C12" s="28">
        <v>40000</v>
      </c>
      <c r="D12" s="28">
        <f t="shared" si="0"/>
        <v>40000</v>
      </c>
      <c r="E12" s="28">
        <f t="shared" si="0"/>
        <v>40000</v>
      </c>
      <c r="F12" s="28">
        <f t="shared" si="0"/>
        <v>40000</v>
      </c>
      <c r="G12" s="28">
        <f t="shared" si="0"/>
        <v>40000</v>
      </c>
      <c r="H12" s="28">
        <f t="shared" si="0"/>
        <v>40000</v>
      </c>
      <c r="I12" s="28">
        <f t="shared" si="0"/>
        <v>40000</v>
      </c>
      <c r="J12" s="28">
        <f t="shared" si="0"/>
        <v>40000</v>
      </c>
      <c r="K12" s="28">
        <f t="shared" si="0"/>
        <v>40000</v>
      </c>
      <c r="L12" s="28">
        <f t="shared" si="0"/>
        <v>40000</v>
      </c>
      <c r="M12" s="28">
        <f t="shared" si="0"/>
        <v>40000</v>
      </c>
      <c r="N12" s="28">
        <f t="shared" si="0"/>
        <v>40000</v>
      </c>
      <c r="O12" s="28">
        <f t="shared" si="0"/>
        <v>40000</v>
      </c>
      <c r="P12" s="28">
        <f t="shared" si="0"/>
        <v>40000</v>
      </c>
      <c r="Q12" s="28">
        <f t="shared" si="0"/>
        <v>40000</v>
      </c>
      <c r="R12" s="28">
        <f t="shared" si="0"/>
        <v>40000</v>
      </c>
      <c r="S12" s="28">
        <f t="shared" si="0"/>
        <v>40000</v>
      </c>
      <c r="T12" s="28">
        <f t="shared" si="1"/>
        <v>40000</v>
      </c>
      <c r="U12" s="28">
        <f t="shared" si="1"/>
        <v>40000</v>
      </c>
      <c r="V12" s="28">
        <f t="shared" si="1"/>
        <v>40000</v>
      </c>
      <c r="W12" s="28">
        <f t="shared" si="1"/>
        <v>40000</v>
      </c>
      <c r="X12" s="28">
        <f t="shared" si="1"/>
        <v>40000</v>
      </c>
      <c r="Y12" s="28">
        <f t="shared" si="1"/>
        <v>40000</v>
      </c>
      <c r="Z12" s="28">
        <f t="shared" si="1"/>
        <v>40000</v>
      </c>
      <c r="AA12" s="33">
        <v>20</v>
      </c>
      <c r="AB12" s="30">
        <f t="shared" si="2"/>
        <v>19200000</v>
      </c>
      <c r="AC12" s="122">
        <f t="shared" ref="AC12" si="5">+AB12+AB13+AB14</f>
        <v>29760000</v>
      </c>
      <c r="AF12" s="31"/>
    </row>
    <row r="13" spans="1:32" ht="13.8" thickBot="1" x14ac:dyDescent="0.3">
      <c r="A13" s="121"/>
      <c r="B13" s="32" t="s">
        <v>20</v>
      </c>
      <c r="C13" s="28">
        <v>40000</v>
      </c>
      <c r="D13" s="28">
        <f t="shared" si="0"/>
        <v>40000</v>
      </c>
      <c r="E13" s="28">
        <f t="shared" si="0"/>
        <v>40000</v>
      </c>
      <c r="F13" s="28">
        <f t="shared" si="0"/>
        <v>40000</v>
      </c>
      <c r="G13" s="28">
        <f t="shared" si="0"/>
        <v>40000</v>
      </c>
      <c r="H13" s="28">
        <f t="shared" si="0"/>
        <v>40000</v>
      </c>
      <c r="I13" s="28">
        <f t="shared" si="0"/>
        <v>40000</v>
      </c>
      <c r="J13" s="28">
        <f t="shared" si="0"/>
        <v>40000</v>
      </c>
      <c r="K13" s="28">
        <f t="shared" si="0"/>
        <v>40000</v>
      </c>
      <c r="L13" s="28">
        <f t="shared" si="0"/>
        <v>40000</v>
      </c>
      <c r="M13" s="28">
        <f t="shared" si="0"/>
        <v>40000</v>
      </c>
      <c r="N13" s="28">
        <f t="shared" si="0"/>
        <v>40000</v>
      </c>
      <c r="O13" s="28">
        <f t="shared" si="0"/>
        <v>40000</v>
      </c>
      <c r="P13" s="28">
        <f t="shared" si="0"/>
        <v>40000</v>
      </c>
      <c r="Q13" s="28">
        <f t="shared" si="0"/>
        <v>40000</v>
      </c>
      <c r="R13" s="28">
        <f t="shared" si="0"/>
        <v>40000</v>
      </c>
      <c r="S13" s="28">
        <f t="shared" si="0"/>
        <v>40000</v>
      </c>
      <c r="T13" s="28">
        <f t="shared" si="1"/>
        <v>40000</v>
      </c>
      <c r="U13" s="28">
        <f t="shared" si="1"/>
        <v>40000</v>
      </c>
      <c r="V13" s="28">
        <f t="shared" si="1"/>
        <v>40000</v>
      </c>
      <c r="W13" s="28">
        <f t="shared" si="1"/>
        <v>40000</v>
      </c>
      <c r="X13" s="28">
        <f t="shared" si="1"/>
        <v>40000</v>
      </c>
      <c r="Y13" s="28">
        <f t="shared" si="1"/>
        <v>40000</v>
      </c>
      <c r="Z13" s="28">
        <f t="shared" si="1"/>
        <v>40000</v>
      </c>
      <c r="AA13" s="33">
        <v>5</v>
      </c>
      <c r="AB13" s="30">
        <f t="shared" si="2"/>
        <v>4800000</v>
      </c>
      <c r="AC13" s="123"/>
      <c r="AF13" s="31"/>
    </row>
    <row r="14" spans="1:32" ht="13.8" thickBot="1" x14ac:dyDescent="0.3">
      <c r="A14" s="121"/>
      <c r="B14" s="32" t="s">
        <v>21</v>
      </c>
      <c r="C14" s="28">
        <v>40000</v>
      </c>
      <c r="D14" s="28">
        <f t="shared" si="0"/>
        <v>40000</v>
      </c>
      <c r="E14" s="28">
        <f t="shared" si="0"/>
        <v>40000</v>
      </c>
      <c r="F14" s="28">
        <f t="shared" si="0"/>
        <v>40000</v>
      </c>
      <c r="G14" s="28">
        <f t="shared" si="0"/>
        <v>40000</v>
      </c>
      <c r="H14" s="28">
        <f t="shared" si="0"/>
        <v>40000</v>
      </c>
      <c r="I14" s="28">
        <f t="shared" si="0"/>
        <v>40000</v>
      </c>
      <c r="J14" s="28">
        <f t="shared" si="0"/>
        <v>40000</v>
      </c>
      <c r="K14" s="28">
        <f t="shared" si="0"/>
        <v>40000</v>
      </c>
      <c r="L14" s="28">
        <f t="shared" si="0"/>
        <v>40000</v>
      </c>
      <c r="M14" s="28">
        <f t="shared" si="0"/>
        <v>40000</v>
      </c>
      <c r="N14" s="28">
        <f t="shared" si="0"/>
        <v>40000</v>
      </c>
      <c r="O14" s="28">
        <f t="shared" si="0"/>
        <v>40000</v>
      </c>
      <c r="P14" s="28">
        <f t="shared" si="0"/>
        <v>40000</v>
      </c>
      <c r="Q14" s="28">
        <f t="shared" si="0"/>
        <v>40000</v>
      </c>
      <c r="R14" s="28">
        <f t="shared" si="0"/>
        <v>40000</v>
      </c>
      <c r="S14" s="28">
        <f t="shared" si="0"/>
        <v>40000</v>
      </c>
      <c r="T14" s="28">
        <f t="shared" si="1"/>
        <v>40000</v>
      </c>
      <c r="U14" s="28">
        <f t="shared" si="1"/>
        <v>40000</v>
      </c>
      <c r="V14" s="28">
        <f t="shared" si="1"/>
        <v>40000</v>
      </c>
      <c r="W14" s="28">
        <f t="shared" si="1"/>
        <v>40000</v>
      </c>
      <c r="X14" s="28">
        <f t="shared" si="1"/>
        <v>40000</v>
      </c>
      <c r="Y14" s="28">
        <f t="shared" si="1"/>
        <v>40000</v>
      </c>
      <c r="Z14" s="28">
        <f t="shared" si="1"/>
        <v>40000</v>
      </c>
      <c r="AA14" s="33">
        <v>6</v>
      </c>
      <c r="AB14" s="30">
        <f t="shared" si="2"/>
        <v>5760000</v>
      </c>
      <c r="AC14" s="124"/>
      <c r="AF14" s="31"/>
    </row>
    <row r="15" spans="1:32" ht="14.4" thickTop="1" thickBot="1" x14ac:dyDescent="0.3">
      <c r="A15" s="120">
        <v>47939</v>
      </c>
      <c r="B15" s="35" t="s">
        <v>19</v>
      </c>
      <c r="C15" s="28">
        <v>40000</v>
      </c>
      <c r="D15" s="28">
        <f t="shared" si="0"/>
        <v>40000</v>
      </c>
      <c r="E15" s="28">
        <f t="shared" si="0"/>
        <v>40000</v>
      </c>
      <c r="F15" s="28">
        <f t="shared" si="0"/>
        <v>40000</v>
      </c>
      <c r="G15" s="28">
        <f t="shared" si="0"/>
        <v>40000</v>
      </c>
      <c r="H15" s="28">
        <f t="shared" si="0"/>
        <v>40000</v>
      </c>
      <c r="I15" s="28">
        <f t="shared" si="0"/>
        <v>40000</v>
      </c>
      <c r="J15" s="28">
        <f t="shared" si="0"/>
        <v>40000</v>
      </c>
      <c r="K15" s="28">
        <f t="shared" si="0"/>
        <v>40000</v>
      </c>
      <c r="L15" s="28">
        <f t="shared" si="0"/>
        <v>40000</v>
      </c>
      <c r="M15" s="28">
        <f t="shared" si="0"/>
        <v>40000</v>
      </c>
      <c r="N15" s="28">
        <f t="shared" si="0"/>
        <v>40000</v>
      </c>
      <c r="O15" s="28">
        <f t="shared" si="0"/>
        <v>40000</v>
      </c>
      <c r="P15" s="28">
        <f t="shared" si="0"/>
        <v>40000</v>
      </c>
      <c r="Q15" s="28">
        <f t="shared" si="0"/>
        <v>40000</v>
      </c>
      <c r="R15" s="28">
        <f t="shared" si="0"/>
        <v>40000</v>
      </c>
      <c r="S15" s="28">
        <f t="shared" si="0"/>
        <v>40000</v>
      </c>
      <c r="T15" s="28">
        <f t="shared" si="1"/>
        <v>40000</v>
      </c>
      <c r="U15" s="28">
        <f t="shared" si="1"/>
        <v>40000</v>
      </c>
      <c r="V15" s="28">
        <f t="shared" si="1"/>
        <v>40000</v>
      </c>
      <c r="W15" s="28">
        <f t="shared" si="1"/>
        <v>40000</v>
      </c>
      <c r="X15" s="28">
        <f t="shared" si="1"/>
        <v>40000</v>
      </c>
      <c r="Y15" s="28">
        <f t="shared" si="1"/>
        <v>40000</v>
      </c>
      <c r="Z15" s="28">
        <f t="shared" si="1"/>
        <v>40000</v>
      </c>
      <c r="AA15" s="33">
        <v>20</v>
      </c>
      <c r="AB15" s="30">
        <f t="shared" si="2"/>
        <v>19200000</v>
      </c>
      <c r="AC15" s="122">
        <f t="shared" ref="AC15" si="6">+AB15+AB16+AB17</f>
        <v>28800000</v>
      </c>
      <c r="AF15" s="31"/>
    </row>
    <row r="16" spans="1:32" ht="13.8" thickBot="1" x14ac:dyDescent="0.3">
      <c r="A16" s="121"/>
      <c r="B16" s="32" t="s">
        <v>20</v>
      </c>
      <c r="C16" s="28">
        <v>40000</v>
      </c>
      <c r="D16" s="28">
        <f t="shared" si="0"/>
        <v>40000</v>
      </c>
      <c r="E16" s="28">
        <f t="shared" si="0"/>
        <v>40000</v>
      </c>
      <c r="F16" s="28">
        <f t="shared" si="0"/>
        <v>40000</v>
      </c>
      <c r="G16" s="28">
        <f t="shared" si="0"/>
        <v>40000</v>
      </c>
      <c r="H16" s="28">
        <f t="shared" si="0"/>
        <v>40000</v>
      </c>
      <c r="I16" s="28">
        <f t="shared" si="0"/>
        <v>40000</v>
      </c>
      <c r="J16" s="28">
        <f t="shared" si="0"/>
        <v>40000</v>
      </c>
      <c r="K16" s="28">
        <f t="shared" si="0"/>
        <v>40000</v>
      </c>
      <c r="L16" s="28">
        <f t="shared" si="0"/>
        <v>40000</v>
      </c>
      <c r="M16" s="28">
        <f t="shared" si="0"/>
        <v>40000</v>
      </c>
      <c r="N16" s="28">
        <f t="shared" si="0"/>
        <v>40000</v>
      </c>
      <c r="O16" s="28">
        <f t="shared" si="0"/>
        <v>40000</v>
      </c>
      <c r="P16" s="28">
        <f t="shared" si="0"/>
        <v>40000</v>
      </c>
      <c r="Q16" s="28">
        <f t="shared" si="0"/>
        <v>40000</v>
      </c>
      <c r="R16" s="28">
        <f t="shared" si="0"/>
        <v>40000</v>
      </c>
      <c r="S16" s="28">
        <f t="shared" si="0"/>
        <v>40000</v>
      </c>
      <c r="T16" s="28">
        <f t="shared" si="1"/>
        <v>40000</v>
      </c>
      <c r="U16" s="28">
        <f t="shared" si="1"/>
        <v>40000</v>
      </c>
      <c r="V16" s="28">
        <f t="shared" si="1"/>
        <v>40000</v>
      </c>
      <c r="W16" s="28">
        <f t="shared" si="1"/>
        <v>40000</v>
      </c>
      <c r="X16" s="28">
        <f t="shared" si="1"/>
        <v>40000</v>
      </c>
      <c r="Y16" s="28">
        <f t="shared" si="1"/>
        <v>40000</v>
      </c>
      <c r="Z16" s="28">
        <f t="shared" si="1"/>
        <v>40000</v>
      </c>
      <c r="AA16" s="33">
        <v>4</v>
      </c>
      <c r="AB16" s="30">
        <f t="shared" si="2"/>
        <v>3840000</v>
      </c>
      <c r="AC16" s="123"/>
      <c r="AF16" s="31"/>
    </row>
    <row r="17" spans="1:32" ht="13.8" thickBot="1" x14ac:dyDescent="0.3">
      <c r="A17" s="121"/>
      <c r="B17" s="32" t="s">
        <v>21</v>
      </c>
      <c r="C17" s="28">
        <v>40000</v>
      </c>
      <c r="D17" s="28">
        <f t="shared" si="0"/>
        <v>40000</v>
      </c>
      <c r="E17" s="28">
        <f t="shared" si="0"/>
        <v>40000</v>
      </c>
      <c r="F17" s="28">
        <f t="shared" si="0"/>
        <v>40000</v>
      </c>
      <c r="G17" s="28">
        <f t="shared" si="0"/>
        <v>40000</v>
      </c>
      <c r="H17" s="28">
        <f t="shared" si="0"/>
        <v>40000</v>
      </c>
      <c r="I17" s="28">
        <f t="shared" si="0"/>
        <v>40000</v>
      </c>
      <c r="J17" s="28">
        <f t="shared" si="0"/>
        <v>40000</v>
      </c>
      <c r="K17" s="28">
        <f t="shared" si="0"/>
        <v>40000</v>
      </c>
      <c r="L17" s="28">
        <f t="shared" si="0"/>
        <v>40000</v>
      </c>
      <c r="M17" s="28">
        <f t="shared" si="0"/>
        <v>40000</v>
      </c>
      <c r="N17" s="28">
        <f t="shared" si="0"/>
        <v>40000</v>
      </c>
      <c r="O17" s="28">
        <f t="shared" si="0"/>
        <v>40000</v>
      </c>
      <c r="P17" s="28">
        <f t="shared" si="0"/>
        <v>40000</v>
      </c>
      <c r="Q17" s="28">
        <f t="shared" si="0"/>
        <v>40000</v>
      </c>
      <c r="R17" s="28">
        <f t="shared" si="0"/>
        <v>40000</v>
      </c>
      <c r="S17" s="28">
        <f t="shared" si="0"/>
        <v>40000</v>
      </c>
      <c r="T17" s="28">
        <f t="shared" si="1"/>
        <v>40000</v>
      </c>
      <c r="U17" s="28">
        <f t="shared" si="1"/>
        <v>40000</v>
      </c>
      <c r="V17" s="28">
        <f t="shared" si="1"/>
        <v>40000</v>
      </c>
      <c r="W17" s="28">
        <f t="shared" si="1"/>
        <v>40000</v>
      </c>
      <c r="X17" s="28">
        <f t="shared" si="1"/>
        <v>40000</v>
      </c>
      <c r="Y17" s="28">
        <f t="shared" si="1"/>
        <v>40000</v>
      </c>
      <c r="Z17" s="28">
        <f t="shared" si="1"/>
        <v>40000</v>
      </c>
      <c r="AA17" s="33">
        <v>6</v>
      </c>
      <c r="AB17" s="30">
        <f t="shared" si="2"/>
        <v>5760000</v>
      </c>
      <c r="AC17" s="124"/>
      <c r="AF17" s="31"/>
    </row>
    <row r="18" spans="1:32" ht="14.4" thickTop="1" thickBot="1" x14ac:dyDescent="0.3">
      <c r="A18" s="120">
        <v>47969</v>
      </c>
      <c r="B18" s="34" t="s">
        <v>19</v>
      </c>
      <c r="C18" s="28">
        <v>40000</v>
      </c>
      <c r="D18" s="28">
        <f t="shared" si="0"/>
        <v>40000</v>
      </c>
      <c r="E18" s="28">
        <f t="shared" si="0"/>
        <v>40000</v>
      </c>
      <c r="F18" s="28">
        <f t="shared" si="0"/>
        <v>40000</v>
      </c>
      <c r="G18" s="28">
        <f t="shared" si="0"/>
        <v>40000</v>
      </c>
      <c r="H18" s="28">
        <f t="shared" si="0"/>
        <v>40000</v>
      </c>
      <c r="I18" s="28">
        <f t="shared" si="0"/>
        <v>40000</v>
      </c>
      <c r="J18" s="28">
        <f t="shared" si="0"/>
        <v>40000</v>
      </c>
      <c r="K18" s="28">
        <f t="shared" si="0"/>
        <v>40000</v>
      </c>
      <c r="L18" s="28">
        <f t="shared" si="0"/>
        <v>40000</v>
      </c>
      <c r="M18" s="28">
        <f t="shared" si="0"/>
        <v>40000</v>
      </c>
      <c r="N18" s="28">
        <f t="shared" si="0"/>
        <v>40000</v>
      </c>
      <c r="O18" s="28">
        <f t="shared" si="0"/>
        <v>40000</v>
      </c>
      <c r="P18" s="28">
        <f t="shared" si="0"/>
        <v>40000</v>
      </c>
      <c r="Q18" s="28">
        <f t="shared" si="0"/>
        <v>40000</v>
      </c>
      <c r="R18" s="28">
        <f t="shared" si="0"/>
        <v>40000</v>
      </c>
      <c r="S18" s="28">
        <f t="shared" si="0"/>
        <v>40000</v>
      </c>
      <c r="T18" s="28">
        <f t="shared" si="1"/>
        <v>40000</v>
      </c>
      <c r="U18" s="28">
        <f t="shared" si="1"/>
        <v>40000</v>
      </c>
      <c r="V18" s="28">
        <f t="shared" si="1"/>
        <v>40000</v>
      </c>
      <c r="W18" s="28">
        <f t="shared" si="1"/>
        <v>40000</v>
      </c>
      <c r="X18" s="28">
        <f t="shared" si="1"/>
        <v>40000</v>
      </c>
      <c r="Y18" s="28">
        <f t="shared" si="1"/>
        <v>40000</v>
      </c>
      <c r="Z18" s="28">
        <f t="shared" si="1"/>
        <v>40000</v>
      </c>
      <c r="AA18" s="33">
        <v>20</v>
      </c>
      <c r="AB18" s="30">
        <f t="shared" si="2"/>
        <v>19200000</v>
      </c>
      <c r="AC18" s="122">
        <f t="shared" ref="AC18" si="7">+AB18+AB19+AB20</f>
        <v>29760000</v>
      </c>
      <c r="AF18" s="31"/>
    </row>
    <row r="19" spans="1:32" ht="13.8" thickBot="1" x14ac:dyDescent="0.3">
      <c r="A19" s="121"/>
      <c r="B19" s="32" t="s">
        <v>20</v>
      </c>
      <c r="C19" s="28">
        <v>40000</v>
      </c>
      <c r="D19" s="28">
        <f t="shared" si="0"/>
        <v>40000</v>
      </c>
      <c r="E19" s="28">
        <f t="shared" si="0"/>
        <v>40000</v>
      </c>
      <c r="F19" s="28">
        <f t="shared" si="0"/>
        <v>40000</v>
      </c>
      <c r="G19" s="28">
        <f t="shared" si="0"/>
        <v>40000</v>
      </c>
      <c r="H19" s="28">
        <f t="shared" si="0"/>
        <v>40000</v>
      </c>
      <c r="I19" s="28">
        <f t="shared" si="0"/>
        <v>40000</v>
      </c>
      <c r="J19" s="28">
        <f t="shared" si="0"/>
        <v>40000</v>
      </c>
      <c r="K19" s="28">
        <f t="shared" si="0"/>
        <v>40000</v>
      </c>
      <c r="L19" s="28">
        <f t="shared" si="0"/>
        <v>40000</v>
      </c>
      <c r="M19" s="28">
        <f t="shared" si="0"/>
        <v>40000</v>
      </c>
      <c r="N19" s="28">
        <f t="shared" si="0"/>
        <v>40000</v>
      </c>
      <c r="O19" s="28">
        <f t="shared" si="0"/>
        <v>40000</v>
      </c>
      <c r="P19" s="28">
        <f t="shared" si="0"/>
        <v>40000</v>
      </c>
      <c r="Q19" s="28">
        <f t="shared" si="0"/>
        <v>40000</v>
      </c>
      <c r="R19" s="28">
        <f t="shared" si="0"/>
        <v>40000</v>
      </c>
      <c r="S19" s="28">
        <f t="shared" si="0"/>
        <v>40000</v>
      </c>
      <c r="T19" s="28">
        <f t="shared" si="1"/>
        <v>40000</v>
      </c>
      <c r="U19" s="28">
        <f t="shared" si="1"/>
        <v>40000</v>
      </c>
      <c r="V19" s="28">
        <f t="shared" si="1"/>
        <v>40000</v>
      </c>
      <c r="W19" s="28">
        <f t="shared" si="1"/>
        <v>40000</v>
      </c>
      <c r="X19" s="28">
        <f t="shared" si="1"/>
        <v>40000</v>
      </c>
      <c r="Y19" s="28">
        <f t="shared" si="1"/>
        <v>40000</v>
      </c>
      <c r="Z19" s="28">
        <f t="shared" si="1"/>
        <v>40000</v>
      </c>
      <c r="AA19" s="33">
        <v>5</v>
      </c>
      <c r="AB19" s="30">
        <f t="shared" si="2"/>
        <v>4800000</v>
      </c>
      <c r="AC19" s="123"/>
      <c r="AF19" s="31"/>
    </row>
    <row r="20" spans="1:32" ht="13.8" thickBot="1" x14ac:dyDescent="0.3">
      <c r="A20" s="121"/>
      <c r="B20" s="32" t="s">
        <v>21</v>
      </c>
      <c r="C20" s="28">
        <v>40000</v>
      </c>
      <c r="D20" s="28">
        <f t="shared" si="0"/>
        <v>40000</v>
      </c>
      <c r="E20" s="28">
        <f t="shared" si="0"/>
        <v>40000</v>
      </c>
      <c r="F20" s="28">
        <f t="shared" si="0"/>
        <v>40000</v>
      </c>
      <c r="G20" s="28">
        <f t="shared" si="0"/>
        <v>40000</v>
      </c>
      <c r="H20" s="28">
        <f t="shared" si="0"/>
        <v>40000</v>
      </c>
      <c r="I20" s="28">
        <f t="shared" si="0"/>
        <v>40000</v>
      </c>
      <c r="J20" s="28">
        <f t="shared" si="0"/>
        <v>40000</v>
      </c>
      <c r="K20" s="28">
        <f t="shared" si="0"/>
        <v>40000</v>
      </c>
      <c r="L20" s="28">
        <f t="shared" si="0"/>
        <v>40000</v>
      </c>
      <c r="M20" s="28">
        <f t="shared" si="0"/>
        <v>40000</v>
      </c>
      <c r="N20" s="28">
        <f t="shared" si="0"/>
        <v>40000</v>
      </c>
      <c r="O20" s="28">
        <f t="shared" si="0"/>
        <v>40000</v>
      </c>
      <c r="P20" s="28">
        <f t="shared" si="0"/>
        <v>40000</v>
      </c>
      <c r="Q20" s="28">
        <f t="shared" si="0"/>
        <v>40000</v>
      </c>
      <c r="R20" s="28">
        <f t="shared" si="0"/>
        <v>40000</v>
      </c>
      <c r="S20" s="28">
        <f t="shared" si="0"/>
        <v>40000</v>
      </c>
      <c r="T20" s="28">
        <f t="shared" si="1"/>
        <v>40000</v>
      </c>
      <c r="U20" s="28">
        <f t="shared" si="1"/>
        <v>40000</v>
      </c>
      <c r="V20" s="28">
        <f t="shared" si="1"/>
        <v>40000</v>
      </c>
      <c r="W20" s="28">
        <f t="shared" si="1"/>
        <v>40000</v>
      </c>
      <c r="X20" s="28">
        <f t="shared" si="1"/>
        <v>40000</v>
      </c>
      <c r="Y20" s="28">
        <f t="shared" si="1"/>
        <v>40000</v>
      </c>
      <c r="Z20" s="28">
        <f t="shared" si="1"/>
        <v>40000</v>
      </c>
      <c r="AA20" s="33">
        <v>6</v>
      </c>
      <c r="AB20" s="30">
        <f t="shared" si="2"/>
        <v>5760000</v>
      </c>
      <c r="AC20" s="124"/>
      <c r="AF20" s="31"/>
    </row>
    <row r="21" spans="1:32" ht="14.4" thickTop="1" thickBot="1" x14ac:dyDescent="0.3">
      <c r="A21" s="120">
        <v>48000</v>
      </c>
      <c r="B21" s="35" t="s">
        <v>19</v>
      </c>
      <c r="C21" s="28">
        <v>40000</v>
      </c>
      <c r="D21" s="28">
        <f t="shared" si="0"/>
        <v>40000</v>
      </c>
      <c r="E21" s="28">
        <f t="shared" si="0"/>
        <v>40000</v>
      </c>
      <c r="F21" s="28">
        <f t="shared" si="0"/>
        <v>40000</v>
      </c>
      <c r="G21" s="28">
        <f t="shared" si="0"/>
        <v>40000</v>
      </c>
      <c r="H21" s="28">
        <f t="shared" si="0"/>
        <v>40000</v>
      </c>
      <c r="I21" s="28">
        <f t="shared" si="0"/>
        <v>40000</v>
      </c>
      <c r="J21" s="28">
        <f t="shared" si="0"/>
        <v>40000</v>
      </c>
      <c r="K21" s="28">
        <f t="shared" si="0"/>
        <v>40000</v>
      </c>
      <c r="L21" s="28">
        <f t="shared" si="0"/>
        <v>40000</v>
      </c>
      <c r="M21" s="28">
        <f t="shared" si="0"/>
        <v>40000</v>
      </c>
      <c r="N21" s="28">
        <f t="shared" si="0"/>
        <v>40000</v>
      </c>
      <c r="O21" s="28">
        <f t="shared" si="0"/>
        <v>40000</v>
      </c>
      <c r="P21" s="28">
        <f t="shared" si="0"/>
        <v>40000</v>
      </c>
      <c r="Q21" s="28">
        <f t="shared" si="0"/>
        <v>40000</v>
      </c>
      <c r="R21" s="28">
        <f t="shared" si="0"/>
        <v>40000</v>
      </c>
      <c r="S21" s="28">
        <f t="shared" ref="S21:Z36" si="8">+R21</f>
        <v>40000</v>
      </c>
      <c r="T21" s="28">
        <f t="shared" si="8"/>
        <v>40000</v>
      </c>
      <c r="U21" s="28">
        <f t="shared" si="8"/>
        <v>40000</v>
      </c>
      <c r="V21" s="28">
        <f t="shared" si="8"/>
        <v>40000</v>
      </c>
      <c r="W21" s="28">
        <f t="shared" si="8"/>
        <v>40000</v>
      </c>
      <c r="X21" s="28">
        <f t="shared" si="8"/>
        <v>40000</v>
      </c>
      <c r="Y21" s="28">
        <f t="shared" si="8"/>
        <v>40000</v>
      </c>
      <c r="Z21" s="28">
        <f t="shared" si="8"/>
        <v>40000</v>
      </c>
      <c r="AA21" s="33">
        <v>18</v>
      </c>
      <c r="AB21" s="30">
        <f t="shared" si="2"/>
        <v>17280000</v>
      </c>
      <c r="AC21" s="122">
        <f t="shared" ref="AC21" si="9">+AB21+AB22+AB23</f>
        <v>28800000</v>
      </c>
      <c r="AF21" s="31"/>
    </row>
    <row r="22" spans="1:32" ht="13.8" thickBot="1" x14ac:dyDescent="0.3">
      <c r="A22" s="121"/>
      <c r="B22" s="32" t="s">
        <v>20</v>
      </c>
      <c r="C22" s="28">
        <v>40000</v>
      </c>
      <c r="D22" s="28">
        <f t="shared" ref="D22:S37" si="10">+C22</f>
        <v>40000</v>
      </c>
      <c r="E22" s="28">
        <f t="shared" si="10"/>
        <v>40000</v>
      </c>
      <c r="F22" s="28">
        <f t="shared" si="10"/>
        <v>40000</v>
      </c>
      <c r="G22" s="28">
        <f t="shared" si="10"/>
        <v>40000</v>
      </c>
      <c r="H22" s="28">
        <f t="shared" si="10"/>
        <v>40000</v>
      </c>
      <c r="I22" s="28">
        <f t="shared" si="10"/>
        <v>40000</v>
      </c>
      <c r="J22" s="28">
        <f t="shared" si="10"/>
        <v>40000</v>
      </c>
      <c r="K22" s="28">
        <f t="shared" si="10"/>
        <v>40000</v>
      </c>
      <c r="L22" s="28">
        <f t="shared" si="10"/>
        <v>40000</v>
      </c>
      <c r="M22" s="28">
        <f t="shared" si="10"/>
        <v>40000</v>
      </c>
      <c r="N22" s="28">
        <f t="shared" si="10"/>
        <v>40000</v>
      </c>
      <c r="O22" s="28">
        <f t="shared" si="10"/>
        <v>40000</v>
      </c>
      <c r="P22" s="28">
        <f t="shared" si="10"/>
        <v>40000</v>
      </c>
      <c r="Q22" s="28">
        <f t="shared" si="10"/>
        <v>40000</v>
      </c>
      <c r="R22" s="28">
        <f t="shared" si="10"/>
        <v>40000</v>
      </c>
      <c r="S22" s="28">
        <f t="shared" si="10"/>
        <v>40000</v>
      </c>
      <c r="T22" s="28">
        <f t="shared" si="8"/>
        <v>40000</v>
      </c>
      <c r="U22" s="28">
        <f t="shared" si="8"/>
        <v>40000</v>
      </c>
      <c r="V22" s="28">
        <f t="shared" si="8"/>
        <v>40000</v>
      </c>
      <c r="W22" s="28">
        <f t="shared" si="8"/>
        <v>40000</v>
      </c>
      <c r="X22" s="28">
        <f t="shared" si="8"/>
        <v>40000</v>
      </c>
      <c r="Y22" s="28">
        <f t="shared" si="8"/>
        <v>40000</v>
      </c>
      <c r="Z22" s="28">
        <f t="shared" si="8"/>
        <v>40000</v>
      </c>
      <c r="AA22" s="33">
        <v>4</v>
      </c>
      <c r="AB22" s="30">
        <f t="shared" si="2"/>
        <v>3840000</v>
      </c>
      <c r="AC22" s="123"/>
      <c r="AF22" s="31"/>
    </row>
    <row r="23" spans="1:32" ht="13.8" thickBot="1" x14ac:dyDescent="0.3">
      <c r="A23" s="121"/>
      <c r="B23" s="32" t="s">
        <v>21</v>
      </c>
      <c r="C23" s="28">
        <v>40000</v>
      </c>
      <c r="D23" s="28">
        <f t="shared" si="10"/>
        <v>40000</v>
      </c>
      <c r="E23" s="28">
        <f t="shared" si="10"/>
        <v>40000</v>
      </c>
      <c r="F23" s="28">
        <f t="shared" si="10"/>
        <v>40000</v>
      </c>
      <c r="G23" s="28">
        <f t="shared" si="10"/>
        <v>40000</v>
      </c>
      <c r="H23" s="28">
        <f t="shared" si="10"/>
        <v>40000</v>
      </c>
      <c r="I23" s="28">
        <f t="shared" si="10"/>
        <v>40000</v>
      </c>
      <c r="J23" s="28">
        <f t="shared" si="10"/>
        <v>40000</v>
      </c>
      <c r="K23" s="28">
        <f t="shared" si="10"/>
        <v>40000</v>
      </c>
      <c r="L23" s="28">
        <f t="shared" si="10"/>
        <v>40000</v>
      </c>
      <c r="M23" s="28">
        <f t="shared" si="10"/>
        <v>40000</v>
      </c>
      <c r="N23" s="28">
        <f t="shared" si="10"/>
        <v>40000</v>
      </c>
      <c r="O23" s="28">
        <f t="shared" si="10"/>
        <v>40000</v>
      </c>
      <c r="P23" s="28">
        <f t="shared" si="10"/>
        <v>40000</v>
      </c>
      <c r="Q23" s="28">
        <f t="shared" si="10"/>
        <v>40000</v>
      </c>
      <c r="R23" s="28">
        <f t="shared" si="10"/>
        <v>40000</v>
      </c>
      <c r="S23" s="28">
        <f t="shared" si="10"/>
        <v>40000</v>
      </c>
      <c r="T23" s="28">
        <f t="shared" si="8"/>
        <v>40000</v>
      </c>
      <c r="U23" s="28">
        <f t="shared" si="8"/>
        <v>40000</v>
      </c>
      <c r="V23" s="28">
        <f t="shared" si="8"/>
        <v>40000</v>
      </c>
      <c r="W23" s="28">
        <f t="shared" si="8"/>
        <v>40000</v>
      </c>
      <c r="X23" s="28">
        <f t="shared" si="8"/>
        <v>40000</v>
      </c>
      <c r="Y23" s="28">
        <f t="shared" si="8"/>
        <v>40000</v>
      </c>
      <c r="Z23" s="28">
        <f t="shared" si="8"/>
        <v>40000</v>
      </c>
      <c r="AA23" s="33">
        <v>8</v>
      </c>
      <c r="AB23" s="30">
        <f t="shared" si="2"/>
        <v>7680000</v>
      </c>
      <c r="AC23" s="124"/>
      <c r="AF23" s="31"/>
    </row>
    <row r="24" spans="1:32" ht="14.4" thickTop="1" thickBot="1" x14ac:dyDescent="0.3">
      <c r="A24" s="120">
        <v>48030</v>
      </c>
      <c r="B24" s="34" t="s">
        <v>19</v>
      </c>
      <c r="C24" s="28">
        <v>40000</v>
      </c>
      <c r="D24" s="28">
        <f t="shared" si="10"/>
        <v>40000</v>
      </c>
      <c r="E24" s="28">
        <f t="shared" si="10"/>
        <v>40000</v>
      </c>
      <c r="F24" s="28">
        <f t="shared" si="10"/>
        <v>40000</v>
      </c>
      <c r="G24" s="28">
        <f t="shared" si="10"/>
        <v>40000</v>
      </c>
      <c r="H24" s="28">
        <f t="shared" si="10"/>
        <v>40000</v>
      </c>
      <c r="I24" s="28">
        <f t="shared" si="10"/>
        <v>40000</v>
      </c>
      <c r="J24" s="28">
        <f t="shared" si="10"/>
        <v>40000</v>
      </c>
      <c r="K24" s="28">
        <f t="shared" si="10"/>
        <v>40000</v>
      </c>
      <c r="L24" s="28">
        <f t="shared" si="10"/>
        <v>40000</v>
      </c>
      <c r="M24" s="28">
        <f t="shared" si="10"/>
        <v>40000</v>
      </c>
      <c r="N24" s="28">
        <f t="shared" si="10"/>
        <v>40000</v>
      </c>
      <c r="O24" s="28">
        <f t="shared" si="10"/>
        <v>40000</v>
      </c>
      <c r="P24" s="28">
        <f t="shared" si="10"/>
        <v>40000</v>
      </c>
      <c r="Q24" s="28">
        <f t="shared" si="10"/>
        <v>40000</v>
      </c>
      <c r="R24" s="28">
        <f t="shared" si="10"/>
        <v>40000</v>
      </c>
      <c r="S24" s="28">
        <f t="shared" si="10"/>
        <v>40000</v>
      </c>
      <c r="T24" s="28">
        <f t="shared" si="8"/>
        <v>40000</v>
      </c>
      <c r="U24" s="28">
        <f t="shared" si="8"/>
        <v>40000</v>
      </c>
      <c r="V24" s="28">
        <f t="shared" si="8"/>
        <v>40000</v>
      </c>
      <c r="W24" s="28">
        <f t="shared" si="8"/>
        <v>40000</v>
      </c>
      <c r="X24" s="28">
        <f t="shared" si="8"/>
        <v>40000</v>
      </c>
      <c r="Y24" s="28">
        <f t="shared" si="8"/>
        <v>40000</v>
      </c>
      <c r="Z24" s="28">
        <f t="shared" si="8"/>
        <v>40000</v>
      </c>
      <c r="AA24" s="33">
        <v>23</v>
      </c>
      <c r="AB24" s="30">
        <f t="shared" si="2"/>
        <v>22080000</v>
      </c>
      <c r="AC24" s="122">
        <f t="shared" ref="AC24" si="11">+AB24+AB25+AB26</f>
        <v>29760000</v>
      </c>
      <c r="AF24" s="31"/>
    </row>
    <row r="25" spans="1:32" ht="13.8" thickBot="1" x14ac:dyDescent="0.3">
      <c r="A25" s="121"/>
      <c r="B25" s="32" t="s">
        <v>20</v>
      </c>
      <c r="C25" s="28">
        <v>40000</v>
      </c>
      <c r="D25" s="28">
        <f t="shared" si="10"/>
        <v>40000</v>
      </c>
      <c r="E25" s="28">
        <f t="shared" si="10"/>
        <v>40000</v>
      </c>
      <c r="F25" s="28">
        <f t="shared" si="10"/>
        <v>40000</v>
      </c>
      <c r="G25" s="28">
        <f t="shared" si="10"/>
        <v>40000</v>
      </c>
      <c r="H25" s="28">
        <f t="shared" si="10"/>
        <v>40000</v>
      </c>
      <c r="I25" s="28">
        <f t="shared" si="10"/>
        <v>40000</v>
      </c>
      <c r="J25" s="28">
        <f t="shared" si="10"/>
        <v>40000</v>
      </c>
      <c r="K25" s="28">
        <f t="shared" si="10"/>
        <v>40000</v>
      </c>
      <c r="L25" s="28">
        <f t="shared" si="10"/>
        <v>40000</v>
      </c>
      <c r="M25" s="28">
        <f t="shared" si="10"/>
        <v>40000</v>
      </c>
      <c r="N25" s="28">
        <f t="shared" si="10"/>
        <v>40000</v>
      </c>
      <c r="O25" s="28">
        <f t="shared" si="10"/>
        <v>40000</v>
      </c>
      <c r="P25" s="28">
        <f t="shared" si="10"/>
        <v>40000</v>
      </c>
      <c r="Q25" s="28">
        <f t="shared" si="10"/>
        <v>40000</v>
      </c>
      <c r="R25" s="28">
        <f t="shared" si="10"/>
        <v>40000</v>
      </c>
      <c r="S25" s="28">
        <f t="shared" si="10"/>
        <v>40000</v>
      </c>
      <c r="T25" s="28">
        <f t="shared" si="8"/>
        <v>40000</v>
      </c>
      <c r="U25" s="28">
        <f t="shared" si="8"/>
        <v>40000</v>
      </c>
      <c r="V25" s="28">
        <f t="shared" si="8"/>
        <v>40000</v>
      </c>
      <c r="W25" s="28">
        <f t="shared" si="8"/>
        <v>40000</v>
      </c>
      <c r="X25" s="28">
        <f t="shared" si="8"/>
        <v>40000</v>
      </c>
      <c r="Y25" s="28">
        <f t="shared" si="8"/>
        <v>40000</v>
      </c>
      <c r="Z25" s="28">
        <f t="shared" si="8"/>
        <v>40000</v>
      </c>
      <c r="AA25" s="33">
        <v>4</v>
      </c>
      <c r="AB25" s="30">
        <f t="shared" si="2"/>
        <v>3840000</v>
      </c>
      <c r="AC25" s="123"/>
      <c r="AF25" s="31"/>
    </row>
    <row r="26" spans="1:32" ht="13.8" thickBot="1" x14ac:dyDescent="0.3">
      <c r="A26" s="121"/>
      <c r="B26" s="32" t="s">
        <v>21</v>
      </c>
      <c r="C26" s="28">
        <v>40000</v>
      </c>
      <c r="D26" s="28">
        <f t="shared" si="10"/>
        <v>40000</v>
      </c>
      <c r="E26" s="28">
        <f t="shared" si="10"/>
        <v>40000</v>
      </c>
      <c r="F26" s="28">
        <f t="shared" si="10"/>
        <v>40000</v>
      </c>
      <c r="G26" s="28">
        <f t="shared" si="10"/>
        <v>40000</v>
      </c>
      <c r="H26" s="28">
        <f t="shared" si="10"/>
        <v>40000</v>
      </c>
      <c r="I26" s="28">
        <f t="shared" si="10"/>
        <v>40000</v>
      </c>
      <c r="J26" s="28">
        <f t="shared" si="10"/>
        <v>40000</v>
      </c>
      <c r="K26" s="28">
        <f t="shared" si="10"/>
        <v>40000</v>
      </c>
      <c r="L26" s="28">
        <f t="shared" si="10"/>
        <v>40000</v>
      </c>
      <c r="M26" s="28">
        <f t="shared" si="10"/>
        <v>40000</v>
      </c>
      <c r="N26" s="28">
        <f t="shared" si="10"/>
        <v>40000</v>
      </c>
      <c r="O26" s="28">
        <f t="shared" si="10"/>
        <v>40000</v>
      </c>
      <c r="P26" s="28">
        <f t="shared" si="10"/>
        <v>40000</v>
      </c>
      <c r="Q26" s="28">
        <f t="shared" si="10"/>
        <v>40000</v>
      </c>
      <c r="R26" s="28">
        <f t="shared" si="10"/>
        <v>40000</v>
      </c>
      <c r="S26" s="28">
        <f t="shared" si="10"/>
        <v>40000</v>
      </c>
      <c r="T26" s="28">
        <f t="shared" si="8"/>
        <v>40000</v>
      </c>
      <c r="U26" s="28">
        <f t="shared" si="8"/>
        <v>40000</v>
      </c>
      <c r="V26" s="28">
        <f t="shared" si="8"/>
        <v>40000</v>
      </c>
      <c r="W26" s="28">
        <f t="shared" si="8"/>
        <v>40000</v>
      </c>
      <c r="X26" s="28">
        <f t="shared" si="8"/>
        <v>40000</v>
      </c>
      <c r="Y26" s="28">
        <f t="shared" si="8"/>
        <v>40000</v>
      </c>
      <c r="Z26" s="28">
        <f t="shared" si="8"/>
        <v>40000</v>
      </c>
      <c r="AA26" s="33">
        <v>4</v>
      </c>
      <c r="AB26" s="30">
        <f t="shared" si="2"/>
        <v>3840000</v>
      </c>
      <c r="AC26" s="124"/>
      <c r="AF26" s="31"/>
    </row>
    <row r="27" spans="1:32" ht="14.4" thickTop="1" thickBot="1" x14ac:dyDescent="0.3">
      <c r="A27" s="120">
        <v>48061</v>
      </c>
      <c r="B27" s="35" t="s">
        <v>19</v>
      </c>
      <c r="C27" s="28">
        <v>40000</v>
      </c>
      <c r="D27" s="28">
        <f t="shared" si="10"/>
        <v>40000</v>
      </c>
      <c r="E27" s="28">
        <f t="shared" si="10"/>
        <v>40000</v>
      </c>
      <c r="F27" s="28">
        <f t="shared" si="10"/>
        <v>40000</v>
      </c>
      <c r="G27" s="28">
        <f t="shared" si="10"/>
        <v>40000</v>
      </c>
      <c r="H27" s="28">
        <f t="shared" si="10"/>
        <v>40000</v>
      </c>
      <c r="I27" s="28">
        <f t="shared" si="10"/>
        <v>40000</v>
      </c>
      <c r="J27" s="28">
        <f t="shared" si="10"/>
        <v>40000</v>
      </c>
      <c r="K27" s="28">
        <f t="shared" si="10"/>
        <v>40000</v>
      </c>
      <c r="L27" s="28">
        <f t="shared" si="10"/>
        <v>40000</v>
      </c>
      <c r="M27" s="28">
        <f t="shared" si="10"/>
        <v>40000</v>
      </c>
      <c r="N27" s="28">
        <f t="shared" si="10"/>
        <v>40000</v>
      </c>
      <c r="O27" s="28">
        <f t="shared" si="10"/>
        <v>40000</v>
      </c>
      <c r="P27" s="28">
        <f t="shared" si="10"/>
        <v>40000</v>
      </c>
      <c r="Q27" s="28">
        <f t="shared" si="10"/>
        <v>40000</v>
      </c>
      <c r="R27" s="28">
        <f t="shared" si="10"/>
        <v>40000</v>
      </c>
      <c r="S27" s="28">
        <f t="shared" si="10"/>
        <v>40000</v>
      </c>
      <c r="T27" s="28">
        <f t="shared" si="8"/>
        <v>40000</v>
      </c>
      <c r="U27" s="28">
        <f t="shared" si="8"/>
        <v>40000</v>
      </c>
      <c r="V27" s="28">
        <f t="shared" si="8"/>
        <v>40000</v>
      </c>
      <c r="W27" s="28">
        <f t="shared" si="8"/>
        <v>40000</v>
      </c>
      <c r="X27" s="28">
        <f t="shared" si="8"/>
        <v>40000</v>
      </c>
      <c r="Y27" s="28">
        <f t="shared" si="8"/>
        <v>40000</v>
      </c>
      <c r="Z27" s="28">
        <f t="shared" si="8"/>
        <v>40000</v>
      </c>
      <c r="AA27" s="33">
        <v>19</v>
      </c>
      <c r="AB27" s="30">
        <f t="shared" si="2"/>
        <v>18240000</v>
      </c>
      <c r="AC27" s="122">
        <f t="shared" ref="AC27" si="12">+AB27+AB28+AB29</f>
        <v>29760000</v>
      </c>
      <c r="AF27" s="31"/>
    </row>
    <row r="28" spans="1:32" ht="13.8" thickBot="1" x14ac:dyDescent="0.3">
      <c r="A28" s="121"/>
      <c r="B28" s="32" t="s">
        <v>20</v>
      </c>
      <c r="C28" s="28">
        <v>40000</v>
      </c>
      <c r="D28" s="28">
        <f t="shared" si="10"/>
        <v>40000</v>
      </c>
      <c r="E28" s="28">
        <f t="shared" si="10"/>
        <v>40000</v>
      </c>
      <c r="F28" s="28">
        <f t="shared" si="10"/>
        <v>40000</v>
      </c>
      <c r="G28" s="28">
        <f t="shared" si="10"/>
        <v>40000</v>
      </c>
      <c r="H28" s="28">
        <f t="shared" si="10"/>
        <v>40000</v>
      </c>
      <c r="I28" s="28">
        <f t="shared" si="10"/>
        <v>40000</v>
      </c>
      <c r="J28" s="28">
        <f t="shared" si="10"/>
        <v>40000</v>
      </c>
      <c r="K28" s="28">
        <f t="shared" si="10"/>
        <v>40000</v>
      </c>
      <c r="L28" s="28">
        <f t="shared" si="10"/>
        <v>40000</v>
      </c>
      <c r="M28" s="28">
        <f t="shared" si="10"/>
        <v>40000</v>
      </c>
      <c r="N28" s="28">
        <f t="shared" si="10"/>
        <v>40000</v>
      </c>
      <c r="O28" s="28">
        <f t="shared" si="10"/>
        <v>40000</v>
      </c>
      <c r="P28" s="28">
        <f t="shared" si="10"/>
        <v>40000</v>
      </c>
      <c r="Q28" s="28">
        <f t="shared" si="10"/>
        <v>40000</v>
      </c>
      <c r="R28" s="28">
        <f t="shared" si="10"/>
        <v>40000</v>
      </c>
      <c r="S28" s="28">
        <f t="shared" si="10"/>
        <v>40000</v>
      </c>
      <c r="T28" s="28">
        <f t="shared" si="8"/>
        <v>40000</v>
      </c>
      <c r="U28" s="28">
        <f t="shared" si="8"/>
        <v>40000</v>
      </c>
      <c r="V28" s="28">
        <f t="shared" si="8"/>
        <v>40000</v>
      </c>
      <c r="W28" s="28">
        <f t="shared" si="8"/>
        <v>40000</v>
      </c>
      <c r="X28" s="28">
        <f t="shared" si="8"/>
        <v>40000</v>
      </c>
      <c r="Y28" s="28">
        <f t="shared" si="8"/>
        <v>40000</v>
      </c>
      <c r="Z28" s="28">
        <f t="shared" si="8"/>
        <v>40000</v>
      </c>
      <c r="AA28" s="33">
        <v>5</v>
      </c>
      <c r="AB28" s="30">
        <f t="shared" si="2"/>
        <v>4800000</v>
      </c>
      <c r="AC28" s="123"/>
      <c r="AF28" s="31"/>
    </row>
    <row r="29" spans="1:32" ht="13.8" thickBot="1" x14ac:dyDescent="0.3">
      <c r="A29" s="121"/>
      <c r="B29" s="32" t="s">
        <v>21</v>
      </c>
      <c r="C29" s="28">
        <v>40000</v>
      </c>
      <c r="D29" s="28">
        <f t="shared" si="10"/>
        <v>40000</v>
      </c>
      <c r="E29" s="28">
        <f t="shared" si="10"/>
        <v>40000</v>
      </c>
      <c r="F29" s="28">
        <f t="shared" si="10"/>
        <v>40000</v>
      </c>
      <c r="G29" s="28">
        <f t="shared" si="10"/>
        <v>40000</v>
      </c>
      <c r="H29" s="28">
        <f t="shared" si="10"/>
        <v>40000</v>
      </c>
      <c r="I29" s="28">
        <f t="shared" si="10"/>
        <v>40000</v>
      </c>
      <c r="J29" s="28">
        <f t="shared" si="10"/>
        <v>40000</v>
      </c>
      <c r="K29" s="28">
        <f t="shared" si="10"/>
        <v>40000</v>
      </c>
      <c r="L29" s="28">
        <f t="shared" si="10"/>
        <v>40000</v>
      </c>
      <c r="M29" s="28">
        <f t="shared" si="10"/>
        <v>40000</v>
      </c>
      <c r="N29" s="28">
        <f t="shared" si="10"/>
        <v>40000</v>
      </c>
      <c r="O29" s="28">
        <f t="shared" si="10"/>
        <v>40000</v>
      </c>
      <c r="P29" s="28">
        <f t="shared" si="10"/>
        <v>40000</v>
      </c>
      <c r="Q29" s="28">
        <f t="shared" si="10"/>
        <v>40000</v>
      </c>
      <c r="R29" s="28">
        <f t="shared" si="10"/>
        <v>40000</v>
      </c>
      <c r="S29" s="28">
        <f t="shared" si="10"/>
        <v>40000</v>
      </c>
      <c r="T29" s="28">
        <f t="shared" si="8"/>
        <v>40000</v>
      </c>
      <c r="U29" s="28">
        <f t="shared" si="8"/>
        <v>40000</v>
      </c>
      <c r="V29" s="28">
        <f t="shared" si="8"/>
        <v>40000</v>
      </c>
      <c r="W29" s="28">
        <f t="shared" si="8"/>
        <v>40000</v>
      </c>
      <c r="X29" s="28">
        <f t="shared" si="8"/>
        <v>40000</v>
      </c>
      <c r="Y29" s="28">
        <f t="shared" si="8"/>
        <v>40000</v>
      </c>
      <c r="Z29" s="28">
        <f t="shared" si="8"/>
        <v>40000</v>
      </c>
      <c r="AA29" s="33">
        <v>7</v>
      </c>
      <c r="AB29" s="30">
        <f t="shared" si="2"/>
        <v>6720000</v>
      </c>
      <c r="AC29" s="124"/>
      <c r="AF29" s="31"/>
    </row>
    <row r="30" spans="1:32" ht="14.4" thickTop="1" thickBot="1" x14ac:dyDescent="0.3">
      <c r="A30" s="120">
        <v>48092</v>
      </c>
      <c r="B30" s="34" t="s">
        <v>19</v>
      </c>
      <c r="C30" s="28">
        <v>40000</v>
      </c>
      <c r="D30" s="28">
        <f t="shared" si="10"/>
        <v>40000</v>
      </c>
      <c r="E30" s="28">
        <f t="shared" si="10"/>
        <v>40000</v>
      </c>
      <c r="F30" s="28">
        <f t="shared" si="10"/>
        <v>40000</v>
      </c>
      <c r="G30" s="28">
        <f t="shared" si="10"/>
        <v>40000</v>
      </c>
      <c r="H30" s="28">
        <f t="shared" si="10"/>
        <v>40000</v>
      </c>
      <c r="I30" s="28">
        <f t="shared" si="10"/>
        <v>40000</v>
      </c>
      <c r="J30" s="28">
        <f t="shared" si="10"/>
        <v>40000</v>
      </c>
      <c r="K30" s="28">
        <f t="shared" si="10"/>
        <v>40000</v>
      </c>
      <c r="L30" s="28">
        <f t="shared" si="10"/>
        <v>40000</v>
      </c>
      <c r="M30" s="28">
        <f t="shared" si="10"/>
        <v>40000</v>
      </c>
      <c r="N30" s="28">
        <f t="shared" si="10"/>
        <v>40000</v>
      </c>
      <c r="O30" s="28">
        <f t="shared" si="10"/>
        <v>40000</v>
      </c>
      <c r="P30" s="28">
        <f t="shared" si="10"/>
        <v>40000</v>
      </c>
      <c r="Q30" s="28">
        <f t="shared" si="10"/>
        <v>40000</v>
      </c>
      <c r="R30" s="28">
        <f t="shared" si="10"/>
        <v>40000</v>
      </c>
      <c r="S30" s="28">
        <f t="shared" si="10"/>
        <v>40000</v>
      </c>
      <c r="T30" s="28">
        <f t="shared" si="8"/>
        <v>40000</v>
      </c>
      <c r="U30" s="28">
        <f t="shared" si="8"/>
        <v>40000</v>
      </c>
      <c r="V30" s="28">
        <f t="shared" si="8"/>
        <v>40000</v>
      </c>
      <c r="W30" s="28">
        <f t="shared" si="8"/>
        <v>40000</v>
      </c>
      <c r="X30" s="28">
        <f t="shared" si="8"/>
        <v>40000</v>
      </c>
      <c r="Y30" s="28">
        <f t="shared" si="8"/>
        <v>40000</v>
      </c>
      <c r="Z30" s="28">
        <f t="shared" si="8"/>
        <v>40000</v>
      </c>
      <c r="AA30" s="33">
        <v>22</v>
      </c>
      <c r="AB30" s="30">
        <f t="shared" si="2"/>
        <v>21120000</v>
      </c>
      <c r="AC30" s="122">
        <f t="shared" ref="AC30" si="13">+AB30+AB31+AB32</f>
        <v>28800000</v>
      </c>
      <c r="AF30" s="31"/>
    </row>
    <row r="31" spans="1:32" ht="13.8" thickBot="1" x14ac:dyDescent="0.3">
      <c r="A31" s="121"/>
      <c r="B31" s="32" t="s">
        <v>20</v>
      </c>
      <c r="C31" s="28">
        <v>40000</v>
      </c>
      <c r="D31" s="28">
        <f t="shared" si="10"/>
        <v>40000</v>
      </c>
      <c r="E31" s="28">
        <f t="shared" si="10"/>
        <v>40000</v>
      </c>
      <c r="F31" s="28">
        <f t="shared" si="10"/>
        <v>40000</v>
      </c>
      <c r="G31" s="28">
        <f t="shared" si="10"/>
        <v>40000</v>
      </c>
      <c r="H31" s="28">
        <f t="shared" si="10"/>
        <v>40000</v>
      </c>
      <c r="I31" s="28">
        <f t="shared" si="10"/>
        <v>40000</v>
      </c>
      <c r="J31" s="28">
        <f t="shared" si="10"/>
        <v>40000</v>
      </c>
      <c r="K31" s="28">
        <f t="shared" si="10"/>
        <v>40000</v>
      </c>
      <c r="L31" s="28">
        <f t="shared" si="10"/>
        <v>40000</v>
      </c>
      <c r="M31" s="28">
        <f t="shared" si="10"/>
        <v>40000</v>
      </c>
      <c r="N31" s="28">
        <f t="shared" si="10"/>
        <v>40000</v>
      </c>
      <c r="O31" s="28">
        <f t="shared" si="10"/>
        <v>40000</v>
      </c>
      <c r="P31" s="28">
        <f t="shared" si="10"/>
        <v>40000</v>
      </c>
      <c r="Q31" s="28">
        <f t="shared" si="10"/>
        <v>40000</v>
      </c>
      <c r="R31" s="28">
        <f t="shared" si="10"/>
        <v>40000</v>
      </c>
      <c r="S31" s="28">
        <f t="shared" si="10"/>
        <v>40000</v>
      </c>
      <c r="T31" s="28">
        <f t="shared" si="8"/>
        <v>40000</v>
      </c>
      <c r="U31" s="28">
        <f t="shared" si="8"/>
        <v>40000</v>
      </c>
      <c r="V31" s="28">
        <f t="shared" si="8"/>
        <v>40000</v>
      </c>
      <c r="W31" s="28">
        <f t="shared" si="8"/>
        <v>40000</v>
      </c>
      <c r="X31" s="28">
        <f t="shared" si="8"/>
        <v>40000</v>
      </c>
      <c r="Y31" s="28">
        <f t="shared" si="8"/>
        <v>40000</v>
      </c>
      <c r="Z31" s="28">
        <f t="shared" si="8"/>
        <v>40000</v>
      </c>
      <c r="AA31" s="33">
        <v>4</v>
      </c>
      <c r="AB31" s="30">
        <f t="shared" si="2"/>
        <v>3840000</v>
      </c>
      <c r="AC31" s="123"/>
      <c r="AF31" s="31"/>
    </row>
    <row r="32" spans="1:32" ht="13.8" thickBot="1" x14ac:dyDescent="0.3">
      <c r="A32" s="121"/>
      <c r="B32" s="32" t="s">
        <v>21</v>
      </c>
      <c r="C32" s="28">
        <v>40000</v>
      </c>
      <c r="D32" s="28">
        <f t="shared" si="10"/>
        <v>40000</v>
      </c>
      <c r="E32" s="28">
        <f t="shared" si="10"/>
        <v>40000</v>
      </c>
      <c r="F32" s="28">
        <f t="shared" si="10"/>
        <v>40000</v>
      </c>
      <c r="G32" s="28">
        <f t="shared" si="10"/>
        <v>40000</v>
      </c>
      <c r="H32" s="28">
        <f t="shared" si="10"/>
        <v>40000</v>
      </c>
      <c r="I32" s="28">
        <f t="shared" si="10"/>
        <v>40000</v>
      </c>
      <c r="J32" s="28">
        <f t="shared" si="10"/>
        <v>40000</v>
      </c>
      <c r="K32" s="28">
        <f t="shared" si="10"/>
        <v>40000</v>
      </c>
      <c r="L32" s="28">
        <f t="shared" si="10"/>
        <v>40000</v>
      </c>
      <c r="M32" s="28">
        <f t="shared" si="10"/>
        <v>40000</v>
      </c>
      <c r="N32" s="28">
        <f t="shared" si="10"/>
        <v>40000</v>
      </c>
      <c r="O32" s="28">
        <f t="shared" si="10"/>
        <v>40000</v>
      </c>
      <c r="P32" s="28">
        <f t="shared" si="10"/>
        <v>40000</v>
      </c>
      <c r="Q32" s="28">
        <f t="shared" si="10"/>
        <v>40000</v>
      </c>
      <c r="R32" s="28">
        <f t="shared" si="10"/>
        <v>40000</v>
      </c>
      <c r="S32" s="28">
        <f t="shared" si="10"/>
        <v>40000</v>
      </c>
      <c r="T32" s="28">
        <f t="shared" si="8"/>
        <v>40000</v>
      </c>
      <c r="U32" s="28">
        <f t="shared" si="8"/>
        <v>40000</v>
      </c>
      <c r="V32" s="28">
        <f t="shared" si="8"/>
        <v>40000</v>
      </c>
      <c r="W32" s="28">
        <f t="shared" si="8"/>
        <v>40000</v>
      </c>
      <c r="X32" s="28">
        <f t="shared" si="8"/>
        <v>40000</v>
      </c>
      <c r="Y32" s="28">
        <f t="shared" si="8"/>
        <v>40000</v>
      </c>
      <c r="Z32" s="28">
        <f t="shared" si="8"/>
        <v>40000</v>
      </c>
      <c r="AA32" s="33">
        <v>4</v>
      </c>
      <c r="AB32" s="30">
        <f t="shared" si="2"/>
        <v>3840000</v>
      </c>
      <c r="AC32" s="124"/>
      <c r="AF32" s="31"/>
    </row>
    <row r="33" spans="1:32" ht="14.4" thickTop="1" thickBot="1" x14ac:dyDescent="0.3">
      <c r="A33" s="120">
        <v>48122</v>
      </c>
      <c r="B33" s="35" t="s">
        <v>19</v>
      </c>
      <c r="C33" s="28">
        <v>40000</v>
      </c>
      <c r="D33" s="28">
        <f t="shared" si="10"/>
        <v>40000</v>
      </c>
      <c r="E33" s="28">
        <f t="shared" si="10"/>
        <v>40000</v>
      </c>
      <c r="F33" s="28">
        <f t="shared" si="10"/>
        <v>40000</v>
      </c>
      <c r="G33" s="28">
        <f t="shared" si="10"/>
        <v>40000</v>
      </c>
      <c r="H33" s="28">
        <f t="shared" si="10"/>
        <v>40000</v>
      </c>
      <c r="I33" s="28">
        <f t="shared" si="10"/>
        <v>40000</v>
      </c>
      <c r="J33" s="28">
        <f t="shared" si="10"/>
        <v>40000</v>
      </c>
      <c r="K33" s="28">
        <f t="shared" si="10"/>
        <v>40000</v>
      </c>
      <c r="L33" s="28">
        <f t="shared" si="10"/>
        <v>40000</v>
      </c>
      <c r="M33" s="28">
        <f t="shared" si="10"/>
        <v>40000</v>
      </c>
      <c r="N33" s="28">
        <f t="shared" si="10"/>
        <v>40000</v>
      </c>
      <c r="O33" s="28">
        <f t="shared" si="10"/>
        <v>40000</v>
      </c>
      <c r="P33" s="28">
        <f t="shared" si="10"/>
        <v>40000</v>
      </c>
      <c r="Q33" s="28">
        <f t="shared" si="10"/>
        <v>40000</v>
      </c>
      <c r="R33" s="28">
        <f t="shared" si="10"/>
        <v>40000</v>
      </c>
      <c r="S33" s="28">
        <f t="shared" si="10"/>
        <v>40000</v>
      </c>
      <c r="T33" s="28">
        <f t="shared" si="8"/>
        <v>40000</v>
      </c>
      <c r="U33" s="28">
        <f t="shared" si="8"/>
        <v>40000</v>
      </c>
      <c r="V33" s="28">
        <f t="shared" si="8"/>
        <v>40000</v>
      </c>
      <c r="W33" s="28">
        <f t="shared" si="8"/>
        <v>40000</v>
      </c>
      <c r="X33" s="28">
        <f t="shared" si="8"/>
        <v>40000</v>
      </c>
      <c r="Y33" s="28">
        <f t="shared" si="8"/>
        <v>40000</v>
      </c>
      <c r="Z33" s="28">
        <f t="shared" si="8"/>
        <v>40000</v>
      </c>
      <c r="AA33" s="33">
        <v>22</v>
      </c>
      <c r="AB33" s="30">
        <f t="shared" si="2"/>
        <v>21120000</v>
      </c>
      <c r="AC33" s="122">
        <f t="shared" ref="AC33" si="14">+AB33+AB34+AB35</f>
        <v>29760000</v>
      </c>
      <c r="AF33" s="31"/>
    </row>
    <row r="34" spans="1:32" ht="13.8" thickBot="1" x14ac:dyDescent="0.3">
      <c r="A34" s="121"/>
      <c r="B34" s="32" t="s">
        <v>20</v>
      </c>
      <c r="C34" s="28">
        <v>40000</v>
      </c>
      <c r="D34" s="28">
        <f t="shared" si="10"/>
        <v>40000</v>
      </c>
      <c r="E34" s="28">
        <f t="shared" si="10"/>
        <v>40000</v>
      </c>
      <c r="F34" s="28">
        <f t="shared" si="10"/>
        <v>40000</v>
      </c>
      <c r="G34" s="28">
        <f t="shared" si="10"/>
        <v>40000</v>
      </c>
      <c r="H34" s="28">
        <f t="shared" si="10"/>
        <v>40000</v>
      </c>
      <c r="I34" s="28">
        <f t="shared" si="10"/>
        <v>40000</v>
      </c>
      <c r="J34" s="28">
        <f t="shared" si="10"/>
        <v>40000</v>
      </c>
      <c r="K34" s="28">
        <f t="shared" si="10"/>
        <v>40000</v>
      </c>
      <c r="L34" s="28">
        <f t="shared" si="10"/>
        <v>40000</v>
      </c>
      <c r="M34" s="28">
        <f t="shared" si="10"/>
        <v>40000</v>
      </c>
      <c r="N34" s="28">
        <f t="shared" si="10"/>
        <v>40000</v>
      </c>
      <c r="O34" s="28">
        <f t="shared" si="10"/>
        <v>40000</v>
      </c>
      <c r="P34" s="28">
        <f t="shared" si="10"/>
        <v>40000</v>
      </c>
      <c r="Q34" s="28">
        <f t="shared" si="10"/>
        <v>40000</v>
      </c>
      <c r="R34" s="28">
        <f t="shared" si="10"/>
        <v>40000</v>
      </c>
      <c r="S34" s="28">
        <f t="shared" si="10"/>
        <v>40000</v>
      </c>
      <c r="T34" s="28">
        <f t="shared" si="8"/>
        <v>40000</v>
      </c>
      <c r="U34" s="28">
        <f t="shared" si="8"/>
        <v>40000</v>
      </c>
      <c r="V34" s="28">
        <f t="shared" si="8"/>
        <v>40000</v>
      </c>
      <c r="W34" s="28">
        <f t="shared" si="8"/>
        <v>40000</v>
      </c>
      <c r="X34" s="28">
        <f t="shared" si="8"/>
        <v>40000</v>
      </c>
      <c r="Y34" s="28">
        <f t="shared" si="8"/>
        <v>40000</v>
      </c>
      <c r="Z34" s="28">
        <f t="shared" si="8"/>
        <v>40000</v>
      </c>
      <c r="AA34" s="33">
        <v>4</v>
      </c>
      <c r="AB34" s="30">
        <f t="shared" si="2"/>
        <v>3840000</v>
      </c>
      <c r="AC34" s="123"/>
      <c r="AF34" s="31"/>
    </row>
    <row r="35" spans="1:32" ht="13.8" thickBot="1" x14ac:dyDescent="0.3">
      <c r="A35" s="121"/>
      <c r="B35" s="32" t="s">
        <v>21</v>
      </c>
      <c r="C35" s="28">
        <v>40000</v>
      </c>
      <c r="D35" s="28">
        <f t="shared" si="10"/>
        <v>40000</v>
      </c>
      <c r="E35" s="28">
        <f t="shared" si="10"/>
        <v>40000</v>
      </c>
      <c r="F35" s="28">
        <f t="shared" si="10"/>
        <v>40000</v>
      </c>
      <c r="G35" s="28">
        <f t="shared" si="10"/>
        <v>40000</v>
      </c>
      <c r="H35" s="28">
        <f t="shared" si="10"/>
        <v>40000</v>
      </c>
      <c r="I35" s="28">
        <f t="shared" si="10"/>
        <v>40000</v>
      </c>
      <c r="J35" s="28">
        <f t="shared" si="10"/>
        <v>40000</v>
      </c>
      <c r="K35" s="28">
        <f t="shared" si="10"/>
        <v>40000</v>
      </c>
      <c r="L35" s="28">
        <f t="shared" si="10"/>
        <v>40000</v>
      </c>
      <c r="M35" s="28">
        <f t="shared" si="10"/>
        <v>40000</v>
      </c>
      <c r="N35" s="28">
        <f t="shared" si="10"/>
        <v>40000</v>
      </c>
      <c r="O35" s="28">
        <f t="shared" si="10"/>
        <v>40000</v>
      </c>
      <c r="P35" s="28">
        <f t="shared" si="10"/>
        <v>40000</v>
      </c>
      <c r="Q35" s="28">
        <f t="shared" si="10"/>
        <v>40000</v>
      </c>
      <c r="R35" s="28">
        <f t="shared" si="10"/>
        <v>40000</v>
      </c>
      <c r="S35" s="28">
        <f t="shared" si="10"/>
        <v>40000</v>
      </c>
      <c r="T35" s="28">
        <f t="shared" si="8"/>
        <v>40000</v>
      </c>
      <c r="U35" s="28">
        <f t="shared" si="8"/>
        <v>40000</v>
      </c>
      <c r="V35" s="28">
        <f t="shared" si="8"/>
        <v>40000</v>
      </c>
      <c r="W35" s="28">
        <f t="shared" si="8"/>
        <v>40000</v>
      </c>
      <c r="X35" s="28">
        <f t="shared" si="8"/>
        <v>40000</v>
      </c>
      <c r="Y35" s="28">
        <f t="shared" si="8"/>
        <v>40000</v>
      </c>
      <c r="Z35" s="28">
        <f t="shared" si="8"/>
        <v>40000</v>
      </c>
      <c r="AA35" s="33">
        <v>5</v>
      </c>
      <c r="AB35" s="30">
        <f t="shared" si="2"/>
        <v>4800000</v>
      </c>
      <c r="AC35" s="124"/>
      <c r="AF35" s="31"/>
    </row>
    <row r="36" spans="1:32" ht="14.4" thickTop="1" thickBot="1" x14ac:dyDescent="0.3">
      <c r="A36" s="120">
        <v>48153</v>
      </c>
      <c r="B36" s="34" t="s">
        <v>19</v>
      </c>
      <c r="C36" s="28">
        <v>40000</v>
      </c>
      <c r="D36" s="28">
        <f t="shared" si="10"/>
        <v>40000</v>
      </c>
      <c r="E36" s="28">
        <f t="shared" si="10"/>
        <v>40000</v>
      </c>
      <c r="F36" s="28">
        <f t="shared" si="10"/>
        <v>40000</v>
      </c>
      <c r="G36" s="28">
        <f t="shared" si="10"/>
        <v>40000</v>
      </c>
      <c r="H36" s="28">
        <f t="shared" si="10"/>
        <v>40000</v>
      </c>
      <c r="I36" s="28">
        <f t="shared" si="10"/>
        <v>40000</v>
      </c>
      <c r="J36" s="28">
        <f t="shared" si="10"/>
        <v>40000</v>
      </c>
      <c r="K36" s="28">
        <f t="shared" si="10"/>
        <v>40000</v>
      </c>
      <c r="L36" s="28">
        <f t="shared" si="10"/>
        <v>40000</v>
      </c>
      <c r="M36" s="28">
        <f t="shared" si="10"/>
        <v>40000</v>
      </c>
      <c r="N36" s="28">
        <f t="shared" si="10"/>
        <v>40000</v>
      </c>
      <c r="O36" s="28">
        <f t="shared" si="10"/>
        <v>40000</v>
      </c>
      <c r="P36" s="28">
        <f t="shared" si="10"/>
        <v>40000</v>
      </c>
      <c r="Q36" s="28">
        <f t="shared" si="10"/>
        <v>40000</v>
      </c>
      <c r="R36" s="28">
        <f t="shared" si="10"/>
        <v>40000</v>
      </c>
      <c r="S36" s="28">
        <f t="shared" si="10"/>
        <v>40000</v>
      </c>
      <c r="T36" s="28">
        <f t="shared" si="8"/>
        <v>40000</v>
      </c>
      <c r="U36" s="28">
        <f t="shared" si="8"/>
        <v>40000</v>
      </c>
      <c r="V36" s="28">
        <f t="shared" si="8"/>
        <v>40000</v>
      </c>
      <c r="W36" s="28">
        <f t="shared" si="8"/>
        <v>40000</v>
      </c>
      <c r="X36" s="28">
        <f t="shared" si="8"/>
        <v>40000</v>
      </c>
      <c r="Y36" s="28">
        <f t="shared" si="8"/>
        <v>40000</v>
      </c>
      <c r="Z36" s="28">
        <f t="shared" si="8"/>
        <v>40000</v>
      </c>
      <c r="AA36" s="33">
        <v>18</v>
      </c>
      <c r="AB36" s="30">
        <f t="shared" si="2"/>
        <v>17280000</v>
      </c>
      <c r="AC36" s="122">
        <f t="shared" ref="AC36" si="15">+AB36+AB37+AB38</f>
        <v>28800000</v>
      </c>
      <c r="AF36" s="31"/>
    </row>
    <row r="37" spans="1:32" ht="13.8" thickBot="1" x14ac:dyDescent="0.3">
      <c r="A37" s="121"/>
      <c r="B37" s="32" t="s">
        <v>20</v>
      </c>
      <c r="C37" s="28">
        <v>40000</v>
      </c>
      <c r="D37" s="28">
        <f t="shared" si="10"/>
        <v>40000</v>
      </c>
      <c r="E37" s="28">
        <f t="shared" si="10"/>
        <v>40000</v>
      </c>
      <c r="F37" s="28">
        <f t="shared" si="10"/>
        <v>40000</v>
      </c>
      <c r="G37" s="28">
        <f t="shared" si="10"/>
        <v>40000</v>
      </c>
      <c r="H37" s="28">
        <f t="shared" si="10"/>
        <v>40000</v>
      </c>
      <c r="I37" s="28">
        <f t="shared" si="10"/>
        <v>40000</v>
      </c>
      <c r="J37" s="28">
        <f t="shared" si="10"/>
        <v>40000</v>
      </c>
      <c r="K37" s="28">
        <f t="shared" si="10"/>
        <v>40000</v>
      </c>
      <c r="L37" s="28">
        <f t="shared" si="10"/>
        <v>40000</v>
      </c>
      <c r="M37" s="28">
        <f t="shared" si="10"/>
        <v>40000</v>
      </c>
      <c r="N37" s="28">
        <f t="shared" si="10"/>
        <v>40000</v>
      </c>
      <c r="O37" s="28">
        <f t="shared" si="10"/>
        <v>40000</v>
      </c>
      <c r="P37" s="28">
        <f t="shared" si="10"/>
        <v>40000</v>
      </c>
      <c r="Q37" s="28">
        <f t="shared" si="10"/>
        <v>40000</v>
      </c>
      <c r="R37" s="28">
        <f t="shared" si="10"/>
        <v>40000</v>
      </c>
      <c r="S37" s="28">
        <f t="shared" ref="S37:Z41" si="16">+R37</f>
        <v>40000</v>
      </c>
      <c r="T37" s="28">
        <f t="shared" si="16"/>
        <v>40000</v>
      </c>
      <c r="U37" s="28">
        <f t="shared" si="16"/>
        <v>40000</v>
      </c>
      <c r="V37" s="28">
        <f t="shared" si="16"/>
        <v>40000</v>
      </c>
      <c r="W37" s="28">
        <f t="shared" si="16"/>
        <v>40000</v>
      </c>
      <c r="X37" s="28">
        <f t="shared" si="16"/>
        <v>40000</v>
      </c>
      <c r="Y37" s="28">
        <f t="shared" si="16"/>
        <v>40000</v>
      </c>
      <c r="Z37" s="28">
        <f t="shared" si="16"/>
        <v>40000</v>
      </c>
      <c r="AA37" s="33">
        <v>5</v>
      </c>
      <c r="AB37" s="30">
        <f t="shared" si="2"/>
        <v>4800000</v>
      </c>
      <c r="AC37" s="123"/>
      <c r="AF37" s="31"/>
    </row>
    <row r="38" spans="1:32" ht="13.8" thickBot="1" x14ac:dyDescent="0.3">
      <c r="A38" s="121"/>
      <c r="B38" s="32" t="s">
        <v>21</v>
      </c>
      <c r="C38" s="28">
        <v>40000</v>
      </c>
      <c r="D38" s="28">
        <f t="shared" ref="D38:S41" si="17">+C38</f>
        <v>40000</v>
      </c>
      <c r="E38" s="28">
        <f t="shared" si="17"/>
        <v>40000</v>
      </c>
      <c r="F38" s="28">
        <f t="shared" si="17"/>
        <v>40000</v>
      </c>
      <c r="G38" s="28">
        <f t="shared" si="17"/>
        <v>40000</v>
      </c>
      <c r="H38" s="28">
        <f t="shared" si="17"/>
        <v>40000</v>
      </c>
      <c r="I38" s="28">
        <f t="shared" si="17"/>
        <v>40000</v>
      </c>
      <c r="J38" s="28">
        <f t="shared" si="17"/>
        <v>40000</v>
      </c>
      <c r="K38" s="28">
        <f t="shared" si="17"/>
        <v>40000</v>
      </c>
      <c r="L38" s="28">
        <f t="shared" si="17"/>
        <v>40000</v>
      </c>
      <c r="M38" s="28">
        <f t="shared" si="17"/>
        <v>40000</v>
      </c>
      <c r="N38" s="28">
        <f t="shared" si="17"/>
        <v>40000</v>
      </c>
      <c r="O38" s="28">
        <f t="shared" si="17"/>
        <v>40000</v>
      </c>
      <c r="P38" s="28">
        <f t="shared" si="17"/>
        <v>40000</v>
      </c>
      <c r="Q38" s="28">
        <f t="shared" si="17"/>
        <v>40000</v>
      </c>
      <c r="R38" s="28">
        <f t="shared" si="17"/>
        <v>40000</v>
      </c>
      <c r="S38" s="28">
        <f t="shared" si="17"/>
        <v>40000</v>
      </c>
      <c r="T38" s="28">
        <f t="shared" si="16"/>
        <v>40000</v>
      </c>
      <c r="U38" s="28">
        <f t="shared" si="16"/>
        <v>40000</v>
      </c>
      <c r="V38" s="28">
        <f t="shared" si="16"/>
        <v>40000</v>
      </c>
      <c r="W38" s="28">
        <f t="shared" si="16"/>
        <v>40000</v>
      </c>
      <c r="X38" s="28">
        <f t="shared" si="16"/>
        <v>40000</v>
      </c>
      <c r="Y38" s="28">
        <f t="shared" si="16"/>
        <v>40000</v>
      </c>
      <c r="Z38" s="28">
        <f t="shared" si="16"/>
        <v>40000</v>
      </c>
      <c r="AA38" s="33">
        <v>7</v>
      </c>
      <c r="AB38" s="30">
        <f t="shared" si="2"/>
        <v>6720000</v>
      </c>
      <c r="AC38" s="124"/>
      <c r="AF38" s="31"/>
    </row>
    <row r="39" spans="1:32" ht="14.4" thickTop="1" thickBot="1" x14ac:dyDescent="0.3">
      <c r="A39" s="120">
        <v>48183</v>
      </c>
      <c r="B39" s="35" t="s">
        <v>19</v>
      </c>
      <c r="C39" s="28">
        <v>40000</v>
      </c>
      <c r="D39" s="28">
        <f t="shared" si="17"/>
        <v>40000</v>
      </c>
      <c r="E39" s="28">
        <f t="shared" si="17"/>
        <v>40000</v>
      </c>
      <c r="F39" s="28">
        <f t="shared" si="17"/>
        <v>40000</v>
      </c>
      <c r="G39" s="28">
        <f t="shared" si="17"/>
        <v>40000</v>
      </c>
      <c r="H39" s="28">
        <f t="shared" si="17"/>
        <v>40000</v>
      </c>
      <c r="I39" s="28">
        <f t="shared" si="17"/>
        <v>40000</v>
      </c>
      <c r="J39" s="28">
        <f t="shared" si="17"/>
        <v>40000</v>
      </c>
      <c r="K39" s="28">
        <f t="shared" si="17"/>
        <v>40000</v>
      </c>
      <c r="L39" s="28">
        <f t="shared" si="17"/>
        <v>40000</v>
      </c>
      <c r="M39" s="28">
        <f t="shared" si="17"/>
        <v>40000</v>
      </c>
      <c r="N39" s="28">
        <f t="shared" si="17"/>
        <v>40000</v>
      </c>
      <c r="O39" s="28">
        <f t="shared" si="17"/>
        <v>40000</v>
      </c>
      <c r="P39" s="28">
        <f t="shared" si="17"/>
        <v>40000</v>
      </c>
      <c r="Q39" s="28">
        <f t="shared" si="17"/>
        <v>40000</v>
      </c>
      <c r="R39" s="28">
        <f t="shared" si="17"/>
        <v>40000</v>
      </c>
      <c r="S39" s="28">
        <f t="shared" si="17"/>
        <v>40000</v>
      </c>
      <c r="T39" s="28">
        <f t="shared" si="16"/>
        <v>40000</v>
      </c>
      <c r="U39" s="28">
        <f t="shared" si="16"/>
        <v>40000</v>
      </c>
      <c r="V39" s="28">
        <f t="shared" si="16"/>
        <v>40000</v>
      </c>
      <c r="W39" s="28">
        <f t="shared" si="16"/>
        <v>40000</v>
      </c>
      <c r="X39" s="28">
        <f t="shared" si="16"/>
        <v>40000</v>
      </c>
      <c r="Y39" s="28">
        <f t="shared" si="16"/>
        <v>40000</v>
      </c>
      <c r="Z39" s="28">
        <f t="shared" si="16"/>
        <v>40000</v>
      </c>
      <c r="AA39" s="33">
        <v>21</v>
      </c>
      <c r="AB39" s="30">
        <f t="shared" si="2"/>
        <v>20160000</v>
      </c>
      <c r="AC39" s="122">
        <f t="shared" ref="AC39" si="18">+AB39+AB40+AB41</f>
        <v>29760000</v>
      </c>
      <c r="AF39" s="31"/>
    </row>
    <row r="40" spans="1:32" ht="13.8" thickBot="1" x14ac:dyDescent="0.3">
      <c r="A40" s="121"/>
      <c r="B40" s="32" t="s">
        <v>20</v>
      </c>
      <c r="C40" s="28">
        <v>40000</v>
      </c>
      <c r="D40" s="28">
        <f t="shared" si="17"/>
        <v>40000</v>
      </c>
      <c r="E40" s="28">
        <f t="shared" si="17"/>
        <v>40000</v>
      </c>
      <c r="F40" s="28">
        <f t="shared" si="17"/>
        <v>40000</v>
      </c>
      <c r="G40" s="28">
        <f t="shared" si="17"/>
        <v>40000</v>
      </c>
      <c r="H40" s="28">
        <f t="shared" si="17"/>
        <v>40000</v>
      </c>
      <c r="I40" s="28">
        <f t="shared" si="17"/>
        <v>40000</v>
      </c>
      <c r="J40" s="28">
        <f t="shared" si="17"/>
        <v>40000</v>
      </c>
      <c r="K40" s="28">
        <f t="shared" si="17"/>
        <v>40000</v>
      </c>
      <c r="L40" s="28">
        <f t="shared" si="17"/>
        <v>40000</v>
      </c>
      <c r="M40" s="28">
        <f t="shared" si="17"/>
        <v>40000</v>
      </c>
      <c r="N40" s="28">
        <f t="shared" si="17"/>
        <v>40000</v>
      </c>
      <c r="O40" s="28">
        <f t="shared" si="17"/>
        <v>40000</v>
      </c>
      <c r="P40" s="28">
        <f t="shared" si="17"/>
        <v>40000</v>
      </c>
      <c r="Q40" s="28">
        <f t="shared" si="17"/>
        <v>40000</v>
      </c>
      <c r="R40" s="28">
        <f t="shared" si="17"/>
        <v>40000</v>
      </c>
      <c r="S40" s="28">
        <f t="shared" si="17"/>
        <v>40000</v>
      </c>
      <c r="T40" s="28">
        <f t="shared" si="16"/>
        <v>40000</v>
      </c>
      <c r="U40" s="28">
        <f t="shared" si="16"/>
        <v>40000</v>
      </c>
      <c r="V40" s="28">
        <f t="shared" si="16"/>
        <v>40000</v>
      </c>
      <c r="W40" s="28">
        <f t="shared" si="16"/>
        <v>40000</v>
      </c>
      <c r="X40" s="28">
        <f t="shared" si="16"/>
        <v>40000</v>
      </c>
      <c r="Y40" s="28">
        <f t="shared" si="16"/>
        <v>40000</v>
      </c>
      <c r="Z40" s="28">
        <f t="shared" si="16"/>
        <v>40000</v>
      </c>
      <c r="AA40" s="33">
        <v>4</v>
      </c>
      <c r="AB40" s="30">
        <f t="shared" si="2"/>
        <v>3840000</v>
      </c>
      <c r="AC40" s="123"/>
      <c r="AF40" s="31"/>
    </row>
    <row r="41" spans="1:32" ht="13.8" thickBot="1" x14ac:dyDescent="0.3">
      <c r="A41" s="125"/>
      <c r="B41" s="36" t="s">
        <v>21</v>
      </c>
      <c r="C41" s="28">
        <v>40000</v>
      </c>
      <c r="D41" s="28">
        <f t="shared" si="17"/>
        <v>40000</v>
      </c>
      <c r="E41" s="28">
        <f t="shared" si="17"/>
        <v>40000</v>
      </c>
      <c r="F41" s="28">
        <f t="shared" si="17"/>
        <v>40000</v>
      </c>
      <c r="G41" s="28">
        <f t="shared" si="17"/>
        <v>40000</v>
      </c>
      <c r="H41" s="28">
        <f t="shared" si="17"/>
        <v>40000</v>
      </c>
      <c r="I41" s="28">
        <f t="shared" si="17"/>
        <v>40000</v>
      </c>
      <c r="J41" s="28">
        <f t="shared" si="17"/>
        <v>40000</v>
      </c>
      <c r="K41" s="28">
        <f t="shared" si="17"/>
        <v>40000</v>
      </c>
      <c r="L41" s="28">
        <f t="shared" si="17"/>
        <v>40000</v>
      </c>
      <c r="M41" s="28">
        <f t="shared" si="17"/>
        <v>40000</v>
      </c>
      <c r="N41" s="28">
        <f t="shared" si="17"/>
        <v>40000</v>
      </c>
      <c r="O41" s="28">
        <f t="shared" si="17"/>
        <v>40000</v>
      </c>
      <c r="P41" s="28">
        <f t="shared" si="17"/>
        <v>40000</v>
      </c>
      <c r="Q41" s="28">
        <f t="shared" si="17"/>
        <v>40000</v>
      </c>
      <c r="R41" s="28">
        <f t="shared" si="17"/>
        <v>40000</v>
      </c>
      <c r="S41" s="28">
        <f t="shared" si="17"/>
        <v>40000</v>
      </c>
      <c r="T41" s="28">
        <f t="shared" si="16"/>
        <v>40000</v>
      </c>
      <c r="U41" s="28">
        <f t="shared" si="16"/>
        <v>40000</v>
      </c>
      <c r="V41" s="28">
        <f t="shared" si="16"/>
        <v>40000</v>
      </c>
      <c r="W41" s="28">
        <f t="shared" si="16"/>
        <v>40000</v>
      </c>
      <c r="X41" s="28">
        <f t="shared" si="16"/>
        <v>40000</v>
      </c>
      <c r="Y41" s="28">
        <f t="shared" si="16"/>
        <v>40000</v>
      </c>
      <c r="Z41" s="28">
        <f t="shared" si="16"/>
        <v>40000</v>
      </c>
      <c r="AA41" s="37">
        <v>6</v>
      </c>
      <c r="AB41" s="30">
        <f t="shared" si="2"/>
        <v>5760000</v>
      </c>
      <c r="AC41" s="124"/>
      <c r="AF41" s="31"/>
    </row>
    <row r="42" spans="1:32" x14ac:dyDescent="0.25">
      <c r="C42" s="28"/>
    </row>
  </sheetData>
  <mergeCells count="30">
    <mergeCell ref="A1:AD1"/>
    <mergeCell ref="A2:AD2"/>
    <mergeCell ref="A3:AD3"/>
    <mergeCell ref="AA4:AA5"/>
    <mergeCell ref="AB4:AB5"/>
    <mergeCell ref="AC4:AC5"/>
    <mergeCell ref="A6:A8"/>
    <mergeCell ref="AC6:AC8"/>
    <mergeCell ref="A9:A11"/>
    <mergeCell ref="AC9:AC11"/>
    <mergeCell ref="A12:A14"/>
    <mergeCell ref="AC12:AC14"/>
    <mergeCell ref="A15:A17"/>
    <mergeCell ref="AC15:AC17"/>
    <mergeCell ref="A18:A20"/>
    <mergeCell ref="AC18:AC20"/>
    <mergeCell ref="A21:A23"/>
    <mergeCell ref="AC21:AC23"/>
    <mergeCell ref="A24:A26"/>
    <mergeCell ref="AC24:AC26"/>
    <mergeCell ref="A27:A29"/>
    <mergeCell ref="AC27:AC29"/>
    <mergeCell ref="A30:A32"/>
    <mergeCell ref="AC30:AC32"/>
    <mergeCell ref="A33:A35"/>
    <mergeCell ref="AC33:AC35"/>
    <mergeCell ref="A36:A38"/>
    <mergeCell ref="AC36:AC38"/>
    <mergeCell ref="A39:A41"/>
    <mergeCell ref="AC39:AC41"/>
  </mergeCells>
  <printOptions horizontalCentered="1" verticalCentered="1"/>
  <pageMargins left="0.78740157480314965" right="0.78740157480314965" top="1.1811023622047245" bottom="0.98425196850393704" header="0" footer="0"/>
  <pageSetup scale="62" orientation="landscape" r:id="rId1"/>
  <headerFooter alignWithMargins="0"/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9919A-0C9F-46D8-B7BF-32E93E817EFF}">
  <sheetPr>
    <pageSetUpPr fitToPage="1"/>
  </sheetPr>
  <dimension ref="A1:G424"/>
  <sheetViews>
    <sheetView workbookViewId="0">
      <selection sqref="A1:D25"/>
    </sheetView>
  </sheetViews>
  <sheetFormatPr baseColWidth="10" defaultColWidth="11.44140625" defaultRowHeight="13.2" x14ac:dyDescent="0.25"/>
  <cols>
    <col min="1" max="1" width="19.44140625" style="7" customWidth="1"/>
    <col min="2" max="2" width="26.6640625" style="7" customWidth="1"/>
    <col min="3" max="3" width="10.5546875" style="7" customWidth="1"/>
    <col min="4" max="4" width="16.109375" style="7" customWidth="1"/>
    <col min="5" max="5" width="16.6640625" style="7" bestFit="1" customWidth="1"/>
    <col min="6" max="6" width="16.33203125" style="7" bestFit="1" customWidth="1"/>
    <col min="7" max="16384" width="11.44140625" style="7"/>
  </cols>
  <sheetData>
    <row r="1" spans="1:7" s="1" customFormat="1" ht="16.5" customHeight="1" x14ac:dyDescent="0.25">
      <c r="A1" s="99" t="s">
        <v>31</v>
      </c>
      <c r="B1" s="100"/>
      <c r="C1" s="100"/>
      <c r="D1" s="101"/>
    </row>
    <row r="2" spans="1:7" s="1" customFormat="1" ht="16.5" customHeight="1" x14ac:dyDescent="0.25">
      <c r="A2" s="102" t="s">
        <v>25</v>
      </c>
      <c r="B2" s="103"/>
      <c r="C2" s="103"/>
      <c r="D2" s="104"/>
    </row>
    <row r="3" spans="1:7" s="1" customFormat="1" ht="26.7" customHeight="1" x14ac:dyDescent="0.25">
      <c r="A3" s="105" t="s">
        <v>29</v>
      </c>
      <c r="B3" s="106"/>
      <c r="C3" s="106"/>
      <c r="D3" s="107"/>
    </row>
    <row r="4" spans="1:7" s="1" customFormat="1" ht="16.5" customHeight="1" thickBot="1" x14ac:dyDescent="0.3">
      <c r="A4" s="108"/>
      <c r="B4" s="109"/>
      <c r="C4" s="109"/>
      <c r="D4" s="110"/>
    </row>
    <row r="5" spans="1:7" s="2" customFormat="1" ht="15" customHeight="1" x14ac:dyDescent="0.25">
      <c r="A5" s="136" t="s">
        <v>1</v>
      </c>
      <c r="B5" s="138" t="s">
        <v>2</v>
      </c>
      <c r="C5" s="116" t="s">
        <v>0</v>
      </c>
      <c r="D5" s="117"/>
    </row>
    <row r="6" spans="1:7" s="2" customFormat="1" ht="25.95" customHeight="1" x14ac:dyDescent="0.25">
      <c r="A6" s="137"/>
      <c r="B6" s="139"/>
      <c r="C6" s="118" t="s">
        <v>3</v>
      </c>
      <c r="D6" s="119"/>
    </row>
    <row r="7" spans="1:7" s="2" customFormat="1" x14ac:dyDescent="0.25">
      <c r="A7" s="112"/>
      <c r="B7" s="3" t="s">
        <v>4</v>
      </c>
      <c r="C7" s="3" t="s">
        <v>5</v>
      </c>
      <c r="D7" s="4" t="s">
        <v>6</v>
      </c>
    </row>
    <row r="8" spans="1:7" ht="16.5" customHeight="1" x14ac:dyDescent="0.25">
      <c r="A8" s="5">
        <v>48214</v>
      </c>
      <c r="B8" s="6">
        <f>+VLOOKUP(A8,'Cant producto 4_2032'!$A:$AD,29,FALSE)</f>
        <v>39432000</v>
      </c>
      <c r="C8" s="10"/>
      <c r="D8" s="48"/>
      <c r="F8" s="8"/>
      <c r="G8" s="9"/>
    </row>
    <row r="9" spans="1:7" ht="16.5" customHeight="1" x14ac:dyDescent="0.25">
      <c r="A9" s="5">
        <v>48245</v>
      </c>
      <c r="B9" s="6">
        <f>+VLOOKUP(A9,'Cant producto 4_2032'!$A:$AD,29,FALSE)</f>
        <v>36888000</v>
      </c>
      <c r="C9" s="10"/>
      <c r="D9" s="48"/>
      <c r="F9" s="8"/>
      <c r="G9" s="9"/>
    </row>
    <row r="10" spans="1:7" ht="16.5" customHeight="1" x14ac:dyDescent="0.25">
      <c r="A10" s="5">
        <v>48274</v>
      </c>
      <c r="B10" s="6">
        <f>+VLOOKUP(A10,'Cant producto 4_2032'!$A:$AD,29,FALSE)</f>
        <v>39432000</v>
      </c>
      <c r="C10" s="10"/>
      <c r="D10" s="48"/>
      <c r="F10" s="8"/>
      <c r="G10" s="9"/>
    </row>
    <row r="11" spans="1:7" ht="16.5" customHeight="1" x14ac:dyDescent="0.25">
      <c r="A11" s="5">
        <v>48305</v>
      </c>
      <c r="B11" s="6">
        <f>+VLOOKUP(A11,'Cant producto 4_2032'!$A:$AD,29,FALSE)</f>
        <v>30960000</v>
      </c>
      <c r="C11" s="10"/>
      <c r="D11" s="48"/>
      <c r="F11" s="8"/>
      <c r="G11" s="9"/>
    </row>
    <row r="12" spans="1:7" ht="16.5" customHeight="1" x14ac:dyDescent="0.25">
      <c r="A12" s="5">
        <v>48335</v>
      </c>
      <c r="B12" s="6">
        <f>+VLOOKUP(A12,'Cant producto 4_2032'!$A:$AD,29,FALSE)</f>
        <v>31992000</v>
      </c>
      <c r="C12" s="10"/>
      <c r="D12" s="48"/>
      <c r="F12" s="8"/>
      <c r="G12" s="9"/>
    </row>
    <row r="13" spans="1:7" ht="16.5" customHeight="1" x14ac:dyDescent="0.25">
      <c r="A13" s="5">
        <v>48366</v>
      </c>
      <c r="B13" s="6">
        <f>+VLOOKUP(A13,'Cant producto 4_2032'!$A:$AD,29,FALSE)</f>
        <v>27360000</v>
      </c>
      <c r="C13" s="10"/>
      <c r="D13" s="48"/>
      <c r="F13" s="8"/>
      <c r="G13" s="9"/>
    </row>
    <row r="14" spans="1:7" ht="16.5" customHeight="1" x14ac:dyDescent="0.25">
      <c r="A14" s="5">
        <v>48396</v>
      </c>
      <c r="B14" s="6">
        <f>+VLOOKUP(A14,'Cant producto 4_2032'!$A:$AD,29,FALSE)</f>
        <v>28272000</v>
      </c>
      <c r="C14" s="10"/>
      <c r="D14" s="48"/>
      <c r="F14" s="8"/>
      <c r="G14" s="9"/>
    </row>
    <row r="15" spans="1:7" ht="16.5" customHeight="1" x14ac:dyDescent="0.25">
      <c r="A15" s="5">
        <v>48427</v>
      </c>
      <c r="B15" s="6">
        <f>+VLOOKUP(A15,'Cant producto 4_2032'!$A:$AD,29,FALSE)</f>
        <v>31992000</v>
      </c>
      <c r="C15" s="10"/>
      <c r="D15" s="48"/>
      <c r="F15" s="8"/>
      <c r="G15" s="9"/>
    </row>
    <row r="16" spans="1:7" ht="16.5" customHeight="1" x14ac:dyDescent="0.25">
      <c r="A16" s="5">
        <v>48458</v>
      </c>
      <c r="B16" s="6">
        <f>+VLOOKUP(A16,'Cant producto 4_2032'!$A:$AD,29,FALSE)</f>
        <v>30960000</v>
      </c>
      <c r="C16" s="10"/>
      <c r="D16" s="48"/>
      <c r="F16" s="8"/>
      <c r="G16" s="9"/>
    </row>
    <row r="17" spans="1:7" ht="16.5" customHeight="1" x14ac:dyDescent="0.25">
      <c r="A17" s="5">
        <v>48488</v>
      </c>
      <c r="B17" s="6">
        <f>+VLOOKUP(A17,'Cant producto 4_2032'!$A:$AD,29,FALSE)</f>
        <v>31992000</v>
      </c>
      <c r="C17" s="10"/>
      <c r="D17" s="48"/>
      <c r="F17" s="8"/>
      <c r="G17" s="9"/>
    </row>
    <row r="18" spans="1:7" ht="16.5" customHeight="1" x14ac:dyDescent="0.25">
      <c r="A18" s="5">
        <v>48519</v>
      </c>
      <c r="B18" s="6">
        <f>+VLOOKUP(A18,'Cant producto 4_2032'!$A:$AD,29,FALSE)</f>
        <v>30960000</v>
      </c>
      <c r="C18" s="10"/>
      <c r="D18" s="48"/>
      <c r="F18" s="8"/>
      <c r="G18" s="9"/>
    </row>
    <row r="19" spans="1:7" ht="16.5" customHeight="1" x14ac:dyDescent="0.25">
      <c r="A19" s="5">
        <v>48549</v>
      </c>
      <c r="B19" s="6">
        <f>+VLOOKUP(A19,'Cant producto 4_2032'!$A:$AD,29,FALSE)</f>
        <v>39432000</v>
      </c>
      <c r="C19" s="10"/>
      <c r="D19" s="48"/>
      <c r="E19" s="14"/>
      <c r="F19" s="8"/>
      <c r="G19" s="9"/>
    </row>
    <row r="20" spans="1:7" ht="16.5" customHeight="1" thickBot="1" x14ac:dyDescent="0.3">
      <c r="A20" s="49" t="s">
        <v>7</v>
      </c>
      <c r="B20" s="50">
        <f>+SUM(B8:B19)</f>
        <v>399672000</v>
      </c>
      <c r="C20" s="51"/>
      <c r="D20" s="52"/>
      <c r="E20" s="38"/>
      <c r="F20" s="8"/>
      <c r="G20" s="9"/>
    </row>
    <row r="21" spans="1:7" s="8" customFormat="1" ht="16.5" customHeight="1" x14ac:dyDescent="0.25">
      <c r="A21" s="70"/>
      <c r="B21" s="61"/>
      <c r="C21" s="61"/>
      <c r="D21" s="71"/>
    </row>
    <row r="22" spans="1:7" s="8" customFormat="1" ht="16.5" customHeight="1" x14ac:dyDescent="0.25">
      <c r="A22" s="70"/>
      <c r="B22" s="61"/>
      <c r="C22" s="61"/>
      <c r="D22" s="71"/>
    </row>
    <row r="23" spans="1:7" ht="14.4" x14ac:dyDescent="0.3">
      <c r="A23" s="66" t="s">
        <v>10</v>
      </c>
      <c r="B23" s="67"/>
      <c r="C23" s="56"/>
      <c r="D23" s="65"/>
      <c r="F23"/>
    </row>
    <row r="24" spans="1:7" ht="14.4" x14ac:dyDescent="0.3">
      <c r="A24" s="85"/>
      <c r="B24" s="86"/>
      <c r="C24" s="86"/>
      <c r="D24" s="87"/>
      <c r="F24"/>
    </row>
    <row r="25" spans="1:7" ht="37.200000000000003" customHeight="1" thickBot="1" x14ac:dyDescent="0.35">
      <c r="A25" s="88" t="s">
        <v>11</v>
      </c>
      <c r="B25" s="89"/>
      <c r="C25" s="89"/>
      <c r="D25" s="90"/>
      <c r="F25"/>
    </row>
    <row r="26" spans="1:7" s="8" customFormat="1" ht="16.5" customHeight="1" x14ac:dyDescent="0.25"/>
    <row r="27" spans="1:7" s="8" customFormat="1" ht="16.5" customHeight="1" x14ac:dyDescent="0.25"/>
    <row r="28" spans="1:7" s="8" customFormat="1" ht="16.5" customHeight="1" x14ac:dyDescent="0.25"/>
    <row r="29" spans="1:7" s="8" customFormat="1" ht="16.5" customHeight="1" x14ac:dyDescent="0.25"/>
    <row r="30" spans="1:7" s="8" customFormat="1" ht="16.5" customHeight="1" x14ac:dyDescent="0.25"/>
    <row r="31" spans="1:7" s="8" customFormat="1" ht="16.5" customHeight="1" x14ac:dyDescent="0.25"/>
    <row r="32" spans="1:7" s="8" customFormat="1" ht="16.5" customHeight="1" x14ac:dyDescent="0.25"/>
    <row r="33" s="8" customFormat="1" ht="16.5" customHeight="1" x14ac:dyDescent="0.25"/>
    <row r="34" s="8" customFormat="1" ht="16.5" customHeight="1" x14ac:dyDescent="0.25"/>
    <row r="35" s="8" customFormat="1" ht="16.5" customHeight="1" x14ac:dyDescent="0.25"/>
    <row r="36" s="8" customFormat="1" ht="16.5" customHeight="1" x14ac:dyDescent="0.25"/>
    <row r="37" s="8" customFormat="1" ht="16.5" customHeight="1" x14ac:dyDescent="0.25"/>
    <row r="38" s="8" customFormat="1" ht="16.5" customHeight="1" x14ac:dyDescent="0.25"/>
    <row r="39" s="8" customFormat="1" ht="16.5" customHeight="1" x14ac:dyDescent="0.25"/>
    <row r="40" s="8" customFormat="1" ht="16.5" customHeight="1" x14ac:dyDescent="0.25"/>
    <row r="41" s="8" customFormat="1" ht="16.5" customHeight="1" x14ac:dyDescent="0.25"/>
    <row r="42" s="8" customFormat="1" ht="16.5" customHeight="1" x14ac:dyDescent="0.25"/>
    <row r="43" s="8" customFormat="1" ht="16.5" customHeight="1" x14ac:dyDescent="0.25"/>
    <row r="44" s="8" customFormat="1" ht="16.5" customHeight="1" x14ac:dyDescent="0.25"/>
    <row r="45" s="8" customFormat="1" ht="16.5" customHeight="1" x14ac:dyDescent="0.25"/>
    <row r="46" s="8" customFormat="1" ht="16.5" customHeight="1" x14ac:dyDescent="0.25"/>
    <row r="47" s="8" customFormat="1" ht="16.5" customHeight="1" x14ac:dyDescent="0.25"/>
    <row r="48" s="8" customFormat="1" ht="16.5" customHeight="1" x14ac:dyDescent="0.25"/>
    <row r="49" s="8" customFormat="1" ht="16.5" customHeight="1" x14ac:dyDescent="0.25"/>
    <row r="50" s="8" customFormat="1" ht="16.5" customHeight="1" x14ac:dyDescent="0.25"/>
    <row r="51" s="8" customFormat="1" ht="16.5" customHeight="1" x14ac:dyDescent="0.25"/>
    <row r="52" s="8" customFormat="1" ht="16.5" customHeight="1" x14ac:dyDescent="0.25"/>
    <row r="53" s="8" customFormat="1" ht="16.5" customHeight="1" x14ac:dyDescent="0.25"/>
    <row r="54" s="8" customFormat="1" ht="16.5" customHeight="1" x14ac:dyDescent="0.25"/>
    <row r="55" s="8" customFormat="1" ht="16.5" customHeight="1" x14ac:dyDescent="0.25"/>
    <row r="56" s="8" customFormat="1" ht="16.5" customHeight="1" x14ac:dyDescent="0.25"/>
    <row r="57" s="8" customFormat="1" ht="16.5" customHeight="1" x14ac:dyDescent="0.25"/>
    <row r="58" s="8" customFormat="1" ht="16.5" customHeight="1" x14ac:dyDescent="0.25"/>
    <row r="59" s="8" customFormat="1" ht="16.5" customHeight="1" x14ac:dyDescent="0.25"/>
    <row r="60" s="8" customFormat="1" ht="16.5" customHeight="1" x14ac:dyDescent="0.25"/>
    <row r="61" s="8" customFormat="1" ht="16.5" customHeight="1" x14ac:dyDescent="0.25"/>
    <row r="62" s="8" customFormat="1" ht="16.5" customHeight="1" x14ac:dyDescent="0.25"/>
    <row r="63" s="8" customFormat="1" ht="16.5" customHeight="1" x14ac:dyDescent="0.25"/>
    <row r="64" s="8" customFormat="1" ht="16.5" customHeight="1" x14ac:dyDescent="0.25"/>
    <row r="65" s="8" customFormat="1" ht="16.5" customHeight="1" x14ac:dyDescent="0.25"/>
    <row r="66" s="8" customFormat="1" ht="16.5" customHeight="1" x14ac:dyDescent="0.25"/>
    <row r="67" s="8" customFormat="1" ht="16.5" customHeight="1" x14ac:dyDescent="0.25"/>
    <row r="68" s="8" customFormat="1" ht="16.5" customHeight="1" x14ac:dyDescent="0.25"/>
    <row r="69" s="8" customFormat="1" ht="16.5" customHeight="1" x14ac:dyDescent="0.25"/>
    <row r="70" s="8" customFormat="1" ht="16.5" customHeight="1" x14ac:dyDescent="0.25"/>
    <row r="71" s="8" customFormat="1" ht="16.5" customHeight="1" x14ac:dyDescent="0.25"/>
    <row r="72" s="8" customFormat="1" ht="16.5" customHeight="1" x14ac:dyDescent="0.25"/>
    <row r="73" s="8" customFormat="1" ht="16.5" customHeight="1" x14ac:dyDescent="0.25"/>
    <row r="74" s="8" customFormat="1" ht="16.5" customHeight="1" x14ac:dyDescent="0.25"/>
    <row r="75" s="8" customFormat="1" ht="16.5" customHeight="1" x14ac:dyDescent="0.25"/>
    <row r="76" s="8" customFormat="1" ht="16.5" customHeight="1" x14ac:dyDescent="0.25"/>
    <row r="77" s="8" customFormat="1" ht="16.5" customHeight="1" x14ac:dyDescent="0.25"/>
    <row r="78" s="8" customFormat="1" ht="16.5" customHeight="1" x14ac:dyDescent="0.25"/>
    <row r="79" s="8" customFormat="1" ht="16.5" customHeight="1" x14ac:dyDescent="0.25"/>
    <row r="80" s="8" customFormat="1" ht="16.5" customHeight="1" x14ac:dyDescent="0.25"/>
    <row r="81" s="8" customFormat="1" ht="16.5" customHeight="1" x14ac:dyDescent="0.25"/>
    <row r="82" s="8" customFormat="1" ht="16.5" customHeight="1" x14ac:dyDescent="0.25"/>
    <row r="83" s="8" customFormat="1" ht="16.5" customHeight="1" x14ac:dyDescent="0.25"/>
    <row r="84" s="8" customFormat="1" ht="16.5" customHeight="1" x14ac:dyDescent="0.25"/>
    <row r="85" s="8" customFormat="1" ht="16.5" customHeight="1" x14ac:dyDescent="0.25"/>
    <row r="86" s="8" customFormat="1" ht="16.5" customHeight="1" x14ac:dyDescent="0.25"/>
    <row r="87" s="8" customFormat="1" ht="16.5" customHeight="1" x14ac:dyDescent="0.25"/>
    <row r="88" s="8" customFormat="1" ht="16.5" customHeight="1" x14ac:dyDescent="0.25"/>
    <row r="89" s="8" customFormat="1" ht="16.5" customHeight="1" x14ac:dyDescent="0.25"/>
    <row r="90" s="8" customFormat="1" ht="16.5" customHeight="1" x14ac:dyDescent="0.25"/>
    <row r="91" s="8" customFormat="1" ht="16.5" customHeight="1" x14ac:dyDescent="0.25"/>
    <row r="92" s="8" customFormat="1" ht="16.5" customHeight="1" x14ac:dyDescent="0.25"/>
    <row r="93" s="8" customFormat="1" ht="16.5" customHeight="1" x14ac:dyDescent="0.25"/>
    <row r="94" s="8" customFormat="1" ht="16.5" customHeight="1" x14ac:dyDescent="0.25"/>
    <row r="95" s="8" customFormat="1" ht="16.5" customHeight="1" x14ac:dyDescent="0.25"/>
    <row r="96" s="8" customFormat="1" ht="16.5" customHeight="1" x14ac:dyDescent="0.25"/>
    <row r="97" s="8" customFormat="1" ht="16.5" customHeight="1" x14ac:dyDescent="0.25"/>
    <row r="98" s="8" customFormat="1" ht="16.5" customHeight="1" x14ac:dyDescent="0.25"/>
    <row r="99" s="8" customFormat="1" ht="16.5" customHeight="1" x14ac:dyDescent="0.25"/>
    <row r="100" s="8" customFormat="1" ht="16.5" customHeight="1" x14ac:dyDescent="0.25"/>
    <row r="101" s="8" customFormat="1" ht="16.5" customHeight="1" x14ac:dyDescent="0.25"/>
    <row r="102" s="8" customFormat="1" ht="16.5" customHeight="1" x14ac:dyDescent="0.25"/>
    <row r="103" s="8" customFormat="1" ht="16.5" customHeight="1" x14ac:dyDescent="0.25"/>
    <row r="104" s="8" customFormat="1" ht="16.5" customHeight="1" x14ac:dyDescent="0.25"/>
    <row r="105" s="8" customFormat="1" ht="16.5" customHeight="1" x14ac:dyDescent="0.25"/>
    <row r="106" s="8" customFormat="1" ht="16.5" customHeight="1" x14ac:dyDescent="0.25"/>
    <row r="107" s="8" customFormat="1" ht="16.5" customHeight="1" x14ac:dyDescent="0.25"/>
    <row r="108" s="8" customFormat="1" ht="16.5" customHeight="1" x14ac:dyDescent="0.25"/>
    <row r="109" s="8" customFormat="1" ht="16.5" customHeight="1" x14ac:dyDescent="0.25"/>
    <row r="110" s="8" customFormat="1" ht="16.5" customHeight="1" x14ac:dyDescent="0.25"/>
    <row r="111" s="8" customFormat="1" ht="16.5" customHeight="1" x14ac:dyDescent="0.25"/>
    <row r="112" s="8" customFormat="1" ht="16.5" customHeight="1" x14ac:dyDescent="0.25"/>
    <row r="113" s="8" customFormat="1" ht="16.5" customHeight="1" x14ac:dyDescent="0.25"/>
    <row r="114" s="8" customFormat="1" ht="16.5" customHeight="1" x14ac:dyDescent="0.25"/>
    <row r="115" s="8" customFormat="1" ht="16.5" customHeight="1" x14ac:dyDescent="0.25"/>
    <row r="116" s="8" customFormat="1" ht="16.5" customHeight="1" x14ac:dyDescent="0.25"/>
    <row r="117" s="8" customFormat="1" ht="16.5" customHeight="1" x14ac:dyDescent="0.25"/>
    <row r="118" s="8" customFormat="1" ht="16.5" customHeight="1" x14ac:dyDescent="0.25"/>
    <row r="119" s="8" customFormat="1" ht="16.5" customHeight="1" x14ac:dyDescent="0.25"/>
    <row r="120" s="8" customFormat="1" ht="16.5" customHeight="1" x14ac:dyDescent="0.25"/>
    <row r="121" s="8" customFormat="1" ht="16.5" customHeight="1" x14ac:dyDescent="0.25"/>
    <row r="122" s="8" customFormat="1" ht="16.5" customHeight="1" x14ac:dyDescent="0.25"/>
    <row r="123" s="8" customFormat="1" ht="16.5" customHeight="1" x14ac:dyDescent="0.25"/>
    <row r="124" s="8" customFormat="1" ht="16.5" customHeight="1" x14ac:dyDescent="0.25"/>
    <row r="125" s="8" customFormat="1" ht="16.5" customHeight="1" x14ac:dyDescent="0.25"/>
    <row r="126" s="8" customFormat="1" ht="16.5" customHeight="1" x14ac:dyDescent="0.25"/>
    <row r="127" s="8" customFormat="1" ht="16.5" customHeight="1" x14ac:dyDescent="0.25"/>
    <row r="128" s="8" customFormat="1" ht="16.5" customHeight="1" x14ac:dyDescent="0.25"/>
    <row r="129" s="8" customFormat="1" ht="16.5" customHeight="1" x14ac:dyDescent="0.25"/>
    <row r="130" s="8" customFormat="1" ht="16.5" customHeight="1" x14ac:dyDescent="0.25"/>
    <row r="131" s="8" customFormat="1" ht="16.5" customHeight="1" x14ac:dyDescent="0.25"/>
    <row r="132" s="8" customFormat="1" ht="16.5" customHeight="1" x14ac:dyDescent="0.25"/>
    <row r="133" s="8" customFormat="1" ht="16.5" customHeight="1" x14ac:dyDescent="0.25"/>
    <row r="134" s="8" customFormat="1" ht="16.5" customHeight="1" x14ac:dyDescent="0.25"/>
    <row r="135" s="8" customFormat="1" ht="16.5" customHeight="1" x14ac:dyDescent="0.25"/>
    <row r="136" s="8" customFormat="1" ht="16.5" customHeight="1" x14ac:dyDescent="0.25"/>
    <row r="137" s="8" customFormat="1" ht="16.5" customHeight="1" x14ac:dyDescent="0.25"/>
    <row r="138" s="8" customFormat="1" ht="16.5" customHeight="1" x14ac:dyDescent="0.25"/>
    <row r="139" s="8" customFormat="1" ht="16.5" customHeight="1" x14ac:dyDescent="0.25"/>
    <row r="140" s="8" customFormat="1" ht="16.5" customHeight="1" x14ac:dyDescent="0.25"/>
    <row r="141" s="8" customFormat="1" ht="16.5" customHeight="1" x14ac:dyDescent="0.25"/>
    <row r="142" s="8" customFormat="1" ht="16.5" customHeight="1" x14ac:dyDescent="0.25"/>
    <row r="143" s="8" customFormat="1" ht="16.5" customHeight="1" x14ac:dyDescent="0.25"/>
    <row r="144" s="8" customFormat="1" ht="16.5" customHeight="1" x14ac:dyDescent="0.25"/>
    <row r="145" s="8" customFormat="1" ht="16.5" customHeight="1" x14ac:dyDescent="0.25"/>
    <row r="146" s="8" customFormat="1" ht="16.5" customHeight="1" x14ac:dyDescent="0.25"/>
    <row r="147" s="8" customFormat="1" ht="16.5" customHeight="1" x14ac:dyDescent="0.25"/>
    <row r="148" s="8" customFormat="1" ht="16.5" customHeight="1" x14ac:dyDescent="0.25"/>
    <row r="149" s="8" customFormat="1" ht="16.5" customHeight="1" x14ac:dyDescent="0.25"/>
    <row r="150" s="8" customFormat="1" ht="16.5" customHeight="1" x14ac:dyDescent="0.25"/>
    <row r="151" s="8" customFormat="1" ht="16.5" customHeight="1" x14ac:dyDescent="0.25"/>
    <row r="152" s="8" customFormat="1" ht="16.5" customHeight="1" x14ac:dyDescent="0.25"/>
    <row r="153" s="8" customFormat="1" ht="16.5" customHeight="1" x14ac:dyDescent="0.25"/>
    <row r="154" s="8" customFormat="1" ht="16.5" customHeight="1" x14ac:dyDescent="0.25"/>
    <row r="155" s="8" customFormat="1" ht="16.5" customHeight="1" x14ac:dyDescent="0.25"/>
    <row r="156" s="8" customFormat="1" ht="16.5" customHeight="1" x14ac:dyDescent="0.25"/>
    <row r="157" s="8" customFormat="1" ht="16.5" customHeight="1" x14ac:dyDescent="0.25"/>
    <row r="158" s="8" customFormat="1" ht="16.5" customHeight="1" x14ac:dyDescent="0.25"/>
    <row r="159" s="8" customFormat="1" ht="16.5" customHeight="1" x14ac:dyDescent="0.25"/>
    <row r="160" s="8" customFormat="1" ht="16.5" customHeight="1" x14ac:dyDescent="0.25"/>
    <row r="161" s="8" customFormat="1" ht="16.5" customHeight="1" x14ac:dyDescent="0.25"/>
    <row r="162" s="8" customFormat="1" ht="16.5" customHeight="1" x14ac:dyDescent="0.25"/>
    <row r="163" s="8" customFormat="1" ht="16.5" customHeight="1" x14ac:dyDescent="0.25"/>
    <row r="164" s="8" customFormat="1" ht="16.5" customHeight="1" x14ac:dyDescent="0.25"/>
    <row r="165" s="8" customFormat="1" ht="16.5" customHeight="1" x14ac:dyDescent="0.25"/>
    <row r="166" s="8" customFormat="1" ht="16.5" customHeight="1" x14ac:dyDescent="0.25"/>
    <row r="167" s="8" customFormat="1" ht="16.5" customHeight="1" x14ac:dyDescent="0.25"/>
    <row r="168" s="8" customFormat="1" ht="16.5" customHeight="1" x14ac:dyDescent="0.25"/>
    <row r="169" s="8" customFormat="1" ht="16.5" customHeight="1" x14ac:dyDescent="0.25"/>
    <row r="170" s="8" customFormat="1" ht="16.5" customHeight="1" x14ac:dyDescent="0.25"/>
    <row r="171" s="8" customFormat="1" ht="16.5" customHeight="1" x14ac:dyDescent="0.25"/>
    <row r="172" s="8" customFormat="1" ht="16.5" customHeight="1" x14ac:dyDescent="0.25"/>
    <row r="173" s="8" customFormat="1" ht="16.5" customHeight="1" x14ac:dyDescent="0.25"/>
    <row r="174" s="8" customFormat="1" ht="16.5" customHeight="1" x14ac:dyDescent="0.25"/>
    <row r="175" s="8" customFormat="1" ht="16.5" customHeight="1" x14ac:dyDescent="0.25"/>
    <row r="176" s="8" customFormat="1" ht="16.5" customHeight="1" x14ac:dyDescent="0.25"/>
    <row r="177" s="8" customFormat="1" ht="16.5" customHeight="1" x14ac:dyDescent="0.25"/>
    <row r="178" s="8" customFormat="1" ht="16.5" customHeight="1" x14ac:dyDescent="0.25"/>
    <row r="179" s="8" customFormat="1" ht="16.5" customHeight="1" x14ac:dyDescent="0.25"/>
    <row r="180" s="8" customFormat="1" ht="16.5" customHeight="1" x14ac:dyDescent="0.25"/>
    <row r="181" s="8" customFormat="1" ht="16.5" customHeight="1" x14ac:dyDescent="0.25"/>
    <row r="182" s="8" customFormat="1" ht="16.5" customHeight="1" x14ac:dyDescent="0.25"/>
    <row r="183" s="8" customFormat="1" ht="16.5" customHeight="1" x14ac:dyDescent="0.25"/>
    <row r="184" s="8" customFormat="1" ht="16.5" customHeight="1" x14ac:dyDescent="0.25"/>
    <row r="185" s="8" customFormat="1" ht="16.5" customHeight="1" x14ac:dyDescent="0.25"/>
    <row r="186" s="8" customFormat="1" ht="16.5" customHeight="1" x14ac:dyDescent="0.25"/>
    <row r="187" s="8" customFormat="1" ht="16.5" customHeight="1" x14ac:dyDescent="0.25"/>
    <row r="188" s="8" customFormat="1" ht="16.5" customHeight="1" x14ac:dyDescent="0.25"/>
    <row r="189" s="8" customFormat="1" ht="16.5" customHeight="1" x14ac:dyDescent="0.25"/>
    <row r="190" s="8" customFormat="1" ht="16.5" customHeight="1" x14ac:dyDescent="0.25"/>
    <row r="191" s="8" customFormat="1" ht="16.5" customHeight="1" x14ac:dyDescent="0.25"/>
    <row r="192" s="8" customFormat="1" ht="16.5" customHeight="1" x14ac:dyDescent="0.25"/>
    <row r="193" s="8" customFormat="1" ht="16.5" customHeight="1" x14ac:dyDescent="0.25"/>
    <row r="194" s="8" customFormat="1" ht="16.5" customHeight="1" x14ac:dyDescent="0.25"/>
    <row r="195" s="8" customFormat="1" ht="16.5" customHeight="1" x14ac:dyDescent="0.25"/>
    <row r="196" s="8" customFormat="1" ht="16.5" customHeight="1" x14ac:dyDescent="0.25"/>
    <row r="197" s="8" customFormat="1" ht="16.5" customHeight="1" x14ac:dyDescent="0.25"/>
    <row r="198" s="8" customFormat="1" ht="16.5" customHeight="1" x14ac:dyDescent="0.25"/>
    <row r="199" s="8" customFormat="1" ht="16.5" customHeight="1" x14ac:dyDescent="0.25"/>
    <row r="200" s="8" customFormat="1" ht="16.5" customHeight="1" x14ac:dyDescent="0.25"/>
    <row r="201" s="8" customFormat="1" ht="16.5" customHeight="1" x14ac:dyDescent="0.25"/>
    <row r="202" s="8" customFormat="1" ht="16.5" customHeight="1" x14ac:dyDescent="0.25"/>
    <row r="203" s="8" customFormat="1" ht="16.5" customHeight="1" x14ac:dyDescent="0.25"/>
    <row r="204" s="8" customFormat="1" ht="16.5" customHeight="1" x14ac:dyDescent="0.25"/>
    <row r="205" s="8" customFormat="1" ht="16.5" customHeight="1" x14ac:dyDescent="0.25"/>
    <row r="206" s="8" customFormat="1" ht="16.5" customHeight="1" x14ac:dyDescent="0.25"/>
    <row r="207" s="8" customFormat="1" ht="16.5" customHeight="1" x14ac:dyDescent="0.25"/>
    <row r="208" s="8" customFormat="1" ht="16.5" customHeight="1" x14ac:dyDescent="0.25"/>
    <row r="209" s="8" customFormat="1" ht="16.5" customHeight="1" x14ac:dyDescent="0.25"/>
    <row r="210" s="8" customFormat="1" ht="16.5" customHeight="1" x14ac:dyDescent="0.25"/>
    <row r="211" s="8" customFormat="1" ht="16.5" customHeight="1" x14ac:dyDescent="0.25"/>
    <row r="212" s="8" customFormat="1" ht="16.5" customHeight="1" x14ac:dyDescent="0.25"/>
    <row r="213" s="8" customFormat="1" ht="16.5" customHeight="1" x14ac:dyDescent="0.25"/>
    <row r="214" s="8" customFormat="1" ht="16.5" customHeight="1" x14ac:dyDescent="0.25"/>
    <row r="215" s="8" customFormat="1" ht="16.5" customHeight="1" x14ac:dyDescent="0.25"/>
    <row r="216" s="8" customFormat="1" ht="16.5" customHeight="1" x14ac:dyDescent="0.25"/>
    <row r="217" s="8" customFormat="1" ht="16.5" customHeight="1" x14ac:dyDescent="0.25"/>
    <row r="218" s="8" customFormat="1" ht="16.5" customHeight="1" x14ac:dyDescent="0.25"/>
    <row r="219" s="8" customFormat="1" ht="16.5" customHeight="1" x14ac:dyDescent="0.25"/>
    <row r="220" s="8" customFormat="1" ht="16.5" customHeight="1" x14ac:dyDescent="0.25"/>
    <row r="221" s="8" customFormat="1" ht="16.5" customHeight="1" x14ac:dyDescent="0.25"/>
    <row r="222" s="8" customFormat="1" ht="16.5" customHeight="1" x14ac:dyDescent="0.25"/>
    <row r="223" s="8" customFormat="1" ht="16.5" customHeight="1" x14ac:dyDescent="0.25"/>
    <row r="224" s="8" customFormat="1" ht="16.5" customHeight="1" x14ac:dyDescent="0.25"/>
    <row r="225" s="8" customFormat="1" ht="16.5" customHeight="1" x14ac:dyDescent="0.25"/>
    <row r="226" s="8" customFormat="1" ht="16.5" customHeight="1" x14ac:dyDescent="0.25"/>
    <row r="227" s="8" customFormat="1" ht="16.5" customHeight="1" x14ac:dyDescent="0.25"/>
    <row r="228" s="8" customFormat="1" ht="16.5" customHeight="1" x14ac:dyDescent="0.25"/>
    <row r="229" s="8" customFormat="1" ht="16.5" customHeight="1" x14ac:dyDescent="0.25"/>
    <row r="230" s="8" customFormat="1" ht="16.5" customHeight="1" x14ac:dyDescent="0.25"/>
    <row r="231" s="8" customFormat="1" ht="16.5" customHeight="1" x14ac:dyDescent="0.25"/>
    <row r="232" s="8" customFormat="1" ht="16.5" customHeight="1" x14ac:dyDescent="0.25"/>
    <row r="233" s="8" customFormat="1" ht="16.5" customHeight="1" x14ac:dyDescent="0.25"/>
    <row r="234" s="8" customFormat="1" ht="16.5" customHeight="1" x14ac:dyDescent="0.25"/>
    <row r="235" s="8" customFormat="1" ht="16.5" customHeight="1" x14ac:dyDescent="0.25"/>
    <row r="236" s="8" customFormat="1" ht="16.5" customHeight="1" x14ac:dyDescent="0.25"/>
    <row r="237" s="8" customFormat="1" ht="16.5" customHeight="1" x14ac:dyDescent="0.25"/>
    <row r="238" s="8" customFormat="1" ht="16.5" customHeight="1" x14ac:dyDescent="0.25"/>
    <row r="239" s="8" customFormat="1" ht="16.5" customHeight="1" x14ac:dyDescent="0.25"/>
    <row r="240" s="8" customFormat="1" ht="16.5" customHeight="1" x14ac:dyDescent="0.25"/>
    <row r="241" s="8" customFormat="1" ht="16.5" customHeight="1" x14ac:dyDescent="0.25"/>
    <row r="242" s="8" customFormat="1" ht="16.5" customHeight="1" x14ac:dyDescent="0.25"/>
    <row r="243" s="8" customFormat="1" ht="16.5" customHeight="1" x14ac:dyDescent="0.25"/>
    <row r="244" s="8" customFormat="1" ht="16.5" customHeight="1" x14ac:dyDescent="0.25"/>
    <row r="245" s="8" customFormat="1" ht="16.5" customHeight="1" x14ac:dyDescent="0.25"/>
    <row r="246" s="8" customFormat="1" ht="16.5" customHeight="1" x14ac:dyDescent="0.25"/>
    <row r="247" s="8" customFormat="1" ht="16.5" customHeight="1" x14ac:dyDescent="0.25"/>
    <row r="248" s="8" customFormat="1" ht="16.5" customHeight="1" x14ac:dyDescent="0.25"/>
    <row r="249" s="8" customFormat="1" ht="16.5" customHeight="1" x14ac:dyDescent="0.25"/>
    <row r="250" s="8" customFormat="1" ht="16.5" customHeight="1" x14ac:dyDescent="0.25"/>
    <row r="251" s="8" customFormat="1" ht="16.5" customHeight="1" x14ac:dyDescent="0.25"/>
    <row r="252" s="8" customFormat="1" ht="16.5" customHeight="1" x14ac:dyDescent="0.25"/>
    <row r="253" s="8" customFormat="1" ht="16.5" customHeight="1" x14ac:dyDescent="0.25"/>
    <row r="254" s="8" customFormat="1" ht="16.5" customHeight="1" x14ac:dyDescent="0.25"/>
    <row r="255" s="8" customFormat="1" ht="16.5" customHeight="1" x14ac:dyDescent="0.25"/>
    <row r="256" s="8" customFormat="1" ht="16.5" customHeight="1" x14ac:dyDescent="0.25"/>
    <row r="257" s="8" customFormat="1" ht="16.5" customHeight="1" x14ac:dyDescent="0.25"/>
    <row r="258" s="8" customFormat="1" ht="16.5" customHeight="1" x14ac:dyDescent="0.25"/>
    <row r="259" s="8" customFormat="1" ht="16.5" customHeight="1" x14ac:dyDescent="0.25"/>
    <row r="260" s="8" customFormat="1" ht="16.5" customHeight="1" x14ac:dyDescent="0.25"/>
    <row r="261" s="8" customFormat="1" ht="16.5" customHeight="1" x14ac:dyDescent="0.25"/>
    <row r="262" s="8" customFormat="1" ht="16.5" customHeight="1" x14ac:dyDescent="0.25"/>
    <row r="263" s="8" customFormat="1" ht="16.5" customHeight="1" x14ac:dyDescent="0.25"/>
    <row r="264" s="8" customFormat="1" ht="16.5" customHeight="1" x14ac:dyDescent="0.25"/>
    <row r="265" s="8" customFormat="1" ht="16.5" customHeight="1" x14ac:dyDescent="0.25"/>
    <row r="266" s="8" customFormat="1" ht="16.5" customHeight="1" x14ac:dyDescent="0.25"/>
    <row r="267" s="8" customFormat="1" ht="16.5" customHeight="1" x14ac:dyDescent="0.25"/>
    <row r="268" s="8" customFormat="1" ht="16.5" customHeight="1" x14ac:dyDescent="0.25"/>
    <row r="269" s="8" customFormat="1" ht="16.5" customHeight="1" x14ac:dyDescent="0.25"/>
    <row r="270" s="8" customFormat="1" ht="16.5" customHeight="1" x14ac:dyDescent="0.25"/>
    <row r="271" s="8" customFormat="1" ht="16.5" customHeight="1" x14ac:dyDescent="0.25"/>
    <row r="272" s="8" customFormat="1" ht="16.5" customHeight="1" x14ac:dyDescent="0.25"/>
    <row r="273" s="8" customFormat="1" ht="16.5" customHeight="1" x14ac:dyDescent="0.25"/>
    <row r="274" s="8" customFormat="1" ht="16.5" customHeight="1" x14ac:dyDescent="0.25"/>
    <row r="275" s="8" customFormat="1" ht="16.5" customHeight="1" x14ac:dyDescent="0.25"/>
    <row r="276" s="8" customFormat="1" ht="16.5" customHeight="1" x14ac:dyDescent="0.25"/>
    <row r="277" s="8" customFormat="1" ht="16.5" customHeight="1" x14ac:dyDescent="0.25"/>
    <row r="278" s="8" customFormat="1" ht="16.5" customHeight="1" x14ac:dyDescent="0.25"/>
    <row r="279" s="8" customFormat="1" ht="16.5" customHeight="1" x14ac:dyDescent="0.25"/>
    <row r="280" s="8" customFormat="1" ht="16.5" customHeight="1" x14ac:dyDescent="0.25"/>
    <row r="281" s="8" customFormat="1" ht="16.5" customHeight="1" x14ac:dyDescent="0.25"/>
    <row r="282" s="8" customFormat="1" ht="16.5" customHeight="1" x14ac:dyDescent="0.25"/>
    <row r="283" s="8" customFormat="1" ht="16.5" customHeight="1" x14ac:dyDescent="0.25"/>
    <row r="284" s="8" customFormat="1" ht="16.5" customHeight="1" x14ac:dyDescent="0.25"/>
    <row r="285" s="8" customFormat="1" ht="16.5" customHeight="1" x14ac:dyDescent="0.25"/>
    <row r="286" s="8" customFormat="1" ht="16.5" customHeight="1" x14ac:dyDescent="0.25"/>
    <row r="287" s="8" customFormat="1" ht="16.5" customHeight="1" x14ac:dyDescent="0.25"/>
    <row r="288" s="8" customFormat="1" ht="16.5" customHeight="1" x14ac:dyDescent="0.25"/>
    <row r="289" s="8" customFormat="1" ht="16.5" customHeight="1" x14ac:dyDescent="0.25"/>
    <row r="290" s="8" customFormat="1" ht="16.5" customHeight="1" x14ac:dyDescent="0.25"/>
    <row r="291" s="8" customFormat="1" ht="16.5" customHeight="1" x14ac:dyDescent="0.25"/>
    <row r="292" s="8" customFormat="1" ht="16.5" customHeight="1" x14ac:dyDescent="0.25"/>
    <row r="293" s="8" customFormat="1" ht="16.5" customHeight="1" x14ac:dyDescent="0.25"/>
    <row r="294" s="8" customFormat="1" ht="16.5" customHeight="1" x14ac:dyDescent="0.25"/>
    <row r="295" s="8" customFormat="1" ht="16.5" customHeight="1" x14ac:dyDescent="0.25"/>
    <row r="296" s="8" customFormat="1" ht="16.5" customHeight="1" x14ac:dyDescent="0.25"/>
    <row r="297" s="8" customFormat="1" ht="16.5" customHeight="1" x14ac:dyDescent="0.25"/>
    <row r="298" s="8" customFormat="1" ht="16.5" customHeight="1" x14ac:dyDescent="0.25"/>
    <row r="299" s="8" customFormat="1" ht="16.5" customHeight="1" x14ac:dyDescent="0.25"/>
    <row r="300" s="8" customFormat="1" ht="16.5" customHeight="1" x14ac:dyDescent="0.25"/>
    <row r="301" s="8" customFormat="1" ht="16.5" customHeight="1" x14ac:dyDescent="0.25"/>
    <row r="302" s="8" customFormat="1" ht="16.5" customHeight="1" x14ac:dyDescent="0.25"/>
    <row r="303" s="8" customFormat="1" ht="16.5" customHeight="1" x14ac:dyDescent="0.25"/>
    <row r="304" s="8" customFormat="1" ht="16.5" customHeight="1" x14ac:dyDescent="0.25"/>
    <row r="305" spans="1:7" s="8" customFormat="1" ht="16.5" customHeight="1" x14ac:dyDescent="0.25"/>
    <row r="306" spans="1:7" s="8" customFormat="1" ht="16.5" customHeight="1" x14ac:dyDescent="0.25"/>
    <row r="307" spans="1:7" s="8" customFormat="1" ht="16.5" customHeight="1" x14ac:dyDescent="0.25"/>
    <row r="308" spans="1:7" s="8" customFormat="1" ht="16.5" customHeight="1" x14ac:dyDescent="0.25"/>
    <row r="309" spans="1:7" s="8" customFormat="1" ht="16.5" customHeight="1" x14ac:dyDescent="0.25"/>
    <row r="310" spans="1:7" s="8" customFormat="1" ht="16.5" customHeight="1" thickBot="1" x14ac:dyDescent="0.3"/>
    <row r="311" spans="1:7" ht="16.5" customHeight="1" thickBot="1" x14ac:dyDescent="0.3">
      <c r="A311" s="15"/>
      <c r="B311" s="15"/>
      <c r="C311" s="40"/>
      <c r="D311" s="40"/>
      <c r="F311" s="8"/>
      <c r="G311" s="9"/>
    </row>
    <row r="312" spans="1:7" ht="16.5" customHeight="1" x14ac:dyDescent="0.25">
      <c r="A312" s="16" t="s">
        <v>8</v>
      </c>
      <c r="B312" s="16"/>
      <c r="F312" s="8"/>
      <c r="G312" s="9"/>
    </row>
    <row r="313" spans="1:7" ht="16.5" customHeight="1" x14ac:dyDescent="0.25">
      <c r="A313" s="133" t="s">
        <v>9</v>
      </c>
      <c r="B313" s="133"/>
      <c r="F313" s="8"/>
      <c r="G313" s="9"/>
    </row>
    <row r="314" spans="1:7" ht="16.5" customHeight="1" x14ac:dyDescent="0.25">
      <c r="F314" s="8"/>
      <c r="G314" s="9"/>
    </row>
    <row r="315" spans="1:7" ht="22.2" customHeight="1" x14ac:dyDescent="0.25">
      <c r="A315" s="39" t="s">
        <v>10</v>
      </c>
      <c r="B315" s="17"/>
      <c r="F315" s="8"/>
      <c r="G315" s="9"/>
    </row>
    <row r="316" spans="1:7" ht="37.950000000000003" customHeight="1" x14ac:dyDescent="0.25">
      <c r="A316" s="134" t="s">
        <v>22</v>
      </c>
      <c r="B316" s="134"/>
      <c r="C316" s="134"/>
      <c r="D316" s="134"/>
      <c r="F316" s="8"/>
      <c r="G316" s="9"/>
    </row>
    <row r="317" spans="1:7" ht="36" customHeight="1" x14ac:dyDescent="0.25">
      <c r="A317" s="135" t="s">
        <v>23</v>
      </c>
      <c r="B317" s="135"/>
      <c r="C317" s="135"/>
      <c r="D317" s="135"/>
      <c r="F317" s="8"/>
      <c r="G317" s="9"/>
    </row>
    <row r="318" spans="1:7" ht="16.5" customHeight="1" x14ac:dyDescent="0.25">
      <c r="D318" s="18"/>
      <c r="F318" s="8"/>
      <c r="G318" s="9"/>
    </row>
    <row r="319" spans="1:7" ht="16.5" customHeight="1" x14ac:dyDescent="0.25">
      <c r="A319" s="19" t="s">
        <v>24</v>
      </c>
      <c r="B319" s="20"/>
      <c r="F319" s="8"/>
      <c r="G319" s="9"/>
    </row>
    <row r="320" spans="1:7" ht="16.5" customHeight="1" x14ac:dyDescent="0.25">
      <c r="F320" s="8"/>
      <c r="G320" s="9"/>
    </row>
    <row r="321" spans="6:7" ht="16.5" customHeight="1" x14ac:dyDescent="0.25">
      <c r="F321" s="8"/>
      <c r="G321" s="9"/>
    </row>
    <row r="322" spans="6:7" ht="16.5" customHeight="1" x14ac:dyDescent="0.25">
      <c r="F322" s="8"/>
      <c r="G322" s="9"/>
    </row>
    <row r="323" spans="6:7" ht="16.5" customHeight="1" x14ac:dyDescent="0.25">
      <c r="F323" s="8"/>
      <c r="G323" s="9"/>
    </row>
    <row r="324" spans="6:7" ht="16.5" customHeight="1" x14ac:dyDescent="0.25">
      <c r="F324" s="8"/>
      <c r="G324" s="9"/>
    </row>
    <row r="325" spans="6:7" ht="16.5" customHeight="1" x14ac:dyDescent="0.25">
      <c r="F325" s="8"/>
      <c r="G325" s="9"/>
    </row>
    <row r="326" spans="6:7" ht="16.5" customHeight="1" x14ac:dyDescent="0.25">
      <c r="F326" s="8"/>
      <c r="G326" s="9"/>
    </row>
    <row r="327" spans="6:7" ht="16.5" customHeight="1" x14ac:dyDescent="0.25">
      <c r="F327" s="8"/>
      <c r="G327" s="9"/>
    </row>
    <row r="328" spans="6:7" ht="16.5" customHeight="1" x14ac:dyDescent="0.25">
      <c r="F328" s="8"/>
      <c r="G328" s="9"/>
    </row>
    <row r="329" spans="6:7" ht="16.5" customHeight="1" x14ac:dyDescent="0.25">
      <c r="F329" s="8"/>
      <c r="G329" s="9"/>
    </row>
    <row r="330" spans="6:7" ht="16.5" customHeight="1" x14ac:dyDescent="0.25">
      <c r="F330" s="8"/>
      <c r="G330" s="9"/>
    </row>
    <row r="331" spans="6:7" ht="16.5" customHeight="1" x14ac:dyDescent="0.25">
      <c r="F331" s="8"/>
      <c r="G331" s="9"/>
    </row>
    <row r="332" spans="6:7" ht="16.5" customHeight="1" x14ac:dyDescent="0.25">
      <c r="F332" s="8"/>
      <c r="G332" s="9"/>
    </row>
    <row r="333" spans="6:7" ht="16.5" customHeight="1" x14ac:dyDescent="0.25">
      <c r="F333" s="8"/>
      <c r="G333" s="9"/>
    </row>
    <row r="334" spans="6:7" ht="16.5" customHeight="1" x14ac:dyDescent="0.25">
      <c r="F334" s="8"/>
      <c r="G334" s="9"/>
    </row>
    <row r="335" spans="6:7" ht="16.5" customHeight="1" x14ac:dyDescent="0.25">
      <c r="F335" s="8"/>
      <c r="G335" s="9"/>
    </row>
    <row r="336" spans="6:7" ht="16.5" customHeight="1" x14ac:dyDescent="0.25">
      <c r="F336" s="8"/>
      <c r="G336" s="9"/>
    </row>
    <row r="337" spans="6:7" ht="16.5" customHeight="1" x14ac:dyDescent="0.25">
      <c r="F337" s="8"/>
      <c r="G337" s="9"/>
    </row>
    <row r="338" spans="6:7" ht="16.5" customHeight="1" x14ac:dyDescent="0.25">
      <c r="F338" s="8"/>
      <c r="G338" s="9"/>
    </row>
    <row r="339" spans="6:7" ht="16.5" customHeight="1" x14ac:dyDescent="0.25">
      <c r="F339" s="8"/>
      <c r="G339" s="9"/>
    </row>
    <row r="340" spans="6:7" ht="16.5" customHeight="1" x14ac:dyDescent="0.25">
      <c r="F340" s="8"/>
      <c r="G340" s="9"/>
    </row>
    <row r="341" spans="6:7" ht="16.5" customHeight="1" x14ac:dyDescent="0.25">
      <c r="F341" s="8"/>
      <c r="G341" s="9"/>
    </row>
    <row r="342" spans="6:7" ht="16.5" customHeight="1" x14ac:dyDescent="0.25">
      <c r="F342" s="8"/>
      <c r="G342" s="9"/>
    </row>
    <row r="343" spans="6:7" ht="16.5" customHeight="1" x14ac:dyDescent="0.25">
      <c r="F343" s="8"/>
      <c r="G343" s="9"/>
    </row>
    <row r="344" spans="6:7" ht="16.5" customHeight="1" x14ac:dyDescent="0.25">
      <c r="F344" s="8"/>
      <c r="G344" s="9"/>
    </row>
    <row r="345" spans="6:7" ht="16.5" customHeight="1" x14ac:dyDescent="0.25">
      <c r="F345" s="8"/>
      <c r="G345" s="9"/>
    </row>
    <row r="346" spans="6:7" ht="16.5" customHeight="1" x14ac:dyDescent="0.25">
      <c r="F346" s="8"/>
      <c r="G346" s="9"/>
    </row>
    <row r="347" spans="6:7" ht="16.5" customHeight="1" x14ac:dyDescent="0.25">
      <c r="F347" s="8"/>
      <c r="G347" s="9"/>
    </row>
    <row r="348" spans="6:7" ht="16.5" customHeight="1" x14ac:dyDescent="0.25">
      <c r="F348" s="8"/>
      <c r="G348" s="9"/>
    </row>
    <row r="349" spans="6:7" ht="16.5" customHeight="1" x14ac:dyDescent="0.25">
      <c r="F349" s="8"/>
      <c r="G349" s="9"/>
    </row>
    <row r="350" spans="6:7" ht="16.5" customHeight="1" x14ac:dyDescent="0.25">
      <c r="F350" s="8"/>
      <c r="G350" s="9"/>
    </row>
    <row r="351" spans="6:7" ht="16.5" customHeight="1" x14ac:dyDescent="0.25">
      <c r="F351" s="8"/>
      <c r="G351" s="9"/>
    </row>
    <row r="352" spans="6:7" ht="16.5" customHeight="1" x14ac:dyDescent="0.25">
      <c r="F352" s="8"/>
      <c r="G352" s="9"/>
    </row>
    <row r="353" spans="6:7" ht="16.5" customHeight="1" x14ac:dyDescent="0.25">
      <c r="F353" s="8"/>
      <c r="G353" s="9"/>
    </row>
    <row r="354" spans="6:7" ht="16.5" customHeight="1" x14ac:dyDescent="0.25">
      <c r="F354" s="8"/>
      <c r="G354" s="9"/>
    </row>
    <row r="355" spans="6:7" ht="16.5" customHeight="1" x14ac:dyDescent="0.25">
      <c r="F355" s="8"/>
      <c r="G355" s="9"/>
    </row>
    <row r="356" spans="6:7" ht="16.5" customHeight="1" x14ac:dyDescent="0.25">
      <c r="F356" s="8"/>
      <c r="G356" s="9"/>
    </row>
    <row r="357" spans="6:7" ht="16.5" customHeight="1" x14ac:dyDescent="0.25">
      <c r="F357" s="8"/>
      <c r="G357" s="9"/>
    </row>
    <row r="358" spans="6:7" ht="16.5" customHeight="1" x14ac:dyDescent="0.25">
      <c r="F358" s="8"/>
      <c r="G358" s="9"/>
    </row>
    <row r="359" spans="6:7" ht="16.5" customHeight="1" x14ac:dyDescent="0.25">
      <c r="F359" s="8"/>
      <c r="G359" s="9"/>
    </row>
    <row r="360" spans="6:7" ht="16.5" customHeight="1" x14ac:dyDescent="0.25">
      <c r="F360" s="8"/>
      <c r="G360" s="9"/>
    </row>
    <row r="361" spans="6:7" ht="16.5" customHeight="1" x14ac:dyDescent="0.25">
      <c r="F361" s="8"/>
      <c r="G361" s="9"/>
    </row>
    <row r="362" spans="6:7" ht="16.5" customHeight="1" x14ac:dyDescent="0.25">
      <c r="F362" s="8"/>
      <c r="G362" s="9"/>
    </row>
    <row r="363" spans="6:7" ht="16.5" customHeight="1" x14ac:dyDescent="0.25">
      <c r="F363" s="8"/>
      <c r="G363" s="9"/>
    </row>
    <row r="364" spans="6:7" ht="16.5" customHeight="1" x14ac:dyDescent="0.25">
      <c r="F364" s="8"/>
      <c r="G364" s="9"/>
    </row>
    <row r="365" spans="6:7" ht="16.5" customHeight="1" x14ac:dyDescent="0.25">
      <c r="F365" s="8"/>
      <c r="G365" s="9"/>
    </row>
    <row r="366" spans="6:7" ht="16.5" customHeight="1" x14ac:dyDescent="0.25">
      <c r="F366" s="8"/>
      <c r="G366" s="9"/>
    </row>
    <row r="367" spans="6:7" ht="16.5" customHeight="1" x14ac:dyDescent="0.25">
      <c r="F367" s="8"/>
      <c r="G367" s="9"/>
    </row>
    <row r="368" spans="6:7" ht="16.5" customHeight="1" x14ac:dyDescent="0.25">
      <c r="F368" s="8"/>
      <c r="G368" s="9"/>
    </row>
    <row r="369" spans="6:7" ht="16.5" customHeight="1" x14ac:dyDescent="0.25">
      <c r="F369" s="8"/>
      <c r="G369" s="9"/>
    </row>
    <row r="370" spans="6:7" ht="16.5" customHeight="1" x14ac:dyDescent="0.25">
      <c r="F370" s="8"/>
      <c r="G370" s="9"/>
    </row>
    <row r="371" spans="6:7" ht="16.5" customHeight="1" x14ac:dyDescent="0.25">
      <c r="F371" s="8"/>
      <c r="G371" s="9"/>
    </row>
    <row r="372" spans="6:7" ht="16.5" customHeight="1" x14ac:dyDescent="0.25">
      <c r="F372" s="8"/>
      <c r="G372" s="9"/>
    </row>
    <row r="373" spans="6:7" ht="16.5" customHeight="1" x14ac:dyDescent="0.25">
      <c r="F373" s="8"/>
      <c r="G373" s="9"/>
    </row>
    <row r="374" spans="6:7" ht="16.5" customHeight="1" x14ac:dyDescent="0.25">
      <c r="F374" s="8"/>
      <c r="G374" s="9"/>
    </row>
    <row r="375" spans="6:7" ht="16.5" customHeight="1" x14ac:dyDescent="0.25">
      <c r="F375" s="8"/>
      <c r="G375" s="9"/>
    </row>
    <row r="376" spans="6:7" ht="16.5" customHeight="1" x14ac:dyDescent="0.25">
      <c r="F376" s="8"/>
      <c r="G376" s="9"/>
    </row>
    <row r="377" spans="6:7" ht="16.5" customHeight="1" x14ac:dyDescent="0.25">
      <c r="F377" s="8"/>
      <c r="G377" s="9"/>
    </row>
    <row r="378" spans="6:7" ht="16.5" customHeight="1" x14ac:dyDescent="0.25">
      <c r="F378" s="8"/>
      <c r="G378" s="9"/>
    </row>
    <row r="379" spans="6:7" ht="16.5" customHeight="1" x14ac:dyDescent="0.25">
      <c r="F379" s="8"/>
      <c r="G379" s="9"/>
    </row>
    <row r="380" spans="6:7" ht="16.5" customHeight="1" x14ac:dyDescent="0.25">
      <c r="F380" s="8"/>
      <c r="G380" s="9"/>
    </row>
    <row r="381" spans="6:7" ht="16.5" customHeight="1" x14ac:dyDescent="0.25">
      <c r="F381" s="8"/>
      <c r="G381" s="9"/>
    </row>
    <row r="382" spans="6:7" ht="16.5" customHeight="1" x14ac:dyDescent="0.25">
      <c r="F382" s="8"/>
      <c r="G382" s="9"/>
    </row>
    <row r="383" spans="6:7" ht="16.5" customHeight="1" x14ac:dyDescent="0.25">
      <c r="F383" s="8"/>
      <c r="G383" s="9"/>
    </row>
    <row r="384" spans="6:7" ht="16.5" customHeight="1" x14ac:dyDescent="0.25">
      <c r="F384" s="8"/>
      <c r="G384" s="9"/>
    </row>
    <row r="385" spans="6:7" ht="16.5" customHeight="1" x14ac:dyDescent="0.25">
      <c r="F385" s="8"/>
      <c r="G385" s="9"/>
    </row>
    <row r="386" spans="6:7" ht="16.5" customHeight="1" x14ac:dyDescent="0.25">
      <c r="F386" s="8"/>
      <c r="G386" s="9"/>
    </row>
    <row r="387" spans="6:7" ht="16.5" customHeight="1" x14ac:dyDescent="0.25">
      <c r="F387" s="8"/>
      <c r="G387" s="9"/>
    </row>
    <row r="388" spans="6:7" ht="16.5" customHeight="1" x14ac:dyDescent="0.25">
      <c r="F388" s="8"/>
      <c r="G388" s="9"/>
    </row>
    <row r="389" spans="6:7" ht="16.5" customHeight="1" x14ac:dyDescent="0.25">
      <c r="F389" s="8"/>
      <c r="G389" s="9"/>
    </row>
    <row r="390" spans="6:7" ht="16.5" customHeight="1" x14ac:dyDescent="0.25">
      <c r="F390" s="8"/>
      <c r="G390" s="9"/>
    </row>
    <row r="391" spans="6:7" ht="16.5" customHeight="1" x14ac:dyDescent="0.25">
      <c r="F391" s="8"/>
      <c r="G391" s="9"/>
    </row>
    <row r="392" spans="6:7" ht="16.5" customHeight="1" x14ac:dyDescent="0.25">
      <c r="F392" s="8"/>
      <c r="G392" s="9"/>
    </row>
    <row r="393" spans="6:7" ht="16.5" customHeight="1" x14ac:dyDescent="0.25">
      <c r="F393" s="8"/>
      <c r="G393" s="9"/>
    </row>
    <row r="394" spans="6:7" ht="16.5" customHeight="1" x14ac:dyDescent="0.25">
      <c r="F394" s="8"/>
      <c r="G394" s="14"/>
    </row>
    <row r="395" spans="6:7" ht="60" customHeight="1" x14ac:dyDescent="0.3">
      <c r="F395"/>
    </row>
    <row r="396" spans="6:7" ht="14.4" x14ac:dyDescent="0.3">
      <c r="F396"/>
    </row>
    <row r="397" spans="6:7" ht="14.4" x14ac:dyDescent="0.3">
      <c r="F397"/>
    </row>
    <row r="398" spans="6:7" ht="14.4" x14ac:dyDescent="0.3">
      <c r="F398"/>
    </row>
    <row r="399" spans="6:7" ht="14.4" x14ac:dyDescent="0.3">
      <c r="F399"/>
    </row>
    <row r="400" spans="6:7" ht="14.4" x14ac:dyDescent="0.3">
      <c r="F400"/>
    </row>
    <row r="401" spans="6:6" ht="14.4" x14ac:dyDescent="0.3">
      <c r="F401"/>
    </row>
    <row r="402" spans="6:6" ht="14.4" x14ac:dyDescent="0.3">
      <c r="F402"/>
    </row>
    <row r="403" spans="6:6" ht="14.4" x14ac:dyDescent="0.3">
      <c r="F403"/>
    </row>
    <row r="404" spans="6:6" ht="14.4" x14ac:dyDescent="0.3">
      <c r="F404"/>
    </row>
    <row r="405" spans="6:6" ht="14.4" x14ac:dyDescent="0.3">
      <c r="F405"/>
    </row>
    <row r="406" spans="6:6" ht="14.4" x14ac:dyDescent="0.3">
      <c r="F406"/>
    </row>
    <row r="407" spans="6:6" ht="14.4" x14ac:dyDescent="0.3">
      <c r="F407"/>
    </row>
    <row r="408" spans="6:6" ht="14.4" x14ac:dyDescent="0.3">
      <c r="F408"/>
    </row>
    <row r="409" spans="6:6" ht="14.4" x14ac:dyDescent="0.3">
      <c r="F409"/>
    </row>
    <row r="410" spans="6:6" ht="14.4" x14ac:dyDescent="0.3">
      <c r="F410"/>
    </row>
    <row r="411" spans="6:6" ht="14.4" x14ac:dyDescent="0.3">
      <c r="F411"/>
    </row>
    <row r="412" spans="6:6" ht="14.4" x14ac:dyDescent="0.3">
      <c r="F412"/>
    </row>
    <row r="413" spans="6:6" ht="14.4" x14ac:dyDescent="0.3">
      <c r="F413"/>
    </row>
    <row r="414" spans="6:6" ht="14.4" x14ac:dyDescent="0.3">
      <c r="F414"/>
    </row>
    <row r="415" spans="6:6" ht="14.4" x14ac:dyDescent="0.3">
      <c r="F415"/>
    </row>
    <row r="416" spans="6:6" ht="14.4" x14ac:dyDescent="0.3">
      <c r="F416"/>
    </row>
    <row r="417" spans="6:6" ht="14.4" x14ac:dyDescent="0.3">
      <c r="F417"/>
    </row>
    <row r="418" spans="6:6" ht="14.4" x14ac:dyDescent="0.3">
      <c r="F418"/>
    </row>
    <row r="419" spans="6:6" ht="14.4" x14ac:dyDescent="0.3">
      <c r="F419"/>
    </row>
    <row r="420" spans="6:6" ht="14.4" x14ac:dyDescent="0.3">
      <c r="F420"/>
    </row>
    <row r="421" spans="6:6" ht="14.4" x14ac:dyDescent="0.3">
      <c r="F421"/>
    </row>
    <row r="422" spans="6:6" ht="14.4" x14ac:dyDescent="0.3">
      <c r="F422"/>
    </row>
    <row r="423" spans="6:6" ht="14.4" x14ac:dyDescent="0.3">
      <c r="F423"/>
    </row>
    <row r="424" spans="6:6" ht="14.4" x14ac:dyDescent="0.3">
      <c r="F424"/>
    </row>
  </sheetData>
  <mergeCells count="13">
    <mergeCell ref="A313:B313"/>
    <mergeCell ref="A316:D316"/>
    <mergeCell ref="A317:D317"/>
    <mergeCell ref="A1:D1"/>
    <mergeCell ref="A2:D2"/>
    <mergeCell ref="A3:D3"/>
    <mergeCell ref="A4:D4"/>
    <mergeCell ref="A5:A7"/>
    <mergeCell ref="B5:B6"/>
    <mergeCell ref="C5:D5"/>
    <mergeCell ref="C6:D6"/>
    <mergeCell ref="A24:D24"/>
    <mergeCell ref="A25:D25"/>
  </mergeCells>
  <printOptions horizontalCentered="1" verticalCentered="1"/>
  <pageMargins left="0.98425196850393704" right="0.98425196850393704" top="1.3779527559055118" bottom="1.3779527559055118" header="0.70866141732283472" footer="0.51181102362204722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0BE3A-BB89-43BA-BD0C-3DBB2AA54C24}">
  <sheetPr>
    <pageSetUpPr fitToPage="1"/>
  </sheetPr>
  <dimension ref="A1:AG41"/>
  <sheetViews>
    <sheetView topLeftCell="A40" workbookViewId="0">
      <selection sqref="A1:AD41"/>
    </sheetView>
  </sheetViews>
  <sheetFormatPr baseColWidth="10" defaultColWidth="11.44140625" defaultRowHeight="13.2" x14ac:dyDescent="0.25"/>
  <cols>
    <col min="1" max="1" width="7.44140625" style="7" bestFit="1" customWidth="1"/>
    <col min="2" max="2" width="9.44140625" style="7" bestFit="1" customWidth="1"/>
    <col min="3" max="8" width="6.6640625" style="7" bestFit="1" customWidth="1"/>
    <col min="9" max="9" width="8.33203125" style="7" customWidth="1"/>
    <col min="10" max="26" width="6.6640625" style="7" bestFit="1" customWidth="1"/>
    <col min="27" max="27" width="5.6640625" style="7" bestFit="1" customWidth="1"/>
    <col min="28" max="29" width="8.44140625" style="7" bestFit="1" customWidth="1"/>
    <col min="30" max="30" width="3.44140625" style="7" customWidth="1"/>
    <col min="31" max="31" width="12.6640625" style="7" bestFit="1" customWidth="1"/>
    <col min="32" max="16384" width="11.44140625" style="7"/>
  </cols>
  <sheetData>
    <row r="1" spans="1:33" x14ac:dyDescent="0.25">
      <c r="A1" s="80" t="s">
        <v>12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</row>
    <row r="2" spans="1:33" ht="15" customHeight="1" x14ac:dyDescent="0.25">
      <c r="A2" s="80" t="s">
        <v>35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</row>
    <row r="3" spans="1:33" ht="13.8" thickBot="1" x14ac:dyDescent="0.3">
      <c r="A3" s="80" t="s">
        <v>26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</row>
    <row r="4" spans="1:33" x14ac:dyDescent="0.25">
      <c r="A4" s="21"/>
      <c r="B4" s="22" t="s">
        <v>13</v>
      </c>
      <c r="C4" s="23">
        <v>1</v>
      </c>
      <c r="D4" s="23">
        <v>2</v>
      </c>
      <c r="E4" s="23">
        <v>3</v>
      </c>
      <c r="F4" s="23">
        <v>4</v>
      </c>
      <c r="G4" s="23">
        <v>5</v>
      </c>
      <c r="H4" s="23">
        <v>6</v>
      </c>
      <c r="I4" s="23">
        <v>7</v>
      </c>
      <c r="J4" s="23">
        <v>8</v>
      </c>
      <c r="K4" s="23">
        <v>9</v>
      </c>
      <c r="L4" s="23">
        <v>10</v>
      </c>
      <c r="M4" s="23">
        <v>11</v>
      </c>
      <c r="N4" s="23">
        <v>12</v>
      </c>
      <c r="O4" s="23">
        <v>13</v>
      </c>
      <c r="P4" s="23">
        <v>14</v>
      </c>
      <c r="Q4" s="23">
        <v>15</v>
      </c>
      <c r="R4" s="23">
        <v>16</v>
      </c>
      <c r="S4" s="23">
        <v>17</v>
      </c>
      <c r="T4" s="23">
        <v>18</v>
      </c>
      <c r="U4" s="23">
        <v>19</v>
      </c>
      <c r="V4" s="23">
        <v>20</v>
      </c>
      <c r="W4" s="23">
        <v>21</v>
      </c>
      <c r="X4" s="23">
        <v>22</v>
      </c>
      <c r="Y4" s="23">
        <v>23</v>
      </c>
      <c r="Z4" s="23">
        <v>24</v>
      </c>
      <c r="AA4" s="81" t="s">
        <v>14</v>
      </c>
      <c r="AB4" s="81" t="s">
        <v>7</v>
      </c>
      <c r="AC4" s="83" t="s">
        <v>15</v>
      </c>
      <c r="AD4" s="24"/>
    </row>
    <row r="5" spans="1:33" ht="13.8" thickBot="1" x14ac:dyDescent="0.3">
      <c r="A5" s="25" t="s">
        <v>16</v>
      </c>
      <c r="B5" s="26" t="s">
        <v>17</v>
      </c>
      <c r="C5" s="27" t="s">
        <v>18</v>
      </c>
      <c r="D5" s="27" t="s">
        <v>18</v>
      </c>
      <c r="E5" s="27" t="s">
        <v>18</v>
      </c>
      <c r="F5" s="27" t="s">
        <v>18</v>
      </c>
      <c r="G5" s="27" t="s">
        <v>18</v>
      </c>
      <c r="H5" s="27" t="s">
        <v>18</v>
      </c>
      <c r="I5" s="27" t="s">
        <v>18</v>
      </c>
      <c r="J5" s="27" t="s">
        <v>18</v>
      </c>
      <c r="K5" s="27" t="s">
        <v>18</v>
      </c>
      <c r="L5" s="27" t="s">
        <v>18</v>
      </c>
      <c r="M5" s="27" t="s">
        <v>18</v>
      </c>
      <c r="N5" s="27" t="s">
        <v>18</v>
      </c>
      <c r="O5" s="27" t="s">
        <v>18</v>
      </c>
      <c r="P5" s="27" t="s">
        <v>18</v>
      </c>
      <c r="Q5" s="27" t="s">
        <v>18</v>
      </c>
      <c r="R5" s="27" t="s">
        <v>18</v>
      </c>
      <c r="S5" s="27" t="s">
        <v>18</v>
      </c>
      <c r="T5" s="27" t="s">
        <v>18</v>
      </c>
      <c r="U5" s="27" t="s">
        <v>18</v>
      </c>
      <c r="V5" s="27" t="s">
        <v>18</v>
      </c>
      <c r="W5" s="27" t="s">
        <v>18</v>
      </c>
      <c r="X5" s="27" t="s">
        <v>18</v>
      </c>
      <c r="Y5" s="27" t="s">
        <v>18</v>
      </c>
      <c r="Z5" s="27" t="s">
        <v>18</v>
      </c>
      <c r="AA5" s="82"/>
      <c r="AB5" s="82"/>
      <c r="AC5" s="84"/>
      <c r="AD5" s="24"/>
    </row>
    <row r="6" spans="1:33" ht="13.8" thickBot="1" x14ac:dyDescent="0.3">
      <c r="A6" s="78">
        <v>48214</v>
      </c>
      <c r="B6" s="23" t="s">
        <v>19</v>
      </c>
      <c r="C6" s="41">
        <v>53000</v>
      </c>
      <c r="D6" s="41">
        <f t="shared" ref="D6:Z17" si="0">+C6</f>
        <v>53000</v>
      </c>
      <c r="E6" s="41">
        <f t="shared" si="0"/>
        <v>53000</v>
      </c>
      <c r="F6" s="41">
        <f t="shared" si="0"/>
        <v>53000</v>
      </c>
      <c r="G6" s="41">
        <f t="shared" si="0"/>
        <v>53000</v>
      </c>
      <c r="H6" s="41">
        <f t="shared" si="0"/>
        <v>53000</v>
      </c>
      <c r="I6" s="41">
        <f t="shared" si="0"/>
        <v>53000</v>
      </c>
      <c r="J6" s="41">
        <f t="shared" si="0"/>
        <v>53000</v>
      </c>
      <c r="K6" s="41">
        <f t="shared" si="0"/>
        <v>53000</v>
      </c>
      <c r="L6" s="41">
        <f t="shared" si="0"/>
        <v>53000</v>
      </c>
      <c r="M6" s="41">
        <f t="shared" si="0"/>
        <v>53000</v>
      </c>
      <c r="N6" s="41">
        <f t="shared" si="0"/>
        <v>53000</v>
      </c>
      <c r="O6" s="41">
        <f t="shared" si="0"/>
        <v>53000</v>
      </c>
      <c r="P6" s="41">
        <f t="shared" si="0"/>
        <v>53000</v>
      </c>
      <c r="Q6" s="41">
        <f t="shared" si="0"/>
        <v>53000</v>
      </c>
      <c r="R6" s="41">
        <f t="shared" si="0"/>
        <v>53000</v>
      </c>
      <c r="S6" s="41">
        <f t="shared" si="0"/>
        <v>53000</v>
      </c>
      <c r="T6" s="41">
        <f t="shared" si="0"/>
        <v>53000</v>
      </c>
      <c r="U6" s="41">
        <f t="shared" si="0"/>
        <v>53000</v>
      </c>
      <c r="V6" s="41">
        <f t="shared" si="0"/>
        <v>53000</v>
      </c>
      <c r="W6" s="41">
        <f t="shared" si="0"/>
        <v>53000</v>
      </c>
      <c r="X6" s="41">
        <f t="shared" si="0"/>
        <v>53000</v>
      </c>
      <c r="Y6" s="41">
        <f t="shared" si="0"/>
        <v>53000</v>
      </c>
      <c r="Z6" s="41">
        <f t="shared" si="0"/>
        <v>53000</v>
      </c>
      <c r="AA6" s="42">
        <v>20</v>
      </c>
      <c r="AB6" s="30">
        <f t="shared" ref="AB6:AB41" si="1">+SUM(C6:Z6)*AA6</f>
        <v>25440000</v>
      </c>
      <c r="AC6" s="79">
        <f t="shared" ref="AC6" si="2">+AB6+AB7+AB8</f>
        <v>39432000</v>
      </c>
      <c r="AD6" s="43"/>
      <c r="AF6" s="31"/>
      <c r="AG6" s="44"/>
    </row>
    <row r="7" spans="1:33" ht="13.8" thickBot="1" x14ac:dyDescent="0.3">
      <c r="A7" s="76"/>
      <c r="B7" s="32" t="s">
        <v>20</v>
      </c>
      <c r="C7" s="41">
        <v>53000</v>
      </c>
      <c r="D7" s="41">
        <f t="shared" si="0"/>
        <v>53000</v>
      </c>
      <c r="E7" s="41">
        <f t="shared" si="0"/>
        <v>53000</v>
      </c>
      <c r="F7" s="41">
        <f t="shared" si="0"/>
        <v>53000</v>
      </c>
      <c r="G7" s="41">
        <f t="shared" si="0"/>
        <v>53000</v>
      </c>
      <c r="H7" s="41">
        <f t="shared" si="0"/>
        <v>53000</v>
      </c>
      <c r="I7" s="41">
        <f t="shared" si="0"/>
        <v>53000</v>
      </c>
      <c r="J7" s="41">
        <f t="shared" si="0"/>
        <v>53000</v>
      </c>
      <c r="K7" s="41">
        <f t="shared" si="0"/>
        <v>53000</v>
      </c>
      <c r="L7" s="41">
        <f t="shared" si="0"/>
        <v>53000</v>
      </c>
      <c r="M7" s="41">
        <f t="shared" si="0"/>
        <v>53000</v>
      </c>
      <c r="N7" s="41">
        <f t="shared" si="0"/>
        <v>53000</v>
      </c>
      <c r="O7" s="41">
        <f t="shared" si="0"/>
        <v>53000</v>
      </c>
      <c r="P7" s="41">
        <f t="shared" si="0"/>
        <v>53000</v>
      </c>
      <c r="Q7" s="41">
        <f t="shared" si="0"/>
        <v>53000</v>
      </c>
      <c r="R7" s="41">
        <f t="shared" si="0"/>
        <v>53000</v>
      </c>
      <c r="S7" s="41">
        <f t="shared" si="0"/>
        <v>53000</v>
      </c>
      <c r="T7" s="41">
        <f t="shared" si="0"/>
        <v>53000</v>
      </c>
      <c r="U7" s="41">
        <f t="shared" si="0"/>
        <v>53000</v>
      </c>
      <c r="V7" s="41">
        <f t="shared" si="0"/>
        <v>53000</v>
      </c>
      <c r="W7" s="41">
        <f t="shared" si="0"/>
        <v>53000</v>
      </c>
      <c r="X7" s="41">
        <f t="shared" si="0"/>
        <v>53000</v>
      </c>
      <c r="Y7" s="41">
        <f t="shared" si="0"/>
        <v>53000</v>
      </c>
      <c r="Z7" s="41">
        <f t="shared" si="0"/>
        <v>53000</v>
      </c>
      <c r="AA7" s="45">
        <v>5</v>
      </c>
      <c r="AB7" s="30">
        <f t="shared" si="1"/>
        <v>6360000</v>
      </c>
      <c r="AC7" s="73"/>
      <c r="AD7" s="43"/>
      <c r="AF7" s="31"/>
      <c r="AG7" s="44"/>
    </row>
    <row r="8" spans="1:33" ht="13.8" thickBot="1" x14ac:dyDescent="0.3">
      <c r="A8" s="76"/>
      <c r="B8" s="32" t="s">
        <v>21</v>
      </c>
      <c r="C8" s="41">
        <v>53000</v>
      </c>
      <c r="D8" s="41">
        <f t="shared" si="0"/>
        <v>53000</v>
      </c>
      <c r="E8" s="41">
        <f t="shared" si="0"/>
        <v>53000</v>
      </c>
      <c r="F8" s="41">
        <f t="shared" si="0"/>
        <v>53000</v>
      </c>
      <c r="G8" s="41">
        <f t="shared" si="0"/>
        <v>53000</v>
      </c>
      <c r="H8" s="41">
        <f t="shared" si="0"/>
        <v>53000</v>
      </c>
      <c r="I8" s="41">
        <f t="shared" si="0"/>
        <v>53000</v>
      </c>
      <c r="J8" s="41">
        <f t="shared" si="0"/>
        <v>53000</v>
      </c>
      <c r="K8" s="41">
        <f t="shared" si="0"/>
        <v>53000</v>
      </c>
      <c r="L8" s="41">
        <f t="shared" si="0"/>
        <v>53000</v>
      </c>
      <c r="M8" s="41">
        <f t="shared" si="0"/>
        <v>53000</v>
      </c>
      <c r="N8" s="41">
        <f t="shared" si="0"/>
        <v>53000</v>
      </c>
      <c r="O8" s="41">
        <f t="shared" si="0"/>
        <v>53000</v>
      </c>
      <c r="P8" s="41">
        <f t="shared" si="0"/>
        <v>53000</v>
      </c>
      <c r="Q8" s="41">
        <f t="shared" si="0"/>
        <v>53000</v>
      </c>
      <c r="R8" s="41">
        <f t="shared" si="0"/>
        <v>53000</v>
      </c>
      <c r="S8" s="41">
        <f t="shared" si="0"/>
        <v>53000</v>
      </c>
      <c r="T8" s="41">
        <f t="shared" si="0"/>
        <v>53000</v>
      </c>
      <c r="U8" s="41">
        <f t="shared" si="0"/>
        <v>53000</v>
      </c>
      <c r="V8" s="41">
        <f t="shared" si="0"/>
        <v>53000</v>
      </c>
      <c r="W8" s="41">
        <f t="shared" si="0"/>
        <v>53000</v>
      </c>
      <c r="X8" s="41">
        <f t="shared" si="0"/>
        <v>53000</v>
      </c>
      <c r="Y8" s="41">
        <f t="shared" si="0"/>
        <v>53000</v>
      </c>
      <c r="Z8" s="41">
        <f t="shared" si="0"/>
        <v>53000</v>
      </c>
      <c r="AA8" s="45">
        <v>6</v>
      </c>
      <c r="AB8" s="30">
        <f t="shared" si="1"/>
        <v>7632000</v>
      </c>
      <c r="AC8" s="74"/>
      <c r="AD8" s="43"/>
      <c r="AF8" s="31"/>
      <c r="AG8" s="44"/>
    </row>
    <row r="9" spans="1:33" ht="14.4" thickTop="1" thickBot="1" x14ac:dyDescent="0.3">
      <c r="A9" s="75">
        <v>48245</v>
      </c>
      <c r="B9" s="34" t="s">
        <v>19</v>
      </c>
      <c r="C9" s="41">
        <v>53000</v>
      </c>
      <c r="D9" s="41">
        <f t="shared" si="0"/>
        <v>53000</v>
      </c>
      <c r="E9" s="41">
        <f t="shared" si="0"/>
        <v>53000</v>
      </c>
      <c r="F9" s="41">
        <f t="shared" si="0"/>
        <v>53000</v>
      </c>
      <c r="G9" s="41">
        <f t="shared" si="0"/>
        <v>53000</v>
      </c>
      <c r="H9" s="41">
        <f t="shared" si="0"/>
        <v>53000</v>
      </c>
      <c r="I9" s="41">
        <f t="shared" si="0"/>
        <v>53000</v>
      </c>
      <c r="J9" s="41">
        <f t="shared" si="0"/>
        <v>53000</v>
      </c>
      <c r="K9" s="41">
        <f t="shared" si="0"/>
        <v>53000</v>
      </c>
      <c r="L9" s="41">
        <f t="shared" si="0"/>
        <v>53000</v>
      </c>
      <c r="M9" s="41">
        <f t="shared" si="0"/>
        <v>53000</v>
      </c>
      <c r="N9" s="41">
        <f t="shared" si="0"/>
        <v>53000</v>
      </c>
      <c r="O9" s="41">
        <f t="shared" si="0"/>
        <v>53000</v>
      </c>
      <c r="P9" s="41">
        <f t="shared" si="0"/>
        <v>53000</v>
      </c>
      <c r="Q9" s="41">
        <f t="shared" si="0"/>
        <v>53000</v>
      </c>
      <c r="R9" s="41">
        <f t="shared" si="0"/>
        <v>53000</v>
      </c>
      <c r="S9" s="41">
        <f t="shared" si="0"/>
        <v>53000</v>
      </c>
      <c r="T9" s="41">
        <f t="shared" si="0"/>
        <v>53000</v>
      </c>
      <c r="U9" s="41">
        <f t="shared" si="0"/>
        <v>53000</v>
      </c>
      <c r="V9" s="41">
        <f t="shared" si="0"/>
        <v>53000</v>
      </c>
      <c r="W9" s="41">
        <f t="shared" si="0"/>
        <v>53000</v>
      </c>
      <c r="X9" s="41">
        <f t="shared" si="0"/>
        <v>53000</v>
      </c>
      <c r="Y9" s="41">
        <f t="shared" si="0"/>
        <v>53000</v>
      </c>
      <c r="Z9" s="41">
        <f t="shared" si="0"/>
        <v>53000</v>
      </c>
      <c r="AA9" s="45">
        <v>20</v>
      </c>
      <c r="AB9" s="30">
        <f t="shared" si="1"/>
        <v>25440000</v>
      </c>
      <c r="AC9" s="79">
        <f t="shared" ref="AC9" si="3">+AB9+AB10+AB11</f>
        <v>36888000</v>
      </c>
      <c r="AD9" s="46"/>
      <c r="AF9" s="31"/>
      <c r="AG9" s="44"/>
    </row>
    <row r="10" spans="1:33" ht="13.8" thickBot="1" x14ac:dyDescent="0.3">
      <c r="A10" s="76"/>
      <c r="B10" s="32" t="s">
        <v>20</v>
      </c>
      <c r="C10" s="41">
        <v>53000</v>
      </c>
      <c r="D10" s="41">
        <f t="shared" si="0"/>
        <v>53000</v>
      </c>
      <c r="E10" s="41">
        <f t="shared" si="0"/>
        <v>53000</v>
      </c>
      <c r="F10" s="41">
        <f t="shared" si="0"/>
        <v>53000</v>
      </c>
      <c r="G10" s="41">
        <f t="shared" si="0"/>
        <v>53000</v>
      </c>
      <c r="H10" s="41">
        <f t="shared" si="0"/>
        <v>53000</v>
      </c>
      <c r="I10" s="41">
        <f t="shared" si="0"/>
        <v>53000</v>
      </c>
      <c r="J10" s="41">
        <f t="shared" si="0"/>
        <v>53000</v>
      </c>
      <c r="K10" s="41">
        <f t="shared" si="0"/>
        <v>53000</v>
      </c>
      <c r="L10" s="41">
        <f t="shared" si="0"/>
        <v>53000</v>
      </c>
      <c r="M10" s="41">
        <f t="shared" si="0"/>
        <v>53000</v>
      </c>
      <c r="N10" s="41">
        <f t="shared" si="0"/>
        <v>53000</v>
      </c>
      <c r="O10" s="41">
        <f t="shared" si="0"/>
        <v>53000</v>
      </c>
      <c r="P10" s="41">
        <f t="shared" si="0"/>
        <v>53000</v>
      </c>
      <c r="Q10" s="41">
        <f t="shared" si="0"/>
        <v>53000</v>
      </c>
      <c r="R10" s="41">
        <f t="shared" si="0"/>
        <v>53000</v>
      </c>
      <c r="S10" s="41">
        <f t="shared" si="0"/>
        <v>53000</v>
      </c>
      <c r="T10" s="41">
        <f t="shared" si="0"/>
        <v>53000</v>
      </c>
      <c r="U10" s="41">
        <f t="shared" si="0"/>
        <v>53000</v>
      </c>
      <c r="V10" s="41">
        <f t="shared" si="0"/>
        <v>53000</v>
      </c>
      <c r="W10" s="41">
        <f t="shared" si="0"/>
        <v>53000</v>
      </c>
      <c r="X10" s="41">
        <f t="shared" si="0"/>
        <v>53000</v>
      </c>
      <c r="Y10" s="41">
        <f t="shared" si="0"/>
        <v>53000</v>
      </c>
      <c r="Z10" s="41">
        <f t="shared" si="0"/>
        <v>53000</v>
      </c>
      <c r="AA10" s="45">
        <v>4</v>
      </c>
      <c r="AB10" s="30">
        <f t="shared" si="1"/>
        <v>5088000</v>
      </c>
      <c r="AC10" s="73"/>
      <c r="AD10" s="43"/>
      <c r="AF10" s="31"/>
      <c r="AG10" s="44"/>
    </row>
    <row r="11" spans="1:33" ht="13.8" thickBot="1" x14ac:dyDescent="0.3">
      <c r="A11" s="76"/>
      <c r="B11" s="32" t="s">
        <v>21</v>
      </c>
      <c r="C11" s="41">
        <v>53000</v>
      </c>
      <c r="D11" s="41">
        <f t="shared" si="0"/>
        <v>53000</v>
      </c>
      <c r="E11" s="41">
        <f t="shared" si="0"/>
        <v>53000</v>
      </c>
      <c r="F11" s="41">
        <f t="shared" si="0"/>
        <v>53000</v>
      </c>
      <c r="G11" s="41">
        <f t="shared" si="0"/>
        <v>53000</v>
      </c>
      <c r="H11" s="41">
        <f t="shared" si="0"/>
        <v>53000</v>
      </c>
      <c r="I11" s="41">
        <f t="shared" si="0"/>
        <v>53000</v>
      </c>
      <c r="J11" s="41">
        <f t="shared" si="0"/>
        <v>53000</v>
      </c>
      <c r="K11" s="41">
        <f t="shared" si="0"/>
        <v>53000</v>
      </c>
      <c r="L11" s="41">
        <f t="shared" si="0"/>
        <v>53000</v>
      </c>
      <c r="M11" s="41">
        <f t="shared" si="0"/>
        <v>53000</v>
      </c>
      <c r="N11" s="41">
        <f t="shared" si="0"/>
        <v>53000</v>
      </c>
      <c r="O11" s="41">
        <f t="shared" si="0"/>
        <v>53000</v>
      </c>
      <c r="P11" s="41">
        <f t="shared" si="0"/>
        <v>53000</v>
      </c>
      <c r="Q11" s="41">
        <f t="shared" si="0"/>
        <v>53000</v>
      </c>
      <c r="R11" s="41">
        <f t="shared" si="0"/>
        <v>53000</v>
      </c>
      <c r="S11" s="41">
        <f t="shared" si="0"/>
        <v>53000</v>
      </c>
      <c r="T11" s="41">
        <f t="shared" si="0"/>
        <v>53000</v>
      </c>
      <c r="U11" s="41">
        <f t="shared" si="0"/>
        <v>53000</v>
      </c>
      <c r="V11" s="41">
        <f t="shared" si="0"/>
        <v>53000</v>
      </c>
      <c r="W11" s="41">
        <f t="shared" si="0"/>
        <v>53000</v>
      </c>
      <c r="X11" s="41">
        <f t="shared" si="0"/>
        <v>53000</v>
      </c>
      <c r="Y11" s="41">
        <f t="shared" si="0"/>
        <v>53000</v>
      </c>
      <c r="Z11" s="41">
        <f t="shared" si="0"/>
        <v>53000</v>
      </c>
      <c r="AA11" s="45">
        <v>5</v>
      </c>
      <c r="AB11" s="30">
        <f t="shared" si="1"/>
        <v>6360000</v>
      </c>
      <c r="AC11" s="74"/>
      <c r="AD11" s="43"/>
      <c r="AF11" s="31"/>
      <c r="AG11" s="44"/>
    </row>
    <row r="12" spans="1:33" ht="14.4" thickTop="1" thickBot="1" x14ac:dyDescent="0.3">
      <c r="A12" s="75">
        <v>48274</v>
      </c>
      <c r="B12" s="34" t="s">
        <v>19</v>
      </c>
      <c r="C12" s="41">
        <v>53000</v>
      </c>
      <c r="D12" s="41">
        <f t="shared" si="0"/>
        <v>53000</v>
      </c>
      <c r="E12" s="41">
        <f t="shared" si="0"/>
        <v>53000</v>
      </c>
      <c r="F12" s="41">
        <f t="shared" si="0"/>
        <v>53000</v>
      </c>
      <c r="G12" s="41">
        <f t="shared" si="0"/>
        <v>53000</v>
      </c>
      <c r="H12" s="41">
        <f t="shared" si="0"/>
        <v>53000</v>
      </c>
      <c r="I12" s="41">
        <f t="shared" si="0"/>
        <v>53000</v>
      </c>
      <c r="J12" s="41">
        <f t="shared" si="0"/>
        <v>53000</v>
      </c>
      <c r="K12" s="41">
        <f t="shared" si="0"/>
        <v>53000</v>
      </c>
      <c r="L12" s="41">
        <f t="shared" si="0"/>
        <v>53000</v>
      </c>
      <c r="M12" s="41">
        <f t="shared" si="0"/>
        <v>53000</v>
      </c>
      <c r="N12" s="41">
        <f t="shared" si="0"/>
        <v>53000</v>
      </c>
      <c r="O12" s="41">
        <f t="shared" si="0"/>
        <v>53000</v>
      </c>
      <c r="P12" s="41">
        <f t="shared" si="0"/>
        <v>53000</v>
      </c>
      <c r="Q12" s="41">
        <f t="shared" si="0"/>
        <v>53000</v>
      </c>
      <c r="R12" s="41">
        <f t="shared" si="0"/>
        <v>53000</v>
      </c>
      <c r="S12" s="41">
        <f t="shared" si="0"/>
        <v>53000</v>
      </c>
      <c r="T12" s="41">
        <f t="shared" si="0"/>
        <v>53000</v>
      </c>
      <c r="U12" s="41">
        <f t="shared" si="0"/>
        <v>53000</v>
      </c>
      <c r="V12" s="41">
        <f t="shared" si="0"/>
        <v>53000</v>
      </c>
      <c r="W12" s="41">
        <f t="shared" si="0"/>
        <v>53000</v>
      </c>
      <c r="X12" s="41">
        <f t="shared" si="0"/>
        <v>53000</v>
      </c>
      <c r="Y12" s="41">
        <f t="shared" si="0"/>
        <v>53000</v>
      </c>
      <c r="Z12" s="41">
        <f t="shared" si="0"/>
        <v>53000</v>
      </c>
      <c r="AA12" s="45">
        <v>20</v>
      </c>
      <c r="AB12" s="30">
        <f t="shared" si="1"/>
        <v>25440000</v>
      </c>
      <c r="AC12" s="79">
        <f t="shared" ref="AC12" si="4">+AB12+AB13+AB14</f>
        <v>39432000</v>
      </c>
      <c r="AD12" s="43"/>
      <c r="AF12" s="31"/>
      <c r="AG12" s="44"/>
    </row>
    <row r="13" spans="1:33" ht="13.8" thickBot="1" x14ac:dyDescent="0.3">
      <c r="A13" s="76"/>
      <c r="B13" s="32" t="s">
        <v>20</v>
      </c>
      <c r="C13" s="41">
        <v>53000</v>
      </c>
      <c r="D13" s="41">
        <f t="shared" si="0"/>
        <v>53000</v>
      </c>
      <c r="E13" s="41">
        <f t="shared" si="0"/>
        <v>53000</v>
      </c>
      <c r="F13" s="41">
        <f t="shared" si="0"/>
        <v>53000</v>
      </c>
      <c r="G13" s="41">
        <f t="shared" si="0"/>
        <v>53000</v>
      </c>
      <c r="H13" s="41">
        <f t="shared" si="0"/>
        <v>53000</v>
      </c>
      <c r="I13" s="41">
        <f t="shared" si="0"/>
        <v>53000</v>
      </c>
      <c r="J13" s="41">
        <f t="shared" si="0"/>
        <v>53000</v>
      </c>
      <c r="K13" s="41">
        <f t="shared" si="0"/>
        <v>53000</v>
      </c>
      <c r="L13" s="41">
        <f t="shared" si="0"/>
        <v>53000</v>
      </c>
      <c r="M13" s="41">
        <f t="shared" si="0"/>
        <v>53000</v>
      </c>
      <c r="N13" s="41">
        <f t="shared" si="0"/>
        <v>53000</v>
      </c>
      <c r="O13" s="41">
        <f t="shared" si="0"/>
        <v>53000</v>
      </c>
      <c r="P13" s="41">
        <f t="shared" si="0"/>
        <v>53000</v>
      </c>
      <c r="Q13" s="41">
        <f t="shared" si="0"/>
        <v>53000</v>
      </c>
      <c r="R13" s="41">
        <f t="shared" si="0"/>
        <v>53000</v>
      </c>
      <c r="S13" s="41">
        <f t="shared" si="0"/>
        <v>53000</v>
      </c>
      <c r="T13" s="41">
        <f t="shared" si="0"/>
        <v>53000</v>
      </c>
      <c r="U13" s="41">
        <f t="shared" si="0"/>
        <v>53000</v>
      </c>
      <c r="V13" s="41">
        <f t="shared" si="0"/>
        <v>53000</v>
      </c>
      <c r="W13" s="41">
        <f t="shared" si="0"/>
        <v>53000</v>
      </c>
      <c r="X13" s="41">
        <f t="shared" si="0"/>
        <v>53000</v>
      </c>
      <c r="Y13" s="41">
        <f t="shared" si="0"/>
        <v>53000</v>
      </c>
      <c r="Z13" s="41">
        <f t="shared" si="0"/>
        <v>53000</v>
      </c>
      <c r="AA13" s="45">
        <v>4</v>
      </c>
      <c r="AB13" s="30">
        <f t="shared" si="1"/>
        <v>5088000</v>
      </c>
      <c r="AC13" s="73"/>
      <c r="AD13" s="43"/>
      <c r="AF13" s="31"/>
      <c r="AG13" s="44"/>
    </row>
    <row r="14" spans="1:33" ht="13.8" thickBot="1" x14ac:dyDescent="0.3">
      <c r="A14" s="76"/>
      <c r="B14" s="32" t="s">
        <v>21</v>
      </c>
      <c r="C14" s="41">
        <v>53000</v>
      </c>
      <c r="D14" s="41">
        <f t="shared" si="0"/>
        <v>53000</v>
      </c>
      <c r="E14" s="41">
        <f t="shared" si="0"/>
        <v>53000</v>
      </c>
      <c r="F14" s="41">
        <f t="shared" si="0"/>
        <v>53000</v>
      </c>
      <c r="G14" s="41">
        <f t="shared" si="0"/>
        <v>53000</v>
      </c>
      <c r="H14" s="41">
        <f t="shared" si="0"/>
        <v>53000</v>
      </c>
      <c r="I14" s="41">
        <f t="shared" si="0"/>
        <v>53000</v>
      </c>
      <c r="J14" s="41">
        <f t="shared" si="0"/>
        <v>53000</v>
      </c>
      <c r="K14" s="41">
        <f t="shared" si="0"/>
        <v>53000</v>
      </c>
      <c r="L14" s="41">
        <f t="shared" si="0"/>
        <v>53000</v>
      </c>
      <c r="M14" s="41">
        <f t="shared" si="0"/>
        <v>53000</v>
      </c>
      <c r="N14" s="41">
        <f t="shared" si="0"/>
        <v>53000</v>
      </c>
      <c r="O14" s="41">
        <f t="shared" si="0"/>
        <v>53000</v>
      </c>
      <c r="P14" s="41">
        <f t="shared" si="0"/>
        <v>53000</v>
      </c>
      <c r="Q14" s="41">
        <f t="shared" si="0"/>
        <v>53000</v>
      </c>
      <c r="R14" s="41">
        <f t="shared" si="0"/>
        <v>53000</v>
      </c>
      <c r="S14" s="41">
        <f t="shared" si="0"/>
        <v>53000</v>
      </c>
      <c r="T14" s="41">
        <f t="shared" si="0"/>
        <v>53000</v>
      </c>
      <c r="U14" s="41">
        <f t="shared" si="0"/>
        <v>53000</v>
      </c>
      <c r="V14" s="41">
        <f t="shared" si="0"/>
        <v>53000</v>
      </c>
      <c r="W14" s="41">
        <f t="shared" si="0"/>
        <v>53000</v>
      </c>
      <c r="X14" s="41">
        <f t="shared" si="0"/>
        <v>53000</v>
      </c>
      <c r="Y14" s="41">
        <f t="shared" si="0"/>
        <v>53000</v>
      </c>
      <c r="Z14" s="41">
        <f t="shared" si="0"/>
        <v>53000</v>
      </c>
      <c r="AA14" s="45">
        <v>7</v>
      </c>
      <c r="AB14" s="30">
        <f t="shared" si="1"/>
        <v>8904000</v>
      </c>
      <c r="AC14" s="74"/>
      <c r="AD14" s="46"/>
      <c r="AF14" s="31"/>
      <c r="AG14" s="44"/>
    </row>
    <row r="15" spans="1:33" ht="14.4" thickTop="1" thickBot="1" x14ac:dyDescent="0.3">
      <c r="A15" s="75">
        <v>48305</v>
      </c>
      <c r="B15" s="35" t="s">
        <v>19</v>
      </c>
      <c r="C15" s="41">
        <v>43000</v>
      </c>
      <c r="D15" s="41">
        <f t="shared" si="0"/>
        <v>43000</v>
      </c>
      <c r="E15" s="41">
        <f t="shared" si="0"/>
        <v>43000</v>
      </c>
      <c r="F15" s="41">
        <f t="shared" si="0"/>
        <v>43000</v>
      </c>
      <c r="G15" s="41">
        <f t="shared" si="0"/>
        <v>43000</v>
      </c>
      <c r="H15" s="41">
        <f t="shared" si="0"/>
        <v>43000</v>
      </c>
      <c r="I15" s="41">
        <f t="shared" si="0"/>
        <v>43000</v>
      </c>
      <c r="J15" s="41">
        <f t="shared" si="0"/>
        <v>43000</v>
      </c>
      <c r="K15" s="41">
        <f t="shared" si="0"/>
        <v>43000</v>
      </c>
      <c r="L15" s="41">
        <f t="shared" si="0"/>
        <v>43000</v>
      </c>
      <c r="M15" s="41">
        <f t="shared" si="0"/>
        <v>43000</v>
      </c>
      <c r="N15" s="41">
        <f t="shared" si="0"/>
        <v>43000</v>
      </c>
      <c r="O15" s="41">
        <f t="shared" si="0"/>
        <v>43000</v>
      </c>
      <c r="P15" s="41">
        <f t="shared" si="0"/>
        <v>43000</v>
      </c>
      <c r="Q15" s="41">
        <f t="shared" si="0"/>
        <v>43000</v>
      </c>
      <c r="R15" s="41">
        <f t="shared" si="0"/>
        <v>43000</v>
      </c>
      <c r="S15" s="41">
        <f t="shared" si="0"/>
        <v>43000</v>
      </c>
      <c r="T15" s="41">
        <f t="shared" si="0"/>
        <v>43000</v>
      </c>
      <c r="U15" s="41">
        <f t="shared" si="0"/>
        <v>43000</v>
      </c>
      <c r="V15" s="41">
        <f t="shared" si="0"/>
        <v>43000</v>
      </c>
      <c r="W15" s="41">
        <f t="shared" si="0"/>
        <v>43000</v>
      </c>
      <c r="X15" s="41">
        <f t="shared" si="0"/>
        <v>43000</v>
      </c>
      <c r="Y15" s="41">
        <f t="shared" si="0"/>
        <v>43000</v>
      </c>
      <c r="Z15" s="41">
        <f t="shared" si="0"/>
        <v>43000</v>
      </c>
      <c r="AA15" s="45">
        <v>22</v>
      </c>
      <c r="AB15" s="30">
        <f t="shared" si="1"/>
        <v>22704000</v>
      </c>
      <c r="AC15" s="79">
        <f t="shared" ref="AC15" si="5">+AB15+AB16+AB17</f>
        <v>30960000</v>
      </c>
      <c r="AD15" s="46"/>
      <c r="AF15" s="31"/>
      <c r="AG15" s="44"/>
    </row>
    <row r="16" spans="1:33" ht="13.8" thickBot="1" x14ac:dyDescent="0.3">
      <c r="A16" s="76"/>
      <c r="B16" s="32" t="s">
        <v>20</v>
      </c>
      <c r="C16" s="41">
        <v>43000</v>
      </c>
      <c r="D16" s="41">
        <f t="shared" si="0"/>
        <v>43000</v>
      </c>
      <c r="E16" s="41">
        <f t="shared" si="0"/>
        <v>43000</v>
      </c>
      <c r="F16" s="41">
        <f t="shared" si="0"/>
        <v>43000</v>
      </c>
      <c r="G16" s="41">
        <f t="shared" si="0"/>
        <v>43000</v>
      </c>
      <c r="H16" s="41">
        <f t="shared" si="0"/>
        <v>43000</v>
      </c>
      <c r="I16" s="41">
        <f t="shared" si="0"/>
        <v>43000</v>
      </c>
      <c r="J16" s="41">
        <f t="shared" si="0"/>
        <v>43000</v>
      </c>
      <c r="K16" s="41">
        <f t="shared" si="0"/>
        <v>43000</v>
      </c>
      <c r="L16" s="41">
        <f t="shared" si="0"/>
        <v>43000</v>
      </c>
      <c r="M16" s="41">
        <f t="shared" si="0"/>
        <v>43000</v>
      </c>
      <c r="N16" s="41">
        <f t="shared" si="0"/>
        <v>43000</v>
      </c>
      <c r="O16" s="41">
        <f t="shared" si="0"/>
        <v>43000</v>
      </c>
      <c r="P16" s="41">
        <f t="shared" si="0"/>
        <v>43000</v>
      </c>
      <c r="Q16" s="41">
        <f t="shared" si="0"/>
        <v>43000</v>
      </c>
      <c r="R16" s="41">
        <f t="shared" si="0"/>
        <v>43000</v>
      </c>
      <c r="S16" s="41">
        <f t="shared" si="0"/>
        <v>43000</v>
      </c>
      <c r="T16" s="41">
        <f t="shared" si="0"/>
        <v>43000</v>
      </c>
      <c r="U16" s="41">
        <f t="shared" si="0"/>
        <v>43000</v>
      </c>
      <c r="V16" s="41">
        <f t="shared" si="0"/>
        <v>43000</v>
      </c>
      <c r="W16" s="41">
        <f t="shared" si="0"/>
        <v>43000</v>
      </c>
      <c r="X16" s="41">
        <f t="shared" si="0"/>
        <v>43000</v>
      </c>
      <c r="Y16" s="41">
        <f t="shared" si="0"/>
        <v>43000</v>
      </c>
      <c r="Z16" s="41">
        <f t="shared" si="0"/>
        <v>43000</v>
      </c>
      <c r="AA16" s="45">
        <v>4</v>
      </c>
      <c r="AB16" s="30">
        <f t="shared" si="1"/>
        <v>4128000</v>
      </c>
      <c r="AC16" s="73"/>
      <c r="AD16" s="46"/>
      <c r="AF16" s="31"/>
      <c r="AG16" s="44"/>
    </row>
    <row r="17" spans="1:33" ht="13.8" thickBot="1" x14ac:dyDescent="0.3">
      <c r="A17" s="76"/>
      <c r="B17" s="32" t="s">
        <v>21</v>
      </c>
      <c r="C17" s="41">
        <v>43000</v>
      </c>
      <c r="D17" s="41">
        <f t="shared" si="0"/>
        <v>43000</v>
      </c>
      <c r="E17" s="41">
        <f t="shared" si="0"/>
        <v>43000</v>
      </c>
      <c r="F17" s="41">
        <f t="shared" ref="F17:U32" si="6">+E17</f>
        <v>43000</v>
      </c>
      <c r="G17" s="41">
        <f t="shared" si="6"/>
        <v>43000</v>
      </c>
      <c r="H17" s="41">
        <f t="shared" si="6"/>
        <v>43000</v>
      </c>
      <c r="I17" s="41">
        <f t="shared" si="6"/>
        <v>43000</v>
      </c>
      <c r="J17" s="41">
        <f t="shared" si="6"/>
        <v>43000</v>
      </c>
      <c r="K17" s="41">
        <f t="shared" si="6"/>
        <v>43000</v>
      </c>
      <c r="L17" s="41">
        <f t="shared" si="6"/>
        <v>43000</v>
      </c>
      <c r="M17" s="41">
        <f t="shared" si="6"/>
        <v>43000</v>
      </c>
      <c r="N17" s="41">
        <f t="shared" si="6"/>
        <v>43000</v>
      </c>
      <c r="O17" s="41">
        <f t="shared" si="6"/>
        <v>43000</v>
      </c>
      <c r="P17" s="41">
        <f t="shared" si="6"/>
        <v>43000</v>
      </c>
      <c r="Q17" s="41">
        <f t="shared" si="6"/>
        <v>43000</v>
      </c>
      <c r="R17" s="41">
        <f t="shared" si="6"/>
        <v>43000</v>
      </c>
      <c r="S17" s="41">
        <f t="shared" si="6"/>
        <v>43000</v>
      </c>
      <c r="T17" s="41">
        <f t="shared" si="6"/>
        <v>43000</v>
      </c>
      <c r="U17" s="41">
        <f t="shared" si="6"/>
        <v>43000</v>
      </c>
      <c r="V17" s="41">
        <f t="shared" ref="V17:Z32" si="7">+U17</f>
        <v>43000</v>
      </c>
      <c r="W17" s="41">
        <f t="shared" si="7"/>
        <v>43000</v>
      </c>
      <c r="X17" s="41">
        <f t="shared" si="7"/>
        <v>43000</v>
      </c>
      <c r="Y17" s="41">
        <f t="shared" si="7"/>
        <v>43000</v>
      </c>
      <c r="Z17" s="41">
        <f t="shared" si="7"/>
        <v>43000</v>
      </c>
      <c r="AA17" s="45">
        <v>4</v>
      </c>
      <c r="AB17" s="30">
        <f t="shared" si="1"/>
        <v>4128000</v>
      </c>
      <c r="AC17" s="74"/>
      <c r="AD17" s="46"/>
      <c r="AF17" s="31"/>
      <c r="AG17" s="44"/>
    </row>
    <row r="18" spans="1:33" ht="14.4" thickTop="1" thickBot="1" x14ac:dyDescent="0.3">
      <c r="A18" s="75">
        <v>48335</v>
      </c>
      <c r="B18" s="34" t="s">
        <v>19</v>
      </c>
      <c r="C18" s="41">
        <v>43000</v>
      </c>
      <c r="D18" s="41">
        <f t="shared" ref="D18:S33" si="8">+C18</f>
        <v>43000</v>
      </c>
      <c r="E18" s="41">
        <f t="shared" si="8"/>
        <v>43000</v>
      </c>
      <c r="F18" s="41">
        <f t="shared" si="6"/>
        <v>43000</v>
      </c>
      <c r="G18" s="41">
        <f t="shared" si="6"/>
        <v>43000</v>
      </c>
      <c r="H18" s="41">
        <f t="shared" si="6"/>
        <v>43000</v>
      </c>
      <c r="I18" s="41">
        <f t="shared" si="6"/>
        <v>43000</v>
      </c>
      <c r="J18" s="41">
        <f t="shared" si="6"/>
        <v>43000</v>
      </c>
      <c r="K18" s="41">
        <f t="shared" si="6"/>
        <v>43000</v>
      </c>
      <c r="L18" s="41">
        <f t="shared" si="6"/>
        <v>43000</v>
      </c>
      <c r="M18" s="41">
        <f t="shared" si="6"/>
        <v>43000</v>
      </c>
      <c r="N18" s="41">
        <f t="shared" si="6"/>
        <v>43000</v>
      </c>
      <c r="O18" s="41">
        <f t="shared" si="6"/>
        <v>43000</v>
      </c>
      <c r="P18" s="41">
        <f t="shared" si="6"/>
        <v>43000</v>
      </c>
      <c r="Q18" s="41">
        <f t="shared" si="6"/>
        <v>43000</v>
      </c>
      <c r="R18" s="41">
        <f t="shared" si="6"/>
        <v>43000</v>
      </c>
      <c r="S18" s="41">
        <f t="shared" si="6"/>
        <v>43000</v>
      </c>
      <c r="T18" s="41">
        <f t="shared" si="6"/>
        <v>43000</v>
      </c>
      <c r="U18" s="41">
        <f t="shared" si="6"/>
        <v>43000</v>
      </c>
      <c r="V18" s="41">
        <f t="shared" si="7"/>
        <v>43000</v>
      </c>
      <c r="W18" s="41">
        <f t="shared" si="7"/>
        <v>43000</v>
      </c>
      <c r="X18" s="41">
        <f t="shared" si="7"/>
        <v>43000</v>
      </c>
      <c r="Y18" s="41">
        <f t="shared" si="7"/>
        <v>43000</v>
      </c>
      <c r="Z18" s="41">
        <f t="shared" si="7"/>
        <v>43000</v>
      </c>
      <c r="AA18" s="45">
        <v>19</v>
      </c>
      <c r="AB18" s="30">
        <f t="shared" si="1"/>
        <v>19608000</v>
      </c>
      <c r="AC18" s="79">
        <f t="shared" ref="AC18" si="9">+AB18+AB19+AB20</f>
        <v>31992000</v>
      </c>
      <c r="AD18" s="46"/>
      <c r="AF18" s="31"/>
      <c r="AG18" s="44"/>
    </row>
    <row r="19" spans="1:33" ht="13.8" thickBot="1" x14ac:dyDescent="0.3">
      <c r="A19" s="76"/>
      <c r="B19" s="32" t="s">
        <v>20</v>
      </c>
      <c r="C19" s="41">
        <v>43000</v>
      </c>
      <c r="D19" s="41">
        <f t="shared" si="8"/>
        <v>43000</v>
      </c>
      <c r="E19" s="41">
        <f t="shared" si="8"/>
        <v>43000</v>
      </c>
      <c r="F19" s="41">
        <f t="shared" si="8"/>
        <v>43000</v>
      </c>
      <c r="G19" s="41">
        <f t="shared" si="8"/>
        <v>43000</v>
      </c>
      <c r="H19" s="41">
        <f t="shared" si="8"/>
        <v>43000</v>
      </c>
      <c r="I19" s="41">
        <f t="shared" si="8"/>
        <v>43000</v>
      </c>
      <c r="J19" s="41">
        <f t="shared" si="8"/>
        <v>43000</v>
      </c>
      <c r="K19" s="41">
        <f t="shared" si="8"/>
        <v>43000</v>
      </c>
      <c r="L19" s="41">
        <f t="shared" si="8"/>
        <v>43000</v>
      </c>
      <c r="M19" s="41">
        <f t="shared" si="8"/>
        <v>43000</v>
      </c>
      <c r="N19" s="41">
        <f t="shared" si="8"/>
        <v>43000</v>
      </c>
      <c r="O19" s="41">
        <f t="shared" si="8"/>
        <v>43000</v>
      </c>
      <c r="P19" s="41">
        <f t="shared" si="8"/>
        <v>43000</v>
      </c>
      <c r="Q19" s="41">
        <f t="shared" si="8"/>
        <v>43000</v>
      </c>
      <c r="R19" s="41">
        <f t="shared" si="8"/>
        <v>43000</v>
      </c>
      <c r="S19" s="41">
        <f t="shared" si="8"/>
        <v>43000</v>
      </c>
      <c r="T19" s="41">
        <f t="shared" si="6"/>
        <v>43000</v>
      </c>
      <c r="U19" s="41">
        <f t="shared" si="6"/>
        <v>43000</v>
      </c>
      <c r="V19" s="41">
        <f t="shared" si="7"/>
        <v>43000</v>
      </c>
      <c r="W19" s="41">
        <f t="shared" si="7"/>
        <v>43000</v>
      </c>
      <c r="X19" s="41">
        <f t="shared" si="7"/>
        <v>43000</v>
      </c>
      <c r="Y19" s="41">
        <f t="shared" si="7"/>
        <v>43000</v>
      </c>
      <c r="Z19" s="41">
        <f t="shared" si="7"/>
        <v>43000</v>
      </c>
      <c r="AA19" s="45">
        <v>4</v>
      </c>
      <c r="AB19" s="30">
        <f t="shared" si="1"/>
        <v>4128000</v>
      </c>
      <c r="AC19" s="73"/>
      <c r="AD19" s="43"/>
      <c r="AF19" s="31"/>
    </row>
    <row r="20" spans="1:33" ht="13.8" thickBot="1" x14ac:dyDescent="0.3">
      <c r="A20" s="76"/>
      <c r="B20" s="32" t="s">
        <v>21</v>
      </c>
      <c r="C20" s="41">
        <v>43000</v>
      </c>
      <c r="D20" s="41">
        <f t="shared" si="8"/>
        <v>43000</v>
      </c>
      <c r="E20" s="41">
        <f t="shared" si="8"/>
        <v>43000</v>
      </c>
      <c r="F20" s="41">
        <f t="shared" si="8"/>
        <v>43000</v>
      </c>
      <c r="G20" s="41">
        <f t="shared" si="8"/>
        <v>43000</v>
      </c>
      <c r="H20" s="41">
        <f t="shared" si="8"/>
        <v>43000</v>
      </c>
      <c r="I20" s="41">
        <f t="shared" si="8"/>
        <v>43000</v>
      </c>
      <c r="J20" s="41">
        <f t="shared" si="8"/>
        <v>43000</v>
      </c>
      <c r="K20" s="41">
        <f t="shared" si="8"/>
        <v>43000</v>
      </c>
      <c r="L20" s="41">
        <f t="shared" si="8"/>
        <v>43000</v>
      </c>
      <c r="M20" s="41">
        <f t="shared" si="8"/>
        <v>43000</v>
      </c>
      <c r="N20" s="41">
        <f t="shared" si="8"/>
        <v>43000</v>
      </c>
      <c r="O20" s="41">
        <f t="shared" si="8"/>
        <v>43000</v>
      </c>
      <c r="P20" s="41">
        <f t="shared" si="8"/>
        <v>43000</v>
      </c>
      <c r="Q20" s="41">
        <f t="shared" si="8"/>
        <v>43000</v>
      </c>
      <c r="R20" s="41">
        <f t="shared" si="8"/>
        <v>43000</v>
      </c>
      <c r="S20" s="41">
        <f t="shared" si="8"/>
        <v>43000</v>
      </c>
      <c r="T20" s="41">
        <f t="shared" si="6"/>
        <v>43000</v>
      </c>
      <c r="U20" s="41">
        <f t="shared" si="6"/>
        <v>43000</v>
      </c>
      <c r="V20" s="41">
        <f t="shared" si="7"/>
        <v>43000</v>
      </c>
      <c r="W20" s="41">
        <f t="shared" si="7"/>
        <v>43000</v>
      </c>
      <c r="X20" s="41">
        <f t="shared" si="7"/>
        <v>43000</v>
      </c>
      <c r="Y20" s="41">
        <f t="shared" si="7"/>
        <v>43000</v>
      </c>
      <c r="Z20" s="41">
        <f t="shared" si="7"/>
        <v>43000</v>
      </c>
      <c r="AA20" s="45">
        <v>8</v>
      </c>
      <c r="AB20" s="30">
        <f t="shared" si="1"/>
        <v>8256000</v>
      </c>
      <c r="AC20" s="74"/>
      <c r="AD20" s="43"/>
      <c r="AF20" s="31"/>
    </row>
    <row r="21" spans="1:33" ht="14.4" thickTop="1" thickBot="1" x14ac:dyDescent="0.3">
      <c r="A21" s="75">
        <v>48366</v>
      </c>
      <c r="B21" s="35" t="s">
        <v>19</v>
      </c>
      <c r="C21" s="41">
        <v>38000</v>
      </c>
      <c r="D21" s="41">
        <f t="shared" si="8"/>
        <v>38000</v>
      </c>
      <c r="E21" s="41">
        <f t="shared" si="8"/>
        <v>38000</v>
      </c>
      <c r="F21" s="41">
        <f t="shared" si="8"/>
        <v>38000</v>
      </c>
      <c r="G21" s="41">
        <f t="shared" si="8"/>
        <v>38000</v>
      </c>
      <c r="H21" s="41">
        <f t="shared" si="8"/>
        <v>38000</v>
      </c>
      <c r="I21" s="41">
        <f t="shared" si="8"/>
        <v>38000</v>
      </c>
      <c r="J21" s="41">
        <f t="shared" si="8"/>
        <v>38000</v>
      </c>
      <c r="K21" s="41">
        <f t="shared" si="8"/>
        <v>38000</v>
      </c>
      <c r="L21" s="41">
        <f t="shared" si="8"/>
        <v>38000</v>
      </c>
      <c r="M21" s="41">
        <f t="shared" si="8"/>
        <v>38000</v>
      </c>
      <c r="N21" s="41">
        <f t="shared" si="8"/>
        <v>38000</v>
      </c>
      <c r="O21" s="41">
        <f t="shared" si="8"/>
        <v>38000</v>
      </c>
      <c r="P21" s="41">
        <f t="shared" si="8"/>
        <v>38000</v>
      </c>
      <c r="Q21" s="41">
        <f t="shared" si="8"/>
        <v>38000</v>
      </c>
      <c r="R21" s="41">
        <f t="shared" si="8"/>
        <v>38000</v>
      </c>
      <c r="S21" s="41">
        <f t="shared" si="8"/>
        <v>38000</v>
      </c>
      <c r="T21" s="41">
        <f t="shared" si="6"/>
        <v>38000</v>
      </c>
      <c r="U21" s="41">
        <f t="shared" si="6"/>
        <v>38000</v>
      </c>
      <c r="V21" s="41">
        <f t="shared" si="7"/>
        <v>38000</v>
      </c>
      <c r="W21" s="41">
        <f t="shared" si="7"/>
        <v>38000</v>
      </c>
      <c r="X21" s="41">
        <f t="shared" si="7"/>
        <v>38000</v>
      </c>
      <c r="Y21" s="41">
        <f t="shared" si="7"/>
        <v>38000</v>
      </c>
      <c r="Z21" s="41">
        <f t="shared" si="7"/>
        <v>38000</v>
      </c>
      <c r="AA21" s="45">
        <v>21</v>
      </c>
      <c r="AB21" s="30">
        <f t="shared" si="1"/>
        <v>19152000</v>
      </c>
      <c r="AC21" s="79">
        <f t="shared" ref="AC21" si="10">+AB21+AB22+AB23</f>
        <v>27360000</v>
      </c>
      <c r="AD21" s="43"/>
      <c r="AF21" s="31"/>
    </row>
    <row r="22" spans="1:33" ht="13.8" thickBot="1" x14ac:dyDescent="0.3">
      <c r="A22" s="76"/>
      <c r="B22" s="32" t="s">
        <v>20</v>
      </c>
      <c r="C22" s="41">
        <v>38000</v>
      </c>
      <c r="D22" s="41">
        <f t="shared" si="8"/>
        <v>38000</v>
      </c>
      <c r="E22" s="41">
        <f t="shared" si="8"/>
        <v>38000</v>
      </c>
      <c r="F22" s="41">
        <f t="shared" si="8"/>
        <v>38000</v>
      </c>
      <c r="G22" s="41">
        <f t="shared" si="8"/>
        <v>38000</v>
      </c>
      <c r="H22" s="41">
        <f t="shared" si="8"/>
        <v>38000</v>
      </c>
      <c r="I22" s="41">
        <f t="shared" si="8"/>
        <v>38000</v>
      </c>
      <c r="J22" s="41">
        <f t="shared" si="8"/>
        <v>38000</v>
      </c>
      <c r="K22" s="41">
        <f t="shared" si="8"/>
        <v>38000</v>
      </c>
      <c r="L22" s="41">
        <f t="shared" si="8"/>
        <v>38000</v>
      </c>
      <c r="M22" s="41">
        <f t="shared" si="8"/>
        <v>38000</v>
      </c>
      <c r="N22" s="41">
        <f t="shared" si="8"/>
        <v>38000</v>
      </c>
      <c r="O22" s="41">
        <f t="shared" si="8"/>
        <v>38000</v>
      </c>
      <c r="P22" s="41">
        <f t="shared" si="8"/>
        <v>38000</v>
      </c>
      <c r="Q22" s="41">
        <f t="shared" si="8"/>
        <v>38000</v>
      </c>
      <c r="R22" s="41">
        <f t="shared" si="8"/>
        <v>38000</v>
      </c>
      <c r="S22" s="41">
        <f t="shared" si="8"/>
        <v>38000</v>
      </c>
      <c r="T22" s="41">
        <f t="shared" si="6"/>
        <v>38000</v>
      </c>
      <c r="U22" s="41">
        <f t="shared" si="6"/>
        <v>38000</v>
      </c>
      <c r="V22" s="41">
        <f t="shared" si="7"/>
        <v>38000</v>
      </c>
      <c r="W22" s="41">
        <f t="shared" si="7"/>
        <v>38000</v>
      </c>
      <c r="X22" s="41">
        <f t="shared" si="7"/>
        <v>38000</v>
      </c>
      <c r="Y22" s="41">
        <f t="shared" si="7"/>
        <v>38000</v>
      </c>
      <c r="Z22" s="41">
        <f t="shared" si="7"/>
        <v>38000</v>
      </c>
      <c r="AA22" s="45">
        <v>4</v>
      </c>
      <c r="AB22" s="30">
        <f t="shared" si="1"/>
        <v>3648000</v>
      </c>
      <c r="AC22" s="73"/>
      <c r="AD22" s="43"/>
      <c r="AF22" s="31"/>
    </row>
    <row r="23" spans="1:33" ht="13.8" thickBot="1" x14ac:dyDescent="0.3">
      <c r="A23" s="76"/>
      <c r="B23" s="32" t="s">
        <v>21</v>
      </c>
      <c r="C23" s="41">
        <v>38000</v>
      </c>
      <c r="D23" s="41">
        <f t="shared" si="8"/>
        <v>38000</v>
      </c>
      <c r="E23" s="41">
        <f t="shared" si="8"/>
        <v>38000</v>
      </c>
      <c r="F23" s="41">
        <f t="shared" si="8"/>
        <v>38000</v>
      </c>
      <c r="G23" s="41">
        <f t="shared" si="8"/>
        <v>38000</v>
      </c>
      <c r="H23" s="41">
        <f t="shared" si="8"/>
        <v>38000</v>
      </c>
      <c r="I23" s="41">
        <f t="shared" si="8"/>
        <v>38000</v>
      </c>
      <c r="J23" s="41">
        <f t="shared" si="8"/>
        <v>38000</v>
      </c>
      <c r="K23" s="41">
        <f t="shared" si="8"/>
        <v>38000</v>
      </c>
      <c r="L23" s="41">
        <f t="shared" si="8"/>
        <v>38000</v>
      </c>
      <c r="M23" s="41">
        <f t="shared" si="8"/>
        <v>38000</v>
      </c>
      <c r="N23" s="41">
        <f t="shared" si="8"/>
        <v>38000</v>
      </c>
      <c r="O23" s="41">
        <f t="shared" si="8"/>
        <v>38000</v>
      </c>
      <c r="P23" s="41">
        <f t="shared" si="8"/>
        <v>38000</v>
      </c>
      <c r="Q23" s="41">
        <f t="shared" si="8"/>
        <v>38000</v>
      </c>
      <c r="R23" s="41">
        <f t="shared" si="8"/>
        <v>38000</v>
      </c>
      <c r="S23" s="41">
        <f t="shared" si="8"/>
        <v>38000</v>
      </c>
      <c r="T23" s="41">
        <f t="shared" si="6"/>
        <v>38000</v>
      </c>
      <c r="U23" s="41">
        <f t="shared" si="6"/>
        <v>38000</v>
      </c>
      <c r="V23" s="41">
        <f t="shared" si="7"/>
        <v>38000</v>
      </c>
      <c r="W23" s="41">
        <f t="shared" si="7"/>
        <v>38000</v>
      </c>
      <c r="X23" s="41">
        <f t="shared" si="7"/>
        <v>38000</v>
      </c>
      <c r="Y23" s="41">
        <f t="shared" si="7"/>
        <v>38000</v>
      </c>
      <c r="Z23" s="41">
        <f t="shared" si="7"/>
        <v>38000</v>
      </c>
      <c r="AA23" s="45">
        <v>5</v>
      </c>
      <c r="AB23" s="30">
        <f t="shared" si="1"/>
        <v>4560000</v>
      </c>
      <c r="AC23" s="74"/>
      <c r="AD23" s="43"/>
      <c r="AF23" s="31"/>
    </row>
    <row r="24" spans="1:33" ht="14.4" thickTop="1" thickBot="1" x14ac:dyDescent="0.3">
      <c r="A24" s="75">
        <v>48396</v>
      </c>
      <c r="B24" s="34" t="s">
        <v>19</v>
      </c>
      <c r="C24" s="41">
        <v>38000</v>
      </c>
      <c r="D24" s="41">
        <f t="shared" si="8"/>
        <v>38000</v>
      </c>
      <c r="E24" s="41">
        <f t="shared" si="8"/>
        <v>38000</v>
      </c>
      <c r="F24" s="41">
        <f t="shared" si="8"/>
        <v>38000</v>
      </c>
      <c r="G24" s="41">
        <f t="shared" si="8"/>
        <v>38000</v>
      </c>
      <c r="H24" s="41">
        <f t="shared" si="8"/>
        <v>38000</v>
      </c>
      <c r="I24" s="41">
        <f t="shared" si="8"/>
        <v>38000</v>
      </c>
      <c r="J24" s="41">
        <f t="shared" si="8"/>
        <v>38000</v>
      </c>
      <c r="K24" s="41">
        <f t="shared" si="8"/>
        <v>38000</v>
      </c>
      <c r="L24" s="41">
        <f t="shared" si="8"/>
        <v>38000</v>
      </c>
      <c r="M24" s="41">
        <f t="shared" si="8"/>
        <v>38000</v>
      </c>
      <c r="N24" s="41">
        <f t="shared" si="8"/>
        <v>38000</v>
      </c>
      <c r="O24" s="41">
        <f t="shared" si="8"/>
        <v>38000</v>
      </c>
      <c r="P24" s="41">
        <f t="shared" si="8"/>
        <v>38000</v>
      </c>
      <c r="Q24" s="41">
        <f t="shared" si="8"/>
        <v>38000</v>
      </c>
      <c r="R24" s="41">
        <f t="shared" si="8"/>
        <v>38000</v>
      </c>
      <c r="S24" s="41">
        <f t="shared" si="8"/>
        <v>38000</v>
      </c>
      <c r="T24" s="41">
        <f t="shared" si="6"/>
        <v>38000</v>
      </c>
      <c r="U24" s="41">
        <f t="shared" si="6"/>
        <v>38000</v>
      </c>
      <c r="V24" s="41">
        <f t="shared" si="7"/>
        <v>38000</v>
      </c>
      <c r="W24" s="41">
        <f t="shared" si="7"/>
        <v>38000</v>
      </c>
      <c r="X24" s="41">
        <f t="shared" si="7"/>
        <v>38000</v>
      </c>
      <c r="Y24" s="41">
        <f t="shared" si="7"/>
        <v>38000</v>
      </c>
      <c r="Z24" s="41">
        <f t="shared" si="7"/>
        <v>38000</v>
      </c>
      <c r="AA24" s="45">
        <v>20</v>
      </c>
      <c r="AB24" s="30">
        <f t="shared" si="1"/>
        <v>18240000</v>
      </c>
      <c r="AC24" s="79">
        <f t="shared" ref="AC24" si="11">+AB24+AB25+AB26</f>
        <v>28272000</v>
      </c>
      <c r="AD24" s="43"/>
      <c r="AF24" s="31"/>
    </row>
    <row r="25" spans="1:33" ht="13.8" thickBot="1" x14ac:dyDescent="0.3">
      <c r="A25" s="76"/>
      <c r="B25" s="32" t="s">
        <v>20</v>
      </c>
      <c r="C25" s="41">
        <v>38000</v>
      </c>
      <c r="D25" s="41">
        <f t="shared" si="8"/>
        <v>38000</v>
      </c>
      <c r="E25" s="41">
        <f t="shared" si="8"/>
        <v>38000</v>
      </c>
      <c r="F25" s="41">
        <f t="shared" si="8"/>
        <v>38000</v>
      </c>
      <c r="G25" s="41">
        <f t="shared" si="8"/>
        <v>38000</v>
      </c>
      <c r="H25" s="41">
        <f t="shared" si="8"/>
        <v>38000</v>
      </c>
      <c r="I25" s="41">
        <f t="shared" si="8"/>
        <v>38000</v>
      </c>
      <c r="J25" s="41">
        <f t="shared" si="8"/>
        <v>38000</v>
      </c>
      <c r="K25" s="41">
        <f t="shared" si="8"/>
        <v>38000</v>
      </c>
      <c r="L25" s="41">
        <f t="shared" si="8"/>
        <v>38000</v>
      </c>
      <c r="M25" s="41">
        <f t="shared" si="8"/>
        <v>38000</v>
      </c>
      <c r="N25" s="41">
        <f t="shared" si="8"/>
        <v>38000</v>
      </c>
      <c r="O25" s="41">
        <f t="shared" si="8"/>
        <v>38000</v>
      </c>
      <c r="P25" s="41">
        <f t="shared" si="8"/>
        <v>38000</v>
      </c>
      <c r="Q25" s="41">
        <f t="shared" si="8"/>
        <v>38000</v>
      </c>
      <c r="R25" s="41">
        <f t="shared" si="8"/>
        <v>38000</v>
      </c>
      <c r="S25" s="41">
        <f t="shared" si="8"/>
        <v>38000</v>
      </c>
      <c r="T25" s="41">
        <f t="shared" si="6"/>
        <v>38000</v>
      </c>
      <c r="U25" s="41">
        <f t="shared" si="6"/>
        <v>38000</v>
      </c>
      <c r="V25" s="41">
        <f t="shared" si="7"/>
        <v>38000</v>
      </c>
      <c r="W25" s="41">
        <f t="shared" si="7"/>
        <v>38000</v>
      </c>
      <c r="X25" s="41">
        <f t="shared" si="7"/>
        <v>38000</v>
      </c>
      <c r="Y25" s="41">
        <f t="shared" si="7"/>
        <v>38000</v>
      </c>
      <c r="Z25" s="41">
        <f t="shared" si="7"/>
        <v>38000</v>
      </c>
      <c r="AA25" s="45">
        <v>5</v>
      </c>
      <c r="AB25" s="30">
        <f t="shared" si="1"/>
        <v>4560000</v>
      </c>
      <c r="AC25" s="73"/>
      <c r="AD25" s="43"/>
      <c r="AF25" s="31"/>
    </row>
    <row r="26" spans="1:33" ht="13.8" thickBot="1" x14ac:dyDescent="0.3">
      <c r="A26" s="76"/>
      <c r="B26" s="32" t="s">
        <v>21</v>
      </c>
      <c r="C26" s="41">
        <v>38000</v>
      </c>
      <c r="D26" s="41">
        <f t="shared" si="8"/>
        <v>38000</v>
      </c>
      <c r="E26" s="41">
        <f t="shared" si="8"/>
        <v>38000</v>
      </c>
      <c r="F26" s="41">
        <f t="shared" si="8"/>
        <v>38000</v>
      </c>
      <c r="G26" s="41">
        <f t="shared" si="8"/>
        <v>38000</v>
      </c>
      <c r="H26" s="41">
        <f t="shared" si="8"/>
        <v>38000</v>
      </c>
      <c r="I26" s="41">
        <f t="shared" si="8"/>
        <v>38000</v>
      </c>
      <c r="J26" s="41">
        <f t="shared" si="8"/>
        <v>38000</v>
      </c>
      <c r="K26" s="41">
        <f t="shared" si="8"/>
        <v>38000</v>
      </c>
      <c r="L26" s="41">
        <f t="shared" si="8"/>
        <v>38000</v>
      </c>
      <c r="M26" s="41">
        <f t="shared" si="8"/>
        <v>38000</v>
      </c>
      <c r="N26" s="41">
        <f t="shared" si="8"/>
        <v>38000</v>
      </c>
      <c r="O26" s="41">
        <f t="shared" si="8"/>
        <v>38000</v>
      </c>
      <c r="P26" s="41">
        <f t="shared" si="8"/>
        <v>38000</v>
      </c>
      <c r="Q26" s="41">
        <f t="shared" si="8"/>
        <v>38000</v>
      </c>
      <c r="R26" s="41">
        <f t="shared" si="8"/>
        <v>38000</v>
      </c>
      <c r="S26" s="41">
        <f t="shared" si="8"/>
        <v>38000</v>
      </c>
      <c r="T26" s="41">
        <f t="shared" si="6"/>
        <v>38000</v>
      </c>
      <c r="U26" s="41">
        <f t="shared" si="6"/>
        <v>38000</v>
      </c>
      <c r="V26" s="41">
        <f t="shared" si="7"/>
        <v>38000</v>
      </c>
      <c r="W26" s="41">
        <f t="shared" si="7"/>
        <v>38000</v>
      </c>
      <c r="X26" s="41">
        <f t="shared" si="7"/>
        <v>38000</v>
      </c>
      <c r="Y26" s="41">
        <f t="shared" si="7"/>
        <v>38000</v>
      </c>
      <c r="Z26" s="41">
        <f t="shared" si="7"/>
        <v>38000</v>
      </c>
      <c r="AA26" s="45">
        <v>6</v>
      </c>
      <c r="AB26" s="30">
        <f t="shared" si="1"/>
        <v>5472000</v>
      </c>
      <c r="AC26" s="74"/>
      <c r="AD26" s="43"/>
      <c r="AF26" s="31"/>
    </row>
    <row r="27" spans="1:33" ht="14.4" thickTop="1" thickBot="1" x14ac:dyDescent="0.3">
      <c r="A27" s="75">
        <v>48427</v>
      </c>
      <c r="B27" s="35" t="s">
        <v>19</v>
      </c>
      <c r="C27" s="41">
        <v>43000</v>
      </c>
      <c r="D27" s="41">
        <f t="shared" si="8"/>
        <v>43000</v>
      </c>
      <c r="E27" s="41">
        <f t="shared" si="8"/>
        <v>43000</v>
      </c>
      <c r="F27" s="41">
        <f t="shared" si="8"/>
        <v>43000</v>
      </c>
      <c r="G27" s="41">
        <f t="shared" si="8"/>
        <v>43000</v>
      </c>
      <c r="H27" s="41">
        <f t="shared" si="8"/>
        <v>43000</v>
      </c>
      <c r="I27" s="41">
        <f t="shared" si="8"/>
        <v>43000</v>
      </c>
      <c r="J27" s="41">
        <f t="shared" si="8"/>
        <v>43000</v>
      </c>
      <c r="K27" s="41">
        <f t="shared" si="8"/>
        <v>43000</v>
      </c>
      <c r="L27" s="41">
        <f t="shared" si="8"/>
        <v>43000</v>
      </c>
      <c r="M27" s="41">
        <f t="shared" si="8"/>
        <v>43000</v>
      </c>
      <c r="N27" s="41">
        <f t="shared" si="8"/>
        <v>43000</v>
      </c>
      <c r="O27" s="41">
        <f t="shared" si="8"/>
        <v>43000</v>
      </c>
      <c r="P27" s="41">
        <f t="shared" si="8"/>
        <v>43000</v>
      </c>
      <c r="Q27" s="41">
        <f t="shared" si="8"/>
        <v>43000</v>
      </c>
      <c r="R27" s="41">
        <f t="shared" si="8"/>
        <v>43000</v>
      </c>
      <c r="S27" s="41">
        <f t="shared" si="8"/>
        <v>43000</v>
      </c>
      <c r="T27" s="41">
        <f t="shared" si="6"/>
        <v>43000</v>
      </c>
      <c r="U27" s="41">
        <f t="shared" si="6"/>
        <v>43000</v>
      </c>
      <c r="V27" s="41">
        <f t="shared" si="7"/>
        <v>43000</v>
      </c>
      <c r="W27" s="41">
        <f t="shared" si="7"/>
        <v>43000</v>
      </c>
      <c r="X27" s="41">
        <f t="shared" si="7"/>
        <v>43000</v>
      </c>
      <c r="Y27" s="41">
        <f t="shared" si="7"/>
        <v>43000</v>
      </c>
      <c r="Z27" s="41">
        <f t="shared" si="7"/>
        <v>43000</v>
      </c>
      <c r="AA27" s="45">
        <v>21</v>
      </c>
      <c r="AB27" s="30">
        <f t="shared" si="1"/>
        <v>21672000</v>
      </c>
      <c r="AC27" s="79">
        <f t="shared" ref="AC27" si="12">+AB27+AB28+AB29</f>
        <v>31992000</v>
      </c>
      <c r="AD27" s="43"/>
      <c r="AF27" s="31"/>
    </row>
    <row r="28" spans="1:33" ht="13.8" thickBot="1" x14ac:dyDescent="0.3">
      <c r="A28" s="76"/>
      <c r="B28" s="32" t="s">
        <v>20</v>
      </c>
      <c r="C28" s="41">
        <v>43000</v>
      </c>
      <c r="D28" s="41">
        <f t="shared" si="8"/>
        <v>43000</v>
      </c>
      <c r="E28" s="41">
        <f t="shared" si="8"/>
        <v>43000</v>
      </c>
      <c r="F28" s="41">
        <f t="shared" si="8"/>
        <v>43000</v>
      </c>
      <c r="G28" s="41">
        <f t="shared" si="8"/>
        <v>43000</v>
      </c>
      <c r="H28" s="41">
        <f t="shared" si="8"/>
        <v>43000</v>
      </c>
      <c r="I28" s="41">
        <f t="shared" si="8"/>
        <v>43000</v>
      </c>
      <c r="J28" s="41">
        <f t="shared" si="8"/>
        <v>43000</v>
      </c>
      <c r="K28" s="41">
        <f t="shared" si="8"/>
        <v>43000</v>
      </c>
      <c r="L28" s="41">
        <f t="shared" si="8"/>
        <v>43000</v>
      </c>
      <c r="M28" s="41">
        <f t="shared" si="8"/>
        <v>43000</v>
      </c>
      <c r="N28" s="41">
        <f t="shared" si="8"/>
        <v>43000</v>
      </c>
      <c r="O28" s="41">
        <f t="shared" si="8"/>
        <v>43000</v>
      </c>
      <c r="P28" s="41">
        <f t="shared" si="8"/>
        <v>43000</v>
      </c>
      <c r="Q28" s="41">
        <f t="shared" si="8"/>
        <v>43000</v>
      </c>
      <c r="R28" s="41">
        <f t="shared" si="8"/>
        <v>43000</v>
      </c>
      <c r="S28" s="41">
        <f t="shared" si="8"/>
        <v>43000</v>
      </c>
      <c r="T28" s="41">
        <f t="shared" si="6"/>
        <v>43000</v>
      </c>
      <c r="U28" s="41">
        <f t="shared" si="6"/>
        <v>43000</v>
      </c>
      <c r="V28" s="41">
        <f t="shared" si="7"/>
        <v>43000</v>
      </c>
      <c r="W28" s="41">
        <f t="shared" si="7"/>
        <v>43000</v>
      </c>
      <c r="X28" s="41">
        <f t="shared" si="7"/>
        <v>43000</v>
      </c>
      <c r="Y28" s="41">
        <f t="shared" si="7"/>
        <v>43000</v>
      </c>
      <c r="Z28" s="41">
        <f t="shared" si="7"/>
        <v>43000</v>
      </c>
      <c r="AA28" s="45">
        <v>3</v>
      </c>
      <c r="AB28" s="30">
        <f t="shared" si="1"/>
        <v>3096000</v>
      </c>
      <c r="AC28" s="73"/>
      <c r="AD28" s="43"/>
      <c r="AF28" s="31"/>
    </row>
    <row r="29" spans="1:33" ht="13.8" thickBot="1" x14ac:dyDescent="0.3">
      <c r="A29" s="76"/>
      <c r="B29" s="32" t="s">
        <v>21</v>
      </c>
      <c r="C29" s="41">
        <v>43000</v>
      </c>
      <c r="D29" s="41">
        <f t="shared" si="8"/>
        <v>43000</v>
      </c>
      <c r="E29" s="41">
        <f t="shared" si="8"/>
        <v>43000</v>
      </c>
      <c r="F29" s="41">
        <f t="shared" si="8"/>
        <v>43000</v>
      </c>
      <c r="G29" s="41">
        <f t="shared" si="8"/>
        <v>43000</v>
      </c>
      <c r="H29" s="41">
        <f t="shared" si="8"/>
        <v>43000</v>
      </c>
      <c r="I29" s="41">
        <f t="shared" si="8"/>
        <v>43000</v>
      </c>
      <c r="J29" s="41">
        <f t="shared" si="8"/>
        <v>43000</v>
      </c>
      <c r="K29" s="41">
        <f t="shared" si="8"/>
        <v>43000</v>
      </c>
      <c r="L29" s="41">
        <f t="shared" si="8"/>
        <v>43000</v>
      </c>
      <c r="M29" s="41">
        <f t="shared" si="8"/>
        <v>43000</v>
      </c>
      <c r="N29" s="41">
        <f t="shared" si="8"/>
        <v>43000</v>
      </c>
      <c r="O29" s="41">
        <f t="shared" si="8"/>
        <v>43000</v>
      </c>
      <c r="P29" s="41">
        <f t="shared" si="8"/>
        <v>43000</v>
      </c>
      <c r="Q29" s="41">
        <f t="shared" si="8"/>
        <v>43000</v>
      </c>
      <c r="R29" s="41">
        <f t="shared" si="8"/>
        <v>43000</v>
      </c>
      <c r="S29" s="41">
        <f t="shared" si="8"/>
        <v>43000</v>
      </c>
      <c r="T29" s="41">
        <f t="shared" si="6"/>
        <v>43000</v>
      </c>
      <c r="U29" s="41">
        <f t="shared" si="6"/>
        <v>43000</v>
      </c>
      <c r="V29" s="41">
        <f t="shared" si="7"/>
        <v>43000</v>
      </c>
      <c r="W29" s="41">
        <f t="shared" si="7"/>
        <v>43000</v>
      </c>
      <c r="X29" s="41">
        <f t="shared" si="7"/>
        <v>43000</v>
      </c>
      <c r="Y29" s="41">
        <f t="shared" si="7"/>
        <v>43000</v>
      </c>
      <c r="Z29" s="41">
        <f t="shared" si="7"/>
        <v>43000</v>
      </c>
      <c r="AA29" s="45">
        <v>7</v>
      </c>
      <c r="AB29" s="30">
        <f t="shared" si="1"/>
        <v>7224000</v>
      </c>
      <c r="AC29" s="74"/>
      <c r="AD29" s="43"/>
      <c r="AF29" s="31"/>
    </row>
    <row r="30" spans="1:33" ht="14.4" thickTop="1" thickBot="1" x14ac:dyDescent="0.3">
      <c r="A30" s="75">
        <v>48458</v>
      </c>
      <c r="B30" s="34" t="s">
        <v>19</v>
      </c>
      <c r="C30" s="41">
        <v>43000</v>
      </c>
      <c r="D30" s="41">
        <f t="shared" si="8"/>
        <v>43000</v>
      </c>
      <c r="E30" s="41">
        <f t="shared" si="8"/>
        <v>43000</v>
      </c>
      <c r="F30" s="41">
        <f t="shared" si="8"/>
        <v>43000</v>
      </c>
      <c r="G30" s="41">
        <f t="shared" si="8"/>
        <v>43000</v>
      </c>
      <c r="H30" s="41">
        <f t="shared" si="8"/>
        <v>43000</v>
      </c>
      <c r="I30" s="41">
        <f t="shared" si="8"/>
        <v>43000</v>
      </c>
      <c r="J30" s="41">
        <f t="shared" si="8"/>
        <v>43000</v>
      </c>
      <c r="K30" s="41">
        <f t="shared" si="8"/>
        <v>43000</v>
      </c>
      <c r="L30" s="41">
        <f t="shared" si="8"/>
        <v>43000</v>
      </c>
      <c r="M30" s="41">
        <f t="shared" si="8"/>
        <v>43000</v>
      </c>
      <c r="N30" s="41">
        <f t="shared" si="8"/>
        <v>43000</v>
      </c>
      <c r="O30" s="41">
        <f t="shared" si="8"/>
        <v>43000</v>
      </c>
      <c r="P30" s="41">
        <f t="shared" si="8"/>
        <v>43000</v>
      </c>
      <c r="Q30" s="41">
        <f t="shared" si="8"/>
        <v>43000</v>
      </c>
      <c r="R30" s="41">
        <f t="shared" si="8"/>
        <v>43000</v>
      </c>
      <c r="S30" s="41">
        <f t="shared" si="8"/>
        <v>43000</v>
      </c>
      <c r="T30" s="41">
        <f t="shared" si="6"/>
        <v>43000</v>
      </c>
      <c r="U30" s="41">
        <f t="shared" si="6"/>
        <v>43000</v>
      </c>
      <c r="V30" s="41">
        <f t="shared" si="7"/>
        <v>43000</v>
      </c>
      <c r="W30" s="41">
        <f t="shared" si="7"/>
        <v>43000</v>
      </c>
      <c r="X30" s="41">
        <f t="shared" si="7"/>
        <v>43000</v>
      </c>
      <c r="Y30" s="41">
        <f t="shared" si="7"/>
        <v>43000</v>
      </c>
      <c r="Z30" s="41">
        <f t="shared" si="7"/>
        <v>43000</v>
      </c>
      <c r="AA30" s="45">
        <v>22</v>
      </c>
      <c r="AB30" s="30">
        <f t="shared" si="1"/>
        <v>22704000</v>
      </c>
      <c r="AC30" s="79">
        <f t="shared" ref="AC30" si="13">+AB30+AB31+AB32</f>
        <v>30960000</v>
      </c>
      <c r="AD30" s="43"/>
      <c r="AF30" s="31"/>
    </row>
    <row r="31" spans="1:33" ht="13.8" thickBot="1" x14ac:dyDescent="0.3">
      <c r="A31" s="76"/>
      <c r="B31" s="32" t="s">
        <v>20</v>
      </c>
      <c r="C31" s="41">
        <v>43000</v>
      </c>
      <c r="D31" s="41">
        <f t="shared" si="8"/>
        <v>43000</v>
      </c>
      <c r="E31" s="41">
        <f t="shared" si="8"/>
        <v>43000</v>
      </c>
      <c r="F31" s="41">
        <f t="shared" si="8"/>
        <v>43000</v>
      </c>
      <c r="G31" s="41">
        <f t="shared" si="8"/>
        <v>43000</v>
      </c>
      <c r="H31" s="41">
        <f t="shared" si="8"/>
        <v>43000</v>
      </c>
      <c r="I31" s="41">
        <f t="shared" si="8"/>
        <v>43000</v>
      </c>
      <c r="J31" s="41">
        <f t="shared" si="8"/>
        <v>43000</v>
      </c>
      <c r="K31" s="41">
        <f t="shared" si="8"/>
        <v>43000</v>
      </c>
      <c r="L31" s="41">
        <f t="shared" si="8"/>
        <v>43000</v>
      </c>
      <c r="M31" s="41">
        <f t="shared" si="8"/>
        <v>43000</v>
      </c>
      <c r="N31" s="41">
        <f t="shared" si="8"/>
        <v>43000</v>
      </c>
      <c r="O31" s="41">
        <f t="shared" si="8"/>
        <v>43000</v>
      </c>
      <c r="P31" s="41">
        <f t="shared" si="8"/>
        <v>43000</v>
      </c>
      <c r="Q31" s="41">
        <f t="shared" si="8"/>
        <v>43000</v>
      </c>
      <c r="R31" s="41">
        <f t="shared" si="8"/>
        <v>43000</v>
      </c>
      <c r="S31" s="41">
        <f t="shared" si="8"/>
        <v>43000</v>
      </c>
      <c r="T31" s="41">
        <f t="shared" si="6"/>
        <v>43000</v>
      </c>
      <c r="U31" s="41">
        <f t="shared" si="6"/>
        <v>43000</v>
      </c>
      <c r="V31" s="41">
        <f t="shared" si="7"/>
        <v>43000</v>
      </c>
      <c r="W31" s="41">
        <f t="shared" si="7"/>
        <v>43000</v>
      </c>
      <c r="X31" s="41">
        <f t="shared" si="7"/>
        <v>43000</v>
      </c>
      <c r="Y31" s="41">
        <f t="shared" si="7"/>
        <v>43000</v>
      </c>
      <c r="Z31" s="41">
        <f t="shared" si="7"/>
        <v>43000</v>
      </c>
      <c r="AA31" s="45">
        <v>4</v>
      </c>
      <c r="AB31" s="30">
        <f t="shared" si="1"/>
        <v>4128000</v>
      </c>
      <c r="AC31" s="73"/>
      <c r="AD31" s="43"/>
      <c r="AF31" s="31"/>
    </row>
    <row r="32" spans="1:33" ht="13.8" thickBot="1" x14ac:dyDescent="0.3">
      <c r="A32" s="76"/>
      <c r="B32" s="32" t="s">
        <v>21</v>
      </c>
      <c r="C32" s="41">
        <v>43000</v>
      </c>
      <c r="D32" s="41">
        <f t="shared" si="8"/>
        <v>43000</v>
      </c>
      <c r="E32" s="41">
        <f t="shared" si="8"/>
        <v>43000</v>
      </c>
      <c r="F32" s="41">
        <f t="shared" si="8"/>
        <v>43000</v>
      </c>
      <c r="G32" s="41">
        <f t="shared" si="8"/>
        <v>43000</v>
      </c>
      <c r="H32" s="41">
        <f t="shared" si="8"/>
        <v>43000</v>
      </c>
      <c r="I32" s="41">
        <f t="shared" si="8"/>
        <v>43000</v>
      </c>
      <c r="J32" s="41">
        <f t="shared" si="8"/>
        <v>43000</v>
      </c>
      <c r="K32" s="41">
        <f t="shared" si="8"/>
        <v>43000</v>
      </c>
      <c r="L32" s="41">
        <f t="shared" si="8"/>
        <v>43000</v>
      </c>
      <c r="M32" s="41">
        <f t="shared" si="8"/>
        <v>43000</v>
      </c>
      <c r="N32" s="41">
        <f t="shared" si="8"/>
        <v>43000</v>
      </c>
      <c r="O32" s="41">
        <f t="shared" si="8"/>
        <v>43000</v>
      </c>
      <c r="P32" s="41">
        <f t="shared" si="8"/>
        <v>43000</v>
      </c>
      <c r="Q32" s="41">
        <f t="shared" si="8"/>
        <v>43000</v>
      </c>
      <c r="R32" s="41">
        <f t="shared" si="8"/>
        <v>43000</v>
      </c>
      <c r="S32" s="41">
        <f t="shared" si="8"/>
        <v>43000</v>
      </c>
      <c r="T32" s="41">
        <f t="shared" si="6"/>
        <v>43000</v>
      </c>
      <c r="U32" s="41">
        <f t="shared" si="6"/>
        <v>43000</v>
      </c>
      <c r="V32" s="41">
        <f t="shared" si="7"/>
        <v>43000</v>
      </c>
      <c r="W32" s="41">
        <f t="shared" si="7"/>
        <v>43000</v>
      </c>
      <c r="X32" s="41">
        <f t="shared" si="7"/>
        <v>43000</v>
      </c>
      <c r="Y32" s="41">
        <f t="shared" si="7"/>
        <v>43000</v>
      </c>
      <c r="Z32" s="41">
        <f t="shared" si="7"/>
        <v>43000</v>
      </c>
      <c r="AA32" s="45">
        <v>4</v>
      </c>
      <c r="AB32" s="30">
        <f t="shared" si="1"/>
        <v>4128000</v>
      </c>
      <c r="AC32" s="74"/>
      <c r="AD32" s="43"/>
      <c r="AF32" s="31"/>
    </row>
    <row r="33" spans="1:32" ht="14.4" thickTop="1" thickBot="1" x14ac:dyDescent="0.3">
      <c r="A33" s="75">
        <v>48488</v>
      </c>
      <c r="B33" s="35" t="s">
        <v>19</v>
      </c>
      <c r="C33" s="41">
        <v>43000</v>
      </c>
      <c r="D33" s="41">
        <f t="shared" si="8"/>
        <v>43000</v>
      </c>
      <c r="E33" s="41">
        <f t="shared" si="8"/>
        <v>43000</v>
      </c>
      <c r="F33" s="41">
        <f t="shared" si="8"/>
        <v>43000</v>
      </c>
      <c r="G33" s="41">
        <f t="shared" si="8"/>
        <v>43000</v>
      </c>
      <c r="H33" s="41">
        <f t="shared" si="8"/>
        <v>43000</v>
      </c>
      <c r="I33" s="41">
        <f t="shared" si="8"/>
        <v>43000</v>
      </c>
      <c r="J33" s="41">
        <f t="shared" si="8"/>
        <v>43000</v>
      </c>
      <c r="K33" s="41">
        <f t="shared" si="8"/>
        <v>43000</v>
      </c>
      <c r="L33" s="41">
        <f t="shared" si="8"/>
        <v>43000</v>
      </c>
      <c r="M33" s="41">
        <f t="shared" si="8"/>
        <v>43000</v>
      </c>
      <c r="N33" s="41">
        <f t="shared" si="8"/>
        <v>43000</v>
      </c>
      <c r="O33" s="41">
        <f t="shared" si="8"/>
        <v>43000</v>
      </c>
      <c r="P33" s="41">
        <f t="shared" si="8"/>
        <v>43000</v>
      </c>
      <c r="Q33" s="41">
        <f t="shared" si="8"/>
        <v>43000</v>
      </c>
      <c r="R33" s="41">
        <f t="shared" si="8"/>
        <v>43000</v>
      </c>
      <c r="S33" s="41">
        <f t="shared" si="8"/>
        <v>43000</v>
      </c>
      <c r="T33" s="41">
        <f t="shared" ref="T33:Z41" si="14">+S33</f>
        <v>43000</v>
      </c>
      <c r="U33" s="41">
        <f t="shared" si="14"/>
        <v>43000</v>
      </c>
      <c r="V33" s="41">
        <f t="shared" si="14"/>
        <v>43000</v>
      </c>
      <c r="W33" s="41">
        <f t="shared" si="14"/>
        <v>43000</v>
      </c>
      <c r="X33" s="41">
        <f t="shared" si="14"/>
        <v>43000</v>
      </c>
      <c r="Y33" s="41">
        <f t="shared" si="14"/>
        <v>43000</v>
      </c>
      <c r="Z33" s="41">
        <f t="shared" si="14"/>
        <v>43000</v>
      </c>
      <c r="AA33" s="45">
        <v>20</v>
      </c>
      <c r="AB33" s="30">
        <f t="shared" si="1"/>
        <v>20640000</v>
      </c>
      <c r="AC33" s="79">
        <f t="shared" ref="AC33" si="15">+AB33+AB34+AB35</f>
        <v>31992000</v>
      </c>
      <c r="AD33" s="43"/>
      <c r="AF33" s="31"/>
    </row>
    <row r="34" spans="1:32" ht="13.8" thickBot="1" x14ac:dyDescent="0.3">
      <c r="A34" s="76"/>
      <c r="B34" s="32" t="s">
        <v>20</v>
      </c>
      <c r="C34" s="41">
        <v>43000</v>
      </c>
      <c r="D34" s="41">
        <f t="shared" ref="D34:S41" si="16">+C34</f>
        <v>43000</v>
      </c>
      <c r="E34" s="41">
        <f t="shared" si="16"/>
        <v>43000</v>
      </c>
      <c r="F34" s="41">
        <f t="shared" si="16"/>
        <v>43000</v>
      </c>
      <c r="G34" s="41">
        <f t="shared" si="16"/>
        <v>43000</v>
      </c>
      <c r="H34" s="41">
        <f t="shared" si="16"/>
        <v>43000</v>
      </c>
      <c r="I34" s="41">
        <f t="shared" si="16"/>
        <v>43000</v>
      </c>
      <c r="J34" s="41">
        <f t="shared" si="16"/>
        <v>43000</v>
      </c>
      <c r="K34" s="41">
        <f t="shared" si="16"/>
        <v>43000</v>
      </c>
      <c r="L34" s="41">
        <f t="shared" si="16"/>
        <v>43000</v>
      </c>
      <c r="M34" s="41">
        <f t="shared" si="16"/>
        <v>43000</v>
      </c>
      <c r="N34" s="41">
        <f t="shared" si="16"/>
        <v>43000</v>
      </c>
      <c r="O34" s="41">
        <f t="shared" si="16"/>
        <v>43000</v>
      </c>
      <c r="P34" s="41">
        <f t="shared" si="16"/>
        <v>43000</v>
      </c>
      <c r="Q34" s="41">
        <f t="shared" si="16"/>
        <v>43000</v>
      </c>
      <c r="R34" s="41">
        <f t="shared" si="16"/>
        <v>43000</v>
      </c>
      <c r="S34" s="41">
        <f t="shared" si="16"/>
        <v>43000</v>
      </c>
      <c r="T34" s="41">
        <f t="shared" si="14"/>
        <v>43000</v>
      </c>
      <c r="U34" s="41">
        <f t="shared" si="14"/>
        <v>43000</v>
      </c>
      <c r="V34" s="41">
        <f t="shared" si="14"/>
        <v>43000</v>
      </c>
      <c r="W34" s="41">
        <f t="shared" si="14"/>
        <v>43000</v>
      </c>
      <c r="X34" s="41">
        <f t="shared" si="14"/>
        <v>43000</v>
      </c>
      <c r="Y34" s="41">
        <f t="shared" si="14"/>
        <v>43000</v>
      </c>
      <c r="Z34" s="41">
        <f t="shared" si="14"/>
        <v>43000</v>
      </c>
      <c r="AA34" s="45">
        <v>5</v>
      </c>
      <c r="AB34" s="30">
        <f t="shared" si="1"/>
        <v>5160000</v>
      </c>
      <c r="AC34" s="73"/>
      <c r="AD34" s="43"/>
      <c r="AF34" s="31"/>
    </row>
    <row r="35" spans="1:32" ht="13.8" thickBot="1" x14ac:dyDescent="0.3">
      <c r="A35" s="76"/>
      <c r="B35" s="32" t="s">
        <v>21</v>
      </c>
      <c r="C35" s="41">
        <v>43000</v>
      </c>
      <c r="D35" s="41">
        <f t="shared" si="16"/>
        <v>43000</v>
      </c>
      <c r="E35" s="41">
        <f t="shared" si="16"/>
        <v>43000</v>
      </c>
      <c r="F35" s="41">
        <f t="shared" si="16"/>
        <v>43000</v>
      </c>
      <c r="G35" s="41">
        <f t="shared" si="16"/>
        <v>43000</v>
      </c>
      <c r="H35" s="41">
        <f t="shared" si="16"/>
        <v>43000</v>
      </c>
      <c r="I35" s="41">
        <f t="shared" si="16"/>
        <v>43000</v>
      </c>
      <c r="J35" s="41">
        <f t="shared" si="16"/>
        <v>43000</v>
      </c>
      <c r="K35" s="41">
        <f t="shared" si="16"/>
        <v>43000</v>
      </c>
      <c r="L35" s="41">
        <f t="shared" si="16"/>
        <v>43000</v>
      </c>
      <c r="M35" s="41">
        <f t="shared" si="16"/>
        <v>43000</v>
      </c>
      <c r="N35" s="41">
        <f t="shared" si="16"/>
        <v>43000</v>
      </c>
      <c r="O35" s="41">
        <f t="shared" si="16"/>
        <v>43000</v>
      </c>
      <c r="P35" s="41">
        <f t="shared" si="16"/>
        <v>43000</v>
      </c>
      <c r="Q35" s="41">
        <f t="shared" si="16"/>
        <v>43000</v>
      </c>
      <c r="R35" s="41">
        <f t="shared" si="16"/>
        <v>43000</v>
      </c>
      <c r="S35" s="41">
        <f t="shared" si="16"/>
        <v>43000</v>
      </c>
      <c r="T35" s="41">
        <f t="shared" si="14"/>
        <v>43000</v>
      </c>
      <c r="U35" s="41">
        <f t="shared" si="14"/>
        <v>43000</v>
      </c>
      <c r="V35" s="41">
        <f t="shared" si="14"/>
        <v>43000</v>
      </c>
      <c r="W35" s="41">
        <f t="shared" si="14"/>
        <v>43000</v>
      </c>
      <c r="X35" s="41">
        <f t="shared" si="14"/>
        <v>43000</v>
      </c>
      <c r="Y35" s="41">
        <f t="shared" si="14"/>
        <v>43000</v>
      </c>
      <c r="Z35" s="41">
        <f t="shared" si="14"/>
        <v>43000</v>
      </c>
      <c r="AA35" s="45">
        <v>6</v>
      </c>
      <c r="AB35" s="30">
        <f t="shared" si="1"/>
        <v>6192000</v>
      </c>
      <c r="AC35" s="74"/>
      <c r="AD35" s="43"/>
      <c r="AF35" s="31"/>
    </row>
    <row r="36" spans="1:32" ht="14.4" thickTop="1" thickBot="1" x14ac:dyDescent="0.3">
      <c r="A36" s="75">
        <v>48519</v>
      </c>
      <c r="B36" s="34" t="s">
        <v>19</v>
      </c>
      <c r="C36" s="41">
        <v>43000</v>
      </c>
      <c r="D36" s="41">
        <f t="shared" si="16"/>
        <v>43000</v>
      </c>
      <c r="E36" s="41">
        <f t="shared" si="16"/>
        <v>43000</v>
      </c>
      <c r="F36" s="41">
        <f t="shared" si="16"/>
        <v>43000</v>
      </c>
      <c r="G36" s="41">
        <f t="shared" si="16"/>
        <v>43000</v>
      </c>
      <c r="H36" s="41">
        <f t="shared" si="16"/>
        <v>43000</v>
      </c>
      <c r="I36" s="41">
        <f t="shared" si="16"/>
        <v>43000</v>
      </c>
      <c r="J36" s="41">
        <f t="shared" si="16"/>
        <v>43000</v>
      </c>
      <c r="K36" s="41">
        <f t="shared" si="16"/>
        <v>43000</v>
      </c>
      <c r="L36" s="41">
        <f t="shared" si="16"/>
        <v>43000</v>
      </c>
      <c r="M36" s="41">
        <f t="shared" si="16"/>
        <v>43000</v>
      </c>
      <c r="N36" s="41">
        <f t="shared" si="16"/>
        <v>43000</v>
      </c>
      <c r="O36" s="41">
        <f t="shared" si="16"/>
        <v>43000</v>
      </c>
      <c r="P36" s="41">
        <f t="shared" si="16"/>
        <v>43000</v>
      </c>
      <c r="Q36" s="41">
        <f t="shared" si="16"/>
        <v>43000</v>
      </c>
      <c r="R36" s="41">
        <f t="shared" si="16"/>
        <v>43000</v>
      </c>
      <c r="S36" s="41">
        <f t="shared" si="16"/>
        <v>43000</v>
      </c>
      <c r="T36" s="41">
        <f t="shared" si="14"/>
        <v>43000</v>
      </c>
      <c r="U36" s="41">
        <f t="shared" si="14"/>
        <v>43000</v>
      </c>
      <c r="V36" s="41">
        <f t="shared" si="14"/>
        <v>43000</v>
      </c>
      <c r="W36" s="41">
        <f t="shared" si="14"/>
        <v>43000</v>
      </c>
      <c r="X36" s="41">
        <f t="shared" si="14"/>
        <v>43000</v>
      </c>
      <c r="Y36" s="41">
        <f t="shared" si="14"/>
        <v>43000</v>
      </c>
      <c r="Z36" s="41">
        <f t="shared" si="14"/>
        <v>43000</v>
      </c>
      <c r="AA36" s="45">
        <v>20</v>
      </c>
      <c r="AB36" s="30">
        <f t="shared" si="1"/>
        <v>20640000</v>
      </c>
      <c r="AC36" s="79">
        <f t="shared" ref="AC36" si="17">+AB36+AB37+AB38</f>
        <v>30960000</v>
      </c>
      <c r="AD36" s="43"/>
      <c r="AF36" s="31"/>
    </row>
    <row r="37" spans="1:32" ht="13.8" thickBot="1" x14ac:dyDescent="0.3">
      <c r="A37" s="76"/>
      <c r="B37" s="32" t="s">
        <v>20</v>
      </c>
      <c r="C37" s="41">
        <v>43000</v>
      </c>
      <c r="D37" s="41">
        <f t="shared" si="16"/>
        <v>43000</v>
      </c>
      <c r="E37" s="41">
        <f t="shared" si="16"/>
        <v>43000</v>
      </c>
      <c r="F37" s="41">
        <f t="shared" si="16"/>
        <v>43000</v>
      </c>
      <c r="G37" s="41">
        <f t="shared" si="16"/>
        <v>43000</v>
      </c>
      <c r="H37" s="41">
        <f t="shared" si="16"/>
        <v>43000</v>
      </c>
      <c r="I37" s="41">
        <f t="shared" si="16"/>
        <v>43000</v>
      </c>
      <c r="J37" s="41">
        <f t="shared" si="16"/>
        <v>43000</v>
      </c>
      <c r="K37" s="41">
        <f t="shared" si="16"/>
        <v>43000</v>
      </c>
      <c r="L37" s="41">
        <f t="shared" si="16"/>
        <v>43000</v>
      </c>
      <c r="M37" s="41">
        <f t="shared" si="16"/>
        <v>43000</v>
      </c>
      <c r="N37" s="41">
        <f t="shared" si="16"/>
        <v>43000</v>
      </c>
      <c r="O37" s="41">
        <f t="shared" si="16"/>
        <v>43000</v>
      </c>
      <c r="P37" s="41">
        <f t="shared" si="16"/>
        <v>43000</v>
      </c>
      <c r="Q37" s="41">
        <f t="shared" si="16"/>
        <v>43000</v>
      </c>
      <c r="R37" s="41">
        <f t="shared" si="16"/>
        <v>43000</v>
      </c>
      <c r="S37" s="41">
        <f t="shared" si="16"/>
        <v>43000</v>
      </c>
      <c r="T37" s="41">
        <f t="shared" si="14"/>
        <v>43000</v>
      </c>
      <c r="U37" s="41">
        <f t="shared" si="14"/>
        <v>43000</v>
      </c>
      <c r="V37" s="41">
        <f t="shared" si="14"/>
        <v>43000</v>
      </c>
      <c r="W37" s="41">
        <f t="shared" si="14"/>
        <v>43000</v>
      </c>
      <c r="X37" s="41">
        <f t="shared" si="14"/>
        <v>43000</v>
      </c>
      <c r="Y37" s="41">
        <f t="shared" si="14"/>
        <v>43000</v>
      </c>
      <c r="Z37" s="41">
        <f t="shared" si="14"/>
        <v>43000</v>
      </c>
      <c r="AA37" s="45">
        <v>4</v>
      </c>
      <c r="AB37" s="30">
        <f t="shared" si="1"/>
        <v>4128000</v>
      </c>
      <c r="AC37" s="73"/>
      <c r="AD37" s="43"/>
      <c r="AF37" s="31"/>
    </row>
    <row r="38" spans="1:32" ht="13.8" thickBot="1" x14ac:dyDescent="0.3">
      <c r="A38" s="76"/>
      <c r="B38" s="32" t="s">
        <v>21</v>
      </c>
      <c r="C38" s="41">
        <v>43000</v>
      </c>
      <c r="D38" s="41">
        <f t="shared" si="16"/>
        <v>43000</v>
      </c>
      <c r="E38" s="41">
        <f t="shared" si="16"/>
        <v>43000</v>
      </c>
      <c r="F38" s="41">
        <f t="shared" si="16"/>
        <v>43000</v>
      </c>
      <c r="G38" s="41">
        <f t="shared" si="16"/>
        <v>43000</v>
      </c>
      <c r="H38" s="41">
        <f t="shared" si="16"/>
        <v>43000</v>
      </c>
      <c r="I38" s="41">
        <f t="shared" si="16"/>
        <v>43000</v>
      </c>
      <c r="J38" s="41">
        <f t="shared" si="16"/>
        <v>43000</v>
      </c>
      <c r="K38" s="41">
        <f t="shared" si="16"/>
        <v>43000</v>
      </c>
      <c r="L38" s="41">
        <f t="shared" si="16"/>
        <v>43000</v>
      </c>
      <c r="M38" s="41">
        <f t="shared" si="16"/>
        <v>43000</v>
      </c>
      <c r="N38" s="41">
        <f t="shared" si="16"/>
        <v>43000</v>
      </c>
      <c r="O38" s="41">
        <f t="shared" si="16"/>
        <v>43000</v>
      </c>
      <c r="P38" s="41">
        <f t="shared" si="16"/>
        <v>43000</v>
      </c>
      <c r="Q38" s="41">
        <f t="shared" si="16"/>
        <v>43000</v>
      </c>
      <c r="R38" s="41">
        <f t="shared" si="16"/>
        <v>43000</v>
      </c>
      <c r="S38" s="41">
        <f t="shared" si="16"/>
        <v>43000</v>
      </c>
      <c r="T38" s="41">
        <f t="shared" si="14"/>
        <v>43000</v>
      </c>
      <c r="U38" s="41">
        <f t="shared" si="14"/>
        <v>43000</v>
      </c>
      <c r="V38" s="41">
        <f t="shared" si="14"/>
        <v>43000</v>
      </c>
      <c r="W38" s="41">
        <f t="shared" si="14"/>
        <v>43000</v>
      </c>
      <c r="X38" s="41">
        <f t="shared" si="14"/>
        <v>43000</v>
      </c>
      <c r="Y38" s="41">
        <f t="shared" si="14"/>
        <v>43000</v>
      </c>
      <c r="Z38" s="41">
        <f t="shared" si="14"/>
        <v>43000</v>
      </c>
      <c r="AA38" s="45">
        <v>6</v>
      </c>
      <c r="AB38" s="30">
        <f t="shared" si="1"/>
        <v>6192000</v>
      </c>
      <c r="AC38" s="74"/>
      <c r="AD38" s="43"/>
      <c r="AF38" s="31"/>
    </row>
    <row r="39" spans="1:32" ht="14.4" thickTop="1" thickBot="1" x14ac:dyDescent="0.3">
      <c r="A39" s="75">
        <v>48549</v>
      </c>
      <c r="B39" s="35" t="s">
        <v>19</v>
      </c>
      <c r="C39" s="41">
        <v>53000</v>
      </c>
      <c r="D39" s="41">
        <f t="shared" si="16"/>
        <v>53000</v>
      </c>
      <c r="E39" s="41">
        <f t="shared" si="16"/>
        <v>53000</v>
      </c>
      <c r="F39" s="41">
        <f t="shared" si="16"/>
        <v>53000</v>
      </c>
      <c r="G39" s="41">
        <f t="shared" si="16"/>
        <v>53000</v>
      </c>
      <c r="H39" s="41">
        <f t="shared" si="16"/>
        <v>53000</v>
      </c>
      <c r="I39" s="41">
        <f t="shared" si="16"/>
        <v>53000</v>
      </c>
      <c r="J39" s="41">
        <f t="shared" si="16"/>
        <v>53000</v>
      </c>
      <c r="K39" s="41">
        <f t="shared" si="16"/>
        <v>53000</v>
      </c>
      <c r="L39" s="41">
        <f t="shared" si="16"/>
        <v>53000</v>
      </c>
      <c r="M39" s="41">
        <f t="shared" si="16"/>
        <v>53000</v>
      </c>
      <c r="N39" s="41">
        <f t="shared" si="16"/>
        <v>53000</v>
      </c>
      <c r="O39" s="41">
        <f t="shared" si="16"/>
        <v>53000</v>
      </c>
      <c r="P39" s="41">
        <f t="shared" si="16"/>
        <v>53000</v>
      </c>
      <c r="Q39" s="41">
        <f t="shared" si="16"/>
        <v>53000</v>
      </c>
      <c r="R39" s="41">
        <f t="shared" si="16"/>
        <v>53000</v>
      </c>
      <c r="S39" s="41">
        <f t="shared" si="16"/>
        <v>53000</v>
      </c>
      <c r="T39" s="41">
        <f t="shared" si="14"/>
        <v>53000</v>
      </c>
      <c r="U39" s="41">
        <f t="shared" si="14"/>
        <v>53000</v>
      </c>
      <c r="V39" s="41">
        <f t="shared" si="14"/>
        <v>53000</v>
      </c>
      <c r="W39" s="41">
        <f t="shared" si="14"/>
        <v>53000</v>
      </c>
      <c r="X39" s="41">
        <f t="shared" si="14"/>
        <v>53000</v>
      </c>
      <c r="Y39" s="41">
        <f t="shared" si="14"/>
        <v>53000</v>
      </c>
      <c r="Z39" s="41">
        <f t="shared" si="14"/>
        <v>53000</v>
      </c>
      <c r="AA39" s="45">
        <v>22</v>
      </c>
      <c r="AB39" s="30">
        <f t="shared" si="1"/>
        <v>27984000</v>
      </c>
      <c r="AC39" s="79">
        <f t="shared" ref="AC39" si="18">+AB39+AB40+AB41</f>
        <v>39432000</v>
      </c>
      <c r="AD39" s="43"/>
      <c r="AF39" s="31"/>
    </row>
    <row r="40" spans="1:32" ht="13.8" thickBot="1" x14ac:dyDescent="0.3">
      <c r="A40" s="76"/>
      <c r="B40" s="32" t="s">
        <v>20</v>
      </c>
      <c r="C40" s="41">
        <v>53000</v>
      </c>
      <c r="D40" s="41">
        <f t="shared" si="16"/>
        <v>53000</v>
      </c>
      <c r="E40" s="41">
        <f t="shared" si="16"/>
        <v>53000</v>
      </c>
      <c r="F40" s="41">
        <f t="shared" si="16"/>
        <v>53000</v>
      </c>
      <c r="G40" s="41">
        <f t="shared" si="16"/>
        <v>53000</v>
      </c>
      <c r="H40" s="41">
        <f t="shared" si="16"/>
        <v>53000</v>
      </c>
      <c r="I40" s="41">
        <f t="shared" si="16"/>
        <v>53000</v>
      </c>
      <c r="J40" s="41">
        <f t="shared" si="16"/>
        <v>53000</v>
      </c>
      <c r="K40" s="41">
        <f t="shared" si="16"/>
        <v>53000</v>
      </c>
      <c r="L40" s="41">
        <f t="shared" si="16"/>
        <v>53000</v>
      </c>
      <c r="M40" s="41">
        <f t="shared" si="16"/>
        <v>53000</v>
      </c>
      <c r="N40" s="41">
        <f t="shared" si="16"/>
        <v>53000</v>
      </c>
      <c r="O40" s="41">
        <f t="shared" si="16"/>
        <v>53000</v>
      </c>
      <c r="P40" s="41">
        <f t="shared" si="16"/>
        <v>53000</v>
      </c>
      <c r="Q40" s="41">
        <f t="shared" si="16"/>
        <v>53000</v>
      </c>
      <c r="R40" s="41">
        <f t="shared" si="16"/>
        <v>53000</v>
      </c>
      <c r="S40" s="41">
        <f t="shared" si="16"/>
        <v>53000</v>
      </c>
      <c r="T40" s="41">
        <f t="shared" si="14"/>
        <v>53000</v>
      </c>
      <c r="U40" s="41">
        <f t="shared" si="14"/>
        <v>53000</v>
      </c>
      <c r="V40" s="41">
        <f t="shared" si="14"/>
        <v>53000</v>
      </c>
      <c r="W40" s="41">
        <f t="shared" si="14"/>
        <v>53000</v>
      </c>
      <c r="X40" s="41">
        <f t="shared" si="14"/>
        <v>53000</v>
      </c>
      <c r="Y40" s="41">
        <f t="shared" si="14"/>
        <v>53000</v>
      </c>
      <c r="Z40" s="41">
        <f t="shared" si="14"/>
        <v>53000</v>
      </c>
      <c r="AA40" s="45">
        <v>3</v>
      </c>
      <c r="AB40" s="30">
        <f t="shared" si="1"/>
        <v>3816000</v>
      </c>
      <c r="AC40" s="73"/>
      <c r="AD40" s="43"/>
      <c r="AF40" s="31"/>
    </row>
    <row r="41" spans="1:32" ht="13.8" thickBot="1" x14ac:dyDescent="0.3">
      <c r="A41" s="77"/>
      <c r="B41" s="36" t="s">
        <v>21</v>
      </c>
      <c r="C41" s="41">
        <v>53000</v>
      </c>
      <c r="D41" s="41">
        <f t="shared" si="16"/>
        <v>53000</v>
      </c>
      <c r="E41" s="41">
        <f t="shared" si="16"/>
        <v>53000</v>
      </c>
      <c r="F41" s="41">
        <f t="shared" si="16"/>
        <v>53000</v>
      </c>
      <c r="G41" s="41">
        <f t="shared" si="16"/>
        <v>53000</v>
      </c>
      <c r="H41" s="41">
        <f t="shared" si="16"/>
        <v>53000</v>
      </c>
      <c r="I41" s="41">
        <f t="shared" si="16"/>
        <v>53000</v>
      </c>
      <c r="J41" s="41">
        <f t="shared" si="16"/>
        <v>53000</v>
      </c>
      <c r="K41" s="41">
        <f t="shared" si="16"/>
        <v>53000</v>
      </c>
      <c r="L41" s="41">
        <f t="shared" si="16"/>
        <v>53000</v>
      </c>
      <c r="M41" s="41">
        <f t="shared" si="16"/>
        <v>53000</v>
      </c>
      <c r="N41" s="41">
        <f t="shared" si="16"/>
        <v>53000</v>
      </c>
      <c r="O41" s="41">
        <f t="shared" si="16"/>
        <v>53000</v>
      </c>
      <c r="P41" s="41">
        <f t="shared" si="16"/>
        <v>53000</v>
      </c>
      <c r="Q41" s="41">
        <f t="shared" si="16"/>
        <v>53000</v>
      </c>
      <c r="R41" s="41">
        <f t="shared" si="16"/>
        <v>53000</v>
      </c>
      <c r="S41" s="41">
        <f t="shared" si="16"/>
        <v>53000</v>
      </c>
      <c r="T41" s="41">
        <f t="shared" si="14"/>
        <v>53000</v>
      </c>
      <c r="U41" s="41">
        <f t="shared" si="14"/>
        <v>53000</v>
      </c>
      <c r="V41" s="41">
        <f t="shared" si="14"/>
        <v>53000</v>
      </c>
      <c r="W41" s="41">
        <f t="shared" si="14"/>
        <v>53000</v>
      </c>
      <c r="X41" s="41">
        <f t="shared" si="14"/>
        <v>53000</v>
      </c>
      <c r="Y41" s="41">
        <f t="shared" si="14"/>
        <v>53000</v>
      </c>
      <c r="Z41" s="41">
        <f t="shared" si="14"/>
        <v>53000</v>
      </c>
      <c r="AA41" s="47">
        <v>6</v>
      </c>
      <c r="AB41" s="30">
        <f t="shared" si="1"/>
        <v>7632000</v>
      </c>
      <c r="AC41" s="74"/>
      <c r="AD41" s="43"/>
      <c r="AF41" s="31"/>
    </row>
  </sheetData>
  <mergeCells count="30">
    <mergeCell ref="A1:AD1"/>
    <mergeCell ref="A2:AD2"/>
    <mergeCell ref="A3:AD3"/>
    <mergeCell ref="AA4:AA5"/>
    <mergeCell ref="AB4:AB5"/>
    <mergeCell ref="AC4:AC5"/>
    <mergeCell ref="A6:A8"/>
    <mergeCell ref="AC6:AC8"/>
    <mergeCell ref="A9:A11"/>
    <mergeCell ref="AC9:AC11"/>
    <mergeCell ref="A12:A14"/>
    <mergeCell ref="AC12:AC14"/>
    <mergeCell ref="A15:A17"/>
    <mergeCell ref="AC15:AC17"/>
    <mergeCell ref="A18:A20"/>
    <mergeCell ref="AC18:AC20"/>
    <mergeCell ref="A21:A23"/>
    <mergeCell ref="AC21:AC23"/>
    <mergeCell ref="A24:A26"/>
    <mergeCell ref="AC24:AC26"/>
    <mergeCell ref="A27:A29"/>
    <mergeCell ref="AC27:AC29"/>
    <mergeCell ref="A30:A32"/>
    <mergeCell ref="AC30:AC32"/>
    <mergeCell ref="A33:A35"/>
    <mergeCell ref="AC33:AC35"/>
    <mergeCell ref="A36:A38"/>
    <mergeCell ref="AC36:AC38"/>
    <mergeCell ref="A39:A41"/>
    <mergeCell ref="AC39:AC41"/>
  </mergeCells>
  <printOptions horizontalCentered="1" verticalCentered="1"/>
  <pageMargins left="0.78740157480314965" right="0.78740157480314965" top="1.1811023622047245" bottom="0.98425196850393704" header="0" footer="0"/>
  <pageSetup scale="62" orientation="landscape" r:id="rId1"/>
  <headerFooter alignWithMargins="0"/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4D83F-A360-42D5-A01C-B7A2A289D4AE}">
  <sheetPr>
    <pageSetUpPr fitToPage="1"/>
  </sheetPr>
  <dimension ref="A1:G460"/>
  <sheetViews>
    <sheetView topLeftCell="A34" workbookViewId="0">
      <selection sqref="A1:D61"/>
    </sheetView>
  </sheetViews>
  <sheetFormatPr baseColWidth="10" defaultColWidth="11.44140625" defaultRowHeight="13.2" x14ac:dyDescent="0.25"/>
  <cols>
    <col min="1" max="1" width="19.44140625" style="7" customWidth="1"/>
    <col min="2" max="2" width="26.6640625" style="7" customWidth="1"/>
    <col min="3" max="3" width="10.5546875" style="7" customWidth="1"/>
    <col min="4" max="4" width="16.109375" style="7" customWidth="1"/>
    <col min="5" max="5" width="16.6640625" style="7" bestFit="1" customWidth="1"/>
    <col min="6" max="6" width="16.33203125" style="7" bestFit="1" customWidth="1"/>
    <col min="7" max="16384" width="11.44140625" style="7"/>
  </cols>
  <sheetData>
    <row r="1" spans="1:7" s="1" customFormat="1" ht="16.5" customHeight="1" x14ac:dyDescent="0.25">
      <c r="A1" s="99" t="s">
        <v>31</v>
      </c>
      <c r="B1" s="100"/>
      <c r="C1" s="100"/>
      <c r="D1" s="101"/>
    </row>
    <row r="2" spans="1:7" s="1" customFormat="1" ht="16.5" customHeight="1" x14ac:dyDescent="0.25">
      <c r="A2" s="102" t="s">
        <v>25</v>
      </c>
      <c r="B2" s="103"/>
      <c r="C2" s="103"/>
      <c r="D2" s="104"/>
    </row>
    <row r="3" spans="1:7" s="1" customFormat="1" ht="26.7" customHeight="1" x14ac:dyDescent="0.25">
      <c r="A3" s="105" t="s">
        <v>30</v>
      </c>
      <c r="B3" s="106"/>
      <c r="C3" s="106"/>
      <c r="D3" s="107"/>
    </row>
    <row r="4" spans="1:7" s="1" customFormat="1" ht="16.5" customHeight="1" thickBot="1" x14ac:dyDescent="0.3">
      <c r="A4" s="108"/>
      <c r="B4" s="109"/>
      <c r="C4" s="109"/>
      <c r="D4" s="110"/>
    </row>
    <row r="5" spans="1:7" s="2" customFormat="1" ht="15" customHeight="1" x14ac:dyDescent="0.25">
      <c r="A5" s="136" t="s">
        <v>1</v>
      </c>
      <c r="B5" s="138" t="s">
        <v>2</v>
      </c>
      <c r="C5" s="116" t="s">
        <v>0</v>
      </c>
      <c r="D5" s="117"/>
    </row>
    <row r="6" spans="1:7" s="2" customFormat="1" ht="25.95" customHeight="1" x14ac:dyDescent="0.25">
      <c r="A6" s="137"/>
      <c r="B6" s="139"/>
      <c r="C6" s="118" t="s">
        <v>3</v>
      </c>
      <c r="D6" s="119"/>
    </row>
    <row r="7" spans="1:7" s="2" customFormat="1" x14ac:dyDescent="0.25">
      <c r="A7" s="112"/>
      <c r="B7" s="3" t="s">
        <v>4</v>
      </c>
      <c r="C7" s="3" t="s">
        <v>5</v>
      </c>
      <c r="D7" s="4" t="s">
        <v>6</v>
      </c>
    </row>
    <row r="8" spans="1:7" ht="16.5" customHeight="1" x14ac:dyDescent="0.25">
      <c r="A8" s="5">
        <v>48580</v>
      </c>
      <c r="B8" s="6">
        <f>+VLOOKUP(A8,'Cant producto_5_2033-36'!$A:$AD,29,FALSE)</f>
        <v>46128000</v>
      </c>
      <c r="C8" s="10"/>
      <c r="D8" s="48"/>
      <c r="F8" s="8"/>
      <c r="G8" s="9"/>
    </row>
    <row r="9" spans="1:7" ht="16.5" customHeight="1" x14ac:dyDescent="0.25">
      <c r="A9" s="5">
        <v>48611</v>
      </c>
      <c r="B9" s="6">
        <f>+VLOOKUP(A9,'Cant producto_5_2033-36'!$A:$AD,29,FALSE)</f>
        <v>41664000</v>
      </c>
      <c r="C9" s="10"/>
      <c r="D9" s="48"/>
      <c r="F9" s="8"/>
      <c r="G9" s="9"/>
    </row>
    <row r="10" spans="1:7" ht="16.5" customHeight="1" x14ac:dyDescent="0.25">
      <c r="A10" s="5">
        <v>48639</v>
      </c>
      <c r="B10" s="6">
        <f>+VLOOKUP(A10,'Cant producto_5_2033-36'!$A:$AD,29,FALSE)</f>
        <v>46128000</v>
      </c>
      <c r="C10" s="10"/>
      <c r="D10" s="48"/>
      <c r="F10" s="8"/>
      <c r="G10" s="9"/>
    </row>
    <row r="11" spans="1:7" ht="16.5" customHeight="1" x14ac:dyDescent="0.25">
      <c r="A11" s="5">
        <v>48670</v>
      </c>
      <c r="B11" s="6">
        <f>+VLOOKUP(A11,'Cant producto_5_2033-36'!$A:$AD,29,FALSE)</f>
        <v>44640000</v>
      </c>
      <c r="C11" s="10"/>
      <c r="D11" s="48"/>
      <c r="F11" s="8"/>
      <c r="G11" s="9"/>
    </row>
    <row r="12" spans="1:7" ht="16.5" customHeight="1" x14ac:dyDescent="0.25">
      <c r="A12" s="5">
        <v>48700</v>
      </c>
      <c r="B12" s="6">
        <f>+VLOOKUP(A12,'Cant producto_5_2033-36'!$A:$AD,29,FALSE)</f>
        <v>46128000</v>
      </c>
      <c r="C12" s="10"/>
      <c r="D12" s="48"/>
      <c r="F12" s="8"/>
      <c r="G12" s="9"/>
    </row>
    <row r="13" spans="1:7" ht="16.5" customHeight="1" x14ac:dyDescent="0.25">
      <c r="A13" s="5">
        <v>48731</v>
      </c>
      <c r="B13" s="6">
        <f>+VLOOKUP(A13,'Cant producto_5_2033-36'!$A:$AD,29,FALSE)</f>
        <v>44640000</v>
      </c>
      <c r="C13" s="10"/>
      <c r="D13" s="48"/>
      <c r="F13" s="8"/>
      <c r="G13" s="9"/>
    </row>
    <row r="14" spans="1:7" ht="16.5" customHeight="1" x14ac:dyDescent="0.25">
      <c r="A14" s="5">
        <v>48761</v>
      </c>
      <c r="B14" s="6">
        <f>+VLOOKUP(A14,'Cant producto_5_2033-36'!$A:$AD,29,FALSE)</f>
        <v>46128000</v>
      </c>
      <c r="C14" s="10"/>
      <c r="D14" s="48"/>
      <c r="F14" s="8"/>
      <c r="G14" s="9"/>
    </row>
    <row r="15" spans="1:7" ht="16.5" customHeight="1" x14ac:dyDescent="0.25">
      <c r="A15" s="5">
        <v>48792</v>
      </c>
      <c r="B15" s="6">
        <f>+VLOOKUP(A15,'Cant producto_5_2033-36'!$A:$AD,29,FALSE)</f>
        <v>46128000</v>
      </c>
      <c r="C15" s="10"/>
      <c r="D15" s="48"/>
      <c r="F15" s="8"/>
      <c r="G15" s="9"/>
    </row>
    <row r="16" spans="1:7" ht="16.5" customHeight="1" x14ac:dyDescent="0.25">
      <c r="A16" s="5">
        <v>48823</v>
      </c>
      <c r="B16" s="6">
        <f>+VLOOKUP(A16,'Cant producto_5_2033-36'!$A:$AD,29,FALSE)</f>
        <v>44640000</v>
      </c>
      <c r="C16" s="10"/>
      <c r="D16" s="48"/>
      <c r="F16" s="8"/>
      <c r="G16" s="9"/>
    </row>
    <row r="17" spans="1:7" ht="16.5" customHeight="1" x14ac:dyDescent="0.25">
      <c r="A17" s="5">
        <v>48853</v>
      </c>
      <c r="B17" s="6">
        <f>+VLOOKUP(A17,'Cant producto_5_2033-36'!$A:$AD,29,FALSE)</f>
        <v>46128000</v>
      </c>
      <c r="C17" s="10"/>
      <c r="D17" s="48"/>
      <c r="F17" s="8"/>
      <c r="G17" s="9"/>
    </row>
    <row r="18" spans="1:7" ht="16.5" customHeight="1" x14ac:dyDescent="0.25">
      <c r="A18" s="5">
        <v>48884</v>
      </c>
      <c r="B18" s="6">
        <f>+VLOOKUP(A18,'Cant producto_5_2033-36'!$A:$AD,29,FALSE)</f>
        <v>44640000</v>
      </c>
      <c r="C18" s="10"/>
      <c r="D18" s="48"/>
      <c r="F18" s="8"/>
      <c r="G18" s="9"/>
    </row>
    <row r="19" spans="1:7" ht="16.5" customHeight="1" x14ac:dyDescent="0.25">
      <c r="A19" s="5">
        <v>48914</v>
      </c>
      <c r="B19" s="6">
        <f>+VLOOKUP(A19,'Cant producto_5_2033-36'!$A:$AD,29,FALSE)</f>
        <v>46128000</v>
      </c>
      <c r="C19" s="10"/>
      <c r="D19" s="48"/>
      <c r="E19" s="14"/>
      <c r="F19" s="8"/>
      <c r="G19" s="9"/>
    </row>
    <row r="20" spans="1:7" ht="16.5" customHeight="1" x14ac:dyDescent="0.25">
      <c r="A20" s="5">
        <v>48945</v>
      </c>
      <c r="B20" s="6">
        <f>+VLOOKUP(A20,'Cant producto_5_2033-36'!$A:$AD,29,FALSE)</f>
        <v>50592000</v>
      </c>
      <c r="C20" s="10"/>
      <c r="D20" s="48"/>
      <c r="F20" s="8"/>
      <c r="G20" s="9"/>
    </row>
    <row r="21" spans="1:7" ht="16.5" customHeight="1" x14ac:dyDescent="0.25">
      <c r="A21" s="5">
        <v>48976</v>
      </c>
      <c r="B21" s="6">
        <f>+VLOOKUP(A21,'Cant producto_5_2033-36'!$A:$AD,29,FALSE)</f>
        <v>45696000</v>
      </c>
      <c r="C21" s="10"/>
      <c r="D21" s="48"/>
      <c r="F21" s="8"/>
      <c r="G21" s="9"/>
    </row>
    <row r="22" spans="1:7" ht="16.5" customHeight="1" x14ac:dyDescent="0.25">
      <c r="A22" s="5">
        <v>49004</v>
      </c>
      <c r="B22" s="6">
        <f>+VLOOKUP(A22,'Cant producto_5_2033-36'!$A:$AD,29,FALSE)</f>
        <v>50592000</v>
      </c>
      <c r="C22" s="10"/>
      <c r="D22" s="48"/>
      <c r="F22" s="8"/>
      <c r="G22" s="9"/>
    </row>
    <row r="23" spans="1:7" ht="16.5" customHeight="1" x14ac:dyDescent="0.25">
      <c r="A23" s="5">
        <v>49035</v>
      </c>
      <c r="B23" s="6">
        <f>+VLOOKUP(A23,'Cant producto_5_2033-36'!$A:$AD,29,FALSE)</f>
        <v>48960000</v>
      </c>
      <c r="C23" s="10"/>
      <c r="D23" s="48"/>
      <c r="F23" s="8"/>
      <c r="G23" s="9"/>
    </row>
    <row r="24" spans="1:7" ht="16.5" customHeight="1" x14ac:dyDescent="0.25">
      <c r="A24" s="5">
        <v>49065</v>
      </c>
      <c r="B24" s="6">
        <f>+VLOOKUP(A24,'Cant producto_5_2033-36'!$A:$AD,29,FALSE)</f>
        <v>50592000</v>
      </c>
      <c r="C24" s="10"/>
      <c r="D24" s="48"/>
      <c r="F24" s="8"/>
      <c r="G24" s="9"/>
    </row>
    <row r="25" spans="1:7" ht="16.5" customHeight="1" x14ac:dyDescent="0.25">
      <c r="A25" s="5">
        <v>49096</v>
      </c>
      <c r="B25" s="6">
        <f>+VLOOKUP(A25,'Cant producto_5_2033-36'!$A:$AD,29,FALSE)</f>
        <v>48960000</v>
      </c>
      <c r="C25" s="10"/>
      <c r="D25" s="48"/>
      <c r="F25" s="8"/>
      <c r="G25" s="9"/>
    </row>
    <row r="26" spans="1:7" ht="16.5" customHeight="1" x14ac:dyDescent="0.25">
      <c r="A26" s="5">
        <v>49126</v>
      </c>
      <c r="B26" s="6">
        <f>+VLOOKUP(A26,'Cant producto_5_2033-36'!$A:$AD,29,FALSE)</f>
        <v>50592000</v>
      </c>
      <c r="C26" s="10"/>
      <c r="D26" s="48"/>
      <c r="F26" s="8"/>
      <c r="G26" s="9"/>
    </row>
    <row r="27" spans="1:7" ht="16.5" customHeight="1" x14ac:dyDescent="0.25">
      <c r="A27" s="5">
        <v>49157</v>
      </c>
      <c r="B27" s="6">
        <f>+VLOOKUP(A27,'Cant producto_5_2033-36'!$A:$AD,29,FALSE)</f>
        <v>50592000</v>
      </c>
      <c r="C27" s="10"/>
      <c r="D27" s="48"/>
      <c r="F27" s="8"/>
      <c r="G27" s="9"/>
    </row>
    <row r="28" spans="1:7" ht="16.5" customHeight="1" x14ac:dyDescent="0.25">
      <c r="A28" s="5">
        <v>49188</v>
      </c>
      <c r="B28" s="6">
        <f>+VLOOKUP(A28,'Cant producto_5_2033-36'!$A:$AD,29,FALSE)</f>
        <v>48960000</v>
      </c>
      <c r="C28" s="10"/>
      <c r="D28" s="48"/>
      <c r="F28" s="8"/>
      <c r="G28" s="9"/>
    </row>
    <row r="29" spans="1:7" ht="16.5" customHeight="1" x14ac:dyDescent="0.25">
      <c r="A29" s="5">
        <v>49218</v>
      </c>
      <c r="B29" s="6">
        <f>+VLOOKUP(A29,'Cant producto_5_2033-36'!$A:$AD,29,FALSE)</f>
        <v>50592000</v>
      </c>
      <c r="C29" s="10"/>
      <c r="D29" s="48"/>
      <c r="F29" s="8"/>
      <c r="G29" s="9"/>
    </row>
    <row r="30" spans="1:7" ht="16.5" customHeight="1" x14ac:dyDescent="0.25">
      <c r="A30" s="5">
        <v>49249</v>
      </c>
      <c r="B30" s="6">
        <f>+VLOOKUP(A30,'Cant producto_5_2033-36'!$A:$AD,29,FALSE)</f>
        <v>48960000</v>
      </c>
      <c r="C30" s="10"/>
      <c r="D30" s="48"/>
      <c r="F30" s="8"/>
      <c r="G30" s="9"/>
    </row>
    <row r="31" spans="1:7" ht="16.5" customHeight="1" x14ac:dyDescent="0.25">
      <c r="A31" s="5">
        <v>49279</v>
      </c>
      <c r="B31" s="6">
        <f>+VLOOKUP(A31,'Cant producto_5_2033-36'!$A:$AD,29,FALSE)</f>
        <v>50592000</v>
      </c>
      <c r="C31" s="10"/>
      <c r="D31" s="48"/>
      <c r="E31" s="14"/>
      <c r="F31" s="8"/>
      <c r="G31" s="9"/>
    </row>
    <row r="32" spans="1:7" ht="16.5" customHeight="1" x14ac:dyDescent="0.25">
      <c r="A32" s="5">
        <v>49310</v>
      </c>
      <c r="B32" s="6">
        <f>+VLOOKUP(A32,'Cant producto_5_2033-36'!$A:$AD,29,FALSE)</f>
        <v>72912000</v>
      </c>
      <c r="C32" s="10"/>
      <c r="D32" s="48"/>
      <c r="F32" s="8"/>
      <c r="G32" s="9"/>
    </row>
    <row r="33" spans="1:7" ht="16.5" customHeight="1" x14ac:dyDescent="0.25">
      <c r="A33" s="5">
        <v>49341</v>
      </c>
      <c r="B33" s="6">
        <f>+VLOOKUP(A33,'Cant producto_5_2033-36'!$A:$AD,29,FALSE)</f>
        <v>65856000</v>
      </c>
      <c r="C33" s="10"/>
      <c r="D33" s="48"/>
      <c r="F33" s="8"/>
      <c r="G33" s="9"/>
    </row>
    <row r="34" spans="1:7" ht="16.5" customHeight="1" x14ac:dyDescent="0.25">
      <c r="A34" s="5">
        <v>49369</v>
      </c>
      <c r="B34" s="6">
        <f>+VLOOKUP(A34,'Cant producto_5_2033-36'!$A:$AD,29,FALSE)</f>
        <v>72912000</v>
      </c>
      <c r="C34" s="10"/>
      <c r="D34" s="48"/>
      <c r="F34" s="8"/>
      <c r="G34" s="9"/>
    </row>
    <row r="35" spans="1:7" ht="16.5" customHeight="1" x14ac:dyDescent="0.25">
      <c r="A35" s="5">
        <v>49400</v>
      </c>
      <c r="B35" s="6">
        <f>+VLOOKUP(A35,'Cant producto_5_2033-36'!$A:$AD,29,FALSE)</f>
        <v>70560000</v>
      </c>
      <c r="C35" s="10"/>
      <c r="D35" s="48"/>
      <c r="F35" s="8"/>
      <c r="G35" s="9"/>
    </row>
    <row r="36" spans="1:7" ht="16.5" customHeight="1" x14ac:dyDescent="0.25">
      <c r="A36" s="5">
        <v>49430</v>
      </c>
      <c r="B36" s="6">
        <f>+VLOOKUP(A36,'Cant producto_5_2033-36'!$A:$AD,29,FALSE)</f>
        <v>72912000</v>
      </c>
      <c r="C36" s="10"/>
      <c r="D36" s="48"/>
      <c r="F36" s="8"/>
      <c r="G36" s="9"/>
    </row>
    <row r="37" spans="1:7" ht="16.5" customHeight="1" x14ac:dyDescent="0.25">
      <c r="A37" s="5">
        <v>49461</v>
      </c>
      <c r="B37" s="6">
        <f>+VLOOKUP(A37,'Cant producto_5_2033-36'!$A:$AD,29,FALSE)</f>
        <v>70560000</v>
      </c>
      <c r="C37" s="10"/>
      <c r="D37" s="48"/>
      <c r="F37" s="8"/>
      <c r="G37" s="9"/>
    </row>
    <row r="38" spans="1:7" ht="16.5" customHeight="1" x14ac:dyDescent="0.25">
      <c r="A38" s="5">
        <v>49491</v>
      </c>
      <c r="B38" s="6">
        <f>+VLOOKUP(A38,'Cant producto_5_2033-36'!$A:$AD,29,FALSE)</f>
        <v>72912000</v>
      </c>
      <c r="C38" s="10"/>
      <c r="D38" s="48"/>
      <c r="F38" s="8"/>
      <c r="G38" s="9"/>
    </row>
    <row r="39" spans="1:7" ht="16.5" customHeight="1" x14ac:dyDescent="0.25">
      <c r="A39" s="5">
        <v>49522</v>
      </c>
      <c r="B39" s="6">
        <f>+VLOOKUP(A39,'Cant producto_5_2033-36'!$A:$AD,29,FALSE)</f>
        <v>72912000</v>
      </c>
      <c r="C39" s="10"/>
      <c r="D39" s="48"/>
      <c r="F39" s="8"/>
      <c r="G39" s="9"/>
    </row>
    <row r="40" spans="1:7" ht="16.5" customHeight="1" x14ac:dyDescent="0.25">
      <c r="A40" s="5">
        <v>49553</v>
      </c>
      <c r="B40" s="6">
        <f>+VLOOKUP(A40,'Cant producto_5_2033-36'!$A:$AD,29,FALSE)</f>
        <v>70560000</v>
      </c>
      <c r="C40" s="10"/>
      <c r="D40" s="48"/>
      <c r="F40" s="8"/>
      <c r="G40" s="9"/>
    </row>
    <row r="41" spans="1:7" ht="16.5" customHeight="1" x14ac:dyDescent="0.25">
      <c r="A41" s="5">
        <v>49583</v>
      </c>
      <c r="B41" s="6">
        <f>+VLOOKUP(A41,'Cant producto_5_2033-36'!$A:$AD,29,FALSE)</f>
        <v>72912000</v>
      </c>
      <c r="C41" s="10"/>
      <c r="D41" s="48"/>
      <c r="F41" s="8"/>
      <c r="G41" s="9"/>
    </row>
    <row r="42" spans="1:7" ht="16.5" customHeight="1" x14ac:dyDescent="0.25">
      <c r="A42" s="5">
        <v>49614</v>
      </c>
      <c r="B42" s="6">
        <f>+VLOOKUP(A42,'Cant producto_5_2033-36'!$A:$AD,29,FALSE)</f>
        <v>70560000</v>
      </c>
      <c r="C42" s="10"/>
      <c r="D42" s="48"/>
      <c r="F42" s="8"/>
      <c r="G42" s="9"/>
    </row>
    <row r="43" spans="1:7" ht="16.5" customHeight="1" x14ac:dyDescent="0.25">
      <c r="A43" s="5">
        <v>49644</v>
      </c>
      <c r="B43" s="6">
        <f>+VLOOKUP(A43,'Cant producto_5_2033-36'!$A:$AD,29,FALSE)</f>
        <v>72912000</v>
      </c>
      <c r="C43" s="10"/>
      <c r="D43" s="48"/>
      <c r="E43" s="14"/>
      <c r="F43" s="8"/>
      <c r="G43" s="9"/>
    </row>
    <row r="44" spans="1:7" ht="16.5" customHeight="1" x14ac:dyDescent="0.25">
      <c r="A44" s="5">
        <v>49675</v>
      </c>
      <c r="B44" s="6">
        <f>+VLOOKUP(A44,'Cant producto_5_2033-36'!$A:$AD,29,FALSE)</f>
        <v>72912000</v>
      </c>
      <c r="C44" s="10"/>
      <c r="D44" s="48"/>
      <c r="F44" s="8"/>
      <c r="G44" s="9"/>
    </row>
    <row r="45" spans="1:7" ht="16.5" customHeight="1" x14ac:dyDescent="0.25">
      <c r="A45" s="5">
        <v>49706</v>
      </c>
      <c r="B45" s="6">
        <f>+VLOOKUP(A45,'Cant producto_5_2033-36'!$A:$AD,29,FALSE)</f>
        <v>68208000</v>
      </c>
      <c r="C45" s="10"/>
      <c r="D45" s="48"/>
      <c r="F45" s="8"/>
      <c r="G45" s="9"/>
    </row>
    <row r="46" spans="1:7" ht="16.5" customHeight="1" x14ac:dyDescent="0.25">
      <c r="A46" s="5">
        <v>49735</v>
      </c>
      <c r="B46" s="6">
        <f>+VLOOKUP(A46,'Cant producto_5_2033-36'!$A:$AD,29,FALSE)</f>
        <v>72912000</v>
      </c>
      <c r="C46" s="10"/>
      <c r="D46" s="48"/>
      <c r="F46" s="8"/>
      <c r="G46" s="9"/>
    </row>
    <row r="47" spans="1:7" ht="16.5" customHeight="1" x14ac:dyDescent="0.25">
      <c r="A47" s="5">
        <v>49766</v>
      </c>
      <c r="B47" s="6">
        <f>+VLOOKUP(A47,'Cant producto_5_2033-36'!$A:$AD,29,FALSE)</f>
        <v>70560000</v>
      </c>
      <c r="C47" s="10"/>
      <c r="D47" s="48"/>
      <c r="F47" s="8"/>
      <c r="G47" s="9"/>
    </row>
    <row r="48" spans="1:7" ht="16.5" customHeight="1" x14ac:dyDescent="0.25">
      <c r="A48" s="5">
        <v>49796</v>
      </c>
      <c r="B48" s="6">
        <f>+VLOOKUP(A48,'Cant producto_5_2033-36'!$A:$AD,29,FALSE)</f>
        <v>72912000</v>
      </c>
      <c r="C48" s="10"/>
      <c r="D48" s="48"/>
      <c r="F48" s="8"/>
      <c r="G48" s="9"/>
    </row>
    <row r="49" spans="1:7" ht="16.5" customHeight="1" x14ac:dyDescent="0.25">
      <c r="A49" s="5">
        <v>49827</v>
      </c>
      <c r="B49" s="6">
        <f>+VLOOKUP(A49,'Cant producto_5_2033-36'!$A:$AD,29,FALSE)</f>
        <v>70560000</v>
      </c>
      <c r="C49" s="10"/>
      <c r="D49" s="48"/>
      <c r="F49" s="8"/>
      <c r="G49" s="9"/>
    </row>
    <row r="50" spans="1:7" ht="16.5" customHeight="1" x14ac:dyDescent="0.25">
      <c r="A50" s="5">
        <v>49857</v>
      </c>
      <c r="B50" s="6">
        <f>+VLOOKUP(A50,'Cant producto_5_2033-36'!$A:$AD,29,FALSE)</f>
        <v>72912000</v>
      </c>
      <c r="C50" s="10"/>
      <c r="D50" s="48"/>
      <c r="F50" s="8"/>
      <c r="G50" s="9"/>
    </row>
    <row r="51" spans="1:7" ht="16.5" customHeight="1" x14ac:dyDescent="0.25">
      <c r="A51" s="5">
        <v>49888</v>
      </c>
      <c r="B51" s="6">
        <f>+VLOOKUP(A51,'Cant producto_5_2033-36'!$A:$AD,29,FALSE)</f>
        <v>72912000</v>
      </c>
      <c r="C51" s="10"/>
      <c r="D51" s="48"/>
      <c r="F51" s="8"/>
      <c r="G51" s="9"/>
    </row>
    <row r="52" spans="1:7" ht="16.5" customHeight="1" x14ac:dyDescent="0.25">
      <c r="A52" s="5">
        <v>49919</v>
      </c>
      <c r="B52" s="6">
        <f>+VLOOKUP(A52,'Cant producto_5_2033-36'!$A:$AD,29,FALSE)</f>
        <v>70560000</v>
      </c>
      <c r="C52" s="10"/>
      <c r="D52" s="48"/>
      <c r="F52" s="8"/>
      <c r="G52" s="9"/>
    </row>
    <row r="53" spans="1:7" ht="16.5" customHeight="1" x14ac:dyDescent="0.25">
      <c r="A53" s="5">
        <v>49949</v>
      </c>
      <c r="B53" s="6">
        <f>+VLOOKUP(A53,'Cant producto_5_2033-36'!$A:$AD,29,FALSE)</f>
        <v>72912000</v>
      </c>
      <c r="C53" s="10"/>
      <c r="D53" s="48"/>
      <c r="F53" s="8"/>
      <c r="G53" s="9"/>
    </row>
    <row r="54" spans="1:7" ht="16.5" customHeight="1" x14ac:dyDescent="0.25">
      <c r="A54" s="5">
        <v>49980</v>
      </c>
      <c r="B54" s="6">
        <f>+VLOOKUP(A54,'Cant producto_5_2033-36'!$A:$AD,29,FALSE)</f>
        <v>70560000</v>
      </c>
      <c r="C54" s="10"/>
      <c r="D54" s="48"/>
      <c r="F54" s="8"/>
      <c r="G54" s="9"/>
    </row>
    <row r="55" spans="1:7" ht="16.5" customHeight="1" x14ac:dyDescent="0.25">
      <c r="A55" s="5">
        <v>50010</v>
      </c>
      <c r="B55" s="6">
        <f>+VLOOKUP(A55,'Cant producto_5_2033-36'!$A:$AD,29,FALSE)</f>
        <v>72912000</v>
      </c>
      <c r="C55" s="10"/>
      <c r="D55" s="48"/>
      <c r="E55" s="14"/>
      <c r="F55" s="8"/>
      <c r="G55" s="9"/>
    </row>
    <row r="56" spans="1:7" ht="16.5" customHeight="1" thickBot="1" x14ac:dyDescent="0.3">
      <c r="A56" s="49" t="s">
        <v>7</v>
      </c>
      <c r="B56" s="50">
        <f>+SUM(B8:B55)</f>
        <v>2858112000</v>
      </c>
      <c r="C56" s="51"/>
      <c r="D56" s="52"/>
      <c r="E56" s="38"/>
      <c r="F56" s="8"/>
      <c r="G56" s="9"/>
    </row>
    <row r="57" spans="1:7" s="8" customFormat="1" ht="16.5" customHeight="1" x14ac:dyDescent="0.25">
      <c r="A57" s="70"/>
      <c r="B57" s="61"/>
      <c r="C57" s="61"/>
      <c r="D57" s="71"/>
    </row>
    <row r="58" spans="1:7" s="8" customFormat="1" ht="16.5" customHeight="1" x14ac:dyDescent="0.25">
      <c r="A58" s="70"/>
      <c r="B58" s="61"/>
      <c r="C58" s="61"/>
      <c r="D58" s="71"/>
    </row>
    <row r="59" spans="1:7" ht="14.4" x14ac:dyDescent="0.3">
      <c r="A59" s="66" t="s">
        <v>10</v>
      </c>
      <c r="B59" s="67"/>
      <c r="C59" s="56"/>
      <c r="D59" s="65"/>
      <c r="F59"/>
    </row>
    <row r="60" spans="1:7" ht="14.4" x14ac:dyDescent="0.3">
      <c r="A60" s="85"/>
      <c r="B60" s="86"/>
      <c r="C60" s="86"/>
      <c r="D60" s="87"/>
      <c r="F60"/>
    </row>
    <row r="61" spans="1:7" ht="37.200000000000003" customHeight="1" thickBot="1" x14ac:dyDescent="0.35">
      <c r="A61" s="88" t="s">
        <v>11</v>
      </c>
      <c r="B61" s="89"/>
      <c r="C61" s="89"/>
      <c r="D61" s="90"/>
      <c r="F61"/>
    </row>
    <row r="62" spans="1:7" s="8" customFormat="1" ht="16.5" customHeight="1" x14ac:dyDescent="0.25">
      <c r="A62" s="61"/>
      <c r="B62" s="61"/>
      <c r="C62" s="61"/>
      <c r="D62" s="61"/>
    </row>
    <row r="63" spans="1:7" s="8" customFormat="1" ht="16.5" customHeight="1" x14ac:dyDescent="0.25"/>
    <row r="64" spans="1:7" s="8" customFormat="1" ht="16.5" customHeight="1" x14ac:dyDescent="0.25"/>
    <row r="65" s="8" customFormat="1" ht="16.5" customHeight="1" x14ac:dyDescent="0.25"/>
    <row r="66" s="8" customFormat="1" ht="16.5" customHeight="1" x14ac:dyDescent="0.25"/>
    <row r="67" s="8" customFormat="1" ht="16.5" customHeight="1" x14ac:dyDescent="0.25"/>
    <row r="68" s="8" customFormat="1" ht="16.5" customHeight="1" x14ac:dyDescent="0.25"/>
    <row r="69" s="8" customFormat="1" ht="16.5" customHeight="1" x14ac:dyDescent="0.25"/>
    <row r="70" s="8" customFormat="1" ht="16.5" customHeight="1" x14ac:dyDescent="0.25"/>
    <row r="71" s="8" customFormat="1" ht="16.5" customHeight="1" x14ac:dyDescent="0.25"/>
    <row r="72" s="8" customFormat="1" ht="16.5" customHeight="1" x14ac:dyDescent="0.25"/>
    <row r="73" s="8" customFormat="1" ht="16.5" customHeight="1" x14ac:dyDescent="0.25"/>
    <row r="74" s="8" customFormat="1" ht="16.5" customHeight="1" x14ac:dyDescent="0.25"/>
    <row r="75" s="8" customFormat="1" ht="16.5" customHeight="1" x14ac:dyDescent="0.25"/>
    <row r="76" s="8" customFormat="1" ht="16.5" customHeight="1" x14ac:dyDescent="0.25"/>
    <row r="77" s="8" customFormat="1" ht="16.5" customHeight="1" x14ac:dyDescent="0.25"/>
    <row r="78" s="8" customFormat="1" ht="16.5" customHeight="1" x14ac:dyDescent="0.25"/>
    <row r="79" s="8" customFormat="1" ht="16.5" customHeight="1" x14ac:dyDescent="0.25"/>
    <row r="80" s="8" customFormat="1" ht="16.5" customHeight="1" x14ac:dyDescent="0.25"/>
    <row r="81" s="8" customFormat="1" ht="16.5" customHeight="1" x14ac:dyDescent="0.25"/>
    <row r="82" s="8" customFormat="1" ht="16.5" customHeight="1" x14ac:dyDescent="0.25"/>
    <row r="83" s="8" customFormat="1" ht="16.5" customHeight="1" x14ac:dyDescent="0.25"/>
    <row r="84" s="8" customFormat="1" ht="16.5" customHeight="1" x14ac:dyDescent="0.25"/>
    <row r="85" s="8" customFormat="1" ht="16.5" customHeight="1" x14ac:dyDescent="0.25"/>
    <row r="86" s="8" customFormat="1" ht="16.5" customHeight="1" x14ac:dyDescent="0.25"/>
    <row r="87" s="8" customFormat="1" ht="16.5" customHeight="1" x14ac:dyDescent="0.25"/>
    <row r="88" s="8" customFormat="1" ht="16.5" customHeight="1" x14ac:dyDescent="0.25"/>
    <row r="89" s="8" customFormat="1" ht="16.5" customHeight="1" x14ac:dyDescent="0.25"/>
    <row r="90" s="8" customFormat="1" ht="16.5" customHeight="1" x14ac:dyDescent="0.25"/>
    <row r="91" s="8" customFormat="1" ht="16.5" customHeight="1" x14ac:dyDescent="0.25"/>
    <row r="92" s="8" customFormat="1" ht="16.5" customHeight="1" x14ac:dyDescent="0.25"/>
    <row r="93" s="8" customFormat="1" ht="16.5" customHeight="1" x14ac:dyDescent="0.25"/>
    <row r="94" s="8" customFormat="1" ht="16.5" customHeight="1" x14ac:dyDescent="0.25"/>
    <row r="95" s="8" customFormat="1" ht="16.5" customHeight="1" x14ac:dyDescent="0.25"/>
    <row r="96" s="8" customFormat="1" ht="16.5" customHeight="1" x14ac:dyDescent="0.25"/>
    <row r="97" s="8" customFormat="1" ht="16.5" customHeight="1" x14ac:dyDescent="0.25"/>
    <row r="98" s="8" customFormat="1" ht="16.5" customHeight="1" x14ac:dyDescent="0.25"/>
    <row r="99" s="8" customFormat="1" ht="16.5" customHeight="1" x14ac:dyDescent="0.25"/>
    <row r="100" s="8" customFormat="1" ht="16.5" customHeight="1" x14ac:dyDescent="0.25"/>
    <row r="101" s="8" customFormat="1" ht="16.5" customHeight="1" x14ac:dyDescent="0.25"/>
    <row r="102" s="8" customFormat="1" ht="16.5" customHeight="1" x14ac:dyDescent="0.25"/>
    <row r="103" s="8" customFormat="1" ht="16.5" customHeight="1" x14ac:dyDescent="0.25"/>
    <row r="104" s="8" customFormat="1" ht="16.5" customHeight="1" x14ac:dyDescent="0.25"/>
    <row r="105" s="8" customFormat="1" ht="16.5" customHeight="1" x14ac:dyDescent="0.25"/>
    <row r="106" s="8" customFormat="1" ht="16.5" customHeight="1" x14ac:dyDescent="0.25"/>
    <row r="107" s="8" customFormat="1" ht="16.5" customHeight="1" x14ac:dyDescent="0.25"/>
    <row r="108" s="8" customFormat="1" ht="16.5" customHeight="1" x14ac:dyDescent="0.25"/>
    <row r="109" s="8" customFormat="1" ht="16.5" customHeight="1" x14ac:dyDescent="0.25"/>
    <row r="110" s="8" customFormat="1" ht="16.5" customHeight="1" x14ac:dyDescent="0.25"/>
    <row r="111" s="8" customFormat="1" ht="16.5" customHeight="1" x14ac:dyDescent="0.25"/>
    <row r="112" s="8" customFormat="1" ht="16.5" customHeight="1" x14ac:dyDescent="0.25"/>
    <row r="113" s="8" customFormat="1" ht="16.5" customHeight="1" x14ac:dyDescent="0.25"/>
    <row r="114" s="8" customFormat="1" ht="16.5" customHeight="1" x14ac:dyDescent="0.25"/>
    <row r="115" s="8" customFormat="1" ht="16.5" customHeight="1" x14ac:dyDescent="0.25"/>
    <row r="116" s="8" customFormat="1" ht="16.5" customHeight="1" x14ac:dyDescent="0.25"/>
    <row r="117" s="8" customFormat="1" ht="16.5" customHeight="1" x14ac:dyDescent="0.25"/>
    <row r="118" s="8" customFormat="1" ht="16.5" customHeight="1" x14ac:dyDescent="0.25"/>
    <row r="119" s="8" customFormat="1" ht="16.5" customHeight="1" x14ac:dyDescent="0.25"/>
    <row r="120" s="8" customFormat="1" ht="16.5" customHeight="1" x14ac:dyDescent="0.25"/>
    <row r="121" s="8" customFormat="1" ht="16.5" customHeight="1" x14ac:dyDescent="0.25"/>
    <row r="122" s="8" customFormat="1" ht="16.5" customHeight="1" x14ac:dyDescent="0.25"/>
    <row r="123" s="8" customFormat="1" ht="16.5" customHeight="1" x14ac:dyDescent="0.25"/>
    <row r="124" s="8" customFormat="1" ht="16.5" customHeight="1" x14ac:dyDescent="0.25"/>
    <row r="125" s="8" customFormat="1" ht="16.5" customHeight="1" x14ac:dyDescent="0.25"/>
    <row r="126" s="8" customFormat="1" ht="16.5" customHeight="1" x14ac:dyDescent="0.25"/>
    <row r="127" s="8" customFormat="1" ht="16.5" customHeight="1" x14ac:dyDescent="0.25"/>
    <row r="128" s="8" customFormat="1" ht="16.5" customHeight="1" x14ac:dyDescent="0.25"/>
    <row r="129" s="8" customFormat="1" ht="16.5" customHeight="1" x14ac:dyDescent="0.25"/>
    <row r="130" s="8" customFormat="1" ht="16.5" customHeight="1" x14ac:dyDescent="0.25"/>
    <row r="131" s="8" customFormat="1" ht="16.5" customHeight="1" x14ac:dyDescent="0.25"/>
    <row r="132" s="8" customFormat="1" ht="16.5" customHeight="1" x14ac:dyDescent="0.25"/>
    <row r="133" s="8" customFormat="1" ht="16.5" customHeight="1" x14ac:dyDescent="0.25"/>
    <row r="134" s="8" customFormat="1" ht="16.5" customHeight="1" x14ac:dyDescent="0.25"/>
    <row r="135" s="8" customFormat="1" ht="16.5" customHeight="1" x14ac:dyDescent="0.25"/>
    <row r="136" s="8" customFormat="1" ht="16.5" customHeight="1" x14ac:dyDescent="0.25"/>
    <row r="137" s="8" customFormat="1" ht="16.5" customHeight="1" x14ac:dyDescent="0.25"/>
    <row r="138" s="8" customFormat="1" ht="16.5" customHeight="1" x14ac:dyDescent="0.25"/>
    <row r="139" s="8" customFormat="1" ht="16.5" customHeight="1" x14ac:dyDescent="0.25"/>
    <row r="140" s="8" customFormat="1" ht="16.5" customHeight="1" x14ac:dyDescent="0.25"/>
    <row r="141" s="8" customFormat="1" ht="16.5" customHeight="1" x14ac:dyDescent="0.25"/>
    <row r="142" s="8" customFormat="1" ht="16.5" customHeight="1" x14ac:dyDescent="0.25"/>
    <row r="143" s="8" customFormat="1" ht="16.5" customHeight="1" x14ac:dyDescent="0.25"/>
    <row r="144" s="8" customFormat="1" ht="16.5" customHeight="1" x14ac:dyDescent="0.25"/>
    <row r="145" s="8" customFormat="1" ht="16.5" customHeight="1" x14ac:dyDescent="0.25"/>
    <row r="146" s="8" customFormat="1" ht="16.5" customHeight="1" x14ac:dyDescent="0.25"/>
    <row r="147" s="8" customFormat="1" ht="16.5" customHeight="1" x14ac:dyDescent="0.25"/>
    <row r="148" s="8" customFormat="1" ht="16.5" customHeight="1" x14ac:dyDescent="0.25"/>
    <row r="149" s="8" customFormat="1" ht="16.5" customHeight="1" x14ac:dyDescent="0.25"/>
    <row r="150" s="8" customFormat="1" ht="16.5" customHeight="1" x14ac:dyDescent="0.25"/>
    <row r="151" s="8" customFormat="1" ht="16.5" customHeight="1" x14ac:dyDescent="0.25"/>
    <row r="152" s="8" customFormat="1" ht="16.5" customHeight="1" x14ac:dyDescent="0.25"/>
    <row r="153" s="8" customFormat="1" ht="16.5" customHeight="1" x14ac:dyDescent="0.25"/>
    <row r="154" s="8" customFormat="1" ht="16.5" customHeight="1" x14ac:dyDescent="0.25"/>
    <row r="155" s="8" customFormat="1" ht="16.5" customHeight="1" x14ac:dyDescent="0.25"/>
    <row r="156" s="8" customFormat="1" ht="16.5" customHeight="1" x14ac:dyDescent="0.25"/>
    <row r="157" s="8" customFormat="1" ht="16.5" customHeight="1" x14ac:dyDescent="0.25"/>
    <row r="158" s="8" customFormat="1" ht="16.5" customHeight="1" x14ac:dyDescent="0.25"/>
    <row r="159" s="8" customFormat="1" ht="16.5" customHeight="1" x14ac:dyDescent="0.25"/>
    <row r="160" s="8" customFormat="1" ht="16.5" customHeight="1" x14ac:dyDescent="0.25"/>
    <row r="161" s="8" customFormat="1" ht="16.5" customHeight="1" x14ac:dyDescent="0.25"/>
    <row r="162" s="8" customFormat="1" ht="16.5" customHeight="1" x14ac:dyDescent="0.25"/>
    <row r="163" s="8" customFormat="1" ht="16.5" customHeight="1" x14ac:dyDescent="0.25"/>
    <row r="164" s="8" customFormat="1" ht="16.5" customHeight="1" x14ac:dyDescent="0.25"/>
    <row r="165" s="8" customFormat="1" ht="16.5" customHeight="1" x14ac:dyDescent="0.25"/>
    <row r="166" s="8" customFormat="1" ht="16.5" customHeight="1" x14ac:dyDescent="0.25"/>
    <row r="167" s="8" customFormat="1" ht="16.5" customHeight="1" x14ac:dyDescent="0.25"/>
    <row r="168" s="8" customFormat="1" ht="16.5" customHeight="1" x14ac:dyDescent="0.25"/>
    <row r="169" s="8" customFormat="1" ht="16.5" customHeight="1" x14ac:dyDescent="0.25"/>
    <row r="170" s="8" customFormat="1" ht="16.5" customHeight="1" x14ac:dyDescent="0.25"/>
    <row r="171" s="8" customFormat="1" ht="16.5" customHeight="1" x14ac:dyDescent="0.25"/>
    <row r="172" s="8" customFormat="1" ht="16.5" customHeight="1" x14ac:dyDescent="0.25"/>
    <row r="173" s="8" customFormat="1" ht="16.5" customHeight="1" x14ac:dyDescent="0.25"/>
    <row r="174" s="8" customFormat="1" ht="16.5" customHeight="1" x14ac:dyDescent="0.25"/>
    <row r="175" s="8" customFormat="1" ht="16.5" customHeight="1" x14ac:dyDescent="0.25"/>
    <row r="176" s="8" customFormat="1" ht="16.5" customHeight="1" x14ac:dyDescent="0.25"/>
    <row r="177" s="8" customFormat="1" ht="16.5" customHeight="1" x14ac:dyDescent="0.25"/>
    <row r="178" s="8" customFormat="1" ht="16.5" customHeight="1" x14ac:dyDescent="0.25"/>
    <row r="179" s="8" customFormat="1" ht="16.5" customHeight="1" x14ac:dyDescent="0.25"/>
    <row r="180" s="8" customFormat="1" ht="16.5" customHeight="1" x14ac:dyDescent="0.25"/>
    <row r="181" s="8" customFormat="1" ht="16.5" customHeight="1" x14ac:dyDescent="0.25"/>
    <row r="182" s="8" customFormat="1" ht="16.5" customHeight="1" x14ac:dyDescent="0.25"/>
    <row r="183" s="8" customFormat="1" ht="16.5" customHeight="1" x14ac:dyDescent="0.25"/>
    <row r="184" s="8" customFormat="1" ht="16.5" customHeight="1" x14ac:dyDescent="0.25"/>
    <row r="185" s="8" customFormat="1" ht="16.5" customHeight="1" x14ac:dyDescent="0.25"/>
    <row r="186" s="8" customFormat="1" ht="16.5" customHeight="1" x14ac:dyDescent="0.25"/>
    <row r="187" s="8" customFormat="1" ht="16.5" customHeight="1" x14ac:dyDescent="0.25"/>
    <row r="188" s="8" customFormat="1" ht="16.5" customHeight="1" x14ac:dyDescent="0.25"/>
    <row r="189" s="8" customFormat="1" ht="16.5" customHeight="1" x14ac:dyDescent="0.25"/>
    <row r="190" s="8" customFormat="1" ht="16.5" customHeight="1" x14ac:dyDescent="0.25"/>
    <row r="191" s="8" customFormat="1" ht="16.5" customHeight="1" x14ac:dyDescent="0.25"/>
    <row r="192" s="8" customFormat="1" ht="16.5" customHeight="1" x14ac:dyDescent="0.25"/>
    <row r="193" s="8" customFormat="1" ht="16.5" customHeight="1" x14ac:dyDescent="0.25"/>
    <row r="194" s="8" customFormat="1" ht="16.5" customHeight="1" x14ac:dyDescent="0.25"/>
    <row r="195" s="8" customFormat="1" ht="16.5" customHeight="1" x14ac:dyDescent="0.25"/>
    <row r="196" s="8" customFormat="1" ht="16.5" customHeight="1" x14ac:dyDescent="0.25"/>
    <row r="197" s="8" customFormat="1" ht="16.5" customHeight="1" x14ac:dyDescent="0.25"/>
    <row r="198" s="8" customFormat="1" ht="16.5" customHeight="1" x14ac:dyDescent="0.25"/>
    <row r="199" s="8" customFormat="1" ht="16.5" customHeight="1" x14ac:dyDescent="0.25"/>
    <row r="200" s="8" customFormat="1" ht="16.5" customHeight="1" x14ac:dyDescent="0.25"/>
    <row r="201" s="8" customFormat="1" ht="16.5" customHeight="1" x14ac:dyDescent="0.25"/>
    <row r="202" s="8" customFormat="1" ht="16.5" customHeight="1" x14ac:dyDescent="0.25"/>
    <row r="203" s="8" customFormat="1" ht="16.5" customHeight="1" x14ac:dyDescent="0.25"/>
    <row r="204" s="8" customFormat="1" ht="16.5" customHeight="1" x14ac:dyDescent="0.25"/>
    <row r="205" s="8" customFormat="1" ht="16.5" customHeight="1" x14ac:dyDescent="0.25"/>
    <row r="206" s="8" customFormat="1" ht="16.5" customHeight="1" x14ac:dyDescent="0.25"/>
    <row r="207" s="8" customFormat="1" ht="16.5" customHeight="1" x14ac:dyDescent="0.25"/>
    <row r="208" s="8" customFormat="1" ht="16.5" customHeight="1" x14ac:dyDescent="0.25"/>
    <row r="209" s="8" customFormat="1" ht="16.5" customHeight="1" x14ac:dyDescent="0.25"/>
    <row r="210" s="8" customFormat="1" ht="16.5" customHeight="1" x14ac:dyDescent="0.25"/>
    <row r="211" s="8" customFormat="1" ht="16.5" customHeight="1" x14ac:dyDescent="0.25"/>
    <row r="212" s="8" customFormat="1" ht="16.5" customHeight="1" x14ac:dyDescent="0.25"/>
    <row r="213" s="8" customFormat="1" ht="16.5" customHeight="1" x14ac:dyDescent="0.25"/>
    <row r="214" s="8" customFormat="1" ht="16.5" customHeight="1" x14ac:dyDescent="0.25"/>
    <row r="215" s="8" customFormat="1" ht="16.5" customHeight="1" x14ac:dyDescent="0.25"/>
    <row r="216" s="8" customFormat="1" ht="16.5" customHeight="1" x14ac:dyDescent="0.25"/>
    <row r="217" s="8" customFormat="1" ht="16.5" customHeight="1" x14ac:dyDescent="0.25"/>
    <row r="218" s="8" customFormat="1" ht="16.5" customHeight="1" x14ac:dyDescent="0.25"/>
    <row r="219" s="8" customFormat="1" ht="16.5" customHeight="1" x14ac:dyDescent="0.25"/>
    <row r="220" s="8" customFormat="1" ht="16.5" customHeight="1" x14ac:dyDescent="0.25"/>
    <row r="221" s="8" customFormat="1" ht="16.5" customHeight="1" x14ac:dyDescent="0.25"/>
    <row r="222" s="8" customFormat="1" ht="16.5" customHeight="1" x14ac:dyDescent="0.25"/>
    <row r="223" s="8" customFormat="1" ht="16.5" customHeight="1" x14ac:dyDescent="0.25"/>
    <row r="224" s="8" customFormat="1" ht="16.5" customHeight="1" x14ac:dyDescent="0.25"/>
    <row r="225" s="8" customFormat="1" ht="16.5" customHeight="1" x14ac:dyDescent="0.25"/>
    <row r="226" s="8" customFormat="1" ht="16.5" customHeight="1" x14ac:dyDescent="0.25"/>
    <row r="227" s="8" customFormat="1" ht="16.5" customHeight="1" x14ac:dyDescent="0.25"/>
    <row r="228" s="8" customFormat="1" ht="16.5" customHeight="1" x14ac:dyDescent="0.25"/>
    <row r="229" s="8" customFormat="1" ht="16.5" customHeight="1" x14ac:dyDescent="0.25"/>
    <row r="230" s="8" customFormat="1" ht="16.5" customHeight="1" x14ac:dyDescent="0.25"/>
    <row r="231" s="8" customFormat="1" ht="16.5" customHeight="1" x14ac:dyDescent="0.25"/>
    <row r="232" s="8" customFormat="1" ht="16.5" customHeight="1" x14ac:dyDescent="0.25"/>
    <row r="233" s="8" customFormat="1" ht="16.5" customHeight="1" x14ac:dyDescent="0.25"/>
    <row r="234" s="8" customFormat="1" ht="16.5" customHeight="1" x14ac:dyDescent="0.25"/>
    <row r="235" s="8" customFormat="1" ht="16.5" customHeight="1" x14ac:dyDescent="0.25"/>
    <row r="236" s="8" customFormat="1" ht="16.5" customHeight="1" x14ac:dyDescent="0.25"/>
    <row r="237" s="8" customFormat="1" ht="16.5" customHeight="1" x14ac:dyDescent="0.25"/>
    <row r="238" s="8" customFormat="1" ht="16.5" customHeight="1" x14ac:dyDescent="0.25"/>
    <row r="239" s="8" customFormat="1" ht="16.5" customHeight="1" x14ac:dyDescent="0.25"/>
    <row r="240" s="8" customFormat="1" ht="16.5" customHeight="1" x14ac:dyDescent="0.25"/>
    <row r="241" s="8" customFormat="1" ht="16.5" customHeight="1" x14ac:dyDescent="0.25"/>
    <row r="242" s="8" customFormat="1" ht="16.5" customHeight="1" x14ac:dyDescent="0.25"/>
    <row r="243" s="8" customFormat="1" ht="16.5" customHeight="1" x14ac:dyDescent="0.25"/>
    <row r="244" s="8" customFormat="1" ht="16.5" customHeight="1" x14ac:dyDescent="0.25"/>
    <row r="245" s="8" customFormat="1" ht="16.5" customHeight="1" x14ac:dyDescent="0.25"/>
    <row r="246" s="8" customFormat="1" ht="16.5" customHeight="1" x14ac:dyDescent="0.25"/>
    <row r="247" s="8" customFormat="1" ht="16.5" customHeight="1" x14ac:dyDescent="0.25"/>
    <row r="248" s="8" customFormat="1" ht="16.5" customHeight="1" x14ac:dyDescent="0.25"/>
    <row r="249" s="8" customFormat="1" ht="16.5" customHeight="1" x14ac:dyDescent="0.25"/>
    <row r="250" s="8" customFormat="1" ht="16.5" customHeight="1" x14ac:dyDescent="0.25"/>
    <row r="251" s="8" customFormat="1" ht="16.5" customHeight="1" x14ac:dyDescent="0.25"/>
    <row r="252" s="8" customFormat="1" ht="16.5" customHeight="1" x14ac:dyDescent="0.25"/>
    <row r="253" s="8" customFormat="1" ht="16.5" customHeight="1" x14ac:dyDescent="0.25"/>
    <row r="254" s="8" customFormat="1" ht="16.5" customHeight="1" x14ac:dyDescent="0.25"/>
    <row r="255" s="8" customFormat="1" ht="16.5" customHeight="1" x14ac:dyDescent="0.25"/>
    <row r="256" s="8" customFormat="1" ht="16.5" customHeight="1" x14ac:dyDescent="0.25"/>
    <row r="257" s="8" customFormat="1" ht="16.5" customHeight="1" x14ac:dyDescent="0.25"/>
    <row r="258" s="8" customFormat="1" ht="16.5" customHeight="1" x14ac:dyDescent="0.25"/>
    <row r="259" s="8" customFormat="1" ht="16.5" customHeight="1" x14ac:dyDescent="0.25"/>
    <row r="260" s="8" customFormat="1" ht="16.5" customHeight="1" x14ac:dyDescent="0.25"/>
    <row r="261" s="8" customFormat="1" ht="16.5" customHeight="1" x14ac:dyDescent="0.25"/>
    <row r="262" s="8" customFormat="1" ht="16.5" customHeight="1" x14ac:dyDescent="0.25"/>
    <row r="263" s="8" customFormat="1" ht="16.5" customHeight="1" x14ac:dyDescent="0.25"/>
    <row r="264" s="8" customFormat="1" ht="16.5" customHeight="1" x14ac:dyDescent="0.25"/>
    <row r="265" s="8" customFormat="1" ht="16.5" customHeight="1" x14ac:dyDescent="0.25"/>
    <row r="266" s="8" customFormat="1" ht="16.5" customHeight="1" x14ac:dyDescent="0.25"/>
    <row r="267" s="8" customFormat="1" ht="16.5" customHeight="1" x14ac:dyDescent="0.25"/>
    <row r="268" s="8" customFormat="1" ht="16.5" customHeight="1" x14ac:dyDescent="0.25"/>
    <row r="269" s="8" customFormat="1" ht="16.5" customHeight="1" x14ac:dyDescent="0.25"/>
    <row r="270" s="8" customFormat="1" ht="16.5" customHeight="1" x14ac:dyDescent="0.25"/>
    <row r="271" s="8" customFormat="1" ht="16.5" customHeight="1" x14ac:dyDescent="0.25"/>
    <row r="272" s="8" customFormat="1" ht="16.5" customHeight="1" x14ac:dyDescent="0.25"/>
    <row r="273" s="8" customFormat="1" ht="16.5" customHeight="1" x14ac:dyDescent="0.25"/>
    <row r="274" s="8" customFormat="1" ht="16.5" customHeight="1" x14ac:dyDescent="0.25"/>
    <row r="275" s="8" customFormat="1" ht="16.5" customHeight="1" x14ac:dyDescent="0.25"/>
    <row r="276" s="8" customFormat="1" ht="16.5" customHeight="1" x14ac:dyDescent="0.25"/>
    <row r="277" s="8" customFormat="1" ht="16.5" customHeight="1" x14ac:dyDescent="0.25"/>
    <row r="278" s="8" customFormat="1" ht="16.5" customHeight="1" x14ac:dyDescent="0.25"/>
    <row r="279" s="8" customFormat="1" ht="16.5" customHeight="1" x14ac:dyDescent="0.25"/>
    <row r="280" s="8" customFormat="1" ht="16.5" customHeight="1" x14ac:dyDescent="0.25"/>
    <row r="281" s="8" customFormat="1" ht="16.5" customHeight="1" x14ac:dyDescent="0.25"/>
    <row r="282" s="8" customFormat="1" ht="16.5" customHeight="1" x14ac:dyDescent="0.25"/>
    <row r="283" s="8" customFormat="1" ht="16.5" customHeight="1" x14ac:dyDescent="0.25"/>
    <row r="284" s="8" customFormat="1" ht="16.5" customHeight="1" x14ac:dyDescent="0.25"/>
    <row r="285" s="8" customFormat="1" ht="16.5" customHeight="1" x14ac:dyDescent="0.25"/>
    <row r="286" s="8" customFormat="1" ht="16.5" customHeight="1" x14ac:dyDescent="0.25"/>
    <row r="287" s="8" customFormat="1" ht="16.5" customHeight="1" x14ac:dyDescent="0.25"/>
    <row r="288" s="8" customFormat="1" ht="16.5" customHeight="1" x14ac:dyDescent="0.25"/>
    <row r="289" s="8" customFormat="1" ht="16.5" customHeight="1" x14ac:dyDescent="0.25"/>
    <row r="290" s="8" customFormat="1" ht="16.5" customHeight="1" x14ac:dyDescent="0.25"/>
    <row r="291" s="8" customFormat="1" ht="16.5" customHeight="1" x14ac:dyDescent="0.25"/>
    <row r="292" s="8" customFormat="1" ht="16.5" customHeight="1" x14ac:dyDescent="0.25"/>
    <row r="293" s="8" customFormat="1" ht="16.5" customHeight="1" x14ac:dyDescent="0.25"/>
    <row r="294" s="8" customFormat="1" ht="16.5" customHeight="1" x14ac:dyDescent="0.25"/>
    <row r="295" s="8" customFormat="1" ht="16.5" customHeight="1" x14ac:dyDescent="0.25"/>
    <row r="296" s="8" customFormat="1" ht="16.5" customHeight="1" x14ac:dyDescent="0.25"/>
    <row r="297" s="8" customFormat="1" ht="16.5" customHeight="1" x14ac:dyDescent="0.25"/>
    <row r="298" s="8" customFormat="1" ht="16.5" customHeight="1" x14ac:dyDescent="0.25"/>
    <row r="299" s="8" customFormat="1" ht="16.5" customHeight="1" x14ac:dyDescent="0.25"/>
    <row r="300" s="8" customFormat="1" ht="16.5" customHeight="1" x14ac:dyDescent="0.25"/>
    <row r="301" s="8" customFormat="1" ht="16.5" customHeight="1" x14ac:dyDescent="0.25"/>
    <row r="302" s="8" customFormat="1" ht="16.5" customHeight="1" x14ac:dyDescent="0.25"/>
    <row r="303" s="8" customFormat="1" ht="16.5" customHeight="1" x14ac:dyDescent="0.25"/>
    <row r="304" s="8" customFormat="1" ht="16.5" customHeight="1" x14ac:dyDescent="0.25"/>
    <row r="305" s="8" customFormat="1" ht="16.5" customHeight="1" x14ac:dyDescent="0.25"/>
    <row r="306" s="8" customFormat="1" ht="16.5" customHeight="1" x14ac:dyDescent="0.25"/>
    <row r="307" s="8" customFormat="1" ht="16.5" customHeight="1" x14ac:dyDescent="0.25"/>
    <row r="308" s="8" customFormat="1" ht="16.5" customHeight="1" x14ac:dyDescent="0.25"/>
    <row r="309" s="8" customFormat="1" ht="16.5" customHeight="1" x14ac:dyDescent="0.25"/>
    <row r="310" s="8" customFormat="1" ht="16.5" customHeight="1" x14ac:dyDescent="0.25"/>
    <row r="311" s="8" customFormat="1" ht="16.5" customHeight="1" x14ac:dyDescent="0.25"/>
    <row r="312" s="8" customFormat="1" ht="16.5" customHeight="1" x14ac:dyDescent="0.25"/>
    <row r="313" s="8" customFormat="1" ht="16.5" customHeight="1" x14ac:dyDescent="0.25"/>
    <row r="314" s="8" customFormat="1" ht="16.5" customHeight="1" x14ac:dyDescent="0.25"/>
    <row r="315" s="8" customFormat="1" ht="16.5" customHeight="1" x14ac:dyDescent="0.25"/>
    <row r="316" s="8" customFormat="1" ht="16.5" customHeight="1" x14ac:dyDescent="0.25"/>
    <row r="317" s="8" customFormat="1" ht="16.5" customHeight="1" x14ac:dyDescent="0.25"/>
    <row r="318" s="8" customFormat="1" ht="16.5" customHeight="1" x14ac:dyDescent="0.25"/>
    <row r="319" s="8" customFormat="1" ht="16.5" customHeight="1" x14ac:dyDescent="0.25"/>
    <row r="320" s="8" customFormat="1" ht="16.5" customHeight="1" x14ac:dyDescent="0.25"/>
    <row r="321" s="8" customFormat="1" ht="16.5" customHeight="1" x14ac:dyDescent="0.25"/>
    <row r="322" s="8" customFormat="1" ht="16.5" customHeight="1" x14ac:dyDescent="0.25"/>
    <row r="323" s="8" customFormat="1" ht="16.5" customHeight="1" x14ac:dyDescent="0.25"/>
    <row r="324" s="8" customFormat="1" ht="16.5" customHeight="1" x14ac:dyDescent="0.25"/>
    <row r="325" s="8" customFormat="1" ht="16.5" customHeight="1" x14ac:dyDescent="0.25"/>
    <row r="326" s="8" customFormat="1" ht="16.5" customHeight="1" x14ac:dyDescent="0.25"/>
    <row r="327" s="8" customFormat="1" ht="16.5" customHeight="1" x14ac:dyDescent="0.25"/>
    <row r="328" s="8" customFormat="1" ht="16.5" customHeight="1" x14ac:dyDescent="0.25"/>
    <row r="329" s="8" customFormat="1" ht="16.5" customHeight="1" x14ac:dyDescent="0.25"/>
    <row r="330" s="8" customFormat="1" ht="16.5" customHeight="1" x14ac:dyDescent="0.25"/>
    <row r="331" s="8" customFormat="1" ht="16.5" customHeight="1" x14ac:dyDescent="0.25"/>
    <row r="332" s="8" customFormat="1" ht="16.5" customHeight="1" x14ac:dyDescent="0.25"/>
    <row r="333" s="8" customFormat="1" ht="16.5" customHeight="1" x14ac:dyDescent="0.25"/>
    <row r="334" s="8" customFormat="1" ht="16.5" customHeight="1" x14ac:dyDescent="0.25"/>
    <row r="335" s="8" customFormat="1" ht="16.5" customHeight="1" x14ac:dyDescent="0.25"/>
    <row r="336" s="8" customFormat="1" ht="16.5" customHeight="1" x14ac:dyDescent="0.25"/>
    <row r="337" spans="1:7" s="8" customFormat="1" ht="16.5" customHeight="1" x14ac:dyDescent="0.25"/>
    <row r="338" spans="1:7" s="8" customFormat="1" ht="16.5" customHeight="1" x14ac:dyDescent="0.25"/>
    <row r="339" spans="1:7" s="8" customFormat="1" ht="16.5" customHeight="1" x14ac:dyDescent="0.25"/>
    <row r="340" spans="1:7" s="8" customFormat="1" ht="16.5" customHeight="1" x14ac:dyDescent="0.25"/>
    <row r="341" spans="1:7" s="8" customFormat="1" ht="16.5" customHeight="1" x14ac:dyDescent="0.25"/>
    <row r="342" spans="1:7" s="8" customFormat="1" ht="16.5" customHeight="1" x14ac:dyDescent="0.25"/>
    <row r="343" spans="1:7" s="8" customFormat="1" ht="16.5" customHeight="1" x14ac:dyDescent="0.25"/>
    <row r="344" spans="1:7" s="8" customFormat="1" ht="16.5" customHeight="1" x14ac:dyDescent="0.25"/>
    <row r="345" spans="1:7" s="8" customFormat="1" ht="16.5" customHeight="1" x14ac:dyDescent="0.25"/>
    <row r="346" spans="1:7" s="8" customFormat="1" ht="16.5" customHeight="1" thickBot="1" x14ac:dyDescent="0.3"/>
    <row r="347" spans="1:7" ht="16.5" customHeight="1" thickBot="1" x14ac:dyDescent="0.3">
      <c r="A347" s="15"/>
      <c r="B347" s="15"/>
      <c r="C347" s="40"/>
      <c r="D347" s="40"/>
      <c r="F347" s="8"/>
      <c r="G347" s="9"/>
    </row>
    <row r="348" spans="1:7" ht="16.5" customHeight="1" x14ac:dyDescent="0.25">
      <c r="A348" s="16" t="s">
        <v>8</v>
      </c>
      <c r="B348" s="16"/>
      <c r="F348" s="8"/>
      <c r="G348" s="9"/>
    </row>
    <row r="349" spans="1:7" ht="16.5" customHeight="1" x14ac:dyDescent="0.25">
      <c r="A349" s="133" t="s">
        <v>9</v>
      </c>
      <c r="B349" s="133"/>
      <c r="F349" s="8"/>
      <c r="G349" s="9"/>
    </row>
    <row r="350" spans="1:7" ht="16.5" customHeight="1" x14ac:dyDescent="0.25">
      <c r="F350" s="8"/>
      <c r="G350" s="9"/>
    </row>
    <row r="351" spans="1:7" ht="22.2" customHeight="1" x14ac:dyDescent="0.25">
      <c r="A351" s="39" t="s">
        <v>10</v>
      </c>
      <c r="B351" s="17"/>
      <c r="F351" s="8"/>
      <c r="G351" s="9"/>
    </row>
    <row r="352" spans="1:7" ht="37.950000000000003" customHeight="1" x14ac:dyDescent="0.25">
      <c r="A352" s="134" t="s">
        <v>22</v>
      </c>
      <c r="B352" s="134"/>
      <c r="C352" s="134"/>
      <c r="D352" s="134"/>
      <c r="F352" s="8"/>
      <c r="G352" s="9"/>
    </row>
    <row r="353" spans="1:7" ht="36" customHeight="1" x14ac:dyDescent="0.25">
      <c r="A353" s="135" t="s">
        <v>23</v>
      </c>
      <c r="B353" s="135"/>
      <c r="C353" s="135"/>
      <c r="D353" s="135"/>
      <c r="F353" s="8"/>
      <c r="G353" s="9"/>
    </row>
    <row r="354" spans="1:7" ht="16.5" customHeight="1" x14ac:dyDescent="0.25">
      <c r="D354" s="18"/>
      <c r="F354" s="8"/>
      <c r="G354" s="9"/>
    </row>
    <row r="355" spans="1:7" ht="16.5" customHeight="1" x14ac:dyDescent="0.25">
      <c r="A355" s="19" t="s">
        <v>24</v>
      </c>
      <c r="B355" s="20"/>
      <c r="F355" s="8"/>
      <c r="G355" s="9"/>
    </row>
    <row r="356" spans="1:7" ht="16.5" customHeight="1" x14ac:dyDescent="0.25">
      <c r="F356" s="8"/>
      <c r="G356" s="9"/>
    </row>
    <row r="357" spans="1:7" ht="16.5" customHeight="1" x14ac:dyDescent="0.25">
      <c r="F357" s="8"/>
      <c r="G357" s="9"/>
    </row>
    <row r="358" spans="1:7" ht="16.5" customHeight="1" x14ac:dyDescent="0.25">
      <c r="F358" s="8"/>
      <c r="G358" s="9"/>
    </row>
    <row r="359" spans="1:7" ht="16.5" customHeight="1" x14ac:dyDescent="0.25">
      <c r="F359" s="8"/>
      <c r="G359" s="9"/>
    </row>
    <row r="360" spans="1:7" ht="16.5" customHeight="1" x14ac:dyDescent="0.25">
      <c r="F360" s="8"/>
      <c r="G360" s="9"/>
    </row>
    <row r="361" spans="1:7" ht="16.5" customHeight="1" x14ac:dyDescent="0.25">
      <c r="F361" s="8"/>
      <c r="G361" s="9"/>
    </row>
    <row r="362" spans="1:7" ht="16.5" customHeight="1" x14ac:dyDescent="0.25">
      <c r="F362" s="8"/>
      <c r="G362" s="9"/>
    </row>
    <row r="363" spans="1:7" ht="16.5" customHeight="1" x14ac:dyDescent="0.25">
      <c r="F363" s="8"/>
      <c r="G363" s="9"/>
    </row>
    <row r="364" spans="1:7" ht="16.5" customHeight="1" x14ac:dyDescent="0.25">
      <c r="F364" s="8"/>
      <c r="G364" s="9"/>
    </row>
    <row r="365" spans="1:7" ht="16.5" customHeight="1" x14ac:dyDescent="0.25">
      <c r="F365" s="8"/>
      <c r="G365" s="9"/>
    </row>
    <row r="366" spans="1:7" ht="16.5" customHeight="1" x14ac:dyDescent="0.25">
      <c r="F366" s="8"/>
      <c r="G366" s="9"/>
    </row>
    <row r="367" spans="1:7" ht="16.5" customHeight="1" x14ac:dyDescent="0.25">
      <c r="F367" s="8"/>
      <c r="G367" s="9"/>
    </row>
    <row r="368" spans="1:7" ht="16.5" customHeight="1" x14ac:dyDescent="0.25">
      <c r="F368" s="8"/>
      <c r="G368" s="9"/>
    </row>
    <row r="369" spans="6:7" ht="16.5" customHeight="1" x14ac:dyDescent="0.25">
      <c r="F369" s="8"/>
      <c r="G369" s="9"/>
    </row>
    <row r="370" spans="6:7" ht="16.5" customHeight="1" x14ac:dyDescent="0.25">
      <c r="F370" s="8"/>
      <c r="G370" s="9"/>
    </row>
    <row r="371" spans="6:7" ht="16.5" customHeight="1" x14ac:dyDescent="0.25">
      <c r="F371" s="8"/>
      <c r="G371" s="9"/>
    </row>
    <row r="372" spans="6:7" ht="16.5" customHeight="1" x14ac:dyDescent="0.25">
      <c r="F372" s="8"/>
      <c r="G372" s="9"/>
    </row>
    <row r="373" spans="6:7" ht="16.5" customHeight="1" x14ac:dyDescent="0.25">
      <c r="F373" s="8"/>
      <c r="G373" s="9"/>
    </row>
    <row r="374" spans="6:7" ht="16.5" customHeight="1" x14ac:dyDescent="0.25">
      <c r="F374" s="8"/>
      <c r="G374" s="9"/>
    </row>
    <row r="375" spans="6:7" ht="16.5" customHeight="1" x14ac:dyDescent="0.25">
      <c r="F375" s="8"/>
      <c r="G375" s="9"/>
    </row>
    <row r="376" spans="6:7" ht="16.5" customHeight="1" x14ac:dyDescent="0.25">
      <c r="F376" s="8"/>
      <c r="G376" s="9"/>
    </row>
    <row r="377" spans="6:7" ht="16.5" customHeight="1" x14ac:dyDescent="0.25">
      <c r="F377" s="8"/>
      <c r="G377" s="9"/>
    </row>
    <row r="378" spans="6:7" ht="16.5" customHeight="1" x14ac:dyDescent="0.25">
      <c r="F378" s="8"/>
      <c r="G378" s="9"/>
    </row>
    <row r="379" spans="6:7" ht="16.5" customHeight="1" x14ac:dyDescent="0.25">
      <c r="F379" s="8"/>
      <c r="G379" s="9"/>
    </row>
    <row r="380" spans="6:7" ht="16.5" customHeight="1" x14ac:dyDescent="0.25">
      <c r="F380" s="8"/>
      <c r="G380" s="9"/>
    </row>
    <row r="381" spans="6:7" ht="16.5" customHeight="1" x14ac:dyDescent="0.25">
      <c r="F381" s="8"/>
      <c r="G381" s="9"/>
    </row>
    <row r="382" spans="6:7" ht="16.5" customHeight="1" x14ac:dyDescent="0.25">
      <c r="F382" s="8"/>
      <c r="G382" s="9"/>
    </row>
    <row r="383" spans="6:7" ht="16.5" customHeight="1" x14ac:dyDescent="0.25">
      <c r="F383" s="8"/>
      <c r="G383" s="9"/>
    </row>
    <row r="384" spans="6:7" ht="16.5" customHeight="1" x14ac:dyDescent="0.25">
      <c r="F384" s="8"/>
      <c r="G384" s="9"/>
    </row>
    <row r="385" spans="6:7" ht="16.5" customHeight="1" x14ac:dyDescent="0.25">
      <c r="F385" s="8"/>
      <c r="G385" s="9"/>
    </row>
    <row r="386" spans="6:7" ht="16.5" customHeight="1" x14ac:dyDescent="0.25">
      <c r="F386" s="8"/>
      <c r="G386" s="9"/>
    </row>
    <row r="387" spans="6:7" ht="16.5" customHeight="1" x14ac:dyDescent="0.25">
      <c r="F387" s="8"/>
      <c r="G387" s="9"/>
    </row>
    <row r="388" spans="6:7" ht="16.5" customHeight="1" x14ac:dyDescent="0.25">
      <c r="F388" s="8"/>
      <c r="G388" s="9"/>
    </row>
    <row r="389" spans="6:7" ht="16.5" customHeight="1" x14ac:dyDescent="0.25">
      <c r="F389" s="8"/>
      <c r="G389" s="9"/>
    </row>
    <row r="390" spans="6:7" ht="16.5" customHeight="1" x14ac:dyDescent="0.25">
      <c r="F390" s="8"/>
      <c r="G390" s="9"/>
    </row>
    <row r="391" spans="6:7" ht="16.5" customHeight="1" x14ac:dyDescent="0.25">
      <c r="F391" s="8"/>
      <c r="G391" s="9"/>
    </row>
    <row r="392" spans="6:7" ht="16.5" customHeight="1" x14ac:dyDescent="0.25">
      <c r="F392" s="8"/>
      <c r="G392" s="9"/>
    </row>
    <row r="393" spans="6:7" ht="16.5" customHeight="1" x14ac:dyDescent="0.25">
      <c r="F393" s="8"/>
      <c r="G393" s="9"/>
    </row>
    <row r="394" spans="6:7" ht="16.5" customHeight="1" x14ac:dyDescent="0.25">
      <c r="F394" s="8"/>
      <c r="G394" s="9"/>
    </row>
    <row r="395" spans="6:7" ht="16.5" customHeight="1" x14ac:dyDescent="0.25">
      <c r="F395" s="8"/>
      <c r="G395" s="9"/>
    </row>
    <row r="396" spans="6:7" ht="16.5" customHeight="1" x14ac:dyDescent="0.25">
      <c r="F396" s="8"/>
      <c r="G396" s="9"/>
    </row>
    <row r="397" spans="6:7" ht="16.5" customHeight="1" x14ac:dyDescent="0.25">
      <c r="F397" s="8"/>
      <c r="G397" s="9"/>
    </row>
    <row r="398" spans="6:7" ht="16.5" customHeight="1" x14ac:dyDescent="0.25">
      <c r="F398" s="8"/>
      <c r="G398" s="9"/>
    </row>
    <row r="399" spans="6:7" ht="16.5" customHeight="1" x14ac:dyDescent="0.25">
      <c r="F399" s="8"/>
      <c r="G399" s="9"/>
    </row>
    <row r="400" spans="6:7" ht="16.5" customHeight="1" x14ac:dyDescent="0.25">
      <c r="F400" s="8"/>
      <c r="G400" s="9"/>
    </row>
    <row r="401" spans="6:7" ht="16.5" customHeight="1" x14ac:dyDescent="0.25">
      <c r="F401" s="8"/>
      <c r="G401" s="9"/>
    </row>
    <row r="402" spans="6:7" ht="16.5" customHeight="1" x14ac:dyDescent="0.25">
      <c r="F402" s="8"/>
      <c r="G402" s="9"/>
    </row>
    <row r="403" spans="6:7" ht="16.5" customHeight="1" x14ac:dyDescent="0.25">
      <c r="F403" s="8"/>
      <c r="G403" s="9"/>
    </row>
    <row r="404" spans="6:7" ht="16.5" customHeight="1" x14ac:dyDescent="0.25">
      <c r="F404" s="8"/>
      <c r="G404" s="9"/>
    </row>
    <row r="405" spans="6:7" ht="16.5" customHeight="1" x14ac:dyDescent="0.25">
      <c r="F405" s="8"/>
      <c r="G405" s="9"/>
    </row>
    <row r="406" spans="6:7" ht="16.5" customHeight="1" x14ac:dyDescent="0.25">
      <c r="F406" s="8"/>
      <c r="G406" s="9"/>
    </row>
    <row r="407" spans="6:7" ht="16.5" customHeight="1" x14ac:dyDescent="0.25">
      <c r="F407" s="8"/>
      <c r="G407" s="9"/>
    </row>
    <row r="408" spans="6:7" ht="16.5" customHeight="1" x14ac:dyDescent="0.25">
      <c r="F408" s="8"/>
      <c r="G408" s="9"/>
    </row>
    <row r="409" spans="6:7" ht="16.5" customHeight="1" x14ac:dyDescent="0.25">
      <c r="F409" s="8"/>
      <c r="G409" s="9"/>
    </row>
    <row r="410" spans="6:7" ht="16.5" customHeight="1" x14ac:dyDescent="0.25">
      <c r="F410" s="8"/>
      <c r="G410" s="9"/>
    </row>
    <row r="411" spans="6:7" ht="16.5" customHeight="1" x14ac:dyDescent="0.25">
      <c r="F411" s="8"/>
      <c r="G411" s="9"/>
    </row>
    <row r="412" spans="6:7" ht="16.5" customHeight="1" x14ac:dyDescent="0.25">
      <c r="F412" s="8"/>
      <c r="G412" s="9"/>
    </row>
    <row r="413" spans="6:7" ht="16.5" customHeight="1" x14ac:dyDescent="0.25">
      <c r="F413" s="8"/>
      <c r="G413" s="9"/>
    </row>
    <row r="414" spans="6:7" ht="16.5" customHeight="1" x14ac:dyDescent="0.25">
      <c r="F414" s="8"/>
      <c r="G414" s="9"/>
    </row>
    <row r="415" spans="6:7" ht="16.5" customHeight="1" x14ac:dyDescent="0.25">
      <c r="F415" s="8"/>
      <c r="G415" s="9"/>
    </row>
    <row r="416" spans="6:7" ht="16.5" customHeight="1" x14ac:dyDescent="0.25">
      <c r="F416" s="8"/>
      <c r="G416" s="9"/>
    </row>
    <row r="417" spans="6:7" ht="16.5" customHeight="1" x14ac:dyDescent="0.25">
      <c r="F417" s="8"/>
      <c r="G417" s="9"/>
    </row>
    <row r="418" spans="6:7" ht="16.5" customHeight="1" x14ac:dyDescent="0.25">
      <c r="F418" s="8"/>
      <c r="G418" s="9"/>
    </row>
    <row r="419" spans="6:7" ht="16.5" customHeight="1" x14ac:dyDescent="0.25">
      <c r="F419" s="8"/>
      <c r="G419" s="9"/>
    </row>
    <row r="420" spans="6:7" ht="16.5" customHeight="1" x14ac:dyDescent="0.25">
      <c r="F420" s="8"/>
      <c r="G420" s="9"/>
    </row>
    <row r="421" spans="6:7" ht="16.5" customHeight="1" x14ac:dyDescent="0.25">
      <c r="F421" s="8"/>
      <c r="G421" s="9"/>
    </row>
    <row r="422" spans="6:7" ht="16.5" customHeight="1" x14ac:dyDescent="0.25">
      <c r="F422" s="8"/>
      <c r="G422" s="9"/>
    </row>
    <row r="423" spans="6:7" ht="16.5" customHeight="1" x14ac:dyDescent="0.25">
      <c r="F423" s="8"/>
      <c r="G423" s="9"/>
    </row>
    <row r="424" spans="6:7" ht="16.5" customHeight="1" x14ac:dyDescent="0.25">
      <c r="F424" s="8"/>
      <c r="G424" s="9"/>
    </row>
    <row r="425" spans="6:7" ht="16.5" customHeight="1" x14ac:dyDescent="0.25">
      <c r="F425" s="8"/>
      <c r="G425" s="9"/>
    </row>
    <row r="426" spans="6:7" ht="16.5" customHeight="1" x14ac:dyDescent="0.25">
      <c r="F426" s="8"/>
      <c r="G426" s="9"/>
    </row>
    <row r="427" spans="6:7" ht="16.5" customHeight="1" x14ac:dyDescent="0.25">
      <c r="F427" s="8"/>
      <c r="G427" s="9"/>
    </row>
    <row r="428" spans="6:7" ht="16.5" customHeight="1" x14ac:dyDescent="0.25">
      <c r="F428" s="8"/>
      <c r="G428" s="9"/>
    </row>
    <row r="429" spans="6:7" ht="16.5" customHeight="1" x14ac:dyDescent="0.25">
      <c r="F429" s="8"/>
      <c r="G429" s="9"/>
    </row>
    <row r="430" spans="6:7" ht="16.5" customHeight="1" x14ac:dyDescent="0.25">
      <c r="F430" s="8"/>
      <c r="G430" s="14"/>
    </row>
    <row r="431" spans="6:7" ht="60" customHeight="1" x14ac:dyDescent="0.3">
      <c r="F431"/>
    </row>
    <row r="432" spans="6:7" ht="14.4" x14ac:dyDescent="0.3">
      <c r="F432"/>
    </row>
    <row r="433" spans="6:6" ht="14.4" x14ac:dyDescent="0.3">
      <c r="F433"/>
    </row>
    <row r="434" spans="6:6" ht="14.4" x14ac:dyDescent="0.3">
      <c r="F434"/>
    </row>
    <row r="435" spans="6:6" ht="14.4" x14ac:dyDescent="0.3">
      <c r="F435"/>
    </row>
    <row r="436" spans="6:6" ht="14.4" x14ac:dyDescent="0.3">
      <c r="F436"/>
    </row>
    <row r="437" spans="6:6" ht="14.4" x14ac:dyDescent="0.3">
      <c r="F437"/>
    </row>
    <row r="438" spans="6:6" ht="14.4" x14ac:dyDescent="0.3">
      <c r="F438"/>
    </row>
    <row r="439" spans="6:6" ht="14.4" x14ac:dyDescent="0.3">
      <c r="F439"/>
    </row>
    <row r="440" spans="6:6" ht="14.4" x14ac:dyDescent="0.3">
      <c r="F440"/>
    </row>
    <row r="441" spans="6:6" ht="14.4" x14ac:dyDescent="0.3">
      <c r="F441"/>
    </row>
    <row r="442" spans="6:6" ht="14.4" x14ac:dyDescent="0.3">
      <c r="F442"/>
    </row>
    <row r="443" spans="6:6" ht="14.4" x14ac:dyDescent="0.3">
      <c r="F443"/>
    </row>
    <row r="444" spans="6:6" ht="14.4" x14ac:dyDescent="0.3">
      <c r="F444"/>
    </row>
    <row r="445" spans="6:6" ht="14.4" x14ac:dyDescent="0.3">
      <c r="F445"/>
    </row>
    <row r="446" spans="6:6" ht="14.4" x14ac:dyDescent="0.3">
      <c r="F446"/>
    </row>
    <row r="447" spans="6:6" ht="14.4" x14ac:dyDescent="0.3">
      <c r="F447"/>
    </row>
    <row r="448" spans="6:6" ht="14.4" x14ac:dyDescent="0.3">
      <c r="F448"/>
    </row>
    <row r="449" spans="6:6" ht="14.4" x14ac:dyDescent="0.3">
      <c r="F449"/>
    </row>
    <row r="450" spans="6:6" ht="14.4" x14ac:dyDescent="0.3">
      <c r="F450"/>
    </row>
    <row r="451" spans="6:6" ht="14.4" x14ac:dyDescent="0.3">
      <c r="F451"/>
    </row>
    <row r="452" spans="6:6" ht="14.4" x14ac:dyDescent="0.3">
      <c r="F452"/>
    </row>
    <row r="453" spans="6:6" ht="14.4" x14ac:dyDescent="0.3">
      <c r="F453"/>
    </row>
    <row r="454" spans="6:6" ht="14.4" x14ac:dyDescent="0.3">
      <c r="F454"/>
    </row>
    <row r="455" spans="6:6" ht="14.4" x14ac:dyDescent="0.3">
      <c r="F455"/>
    </row>
    <row r="456" spans="6:6" ht="14.4" x14ac:dyDescent="0.3">
      <c r="F456"/>
    </row>
    <row r="457" spans="6:6" ht="14.4" x14ac:dyDescent="0.3">
      <c r="F457"/>
    </row>
    <row r="458" spans="6:6" ht="14.4" x14ac:dyDescent="0.3">
      <c r="F458"/>
    </row>
    <row r="459" spans="6:6" ht="14.4" x14ac:dyDescent="0.3">
      <c r="F459"/>
    </row>
    <row r="460" spans="6:6" ht="14.4" x14ac:dyDescent="0.3">
      <c r="F460"/>
    </row>
  </sheetData>
  <mergeCells count="13">
    <mergeCell ref="A349:B349"/>
    <mergeCell ref="A352:D352"/>
    <mergeCell ref="A353:D353"/>
    <mergeCell ref="A1:D1"/>
    <mergeCell ref="A2:D2"/>
    <mergeCell ref="A3:D3"/>
    <mergeCell ref="A4:D4"/>
    <mergeCell ref="A5:A7"/>
    <mergeCell ref="B5:B6"/>
    <mergeCell ref="C5:D5"/>
    <mergeCell ref="C6:D6"/>
    <mergeCell ref="A60:D60"/>
    <mergeCell ref="A61:D61"/>
  </mergeCells>
  <printOptions horizontalCentered="1" verticalCentered="1"/>
  <pageMargins left="0.98425196850393704" right="0.98425196850393704" top="1.3779527559055118" bottom="1.3779527559055118" header="0.70866141732283472" footer="0.51181102362204722"/>
  <pageSetup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E66AA-B1BF-4AF7-B30E-E4311315E5E0}">
  <sheetPr>
    <pageSetUpPr fitToPage="1"/>
  </sheetPr>
  <dimension ref="A1:AF149"/>
  <sheetViews>
    <sheetView topLeftCell="A12" zoomScaleNormal="100" workbookViewId="0">
      <selection sqref="A1:AD41"/>
    </sheetView>
  </sheetViews>
  <sheetFormatPr baseColWidth="10" defaultColWidth="11.44140625" defaultRowHeight="13.2" x14ac:dyDescent="0.25"/>
  <cols>
    <col min="1" max="1" width="7.44140625" style="7" bestFit="1" customWidth="1"/>
    <col min="2" max="2" width="9.44140625" style="7" bestFit="1" customWidth="1"/>
    <col min="3" max="8" width="6.6640625" style="7" bestFit="1" customWidth="1"/>
    <col min="9" max="9" width="8.33203125" style="7" customWidth="1"/>
    <col min="10" max="26" width="6.6640625" style="7" bestFit="1" customWidth="1"/>
    <col min="27" max="27" width="5.6640625" style="7" bestFit="1" customWidth="1"/>
    <col min="28" max="29" width="8.44140625" style="7" bestFit="1" customWidth="1"/>
    <col min="30" max="30" width="3.44140625" style="7" customWidth="1"/>
    <col min="31" max="31" width="12.6640625" style="7" bestFit="1" customWidth="1"/>
    <col min="32" max="16384" width="11.44140625" style="7"/>
  </cols>
  <sheetData>
    <row r="1" spans="1:32" x14ac:dyDescent="0.25">
      <c r="A1" s="80" t="s">
        <v>12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</row>
    <row r="2" spans="1:32" ht="15" customHeight="1" x14ac:dyDescent="0.25">
      <c r="A2" s="80" t="s">
        <v>36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</row>
    <row r="3" spans="1:32" ht="13.8" thickBot="1" x14ac:dyDescent="0.3">
      <c r="A3" s="80" t="s">
        <v>26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</row>
    <row r="4" spans="1:32" x14ac:dyDescent="0.25">
      <c r="A4" s="21"/>
      <c r="B4" s="22" t="s">
        <v>13</v>
      </c>
      <c r="C4" s="23">
        <v>1</v>
      </c>
      <c r="D4" s="23">
        <v>2</v>
      </c>
      <c r="E4" s="23">
        <v>3</v>
      </c>
      <c r="F4" s="23">
        <v>4</v>
      </c>
      <c r="G4" s="23">
        <v>5</v>
      </c>
      <c r="H4" s="23">
        <v>6</v>
      </c>
      <c r="I4" s="23">
        <v>7</v>
      </c>
      <c r="J4" s="23">
        <v>8</v>
      </c>
      <c r="K4" s="23">
        <v>9</v>
      </c>
      <c r="L4" s="23">
        <v>10</v>
      </c>
      <c r="M4" s="23">
        <v>11</v>
      </c>
      <c r="N4" s="23">
        <v>12</v>
      </c>
      <c r="O4" s="23">
        <v>13</v>
      </c>
      <c r="P4" s="23">
        <v>14</v>
      </c>
      <c r="Q4" s="23">
        <v>15</v>
      </c>
      <c r="R4" s="23">
        <v>16</v>
      </c>
      <c r="S4" s="23">
        <v>17</v>
      </c>
      <c r="T4" s="23">
        <v>18</v>
      </c>
      <c r="U4" s="23">
        <v>19</v>
      </c>
      <c r="V4" s="23">
        <v>20</v>
      </c>
      <c r="W4" s="23">
        <v>21</v>
      </c>
      <c r="X4" s="23">
        <v>22</v>
      </c>
      <c r="Y4" s="23">
        <v>23</v>
      </c>
      <c r="Z4" s="23">
        <v>24</v>
      </c>
      <c r="AA4" s="81" t="s">
        <v>14</v>
      </c>
      <c r="AB4" s="81" t="s">
        <v>7</v>
      </c>
      <c r="AC4" s="83" t="s">
        <v>15</v>
      </c>
      <c r="AD4" s="24"/>
    </row>
    <row r="5" spans="1:32" ht="13.8" thickBot="1" x14ac:dyDescent="0.3">
      <c r="A5" s="25" t="s">
        <v>16</v>
      </c>
      <c r="B5" s="26" t="s">
        <v>17</v>
      </c>
      <c r="C5" s="27" t="s">
        <v>18</v>
      </c>
      <c r="D5" s="27" t="s">
        <v>18</v>
      </c>
      <c r="E5" s="27" t="s">
        <v>18</v>
      </c>
      <c r="F5" s="27" t="s">
        <v>18</v>
      </c>
      <c r="G5" s="27" t="s">
        <v>18</v>
      </c>
      <c r="H5" s="27" t="s">
        <v>18</v>
      </c>
      <c r="I5" s="27" t="s">
        <v>18</v>
      </c>
      <c r="J5" s="27" t="s">
        <v>18</v>
      </c>
      <c r="K5" s="27" t="s">
        <v>18</v>
      </c>
      <c r="L5" s="27" t="s">
        <v>18</v>
      </c>
      <c r="M5" s="27" t="s">
        <v>18</v>
      </c>
      <c r="N5" s="27" t="s">
        <v>18</v>
      </c>
      <c r="O5" s="27" t="s">
        <v>18</v>
      </c>
      <c r="P5" s="27" t="s">
        <v>18</v>
      </c>
      <c r="Q5" s="27" t="s">
        <v>18</v>
      </c>
      <c r="R5" s="27" t="s">
        <v>18</v>
      </c>
      <c r="S5" s="27" t="s">
        <v>18</v>
      </c>
      <c r="T5" s="27" t="s">
        <v>18</v>
      </c>
      <c r="U5" s="27" t="s">
        <v>18</v>
      </c>
      <c r="V5" s="27" t="s">
        <v>18</v>
      </c>
      <c r="W5" s="27" t="s">
        <v>18</v>
      </c>
      <c r="X5" s="27" t="s">
        <v>18</v>
      </c>
      <c r="Y5" s="27" t="s">
        <v>18</v>
      </c>
      <c r="Z5" s="27" t="s">
        <v>18</v>
      </c>
      <c r="AA5" s="82"/>
      <c r="AB5" s="82"/>
      <c r="AC5" s="84"/>
      <c r="AD5" s="24"/>
    </row>
    <row r="6" spans="1:32" ht="13.8" thickBot="1" x14ac:dyDescent="0.3">
      <c r="A6" s="78">
        <v>48580</v>
      </c>
      <c r="B6" s="23" t="s">
        <v>19</v>
      </c>
      <c r="C6" s="41">
        <v>62000</v>
      </c>
      <c r="D6" s="41">
        <f t="shared" ref="D6:S21" si="0">+C6</f>
        <v>62000</v>
      </c>
      <c r="E6" s="41">
        <f t="shared" si="0"/>
        <v>62000</v>
      </c>
      <c r="F6" s="41">
        <f t="shared" si="0"/>
        <v>62000</v>
      </c>
      <c r="G6" s="41">
        <f t="shared" si="0"/>
        <v>62000</v>
      </c>
      <c r="H6" s="41">
        <f t="shared" si="0"/>
        <v>62000</v>
      </c>
      <c r="I6" s="41">
        <f t="shared" si="0"/>
        <v>62000</v>
      </c>
      <c r="J6" s="41">
        <f t="shared" si="0"/>
        <v>62000</v>
      </c>
      <c r="K6" s="41">
        <f t="shared" si="0"/>
        <v>62000</v>
      </c>
      <c r="L6" s="41">
        <f t="shared" si="0"/>
        <v>62000</v>
      </c>
      <c r="M6" s="41">
        <f t="shared" si="0"/>
        <v>62000</v>
      </c>
      <c r="N6" s="41">
        <f t="shared" si="0"/>
        <v>62000</v>
      </c>
      <c r="O6" s="41">
        <f t="shared" si="0"/>
        <v>62000</v>
      </c>
      <c r="P6" s="41">
        <f t="shared" si="0"/>
        <v>62000</v>
      </c>
      <c r="Q6" s="41">
        <f t="shared" si="0"/>
        <v>62000</v>
      </c>
      <c r="R6" s="41">
        <f t="shared" si="0"/>
        <v>62000</v>
      </c>
      <c r="S6" s="41">
        <f t="shared" si="0"/>
        <v>62000</v>
      </c>
      <c r="T6" s="41">
        <f t="shared" ref="T6:Z21" si="1">+S6</f>
        <v>62000</v>
      </c>
      <c r="U6" s="41">
        <f t="shared" si="1"/>
        <v>62000</v>
      </c>
      <c r="V6" s="41">
        <f t="shared" si="1"/>
        <v>62000</v>
      </c>
      <c r="W6" s="41">
        <f t="shared" si="1"/>
        <v>62000</v>
      </c>
      <c r="X6" s="41">
        <f t="shared" si="1"/>
        <v>62000</v>
      </c>
      <c r="Y6" s="41">
        <f t="shared" si="1"/>
        <v>62000</v>
      </c>
      <c r="Z6" s="41">
        <f t="shared" si="1"/>
        <v>62000</v>
      </c>
      <c r="AA6" s="42">
        <v>20</v>
      </c>
      <c r="AB6" s="30">
        <f t="shared" ref="AB6:AB12" si="2">+SUM(C6:Z6)*AA6</f>
        <v>29760000</v>
      </c>
      <c r="AC6" s="79">
        <f t="shared" ref="AC6" si="3">+AB6+AB7+AB8</f>
        <v>46128000</v>
      </c>
      <c r="AF6" s="31"/>
    </row>
    <row r="7" spans="1:32" ht="13.8" thickBot="1" x14ac:dyDescent="0.3">
      <c r="A7" s="76"/>
      <c r="B7" s="32" t="s">
        <v>20</v>
      </c>
      <c r="C7" s="41">
        <v>62000</v>
      </c>
      <c r="D7" s="41">
        <f t="shared" si="0"/>
        <v>62000</v>
      </c>
      <c r="E7" s="41">
        <f t="shared" si="0"/>
        <v>62000</v>
      </c>
      <c r="F7" s="41">
        <f t="shared" si="0"/>
        <v>62000</v>
      </c>
      <c r="G7" s="41">
        <f t="shared" si="0"/>
        <v>62000</v>
      </c>
      <c r="H7" s="41">
        <f t="shared" si="0"/>
        <v>62000</v>
      </c>
      <c r="I7" s="41">
        <f t="shared" si="0"/>
        <v>62000</v>
      </c>
      <c r="J7" s="41">
        <f t="shared" si="0"/>
        <v>62000</v>
      </c>
      <c r="K7" s="41">
        <f t="shared" si="0"/>
        <v>62000</v>
      </c>
      <c r="L7" s="41">
        <f t="shared" si="0"/>
        <v>62000</v>
      </c>
      <c r="M7" s="41">
        <f t="shared" si="0"/>
        <v>62000</v>
      </c>
      <c r="N7" s="41">
        <f t="shared" si="0"/>
        <v>62000</v>
      </c>
      <c r="O7" s="41">
        <f t="shared" si="0"/>
        <v>62000</v>
      </c>
      <c r="P7" s="41">
        <f t="shared" si="0"/>
        <v>62000</v>
      </c>
      <c r="Q7" s="41">
        <f t="shared" si="0"/>
        <v>62000</v>
      </c>
      <c r="R7" s="41">
        <f t="shared" si="0"/>
        <v>62000</v>
      </c>
      <c r="S7" s="41">
        <f t="shared" si="0"/>
        <v>62000</v>
      </c>
      <c r="T7" s="41">
        <f t="shared" si="1"/>
        <v>62000</v>
      </c>
      <c r="U7" s="41">
        <f t="shared" si="1"/>
        <v>62000</v>
      </c>
      <c r="V7" s="41">
        <f t="shared" si="1"/>
        <v>62000</v>
      </c>
      <c r="W7" s="41">
        <f t="shared" si="1"/>
        <v>62000</v>
      </c>
      <c r="X7" s="41">
        <f t="shared" si="1"/>
        <v>62000</v>
      </c>
      <c r="Y7" s="41">
        <f t="shared" si="1"/>
        <v>62000</v>
      </c>
      <c r="Z7" s="41">
        <f t="shared" si="1"/>
        <v>62000</v>
      </c>
      <c r="AA7" s="45">
        <v>5</v>
      </c>
      <c r="AB7" s="30">
        <f t="shared" si="2"/>
        <v>7440000</v>
      </c>
      <c r="AC7" s="73"/>
      <c r="AF7" s="31"/>
    </row>
    <row r="8" spans="1:32" ht="13.8" thickBot="1" x14ac:dyDescent="0.3">
      <c r="A8" s="76"/>
      <c r="B8" s="32" t="s">
        <v>21</v>
      </c>
      <c r="C8" s="41">
        <v>62000</v>
      </c>
      <c r="D8" s="41">
        <f t="shared" si="0"/>
        <v>62000</v>
      </c>
      <c r="E8" s="41">
        <f t="shared" si="0"/>
        <v>62000</v>
      </c>
      <c r="F8" s="41">
        <f t="shared" si="0"/>
        <v>62000</v>
      </c>
      <c r="G8" s="41">
        <f t="shared" si="0"/>
        <v>62000</v>
      </c>
      <c r="H8" s="41">
        <f t="shared" si="0"/>
        <v>62000</v>
      </c>
      <c r="I8" s="41">
        <f t="shared" si="0"/>
        <v>62000</v>
      </c>
      <c r="J8" s="41">
        <f t="shared" si="0"/>
        <v>62000</v>
      </c>
      <c r="K8" s="41">
        <f t="shared" si="0"/>
        <v>62000</v>
      </c>
      <c r="L8" s="41">
        <f t="shared" si="0"/>
        <v>62000</v>
      </c>
      <c r="M8" s="41">
        <f t="shared" si="0"/>
        <v>62000</v>
      </c>
      <c r="N8" s="41">
        <f t="shared" si="0"/>
        <v>62000</v>
      </c>
      <c r="O8" s="41">
        <f t="shared" si="0"/>
        <v>62000</v>
      </c>
      <c r="P8" s="41">
        <f t="shared" si="0"/>
        <v>62000</v>
      </c>
      <c r="Q8" s="41">
        <f t="shared" si="0"/>
        <v>62000</v>
      </c>
      <c r="R8" s="41">
        <f t="shared" si="0"/>
        <v>62000</v>
      </c>
      <c r="S8" s="41">
        <f t="shared" si="0"/>
        <v>62000</v>
      </c>
      <c r="T8" s="41">
        <f t="shared" si="1"/>
        <v>62000</v>
      </c>
      <c r="U8" s="41">
        <f t="shared" si="1"/>
        <v>62000</v>
      </c>
      <c r="V8" s="41">
        <f t="shared" si="1"/>
        <v>62000</v>
      </c>
      <c r="W8" s="41">
        <f t="shared" si="1"/>
        <v>62000</v>
      </c>
      <c r="X8" s="41">
        <f t="shared" si="1"/>
        <v>62000</v>
      </c>
      <c r="Y8" s="41">
        <f t="shared" si="1"/>
        <v>62000</v>
      </c>
      <c r="Z8" s="41">
        <f t="shared" si="1"/>
        <v>62000</v>
      </c>
      <c r="AA8" s="45">
        <v>6</v>
      </c>
      <c r="AB8" s="30">
        <f t="shared" si="2"/>
        <v>8928000</v>
      </c>
      <c r="AC8" s="74"/>
      <c r="AF8" s="31"/>
    </row>
    <row r="9" spans="1:32" ht="14.4" thickTop="1" thickBot="1" x14ac:dyDescent="0.3">
      <c r="A9" s="75">
        <v>48611</v>
      </c>
      <c r="B9" s="34" t="s">
        <v>19</v>
      </c>
      <c r="C9" s="41">
        <v>62000</v>
      </c>
      <c r="D9" s="41">
        <f t="shared" si="0"/>
        <v>62000</v>
      </c>
      <c r="E9" s="41">
        <f t="shared" si="0"/>
        <v>62000</v>
      </c>
      <c r="F9" s="41">
        <f t="shared" si="0"/>
        <v>62000</v>
      </c>
      <c r="G9" s="41">
        <f t="shared" si="0"/>
        <v>62000</v>
      </c>
      <c r="H9" s="41">
        <f t="shared" si="0"/>
        <v>62000</v>
      </c>
      <c r="I9" s="41">
        <f t="shared" si="0"/>
        <v>62000</v>
      </c>
      <c r="J9" s="41">
        <f t="shared" si="0"/>
        <v>62000</v>
      </c>
      <c r="K9" s="41">
        <f t="shared" si="0"/>
        <v>62000</v>
      </c>
      <c r="L9" s="41">
        <f t="shared" si="0"/>
        <v>62000</v>
      </c>
      <c r="M9" s="41">
        <f t="shared" si="0"/>
        <v>62000</v>
      </c>
      <c r="N9" s="41">
        <f t="shared" si="0"/>
        <v>62000</v>
      </c>
      <c r="O9" s="41">
        <f t="shared" si="0"/>
        <v>62000</v>
      </c>
      <c r="P9" s="41">
        <f t="shared" si="0"/>
        <v>62000</v>
      </c>
      <c r="Q9" s="41">
        <f t="shared" si="0"/>
        <v>62000</v>
      </c>
      <c r="R9" s="41">
        <f t="shared" si="0"/>
        <v>62000</v>
      </c>
      <c r="S9" s="41">
        <f t="shared" si="0"/>
        <v>62000</v>
      </c>
      <c r="T9" s="41">
        <f t="shared" si="1"/>
        <v>62000</v>
      </c>
      <c r="U9" s="41">
        <f t="shared" si="1"/>
        <v>62000</v>
      </c>
      <c r="V9" s="41">
        <f t="shared" si="1"/>
        <v>62000</v>
      </c>
      <c r="W9" s="41">
        <f t="shared" si="1"/>
        <v>62000</v>
      </c>
      <c r="X9" s="41">
        <f t="shared" si="1"/>
        <v>62000</v>
      </c>
      <c r="Y9" s="41">
        <f t="shared" si="1"/>
        <v>62000</v>
      </c>
      <c r="Z9" s="41">
        <f t="shared" si="1"/>
        <v>62000</v>
      </c>
      <c r="AA9" s="45">
        <v>20</v>
      </c>
      <c r="AB9" s="30">
        <f t="shared" si="2"/>
        <v>29760000</v>
      </c>
      <c r="AC9" s="79">
        <f t="shared" ref="AC9" si="4">+AB9+AB10+AB11</f>
        <v>41664000</v>
      </c>
      <c r="AF9" s="31"/>
    </row>
    <row r="10" spans="1:32" ht="13.8" thickBot="1" x14ac:dyDescent="0.3">
      <c r="A10" s="76"/>
      <c r="B10" s="32" t="s">
        <v>20</v>
      </c>
      <c r="C10" s="41">
        <v>62000</v>
      </c>
      <c r="D10" s="41">
        <f t="shared" si="0"/>
        <v>62000</v>
      </c>
      <c r="E10" s="41">
        <f t="shared" si="0"/>
        <v>62000</v>
      </c>
      <c r="F10" s="41">
        <f t="shared" si="0"/>
        <v>62000</v>
      </c>
      <c r="G10" s="41">
        <f t="shared" si="0"/>
        <v>62000</v>
      </c>
      <c r="H10" s="41">
        <f t="shared" si="0"/>
        <v>62000</v>
      </c>
      <c r="I10" s="41">
        <f t="shared" si="0"/>
        <v>62000</v>
      </c>
      <c r="J10" s="41">
        <f t="shared" si="0"/>
        <v>62000</v>
      </c>
      <c r="K10" s="41">
        <f t="shared" si="0"/>
        <v>62000</v>
      </c>
      <c r="L10" s="41">
        <f t="shared" si="0"/>
        <v>62000</v>
      </c>
      <c r="M10" s="41">
        <f t="shared" si="0"/>
        <v>62000</v>
      </c>
      <c r="N10" s="41">
        <f t="shared" si="0"/>
        <v>62000</v>
      </c>
      <c r="O10" s="41">
        <f t="shared" si="0"/>
        <v>62000</v>
      </c>
      <c r="P10" s="41">
        <f t="shared" si="0"/>
        <v>62000</v>
      </c>
      <c r="Q10" s="41">
        <f t="shared" si="0"/>
        <v>62000</v>
      </c>
      <c r="R10" s="41">
        <f t="shared" si="0"/>
        <v>62000</v>
      </c>
      <c r="S10" s="41">
        <f t="shared" si="0"/>
        <v>62000</v>
      </c>
      <c r="T10" s="41">
        <f t="shared" si="1"/>
        <v>62000</v>
      </c>
      <c r="U10" s="41">
        <f t="shared" si="1"/>
        <v>62000</v>
      </c>
      <c r="V10" s="41">
        <f t="shared" si="1"/>
        <v>62000</v>
      </c>
      <c r="W10" s="41">
        <f t="shared" si="1"/>
        <v>62000</v>
      </c>
      <c r="X10" s="41">
        <f t="shared" si="1"/>
        <v>62000</v>
      </c>
      <c r="Y10" s="41">
        <f t="shared" si="1"/>
        <v>62000</v>
      </c>
      <c r="Z10" s="41">
        <f t="shared" si="1"/>
        <v>62000</v>
      </c>
      <c r="AA10" s="45">
        <v>4</v>
      </c>
      <c r="AB10" s="30">
        <f t="shared" si="2"/>
        <v>5952000</v>
      </c>
      <c r="AC10" s="73"/>
      <c r="AF10" s="31"/>
    </row>
    <row r="11" spans="1:32" ht="13.8" thickBot="1" x14ac:dyDescent="0.3">
      <c r="A11" s="76"/>
      <c r="B11" s="32" t="s">
        <v>21</v>
      </c>
      <c r="C11" s="41">
        <v>62000</v>
      </c>
      <c r="D11" s="41">
        <f t="shared" si="0"/>
        <v>62000</v>
      </c>
      <c r="E11" s="41">
        <f t="shared" si="0"/>
        <v>62000</v>
      </c>
      <c r="F11" s="41">
        <f t="shared" si="0"/>
        <v>62000</v>
      </c>
      <c r="G11" s="41">
        <f t="shared" si="0"/>
        <v>62000</v>
      </c>
      <c r="H11" s="41">
        <f t="shared" si="0"/>
        <v>62000</v>
      </c>
      <c r="I11" s="41">
        <f t="shared" si="0"/>
        <v>62000</v>
      </c>
      <c r="J11" s="41">
        <f t="shared" si="0"/>
        <v>62000</v>
      </c>
      <c r="K11" s="41">
        <f t="shared" si="0"/>
        <v>62000</v>
      </c>
      <c r="L11" s="41">
        <f t="shared" si="0"/>
        <v>62000</v>
      </c>
      <c r="M11" s="41">
        <f t="shared" si="0"/>
        <v>62000</v>
      </c>
      <c r="N11" s="41">
        <f t="shared" si="0"/>
        <v>62000</v>
      </c>
      <c r="O11" s="41">
        <f t="shared" si="0"/>
        <v>62000</v>
      </c>
      <c r="P11" s="41">
        <f t="shared" si="0"/>
        <v>62000</v>
      </c>
      <c r="Q11" s="41">
        <f t="shared" si="0"/>
        <v>62000</v>
      </c>
      <c r="R11" s="41">
        <f t="shared" si="0"/>
        <v>62000</v>
      </c>
      <c r="S11" s="41">
        <f t="shared" si="0"/>
        <v>62000</v>
      </c>
      <c r="T11" s="41">
        <f t="shared" si="1"/>
        <v>62000</v>
      </c>
      <c r="U11" s="41">
        <f t="shared" si="1"/>
        <v>62000</v>
      </c>
      <c r="V11" s="41">
        <f t="shared" si="1"/>
        <v>62000</v>
      </c>
      <c r="W11" s="41">
        <f t="shared" si="1"/>
        <v>62000</v>
      </c>
      <c r="X11" s="41">
        <f t="shared" si="1"/>
        <v>62000</v>
      </c>
      <c r="Y11" s="41">
        <f t="shared" si="1"/>
        <v>62000</v>
      </c>
      <c r="Z11" s="41">
        <f t="shared" si="1"/>
        <v>62000</v>
      </c>
      <c r="AA11" s="45">
        <v>4</v>
      </c>
      <c r="AB11" s="30">
        <f t="shared" si="2"/>
        <v>5952000</v>
      </c>
      <c r="AC11" s="74"/>
      <c r="AF11" s="31"/>
    </row>
    <row r="12" spans="1:32" ht="14.4" thickTop="1" thickBot="1" x14ac:dyDescent="0.3">
      <c r="A12" s="75">
        <v>48639</v>
      </c>
      <c r="B12" s="34" t="s">
        <v>19</v>
      </c>
      <c r="C12" s="41">
        <v>62000</v>
      </c>
      <c r="D12" s="41">
        <f t="shared" si="0"/>
        <v>62000</v>
      </c>
      <c r="E12" s="41">
        <f t="shared" si="0"/>
        <v>62000</v>
      </c>
      <c r="F12" s="41">
        <f t="shared" si="0"/>
        <v>62000</v>
      </c>
      <c r="G12" s="41">
        <f t="shared" si="0"/>
        <v>62000</v>
      </c>
      <c r="H12" s="41">
        <f t="shared" si="0"/>
        <v>62000</v>
      </c>
      <c r="I12" s="41">
        <f t="shared" si="0"/>
        <v>62000</v>
      </c>
      <c r="J12" s="41">
        <f t="shared" si="0"/>
        <v>62000</v>
      </c>
      <c r="K12" s="41">
        <f t="shared" si="0"/>
        <v>62000</v>
      </c>
      <c r="L12" s="41">
        <f t="shared" si="0"/>
        <v>62000</v>
      </c>
      <c r="M12" s="41">
        <f t="shared" si="0"/>
        <v>62000</v>
      </c>
      <c r="N12" s="41">
        <f t="shared" si="0"/>
        <v>62000</v>
      </c>
      <c r="O12" s="41">
        <f t="shared" si="0"/>
        <v>62000</v>
      </c>
      <c r="P12" s="41">
        <f t="shared" si="0"/>
        <v>62000</v>
      </c>
      <c r="Q12" s="41">
        <f t="shared" si="0"/>
        <v>62000</v>
      </c>
      <c r="R12" s="41">
        <f t="shared" si="0"/>
        <v>62000</v>
      </c>
      <c r="S12" s="41">
        <f t="shared" si="0"/>
        <v>62000</v>
      </c>
      <c r="T12" s="41">
        <f t="shared" si="1"/>
        <v>62000</v>
      </c>
      <c r="U12" s="41">
        <f t="shared" si="1"/>
        <v>62000</v>
      </c>
      <c r="V12" s="41">
        <f t="shared" si="1"/>
        <v>62000</v>
      </c>
      <c r="W12" s="41">
        <f t="shared" si="1"/>
        <v>62000</v>
      </c>
      <c r="X12" s="41">
        <f t="shared" si="1"/>
        <v>62000</v>
      </c>
      <c r="Y12" s="41">
        <f t="shared" si="1"/>
        <v>62000</v>
      </c>
      <c r="Z12" s="41">
        <f t="shared" si="1"/>
        <v>62000</v>
      </c>
      <c r="AA12" s="45">
        <v>22</v>
      </c>
      <c r="AB12" s="30">
        <f t="shared" si="2"/>
        <v>32736000</v>
      </c>
      <c r="AC12" s="79">
        <f t="shared" ref="AC12" si="5">+AB12+AB13+AB14</f>
        <v>46128000</v>
      </c>
      <c r="AF12" s="31"/>
    </row>
    <row r="13" spans="1:32" ht="13.8" thickBot="1" x14ac:dyDescent="0.3">
      <c r="A13" s="76"/>
      <c r="B13" s="32" t="s">
        <v>20</v>
      </c>
      <c r="C13" s="41">
        <v>62000</v>
      </c>
      <c r="D13" s="41">
        <f t="shared" si="0"/>
        <v>62000</v>
      </c>
      <c r="E13" s="41">
        <f t="shared" si="0"/>
        <v>62000</v>
      </c>
      <c r="F13" s="41">
        <f t="shared" si="0"/>
        <v>62000</v>
      </c>
      <c r="G13" s="41">
        <f t="shared" si="0"/>
        <v>62000</v>
      </c>
      <c r="H13" s="41">
        <f t="shared" si="0"/>
        <v>62000</v>
      </c>
      <c r="I13" s="41">
        <f t="shared" si="0"/>
        <v>62000</v>
      </c>
      <c r="J13" s="41">
        <f t="shared" si="0"/>
        <v>62000</v>
      </c>
      <c r="K13" s="41">
        <f t="shared" si="0"/>
        <v>62000</v>
      </c>
      <c r="L13" s="41">
        <f t="shared" si="0"/>
        <v>62000</v>
      </c>
      <c r="M13" s="41">
        <f t="shared" si="0"/>
        <v>62000</v>
      </c>
      <c r="N13" s="41">
        <f t="shared" si="0"/>
        <v>62000</v>
      </c>
      <c r="O13" s="41">
        <f t="shared" si="0"/>
        <v>62000</v>
      </c>
      <c r="P13" s="41">
        <f t="shared" si="0"/>
        <v>62000</v>
      </c>
      <c r="Q13" s="41">
        <f t="shared" si="0"/>
        <v>62000</v>
      </c>
      <c r="R13" s="41">
        <f t="shared" si="0"/>
        <v>62000</v>
      </c>
      <c r="S13" s="41">
        <f t="shared" si="0"/>
        <v>62000</v>
      </c>
      <c r="T13" s="41">
        <f t="shared" si="1"/>
        <v>62000</v>
      </c>
      <c r="U13" s="41">
        <f t="shared" si="1"/>
        <v>62000</v>
      </c>
      <c r="V13" s="41">
        <f t="shared" si="1"/>
        <v>62000</v>
      </c>
      <c r="W13" s="41">
        <f t="shared" si="1"/>
        <v>62000</v>
      </c>
      <c r="X13" s="41">
        <f t="shared" si="1"/>
        <v>62000</v>
      </c>
      <c r="Y13" s="41">
        <f t="shared" si="1"/>
        <v>62000</v>
      </c>
      <c r="Z13" s="41">
        <f t="shared" si="1"/>
        <v>62000</v>
      </c>
      <c r="AA13" s="45">
        <v>4</v>
      </c>
      <c r="AB13" s="30">
        <f t="shared" ref="AB13:AB76" si="6">+SUM(C13:Z13)*AA13</f>
        <v>5952000</v>
      </c>
      <c r="AC13" s="73"/>
      <c r="AF13" s="31"/>
    </row>
    <row r="14" spans="1:32" ht="13.8" thickBot="1" x14ac:dyDescent="0.3">
      <c r="A14" s="76"/>
      <c r="B14" s="32" t="s">
        <v>21</v>
      </c>
      <c r="C14" s="41">
        <v>62000</v>
      </c>
      <c r="D14" s="41">
        <f t="shared" si="0"/>
        <v>62000</v>
      </c>
      <c r="E14" s="41">
        <f t="shared" si="0"/>
        <v>62000</v>
      </c>
      <c r="F14" s="41">
        <f t="shared" si="0"/>
        <v>62000</v>
      </c>
      <c r="G14" s="41">
        <f t="shared" si="0"/>
        <v>62000</v>
      </c>
      <c r="H14" s="41">
        <f t="shared" si="0"/>
        <v>62000</v>
      </c>
      <c r="I14" s="41">
        <f t="shared" si="0"/>
        <v>62000</v>
      </c>
      <c r="J14" s="41">
        <f t="shared" si="0"/>
        <v>62000</v>
      </c>
      <c r="K14" s="41">
        <f t="shared" si="0"/>
        <v>62000</v>
      </c>
      <c r="L14" s="41">
        <f t="shared" si="0"/>
        <v>62000</v>
      </c>
      <c r="M14" s="41">
        <f t="shared" si="0"/>
        <v>62000</v>
      </c>
      <c r="N14" s="41">
        <f t="shared" si="0"/>
        <v>62000</v>
      </c>
      <c r="O14" s="41">
        <f t="shared" si="0"/>
        <v>62000</v>
      </c>
      <c r="P14" s="41">
        <f t="shared" si="0"/>
        <v>62000</v>
      </c>
      <c r="Q14" s="41">
        <f t="shared" si="0"/>
        <v>62000</v>
      </c>
      <c r="R14" s="41">
        <f t="shared" si="0"/>
        <v>62000</v>
      </c>
      <c r="S14" s="41">
        <f t="shared" si="0"/>
        <v>62000</v>
      </c>
      <c r="T14" s="41">
        <f t="shared" si="1"/>
        <v>62000</v>
      </c>
      <c r="U14" s="41">
        <f t="shared" si="1"/>
        <v>62000</v>
      </c>
      <c r="V14" s="41">
        <f t="shared" si="1"/>
        <v>62000</v>
      </c>
      <c r="W14" s="41">
        <f t="shared" si="1"/>
        <v>62000</v>
      </c>
      <c r="X14" s="41">
        <f t="shared" si="1"/>
        <v>62000</v>
      </c>
      <c r="Y14" s="41">
        <f t="shared" si="1"/>
        <v>62000</v>
      </c>
      <c r="Z14" s="41">
        <f t="shared" si="1"/>
        <v>62000</v>
      </c>
      <c r="AA14" s="45">
        <v>5</v>
      </c>
      <c r="AB14" s="30">
        <f t="shared" si="6"/>
        <v>7440000</v>
      </c>
      <c r="AC14" s="74"/>
      <c r="AF14" s="31"/>
    </row>
    <row r="15" spans="1:32" ht="14.4" thickTop="1" thickBot="1" x14ac:dyDescent="0.3">
      <c r="A15" s="75">
        <v>48670</v>
      </c>
      <c r="B15" s="35" t="s">
        <v>19</v>
      </c>
      <c r="C15" s="41">
        <v>62000</v>
      </c>
      <c r="D15" s="41">
        <f t="shared" si="0"/>
        <v>62000</v>
      </c>
      <c r="E15" s="41">
        <f t="shared" si="0"/>
        <v>62000</v>
      </c>
      <c r="F15" s="41">
        <f t="shared" si="0"/>
        <v>62000</v>
      </c>
      <c r="G15" s="41">
        <f t="shared" si="0"/>
        <v>62000</v>
      </c>
      <c r="H15" s="41">
        <f t="shared" si="0"/>
        <v>62000</v>
      </c>
      <c r="I15" s="41">
        <f t="shared" si="0"/>
        <v>62000</v>
      </c>
      <c r="J15" s="41">
        <f t="shared" si="0"/>
        <v>62000</v>
      </c>
      <c r="K15" s="41">
        <f t="shared" si="0"/>
        <v>62000</v>
      </c>
      <c r="L15" s="41">
        <f t="shared" si="0"/>
        <v>62000</v>
      </c>
      <c r="M15" s="41">
        <f t="shared" si="0"/>
        <v>62000</v>
      </c>
      <c r="N15" s="41">
        <f t="shared" si="0"/>
        <v>62000</v>
      </c>
      <c r="O15" s="41">
        <f t="shared" si="0"/>
        <v>62000</v>
      </c>
      <c r="P15" s="41">
        <f t="shared" si="0"/>
        <v>62000</v>
      </c>
      <c r="Q15" s="41">
        <f t="shared" si="0"/>
        <v>62000</v>
      </c>
      <c r="R15" s="41">
        <f t="shared" si="0"/>
        <v>62000</v>
      </c>
      <c r="S15" s="41">
        <f t="shared" si="0"/>
        <v>62000</v>
      </c>
      <c r="T15" s="41">
        <f t="shared" si="1"/>
        <v>62000</v>
      </c>
      <c r="U15" s="41">
        <f t="shared" si="1"/>
        <v>62000</v>
      </c>
      <c r="V15" s="41">
        <f t="shared" si="1"/>
        <v>62000</v>
      </c>
      <c r="W15" s="41">
        <f t="shared" si="1"/>
        <v>62000</v>
      </c>
      <c r="X15" s="41">
        <f t="shared" si="1"/>
        <v>62000</v>
      </c>
      <c r="Y15" s="41">
        <f t="shared" si="1"/>
        <v>62000</v>
      </c>
      <c r="Z15" s="41">
        <f t="shared" si="1"/>
        <v>62000</v>
      </c>
      <c r="AA15" s="45">
        <v>19</v>
      </c>
      <c r="AB15" s="30">
        <f t="shared" si="6"/>
        <v>28272000</v>
      </c>
      <c r="AC15" s="79">
        <f t="shared" ref="AC15" si="7">+AB15+AB16+AB17</f>
        <v>44640000</v>
      </c>
      <c r="AF15" s="31"/>
    </row>
    <row r="16" spans="1:32" ht="13.8" thickBot="1" x14ac:dyDescent="0.3">
      <c r="A16" s="76"/>
      <c r="B16" s="32" t="s">
        <v>20</v>
      </c>
      <c r="C16" s="41">
        <v>62000</v>
      </c>
      <c r="D16" s="41">
        <f t="shared" si="0"/>
        <v>62000</v>
      </c>
      <c r="E16" s="41">
        <f t="shared" si="0"/>
        <v>62000</v>
      </c>
      <c r="F16" s="41">
        <f t="shared" si="0"/>
        <v>62000</v>
      </c>
      <c r="G16" s="41">
        <f t="shared" si="0"/>
        <v>62000</v>
      </c>
      <c r="H16" s="41">
        <f t="shared" si="0"/>
        <v>62000</v>
      </c>
      <c r="I16" s="41">
        <f t="shared" si="0"/>
        <v>62000</v>
      </c>
      <c r="J16" s="41">
        <f t="shared" si="0"/>
        <v>62000</v>
      </c>
      <c r="K16" s="41">
        <f t="shared" si="0"/>
        <v>62000</v>
      </c>
      <c r="L16" s="41">
        <f t="shared" si="0"/>
        <v>62000</v>
      </c>
      <c r="M16" s="41">
        <f t="shared" si="0"/>
        <v>62000</v>
      </c>
      <c r="N16" s="41">
        <f t="shared" si="0"/>
        <v>62000</v>
      </c>
      <c r="O16" s="41">
        <f t="shared" si="0"/>
        <v>62000</v>
      </c>
      <c r="P16" s="41">
        <f t="shared" si="0"/>
        <v>62000</v>
      </c>
      <c r="Q16" s="41">
        <f t="shared" si="0"/>
        <v>62000</v>
      </c>
      <c r="R16" s="41">
        <f t="shared" si="0"/>
        <v>62000</v>
      </c>
      <c r="S16" s="41">
        <f t="shared" si="0"/>
        <v>62000</v>
      </c>
      <c r="T16" s="41">
        <f t="shared" si="1"/>
        <v>62000</v>
      </c>
      <c r="U16" s="41">
        <f t="shared" si="1"/>
        <v>62000</v>
      </c>
      <c r="V16" s="41">
        <f t="shared" si="1"/>
        <v>62000</v>
      </c>
      <c r="W16" s="41">
        <f t="shared" si="1"/>
        <v>62000</v>
      </c>
      <c r="X16" s="41">
        <f t="shared" si="1"/>
        <v>62000</v>
      </c>
      <c r="Y16" s="41">
        <f t="shared" si="1"/>
        <v>62000</v>
      </c>
      <c r="Z16" s="41">
        <f t="shared" si="1"/>
        <v>62000</v>
      </c>
      <c r="AA16" s="45">
        <v>5</v>
      </c>
      <c r="AB16" s="30">
        <f t="shared" si="6"/>
        <v>7440000</v>
      </c>
      <c r="AC16" s="73"/>
      <c r="AF16" s="31"/>
    </row>
    <row r="17" spans="1:32" ht="13.8" thickBot="1" x14ac:dyDescent="0.3">
      <c r="A17" s="76"/>
      <c r="B17" s="32" t="s">
        <v>21</v>
      </c>
      <c r="C17" s="41">
        <v>62000</v>
      </c>
      <c r="D17" s="41">
        <f t="shared" si="0"/>
        <v>62000</v>
      </c>
      <c r="E17" s="41">
        <f t="shared" si="0"/>
        <v>62000</v>
      </c>
      <c r="F17" s="41">
        <f t="shared" si="0"/>
        <v>62000</v>
      </c>
      <c r="G17" s="41">
        <f t="shared" si="0"/>
        <v>62000</v>
      </c>
      <c r="H17" s="41">
        <f t="shared" si="0"/>
        <v>62000</v>
      </c>
      <c r="I17" s="41">
        <f t="shared" si="0"/>
        <v>62000</v>
      </c>
      <c r="J17" s="41">
        <f t="shared" si="0"/>
        <v>62000</v>
      </c>
      <c r="K17" s="41">
        <f t="shared" si="0"/>
        <v>62000</v>
      </c>
      <c r="L17" s="41">
        <f t="shared" si="0"/>
        <v>62000</v>
      </c>
      <c r="M17" s="41">
        <f t="shared" si="0"/>
        <v>62000</v>
      </c>
      <c r="N17" s="41">
        <f t="shared" si="0"/>
        <v>62000</v>
      </c>
      <c r="O17" s="41">
        <f t="shared" si="0"/>
        <v>62000</v>
      </c>
      <c r="P17" s="41">
        <f t="shared" si="0"/>
        <v>62000</v>
      </c>
      <c r="Q17" s="41">
        <f t="shared" si="0"/>
        <v>62000</v>
      </c>
      <c r="R17" s="41">
        <f t="shared" si="0"/>
        <v>62000</v>
      </c>
      <c r="S17" s="41">
        <f t="shared" si="0"/>
        <v>62000</v>
      </c>
      <c r="T17" s="41">
        <f t="shared" si="1"/>
        <v>62000</v>
      </c>
      <c r="U17" s="41">
        <f t="shared" si="1"/>
        <v>62000</v>
      </c>
      <c r="V17" s="41">
        <f t="shared" si="1"/>
        <v>62000</v>
      </c>
      <c r="W17" s="41">
        <f t="shared" si="1"/>
        <v>62000</v>
      </c>
      <c r="X17" s="41">
        <f t="shared" si="1"/>
        <v>62000</v>
      </c>
      <c r="Y17" s="41">
        <f t="shared" si="1"/>
        <v>62000</v>
      </c>
      <c r="Z17" s="41">
        <f t="shared" si="1"/>
        <v>62000</v>
      </c>
      <c r="AA17" s="45">
        <v>6</v>
      </c>
      <c r="AB17" s="30">
        <f t="shared" si="6"/>
        <v>8928000</v>
      </c>
      <c r="AC17" s="74"/>
      <c r="AF17" s="31"/>
    </row>
    <row r="18" spans="1:32" ht="14.4" thickTop="1" thickBot="1" x14ac:dyDescent="0.3">
      <c r="A18" s="75">
        <v>48700</v>
      </c>
      <c r="B18" s="34" t="s">
        <v>19</v>
      </c>
      <c r="C18" s="41">
        <v>62000</v>
      </c>
      <c r="D18" s="41">
        <f t="shared" si="0"/>
        <v>62000</v>
      </c>
      <c r="E18" s="41">
        <f t="shared" si="0"/>
        <v>62000</v>
      </c>
      <c r="F18" s="41">
        <f t="shared" si="0"/>
        <v>62000</v>
      </c>
      <c r="G18" s="41">
        <f t="shared" si="0"/>
        <v>62000</v>
      </c>
      <c r="H18" s="41">
        <f t="shared" si="0"/>
        <v>62000</v>
      </c>
      <c r="I18" s="41">
        <f t="shared" si="0"/>
        <v>62000</v>
      </c>
      <c r="J18" s="41">
        <f t="shared" si="0"/>
        <v>62000</v>
      </c>
      <c r="K18" s="41">
        <f t="shared" si="0"/>
        <v>62000</v>
      </c>
      <c r="L18" s="41">
        <f t="shared" si="0"/>
        <v>62000</v>
      </c>
      <c r="M18" s="41">
        <f t="shared" si="0"/>
        <v>62000</v>
      </c>
      <c r="N18" s="41">
        <f t="shared" si="0"/>
        <v>62000</v>
      </c>
      <c r="O18" s="41">
        <f t="shared" si="0"/>
        <v>62000</v>
      </c>
      <c r="P18" s="41">
        <f t="shared" si="0"/>
        <v>62000</v>
      </c>
      <c r="Q18" s="41">
        <f t="shared" si="0"/>
        <v>62000</v>
      </c>
      <c r="R18" s="41">
        <f t="shared" si="0"/>
        <v>62000</v>
      </c>
      <c r="S18" s="41">
        <f t="shared" si="0"/>
        <v>62000</v>
      </c>
      <c r="T18" s="41">
        <f t="shared" si="1"/>
        <v>62000</v>
      </c>
      <c r="U18" s="41">
        <f t="shared" si="1"/>
        <v>62000</v>
      </c>
      <c r="V18" s="41">
        <f t="shared" si="1"/>
        <v>62000</v>
      </c>
      <c r="W18" s="41">
        <f t="shared" si="1"/>
        <v>62000</v>
      </c>
      <c r="X18" s="41">
        <f t="shared" si="1"/>
        <v>62000</v>
      </c>
      <c r="Y18" s="41">
        <f t="shared" si="1"/>
        <v>62000</v>
      </c>
      <c r="Z18" s="41">
        <f t="shared" si="1"/>
        <v>62000</v>
      </c>
      <c r="AA18" s="45">
        <v>21</v>
      </c>
      <c r="AB18" s="30">
        <f t="shared" si="6"/>
        <v>31248000</v>
      </c>
      <c r="AC18" s="79">
        <f t="shared" ref="AC18" si="8">+AB18+AB19+AB20</f>
        <v>46128000</v>
      </c>
      <c r="AF18" s="31"/>
    </row>
    <row r="19" spans="1:32" ht="13.8" thickBot="1" x14ac:dyDescent="0.3">
      <c r="A19" s="76"/>
      <c r="B19" s="32" t="s">
        <v>20</v>
      </c>
      <c r="C19" s="41">
        <v>62000</v>
      </c>
      <c r="D19" s="41">
        <f t="shared" si="0"/>
        <v>62000</v>
      </c>
      <c r="E19" s="41">
        <f t="shared" si="0"/>
        <v>62000</v>
      </c>
      <c r="F19" s="41">
        <f t="shared" si="0"/>
        <v>62000</v>
      </c>
      <c r="G19" s="41">
        <f t="shared" si="0"/>
        <v>62000</v>
      </c>
      <c r="H19" s="41">
        <f t="shared" si="0"/>
        <v>62000</v>
      </c>
      <c r="I19" s="41">
        <f t="shared" si="0"/>
        <v>62000</v>
      </c>
      <c r="J19" s="41">
        <f t="shared" si="0"/>
        <v>62000</v>
      </c>
      <c r="K19" s="41">
        <f t="shared" si="0"/>
        <v>62000</v>
      </c>
      <c r="L19" s="41">
        <f t="shared" si="0"/>
        <v>62000</v>
      </c>
      <c r="M19" s="41">
        <f t="shared" si="0"/>
        <v>62000</v>
      </c>
      <c r="N19" s="41">
        <f t="shared" si="0"/>
        <v>62000</v>
      </c>
      <c r="O19" s="41">
        <f t="shared" si="0"/>
        <v>62000</v>
      </c>
      <c r="P19" s="41">
        <f t="shared" si="0"/>
        <v>62000</v>
      </c>
      <c r="Q19" s="41">
        <f t="shared" si="0"/>
        <v>62000</v>
      </c>
      <c r="R19" s="41">
        <f t="shared" si="0"/>
        <v>62000</v>
      </c>
      <c r="S19" s="41">
        <f t="shared" si="0"/>
        <v>62000</v>
      </c>
      <c r="T19" s="41">
        <f t="shared" si="1"/>
        <v>62000</v>
      </c>
      <c r="U19" s="41">
        <f t="shared" si="1"/>
        <v>62000</v>
      </c>
      <c r="V19" s="41">
        <f t="shared" si="1"/>
        <v>62000</v>
      </c>
      <c r="W19" s="41">
        <f t="shared" si="1"/>
        <v>62000</v>
      </c>
      <c r="X19" s="41">
        <f t="shared" si="1"/>
        <v>62000</v>
      </c>
      <c r="Y19" s="41">
        <f t="shared" si="1"/>
        <v>62000</v>
      </c>
      <c r="Z19" s="41">
        <f t="shared" si="1"/>
        <v>62000</v>
      </c>
      <c r="AA19" s="45">
        <v>4</v>
      </c>
      <c r="AB19" s="30">
        <f t="shared" si="6"/>
        <v>5952000</v>
      </c>
      <c r="AC19" s="73"/>
      <c r="AF19" s="31"/>
    </row>
    <row r="20" spans="1:32" ht="13.8" thickBot="1" x14ac:dyDescent="0.3">
      <c r="A20" s="76"/>
      <c r="B20" s="32" t="s">
        <v>21</v>
      </c>
      <c r="C20" s="41">
        <v>62000</v>
      </c>
      <c r="D20" s="41">
        <f t="shared" si="0"/>
        <v>62000</v>
      </c>
      <c r="E20" s="41">
        <f t="shared" si="0"/>
        <v>62000</v>
      </c>
      <c r="F20" s="41">
        <f t="shared" si="0"/>
        <v>62000</v>
      </c>
      <c r="G20" s="41">
        <f t="shared" si="0"/>
        <v>62000</v>
      </c>
      <c r="H20" s="41">
        <f t="shared" si="0"/>
        <v>62000</v>
      </c>
      <c r="I20" s="41">
        <f t="shared" si="0"/>
        <v>62000</v>
      </c>
      <c r="J20" s="41">
        <f t="shared" si="0"/>
        <v>62000</v>
      </c>
      <c r="K20" s="41">
        <f t="shared" si="0"/>
        <v>62000</v>
      </c>
      <c r="L20" s="41">
        <f t="shared" si="0"/>
        <v>62000</v>
      </c>
      <c r="M20" s="41">
        <f t="shared" si="0"/>
        <v>62000</v>
      </c>
      <c r="N20" s="41">
        <f t="shared" si="0"/>
        <v>62000</v>
      </c>
      <c r="O20" s="41">
        <f t="shared" si="0"/>
        <v>62000</v>
      </c>
      <c r="P20" s="41">
        <f t="shared" si="0"/>
        <v>62000</v>
      </c>
      <c r="Q20" s="41">
        <f t="shared" si="0"/>
        <v>62000</v>
      </c>
      <c r="R20" s="41">
        <f t="shared" si="0"/>
        <v>62000</v>
      </c>
      <c r="S20" s="41">
        <f t="shared" si="0"/>
        <v>62000</v>
      </c>
      <c r="T20" s="41">
        <f t="shared" si="1"/>
        <v>62000</v>
      </c>
      <c r="U20" s="41">
        <f t="shared" si="1"/>
        <v>62000</v>
      </c>
      <c r="V20" s="41">
        <f t="shared" si="1"/>
        <v>62000</v>
      </c>
      <c r="W20" s="41">
        <f t="shared" si="1"/>
        <v>62000</v>
      </c>
      <c r="X20" s="41">
        <f t="shared" si="1"/>
        <v>62000</v>
      </c>
      <c r="Y20" s="41">
        <f t="shared" si="1"/>
        <v>62000</v>
      </c>
      <c r="Z20" s="41">
        <f t="shared" si="1"/>
        <v>62000</v>
      </c>
      <c r="AA20" s="45">
        <v>6</v>
      </c>
      <c r="AB20" s="30">
        <f t="shared" si="6"/>
        <v>8928000</v>
      </c>
      <c r="AC20" s="74"/>
      <c r="AF20" s="31"/>
    </row>
    <row r="21" spans="1:32" ht="14.4" thickTop="1" thickBot="1" x14ac:dyDescent="0.3">
      <c r="A21" s="75">
        <v>48731</v>
      </c>
      <c r="B21" s="35" t="s">
        <v>19</v>
      </c>
      <c r="C21" s="41">
        <v>62000</v>
      </c>
      <c r="D21" s="41">
        <f t="shared" si="0"/>
        <v>62000</v>
      </c>
      <c r="E21" s="41">
        <f t="shared" si="0"/>
        <v>62000</v>
      </c>
      <c r="F21" s="41">
        <f t="shared" si="0"/>
        <v>62000</v>
      </c>
      <c r="G21" s="41">
        <f t="shared" si="0"/>
        <v>62000</v>
      </c>
      <c r="H21" s="41">
        <f t="shared" si="0"/>
        <v>62000</v>
      </c>
      <c r="I21" s="41">
        <f t="shared" si="0"/>
        <v>62000</v>
      </c>
      <c r="J21" s="41">
        <f t="shared" si="0"/>
        <v>62000</v>
      </c>
      <c r="K21" s="41">
        <f t="shared" si="0"/>
        <v>62000</v>
      </c>
      <c r="L21" s="41">
        <f t="shared" si="0"/>
        <v>62000</v>
      </c>
      <c r="M21" s="41">
        <f t="shared" si="0"/>
        <v>62000</v>
      </c>
      <c r="N21" s="41">
        <f t="shared" si="0"/>
        <v>62000</v>
      </c>
      <c r="O21" s="41">
        <f t="shared" si="0"/>
        <v>62000</v>
      </c>
      <c r="P21" s="41">
        <f t="shared" si="0"/>
        <v>62000</v>
      </c>
      <c r="Q21" s="41">
        <f t="shared" si="0"/>
        <v>62000</v>
      </c>
      <c r="R21" s="41">
        <f t="shared" si="0"/>
        <v>62000</v>
      </c>
      <c r="S21" s="41">
        <f t="shared" ref="D21:S36" si="9">+R21</f>
        <v>62000</v>
      </c>
      <c r="T21" s="41">
        <f t="shared" si="1"/>
        <v>62000</v>
      </c>
      <c r="U21" s="41">
        <f t="shared" si="1"/>
        <v>62000</v>
      </c>
      <c r="V21" s="41">
        <f t="shared" si="1"/>
        <v>62000</v>
      </c>
      <c r="W21" s="41">
        <f t="shared" si="1"/>
        <v>62000</v>
      </c>
      <c r="X21" s="41">
        <f t="shared" si="1"/>
        <v>62000</v>
      </c>
      <c r="Y21" s="41">
        <f t="shared" si="1"/>
        <v>62000</v>
      </c>
      <c r="Z21" s="41">
        <f t="shared" si="1"/>
        <v>62000</v>
      </c>
      <c r="AA21" s="45">
        <v>21</v>
      </c>
      <c r="AB21" s="30">
        <f t="shared" si="6"/>
        <v>31248000</v>
      </c>
      <c r="AC21" s="79">
        <f t="shared" ref="AC21" si="10">+AB21+AB22+AB23</f>
        <v>44640000</v>
      </c>
      <c r="AF21" s="31"/>
    </row>
    <row r="22" spans="1:32" ht="13.8" thickBot="1" x14ac:dyDescent="0.3">
      <c r="A22" s="76"/>
      <c r="B22" s="32" t="s">
        <v>20</v>
      </c>
      <c r="C22" s="41">
        <v>62000</v>
      </c>
      <c r="D22" s="41">
        <f t="shared" si="9"/>
        <v>62000</v>
      </c>
      <c r="E22" s="41">
        <f t="shared" si="9"/>
        <v>62000</v>
      </c>
      <c r="F22" s="41">
        <f t="shared" si="9"/>
        <v>62000</v>
      </c>
      <c r="G22" s="41">
        <f t="shared" si="9"/>
        <v>62000</v>
      </c>
      <c r="H22" s="41">
        <f t="shared" si="9"/>
        <v>62000</v>
      </c>
      <c r="I22" s="41">
        <f t="shared" si="9"/>
        <v>62000</v>
      </c>
      <c r="J22" s="41">
        <f t="shared" si="9"/>
        <v>62000</v>
      </c>
      <c r="K22" s="41">
        <f t="shared" si="9"/>
        <v>62000</v>
      </c>
      <c r="L22" s="41">
        <f t="shared" si="9"/>
        <v>62000</v>
      </c>
      <c r="M22" s="41">
        <f t="shared" si="9"/>
        <v>62000</v>
      </c>
      <c r="N22" s="41">
        <f t="shared" si="9"/>
        <v>62000</v>
      </c>
      <c r="O22" s="41">
        <f t="shared" si="9"/>
        <v>62000</v>
      </c>
      <c r="P22" s="41">
        <f t="shared" si="9"/>
        <v>62000</v>
      </c>
      <c r="Q22" s="41">
        <f t="shared" si="9"/>
        <v>62000</v>
      </c>
      <c r="R22" s="41">
        <f t="shared" si="9"/>
        <v>62000</v>
      </c>
      <c r="S22" s="41">
        <f t="shared" si="9"/>
        <v>62000</v>
      </c>
      <c r="T22" s="41">
        <f t="shared" ref="T22:Z37" si="11">+S22</f>
        <v>62000</v>
      </c>
      <c r="U22" s="41">
        <f t="shared" si="11"/>
        <v>62000</v>
      </c>
      <c r="V22" s="41">
        <f t="shared" si="11"/>
        <v>62000</v>
      </c>
      <c r="W22" s="41">
        <f t="shared" si="11"/>
        <v>62000</v>
      </c>
      <c r="X22" s="41">
        <f t="shared" si="11"/>
        <v>62000</v>
      </c>
      <c r="Y22" s="41">
        <f t="shared" si="11"/>
        <v>62000</v>
      </c>
      <c r="Z22" s="41">
        <f t="shared" si="11"/>
        <v>62000</v>
      </c>
      <c r="AA22" s="45">
        <v>4</v>
      </c>
      <c r="AB22" s="30">
        <f t="shared" si="6"/>
        <v>5952000</v>
      </c>
      <c r="AC22" s="73"/>
      <c r="AF22" s="31"/>
    </row>
    <row r="23" spans="1:32" ht="13.8" thickBot="1" x14ac:dyDescent="0.3">
      <c r="A23" s="76"/>
      <c r="B23" s="32" t="s">
        <v>21</v>
      </c>
      <c r="C23" s="41">
        <v>62000</v>
      </c>
      <c r="D23" s="41">
        <f t="shared" si="9"/>
        <v>62000</v>
      </c>
      <c r="E23" s="41">
        <f t="shared" si="9"/>
        <v>62000</v>
      </c>
      <c r="F23" s="41">
        <f t="shared" si="9"/>
        <v>62000</v>
      </c>
      <c r="G23" s="41">
        <f t="shared" si="9"/>
        <v>62000</v>
      </c>
      <c r="H23" s="41">
        <f t="shared" si="9"/>
        <v>62000</v>
      </c>
      <c r="I23" s="41">
        <f t="shared" si="9"/>
        <v>62000</v>
      </c>
      <c r="J23" s="41">
        <f t="shared" si="9"/>
        <v>62000</v>
      </c>
      <c r="K23" s="41">
        <f t="shared" si="9"/>
        <v>62000</v>
      </c>
      <c r="L23" s="41">
        <f t="shared" si="9"/>
        <v>62000</v>
      </c>
      <c r="M23" s="41">
        <f t="shared" si="9"/>
        <v>62000</v>
      </c>
      <c r="N23" s="41">
        <f t="shared" si="9"/>
        <v>62000</v>
      </c>
      <c r="O23" s="41">
        <f t="shared" si="9"/>
        <v>62000</v>
      </c>
      <c r="P23" s="41">
        <f t="shared" si="9"/>
        <v>62000</v>
      </c>
      <c r="Q23" s="41">
        <f t="shared" si="9"/>
        <v>62000</v>
      </c>
      <c r="R23" s="41">
        <f t="shared" si="9"/>
        <v>62000</v>
      </c>
      <c r="S23" s="41">
        <f t="shared" si="9"/>
        <v>62000</v>
      </c>
      <c r="T23" s="41">
        <f t="shared" si="11"/>
        <v>62000</v>
      </c>
      <c r="U23" s="41">
        <f t="shared" si="11"/>
        <v>62000</v>
      </c>
      <c r="V23" s="41">
        <f t="shared" si="11"/>
        <v>62000</v>
      </c>
      <c r="W23" s="41">
        <f t="shared" si="11"/>
        <v>62000</v>
      </c>
      <c r="X23" s="41">
        <f t="shared" si="11"/>
        <v>62000</v>
      </c>
      <c r="Y23" s="41">
        <f t="shared" si="11"/>
        <v>62000</v>
      </c>
      <c r="Z23" s="41">
        <f t="shared" si="11"/>
        <v>62000</v>
      </c>
      <c r="AA23" s="45">
        <v>5</v>
      </c>
      <c r="AB23" s="30">
        <f t="shared" si="6"/>
        <v>7440000</v>
      </c>
      <c r="AC23" s="74"/>
      <c r="AF23" s="31"/>
    </row>
    <row r="24" spans="1:32" ht="14.4" thickTop="1" thickBot="1" x14ac:dyDescent="0.3">
      <c r="A24" s="75">
        <v>48761</v>
      </c>
      <c r="B24" s="34" t="s">
        <v>19</v>
      </c>
      <c r="C24" s="41">
        <v>62000</v>
      </c>
      <c r="D24" s="41">
        <f t="shared" si="9"/>
        <v>62000</v>
      </c>
      <c r="E24" s="41">
        <f t="shared" si="9"/>
        <v>62000</v>
      </c>
      <c r="F24" s="41">
        <f t="shared" si="9"/>
        <v>62000</v>
      </c>
      <c r="G24" s="41">
        <f t="shared" si="9"/>
        <v>62000</v>
      </c>
      <c r="H24" s="41">
        <f t="shared" si="9"/>
        <v>62000</v>
      </c>
      <c r="I24" s="41">
        <f t="shared" si="9"/>
        <v>62000</v>
      </c>
      <c r="J24" s="41">
        <f t="shared" si="9"/>
        <v>62000</v>
      </c>
      <c r="K24" s="41">
        <f t="shared" si="9"/>
        <v>62000</v>
      </c>
      <c r="L24" s="41">
        <f t="shared" si="9"/>
        <v>62000</v>
      </c>
      <c r="M24" s="41">
        <f t="shared" si="9"/>
        <v>62000</v>
      </c>
      <c r="N24" s="41">
        <f t="shared" si="9"/>
        <v>62000</v>
      </c>
      <c r="O24" s="41">
        <f t="shared" si="9"/>
        <v>62000</v>
      </c>
      <c r="P24" s="41">
        <f t="shared" si="9"/>
        <v>62000</v>
      </c>
      <c r="Q24" s="41">
        <f t="shared" si="9"/>
        <v>62000</v>
      </c>
      <c r="R24" s="41">
        <f t="shared" si="9"/>
        <v>62000</v>
      </c>
      <c r="S24" s="41">
        <f t="shared" si="9"/>
        <v>62000</v>
      </c>
      <c r="T24" s="41">
        <f t="shared" si="11"/>
        <v>62000</v>
      </c>
      <c r="U24" s="41">
        <f t="shared" si="11"/>
        <v>62000</v>
      </c>
      <c r="V24" s="41">
        <f t="shared" si="11"/>
        <v>62000</v>
      </c>
      <c r="W24" s="41">
        <f t="shared" si="11"/>
        <v>62000</v>
      </c>
      <c r="X24" s="41">
        <f t="shared" si="11"/>
        <v>62000</v>
      </c>
      <c r="Y24" s="41">
        <f t="shared" si="11"/>
        <v>62000</v>
      </c>
      <c r="Z24" s="41">
        <f t="shared" si="11"/>
        <v>62000</v>
      </c>
      <c r="AA24" s="45">
        <v>19</v>
      </c>
      <c r="AB24" s="30">
        <f t="shared" si="6"/>
        <v>28272000</v>
      </c>
      <c r="AC24" s="79">
        <f t="shared" ref="AC24" si="12">+AB24+AB25+AB26</f>
        <v>46128000</v>
      </c>
      <c r="AF24" s="31"/>
    </row>
    <row r="25" spans="1:32" ht="13.8" thickBot="1" x14ac:dyDescent="0.3">
      <c r="A25" s="76"/>
      <c r="B25" s="32" t="s">
        <v>20</v>
      </c>
      <c r="C25" s="41">
        <v>62000</v>
      </c>
      <c r="D25" s="41">
        <f t="shared" si="9"/>
        <v>62000</v>
      </c>
      <c r="E25" s="41">
        <f t="shared" si="9"/>
        <v>62000</v>
      </c>
      <c r="F25" s="41">
        <f t="shared" si="9"/>
        <v>62000</v>
      </c>
      <c r="G25" s="41">
        <f t="shared" si="9"/>
        <v>62000</v>
      </c>
      <c r="H25" s="41">
        <f t="shared" si="9"/>
        <v>62000</v>
      </c>
      <c r="I25" s="41">
        <f t="shared" si="9"/>
        <v>62000</v>
      </c>
      <c r="J25" s="41">
        <f t="shared" si="9"/>
        <v>62000</v>
      </c>
      <c r="K25" s="41">
        <f t="shared" si="9"/>
        <v>62000</v>
      </c>
      <c r="L25" s="41">
        <f t="shared" si="9"/>
        <v>62000</v>
      </c>
      <c r="M25" s="41">
        <f t="shared" si="9"/>
        <v>62000</v>
      </c>
      <c r="N25" s="41">
        <f t="shared" si="9"/>
        <v>62000</v>
      </c>
      <c r="O25" s="41">
        <f t="shared" si="9"/>
        <v>62000</v>
      </c>
      <c r="P25" s="41">
        <f t="shared" si="9"/>
        <v>62000</v>
      </c>
      <c r="Q25" s="41">
        <f t="shared" si="9"/>
        <v>62000</v>
      </c>
      <c r="R25" s="41">
        <f t="shared" si="9"/>
        <v>62000</v>
      </c>
      <c r="S25" s="41">
        <f t="shared" si="9"/>
        <v>62000</v>
      </c>
      <c r="T25" s="41">
        <f t="shared" si="11"/>
        <v>62000</v>
      </c>
      <c r="U25" s="41">
        <f t="shared" si="11"/>
        <v>62000</v>
      </c>
      <c r="V25" s="41">
        <f t="shared" si="11"/>
        <v>62000</v>
      </c>
      <c r="W25" s="41">
        <f t="shared" si="11"/>
        <v>62000</v>
      </c>
      <c r="X25" s="41">
        <f t="shared" si="11"/>
        <v>62000</v>
      </c>
      <c r="Y25" s="41">
        <f t="shared" si="11"/>
        <v>62000</v>
      </c>
      <c r="Z25" s="41">
        <f t="shared" si="11"/>
        <v>62000</v>
      </c>
      <c r="AA25" s="45">
        <v>5</v>
      </c>
      <c r="AB25" s="30">
        <f t="shared" si="6"/>
        <v>7440000</v>
      </c>
      <c r="AC25" s="73"/>
      <c r="AF25" s="31"/>
    </row>
    <row r="26" spans="1:32" ht="13.8" thickBot="1" x14ac:dyDescent="0.3">
      <c r="A26" s="76"/>
      <c r="B26" s="32" t="s">
        <v>21</v>
      </c>
      <c r="C26" s="41">
        <v>62000</v>
      </c>
      <c r="D26" s="41">
        <f t="shared" si="9"/>
        <v>62000</v>
      </c>
      <c r="E26" s="41">
        <f t="shared" si="9"/>
        <v>62000</v>
      </c>
      <c r="F26" s="41">
        <f t="shared" si="9"/>
        <v>62000</v>
      </c>
      <c r="G26" s="41">
        <f t="shared" si="9"/>
        <v>62000</v>
      </c>
      <c r="H26" s="41">
        <f t="shared" si="9"/>
        <v>62000</v>
      </c>
      <c r="I26" s="41">
        <f t="shared" si="9"/>
        <v>62000</v>
      </c>
      <c r="J26" s="41">
        <f t="shared" si="9"/>
        <v>62000</v>
      </c>
      <c r="K26" s="41">
        <f t="shared" si="9"/>
        <v>62000</v>
      </c>
      <c r="L26" s="41">
        <f t="shared" si="9"/>
        <v>62000</v>
      </c>
      <c r="M26" s="41">
        <f t="shared" si="9"/>
        <v>62000</v>
      </c>
      <c r="N26" s="41">
        <f t="shared" si="9"/>
        <v>62000</v>
      </c>
      <c r="O26" s="41">
        <f t="shared" si="9"/>
        <v>62000</v>
      </c>
      <c r="P26" s="41">
        <f t="shared" si="9"/>
        <v>62000</v>
      </c>
      <c r="Q26" s="41">
        <f t="shared" si="9"/>
        <v>62000</v>
      </c>
      <c r="R26" s="41">
        <f t="shared" si="9"/>
        <v>62000</v>
      </c>
      <c r="S26" s="41">
        <f t="shared" si="9"/>
        <v>62000</v>
      </c>
      <c r="T26" s="41">
        <f t="shared" si="11"/>
        <v>62000</v>
      </c>
      <c r="U26" s="41">
        <f t="shared" si="11"/>
        <v>62000</v>
      </c>
      <c r="V26" s="41">
        <f t="shared" si="11"/>
        <v>62000</v>
      </c>
      <c r="W26" s="41">
        <f t="shared" si="11"/>
        <v>62000</v>
      </c>
      <c r="X26" s="41">
        <f t="shared" si="11"/>
        <v>62000</v>
      </c>
      <c r="Y26" s="41">
        <f t="shared" si="11"/>
        <v>62000</v>
      </c>
      <c r="Z26" s="41">
        <f t="shared" si="11"/>
        <v>62000</v>
      </c>
      <c r="AA26" s="45">
        <v>7</v>
      </c>
      <c r="AB26" s="30">
        <f t="shared" si="6"/>
        <v>10416000</v>
      </c>
      <c r="AC26" s="74"/>
      <c r="AF26" s="31"/>
    </row>
    <row r="27" spans="1:32" ht="14.4" thickTop="1" thickBot="1" x14ac:dyDescent="0.3">
      <c r="A27" s="75">
        <v>48792</v>
      </c>
      <c r="B27" s="35" t="s">
        <v>19</v>
      </c>
      <c r="C27" s="41">
        <v>62000</v>
      </c>
      <c r="D27" s="41">
        <f t="shared" si="9"/>
        <v>62000</v>
      </c>
      <c r="E27" s="41">
        <f t="shared" si="9"/>
        <v>62000</v>
      </c>
      <c r="F27" s="41">
        <f t="shared" si="9"/>
        <v>62000</v>
      </c>
      <c r="G27" s="41">
        <f t="shared" si="9"/>
        <v>62000</v>
      </c>
      <c r="H27" s="41">
        <f t="shared" si="9"/>
        <v>62000</v>
      </c>
      <c r="I27" s="41">
        <f t="shared" si="9"/>
        <v>62000</v>
      </c>
      <c r="J27" s="41">
        <f t="shared" si="9"/>
        <v>62000</v>
      </c>
      <c r="K27" s="41">
        <f t="shared" si="9"/>
        <v>62000</v>
      </c>
      <c r="L27" s="41">
        <f t="shared" si="9"/>
        <v>62000</v>
      </c>
      <c r="M27" s="41">
        <f t="shared" si="9"/>
        <v>62000</v>
      </c>
      <c r="N27" s="41">
        <f t="shared" si="9"/>
        <v>62000</v>
      </c>
      <c r="O27" s="41">
        <f t="shared" si="9"/>
        <v>62000</v>
      </c>
      <c r="P27" s="41">
        <f t="shared" si="9"/>
        <v>62000</v>
      </c>
      <c r="Q27" s="41">
        <f t="shared" si="9"/>
        <v>62000</v>
      </c>
      <c r="R27" s="41">
        <f t="shared" si="9"/>
        <v>62000</v>
      </c>
      <c r="S27" s="41">
        <f t="shared" si="9"/>
        <v>62000</v>
      </c>
      <c r="T27" s="41">
        <f t="shared" si="11"/>
        <v>62000</v>
      </c>
      <c r="U27" s="41">
        <f t="shared" si="11"/>
        <v>62000</v>
      </c>
      <c r="V27" s="41">
        <f t="shared" si="11"/>
        <v>62000</v>
      </c>
      <c r="W27" s="41">
        <f t="shared" si="11"/>
        <v>62000</v>
      </c>
      <c r="X27" s="41">
        <f t="shared" si="11"/>
        <v>62000</v>
      </c>
      <c r="Y27" s="41">
        <f t="shared" si="11"/>
        <v>62000</v>
      </c>
      <c r="Z27" s="41">
        <f t="shared" si="11"/>
        <v>62000</v>
      </c>
      <c r="AA27" s="45">
        <v>22</v>
      </c>
      <c r="AB27" s="30">
        <f t="shared" si="6"/>
        <v>32736000</v>
      </c>
      <c r="AC27" s="79">
        <f t="shared" ref="AC27" si="13">+AB27+AB28+AB29</f>
        <v>46128000</v>
      </c>
      <c r="AF27" s="31"/>
    </row>
    <row r="28" spans="1:32" ht="13.8" thickBot="1" x14ac:dyDescent="0.3">
      <c r="A28" s="76"/>
      <c r="B28" s="32" t="s">
        <v>20</v>
      </c>
      <c r="C28" s="41">
        <v>62000</v>
      </c>
      <c r="D28" s="41">
        <f t="shared" si="9"/>
        <v>62000</v>
      </c>
      <c r="E28" s="41">
        <f t="shared" si="9"/>
        <v>62000</v>
      </c>
      <c r="F28" s="41">
        <f t="shared" si="9"/>
        <v>62000</v>
      </c>
      <c r="G28" s="41">
        <f t="shared" si="9"/>
        <v>62000</v>
      </c>
      <c r="H28" s="41">
        <f t="shared" si="9"/>
        <v>62000</v>
      </c>
      <c r="I28" s="41">
        <f t="shared" si="9"/>
        <v>62000</v>
      </c>
      <c r="J28" s="41">
        <f t="shared" si="9"/>
        <v>62000</v>
      </c>
      <c r="K28" s="41">
        <f t="shared" si="9"/>
        <v>62000</v>
      </c>
      <c r="L28" s="41">
        <f t="shared" si="9"/>
        <v>62000</v>
      </c>
      <c r="M28" s="41">
        <f t="shared" si="9"/>
        <v>62000</v>
      </c>
      <c r="N28" s="41">
        <f t="shared" si="9"/>
        <v>62000</v>
      </c>
      <c r="O28" s="41">
        <f t="shared" si="9"/>
        <v>62000</v>
      </c>
      <c r="P28" s="41">
        <f t="shared" si="9"/>
        <v>62000</v>
      </c>
      <c r="Q28" s="41">
        <f t="shared" si="9"/>
        <v>62000</v>
      </c>
      <c r="R28" s="41">
        <f t="shared" si="9"/>
        <v>62000</v>
      </c>
      <c r="S28" s="41">
        <f t="shared" si="9"/>
        <v>62000</v>
      </c>
      <c r="T28" s="41">
        <f t="shared" si="11"/>
        <v>62000</v>
      </c>
      <c r="U28" s="41">
        <f t="shared" si="11"/>
        <v>62000</v>
      </c>
      <c r="V28" s="41">
        <f t="shared" si="11"/>
        <v>62000</v>
      </c>
      <c r="W28" s="41">
        <f t="shared" si="11"/>
        <v>62000</v>
      </c>
      <c r="X28" s="41">
        <f t="shared" si="11"/>
        <v>62000</v>
      </c>
      <c r="Y28" s="41">
        <f t="shared" si="11"/>
        <v>62000</v>
      </c>
      <c r="Z28" s="41">
        <f t="shared" si="11"/>
        <v>62000</v>
      </c>
      <c r="AA28" s="45">
        <v>4</v>
      </c>
      <c r="AB28" s="30">
        <f t="shared" si="6"/>
        <v>5952000</v>
      </c>
      <c r="AC28" s="73"/>
      <c r="AF28" s="31"/>
    </row>
    <row r="29" spans="1:32" ht="13.8" thickBot="1" x14ac:dyDescent="0.3">
      <c r="A29" s="76"/>
      <c r="B29" s="32" t="s">
        <v>21</v>
      </c>
      <c r="C29" s="41">
        <v>62000</v>
      </c>
      <c r="D29" s="41">
        <f t="shared" si="9"/>
        <v>62000</v>
      </c>
      <c r="E29" s="41">
        <f t="shared" si="9"/>
        <v>62000</v>
      </c>
      <c r="F29" s="41">
        <f t="shared" si="9"/>
        <v>62000</v>
      </c>
      <c r="G29" s="41">
        <f t="shared" si="9"/>
        <v>62000</v>
      </c>
      <c r="H29" s="41">
        <f t="shared" si="9"/>
        <v>62000</v>
      </c>
      <c r="I29" s="41">
        <f t="shared" si="9"/>
        <v>62000</v>
      </c>
      <c r="J29" s="41">
        <f t="shared" si="9"/>
        <v>62000</v>
      </c>
      <c r="K29" s="41">
        <f t="shared" si="9"/>
        <v>62000</v>
      </c>
      <c r="L29" s="41">
        <f t="shared" si="9"/>
        <v>62000</v>
      </c>
      <c r="M29" s="41">
        <f t="shared" si="9"/>
        <v>62000</v>
      </c>
      <c r="N29" s="41">
        <f t="shared" si="9"/>
        <v>62000</v>
      </c>
      <c r="O29" s="41">
        <f t="shared" si="9"/>
        <v>62000</v>
      </c>
      <c r="P29" s="41">
        <f t="shared" si="9"/>
        <v>62000</v>
      </c>
      <c r="Q29" s="41">
        <f t="shared" si="9"/>
        <v>62000</v>
      </c>
      <c r="R29" s="41">
        <f t="shared" si="9"/>
        <v>62000</v>
      </c>
      <c r="S29" s="41">
        <f t="shared" si="9"/>
        <v>62000</v>
      </c>
      <c r="T29" s="41">
        <f t="shared" si="11"/>
        <v>62000</v>
      </c>
      <c r="U29" s="41">
        <f t="shared" si="11"/>
        <v>62000</v>
      </c>
      <c r="V29" s="41">
        <f t="shared" si="11"/>
        <v>62000</v>
      </c>
      <c r="W29" s="41">
        <f t="shared" si="11"/>
        <v>62000</v>
      </c>
      <c r="X29" s="41">
        <f t="shared" si="11"/>
        <v>62000</v>
      </c>
      <c r="Y29" s="41">
        <f t="shared" si="11"/>
        <v>62000</v>
      </c>
      <c r="Z29" s="41">
        <f t="shared" si="11"/>
        <v>62000</v>
      </c>
      <c r="AA29" s="45">
        <v>5</v>
      </c>
      <c r="AB29" s="30">
        <f t="shared" si="6"/>
        <v>7440000</v>
      </c>
      <c r="AC29" s="74"/>
      <c r="AF29" s="31"/>
    </row>
    <row r="30" spans="1:32" ht="14.4" thickTop="1" thickBot="1" x14ac:dyDescent="0.3">
      <c r="A30" s="75">
        <v>48823</v>
      </c>
      <c r="B30" s="34" t="s">
        <v>19</v>
      </c>
      <c r="C30" s="41">
        <v>62000</v>
      </c>
      <c r="D30" s="41">
        <f t="shared" si="9"/>
        <v>62000</v>
      </c>
      <c r="E30" s="41">
        <f t="shared" si="9"/>
        <v>62000</v>
      </c>
      <c r="F30" s="41">
        <f t="shared" si="9"/>
        <v>62000</v>
      </c>
      <c r="G30" s="41">
        <f t="shared" si="9"/>
        <v>62000</v>
      </c>
      <c r="H30" s="41">
        <f t="shared" si="9"/>
        <v>62000</v>
      </c>
      <c r="I30" s="41">
        <f t="shared" si="9"/>
        <v>62000</v>
      </c>
      <c r="J30" s="41">
        <f t="shared" si="9"/>
        <v>62000</v>
      </c>
      <c r="K30" s="41">
        <f t="shared" si="9"/>
        <v>62000</v>
      </c>
      <c r="L30" s="41">
        <f t="shared" si="9"/>
        <v>62000</v>
      </c>
      <c r="M30" s="41">
        <f t="shared" si="9"/>
        <v>62000</v>
      </c>
      <c r="N30" s="41">
        <f t="shared" si="9"/>
        <v>62000</v>
      </c>
      <c r="O30" s="41">
        <f t="shared" si="9"/>
        <v>62000</v>
      </c>
      <c r="P30" s="41">
        <f t="shared" si="9"/>
        <v>62000</v>
      </c>
      <c r="Q30" s="41">
        <f t="shared" si="9"/>
        <v>62000</v>
      </c>
      <c r="R30" s="41">
        <f t="shared" si="9"/>
        <v>62000</v>
      </c>
      <c r="S30" s="41">
        <f t="shared" si="9"/>
        <v>62000</v>
      </c>
      <c r="T30" s="41">
        <f t="shared" si="11"/>
        <v>62000</v>
      </c>
      <c r="U30" s="41">
        <f t="shared" si="11"/>
        <v>62000</v>
      </c>
      <c r="V30" s="41">
        <f t="shared" si="11"/>
        <v>62000</v>
      </c>
      <c r="W30" s="41">
        <f t="shared" si="11"/>
        <v>62000</v>
      </c>
      <c r="X30" s="41">
        <f t="shared" si="11"/>
        <v>62000</v>
      </c>
      <c r="Y30" s="41">
        <f t="shared" si="11"/>
        <v>62000</v>
      </c>
      <c r="Z30" s="41">
        <f t="shared" si="11"/>
        <v>62000</v>
      </c>
      <c r="AA30" s="45">
        <v>22</v>
      </c>
      <c r="AB30" s="30">
        <f t="shared" si="6"/>
        <v>32736000</v>
      </c>
      <c r="AC30" s="79">
        <f t="shared" ref="AC30" si="14">+AB30+AB31+AB32</f>
        <v>44640000</v>
      </c>
      <c r="AF30" s="31"/>
    </row>
    <row r="31" spans="1:32" ht="13.8" thickBot="1" x14ac:dyDescent="0.3">
      <c r="A31" s="76"/>
      <c r="B31" s="32" t="s">
        <v>20</v>
      </c>
      <c r="C31" s="41">
        <v>62000</v>
      </c>
      <c r="D31" s="41">
        <f t="shared" si="9"/>
        <v>62000</v>
      </c>
      <c r="E31" s="41">
        <f t="shared" si="9"/>
        <v>62000</v>
      </c>
      <c r="F31" s="41">
        <f t="shared" si="9"/>
        <v>62000</v>
      </c>
      <c r="G31" s="41">
        <f t="shared" si="9"/>
        <v>62000</v>
      </c>
      <c r="H31" s="41">
        <f t="shared" si="9"/>
        <v>62000</v>
      </c>
      <c r="I31" s="41">
        <f t="shared" si="9"/>
        <v>62000</v>
      </c>
      <c r="J31" s="41">
        <f t="shared" si="9"/>
        <v>62000</v>
      </c>
      <c r="K31" s="41">
        <f t="shared" si="9"/>
        <v>62000</v>
      </c>
      <c r="L31" s="41">
        <f t="shared" si="9"/>
        <v>62000</v>
      </c>
      <c r="M31" s="41">
        <f t="shared" si="9"/>
        <v>62000</v>
      </c>
      <c r="N31" s="41">
        <f t="shared" si="9"/>
        <v>62000</v>
      </c>
      <c r="O31" s="41">
        <f t="shared" si="9"/>
        <v>62000</v>
      </c>
      <c r="P31" s="41">
        <f t="shared" si="9"/>
        <v>62000</v>
      </c>
      <c r="Q31" s="41">
        <f t="shared" si="9"/>
        <v>62000</v>
      </c>
      <c r="R31" s="41">
        <f t="shared" si="9"/>
        <v>62000</v>
      </c>
      <c r="S31" s="41">
        <f t="shared" si="9"/>
        <v>62000</v>
      </c>
      <c r="T31" s="41">
        <f t="shared" si="11"/>
        <v>62000</v>
      </c>
      <c r="U31" s="41">
        <f t="shared" si="11"/>
        <v>62000</v>
      </c>
      <c r="V31" s="41">
        <f t="shared" si="11"/>
        <v>62000</v>
      </c>
      <c r="W31" s="41">
        <f t="shared" si="11"/>
        <v>62000</v>
      </c>
      <c r="X31" s="41">
        <f t="shared" si="11"/>
        <v>62000</v>
      </c>
      <c r="Y31" s="41">
        <f t="shared" si="11"/>
        <v>62000</v>
      </c>
      <c r="Z31" s="41">
        <f t="shared" si="11"/>
        <v>62000</v>
      </c>
      <c r="AA31" s="45">
        <v>4</v>
      </c>
      <c r="AB31" s="30">
        <f t="shared" si="6"/>
        <v>5952000</v>
      </c>
      <c r="AC31" s="73"/>
      <c r="AF31" s="31"/>
    </row>
    <row r="32" spans="1:32" ht="13.8" thickBot="1" x14ac:dyDescent="0.3">
      <c r="A32" s="76"/>
      <c r="B32" s="32" t="s">
        <v>21</v>
      </c>
      <c r="C32" s="41">
        <v>62000</v>
      </c>
      <c r="D32" s="41">
        <f t="shared" si="9"/>
        <v>62000</v>
      </c>
      <c r="E32" s="41">
        <f t="shared" si="9"/>
        <v>62000</v>
      </c>
      <c r="F32" s="41">
        <f t="shared" si="9"/>
        <v>62000</v>
      </c>
      <c r="G32" s="41">
        <f t="shared" si="9"/>
        <v>62000</v>
      </c>
      <c r="H32" s="41">
        <f t="shared" si="9"/>
        <v>62000</v>
      </c>
      <c r="I32" s="41">
        <f t="shared" si="9"/>
        <v>62000</v>
      </c>
      <c r="J32" s="41">
        <f t="shared" si="9"/>
        <v>62000</v>
      </c>
      <c r="K32" s="41">
        <f t="shared" si="9"/>
        <v>62000</v>
      </c>
      <c r="L32" s="41">
        <f t="shared" si="9"/>
        <v>62000</v>
      </c>
      <c r="M32" s="41">
        <f t="shared" si="9"/>
        <v>62000</v>
      </c>
      <c r="N32" s="41">
        <f t="shared" si="9"/>
        <v>62000</v>
      </c>
      <c r="O32" s="41">
        <f t="shared" si="9"/>
        <v>62000</v>
      </c>
      <c r="P32" s="41">
        <f t="shared" si="9"/>
        <v>62000</v>
      </c>
      <c r="Q32" s="41">
        <f t="shared" si="9"/>
        <v>62000</v>
      </c>
      <c r="R32" s="41">
        <f t="shared" si="9"/>
        <v>62000</v>
      </c>
      <c r="S32" s="41">
        <f t="shared" si="9"/>
        <v>62000</v>
      </c>
      <c r="T32" s="41">
        <f t="shared" si="11"/>
        <v>62000</v>
      </c>
      <c r="U32" s="41">
        <f t="shared" si="11"/>
        <v>62000</v>
      </c>
      <c r="V32" s="41">
        <f t="shared" si="11"/>
        <v>62000</v>
      </c>
      <c r="W32" s="41">
        <f t="shared" si="11"/>
        <v>62000</v>
      </c>
      <c r="X32" s="41">
        <f t="shared" si="11"/>
        <v>62000</v>
      </c>
      <c r="Y32" s="41">
        <f t="shared" si="11"/>
        <v>62000</v>
      </c>
      <c r="Z32" s="41">
        <f t="shared" si="11"/>
        <v>62000</v>
      </c>
      <c r="AA32" s="45">
        <v>4</v>
      </c>
      <c r="AB32" s="30">
        <f t="shared" si="6"/>
        <v>5952000</v>
      </c>
      <c r="AC32" s="74"/>
      <c r="AF32" s="31"/>
    </row>
    <row r="33" spans="1:32" ht="14.4" thickTop="1" thickBot="1" x14ac:dyDescent="0.3">
      <c r="A33" s="75">
        <v>48853</v>
      </c>
      <c r="B33" s="35" t="s">
        <v>19</v>
      </c>
      <c r="C33" s="41">
        <v>62000</v>
      </c>
      <c r="D33" s="41">
        <f t="shared" si="9"/>
        <v>62000</v>
      </c>
      <c r="E33" s="41">
        <f t="shared" si="9"/>
        <v>62000</v>
      </c>
      <c r="F33" s="41">
        <f t="shared" si="9"/>
        <v>62000</v>
      </c>
      <c r="G33" s="41">
        <f t="shared" si="9"/>
        <v>62000</v>
      </c>
      <c r="H33" s="41">
        <f t="shared" si="9"/>
        <v>62000</v>
      </c>
      <c r="I33" s="41">
        <f t="shared" si="9"/>
        <v>62000</v>
      </c>
      <c r="J33" s="41">
        <f t="shared" si="9"/>
        <v>62000</v>
      </c>
      <c r="K33" s="41">
        <f t="shared" si="9"/>
        <v>62000</v>
      </c>
      <c r="L33" s="41">
        <f t="shared" si="9"/>
        <v>62000</v>
      </c>
      <c r="M33" s="41">
        <f t="shared" si="9"/>
        <v>62000</v>
      </c>
      <c r="N33" s="41">
        <f t="shared" si="9"/>
        <v>62000</v>
      </c>
      <c r="O33" s="41">
        <f t="shared" si="9"/>
        <v>62000</v>
      </c>
      <c r="P33" s="41">
        <f t="shared" si="9"/>
        <v>62000</v>
      </c>
      <c r="Q33" s="41">
        <f t="shared" si="9"/>
        <v>62000</v>
      </c>
      <c r="R33" s="41">
        <f t="shared" si="9"/>
        <v>62000</v>
      </c>
      <c r="S33" s="41">
        <f t="shared" si="9"/>
        <v>62000</v>
      </c>
      <c r="T33" s="41">
        <f t="shared" si="11"/>
        <v>62000</v>
      </c>
      <c r="U33" s="41">
        <f t="shared" si="11"/>
        <v>62000</v>
      </c>
      <c r="V33" s="41">
        <f t="shared" si="11"/>
        <v>62000</v>
      </c>
      <c r="W33" s="41">
        <f t="shared" si="11"/>
        <v>62000</v>
      </c>
      <c r="X33" s="41">
        <f t="shared" si="11"/>
        <v>62000</v>
      </c>
      <c r="Y33" s="41">
        <f t="shared" si="11"/>
        <v>62000</v>
      </c>
      <c r="Z33" s="41">
        <f t="shared" si="11"/>
        <v>62000</v>
      </c>
      <c r="AA33" s="45">
        <v>20</v>
      </c>
      <c r="AB33" s="30">
        <f t="shared" si="6"/>
        <v>29760000</v>
      </c>
      <c r="AC33" s="79">
        <f t="shared" ref="AC33" si="15">+AB33+AB34+AB35</f>
        <v>46128000</v>
      </c>
      <c r="AF33" s="31"/>
    </row>
    <row r="34" spans="1:32" ht="13.8" thickBot="1" x14ac:dyDescent="0.3">
      <c r="A34" s="76"/>
      <c r="B34" s="32" t="s">
        <v>20</v>
      </c>
      <c r="C34" s="41">
        <v>62000</v>
      </c>
      <c r="D34" s="41">
        <f t="shared" si="9"/>
        <v>62000</v>
      </c>
      <c r="E34" s="41">
        <f t="shared" si="9"/>
        <v>62000</v>
      </c>
      <c r="F34" s="41">
        <f t="shared" si="9"/>
        <v>62000</v>
      </c>
      <c r="G34" s="41">
        <f t="shared" si="9"/>
        <v>62000</v>
      </c>
      <c r="H34" s="41">
        <f t="shared" si="9"/>
        <v>62000</v>
      </c>
      <c r="I34" s="41">
        <f t="shared" si="9"/>
        <v>62000</v>
      </c>
      <c r="J34" s="41">
        <f t="shared" si="9"/>
        <v>62000</v>
      </c>
      <c r="K34" s="41">
        <f t="shared" si="9"/>
        <v>62000</v>
      </c>
      <c r="L34" s="41">
        <f t="shared" si="9"/>
        <v>62000</v>
      </c>
      <c r="M34" s="41">
        <f t="shared" si="9"/>
        <v>62000</v>
      </c>
      <c r="N34" s="41">
        <f t="shared" si="9"/>
        <v>62000</v>
      </c>
      <c r="O34" s="41">
        <f t="shared" si="9"/>
        <v>62000</v>
      </c>
      <c r="P34" s="41">
        <f t="shared" si="9"/>
        <v>62000</v>
      </c>
      <c r="Q34" s="41">
        <f t="shared" si="9"/>
        <v>62000</v>
      </c>
      <c r="R34" s="41">
        <f t="shared" si="9"/>
        <v>62000</v>
      </c>
      <c r="S34" s="41">
        <f t="shared" si="9"/>
        <v>62000</v>
      </c>
      <c r="T34" s="41">
        <f t="shared" si="11"/>
        <v>62000</v>
      </c>
      <c r="U34" s="41">
        <f t="shared" si="11"/>
        <v>62000</v>
      </c>
      <c r="V34" s="41">
        <f t="shared" si="11"/>
        <v>62000</v>
      </c>
      <c r="W34" s="41">
        <f t="shared" si="11"/>
        <v>62000</v>
      </c>
      <c r="X34" s="41">
        <f t="shared" si="11"/>
        <v>62000</v>
      </c>
      <c r="Y34" s="41">
        <f t="shared" si="11"/>
        <v>62000</v>
      </c>
      <c r="Z34" s="41">
        <f t="shared" si="11"/>
        <v>62000</v>
      </c>
      <c r="AA34" s="45">
        <v>5</v>
      </c>
      <c r="AB34" s="30">
        <f t="shared" si="6"/>
        <v>7440000</v>
      </c>
      <c r="AC34" s="73"/>
      <c r="AF34" s="31"/>
    </row>
    <row r="35" spans="1:32" ht="13.8" thickBot="1" x14ac:dyDescent="0.3">
      <c r="A35" s="76"/>
      <c r="B35" s="32" t="s">
        <v>21</v>
      </c>
      <c r="C35" s="41">
        <v>62000</v>
      </c>
      <c r="D35" s="41">
        <f t="shared" si="9"/>
        <v>62000</v>
      </c>
      <c r="E35" s="41">
        <f t="shared" si="9"/>
        <v>62000</v>
      </c>
      <c r="F35" s="41">
        <f t="shared" si="9"/>
        <v>62000</v>
      </c>
      <c r="G35" s="41">
        <f t="shared" si="9"/>
        <v>62000</v>
      </c>
      <c r="H35" s="41">
        <f t="shared" si="9"/>
        <v>62000</v>
      </c>
      <c r="I35" s="41">
        <f t="shared" si="9"/>
        <v>62000</v>
      </c>
      <c r="J35" s="41">
        <f t="shared" si="9"/>
        <v>62000</v>
      </c>
      <c r="K35" s="41">
        <f t="shared" si="9"/>
        <v>62000</v>
      </c>
      <c r="L35" s="41">
        <f t="shared" si="9"/>
        <v>62000</v>
      </c>
      <c r="M35" s="41">
        <f t="shared" si="9"/>
        <v>62000</v>
      </c>
      <c r="N35" s="41">
        <f t="shared" si="9"/>
        <v>62000</v>
      </c>
      <c r="O35" s="41">
        <f t="shared" si="9"/>
        <v>62000</v>
      </c>
      <c r="P35" s="41">
        <f t="shared" si="9"/>
        <v>62000</v>
      </c>
      <c r="Q35" s="41">
        <f t="shared" si="9"/>
        <v>62000</v>
      </c>
      <c r="R35" s="41">
        <f t="shared" si="9"/>
        <v>62000</v>
      </c>
      <c r="S35" s="41">
        <f t="shared" si="9"/>
        <v>62000</v>
      </c>
      <c r="T35" s="41">
        <f t="shared" si="11"/>
        <v>62000</v>
      </c>
      <c r="U35" s="41">
        <f t="shared" si="11"/>
        <v>62000</v>
      </c>
      <c r="V35" s="41">
        <f t="shared" si="11"/>
        <v>62000</v>
      </c>
      <c r="W35" s="41">
        <f t="shared" si="11"/>
        <v>62000</v>
      </c>
      <c r="X35" s="41">
        <f t="shared" si="11"/>
        <v>62000</v>
      </c>
      <c r="Y35" s="41">
        <f t="shared" si="11"/>
        <v>62000</v>
      </c>
      <c r="Z35" s="41">
        <f t="shared" si="11"/>
        <v>62000</v>
      </c>
      <c r="AA35" s="45">
        <v>6</v>
      </c>
      <c r="AB35" s="30">
        <f t="shared" si="6"/>
        <v>8928000</v>
      </c>
      <c r="AC35" s="74"/>
      <c r="AF35" s="31"/>
    </row>
    <row r="36" spans="1:32" ht="14.4" thickTop="1" thickBot="1" x14ac:dyDescent="0.3">
      <c r="A36" s="75">
        <v>48884</v>
      </c>
      <c r="B36" s="34" t="s">
        <v>19</v>
      </c>
      <c r="C36" s="41">
        <v>62000</v>
      </c>
      <c r="D36" s="41">
        <f t="shared" si="9"/>
        <v>62000</v>
      </c>
      <c r="E36" s="41">
        <f t="shared" si="9"/>
        <v>62000</v>
      </c>
      <c r="F36" s="41">
        <f t="shared" si="9"/>
        <v>62000</v>
      </c>
      <c r="G36" s="41">
        <f t="shared" si="9"/>
        <v>62000</v>
      </c>
      <c r="H36" s="41">
        <f t="shared" si="9"/>
        <v>62000</v>
      </c>
      <c r="I36" s="41">
        <f t="shared" si="9"/>
        <v>62000</v>
      </c>
      <c r="J36" s="41">
        <f t="shared" si="9"/>
        <v>62000</v>
      </c>
      <c r="K36" s="41">
        <f t="shared" si="9"/>
        <v>62000</v>
      </c>
      <c r="L36" s="41">
        <f t="shared" si="9"/>
        <v>62000</v>
      </c>
      <c r="M36" s="41">
        <f t="shared" si="9"/>
        <v>62000</v>
      </c>
      <c r="N36" s="41">
        <f t="shared" si="9"/>
        <v>62000</v>
      </c>
      <c r="O36" s="41">
        <f t="shared" si="9"/>
        <v>62000</v>
      </c>
      <c r="P36" s="41">
        <f t="shared" si="9"/>
        <v>62000</v>
      </c>
      <c r="Q36" s="41">
        <f t="shared" si="9"/>
        <v>62000</v>
      </c>
      <c r="R36" s="41">
        <f t="shared" si="9"/>
        <v>62000</v>
      </c>
      <c r="S36" s="41">
        <f t="shared" si="9"/>
        <v>62000</v>
      </c>
      <c r="T36" s="41">
        <f t="shared" si="11"/>
        <v>62000</v>
      </c>
      <c r="U36" s="41">
        <f t="shared" si="11"/>
        <v>62000</v>
      </c>
      <c r="V36" s="41">
        <f t="shared" si="11"/>
        <v>62000</v>
      </c>
      <c r="W36" s="41">
        <f t="shared" si="11"/>
        <v>62000</v>
      </c>
      <c r="X36" s="41">
        <f t="shared" si="11"/>
        <v>62000</v>
      </c>
      <c r="Y36" s="41">
        <f t="shared" si="11"/>
        <v>62000</v>
      </c>
      <c r="Z36" s="41">
        <f t="shared" si="11"/>
        <v>62000</v>
      </c>
      <c r="AA36" s="45">
        <v>20</v>
      </c>
      <c r="AB36" s="30">
        <f t="shared" si="6"/>
        <v>29760000</v>
      </c>
      <c r="AC36" s="79">
        <f t="shared" ref="AC36" si="16">+AB36+AB37+AB38</f>
        <v>44640000</v>
      </c>
      <c r="AF36" s="31"/>
    </row>
    <row r="37" spans="1:32" ht="13.8" thickBot="1" x14ac:dyDescent="0.3">
      <c r="A37" s="76"/>
      <c r="B37" s="32" t="s">
        <v>20</v>
      </c>
      <c r="C37" s="41">
        <v>62000</v>
      </c>
      <c r="D37" s="41">
        <f t="shared" ref="D37:S52" si="17">+C37</f>
        <v>62000</v>
      </c>
      <c r="E37" s="41">
        <f t="shared" si="17"/>
        <v>62000</v>
      </c>
      <c r="F37" s="41">
        <f t="shared" si="17"/>
        <v>62000</v>
      </c>
      <c r="G37" s="41">
        <f t="shared" si="17"/>
        <v>62000</v>
      </c>
      <c r="H37" s="41">
        <f t="shared" si="17"/>
        <v>62000</v>
      </c>
      <c r="I37" s="41">
        <f t="shared" si="17"/>
        <v>62000</v>
      </c>
      <c r="J37" s="41">
        <f t="shared" si="17"/>
        <v>62000</v>
      </c>
      <c r="K37" s="41">
        <f t="shared" si="17"/>
        <v>62000</v>
      </c>
      <c r="L37" s="41">
        <f t="shared" si="17"/>
        <v>62000</v>
      </c>
      <c r="M37" s="41">
        <f t="shared" si="17"/>
        <v>62000</v>
      </c>
      <c r="N37" s="41">
        <f t="shared" si="17"/>
        <v>62000</v>
      </c>
      <c r="O37" s="41">
        <f t="shared" si="17"/>
        <v>62000</v>
      </c>
      <c r="P37" s="41">
        <f t="shared" si="17"/>
        <v>62000</v>
      </c>
      <c r="Q37" s="41">
        <f t="shared" si="17"/>
        <v>62000</v>
      </c>
      <c r="R37" s="41">
        <f t="shared" si="17"/>
        <v>62000</v>
      </c>
      <c r="S37" s="41">
        <f t="shared" si="17"/>
        <v>62000</v>
      </c>
      <c r="T37" s="41">
        <f t="shared" si="11"/>
        <v>62000</v>
      </c>
      <c r="U37" s="41">
        <f t="shared" si="11"/>
        <v>62000</v>
      </c>
      <c r="V37" s="41">
        <f t="shared" si="11"/>
        <v>62000</v>
      </c>
      <c r="W37" s="41">
        <f t="shared" si="11"/>
        <v>62000</v>
      </c>
      <c r="X37" s="41">
        <f t="shared" si="11"/>
        <v>62000</v>
      </c>
      <c r="Y37" s="41">
        <f t="shared" si="11"/>
        <v>62000</v>
      </c>
      <c r="Z37" s="41">
        <f t="shared" si="11"/>
        <v>62000</v>
      </c>
      <c r="AA37" s="45">
        <v>4</v>
      </c>
      <c r="AB37" s="30">
        <f t="shared" si="6"/>
        <v>5952000</v>
      </c>
      <c r="AC37" s="73"/>
      <c r="AF37" s="31"/>
    </row>
    <row r="38" spans="1:32" ht="13.8" thickBot="1" x14ac:dyDescent="0.3">
      <c r="A38" s="76"/>
      <c r="B38" s="32" t="s">
        <v>21</v>
      </c>
      <c r="C38" s="41">
        <v>62000</v>
      </c>
      <c r="D38" s="41">
        <f t="shared" si="17"/>
        <v>62000</v>
      </c>
      <c r="E38" s="41">
        <f t="shared" si="17"/>
        <v>62000</v>
      </c>
      <c r="F38" s="41">
        <f t="shared" si="17"/>
        <v>62000</v>
      </c>
      <c r="G38" s="41">
        <f t="shared" si="17"/>
        <v>62000</v>
      </c>
      <c r="H38" s="41">
        <f t="shared" si="17"/>
        <v>62000</v>
      </c>
      <c r="I38" s="41">
        <f t="shared" si="17"/>
        <v>62000</v>
      </c>
      <c r="J38" s="41">
        <f t="shared" si="17"/>
        <v>62000</v>
      </c>
      <c r="K38" s="41">
        <f t="shared" si="17"/>
        <v>62000</v>
      </c>
      <c r="L38" s="41">
        <f t="shared" si="17"/>
        <v>62000</v>
      </c>
      <c r="M38" s="41">
        <f t="shared" si="17"/>
        <v>62000</v>
      </c>
      <c r="N38" s="41">
        <f t="shared" si="17"/>
        <v>62000</v>
      </c>
      <c r="O38" s="41">
        <f t="shared" si="17"/>
        <v>62000</v>
      </c>
      <c r="P38" s="41">
        <f t="shared" si="17"/>
        <v>62000</v>
      </c>
      <c r="Q38" s="41">
        <f t="shared" si="17"/>
        <v>62000</v>
      </c>
      <c r="R38" s="41">
        <f t="shared" si="17"/>
        <v>62000</v>
      </c>
      <c r="S38" s="41">
        <f t="shared" si="17"/>
        <v>62000</v>
      </c>
      <c r="T38" s="41">
        <f t="shared" ref="T38:Z53" si="18">+S38</f>
        <v>62000</v>
      </c>
      <c r="U38" s="41">
        <f t="shared" si="18"/>
        <v>62000</v>
      </c>
      <c r="V38" s="41">
        <f t="shared" si="18"/>
        <v>62000</v>
      </c>
      <c r="W38" s="41">
        <f t="shared" si="18"/>
        <v>62000</v>
      </c>
      <c r="X38" s="41">
        <f t="shared" si="18"/>
        <v>62000</v>
      </c>
      <c r="Y38" s="41">
        <f t="shared" si="18"/>
        <v>62000</v>
      </c>
      <c r="Z38" s="41">
        <f t="shared" si="18"/>
        <v>62000</v>
      </c>
      <c r="AA38" s="45">
        <v>6</v>
      </c>
      <c r="AB38" s="30">
        <f t="shared" si="6"/>
        <v>8928000</v>
      </c>
      <c r="AC38" s="74"/>
      <c r="AF38" s="31"/>
    </row>
    <row r="39" spans="1:32" ht="14.4" thickTop="1" thickBot="1" x14ac:dyDescent="0.3">
      <c r="A39" s="75">
        <v>48914</v>
      </c>
      <c r="B39" s="35" t="s">
        <v>19</v>
      </c>
      <c r="C39" s="41">
        <v>62000</v>
      </c>
      <c r="D39" s="41">
        <f t="shared" si="17"/>
        <v>62000</v>
      </c>
      <c r="E39" s="41">
        <f t="shared" si="17"/>
        <v>62000</v>
      </c>
      <c r="F39" s="41">
        <f t="shared" si="17"/>
        <v>62000</v>
      </c>
      <c r="G39" s="41">
        <f t="shared" si="17"/>
        <v>62000</v>
      </c>
      <c r="H39" s="41">
        <f t="shared" si="17"/>
        <v>62000</v>
      </c>
      <c r="I39" s="41">
        <f t="shared" si="17"/>
        <v>62000</v>
      </c>
      <c r="J39" s="41">
        <f t="shared" si="17"/>
        <v>62000</v>
      </c>
      <c r="K39" s="41">
        <f t="shared" si="17"/>
        <v>62000</v>
      </c>
      <c r="L39" s="41">
        <f t="shared" si="17"/>
        <v>62000</v>
      </c>
      <c r="M39" s="41">
        <f t="shared" si="17"/>
        <v>62000</v>
      </c>
      <c r="N39" s="41">
        <f t="shared" si="17"/>
        <v>62000</v>
      </c>
      <c r="O39" s="41">
        <f t="shared" si="17"/>
        <v>62000</v>
      </c>
      <c r="P39" s="41">
        <f t="shared" si="17"/>
        <v>62000</v>
      </c>
      <c r="Q39" s="41">
        <f t="shared" si="17"/>
        <v>62000</v>
      </c>
      <c r="R39" s="41">
        <f t="shared" si="17"/>
        <v>62000</v>
      </c>
      <c r="S39" s="41">
        <f t="shared" si="17"/>
        <v>62000</v>
      </c>
      <c r="T39" s="41">
        <f t="shared" si="18"/>
        <v>62000</v>
      </c>
      <c r="U39" s="41">
        <f t="shared" si="18"/>
        <v>62000</v>
      </c>
      <c r="V39" s="41">
        <f t="shared" si="18"/>
        <v>62000</v>
      </c>
      <c r="W39" s="41">
        <f t="shared" si="18"/>
        <v>62000</v>
      </c>
      <c r="X39" s="41">
        <f t="shared" si="18"/>
        <v>62000</v>
      </c>
      <c r="Y39" s="41">
        <f t="shared" si="18"/>
        <v>62000</v>
      </c>
      <c r="Z39" s="41">
        <f t="shared" si="18"/>
        <v>62000</v>
      </c>
      <c r="AA39" s="45">
        <v>21</v>
      </c>
      <c r="AB39" s="30">
        <f t="shared" si="6"/>
        <v>31248000</v>
      </c>
      <c r="AC39" s="79">
        <f t="shared" ref="AC39" si="19">+AB39+AB40+AB41</f>
        <v>46128000</v>
      </c>
      <c r="AF39" s="31"/>
    </row>
    <row r="40" spans="1:32" ht="13.8" thickBot="1" x14ac:dyDescent="0.3">
      <c r="A40" s="76"/>
      <c r="B40" s="32" t="s">
        <v>20</v>
      </c>
      <c r="C40" s="41">
        <v>62000</v>
      </c>
      <c r="D40" s="41">
        <f t="shared" si="17"/>
        <v>62000</v>
      </c>
      <c r="E40" s="41">
        <f t="shared" si="17"/>
        <v>62000</v>
      </c>
      <c r="F40" s="41">
        <f t="shared" si="17"/>
        <v>62000</v>
      </c>
      <c r="G40" s="41">
        <f t="shared" si="17"/>
        <v>62000</v>
      </c>
      <c r="H40" s="41">
        <f t="shared" si="17"/>
        <v>62000</v>
      </c>
      <c r="I40" s="41">
        <f t="shared" si="17"/>
        <v>62000</v>
      </c>
      <c r="J40" s="41">
        <f t="shared" si="17"/>
        <v>62000</v>
      </c>
      <c r="K40" s="41">
        <f t="shared" si="17"/>
        <v>62000</v>
      </c>
      <c r="L40" s="41">
        <f t="shared" si="17"/>
        <v>62000</v>
      </c>
      <c r="M40" s="41">
        <f t="shared" si="17"/>
        <v>62000</v>
      </c>
      <c r="N40" s="41">
        <f t="shared" si="17"/>
        <v>62000</v>
      </c>
      <c r="O40" s="41">
        <f t="shared" si="17"/>
        <v>62000</v>
      </c>
      <c r="P40" s="41">
        <f t="shared" si="17"/>
        <v>62000</v>
      </c>
      <c r="Q40" s="41">
        <f t="shared" si="17"/>
        <v>62000</v>
      </c>
      <c r="R40" s="41">
        <f t="shared" si="17"/>
        <v>62000</v>
      </c>
      <c r="S40" s="41">
        <f t="shared" si="17"/>
        <v>62000</v>
      </c>
      <c r="T40" s="41">
        <f t="shared" si="18"/>
        <v>62000</v>
      </c>
      <c r="U40" s="41">
        <f t="shared" si="18"/>
        <v>62000</v>
      </c>
      <c r="V40" s="41">
        <f t="shared" si="18"/>
        <v>62000</v>
      </c>
      <c r="W40" s="41">
        <f t="shared" si="18"/>
        <v>62000</v>
      </c>
      <c r="X40" s="41">
        <f t="shared" si="18"/>
        <v>62000</v>
      </c>
      <c r="Y40" s="41">
        <f t="shared" si="18"/>
        <v>62000</v>
      </c>
      <c r="Z40" s="41">
        <f t="shared" si="18"/>
        <v>62000</v>
      </c>
      <c r="AA40" s="45">
        <v>5</v>
      </c>
      <c r="AB40" s="30">
        <f t="shared" si="6"/>
        <v>7440000</v>
      </c>
      <c r="AC40" s="73"/>
      <c r="AF40" s="31"/>
    </row>
    <row r="41" spans="1:32" ht="13.8" thickBot="1" x14ac:dyDescent="0.3">
      <c r="A41" s="77"/>
      <c r="B41" s="36" t="s">
        <v>21</v>
      </c>
      <c r="C41" s="41">
        <v>62000</v>
      </c>
      <c r="D41" s="41">
        <f t="shared" si="17"/>
        <v>62000</v>
      </c>
      <c r="E41" s="41">
        <f t="shared" si="17"/>
        <v>62000</v>
      </c>
      <c r="F41" s="41">
        <f t="shared" si="17"/>
        <v>62000</v>
      </c>
      <c r="G41" s="41">
        <f t="shared" si="17"/>
        <v>62000</v>
      </c>
      <c r="H41" s="41">
        <f t="shared" si="17"/>
        <v>62000</v>
      </c>
      <c r="I41" s="41">
        <f t="shared" si="17"/>
        <v>62000</v>
      </c>
      <c r="J41" s="41">
        <f t="shared" si="17"/>
        <v>62000</v>
      </c>
      <c r="K41" s="41">
        <f t="shared" si="17"/>
        <v>62000</v>
      </c>
      <c r="L41" s="41">
        <f t="shared" si="17"/>
        <v>62000</v>
      </c>
      <c r="M41" s="41">
        <f t="shared" si="17"/>
        <v>62000</v>
      </c>
      <c r="N41" s="41">
        <f t="shared" si="17"/>
        <v>62000</v>
      </c>
      <c r="O41" s="41">
        <f t="shared" si="17"/>
        <v>62000</v>
      </c>
      <c r="P41" s="41">
        <f t="shared" si="17"/>
        <v>62000</v>
      </c>
      <c r="Q41" s="41">
        <f t="shared" si="17"/>
        <v>62000</v>
      </c>
      <c r="R41" s="41">
        <f t="shared" si="17"/>
        <v>62000</v>
      </c>
      <c r="S41" s="41">
        <f t="shared" si="17"/>
        <v>62000</v>
      </c>
      <c r="T41" s="41">
        <f t="shared" si="18"/>
        <v>62000</v>
      </c>
      <c r="U41" s="41">
        <f t="shared" si="18"/>
        <v>62000</v>
      </c>
      <c r="V41" s="41">
        <f t="shared" si="18"/>
        <v>62000</v>
      </c>
      <c r="W41" s="41">
        <f t="shared" si="18"/>
        <v>62000</v>
      </c>
      <c r="X41" s="41">
        <f t="shared" si="18"/>
        <v>62000</v>
      </c>
      <c r="Y41" s="41">
        <f t="shared" si="18"/>
        <v>62000</v>
      </c>
      <c r="Z41" s="41">
        <f t="shared" si="18"/>
        <v>62000</v>
      </c>
      <c r="AA41" s="47">
        <v>5</v>
      </c>
      <c r="AB41" s="30">
        <f t="shared" si="6"/>
        <v>7440000</v>
      </c>
      <c r="AC41" s="74"/>
      <c r="AF41" s="31"/>
    </row>
    <row r="42" spans="1:32" ht="13.8" thickBot="1" x14ac:dyDescent="0.3">
      <c r="A42" s="78">
        <v>48945</v>
      </c>
      <c r="B42" s="23" t="s">
        <v>19</v>
      </c>
      <c r="C42" s="41">
        <v>68000</v>
      </c>
      <c r="D42" s="41">
        <f t="shared" si="17"/>
        <v>68000</v>
      </c>
      <c r="E42" s="41">
        <f t="shared" si="17"/>
        <v>68000</v>
      </c>
      <c r="F42" s="41">
        <f t="shared" si="17"/>
        <v>68000</v>
      </c>
      <c r="G42" s="41">
        <f t="shared" si="17"/>
        <v>68000</v>
      </c>
      <c r="H42" s="41">
        <f t="shared" si="17"/>
        <v>68000</v>
      </c>
      <c r="I42" s="41">
        <f t="shared" si="17"/>
        <v>68000</v>
      </c>
      <c r="J42" s="41">
        <f t="shared" si="17"/>
        <v>68000</v>
      </c>
      <c r="K42" s="41">
        <f t="shared" si="17"/>
        <v>68000</v>
      </c>
      <c r="L42" s="41">
        <f t="shared" si="17"/>
        <v>68000</v>
      </c>
      <c r="M42" s="41">
        <f t="shared" si="17"/>
        <v>68000</v>
      </c>
      <c r="N42" s="41">
        <f t="shared" si="17"/>
        <v>68000</v>
      </c>
      <c r="O42" s="41">
        <f t="shared" si="17"/>
        <v>68000</v>
      </c>
      <c r="P42" s="41">
        <f t="shared" si="17"/>
        <v>68000</v>
      </c>
      <c r="Q42" s="41">
        <f t="shared" si="17"/>
        <v>68000</v>
      </c>
      <c r="R42" s="41">
        <f t="shared" si="17"/>
        <v>68000</v>
      </c>
      <c r="S42" s="41">
        <f t="shared" si="17"/>
        <v>68000</v>
      </c>
      <c r="T42" s="41">
        <f t="shared" si="18"/>
        <v>68000</v>
      </c>
      <c r="U42" s="41">
        <f t="shared" si="18"/>
        <v>68000</v>
      </c>
      <c r="V42" s="41">
        <f t="shared" si="18"/>
        <v>68000</v>
      </c>
      <c r="W42" s="41">
        <f t="shared" si="18"/>
        <v>68000</v>
      </c>
      <c r="X42" s="41">
        <f t="shared" si="18"/>
        <v>68000</v>
      </c>
      <c r="Y42" s="41">
        <f t="shared" si="18"/>
        <v>68000</v>
      </c>
      <c r="Z42" s="41">
        <f t="shared" si="18"/>
        <v>68000</v>
      </c>
      <c r="AA42" s="42">
        <v>21</v>
      </c>
      <c r="AB42" s="30">
        <f t="shared" si="6"/>
        <v>34272000</v>
      </c>
      <c r="AC42" s="79">
        <f t="shared" ref="AC42" si="20">+AB42+AB43+AB44</f>
        <v>50592000</v>
      </c>
      <c r="AF42" s="31"/>
    </row>
    <row r="43" spans="1:32" ht="13.8" thickBot="1" x14ac:dyDescent="0.3">
      <c r="A43" s="76"/>
      <c r="B43" s="32" t="s">
        <v>20</v>
      </c>
      <c r="C43" s="41">
        <v>68000</v>
      </c>
      <c r="D43" s="41">
        <f t="shared" si="17"/>
        <v>68000</v>
      </c>
      <c r="E43" s="41">
        <f t="shared" si="17"/>
        <v>68000</v>
      </c>
      <c r="F43" s="41">
        <f t="shared" si="17"/>
        <v>68000</v>
      </c>
      <c r="G43" s="41">
        <f t="shared" si="17"/>
        <v>68000</v>
      </c>
      <c r="H43" s="41">
        <f t="shared" si="17"/>
        <v>68000</v>
      </c>
      <c r="I43" s="41">
        <f t="shared" si="17"/>
        <v>68000</v>
      </c>
      <c r="J43" s="41">
        <f t="shared" si="17"/>
        <v>68000</v>
      </c>
      <c r="K43" s="41">
        <f t="shared" si="17"/>
        <v>68000</v>
      </c>
      <c r="L43" s="41">
        <f t="shared" si="17"/>
        <v>68000</v>
      </c>
      <c r="M43" s="41">
        <f t="shared" si="17"/>
        <v>68000</v>
      </c>
      <c r="N43" s="41">
        <f t="shared" si="17"/>
        <v>68000</v>
      </c>
      <c r="O43" s="41">
        <f t="shared" si="17"/>
        <v>68000</v>
      </c>
      <c r="P43" s="41">
        <f t="shared" si="17"/>
        <v>68000</v>
      </c>
      <c r="Q43" s="41">
        <f t="shared" si="17"/>
        <v>68000</v>
      </c>
      <c r="R43" s="41">
        <f t="shared" si="17"/>
        <v>68000</v>
      </c>
      <c r="S43" s="41">
        <f t="shared" si="17"/>
        <v>68000</v>
      </c>
      <c r="T43" s="41">
        <f t="shared" si="18"/>
        <v>68000</v>
      </c>
      <c r="U43" s="41">
        <f t="shared" si="18"/>
        <v>68000</v>
      </c>
      <c r="V43" s="41">
        <f t="shared" si="18"/>
        <v>68000</v>
      </c>
      <c r="W43" s="41">
        <f t="shared" si="18"/>
        <v>68000</v>
      </c>
      <c r="X43" s="41">
        <f t="shared" si="18"/>
        <v>68000</v>
      </c>
      <c r="Y43" s="41">
        <f t="shared" si="18"/>
        <v>68000</v>
      </c>
      <c r="Z43" s="41">
        <f t="shared" si="18"/>
        <v>68000</v>
      </c>
      <c r="AA43" s="45">
        <v>4</v>
      </c>
      <c r="AB43" s="30">
        <f t="shared" si="6"/>
        <v>6528000</v>
      </c>
      <c r="AC43" s="73"/>
      <c r="AF43" s="31"/>
    </row>
    <row r="44" spans="1:32" ht="13.8" thickBot="1" x14ac:dyDescent="0.3">
      <c r="A44" s="76"/>
      <c r="B44" s="32" t="s">
        <v>21</v>
      </c>
      <c r="C44" s="41">
        <v>68000</v>
      </c>
      <c r="D44" s="41">
        <f t="shared" si="17"/>
        <v>68000</v>
      </c>
      <c r="E44" s="41">
        <f t="shared" si="17"/>
        <v>68000</v>
      </c>
      <c r="F44" s="41">
        <f t="shared" si="17"/>
        <v>68000</v>
      </c>
      <c r="G44" s="41">
        <f t="shared" si="17"/>
        <v>68000</v>
      </c>
      <c r="H44" s="41">
        <f t="shared" si="17"/>
        <v>68000</v>
      </c>
      <c r="I44" s="41">
        <f t="shared" si="17"/>
        <v>68000</v>
      </c>
      <c r="J44" s="41">
        <f t="shared" si="17"/>
        <v>68000</v>
      </c>
      <c r="K44" s="41">
        <f t="shared" si="17"/>
        <v>68000</v>
      </c>
      <c r="L44" s="41">
        <f t="shared" si="17"/>
        <v>68000</v>
      </c>
      <c r="M44" s="41">
        <f t="shared" si="17"/>
        <v>68000</v>
      </c>
      <c r="N44" s="41">
        <f t="shared" si="17"/>
        <v>68000</v>
      </c>
      <c r="O44" s="41">
        <f t="shared" si="17"/>
        <v>68000</v>
      </c>
      <c r="P44" s="41">
        <f t="shared" si="17"/>
        <v>68000</v>
      </c>
      <c r="Q44" s="41">
        <f t="shared" si="17"/>
        <v>68000</v>
      </c>
      <c r="R44" s="41">
        <f t="shared" si="17"/>
        <v>68000</v>
      </c>
      <c r="S44" s="41">
        <f t="shared" si="17"/>
        <v>68000</v>
      </c>
      <c r="T44" s="41">
        <f t="shared" si="18"/>
        <v>68000</v>
      </c>
      <c r="U44" s="41">
        <f t="shared" si="18"/>
        <v>68000</v>
      </c>
      <c r="V44" s="41">
        <f t="shared" si="18"/>
        <v>68000</v>
      </c>
      <c r="W44" s="41">
        <f t="shared" si="18"/>
        <v>68000</v>
      </c>
      <c r="X44" s="41">
        <f t="shared" si="18"/>
        <v>68000</v>
      </c>
      <c r="Y44" s="41">
        <f t="shared" si="18"/>
        <v>68000</v>
      </c>
      <c r="Z44" s="41">
        <f t="shared" si="18"/>
        <v>68000</v>
      </c>
      <c r="AA44" s="45">
        <v>6</v>
      </c>
      <c r="AB44" s="30">
        <f t="shared" si="6"/>
        <v>9792000</v>
      </c>
      <c r="AC44" s="74"/>
      <c r="AF44" s="31"/>
    </row>
    <row r="45" spans="1:32" ht="14.4" thickTop="1" thickBot="1" x14ac:dyDescent="0.3">
      <c r="A45" s="75">
        <v>48976</v>
      </c>
      <c r="B45" s="34" t="s">
        <v>19</v>
      </c>
      <c r="C45" s="41">
        <v>68000</v>
      </c>
      <c r="D45" s="41">
        <f t="shared" si="17"/>
        <v>68000</v>
      </c>
      <c r="E45" s="41">
        <f t="shared" si="17"/>
        <v>68000</v>
      </c>
      <c r="F45" s="41">
        <f t="shared" si="17"/>
        <v>68000</v>
      </c>
      <c r="G45" s="41">
        <f t="shared" si="17"/>
        <v>68000</v>
      </c>
      <c r="H45" s="41">
        <f t="shared" si="17"/>
        <v>68000</v>
      </c>
      <c r="I45" s="41">
        <f t="shared" si="17"/>
        <v>68000</v>
      </c>
      <c r="J45" s="41">
        <f t="shared" si="17"/>
        <v>68000</v>
      </c>
      <c r="K45" s="41">
        <f t="shared" si="17"/>
        <v>68000</v>
      </c>
      <c r="L45" s="41">
        <f t="shared" si="17"/>
        <v>68000</v>
      </c>
      <c r="M45" s="41">
        <f t="shared" si="17"/>
        <v>68000</v>
      </c>
      <c r="N45" s="41">
        <f t="shared" si="17"/>
        <v>68000</v>
      </c>
      <c r="O45" s="41">
        <f t="shared" si="17"/>
        <v>68000</v>
      </c>
      <c r="P45" s="41">
        <f t="shared" si="17"/>
        <v>68000</v>
      </c>
      <c r="Q45" s="41">
        <f t="shared" si="17"/>
        <v>68000</v>
      </c>
      <c r="R45" s="41">
        <f t="shared" si="17"/>
        <v>68000</v>
      </c>
      <c r="S45" s="41">
        <f t="shared" si="17"/>
        <v>68000</v>
      </c>
      <c r="T45" s="41">
        <f t="shared" si="18"/>
        <v>68000</v>
      </c>
      <c r="U45" s="41">
        <f t="shared" si="18"/>
        <v>68000</v>
      </c>
      <c r="V45" s="41">
        <f t="shared" si="18"/>
        <v>68000</v>
      </c>
      <c r="W45" s="41">
        <f t="shared" si="18"/>
        <v>68000</v>
      </c>
      <c r="X45" s="41">
        <f t="shared" si="18"/>
        <v>68000</v>
      </c>
      <c r="Y45" s="41">
        <f t="shared" si="18"/>
        <v>68000</v>
      </c>
      <c r="Z45" s="41">
        <f t="shared" si="18"/>
        <v>68000</v>
      </c>
      <c r="AA45" s="45">
        <v>20</v>
      </c>
      <c r="AB45" s="30">
        <f t="shared" si="6"/>
        <v>32640000</v>
      </c>
      <c r="AC45" s="79">
        <f t="shared" ref="AC45" si="21">+AB45+AB46+AB47</f>
        <v>45696000</v>
      </c>
      <c r="AF45" s="31"/>
    </row>
    <row r="46" spans="1:32" ht="13.8" thickBot="1" x14ac:dyDescent="0.3">
      <c r="A46" s="76"/>
      <c r="B46" s="32" t="s">
        <v>20</v>
      </c>
      <c r="C46" s="41">
        <v>68000</v>
      </c>
      <c r="D46" s="41">
        <f t="shared" si="17"/>
        <v>68000</v>
      </c>
      <c r="E46" s="41">
        <f t="shared" si="17"/>
        <v>68000</v>
      </c>
      <c r="F46" s="41">
        <f t="shared" si="17"/>
        <v>68000</v>
      </c>
      <c r="G46" s="41">
        <f t="shared" si="17"/>
        <v>68000</v>
      </c>
      <c r="H46" s="41">
        <f t="shared" si="17"/>
        <v>68000</v>
      </c>
      <c r="I46" s="41">
        <f t="shared" si="17"/>
        <v>68000</v>
      </c>
      <c r="J46" s="41">
        <f t="shared" si="17"/>
        <v>68000</v>
      </c>
      <c r="K46" s="41">
        <f t="shared" si="17"/>
        <v>68000</v>
      </c>
      <c r="L46" s="41">
        <f t="shared" si="17"/>
        <v>68000</v>
      </c>
      <c r="M46" s="41">
        <f t="shared" si="17"/>
        <v>68000</v>
      </c>
      <c r="N46" s="41">
        <f t="shared" si="17"/>
        <v>68000</v>
      </c>
      <c r="O46" s="41">
        <f t="shared" si="17"/>
        <v>68000</v>
      </c>
      <c r="P46" s="41">
        <f t="shared" si="17"/>
        <v>68000</v>
      </c>
      <c r="Q46" s="41">
        <f t="shared" si="17"/>
        <v>68000</v>
      </c>
      <c r="R46" s="41">
        <f t="shared" si="17"/>
        <v>68000</v>
      </c>
      <c r="S46" s="41">
        <f t="shared" si="17"/>
        <v>68000</v>
      </c>
      <c r="T46" s="41">
        <f t="shared" si="18"/>
        <v>68000</v>
      </c>
      <c r="U46" s="41">
        <f t="shared" si="18"/>
        <v>68000</v>
      </c>
      <c r="V46" s="41">
        <f t="shared" si="18"/>
        <v>68000</v>
      </c>
      <c r="W46" s="41">
        <f t="shared" si="18"/>
        <v>68000</v>
      </c>
      <c r="X46" s="41">
        <f t="shared" si="18"/>
        <v>68000</v>
      </c>
      <c r="Y46" s="41">
        <f t="shared" si="18"/>
        <v>68000</v>
      </c>
      <c r="Z46" s="41">
        <f t="shared" si="18"/>
        <v>68000</v>
      </c>
      <c r="AA46" s="45">
        <v>4</v>
      </c>
      <c r="AB46" s="30">
        <f t="shared" si="6"/>
        <v>6528000</v>
      </c>
      <c r="AC46" s="73"/>
      <c r="AF46" s="31"/>
    </row>
    <row r="47" spans="1:32" ht="13.8" thickBot="1" x14ac:dyDescent="0.3">
      <c r="A47" s="76"/>
      <c r="B47" s="32" t="s">
        <v>21</v>
      </c>
      <c r="C47" s="41">
        <v>68000</v>
      </c>
      <c r="D47" s="41">
        <f t="shared" si="17"/>
        <v>68000</v>
      </c>
      <c r="E47" s="41">
        <f t="shared" si="17"/>
        <v>68000</v>
      </c>
      <c r="F47" s="41">
        <f t="shared" si="17"/>
        <v>68000</v>
      </c>
      <c r="G47" s="41">
        <f t="shared" si="17"/>
        <v>68000</v>
      </c>
      <c r="H47" s="41">
        <f t="shared" si="17"/>
        <v>68000</v>
      </c>
      <c r="I47" s="41">
        <f t="shared" si="17"/>
        <v>68000</v>
      </c>
      <c r="J47" s="41">
        <f t="shared" si="17"/>
        <v>68000</v>
      </c>
      <c r="K47" s="41">
        <f t="shared" si="17"/>
        <v>68000</v>
      </c>
      <c r="L47" s="41">
        <f t="shared" si="17"/>
        <v>68000</v>
      </c>
      <c r="M47" s="41">
        <f t="shared" si="17"/>
        <v>68000</v>
      </c>
      <c r="N47" s="41">
        <f t="shared" si="17"/>
        <v>68000</v>
      </c>
      <c r="O47" s="41">
        <f t="shared" si="17"/>
        <v>68000</v>
      </c>
      <c r="P47" s="41">
        <f t="shared" si="17"/>
        <v>68000</v>
      </c>
      <c r="Q47" s="41">
        <f t="shared" si="17"/>
        <v>68000</v>
      </c>
      <c r="R47" s="41">
        <f t="shared" si="17"/>
        <v>68000</v>
      </c>
      <c r="S47" s="41">
        <f t="shared" si="17"/>
        <v>68000</v>
      </c>
      <c r="T47" s="41">
        <f t="shared" si="18"/>
        <v>68000</v>
      </c>
      <c r="U47" s="41">
        <f t="shared" si="18"/>
        <v>68000</v>
      </c>
      <c r="V47" s="41">
        <f t="shared" si="18"/>
        <v>68000</v>
      </c>
      <c r="W47" s="41">
        <f t="shared" si="18"/>
        <v>68000</v>
      </c>
      <c r="X47" s="41">
        <f t="shared" si="18"/>
        <v>68000</v>
      </c>
      <c r="Y47" s="41">
        <f t="shared" si="18"/>
        <v>68000</v>
      </c>
      <c r="Z47" s="41">
        <f t="shared" si="18"/>
        <v>68000</v>
      </c>
      <c r="AA47" s="45">
        <v>4</v>
      </c>
      <c r="AB47" s="30">
        <f t="shared" si="6"/>
        <v>6528000</v>
      </c>
      <c r="AC47" s="74"/>
      <c r="AF47" s="31"/>
    </row>
    <row r="48" spans="1:32" ht="14.4" thickTop="1" thickBot="1" x14ac:dyDescent="0.3">
      <c r="A48" s="75">
        <v>49004</v>
      </c>
      <c r="B48" s="34" t="s">
        <v>19</v>
      </c>
      <c r="C48" s="41">
        <v>68000</v>
      </c>
      <c r="D48" s="41">
        <f t="shared" si="17"/>
        <v>68000</v>
      </c>
      <c r="E48" s="41">
        <f t="shared" si="17"/>
        <v>68000</v>
      </c>
      <c r="F48" s="41">
        <f t="shared" si="17"/>
        <v>68000</v>
      </c>
      <c r="G48" s="41">
        <f t="shared" si="17"/>
        <v>68000</v>
      </c>
      <c r="H48" s="41">
        <f t="shared" si="17"/>
        <v>68000</v>
      </c>
      <c r="I48" s="41">
        <f t="shared" si="17"/>
        <v>68000</v>
      </c>
      <c r="J48" s="41">
        <f t="shared" si="17"/>
        <v>68000</v>
      </c>
      <c r="K48" s="41">
        <f t="shared" si="17"/>
        <v>68000</v>
      </c>
      <c r="L48" s="41">
        <f t="shared" si="17"/>
        <v>68000</v>
      </c>
      <c r="M48" s="41">
        <f t="shared" si="17"/>
        <v>68000</v>
      </c>
      <c r="N48" s="41">
        <f t="shared" si="17"/>
        <v>68000</v>
      </c>
      <c r="O48" s="41">
        <f t="shared" si="17"/>
        <v>68000</v>
      </c>
      <c r="P48" s="41">
        <f t="shared" si="17"/>
        <v>68000</v>
      </c>
      <c r="Q48" s="41">
        <f t="shared" si="17"/>
        <v>68000</v>
      </c>
      <c r="R48" s="41">
        <f t="shared" si="17"/>
        <v>68000</v>
      </c>
      <c r="S48" s="41">
        <f t="shared" si="17"/>
        <v>68000</v>
      </c>
      <c r="T48" s="41">
        <f t="shared" si="18"/>
        <v>68000</v>
      </c>
      <c r="U48" s="41">
        <f t="shared" si="18"/>
        <v>68000</v>
      </c>
      <c r="V48" s="41">
        <f t="shared" si="18"/>
        <v>68000</v>
      </c>
      <c r="W48" s="41">
        <f t="shared" si="18"/>
        <v>68000</v>
      </c>
      <c r="X48" s="41">
        <f t="shared" si="18"/>
        <v>68000</v>
      </c>
      <c r="Y48" s="41">
        <f t="shared" si="18"/>
        <v>68000</v>
      </c>
      <c r="Z48" s="41">
        <f t="shared" si="18"/>
        <v>68000</v>
      </c>
      <c r="AA48" s="45">
        <v>22</v>
      </c>
      <c r="AB48" s="30">
        <f t="shared" si="6"/>
        <v>35904000</v>
      </c>
      <c r="AC48" s="79">
        <f t="shared" ref="AC48" si="22">+AB48+AB49+AB50</f>
        <v>50592000</v>
      </c>
      <c r="AF48" s="31"/>
    </row>
    <row r="49" spans="1:32" ht="13.8" thickBot="1" x14ac:dyDescent="0.3">
      <c r="A49" s="76"/>
      <c r="B49" s="32" t="s">
        <v>20</v>
      </c>
      <c r="C49" s="41">
        <v>68000</v>
      </c>
      <c r="D49" s="41">
        <f t="shared" si="17"/>
        <v>68000</v>
      </c>
      <c r="E49" s="41">
        <f t="shared" si="17"/>
        <v>68000</v>
      </c>
      <c r="F49" s="41">
        <f t="shared" si="17"/>
        <v>68000</v>
      </c>
      <c r="G49" s="41">
        <f t="shared" si="17"/>
        <v>68000</v>
      </c>
      <c r="H49" s="41">
        <f t="shared" si="17"/>
        <v>68000</v>
      </c>
      <c r="I49" s="41">
        <f t="shared" si="17"/>
        <v>68000</v>
      </c>
      <c r="J49" s="41">
        <f t="shared" si="17"/>
        <v>68000</v>
      </c>
      <c r="K49" s="41">
        <f t="shared" si="17"/>
        <v>68000</v>
      </c>
      <c r="L49" s="41">
        <f t="shared" si="17"/>
        <v>68000</v>
      </c>
      <c r="M49" s="41">
        <f t="shared" si="17"/>
        <v>68000</v>
      </c>
      <c r="N49" s="41">
        <f t="shared" si="17"/>
        <v>68000</v>
      </c>
      <c r="O49" s="41">
        <f t="shared" si="17"/>
        <v>68000</v>
      </c>
      <c r="P49" s="41">
        <f t="shared" si="17"/>
        <v>68000</v>
      </c>
      <c r="Q49" s="41">
        <f t="shared" si="17"/>
        <v>68000</v>
      </c>
      <c r="R49" s="41">
        <f t="shared" si="17"/>
        <v>68000</v>
      </c>
      <c r="S49" s="41">
        <f t="shared" si="17"/>
        <v>68000</v>
      </c>
      <c r="T49" s="41">
        <f t="shared" si="18"/>
        <v>68000</v>
      </c>
      <c r="U49" s="41">
        <f t="shared" si="18"/>
        <v>68000</v>
      </c>
      <c r="V49" s="41">
        <f t="shared" si="18"/>
        <v>68000</v>
      </c>
      <c r="W49" s="41">
        <f t="shared" si="18"/>
        <v>68000</v>
      </c>
      <c r="X49" s="41">
        <f t="shared" si="18"/>
        <v>68000</v>
      </c>
      <c r="Y49" s="41">
        <f t="shared" si="18"/>
        <v>68000</v>
      </c>
      <c r="Z49" s="41">
        <f t="shared" si="18"/>
        <v>68000</v>
      </c>
      <c r="AA49" s="45">
        <v>4</v>
      </c>
      <c r="AB49" s="30">
        <f t="shared" si="6"/>
        <v>6528000</v>
      </c>
      <c r="AC49" s="73"/>
      <c r="AF49" s="31"/>
    </row>
    <row r="50" spans="1:32" ht="13.8" thickBot="1" x14ac:dyDescent="0.3">
      <c r="A50" s="76"/>
      <c r="B50" s="32" t="s">
        <v>21</v>
      </c>
      <c r="C50" s="41">
        <v>68000</v>
      </c>
      <c r="D50" s="41">
        <f t="shared" si="17"/>
        <v>68000</v>
      </c>
      <c r="E50" s="41">
        <f t="shared" si="17"/>
        <v>68000</v>
      </c>
      <c r="F50" s="41">
        <f t="shared" si="17"/>
        <v>68000</v>
      </c>
      <c r="G50" s="41">
        <f t="shared" si="17"/>
        <v>68000</v>
      </c>
      <c r="H50" s="41">
        <f t="shared" si="17"/>
        <v>68000</v>
      </c>
      <c r="I50" s="41">
        <f t="shared" si="17"/>
        <v>68000</v>
      </c>
      <c r="J50" s="41">
        <f t="shared" si="17"/>
        <v>68000</v>
      </c>
      <c r="K50" s="41">
        <f t="shared" si="17"/>
        <v>68000</v>
      </c>
      <c r="L50" s="41">
        <f t="shared" si="17"/>
        <v>68000</v>
      </c>
      <c r="M50" s="41">
        <f t="shared" si="17"/>
        <v>68000</v>
      </c>
      <c r="N50" s="41">
        <f t="shared" si="17"/>
        <v>68000</v>
      </c>
      <c r="O50" s="41">
        <f t="shared" si="17"/>
        <v>68000</v>
      </c>
      <c r="P50" s="41">
        <f t="shared" si="17"/>
        <v>68000</v>
      </c>
      <c r="Q50" s="41">
        <f t="shared" si="17"/>
        <v>68000</v>
      </c>
      <c r="R50" s="41">
        <f t="shared" si="17"/>
        <v>68000</v>
      </c>
      <c r="S50" s="41">
        <f t="shared" si="17"/>
        <v>68000</v>
      </c>
      <c r="T50" s="41">
        <f t="shared" si="18"/>
        <v>68000</v>
      </c>
      <c r="U50" s="41">
        <f t="shared" si="18"/>
        <v>68000</v>
      </c>
      <c r="V50" s="41">
        <f t="shared" si="18"/>
        <v>68000</v>
      </c>
      <c r="W50" s="41">
        <f t="shared" si="18"/>
        <v>68000</v>
      </c>
      <c r="X50" s="41">
        <f t="shared" si="18"/>
        <v>68000</v>
      </c>
      <c r="Y50" s="41">
        <f t="shared" si="18"/>
        <v>68000</v>
      </c>
      <c r="Z50" s="41">
        <f t="shared" si="18"/>
        <v>68000</v>
      </c>
      <c r="AA50" s="45">
        <v>5</v>
      </c>
      <c r="AB50" s="30">
        <f t="shared" si="6"/>
        <v>8160000</v>
      </c>
      <c r="AC50" s="74"/>
      <c r="AF50" s="31"/>
    </row>
    <row r="51" spans="1:32" ht="14.4" thickTop="1" thickBot="1" x14ac:dyDescent="0.3">
      <c r="A51" s="75">
        <v>49035</v>
      </c>
      <c r="B51" s="35" t="s">
        <v>19</v>
      </c>
      <c r="C51" s="41">
        <v>68000</v>
      </c>
      <c r="D51" s="41">
        <f t="shared" si="17"/>
        <v>68000</v>
      </c>
      <c r="E51" s="41">
        <f t="shared" si="17"/>
        <v>68000</v>
      </c>
      <c r="F51" s="41">
        <f t="shared" si="17"/>
        <v>68000</v>
      </c>
      <c r="G51" s="41">
        <f t="shared" si="17"/>
        <v>68000</v>
      </c>
      <c r="H51" s="41">
        <f t="shared" si="17"/>
        <v>68000</v>
      </c>
      <c r="I51" s="41">
        <f t="shared" si="17"/>
        <v>68000</v>
      </c>
      <c r="J51" s="41">
        <f t="shared" si="17"/>
        <v>68000</v>
      </c>
      <c r="K51" s="41">
        <f t="shared" si="17"/>
        <v>68000</v>
      </c>
      <c r="L51" s="41">
        <f t="shared" si="17"/>
        <v>68000</v>
      </c>
      <c r="M51" s="41">
        <f t="shared" si="17"/>
        <v>68000</v>
      </c>
      <c r="N51" s="41">
        <f t="shared" si="17"/>
        <v>68000</v>
      </c>
      <c r="O51" s="41">
        <f t="shared" si="17"/>
        <v>68000</v>
      </c>
      <c r="P51" s="41">
        <f t="shared" si="17"/>
        <v>68000</v>
      </c>
      <c r="Q51" s="41">
        <f t="shared" si="17"/>
        <v>68000</v>
      </c>
      <c r="R51" s="41">
        <f t="shared" si="17"/>
        <v>68000</v>
      </c>
      <c r="S51" s="41">
        <f t="shared" si="17"/>
        <v>68000</v>
      </c>
      <c r="T51" s="41">
        <f t="shared" si="18"/>
        <v>68000</v>
      </c>
      <c r="U51" s="41">
        <f t="shared" si="18"/>
        <v>68000</v>
      </c>
      <c r="V51" s="41">
        <f t="shared" si="18"/>
        <v>68000</v>
      </c>
      <c r="W51" s="41">
        <f t="shared" si="18"/>
        <v>68000</v>
      </c>
      <c r="X51" s="41">
        <f t="shared" si="18"/>
        <v>68000</v>
      </c>
      <c r="Y51" s="41">
        <f t="shared" si="18"/>
        <v>68000</v>
      </c>
      <c r="Z51" s="41">
        <f t="shared" si="18"/>
        <v>68000</v>
      </c>
      <c r="AA51" s="45">
        <v>18</v>
      </c>
      <c r="AB51" s="30">
        <f t="shared" si="6"/>
        <v>29376000</v>
      </c>
      <c r="AC51" s="79">
        <f t="shared" ref="AC51" si="23">+AB51+AB52+AB53</f>
        <v>48960000</v>
      </c>
      <c r="AF51" s="31"/>
    </row>
    <row r="52" spans="1:32" ht="13.8" thickBot="1" x14ac:dyDescent="0.3">
      <c r="A52" s="76"/>
      <c r="B52" s="32" t="s">
        <v>20</v>
      </c>
      <c r="C52" s="41">
        <v>68000</v>
      </c>
      <c r="D52" s="41">
        <f t="shared" si="17"/>
        <v>68000</v>
      </c>
      <c r="E52" s="41">
        <f t="shared" si="17"/>
        <v>68000</v>
      </c>
      <c r="F52" s="41">
        <f t="shared" si="17"/>
        <v>68000</v>
      </c>
      <c r="G52" s="41">
        <f t="shared" si="17"/>
        <v>68000</v>
      </c>
      <c r="H52" s="41">
        <f t="shared" si="17"/>
        <v>68000</v>
      </c>
      <c r="I52" s="41">
        <f t="shared" si="17"/>
        <v>68000</v>
      </c>
      <c r="J52" s="41">
        <f t="shared" si="17"/>
        <v>68000</v>
      </c>
      <c r="K52" s="41">
        <f t="shared" si="17"/>
        <v>68000</v>
      </c>
      <c r="L52" s="41">
        <f t="shared" si="17"/>
        <v>68000</v>
      </c>
      <c r="M52" s="41">
        <f t="shared" si="17"/>
        <v>68000</v>
      </c>
      <c r="N52" s="41">
        <f t="shared" si="17"/>
        <v>68000</v>
      </c>
      <c r="O52" s="41">
        <f t="shared" si="17"/>
        <v>68000</v>
      </c>
      <c r="P52" s="41">
        <f t="shared" si="17"/>
        <v>68000</v>
      </c>
      <c r="Q52" s="41">
        <f t="shared" si="17"/>
        <v>68000</v>
      </c>
      <c r="R52" s="41">
        <f t="shared" si="17"/>
        <v>68000</v>
      </c>
      <c r="S52" s="41">
        <f t="shared" ref="D52:S67" si="24">+R52</f>
        <v>68000</v>
      </c>
      <c r="T52" s="41">
        <f t="shared" si="18"/>
        <v>68000</v>
      </c>
      <c r="U52" s="41">
        <f t="shared" si="18"/>
        <v>68000</v>
      </c>
      <c r="V52" s="41">
        <f t="shared" si="18"/>
        <v>68000</v>
      </c>
      <c r="W52" s="41">
        <f t="shared" si="18"/>
        <v>68000</v>
      </c>
      <c r="X52" s="41">
        <f t="shared" si="18"/>
        <v>68000</v>
      </c>
      <c r="Y52" s="41">
        <f t="shared" si="18"/>
        <v>68000</v>
      </c>
      <c r="Z52" s="41">
        <f t="shared" si="18"/>
        <v>68000</v>
      </c>
      <c r="AA52" s="45">
        <v>5</v>
      </c>
      <c r="AB52" s="30">
        <f t="shared" si="6"/>
        <v>8160000</v>
      </c>
      <c r="AC52" s="73"/>
      <c r="AF52" s="31"/>
    </row>
    <row r="53" spans="1:32" ht="13.8" thickBot="1" x14ac:dyDescent="0.3">
      <c r="A53" s="76"/>
      <c r="B53" s="32" t="s">
        <v>21</v>
      </c>
      <c r="C53" s="41">
        <v>68000</v>
      </c>
      <c r="D53" s="41">
        <f t="shared" si="24"/>
        <v>68000</v>
      </c>
      <c r="E53" s="41">
        <f t="shared" si="24"/>
        <v>68000</v>
      </c>
      <c r="F53" s="41">
        <f t="shared" si="24"/>
        <v>68000</v>
      </c>
      <c r="G53" s="41">
        <f t="shared" si="24"/>
        <v>68000</v>
      </c>
      <c r="H53" s="41">
        <f t="shared" si="24"/>
        <v>68000</v>
      </c>
      <c r="I53" s="41">
        <f t="shared" si="24"/>
        <v>68000</v>
      </c>
      <c r="J53" s="41">
        <f t="shared" si="24"/>
        <v>68000</v>
      </c>
      <c r="K53" s="41">
        <f t="shared" si="24"/>
        <v>68000</v>
      </c>
      <c r="L53" s="41">
        <f t="shared" si="24"/>
        <v>68000</v>
      </c>
      <c r="M53" s="41">
        <f t="shared" si="24"/>
        <v>68000</v>
      </c>
      <c r="N53" s="41">
        <f t="shared" si="24"/>
        <v>68000</v>
      </c>
      <c r="O53" s="41">
        <f t="shared" si="24"/>
        <v>68000</v>
      </c>
      <c r="P53" s="41">
        <f t="shared" si="24"/>
        <v>68000</v>
      </c>
      <c r="Q53" s="41">
        <f t="shared" si="24"/>
        <v>68000</v>
      </c>
      <c r="R53" s="41">
        <f t="shared" si="24"/>
        <v>68000</v>
      </c>
      <c r="S53" s="41">
        <f t="shared" si="24"/>
        <v>68000</v>
      </c>
      <c r="T53" s="41">
        <f t="shared" si="18"/>
        <v>68000</v>
      </c>
      <c r="U53" s="41">
        <f t="shared" si="18"/>
        <v>68000</v>
      </c>
      <c r="V53" s="41">
        <f t="shared" si="18"/>
        <v>68000</v>
      </c>
      <c r="W53" s="41">
        <f t="shared" si="18"/>
        <v>68000</v>
      </c>
      <c r="X53" s="41">
        <f t="shared" si="18"/>
        <v>68000</v>
      </c>
      <c r="Y53" s="41">
        <f t="shared" si="18"/>
        <v>68000</v>
      </c>
      <c r="Z53" s="41">
        <f t="shared" si="18"/>
        <v>68000</v>
      </c>
      <c r="AA53" s="45">
        <v>7</v>
      </c>
      <c r="AB53" s="30">
        <f t="shared" si="6"/>
        <v>11424000</v>
      </c>
      <c r="AC53" s="74"/>
      <c r="AF53" s="31"/>
    </row>
    <row r="54" spans="1:32" ht="14.4" thickTop="1" thickBot="1" x14ac:dyDescent="0.3">
      <c r="A54" s="75">
        <v>49065</v>
      </c>
      <c r="B54" s="34" t="s">
        <v>19</v>
      </c>
      <c r="C54" s="41">
        <v>68000</v>
      </c>
      <c r="D54" s="41">
        <f t="shared" si="24"/>
        <v>68000</v>
      </c>
      <c r="E54" s="41">
        <f t="shared" si="24"/>
        <v>68000</v>
      </c>
      <c r="F54" s="41">
        <f t="shared" si="24"/>
        <v>68000</v>
      </c>
      <c r="G54" s="41">
        <f t="shared" si="24"/>
        <v>68000</v>
      </c>
      <c r="H54" s="41">
        <f t="shared" si="24"/>
        <v>68000</v>
      </c>
      <c r="I54" s="41">
        <f t="shared" si="24"/>
        <v>68000</v>
      </c>
      <c r="J54" s="41">
        <f t="shared" si="24"/>
        <v>68000</v>
      </c>
      <c r="K54" s="41">
        <f t="shared" si="24"/>
        <v>68000</v>
      </c>
      <c r="L54" s="41">
        <f t="shared" si="24"/>
        <v>68000</v>
      </c>
      <c r="M54" s="41">
        <f t="shared" si="24"/>
        <v>68000</v>
      </c>
      <c r="N54" s="41">
        <f t="shared" si="24"/>
        <v>68000</v>
      </c>
      <c r="O54" s="41">
        <f t="shared" si="24"/>
        <v>68000</v>
      </c>
      <c r="P54" s="41">
        <f t="shared" si="24"/>
        <v>68000</v>
      </c>
      <c r="Q54" s="41">
        <f t="shared" si="24"/>
        <v>68000</v>
      </c>
      <c r="R54" s="41">
        <f t="shared" si="24"/>
        <v>68000</v>
      </c>
      <c r="S54" s="41">
        <f t="shared" si="24"/>
        <v>68000</v>
      </c>
      <c r="T54" s="41">
        <f t="shared" ref="T54:Z69" si="25">+S54</f>
        <v>68000</v>
      </c>
      <c r="U54" s="41">
        <f t="shared" si="25"/>
        <v>68000</v>
      </c>
      <c r="V54" s="41">
        <f t="shared" si="25"/>
        <v>68000</v>
      </c>
      <c r="W54" s="41">
        <f t="shared" si="25"/>
        <v>68000</v>
      </c>
      <c r="X54" s="41">
        <f t="shared" si="25"/>
        <v>68000</v>
      </c>
      <c r="Y54" s="41">
        <f t="shared" si="25"/>
        <v>68000</v>
      </c>
      <c r="Z54" s="41">
        <f t="shared" si="25"/>
        <v>68000</v>
      </c>
      <c r="AA54" s="45">
        <v>21</v>
      </c>
      <c r="AB54" s="30">
        <f t="shared" si="6"/>
        <v>34272000</v>
      </c>
      <c r="AC54" s="79">
        <f t="shared" ref="AC54" si="26">+AB54+AB55+AB56</f>
        <v>50592000</v>
      </c>
      <c r="AF54" s="31"/>
    </row>
    <row r="55" spans="1:32" ht="13.8" thickBot="1" x14ac:dyDescent="0.3">
      <c r="A55" s="76"/>
      <c r="B55" s="32" t="s">
        <v>20</v>
      </c>
      <c r="C55" s="41">
        <v>68000</v>
      </c>
      <c r="D55" s="41">
        <f t="shared" si="24"/>
        <v>68000</v>
      </c>
      <c r="E55" s="41">
        <f t="shared" si="24"/>
        <v>68000</v>
      </c>
      <c r="F55" s="41">
        <f t="shared" si="24"/>
        <v>68000</v>
      </c>
      <c r="G55" s="41">
        <f t="shared" si="24"/>
        <v>68000</v>
      </c>
      <c r="H55" s="41">
        <f t="shared" si="24"/>
        <v>68000</v>
      </c>
      <c r="I55" s="41">
        <f t="shared" si="24"/>
        <v>68000</v>
      </c>
      <c r="J55" s="41">
        <f t="shared" si="24"/>
        <v>68000</v>
      </c>
      <c r="K55" s="41">
        <f t="shared" si="24"/>
        <v>68000</v>
      </c>
      <c r="L55" s="41">
        <f t="shared" si="24"/>
        <v>68000</v>
      </c>
      <c r="M55" s="41">
        <f t="shared" si="24"/>
        <v>68000</v>
      </c>
      <c r="N55" s="41">
        <f t="shared" si="24"/>
        <v>68000</v>
      </c>
      <c r="O55" s="41">
        <f t="shared" si="24"/>
        <v>68000</v>
      </c>
      <c r="P55" s="41">
        <f t="shared" si="24"/>
        <v>68000</v>
      </c>
      <c r="Q55" s="41">
        <f t="shared" si="24"/>
        <v>68000</v>
      </c>
      <c r="R55" s="41">
        <f t="shared" si="24"/>
        <v>68000</v>
      </c>
      <c r="S55" s="41">
        <f t="shared" si="24"/>
        <v>68000</v>
      </c>
      <c r="T55" s="41">
        <f t="shared" si="25"/>
        <v>68000</v>
      </c>
      <c r="U55" s="41">
        <f t="shared" si="25"/>
        <v>68000</v>
      </c>
      <c r="V55" s="41">
        <f t="shared" si="25"/>
        <v>68000</v>
      </c>
      <c r="W55" s="41">
        <f t="shared" si="25"/>
        <v>68000</v>
      </c>
      <c r="X55" s="41">
        <f t="shared" si="25"/>
        <v>68000</v>
      </c>
      <c r="Y55" s="41">
        <f t="shared" si="25"/>
        <v>68000</v>
      </c>
      <c r="Z55" s="41">
        <f t="shared" si="25"/>
        <v>68000</v>
      </c>
      <c r="AA55" s="45">
        <v>4</v>
      </c>
      <c r="AB55" s="30">
        <f t="shared" si="6"/>
        <v>6528000</v>
      </c>
      <c r="AC55" s="73"/>
      <c r="AF55" s="31"/>
    </row>
    <row r="56" spans="1:32" ht="13.8" thickBot="1" x14ac:dyDescent="0.3">
      <c r="A56" s="76"/>
      <c r="B56" s="32" t="s">
        <v>21</v>
      </c>
      <c r="C56" s="41">
        <v>68000</v>
      </c>
      <c r="D56" s="41">
        <f t="shared" si="24"/>
        <v>68000</v>
      </c>
      <c r="E56" s="41">
        <f t="shared" si="24"/>
        <v>68000</v>
      </c>
      <c r="F56" s="41">
        <f t="shared" si="24"/>
        <v>68000</v>
      </c>
      <c r="G56" s="41">
        <f t="shared" si="24"/>
        <v>68000</v>
      </c>
      <c r="H56" s="41">
        <f t="shared" si="24"/>
        <v>68000</v>
      </c>
      <c r="I56" s="41">
        <f t="shared" si="24"/>
        <v>68000</v>
      </c>
      <c r="J56" s="41">
        <f t="shared" si="24"/>
        <v>68000</v>
      </c>
      <c r="K56" s="41">
        <f t="shared" si="24"/>
        <v>68000</v>
      </c>
      <c r="L56" s="41">
        <f t="shared" si="24"/>
        <v>68000</v>
      </c>
      <c r="M56" s="41">
        <f t="shared" si="24"/>
        <v>68000</v>
      </c>
      <c r="N56" s="41">
        <f t="shared" si="24"/>
        <v>68000</v>
      </c>
      <c r="O56" s="41">
        <f t="shared" si="24"/>
        <v>68000</v>
      </c>
      <c r="P56" s="41">
        <f t="shared" si="24"/>
        <v>68000</v>
      </c>
      <c r="Q56" s="41">
        <f t="shared" si="24"/>
        <v>68000</v>
      </c>
      <c r="R56" s="41">
        <f t="shared" si="24"/>
        <v>68000</v>
      </c>
      <c r="S56" s="41">
        <f t="shared" si="24"/>
        <v>68000</v>
      </c>
      <c r="T56" s="41">
        <f t="shared" si="25"/>
        <v>68000</v>
      </c>
      <c r="U56" s="41">
        <f t="shared" si="25"/>
        <v>68000</v>
      </c>
      <c r="V56" s="41">
        <f t="shared" si="25"/>
        <v>68000</v>
      </c>
      <c r="W56" s="41">
        <f t="shared" si="25"/>
        <v>68000</v>
      </c>
      <c r="X56" s="41">
        <f t="shared" si="25"/>
        <v>68000</v>
      </c>
      <c r="Y56" s="41">
        <f t="shared" si="25"/>
        <v>68000</v>
      </c>
      <c r="Z56" s="41">
        <f t="shared" si="25"/>
        <v>68000</v>
      </c>
      <c r="AA56" s="45">
        <v>6</v>
      </c>
      <c r="AB56" s="30">
        <f t="shared" si="6"/>
        <v>9792000</v>
      </c>
      <c r="AC56" s="74"/>
      <c r="AF56" s="31"/>
    </row>
    <row r="57" spans="1:32" ht="14.4" thickTop="1" thickBot="1" x14ac:dyDescent="0.3">
      <c r="A57" s="75">
        <v>49096</v>
      </c>
      <c r="B57" s="35" t="s">
        <v>19</v>
      </c>
      <c r="C57" s="41">
        <v>68000</v>
      </c>
      <c r="D57" s="41">
        <f t="shared" si="24"/>
        <v>68000</v>
      </c>
      <c r="E57" s="41">
        <f t="shared" si="24"/>
        <v>68000</v>
      </c>
      <c r="F57" s="41">
        <f t="shared" si="24"/>
        <v>68000</v>
      </c>
      <c r="G57" s="41">
        <f t="shared" si="24"/>
        <v>68000</v>
      </c>
      <c r="H57" s="41">
        <f t="shared" si="24"/>
        <v>68000</v>
      </c>
      <c r="I57" s="41">
        <f t="shared" si="24"/>
        <v>68000</v>
      </c>
      <c r="J57" s="41">
        <f t="shared" si="24"/>
        <v>68000</v>
      </c>
      <c r="K57" s="41">
        <f t="shared" si="24"/>
        <v>68000</v>
      </c>
      <c r="L57" s="41">
        <f t="shared" si="24"/>
        <v>68000</v>
      </c>
      <c r="M57" s="41">
        <f t="shared" si="24"/>
        <v>68000</v>
      </c>
      <c r="N57" s="41">
        <f t="shared" si="24"/>
        <v>68000</v>
      </c>
      <c r="O57" s="41">
        <f t="shared" si="24"/>
        <v>68000</v>
      </c>
      <c r="P57" s="41">
        <f t="shared" si="24"/>
        <v>68000</v>
      </c>
      <c r="Q57" s="41">
        <f t="shared" si="24"/>
        <v>68000</v>
      </c>
      <c r="R57" s="41">
        <f t="shared" si="24"/>
        <v>68000</v>
      </c>
      <c r="S57" s="41">
        <f t="shared" si="24"/>
        <v>68000</v>
      </c>
      <c r="T57" s="41">
        <f t="shared" si="25"/>
        <v>68000</v>
      </c>
      <c r="U57" s="41">
        <f t="shared" si="25"/>
        <v>68000</v>
      </c>
      <c r="V57" s="41">
        <f t="shared" si="25"/>
        <v>68000</v>
      </c>
      <c r="W57" s="41">
        <f t="shared" si="25"/>
        <v>68000</v>
      </c>
      <c r="X57" s="41">
        <f t="shared" si="25"/>
        <v>68000</v>
      </c>
      <c r="Y57" s="41">
        <f t="shared" si="25"/>
        <v>68000</v>
      </c>
      <c r="Z57" s="41">
        <f t="shared" si="25"/>
        <v>68000</v>
      </c>
      <c r="AA57" s="45">
        <v>20</v>
      </c>
      <c r="AB57" s="30">
        <f t="shared" si="6"/>
        <v>32640000</v>
      </c>
      <c r="AC57" s="79">
        <f t="shared" ref="AC57" si="27">+AB57+AB58+AB59</f>
        <v>48960000</v>
      </c>
      <c r="AF57" s="31"/>
    </row>
    <row r="58" spans="1:32" ht="13.8" thickBot="1" x14ac:dyDescent="0.3">
      <c r="A58" s="76"/>
      <c r="B58" s="32" t="s">
        <v>20</v>
      </c>
      <c r="C58" s="41">
        <v>68000</v>
      </c>
      <c r="D58" s="41">
        <f t="shared" si="24"/>
        <v>68000</v>
      </c>
      <c r="E58" s="41">
        <f t="shared" si="24"/>
        <v>68000</v>
      </c>
      <c r="F58" s="41">
        <f t="shared" si="24"/>
        <v>68000</v>
      </c>
      <c r="G58" s="41">
        <f t="shared" si="24"/>
        <v>68000</v>
      </c>
      <c r="H58" s="41">
        <f t="shared" si="24"/>
        <v>68000</v>
      </c>
      <c r="I58" s="41">
        <f t="shared" si="24"/>
        <v>68000</v>
      </c>
      <c r="J58" s="41">
        <f t="shared" si="24"/>
        <v>68000</v>
      </c>
      <c r="K58" s="41">
        <f t="shared" si="24"/>
        <v>68000</v>
      </c>
      <c r="L58" s="41">
        <f t="shared" si="24"/>
        <v>68000</v>
      </c>
      <c r="M58" s="41">
        <f t="shared" si="24"/>
        <v>68000</v>
      </c>
      <c r="N58" s="41">
        <f t="shared" si="24"/>
        <v>68000</v>
      </c>
      <c r="O58" s="41">
        <f t="shared" si="24"/>
        <v>68000</v>
      </c>
      <c r="P58" s="41">
        <f t="shared" si="24"/>
        <v>68000</v>
      </c>
      <c r="Q58" s="41">
        <f t="shared" si="24"/>
        <v>68000</v>
      </c>
      <c r="R58" s="41">
        <f t="shared" si="24"/>
        <v>68000</v>
      </c>
      <c r="S58" s="41">
        <f t="shared" si="24"/>
        <v>68000</v>
      </c>
      <c r="T58" s="41">
        <f t="shared" si="25"/>
        <v>68000</v>
      </c>
      <c r="U58" s="41">
        <f t="shared" si="25"/>
        <v>68000</v>
      </c>
      <c r="V58" s="41">
        <f t="shared" si="25"/>
        <v>68000</v>
      </c>
      <c r="W58" s="41">
        <f t="shared" si="25"/>
        <v>68000</v>
      </c>
      <c r="X58" s="41">
        <f t="shared" si="25"/>
        <v>68000</v>
      </c>
      <c r="Y58" s="41">
        <f t="shared" si="25"/>
        <v>68000</v>
      </c>
      <c r="Z58" s="41">
        <f t="shared" si="25"/>
        <v>68000</v>
      </c>
      <c r="AA58" s="45">
        <v>4</v>
      </c>
      <c r="AB58" s="30">
        <f t="shared" si="6"/>
        <v>6528000</v>
      </c>
      <c r="AC58" s="73"/>
      <c r="AF58" s="31"/>
    </row>
    <row r="59" spans="1:32" ht="13.8" thickBot="1" x14ac:dyDescent="0.3">
      <c r="A59" s="76"/>
      <c r="B59" s="32" t="s">
        <v>21</v>
      </c>
      <c r="C59" s="41">
        <v>68000</v>
      </c>
      <c r="D59" s="41">
        <f t="shared" si="24"/>
        <v>68000</v>
      </c>
      <c r="E59" s="41">
        <f t="shared" si="24"/>
        <v>68000</v>
      </c>
      <c r="F59" s="41">
        <f t="shared" si="24"/>
        <v>68000</v>
      </c>
      <c r="G59" s="41">
        <f t="shared" si="24"/>
        <v>68000</v>
      </c>
      <c r="H59" s="41">
        <f t="shared" si="24"/>
        <v>68000</v>
      </c>
      <c r="I59" s="41">
        <f t="shared" si="24"/>
        <v>68000</v>
      </c>
      <c r="J59" s="41">
        <f t="shared" si="24"/>
        <v>68000</v>
      </c>
      <c r="K59" s="41">
        <f t="shared" si="24"/>
        <v>68000</v>
      </c>
      <c r="L59" s="41">
        <f t="shared" si="24"/>
        <v>68000</v>
      </c>
      <c r="M59" s="41">
        <f t="shared" si="24"/>
        <v>68000</v>
      </c>
      <c r="N59" s="41">
        <f t="shared" si="24"/>
        <v>68000</v>
      </c>
      <c r="O59" s="41">
        <f t="shared" si="24"/>
        <v>68000</v>
      </c>
      <c r="P59" s="41">
        <f t="shared" si="24"/>
        <v>68000</v>
      </c>
      <c r="Q59" s="41">
        <f t="shared" si="24"/>
        <v>68000</v>
      </c>
      <c r="R59" s="41">
        <f t="shared" si="24"/>
        <v>68000</v>
      </c>
      <c r="S59" s="41">
        <f t="shared" si="24"/>
        <v>68000</v>
      </c>
      <c r="T59" s="41">
        <f t="shared" si="25"/>
        <v>68000</v>
      </c>
      <c r="U59" s="41">
        <f t="shared" si="25"/>
        <v>68000</v>
      </c>
      <c r="V59" s="41">
        <f t="shared" si="25"/>
        <v>68000</v>
      </c>
      <c r="W59" s="41">
        <f t="shared" si="25"/>
        <v>68000</v>
      </c>
      <c r="X59" s="41">
        <f t="shared" si="25"/>
        <v>68000</v>
      </c>
      <c r="Y59" s="41">
        <f t="shared" si="25"/>
        <v>68000</v>
      </c>
      <c r="Z59" s="41">
        <f t="shared" si="25"/>
        <v>68000</v>
      </c>
      <c r="AA59" s="45">
        <v>6</v>
      </c>
      <c r="AB59" s="30">
        <f t="shared" si="6"/>
        <v>9792000</v>
      </c>
      <c r="AC59" s="74"/>
      <c r="AF59" s="31"/>
    </row>
    <row r="60" spans="1:32" ht="14.4" thickTop="1" thickBot="1" x14ac:dyDescent="0.3">
      <c r="A60" s="75">
        <v>49126</v>
      </c>
      <c r="B60" s="34" t="s">
        <v>19</v>
      </c>
      <c r="C60" s="41">
        <v>68000</v>
      </c>
      <c r="D60" s="41">
        <f t="shared" si="24"/>
        <v>68000</v>
      </c>
      <c r="E60" s="41">
        <f t="shared" si="24"/>
        <v>68000</v>
      </c>
      <c r="F60" s="41">
        <f t="shared" si="24"/>
        <v>68000</v>
      </c>
      <c r="G60" s="41">
        <f t="shared" si="24"/>
        <v>68000</v>
      </c>
      <c r="H60" s="41">
        <f t="shared" si="24"/>
        <v>68000</v>
      </c>
      <c r="I60" s="41">
        <f t="shared" si="24"/>
        <v>68000</v>
      </c>
      <c r="J60" s="41">
        <f t="shared" si="24"/>
        <v>68000</v>
      </c>
      <c r="K60" s="41">
        <f t="shared" si="24"/>
        <v>68000</v>
      </c>
      <c r="L60" s="41">
        <f t="shared" si="24"/>
        <v>68000</v>
      </c>
      <c r="M60" s="41">
        <f t="shared" si="24"/>
        <v>68000</v>
      </c>
      <c r="N60" s="41">
        <f t="shared" si="24"/>
        <v>68000</v>
      </c>
      <c r="O60" s="41">
        <f t="shared" si="24"/>
        <v>68000</v>
      </c>
      <c r="P60" s="41">
        <f t="shared" si="24"/>
        <v>68000</v>
      </c>
      <c r="Q60" s="41">
        <f t="shared" si="24"/>
        <v>68000</v>
      </c>
      <c r="R60" s="41">
        <f t="shared" si="24"/>
        <v>68000</v>
      </c>
      <c r="S60" s="41">
        <f t="shared" si="24"/>
        <v>68000</v>
      </c>
      <c r="T60" s="41">
        <f t="shared" si="25"/>
        <v>68000</v>
      </c>
      <c r="U60" s="41">
        <f t="shared" si="25"/>
        <v>68000</v>
      </c>
      <c r="V60" s="41">
        <f t="shared" si="25"/>
        <v>68000</v>
      </c>
      <c r="W60" s="41">
        <f t="shared" si="25"/>
        <v>68000</v>
      </c>
      <c r="X60" s="41">
        <f t="shared" si="25"/>
        <v>68000</v>
      </c>
      <c r="Y60" s="41">
        <f t="shared" si="25"/>
        <v>68000</v>
      </c>
      <c r="Z60" s="41">
        <f t="shared" si="25"/>
        <v>68000</v>
      </c>
      <c r="AA60" s="45">
        <v>19</v>
      </c>
      <c r="AB60" s="30">
        <f t="shared" si="6"/>
        <v>31008000</v>
      </c>
      <c r="AC60" s="79">
        <f t="shared" ref="AC60" si="28">+AB60+AB61+AB62</f>
        <v>50592000</v>
      </c>
      <c r="AF60" s="31"/>
    </row>
    <row r="61" spans="1:32" ht="13.8" thickBot="1" x14ac:dyDescent="0.3">
      <c r="A61" s="76"/>
      <c r="B61" s="32" t="s">
        <v>20</v>
      </c>
      <c r="C61" s="41">
        <v>68000</v>
      </c>
      <c r="D61" s="41">
        <f t="shared" si="24"/>
        <v>68000</v>
      </c>
      <c r="E61" s="41">
        <f t="shared" si="24"/>
        <v>68000</v>
      </c>
      <c r="F61" s="41">
        <f t="shared" si="24"/>
        <v>68000</v>
      </c>
      <c r="G61" s="41">
        <f t="shared" si="24"/>
        <v>68000</v>
      </c>
      <c r="H61" s="41">
        <f t="shared" si="24"/>
        <v>68000</v>
      </c>
      <c r="I61" s="41">
        <f t="shared" si="24"/>
        <v>68000</v>
      </c>
      <c r="J61" s="41">
        <f t="shared" si="24"/>
        <v>68000</v>
      </c>
      <c r="K61" s="41">
        <f t="shared" si="24"/>
        <v>68000</v>
      </c>
      <c r="L61" s="41">
        <f t="shared" si="24"/>
        <v>68000</v>
      </c>
      <c r="M61" s="41">
        <f t="shared" si="24"/>
        <v>68000</v>
      </c>
      <c r="N61" s="41">
        <f t="shared" si="24"/>
        <v>68000</v>
      </c>
      <c r="O61" s="41">
        <f t="shared" si="24"/>
        <v>68000</v>
      </c>
      <c r="P61" s="41">
        <f t="shared" si="24"/>
        <v>68000</v>
      </c>
      <c r="Q61" s="41">
        <f t="shared" si="24"/>
        <v>68000</v>
      </c>
      <c r="R61" s="41">
        <f t="shared" si="24"/>
        <v>68000</v>
      </c>
      <c r="S61" s="41">
        <f t="shared" si="24"/>
        <v>68000</v>
      </c>
      <c r="T61" s="41">
        <f t="shared" si="25"/>
        <v>68000</v>
      </c>
      <c r="U61" s="41">
        <f t="shared" si="25"/>
        <v>68000</v>
      </c>
      <c r="V61" s="41">
        <f t="shared" si="25"/>
        <v>68000</v>
      </c>
      <c r="W61" s="41">
        <f t="shared" si="25"/>
        <v>68000</v>
      </c>
      <c r="X61" s="41">
        <f t="shared" si="25"/>
        <v>68000</v>
      </c>
      <c r="Y61" s="41">
        <f t="shared" si="25"/>
        <v>68000</v>
      </c>
      <c r="Z61" s="41">
        <f t="shared" si="25"/>
        <v>68000</v>
      </c>
      <c r="AA61" s="45">
        <v>5</v>
      </c>
      <c r="AB61" s="30">
        <f t="shared" si="6"/>
        <v>8160000</v>
      </c>
      <c r="AC61" s="73"/>
      <c r="AF61" s="31"/>
    </row>
    <row r="62" spans="1:32" ht="13.8" thickBot="1" x14ac:dyDescent="0.3">
      <c r="A62" s="76"/>
      <c r="B62" s="32" t="s">
        <v>21</v>
      </c>
      <c r="C62" s="41">
        <v>68000</v>
      </c>
      <c r="D62" s="41">
        <f t="shared" si="24"/>
        <v>68000</v>
      </c>
      <c r="E62" s="41">
        <f t="shared" si="24"/>
        <v>68000</v>
      </c>
      <c r="F62" s="41">
        <f t="shared" si="24"/>
        <v>68000</v>
      </c>
      <c r="G62" s="41">
        <f t="shared" si="24"/>
        <v>68000</v>
      </c>
      <c r="H62" s="41">
        <f t="shared" si="24"/>
        <v>68000</v>
      </c>
      <c r="I62" s="41">
        <f t="shared" si="24"/>
        <v>68000</v>
      </c>
      <c r="J62" s="41">
        <f t="shared" si="24"/>
        <v>68000</v>
      </c>
      <c r="K62" s="41">
        <f t="shared" si="24"/>
        <v>68000</v>
      </c>
      <c r="L62" s="41">
        <f t="shared" si="24"/>
        <v>68000</v>
      </c>
      <c r="M62" s="41">
        <f t="shared" si="24"/>
        <v>68000</v>
      </c>
      <c r="N62" s="41">
        <f t="shared" si="24"/>
        <v>68000</v>
      </c>
      <c r="O62" s="41">
        <f t="shared" si="24"/>
        <v>68000</v>
      </c>
      <c r="P62" s="41">
        <f t="shared" si="24"/>
        <v>68000</v>
      </c>
      <c r="Q62" s="41">
        <f t="shared" si="24"/>
        <v>68000</v>
      </c>
      <c r="R62" s="41">
        <f t="shared" si="24"/>
        <v>68000</v>
      </c>
      <c r="S62" s="41">
        <f t="shared" si="24"/>
        <v>68000</v>
      </c>
      <c r="T62" s="41">
        <f t="shared" si="25"/>
        <v>68000</v>
      </c>
      <c r="U62" s="41">
        <f t="shared" si="25"/>
        <v>68000</v>
      </c>
      <c r="V62" s="41">
        <f t="shared" si="25"/>
        <v>68000</v>
      </c>
      <c r="W62" s="41">
        <f t="shared" si="25"/>
        <v>68000</v>
      </c>
      <c r="X62" s="41">
        <f t="shared" si="25"/>
        <v>68000</v>
      </c>
      <c r="Y62" s="41">
        <f t="shared" si="25"/>
        <v>68000</v>
      </c>
      <c r="Z62" s="41">
        <f t="shared" si="25"/>
        <v>68000</v>
      </c>
      <c r="AA62" s="45">
        <v>7</v>
      </c>
      <c r="AB62" s="30">
        <f t="shared" si="6"/>
        <v>11424000</v>
      </c>
      <c r="AC62" s="74"/>
      <c r="AF62" s="31"/>
    </row>
    <row r="63" spans="1:32" ht="14.4" thickTop="1" thickBot="1" x14ac:dyDescent="0.3">
      <c r="A63" s="75">
        <v>49157</v>
      </c>
      <c r="B63" s="35" t="s">
        <v>19</v>
      </c>
      <c r="C63" s="41">
        <v>68000</v>
      </c>
      <c r="D63" s="41">
        <f t="shared" si="24"/>
        <v>68000</v>
      </c>
      <c r="E63" s="41">
        <f t="shared" si="24"/>
        <v>68000</v>
      </c>
      <c r="F63" s="41">
        <f t="shared" si="24"/>
        <v>68000</v>
      </c>
      <c r="G63" s="41">
        <f t="shared" si="24"/>
        <v>68000</v>
      </c>
      <c r="H63" s="41">
        <f t="shared" si="24"/>
        <v>68000</v>
      </c>
      <c r="I63" s="41">
        <f t="shared" si="24"/>
        <v>68000</v>
      </c>
      <c r="J63" s="41">
        <f t="shared" si="24"/>
        <v>68000</v>
      </c>
      <c r="K63" s="41">
        <f t="shared" si="24"/>
        <v>68000</v>
      </c>
      <c r="L63" s="41">
        <f t="shared" si="24"/>
        <v>68000</v>
      </c>
      <c r="M63" s="41">
        <f t="shared" si="24"/>
        <v>68000</v>
      </c>
      <c r="N63" s="41">
        <f t="shared" si="24"/>
        <v>68000</v>
      </c>
      <c r="O63" s="41">
        <f t="shared" si="24"/>
        <v>68000</v>
      </c>
      <c r="P63" s="41">
        <f t="shared" si="24"/>
        <v>68000</v>
      </c>
      <c r="Q63" s="41">
        <f t="shared" si="24"/>
        <v>68000</v>
      </c>
      <c r="R63" s="41">
        <f t="shared" si="24"/>
        <v>68000</v>
      </c>
      <c r="S63" s="41">
        <f t="shared" si="24"/>
        <v>68000</v>
      </c>
      <c r="T63" s="41">
        <f t="shared" si="25"/>
        <v>68000</v>
      </c>
      <c r="U63" s="41">
        <f t="shared" si="25"/>
        <v>68000</v>
      </c>
      <c r="V63" s="41">
        <f t="shared" si="25"/>
        <v>68000</v>
      </c>
      <c r="W63" s="41">
        <f t="shared" si="25"/>
        <v>68000</v>
      </c>
      <c r="X63" s="41">
        <f t="shared" si="25"/>
        <v>68000</v>
      </c>
      <c r="Y63" s="41">
        <f t="shared" si="25"/>
        <v>68000</v>
      </c>
      <c r="Z63" s="41">
        <f t="shared" si="25"/>
        <v>68000</v>
      </c>
      <c r="AA63" s="45">
        <v>21</v>
      </c>
      <c r="AB63" s="30">
        <f t="shared" si="6"/>
        <v>34272000</v>
      </c>
      <c r="AC63" s="79">
        <f t="shared" ref="AC63" si="29">+AB63+AB64+AB65</f>
        <v>50592000</v>
      </c>
      <c r="AF63" s="31"/>
    </row>
    <row r="64" spans="1:32" ht="13.8" thickBot="1" x14ac:dyDescent="0.3">
      <c r="A64" s="76"/>
      <c r="B64" s="32" t="s">
        <v>20</v>
      </c>
      <c r="C64" s="41">
        <v>68000</v>
      </c>
      <c r="D64" s="41">
        <f t="shared" si="24"/>
        <v>68000</v>
      </c>
      <c r="E64" s="41">
        <f t="shared" si="24"/>
        <v>68000</v>
      </c>
      <c r="F64" s="41">
        <f t="shared" si="24"/>
        <v>68000</v>
      </c>
      <c r="G64" s="41">
        <f t="shared" si="24"/>
        <v>68000</v>
      </c>
      <c r="H64" s="41">
        <f t="shared" si="24"/>
        <v>68000</v>
      </c>
      <c r="I64" s="41">
        <f t="shared" si="24"/>
        <v>68000</v>
      </c>
      <c r="J64" s="41">
        <f t="shared" si="24"/>
        <v>68000</v>
      </c>
      <c r="K64" s="41">
        <f t="shared" si="24"/>
        <v>68000</v>
      </c>
      <c r="L64" s="41">
        <f t="shared" si="24"/>
        <v>68000</v>
      </c>
      <c r="M64" s="41">
        <f t="shared" si="24"/>
        <v>68000</v>
      </c>
      <c r="N64" s="41">
        <f t="shared" si="24"/>
        <v>68000</v>
      </c>
      <c r="O64" s="41">
        <f t="shared" si="24"/>
        <v>68000</v>
      </c>
      <c r="P64" s="41">
        <f t="shared" si="24"/>
        <v>68000</v>
      </c>
      <c r="Q64" s="41">
        <f t="shared" si="24"/>
        <v>68000</v>
      </c>
      <c r="R64" s="41">
        <f t="shared" si="24"/>
        <v>68000</v>
      </c>
      <c r="S64" s="41">
        <f t="shared" si="24"/>
        <v>68000</v>
      </c>
      <c r="T64" s="41">
        <f t="shared" si="25"/>
        <v>68000</v>
      </c>
      <c r="U64" s="41">
        <f t="shared" si="25"/>
        <v>68000</v>
      </c>
      <c r="V64" s="41">
        <f t="shared" si="25"/>
        <v>68000</v>
      </c>
      <c r="W64" s="41">
        <f t="shared" si="25"/>
        <v>68000</v>
      </c>
      <c r="X64" s="41">
        <f t="shared" si="25"/>
        <v>68000</v>
      </c>
      <c r="Y64" s="41">
        <f t="shared" si="25"/>
        <v>68000</v>
      </c>
      <c r="Z64" s="41">
        <f t="shared" si="25"/>
        <v>68000</v>
      </c>
      <c r="AA64" s="45">
        <v>4</v>
      </c>
      <c r="AB64" s="30">
        <f t="shared" si="6"/>
        <v>6528000</v>
      </c>
      <c r="AC64" s="73"/>
      <c r="AF64" s="31"/>
    </row>
    <row r="65" spans="1:32" ht="13.8" thickBot="1" x14ac:dyDescent="0.3">
      <c r="A65" s="76"/>
      <c r="B65" s="32" t="s">
        <v>21</v>
      </c>
      <c r="C65" s="41">
        <v>68000</v>
      </c>
      <c r="D65" s="41">
        <f t="shared" si="24"/>
        <v>68000</v>
      </c>
      <c r="E65" s="41">
        <f t="shared" si="24"/>
        <v>68000</v>
      </c>
      <c r="F65" s="41">
        <f t="shared" si="24"/>
        <v>68000</v>
      </c>
      <c r="G65" s="41">
        <f t="shared" si="24"/>
        <v>68000</v>
      </c>
      <c r="H65" s="41">
        <f t="shared" si="24"/>
        <v>68000</v>
      </c>
      <c r="I65" s="41">
        <f t="shared" si="24"/>
        <v>68000</v>
      </c>
      <c r="J65" s="41">
        <f t="shared" si="24"/>
        <v>68000</v>
      </c>
      <c r="K65" s="41">
        <f t="shared" si="24"/>
        <v>68000</v>
      </c>
      <c r="L65" s="41">
        <f t="shared" si="24"/>
        <v>68000</v>
      </c>
      <c r="M65" s="41">
        <f t="shared" si="24"/>
        <v>68000</v>
      </c>
      <c r="N65" s="41">
        <f t="shared" si="24"/>
        <v>68000</v>
      </c>
      <c r="O65" s="41">
        <f t="shared" si="24"/>
        <v>68000</v>
      </c>
      <c r="P65" s="41">
        <f t="shared" si="24"/>
        <v>68000</v>
      </c>
      <c r="Q65" s="41">
        <f t="shared" si="24"/>
        <v>68000</v>
      </c>
      <c r="R65" s="41">
        <f t="shared" si="24"/>
        <v>68000</v>
      </c>
      <c r="S65" s="41">
        <f t="shared" si="24"/>
        <v>68000</v>
      </c>
      <c r="T65" s="41">
        <f t="shared" si="25"/>
        <v>68000</v>
      </c>
      <c r="U65" s="41">
        <f t="shared" si="25"/>
        <v>68000</v>
      </c>
      <c r="V65" s="41">
        <f t="shared" si="25"/>
        <v>68000</v>
      </c>
      <c r="W65" s="41">
        <f t="shared" si="25"/>
        <v>68000</v>
      </c>
      <c r="X65" s="41">
        <f t="shared" si="25"/>
        <v>68000</v>
      </c>
      <c r="Y65" s="41">
        <f t="shared" si="25"/>
        <v>68000</v>
      </c>
      <c r="Z65" s="41">
        <f t="shared" si="25"/>
        <v>68000</v>
      </c>
      <c r="AA65" s="45">
        <v>6</v>
      </c>
      <c r="AB65" s="30">
        <f t="shared" si="6"/>
        <v>9792000</v>
      </c>
      <c r="AC65" s="74"/>
      <c r="AF65" s="31"/>
    </row>
    <row r="66" spans="1:32" ht="14.4" thickTop="1" thickBot="1" x14ac:dyDescent="0.3">
      <c r="A66" s="75">
        <v>49188</v>
      </c>
      <c r="B66" s="34" t="s">
        <v>19</v>
      </c>
      <c r="C66" s="41">
        <v>68000</v>
      </c>
      <c r="D66" s="41">
        <f t="shared" si="24"/>
        <v>68000</v>
      </c>
      <c r="E66" s="41">
        <f t="shared" si="24"/>
        <v>68000</v>
      </c>
      <c r="F66" s="41">
        <f t="shared" si="24"/>
        <v>68000</v>
      </c>
      <c r="G66" s="41">
        <f t="shared" si="24"/>
        <v>68000</v>
      </c>
      <c r="H66" s="41">
        <f t="shared" si="24"/>
        <v>68000</v>
      </c>
      <c r="I66" s="41">
        <f t="shared" si="24"/>
        <v>68000</v>
      </c>
      <c r="J66" s="41">
        <f t="shared" si="24"/>
        <v>68000</v>
      </c>
      <c r="K66" s="41">
        <f t="shared" si="24"/>
        <v>68000</v>
      </c>
      <c r="L66" s="41">
        <f t="shared" si="24"/>
        <v>68000</v>
      </c>
      <c r="M66" s="41">
        <f t="shared" si="24"/>
        <v>68000</v>
      </c>
      <c r="N66" s="41">
        <f t="shared" si="24"/>
        <v>68000</v>
      </c>
      <c r="O66" s="41">
        <f t="shared" si="24"/>
        <v>68000</v>
      </c>
      <c r="P66" s="41">
        <f t="shared" si="24"/>
        <v>68000</v>
      </c>
      <c r="Q66" s="41">
        <f t="shared" si="24"/>
        <v>68000</v>
      </c>
      <c r="R66" s="41">
        <f t="shared" si="24"/>
        <v>68000</v>
      </c>
      <c r="S66" s="41">
        <f t="shared" si="24"/>
        <v>68000</v>
      </c>
      <c r="T66" s="41">
        <f t="shared" si="25"/>
        <v>68000</v>
      </c>
      <c r="U66" s="41">
        <f t="shared" si="25"/>
        <v>68000</v>
      </c>
      <c r="V66" s="41">
        <f t="shared" si="25"/>
        <v>68000</v>
      </c>
      <c r="W66" s="41">
        <f t="shared" si="25"/>
        <v>68000</v>
      </c>
      <c r="X66" s="41">
        <f t="shared" si="25"/>
        <v>68000</v>
      </c>
      <c r="Y66" s="41">
        <f t="shared" si="25"/>
        <v>68000</v>
      </c>
      <c r="Z66" s="41">
        <f t="shared" si="25"/>
        <v>68000</v>
      </c>
      <c r="AA66" s="45">
        <v>21</v>
      </c>
      <c r="AB66" s="30">
        <f t="shared" si="6"/>
        <v>34272000</v>
      </c>
      <c r="AC66" s="79">
        <f t="shared" ref="AC66" si="30">+AB66+AB67+AB68</f>
        <v>48960000</v>
      </c>
      <c r="AF66" s="31"/>
    </row>
    <row r="67" spans="1:32" ht="13.8" thickBot="1" x14ac:dyDescent="0.3">
      <c r="A67" s="76"/>
      <c r="B67" s="32" t="s">
        <v>20</v>
      </c>
      <c r="C67" s="41">
        <v>68000</v>
      </c>
      <c r="D67" s="41">
        <f t="shared" si="24"/>
        <v>68000</v>
      </c>
      <c r="E67" s="41">
        <f t="shared" si="24"/>
        <v>68000</v>
      </c>
      <c r="F67" s="41">
        <f t="shared" si="24"/>
        <v>68000</v>
      </c>
      <c r="G67" s="41">
        <f t="shared" si="24"/>
        <v>68000</v>
      </c>
      <c r="H67" s="41">
        <f t="shared" si="24"/>
        <v>68000</v>
      </c>
      <c r="I67" s="41">
        <f t="shared" si="24"/>
        <v>68000</v>
      </c>
      <c r="J67" s="41">
        <f t="shared" si="24"/>
        <v>68000</v>
      </c>
      <c r="K67" s="41">
        <f t="shared" si="24"/>
        <v>68000</v>
      </c>
      <c r="L67" s="41">
        <f t="shared" si="24"/>
        <v>68000</v>
      </c>
      <c r="M67" s="41">
        <f t="shared" si="24"/>
        <v>68000</v>
      </c>
      <c r="N67" s="41">
        <f t="shared" si="24"/>
        <v>68000</v>
      </c>
      <c r="O67" s="41">
        <f t="shared" si="24"/>
        <v>68000</v>
      </c>
      <c r="P67" s="41">
        <f t="shared" si="24"/>
        <v>68000</v>
      </c>
      <c r="Q67" s="41">
        <f t="shared" si="24"/>
        <v>68000</v>
      </c>
      <c r="R67" s="41">
        <f t="shared" si="24"/>
        <v>68000</v>
      </c>
      <c r="S67" s="41">
        <f t="shared" si="24"/>
        <v>68000</v>
      </c>
      <c r="T67" s="41">
        <f t="shared" si="25"/>
        <v>68000</v>
      </c>
      <c r="U67" s="41">
        <f t="shared" si="25"/>
        <v>68000</v>
      </c>
      <c r="V67" s="41">
        <f t="shared" si="25"/>
        <v>68000</v>
      </c>
      <c r="W67" s="41">
        <f t="shared" si="25"/>
        <v>68000</v>
      </c>
      <c r="X67" s="41">
        <f t="shared" si="25"/>
        <v>68000</v>
      </c>
      <c r="Y67" s="41">
        <f t="shared" si="25"/>
        <v>68000</v>
      </c>
      <c r="Z67" s="41">
        <f t="shared" si="25"/>
        <v>68000</v>
      </c>
      <c r="AA67" s="45">
        <v>5</v>
      </c>
      <c r="AB67" s="30">
        <f t="shared" si="6"/>
        <v>8160000</v>
      </c>
      <c r="AC67" s="73"/>
      <c r="AF67" s="31"/>
    </row>
    <row r="68" spans="1:32" ht="13.8" thickBot="1" x14ac:dyDescent="0.3">
      <c r="A68" s="76"/>
      <c r="B68" s="32" t="s">
        <v>21</v>
      </c>
      <c r="C68" s="41">
        <v>68000</v>
      </c>
      <c r="D68" s="41">
        <f t="shared" ref="D68:S83" si="31">+C68</f>
        <v>68000</v>
      </c>
      <c r="E68" s="41">
        <f t="shared" si="31"/>
        <v>68000</v>
      </c>
      <c r="F68" s="41">
        <f t="shared" si="31"/>
        <v>68000</v>
      </c>
      <c r="G68" s="41">
        <f t="shared" si="31"/>
        <v>68000</v>
      </c>
      <c r="H68" s="41">
        <f t="shared" si="31"/>
        <v>68000</v>
      </c>
      <c r="I68" s="41">
        <f t="shared" si="31"/>
        <v>68000</v>
      </c>
      <c r="J68" s="41">
        <f t="shared" si="31"/>
        <v>68000</v>
      </c>
      <c r="K68" s="41">
        <f t="shared" si="31"/>
        <v>68000</v>
      </c>
      <c r="L68" s="41">
        <f t="shared" si="31"/>
        <v>68000</v>
      </c>
      <c r="M68" s="41">
        <f t="shared" si="31"/>
        <v>68000</v>
      </c>
      <c r="N68" s="41">
        <f t="shared" si="31"/>
        <v>68000</v>
      </c>
      <c r="O68" s="41">
        <f t="shared" si="31"/>
        <v>68000</v>
      </c>
      <c r="P68" s="41">
        <f t="shared" si="31"/>
        <v>68000</v>
      </c>
      <c r="Q68" s="41">
        <f t="shared" si="31"/>
        <v>68000</v>
      </c>
      <c r="R68" s="41">
        <f t="shared" si="31"/>
        <v>68000</v>
      </c>
      <c r="S68" s="41">
        <f t="shared" si="31"/>
        <v>68000</v>
      </c>
      <c r="T68" s="41">
        <f t="shared" si="25"/>
        <v>68000</v>
      </c>
      <c r="U68" s="41">
        <f t="shared" si="25"/>
        <v>68000</v>
      </c>
      <c r="V68" s="41">
        <f t="shared" si="25"/>
        <v>68000</v>
      </c>
      <c r="W68" s="41">
        <f t="shared" si="25"/>
        <v>68000</v>
      </c>
      <c r="X68" s="41">
        <f t="shared" si="25"/>
        <v>68000</v>
      </c>
      <c r="Y68" s="41">
        <f t="shared" si="25"/>
        <v>68000</v>
      </c>
      <c r="Z68" s="41">
        <f t="shared" si="25"/>
        <v>68000</v>
      </c>
      <c r="AA68" s="45">
        <v>4</v>
      </c>
      <c r="AB68" s="30">
        <f t="shared" si="6"/>
        <v>6528000</v>
      </c>
      <c r="AC68" s="74"/>
      <c r="AF68" s="31"/>
    </row>
    <row r="69" spans="1:32" ht="14.4" thickTop="1" thickBot="1" x14ac:dyDescent="0.3">
      <c r="A69" s="75">
        <v>49218</v>
      </c>
      <c r="B69" s="35" t="s">
        <v>19</v>
      </c>
      <c r="C69" s="41">
        <v>68000</v>
      </c>
      <c r="D69" s="41">
        <f t="shared" si="31"/>
        <v>68000</v>
      </c>
      <c r="E69" s="41">
        <f t="shared" si="31"/>
        <v>68000</v>
      </c>
      <c r="F69" s="41">
        <f t="shared" si="31"/>
        <v>68000</v>
      </c>
      <c r="G69" s="41">
        <f t="shared" si="31"/>
        <v>68000</v>
      </c>
      <c r="H69" s="41">
        <f t="shared" si="31"/>
        <v>68000</v>
      </c>
      <c r="I69" s="41">
        <f t="shared" si="31"/>
        <v>68000</v>
      </c>
      <c r="J69" s="41">
        <f t="shared" si="31"/>
        <v>68000</v>
      </c>
      <c r="K69" s="41">
        <f t="shared" si="31"/>
        <v>68000</v>
      </c>
      <c r="L69" s="41">
        <f t="shared" si="31"/>
        <v>68000</v>
      </c>
      <c r="M69" s="41">
        <f t="shared" si="31"/>
        <v>68000</v>
      </c>
      <c r="N69" s="41">
        <f t="shared" si="31"/>
        <v>68000</v>
      </c>
      <c r="O69" s="41">
        <f t="shared" si="31"/>
        <v>68000</v>
      </c>
      <c r="P69" s="41">
        <f t="shared" si="31"/>
        <v>68000</v>
      </c>
      <c r="Q69" s="41">
        <f t="shared" si="31"/>
        <v>68000</v>
      </c>
      <c r="R69" s="41">
        <f t="shared" si="31"/>
        <v>68000</v>
      </c>
      <c r="S69" s="41">
        <f t="shared" si="31"/>
        <v>68000</v>
      </c>
      <c r="T69" s="41">
        <f t="shared" si="25"/>
        <v>68000</v>
      </c>
      <c r="U69" s="41">
        <f t="shared" si="25"/>
        <v>68000</v>
      </c>
      <c r="V69" s="41">
        <f t="shared" si="25"/>
        <v>68000</v>
      </c>
      <c r="W69" s="41">
        <f t="shared" si="25"/>
        <v>68000</v>
      </c>
      <c r="X69" s="41">
        <f t="shared" si="25"/>
        <v>68000</v>
      </c>
      <c r="Y69" s="41">
        <f t="shared" si="25"/>
        <v>68000</v>
      </c>
      <c r="Z69" s="41">
        <f t="shared" si="25"/>
        <v>68000</v>
      </c>
      <c r="AA69" s="45">
        <v>21</v>
      </c>
      <c r="AB69" s="30">
        <f t="shared" si="6"/>
        <v>34272000</v>
      </c>
      <c r="AC69" s="79">
        <f t="shared" ref="AC69" si="32">+AB69+AB70+AB71</f>
        <v>50592000</v>
      </c>
      <c r="AF69" s="31"/>
    </row>
    <row r="70" spans="1:32" ht="13.8" thickBot="1" x14ac:dyDescent="0.3">
      <c r="A70" s="76"/>
      <c r="B70" s="32" t="s">
        <v>20</v>
      </c>
      <c r="C70" s="41">
        <v>68000</v>
      </c>
      <c r="D70" s="41">
        <f t="shared" si="31"/>
        <v>68000</v>
      </c>
      <c r="E70" s="41">
        <f t="shared" si="31"/>
        <v>68000</v>
      </c>
      <c r="F70" s="41">
        <f t="shared" si="31"/>
        <v>68000</v>
      </c>
      <c r="G70" s="41">
        <f t="shared" si="31"/>
        <v>68000</v>
      </c>
      <c r="H70" s="41">
        <f t="shared" si="31"/>
        <v>68000</v>
      </c>
      <c r="I70" s="41">
        <f t="shared" si="31"/>
        <v>68000</v>
      </c>
      <c r="J70" s="41">
        <f t="shared" si="31"/>
        <v>68000</v>
      </c>
      <c r="K70" s="41">
        <f t="shared" si="31"/>
        <v>68000</v>
      </c>
      <c r="L70" s="41">
        <f t="shared" si="31"/>
        <v>68000</v>
      </c>
      <c r="M70" s="41">
        <f t="shared" si="31"/>
        <v>68000</v>
      </c>
      <c r="N70" s="41">
        <f t="shared" si="31"/>
        <v>68000</v>
      </c>
      <c r="O70" s="41">
        <f t="shared" si="31"/>
        <v>68000</v>
      </c>
      <c r="P70" s="41">
        <f t="shared" si="31"/>
        <v>68000</v>
      </c>
      <c r="Q70" s="41">
        <f t="shared" si="31"/>
        <v>68000</v>
      </c>
      <c r="R70" s="41">
        <f t="shared" si="31"/>
        <v>68000</v>
      </c>
      <c r="S70" s="41">
        <f t="shared" si="31"/>
        <v>68000</v>
      </c>
      <c r="T70" s="41">
        <f t="shared" ref="T70:Z85" si="33">+S70</f>
        <v>68000</v>
      </c>
      <c r="U70" s="41">
        <f t="shared" si="33"/>
        <v>68000</v>
      </c>
      <c r="V70" s="41">
        <f t="shared" si="33"/>
        <v>68000</v>
      </c>
      <c r="W70" s="41">
        <f t="shared" si="33"/>
        <v>68000</v>
      </c>
      <c r="X70" s="41">
        <f t="shared" si="33"/>
        <v>68000</v>
      </c>
      <c r="Y70" s="41">
        <f t="shared" si="33"/>
        <v>68000</v>
      </c>
      <c r="Z70" s="41">
        <f t="shared" si="33"/>
        <v>68000</v>
      </c>
      <c r="AA70" s="45">
        <v>4</v>
      </c>
      <c r="AB70" s="30">
        <f t="shared" si="6"/>
        <v>6528000</v>
      </c>
      <c r="AC70" s="73"/>
      <c r="AF70" s="31"/>
    </row>
    <row r="71" spans="1:32" ht="13.8" thickBot="1" x14ac:dyDescent="0.3">
      <c r="A71" s="76"/>
      <c r="B71" s="32" t="s">
        <v>21</v>
      </c>
      <c r="C71" s="41">
        <v>68000</v>
      </c>
      <c r="D71" s="41">
        <f t="shared" si="31"/>
        <v>68000</v>
      </c>
      <c r="E71" s="41">
        <f t="shared" si="31"/>
        <v>68000</v>
      </c>
      <c r="F71" s="41">
        <f t="shared" si="31"/>
        <v>68000</v>
      </c>
      <c r="G71" s="41">
        <f t="shared" si="31"/>
        <v>68000</v>
      </c>
      <c r="H71" s="41">
        <f t="shared" si="31"/>
        <v>68000</v>
      </c>
      <c r="I71" s="41">
        <f t="shared" si="31"/>
        <v>68000</v>
      </c>
      <c r="J71" s="41">
        <f t="shared" si="31"/>
        <v>68000</v>
      </c>
      <c r="K71" s="41">
        <f t="shared" si="31"/>
        <v>68000</v>
      </c>
      <c r="L71" s="41">
        <f t="shared" si="31"/>
        <v>68000</v>
      </c>
      <c r="M71" s="41">
        <f t="shared" si="31"/>
        <v>68000</v>
      </c>
      <c r="N71" s="41">
        <f t="shared" si="31"/>
        <v>68000</v>
      </c>
      <c r="O71" s="41">
        <f t="shared" si="31"/>
        <v>68000</v>
      </c>
      <c r="P71" s="41">
        <f t="shared" si="31"/>
        <v>68000</v>
      </c>
      <c r="Q71" s="41">
        <f t="shared" si="31"/>
        <v>68000</v>
      </c>
      <c r="R71" s="41">
        <f t="shared" si="31"/>
        <v>68000</v>
      </c>
      <c r="S71" s="41">
        <f t="shared" si="31"/>
        <v>68000</v>
      </c>
      <c r="T71" s="41">
        <f t="shared" si="33"/>
        <v>68000</v>
      </c>
      <c r="U71" s="41">
        <f t="shared" si="33"/>
        <v>68000</v>
      </c>
      <c r="V71" s="41">
        <f t="shared" si="33"/>
        <v>68000</v>
      </c>
      <c r="W71" s="41">
        <f t="shared" si="33"/>
        <v>68000</v>
      </c>
      <c r="X71" s="41">
        <f t="shared" si="33"/>
        <v>68000</v>
      </c>
      <c r="Y71" s="41">
        <f t="shared" si="33"/>
        <v>68000</v>
      </c>
      <c r="Z71" s="41">
        <f t="shared" si="33"/>
        <v>68000</v>
      </c>
      <c r="AA71" s="45">
        <v>6</v>
      </c>
      <c r="AB71" s="30">
        <f t="shared" si="6"/>
        <v>9792000</v>
      </c>
      <c r="AC71" s="74"/>
      <c r="AF71" s="31"/>
    </row>
    <row r="72" spans="1:32" ht="14.4" thickTop="1" thickBot="1" x14ac:dyDescent="0.3">
      <c r="A72" s="75">
        <v>49249</v>
      </c>
      <c r="B72" s="34" t="s">
        <v>19</v>
      </c>
      <c r="C72" s="41">
        <v>68000</v>
      </c>
      <c r="D72" s="41">
        <f t="shared" si="31"/>
        <v>68000</v>
      </c>
      <c r="E72" s="41">
        <f t="shared" si="31"/>
        <v>68000</v>
      </c>
      <c r="F72" s="41">
        <f t="shared" si="31"/>
        <v>68000</v>
      </c>
      <c r="G72" s="41">
        <f t="shared" si="31"/>
        <v>68000</v>
      </c>
      <c r="H72" s="41">
        <f t="shared" si="31"/>
        <v>68000</v>
      </c>
      <c r="I72" s="41">
        <f t="shared" si="31"/>
        <v>68000</v>
      </c>
      <c r="J72" s="41">
        <f t="shared" si="31"/>
        <v>68000</v>
      </c>
      <c r="K72" s="41">
        <f t="shared" si="31"/>
        <v>68000</v>
      </c>
      <c r="L72" s="41">
        <f t="shared" si="31"/>
        <v>68000</v>
      </c>
      <c r="M72" s="41">
        <f t="shared" si="31"/>
        <v>68000</v>
      </c>
      <c r="N72" s="41">
        <f t="shared" si="31"/>
        <v>68000</v>
      </c>
      <c r="O72" s="41">
        <f t="shared" si="31"/>
        <v>68000</v>
      </c>
      <c r="P72" s="41">
        <f t="shared" si="31"/>
        <v>68000</v>
      </c>
      <c r="Q72" s="41">
        <f t="shared" si="31"/>
        <v>68000</v>
      </c>
      <c r="R72" s="41">
        <f t="shared" si="31"/>
        <v>68000</v>
      </c>
      <c r="S72" s="41">
        <f t="shared" si="31"/>
        <v>68000</v>
      </c>
      <c r="T72" s="41">
        <f t="shared" si="33"/>
        <v>68000</v>
      </c>
      <c r="U72" s="41">
        <f t="shared" si="33"/>
        <v>68000</v>
      </c>
      <c r="V72" s="41">
        <f t="shared" si="33"/>
        <v>68000</v>
      </c>
      <c r="W72" s="41">
        <f t="shared" si="33"/>
        <v>68000</v>
      </c>
      <c r="X72" s="41">
        <f t="shared" si="33"/>
        <v>68000</v>
      </c>
      <c r="Y72" s="41">
        <f t="shared" si="33"/>
        <v>68000</v>
      </c>
      <c r="Z72" s="41">
        <f t="shared" si="33"/>
        <v>68000</v>
      </c>
      <c r="AA72" s="45">
        <v>20</v>
      </c>
      <c r="AB72" s="30">
        <f t="shared" si="6"/>
        <v>32640000</v>
      </c>
      <c r="AC72" s="79">
        <f t="shared" ref="AC72" si="34">+AB72+AB73+AB74</f>
        <v>48960000</v>
      </c>
      <c r="AF72" s="31"/>
    </row>
    <row r="73" spans="1:32" ht="13.8" thickBot="1" x14ac:dyDescent="0.3">
      <c r="A73" s="76"/>
      <c r="B73" s="32" t="s">
        <v>20</v>
      </c>
      <c r="C73" s="41">
        <v>68000</v>
      </c>
      <c r="D73" s="41">
        <f t="shared" si="31"/>
        <v>68000</v>
      </c>
      <c r="E73" s="41">
        <f t="shared" si="31"/>
        <v>68000</v>
      </c>
      <c r="F73" s="41">
        <f t="shared" si="31"/>
        <v>68000</v>
      </c>
      <c r="G73" s="41">
        <f t="shared" si="31"/>
        <v>68000</v>
      </c>
      <c r="H73" s="41">
        <f t="shared" si="31"/>
        <v>68000</v>
      </c>
      <c r="I73" s="41">
        <f t="shared" si="31"/>
        <v>68000</v>
      </c>
      <c r="J73" s="41">
        <f t="shared" si="31"/>
        <v>68000</v>
      </c>
      <c r="K73" s="41">
        <f t="shared" si="31"/>
        <v>68000</v>
      </c>
      <c r="L73" s="41">
        <f t="shared" si="31"/>
        <v>68000</v>
      </c>
      <c r="M73" s="41">
        <f t="shared" si="31"/>
        <v>68000</v>
      </c>
      <c r="N73" s="41">
        <f t="shared" si="31"/>
        <v>68000</v>
      </c>
      <c r="O73" s="41">
        <f t="shared" si="31"/>
        <v>68000</v>
      </c>
      <c r="P73" s="41">
        <f t="shared" si="31"/>
        <v>68000</v>
      </c>
      <c r="Q73" s="41">
        <f t="shared" si="31"/>
        <v>68000</v>
      </c>
      <c r="R73" s="41">
        <f t="shared" si="31"/>
        <v>68000</v>
      </c>
      <c r="S73" s="41">
        <f t="shared" si="31"/>
        <v>68000</v>
      </c>
      <c r="T73" s="41">
        <f t="shared" si="33"/>
        <v>68000</v>
      </c>
      <c r="U73" s="41">
        <f t="shared" si="33"/>
        <v>68000</v>
      </c>
      <c r="V73" s="41">
        <f t="shared" si="33"/>
        <v>68000</v>
      </c>
      <c r="W73" s="41">
        <f t="shared" si="33"/>
        <v>68000</v>
      </c>
      <c r="X73" s="41">
        <f t="shared" si="33"/>
        <v>68000</v>
      </c>
      <c r="Y73" s="41">
        <f t="shared" si="33"/>
        <v>68000</v>
      </c>
      <c r="Z73" s="41">
        <f t="shared" si="33"/>
        <v>68000</v>
      </c>
      <c r="AA73" s="45">
        <v>4</v>
      </c>
      <c r="AB73" s="30">
        <f t="shared" si="6"/>
        <v>6528000</v>
      </c>
      <c r="AC73" s="73"/>
      <c r="AF73" s="31"/>
    </row>
    <row r="74" spans="1:32" ht="13.8" thickBot="1" x14ac:dyDescent="0.3">
      <c r="A74" s="76"/>
      <c r="B74" s="32" t="s">
        <v>21</v>
      </c>
      <c r="C74" s="41">
        <v>68000</v>
      </c>
      <c r="D74" s="41">
        <f t="shared" si="31"/>
        <v>68000</v>
      </c>
      <c r="E74" s="41">
        <f t="shared" si="31"/>
        <v>68000</v>
      </c>
      <c r="F74" s="41">
        <f t="shared" si="31"/>
        <v>68000</v>
      </c>
      <c r="G74" s="41">
        <f t="shared" si="31"/>
        <v>68000</v>
      </c>
      <c r="H74" s="41">
        <f t="shared" si="31"/>
        <v>68000</v>
      </c>
      <c r="I74" s="41">
        <f t="shared" si="31"/>
        <v>68000</v>
      </c>
      <c r="J74" s="41">
        <f t="shared" si="31"/>
        <v>68000</v>
      </c>
      <c r="K74" s="41">
        <f t="shared" si="31"/>
        <v>68000</v>
      </c>
      <c r="L74" s="41">
        <f t="shared" si="31"/>
        <v>68000</v>
      </c>
      <c r="M74" s="41">
        <f t="shared" si="31"/>
        <v>68000</v>
      </c>
      <c r="N74" s="41">
        <f t="shared" si="31"/>
        <v>68000</v>
      </c>
      <c r="O74" s="41">
        <f t="shared" si="31"/>
        <v>68000</v>
      </c>
      <c r="P74" s="41">
        <f t="shared" si="31"/>
        <v>68000</v>
      </c>
      <c r="Q74" s="41">
        <f t="shared" si="31"/>
        <v>68000</v>
      </c>
      <c r="R74" s="41">
        <f t="shared" si="31"/>
        <v>68000</v>
      </c>
      <c r="S74" s="41">
        <f t="shared" si="31"/>
        <v>68000</v>
      </c>
      <c r="T74" s="41">
        <f t="shared" si="33"/>
        <v>68000</v>
      </c>
      <c r="U74" s="41">
        <f t="shared" si="33"/>
        <v>68000</v>
      </c>
      <c r="V74" s="41">
        <f t="shared" si="33"/>
        <v>68000</v>
      </c>
      <c r="W74" s="41">
        <f t="shared" si="33"/>
        <v>68000</v>
      </c>
      <c r="X74" s="41">
        <f t="shared" si="33"/>
        <v>68000</v>
      </c>
      <c r="Y74" s="41">
        <f t="shared" si="33"/>
        <v>68000</v>
      </c>
      <c r="Z74" s="41">
        <f t="shared" si="33"/>
        <v>68000</v>
      </c>
      <c r="AA74" s="45">
        <v>6</v>
      </c>
      <c r="AB74" s="30">
        <f t="shared" si="6"/>
        <v>9792000</v>
      </c>
      <c r="AC74" s="74"/>
      <c r="AF74" s="31"/>
    </row>
    <row r="75" spans="1:32" ht="14.4" thickTop="1" thickBot="1" x14ac:dyDescent="0.3">
      <c r="A75" s="75">
        <v>49279</v>
      </c>
      <c r="B75" s="35" t="s">
        <v>19</v>
      </c>
      <c r="C75" s="41">
        <v>68000</v>
      </c>
      <c r="D75" s="41">
        <f t="shared" si="31"/>
        <v>68000</v>
      </c>
      <c r="E75" s="41">
        <f t="shared" si="31"/>
        <v>68000</v>
      </c>
      <c r="F75" s="41">
        <f t="shared" si="31"/>
        <v>68000</v>
      </c>
      <c r="G75" s="41">
        <f t="shared" si="31"/>
        <v>68000</v>
      </c>
      <c r="H75" s="41">
        <f t="shared" si="31"/>
        <v>68000</v>
      </c>
      <c r="I75" s="41">
        <f t="shared" si="31"/>
        <v>68000</v>
      </c>
      <c r="J75" s="41">
        <f t="shared" si="31"/>
        <v>68000</v>
      </c>
      <c r="K75" s="41">
        <f t="shared" si="31"/>
        <v>68000</v>
      </c>
      <c r="L75" s="41">
        <f t="shared" si="31"/>
        <v>68000</v>
      </c>
      <c r="M75" s="41">
        <f t="shared" si="31"/>
        <v>68000</v>
      </c>
      <c r="N75" s="41">
        <f t="shared" si="31"/>
        <v>68000</v>
      </c>
      <c r="O75" s="41">
        <f t="shared" si="31"/>
        <v>68000</v>
      </c>
      <c r="P75" s="41">
        <f t="shared" si="31"/>
        <v>68000</v>
      </c>
      <c r="Q75" s="41">
        <f t="shared" si="31"/>
        <v>68000</v>
      </c>
      <c r="R75" s="41">
        <f t="shared" si="31"/>
        <v>68000</v>
      </c>
      <c r="S75" s="41">
        <f t="shared" si="31"/>
        <v>68000</v>
      </c>
      <c r="T75" s="41">
        <f t="shared" si="33"/>
        <v>68000</v>
      </c>
      <c r="U75" s="41">
        <f t="shared" si="33"/>
        <v>68000</v>
      </c>
      <c r="V75" s="41">
        <f t="shared" si="33"/>
        <v>68000</v>
      </c>
      <c r="W75" s="41">
        <f t="shared" si="33"/>
        <v>68000</v>
      </c>
      <c r="X75" s="41">
        <f t="shared" si="33"/>
        <v>68000</v>
      </c>
      <c r="Y75" s="41">
        <f t="shared" si="33"/>
        <v>68000</v>
      </c>
      <c r="Z75" s="41">
        <f t="shared" si="33"/>
        <v>68000</v>
      </c>
      <c r="AA75" s="45">
        <v>19</v>
      </c>
      <c r="AB75" s="30">
        <f t="shared" si="6"/>
        <v>31008000</v>
      </c>
      <c r="AC75" s="79">
        <f t="shared" ref="AC75" si="35">+AB75+AB76+AB77</f>
        <v>50592000</v>
      </c>
      <c r="AF75" s="31"/>
    </row>
    <row r="76" spans="1:32" ht="13.8" thickBot="1" x14ac:dyDescent="0.3">
      <c r="A76" s="76"/>
      <c r="B76" s="32" t="s">
        <v>20</v>
      </c>
      <c r="C76" s="41">
        <v>68000</v>
      </c>
      <c r="D76" s="41">
        <f t="shared" si="31"/>
        <v>68000</v>
      </c>
      <c r="E76" s="41">
        <f t="shared" si="31"/>
        <v>68000</v>
      </c>
      <c r="F76" s="41">
        <f t="shared" si="31"/>
        <v>68000</v>
      </c>
      <c r="G76" s="41">
        <f t="shared" si="31"/>
        <v>68000</v>
      </c>
      <c r="H76" s="41">
        <f t="shared" si="31"/>
        <v>68000</v>
      </c>
      <c r="I76" s="41">
        <f t="shared" si="31"/>
        <v>68000</v>
      </c>
      <c r="J76" s="41">
        <f t="shared" si="31"/>
        <v>68000</v>
      </c>
      <c r="K76" s="41">
        <f t="shared" si="31"/>
        <v>68000</v>
      </c>
      <c r="L76" s="41">
        <f t="shared" si="31"/>
        <v>68000</v>
      </c>
      <c r="M76" s="41">
        <f t="shared" si="31"/>
        <v>68000</v>
      </c>
      <c r="N76" s="41">
        <f t="shared" si="31"/>
        <v>68000</v>
      </c>
      <c r="O76" s="41">
        <f t="shared" si="31"/>
        <v>68000</v>
      </c>
      <c r="P76" s="41">
        <f t="shared" si="31"/>
        <v>68000</v>
      </c>
      <c r="Q76" s="41">
        <f t="shared" si="31"/>
        <v>68000</v>
      </c>
      <c r="R76" s="41">
        <f t="shared" si="31"/>
        <v>68000</v>
      </c>
      <c r="S76" s="41">
        <f t="shared" si="31"/>
        <v>68000</v>
      </c>
      <c r="T76" s="41">
        <f t="shared" si="33"/>
        <v>68000</v>
      </c>
      <c r="U76" s="41">
        <f t="shared" si="33"/>
        <v>68000</v>
      </c>
      <c r="V76" s="41">
        <f t="shared" si="33"/>
        <v>68000</v>
      </c>
      <c r="W76" s="41">
        <f t="shared" si="33"/>
        <v>68000</v>
      </c>
      <c r="X76" s="41">
        <f t="shared" si="33"/>
        <v>68000</v>
      </c>
      <c r="Y76" s="41">
        <f t="shared" si="33"/>
        <v>68000</v>
      </c>
      <c r="Z76" s="41">
        <f t="shared" si="33"/>
        <v>68000</v>
      </c>
      <c r="AA76" s="45">
        <v>5</v>
      </c>
      <c r="AB76" s="30">
        <f t="shared" si="6"/>
        <v>8160000</v>
      </c>
      <c r="AC76" s="73"/>
      <c r="AF76" s="31"/>
    </row>
    <row r="77" spans="1:32" ht="13.8" thickBot="1" x14ac:dyDescent="0.3">
      <c r="A77" s="77"/>
      <c r="B77" s="36" t="s">
        <v>21</v>
      </c>
      <c r="C77" s="41">
        <v>68000</v>
      </c>
      <c r="D77" s="41">
        <f t="shared" si="31"/>
        <v>68000</v>
      </c>
      <c r="E77" s="41">
        <f t="shared" si="31"/>
        <v>68000</v>
      </c>
      <c r="F77" s="41">
        <f t="shared" si="31"/>
        <v>68000</v>
      </c>
      <c r="G77" s="41">
        <f t="shared" si="31"/>
        <v>68000</v>
      </c>
      <c r="H77" s="41">
        <f t="shared" si="31"/>
        <v>68000</v>
      </c>
      <c r="I77" s="41">
        <f t="shared" si="31"/>
        <v>68000</v>
      </c>
      <c r="J77" s="41">
        <f t="shared" si="31"/>
        <v>68000</v>
      </c>
      <c r="K77" s="41">
        <f t="shared" si="31"/>
        <v>68000</v>
      </c>
      <c r="L77" s="41">
        <f t="shared" si="31"/>
        <v>68000</v>
      </c>
      <c r="M77" s="41">
        <f t="shared" si="31"/>
        <v>68000</v>
      </c>
      <c r="N77" s="41">
        <f t="shared" si="31"/>
        <v>68000</v>
      </c>
      <c r="O77" s="41">
        <f t="shared" si="31"/>
        <v>68000</v>
      </c>
      <c r="P77" s="41">
        <f t="shared" si="31"/>
        <v>68000</v>
      </c>
      <c r="Q77" s="41">
        <f t="shared" si="31"/>
        <v>68000</v>
      </c>
      <c r="R77" s="41">
        <f t="shared" si="31"/>
        <v>68000</v>
      </c>
      <c r="S77" s="41">
        <f t="shared" si="31"/>
        <v>68000</v>
      </c>
      <c r="T77" s="41">
        <f t="shared" si="33"/>
        <v>68000</v>
      </c>
      <c r="U77" s="41">
        <f t="shared" si="33"/>
        <v>68000</v>
      </c>
      <c r="V77" s="41">
        <f t="shared" si="33"/>
        <v>68000</v>
      </c>
      <c r="W77" s="41">
        <f t="shared" si="33"/>
        <v>68000</v>
      </c>
      <c r="X77" s="41">
        <f t="shared" si="33"/>
        <v>68000</v>
      </c>
      <c r="Y77" s="41">
        <f t="shared" si="33"/>
        <v>68000</v>
      </c>
      <c r="Z77" s="41">
        <f t="shared" si="33"/>
        <v>68000</v>
      </c>
      <c r="AA77" s="47">
        <v>7</v>
      </c>
      <c r="AB77" s="30">
        <f t="shared" ref="AB77:AB140" si="36">+SUM(C77:Z77)*AA77</f>
        <v>11424000</v>
      </c>
      <c r="AC77" s="74"/>
      <c r="AF77" s="31"/>
    </row>
    <row r="78" spans="1:32" ht="13.95" customHeight="1" thickTop="1" thickBot="1" x14ac:dyDescent="0.3">
      <c r="A78" s="78">
        <v>49310</v>
      </c>
      <c r="B78" s="23" t="s">
        <v>19</v>
      </c>
      <c r="C78" s="41">
        <v>98000</v>
      </c>
      <c r="D78" s="41">
        <f t="shared" si="31"/>
        <v>98000</v>
      </c>
      <c r="E78" s="41">
        <f t="shared" si="31"/>
        <v>98000</v>
      </c>
      <c r="F78" s="41">
        <f t="shared" si="31"/>
        <v>98000</v>
      </c>
      <c r="G78" s="41">
        <f t="shared" si="31"/>
        <v>98000</v>
      </c>
      <c r="H78" s="41">
        <f t="shared" si="31"/>
        <v>98000</v>
      </c>
      <c r="I78" s="41">
        <f t="shared" si="31"/>
        <v>98000</v>
      </c>
      <c r="J78" s="41">
        <f t="shared" si="31"/>
        <v>98000</v>
      </c>
      <c r="K78" s="41">
        <f t="shared" si="31"/>
        <v>98000</v>
      </c>
      <c r="L78" s="41">
        <f t="shared" si="31"/>
        <v>98000</v>
      </c>
      <c r="M78" s="41">
        <f t="shared" si="31"/>
        <v>98000</v>
      </c>
      <c r="N78" s="41">
        <f t="shared" si="31"/>
        <v>98000</v>
      </c>
      <c r="O78" s="41">
        <f t="shared" si="31"/>
        <v>98000</v>
      </c>
      <c r="P78" s="41">
        <f t="shared" si="31"/>
        <v>98000</v>
      </c>
      <c r="Q78" s="41">
        <f t="shared" si="31"/>
        <v>98000</v>
      </c>
      <c r="R78" s="41">
        <f t="shared" si="31"/>
        <v>98000</v>
      </c>
      <c r="S78" s="41">
        <f t="shared" si="31"/>
        <v>98000</v>
      </c>
      <c r="T78" s="41">
        <f t="shared" si="33"/>
        <v>98000</v>
      </c>
      <c r="U78" s="41">
        <f t="shared" si="33"/>
        <v>98000</v>
      </c>
      <c r="V78" s="41">
        <f t="shared" si="33"/>
        <v>98000</v>
      </c>
      <c r="W78" s="41">
        <f t="shared" si="33"/>
        <v>98000</v>
      </c>
      <c r="X78" s="41">
        <f t="shared" si="33"/>
        <v>98000</v>
      </c>
      <c r="Y78" s="41">
        <f t="shared" si="33"/>
        <v>98000</v>
      </c>
      <c r="Z78" s="41">
        <f t="shared" si="33"/>
        <v>98000</v>
      </c>
      <c r="AA78" s="42">
        <v>21</v>
      </c>
      <c r="AB78" s="30">
        <f t="shared" si="36"/>
        <v>49392000</v>
      </c>
      <c r="AC78" s="72">
        <f t="shared" ref="AC78" si="37">+AB78+AB79+AB80</f>
        <v>72912000</v>
      </c>
      <c r="AF78" s="31"/>
    </row>
    <row r="79" spans="1:32" ht="13.95" customHeight="1" thickBot="1" x14ac:dyDescent="0.3">
      <c r="A79" s="76"/>
      <c r="B79" s="32" t="s">
        <v>20</v>
      </c>
      <c r="C79" s="41">
        <v>98000</v>
      </c>
      <c r="D79" s="41">
        <f t="shared" si="31"/>
        <v>98000</v>
      </c>
      <c r="E79" s="41">
        <f t="shared" si="31"/>
        <v>98000</v>
      </c>
      <c r="F79" s="41">
        <f t="shared" si="31"/>
        <v>98000</v>
      </c>
      <c r="G79" s="41">
        <f t="shared" si="31"/>
        <v>98000</v>
      </c>
      <c r="H79" s="41">
        <f t="shared" si="31"/>
        <v>98000</v>
      </c>
      <c r="I79" s="41">
        <f t="shared" si="31"/>
        <v>98000</v>
      </c>
      <c r="J79" s="41">
        <f t="shared" si="31"/>
        <v>98000</v>
      </c>
      <c r="K79" s="41">
        <f t="shared" si="31"/>
        <v>98000</v>
      </c>
      <c r="L79" s="41">
        <f t="shared" si="31"/>
        <v>98000</v>
      </c>
      <c r="M79" s="41">
        <f t="shared" si="31"/>
        <v>98000</v>
      </c>
      <c r="N79" s="41">
        <f t="shared" si="31"/>
        <v>98000</v>
      </c>
      <c r="O79" s="41">
        <f t="shared" si="31"/>
        <v>98000</v>
      </c>
      <c r="P79" s="41">
        <f t="shared" si="31"/>
        <v>98000</v>
      </c>
      <c r="Q79" s="41">
        <f t="shared" si="31"/>
        <v>98000</v>
      </c>
      <c r="R79" s="41">
        <f t="shared" si="31"/>
        <v>98000</v>
      </c>
      <c r="S79" s="41">
        <f t="shared" si="31"/>
        <v>98000</v>
      </c>
      <c r="T79" s="41">
        <f t="shared" si="33"/>
        <v>98000</v>
      </c>
      <c r="U79" s="41">
        <f t="shared" si="33"/>
        <v>98000</v>
      </c>
      <c r="V79" s="41">
        <f t="shared" si="33"/>
        <v>98000</v>
      </c>
      <c r="W79" s="41">
        <f t="shared" si="33"/>
        <v>98000</v>
      </c>
      <c r="X79" s="41">
        <f t="shared" si="33"/>
        <v>98000</v>
      </c>
      <c r="Y79" s="41">
        <f t="shared" si="33"/>
        <v>98000</v>
      </c>
      <c r="Z79" s="41">
        <f t="shared" si="33"/>
        <v>98000</v>
      </c>
      <c r="AA79" s="45">
        <v>4</v>
      </c>
      <c r="AB79" s="30">
        <f t="shared" si="36"/>
        <v>9408000</v>
      </c>
      <c r="AC79" s="73"/>
      <c r="AF79" s="31"/>
    </row>
    <row r="80" spans="1:32" ht="13.95" customHeight="1" thickBot="1" x14ac:dyDescent="0.3">
      <c r="A80" s="76"/>
      <c r="B80" s="32" t="s">
        <v>21</v>
      </c>
      <c r="C80" s="41">
        <v>98000</v>
      </c>
      <c r="D80" s="41">
        <f t="shared" si="31"/>
        <v>98000</v>
      </c>
      <c r="E80" s="41">
        <f t="shared" si="31"/>
        <v>98000</v>
      </c>
      <c r="F80" s="41">
        <f t="shared" si="31"/>
        <v>98000</v>
      </c>
      <c r="G80" s="41">
        <f t="shared" si="31"/>
        <v>98000</v>
      </c>
      <c r="H80" s="41">
        <f t="shared" si="31"/>
        <v>98000</v>
      </c>
      <c r="I80" s="41">
        <f t="shared" si="31"/>
        <v>98000</v>
      </c>
      <c r="J80" s="41">
        <f t="shared" si="31"/>
        <v>98000</v>
      </c>
      <c r="K80" s="41">
        <f t="shared" si="31"/>
        <v>98000</v>
      </c>
      <c r="L80" s="41">
        <f t="shared" si="31"/>
        <v>98000</v>
      </c>
      <c r="M80" s="41">
        <f t="shared" si="31"/>
        <v>98000</v>
      </c>
      <c r="N80" s="41">
        <f t="shared" si="31"/>
        <v>98000</v>
      </c>
      <c r="O80" s="41">
        <f t="shared" si="31"/>
        <v>98000</v>
      </c>
      <c r="P80" s="41">
        <f t="shared" si="31"/>
        <v>98000</v>
      </c>
      <c r="Q80" s="41">
        <f t="shared" si="31"/>
        <v>98000</v>
      </c>
      <c r="R80" s="41">
        <f t="shared" si="31"/>
        <v>98000</v>
      </c>
      <c r="S80" s="41">
        <f t="shared" si="31"/>
        <v>98000</v>
      </c>
      <c r="T80" s="41">
        <f t="shared" si="33"/>
        <v>98000</v>
      </c>
      <c r="U80" s="41">
        <f t="shared" si="33"/>
        <v>98000</v>
      </c>
      <c r="V80" s="41">
        <f t="shared" si="33"/>
        <v>98000</v>
      </c>
      <c r="W80" s="41">
        <f t="shared" si="33"/>
        <v>98000</v>
      </c>
      <c r="X80" s="41">
        <f t="shared" si="33"/>
        <v>98000</v>
      </c>
      <c r="Y80" s="41">
        <f t="shared" si="33"/>
        <v>98000</v>
      </c>
      <c r="Z80" s="41">
        <f t="shared" si="33"/>
        <v>98000</v>
      </c>
      <c r="AA80" s="45">
        <v>6</v>
      </c>
      <c r="AB80" s="30">
        <f t="shared" si="36"/>
        <v>14112000</v>
      </c>
      <c r="AC80" s="74"/>
      <c r="AF80" s="31"/>
    </row>
    <row r="81" spans="1:32" ht="14.4" customHeight="1" thickTop="1" thickBot="1" x14ac:dyDescent="0.3">
      <c r="A81" s="75">
        <v>49341</v>
      </c>
      <c r="B81" s="34" t="s">
        <v>19</v>
      </c>
      <c r="C81" s="41">
        <v>98000</v>
      </c>
      <c r="D81" s="41">
        <f t="shared" si="31"/>
        <v>98000</v>
      </c>
      <c r="E81" s="41">
        <f t="shared" si="31"/>
        <v>98000</v>
      </c>
      <c r="F81" s="41">
        <f t="shared" si="31"/>
        <v>98000</v>
      </c>
      <c r="G81" s="41">
        <f t="shared" si="31"/>
        <v>98000</v>
      </c>
      <c r="H81" s="41">
        <f t="shared" si="31"/>
        <v>98000</v>
      </c>
      <c r="I81" s="41">
        <f t="shared" si="31"/>
        <v>98000</v>
      </c>
      <c r="J81" s="41">
        <f t="shared" si="31"/>
        <v>98000</v>
      </c>
      <c r="K81" s="41">
        <f t="shared" si="31"/>
        <v>98000</v>
      </c>
      <c r="L81" s="41">
        <f t="shared" si="31"/>
        <v>98000</v>
      </c>
      <c r="M81" s="41">
        <f t="shared" si="31"/>
        <v>98000</v>
      </c>
      <c r="N81" s="41">
        <f t="shared" si="31"/>
        <v>98000</v>
      </c>
      <c r="O81" s="41">
        <f t="shared" si="31"/>
        <v>98000</v>
      </c>
      <c r="P81" s="41">
        <f t="shared" si="31"/>
        <v>98000</v>
      </c>
      <c r="Q81" s="41">
        <f t="shared" si="31"/>
        <v>98000</v>
      </c>
      <c r="R81" s="41">
        <f t="shared" si="31"/>
        <v>98000</v>
      </c>
      <c r="S81" s="41">
        <f t="shared" si="31"/>
        <v>98000</v>
      </c>
      <c r="T81" s="41">
        <f t="shared" si="33"/>
        <v>98000</v>
      </c>
      <c r="U81" s="41">
        <f t="shared" si="33"/>
        <v>98000</v>
      </c>
      <c r="V81" s="41">
        <f t="shared" si="33"/>
        <v>98000</v>
      </c>
      <c r="W81" s="41">
        <f t="shared" si="33"/>
        <v>98000</v>
      </c>
      <c r="X81" s="41">
        <f t="shared" si="33"/>
        <v>98000</v>
      </c>
      <c r="Y81" s="41">
        <f t="shared" si="33"/>
        <v>98000</v>
      </c>
      <c r="Z81" s="41">
        <f t="shared" si="33"/>
        <v>98000</v>
      </c>
      <c r="AA81" s="45">
        <v>20</v>
      </c>
      <c r="AB81" s="30">
        <f t="shared" si="36"/>
        <v>47040000</v>
      </c>
      <c r="AC81" s="72">
        <f t="shared" ref="AC81:AC144" si="38">+AB81+AB82+AB83</f>
        <v>65856000</v>
      </c>
      <c r="AF81" s="31"/>
    </row>
    <row r="82" spans="1:32" ht="13.95" customHeight="1" thickBot="1" x14ac:dyDescent="0.3">
      <c r="A82" s="76"/>
      <c r="B82" s="32" t="s">
        <v>20</v>
      </c>
      <c r="C82" s="41">
        <v>98000</v>
      </c>
      <c r="D82" s="41">
        <f t="shared" si="31"/>
        <v>98000</v>
      </c>
      <c r="E82" s="41">
        <f t="shared" si="31"/>
        <v>98000</v>
      </c>
      <c r="F82" s="41">
        <f t="shared" si="31"/>
        <v>98000</v>
      </c>
      <c r="G82" s="41">
        <f t="shared" si="31"/>
        <v>98000</v>
      </c>
      <c r="H82" s="41">
        <f t="shared" si="31"/>
        <v>98000</v>
      </c>
      <c r="I82" s="41">
        <f t="shared" si="31"/>
        <v>98000</v>
      </c>
      <c r="J82" s="41">
        <f t="shared" si="31"/>
        <v>98000</v>
      </c>
      <c r="K82" s="41">
        <f t="shared" si="31"/>
        <v>98000</v>
      </c>
      <c r="L82" s="41">
        <f t="shared" si="31"/>
        <v>98000</v>
      </c>
      <c r="M82" s="41">
        <f t="shared" si="31"/>
        <v>98000</v>
      </c>
      <c r="N82" s="41">
        <f t="shared" si="31"/>
        <v>98000</v>
      </c>
      <c r="O82" s="41">
        <f t="shared" si="31"/>
        <v>98000</v>
      </c>
      <c r="P82" s="41">
        <f t="shared" si="31"/>
        <v>98000</v>
      </c>
      <c r="Q82" s="41">
        <f t="shared" si="31"/>
        <v>98000</v>
      </c>
      <c r="R82" s="41">
        <f t="shared" si="31"/>
        <v>98000</v>
      </c>
      <c r="S82" s="41">
        <f t="shared" si="31"/>
        <v>98000</v>
      </c>
      <c r="T82" s="41">
        <f t="shared" si="33"/>
        <v>98000</v>
      </c>
      <c r="U82" s="41">
        <f t="shared" si="33"/>
        <v>98000</v>
      </c>
      <c r="V82" s="41">
        <f t="shared" si="33"/>
        <v>98000</v>
      </c>
      <c r="W82" s="41">
        <f t="shared" si="33"/>
        <v>98000</v>
      </c>
      <c r="X82" s="41">
        <f t="shared" si="33"/>
        <v>98000</v>
      </c>
      <c r="Y82" s="41">
        <f t="shared" si="33"/>
        <v>98000</v>
      </c>
      <c r="Z82" s="41">
        <f t="shared" si="33"/>
        <v>98000</v>
      </c>
      <c r="AA82" s="45">
        <v>4</v>
      </c>
      <c r="AB82" s="30">
        <f t="shared" si="36"/>
        <v>9408000</v>
      </c>
      <c r="AC82" s="73"/>
      <c r="AF82" s="31"/>
    </row>
    <row r="83" spans="1:32" ht="13.95" customHeight="1" thickBot="1" x14ac:dyDescent="0.3">
      <c r="A83" s="76"/>
      <c r="B83" s="32" t="s">
        <v>21</v>
      </c>
      <c r="C83" s="41">
        <v>98000</v>
      </c>
      <c r="D83" s="41">
        <f t="shared" si="31"/>
        <v>98000</v>
      </c>
      <c r="E83" s="41">
        <f t="shared" si="31"/>
        <v>98000</v>
      </c>
      <c r="F83" s="41">
        <f t="shared" si="31"/>
        <v>98000</v>
      </c>
      <c r="G83" s="41">
        <f t="shared" si="31"/>
        <v>98000</v>
      </c>
      <c r="H83" s="41">
        <f t="shared" si="31"/>
        <v>98000</v>
      </c>
      <c r="I83" s="41">
        <f t="shared" si="31"/>
        <v>98000</v>
      </c>
      <c r="J83" s="41">
        <f t="shared" si="31"/>
        <v>98000</v>
      </c>
      <c r="K83" s="41">
        <f t="shared" si="31"/>
        <v>98000</v>
      </c>
      <c r="L83" s="41">
        <f t="shared" si="31"/>
        <v>98000</v>
      </c>
      <c r="M83" s="41">
        <f t="shared" si="31"/>
        <v>98000</v>
      </c>
      <c r="N83" s="41">
        <f t="shared" si="31"/>
        <v>98000</v>
      </c>
      <c r="O83" s="41">
        <f t="shared" si="31"/>
        <v>98000</v>
      </c>
      <c r="P83" s="41">
        <f t="shared" si="31"/>
        <v>98000</v>
      </c>
      <c r="Q83" s="41">
        <f t="shared" si="31"/>
        <v>98000</v>
      </c>
      <c r="R83" s="41">
        <f t="shared" si="31"/>
        <v>98000</v>
      </c>
      <c r="S83" s="41">
        <f t="shared" ref="D83:S98" si="39">+R83</f>
        <v>98000</v>
      </c>
      <c r="T83" s="41">
        <f t="shared" si="33"/>
        <v>98000</v>
      </c>
      <c r="U83" s="41">
        <f t="shared" si="33"/>
        <v>98000</v>
      </c>
      <c r="V83" s="41">
        <f t="shared" si="33"/>
        <v>98000</v>
      </c>
      <c r="W83" s="41">
        <f t="shared" si="33"/>
        <v>98000</v>
      </c>
      <c r="X83" s="41">
        <f t="shared" si="33"/>
        <v>98000</v>
      </c>
      <c r="Y83" s="41">
        <f t="shared" si="33"/>
        <v>98000</v>
      </c>
      <c r="Z83" s="41">
        <f t="shared" si="33"/>
        <v>98000</v>
      </c>
      <c r="AA83" s="45">
        <v>4</v>
      </c>
      <c r="AB83" s="30">
        <f t="shared" si="36"/>
        <v>9408000</v>
      </c>
      <c r="AC83" s="74"/>
      <c r="AF83" s="31"/>
    </row>
    <row r="84" spans="1:32" ht="14.4" customHeight="1" thickTop="1" thickBot="1" x14ac:dyDescent="0.3">
      <c r="A84" s="75">
        <v>49369</v>
      </c>
      <c r="B84" s="34" t="s">
        <v>19</v>
      </c>
      <c r="C84" s="41">
        <v>98000</v>
      </c>
      <c r="D84" s="41">
        <f t="shared" si="39"/>
        <v>98000</v>
      </c>
      <c r="E84" s="41">
        <f t="shared" si="39"/>
        <v>98000</v>
      </c>
      <c r="F84" s="41">
        <f t="shared" si="39"/>
        <v>98000</v>
      </c>
      <c r="G84" s="41">
        <f t="shared" si="39"/>
        <v>98000</v>
      </c>
      <c r="H84" s="41">
        <f t="shared" si="39"/>
        <v>98000</v>
      </c>
      <c r="I84" s="41">
        <f t="shared" si="39"/>
        <v>98000</v>
      </c>
      <c r="J84" s="41">
        <f t="shared" si="39"/>
        <v>98000</v>
      </c>
      <c r="K84" s="41">
        <f t="shared" si="39"/>
        <v>98000</v>
      </c>
      <c r="L84" s="41">
        <f t="shared" si="39"/>
        <v>98000</v>
      </c>
      <c r="M84" s="41">
        <f t="shared" si="39"/>
        <v>98000</v>
      </c>
      <c r="N84" s="41">
        <f t="shared" si="39"/>
        <v>98000</v>
      </c>
      <c r="O84" s="41">
        <f t="shared" si="39"/>
        <v>98000</v>
      </c>
      <c r="P84" s="41">
        <f t="shared" si="39"/>
        <v>98000</v>
      </c>
      <c r="Q84" s="41">
        <f t="shared" si="39"/>
        <v>98000</v>
      </c>
      <c r="R84" s="41">
        <f t="shared" si="39"/>
        <v>98000</v>
      </c>
      <c r="S84" s="41">
        <f t="shared" si="39"/>
        <v>98000</v>
      </c>
      <c r="T84" s="41">
        <f t="shared" si="33"/>
        <v>98000</v>
      </c>
      <c r="U84" s="41">
        <f t="shared" si="33"/>
        <v>98000</v>
      </c>
      <c r="V84" s="41">
        <f t="shared" si="33"/>
        <v>98000</v>
      </c>
      <c r="W84" s="41">
        <f t="shared" si="33"/>
        <v>98000</v>
      </c>
      <c r="X84" s="41">
        <f t="shared" si="33"/>
        <v>98000</v>
      </c>
      <c r="Y84" s="41">
        <f t="shared" si="33"/>
        <v>98000</v>
      </c>
      <c r="Z84" s="41">
        <f t="shared" si="33"/>
        <v>98000</v>
      </c>
      <c r="AA84" s="45">
        <v>19</v>
      </c>
      <c r="AB84" s="30">
        <f t="shared" si="36"/>
        <v>44688000</v>
      </c>
      <c r="AC84" s="72">
        <f t="shared" si="38"/>
        <v>72912000</v>
      </c>
      <c r="AF84" s="31"/>
    </row>
    <row r="85" spans="1:32" ht="13.95" customHeight="1" thickBot="1" x14ac:dyDescent="0.3">
      <c r="A85" s="76"/>
      <c r="B85" s="32" t="s">
        <v>20</v>
      </c>
      <c r="C85" s="41">
        <v>98000</v>
      </c>
      <c r="D85" s="41">
        <f t="shared" si="39"/>
        <v>98000</v>
      </c>
      <c r="E85" s="41">
        <f t="shared" si="39"/>
        <v>98000</v>
      </c>
      <c r="F85" s="41">
        <f t="shared" si="39"/>
        <v>98000</v>
      </c>
      <c r="G85" s="41">
        <f t="shared" si="39"/>
        <v>98000</v>
      </c>
      <c r="H85" s="41">
        <f t="shared" si="39"/>
        <v>98000</v>
      </c>
      <c r="I85" s="41">
        <f t="shared" si="39"/>
        <v>98000</v>
      </c>
      <c r="J85" s="41">
        <f t="shared" si="39"/>
        <v>98000</v>
      </c>
      <c r="K85" s="41">
        <f t="shared" si="39"/>
        <v>98000</v>
      </c>
      <c r="L85" s="41">
        <f t="shared" si="39"/>
        <v>98000</v>
      </c>
      <c r="M85" s="41">
        <f t="shared" si="39"/>
        <v>98000</v>
      </c>
      <c r="N85" s="41">
        <f t="shared" si="39"/>
        <v>98000</v>
      </c>
      <c r="O85" s="41">
        <f t="shared" si="39"/>
        <v>98000</v>
      </c>
      <c r="P85" s="41">
        <f t="shared" si="39"/>
        <v>98000</v>
      </c>
      <c r="Q85" s="41">
        <f t="shared" si="39"/>
        <v>98000</v>
      </c>
      <c r="R85" s="41">
        <f t="shared" si="39"/>
        <v>98000</v>
      </c>
      <c r="S85" s="41">
        <f t="shared" si="39"/>
        <v>98000</v>
      </c>
      <c r="T85" s="41">
        <f t="shared" si="33"/>
        <v>98000</v>
      </c>
      <c r="U85" s="41">
        <f t="shared" si="33"/>
        <v>98000</v>
      </c>
      <c r="V85" s="41">
        <f t="shared" si="33"/>
        <v>98000</v>
      </c>
      <c r="W85" s="41">
        <f t="shared" si="33"/>
        <v>98000</v>
      </c>
      <c r="X85" s="41">
        <f t="shared" si="33"/>
        <v>98000</v>
      </c>
      <c r="Y85" s="41">
        <f t="shared" si="33"/>
        <v>98000</v>
      </c>
      <c r="Z85" s="41">
        <f t="shared" si="33"/>
        <v>98000</v>
      </c>
      <c r="AA85" s="45">
        <v>5</v>
      </c>
      <c r="AB85" s="30">
        <f t="shared" si="36"/>
        <v>11760000</v>
      </c>
      <c r="AC85" s="73"/>
      <c r="AF85" s="31"/>
    </row>
    <row r="86" spans="1:32" ht="13.95" customHeight="1" thickBot="1" x14ac:dyDescent="0.3">
      <c r="A86" s="76"/>
      <c r="B86" s="32" t="s">
        <v>21</v>
      </c>
      <c r="C86" s="41">
        <v>98000</v>
      </c>
      <c r="D86" s="41">
        <f t="shared" si="39"/>
        <v>98000</v>
      </c>
      <c r="E86" s="41">
        <f t="shared" si="39"/>
        <v>98000</v>
      </c>
      <c r="F86" s="41">
        <f t="shared" si="39"/>
        <v>98000</v>
      </c>
      <c r="G86" s="41">
        <f t="shared" si="39"/>
        <v>98000</v>
      </c>
      <c r="H86" s="41">
        <f t="shared" si="39"/>
        <v>98000</v>
      </c>
      <c r="I86" s="41">
        <f t="shared" si="39"/>
        <v>98000</v>
      </c>
      <c r="J86" s="41">
        <f t="shared" si="39"/>
        <v>98000</v>
      </c>
      <c r="K86" s="41">
        <f t="shared" si="39"/>
        <v>98000</v>
      </c>
      <c r="L86" s="41">
        <f t="shared" si="39"/>
        <v>98000</v>
      </c>
      <c r="M86" s="41">
        <f t="shared" si="39"/>
        <v>98000</v>
      </c>
      <c r="N86" s="41">
        <f t="shared" si="39"/>
        <v>98000</v>
      </c>
      <c r="O86" s="41">
        <f t="shared" si="39"/>
        <v>98000</v>
      </c>
      <c r="P86" s="41">
        <f t="shared" si="39"/>
        <v>98000</v>
      </c>
      <c r="Q86" s="41">
        <f t="shared" si="39"/>
        <v>98000</v>
      </c>
      <c r="R86" s="41">
        <f t="shared" si="39"/>
        <v>98000</v>
      </c>
      <c r="S86" s="41">
        <f t="shared" si="39"/>
        <v>98000</v>
      </c>
      <c r="T86" s="41">
        <f t="shared" ref="T86:Z101" si="40">+S86</f>
        <v>98000</v>
      </c>
      <c r="U86" s="41">
        <f t="shared" si="40"/>
        <v>98000</v>
      </c>
      <c r="V86" s="41">
        <f t="shared" si="40"/>
        <v>98000</v>
      </c>
      <c r="W86" s="41">
        <f t="shared" si="40"/>
        <v>98000</v>
      </c>
      <c r="X86" s="41">
        <f t="shared" si="40"/>
        <v>98000</v>
      </c>
      <c r="Y86" s="41">
        <f t="shared" si="40"/>
        <v>98000</v>
      </c>
      <c r="Z86" s="41">
        <f t="shared" si="40"/>
        <v>98000</v>
      </c>
      <c r="AA86" s="45">
        <v>7</v>
      </c>
      <c r="AB86" s="30">
        <f t="shared" si="36"/>
        <v>16464000</v>
      </c>
      <c r="AC86" s="74"/>
      <c r="AF86" s="31"/>
    </row>
    <row r="87" spans="1:32" ht="14.4" customHeight="1" thickTop="1" thickBot="1" x14ac:dyDescent="0.3">
      <c r="A87" s="75">
        <v>49400</v>
      </c>
      <c r="B87" s="35" t="s">
        <v>19</v>
      </c>
      <c r="C87" s="41">
        <v>98000</v>
      </c>
      <c r="D87" s="41">
        <f t="shared" si="39"/>
        <v>98000</v>
      </c>
      <c r="E87" s="41">
        <f t="shared" si="39"/>
        <v>98000</v>
      </c>
      <c r="F87" s="41">
        <f t="shared" si="39"/>
        <v>98000</v>
      </c>
      <c r="G87" s="41">
        <f t="shared" si="39"/>
        <v>98000</v>
      </c>
      <c r="H87" s="41">
        <f t="shared" si="39"/>
        <v>98000</v>
      </c>
      <c r="I87" s="41">
        <f t="shared" si="39"/>
        <v>98000</v>
      </c>
      <c r="J87" s="41">
        <f t="shared" si="39"/>
        <v>98000</v>
      </c>
      <c r="K87" s="41">
        <f t="shared" si="39"/>
        <v>98000</v>
      </c>
      <c r="L87" s="41">
        <f t="shared" si="39"/>
        <v>98000</v>
      </c>
      <c r="M87" s="41">
        <f t="shared" si="39"/>
        <v>98000</v>
      </c>
      <c r="N87" s="41">
        <f t="shared" si="39"/>
        <v>98000</v>
      </c>
      <c r="O87" s="41">
        <f t="shared" si="39"/>
        <v>98000</v>
      </c>
      <c r="P87" s="41">
        <f t="shared" si="39"/>
        <v>98000</v>
      </c>
      <c r="Q87" s="41">
        <f t="shared" si="39"/>
        <v>98000</v>
      </c>
      <c r="R87" s="41">
        <f t="shared" si="39"/>
        <v>98000</v>
      </c>
      <c r="S87" s="41">
        <f t="shared" si="39"/>
        <v>98000</v>
      </c>
      <c r="T87" s="41">
        <f t="shared" si="40"/>
        <v>98000</v>
      </c>
      <c r="U87" s="41">
        <f t="shared" si="40"/>
        <v>98000</v>
      </c>
      <c r="V87" s="41">
        <f t="shared" si="40"/>
        <v>98000</v>
      </c>
      <c r="W87" s="41">
        <f t="shared" si="40"/>
        <v>98000</v>
      </c>
      <c r="X87" s="41">
        <f t="shared" si="40"/>
        <v>98000</v>
      </c>
      <c r="Y87" s="41">
        <f t="shared" si="40"/>
        <v>98000</v>
      </c>
      <c r="Z87" s="41">
        <f t="shared" si="40"/>
        <v>98000</v>
      </c>
      <c r="AA87" s="45">
        <v>21</v>
      </c>
      <c r="AB87" s="30">
        <f t="shared" si="36"/>
        <v>49392000</v>
      </c>
      <c r="AC87" s="72">
        <f t="shared" si="38"/>
        <v>70560000</v>
      </c>
      <c r="AF87" s="31"/>
    </row>
    <row r="88" spans="1:32" ht="13.95" customHeight="1" thickBot="1" x14ac:dyDescent="0.3">
      <c r="A88" s="76"/>
      <c r="B88" s="32" t="s">
        <v>20</v>
      </c>
      <c r="C88" s="41">
        <v>98000</v>
      </c>
      <c r="D88" s="41">
        <f t="shared" si="39"/>
        <v>98000</v>
      </c>
      <c r="E88" s="41">
        <f t="shared" si="39"/>
        <v>98000</v>
      </c>
      <c r="F88" s="41">
        <f t="shared" si="39"/>
        <v>98000</v>
      </c>
      <c r="G88" s="41">
        <f t="shared" si="39"/>
        <v>98000</v>
      </c>
      <c r="H88" s="41">
        <f t="shared" si="39"/>
        <v>98000</v>
      </c>
      <c r="I88" s="41">
        <f t="shared" si="39"/>
        <v>98000</v>
      </c>
      <c r="J88" s="41">
        <f t="shared" si="39"/>
        <v>98000</v>
      </c>
      <c r="K88" s="41">
        <f t="shared" si="39"/>
        <v>98000</v>
      </c>
      <c r="L88" s="41">
        <f t="shared" si="39"/>
        <v>98000</v>
      </c>
      <c r="M88" s="41">
        <f t="shared" si="39"/>
        <v>98000</v>
      </c>
      <c r="N88" s="41">
        <f t="shared" si="39"/>
        <v>98000</v>
      </c>
      <c r="O88" s="41">
        <f t="shared" si="39"/>
        <v>98000</v>
      </c>
      <c r="P88" s="41">
        <f t="shared" si="39"/>
        <v>98000</v>
      </c>
      <c r="Q88" s="41">
        <f t="shared" si="39"/>
        <v>98000</v>
      </c>
      <c r="R88" s="41">
        <f t="shared" si="39"/>
        <v>98000</v>
      </c>
      <c r="S88" s="41">
        <f t="shared" si="39"/>
        <v>98000</v>
      </c>
      <c r="T88" s="41">
        <f t="shared" si="40"/>
        <v>98000</v>
      </c>
      <c r="U88" s="41">
        <f t="shared" si="40"/>
        <v>98000</v>
      </c>
      <c r="V88" s="41">
        <f t="shared" si="40"/>
        <v>98000</v>
      </c>
      <c r="W88" s="41">
        <f t="shared" si="40"/>
        <v>98000</v>
      </c>
      <c r="X88" s="41">
        <f t="shared" si="40"/>
        <v>98000</v>
      </c>
      <c r="Y88" s="41">
        <f t="shared" si="40"/>
        <v>98000</v>
      </c>
      <c r="Z88" s="41">
        <f t="shared" si="40"/>
        <v>98000</v>
      </c>
      <c r="AA88" s="45">
        <v>4</v>
      </c>
      <c r="AB88" s="30">
        <f t="shared" si="36"/>
        <v>9408000</v>
      </c>
      <c r="AC88" s="73"/>
      <c r="AF88" s="31"/>
    </row>
    <row r="89" spans="1:32" ht="13.95" customHeight="1" thickBot="1" x14ac:dyDescent="0.3">
      <c r="A89" s="76"/>
      <c r="B89" s="32" t="s">
        <v>21</v>
      </c>
      <c r="C89" s="41">
        <v>98000</v>
      </c>
      <c r="D89" s="41">
        <f t="shared" si="39"/>
        <v>98000</v>
      </c>
      <c r="E89" s="41">
        <f t="shared" si="39"/>
        <v>98000</v>
      </c>
      <c r="F89" s="41">
        <f t="shared" si="39"/>
        <v>98000</v>
      </c>
      <c r="G89" s="41">
        <f t="shared" si="39"/>
        <v>98000</v>
      </c>
      <c r="H89" s="41">
        <f t="shared" si="39"/>
        <v>98000</v>
      </c>
      <c r="I89" s="41">
        <f t="shared" si="39"/>
        <v>98000</v>
      </c>
      <c r="J89" s="41">
        <f t="shared" si="39"/>
        <v>98000</v>
      </c>
      <c r="K89" s="41">
        <f t="shared" si="39"/>
        <v>98000</v>
      </c>
      <c r="L89" s="41">
        <f t="shared" si="39"/>
        <v>98000</v>
      </c>
      <c r="M89" s="41">
        <f t="shared" si="39"/>
        <v>98000</v>
      </c>
      <c r="N89" s="41">
        <f t="shared" si="39"/>
        <v>98000</v>
      </c>
      <c r="O89" s="41">
        <f t="shared" si="39"/>
        <v>98000</v>
      </c>
      <c r="P89" s="41">
        <f t="shared" si="39"/>
        <v>98000</v>
      </c>
      <c r="Q89" s="41">
        <f t="shared" si="39"/>
        <v>98000</v>
      </c>
      <c r="R89" s="41">
        <f t="shared" si="39"/>
        <v>98000</v>
      </c>
      <c r="S89" s="41">
        <f t="shared" si="39"/>
        <v>98000</v>
      </c>
      <c r="T89" s="41">
        <f t="shared" si="40"/>
        <v>98000</v>
      </c>
      <c r="U89" s="41">
        <f t="shared" si="40"/>
        <v>98000</v>
      </c>
      <c r="V89" s="41">
        <f t="shared" si="40"/>
        <v>98000</v>
      </c>
      <c r="W89" s="41">
        <f t="shared" si="40"/>
        <v>98000</v>
      </c>
      <c r="X89" s="41">
        <f t="shared" si="40"/>
        <v>98000</v>
      </c>
      <c r="Y89" s="41">
        <f t="shared" si="40"/>
        <v>98000</v>
      </c>
      <c r="Z89" s="41">
        <f t="shared" si="40"/>
        <v>98000</v>
      </c>
      <c r="AA89" s="45">
        <v>5</v>
      </c>
      <c r="AB89" s="30">
        <f t="shared" si="36"/>
        <v>11760000</v>
      </c>
      <c r="AC89" s="74"/>
      <c r="AF89" s="31"/>
    </row>
    <row r="90" spans="1:32" ht="14.4" customHeight="1" thickTop="1" thickBot="1" x14ac:dyDescent="0.3">
      <c r="A90" s="75">
        <v>49430</v>
      </c>
      <c r="B90" s="34" t="s">
        <v>19</v>
      </c>
      <c r="C90" s="41">
        <v>98000</v>
      </c>
      <c r="D90" s="41">
        <f t="shared" si="39"/>
        <v>98000</v>
      </c>
      <c r="E90" s="41">
        <f t="shared" si="39"/>
        <v>98000</v>
      </c>
      <c r="F90" s="41">
        <f t="shared" si="39"/>
        <v>98000</v>
      </c>
      <c r="G90" s="41">
        <f t="shared" si="39"/>
        <v>98000</v>
      </c>
      <c r="H90" s="41">
        <f t="shared" si="39"/>
        <v>98000</v>
      </c>
      <c r="I90" s="41">
        <f t="shared" si="39"/>
        <v>98000</v>
      </c>
      <c r="J90" s="41">
        <f t="shared" si="39"/>
        <v>98000</v>
      </c>
      <c r="K90" s="41">
        <f t="shared" si="39"/>
        <v>98000</v>
      </c>
      <c r="L90" s="41">
        <f t="shared" si="39"/>
        <v>98000</v>
      </c>
      <c r="M90" s="41">
        <f t="shared" si="39"/>
        <v>98000</v>
      </c>
      <c r="N90" s="41">
        <f t="shared" si="39"/>
        <v>98000</v>
      </c>
      <c r="O90" s="41">
        <f t="shared" si="39"/>
        <v>98000</v>
      </c>
      <c r="P90" s="41">
        <f t="shared" si="39"/>
        <v>98000</v>
      </c>
      <c r="Q90" s="41">
        <f t="shared" si="39"/>
        <v>98000</v>
      </c>
      <c r="R90" s="41">
        <f t="shared" si="39"/>
        <v>98000</v>
      </c>
      <c r="S90" s="41">
        <f t="shared" si="39"/>
        <v>98000</v>
      </c>
      <c r="T90" s="41">
        <f t="shared" si="40"/>
        <v>98000</v>
      </c>
      <c r="U90" s="41">
        <f t="shared" si="40"/>
        <v>98000</v>
      </c>
      <c r="V90" s="41">
        <f t="shared" si="40"/>
        <v>98000</v>
      </c>
      <c r="W90" s="41">
        <f t="shared" si="40"/>
        <v>98000</v>
      </c>
      <c r="X90" s="41">
        <f t="shared" si="40"/>
        <v>98000</v>
      </c>
      <c r="Y90" s="41">
        <f t="shared" si="40"/>
        <v>98000</v>
      </c>
      <c r="Z90" s="41">
        <f t="shared" si="40"/>
        <v>98000</v>
      </c>
      <c r="AA90" s="45">
        <v>20</v>
      </c>
      <c r="AB90" s="30">
        <f t="shared" si="36"/>
        <v>47040000</v>
      </c>
      <c r="AC90" s="72">
        <f t="shared" si="38"/>
        <v>72912000</v>
      </c>
      <c r="AF90" s="31"/>
    </row>
    <row r="91" spans="1:32" ht="13.95" customHeight="1" thickBot="1" x14ac:dyDescent="0.3">
      <c r="A91" s="76"/>
      <c r="B91" s="32" t="s">
        <v>20</v>
      </c>
      <c r="C91" s="41">
        <v>98000</v>
      </c>
      <c r="D91" s="41">
        <f t="shared" si="39"/>
        <v>98000</v>
      </c>
      <c r="E91" s="41">
        <f t="shared" si="39"/>
        <v>98000</v>
      </c>
      <c r="F91" s="41">
        <f t="shared" si="39"/>
        <v>98000</v>
      </c>
      <c r="G91" s="41">
        <f t="shared" si="39"/>
        <v>98000</v>
      </c>
      <c r="H91" s="41">
        <f t="shared" si="39"/>
        <v>98000</v>
      </c>
      <c r="I91" s="41">
        <f t="shared" si="39"/>
        <v>98000</v>
      </c>
      <c r="J91" s="41">
        <f t="shared" si="39"/>
        <v>98000</v>
      </c>
      <c r="K91" s="41">
        <f t="shared" si="39"/>
        <v>98000</v>
      </c>
      <c r="L91" s="41">
        <f t="shared" si="39"/>
        <v>98000</v>
      </c>
      <c r="M91" s="41">
        <f t="shared" si="39"/>
        <v>98000</v>
      </c>
      <c r="N91" s="41">
        <f t="shared" si="39"/>
        <v>98000</v>
      </c>
      <c r="O91" s="41">
        <f t="shared" si="39"/>
        <v>98000</v>
      </c>
      <c r="P91" s="41">
        <f t="shared" si="39"/>
        <v>98000</v>
      </c>
      <c r="Q91" s="41">
        <f t="shared" si="39"/>
        <v>98000</v>
      </c>
      <c r="R91" s="41">
        <f t="shared" si="39"/>
        <v>98000</v>
      </c>
      <c r="S91" s="41">
        <f t="shared" si="39"/>
        <v>98000</v>
      </c>
      <c r="T91" s="41">
        <f t="shared" si="40"/>
        <v>98000</v>
      </c>
      <c r="U91" s="41">
        <f t="shared" si="40"/>
        <v>98000</v>
      </c>
      <c r="V91" s="41">
        <f t="shared" si="40"/>
        <v>98000</v>
      </c>
      <c r="W91" s="41">
        <f t="shared" si="40"/>
        <v>98000</v>
      </c>
      <c r="X91" s="41">
        <f t="shared" si="40"/>
        <v>98000</v>
      </c>
      <c r="Y91" s="41">
        <f t="shared" si="40"/>
        <v>98000</v>
      </c>
      <c r="Z91" s="41">
        <f t="shared" si="40"/>
        <v>98000</v>
      </c>
      <c r="AA91" s="45">
        <v>4</v>
      </c>
      <c r="AB91" s="30">
        <f t="shared" si="36"/>
        <v>9408000</v>
      </c>
      <c r="AC91" s="73"/>
      <c r="AF91" s="31"/>
    </row>
    <row r="92" spans="1:32" ht="13.95" customHeight="1" thickBot="1" x14ac:dyDescent="0.3">
      <c r="A92" s="76"/>
      <c r="B92" s="32" t="s">
        <v>21</v>
      </c>
      <c r="C92" s="41">
        <v>98000</v>
      </c>
      <c r="D92" s="41">
        <f t="shared" si="39"/>
        <v>98000</v>
      </c>
      <c r="E92" s="41">
        <f t="shared" si="39"/>
        <v>98000</v>
      </c>
      <c r="F92" s="41">
        <f t="shared" si="39"/>
        <v>98000</v>
      </c>
      <c r="G92" s="41">
        <f t="shared" si="39"/>
        <v>98000</v>
      </c>
      <c r="H92" s="41">
        <f t="shared" si="39"/>
        <v>98000</v>
      </c>
      <c r="I92" s="41">
        <f t="shared" si="39"/>
        <v>98000</v>
      </c>
      <c r="J92" s="41">
        <f t="shared" si="39"/>
        <v>98000</v>
      </c>
      <c r="K92" s="41">
        <f t="shared" si="39"/>
        <v>98000</v>
      </c>
      <c r="L92" s="41">
        <f t="shared" si="39"/>
        <v>98000</v>
      </c>
      <c r="M92" s="41">
        <f t="shared" si="39"/>
        <v>98000</v>
      </c>
      <c r="N92" s="41">
        <f t="shared" si="39"/>
        <v>98000</v>
      </c>
      <c r="O92" s="41">
        <f t="shared" si="39"/>
        <v>98000</v>
      </c>
      <c r="P92" s="41">
        <f t="shared" si="39"/>
        <v>98000</v>
      </c>
      <c r="Q92" s="41">
        <f t="shared" si="39"/>
        <v>98000</v>
      </c>
      <c r="R92" s="41">
        <f t="shared" si="39"/>
        <v>98000</v>
      </c>
      <c r="S92" s="41">
        <f t="shared" si="39"/>
        <v>98000</v>
      </c>
      <c r="T92" s="41">
        <f t="shared" si="40"/>
        <v>98000</v>
      </c>
      <c r="U92" s="41">
        <f t="shared" si="40"/>
        <v>98000</v>
      </c>
      <c r="V92" s="41">
        <f t="shared" si="40"/>
        <v>98000</v>
      </c>
      <c r="W92" s="41">
        <f t="shared" si="40"/>
        <v>98000</v>
      </c>
      <c r="X92" s="41">
        <f t="shared" si="40"/>
        <v>98000</v>
      </c>
      <c r="Y92" s="41">
        <f t="shared" si="40"/>
        <v>98000</v>
      </c>
      <c r="Z92" s="41">
        <f t="shared" si="40"/>
        <v>98000</v>
      </c>
      <c r="AA92" s="45">
        <v>7</v>
      </c>
      <c r="AB92" s="30">
        <f t="shared" si="36"/>
        <v>16464000</v>
      </c>
      <c r="AC92" s="74"/>
      <c r="AF92" s="31"/>
    </row>
    <row r="93" spans="1:32" ht="14.4" customHeight="1" thickTop="1" thickBot="1" x14ac:dyDescent="0.3">
      <c r="A93" s="75">
        <v>49461</v>
      </c>
      <c r="B93" s="35" t="s">
        <v>19</v>
      </c>
      <c r="C93" s="41">
        <v>98000</v>
      </c>
      <c r="D93" s="41">
        <f t="shared" si="39"/>
        <v>98000</v>
      </c>
      <c r="E93" s="41">
        <f t="shared" si="39"/>
        <v>98000</v>
      </c>
      <c r="F93" s="41">
        <f t="shared" si="39"/>
        <v>98000</v>
      </c>
      <c r="G93" s="41">
        <f t="shared" si="39"/>
        <v>98000</v>
      </c>
      <c r="H93" s="41">
        <f t="shared" si="39"/>
        <v>98000</v>
      </c>
      <c r="I93" s="41">
        <f t="shared" si="39"/>
        <v>98000</v>
      </c>
      <c r="J93" s="41">
        <f t="shared" si="39"/>
        <v>98000</v>
      </c>
      <c r="K93" s="41">
        <f t="shared" si="39"/>
        <v>98000</v>
      </c>
      <c r="L93" s="41">
        <f t="shared" si="39"/>
        <v>98000</v>
      </c>
      <c r="M93" s="41">
        <f t="shared" si="39"/>
        <v>98000</v>
      </c>
      <c r="N93" s="41">
        <f t="shared" si="39"/>
        <v>98000</v>
      </c>
      <c r="O93" s="41">
        <f t="shared" si="39"/>
        <v>98000</v>
      </c>
      <c r="P93" s="41">
        <f t="shared" si="39"/>
        <v>98000</v>
      </c>
      <c r="Q93" s="41">
        <f t="shared" si="39"/>
        <v>98000</v>
      </c>
      <c r="R93" s="41">
        <f t="shared" si="39"/>
        <v>98000</v>
      </c>
      <c r="S93" s="41">
        <f t="shared" si="39"/>
        <v>98000</v>
      </c>
      <c r="T93" s="41">
        <f t="shared" si="40"/>
        <v>98000</v>
      </c>
      <c r="U93" s="41">
        <f t="shared" si="40"/>
        <v>98000</v>
      </c>
      <c r="V93" s="41">
        <f t="shared" si="40"/>
        <v>98000</v>
      </c>
      <c r="W93" s="41">
        <f t="shared" si="40"/>
        <v>98000</v>
      </c>
      <c r="X93" s="41">
        <f t="shared" si="40"/>
        <v>98000</v>
      </c>
      <c r="Y93" s="41">
        <f t="shared" si="40"/>
        <v>98000</v>
      </c>
      <c r="Z93" s="41">
        <f t="shared" si="40"/>
        <v>98000</v>
      </c>
      <c r="AA93" s="45">
        <v>20</v>
      </c>
      <c r="AB93" s="30">
        <f t="shared" si="36"/>
        <v>47040000</v>
      </c>
      <c r="AC93" s="72">
        <f t="shared" si="38"/>
        <v>70560000</v>
      </c>
      <c r="AF93" s="31"/>
    </row>
    <row r="94" spans="1:32" ht="13.95" customHeight="1" thickBot="1" x14ac:dyDescent="0.3">
      <c r="A94" s="76"/>
      <c r="B94" s="32" t="s">
        <v>20</v>
      </c>
      <c r="C94" s="41">
        <v>98000</v>
      </c>
      <c r="D94" s="41">
        <f t="shared" si="39"/>
        <v>98000</v>
      </c>
      <c r="E94" s="41">
        <f t="shared" si="39"/>
        <v>98000</v>
      </c>
      <c r="F94" s="41">
        <f t="shared" si="39"/>
        <v>98000</v>
      </c>
      <c r="G94" s="41">
        <f t="shared" si="39"/>
        <v>98000</v>
      </c>
      <c r="H94" s="41">
        <f t="shared" si="39"/>
        <v>98000</v>
      </c>
      <c r="I94" s="41">
        <f t="shared" si="39"/>
        <v>98000</v>
      </c>
      <c r="J94" s="41">
        <f t="shared" si="39"/>
        <v>98000</v>
      </c>
      <c r="K94" s="41">
        <f t="shared" si="39"/>
        <v>98000</v>
      </c>
      <c r="L94" s="41">
        <f t="shared" si="39"/>
        <v>98000</v>
      </c>
      <c r="M94" s="41">
        <f t="shared" si="39"/>
        <v>98000</v>
      </c>
      <c r="N94" s="41">
        <f t="shared" si="39"/>
        <v>98000</v>
      </c>
      <c r="O94" s="41">
        <f t="shared" si="39"/>
        <v>98000</v>
      </c>
      <c r="P94" s="41">
        <f t="shared" si="39"/>
        <v>98000</v>
      </c>
      <c r="Q94" s="41">
        <f t="shared" si="39"/>
        <v>98000</v>
      </c>
      <c r="R94" s="41">
        <f t="shared" si="39"/>
        <v>98000</v>
      </c>
      <c r="S94" s="41">
        <f t="shared" si="39"/>
        <v>98000</v>
      </c>
      <c r="T94" s="41">
        <f t="shared" si="40"/>
        <v>98000</v>
      </c>
      <c r="U94" s="41">
        <f t="shared" si="40"/>
        <v>98000</v>
      </c>
      <c r="V94" s="41">
        <f t="shared" si="40"/>
        <v>98000</v>
      </c>
      <c r="W94" s="41">
        <f t="shared" si="40"/>
        <v>98000</v>
      </c>
      <c r="X94" s="41">
        <f t="shared" si="40"/>
        <v>98000</v>
      </c>
      <c r="Y94" s="41">
        <f t="shared" si="40"/>
        <v>98000</v>
      </c>
      <c r="Z94" s="41">
        <f t="shared" si="40"/>
        <v>98000</v>
      </c>
      <c r="AA94" s="45">
        <v>5</v>
      </c>
      <c r="AB94" s="30">
        <f t="shared" si="36"/>
        <v>11760000</v>
      </c>
      <c r="AC94" s="73"/>
      <c r="AF94" s="31"/>
    </row>
    <row r="95" spans="1:32" ht="13.95" customHeight="1" thickBot="1" x14ac:dyDescent="0.3">
      <c r="A95" s="76"/>
      <c r="B95" s="32" t="s">
        <v>21</v>
      </c>
      <c r="C95" s="41">
        <v>98000</v>
      </c>
      <c r="D95" s="41">
        <f t="shared" si="39"/>
        <v>98000</v>
      </c>
      <c r="E95" s="41">
        <f t="shared" si="39"/>
        <v>98000</v>
      </c>
      <c r="F95" s="41">
        <f t="shared" si="39"/>
        <v>98000</v>
      </c>
      <c r="G95" s="41">
        <f t="shared" si="39"/>
        <v>98000</v>
      </c>
      <c r="H95" s="41">
        <f t="shared" si="39"/>
        <v>98000</v>
      </c>
      <c r="I95" s="41">
        <f t="shared" si="39"/>
        <v>98000</v>
      </c>
      <c r="J95" s="41">
        <f t="shared" si="39"/>
        <v>98000</v>
      </c>
      <c r="K95" s="41">
        <f t="shared" si="39"/>
        <v>98000</v>
      </c>
      <c r="L95" s="41">
        <f t="shared" si="39"/>
        <v>98000</v>
      </c>
      <c r="M95" s="41">
        <f t="shared" si="39"/>
        <v>98000</v>
      </c>
      <c r="N95" s="41">
        <f t="shared" si="39"/>
        <v>98000</v>
      </c>
      <c r="O95" s="41">
        <f t="shared" si="39"/>
        <v>98000</v>
      </c>
      <c r="P95" s="41">
        <f t="shared" si="39"/>
        <v>98000</v>
      </c>
      <c r="Q95" s="41">
        <f t="shared" si="39"/>
        <v>98000</v>
      </c>
      <c r="R95" s="41">
        <f t="shared" si="39"/>
        <v>98000</v>
      </c>
      <c r="S95" s="41">
        <f t="shared" si="39"/>
        <v>98000</v>
      </c>
      <c r="T95" s="41">
        <f t="shared" si="40"/>
        <v>98000</v>
      </c>
      <c r="U95" s="41">
        <f t="shared" si="40"/>
        <v>98000</v>
      </c>
      <c r="V95" s="41">
        <f t="shared" si="40"/>
        <v>98000</v>
      </c>
      <c r="W95" s="41">
        <f t="shared" si="40"/>
        <v>98000</v>
      </c>
      <c r="X95" s="41">
        <f t="shared" si="40"/>
        <v>98000</v>
      </c>
      <c r="Y95" s="41">
        <f t="shared" si="40"/>
        <v>98000</v>
      </c>
      <c r="Z95" s="41">
        <f t="shared" si="40"/>
        <v>98000</v>
      </c>
      <c r="AA95" s="45">
        <v>5</v>
      </c>
      <c r="AB95" s="30">
        <f t="shared" si="36"/>
        <v>11760000</v>
      </c>
      <c r="AC95" s="74"/>
      <c r="AF95" s="31"/>
    </row>
    <row r="96" spans="1:32" ht="14.4" customHeight="1" thickTop="1" thickBot="1" x14ac:dyDescent="0.3">
      <c r="A96" s="75">
        <v>49491</v>
      </c>
      <c r="B96" s="34" t="s">
        <v>19</v>
      </c>
      <c r="C96" s="41">
        <v>98000</v>
      </c>
      <c r="D96" s="41">
        <f t="shared" si="39"/>
        <v>98000</v>
      </c>
      <c r="E96" s="41">
        <f t="shared" si="39"/>
        <v>98000</v>
      </c>
      <c r="F96" s="41">
        <f t="shared" si="39"/>
        <v>98000</v>
      </c>
      <c r="G96" s="41">
        <f t="shared" si="39"/>
        <v>98000</v>
      </c>
      <c r="H96" s="41">
        <f t="shared" si="39"/>
        <v>98000</v>
      </c>
      <c r="I96" s="41">
        <f t="shared" si="39"/>
        <v>98000</v>
      </c>
      <c r="J96" s="41">
        <f t="shared" si="39"/>
        <v>98000</v>
      </c>
      <c r="K96" s="41">
        <f t="shared" si="39"/>
        <v>98000</v>
      </c>
      <c r="L96" s="41">
        <f t="shared" si="39"/>
        <v>98000</v>
      </c>
      <c r="M96" s="41">
        <f t="shared" si="39"/>
        <v>98000</v>
      </c>
      <c r="N96" s="41">
        <f t="shared" si="39"/>
        <v>98000</v>
      </c>
      <c r="O96" s="41">
        <f t="shared" si="39"/>
        <v>98000</v>
      </c>
      <c r="P96" s="41">
        <f t="shared" si="39"/>
        <v>98000</v>
      </c>
      <c r="Q96" s="41">
        <f t="shared" si="39"/>
        <v>98000</v>
      </c>
      <c r="R96" s="41">
        <f t="shared" si="39"/>
        <v>98000</v>
      </c>
      <c r="S96" s="41">
        <f t="shared" si="39"/>
        <v>98000</v>
      </c>
      <c r="T96" s="41">
        <f t="shared" si="40"/>
        <v>98000</v>
      </c>
      <c r="U96" s="41">
        <f t="shared" si="40"/>
        <v>98000</v>
      </c>
      <c r="V96" s="41">
        <f t="shared" si="40"/>
        <v>98000</v>
      </c>
      <c r="W96" s="41">
        <f t="shared" si="40"/>
        <v>98000</v>
      </c>
      <c r="X96" s="41">
        <f t="shared" si="40"/>
        <v>98000</v>
      </c>
      <c r="Y96" s="41">
        <f t="shared" si="40"/>
        <v>98000</v>
      </c>
      <c r="Z96" s="41">
        <f t="shared" si="40"/>
        <v>98000</v>
      </c>
      <c r="AA96" s="45">
        <v>20</v>
      </c>
      <c r="AB96" s="30">
        <f t="shared" si="36"/>
        <v>47040000</v>
      </c>
      <c r="AC96" s="72">
        <f t="shared" si="38"/>
        <v>72912000</v>
      </c>
      <c r="AF96" s="31"/>
    </row>
    <row r="97" spans="1:32" ht="13.95" customHeight="1" thickBot="1" x14ac:dyDescent="0.3">
      <c r="A97" s="76"/>
      <c r="B97" s="32" t="s">
        <v>20</v>
      </c>
      <c r="C97" s="41">
        <v>98000</v>
      </c>
      <c r="D97" s="41">
        <f t="shared" si="39"/>
        <v>98000</v>
      </c>
      <c r="E97" s="41">
        <f t="shared" si="39"/>
        <v>98000</v>
      </c>
      <c r="F97" s="41">
        <f t="shared" si="39"/>
        <v>98000</v>
      </c>
      <c r="G97" s="41">
        <f t="shared" si="39"/>
        <v>98000</v>
      </c>
      <c r="H97" s="41">
        <f t="shared" si="39"/>
        <v>98000</v>
      </c>
      <c r="I97" s="41">
        <f t="shared" si="39"/>
        <v>98000</v>
      </c>
      <c r="J97" s="41">
        <f t="shared" si="39"/>
        <v>98000</v>
      </c>
      <c r="K97" s="41">
        <f t="shared" si="39"/>
        <v>98000</v>
      </c>
      <c r="L97" s="41">
        <f t="shared" si="39"/>
        <v>98000</v>
      </c>
      <c r="M97" s="41">
        <f t="shared" si="39"/>
        <v>98000</v>
      </c>
      <c r="N97" s="41">
        <f t="shared" si="39"/>
        <v>98000</v>
      </c>
      <c r="O97" s="41">
        <f t="shared" si="39"/>
        <v>98000</v>
      </c>
      <c r="P97" s="41">
        <f t="shared" si="39"/>
        <v>98000</v>
      </c>
      <c r="Q97" s="41">
        <f t="shared" si="39"/>
        <v>98000</v>
      </c>
      <c r="R97" s="41">
        <f t="shared" si="39"/>
        <v>98000</v>
      </c>
      <c r="S97" s="41">
        <f t="shared" si="39"/>
        <v>98000</v>
      </c>
      <c r="T97" s="41">
        <f t="shared" si="40"/>
        <v>98000</v>
      </c>
      <c r="U97" s="41">
        <f t="shared" si="40"/>
        <v>98000</v>
      </c>
      <c r="V97" s="41">
        <f t="shared" si="40"/>
        <v>98000</v>
      </c>
      <c r="W97" s="41">
        <f t="shared" si="40"/>
        <v>98000</v>
      </c>
      <c r="X97" s="41">
        <f t="shared" si="40"/>
        <v>98000</v>
      </c>
      <c r="Y97" s="41">
        <f t="shared" si="40"/>
        <v>98000</v>
      </c>
      <c r="Z97" s="41">
        <f t="shared" si="40"/>
        <v>98000</v>
      </c>
      <c r="AA97" s="45">
        <v>4</v>
      </c>
      <c r="AB97" s="30">
        <f t="shared" si="36"/>
        <v>9408000</v>
      </c>
      <c r="AC97" s="73"/>
      <c r="AF97" s="31"/>
    </row>
    <row r="98" spans="1:32" ht="13.95" customHeight="1" thickBot="1" x14ac:dyDescent="0.3">
      <c r="A98" s="76"/>
      <c r="B98" s="32" t="s">
        <v>21</v>
      </c>
      <c r="C98" s="41">
        <v>98000</v>
      </c>
      <c r="D98" s="41">
        <f t="shared" si="39"/>
        <v>98000</v>
      </c>
      <c r="E98" s="41">
        <f t="shared" si="39"/>
        <v>98000</v>
      </c>
      <c r="F98" s="41">
        <f t="shared" si="39"/>
        <v>98000</v>
      </c>
      <c r="G98" s="41">
        <f t="shared" si="39"/>
        <v>98000</v>
      </c>
      <c r="H98" s="41">
        <f t="shared" si="39"/>
        <v>98000</v>
      </c>
      <c r="I98" s="41">
        <f t="shared" si="39"/>
        <v>98000</v>
      </c>
      <c r="J98" s="41">
        <f t="shared" si="39"/>
        <v>98000</v>
      </c>
      <c r="K98" s="41">
        <f t="shared" si="39"/>
        <v>98000</v>
      </c>
      <c r="L98" s="41">
        <f t="shared" si="39"/>
        <v>98000</v>
      </c>
      <c r="M98" s="41">
        <f t="shared" si="39"/>
        <v>98000</v>
      </c>
      <c r="N98" s="41">
        <f t="shared" si="39"/>
        <v>98000</v>
      </c>
      <c r="O98" s="41">
        <f t="shared" si="39"/>
        <v>98000</v>
      </c>
      <c r="P98" s="41">
        <f t="shared" si="39"/>
        <v>98000</v>
      </c>
      <c r="Q98" s="41">
        <f t="shared" si="39"/>
        <v>98000</v>
      </c>
      <c r="R98" s="41">
        <f t="shared" si="39"/>
        <v>98000</v>
      </c>
      <c r="S98" s="41">
        <f t="shared" si="39"/>
        <v>98000</v>
      </c>
      <c r="T98" s="41">
        <f t="shared" si="40"/>
        <v>98000</v>
      </c>
      <c r="U98" s="41">
        <f t="shared" si="40"/>
        <v>98000</v>
      </c>
      <c r="V98" s="41">
        <f t="shared" si="40"/>
        <v>98000</v>
      </c>
      <c r="W98" s="41">
        <f t="shared" si="40"/>
        <v>98000</v>
      </c>
      <c r="X98" s="41">
        <f t="shared" si="40"/>
        <v>98000</v>
      </c>
      <c r="Y98" s="41">
        <f t="shared" si="40"/>
        <v>98000</v>
      </c>
      <c r="Z98" s="41">
        <f t="shared" si="40"/>
        <v>98000</v>
      </c>
      <c r="AA98" s="45">
        <v>7</v>
      </c>
      <c r="AB98" s="30">
        <f t="shared" si="36"/>
        <v>16464000</v>
      </c>
      <c r="AC98" s="74"/>
      <c r="AF98" s="31"/>
    </row>
    <row r="99" spans="1:32" ht="14.4" customHeight="1" thickTop="1" thickBot="1" x14ac:dyDescent="0.3">
      <c r="A99" s="75">
        <v>49522</v>
      </c>
      <c r="B99" s="35" t="s">
        <v>19</v>
      </c>
      <c r="C99" s="41">
        <v>98000</v>
      </c>
      <c r="D99" s="41">
        <f t="shared" ref="D99:S114" si="41">+C99</f>
        <v>98000</v>
      </c>
      <c r="E99" s="41">
        <f t="shared" si="41"/>
        <v>98000</v>
      </c>
      <c r="F99" s="41">
        <f t="shared" si="41"/>
        <v>98000</v>
      </c>
      <c r="G99" s="41">
        <f t="shared" si="41"/>
        <v>98000</v>
      </c>
      <c r="H99" s="41">
        <f t="shared" si="41"/>
        <v>98000</v>
      </c>
      <c r="I99" s="41">
        <f t="shared" si="41"/>
        <v>98000</v>
      </c>
      <c r="J99" s="41">
        <f t="shared" si="41"/>
        <v>98000</v>
      </c>
      <c r="K99" s="41">
        <f t="shared" si="41"/>
        <v>98000</v>
      </c>
      <c r="L99" s="41">
        <f t="shared" si="41"/>
        <v>98000</v>
      </c>
      <c r="M99" s="41">
        <f t="shared" si="41"/>
        <v>98000</v>
      </c>
      <c r="N99" s="41">
        <f t="shared" si="41"/>
        <v>98000</v>
      </c>
      <c r="O99" s="41">
        <f t="shared" si="41"/>
        <v>98000</v>
      </c>
      <c r="P99" s="41">
        <f t="shared" si="41"/>
        <v>98000</v>
      </c>
      <c r="Q99" s="41">
        <f t="shared" si="41"/>
        <v>98000</v>
      </c>
      <c r="R99" s="41">
        <f t="shared" si="41"/>
        <v>98000</v>
      </c>
      <c r="S99" s="41">
        <f t="shared" si="41"/>
        <v>98000</v>
      </c>
      <c r="T99" s="41">
        <f t="shared" si="40"/>
        <v>98000</v>
      </c>
      <c r="U99" s="41">
        <f t="shared" si="40"/>
        <v>98000</v>
      </c>
      <c r="V99" s="41">
        <f t="shared" si="40"/>
        <v>98000</v>
      </c>
      <c r="W99" s="41">
        <f t="shared" si="40"/>
        <v>98000</v>
      </c>
      <c r="X99" s="41">
        <f t="shared" si="40"/>
        <v>98000</v>
      </c>
      <c r="Y99" s="41">
        <f t="shared" si="40"/>
        <v>98000</v>
      </c>
      <c r="Z99" s="41">
        <f t="shared" si="40"/>
        <v>98000</v>
      </c>
      <c r="AA99" s="45">
        <v>21</v>
      </c>
      <c r="AB99" s="30">
        <f t="shared" si="36"/>
        <v>49392000</v>
      </c>
      <c r="AC99" s="72">
        <f t="shared" si="38"/>
        <v>72912000</v>
      </c>
      <c r="AF99" s="31"/>
    </row>
    <row r="100" spans="1:32" ht="13.95" customHeight="1" thickBot="1" x14ac:dyDescent="0.3">
      <c r="A100" s="76"/>
      <c r="B100" s="32" t="s">
        <v>20</v>
      </c>
      <c r="C100" s="41">
        <v>98000</v>
      </c>
      <c r="D100" s="41">
        <f t="shared" si="41"/>
        <v>98000</v>
      </c>
      <c r="E100" s="41">
        <f t="shared" si="41"/>
        <v>98000</v>
      </c>
      <c r="F100" s="41">
        <f t="shared" si="41"/>
        <v>98000</v>
      </c>
      <c r="G100" s="41">
        <f t="shared" si="41"/>
        <v>98000</v>
      </c>
      <c r="H100" s="41">
        <f t="shared" si="41"/>
        <v>98000</v>
      </c>
      <c r="I100" s="41">
        <f t="shared" si="41"/>
        <v>98000</v>
      </c>
      <c r="J100" s="41">
        <f t="shared" si="41"/>
        <v>98000</v>
      </c>
      <c r="K100" s="41">
        <f t="shared" si="41"/>
        <v>98000</v>
      </c>
      <c r="L100" s="41">
        <f t="shared" si="41"/>
        <v>98000</v>
      </c>
      <c r="M100" s="41">
        <f t="shared" si="41"/>
        <v>98000</v>
      </c>
      <c r="N100" s="41">
        <f t="shared" si="41"/>
        <v>98000</v>
      </c>
      <c r="O100" s="41">
        <f t="shared" si="41"/>
        <v>98000</v>
      </c>
      <c r="P100" s="41">
        <f t="shared" si="41"/>
        <v>98000</v>
      </c>
      <c r="Q100" s="41">
        <f t="shared" si="41"/>
        <v>98000</v>
      </c>
      <c r="R100" s="41">
        <f t="shared" si="41"/>
        <v>98000</v>
      </c>
      <c r="S100" s="41">
        <f t="shared" si="41"/>
        <v>98000</v>
      </c>
      <c r="T100" s="41">
        <f t="shared" si="40"/>
        <v>98000</v>
      </c>
      <c r="U100" s="41">
        <f t="shared" si="40"/>
        <v>98000</v>
      </c>
      <c r="V100" s="41">
        <f t="shared" si="40"/>
        <v>98000</v>
      </c>
      <c r="W100" s="41">
        <f t="shared" si="40"/>
        <v>98000</v>
      </c>
      <c r="X100" s="41">
        <f t="shared" si="40"/>
        <v>98000</v>
      </c>
      <c r="Y100" s="41">
        <f t="shared" si="40"/>
        <v>98000</v>
      </c>
      <c r="Z100" s="41">
        <f t="shared" si="40"/>
        <v>98000</v>
      </c>
      <c r="AA100" s="45">
        <v>4</v>
      </c>
      <c r="AB100" s="30">
        <f t="shared" si="36"/>
        <v>9408000</v>
      </c>
      <c r="AC100" s="73"/>
      <c r="AF100" s="31"/>
    </row>
    <row r="101" spans="1:32" ht="13.95" customHeight="1" thickBot="1" x14ac:dyDescent="0.3">
      <c r="A101" s="76"/>
      <c r="B101" s="32" t="s">
        <v>21</v>
      </c>
      <c r="C101" s="41">
        <v>98000</v>
      </c>
      <c r="D101" s="41">
        <f t="shared" si="41"/>
        <v>98000</v>
      </c>
      <c r="E101" s="41">
        <f t="shared" si="41"/>
        <v>98000</v>
      </c>
      <c r="F101" s="41">
        <f t="shared" si="41"/>
        <v>98000</v>
      </c>
      <c r="G101" s="41">
        <f t="shared" si="41"/>
        <v>98000</v>
      </c>
      <c r="H101" s="41">
        <f t="shared" si="41"/>
        <v>98000</v>
      </c>
      <c r="I101" s="41">
        <f t="shared" si="41"/>
        <v>98000</v>
      </c>
      <c r="J101" s="41">
        <f t="shared" si="41"/>
        <v>98000</v>
      </c>
      <c r="K101" s="41">
        <f t="shared" si="41"/>
        <v>98000</v>
      </c>
      <c r="L101" s="41">
        <f t="shared" si="41"/>
        <v>98000</v>
      </c>
      <c r="M101" s="41">
        <f t="shared" si="41"/>
        <v>98000</v>
      </c>
      <c r="N101" s="41">
        <f t="shared" si="41"/>
        <v>98000</v>
      </c>
      <c r="O101" s="41">
        <f t="shared" si="41"/>
        <v>98000</v>
      </c>
      <c r="P101" s="41">
        <f t="shared" si="41"/>
        <v>98000</v>
      </c>
      <c r="Q101" s="41">
        <f t="shared" si="41"/>
        <v>98000</v>
      </c>
      <c r="R101" s="41">
        <f t="shared" si="41"/>
        <v>98000</v>
      </c>
      <c r="S101" s="41">
        <f t="shared" si="41"/>
        <v>98000</v>
      </c>
      <c r="T101" s="41">
        <f t="shared" si="40"/>
        <v>98000</v>
      </c>
      <c r="U101" s="41">
        <f t="shared" si="40"/>
        <v>98000</v>
      </c>
      <c r="V101" s="41">
        <f t="shared" si="40"/>
        <v>98000</v>
      </c>
      <c r="W101" s="41">
        <f t="shared" si="40"/>
        <v>98000</v>
      </c>
      <c r="X101" s="41">
        <f t="shared" si="40"/>
        <v>98000</v>
      </c>
      <c r="Y101" s="41">
        <f t="shared" si="40"/>
        <v>98000</v>
      </c>
      <c r="Z101" s="41">
        <f t="shared" si="40"/>
        <v>98000</v>
      </c>
      <c r="AA101" s="45">
        <v>6</v>
      </c>
      <c r="AB101" s="30">
        <f t="shared" si="36"/>
        <v>14112000</v>
      </c>
      <c r="AC101" s="74"/>
      <c r="AF101" s="31"/>
    </row>
    <row r="102" spans="1:32" ht="14.4" customHeight="1" thickTop="1" thickBot="1" x14ac:dyDescent="0.3">
      <c r="A102" s="75">
        <v>49553</v>
      </c>
      <c r="B102" s="34" t="s">
        <v>19</v>
      </c>
      <c r="C102" s="41">
        <v>98000</v>
      </c>
      <c r="D102" s="41">
        <f t="shared" si="41"/>
        <v>98000</v>
      </c>
      <c r="E102" s="41">
        <f t="shared" si="41"/>
        <v>98000</v>
      </c>
      <c r="F102" s="41">
        <f t="shared" si="41"/>
        <v>98000</v>
      </c>
      <c r="G102" s="41">
        <f t="shared" si="41"/>
        <v>98000</v>
      </c>
      <c r="H102" s="41">
        <f t="shared" si="41"/>
        <v>98000</v>
      </c>
      <c r="I102" s="41">
        <f t="shared" si="41"/>
        <v>98000</v>
      </c>
      <c r="J102" s="41">
        <f t="shared" si="41"/>
        <v>98000</v>
      </c>
      <c r="K102" s="41">
        <f t="shared" si="41"/>
        <v>98000</v>
      </c>
      <c r="L102" s="41">
        <f t="shared" si="41"/>
        <v>98000</v>
      </c>
      <c r="M102" s="41">
        <f t="shared" si="41"/>
        <v>98000</v>
      </c>
      <c r="N102" s="41">
        <f t="shared" si="41"/>
        <v>98000</v>
      </c>
      <c r="O102" s="41">
        <f t="shared" si="41"/>
        <v>98000</v>
      </c>
      <c r="P102" s="41">
        <f t="shared" si="41"/>
        <v>98000</v>
      </c>
      <c r="Q102" s="41">
        <f t="shared" si="41"/>
        <v>98000</v>
      </c>
      <c r="R102" s="41">
        <f t="shared" si="41"/>
        <v>98000</v>
      </c>
      <c r="S102" s="41">
        <f t="shared" si="41"/>
        <v>98000</v>
      </c>
      <c r="T102" s="41">
        <f t="shared" ref="T102:Z117" si="42">+S102</f>
        <v>98000</v>
      </c>
      <c r="U102" s="41">
        <f t="shared" si="42"/>
        <v>98000</v>
      </c>
      <c r="V102" s="41">
        <f t="shared" si="42"/>
        <v>98000</v>
      </c>
      <c r="W102" s="41">
        <f t="shared" si="42"/>
        <v>98000</v>
      </c>
      <c r="X102" s="41">
        <f t="shared" si="42"/>
        <v>98000</v>
      </c>
      <c r="Y102" s="41">
        <f t="shared" si="42"/>
        <v>98000</v>
      </c>
      <c r="Z102" s="41">
        <f t="shared" si="42"/>
        <v>98000</v>
      </c>
      <c r="AA102" s="45">
        <v>20</v>
      </c>
      <c r="AB102" s="30">
        <f t="shared" si="36"/>
        <v>47040000</v>
      </c>
      <c r="AC102" s="72">
        <f t="shared" si="38"/>
        <v>70560000</v>
      </c>
      <c r="AF102" s="31"/>
    </row>
    <row r="103" spans="1:32" ht="13.95" customHeight="1" thickBot="1" x14ac:dyDescent="0.3">
      <c r="A103" s="76"/>
      <c r="B103" s="32" t="s">
        <v>20</v>
      </c>
      <c r="C103" s="41">
        <v>98000</v>
      </c>
      <c r="D103" s="41">
        <f t="shared" si="41"/>
        <v>98000</v>
      </c>
      <c r="E103" s="41">
        <f t="shared" si="41"/>
        <v>98000</v>
      </c>
      <c r="F103" s="41">
        <f t="shared" si="41"/>
        <v>98000</v>
      </c>
      <c r="G103" s="41">
        <f t="shared" si="41"/>
        <v>98000</v>
      </c>
      <c r="H103" s="41">
        <f t="shared" si="41"/>
        <v>98000</v>
      </c>
      <c r="I103" s="41">
        <f t="shared" si="41"/>
        <v>98000</v>
      </c>
      <c r="J103" s="41">
        <f t="shared" si="41"/>
        <v>98000</v>
      </c>
      <c r="K103" s="41">
        <f t="shared" si="41"/>
        <v>98000</v>
      </c>
      <c r="L103" s="41">
        <f t="shared" si="41"/>
        <v>98000</v>
      </c>
      <c r="M103" s="41">
        <f t="shared" si="41"/>
        <v>98000</v>
      </c>
      <c r="N103" s="41">
        <f t="shared" si="41"/>
        <v>98000</v>
      </c>
      <c r="O103" s="41">
        <f t="shared" si="41"/>
        <v>98000</v>
      </c>
      <c r="P103" s="41">
        <f t="shared" si="41"/>
        <v>98000</v>
      </c>
      <c r="Q103" s="41">
        <f t="shared" si="41"/>
        <v>98000</v>
      </c>
      <c r="R103" s="41">
        <f t="shared" si="41"/>
        <v>98000</v>
      </c>
      <c r="S103" s="41">
        <f t="shared" si="41"/>
        <v>98000</v>
      </c>
      <c r="T103" s="41">
        <f t="shared" si="42"/>
        <v>98000</v>
      </c>
      <c r="U103" s="41">
        <f t="shared" si="42"/>
        <v>98000</v>
      </c>
      <c r="V103" s="41">
        <f t="shared" si="42"/>
        <v>98000</v>
      </c>
      <c r="W103" s="41">
        <f t="shared" si="42"/>
        <v>98000</v>
      </c>
      <c r="X103" s="41">
        <f t="shared" si="42"/>
        <v>98000</v>
      </c>
      <c r="Y103" s="41">
        <f t="shared" si="42"/>
        <v>98000</v>
      </c>
      <c r="Z103" s="41">
        <f t="shared" si="42"/>
        <v>98000</v>
      </c>
      <c r="AA103" s="45">
        <v>5</v>
      </c>
      <c r="AB103" s="30">
        <f t="shared" si="36"/>
        <v>11760000</v>
      </c>
      <c r="AC103" s="73"/>
      <c r="AF103" s="31"/>
    </row>
    <row r="104" spans="1:32" ht="13.95" customHeight="1" thickBot="1" x14ac:dyDescent="0.3">
      <c r="A104" s="76"/>
      <c r="B104" s="32" t="s">
        <v>21</v>
      </c>
      <c r="C104" s="41">
        <v>98000</v>
      </c>
      <c r="D104" s="41">
        <f t="shared" si="41"/>
        <v>98000</v>
      </c>
      <c r="E104" s="41">
        <f t="shared" si="41"/>
        <v>98000</v>
      </c>
      <c r="F104" s="41">
        <f t="shared" si="41"/>
        <v>98000</v>
      </c>
      <c r="G104" s="41">
        <f t="shared" si="41"/>
        <v>98000</v>
      </c>
      <c r="H104" s="41">
        <f t="shared" si="41"/>
        <v>98000</v>
      </c>
      <c r="I104" s="41">
        <f t="shared" si="41"/>
        <v>98000</v>
      </c>
      <c r="J104" s="41">
        <f t="shared" si="41"/>
        <v>98000</v>
      </c>
      <c r="K104" s="41">
        <f t="shared" si="41"/>
        <v>98000</v>
      </c>
      <c r="L104" s="41">
        <f t="shared" si="41"/>
        <v>98000</v>
      </c>
      <c r="M104" s="41">
        <f t="shared" si="41"/>
        <v>98000</v>
      </c>
      <c r="N104" s="41">
        <f t="shared" si="41"/>
        <v>98000</v>
      </c>
      <c r="O104" s="41">
        <f t="shared" si="41"/>
        <v>98000</v>
      </c>
      <c r="P104" s="41">
        <f t="shared" si="41"/>
        <v>98000</v>
      </c>
      <c r="Q104" s="41">
        <f t="shared" si="41"/>
        <v>98000</v>
      </c>
      <c r="R104" s="41">
        <f t="shared" si="41"/>
        <v>98000</v>
      </c>
      <c r="S104" s="41">
        <f t="shared" si="41"/>
        <v>98000</v>
      </c>
      <c r="T104" s="41">
        <f t="shared" si="42"/>
        <v>98000</v>
      </c>
      <c r="U104" s="41">
        <f t="shared" si="42"/>
        <v>98000</v>
      </c>
      <c r="V104" s="41">
        <f t="shared" si="42"/>
        <v>98000</v>
      </c>
      <c r="W104" s="41">
        <f t="shared" si="42"/>
        <v>98000</v>
      </c>
      <c r="X104" s="41">
        <f t="shared" si="42"/>
        <v>98000</v>
      </c>
      <c r="Y104" s="41">
        <f t="shared" si="42"/>
        <v>98000</v>
      </c>
      <c r="Z104" s="41">
        <f t="shared" si="42"/>
        <v>98000</v>
      </c>
      <c r="AA104" s="45">
        <v>5</v>
      </c>
      <c r="AB104" s="30">
        <f t="shared" si="36"/>
        <v>11760000</v>
      </c>
      <c r="AC104" s="74"/>
      <c r="AF104" s="31"/>
    </row>
    <row r="105" spans="1:32" ht="14.4" customHeight="1" thickTop="1" thickBot="1" x14ac:dyDescent="0.3">
      <c r="A105" s="75">
        <v>49583</v>
      </c>
      <c r="B105" s="35" t="s">
        <v>19</v>
      </c>
      <c r="C105" s="41">
        <v>98000</v>
      </c>
      <c r="D105" s="41">
        <f t="shared" si="41"/>
        <v>98000</v>
      </c>
      <c r="E105" s="41">
        <f t="shared" si="41"/>
        <v>98000</v>
      </c>
      <c r="F105" s="41">
        <f t="shared" si="41"/>
        <v>98000</v>
      </c>
      <c r="G105" s="41">
        <f t="shared" si="41"/>
        <v>98000</v>
      </c>
      <c r="H105" s="41">
        <f t="shared" si="41"/>
        <v>98000</v>
      </c>
      <c r="I105" s="41">
        <f t="shared" si="41"/>
        <v>98000</v>
      </c>
      <c r="J105" s="41">
        <f t="shared" si="41"/>
        <v>98000</v>
      </c>
      <c r="K105" s="41">
        <f t="shared" si="41"/>
        <v>98000</v>
      </c>
      <c r="L105" s="41">
        <f t="shared" si="41"/>
        <v>98000</v>
      </c>
      <c r="M105" s="41">
        <f t="shared" si="41"/>
        <v>98000</v>
      </c>
      <c r="N105" s="41">
        <f t="shared" si="41"/>
        <v>98000</v>
      </c>
      <c r="O105" s="41">
        <f t="shared" si="41"/>
        <v>98000</v>
      </c>
      <c r="P105" s="41">
        <f t="shared" si="41"/>
        <v>98000</v>
      </c>
      <c r="Q105" s="41">
        <f t="shared" si="41"/>
        <v>98000</v>
      </c>
      <c r="R105" s="41">
        <f t="shared" si="41"/>
        <v>98000</v>
      </c>
      <c r="S105" s="41">
        <f t="shared" si="41"/>
        <v>98000</v>
      </c>
      <c r="T105" s="41">
        <f t="shared" si="42"/>
        <v>98000</v>
      </c>
      <c r="U105" s="41">
        <f t="shared" si="42"/>
        <v>98000</v>
      </c>
      <c r="V105" s="41">
        <f t="shared" si="42"/>
        <v>98000</v>
      </c>
      <c r="W105" s="41">
        <f t="shared" si="42"/>
        <v>98000</v>
      </c>
      <c r="X105" s="41">
        <f t="shared" si="42"/>
        <v>98000</v>
      </c>
      <c r="Y105" s="41">
        <f t="shared" si="42"/>
        <v>98000</v>
      </c>
      <c r="Z105" s="41">
        <f t="shared" si="42"/>
        <v>98000</v>
      </c>
      <c r="AA105" s="45">
        <v>22</v>
      </c>
      <c r="AB105" s="30">
        <f t="shared" si="36"/>
        <v>51744000</v>
      </c>
      <c r="AC105" s="72">
        <f t="shared" si="38"/>
        <v>72912000</v>
      </c>
      <c r="AF105" s="31"/>
    </row>
    <row r="106" spans="1:32" ht="13.95" customHeight="1" thickBot="1" x14ac:dyDescent="0.3">
      <c r="A106" s="76"/>
      <c r="B106" s="32" t="s">
        <v>20</v>
      </c>
      <c r="C106" s="41">
        <v>98000</v>
      </c>
      <c r="D106" s="41">
        <f t="shared" si="41"/>
        <v>98000</v>
      </c>
      <c r="E106" s="41">
        <f t="shared" si="41"/>
        <v>98000</v>
      </c>
      <c r="F106" s="41">
        <f t="shared" si="41"/>
        <v>98000</v>
      </c>
      <c r="G106" s="41">
        <f t="shared" si="41"/>
        <v>98000</v>
      </c>
      <c r="H106" s="41">
        <f t="shared" si="41"/>
        <v>98000</v>
      </c>
      <c r="I106" s="41">
        <f t="shared" si="41"/>
        <v>98000</v>
      </c>
      <c r="J106" s="41">
        <f t="shared" si="41"/>
        <v>98000</v>
      </c>
      <c r="K106" s="41">
        <f t="shared" si="41"/>
        <v>98000</v>
      </c>
      <c r="L106" s="41">
        <f t="shared" si="41"/>
        <v>98000</v>
      </c>
      <c r="M106" s="41">
        <f t="shared" si="41"/>
        <v>98000</v>
      </c>
      <c r="N106" s="41">
        <f t="shared" si="41"/>
        <v>98000</v>
      </c>
      <c r="O106" s="41">
        <f t="shared" si="41"/>
        <v>98000</v>
      </c>
      <c r="P106" s="41">
        <f t="shared" si="41"/>
        <v>98000</v>
      </c>
      <c r="Q106" s="41">
        <f t="shared" si="41"/>
        <v>98000</v>
      </c>
      <c r="R106" s="41">
        <f t="shared" si="41"/>
        <v>98000</v>
      </c>
      <c r="S106" s="41">
        <f t="shared" si="41"/>
        <v>98000</v>
      </c>
      <c r="T106" s="41">
        <f t="shared" si="42"/>
        <v>98000</v>
      </c>
      <c r="U106" s="41">
        <f t="shared" si="42"/>
        <v>98000</v>
      </c>
      <c r="V106" s="41">
        <f t="shared" si="42"/>
        <v>98000</v>
      </c>
      <c r="W106" s="41">
        <f t="shared" si="42"/>
        <v>98000</v>
      </c>
      <c r="X106" s="41">
        <f t="shared" si="42"/>
        <v>98000</v>
      </c>
      <c r="Y106" s="41">
        <f t="shared" si="42"/>
        <v>98000</v>
      </c>
      <c r="Z106" s="41">
        <f t="shared" si="42"/>
        <v>98000</v>
      </c>
      <c r="AA106" s="45">
        <v>4</v>
      </c>
      <c r="AB106" s="30">
        <f t="shared" si="36"/>
        <v>9408000</v>
      </c>
      <c r="AC106" s="73"/>
      <c r="AF106" s="31"/>
    </row>
    <row r="107" spans="1:32" ht="13.95" customHeight="1" thickBot="1" x14ac:dyDescent="0.3">
      <c r="A107" s="76"/>
      <c r="B107" s="32" t="s">
        <v>21</v>
      </c>
      <c r="C107" s="41">
        <v>98000</v>
      </c>
      <c r="D107" s="41">
        <f t="shared" si="41"/>
        <v>98000</v>
      </c>
      <c r="E107" s="41">
        <f t="shared" si="41"/>
        <v>98000</v>
      </c>
      <c r="F107" s="41">
        <f t="shared" si="41"/>
        <v>98000</v>
      </c>
      <c r="G107" s="41">
        <f t="shared" si="41"/>
        <v>98000</v>
      </c>
      <c r="H107" s="41">
        <f t="shared" si="41"/>
        <v>98000</v>
      </c>
      <c r="I107" s="41">
        <f t="shared" si="41"/>
        <v>98000</v>
      </c>
      <c r="J107" s="41">
        <f t="shared" si="41"/>
        <v>98000</v>
      </c>
      <c r="K107" s="41">
        <f t="shared" si="41"/>
        <v>98000</v>
      </c>
      <c r="L107" s="41">
        <f t="shared" si="41"/>
        <v>98000</v>
      </c>
      <c r="M107" s="41">
        <f t="shared" si="41"/>
        <v>98000</v>
      </c>
      <c r="N107" s="41">
        <f t="shared" si="41"/>
        <v>98000</v>
      </c>
      <c r="O107" s="41">
        <f t="shared" si="41"/>
        <v>98000</v>
      </c>
      <c r="P107" s="41">
        <f t="shared" si="41"/>
        <v>98000</v>
      </c>
      <c r="Q107" s="41">
        <f t="shared" si="41"/>
        <v>98000</v>
      </c>
      <c r="R107" s="41">
        <f t="shared" si="41"/>
        <v>98000</v>
      </c>
      <c r="S107" s="41">
        <f t="shared" si="41"/>
        <v>98000</v>
      </c>
      <c r="T107" s="41">
        <f t="shared" si="42"/>
        <v>98000</v>
      </c>
      <c r="U107" s="41">
        <f t="shared" si="42"/>
        <v>98000</v>
      </c>
      <c r="V107" s="41">
        <f t="shared" si="42"/>
        <v>98000</v>
      </c>
      <c r="W107" s="41">
        <f t="shared" si="42"/>
        <v>98000</v>
      </c>
      <c r="X107" s="41">
        <f t="shared" si="42"/>
        <v>98000</v>
      </c>
      <c r="Y107" s="41">
        <f t="shared" si="42"/>
        <v>98000</v>
      </c>
      <c r="Z107" s="41">
        <f t="shared" si="42"/>
        <v>98000</v>
      </c>
      <c r="AA107" s="45">
        <v>5</v>
      </c>
      <c r="AB107" s="30">
        <f t="shared" si="36"/>
        <v>11760000</v>
      </c>
      <c r="AC107" s="74"/>
      <c r="AF107" s="31"/>
    </row>
    <row r="108" spans="1:32" ht="14.4" customHeight="1" thickTop="1" thickBot="1" x14ac:dyDescent="0.3">
      <c r="A108" s="75">
        <v>49614</v>
      </c>
      <c r="B108" s="34" t="s">
        <v>19</v>
      </c>
      <c r="C108" s="41">
        <v>98000</v>
      </c>
      <c r="D108" s="41">
        <f t="shared" si="41"/>
        <v>98000</v>
      </c>
      <c r="E108" s="41">
        <f t="shared" si="41"/>
        <v>98000</v>
      </c>
      <c r="F108" s="41">
        <f t="shared" si="41"/>
        <v>98000</v>
      </c>
      <c r="G108" s="41">
        <f t="shared" si="41"/>
        <v>98000</v>
      </c>
      <c r="H108" s="41">
        <f t="shared" si="41"/>
        <v>98000</v>
      </c>
      <c r="I108" s="41">
        <f t="shared" si="41"/>
        <v>98000</v>
      </c>
      <c r="J108" s="41">
        <f t="shared" si="41"/>
        <v>98000</v>
      </c>
      <c r="K108" s="41">
        <f t="shared" si="41"/>
        <v>98000</v>
      </c>
      <c r="L108" s="41">
        <f t="shared" si="41"/>
        <v>98000</v>
      </c>
      <c r="M108" s="41">
        <f t="shared" si="41"/>
        <v>98000</v>
      </c>
      <c r="N108" s="41">
        <f t="shared" si="41"/>
        <v>98000</v>
      </c>
      <c r="O108" s="41">
        <f t="shared" si="41"/>
        <v>98000</v>
      </c>
      <c r="P108" s="41">
        <f t="shared" si="41"/>
        <v>98000</v>
      </c>
      <c r="Q108" s="41">
        <f t="shared" si="41"/>
        <v>98000</v>
      </c>
      <c r="R108" s="41">
        <f t="shared" si="41"/>
        <v>98000</v>
      </c>
      <c r="S108" s="41">
        <f t="shared" si="41"/>
        <v>98000</v>
      </c>
      <c r="T108" s="41">
        <f t="shared" si="42"/>
        <v>98000</v>
      </c>
      <c r="U108" s="41">
        <f t="shared" si="42"/>
        <v>98000</v>
      </c>
      <c r="V108" s="41">
        <f t="shared" si="42"/>
        <v>98000</v>
      </c>
      <c r="W108" s="41">
        <f t="shared" si="42"/>
        <v>98000</v>
      </c>
      <c r="X108" s="41">
        <f t="shared" si="42"/>
        <v>98000</v>
      </c>
      <c r="Y108" s="41">
        <f t="shared" si="42"/>
        <v>98000</v>
      </c>
      <c r="Z108" s="41">
        <f t="shared" si="42"/>
        <v>98000</v>
      </c>
      <c r="AA108" s="45">
        <v>20</v>
      </c>
      <c r="AB108" s="30">
        <f t="shared" si="36"/>
        <v>47040000</v>
      </c>
      <c r="AC108" s="72">
        <f t="shared" si="38"/>
        <v>70560000</v>
      </c>
      <c r="AF108" s="31"/>
    </row>
    <row r="109" spans="1:32" ht="13.95" customHeight="1" thickBot="1" x14ac:dyDescent="0.3">
      <c r="A109" s="76"/>
      <c r="B109" s="32" t="s">
        <v>20</v>
      </c>
      <c r="C109" s="41">
        <v>98000</v>
      </c>
      <c r="D109" s="41">
        <f t="shared" si="41"/>
        <v>98000</v>
      </c>
      <c r="E109" s="41">
        <f t="shared" si="41"/>
        <v>98000</v>
      </c>
      <c r="F109" s="41">
        <f t="shared" si="41"/>
        <v>98000</v>
      </c>
      <c r="G109" s="41">
        <f t="shared" si="41"/>
        <v>98000</v>
      </c>
      <c r="H109" s="41">
        <f t="shared" si="41"/>
        <v>98000</v>
      </c>
      <c r="I109" s="41">
        <f t="shared" si="41"/>
        <v>98000</v>
      </c>
      <c r="J109" s="41">
        <f t="shared" si="41"/>
        <v>98000</v>
      </c>
      <c r="K109" s="41">
        <f t="shared" si="41"/>
        <v>98000</v>
      </c>
      <c r="L109" s="41">
        <f t="shared" si="41"/>
        <v>98000</v>
      </c>
      <c r="M109" s="41">
        <f t="shared" si="41"/>
        <v>98000</v>
      </c>
      <c r="N109" s="41">
        <f t="shared" si="41"/>
        <v>98000</v>
      </c>
      <c r="O109" s="41">
        <f t="shared" si="41"/>
        <v>98000</v>
      </c>
      <c r="P109" s="41">
        <f t="shared" si="41"/>
        <v>98000</v>
      </c>
      <c r="Q109" s="41">
        <f t="shared" si="41"/>
        <v>98000</v>
      </c>
      <c r="R109" s="41">
        <f t="shared" si="41"/>
        <v>98000</v>
      </c>
      <c r="S109" s="41">
        <f t="shared" si="41"/>
        <v>98000</v>
      </c>
      <c r="T109" s="41">
        <f t="shared" si="42"/>
        <v>98000</v>
      </c>
      <c r="U109" s="41">
        <f t="shared" si="42"/>
        <v>98000</v>
      </c>
      <c r="V109" s="41">
        <f t="shared" si="42"/>
        <v>98000</v>
      </c>
      <c r="W109" s="41">
        <f t="shared" si="42"/>
        <v>98000</v>
      </c>
      <c r="X109" s="41">
        <f t="shared" si="42"/>
        <v>98000</v>
      </c>
      <c r="Y109" s="41">
        <f t="shared" si="42"/>
        <v>98000</v>
      </c>
      <c r="Z109" s="41">
        <f t="shared" si="42"/>
        <v>98000</v>
      </c>
      <c r="AA109" s="45">
        <v>4</v>
      </c>
      <c r="AB109" s="30">
        <f t="shared" si="36"/>
        <v>9408000</v>
      </c>
      <c r="AC109" s="73"/>
      <c r="AF109" s="31"/>
    </row>
    <row r="110" spans="1:32" ht="13.95" customHeight="1" thickBot="1" x14ac:dyDescent="0.3">
      <c r="A110" s="76"/>
      <c r="B110" s="32" t="s">
        <v>21</v>
      </c>
      <c r="C110" s="41">
        <v>98000</v>
      </c>
      <c r="D110" s="41">
        <f t="shared" si="41"/>
        <v>98000</v>
      </c>
      <c r="E110" s="41">
        <f t="shared" si="41"/>
        <v>98000</v>
      </c>
      <c r="F110" s="41">
        <f t="shared" si="41"/>
        <v>98000</v>
      </c>
      <c r="G110" s="41">
        <f t="shared" si="41"/>
        <v>98000</v>
      </c>
      <c r="H110" s="41">
        <f t="shared" si="41"/>
        <v>98000</v>
      </c>
      <c r="I110" s="41">
        <f t="shared" si="41"/>
        <v>98000</v>
      </c>
      <c r="J110" s="41">
        <f t="shared" si="41"/>
        <v>98000</v>
      </c>
      <c r="K110" s="41">
        <f t="shared" si="41"/>
        <v>98000</v>
      </c>
      <c r="L110" s="41">
        <f t="shared" si="41"/>
        <v>98000</v>
      </c>
      <c r="M110" s="41">
        <f t="shared" si="41"/>
        <v>98000</v>
      </c>
      <c r="N110" s="41">
        <f t="shared" si="41"/>
        <v>98000</v>
      </c>
      <c r="O110" s="41">
        <f t="shared" si="41"/>
        <v>98000</v>
      </c>
      <c r="P110" s="41">
        <f t="shared" si="41"/>
        <v>98000</v>
      </c>
      <c r="Q110" s="41">
        <f t="shared" si="41"/>
        <v>98000</v>
      </c>
      <c r="R110" s="41">
        <f t="shared" si="41"/>
        <v>98000</v>
      </c>
      <c r="S110" s="41">
        <f t="shared" si="41"/>
        <v>98000</v>
      </c>
      <c r="T110" s="41">
        <f t="shared" si="42"/>
        <v>98000</v>
      </c>
      <c r="U110" s="41">
        <f t="shared" si="42"/>
        <v>98000</v>
      </c>
      <c r="V110" s="41">
        <f t="shared" si="42"/>
        <v>98000</v>
      </c>
      <c r="W110" s="41">
        <f t="shared" si="42"/>
        <v>98000</v>
      </c>
      <c r="X110" s="41">
        <f t="shared" si="42"/>
        <v>98000</v>
      </c>
      <c r="Y110" s="41">
        <f t="shared" si="42"/>
        <v>98000</v>
      </c>
      <c r="Z110" s="41">
        <f t="shared" si="42"/>
        <v>98000</v>
      </c>
      <c r="AA110" s="45">
        <v>6</v>
      </c>
      <c r="AB110" s="30">
        <f t="shared" si="36"/>
        <v>14112000</v>
      </c>
      <c r="AC110" s="74"/>
      <c r="AF110" s="31"/>
    </row>
    <row r="111" spans="1:32" ht="14.4" customHeight="1" thickTop="1" thickBot="1" x14ac:dyDescent="0.3">
      <c r="A111" s="75">
        <v>49644</v>
      </c>
      <c r="B111" s="35" t="s">
        <v>19</v>
      </c>
      <c r="C111" s="41">
        <v>98000</v>
      </c>
      <c r="D111" s="41">
        <f t="shared" si="41"/>
        <v>98000</v>
      </c>
      <c r="E111" s="41">
        <f t="shared" si="41"/>
        <v>98000</v>
      </c>
      <c r="F111" s="41">
        <f t="shared" si="41"/>
        <v>98000</v>
      </c>
      <c r="G111" s="41">
        <f t="shared" si="41"/>
        <v>98000</v>
      </c>
      <c r="H111" s="41">
        <f t="shared" si="41"/>
        <v>98000</v>
      </c>
      <c r="I111" s="41">
        <f t="shared" si="41"/>
        <v>98000</v>
      </c>
      <c r="J111" s="41">
        <f t="shared" si="41"/>
        <v>98000</v>
      </c>
      <c r="K111" s="41">
        <f t="shared" si="41"/>
        <v>98000</v>
      </c>
      <c r="L111" s="41">
        <f t="shared" si="41"/>
        <v>98000</v>
      </c>
      <c r="M111" s="41">
        <f t="shared" si="41"/>
        <v>98000</v>
      </c>
      <c r="N111" s="41">
        <f t="shared" si="41"/>
        <v>98000</v>
      </c>
      <c r="O111" s="41">
        <f t="shared" si="41"/>
        <v>98000</v>
      </c>
      <c r="P111" s="41">
        <f t="shared" si="41"/>
        <v>98000</v>
      </c>
      <c r="Q111" s="41">
        <f t="shared" si="41"/>
        <v>98000</v>
      </c>
      <c r="R111" s="41">
        <f t="shared" si="41"/>
        <v>98000</v>
      </c>
      <c r="S111" s="41">
        <f t="shared" si="41"/>
        <v>98000</v>
      </c>
      <c r="T111" s="41">
        <f t="shared" si="42"/>
        <v>98000</v>
      </c>
      <c r="U111" s="41">
        <f t="shared" si="42"/>
        <v>98000</v>
      </c>
      <c r="V111" s="41">
        <f t="shared" si="42"/>
        <v>98000</v>
      </c>
      <c r="W111" s="41">
        <f t="shared" si="42"/>
        <v>98000</v>
      </c>
      <c r="X111" s="41">
        <f t="shared" si="42"/>
        <v>98000</v>
      </c>
      <c r="Y111" s="41">
        <f t="shared" si="42"/>
        <v>98000</v>
      </c>
      <c r="Z111" s="41">
        <f t="shared" si="42"/>
        <v>98000</v>
      </c>
      <c r="AA111" s="45">
        <v>20</v>
      </c>
      <c r="AB111" s="30">
        <f t="shared" si="36"/>
        <v>47040000</v>
      </c>
      <c r="AC111" s="72">
        <f t="shared" si="38"/>
        <v>72912000</v>
      </c>
      <c r="AF111" s="31"/>
    </row>
    <row r="112" spans="1:32" ht="13.95" customHeight="1" thickBot="1" x14ac:dyDescent="0.3">
      <c r="A112" s="76"/>
      <c r="B112" s="32" t="s">
        <v>20</v>
      </c>
      <c r="C112" s="41">
        <v>98000</v>
      </c>
      <c r="D112" s="41">
        <f t="shared" si="41"/>
        <v>98000</v>
      </c>
      <c r="E112" s="41">
        <f t="shared" si="41"/>
        <v>98000</v>
      </c>
      <c r="F112" s="41">
        <f t="shared" si="41"/>
        <v>98000</v>
      </c>
      <c r="G112" s="41">
        <f t="shared" si="41"/>
        <v>98000</v>
      </c>
      <c r="H112" s="41">
        <f t="shared" si="41"/>
        <v>98000</v>
      </c>
      <c r="I112" s="41">
        <f t="shared" si="41"/>
        <v>98000</v>
      </c>
      <c r="J112" s="41">
        <f t="shared" si="41"/>
        <v>98000</v>
      </c>
      <c r="K112" s="41">
        <f t="shared" si="41"/>
        <v>98000</v>
      </c>
      <c r="L112" s="41">
        <f t="shared" si="41"/>
        <v>98000</v>
      </c>
      <c r="M112" s="41">
        <f t="shared" si="41"/>
        <v>98000</v>
      </c>
      <c r="N112" s="41">
        <f t="shared" si="41"/>
        <v>98000</v>
      </c>
      <c r="O112" s="41">
        <f t="shared" si="41"/>
        <v>98000</v>
      </c>
      <c r="P112" s="41">
        <f t="shared" si="41"/>
        <v>98000</v>
      </c>
      <c r="Q112" s="41">
        <f t="shared" si="41"/>
        <v>98000</v>
      </c>
      <c r="R112" s="41">
        <f t="shared" si="41"/>
        <v>98000</v>
      </c>
      <c r="S112" s="41">
        <f t="shared" si="41"/>
        <v>98000</v>
      </c>
      <c r="T112" s="41">
        <f t="shared" si="42"/>
        <v>98000</v>
      </c>
      <c r="U112" s="41">
        <f t="shared" si="42"/>
        <v>98000</v>
      </c>
      <c r="V112" s="41">
        <f t="shared" si="42"/>
        <v>98000</v>
      </c>
      <c r="W112" s="41">
        <f t="shared" si="42"/>
        <v>98000</v>
      </c>
      <c r="X112" s="41">
        <f t="shared" si="42"/>
        <v>98000</v>
      </c>
      <c r="Y112" s="41">
        <f t="shared" si="42"/>
        <v>98000</v>
      </c>
      <c r="Z112" s="41">
        <f t="shared" si="42"/>
        <v>98000</v>
      </c>
      <c r="AA112" s="45">
        <v>5</v>
      </c>
      <c r="AB112" s="30">
        <f t="shared" si="36"/>
        <v>11760000</v>
      </c>
      <c r="AC112" s="73"/>
      <c r="AF112" s="31"/>
    </row>
    <row r="113" spans="1:32" ht="13.95" customHeight="1" thickBot="1" x14ac:dyDescent="0.3">
      <c r="A113" s="77"/>
      <c r="B113" s="36" t="s">
        <v>21</v>
      </c>
      <c r="C113" s="41">
        <v>98000</v>
      </c>
      <c r="D113" s="41">
        <f t="shared" si="41"/>
        <v>98000</v>
      </c>
      <c r="E113" s="41">
        <f t="shared" si="41"/>
        <v>98000</v>
      </c>
      <c r="F113" s="41">
        <f t="shared" si="41"/>
        <v>98000</v>
      </c>
      <c r="G113" s="41">
        <f t="shared" si="41"/>
        <v>98000</v>
      </c>
      <c r="H113" s="41">
        <f t="shared" si="41"/>
        <v>98000</v>
      </c>
      <c r="I113" s="41">
        <f t="shared" si="41"/>
        <v>98000</v>
      </c>
      <c r="J113" s="41">
        <f t="shared" si="41"/>
        <v>98000</v>
      </c>
      <c r="K113" s="41">
        <f t="shared" si="41"/>
        <v>98000</v>
      </c>
      <c r="L113" s="41">
        <f t="shared" si="41"/>
        <v>98000</v>
      </c>
      <c r="M113" s="41">
        <f t="shared" si="41"/>
        <v>98000</v>
      </c>
      <c r="N113" s="41">
        <f t="shared" si="41"/>
        <v>98000</v>
      </c>
      <c r="O113" s="41">
        <f t="shared" si="41"/>
        <v>98000</v>
      </c>
      <c r="P113" s="41">
        <f t="shared" si="41"/>
        <v>98000</v>
      </c>
      <c r="Q113" s="41">
        <f t="shared" si="41"/>
        <v>98000</v>
      </c>
      <c r="R113" s="41">
        <f t="shared" si="41"/>
        <v>98000</v>
      </c>
      <c r="S113" s="41">
        <f t="shared" si="41"/>
        <v>98000</v>
      </c>
      <c r="T113" s="41">
        <f t="shared" si="42"/>
        <v>98000</v>
      </c>
      <c r="U113" s="41">
        <f t="shared" si="42"/>
        <v>98000</v>
      </c>
      <c r="V113" s="41">
        <f t="shared" si="42"/>
        <v>98000</v>
      </c>
      <c r="W113" s="41">
        <f t="shared" si="42"/>
        <v>98000</v>
      </c>
      <c r="X113" s="41">
        <f t="shared" si="42"/>
        <v>98000</v>
      </c>
      <c r="Y113" s="41">
        <f t="shared" si="42"/>
        <v>98000</v>
      </c>
      <c r="Z113" s="41">
        <f t="shared" si="42"/>
        <v>98000</v>
      </c>
      <c r="AA113" s="47">
        <v>6</v>
      </c>
      <c r="AB113" s="30">
        <f t="shared" si="36"/>
        <v>14112000</v>
      </c>
      <c r="AC113" s="74"/>
      <c r="AF113" s="31"/>
    </row>
    <row r="114" spans="1:32" ht="13.95" customHeight="1" thickTop="1" thickBot="1" x14ac:dyDescent="0.3">
      <c r="A114" s="78">
        <v>49675</v>
      </c>
      <c r="B114" s="23" t="s">
        <v>19</v>
      </c>
      <c r="C114" s="41">
        <v>98000</v>
      </c>
      <c r="D114" s="41">
        <f t="shared" si="41"/>
        <v>98000</v>
      </c>
      <c r="E114" s="41">
        <f t="shared" si="41"/>
        <v>98000</v>
      </c>
      <c r="F114" s="41">
        <f t="shared" si="41"/>
        <v>98000</v>
      </c>
      <c r="G114" s="41">
        <f t="shared" si="41"/>
        <v>98000</v>
      </c>
      <c r="H114" s="41">
        <f t="shared" si="41"/>
        <v>98000</v>
      </c>
      <c r="I114" s="41">
        <f t="shared" si="41"/>
        <v>98000</v>
      </c>
      <c r="J114" s="41">
        <f t="shared" si="41"/>
        <v>98000</v>
      </c>
      <c r="K114" s="41">
        <f t="shared" si="41"/>
        <v>98000</v>
      </c>
      <c r="L114" s="41">
        <f t="shared" si="41"/>
        <v>98000</v>
      </c>
      <c r="M114" s="41">
        <f t="shared" si="41"/>
        <v>98000</v>
      </c>
      <c r="N114" s="41">
        <f t="shared" si="41"/>
        <v>98000</v>
      </c>
      <c r="O114" s="41">
        <f t="shared" si="41"/>
        <v>98000</v>
      </c>
      <c r="P114" s="41">
        <f t="shared" si="41"/>
        <v>98000</v>
      </c>
      <c r="Q114" s="41">
        <f t="shared" si="41"/>
        <v>98000</v>
      </c>
      <c r="R114" s="41">
        <f t="shared" si="41"/>
        <v>98000</v>
      </c>
      <c r="S114" s="41">
        <f t="shared" ref="D114:S129" si="43">+R114</f>
        <v>98000</v>
      </c>
      <c r="T114" s="41">
        <f t="shared" si="42"/>
        <v>98000</v>
      </c>
      <c r="U114" s="41">
        <f t="shared" si="42"/>
        <v>98000</v>
      </c>
      <c r="V114" s="41">
        <f t="shared" si="42"/>
        <v>98000</v>
      </c>
      <c r="W114" s="41">
        <f t="shared" si="42"/>
        <v>98000</v>
      </c>
      <c r="X114" s="41">
        <f t="shared" si="42"/>
        <v>98000</v>
      </c>
      <c r="Y114" s="41">
        <f t="shared" si="42"/>
        <v>98000</v>
      </c>
      <c r="Z114" s="41">
        <f t="shared" si="42"/>
        <v>98000</v>
      </c>
      <c r="AA114" s="42">
        <v>21</v>
      </c>
      <c r="AB114" s="30">
        <f t="shared" si="36"/>
        <v>49392000</v>
      </c>
      <c r="AC114" s="72">
        <f t="shared" si="38"/>
        <v>72912000</v>
      </c>
      <c r="AF114" s="31"/>
    </row>
    <row r="115" spans="1:32" ht="13.95" customHeight="1" thickBot="1" x14ac:dyDescent="0.3">
      <c r="A115" s="76"/>
      <c r="B115" s="32" t="s">
        <v>20</v>
      </c>
      <c r="C115" s="41">
        <v>98000</v>
      </c>
      <c r="D115" s="41">
        <f t="shared" si="43"/>
        <v>98000</v>
      </c>
      <c r="E115" s="41">
        <f t="shared" si="43"/>
        <v>98000</v>
      </c>
      <c r="F115" s="41">
        <f t="shared" si="43"/>
        <v>98000</v>
      </c>
      <c r="G115" s="41">
        <f t="shared" si="43"/>
        <v>98000</v>
      </c>
      <c r="H115" s="41">
        <f t="shared" si="43"/>
        <v>98000</v>
      </c>
      <c r="I115" s="41">
        <f t="shared" si="43"/>
        <v>98000</v>
      </c>
      <c r="J115" s="41">
        <f t="shared" si="43"/>
        <v>98000</v>
      </c>
      <c r="K115" s="41">
        <f t="shared" si="43"/>
        <v>98000</v>
      </c>
      <c r="L115" s="41">
        <f t="shared" si="43"/>
        <v>98000</v>
      </c>
      <c r="M115" s="41">
        <f t="shared" si="43"/>
        <v>98000</v>
      </c>
      <c r="N115" s="41">
        <f t="shared" si="43"/>
        <v>98000</v>
      </c>
      <c r="O115" s="41">
        <f t="shared" si="43"/>
        <v>98000</v>
      </c>
      <c r="P115" s="41">
        <f t="shared" si="43"/>
        <v>98000</v>
      </c>
      <c r="Q115" s="41">
        <f t="shared" si="43"/>
        <v>98000</v>
      </c>
      <c r="R115" s="41">
        <f t="shared" si="43"/>
        <v>98000</v>
      </c>
      <c r="S115" s="41">
        <f t="shared" si="43"/>
        <v>98000</v>
      </c>
      <c r="T115" s="41">
        <f t="shared" si="42"/>
        <v>98000</v>
      </c>
      <c r="U115" s="41">
        <f t="shared" si="42"/>
        <v>98000</v>
      </c>
      <c r="V115" s="41">
        <f t="shared" si="42"/>
        <v>98000</v>
      </c>
      <c r="W115" s="41">
        <f t="shared" si="42"/>
        <v>98000</v>
      </c>
      <c r="X115" s="41">
        <f t="shared" si="42"/>
        <v>98000</v>
      </c>
      <c r="Y115" s="41">
        <f t="shared" si="42"/>
        <v>98000</v>
      </c>
      <c r="Z115" s="41">
        <f t="shared" si="42"/>
        <v>98000</v>
      </c>
      <c r="AA115" s="45">
        <v>4</v>
      </c>
      <c r="AB115" s="30">
        <f t="shared" si="36"/>
        <v>9408000</v>
      </c>
      <c r="AC115" s="73"/>
      <c r="AF115" s="31"/>
    </row>
    <row r="116" spans="1:32" ht="13.95" customHeight="1" thickBot="1" x14ac:dyDescent="0.3">
      <c r="A116" s="76"/>
      <c r="B116" s="32" t="s">
        <v>21</v>
      </c>
      <c r="C116" s="41">
        <v>98000</v>
      </c>
      <c r="D116" s="41">
        <f t="shared" si="43"/>
        <v>98000</v>
      </c>
      <c r="E116" s="41">
        <f t="shared" si="43"/>
        <v>98000</v>
      </c>
      <c r="F116" s="41">
        <f t="shared" si="43"/>
        <v>98000</v>
      </c>
      <c r="G116" s="41">
        <f t="shared" si="43"/>
        <v>98000</v>
      </c>
      <c r="H116" s="41">
        <f t="shared" si="43"/>
        <v>98000</v>
      </c>
      <c r="I116" s="41">
        <f t="shared" si="43"/>
        <v>98000</v>
      </c>
      <c r="J116" s="41">
        <f t="shared" si="43"/>
        <v>98000</v>
      </c>
      <c r="K116" s="41">
        <f t="shared" si="43"/>
        <v>98000</v>
      </c>
      <c r="L116" s="41">
        <f t="shared" si="43"/>
        <v>98000</v>
      </c>
      <c r="M116" s="41">
        <f t="shared" si="43"/>
        <v>98000</v>
      </c>
      <c r="N116" s="41">
        <f t="shared" si="43"/>
        <v>98000</v>
      </c>
      <c r="O116" s="41">
        <f t="shared" si="43"/>
        <v>98000</v>
      </c>
      <c r="P116" s="41">
        <f t="shared" si="43"/>
        <v>98000</v>
      </c>
      <c r="Q116" s="41">
        <f t="shared" si="43"/>
        <v>98000</v>
      </c>
      <c r="R116" s="41">
        <f t="shared" si="43"/>
        <v>98000</v>
      </c>
      <c r="S116" s="41">
        <f t="shared" si="43"/>
        <v>98000</v>
      </c>
      <c r="T116" s="41">
        <f t="shared" si="42"/>
        <v>98000</v>
      </c>
      <c r="U116" s="41">
        <f t="shared" si="42"/>
        <v>98000</v>
      </c>
      <c r="V116" s="41">
        <f t="shared" si="42"/>
        <v>98000</v>
      </c>
      <c r="W116" s="41">
        <f t="shared" si="42"/>
        <v>98000</v>
      </c>
      <c r="X116" s="41">
        <f t="shared" si="42"/>
        <v>98000</v>
      </c>
      <c r="Y116" s="41">
        <f t="shared" si="42"/>
        <v>98000</v>
      </c>
      <c r="Z116" s="41">
        <f t="shared" si="42"/>
        <v>98000</v>
      </c>
      <c r="AA116" s="45">
        <v>6</v>
      </c>
      <c r="AB116" s="30">
        <f t="shared" si="36"/>
        <v>14112000</v>
      </c>
      <c r="AC116" s="74"/>
      <c r="AF116" s="31"/>
    </row>
    <row r="117" spans="1:32" ht="14.4" customHeight="1" thickTop="1" thickBot="1" x14ac:dyDescent="0.3">
      <c r="A117" s="75">
        <v>49706</v>
      </c>
      <c r="B117" s="34" t="s">
        <v>19</v>
      </c>
      <c r="C117" s="41">
        <v>98000</v>
      </c>
      <c r="D117" s="41">
        <f t="shared" si="43"/>
        <v>98000</v>
      </c>
      <c r="E117" s="41">
        <f t="shared" si="43"/>
        <v>98000</v>
      </c>
      <c r="F117" s="41">
        <f t="shared" si="43"/>
        <v>98000</v>
      </c>
      <c r="G117" s="41">
        <f t="shared" si="43"/>
        <v>98000</v>
      </c>
      <c r="H117" s="41">
        <f t="shared" si="43"/>
        <v>98000</v>
      </c>
      <c r="I117" s="41">
        <f t="shared" si="43"/>
        <v>98000</v>
      </c>
      <c r="J117" s="41">
        <f t="shared" si="43"/>
        <v>98000</v>
      </c>
      <c r="K117" s="41">
        <f t="shared" si="43"/>
        <v>98000</v>
      </c>
      <c r="L117" s="41">
        <f t="shared" si="43"/>
        <v>98000</v>
      </c>
      <c r="M117" s="41">
        <f t="shared" si="43"/>
        <v>98000</v>
      </c>
      <c r="N117" s="41">
        <f t="shared" si="43"/>
        <v>98000</v>
      </c>
      <c r="O117" s="41">
        <f t="shared" si="43"/>
        <v>98000</v>
      </c>
      <c r="P117" s="41">
        <f t="shared" si="43"/>
        <v>98000</v>
      </c>
      <c r="Q117" s="41">
        <f t="shared" si="43"/>
        <v>98000</v>
      </c>
      <c r="R117" s="41">
        <f t="shared" si="43"/>
        <v>98000</v>
      </c>
      <c r="S117" s="41">
        <f t="shared" si="43"/>
        <v>98000</v>
      </c>
      <c r="T117" s="41">
        <f t="shared" si="42"/>
        <v>98000</v>
      </c>
      <c r="U117" s="41">
        <f t="shared" si="42"/>
        <v>98000</v>
      </c>
      <c r="V117" s="41">
        <f t="shared" si="42"/>
        <v>98000</v>
      </c>
      <c r="W117" s="41">
        <f t="shared" si="42"/>
        <v>98000</v>
      </c>
      <c r="X117" s="41">
        <f t="shared" si="42"/>
        <v>98000</v>
      </c>
      <c r="Y117" s="41">
        <f t="shared" si="42"/>
        <v>98000</v>
      </c>
      <c r="Z117" s="41">
        <f t="shared" si="42"/>
        <v>98000</v>
      </c>
      <c r="AA117" s="45">
        <v>21</v>
      </c>
      <c r="AB117" s="30">
        <f t="shared" si="36"/>
        <v>49392000</v>
      </c>
      <c r="AC117" s="72">
        <f t="shared" si="38"/>
        <v>68208000</v>
      </c>
      <c r="AF117" s="31"/>
    </row>
    <row r="118" spans="1:32" ht="13.95" customHeight="1" thickBot="1" x14ac:dyDescent="0.3">
      <c r="A118" s="76"/>
      <c r="B118" s="32" t="s">
        <v>20</v>
      </c>
      <c r="C118" s="41">
        <v>98000</v>
      </c>
      <c r="D118" s="41">
        <f t="shared" si="43"/>
        <v>98000</v>
      </c>
      <c r="E118" s="41">
        <f t="shared" si="43"/>
        <v>98000</v>
      </c>
      <c r="F118" s="41">
        <f t="shared" si="43"/>
        <v>98000</v>
      </c>
      <c r="G118" s="41">
        <f t="shared" si="43"/>
        <v>98000</v>
      </c>
      <c r="H118" s="41">
        <f t="shared" si="43"/>
        <v>98000</v>
      </c>
      <c r="I118" s="41">
        <f t="shared" si="43"/>
        <v>98000</v>
      </c>
      <c r="J118" s="41">
        <f t="shared" si="43"/>
        <v>98000</v>
      </c>
      <c r="K118" s="41">
        <f t="shared" si="43"/>
        <v>98000</v>
      </c>
      <c r="L118" s="41">
        <f t="shared" si="43"/>
        <v>98000</v>
      </c>
      <c r="M118" s="41">
        <f t="shared" si="43"/>
        <v>98000</v>
      </c>
      <c r="N118" s="41">
        <f t="shared" si="43"/>
        <v>98000</v>
      </c>
      <c r="O118" s="41">
        <f t="shared" si="43"/>
        <v>98000</v>
      </c>
      <c r="P118" s="41">
        <f t="shared" si="43"/>
        <v>98000</v>
      </c>
      <c r="Q118" s="41">
        <f t="shared" si="43"/>
        <v>98000</v>
      </c>
      <c r="R118" s="41">
        <f t="shared" si="43"/>
        <v>98000</v>
      </c>
      <c r="S118" s="41">
        <f t="shared" si="43"/>
        <v>98000</v>
      </c>
      <c r="T118" s="41">
        <f t="shared" ref="T118:Z133" si="44">+S118</f>
        <v>98000</v>
      </c>
      <c r="U118" s="41">
        <f t="shared" si="44"/>
        <v>98000</v>
      </c>
      <c r="V118" s="41">
        <f t="shared" si="44"/>
        <v>98000</v>
      </c>
      <c r="W118" s="41">
        <f t="shared" si="44"/>
        <v>98000</v>
      </c>
      <c r="X118" s="41">
        <f t="shared" si="44"/>
        <v>98000</v>
      </c>
      <c r="Y118" s="41">
        <f t="shared" si="44"/>
        <v>98000</v>
      </c>
      <c r="Z118" s="41">
        <f t="shared" si="44"/>
        <v>98000</v>
      </c>
      <c r="AA118" s="45">
        <v>4</v>
      </c>
      <c r="AB118" s="30">
        <f t="shared" si="36"/>
        <v>9408000</v>
      </c>
      <c r="AC118" s="73"/>
      <c r="AF118" s="31"/>
    </row>
    <row r="119" spans="1:32" ht="13.95" customHeight="1" thickBot="1" x14ac:dyDescent="0.3">
      <c r="A119" s="76"/>
      <c r="B119" s="32" t="s">
        <v>21</v>
      </c>
      <c r="C119" s="41">
        <v>98000</v>
      </c>
      <c r="D119" s="41">
        <f t="shared" si="43"/>
        <v>98000</v>
      </c>
      <c r="E119" s="41">
        <f t="shared" si="43"/>
        <v>98000</v>
      </c>
      <c r="F119" s="41">
        <f t="shared" si="43"/>
        <v>98000</v>
      </c>
      <c r="G119" s="41">
        <f t="shared" si="43"/>
        <v>98000</v>
      </c>
      <c r="H119" s="41">
        <f t="shared" si="43"/>
        <v>98000</v>
      </c>
      <c r="I119" s="41">
        <f t="shared" si="43"/>
        <v>98000</v>
      </c>
      <c r="J119" s="41">
        <f t="shared" si="43"/>
        <v>98000</v>
      </c>
      <c r="K119" s="41">
        <f t="shared" si="43"/>
        <v>98000</v>
      </c>
      <c r="L119" s="41">
        <f t="shared" si="43"/>
        <v>98000</v>
      </c>
      <c r="M119" s="41">
        <f t="shared" si="43"/>
        <v>98000</v>
      </c>
      <c r="N119" s="41">
        <f t="shared" si="43"/>
        <v>98000</v>
      </c>
      <c r="O119" s="41">
        <f t="shared" si="43"/>
        <v>98000</v>
      </c>
      <c r="P119" s="41">
        <f t="shared" si="43"/>
        <v>98000</v>
      </c>
      <c r="Q119" s="41">
        <f t="shared" si="43"/>
        <v>98000</v>
      </c>
      <c r="R119" s="41">
        <f t="shared" si="43"/>
        <v>98000</v>
      </c>
      <c r="S119" s="41">
        <f t="shared" si="43"/>
        <v>98000</v>
      </c>
      <c r="T119" s="41">
        <f t="shared" si="44"/>
        <v>98000</v>
      </c>
      <c r="U119" s="41">
        <f t="shared" si="44"/>
        <v>98000</v>
      </c>
      <c r="V119" s="41">
        <f t="shared" si="44"/>
        <v>98000</v>
      </c>
      <c r="W119" s="41">
        <f t="shared" si="44"/>
        <v>98000</v>
      </c>
      <c r="X119" s="41">
        <f t="shared" si="44"/>
        <v>98000</v>
      </c>
      <c r="Y119" s="41">
        <f t="shared" si="44"/>
        <v>98000</v>
      </c>
      <c r="Z119" s="41">
        <f t="shared" si="44"/>
        <v>98000</v>
      </c>
      <c r="AA119" s="45">
        <v>4</v>
      </c>
      <c r="AB119" s="30">
        <f t="shared" si="36"/>
        <v>9408000</v>
      </c>
      <c r="AC119" s="74"/>
      <c r="AF119" s="31"/>
    </row>
    <row r="120" spans="1:32" ht="14.4" customHeight="1" thickTop="1" thickBot="1" x14ac:dyDescent="0.3">
      <c r="A120" s="75">
        <v>49735</v>
      </c>
      <c r="B120" s="34" t="s">
        <v>19</v>
      </c>
      <c r="C120" s="41">
        <v>98000</v>
      </c>
      <c r="D120" s="41">
        <f t="shared" si="43"/>
        <v>98000</v>
      </c>
      <c r="E120" s="41">
        <f t="shared" si="43"/>
        <v>98000</v>
      </c>
      <c r="F120" s="41">
        <f t="shared" si="43"/>
        <v>98000</v>
      </c>
      <c r="G120" s="41">
        <f t="shared" si="43"/>
        <v>98000</v>
      </c>
      <c r="H120" s="41">
        <f t="shared" si="43"/>
        <v>98000</v>
      </c>
      <c r="I120" s="41">
        <f t="shared" si="43"/>
        <v>98000</v>
      </c>
      <c r="J120" s="41">
        <f t="shared" si="43"/>
        <v>98000</v>
      </c>
      <c r="K120" s="41">
        <f t="shared" si="43"/>
        <v>98000</v>
      </c>
      <c r="L120" s="41">
        <f t="shared" si="43"/>
        <v>98000</v>
      </c>
      <c r="M120" s="41">
        <f t="shared" si="43"/>
        <v>98000</v>
      </c>
      <c r="N120" s="41">
        <f t="shared" si="43"/>
        <v>98000</v>
      </c>
      <c r="O120" s="41">
        <f t="shared" si="43"/>
        <v>98000</v>
      </c>
      <c r="P120" s="41">
        <f t="shared" si="43"/>
        <v>98000</v>
      </c>
      <c r="Q120" s="41">
        <f t="shared" si="43"/>
        <v>98000</v>
      </c>
      <c r="R120" s="41">
        <f t="shared" si="43"/>
        <v>98000</v>
      </c>
      <c r="S120" s="41">
        <f t="shared" si="43"/>
        <v>98000</v>
      </c>
      <c r="T120" s="41">
        <f t="shared" si="44"/>
        <v>98000</v>
      </c>
      <c r="U120" s="41">
        <f t="shared" si="44"/>
        <v>98000</v>
      </c>
      <c r="V120" s="41">
        <f t="shared" si="44"/>
        <v>98000</v>
      </c>
      <c r="W120" s="41">
        <f t="shared" si="44"/>
        <v>98000</v>
      </c>
      <c r="X120" s="41">
        <f t="shared" si="44"/>
        <v>98000</v>
      </c>
      <c r="Y120" s="41">
        <f t="shared" si="44"/>
        <v>98000</v>
      </c>
      <c r="Z120" s="41">
        <f t="shared" si="44"/>
        <v>98000</v>
      </c>
      <c r="AA120" s="45">
        <v>20</v>
      </c>
      <c r="AB120" s="30">
        <f t="shared" si="36"/>
        <v>47040000</v>
      </c>
      <c r="AC120" s="72">
        <f t="shared" si="38"/>
        <v>72912000</v>
      </c>
      <c r="AF120" s="31"/>
    </row>
    <row r="121" spans="1:32" ht="13.95" customHeight="1" thickBot="1" x14ac:dyDescent="0.3">
      <c r="A121" s="76"/>
      <c r="B121" s="32" t="s">
        <v>20</v>
      </c>
      <c r="C121" s="41">
        <v>98000</v>
      </c>
      <c r="D121" s="41">
        <f t="shared" si="43"/>
        <v>98000</v>
      </c>
      <c r="E121" s="41">
        <f t="shared" si="43"/>
        <v>98000</v>
      </c>
      <c r="F121" s="41">
        <f t="shared" si="43"/>
        <v>98000</v>
      </c>
      <c r="G121" s="41">
        <f t="shared" si="43"/>
        <v>98000</v>
      </c>
      <c r="H121" s="41">
        <f t="shared" si="43"/>
        <v>98000</v>
      </c>
      <c r="I121" s="41">
        <f t="shared" si="43"/>
        <v>98000</v>
      </c>
      <c r="J121" s="41">
        <f t="shared" si="43"/>
        <v>98000</v>
      </c>
      <c r="K121" s="41">
        <f t="shared" si="43"/>
        <v>98000</v>
      </c>
      <c r="L121" s="41">
        <f t="shared" si="43"/>
        <v>98000</v>
      </c>
      <c r="M121" s="41">
        <f t="shared" si="43"/>
        <v>98000</v>
      </c>
      <c r="N121" s="41">
        <f t="shared" si="43"/>
        <v>98000</v>
      </c>
      <c r="O121" s="41">
        <f t="shared" si="43"/>
        <v>98000</v>
      </c>
      <c r="P121" s="41">
        <f t="shared" si="43"/>
        <v>98000</v>
      </c>
      <c r="Q121" s="41">
        <f t="shared" si="43"/>
        <v>98000</v>
      </c>
      <c r="R121" s="41">
        <f t="shared" si="43"/>
        <v>98000</v>
      </c>
      <c r="S121" s="41">
        <f t="shared" si="43"/>
        <v>98000</v>
      </c>
      <c r="T121" s="41">
        <f t="shared" si="44"/>
        <v>98000</v>
      </c>
      <c r="U121" s="41">
        <f t="shared" si="44"/>
        <v>98000</v>
      </c>
      <c r="V121" s="41">
        <f t="shared" si="44"/>
        <v>98000</v>
      </c>
      <c r="W121" s="41">
        <f t="shared" si="44"/>
        <v>98000</v>
      </c>
      <c r="X121" s="41">
        <f t="shared" si="44"/>
        <v>98000</v>
      </c>
      <c r="Y121" s="41">
        <f t="shared" si="44"/>
        <v>98000</v>
      </c>
      <c r="Z121" s="41">
        <f t="shared" si="44"/>
        <v>98000</v>
      </c>
      <c r="AA121" s="45">
        <v>5</v>
      </c>
      <c r="AB121" s="30">
        <f t="shared" si="36"/>
        <v>11760000</v>
      </c>
      <c r="AC121" s="73"/>
      <c r="AF121" s="31"/>
    </row>
    <row r="122" spans="1:32" ht="13.95" customHeight="1" thickBot="1" x14ac:dyDescent="0.3">
      <c r="A122" s="76"/>
      <c r="B122" s="32" t="s">
        <v>21</v>
      </c>
      <c r="C122" s="41">
        <v>98000</v>
      </c>
      <c r="D122" s="41">
        <f t="shared" si="43"/>
        <v>98000</v>
      </c>
      <c r="E122" s="41">
        <f t="shared" si="43"/>
        <v>98000</v>
      </c>
      <c r="F122" s="41">
        <f t="shared" si="43"/>
        <v>98000</v>
      </c>
      <c r="G122" s="41">
        <f t="shared" si="43"/>
        <v>98000</v>
      </c>
      <c r="H122" s="41">
        <f t="shared" si="43"/>
        <v>98000</v>
      </c>
      <c r="I122" s="41">
        <f t="shared" si="43"/>
        <v>98000</v>
      </c>
      <c r="J122" s="41">
        <f t="shared" si="43"/>
        <v>98000</v>
      </c>
      <c r="K122" s="41">
        <f t="shared" si="43"/>
        <v>98000</v>
      </c>
      <c r="L122" s="41">
        <f t="shared" si="43"/>
        <v>98000</v>
      </c>
      <c r="M122" s="41">
        <f t="shared" si="43"/>
        <v>98000</v>
      </c>
      <c r="N122" s="41">
        <f t="shared" si="43"/>
        <v>98000</v>
      </c>
      <c r="O122" s="41">
        <f t="shared" si="43"/>
        <v>98000</v>
      </c>
      <c r="P122" s="41">
        <f t="shared" si="43"/>
        <v>98000</v>
      </c>
      <c r="Q122" s="41">
        <f t="shared" si="43"/>
        <v>98000</v>
      </c>
      <c r="R122" s="41">
        <f t="shared" si="43"/>
        <v>98000</v>
      </c>
      <c r="S122" s="41">
        <f t="shared" si="43"/>
        <v>98000</v>
      </c>
      <c r="T122" s="41">
        <f t="shared" si="44"/>
        <v>98000</v>
      </c>
      <c r="U122" s="41">
        <f t="shared" si="44"/>
        <v>98000</v>
      </c>
      <c r="V122" s="41">
        <f t="shared" si="44"/>
        <v>98000</v>
      </c>
      <c r="W122" s="41">
        <f t="shared" si="44"/>
        <v>98000</v>
      </c>
      <c r="X122" s="41">
        <f t="shared" si="44"/>
        <v>98000</v>
      </c>
      <c r="Y122" s="41">
        <f t="shared" si="44"/>
        <v>98000</v>
      </c>
      <c r="Z122" s="41">
        <f t="shared" si="44"/>
        <v>98000</v>
      </c>
      <c r="AA122" s="45">
        <v>6</v>
      </c>
      <c r="AB122" s="30">
        <f t="shared" si="36"/>
        <v>14112000</v>
      </c>
      <c r="AC122" s="74"/>
      <c r="AF122" s="31"/>
    </row>
    <row r="123" spans="1:32" ht="14.4" customHeight="1" thickTop="1" thickBot="1" x14ac:dyDescent="0.3">
      <c r="A123" s="75">
        <v>49766</v>
      </c>
      <c r="B123" s="35" t="s">
        <v>19</v>
      </c>
      <c r="C123" s="41">
        <v>98000</v>
      </c>
      <c r="D123" s="41">
        <f t="shared" si="43"/>
        <v>98000</v>
      </c>
      <c r="E123" s="41">
        <f t="shared" si="43"/>
        <v>98000</v>
      </c>
      <c r="F123" s="41">
        <f t="shared" si="43"/>
        <v>98000</v>
      </c>
      <c r="G123" s="41">
        <f t="shared" si="43"/>
        <v>98000</v>
      </c>
      <c r="H123" s="41">
        <f t="shared" si="43"/>
        <v>98000</v>
      </c>
      <c r="I123" s="41">
        <f t="shared" si="43"/>
        <v>98000</v>
      </c>
      <c r="J123" s="41">
        <f t="shared" si="43"/>
        <v>98000</v>
      </c>
      <c r="K123" s="41">
        <f t="shared" si="43"/>
        <v>98000</v>
      </c>
      <c r="L123" s="41">
        <f t="shared" si="43"/>
        <v>98000</v>
      </c>
      <c r="M123" s="41">
        <f t="shared" si="43"/>
        <v>98000</v>
      </c>
      <c r="N123" s="41">
        <f t="shared" si="43"/>
        <v>98000</v>
      </c>
      <c r="O123" s="41">
        <f t="shared" si="43"/>
        <v>98000</v>
      </c>
      <c r="P123" s="41">
        <f t="shared" si="43"/>
        <v>98000</v>
      </c>
      <c r="Q123" s="41">
        <f t="shared" si="43"/>
        <v>98000</v>
      </c>
      <c r="R123" s="41">
        <f t="shared" si="43"/>
        <v>98000</v>
      </c>
      <c r="S123" s="41">
        <f t="shared" si="43"/>
        <v>98000</v>
      </c>
      <c r="T123" s="41">
        <f t="shared" si="44"/>
        <v>98000</v>
      </c>
      <c r="U123" s="41">
        <f t="shared" si="44"/>
        <v>98000</v>
      </c>
      <c r="V123" s="41">
        <f t="shared" si="44"/>
        <v>98000</v>
      </c>
      <c r="W123" s="41">
        <f t="shared" si="44"/>
        <v>98000</v>
      </c>
      <c r="X123" s="41">
        <f t="shared" si="44"/>
        <v>98000</v>
      </c>
      <c r="Y123" s="41">
        <f t="shared" si="44"/>
        <v>98000</v>
      </c>
      <c r="Z123" s="41">
        <f t="shared" si="44"/>
        <v>98000</v>
      </c>
      <c r="AA123" s="45">
        <v>20</v>
      </c>
      <c r="AB123" s="30">
        <f t="shared" si="36"/>
        <v>47040000</v>
      </c>
      <c r="AC123" s="72">
        <f t="shared" si="38"/>
        <v>70560000</v>
      </c>
      <c r="AF123" s="31"/>
    </row>
    <row r="124" spans="1:32" ht="13.95" customHeight="1" thickBot="1" x14ac:dyDescent="0.3">
      <c r="A124" s="76"/>
      <c r="B124" s="32" t="s">
        <v>20</v>
      </c>
      <c r="C124" s="41">
        <v>98000</v>
      </c>
      <c r="D124" s="41">
        <f t="shared" si="43"/>
        <v>98000</v>
      </c>
      <c r="E124" s="41">
        <f t="shared" si="43"/>
        <v>98000</v>
      </c>
      <c r="F124" s="41">
        <f t="shared" si="43"/>
        <v>98000</v>
      </c>
      <c r="G124" s="41">
        <f t="shared" si="43"/>
        <v>98000</v>
      </c>
      <c r="H124" s="41">
        <f t="shared" si="43"/>
        <v>98000</v>
      </c>
      <c r="I124" s="41">
        <f t="shared" si="43"/>
        <v>98000</v>
      </c>
      <c r="J124" s="41">
        <f t="shared" si="43"/>
        <v>98000</v>
      </c>
      <c r="K124" s="41">
        <f t="shared" si="43"/>
        <v>98000</v>
      </c>
      <c r="L124" s="41">
        <f t="shared" si="43"/>
        <v>98000</v>
      </c>
      <c r="M124" s="41">
        <f t="shared" si="43"/>
        <v>98000</v>
      </c>
      <c r="N124" s="41">
        <f t="shared" si="43"/>
        <v>98000</v>
      </c>
      <c r="O124" s="41">
        <f t="shared" si="43"/>
        <v>98000</v>
      </c>
      <c r="P124" s="41">
        <f t="shared" si="43"/>
        <v>98000</v>
      </c>
      <c r="Q124" s="41">
        <f t="shared" si="43"/>
        <v>98000</v>
      </c>
      <c r="R124" s="41">
        <f t="shared" si="43"/>
        <v>98000</v>
      </c>
      <c r="S124" s="41">
        <f t="shared" si="43"/>
        <v>98000</v>
      </c>
      <c r="T124" s="41">
        <f t="shared" si="44"/>
        <v>98000</v>
      </c>
      <c r="U124" s="41">
        <f t="shared" si="44"/>
        <v>98000</v>
      </c>
      <c r="V124" s="41">
        <f t="shared" si="44"/>
        <v>98000</v>
      </c>
      <c r="W124" s="41">
        <f t="shared" si="44"/>
        <v>98000</v>
      </c>
      <c r="X124" s="41">
        <f t="shared" si="44"/>
        <v>98000</v>
      </c>
      <c r="Y124" s="41">
        <f t="shared" si="44"/>
        <v>98000</v>
      </c>
      <c r="Z124" s="41">
        <f t="shared" si="44"/>
        <v>98000</v>
      </c>
      <c r="AA124" s="45">
        <v>4</v>
      </c>
      <c r="AB124" s="30">
        <f t="shared" si="36"/>
        <v>9408000</v>
      </c>
      <c r="AC124" s="73"/>
      <c r="AF124" s="31"/>
    </row>
    <row r="125" spans="1:32" ht="13.95" customHeight="1" thickBot="1" x14ac:dyDescent="0.3">
      <c r="A125" s="76"/>
      <c r="B125" s="32" t="s">
        <v>21</v>
      </c>
      <c r="C125" s="41">
        <v>98000</v>
      </c>
      <c r="D125" s="41">
        <f t="shared" si="43"/>
        <v>98000</v>
      </c>
      <c r="E125" s="41">
        <f t="shared" si="43"/>
        <v>98000</v>
      </c>
      <c r="F125" s="41">
        <f t="shared" si="43"/>
        <v>98000</v>
      </c>
      <c r="G125" s="41">
        <f t="shared" si="43"/>
        <v>98000</v>
      </c>
      <c r="H125" s="41">
        <f t="shared" si="43"/>
        <v>98000</v>
      </c>
      <c r="I125" s="41">
        <f t="shared" si="43"/>
        <v>98000</v>
      </c>
      <c r="J125" s="41">
        <f t="shared" si="43"/>
        <v>98000</v>
      </c>
      <c r="K125" s="41">
        <f t="shared" si="43"/>
        <v>98000</v>
      </c>
      <c r="L125" s="41">
        <f t="shared" si="43"/>
        <v>98000</v>
      </c>
      <c r="M125" s="41">
        <f t="shared" si="43"/>
        <v>98000</v>
      </c>
      <c r="N125" s="41">
        <f t="shared" si="43"/>
        <v>98000</v>
      </c>
      <c r="O125" s="41">
        <f t="shared" si="43"/>
        <v>98000</v>
      </c>
      <c r="P125" s="41">
        <f t="shared" si="43"/>
        <v>98000</v>
      </c>
      <c r="Q125" s="41">
        <f t="shared" si="43"/>
        <v>98000</v>
      </c>
      <c r="R125" s="41">
        <f t="shared" si="43"/>
        <v>98000</v>
      </c>
      <c r="S125" s="41">
        <f t="shared" si="43"/>
        <v>98000</v>
      </c>
      <c r="T125" s="41">
        <f t="shared" si="44"/>
        <v>98000</v>
      </c>
      <c r="U125" s="41">
        <f t="shared" si="44"/>
        <v>98000</v>
      </c>
      <c r="V125" s="41">
        <f t="shared" si="44"/>
        <v>98000</v>
      </c>
      <c r="W125" s="41">
        <f t="shared" si="44"/>
        <v>98000</v>
      </c>
      <c r="X125" s="41">
        <f t="shared" si="44"/>
        <v>98000</v>
      </c>
      <c r="Y125" s="41">
        <f t="shared" si="44"/>
        <v>98000</v>
      </c>
      <c r="Z125" s="41">
        <f t="shared" si="44"/>
        <v>98000</v>
      </c>
      <c r="AA125" s="45">
        <v>6</v>
      </c>
      <c r="AB125" s="30">
        <f t="shared" si="36"/>
        <v>14112000</v>
      </c>
      <c r="AC125" s="74"/>
      <c r="AF125" s="31"/>
    </row>
    <row r="126" spans="1:32" ht="14.4" customHeight="1" thickTop="1" thickBot="1" x14ac:dyDescent="0.3">
      <c r="A126" s="75">
        <v>49796</v>
      </c>
      <c r="B126" s="34" t="s">
        <v>19</v>
      </c>
      <c r="C126" s="41">
        <v>98000</v>
      </c>
      <c r="D126" s="41">
        <f t="shared" si="43"/>
        <v>98000</v>
      </c>
      <c r="E126" s="41">
        <f t="shared" si="43"/>
        <v>98000</v>
      </c>
      <c r="F126" s="41">
        <f t="shared" si="43"/>
        <v>98000</v>
      </c>
      <c r="G126" s="41">
        <f t="shared" si="43"/>
        <v>98000</v>
      </c>
      <c r="H126" s="41">
        <f t="shared" si="43"/>
        <v>98000</v>
      </c>
      <c r="I126" s="41">
        <f t="shared" si="43"/>
        <v>98000</v>
      </c>
      <c r="J126" s="41">
        <f t="shared" si="43"/>
        <v>98000</v>
      </c>
      <c r="K126" s="41">
        <f t="shared" si="43"/>
        <v>98000</v>
      </c>
      <c r="L126" s="41">
        <f t="shared" si="43"/>
        <v>98000</v>
      </c>
      <c r="M126" s="41">
        <f t="shared" si="43"/>
        <v>98000</v>
      </c>
      <c r="N126" s="41">
        <f t="shared" si="43"/>
        <v>98000</v>
      </c>
      <c r="O126" s="41">
        <f t="shared" si="43"/>
        <v>98000</v>
      </c>
      <c r="P126" s="41">
        <f t="shared" si="43"/>
        <v>98000</v>
      </c>
      <c r="Q126" s="41">
        <f t="shared" si="43"/>
        <v>98000</v>
      </c>
      <c r="R126" s="41">
        <f t="shared" si="43"/>
        <v>98000</v>
      </c>
      <c r="S126" s="41">
        <f t="shared" si="43"/>
        <v>98000</v>
      </c>
      <c r="T126" s="41">
        <f t="shared" si="44"/>
        <v>98000</v>
      </c>
      <c r="U126" s="41">
        <f t="shared" si="44"/>
        <v>98000</v>
      </c>
      <c r="V126" s="41">
        <f t="shared" si="44"/>
        <v>98000</v>
      </c>
      <c r="W126" s="41">
        <f t="shared" si="44"/>
        <v>98000</v>
      </c>
      <c r="X126" s="41">
        <f t="shared" si="44"/>
        <v>98000</v>
      </c>
      <c r="Y126" s="41">
        <f t="shared" si="44"/>
        <v>98000</v>
      </c>
      <c r="Z126" s="41">
        <f t="shared" si="44"/>
        <v>98000</v>
      </c>
      <c r="AA126" s="45">
        <v>20</v>
      </c>
      <c r="AB126" s="30">
        <f t="shared" si="36"/>
        <v>47040000</v>
      </c>
      <c r="AC126" s="72">
        <f t="shared" si="38"/>
        <v>72912000</v>
      </c>
      <c r="AF126" s="31"/>
    </row>
    <row r="127" spans="1:32" ht="13.95" customHeight="1" thickBot="1" x14ac:dyDescent="0.3">
      <c r="A127" s="76"/>
      <c r="B127" s="32" t="s">
        <v>20</v>
      </c>
      <c r="C127" s="41">
        <v>98000</v>
      </c>
      <c r="D127" s="41">
        <f t="shared" si="43"/>
        <v>98000</v>
      </c>
      <c r="E127" s="41">
        <f t="shared" si="43"/>
        <v>98000</v>
      </c>
      <c r="F127" s="41">
        <f t="shared" si="43"/>
        <v>98000</v>
      </c>
      <c r="G127" s="41">
        <f t="shared" si="43"/>
        <v>98000</v>
      </c>
      <c r="H127" s="41">
        <f t="shared" si="43"/>
        <v>98000</v>
      </c>
      <c r="I127" s="41">
        <f t="shared" si="43"/>
        <v>98000</v>
      </c>
      <c r="J127" s="41">
        <f t="shared" si="43"/>
        <v>98000</v>
      </c>
      <c r="K127" s="41">
        <f t="shared" si="43"/>
        <v>98000</v>
      </c>
      <c r="L127" s="41">
        <f t="shared" si="43"/>
        <v>98000</v>
      </c>
      <c r="M127" s="41">
        <f t="shared" si="43"/>
        <v>98000</v>
      </c>
      <c r="N127" s="41">
        <f t="shared" si="43"/>
        <v>98000</v>
      </c>
      <c r="O127" s="41">
        <f t="shared" si="43"/>
        <v>98000</v>
      </c>
      <c r="P127" s="41">
        <f t="shared" si="43"/>
        <v>98000</v>
      </c>
      <c r="Q127" s="41">
        <f t="shared" si="43"/>
        <v>98000</v>
      </c>
      <c r="R127" s="41">
        <f t="shared" si="43"/>
        <v>98000</v>
      </c>
      <c r="S127" s="41">
        <f t="shared" si="43"/>
        <v>98000</v>
      </c>
      <c r="T127" s="41">
        <f t="shared" si="44"/>
        <v>98000</v>
      </c>
      <c r="U127" s="41">
        <f t="shared" si="44"/>
        <v>98000</v>
      </c>
      <c r="V127" s="41">
        <f t="shared" si="44"/>
        <v>98000</v>
      </c>
      <c r="W127" s="41">
        <f t="shared" si="44"/>
        <v>98000</v>
      </c>
      <c r="X127" s="41">
        <f t="shared" si="44"/>
        <v>98000</v>
      </c>
      <c r="Y127" s="41">
        <f t="shared" si="44"/>
        <v>98000</v>
      </c>
      <c r="Z127" s="41">
        <f t="shared" si="44"/>
        <v>98000</v>
      </c>
      <c r="AA127" s="45">
        <v>5</v>
      </c>
      <c r="AB127" s="30">
        <f t="shared" si="36"/>
        <v>11760000</v>
      </c>
      <c r="AC127" s="73"/>
      <c r="AF127" s="31"/>
    </row>
    <row r="128" spans="1:32" ht="13.95" customHeight="1" thickBot="1" x14ac:dyDescent="0.3">
      <c r="A128" s="76"/>
      <c r="B128" s="32" t="s">
        <v>21</v>
      </c>
      <c r="C128" s="41">
        <v>98000</v>
      </c>
      <c r="D128" s="41">
        <f t="shared" si="43"/>
        <v>98000</v>
      </c>
      <c r="E128" s="41">
        <f t="shared" si="43"/>
        <v>98000</v>
      </c>
      <c r="F128" s="41">
        <f t="shared" si="43"/>
        <v>98000</v>
      </c>
      <c r="G128" s="41">
        <f t="shared" si="43"/>
        <v>98000</v>
      </c>
      <c r="H128" s="41">
        <f t="shared" si="43"/>
        <v>98000</v>
      </c>
      <c r="I128" s="41">
        <f t="shared" si="43"/>
        <v>98000</v>
      </c>
      <c r="J128" s="41">
        <f t="shared" si="43"/>
        <v>98000</v>
      </c>
      <c r="K128" s="41">
        <f t="shared" si="43"/>
        <v>98000</v>
      </c>
      <c r="L128" s="41">
        <f t="shared" si="43"/>
        <v>98000</v>
      </c>
      <c r="M128" s="41">
        <f t="shared" si="43"/>
        <v>98000</v>
      </c>
      <c r="N128" s="41">
        <f t="shared" si="43"/>
        <v>98000</v>
      </c>
      <c r="O128" s="41">
        <f t="shared" si="43"/>
        <v>98000</v>
      </c>
      <c r="P128" s="41">
        <f t="shared" si="43"/>
        <v>98000</v>
      </c>
      <c r="Q128" s="41">
        <f t="shared" si="43"/>
        <v>98000</v>
      </c>
      <c r="R128" s="41">
        <f t="shared" si="43"/>
        <v>98000</v>
      </c>
      <c r="S128" s="41">
        <f t="shared" si="43"/>
        <v>98000</v>
      </c>
      <c r="T128" s="41">
        <f t="shared" si="44"/>
        <v>98000</v>
      </c>
      <c r="U128" s="41">
        <f t="shared" si="44"/>
        <v>98000</v>
      </c>
      <c r="V128" s="41">
        <f t="shared" si="44"/>
        <v>98000</v>
      </c>
      <c r="W128" s="41">
        <f t="shared" si="44"/>
        <v>98000</v>
      </c>
      <c r="X128" s="41">
        <f t="shared" si="44"/>
        <v>98000</v>
      </c>
      <c r="Y128" s="41">
        <f t="shared" si="44"/>
        <v>98000</v>
      </c>
      <c r="Z128" s="41">
        <f t="shared" si="44"/>
        <v>98000</v>
      </c>
      <c r="AA128" s="45">
        <v>6</v>
      </c>
      <c r="AB128" s="30">
        <f t="shared" si="36"/>
        <v>14112000</v>
      </c>
      <c r="AC128" s="74"/>
      <c r="AF128" s="31"/>
    </row>
    <row r="129" spans="1:32" ht="14.4" customHeight="1" thickTop="1" thickBot="1" x14ac:dyDescent="0.3">
      <c r="A129" s="75">
        <v>49827</v>
      </c>
      <c r="B129" s="35" t="s">
        <v>19</v>
      </c>
      <c r="C129" s="41">
        <v>98000</v>
      </c>
      <c r="D129" s="41">
        <f t="shared" si="43"/>
        <v>98000</v>
      </c>
      <c r="E129" s="41">
        <f t="shared" si="43"/>
        <v>98000</v>
      </c>
      <c r="F129" s="41">
        <f t="shared" si="43"/>
        <v>98000</v>
      </c>
      <c r="G129" s="41">
        <f t="shared" si="43"/>
        <v>98000</v>
      </c>
      <c r="H129" s="41">
        <f t="shared" si="43"/>
        <v>98000</v>
      </c>
      <c r="I129" s="41">
        <f t="shared" si="43"/>
        <v>98000</v>
      </c>
      <c r="J129" s="41">
        <f t="shared" si="43"/>
        <v>98000</v>
      </c>
      <c r="K129" s="41">
        <f t="shared" si="43"/>
        <v>98000</v>
      </c>
      <c r="L129" s="41">
        <f t="shared" si="43"/>
        <v>98000</v>
      </c>
      <c r="M129" s="41">
        <f t="shared" si="43"/>
        <v>98000</v>
      </c>
      <c r="N129" s="41">
        <f t="shared" si="43"/>
        <v>98000</v>
      </c>
      <c r="O129" s="41">
        <f t="shared" si="43"/>
        <v>98000</v>
      </c>
      <c r="P129" s="41">
        <f t="shared" si="43"/>
        <v>98000</v>
      </c>
      <c r="Q129" s="41">
        <f t="shared" si="43"/>
        <v>98000</v>
      </c>
      <c r="R129" s="41">
        <f t="shared" si="43"/>
        <v>98000</v>
      </c>
      <c r="S129" s="41">
        <f t="shared" si="43"/>
        <v>98000</v>
      </c>
      <c r="T129" s="41">
        <f t="shared" si="44"/>
        <v>98000</v>
      </c>
      <c r="U129" s="41">
        <f t="shared" si="44"/>
        <v>98000</v>
      </c>
      <c r="V129" s="41">
        <f t="shared" si="44"/>
        <v>98000</v>
      </c>
      <c r="W129" s="41">
        <f t="shared" si="44"/>
        <v>98000</v>
      </c>
      <c r="X129" s="41">
        <f t="shared" si="44"/>
        <v>98000</v>
      </c>
      <c r="Y129" s="41">
        <f t="shared" si="44"/>
        <v>98000</v>
      </c>
      <c r="Z129" s="41">
        <f t="shared" si="44"/>
        <v>98000</v>
      </c>
      <c r="AA129" s="45">
        <v>18</v>
      </c>
      <c r="AB129" s="30">
        <f t="shared" si="36"/>
        <v>42336000</v>
      </c>
      <c r="AC129" s="72">
        <f t="shared" si="38"/>
        <v>70560000</v>
      </c>
      <c r="AF129" s="31"/>
    </row>
    <row r="130" spans="1:32" ht="13.95" customHeight="1" thickBot="1" x14ac:dyDescent="0.3">
      <c r="A130" s="76"/>
      <c r="B130" s="32" t="s">
        <v>20</v>
      </c>
      <c r="C130" s="41">
        <v>98000</v>
      </c>
      <c r="D130" s="41">
        <f t="shared" ref="D130:S145" si="45">+C130</f>
        <v>98000</v>
      </c>
      <c r="E130" s="41">
        <f t="shared" si="45"/>
        <v>98000</v>
      </c>
      <c r="F130" s="41">
        <f t="shared" si="45"/>
        <v>98000</v>
      </c>
      <c r="G130" s="41">
        <f t="shared" si="45"/>
        <v>98000</v>
      </c>
      <c r="H130" s="41">
        <f t="shared" si="45"/>
        <v>98000</v>
      </c>
      <c r="I130" s="41">
        <f t="shared" si="45"/>
        <v>98000</v>
      </c>
      <c r="J130" s="41">
        <f t="shared" si="45"/>
        <v>98000</v>
      </c>
      <c r="K130" s="41">
        <f t="shared" si="45"/>
        <v>98000</v>
      </c>
      <c r="L130" s="41">
        <f t="shared" si="45"/>
        <v>98000</v>
      </c>
      <c r="M130" s="41">
        <f t="shared" si="45"/>
        <v>98000</v>
      </c>
      <c r="N130" s="41">
        <f t="shared" si="45"/>
        <v>98000</v>
      </c>
      <c r="O130" s="41">
        <f t="shared" si="45"/>
        <v>98000</v>
      </c>
      <c r="P130" s="41">
        <f t="shared" si="45"/>
        <v>98000</v>
      </c>
      <c r="Q130" s="41">
        <f t="shared" si="45"/>
        <v>98000</v>
      </c>
      <c r="R130" s="41">
        <f t="shared" si="45"/>
        <v>98000</v>
      </c>
      <c r="S130" s="41">
        <f t="shared" si="45"/>
        <v>98000</v>
      </c>
      <c r="T130" s="41">
        <f t="shared" si="44"/>
        <v>98000</v>
      </c>
      <c r="U130" s="41">
        <f t="shared" si="44"/>
        <v>98000</v>
      </c>
      <c r="V130" s="41">
        <f t="shared" si="44"/>
        <v>98000</v>
      </c>
      <c r="W130" s="41">
        <f t="shared" si="44"/>
        <v>98000</v>
      </c>
      <c r="X130" s="41">
        <f t="shared" si="44"/>
        <v>98000</v>
      </c>
      <c r="Y130" s="41">
        <f t="shared" si="44"/>
        <v>98000</v>
      </c>
      <c r="Z130" s="41">
        <f t="shared" si="44"/>
        <v>98000</v>
      </c>
      <c r="AA130" s="45">
        <v>4</v>
      </c>
      <c r="AB130" s="30">
        <f t="shared" si="36"/>
        <v>9408000</v>
      </c>
      <c r="AC130" s="73"/>
      <c r="AF130" s="31"/>
    </row>
    <row r="131" spans="1:32" ht="13.95" customHeight="1" thickBot="1" x14ac:dyDescent="0.3">
      <c r="A131" s="76"/>
      <c r="B131" s="32" t="s">
        <v>21</v>
      </c>
      <c r="C131" s="41">
        <v>98000</v>
      </c>
      <c r="D131" s="41">
        <f t="shared" si="45"/>
        <v>98000</v>
      </c>
      <c r="E131" s="41">
        <f t="shared" si="45"/>
        <v>98000</v>
      </c>
      <c r="F131" s="41">
        <f t="shared" si="45"/>
        <v>98000</v>
      </c>
      <c r="G131" s="41">
        <f t="shared" si="45"/>
        <v>98000</v>
      </c>
      <c r="H131" s="41">
        <f t="shared" si="45"/>
        <v>98000</v>
      </c>
      <c r="I131" s="41">
        <f t="shared" si="45"/>
        <v>98000</v>
      </c>
      <c r="J131" s="41">
        <f t="shared" si="45"/>
        <v>98000</v>
      </c>
      <c r="K131" s="41">
        <f t="shared" si="45"/>
        <v>98000</v>
      </c>
      <c r="L131" s="41">
        <f t="shared" si="45"/>
        <v>98000</v>
      </c>
      <c r="M131" s="41">
        <f t="shared" si="45"/>
        <v>98000</v>
      </c>
      <c r="N131" s="41">
        <f t="shared" si="45"/>
        <v>98000</v>
      </c>
      <c r="O131" s="41">
        <f t="shared" si="45"/>
        <v>98000</v>
      </c>
      <c r="P131" s="41">
        <f t="shared" si="45"/>
        <v>98000</v>
      </c>
      <c r="Q131" s="41">
        <f t="shared" si="45"/>
        <v>98000</v>
      </c>
      <c r="R131" s="41">
        <f t="shared" si="45"/>
        <v>98000</v>
      </c>
      <c r="S131" s="41">
        <f t="shared" si="45"/>
        <v>98000</v>
      </c>
      <c r="T131" s="41">
        <f t="shared" si="44"/>
        <v>98000</v>
      </c>
      <c r="U131" s="41">
        <f t="shared" si="44"/>
        <v>98000</v>
      </c>
      <c r="V131" s="41">
        <f t="shared" si="44"/>
        <v>98000</v>
      </c>
      <c r="W131" s="41">
        <f t="shared" si="44"/>
        <v>98000</v>
      </c>
      <c r="X131" s="41">
        <f t="shared" si="44"/>
        <v>98000</v>
      </c>
      <c r="Y131" s="41">
        <f t="shared" si="44"/>
        <v>98000</v>
      </c>
      <c r="Z131" s="41">
        <f t="shared" si="44"/>
        <v>98000</v>
      </c>
      <c r="AA131" s="45">
        <v>8</v>
      </c>
      <c r="AB131" s="30">
        <f t="shared" si="36"/>
        <v>18816000</v>
      </c>
      <c r="AC131" s="74"/>
      <c r="AF131" s="31"/>
    </row>
    <row r="132" spans="1:32" ht="14.4" customHeight="1" thickTop="1" thickBot="1" x14ac:dyDescent="0.3">
      <c r="A132" s="75">
        <v>49857</v>
      </c>
      <c r="B132" s="34" t="s">
        <v>19</v>
      </c>
      <c r="C132" s="41">
        <v>98000</v>
      </c>
      <c r="D132" s="41">
        <f t="shared" si="45"/>
        <v>98000</v>
      </c>
      <c r="E132" s="41">
        <f t="shared" si="45"/>
        <v>98000</v>
      </c>
      <c r="F132" s="41">
        <f t="shared" si="45"/>
        <v>98000</v>
      </c>
      <c r="G132" s="41">
        <f t="shared" si="45"/>
        <v>98000</v>
      </c>
      <c r="H132" s="41">
        <f t="shared" si="45"/>
        <v>98000</v>
      </c>
      <c r="I132" s="41">
        <f t="shared" si="45"/>
        <v>98000</v>
      </c>
      <c r="J132" s="41">
        <f t="shared" si="45"/>
        <v>98000</v>
      </c>
      <c r="K132" s="41">
        <f t="shared" si="45"/>
        <v>98000</v>
      </c>
      <c r="L132" s="41">
        <f t="shared" si="45"/>
        <v>98000</v>
      </c>
      <c r="M132" s="41">
        <f t="shared" si="45"/>
        <v>98000</v>
      </c>
      <c r="N132" s="41">
        <f t="shared" si="45"/>
        <v>98000</v>
      </c>
      <c r="O132" s="41">
        <f t="shared" si="45"/>
        <v>98000</v>
      </c>
      <c r="P132" s="41">
        <f t="shared" si="45"/>
        <v>98000</v>
      </c>
      <c r="Q132" s="41">
        <f t="shared" si="45"/>
        <v>98000</v>
      </c>
      <c r="R132" s="41">
        <f t="shared" si="45"/>
        <v>98000</v>
      </c>
      <c r="S132" s="41">
        <f t="shared" si="45"/>
        <v>98000</v>
      </c>
      <c r="T132" s="41">
        <f t="shared" si="44"/>
        <v>98000</v>
      </c>
      <c r="U132" s="41">
        <f t="shared" si="44"/>
        <v>98000</v>
      </c>
      <c r="V132" s="41">
        <f t="shared" si="44"/>
        <v>98000</v>
      </c>
      <c r="W132" s="41">
        <f t="shared" si="44"/>
        <v>98000</v>
      </c>
      <c r="X132" s="41">
        <f t="shared" si="44"/>
        <v>98000</v>
      </c>
      <c r="Y132" s="41">
        <f t="shared" si="44"/>
        <v>98000</v>
      </c>
      <c r="Z132" s="41">
        <f t="shared" si="44"/>
        <v>98000</v>
      </c>
      <c r="AA132" s="45">
        <v>23</v>
      </c>
      <c r="AB132" s="30">
        <f t="shared" si="36"/>
        <v>54096000</v>
      </c>
      <c r="AC132" s="72">
        <f t="shared" si="38"/>
        <v>72912000</v>
      </c>
      <c r="AF132" s="31"/>
    </row>
    <row r="133" spans="1:32" ht="13.95" customHeight="1" thickBot="1" x14ac:dyDescent="0.3">
      <c r="A133" s="76"/>
      <c r="B133" s="32" t="s">
        <v>20</v>
      </c>
      <c r="C133" s="41">
        <v>98000</v>
      </c>
      <c r="D133" s="41">
        <f t="shared" si="45"/>
        <v>98000</v>
      </c>
      <c r="E133" s="41">
        <f t="shared" si="45"/>
        <v>98000</v>
      </c>
      <c r="F133" s="41">
        <f t="shared" si="45"/>
        <v>98000</v>
      </c>
      <c r="G133" s="41">
        <f t="shared" si="45"/>
        <v>98000</v>
      </c>
      <c r="H133" s="41">
        <f t="shared" si="45"/>
        <v>98000</v>
      </c>
      <c r="I133" s="41">
        <f t="shared" si="45"/>
        <v>98000</v>
      </c>
      <c r="J133" s="41">
        <f t="shared" si="45"/>
        <v>98000</v>
      </c>
      <c r="K133" s="41">
        <f t="shared" si="45"/>
        <v>98000</v>
      </c>
      <c r="L133" s="41">
        <f t="shared" si="45"/>
        <v>98000</v>
      </c>
      <c r="M133" s="41">
        <f t="shared" si="45"/>
        <v>98000</v>
      </c>
      <c r="N133" s="41">
        <f t="shared" si="45"/>
        <v>98000</v>
      </c>
      <c r="O133" s="41">
        <f t="shared" si="45"/>
        <v>98000</v>
      </c>
      <c r="P133" s="41">
        <f t="shared" si="45"/>
        <v>98000</v>
      </c>
      <c r="Q133" s="41">
        <f t="shared" si="45"/>
        <v>98000</v>
      </c>
      <c r="R133" s="41">
        <f t="shared" si="45"/>
        <v>98000</v>
      </c>
      <c r="S133" s="41">
        <f t="shared" si="45"/>
        <v>98000</v>
      </c>
      <c r="T133" s="41">
        <f t="shared" si="44"/>
        <v>98000</v>
      </c>
      <c r="U133" s="41">
        <f t="shared" si="44"/>
        <v>98000</v>
      </c>
      <c r="V133" s="41">
        <f t="shared" si="44"/>
        <v>98000</v>
      </c>
      <c r="W133" s="41">
        <f t="shared" si="44"/>
        <v>98000</v>
      </c>
      <c r="X133" s="41">
        <f t="shared" si="44"/>
        <v>98000</v>
      </c>
      <c r="Y133" s="41">
        <f t="shared" si="44"/>
        <v>98000</v>
      </c>
      <c r="Z133" s="41">
        <f t="shared" si="44"/>
        <v>98000</v>
      </c>
      <c r="AA133" s="45">
        <v>4</v>
      </c>
      <c r="AB133" s="30">
        <f t="shared" si="36"/>
        <v>9408000</v>
      </c>
      <c r="AC133" s="73"/>
      <c r="AF133" s="31"/>
    </row>
    <row r="134" spans="1:32" ht="13.95" customHeight="1" thickBot="1" x14ac:dyDescent="0.3">
      <c r="A134" s="76"/>
      <c r="B134" s="32" t="s">
        <v>21</v>
      </c>
      <c r="C134" s="41">
        <v>98000</v>
      </c>
      <c r="D134" s="41">
        <f t="shared" si="45"/>
        <v>98000</v>
      </c>
      <c r="E134" s="41">
        <f t="shared" si="45"/>
        <v>98000</v>
      </c>
      <c r="F134" s="41">
        <f t="shared" si="45"/>
        <v>98000</v>
      </c>
      <c r="G134" s="41">
        <f t="shared" si="45"/>
        <v>98000</v>
      </c>
      <c r="H134" s="41">
        <f t="shared" si="45"/>
        <v>98000</v>
      </c>
      <c r="I134" s="41">
        <f t="shared" si="45"/>
        <v>98000</v>
      </c>
      <c r="J134" s="41">
        <f t="shared" si="45"/>
        <v>98000</v>
      </c>
      <c r="K134" s="41">
        <f t="shared" si="45"/>
        <v>98000</v>
      </c>
      <c r="L134" s="41">
        <f t="shared" si="45"/>
        <v>98000</v>
      </c>
      <c r="M134" s="41">
        <f t="shared" si="45"/>
        <v>98000</v>
      </c>
      <c r="N134" s="41">
        <f t="shared" si="45"/>
        <v>98000</v>
      </c>
      <c r="O134" s="41">
        <f t="shared" si="45"/>
        <v>98000</v>
      </c>
      <c r="P134" s="41">
        <f t="shared" si="45"/>
        <v>98000</v>
      </c>
      <c r="Q134" s="41">
        <f t="shared" si="45"/>
        <v>98000</v>
      </c>
      <c r="R134" s="41">
        <f t="shared" si="45"/>
        <v>98000</v>
      </c>
      <c r="S134" s="41">
        <f t="shared" si="45"/>
        <v>98000</v>
      </c>
      <c r="T134" s="41">
        <f t="shared" ref="T134:Z149" si="46">+S134</f>
        <v>98000</v>
      </c>
      <c r="U134" s="41">
        <f t="shared" si="46"/>
        <v>98000</v>
      </c>
      <c r="V134" s="41">
        <f t="shared" si="46"/>
        <v>98000</v>
      </c>
      <c r="W134" s="41">
        <f t="shared" si="46"/>
        <v>98000</v>
      </c>
      <c r="X134" s="41">
        <f t="shared" si="46"/>
        <v>98000</v>
      </c>
      <c r="Y134" s="41">
        <f t="shared" si="46"/>
        <v>98000</v>
      </c>
      <c r="Z134" s="41">
        <f t="shared" si="46"/>
        <v>98000</v>
      </c>
      <c r="AA134" s="45">
        <v>4</v>
      </c>
      <c r="AB134" s="30">
        <f t="shared" si="36"/>
        <v>9408000</v>
      </c>
      <c r="AC134" s="74"/>
      <c r="AF134" s="31"/>
    </row>
    <row r="135" spans="1:32" ht="14.4" customHeight="1" thickTop="1" thickBot="1" x14ac:dyDescent="0.3">
      <c r="A135" s="75">
        <v>49888</v>
      </c>
      <c r="B135" s="35" t="s">
        <v>19</v>
      </c>
      <c r="C135" s="41">
        <v>98000</v>
      </c>
      <c r="D135" s="41">
        <f t="shared" si="45"/>
        <v>98000</v>
      </c>
      <c r="E135" s="41">
        <f t="shared" si="45"/>
        <v>98000</v>
      </c>
      <c r="F135" s="41">
        <f t="shared" si="45"/>
        <v>98000</v>
      </c>
      <c r="G135" s="41">
        <f t="shared" si="45"/>
        <v>98000</v>
      </c>
      <c r="H135" s="41">
        <f t="shared" si="45"/>
        <v>98000</v>
      </c>
      <c r="I135" s="41">
        <f t="shared" si="45"/>
        <v>98000</v>
      </c>
      <c r="J135" s="41">
        <f t="shared" si="45"/>
        <v>98000</v>
      </c>
      <c r="K135" s="41">
        <f t="shared" si="45"/>
        <v>98000</v>
      </c>
      <c r="L135" s="41">
        <f t="shared" si="45"/>
        <v>98000</v>
      </c>
      <c r="M135" s="41">
        <f t="shared" si="45"/>
        <v>98000</v>
      </c>
      <c r="N135" s="41">
        <f t="shared" si="45"/>
        <v>98000</v>
      </c>
      <c r="O135" s="41">
        <f t="shared" si="45"/>
        <v>98000</v>
      </c>
      <c r="P135" s="41">
        <f t="shared" si="45"/>
        <v>98000</v>
      </c>
      <c r="Q135" s="41">
        <f t="shared" si="45"/>
        <v>98000</v>
      </c>
      <c r="R135" s="41">
        <f t="shared" si="45"/>
        <v>98000</v>
      </c>
      <c r="S135" s="41">
        <f t="shared" si="45"/>
        <v>98000</v>
      </c>
      <c r="T135" s="41">
        <f t="shared" si="46"/>
        <v>98000</v>
      </c>
      <c r="U135" s="41">
        <f t="shared" si="46"/>
        <v>98000</v>
      </c>
      <c r="V135" s="41">
        <f t="shared" si="46"/>
        <v>98000</v>
      </c>
      <c r="W135" s="41">
        <f t="shared" si="46"/>
        <v>98000</v>
      </c>
      <c r="X135" s="41">
        <f t="shared" si="46"/>
        <v>98000</v>
      </c>
      <c r="Y135" s="41">
        <f t="shared" si="46"/>
        <v>98000</v>
      </c>
      <c r="Z135" s="41">
        <f t="shared" si="46"/>
        <v>98000</v>
      </c>
      <c r="AA135" s="45">
        <v>19</v>
      </c>
      <c r="AB135" s="30">
        <f t="shared" si="36"/>
        <v>44688000</v>
      </c>
      <c r="AC135" s="72">
        <f t="shared" si="38"/>
        <v>72912000</v>
      </c>
      <c r="AF135" s="31"/>
    </row>
    <row r="136" spans="1:32" ht="13.95" customHeight="1" thickBot="1" x14ac:dyDescent="0.3">
      <c r="A136" s="76"/>
      <c r="B136" s="32" t="s">
        <v>20</v>
      </c>
      <c r="C136" s="41">
        <v>98000</v>
      </c>
      <c r="D136" s="41">
        <f t="shared" si="45"/>
        <v>98000</v>
      </c>
      <c r="E136" s="41">
        <f t="shared" si="45"/>
        <v>98000</v>
      </c>
      <c r="F136" s="41">
        <f t="shared" si="45"/>
        <v>98000</v>
      </c>
      <c r="G136" s="41">
        <f t="shared" si="45"/>
        <v>98000</v>
      </c>
      <c r="H136" s="41">
        <f t="shared" si="45"/>
        <v>98000</v>
      </c>
      <c r="I136" s="41">
        <f t="shared" si="45"/>
        <v>98000</v>
      </c>
      <c r="J136" s="41">
        <f t="shared" si="45"/>
        <v>98000</v>
      </c>
      <c r="K136" s="41">
        <f t="shared" si="45"/>
        <v>98000</v>
      </c>
      <c r="L136" s="41">
        <f t="shared" si="45"/>
        <v>98000</v>
      </c>
      <c r="M136" s="41">
        <f t="shared" si="45"/>
        <v>98000</v>
      </c>
      <c r="N136" s="41">
        <f t="shared" si="45"/>
        <v>98000</v>
      </c>
      <c r="O136" s="41">
        <f t="shared" si="45"/>
        <v>98000</v>
      </c>
      <c r="P136" s="41">
        <f t="shared" si="45"/>
        <v>98000</v>
      </c>
      <c r="Q136" s="41">
        <f t="shared" si="45"/>
        <v>98000</v>
      </c>
      <c r="R136" s="41">
        <f t="shared" si="45"/>
        <v>98000</v>
      </c>
      <c r="S136" s="41">
        <f t="shared" si="45"/>
        <v>98000</v>
      </c>
      <c r="T136" s="41">
        <f t="shared" si="46"/>
        <v>98000</v>
      </c>
      <c r="U136" s="41">
        <f t="shared" si="46"/>
        <v>98000</v>
      </c>
      <c r="V136" s="41">
        <f t="shared" si="46"/>
        <v>98000</v>
      </c>
      <c r="W136" s="41">
        <f t="shared" si="46"/>
        <v>98000</v>
      </c>
      <c r="X136" s="41">
        <f t="shared" si="46"/>
        <v>98000</v>
      </c>
      <c r="Y136" s="41">
        <f t="shared" si="46"/>
        <v>98000</v>
      </c>
      <c r="Z136" s="41">
        <f t="shared" si="46"/>
        <v>98000</v>
      </c>
      <c r="AA136" s="45">
        <v>5</v>
      </c>
      <c r="AB136" s="30">
        <f t="shared" si="36"/>
        <v>11760000</v>
      </c>
      <c r="AC136" s="73"/>
      <c r="AF136" s="31"/>
    </row>
    <row r="137" spans="1:32" ht="13.95" customHeight="1" thickBot="1" x14ac:dyDescent="0.3">
      <c r="A137" s="76"/>
      <c r="B137" s="32" t="s">
        <v>21</v>
      </c>
      <c r="C137" s="41">
        <v>98000</v>
      </c>
      <c r="D137" s="41">
        <f t="shared" si="45"/>
        <v>98000</v>
      </c>
      <c r="E137" s="41">
        <f t="shared" si="45"/>
        <v>98000</v>
      </c>
      <c r="F137" s="41">
        <f t="shared" si="45"/>
        <v>98000</v>
      </c>
      <c r="G137" s="41">
        <f t="shared" si="45"/>
        <v>98000</v>
      </c>
      <c r="H137" s="41">
        <f t="shared" si="45"/>
        <v>98000</v>
      </c>
      <c r="I137" s="41">
        <f t="shared" si="45"/>
        <v>98000</v>
      </c>
      <c r="J137" s="41">
        <f t="shared" si="45"/>
        <v>98000</v>
      </c>
      <c r="K137" s="41">
        <f t="shared" si="45"/>
        <v>98000</v>
      </c>
      <c r="L137" s="41">
        <f t="shared" si="45"/>
        <v>98000</v>
      </c>
      <c r="M137" s="41">
        <f t="shared" si="45"/>
        <v>98000</v>
      </c>
      <c r="N137" s="41">
        <f t="shared" si="45"/>
        <v>98000</v>
      </c>
      <c r="O137" s="41">
        <f t="shared" si="45"/>
        <v>98000</v>
      </c>
      <c r="P137" s="41">
        <f t="shared" si="45"/>
        <v>98000</v>
      </c>
      <c r="Q137" s="41">
        <f t="shared" si="45"/>
        <v>98000</v>
      </c>
      <c r="R137" s="41">
        <f t="shared" si="45"/>
        <v>98000</v>
      </c>
      <c r="S137" s="41">
        <f t="shared" si="45"/>
        <v>98000</v>
      </c>
      <c r="T137" s="41">
        <f t="shared" si="46"/>
        <v>98000</v>
      </c>
      <c r="U137" s="41">
        <f t="shared" si="46"/>
        <v>98000</v>
      </c>
      <c r="V137" s="41">
        <f t="shared" si="46"/>
        <v>98000</v>
      </c>
      <c r="W137" s="41">
        <f t="shared" si="46"/>
        <v>98000</v>
      </c>
      <c r="X137" s="41">
        <f t="shared" si="46"/>
        <v>98000</v>
      </c>
      <c r="Y137" s="41">
        <f t="shared" si="46"/>
        <v>98000</v>
      </c>
      <c r="Z137" s="41">
        <f t="shared" si="46"/>
        <v>98000</v>
      </c>
      <c r="AA137" s="45">
        <v>7</v>
      </c>
      <c r="AB137" s="30">
        <f t="shared" si="36"/>
        <v>16464000</v>
      </c>
      <c r="AC137" s="74"/>
      <c r="AF137" s="31"/>
    </row>
    <row r="138" spans="1:32" ht="14.4" customHeight="1" thickTop="1" thickBot="1" x14ac:dyDescent="0.3">
      <c r="A138" s="75">
        <v>49919</v>
      </c>
      <c r="B138" s="34" t="s">
        <v>19</v>
      </c>
      <c r="C138" s="41">
        <v>98000</v>
      </c>
      <c r="D138" s="41">
        <f t="shared" si="45"/>
        <v>98000</v>
      </c>
      <c r="E138" s="41">
        <f t="shared" si="45"/>
        <v>98000</v>
      </c>
      <c r="F138" s="41">
        <f t="shared" si="45"/>
        <v>98000</v>
      </c>
      <c r="G138" s="41">
        <f t="shared" si="45"/>
        <v>98000</v>
      </c>
      <c r="H138" s="41">
        <f t="shared" si="45"/>
        <v>98000</v>
      </c>
      <c r="I138" s="41">
        <f t="shared" si="45"/>
        <v>98000</v>
      </c>
      <c r="J138" s="41">
        <f t="shared" si="45"/>
        <v>98000</v>
      </c>
      <c r="K138" s="41">
        <f t="shared" si="45"/>
        <v>98000</v>
      </c>
      <c r="L138" s="41">
        <f t="shared" si="45"/>
        <v>98000</v>
      </c>
      <c r="M138" s="41">
        <f t="shared" si="45"/>
        <v>98000</v>
      </c>
      <c r="N138" s="41">
        <f t="shared" si="45"/>
        <v>98000</v>
      </c>
      <c r="O138" s="41">
        <f t="shared" si="45"/>
        <v>98000</v>
      </c>
      <c r="P138" s="41">
        <f t="shared" si="45"/>
        <v>98000</v>
      </c>
      <c r="Q138" s="41">
        <f t="shared" si="45"/>
        <v>98000</v>
      </c>
      <c r="R138" s="41">
        <f t="shared" si="45"/>
        <v>98000</v>
      </c>
      <c r="S138" s="41">
        <f t="shared" si="45"/>
        <v>98000</v>
      </c>
      <c r="T138" s="41">
        <f t="shared" si="46"/>
        <v>98000</v>
      </c>
      <c r="U138" s="41">
        <f t="shared" si="46"/>
        <v>98000</v>
      </c>
      <c r="V138" s="41">
        <f t="shared" si="46"/>
        <v>98000</v>
      </c>
      <c r="W138" s="41">
        <f t="shared" si="46"/>
        <v>98000</v>
      </c>
      <c r="X138" s="41">
        <f t="shared" si="46"/>
        <v>98000</v>
      </c>
      <c r="Y138" s="41">
        <f t="shared" si="46"/>
        <v>98000</v>
      </c>
      <c r="Z138" s="41">
        <f t="shared" si="46"/>
        <v>98000</v>
      </c>
      <c r="AA138" s="45">
        <v>22</v>
      </c>
      <c r="AB138" s="30">
        <f t="shared" si="36"/>
        <v>51744000</v>
      </c>
      <c r="AC138" s="72">
        <f t="shared" si="38"/>
        <v>70560000</v>
      </c>
      <c r="AF138" s="31"/>
    </row>
    <row r="139" spans="1:32" ht="13.95" customHeight="1" thickBot="1" x14ac:dyDescent="0.3">
      <c r="A139" s="76"/>
      <c r="B139" s="32" t="s">
        <v>20</v>
      </c>
      <c r="C139" s="41">
        <v>98000</v>
      </c>
      <c r="D139" s="41">
        <f t="shared" si="45"/>
        <v>98000</v>
      </c>
      <c r="E139" s="41">
        <f t="shared" si="45"/>
        <v>98000</v>
      </c>
      <c r="F139" s="41">
        <f t="shared" si="45"/>
        <v>98000</v>
      </c>
      <c r="G139" s="41">
        <f t="shared" si="45"/>
        <v>98000</v>
      </c>
      <c r="H139" s="41">
        <f t="shared" si="45"/>
        <v>98000</v>
      </c>
      <c r="I139" s="41">
        <f t="shared" si="45"/>
        <v>98000</v>
      </c>
      <c r="J139" s="41">
        <f t="shared" si="45"/>
        <v>98000</v>
      </c>
      <c r="K139" s="41">
        <f t="shared" si="45"/>
        <v>98000</v>
      </c>
      <c r="L139" s="41">
        <f t="shared" si="45"/>
        <v>98000</v>
      </c>
      <c r="M139" s="41">
        <f t="shared" si="45"/>
        <v>98000</v>
      </c>
      <c r="N139" s="41">
        <f t="shared" si="45"/>
        <v>98000</v>
      </c>
      <c r="O139" s="41">
        <f t="shared" si="45"/>
        <v>98000</v>
      </c>
      <c r="P139" s="41">
        <f t="shared" si="45"/>
        <v>98000</v>
      </c>
      <c r="Q139" s="41">
        <f t="shared" si="45"/>
        <v>98000</v>
      </c>
      <c r="R139" s="41">
        <f t="shared" si="45"/>
        <v>98000</v>
      </c>
      <c r="S139" s="41">
        <f t="shared" si="45"/>
        <v>98000</v>
      </c>
      <c r="T139" s="41">
        <f t="shared" si="46"/>
        <v>98000</v>
      </c>
      <c r="U139" s="41">
        <f t="shared" si="46"/>
        <v>98000</v>
      </c>
      <c r="V139" s="41">
        <f t="shared" si="46"/>
        <v>98000</v>
      </c>
      <c r="W139" s="41">
        <f t="shared" si="46"/>
        <v>98000</v>
      </c>
      <c r="X139" s="41">
        <f t="shared" si="46"/>
        <v>98000</v>
      </c>
      <c r="Y139" s="41">
        <f t="shared" si="46"/>
        <v>98000</v>
      </c>
      <c r="Z139" s="41">
        <f t="shared" si="46"/>
        <v>98000</v>
      </c>
      <c r="AA139" s="45">
        <v>4</v>
      </c>
      <c r="AB139" s="30">
        <f t="shared" si="36"/>
        <v>9408000</v>
      </c>
      <c r="AC139" s="73"/>
      <c r="AF139" s="31"/>
    </row>
    <row r="140" spans="1:32" ht="13.95" customHeight="1" thickBot="1" x14ac:dyDescent="0.3">
      <c r="A140" s="76"/>
      <c r="B140" s="32" t="s">
        <v>21</v>
      </c>
      <c r="C140" s="41">
        <v>98000</v>
      </c>
      <c r="D140" s="41">
        <f t="shared" si="45"/>
        <v>98000</v>
      </c>
      <c r="E140" s="41">
        <f t="shared" si="45"/>
        <v>98000</v>
      </c>
      <c r="F140" s="41">
        <f t="shared" si="45"/>
        <v>98000</v>
      </c>
      <c r="G140" s="41">
        <f t="shared" si="45"/>
        <v>98000</v>
      </c>
      <c r="H140" s="41">
        <f t="shared" si="45"/>
        <v>98000</v>
      </c>
      <c r="I140" s="41">
        <f t="shared" si="45"/>
        <v>98000</v>
      </c>
      <c r="J140" s="41">
        <f t="shared" si="45"/>
        <v>98000</v>
      </c>
      <c r="K140" s="41">
        <f t="shared" si="45"/>
        <v>98000</v>
      </c>
      <c r="L140" s="41">
        <f t="shared" si="45"/>
        <v>98000</v>
      </c>
      <c r="M140" s="41">
        <f t="shared" si="45"/>
        <v>98000</v>
      </c>
      <c r="N140" s="41">
        <f t="shared" si="45"/>
        <v>98000</v>
      </c>
      <c r="O140" s="41">
        <f t="shared" si="45"/>
        <v>98000</v>
      </c>
      <c r="P140" s="41">
        <f t="shared" si="45"/>
        <v>98000</v>
      </c>
      <c r="Q140" s="41">
        <f t="shared" si="45"/>
        <v>98000</v>
      </c>
      <c r="R140" s="41">
        <f t="shared" si="45"/>
        <v>98000</v>
      </c>
      <c r="S140" s="41">
        <f t="shared" si="45"/>
        <v>98000</v>
      </c>
      <c r="T140" s="41">
        <f t="shared" si="46"/>
        <v>98000</v>
      </c>
      <c r="U140" s="41">
        <f t="shared" si="46"/>
        <v>98000</v>
      </c>
      <c r="V140" s="41">
        <f t="shared" si="46"/>
        <v>98000</v>
      </c>
      <c r="W140" s="41">
        <f t="shared" si="46"/>
        <v>98000</v>
      </c>
      <c r="X140" s="41">
        <f t="shared" si="46"/>
        <v>98000</v>
      </c>
      <c r="Y140" s="41">
        <f t="shared" si="46"/>
        <v>98000</v>
      </c>
      <c r="Z140" s="41">
        <f t="shared" si="46"/>
        <v>98000</v>
      </c>
      <c r="AA140" s="45">
        <v>4</v>
      </c>
      <c r="AB140" s="30">
        <f t="shared" si="36"/>
        <v>9408000</v>
      </c>
      <c r="AC140" s="74"/>
      <c r="AF140" s="31"/>
    </row>
    <row r="141" spans="1:32" ht="14.4" customHeight="1" thickTop="1" thickBot="1" x14ac:dyDescent="0.3">
      <c r="A141" s="75">
        <v>49949</v>
      </c>
      <c r="B141" s="35" t="s">
        <v>19</v>
      </c>
      <c r="C141" s="41">
        <v>98000</v>
      </c>
      <c r="D141" s="41">
        <f t="shared" si="45"/>
        <v>98000</v>
      </c>
      <c r="E141" s="41">
        <f t="shared" si="45"/>
        <v>98000</v>
      </c>
      <c r="F141" s="41">
        <f t="shared" si="45"/>
        <v>98000</v>
      </c>
      <c r="G141" s="41">
        <f t="shared" si="45"/>
        <v>98000</v>
      </c>
      <c r="H141" s="41">
        <f t="shared" si="45"/>
        <v>98000</v>
      </c>
      <c r="I141" s="41">
        <f t="shared" si="45"/>
        <v>98000</v>
      </c>
      <c r="J141" s="41">
        <f t="shared" si="45"/>
        <v>98000</v>
      </c>
      <c r="K141" s="41">
        <f t="shared" si="45"/>
        <v>98000</v>
      </c>
      <c r="L141" s="41">
        <f t="shared" si="45"/>
        <v>98000</v>
      </c>
      <c r="M141" s="41">
        <f t="shared" si="45"/>
        <v>98000</v>
      </c>
      <c r="N141" s="41">
        <f t="shared" si="45"/>
        <v>98000</v>
      </c>
      <c r="O141" s="41">
        <f t="shared" si="45"/>
        <v>98000</v>
      </c>
      <c r="P141" s="41">
        <f t="shared" si="45"/>
        <v>98000</v>
      </c>
      <c r="Q141" s="41">
        <f t="shared" si="45"/>
        <v>98000</v>
      </c>
      <c r="R141" s="41">
        <f t="shared" si="45"/>
        <v>98000</v>
      </c>
      <c r="S141" s="41">
        <f t="shared" si="45"/>
        <v>98000</v>
      </c>
      <c r="T141" s="41">
        <f t="shared" si="46"/>
        <v>98000</v>
      </c>
      <c r="U141" s="41">
        <f t="shared" si="46"/>
        <v>98000</v>
      </c>
      <c r="V141" s="41">
        <f t="shared" si="46"/>
        <v>98000</v>
      </c>
      <c r="W141" s="41">
        <f t="shared" si="46"/>
        <v>98000</v>
      </c>
      <c r="X141" s="41">
        <f t="shared" si="46"/>
        <v>98000</v>
      </c>
      <c r="Y141" s="41">
        <f t="shared" si="46"/>
        <v>98000</v>
      </c>
      <c r="Z141" s="41">
        <f t="shared" si="46"/>
        <v>98000</v>
      </c>
      <c r="AA141" s="45">
        <v>22</v>
      </c>
      <c r="AB141" s="30">
        <f t="shared" ref="AB141:AB149" si="47">+SUM(C141:Z141)*AA141</f>
        <v>51744000</v>
      </c>
      <c r="AC141" s="72">
        <f t="shared" si="38"/>
        <v>72912000</v>
      </c>
      <c r="AF141" s="31"/>
    </row>
    <row r="142" spans="1:32" ht="13.95" customHeight="1" thickBot="1" x14ac:dyDescent="0.3">
      <c r="A142" s="76"/>
      <c r="B142" s="32" t="s">
        <v>20</v>
      </c>
      <c r="C142" s="41">
        <v>98000</v>
      </c>
      <c r="D142" s="41">
        <f t="shared" si="45"/>
        <v>98000</v>
      </c>
      <c r="E142" s="41">
        <f t="shared" si="45"/>
        <v>98000</v>
      </c>
      <c r="F142" s="41">
        <f t="shared" si="45"/>
        <v>98000</v>
      </c>
      <c r="G142" s="41">
        <f t="shared" si="45"/>
        <v>98000</v>
      </c>
      <c r="H142" s="41">
        <f t="shared" si="45"/>
        <v>98000</v>
      </c>
      <c r="I142" s="41">
        <f t="shared" si="45"/>
        <v>98000</v>
      </c>
      <c r="J142" s="41">
        <f t="shared" si="45"/>
        <v>98000</v>
      </c>
      <c r="K142" s="41">
        <f t="shared" si="45"/>
        <v>98000</v>
      </c>
      <c r="L142" s="41">
        <f t="shared" si="45"/>
        <v>98000</v>
      </c>
      <c r="M142" s="41">
        <f t="shared" si="45"/>
        <v>98000</v>
      </c>
      <c r="N142" s="41">
        <f t="shared" si="45"/>
        <v>98000</v>
      </c>
      <c r="O142" s="41">
        <f t="shared" si="45"/>
        <v>98000</v>
      </c>
      <c r="P142" s="41">
        <f t="shared" si="45"/>
        <v>98000</v>
      </c>
      <c r="Q142" s="41">
        <f t="shared" si="45"/>
        <v>98000</v>
      </c>
      <c r="R142" s="41">
        <f t="shared" si="45"/>
        <v>98000</v>
      </c>
      <c r="S142" s="41">
        <f t="shared" si="45"/>
        <v>98000</v>
      </c>
      <c r="T142" s="41">
        <f t="shared" si="46"/>
        <v>98000</v>
      </c>
      <c r="U142" s="41">
        <f t="shared" si="46"/>
        <v>98000</v>
      </c>
      <c r="V142" s="41">
        <f t="shared" si="46"/>
        <v>98000</v>
      </c>
      <c r="W142" s="41">
        <f t="shared" si="46"/>
        <v>98000</v>
      </c>
      <c r="X142" s="41">
        <f t="shared" si="46"/>
        <v>98000</v>
      </c>
      <c r="Y142" s="41">
        <f t="shared" si="46"/>
        <v>98000</v>
      </c>
      <c r="Z142" s="41">
        <f t="shared" si="46"/>
        <v>98000</v>
      </c>
      <c r="AA142" s="45">
        <v>4</v>
      </c>
      <c r="AB142" s="30">
        <f t="shared" si="47"/>
        <v>9408000</v>
      </c>
      <c r="AC142" s="73"/>
      <c r="AF142" s="31"/>
    </row>
    <row r="143" spans="1:32" ht="13.95" customHeight="1" thickBot="1" x14ac:dyDescent="0.3">
      <c r="A143" s="76"/>
      <c r="B143" s="32" t="s">
        <v>21</v>
      </c>
      <c r="C143" s="41">
        <v>98000</v>
      </c>
      <c r="D143" s="41">
        <f t="shared" si="45"/>
        <v>98000</v>
      </c>
      <c r="E143" s="41">
        <f t="shared" si="45"/>
        <v>98000</v>
      </c>
      <c r="F143" s="41">
        <f t="shared" si="45"/>
        <v>98000</v>
      </c>
      <c r="G143" s="41">
        <f t="shared" si="45"/>
        <v>98000</v>
      </c>
      <c r="H143" s="41">
        <f t="shared" si="45"/>
        <v>98000</v>
      </c>
      <c r="I143" s="41">
        <f t="shared" si="45"/>
        <v>98000</v>
      </c>
      <c r="J143" s="41">
        <f t="shared" si="45"/>
        <v>98000</v>
      </c>
      <c r="K143" s="41">
        <f t="shared" si="45"/>
        <v>98000</v>
      </c>
      <c r="L143" s="41">
        <f t="shared" si="45"/>
        <v>98000</v>
      </c>
      <c r="M143" s="41">
        <f t="shared" si="45"/>
        <v>98000</v>
      </c>
      <c r="N143" s="41">
        <f t="shared" si="45"/>
        <v>98000</v>
      </c>
      <c r="O143" s="41">
        <f t="shared" si="45"/>
        <v>98000</v>
      </c>
      <c r="P143" s="41">
        <f t="shared" si="45"/>
        <v>98000</v>
      </c>
      <c r="Q143" s="41">
        <f t="shared" si="45"/>
        <v>98000</v>
      </c>
      <c r="R143" s="41">
        <f t="shared" si="45"/>
        <v>98000</v>
      </c>
      <c r="S143" s="41">
        <f t="shared" si="45"/>
        <v>98000</v>
      </c>
      <c r="T143" s="41">
        <f t="shared" si="46"/>
        <v>98000</v>
      </c>
      <c r="U143" s="41">
        <f t="shared" si="46"/>
        <v>98000</v>
      </c>
      <c r="V143" s="41">
        <f t="shared" si="46"/>
        <v>98000</v>
      </c>
      <c r="W143" s="41">
        <f t="shared" si="46"/>
        <v>98000</v>
      </c>
      <c r="X143" s="41">
        <f t="shared" si="46"/>
        <v>98000</v>
      </c>
      <c r="Y143" s="41">
        <f t="shared" si="46"/>
        <v>98000</v>
      </c>
      <c r="Z143" s="41">
        <f t="shared" si="46"/>
        <v>98000</v>
      </c>
      <c r="AA143" s="45">
        <v>5</v>
      </c>
      <c r="AB143" s="30">
        <f t="shared" si="47"/>
        <v>11760000</v>
      </c>
      <c r="AC143" s="74"/>
      <c r="AF143" s="31"/>
    </row>
    <row r="144" spans="1:32" ht="14.4" customHeight="1" thickTop="1" thickBot="1" x14ac:dyDescent="0.3">
      <c r="A144" s="75">
        <v>49980</v>
      </c>
      <c r="B144" s="34" t="s">
        <v>19</v>
      </c>
      <c r="C144" s="41">
        <v>98000</v>
      </c>
      <c r="D144" s="41">
        <f t="shared" si="45"/>
        <v>98000</v>
      </c>
      <c r="E144" s="41">
        <f t="shared" si="45"/>
        <v>98000</v>
      </c>
      <c r="F144" s="41">
        <f t="shared" si="45"/>
        <v>98000</v>
      </c>
      <c r="G144" s="41">
        <f t="shared" si="45"/>
        <v>98000</v>
      </c>
      <c r="H144" s="41">
        <f t="shared" si="45"/>
        <v>98000</v>
      </c>
      <c r="I144" s="41">
        <f t="shared" si="45"/>
        <v>98000</v>
      </c>
      <c r="J144" s="41">
        <f t="shared" si="45"/>
        <v>98000</v>
      </c>
      <c r="K144" s="41">
        <f t="shared" si="45"/>
        <v>98000</v>
      </c>
      <c r="L144" s="41">
        <f t="shared" si="45"/>
        <v>98000</v>
      </c>
      <c r="M144" s="41">
        <f t="shared" si="45"/>
        <v>98000</v>
      </c>
      <c r="N144" s="41">
        <f t="shared" si="45"/>
        <v>98000</v>
      </c>
      <c r="O144" s="41">
        <f t="shared" si="45"/>
        <v>98000</v>
      </c>
      <c r="P144" s="41">
        <f t="shared" si="45"/>
        <v>98000</v>
      </c>
      <c r="Q144" s="41">
        <f t="shared" si="45"/>
        <v>98000</v>
      </c>
      <c r="R144" s="41">
        <f t="shared" si="45"/>
        <v>98000</v>
      </c>
      <c r="S144" s="41">
        <f t="shared" si="45"/>
        <v>98000</v>
      </c>
      <c r="T144" s="41">
        <f t="shared" si="46"/>
        <v>98000</v>
      </c>
      <c r="U144" s="41">
        <f t="shared" si="46"/>
        <v>98000</v>
      </c>
      <c r="V144" s="41">
        <f t="shared" si="46"/>
        <v>98000</v>
      </c>
      <c r="W144" s="41">
        <f t="shared" si="46"/>
        <v>98000</v>
      </c>
      <c r="X144" s="41">
        <f t="shared" si="46"/>
        <v>98000</v>
      </c>
      <c r="Y144" s="41">
        <f t="shared" si="46"/>
        <v>98000</v>
      </c>
      <c r="Z144" s="41">
        <f t="shared" si="46"/>
        <v>98000</v>
      </c>
      <c r="AA144" s="45">
        <v>19</v>
      </c>
      <c r="AB144" s="30">
        <f t="shared" si="47"/>
        <v>44688000</v>
      </c>
      <c r="AC144" s="72">
        <f t="shared" si="38"/>
        <v>70560000</v>
      </c>
      <c r="AF144" s="31"/>
    </row>
    <row r="145" spans="1:32" ht="13.95" customHeight="1" thickBot="1" x14ac:dyDescent="0.3">
      <c r="A145" s="76"/>
      <c r="B145" s="32" t="s">
        <v>20</v>
      </c>
      <c r="C145" s="41">
        <v>98000</v>
      </c>
      <c r="D145" s="41">
        <f t="shared" si="45"/>
        <v>98000</v>
      </c>
      <c r="E145" s="41">
        <f t="shared" si="45"/>
        <v>98000</v>
      </c>
      <c r="F145" s="41">
        <f t="shared" si="45"/>
        <v>98000</v>
      </c>
      <c r="G145" s="41">
        <f t="shared" si="45"/>
        <v>98000</v>
      </c>
      <c r="H145" s="41">
        <f t="shared" si="45"/>
        <v>98000</v>
      </c>
      <c r="I145" s="41">
        <f t="shared" si="45"/>
        <v>98000</v>
      </c>
      <c r="J145" s="41">
        <f t="shared" si="45"/>
        <v>98000</v>
      </c>
      <c r="K145" s="41">
        <f t="shared" si="45"/>
        <v>98000</v>
      </c>
      <c r="L145" s="41">
        <f t="shared" si="45"/>
        <v>98000</v>
      </c>
      <c r="M145" s="41">
        <f t="shared" si="45"/>
        <v>98000</v>
      </c>
      <c r="N145" s="41">
        <f t="shared" si="45"/>
        <v>98000</v>
      </c>
      <c r="O145" s="41">
        <f t="shared" si="45"/>
        <v>98000</v>
      </c>
      <c r="P145" s="41">
        <f t="shared" si="45"/>
        <v>98000</v>
      </c>
      <c r="Q145" s="41">
        <f t="shared" si="45"/>
        <v>98000</v>
      </c>
      <c r="R145" s="41">
        <f t="shared" si="45"/>
        <v>98000</v>
      </c>
      <c r="S145" s="41">
        <f t="shared" ref="D145:S149" si="48">+R145</f>
        <v>98000</v>
      </c>
      <c r="T145" s="41">
        <f t="shared" si="46"/>
        <v>98000</v>
      </c>
      <c r="U145" s="41">
        <f t="shared" si="46"/>
        <v>98000</v>
      </c>
      <c r="V145" s="41">
        <f t="shared" si="46"/>
        <v>98000</v>
      </c>
      <c r="W145" s="41">
        <f t="shared" si="46"/>
        <v>98000</v>
      </c>
      <c r="X145" s="41">
        <f t="shared" si="46"/>
        <v>98000</v>
      </c>
      <c r="Y145" s="41">
        <f t="shared" si="46"/>
        <v>98000</v>
      </c>
      <c r="Z145" s="41">
        <f t="shared" si="46"/>
        <v>98000</v>
      </c>
      <c r="AA145" s="45">
        <v>5</v>
      </c>
      <c r="AB145" s="30">
        <f t="shared" si="47"/>
        <v>11760000</v>
      </c>
      <c r="AC145" s="73"/>
      <c r="AF145" s="31"/>
    </row>
    <row r="146" spans="1:32" ht="13.95" customHeight="1" thickBot="1" x14ac:dyDescent="0.3">
      <c r="A146" s="76"/>
      <c r="B146" s="32" t="s">
        <v>21</v>
      </c>
      <c r="C146" s="41">
        <v>98000</v>
      </c>
      <c r="D146" s="41">
        <f t="shared" si="48"/>
        <v>98000</v>
      </c>
      <c r="E146" s="41">
        <f t="shared" si="48"/>
        <v>98000</v>
      </c>
      <c r="F146" s="41">
        <f t="shared" si="48"/>
        <v>98000</v>
      </c>
      <c r="G146" s="41">
        <f t="shared" si="48"/>
        <v>98000</v>
      </c>
      <c r="H146" s="41">
        <f t="shared" si="48"/>
        <v>98000</v>
      </c>
      <c r="I146" s="41">
        <f t="shared" si="48"/>
        <v>98000</v>
      </c>
      <c r="J146" s="41">
        <f t="shared" si="48"/>
        <v>98000</v>
      </c>
      <c r="K146" s="41">
        <f t="shared" si="48"/>
        <v>98000</v>
      </c>
      <c r="L146" s="41">
        <f t="shared" si="48"/>
        <v>98000</v>
      </c>
      <c r="M146" s="41">
        <f t="shared" si="48"/>
        <v>98000</v>
      </c>
      <c r="N146" s="41">
        <f t="shared" si="48"/>
        <v>98000</v>
      </c>
      <c r="O146" s="41">
        <f t="shared" si="48"/>
        <v>98000</v>
      </c>
      <c r="P146" s="41">
        <f t="shared" si="48"/>
        <v>98000</v>
      </c>
      <c r="Q146" s="41">
        <f t="shared" si="48"/>
        <v>98000</v>
      </c>
      <c r="R146" s="41">
        <f t="shared" si="48"/>
        <v>98000</v>
      </c>
      <c r="S146" s="41">
        <f t="shared" si="48"/>
        <v>98000</v>
      </c>
      <c r="T146" s="41">
        <f t="shared" si="46"/>
        <v>98000</v>
      </c>
      <c r="U146" s="41">
        <f t="shared" si="46"/>
        <v>98000</v>
      </c>
      <c r="V146" s="41">
        <f t="shared" si="46"/>
        <v>98000</v>
      </c>
      <c r="W146" s="41">
        <f t="shared" si="46"/>
        <v>98000</v>
      </c>
      <c r="X146" s="41">
        <f t="shared" si="46"/>
        <v>98000</v>
      </c>
      <c r="Y146" s="41">
        <f t="shared" si="46"/>
        <v>98000</v>
      </c>
      <c r="Z146" s="41">
        <f t="shared" si="46"/>
        <v>98000</v>
      </c>
      <c r="AA146" s="45">
        <v>6</v>
      </c>
      <c r="AB146" s="30">
        <f t="shared" si="47"/>
        <v>14112000</v>
      </c>
      <c r="AC146" s="74"/>
      <c r="AF146" s="31"/>
    </row>
    <row r="147" spans="1:32" ht="14.4" customHeight="1" thickTop="1" thickBot="1" x14ac:dyDescent="0.3">
      <c r="A147" s="75">
        <v>50010</v>
      </c>
      <c r="B147" s="35" t="s">
        <v>19</v>
      </c>
      <c r="C147" s="41">
        <v>98000</v>
      </c>
      <c r="D147" s="41">
        <f t="shared" si="48"/>
        <v>98000</v>
      </c>
      <c r="E147" s="41">
        <f t="shared" si="48"/>
        <v>98000</v>
      </c>
      <c r="F147" s="41">
        <f t="shared" si="48"/>
        <v>98000</v>
      </c>
      <c r="G147" s="41">
        <f t="shared" si="48"/>
        <v>98000</v>
      </c>
      <c r="H147" s="41">
        <f t="shared" si="48"/>
        <v>98000</v>
      </c>
      <c r="I147" s="41">
        <f t="shared" si="48"/>
        <v>98000</v>
      </c>
      <c r="J147" s="41">
        <f t="shared" si="48"/>
        <v>98000</v>
      </c>
      <c r="K147" s="41">
        <f t="shared" si="48"/>
        <v>98000</v>
      </c>
      <c r="L147" s="41">
        <f t="shared" si="48"/>
        <v>98000</v>
      </c>
      <c r="M147" s="41">
        <f t="shared" si="48"/>
        <v>98000</v>
      </c>
      <c r="N147" s="41">
        <f t="shared" si="48"/>
        <v>98000</v>
      </c>
      <c r="O147" s="41">
        <f t="shared" si="48"/>
        <v>98000</v>
      </c>
      <c r="P147" s="41">
        <f t="shared" si="48"/>
        <v>98000</v>
      </c>
      <c r="Q147" s="41">
        <f t="shared" si="48"/>
        <v>98000</v>
      </c>
      <c r="R147" s="41">
        <f t="shared" si="48"/>
        <v>98000</v>
      </c>
      <c r="S147" s="41">
        <f t="shared" si="48"/>
        <v>98000</v>
      </c>
      <c r="T147" s="41">
        <f t="shared" si="46"/>
        <v>98000</v>
      </c>
      <c r="U147" s="41">
        <f t="shared" si="46"/>
        <v>98000</v>
      </c>
      <c r="V147" s="41">
        <f t="shared" si="46"/>
        <v>98000</v>
      </c>
      <c r="W147" s="41">
        <f t="shared" si="46"/>
        <v>98000</v>
      </c>
      <c r="X147" s="41">
        <f t="shared" si="46"/>
        <v>98000</v>
      </c>
      <c r="Y147" s="41">
        <f t="shared" si="46"/>
        <v>98000</v>
      </c>
      <c r="Z147" s="41">
        <f t="shared" si="46"/>
        <v>98000</v>
      </c>
      <c r="AA147" s="45">
        <v>21</v>
      </c>
      <c r="AB147" s="30">
        <f t="shared" si="47"/>
        <v>49392000</v>
      </c>
      <c r="AC147" s="72">
        <f t="shared" ref="AC147" si="49">+AB147+AB148+AB149</f>
        <v>72912000</v>
      </c>
      <c r="AF147" s="31"/>
    </row>
    <row r="148" spans="1:32" ht="13.95" customHeight="1" thickBot="1" x14ac:dyDescent="0.3">
      <c r="A148" s="76"/>
      <c r="B148" s="32" t="s">
        <v>20</v>
      </c>
      <c r="C148" s="41">
        <v>98000</v>
      </c>
      <c r="D148" s="41">
        <f t="shared" si="48"/>
        <v>98000</v>
      </c>
      <c r="E148" s="41">
        <f t="shared" si="48"/>
        <v>98000</v>
      </c>
      <c r="F148" s="41">
        <f t="shared" si="48"/>
        <v>98000</v>
      </c>
      <c r="G148" s="41">
        <f t="shared" si="48"/>
        <v>98000</v>
      </c>
      <c r="H148" s="41">
        <f t="shared" si="48"/>
        <v>98000</v>
      </c>
      <c r="I148" s="41">
        <f t="shared" si="48"/>
        <v>98000</v>
      </c>
      <c r="J148" s="41">
        <f t="shared" si="48"/>
        <v>98000</v>
      </c>
      <c r="K148" s="41">
        <f t="shared" si="48"/>
        <v>98000</v>
      </c>
      <c r="L148" s="41">
        <f t="shared" si="48"/>
        <v>98000</v>
      </c>
      <c r="M148" s="41">
        <f t="shared" si="48"/>
        <v>98000</v>
      </c>
      <c r="N148" s="41">
        <f t="shared" si="48"/>
        <v>98000</v>
      </c>
      <c r="O148" s="41">
        <f t="shared" si="48"/>
        <v>98000</v>
      </c>
      <c r="P148" s="41">
        <f t="shared" si="48"/>
        <v>98000</v>
      </c>
      <c r="Q148" s="41">
        <f t="shared" si="48"/>
        <v>98000</v>
      </c>
      <c r="R148" s="41">
        <f t="shared" si="48"/>
        <v>98000</v>
      </c>
      <c r="S148" s="41">
        <f t="shared" si="48"/>
        <v>98000</v>
      </c>
      <c r="T148" s="41">
        <f t="shared" si="46"/>
        <v>98000</v>
      </c>
      <c r="U148" s="41">
        <f t="shared" si="46"/>
        <v>98000</v>
      </c>
      <c r="V148" s="41">
        <f t="shared" si="46"/>
        <v>98000</v>
      </c>
      <c r="W148" s="41">
        <f t="shared" si="46"/>
        <v>98000</v>
      </c>
      <c r="X148" s="41">
        <f t="shared" si="46"/>
        <v>98000</v>
      </c>
      <c r="Y148" s="41">
        <f t="shared" si="46"/>
        <v>98000</v>
      </c>
      <c r="Z148" s="41">
        <f t="shared" si="46"/>
        <v>98000</v>
      </c>
      <c r="AA148" s="45">
        <v>4</v>
      </c>
      <c r="AB148" s="30">
        <f t="shared" si="47"/>
        <v>9408000</v>
      </c>
      <c r="AC148" s="73"/>
      <c r="AF148" s="31"/>
    </row>
    <row r="149" spans="1:32" ht="13.95" customHeight="1" thickBot="1" x14ac:dyDescent="0.3">
      <c r="A149" s="77"/>
      <c r="B149" s="36" t="s">
        <v>21</v>
      </c>
      <c r="C149" s="41">
        <v>98000</v>
      </c>
      <c r="D149" s="41">
        <f t="shared" si="48"/>
        <v>98000</v>
      </c>
      <c r="E149" s="41">
        <f t="shared" si="48"/>
        <v>98000</v>
      </c>
      <c r="F149" s="41">
        <f t="shared" si="48"/>
        <v>98000</v>
      </c>
      <c r="G149" s="41">
        <f t="shared" si="48"/>
        <v>98000</v>
      </c>
      <c r="H149" s="41">
        <f t="shared" si="48"/>
        <v>98000</v>
      </c>
      <c r="I149" s="41">
        <f t="shared" si="48"/>
        <v>98000</v>
      </c>
      <c r="J149" s="41">
        <f t="shared" si="48"/>
        <v>98000</v>
      </c>
      <c r="K149" s="41">
        <f t="shared" si="48"/>
        <v>98000</v>
      </c>
      <c r="L149" s="41">
        <f t="shared" si="48"/>
        <v>98000</v>
      </c>
      <c r="M149" s="41">
        <f t="shared" si="48"/>
        <v>98000</v>
      </c>
      <c r="N149" s="41">
        <f t="shared" si="48"/>
        <v>98000</v>
      </c>
      <c r="O149" s="41">
        <f t="shared" si="48"/>
        <v>98000</v>
      </c>
      <c r="P149" s="41">
        <f t="shared" si="48"/>
        <v>98000</v>
      </c>
      <c r="Q149" s="41">
        <f t="shared" si="48"/>
        <v>98000</v>
      </c>
      <c r="R149" s="41">
        <f t="shared" si="48"/>
        <v>98000</v>
      </c>
      <c r="S149" s="41">
        <f t="shared" si="48"/>
        <v>98000</v>
      </c>
      <c r="T149" s="41">
        <f t="shared" si="46"/>
        <v>98000</v>
      </c>
      <c r="U149" s="41">
        <f t="shared" si="46"/>
        <v>98000</v>
      </c>
      <c r="V149" s="41">
        <f t="shared" si="46"/>
        <v>98000</v>
      </c>
      <c r="W149" s="41">
        <f t="shared" si="46"/>
        <v>98000</v>
      </c>
      <c r="X149" s="41">
        <f t="shared" si="46"/>
        <v>98000</v>
      </c>
      <c r="Y149" s="41">
        <f t="shared" si="46"/>
        <v>98000</v>
      </c>
      <c r="Z149" s="41">
        <f t="shared" si="46"/>
        <v>98000</v>
      </c>
      <c r="AA149" s="47">
        <v>6</v>
      </c>
      <c r="AB149" s="30">
        <f t="shared" si="47"/>
        <v>14112000</v>
      </c>
      <c r="AC149" s="74"/>
      <c r="AF149" s="31"/>
    </row>
  </sheetData>
  <mergeCells count="102">
    <mergeCell ref="A6:A8"/>
    <mergeCell ref="AC6:AC8"/>
    <mergeCell ref="A9:A11"/>
    <mergeCell ref="AC9:AC11"/>
    <mergeCell ref="A12:A14"/>
    <mergeCell ref="AC12:AC14"/>
    <mergeCell ref="A1:AD1"/>
    <mergeCell ref="A2:AD2"/>
    <mergeCell ref="A3:AD3"/>
    <mergeCell ref="AA4:AA5"/>
    <mergeCell ref="AB4:AB5"/>
    <mergeCell ref="AC4:AC5"/>
    <mergeCell ref="A24:A26"/>
    <mergeCell ref="AC24:AC26"/>
    <mergeCell ref="A27:A29"/>
    <mergeCell ref="AC27:AC29"/>
    <mergeCell ref="A30:A32"/>
    <mergeCell ref="AC30:AC32"/>
    <mergeCell ref="A15:A17"/>
    <mergeCell ref="AC15:AC17"/>
    <mergeCell ref="A18:A20"/>
    <mergeCell ref="AC18:AC20"/>
    <mergeCell ref="A21:A23"/>
    <mergeCell ref="AC21:AC23"/>
    <mergeCell ref="A42:A44"/>
    <mergeCell ref="AC42:AC44"/>
    <mergeCell ref="A45:A47"/>
    <mergeCell ref="AC45:AC47"/>
    <mergeCell ref="A48:A50"/>
    <mergeCell ref="AC48:AC50"/>
    <mergeCell ref="A33:A35"/>
    <mergeCell ref="AC33:AC35"/>
    <mergeCell ref="A36:A38"/>
    <mergeCell ref="AC36:AC38"/>
    <mergeCell ref="A39:A41"/>
    <mergeCell ref="AC39:AC41"/>
    <mergeCell ref="A60:A62"/>
    <mergeCell ref="AC60:AC62"/>
    <mergeCell ref="A63:A65"/>
    <mergeCell ref="AC63:AC65"/>
    <mergeCell ref="A66:A68"/>
    <mergeCell ref="AC66:AC68"/>
    <mergeCell ref="A51:A53"/>
    <mergeCell ref="AC51:AC53"/>
    <mergeCell ref="A54:A56"/>
    <mergeCell ref="AC54:AC56"/>
    <mergeCell ref="A57:A59"/>
    <mergeCell ref="AC57:AC59"/>
    <mergeCell ref="A96:A98"/>
    <mergeCell ref="A99:A101"/>
    <mergeCell ref="A102:A104"/>
    <mergeCell ref="A105:A107"/>
    <mergeCell ref="A108:A110"/>
    <mergeCell ref="A69:A71"/>
    <mergeCell ref="AC69:AC71"/>
    <mergeCell ref="A72:A74"/>
    <mergeCell ref="AC72:AC74"/>
    <mergeCell ref="A75:A77"/>
    <mergeCell ref="AC75:AC77"/>
    <mergeCell ref="AC78:AC80"/>
    <mergeCell ref="AC81:AC83"/>
    <mergeCell ref="AC84:AC86"/>
    <mergeCell ref="AC87:AC89"/>
    <mergeCell ref="AC90:AC92"/>
    <mergeCell ref="A147:A149"/>
    <mergeCell ref="A114:A116"/>
    <mergeCell ref="A117:A119"/>
    <mergeCell ref="A120:A122"/>
    <mergeCell ref="A123:A125"/>
    <mergeCell ref="A126:A128"/>
    <mergeCell ref="A129:A131"/>
    <mergeCell ref="A132:A134"/>
    <mergeCell ref="A135:A137"/>
    <mergeCell ref="A138:A140"/>
    <mergeCell ref="A141:A143"/>
    <mergeCell ref="A144:A146"/>
    <mergeCell ref="A111:A113"/>
    <mergeCell ref="A78:A80"/>
    <mergeCell ref="A81:A83"/>
    <mergeCell ref="A84:A86"/>
    <mergeCell ref="A87:A89"/>
    <mergeCell ref="A90:A92"/>
    <mergeCell ref="A93:A95"/>
    <mergeCell ref="AC108:AC110"/>
    <mergeCell ref="AC111:AC113"/>
    <mergeCell ref="AC114:AC116"/>
    <mergeCell ref="AC117:AC119"/>
    <mergeCell ref="AC120:AC122"/>
    <mergeCell ref="AC93:AC95"/>
    <mergeCell ref="AC96:AC98"/>
    <mergeCell ref="AC99:AC101"/>
    <mergeCell ref="AC102:AC104"/>
    <mergeCell ref="AC105:AC107"/>
    <mergeCell ref="AC138:AC140"/>
    <mergeCell ref="AC141:AC143"/>
    <mergeCell ref="AC144:AC146"/>
    <mergeCell ref="AC147:AC149"/>
    <mergeCell ref="AC123:AC125"/>
    <mergeCell ref="AC126:AC128"/>
    <mergeCell ref="AC129:AC131"/>
    <mergeCell ref="AC132:AC134"/>
    <mergeCell ref="AC135:AC137"/>
  </mergeCells>
  <printOptions horizontalCentered="1" verticalCentered="1"/>
  <pageMargins left="0.78740157480314965" right="0.78740157480314965" top="1.1811023622047245" bottom="0.98425196850393704" header="0" footer="0"/>
  <pageSetup scale="56" orientation="landscape" r:id="rId1"/>
  <headerFooter alignWithMargins="0"/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15</vt:i4>
      </vt:variant>
    </vt:vector>
  </HeadingPairs>
  <TitlesOfParts>
    <vt:vector size="25" baseType="lpstr">
      <vt:lpstr>Producto 1</vt:lpstr>
      <vt:lpstr>Cant producto 1_2027-2028</vt:lpstr>
      <vt:lpstr>Producto 2</vt:lpstr>
      <vt:lpstr>Cant producto 2_2029-2030</vt:lpstr>
      <vt:lpstr>Producto 3</vt:lpstr>
      <vt:lpstr>Cant producto 3_2031</vt:lpstr>
      <vt:lpstr>Producto 4</vt:lpstr>
      <vt:lpstr>Cant producto 4_2032</vt:lpstr>
      <vt:lpstr>Producto 5</vt:lpstr>
      <vt:lpstr>Cant producto_5_2033-36</vt:lpstr>
      <vt:lpstr>'Cant producto 1_2027-2028'!Área_de_impresión</vt:lpstr>
      <vt:lpstr>'Cant producto 2_2029-2030'!Área_de_impresión</vt:lpstr>
      <vt:lpstr>'Cant producto 3_2031'!Área_de_impresión</vt:lpstr>
      <vt:lpstr>'Cant producto 4_2032'!Área_de_impresión</vt:lpstr>
      <vt:lpstr>'Cant producto_5_2033-36'!Área_de_impresión</vt:lpstr>
      <vt:lpstr>'Producto 1'!Área_de_impresión</vt:lpstr>
      <vt:lpstr>'Producto 2'!Área_de_impresión</vt:lpstr>
      <vt:lpstr>'Producto 3'!Área_de_impresión</vt:lpstr>
      <vt:lpstr>'Producto 4'!Área_de_impresión</vt:lpstr>
      <vt:lpstr>'Producto 5'!Área_de_impresión</vt:lpstr>
      <vt:lpstr>'Cant producto 1_2027-2028'!Títulos_a_imprimir</vt:lpstr>
      <vt:lpstr>'Cant producto 2_2029-2030'!Títulos_a_imprimir</vt:lpstr>
      <vt:lpstr>'Cant producto 3_2031'!Títulos_a_imprimir</vt:lpstr>
      <vt:lpstr>'Cant producto 4_2032'!Títulos_a_imprimir</vt:lpstr>
      <vt:lpstr>'Cant producto_5_2033-36'!Títulos_a_imprimir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Sebastián Vanegas Velásquez</dc:creator>
  <cp:lastModifiedBy>Juan Sebastián Vanegas Velásquez</cp:lastModifiedBy>
  <cp:lastPrinted>2026-03-25T19:45:38Z</cp:lastPrinted>
  <dcterms:created xsi:type="dcterms:W3CDTF">2026-03-20T20:57:41Z</dcterms:created>
  <dcterms:modified xsi:type="dcterms:W3CDTF">2026-03-26T12:42:48Z</dcterms:modified>
</cp:coreProperties>
</file>