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nergia_com/Documents/Mercado Mayorista - One Drive/10.SICEP-CONVOCATORIAS/Convocatorias 2026/CP-RTQC2026-002/Pliegos de condiciones definitivos/"/>
    </mc:Choice>
  </mc:AlternateContent>
  <xr:revisionPtr revIDLastSave="2030" documentId="13_ncr:1_{11F35ADC-379E-4BD7-8991-7E8EB018DC3C}" xr6:coauthVersionLast="47" xr6:coauthVersionMax="47" xr10:uidLastSave="{9A3B1874-65E5-4D00-A0D0-3DAD6243F40D}"/>
  <bookViews>
    <workbookView xWindow="-120" yWindow="-16320" windowWidth="29040" windowHeight="15720" activeTab="5" xr2:uid="{117BC80B-6DD0-4D14-894B-3D9BEC6851BA}"/>
  </bookViews>
  <sheets>
    <sheet name="Producto 1 Plano 26" sheetId="18" r:id="rId1"/>
    <sheet name="Anexo 2 Producto 1" sheetId="21" r:id="rId2"/>
    <sheet name="Producto 2 Plano 26" sheetId="32" r:id="rId3"/>
    <sheet name="Anexo 2 Producto 2" sheetId="34" r:id="rId4"/>
    <sheet name="Producto 3 Plano 27" sheetId="37" r:id="rId5"/>
    <sheet name="Anexo 2 Producto 3" sheetId="38" r:id="rId6"/>
  </sheets>
  <definedNames>
    <definedName name="_xlnm._FilterDatabase" localSheetId="0" hidden="1">'Producto 1 Plano 26'!$B$2:$B$5</definedName>
    <definedName name="_xlnm._FilterDatabase" localSheetId="2" hidden="1">'Producto 2 Plano 26'!$B$2:$B$5</definedName>
    <definedName name="_xlnm._FilterDatabase" localSheetId="4" hidden="1">'Producto 3 Plano 27'!$B$2:$B$5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0" i="38" l="1"/>
  <c r="F19" i="38"/>
  <c r="F18" i="38"/>
  <c r="F17" i="38"/>
  <c r="F16" i="38"/>
  <c r="D21" i="38"/>
  <c r="AE13" i="37"/>
  <c r="AE15" i="37"/>
  <c r="AE16" i="37"/>
  <c r="AE17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B10" i="38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AB33" i="37"/>
  <c r="AB32" i="37"/>
  <c r="AB31" i="37"/>
  <c r="AB30" i="37"/>
  <c r="AB28" i="37"/>
  <c r="AB27" i="37"/>
  <c r="AB26" i="37"/>
  <c r="AB25" i="37"/>
  <c r="AB24" i="37"/>
  <c r="AB23" i="37"/>
  <c r="AB22" i="37"/>
  <c r="AB21" i="37"/>
  <c r="AB20" i="37"/>
  <c r="AB19" i="37"/>
  <c r="AB18" i="37"/>
  <c r="AD18" i="37" s="1"/>
  <c r="AE9" i="37" s="1"/>
  <c r="D12" i="38" s="1"/>
  <c r="F12" i="38" s="1"/>
  <c r="AB15" i="37"/>
  <c r="AB14" i="37"/>
  <c r="AB13" i="37"/>
  <c r="AB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AB7" i="37" s="1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AC38" i="18"/>
  <c r="AB52" i="32"/>
  <c r="AE53" i="32"/>
  <c r="AB53" i="32"/>
  <c r="AE52" i="32"/>
  <c r="AE51" i="32"/>
  <c r="AE50" i="32"/>
  <c r="AE49" i="32"/>
  <c r="AB49" i="32"/>
  <c r="AE48" i="32"/>
  <c r="AB48" i="32"/>
  <c r="AE47" i="32"/>
  <c r="AB47" i="32"/>
  <c r="AE46" i="32"/>
  <c r="AB46" i="32"/>
  <c r="AD46" i="32" s="1"/>
  <c r="AE16" i="32" s="1"/>
  <c r="D21" i="34" s="1"/>
  <c r="F21" i="34" s="1"/>
  <c r="AE45" i="32"/>
  <c r="AB45" i="32"/>
  <c r="AE44" i="32"/>
  <c r="AB44" i="32"/>
  <c r="AE43" i="32"/>
  <c r="AB43" i="32"/>
  <c r="AE42" i="32"/>
  <c r="AB42" i="32"/>
  <c r="AD42" i="32" s="1"/>
  <c r="AE15" i="32" s="1"/>
  <c r="D20" i="34" s="1"/>
  <c r="F20" i="34" s="1"/>
  <c r="AE41" i="32"/>
  <c r="AB41" i="32"/>
  <c r="AE40" i="32"/>
  <c r="AB40" i="32"/>
  <c r="AE39" i="32"/>
  <c r="AB39" i="32"/>
  <c r="AE38" i="32"/>
  <c r="AB38" i="32"/>
  <c r="AD38" i="32" s="1"/>
  <c r="AE14" i="32" s="1"/>
  <c r="D19" i="34" s="1"/>
  <c r="F19" i="34" s="1"/>
  <c r="AE37" i="32"/>
  <c r="AB37" i="32"/>
  <c r="AE36" i="32"/>
  <c r="AB36" i="32"/>
  <c r="AE35" i="32"/>
  <c r="AB35" i="32"/>
  <c r="AE34" i="32"/>
  <c r="AB34" i="32"/>
  <c r="AD34" i="32" s="1"/>
  <c r="AE13" i="32" s="1"/>
  <c r="D18" i="34" s="1"/>
  <c r="F18" i="34" s="1"/>
  <c r="AE33" i="32"/>
  <c r="AB33" i="32"/>
  <c r="AE32" i="32"/>
  <c r="AB32" i="32"/>
  <c r="AE31" i="32"/>
  <c r="AB31" i="32"/>
  <c r="AE30" i="32"/>
  <c r="AB30" i="32"/>
  <c r="AD30" i="32" s="1"/>
  <c r="AE12" i="32" s="1"/>
  <c r="D17" i="34" s="1"/>
  <c r="F17" i="34" s="1"/>
  <c r="AE29" i="32"/>
  <c r="AB29" i="32"/>
  <c r="AE28" i="32"/>
  <c r="AB28" i="32"/>
  <c r="AE27" i="32"/>
  <c r="AB27" i="32"/>
  <c r="AE26" i="32"/>
  <c r="AB26" i="32"/>
  <c r="AD26" i="32" s="1"/>
  <c r="AE11" i="32" s="1"/>
  <c r="D16" i="34" s="1"/>
  <c r="F16" i="34" s="1"/>
  <c r="AE25" i="32"/>
  <c r="AB25" i="32"/>
  <c r="AE24" i="32"/>
  <c r="AB24" i="32"/>
  <c r="AE23" i="32"/>
  <c r="AB23" i="32"/>
  <c r="AE22" i="32"/>
  <c r="AB22" i="32"/>
  <c r="AD22" i="32" s="1"/>
  <c r="AE10" i="32" s="1"/>
  <c r="D15" i="34" s="1"/>
  <c r="F15" i="34" s="1"/>
  <c r="AE21" i="32"/>
  <c r="AB21" i="32"/>
  <c r="AE20" i="32"/>
  <c r="AB20" i="32"/>
  <c r="AE19" i="32"/>
  <c r="AB19" i="32"/>
  <c r="AE18" i="32"/>
  <c r="AB18" i="32"/>
  <c r="AD18" i="32" s="1"/>
  <c r="AE9" i="32" s="1"/>
  <c r="D14" i="34" s="1"/>
  <c r="F14" i="34" s="1"/>
  <c r="AB17" i="32"/>
  <c r="AB16" i="32"/>
  <c r="AB15" i="32"/>
  <c r="AB14" i="32"/>
  <c r="AD14" i="32" s="1"/>
  <c r="AE8" i="32" s="1"/>
  <c r="D13" i="34" s="1"/>
  <c r="F13" i="34" s="1"/>
  <c r="AB13" i="32"/>
  <c r="AB12" i="32"/>
  <c r="AB11" i="32"/>
  <c r="AB10" i="32"/>
  <c r="AD10" i="32" s="1"/>
  <c r="AE7" i="32" s="1"/>
  <c r="D12" i="34" s="1"/>
  <c r="F12" i="34" s="1"/>
  <c r="AB9" i="32"/>
  <c r="AB8" i="32"/>
  <c r="AB7" i="32"/>
  <c r="AB6" i="32"/>
  <c r="AD6" i="32" s="1"/>
  <c r="AB8" i="37" l="1"/>
  <c r="AB9" i="37"/>
  <c r="AE14" i="37"/>
  <c r="AD22" i="37"/>
  <c r="AE10" i="37" s="1"/>
  <c r="D13" i="38" s="1"/>
  <c r="F13" i="38" s="1"/>
  <c r="AD30" i="37"/>
  <c r="AE12" i="37" s="1"/>
  <c r="D15" i="38" s="1"/>
  <c r="F15" i="38" s="1"/>
  <c r="AB6" i="37"/>
  <c r="AB29" i="37"/>
  <c r="AD26" i="37" s="1"/>
  <c r="AE11" i="37" s="1"/>
  <c r="D14" i="38" s="1"/>
  <c r="F14" i="38" s="1"/>
  <c r="AB17" i="37"/>
  <c r="AB16" i="37"/>
  <c r="AB12" i="37"/>
  <c r="AB11" i="37"/>
  <c r="AD10" i="37" s="1"/>
  <c r="AE7" i="37" s="1"/>
  <c r="D10" i="38" s="1"/>
  <c r="F10" i="38" s="1"/>
  <c r="AD14" i="37"/>
  <c r="AE8" i="37" s="1"/>
  <c r="D11" i="38" s="1"/>
  <c r="F11" i="38" s="1"/>
  <c r="AB51" i="32"/>
  <c r="AB50" i="32"/>
  <c r="AD50" i="32" s="1"/>
  <c r="AE6" i="32"/>
  <c r="D11" i="34" s="1"/>
  <c r="F11" i="34" s="1"/>
  <c r="AD6" i="37" l="1"/>
  <c r="AD34" i="37" s="1"/>
  <c r="AE6" i="37"/>
  <c r="D9" i="38" s="1"/>
  <c r="AE17" i="32"/>
  <c r="D22" i="34" s="1"/>
  <c r="AD54" i="32"/>
  <c r="F9" i="38" l="1"/>
  <c r="D23" i="34"/>
  <c r="I23" i="34" s="1"/>
  <c r="H22" i="34"/>
  <c r="I22" i="34" s="1"/>
  <c r="F22" i="34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6" i="18"/>
  <c r="AD38" i="18" l="1"/>
  <c r="AE14" i="18" s="1"/>
  <c r="AD34" i="18"/>
  <c r="AE13" i="18" s="1"/>
  <c r="AD6" i="18"/>
  <c r="AE6" i="18" s="1"/>
  <c r="AD30" i="18"/>
  <c r="AE12" i="18" s="1"/>
  <c r="AD14" i="18"/>
  <c r="AE8" i="18" s="1"/>
  <c r="AD22" i="18"/>
  <c r="AE10" i="18" s="1"/>
  <c r="AD46" i="18"/>
  <c r="AE16" i="18" s="1"/>
  <c r="AD10" i="18"/>
  <c r="AE7" i="18" s="1"/>
  <c r="AD18" i="18"/>
  <c r="AE9" i="18" s="1"/>
  <c r="AD26" i="18"/>
  <c r="AE11" i="18" s="1"/>
  <c r="AD42" i="18"/>
  <c r="AE15" i="18" s="1"/>
  <c r="AD50" i="18"/>
  <c r="AE17" i="18" s="1"/>
  <c r="D22" i="21" l="1"/>
  <c r="D20" i="21"/>
  <c r="D13" i="21"/>
  <c r="D16" i="21"/>
  <c r="D14" i="21"/>
  <c r="D12" i="21"/>
  <c r="D21" i="21"/>
  <c r="D15" i="21"/>
  <c r="D17" i="21"/>
  <c r="D18" i="21"/>
  <c r="D19" i="21"/>
  <c r="D11" i="21"/>
  <c r="AD54" i="18"/>
  <c r="D23" i="21" l="1"/>
  <c r="I23" i="21" s="1"/>
  <c r="F22" i="21"/>
  <c r="F16" i="21"/>
  <c r="F17" i="21"/>
  <c r="F13" i="21"/>
  <c r="F15" i="21"/>
  <c r="F19" i="21"/>
  <c r="F20" i="21"/>
  <c r="F12" i="21"/>
  <c r="F14" i="21"/>
  <c r="F18" i="21"/>
  <c r="F21" i="21"/>
  <c r="H22" i="21"/>
  <c r="I22" i="21" s="1"/>
  <c r="F11" i="21"/>
</calcChain>
</file>

<file path=xl/sharedStrings.xml><?xml version="1.0" encoding="utf-8"?>
<sst xmlns="http://schemas.openxmlformats.org/spreadsheetml/2006/main" count="225" uniqueCount="48">
  <si>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</si>
  <si>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</si>
  <si>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</si>
  <si>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</si>
  <si>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</si>
  <si>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</si>
  <si>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</si>
  <si>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</si>
  <si>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</si>
  <si>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</si>
  <si>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</si>
  <si>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</si>
  <si>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</si>
  <si>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</si>
  <si>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</si>
  <si>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</si>
  <si>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</si>
  <si>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</si>
  <si>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</si>
  <si>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</si>
  <si>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</si>
  <si>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</si>
  <si>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</si>
  <si>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</si>
  <si>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</si>
  <si>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</si>
  <si>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</si>
  <si>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</si>
  <si>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</si>
  <si>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</si>
  <si>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</si>
  <si>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</si>
  <si>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</si>
  <si>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</si>
  <si>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</si>
  <si>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</si>
  <si>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</si>
  <si>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PRODUCTO  2</t>
  </si>
  <si>
    <t>PERIODO 2026</t>
  </si>
  <si>
    <t>PRODUCTO 2</t>
  </si>
  <si>
    <t>ANEXO 2 - OFERTA PRODUCTO 2</t>
  </si>
  <si>
    <t>PRODUCTO 3</t>
  </si>
  <si>
    <t>ANEXO 2 - OFERTA PRODUCTO 3</t>
  </si>
  <si>
    <t>Total Producto 3</t>
  </si>
  <si>
    <t>Total Producto 2</t>
  </si>
  <si>
    <t>PERIODO 10 DE SEPTIEMBRE DEL 2026 A DICIEMBRE 31 DE 2026</t>
  </si>
  <si>
    <t>EN PESOS DE MAYO 2026</t>
  </si>
  <si>
    <t>PERIODO  01 DE ENERO DEL 2027 A JULIO 31 DE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</si>
</sst>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DIN-Regular"/>
    </font>
    <font>
      <sz val="10"/>
      <name val="DIN-Regula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3">
    <xf numFmtId="0" fontId="0" fillId="0" borderId="0" xfId="0"/>
    <xf numFmtId="41" fontId="0" fillId="0" borderId="1" xfId="1" applyFont="1" applyBorder="1"/>
    <xf numFmtId="41" fontId="0" fillId="0" borderId="4" xfId="1" applyFont="1" applyBorder="1"/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2" fillId="0" borderId="13" xfId="0" applyNumberFormat="1" applyFont="1" applyBorder="1"/>
    <xf numFmtId="0" fontId="0" fillId="8" borderId="0" xfId="0" applyFill="1"/>
    <xf numFmtId="0" fontId="5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32" xfId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1" fontId="7" fillId="0" borderId="35" xfId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1" fontId="7" fillId="0" borderId="37" xfId="1" applyFont="1" applyBorder="1" applyAlignment="1">
      <alignment horizontal="center" vertical="center"/>
    </xf>
    <xf numFmtId="41" fontId="2" fillId="0" borderId="28" xfId="1" applyFont="1" applyBorder="1"/>
    <xf numFmtId="164" fontId="0" fillId="8" borderId="0" xfId="9" applyNumberFormat="1" applyFont="1" applyFill="1"/>
    <xf numFmtId="0" fontId="9" fillId="0" borderId="0" xfId="0" applyFont="1"/>
    <xf numFmtId="3" fontId="9" fillId="0" borderId="0" xfId="0" applyNumberFormat="1" applyFont="1"/>
    <xf numFmtId="164" fontId="9" fillId="0" borderId="0" xfId="9" applyNumberFormat="1" applyFont="1"/>
    <xf numFmtId="0" fontId="9" fillId="8" borderId="0" xfId="0" applyFont="1" applyFill="1"/>
    <xf numFmtId="164" fontId="9" fillId="8" borderId="0" xfId="9" applyNumberFormat="1" applyFont="1" applyFill="1"/>
    <xf numFmtId="41" fontId="0" fillId="8" borderId="0" xfId="0" applyNumberFormat="1" applyFill="1"/>
    <xf numFmtId="41" fontId="9" fillId="0" borderId="0" xfId="0" applyNumberFormat="1" applyFont="1"/>
    <xf numFmtId="43" fontId="0" fillId="0" borderId="0" xfId="9" applyFont="1"/>
    <xf numFmtId="43" fontId="0" fillId="8" borderId="0" xfId="9" applyFont="1" applyFill="1"/>
    <xf numFmtId="4" fontId="10" fillId="2" borderId="14" xfId="0" applyNumberFormat="1" applyFont="1" applyFill="1" applyBorder="1" applyAlignment="1">
      <alignment horizontal="center" vertical="center"/>
    </xf>
    <xf numFmtId="4" fontId="10" fillId="2" borderId="15" xfId="0" applyNumberFormat="1" applyFont="1" applyFill="1" applyBorder="1" applyAlignment="1">
      <alignment horizontal="center" vertical="center"/>
    </xf>
    <xf numFmtId="3" fontId="10" fillId="3" borderId="15" xfId="0" applyNumberFormat="1" applyFont="1" applyFill="1" applyBorder="1" applyAlignment="1">
      <alignment horizontal="center" vertical="center"/>
    </xf>
    <xf numFmtId="3" fontId="11" fillId="4" borderId="15" xfId="0" applyNumberFormat="1" applyFont="1" applyFill="1" applyBorder="1" applyAlignment="1">
      <alignment horizontal="center" vertical="center"/>
    </xf>
    <xf numFmtId="3" fontId="11" fillId="5" borderId="15" xfId="0" applyNumberFormat="1" applyFont="1" applyFill="1" applyBorder="1" applyAlignment="1">
      <alignment horizontal="center" vertical="center"/>
    </xf>
    <xf numFmtId="3" fontId="10" fillId="3" borderId="38" xfId="0" applyNumberFormat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7" fontId="10" fillId="0" borderId="11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37" xfId="1" applyFont="1" applyBorder="1" applyAlignment="1">
      <alignment horizontal="center" vertical="center"/>
    </xf>
    <xf numFmtId="43" fontId="14" fillId="0" borderId="4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0" borderId="32" xfId="1" applyFont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" fontId="0" fillId="8" borderId="0" xfId="0" applyNumberFormat="1" applyFill="1"/>
    <xf numFmtId="3" fontId="0" fillId="8" borderId="0" xfId="0" applyNumberFormat="1" applyFill="1"/>
    <xf numFmtId="9" fontId="0" fillId="8" borderId="0" xfId="8" applyFont="1" applyFill="1"/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1" fontId="14" fillId="0" borderId="35" xfId="1" applyFont="1" applyBorder="1" applyAlignment="1">
      <alignment horizontal="center" vertical="center"/>
    </xf>
    <xf numFmtId="43" fontId="14" fillId="0" borderId="11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9" fontId="0" fillId="8" borderId="0" xfId="0" applyNumberFormat="1" applyFill="1"/>
    <xf numFmtId="43" fontId="7" fillId="0" borderId="34" xfId="9" applyFont="1" applyBorder="1" applyAlignment="1">
      <alignment horizontal="center" vertical="center"/>
    </xf>
    <xf numFmtId="43" fontId="7" fillId="0" borderId="36" xfId="9" applyFont="1" applyBorder="1" applyAlignment="1">
      <alignment horizontal="center" vertical="center"/>
    </xf>
    <xf numFmtId="41" fontId="0" fillId="0" borderId="0" xfId="0" applyNumberFormat="1"/>
    <xf numFmtId="3" fontId="2" fillId="0" borderId="13" xfId="0" applyNumberFormat="1" applyFont="1" applyBorder="1" applyAlignment="1">
      <alignment horizontal="center"/>
    </xf>
    <xf numFmtId="165" fontId="0" fillId="0" borderId="0" xfId="0" applyNumberFormat="1"/>
    <xf numFmtId="9" fontId="8" fillId="10" borderId="33" xfId="8" applyFont="1" applyFill="1" applyBorder="1" applyAlignment="1">
      <alignment vertical="center"/>
    </xf>
    <xf numFmtId="9" fontId="8" fillId="10" borderId="28" xfId="8" applyFont="1" applyFill="1" applyBorder="1" applyAlignment="1">
      <alignment vertical="center"/>
    </xf>
    <xf numFmtId="17" fontId="10" fillId="0" borderId="2" xfId="0" applyNumberFormat="1" applyFont="1" applyBorder="1" applyAlignment="1">
      <alignment horizontal="center" vertical="center" wrapText="1"/>
    </xf>
    <xf numFmtId="17" fontId="10" fillId="0" borderId="6" xfId="0" applyNumberFormat="1" applyFont="1" applyBorder="1" applyAlignment="1">
      <alignment horizontal="center" vertical="center" wrapText="1"/>
    </xf>
    <xf numFmtId="17" fontId="10" fillId="0" borderId="9" xfId="0" applyNumberFormat="1" applyFont="1" applyBorder="1" applyAlignment="1">
      <alignment horizontal="center" vertical="center" wrapText="1"/>
    </xf>
    <xf numFmtId="3" fontId="10" fillId="7" borderId="5" xfId="0" applyNumberFormat="1" applyFont="1" applyFill="1" applyBorder="1" applyAlignment="1">
      <alignment horizontal="center" vertical="center"/>
    </xf>
    <xf numFmtId="3" fontId="10" fillId="7" borderId="8" xfId="0" applyNumberFormat="1" applyFont="1" applyFill="1" applyBorder="1" applyAlignment="1">
      <alignment horizontal="center" vertical="center"/>
    </xf>
    <xf numFmtId="3" fontId="10" fillId="7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5" fillId="0" borderId="21" xfId="0" applyNumberFormat="1" applyFont="1" applyBorder="1" applyAlignment="1">
      <alignment horizontal="center" vertical="center"/>
    </xf>
    <xf numFmtId="17" fontId="5" fillId="0" borderId="22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6" fillId="11" borderId="24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7" fontId="13" fillId="0" borderId="21" xfId="0" applyNumberFormat="1" applyFont="1" applyBorder="1" applyAlignment="1">
      <alignment horizontal="center" vertical="center"/>
    </xf>
    <xf numFmtId="17" fontId="13" fillId="0" borderId="22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9" borderId="19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9" borderId="2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2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8947" cy="6170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506800</xdr:colOff>
      <xdr:row>0</xdr:row>
      <xdr:rowOff>0</xdr:rowOff>
    </xdr:from>
    <xdr:to>
      <xdr:col>3</xdr:col>
      <xdr:colOff>54043</xdr:colOff>
      <xdr:row>3</xdr:row>
      <xdr:rowOff>91184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0C91B48C-22F6-4D4B-9BF7-52A3DEE02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506800" y="0"/>
          <a:ext cx="1796764" cy="6451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74082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8018342C-711A-4E02-BA0C-EF2134DAD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65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BH54"/>
  <sheetViews>
    <sheetView showGridLines="0" zoomScale="70" zoomScaleNormal="70" workbookViewId="0">
      <pane ySplit="5" topLeftCell="A6" activePane="bottomLeft" state="frozen"/>
      <selection activeCell="L45" sqref="L45"/>
      <selection pane="bottomLeft" activeCell="N34" sqref="N34"/>
    </sheetView>
  </sheetViews>
  <sheetFormatPr baseColWidth="10" defaultRowHeight="14.5"/>
  <cols>
    <col min="1" max="1" width="1.81640625" customWidth="1"/>
    <col min="2" max="2" width="10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26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spans="2:60">
      <c r="B3" s="82" t="s">
        <v>34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2:60" ht="15" thickBot="1">
      <c r="B4" s="83" t="s">
        <v>45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spans="2:60" ht="25.5" customHeight="1" thickBot="1">
      <c r="B5" s="35"/>
      <c r="C5" s="36" t="s">
        <v>1</v>
      </c>
      <c r="D5" s="37">
        <v>1</v>
      </c>
      <c r="E5" s="37">
        <v>2</v>
      </c>
      <c r="F5" s="37">
        <v>3</v>
      </c>
      <c r="G5" s="37">
        <v>4</v>
      </c>
      <c r="H5" s="37">
        <v>5</v>
      </c>
      <c r="I5" s="37">
        <v>6</v>
      </c>
      <c r="J5" s="38">
        <v>7</v>
      </c>
      <c r="K5" s="38">
        <v>8</v>
      </c>
      <c r="L5" s="38">
        <v>9</v>
      </c>
      <c r="M5" s="38">
        <v>10</v>
      </c>
      <c r="N5" s="38">
        <v>11</v>
      </c>
      <c r="O5" s="38">
        <v>12</v>
      </c>
      <c r="P5" s="38">
        <v>13</v>
      </c>
      <c r="Q5" s="38">
        <v>14</v>
      </c>
      <c r="R5" s="38">
        <v>15</v>
      </c>
      <c r="S5" s="38">
        <v>16</v>
      </c>
      <c r="T5" s="38">
        <v>17</v>
      </c>
      <c r="U5" s="38">
        <v>18</v>
      </c>
      <c r="V5" s="39">
        <v>19</v>
      </c>
      <c r="W5" s="39">
        <v>20</v>
      </c>
      <c r="X5" s="39">
        <v>21</v>
      </c>
      <c r="Y5" s="37">
        <v>22</v>
      </c>
      <c r="Z5" s="37">
        <v>23</v>
      </c>
      <c r="AA5" s="40">
        <v>24</v>
      </c>
      <c r="AB5" s="41" t="s">
        <v>2</v>
      </c>
      <c r="AC5" s="42" t="s">
        <v>3</v>
      </c>
      <c r="AD5" s="43" t="s">
        <v>2</v>
      </c>
    </row>
    <row r="6" spans="2:60">
      <c r="B6" s="76">
        <v>46023</v>
      </c>
      <c r="C6" s="44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4">
        <v>0</v>
      </c>
      <c r="AB6" s="45">
        <f t="shared" ref="AB6:AB53" si="0">(SUM(D6:AA6))</f>
        <v>0</v>
      </c>
      <c r="AC6" s="45">
        <v>20</v>
      </c>
      <c r="AD6" s="79">
        <f>(AB6*AC6)+(AB7*AC7)+(AB8*AC8)+(AB9*AC9)</f>
        <v>0</v>
      </c>
      <c r="AE6" s="27">
        <f>+AD6</f>
        <v>0</v>
      </c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</row>
    <row r="7" spans="2:60">
      <c r="B7" s="77"/>
      <c r="C7" s="46" t="s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5">
        <v>0</v>
      </c>
      <c r="AB7" s="47">
        <f t="shared" si="0"/>
        <v>0</v>
      </c>
      <c r="AC7" s="47">
        <v>5</v>
      </c>
      <c r="AD7" s="80"/>
      <c r="AE7" s="27">
        <f>+AD10</f>
        <v>0</v>
      </c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</row>
    <row r="8" spans="2:60">
      <c r="B8" s="77"/>
      <c r="C8" s="46" t="s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5">
        <v>0</v>
      </c>
      <c r="AB8" s="47">
        <f t="shared" si="0"/>
        <v>0</v>
      </c>
      <c r="AC8" s="47">
        <v>4</v>
      </c>
      <c r="AD8" s="80"/>
      <c r="AE8" s="27">
        <f>+AD14</f>
        <v>0</v>
      </c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</row>
    <row r="9" spans="2:60" ht="15" thickBot="1">
      <c r="B9" s="78"/>
      <c r="C9" s="48" t="s">
        <v>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6">
        <v>0</v>
      </c>
      <c r="AB9" s="49">
        <f t="shared" si="0"/>
        <v>0</v>
      </c>
      <c r="AC9" s="49">
        <v>2</v>
      </c>
      <c r="AD9" s="81"/>
      <c r="AE9" s="27">
        <f>+AD18</f>
        <v>0</v>
      </c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</row>
    <row r="10" spans="2:60">
      <c r="B10" s="76">
        <v>46054</v>
      </c>
      <c r="C10" s="44" t="s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4">
        <v>0</v>
      </c>
      <c r="AB10" s="45">
        <f t="shared" si="0"/>
        <v>0</v>
      </c>
      <c r="AC10" s="45">
        <v>20</v>
      </c>
      <c r="AD10" s="79">
        <f>(AB10*AC10)+(AB11*AC11)+(AB12*AC12)+(AB13*AC13)</f>
        <v>0</v>
      </c>
      <c r="AE10" s="27">
        <f>+AD22</f>
        <v>0</v>
      </c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</row>
    <row r="11" spans="2:60">
      <c r="B11" s="77"/>
      <c r="C11" s="46" t="s">
        <v>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5">
        <v>0</v>
      </c>
      <c r="AB11" s="47">
        <f t="shared" si="0"/>
        <v>0</v>
      </c>
      <c r="AC11" s="47">
        <v>4</v>
      </c>
      <c r="AD11" s="80"/>
      <c r="AE11" s="27">
        <f>+AD26</f>
        <v>0</v>
      </c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</row>
    <row r="12" spans="2:60">
      <c r="B12" s="77"/>
      <c r="C12" s="46" t="s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5">
        <v>0</v>
      </c>
      <c r="AB12" s="47">
        <f t="shared" si="0"/>
        <v>0</v>
      </c>
      <c r="AC12" s="47">
        <v>4</v>
      </c>
      <c r="AD12" s="80"/>
      <c r="AE12" s="27">
        <f>+AD30</f>
        <v>0</v>
      </c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</row>
    <row r="13" spans="2:60" ht="15" thickBot="1">
      <c r="B13" s="78"/>
      <c r="C13" s="48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6">
        <v>0</v>
      </c>
      <c r="AB13" s="49">
        <f t="shared" si="0"/>
        <v>0</v>
      </c>
      <c r="AC13" s="49">
        <v>0</v>
      </c>
      <c r="AD13" s="81"/>
      <c r="AE13" s="27">
        <f>+AD34</f>
        <v>0</v>
      </c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</row>
    <row r="14" spans="2:60">
      <c r="B14" s="76">
        <v>46082</v>
      </c>
      <c r="C14" s="44" t="s">
        <v>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4">
        <v>0</v>
      </c>
      <c r="AB14" s="45">
        <f t="shared" si="0"/>
        <v>0</v>
      </c>
      <c r="AC14" s="45">
        <v>21</v>
      </c>
      <c r="AD14" s="79">
        <f>(AB14*AC14)+(AB15*AC15)+(AB16*AC16)+(AB17*AC17)</f>
        <v>0</v>
      </c>
      <c r="AE14" s="27">
        <f>+AD38</f>
        <v>676277.28</v>
      </c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</row>
    <row r="15" spans="2:60">
      <c r="B15" s="77"/>
      <c r="C15" s="46" t="s">
        <v>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5">
        <v>0</v>
      </c>
      <c r="AB15" s="47">
        <f t="shared" si="0"/>
        <v>0</v>
      </c>
      <c r="AC15" s="47">
        <v>4</v>
      </c>
      <c r="AD15" s="80"/>
      <c r="AE15" s="27">
        <f>+AD42</f>
        <v>766870.56000000041</v>
      </c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</row>
    <row r="16" spans="2:60">
      <c r="B16" s="77"/>
      <c r="C16" s="46" t="s">
        <v>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5">
        <v>0</v>
      </c>
      <c r="AB16" s="47">
        <f t="shared" si="0"/>
        <v>0</v>
      </c>
      <c r="AC16" s="47">
        <v>5</v>
      </c>
      <c r="AD16" s="80"/>
      <c r="AE16" s="27">
        <f>+AD46</f>
        <v>2223705.6000000006</v>
      </c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</row>
    <row r="17" spans="2:60" ht="15" thickBot="1">
      <c r="B17" s="78"/>
      <c r="C17" s="48" t="s">
        <v>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6">
        <v>0</v>
      </c>
      <c r="AB17" s="49">
        <f t="shared" si="0"/>
        <v>0</v>
      </c>
      <c r="AC17" s="49">
        <v>1</v>
      </c>
      <c r="AD17" s="81"/>
      <c r="AE17" s="27">
        <f>+AD50</f>
        <v>5945490</v>
      </c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</row>
    <row r="18" spans="2:60">
      <c r="B18" s="76">
        <v>46113</v>
      </c>
      <c r="C18" s="44" t="s">
        <v>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>
        <v>0</v>
      </c>
      <c r="AB18" s="45">
        <f t="shared" si="0"/>
        <v>0</v>
      </c>
      <c r="AC18" s="45">
        <v>20</v>
      </c>
      <c r="AD18" s="79">
        <f>(AB18*AC18)+(AB19*AC19)+(AB20*AC20)+(AB21*AC21)</f>
        <v>0</v>
      </c>
      <c r="AE18" s="27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</row>
    <row r="19" spans="2:60">
      <c r="B19" s="77"/>
      <c r="C19" s="46" t="s">
        <v>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5">
        <v>0</v>
      </c>
      <c r="AB19" s="47">
        <f t="shared" si="0"/>
        <v>0</v>
      </c>
      <c r="AC19" s="47">
        <v>4</v>
      </c>
      <c r="AD19" s="80"/>
      <c r="AE19" s="27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</row>
    <row r="20" spans="2:60">
      <c r="B20" s="77"/>
      <c r="C20" s="46" t="s">
        <v>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5">
        <v>0</v>
      </c>
      <c r="AB20" s="47">
        <f t="shared" si="0"/>
        <v>0</v>
      </c>
      <c r="AC20" s="47">
        <v>4</v>
      </c>
      <c r="AD20" s="80"/>
      <c r="AE20" s="27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</row>
    <row r="21" spans="2:60" ht="15" thickBot="1">
      <c r="B21" s="78"/>
      <c r="C21" s="48" t="s">
        <v>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6">
        <v>0</v>
      </c>
      <c r="AB21" s="49">
        <f t="shared" si="0"/>
        <v>0</v>
      </c>
      <c r="AC21" s="49">
        <v>2</v>
      </c>
      <c r="AD21" s="81"/>
      <c r="AE21" s="27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</row>
    <row r="22" spans="2:60">
      <c r="B22" s="76">
        <v>46143</v>
      </c>
      <c r="C22" s="44" t="s">
        <v>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4">
        <v>0</v>
      </c>
      <c r="AB22" s="45">
        <f t="shared" si="0"/>
        <v>0</v>
      </c>
      <c r="AC22" s="45">
        <v>19</v>
      </c>
      <c r="AD22" s="79">
        <f>(AB22*AC22)+(AB23*AC23)+(AB24*AC24)+(AB25*AC25)</f>
        <v>0</v>
      </c>
      <c r="AE22" s="27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</row>
    <row r="23" spans="2:60">
      <c r="B23" s="77"/>
      <c r="C23" s="46" t="s">
        <v>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5">
        <v>0</v>
      </c>
      <c r="AB23" s="47">
        <f t="shared" si="0"/>
        <v>0</v>
      </c>
      <c r="AC23" s="47">
        <v>5</v>
      </c>
      <c r="AD23" s="80"/>
      <c r="AE23" s="27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</row>
    <row r="24" spans="2:60">
      <c r="B24" s="77"/>
      <c r="C24" s="46" t="s">
        <v>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5">
        <v>0</v>
      </c>
      <c r="AB24" s="47">
        <f t="shared" si="0"/>
        <v>0</v>
      </c>
      <c r="AC24" s="47">
        <v>5</v>
      </c>
      <c r="AD24" s="80"/>
      <c r="AE24" s="27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</row>
    <row r="25" spans="2:60" ht="15" thickBot="1">
      <c r="B25" s="78"/>
      <c r="C25" s="48" t="s">
        <v>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6">
        <v>0</v>
      </c>
      <c r="AB25" s="49">
        <f t="shared" si="0"/>
        <v>0</v>
      </c>
      <c r="AC25" s="49">
        <v>2</v>
      </c>
      <c r="AD25" s="81"/>
      <c r="AE25" s="27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</row>
    <row r="26" spans="2:60">
      <c r="B26" s="76">
        <v>46174</v>
      </c>
      <c r="C26" s="44" t="s">
        <v>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4">
        <v>0</v>
      </c>
      <c r="AB26" s="45">
        <f t="shared" si="0"/>
        <v>0</v>
      </c>
      <c r="AC26" s="45">
        <v>19</v>
      </c>
      <c r="AD26" s="79">
        <f>(AB26*AC26)+(AB27*AC27)+(AB28*AC28)+(AB29*AC29)</f>
        <v>0</v>
      </c>
      <c r="AE26" s="27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</row>
    <row r="27" spans="2:60">
      <c r="B27" s="77"/>
      <c r="C27" s="46" t="s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5">
        <v>0</v>
      </c>
      <c r="AB27" s="47">
        <f t="shared" si="0"/>
        <v>0</v>
      </c>
      <c r="AC27" s="47">
        <v>4</v>
      </c>
      <c r="AD27" s="80"/>
      <c r="AE27" s="27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</row>
    <row r="28" spans="2:60">
      <c r="B28" s="77"/>
      <c r="C28" s="46" t="s">
        <v>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5">
        <v>0</v>
      </c>
      <c r="AB28" s="47">
        <f t="shared" si="0"/>
        <v>0</v>
      </c>
      <c r="AC28" s="47">
        <v>4</v>
      </c>
      <c r="AD28" s="80"/>
      <c r="AE28" s="27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</row>
    <row r="29" spans="2:60" ht="15" thickBot="1">
      <c r="B29" s="78"/>
      <c r="C29" s="48" t="s">
        <v>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6">
        <v>0</v>
      </c>
      <c r="AB29" s="49">
        <f t="shared" si="0"/>
        <v>0</v>
      </c>
      <c r="AC29" s="49">
        <v>3</v>
      </c>
      <c r="AD29" s="81"/>
      <c r="AE29" s="27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</row>
    <row r="30" spans="2:60">
      <c r="B30" s="76">
        <v>46204</v>
      </c>
      <c r="C30" s="44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4">
        <v>0</v>
      </c>
      <c r="AB30" s="45">
        <f t="shared" si="0"/>
        <v>0</v>
      </c>
      <c r="AC30" s="45">
        <v>21</v>
      </c>
      <c r="AD30" s="79">
        <f>(AB30*AC30)+(AB31*AC31)+(AB32*AC32)+(AB33*AC33)</f>
        <v>0</v>
      </c>
      <c r="AE30" s="27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</row>
    <row r="31" spans="2:60">
      <c r="B31" s="77"/>
      <c r="C31" s="46" t="s">
        <v>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5">
        <v>0</v>
      </c>
      <c r="AB31" s="47">
        <f t="shared" si="0"/>
        <v>0</v>
      </c>
      <c r="AC31" s="47">
        <v>4</v>
      </c>
      <c r="AD31" s="80"/>
      <c r="AE31" s="27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</row>
    <row r="32" spans="2:60">
      <c r="B32" s="77"/>
      <c r="C32" s="46" t="s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5">
        <v>0</v>
      </c>
      <c r="AB32" s="47">
        <f t="shared" si="0"/>
        <v>0</v>
      </c>
      <c r="AC32" s="47">
        <v>4</v>
      </c>
      <c r="AD32" s="80"/>
      <c r="AE32" s="27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</row>
    <row r="33" spans="2:60" ht="15" thickBot="1">
      <c r="B33" s="78"/>
      <c r="C33" s="48" t="s">
        <v>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6">
        <v>0</v>
      </c>
      <c r="AB33" s="49">
        <f t="shared" si="0"/>
        <v>0</v>
      </c>
      <c r="AC33" s="49">
        <v>1</v>
      </c>
      <c r="AD33" s="81"/>
      <c r="AE33" s="27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</row>
    <row r="34" spans="2:60">
      <c r="B34" s="76">
        <v>46235</v>
      </c>
      <c r="C34" s="44" t="s">
        <v>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4">
        <v>0</v>
      </c>
      <c r="AB34" s="45">
        <f t="shared" si="0"/>
        <v>0</v>
      </c>
      <c r="AC34" s="45">
        <v>19</v>
      </c>
      <c r="AD34" s="79">
        <f>(AB34*AC34)+(AB35*AC35)+(AB36*AC36)+(AB37*AC37)</f>
        <v>0</v>
      </c>
      <c r="AE34" s="27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</row>
    <row r="35" spans="2:60">
      <c r="B35" s="77"/>
      <c r="C35" s="46" t="s">
        <v>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5">
        <v>0</v>
      </c>
      <c r="AB35" s="47">
        <f t="shared" si="0"/>
        <v>0</v>
      </c>
      <c r="AC35" s="47">
        <v>5</v>
      </c>
      <c r="AD35" s="80"/>
      <c r="AE35" s="27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</row>
    <row r="36" spans="2:60">
      <c r="B36" s="77"/>
      <c r="C36" s="46" t="s">
        <v>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5">
        <v>0</v>
      </c>
      <c r="AB36" s="47">
        <f t="shared" si="0"/>
        <v>0</v>
      </c>
      <c r="AC36" s="47">
        <v>5</v>
      </c>
      <c r="AD36" s="80"/>
      <c r="AE36" s="27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</row>
    <row r="37" spans="2:60" ht="15" thickBot="1">
      <c r="B37" s="78"/>
      <c r="C37" s="48" t="s">
        <v>8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6">
        <v>0</v>
      </c>
      <c r="AB37" s="49">
        <f t="shared" si="0"/>
        <v>0</v>
      </c>
      <c r="AC37" s="49">
        <v>2</v>
      </c>
      <c r="AD37" s="81"/>
      <c r="AE37" s="27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</row>
    <row r="38" spans="2:60">
      <c r="B38" s="76">
        <v>46266</v>
      </c>
      <c r="C38" s="44" t="s">
        <v>5</v>
      </c>
      <c r="D38" s="2">
        <v>1341.82</v>
      </c>
      <c r="E38" s="2">
        <v>1341.82</v>
      </c>
      <c r="F38" s="2">
        <v>1341.82</v>
      </c>
      <c r="G38" s="2">
        <v>1341.82</v>
      </c>
      <c r="H38" s="2">
        <v>1341.82</v>
      </c>
      <c r="I38" s="2">
        <v>1341.82</v>
      </c>
      <c r="J38" s="2">
        <v>1341.82</v>
      </c>
      <c r="K38" s="2">
        <v>1341.82</v>
      </c>
      <c r="L38" s="2">
        <v>1341.82</v>
      </c>
      <c r="M38" s="2">
        <v>1341.82</v>
      </c>
      <c r="N38" s="2">
        <v>1341.82</v>
      </c>
      <c r="O38" s="2">
        <v>1341.82</v>
      </c>
      <c r="P38" s="2">
        <v>1341.82</v>
      </c>
      <c r="Q38" s="2">
        <v>1341.82</v>
      </c>
      <c r="R38" s="2">
        <v>1341.82</v>
      </c>
      <c r="S38" s="2">
        <v>1341.82</v>
      </c>
      <c r="T38" s="2">
        <v>1341.82</v>
      </c>
      <c r="U38" s="2">
        <v>1341.82</v>
      </c>
      <c r="V38" s="2">
        <v>1341.82</v>
      </c>
      <c r="W38" s="2">
        <v>1341.82</v>
      </c>
      <c r="X38" s="2">
        <v>1341.82</v>
      </c>
      <c r="Y38" s="2">
        <v>1341.82</v>
      </c>
      <c r="Z38" s="2">
        <v>1341.82</v>
      </c>
      <c r="AA38" s="4">
        <v>1341.82</v>
      </c>
      <c r="AB38" s="45">
        <f t="shared" si="0"/>
        <v>32203.679999999997</v>
      </c>
      <c r="AC38" s="45">
        <f>22-7</f>
        <v>15</v>
      </c>
      <c r="AD38" s="79">
        <f>(AB38*AC38)+(AB39*AC39)+(AB40*AC40)+(AB41*AC41)</f>
        <v>676277.28</v>
      </c>
      <c r="AE38" s="27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</row>
    <row r="39" spans="2:60">
      <c r="B39" s="77"/>
      <c r="C39" s="46" t="s">
        <v>6</v>
      </c>
      <c r="D39" s="1">
        <v>1341.82</v>
      </c>
      <c r="E39" s="1">
        <v>1341.82</v>
      </c>
      <c r="F39" s="1">
        <v>1341.82</v>
      </c>
      <c r="G39" s="1">
        <v>1341.82</v>
      </c>
      <c r="H39" s="1">
        <v>1341.82</v>
      </c>
      <c r="I39" s="1">
        <v>1341.82</v>
      </c>
      <c r="J39" s="1">
        <v>1341.82</v>
      </c>
      <c r="K39" s="1">
        <v>1341.82</v>
      </c>
      <c r="L39" s="1">
        <v>1341.82</v>
      </c>
      <c r="M39" s="1">
        <v>1341.82</v>
      </c>
      <c r="N39" s="1">
        <v>1341.82</v>
      </c>
      <c r="O39" s="1">
        <v>1341.82</v>
      </c>
      <c r="P39" s="1">
        <v>1341.82</v>
      </c>
      <c r="Q39" s="1">
        <v>1341.82</v>
      </c>
      <c r="R39" s="1">
        <v>1341.82</v>
      </c>
      <c r="S39" s="1">
        <v>1341.82</v>
      </c>
      <c r="T39" s="1">
        <v>1341.82</v>
      </c>
      <c r="U39" s="1">
        <v>1341.82</v>
      </c>
      <c r="V39" s="1">
        <v>1341.82</v>
      </c>
      <c r="W39" s="1">
        <v>1341.82</v>
      </c>
      <c r="X39" s="1">
        <v>1341.82</v>
      </c>
      <c r="Y39" s="1">
        <v>1341.82</v>
      </c>
      <c r="Z39" s="1">
        <v>1341.82</v>
      </c>
      <c r="AA39" s="5">
        <v>1341.82</v>
      </c>
      <c r="AB39" s="47">
        <f t="shared" si="0"/>
        <v>32203.679999999997</v>
      </c>
      <c r="AC39" s="47">
        <v>3</v>
      </c>
      <c r="AD39" s="80"/>
      <c r="AE39" s="27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</row>
    <row r="40" spans="2:60">
      <c r="B40" s="77"/>
      <c r="C40" s="46" t="s">
        <v>7</v>
      </c>
      <c r="D40" s="1">
        <v>1341.82</v>
      </c>
      <c r="E40" s="1">
        <v>1341.82</v>
      </c>
      <c r="F40" s="1">
        <v>1341.82</v>
      </c>
      <c r="G40" s="1">
        <v>1341.82</v>
      </c>
      <c r="H40" s="1">
        <v>1341.82</v>
      </c>
      <c r="I40" s="1">
        <v>1341.82</v>
      </c>
      <c r="J40" s="1">
        <v>1341.82</v>
      </c>
      <c r="K40" s="1">
        <v>1341.82</v>
      </c>
      <c r="L40" s="1">
        <v>1341.82</v>
      </c>
      <c r="M40" s="1">
        <v>1341.82</v>
      </c>
      <c r="N40" s="1">
        <v>1341.82</v>
      </c>
      <c r="O40" s="1">
        <v>1341.82</v>
      </c>
      <c r="P40" s="1">
        <v>1341.82</v>
      </c>
      <c r="Q40" s="1">
        <v>1341.82</v>
      </c>
      <c r="R40" s="1">
        <v>1341.82</v>
      </c>
      <c r="S40" s="1">
        <v>1341.82</v>
      </c>
      <c r="T40" s="1">
        <v>1341.82</v>
      </c>
      <c r="U40" s="1">
        <v>1341.82</v>
      </c>
      <c r="V40" s="1">
        <v>1341.82</v>
      </c>
      <c r="W40" s="1">
        <v>1341.82</v>
      </c>
      <c r="X40" s="1">
        <v>1341.82</v>
      </c>
      <c r="Y40" s="1">
        <v>1341.82</v>
      </c>
      <c r="Z40" s="1">
        <v>1341.82</v>
      </c>
      <c r="AA40" s="5">
        <v>1341.82</v>
      </c>
      <c r="AB40" s="47">
        <f t="shared" si="0"/>
        <v>32203.679999999997</v>
      </c>
      <c r="AC40" s="47">
        <v>3</v>
      </c>
      <c r="AD40" s="80"/>
      <c r="AE40" s="27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</row>
    <row r="41" spans="2:60" ht="15" thickBot="1">
      <c r="B41" s="78"/>
      <c r="C41" s="48" t="s">
        <v>8</v>
      </c>
      <c r="D41" s="3">
        <v>1341.82</v>
      </c>
      <c r="E41" s="3">
        <v>1341.82</v>
      </c>
      <c r="F41" s="3">
        <v>1341.82</v>
      </c>
      <c r="G41" s="3">
        <v>1341.82</v>
      </c>
      <c r="H41" s="3">
        <v>1341.82</v>
      </c>
      <c r="I41" s="3">
        <v>1341.82</v>
      </c>
      <c r="J41" s="3">
        <v>1341.82</v>
      </c>
      <c r="K41" s="3">
        <v>1341.82</v>
      </c>
      <c r="L41" s="3">
        <v>1341.82</v>
      </c>
      <c r="M41" s="3">
        <v>1341.82</v>
      </c>
      <c r="N41" s="3">
        <v>1341.82</v>
      </c>
      <c r="O41" s="3">
        <v>1341.82</v>
      </c>
      <c r="P41" s="3">
        <v>1341.82</v>
      </c>
      <c r="Q41" s="3">
        <v>1341.82</v>
      </c>
      <c r="R41" s="3">
        <v>1341.82</v>
      </c>
      <c r="S41" s="3">
        <v>1341.82</v>
      </c>
      <c r="T41" s="3">
        <v>1341.82</v>
      </c>
      <c r="U41" s="3">
        <v>1341.82</v>
      </c>
      <c r="V41" s="3">
        <v>1341.82</v>
      </c>
      <c r="W41" s="3">
        <v>1341.82</v>
      </c>
      <c r="X41" s="3">
        <v>1341.82</v>
      </c>
      <c r="Y41" s="3">
        <v>1341.82</v>
      </c>
      <c r="Z41" s="3">
        <v>1341.82</v>
      </c>
      <c r="AA41" s="6">
        <v>1341.82</v>
      </c>
      <c r="AB41" s="49">
        <f t="shared" si="0"/>
        <v>32203.679999999997</v>
      </c>
      <c r="AC41" s="49">
        <v>0</v>
      </c>
      <c r="AD41" s="81"/>
      <c r="AE41" s="27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</row>
    <row r="42" spans="2:60">
      <c r="B42" s="76">
        <v>46296</v>
      </c>
      <c r="C42" s="44" t="s">
        <v>5</v>
      </c>
      <c r="D42" s="2">
        <v>1030.74</v>
      </c>
      <c r="E42" s="2">
        <v>1030.74</v>
      </c>
      <c r="F42" s="2">
        <v>1030.74</v>
      </c>
      <c r="G42" s="2">
        <v>1030.74</v>
      </c>
      <c r="H42" s="2">
        <v>1030.74</v>
      </c>
      <c r="I42" s="2">
        <v>1030.74</v>
      </c>
      <c r="J42" s="2">
        <v>1030.74</v>
      </c>
      <c r="K42" s="2">
        <v>1030.74</v>
      </c>
      <c r="L42" s="2">
        <v>1030.74</v>
      </c>
      <c r="M42" s="2">
        <v>1030.74</v>
      </c>
      <c r="N42" s="2">
        <v>1030.74</v>
      </c>
      <c r="O42" s="2">
        <v>1030.74</v>
      </c>
      <c r="P42" s="2">
        <v>1030.74</v>
      </c>
      <c r="Q42" s="2">
        <v>1030.74</v>
      </c>
      <c r="R42" s="2">
        <v>1030.74</v>
      </c>
      <c r="S42" s="2">
        <v>1030.74</v>
      </c>
      <c r="T42" s="2">
        <v>1030.74</v>
      </c>
      <c r="U42" s="2">
        <v>1030.74</v>
      </c>
      <c r="V42" s="2">
        <v>1030.74</v>
      </c>
      <c r="W42" s="2">
        <v>1030.74</v>
      </c>
      <c r="X42" s="2">
        <v>1030.74</v>
      </c>
      <c r="Y42" s="2">
        <v>1030.74</v>
      </c>
      <c r="Z42" s="2">
        <v>1030.74</v>
      </c>
      <c r="AA42" s="4">
        <v>1030.74</v>
      </c>
      <c r="AB42" s="45">
        <f t="shared" si="0"/>
        <v>24737.760000000013</v>
      </c>
      <c r="AC42" s="45">
        <v>21</v>
      </c>
      <c r="AD42" s="79">
        <f>(AB42*AC42)+(AB43*AC43)+(AB44*AC44)+(AB45*AC45)</f>
        <v>766870.56000000041</v>
      </c>
      <c r="AE42" s="27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</row>
    <row r="43" spans="2:60">
      <c r="B43" s="77"/>
      <c r="C43" s="46" t="s">
        <v>6</v>
      </c>
      <c r="D43" s="1">
        <v>1030.74</v>
      </c>
      <c r="E43" s="1">
        <v>1030.74</v>
      </c>
      <c r="F43" s="1">
        <v>1030.74</v>
      </c>
      <c r="G43" s="1">
        <v>1030.74</v>
      </c>
      <c r="H43" s="1">
        <v>1030.74</v>
      </c>
      <c r="I43" s="1">
        <v>1030.74</v>
      </c>
      <c r="J43" s="1">
        <v>1030.74</v>
      </c>
      <c r="K43" s="1">
        <v>1030.74</v>
      </c>
      <c r="L43" s="1">
        <v>1030.74</v>
      </c>
      <c r="M43" s="1">
        <v>1030.74</v>
      </c>
      <c r="N43" s="1">
        <v>1030.74</v>
      </c>
      <c r="O43" s="1">
        <v>1030.74</v>
      </c>
      <c r="P43" s="1">
        <v>1030.74</v>
      </c>
      <c r="Q43" s="1">
        <v>1030.74</v>
      </c>
      <c r="R43" s="1">
        <v>1030.74</v>
      </c>
      <c r="S43" s="1">
        <v>1030.74</v>
      </c>
      <c r="T43" s="1">
        <v>1030.74</v>
      </c>
      <c r="U43" s="1">
        <v>1030.74</v>
      </c>
      <c r="V43" s="1">
        <v>1030.74</v>
      </c>
      <c r="W43" s="1">
        <v>1030.74</v>
      </c>
      <c r="X43" s="1">
        <v>1030.74</v>
      </c>
      <c r="Y43" s="1">
        <v>1030.74</v>
      </c>
      <c r="Z43" s="1">
        <v>1030.74</v>
      </c>
      <c r="AA43" s="5">
        <v>1030.74</v>
      </c>
      <c r="AB43" s="47">
        <f t="shared" si="0"/>
        <v>24737.760000000013</v>
      </c>
      <c r="AC43" s="47">
        <v>5</v>
      </c>
      <c r="AD43" s="80"/>
      <c r="AE43" s="27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</row>
    <row r="44" spans="2:60">
      <c r="B44" s="77"/>
      <c r="C44" s="46" t="s">
        <v>7</v>
      </c>
      <c r="D44" s="1">
        <v>1030.74</v>
      </c>
      <c r="E44" s="1">
        <v>1030.74</v>
      </c>
      <c r="F44" s="1">
        <v>1030.74</v>
      </c>
      <c r="G44" s="1">
        <v>1030.74</v>
      </c>
      <c r="H44" s="1">
        <v>1030.74</v>
      </c>
      <c r="I44" s="1">
        <v>1030.74</v>
      </c>
      <c r="J44" s="1">
        <v>1030.74</v>
      </c>
      <c r="K44" s="1">
        <v>1030.74</v>
      </c>
      <c r="L44" s="1">
        <v>1030.74</v>
      </c>
      <c r="M44" s="1">
        <v>1030.74</v>
      </c>
      <c r="N44" s="1">
        <v>1030.74</v>
      </c>
      <c r="O44" s="1">
        <v>1030.74</v>
      </c>
      <c r="P44" s="1">
        <v>1030.74</v>
      </c>
      <c r="Q44" s="1">
        <v>1030.74</v>
      </c>
      <c r="R44" s="1">
        <v>1030.74</v>
      </c>
      <c r="S44" s="1">
        <v>1030.74</v>
      </c>
      <c r="T44" s="1">
        <v>1030.74</v>
      </c>
      <c r="U44" s="1">
        <v>1030.74</v>
      </c>
      <c r="V44" s="1">
        <v>1030.74</v>
      </c>
      <c r="W44" s="1">
        <v>1030.74</v>
      </c>
      <c r="X44" s="1">
        <v>1030.74</v>
      </c>
      <c r="Y44" s="1">
        <v>1030.74</v>
      </c>
      <c r="Z44" s="1">
        <v>1030.74</v>
      </c>
      <c r="AA44" s="5">
        <v>1030.74</v>
      </c>
      <c r="AB44" s="47">
        <f t="shared" si="0"/>
        <v>24737.760000000013</v>
      </c>
      <c r="AC44" s="47">
        <v>4</v>
      </c>
      <c r="AD44" s="80"/>
      <c r="AE44" s="27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</row>
    <row r="45" spans="2:60" ht="15" thickBot="1">
      <c r="B45" s="78"/>
      <c r="C45" s="48" t="s">
        <v>8</v>
      </c>
      <c r="D45" s="3">
        <v>1030.74</v>
      </c>
      <c r="E45" s="3">
        <v>1030.74</v>
      </c>
      <c r="F45" s="3">
        <v>1030.74</v>
      </c>
      <c r="G45" s="3">
        <v>1030.74</v>
      </c>
      <c r="H45" s="3">
        <v>1030.74</v>
      </c>
      <c r="I45" s="3">
        <v>1030.74</v>
      </c>
      <c r="J45" s="3">
        <v>1030.74</v>
      </c>
      <c r="K45" s="3">
        <v>1030.74</v>
      </c>
      <c r="L45" s="3">
        <v>1030.74</v>
      </c>
      <c r="M45" s="3">
        <v>1030.74</v>
      </c>
      <c r="N45" s="3">
        <v>1030.74</v>
      </c>
      <c r="O45" s="3">
        <v>1030.74</v>
      </c>
      <c r="P45" s="3">
        <v>1030.74</v>
      </c>
      <c r="Q45" s="3">
        <v>1030.74</v>
      </c>
      <c r="R45" s="3">
        <v>1030.74</v>
      </c>
      <c r="S45" s="3">
        <v>1030.74</v>
      </c>
      <c r="T45" s="3">
        <v>1030.74</v>
      </c>
      <c r="U45" s="3">
        <v>1030.74</v>
      </c>
      <c r="V45" s="3">
        <v>1030.74</v>
      </c>
      <c r="W45" s="3">
        <v>1030.74</v>
      </c>
      <c r="X45" s="3">
        <v>1030.74</v>
      </c>
      <c r="Y45" s="3">
        <v>1030.74</v>
      </c>
      <c r="Z45" s="3">
        <v>1030.74</v>
      </c>
      <c r="AA45" s="6">
        <v>1030.74</v>
      </c>
      <c r="AB45" s="49">
        <f t="shared" si="0"/>
        <v>24737.760000000013</v>
      </c>
      <c r="AC45" s="49">
        <v>1</v>
      </c>
      <c r="AD45" s="81"/>
      <c r="AE45" s="27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</row>
    <row r="46" spans="2:60">
      <c r="B46" s="76">
        <v>46327</v>
      </c>
      <c r="C46" s="44" t="s">
        <v>5</v>
      </c>
      <c r="D46" s="2">
        <v>3088.48</v>
      </c>
      <c r="E46" s="2">
        <v>3088.48</v>
      </c>
      <c r="F46" s="2">
        <v>3088.48</v>
      </c>
      <c r="G46" s="2">
        <v>3088.48</v>
      </c>
      <c r="H46" s="2">
        <v>3088.48</v>
      </c>
      <c r="I46" s="2">
        <v>3088.48</v>
      </c>
      <c r="J46" s="2">
        <v>3088.48</v>
      </c>
      <c r="K46" s="2">
        <v>3088.48</v>
      </c>
      <c r="L46" s="2">
        <v>3088.48</v>
      </c>
      <c r="M46" s="2">
        <v>3088.48</v>
      </c>
      <c r="N46" s="2">
        <v>3088.48</v>
      </c>
      <c r="O46" s="2">
        <v>3088.48</v>
      </c>
      <c r="P46" s="2">
        <v>3088.48</v>
      </c>
      <c r="Q46" s="2">
        <v>3088.48</v>
      </c>
      <c r="R46" s="2">
        <v>3088.48</v>
      </c>
      <c r="S46" s="2">
        <v>3088.48</v>
      </c>
      <c r="T46" s="2">
        <v>3088.48</v>
      </c>
      <c r="U46" s="2">
        <v>3088.48</v>
      </c>
      <c r="V46" s="2">
        <v>3088.48</v>
      </c>
      <c r="W46" s="2">
        <v>3088.48</v>
      </c>
      <c r="X46" s="2">
        <v>3088.48</v>
      </c>
      <c r="Y46" s="2">
        <v>3088.48</v>
      </c>
      <c r="Z46" s="2">
        <v>3088.48</v>
      </c>
      <c r="AA46" s="4">
        <v>3088.48</v>
      </c>
      <c r="AB46" s="45">
        <f t="shared" si="0"/>
        <v>74123.520000000019</v>
      </c>
      <c r="AC46" s="45">
        <v>19</v>
      </c>
      <c r="AD46" s="79">
        <f>(AB46*AC46)+(AB47*AC47)+(AB48*AC48)+(AB49*AC49)</f>
        <v>2223705.6000000006</v>
      </c>
      <c r="AE46" s="27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</row>
    <row r="47" spans="2:60">
      <c r="B47" s="77"/>
      <c r="C47" s="46" t="s">
        <v>6</v>
      </c>
      <c r="D47" s="1">
        <v>3088.48</v>
      </c>
      <c r="E47" s="1">
        <v>3088.48</v>
      </c>
      <c r="F47" s="1">
        <v>3088.48</v>
      </c>
      <c r="G47" s="1">
        <v>3088.48</v>
      </c>
      <c r="H47" s="1">
        <v>3088.48</v>
      </c>
      <c r="I47" s="1">
        <v>3088.48</v>
      </c>
      <c r="J47" s="1">
        <v>3088.48</v>
      </c>
      <c r="K47" s="1">
        <v>3088.48</v>
      </c>
      <c r="L47" s="1">
        <v>3088.48</v>
      </c>
      <c r="M47" s="1">
        <v>3088.48</v>
      </c>
      <c r="N47" s="1">
        <v>3088.48</v>
      </c>
      <c r="O47" s="1">
        <v>3088.48</v>
      </c>
      <c r="P47" s="1">
        <v>3088.48</v>
      </c>
      <c r="Q47" s="1">
        <v>3088.48</v>
      </c>
      <c r="R47" s="1">
        <v>3088.48</v>
      </c>
      <c r="S47" s="1">
        <v>3088.48</v>
      </c>
      <c r="T47" s="1">
        <v>3088.48</v>
      </c>
      <c r="U47" s="1">
        <v>3088.48</v>
      </c>
      <c r="V47" s="1">
        <v>3088.48</v>
      </c>
      <c r="W47" s="1">
        <v>3088.48</v>
      </c>
      <c r="X47" s="1">
        <v>3088.48</v>
      </c>
      <c r="Y47" s="1">
        <v>3088.48</v>
      </c>
      <c r="Z47" s="1">
        <v>3088.48</v>
      </c>
      <c r="AA47" s="5">
        <v>3088.48</v>
      </c>
      <c r="AB47" s="47">
        <f t="shared" si="0"/>
        <v>74123.520000000019</v>
      </c>
      <c r="AC47" s="47">
        <v>4</v>
      </c>
      <c r="AD47" s="80"/>
      <c r="AE47" s="27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</row>
    <row r="48" spans="2:60">
      <c r="B48" s="77"/>
      <c r="C48" s="46" t="s">
        <v>7</v>
      </c>
      <c r="D48" s="1">
        <v>3088.48</v>
      </c>
      <c r="E48" s="1">
        <v>3088.48</v>
      </c>
      <c r="F48" s="1">
        <v>3088.48</v>
      </c>
      <c r="G48" s="1">
        <v>3088.48</v>
      </c>
      <c r="H48" s="1">
        <v>3088.48</v>
      </c>
      <c r="I48" s="1">
        <v>3088.48</v>
      </c>
      <c r="J48" s="1">
        <v>3088.48</v>
      </c>
      <c r="K48" s="1">
        <v>3088.48</v>
      </c>
      <c r="L48" s="1">
        <v>3088.48</v>
      </c>
      <c r="M48" s="1">
        <v>3088.48</v>
      </c>
      <c r="N48" s="1">
        <v>3088.48</v>
      </c>
      <c r="O48" s="1">
        <v>3088.48</v>
      </c>
      <c r="P48" s="1">
        <v>3088.48</v>
      </c>
      <c r="Q48" s="1">
        <v>3088.48</v>
      </c>
      <c r="R48" s="1">
        <v>3088.48</v>
      </c>
      <c r="S48" s="1">
        <v>3088.48</v>
      </c>
      <c r="T48" s="1">
        <v>3088.48</v>
      </c>
      <c r="U48" s="1">
        <v>3088.48</v>
      </c>
      <c r="V48" s="1">
        <v>3088.48</v>
      </c>
      <c r="W48" s="1">
        <v>3088.48</v>
      </c>
      <c r="X48" s="1">
        <v>3088.48</v>
      </c>
      <c r="Y48" s="1">
        <v>3088.48</v>
      </c>
      <c r="Z48" s="1">
        <v>3088.48</v>
      </c>
      <c r="AA48" s="5">
        <v>3088.48</v>
      </c>
      <c r="AB48" s="47">
        <f t="shared" si="0"/>
        <v>74123.520000000019</v>
      </c>
      <c r="AC48" s="47">
        <v>5</v>
      </c>
      <c r="AD48" s="80"/>
      <c r="AE48" s="27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</row>
    <row r="49" spans="2:60" ht="15" thickBot="1">
      <c r="B49" s="78"/>
      <c r="C49" s="48" t="s">
        <v>8</v>
      </c>
      <c r="D49" s="3">
        <v>3088.48</v>
      </c>
      <c r="E49" s="3">
        <v>3088.48</v>
      </c>
      <c r="F49" s="3">
        <v>3088.48</v>
      </c>
      <c r="G49" s="3">
        <v>3088.48</v>
      </c>
      <c r="H49" s="3">
        <v>3088.48</v>
      </c>
      <c r="I49" s="3">
        <v>3088.48</v>
      </c>
      <c r="J49" s="3">
        <v>3088.48</v>
      </c>
      <c r="K49" s="3">
        <v>3088.48</v>
      </c>
      <c r="L49" s="3">
        <v>3088.48</v>
      </c>
      <c r="M49" s="3">
        <v>3088.48</v>
      </c>
      <c r="N49" s="3">
        <v>3088.48</v>
      </c>
      <c r="O49" s="3">
        <v>3088.48</v>
      </c>
      <c r="P49" s="3">
        <v>3088.48</v>
      </c>
      <c r="Q49" s="3">
        <v>3088.48</v>
      </c>
      <c r="R49" s="3">
        <v>3088.48</v>
      </c>
      <c r="S49" s="3">
        <v>3088.48</v>
      </c>
      <c r="T49" s="3">
        <v>3088.48</v>
      </c>
      <c r="U49" s="3">
        <v>3088.48</v>
      </c>
      <c r="V49" s="3">
        <v>3088.48</v>
      </c>
      <c r="W49" s="3">
        <v>3088.48</v>
      </c>
      <c r="X49" s="3">
        <v>3088.48</v>
      </c>
      <c r="Y49" s="3">
        <v>3088.48</v>
      </c>
      <c r="Z49" s="3">
        <v>3088.48</v>
      </c>
      <c r="AA49" s="6">
        <v>3088.48</v>
      </c>
      <c r="AB49" s="49">
        <f t="shared" si="0"/>
        <v>74123.520000000019</v>
      </c>
      <c r="AC49" s="49">
        <v>2</v>
      </c>
      <c r="AD49" s="81"/>
      <c r="AE49" s="27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</row>
    <row r="50" spans="2:60">
      <c r="B50" s="76">
        <v>46357</v>
      </c>
      <c r="C50" s="44" t="s">
        <v>5</v>
      </c>
      <c r="D50" s="2">
        <v>7991.25</v>
      </c>
      <c r="E50" s="2">
        <v>7991.25</v>
      </c>
      <c r="F50" s="2">
        <v>7991.25</v>
      </c>
      <c r="G50" s="2">
        <v>7991.25</v>
      </c>
      <c r="H50" s="2">
        <v>7991.25</v>
      </c>
      <c r="I50" s="2">
        <v>7991.25</v>
      </c>
      <c r="J50" s="2">
        <v>7991.25</v>
      </c>
      <c r="K50" s="2">
        <v>7991.25</v>
      </c>
      <c r="L50" s="2">
        <v>7991.25</v>
      </c>
      <c r="M50" s="2">
        <v>7991.25</v>
      </c>
      <c r="N50" s="2">
        <v>7991.25</v>
      </c>
      <c r="O50" s="2">
        <v>7991.25</v>
      </c>
      <c r="P50" s="2">
        <v>7991.25</v>
      </c>
      <c r="Q50" s="2">
        <v>7991.25</v>
      </c>
      <c r="R50" s="2">
        <v>7991.25</v>
      </c>
      <c r="S50" s="2">
        <v>7991.25</v>
      </c>
      <c r="T50" s="2">
        <v>7991.25</v>
      </c>
      <c r="U50" s="2">
        <v>7991.25</v>
      </c>
      <c r="V50" s="2">
        <v>7991.25</v>
      </c>
      <c r="W50" s="2">
        <v>7991.25</v>
      </c>
      <c r="X50" s="2">
        <v>7991.25</v>
      </c>
      <c r="Y50" s="2">
        <v>7991.25</v>
      </c>
      <c r="Z50" s="2">
        <v>7991.25</v>
      </c>
      <c r="AA50" s="4">
        <v>7991.25</v>
      </c>
      <c r="AB50" s="45">
        <f t="shared" si="0"/>
        <v>191790</v>
      </c>
      <c r="AC50" s="45">
        <v>21</v>
      </c>
      <c r="AD50" s="79">
        <f>(AB50*AC50)+(AB51*AC51)+(AB52*AC52)+(AB53*AC53)</f>
        <v>5945490</v>
      </c>
      <c r="AE50" s="27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</row>
    <row r="51" spans="2:60">
      <c r="B51" s="77"/>
      <c r="C51" s="46" t="s">
        <v>6</v>
      </c>
      <c r="D51" s="1">
        <v>7991.25</v>
      </c>
      <c r="E51" s="1">
        <v>7991.25</v>
      </c>
      <c r="F51" s="1">
        <v>7991.25</v>
      </c>
      <c r="G51" s="1">
        <v>7991.25</v>
      </c>
      <c r="H51" s="1">
        <v>7991.25</v>
      </c>
      <c r="I51" s="1">
        <v>7991.25</v>
      </c>
      <c r="J51" s="1">
        <v>7991.25</v>
      </c>
      <c r="K51" s="1">
        <v>7991.25</v>
      </c>
      <c r="L51" s="1">
        <v>7991.25</v>
      </c>
      <c r="M51" s="1">
        <v>7991.25</v>
      </c>
      <c r="N51" s="1">
        <v>7991.25</v>
      </c>
      <c r="O51" s="1">
        <v>7991.25</v>
      </c>
      <c r="P51" s="1">
        <v>7991.25</v>
      </c>
      <c r="Q51" s="1">
        <v>7991.25</v>
      </c>
      <c r="R51" s="1">
        <v>7991.25</v>
      </c>
      <c r="S51" s="1">
        <v>7991.25</v>
      </c>
      <c r="T51" s="1">
        <v>7991.25</v>
      </c>
      <c r="U51" s="1">
        <v>7991.25</v>
      </c>
      <c r="V51" s="1">
        <v>7991.25</v>
      </c>
      <c r="W51" s="1">
        <v>7991.25</v>
      </c>
      <c r="X51" s="1">
        <v>7991.25</v>
      </c>
      <c r="Y51" s="1">
        <v>7991.25</v>
      </c>
      <c r="Z51" s="1">
        <v>7991.25</v>
      </c>
      <c r="AA51" s="5">
        <v>7991.25</v>
      </c>
      <c r="AB51" s="47">
        <f t="shared" si="0"/>
        <v>191790</v>
      </c>
      <c r="AC51" s="47">
        <v>4</v>
      </c>
      <c r="AD51" s="80"/>
      <c r="AE51" s="27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</row>
    <row r="52" spans="2:60">
      <c r="B52" s="77"/>
      <c r="C52" s="46" t="s">
        <v>7</v>
      </c>
      <c r="D52" s="1">
        <v>7991.25</v>
      </c>
      <c r="E52" s="1">
        <v>7991.25</v>
      </c>
      <c r="F52" s="1">
        <v>7991.25</v>
      </c>
      <c r="G52" s="1">
        <v>7991.25</v>
      </c>
      <c r="H52" s="1">
        <v>7991.25</v>
      </c>
      <c r="I52" s="1">
        <v>7991.25</v>
      </c>
      <c r="J52" s="1">
        <v>7991.25</v>
      </c>
      <c r="K52" s="1">
        <v>7991.25</v>
      </c>
      <c r="L52" s="1">
        <v>7991.25</v>
      </c>
      <c r="M52" s="1">
        <v>7991.25</v>
      </c>
      <c r="N52" s="1">
        <v>7991.25</v>
      </c>
      <c r="O52" s="1">
        <v>7991.25</v>
      </c>
      <c r="P52" s="1">
        <v>7991.25</v>
      </c>
      <c r="Q52" s="1">
        <v>7991.25</v>
      </c>
      <c r="R52" s="1">
        <v>7991.25</v>
      </c>
      <c r="S52" s="1">
        <v>7991.25</v>
      </c>
      <c r="T52" s="1">
        <v>7991.25</v>
      </c>
      <c r="U52" s="1">
        <v>7991.25</v>
      </c>
      <c r="V52" s="1">
        <v>7991.25</v>
      </c>
      <c r="W52" s="1">
        <v>7991.25</v>
      </c>
      <c r="X52" s="1">
        <v>7991.25</v>
      </c>
      <c r="Y52" s="1">
        <v>7991.25</v>
      </c>
      <c r="Z52" s="1">
        <v>7991.25</v>
      </c>
      <c r="AA52" s="5">
        <v>7991.25</v>
      </c>
      <c r="AB52" s="47">
        <f t="shared" si="0"/>
        <v>191790</v>
      </c>
      <c r="AC52" s="47">
        <v>4</v>
      </c>
      <c r="AD52" s="80"/>
      <c r="AE52" s="27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</row>
    <row r="53" spans="2:60" ht="15" thickBot="1">
      <c r="B53" s="78"/>
      <c r="C53" s="48" t="s">
        <v>8</v>
      </c>
      <c r="D53" s="3">
        <v>7991.25</v>
      </c>
      <c r="E53" s="3">
        <v>7991.25</v>
      </c>
      <c r="F53" s="3">
        <v>7991.25</v>
      </c>
      <c r="G53" s="3">
        <v>7991.25</v>
      </c>
      <c r="H53" s="3">
        <v>7991.25</v>
      </c>
      <c r="I53" s="3">
        <v>7991.25</v>
      </c>
      <c r="J53" s="3">
        <v>7991.25</v>
      </c>
      <c r="K53" s="3">
        <v>7991.25</v>
      </c>
      <c r="L53" s="3">
        <v>7991.25</v>
      </c>
      <c r="M53" s="3">
        <v>7991.25</v>
      </c>
      <c r="N53" s="3">
        <v>7991.25</v>
      </c>
      <c r="O53" s="3">
        <v>7991.25</v>
      </c>
      <c r="P53" s="3">
        <v>7991.25</v>
      </c>
      <c r="Q53" s="3">
        <v>7991.25</v>
      </c>
      <c r="R53" s="3">
        <v>7991.25</v>
      </c>
      <c r="S53" s="3">
        <v>7991.25</v>
      </c>
      <c r="T53" s="3">
        <v>7991.25</v>
      </c>
      <c r="U53" s="3">
        <v>7991.25</v>
      </c>
      <c r="V53" s="3">
        <v>7991.25</v>
      </c>
      <c r="W53" s="3">
        <v>7991.25</v>
      </c>
      <c r="X53" s="3">
        <v>7991.25</v>
      </c>
      <c r="Y53" s="3">
        <v>7991.25</v>
      </c>
      <c r="Z53" s="3">
        <v>7991.25</v>
      </c>
      <c r="AA53" s="6">
        <v>7991.25</v>
      </c>
      <c r="AB53" s="49">
        <f t="shared" si="0"/>
        <v>191790</v>
      </c>
      <c r="AC53" s="49">
        <v>2</v>
      </c>
      <c r="AD53" s="81"/>
      <c r="AE53" s="27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</row>
    <row r="54" spans="2:60" ht="15" thickBot="1">
      <c r="AD54" s="7">
        <f>SUM(AD6:AD53)</f>
        <v>9612343.4400000013</v>
      </c>
    </row>
  </sheetData>
  <mergeCells count="27">
    <mergeCell ref="B30:B33"/>
    <mergeCell ref="AD30:AD33"/>
    <mergeCell ref="B46:B49"/>
    <mergeCell ref="AD46:AD49"/>
    <mergeCell ref="B50:B53"/>
    <mergeCell ref="AD50:AD53"/>
    <mergeCell ref="B34:B37"/>
    <mergeCell ref="AD34:AD37"/>
    <mergeCell ref="B38:B41"/>
    <mergeCell ref="AD38:AD41"/>
    <mergeCell ref="B42:B45"/>
    <mergeCell ref="AD42:AD45"/>
    <mergeCell ref="B2:AB2"/>
    <mergeCell ref="B3:AB3"/>
    <mergeCell ref="B4:AB4"/>
    <mergeCell ref="B6:B9"/>
    <mergeCell ref="AD6:AD9"/>
    <mergeCell ref="B22:B25"/>
    <mergeCell ref="AD22:AD25"/>
    <mergeCell ref="B26:B29"/>
    <mergeCell ref="B10:B13"/>
    <mergeCell ref="AD10:AD13"/>
    <mergeCell ref="B14:B17"/>
    <mergeCell ref="AD14:AD17"/>
    <mergeCell ref="B18:B21"/>
    <mergeCell ref="AD18:AD21"/>
    <mergeCell ref="AD26:AD29"/>
  </mergeCells>
  <phoneticPr fontId="3" type="noConversion"/>
  <conditionalFormatting sqref="D6:AA53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I30"/>
  <sheetViews>
    <sheetView showGridLines="0" zoomScale="90" zoomScaleNormal="90" workbookViewId="0">
      <selection activeCell="E11" sqref="E11:E22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4.1796875" style="28" bestFit="1" customWidth="1"/>
    <col min="9" max="9" width="11.453125" style="29"/>
    <col min="10" max="16384" width="11.453125" style="8"/>
  </cols>
  <sheetData>
    <row r="3" spans="2:7" ht="15" thickBot="1"/>
    <row r="4" spans="2:7">
      <c r="B4" s="86" t="s">
        <v>36</v>
      </c>
      <c r="C4" s="87"/>
      <c r="D4" s="87"/>
      <c r="E4" s="87"/>
      <c r="F4" s="87"/>
      <c r="G4" s="88"/>
    </row>
    <row r="5" spans="2:7">
      <c r="B5" s="89" t="s">
        <v>9</v>
      </c>
      <c r="C5" s="90"/>
      <c r="D5" s="90"/>
      <c r="E5" s="90"/>
      <c r="F5" s="90"/>
      <c r="G5" s="91"/>
    </row>
    <row r="6" spans="2:7">
      <c r="B6" s="92" t="s">
        <v>10</v>
      </c>
      <c r="C6" s="93"/>
      <c r="D6" s="93"/>
      <c r="E6" s="93"/>
      <c r="F6" s="93"/>
      <c r="G6" s="94"/>
    </row>
    <row r="7" spans="2:7" ht="15" thickBot="1">
      <c r="B7" s="95" t="s">
        <v>46</v>
      </c>
      <c r="C7" s="96"/>
      <c r="D7" s="96"/>
      <c r="E7" s="96"/>
      <c r="F7" s="96"/>
      <c r="G7" s="97"/>
    </row>
    <row r="8" spans="2:7" ht="15" thickBot="1">
      <c r="B8" s="98" t="s">
        <v>11</v>
      </c>
      <c r="C8" s="99"/>
      <c r="D8" s="99"/>
      <c r="E8" s="99"/>
      <c r="F8" s="99"/>
      <c r="G8" s="100"/>
    </row>
    <row r="9" spans="2:7" ht="15.75" customHeight="1" thickBot="1">
      <c r="B9" s="101" t="s">
        <v>12</v>
      </c>
      <c r="C9" s="101" t="s">
        <v>13</v>
      </c>
      <c r="D9" s="104" t="s">
        <v>38</v>
      </c>
      <c r="E9" s="104"/>
      <c r="F9" s="104"/>
      <c r="G9" s="105"/>
    </row>
    <row r="10" spans="2:7" ht="26.5" thickBot="1">
      <c r="B10" s="102"/>
      <c r="C10" s="103"/>
      <c r="D10" s="9" t="s">
        <v>14</v>
      </c>
      <c r="E10" s="11" t="s">
        <v>15</v>
      </c>
      <c r="F10" s="10" t="s">
        <v>16</v>
      </c>
      <c r="G10" s="12" t="s">
        <v>17</v>
      </c>
    </row>
    <row r="11" spans="2:7">
      <c r="B11" s="21">
        <v>2026</v>
      </c>
      <c r="C11" s="22" t="s">
        <v>25</v>
      </c>
      <c r="D11" s="23">
        <f>+'Producto 1 Plano 26'!AE6</f>
        <v>0</v>
      </c>
      <c r="E11" s="74"/>
      <c r="F11" s="69">
        <f t="shared" ref="F11:F22" si="0">+E11*D11</f>
        <v>0</v>
      </c>
      <c r="G11" s="16"/>
    </row>
    <row r="12" spans="2:7">
      <c r="B12" s="13">
        <v>2026</v>
      </c>
      <c r="C12" s="14" t="s">
        <v>26</v>
      </c>
      <c r="D12" s="15">
        <f>+'Producto 1 Plano 26'!AE7</f>
        <v>0</v>
      </c>
      <c r="E12" s="74"/>
      <c r="F12" s="69">
        <f t="shared" si="0"/>
        <v>0</v>
      </c>
      <c r="G12" s="16"/>
    </row>
    <row r="13" spans="2:7">
      <c r="B13" s="13">
        <v>2026</v>
      </c>
      <c r="C13" s="14" t="s">
        <v>27</v>
      </c>
      <c r="D13" s="15">
        <f>+'Producto 1 Plano 26'!AE8</f>
        <v>0</v>
      </c>
      <c r="E13" s="74"/>
      <c r="F13" s="69">
        <f t="shared" si="0"/>
        <v>0</v>
      </c>
      <c r="G13" s="16"/>
    </row>
    <row r="14" spans="2:7">
      <c r="B14" s="13">
        <v>2026</v>
      </c>
      <c r="C14" s="14" t="s">
        <v>28</v>
      </c>
      <c r="D14" s="15">
        <f>+'Producto 1 Plano 26'!AE9</f>
        <v>0</v>
      </c>
      <c r="E14" s="74"/>
      <c r="F14" s="69">
        <f t="shared" si="0"/>
        <v>0</v>
      </c>
      <c r="G14" s="16"/>
    </row>
    <row r="15" spans="2:7">
      <c r="B15" s="13">
        <v>2026</v>
      </c>
      <c r="C15" s="14" t="s">
        <v>29</v>
      </c>
      <c r="D15" s="15">
        <f>+'Producto 1 Plano 26'!AE10</f>
        <v>0</v>
      </c>
      <c r="E15" s="74"/>
      <c r="F15" s="69">
        <f t="shared" si="0"/>
        <v>0</v>
      </c>
      <c r="G15" s="16"/>
    </row>
    <row r="16" spans="2:7">
      <c r="B16" s="13">
        <v>2026</v>
      </c>
      <c r="C16" s="14" t="s">
        <v>18</v>
      </c>
      <c r="D16" s="15">
        <f>+'Producto 1 Plano 26'!AE11</f>
        <v>0</v>
      </c>
      <c r="E16" s="74"/>
      <c r="F16" s="69">
        <f t="shared" si="0"/>
        <v>0</v>
      </c>
      <c r="G16" s="16"/>
    </row>
    <row r="17" spans="2:9">
      <c r="B17" s="13">
        <v>2026</v>
      </c>
      <c r="C17" s="14" t="s">
        <v>19</v>
      </c>
      <c r="D17" s="15">
        <f>+'Producto 1 Plano 26'!AE12</f>
        <v>0</v>
      </c>
      <c r="E17" s="74"/>
      <c r="F17" s="69">
        <f t="shared" si="0"/>
        <v>0</v>
      </c>
      <c r="G17" s="16"/>
    </row>
    <row r="18" spans="2:9">
      <c r="B18" s="13">
        <v>2026</v>
      </c>
      <c r="C18" s="14" t="s">
        <v>20</v>
      </c>
      <c r="D18" s="15">
        <f>+'Producto 1 Plano 26'!AE13</f>
        <v>0</v>
      </c>
      <c r="E18" s="74"/>
      <c r="F18" s="69">
        <f t="shared" si="0"/>
        <v>0</v>
      </c>
      <c r="G18" s="16"/>
    </row>
    <row r="19" spans="2:9">
      <c r="B19" s="13">
        <v>2026</v>
      </c>
      <c r="C19" s="14" t="s">
        <v>21</v>
      </c>
      <c r="D19" s="15">
        <f>+'Producto 1 Plano 26'!AE14</f>
        <v>676277.28</v>
      </c>
      <c r="E19" s="74"/>
      <c r="F19" s="69">
        <f t="shared" si="0"/>
        <v>0</v>
      </c>
      <c r="G19" s="16"/>
    </row>
    <row r="20" spans="2:9">
      <c r="B20" s="13">
        <v>2026</v>
      </c>
      <c r="C20" s="14" t="s">
        <v>22</v>
      </c>
      <c r="D20" s="15">
        <f>+'Producto 1 Plano 26'!AE15</f>
        <v>766870.56000000041</v>
      </c>
      <c r="E20" s="74"/>
      <c r="F20" s="69">
        <f t="shared" si="0"/>
        <v>0</v>
      </c>
      <c r="G20" s="16"/>
    </row>
    <row r="21" spans="2:9">
      <c r="B21" s="13">
        <v>2026</v>
      </c>
      <c r="C21" s="14" t="s">
        <v>23</v>
      </c>
      <c r="D21" s="15">
        <f>+'Producto 1 Plano 26'!AE16</f>
        <v>2223705.6000000006</v>
      </c>
      <c r="E21" s="74"/>
      <c r="F21" s="69">
        <f t="shared" si="0"/>
        <v>0</v>
      </c>
      <c r="G21" s="16"/>
    </row>
    <row r="22" spans="2:9" ht="15" thickBot="1">
      <c r="B22" s="17">
        <v>2026</v>
      </c>
      <c r="C22" s="18" t="s">
        <v>24</v>
      </c>
      <c r="D22" s="19">
        <f>+'Producto 1 Plano 26'!AE17</f>
        <v>5945490</v>
      </c>
      <c r="E22" s="75"/>
      <c r="F22" s="70">
        <f t="shared" si="0"/>
        <v>0</v>
      </c>
      <c r="G22" s="20"/>
      <c r="H22" s="28">
        <f>SUM(D11:D22)</f>
        <v>9612343.4400000013</v>
      </c>
      <c r="I22" s="30">
        <f>+H22/1000</f>
        <v>9612.3434400000006</v>
      </c>
    </row>
    <row r="23" spans="2:9" ht="15" thickBot="1">
      <c r="B23" s="84" t="s">
        <v>35</v>
      </c>
      <c r="C23" s="85"/>
      <c r="D23" s="24">
        <f>+SUM(D11:D22)</f>
        <v>9612343.4400000013</v>
      </c>
      <c r="I23" s="30">
        <f>+D23/1000</f>
        <v>9612.3434400000006</v>
      </c>
    </row>
    <row r="25" spans="2:9">
      <c r="B25" s="8" t="s">
        <v>30</v>
      </c>
    </row>
    <row r="26" spans="2:9">
      <c r="B26" s="8" t="s">
        <v>31</v>
      </c>
    </row>
    <row r="27" spans="2:9">
      <c r="B27" s="8" t="s">
        <v>32</v>
      </c>
    </row>
    <row r="28" spans="2:9">
      <c r="B28" s="8" t="s">
        <v>33</v>
      </c>
    </row>
    <row r="30" spans="2:9">
      <c r="D30" s="25"/>
    </row>
  </sheetData>
  <mergeCells count="9"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CCDE-C4FE-4972-BEB6-153683760E64}">
  <dimension ref="B2:BH54"/>
  <sheetViews>
    <sheetView showGridLines="0" zoomScale="80" zoomScaleNormal="80" workbookViewId="0">
      <pane ySplit="5" topLeftCell="A6" activePane="bottomLeft" state="frozen"/>
      <selection activeCell="M103" sqref="M103"/>
      <selection pane="bottomLeft" activeCell="L24" sqref="L24"/>
    </sheetView>
  </sheetViews>
  <sheetFormatPr baseColWidth="10" defaultRowHeight="14.5"/>
  <cols>
    <col min="1" max="1" width="1.81640625" customWidth="1"/>
    <col min="2" max="2" width="10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26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spans="2:60">
      <c r="B3" s="82" t="s">
        <v>39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2:60" ht="15" thickBot="1">
      <c r="B4" s="83" t="s">
        <v>45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spans="2:60" ht="25.5" customHeight="1" thickBot="1">
      <c r="B5" s="35"/>
      <c r="C5" s="36" t="s">
        <v>1</v>
      </c>
      <c r="D5" s="37">
        <v>1</v>
      </c>
      <c r="E5" s="37">
        <v>2</v>
      </c>
      <c r="F5" s="37">
        <v>3</v>
      </c>
      <c r="G5" s="37">
        <v>4</v>
      </c>
      <c r="H5" s="37">
        <v>5</v>
      </c>
      <c r="I5" s="37">
        <v>6</v>
      </c>
      <c r="J5" s="38">
        <v>7</v>
      </c>
      <c r="K5" s="38">
        <v>8</v>
      </c>
      <c r="L5" s="38">
        <v>9</v>
      </c>
      <c r="M5" s="38">
        <v>10</v>
      </c>
      <c r="N5" s="38">
        <v>11</v>
      </c>
      <c r="O5" s="38">
        <v>12</v>
      </c>
      <c r="P5" s="38">
        <v>13</v>
      </c>
      <c r="Q5" s="38">
        <v>14</v>
      </c>
      <c r="R5" s="38">
        <v>15</v>
      </c>
      <c r="S5" s="38">
        <v>16</v>
      </c>
      <c r="T5" s="38">
        <v>17</v>
      </c>
      <c r="U5" s="38">
        <v>18</v>
      </c>
      <c r="V5" s="39">
        <v>19</v>
      </c>
      <c r="W5" s="39">
        <v>20</v>
      </c>
      <c r="X5" s="39">
        <v>21</v>
      </c>
      <c r="Y5" s="37">
        <v>22</v>
      </c>
      <c r="Z5" s="37">
        <v>23</v>
      </c>
      <c r="AA5" s="40">
        <v>24</v>
      </c>
      <c r="AB5" s="41" t="s">
        <v>2</v>
      </c>
      <c r="AC5" s="42" t="s">
        <v>3</v>
      </c>
      <c r="AD5" s="43" t="s">
        <v>2</v>
      </c>
    </row>
    <row r="6" spans="2:60">
      <c r="B6" s="76">
        <v>46023</v>
      </c>
      <c r="C6" s="44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4">
        <v>0</v>
      </c>
      <c r="AB6" s="45">
        <f t="shared" ref="AB6:AB53" si="0">(SUM(D6:AA6))</f>
        <v>0</v>
      </c>
      <c r="AC6" s="45">
        <v>20</v>
      </c>
      <c r="AD6" s="79">
        <f>(AB6*AC6)+(AB7*AC7)+(AB8*AC8)+(AB9*AC9)</f>
        <v>0</v>
      </c>
      <c r="AE6" s="27">
        <f>+AD6</f>
        <v>0</v>
      </c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</row>
    <row r="7" spans="2:60">
      <c r="B7" s="77"/>
      <c r="C7" s="46" t="s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5">
        <v>0</v>
      </c>
      <c r="AB7" s="47">
        <f t="shared" si="0"/>
        <v>0</v>
      </c>
      <c r="AC7" s="47">
        <v>5</v>
      </c>
      <c r="AD7" s="80"/>
      <c r="AE7" s="27">
        <f>+AD10</f>
        <v>0</v>
      </c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</row>
    <row r="8" spans="2:60">
      <c r="B8" s="77"/>
      <c r="C8" s="46" t="s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5">
        <v>0</v>
      </c>
      <c r="AB8" s="47">
        <f t="shared" si="0"/>
        <v>0</v>
      </c>
      <c r="AC8" s="47">
        <v>4</v>
      </c>
      <c r="AD8" s="80"/>
      <c r="AE8" s="27">
        <f>+AD14</f>
        <v>0</v>
      </c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</row>
    <row r="9" spans="2:60" ht="15" thickBot="1">
      <c r="B9" s="78"/>
      <c r="C9" s="48" t="s">
        <v>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6">
        <v>0</v>
      </c>
      <c r="AB9" s="49">
        <f t="shared" si="0"/>
        <v>0</v>
      </c>
      <c r="AC9" s="49">
        <v>2</v>
      </c>
      <c r="AD9" s="81"/>
      <c r="AE9" s="27">
        <f>+AD18</f>
        <v>0</v>
      </c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</row>
    <row r="10" spans="2:60">
      <c r="B10" s="76">
        <v>46054</v>
      </c>
      <c r="C10" s="44" t="s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4">
        <v>0</v>
      </c>
      <c r="AB10" s="45">
        <f t="shared" si="0"/>
        <v>0</v>
      </c>
      <c r="AC10" s="45">
        <v>20</v>
      </c>
      <c r="AD10" s="79">
        <f>(AB10*AC10)+(AB11*AC11)+(AB12*AC12)+(AB13*AC13)</f>
        <v>0</v>
      </c>
      <c r="AE10" s="27">
        <f>+AD22</f>
        <v>0</v>
      </c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</row>
    <row r="11" spans="2:60">
      <c r="B11" s="77"/>
      <c r="C11" s="46" t="s">
        <v>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5">
        <v>0</v>
      </c>
      <c r="AB11" s="47">
        <f t="shared" si="0"/>
        <v>0</v>
      </c>
      <c r="AC11" s="47">
        <v>4</v>
      </c>
      <c r="AD11" s="80"/>
      <c r="AE11" s="27">
        <f>+AD26</f>
        <v>0</v>
      </c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</row>
    <row r="12" spans="2:60">
      <c r="B12" s="77"/>
      <c r="C12" s="46" t="s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5">
        <v>0</v>
      </c>
      <c r="AB12" s="47">
        <f t="shared" si="0"/>
        <v>0</v>
      </c>
      <c r="AC12" s="47">
        <v>4</v>
      </c>
      <c r="AD12" s="80"/>
      <c r="AE12" s="27">
        <f>+AD30</f>
        <v>0</v>
      </c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</row>
    <row r="13" spans="2:60" ht="15" thickBot="1">
      <c r="B13" s="78"/>
      <c r="C13" s="48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6">
        <v>0</v>
      </c>
      <c r="AB13" s="49">
        <f t="shared" si="0"/>
        <v>0</v>
      </c>
      <c r="AC13" s="49">
        <v>0</v>
      </c>
      <c r="AD13" s="81"/>
      <c r="AE13" s="27">
        <f>+AD34</f>
        <v>0</v>
      </c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</row>
    <row r="14" spans="2:60">
      <c r="B14" s="76">
        <v>46082</v>
      </c>
      <c r="C14" s="44" t="s">
        <v>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4">
        <v>0</v>
      </c>
      <c r="AB14" s="45">
        <f t="shared" si="0"/>
        <v>0</v>
      </c>
      <c r="AC14" s="45">
        <v>21</v>
      </c>
      <c r="AD14" s="79">
        <f>(AB14*AC14)+(AB15*AC15)+(AB16*AC16)+(AB17*AC17)</f>
        <v>0</v>
      </c>
      <c r="AE14" s="27">
        <f>+AD38</f>
        <v>695152.08000000007</v>
      </c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</row>
    <row r="15" spans="2:60">
      <c r="B15" s="77"/>
      <c r="C15" s="46" t="s">
        <v>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5">
        <v>0</v>
      </c>
      <c r="AB15" s="47">
        <f t="shared" si="0"/>
        <v>0</v>
      </c>
      <c r="AC15" s="47">
        <v>4</v>
      </c>
      <c r="AD15" s="80"/>
      <c r="AE15" s="27">
        <f>+AD42</f>
        <v>1378103.7600000005</v>
      </c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</row>
    <row r="16" spans="2:60">
      <c r="B16" s="77"/>
      <c r="C16" s="46" t="s">
        <v>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5">
        <v>0</v>
      </c>
      <c r="AB16" s="47">
        <f t="shared" si="0"/>
        <v>0</v>
      </c>
      <c r="AC16" s="47">
        <v>5</v>
      </c>
      <c r="AD16" s="80"/>
      <c r="AE16" s="27">
        <f>+AD46</f>
        <v>1422676.8000000005</v>
      </c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</row>
    <row r="17" spans="2:60" ht="15" thickBot="1">
      <c r="B17" s="78"/>
      <c r="C17" s="48" t="s">
        <v>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6">
        <v>0</v>
      </c>
      <c r="AB17" s="49">
        <f t="shared" si="0"/>
        <v>0</v>
      </c>
      <c r="AC17" s="49">
        <v>1</v>
      </c>
      <c r="AD17" s="81"/>
      <c r="AE17" s="27">
        <f>+AD50</f>
        <v>1538100.959999999</v>
      </c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</row>
    <row r="18" spans="2:60">
      <c r="B18" s="76">
        <v>46113</v>
      </c>
      <c r="C18" s="44" t="s">
        <v>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>
        <v>0</v>
      </c>
      <c r="AB18" s="45">
        <f t="shared" si="0"/>
        <v>0</v>
      </c>
      <c r="AC18" s="45">
        <v>20</v>
      </c>
      <c r="AD18" s="79">
        <f>(AB18*AC18)+(AB19*AC19)+(AB20*AC20)+(AB21*AC21)</f>
        <v>0</v>
      </c>
      <c r="AE18" s="27" t="e">
        <f>+#REF!</f>
        <v>#REF!</v>
      </c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</row>
    <row r="19" spans="2:60">
      <c r="B19" s="77"/>
      <c r="C19" s="46" t="s">
        <v>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5">
        <v>0</v>
      </c>
      <c r="AB19" s="47">
        <f t="shared" si="0"/>
        <v>0</v>
      </c>
      <c r="AC19" s="47">
        <v>4</v>
      </c>
      <c r="AD19" s="80"/>
      <c r="AE19" s="27" t="e">
        <f>+#REF!</f>
        <v>#REF!</v>
      </c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</row>
    <row r="20" spans="2:60">
      <c r="B20" s="77"/>
      <c r="C20" s="46" t="s">
        <v>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5">
        <v>0</v>
      </c>
      <c r="AB20" s="47">
        <f t="shared" si="0"/>
        <v>0</v>
      </c>
      <c r="AC20" s="47">
        <v>4</v>
      </c>
      <c r="AD20" s="80"/>
      <c r="AE20" s="27" t="e">
        <f>+#REF!</f>
        <v>#REF!</v>
      </c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</row>
    <row r="21" spans="2:60" ht="15" thickBot="1">
      <c r="B21" s="78"/>
      <c r="C21" s="48" t="s">
        <v>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6">
        <v>0</v>
      </c>
      <c r="AB21" s="49">
        <f t="shared" si="0"/>
        <v>0</v>
      </c>
      <c r="AC21" s="49">
        <v>2</v>
      </c>
      <c r="AD21" s="81"/>
      <c r="AE21" s="27" t="e">
        <f>+#REF!</f>
        <v>#REF!</v>
      </c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</row>
    <row r="22" spans="2:60">
      <c r="B22" s="76">
        <v>46143</v>
      </c>
      <c r="C22" s="44" t="s">
        <v>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4">
        <v>0</v>
      </c>
      <c r="AB22" s="45">
        <f t="shared" si="0"/>
        <v>0</v>
      </c>
      <c r="AC22" s="45">
        <v>19</v>
      </c>
      <c r="AD22" s="79">
        <f>(AB22*AC22)+(AB23*AC23)+(AB24*AC24)+(AB25*AC25)</f>
        <v>0</v>
      </c>
      <c r="AE22" s="27" t="e">
        <f>+#REF!</f>
        <v>#REF!</v>
      </c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</row>
    <row r="23" spans="2:60">
      <c r="B23" s="77"/>
      <c r="C23" s="46" t="s">
        <v>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5">
        <v>0</v>
      </c>
      <c r="AB23" s="47">
        <f t="shared" si="0"/>
        <v>0</v>
      </c>
      <c r="AC23" s="47">
        <v>5</v>
      </c>
      <c r="AD23" s="80"/>
      <c r="AE23" s="27" t="e">
        <f>+#REF!</f>
        <v>#REF!</v>
      </c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</row>
    <row r="24" spans="2:60">
      <c r="B24" s="77"/>
      <c r="C24" s="46" t="s">
        <v>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5">
        <v>0</v>
      </c>
      <c r="AB24" s="47">
        <f t="shared" si="0"/>
        <v>0</v>
      </c>
      <c r="AC24" s="47">
        <v>5</v>
      </c>
      <c r="AD24" s="80"/>
      <c r="AE24" s="27" t="e">
        <f>+#REF!</f>
        <v>#REF!</v>
      </c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</row>
    <row r="25" spans="2:60" ht="15" thickBot="1">
      <c r="B25" s="78"/>
      <c r="C25" s="48" t="s">
        <v>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6">
        <v>0</v>
      </c>
      <c r="AB25" s="49">
        <f t="shared" si="0"/>
        <v>0</v>
      </c>
      <c r="AC25" s="49">
        <v>2</v>
      </c>
      <c r="AD25" s="81"/>
      <c r="AE25" s="27" t="e">
        <f>+#REF!</f>
        <v>#REF!</v>
      </c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</row>
    <row r="26" spans="2:60">
      <c r="B26" s="76">
        <v>46174</v>
      </c>
      <c r="C26" s="44" t="s">
        <v>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4">
        <v>0</v>
      </c>
      <c r="AB26" s="45">
        <f t="shared" si="0"/>
        <v>0</v>
      </c>
      <c r="AC26" s="45">
        <v>19</v>
      </c>
      <c r="AD26" s="79">
        <f>(AB26*AC26)+(AB27*AC27)+(AB28*AC28)+(AB29*AC29)</f>
        <v>0</v>
      </c>
      <c r="AE26" s="27" t="e">
        <f>+#REF!</f>
        <v>#REF!</v>
      </c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</row>
    <row r="27" spans="2:60">
      <c r="B27" s="77"/>
      <c r="C27" s="46" t="s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5">
        <v>0</v>
      </c>
      <c r="AB27" s="47">
        <f t="shared" si="0"/>
        <v>0</v>
      </c>
      <c r="AC27" s="47">
        <v>4</v>
      </c>
      <c r="AD27" s="80"/>
      <c r="AE27" s="27" t="e">
        <f>+#REF!</f>
        <v>#REF!</v>
      </c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</row>
    <row r="28" spans="2:60">
      <c r="B28" s="77"/>
      <c r="C28" s="46" t="s">
        <v>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5">
        <v>0</v>
      </c>
      <c r="AB28" s="47">
        <f t="shared" si="0"/>
        <v>0</v>
      </c>
      <c r="AC28" s="47">
        <v>4</v>
      </c>
      <c r="AD28" s="80"/>
      <c r="AE28" s="27" t="e">
        <f>+#REF!</f>
        <v>#REF!</v>
      </c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</row>
    <row r="29" spans="2:60" ht="15" thickBot="1">
      <c r="B29" s="78"/>
      <c r="C29" s="48" t="s">
        <v>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6">
        <v>0</v>
      </c>
      <c r="AB29" s="49">
        <f t="shared" si="0"/>
        <v>0</v>
      </c>
      <c r="AC29" s="49">
        <v>3</v>
      </c>
      <c r="AD29" s="81"/>
      <c r="AE29" s="27" t="e">
        <f>+#REF!</f>
        <v>#REF!</v>
      </c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</row>
    <row r="30" spans="2:60">
      <c r="B30" s="76">
        <v>46204</v>
      </c>
      <c r="C30" s="44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4">
        <v>0</v>
      </c>
      <c r="AB30" s="45">
        <f t="shared" si="0"/>
        <v>0</v>
      </c>
      <c r="AC30" s="45">
        <v>21</v>
      </c>
      <c r="AD30" s="79">
        <f>(AB30*AC30)+(AB31*AC31)+(AB32*AC32)+(AB33*AC33)</f>
        <v>0</v>
      </c>
      <c r="AE30" s="27" t="e">
        <f>+#REF!</f>
        <v>#REF!</v>
      </c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</row>
    <row r="31" spans="2:60">
      <c r="B31" s="77"/>
      <c r="C31" s="46" t="s">
        <v>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5">
        <v>0</v>
      </c>
      <c r="AB31" s="47">
        <f t="shared" si="0"/>
        <v>0</v>
      </c>
      <c r="AC31" s="47">
        <v>4</v>
      </c>
      <c r="AD31" s="80"/>
      <c r="AE31" s="27" t="e">
        <f>+#REF!</f>
        <v>#REF!</v>
      </c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</row>
    <row r="32" spans="2:60">
      <c r="B32" s="77"/>
      <c r="C32" s="46" t="s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5">
        <v>0</v>
      </c>
      <c r="AB32" s="47">
        <f t="shared" si="0"/>
        <v>0</v>
      </c>
      <c r="AC32" s="47">
        <v>4</v>
      </c>
      <c r="AD32" s="80"/>
      <c r="AE32" s="27" t="e">
        <f>+#REF!</f>
        <v>#REF!</v>
      </c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</row>
    <row r="33" spans="2:60" ht="15" thickBot="1">
      <c r="B33" s="78"/>
      <c r="C33" s="48" t="s">
        <v>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6">
        <v>0</v>
      </c>
      <c r="AB33" s="49">
        <f t="shared" si="0"/>
        <v>0</v>
      </c>
      <c r="AC33" s="49">
        <v>1</v>
      </c>
      <c r="AD33" s="81"/>
      <c r="AE33" s="27" t="e">
        <f>+#REF!</f>
        <v>#REF!</v>
      </c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</row>
    <row r="34" spans="2:60">
      <c r="B34" s="76">
        <v>46235</v>
      </c>
      <c r="C34" s="44" t="s">
        <v>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4">
        <v>0</v>
      </c>
      <c r="AB34" s="45">
        <f t="shared" si="0"/>
        <v>0</v>
      </c>
      <c r="AC34" s="45">
        <v>19</v>
      </c>
      <c r="AD34" s="79">
        <f>(AB34*AC34)+(AB35*AC35)+(AB36*AC36)+(AB37*AC37)</f>
        <v>0</v>
      </c>
      <c r="AE34" s="27" t="e">
        <f>+#REF!</f>
        <v>#REF!</v>
      </c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</row>
    <row r="35" spans="2:60">
      <c r="B35" s="77"/>
      <c r="C35" s="46" t="s">
        <v>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5">
        <v>0</v>
      </c>
      <c r="AB35" s="47">
        <f t="shared" si="0"/>
        <v>0</v>
      </c>
      <c r="AC35" s="47">
        <v>5</v>
      </c>
      <c r="AD35" s="80"/>
      <c r="AE35" s="27" t="e">
        <f>+#REF!</f>
        <v>#REF!</v>
      </c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</row>
    <row r="36" spans="2:60">
      <c r="B36" s="77"/>
      <c r="C36" s="46" t="s">
        <v>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5">
        <v>0</v>
      </c>
      <c r="AB36" s="47">
        <f t="shared" si="0"/>
        <v>0</v>
      </c>
      <c r="AC36" s="47">
        <v>5</v>
      </c>
      <c r="AD36" s="80"/>
      <c r="AE36" s="27" t="e">
        <f>+#REF!</f>
        <v>#REF!</v>
      </c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</row>
    <row r="37" spans="2:60" ht="15" thickBot="1">
      <c r="B37" s="78"/>
      <c r="C37" s="48" t="s">
        <v>8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6">
        <v>0</v>
      </c>
      <c r="AB37" s="49">
        <f t="shared" si="0"/>
        <v>0</v>
      </c>
      <c r="AC37" s="49">
        <v>2</v>
      </c>
      <c r="AD37" s="81"/>
      <c r="AE37" s="27" t="e">
        <f>+#REF!</f>
        <v>#REF!</v>
      </c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</row>
    <row r="38" spans="2:60">
      <c r="B38" s="76">
        <v>46266</v>
      </c>
      <c r="C38" s="44" t="s">
        <v>5</v>
      </c>
      <c r="D38" s="2">
        <v>1379.27</v>
      </c>
      <c r="E38" s="2">
        <v>1379.27</v>
      </c>
      <c r="F38" s="2">
        <v>1379.27</v>
      </c>
      <c r="G38" s="2">
        <v>1379.27</v>
      </c>
      <c r="H38" s="2">
        <v>1379.27</v>
      </c>
      <c r="I38" s="2">
        <v>1379.27</v>
      </c>
      <c r="J38" s="2">
        <v>1379.27</v>
      </c>
      <c r="K38" s="2">
        <v>1379.27</v>
      </c>
      <c r="L38" s="2">
        <v>1379.27</v>
      </c>
      <c r="M38" s="2">
        <v>1379.27</v>
      </c>
      <c r="N38" s="2">
        <v>1379.27</v>
      </c>
      <c r="O38" s="2">
        <v>1379.27</v>
      </c>
      <c r="P38" s="2">
        <v>1379.27</v>
      </c>
      <c r="Q38" s="2">
        <v>1379.27</v>
      </c>
      <c r="R38" s="2">
        <v>1379.27</v>
      </c>
      <c r="S38" s="2">
        <v>1379.27</v>
      </c>
      <c r="T38" s="2">
        <v>1379.27</v>
      </c>
      <c r="U38" s="2">
        <v>1379.27</v>
      </c>
      <c r="V38" s="2">
        <v>1379.27</v>
      </c>
      <c r="W38" s="2">
        <v>1379.27</v>
      </c>
      <c r="X38" s="2">
        <v>1379.27</v>
      </c>
      <c r="Y38" s="2">
        <v>1379.27</v>
      </c>
      <c r="Z38" s="2">
        <v>1379.27</v>
      </c>
      <c r="AA38" s="4">
        <v>1379.27</v>
      </c>
      <c r="AB38" s="45">
        <f t="shared" si="0"/>
        <v>33102.480000000003</v>
      </c>
      <c r="AC38" s="45">
        <v>15</v>
      </c>
      <c r="AD38" s="79">
        <f>(AB38*AC38)+(AB39*AC39)+(AB40*AC40)+(AB41*AC41)</f>
        <v>695152.08000000007</v>
      </c>
      <c r="AE38" s="27" t="e">
        <f>+#REF!</f>
        <v>#REF!</v>
      </c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</row>
    <row r="39" spans="2:60">
      <c r="B39" s="77"/>
      <c r="C39" s="46" t="s">
        <v>6</v>
      </c>
      <c r="D39" s="1">
        <v>1379.27</v>
      </c>
      <c r="E39" s="1">
        <v>1379.27</v>
      </c>
      <c r="F39" s="1">
        <v>1379.27</v>
      </c>
      <c r="G39" s="1">
        <v>1379.27</v>
      </c>
      <c r="H39" s="1">
        <v>1379.27</v>
      </c>
      <c r="I39" s="1">
        <v>1379.27</v>
      </c>
      <c r="J39" s="1">
        <v>1379.27</v>
      </c>
      <c r="K39" s="1">
        <v>1379.27</v>
      </c>
      <c r="L39" s="1">
        <v>1379.27</v>
      </c>
      <c r="M39" s="1">
        <v>1379.27</v>
      </c>
      <c r="N39" s="1">
        <v>1379.27</v>
      </c>
      <c r="O39" s="1">
        <v>1379.27</v>
      </c>
      <c r="P39" s="1">
        <v>1379.27</v>
      </c>
      <c r="Q39" s="1">
        <v>1379.27</v>
      </c>
      <c r="R39" s="1">
        <v>1379.27</v>
      </c>
      <c r="S39" s="1">
        <v>1379.27</v>
      </c>
      <c r="T39" s="1">
        <v>1379.27</v>
      </c>
      <c r="U39" s="1">
        <v>1379.27</v>
      </c>
      <c r="V39" s="1">
        <v>1379.27</v>
      </c>
      <c r="W39" s="1">
        <v>1379.27</v>
      </c>
      <c r="X39" s="1">
        <v>1379.27</v>
      </c>
      <c r="Y39" s="1">
        <v>1379.27</v>
      </c>
      <c r="Z39" s="1">
        <v>1379.27</v>
      </c>
      <c r="AA39" s="5">
        <v>1379.27</v>
      </c>
      <c r="AB39" s="47">
        <f t="shared" si="0"/>
        <v>33102.480000000003</v>
      </c>
      <c r="AC39" s="47">
        <v>3</v>
      </c>
      <c r="AD39" s="80"/>
      <c r="AE39" s="27" t="e">
        <f>+#REF!</f>
        <v>#REF!</v>
      </c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</row>
    <row r="40" spans="2:60">
      <c r="B40" s="77"/>
      <c r="C40" s="46" t="s">
        <v>7</v>
      </c>
      <c r="D40" s="1">
        <v>1379.27</v>
      </c>
      <c r="E40" s="1">
        <v>1379.27</v>
      </c>
      <c r="F40" s="1">
        <v>1379.27</v>
      </c>
      <c r="G40" s="1">
        <v>1379.27</v>
      </c>
      <c r="H40" s="1">
        <v>1379.27</v>
      </c>
      <c r="I40" s="1">
        <v>1379.27</v>
      </c>
      <c r="J40" s="1">
        <v>1379.27</v>
      </c>
      <c r="K40" s="1">
        <v>1379.27</v>
      </c>
      <c r="L40" s="1">
        <v>1379.27</v>
      </c>
      <c r="M40" s="1">
        <v>1379.27</v>
      </c>
      <c r="N40" s="1">
        <v>1379.27</v>
      </c>
      <c r="O40" s="1">
        <v>1379.27</v>
      </c>
      <c r="P40" s="1">
        <v>1379.27</v>
      </c>
      <c r="Q40" s="1">
        <v>1379.27</v>
      </c>
      <c r="R40" s="1">
        <v>1379.27</v>
      </c>
      <c r="S40" s="1">
        <v>1379.27</v>
      </c>
      <c r="T40" s="1">
        <v>1379.27</v>
      </c>
      <c r="U40" s="1">
        <v>1379.27</v>
      </c>
      <c r="V40" s="1">
        <v>1379.27</v>
      </c>
      <c r="W40" s="1">
        <v>1379.27</v>
      </c>
      <c r="X40" s="1">
        <v>1379.27</v>
      </c>
      <c r="Y40" s="1">
        <v>1379.27</v>
      </c>
      <c r="Z40" s="1">
        <v>1379.27</v>
      </c>
      <c r="AA40" s="5">
        <v>1379.27</v>
      </c>
      <c r="AB40" s="47">
        <f t="shared" si="0"/>
        <v>33102.480000000003</v>
      </c>
      <c r="AC40" s="47">
        <v>3</v>
      </c>
      <c r="AD40" s="80"/>
      <c r="AE40" s="27" t="e">
        <f>+#REF!</f>
        <v>#REF!</v>
      </c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</row>
    <row r="41" spans="2:60" ht="15" thickBot="1">
      <c r="B41" s="78"/>
      <c r="C41" s="48" t="s">
        <v>8</v>
      </c>
      <c r="D41" s="3">
        <v>1379.27</v>
      </c>
      <c r="E41" s="3">
        <v>1379.27</v>
      </c>
      <c r="F41" s="3">
        <v>1379.27</v>
      </c>
      <c r="G41" s="3">
        <v>1379.27</v>
      </c>
      <c r="H41" s="3">
        <v>1379.27</v>
      </c>
      <c r="I41" s="3">
        <v>1379.27</v>
      </c>
      <c r="J41" s="3">
        <v>1379.27</v>
      </c>
      <c r="K41" s="3">
        <v>1379.27</v>
      </c>
      <c r="L41" s="3">
        <v>1379.27</v>
      </c>
      <c r="M41" s="3">
        <v>1379.27</v>
      </c>
      <c r="N41" s="3">
        <v>1379.27</v>
      </c>
      <c r="O41" s="3">
        <v>1379.27</v>
      </c>
      <c r="P41" s="3">
        <v>1379.27</v>
      </c>
      <c r="Q41" s="3">
        <v>1379.27</v>
      </c>
      <c r="R41" s="3">
        <v>1379.27</v>
      </c>
      <c r="S41" s="3">
        <v>1379.27</v>
      </c>
      <c r="T41" s="3">
        <v>1379.27</v>
      </c>
      <c r="U41" s="3">
        <v>1379.27</v>
      </c>
      <c r="V41" s="3">
        <v>1379.27</v>
      </c>
      <c r="W41" s="3">
        <v>1379.27</v>
      </c>
      <c r="X41" s="3">
        <v>1379.27</v>
      </c>
      <c r="Y41" s="3">
        <v>1379.27</v>
      </c>
      <c r="Z41" s="3">
        <v>1379.27</v>
      </c>
      <c r="AA41" s="6">
        <v>1379.27</v>
      </c>
      <c r="AB41" s="49">
        <f t="shared" si="0"/>
        <v>33102.480000000003</v>
      </c>
      <c r="AC41" s="49">
        <v>0</v>
      </c>
      <c r="AD41" s="81"/>
      <c r="AE41" s="27" t="e">
        <f>+#REF!</f>
        <v>#REF!</v>
      </c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</row>
    <row r="42" spans="2:60">
      <c r="B42" s="76">
        <v>46296</v>
      </c>
      <c r="C42" s="44" t="s">
        <v>5</v>
      </c>
      <c r="D42" s="2">
        <v>1852.29</v>
      </c>
      <c r="E42" s="2">
        <v>1852.29</v>
      </c>
      <c r="F42" s="2">
        <v>1852.29</v>
      </c>
      <c r="G42" s="2">
        <v>1852.29</v>
      </c>
      <c r="H42" s="2">
        <v>1852.29</v>
      </c>
      <c r="I42" s="2">
        <v>1852.29</v>
      </c>
      <c r="J42" s="2">
        <v>1852.29</v>
      </c>
      <c r="K42" s="2">
        <v>1852.29</v>
      </c>
      <c r="L42" s="2">
        <v>1852.29</v>
      </c>
      <c r="M42" s="2">
        <v>1852.29</v>
      </c>
      <c r="N42" s="2">
        <v>1852.29</v>
      </c>
      <c r="O42" s="2">
        <v>1852.29</v>
      </c>
      <c r="P42" s="2">
        <v>1852.29</v>
      </c>
      <c r="Q42" s="2">
        <v>1852.29</v>
      </c>
      <c r="R42" s="2">
        <v>1852.29</v>
      </c>
      <c r="S42" s="2">
        <v>1852.29</v>
      </c>
      <c r="T42" s="2">
        <v>1852.29</v>
      </c>
      <c r="U42" s="2">
        <v>1852.29</v>
      </c>
      <c r="V42" s="2">
        <v>1852.29</v>
      </c>
      <c r="W42" s="2">
        <v>1852.29</v>
      </c>
      <c r="X42" s="2">
        <v>1852.29</v>
      </c>
      <c r="Y42" s="2">
        <v>1852.29</v>
      </c>
      <c r="Z42" s="2">
        <v>1852.29</v>
      </c>
      <c r="AA42" s="4">
        <v>1852.29</v>
      </c>
      <c r="AB42" s="45">
        <f t="shared" si="0"/>
        <v>44454.960000000014</v>
      </c>
      <c r="AC42" s="45">
        <v>21</v>
      </c>
      <c r="AD42" s="79">
        <f>(AB42*AC42)+(AB43*AC43)+(AB44*AC44)+(AB45*AC45)</f>
        <v>1378103.7600000005</v>
      </c>
      <c r="AE42" s="27" t="e">
        <f>+#REF!</f>
        <v>#REF!</v>
      </c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</row>
    <row r="43" spans="2:60">
      <c r="B43" s="77"/>
      <c r="C43" s="46" t="s">
        <v>6</v>
      </c>
      <c r="D43" s="1">
        <v>1852.29</v>
      </c>
      <c r="E43" s="1">
        <v>1852.29</v>
      </c>
      <c r="F43" s="1">
        <v>1852.29</v>
      </c>
      <c r="G43" s="1">
        <v>1852.29</v>
      </c>
      <c r="H43" s="1">
        <v>1852.29</v>
      </c>
      <c r="I43" s="1">
        <v>1852.29</v>
      </c>
      <c r="J43" s="1">
        <v>1852.29</v>
      </c>
      <c r="K43" s="1">
        <v>1852.29</v>
      </c>
      <c r="L43" s="1">
        <v>1852.29</v>
      </c>
      <c r="M43" s="1">
        <v>1852.29</v>
      </c>
      <c r="N43" s="1">
        <v>1852.29</v>
      </c>
      <c r="O43" s="1">
        <v>1852.29</v>
      </c>
      <c r="P43" s="1">
        <v>1852.29</v>
      </c>
      <c r="Q43" s="1">
        <v>1852.29</v>
      </c>
      <c r="R43" s="1">
        <v>1852.29</v>
      </c>
      <c r="S43" s="1">
        <v>1852.29</v>
      </c>
      <c r="T43" s="1">
        <v>1852.29</v>
      </c>
      <c r="U43" s="1">
        <v>1852.29</v>
      </c>
      <c r="V43" s="1">
        <v>1852.29</v>
      </c>
      <c r="W43" s="1">
        <v>1852.29</v>
      </c>
      <c r="X43" s="1">
        <v>1852.29</v>
      </c>
      <c r="Y43" s="1">
        <v>1852.29</v>
      </c>
      <c r="Z43" s="1">
        <v>1852.29</v>
      </c>
      <c r="AA43" s="5">
        <v>1852.29</v>
      </c>
      <c r="AB43" s="47">
        <f t="shared" si="0"/>
        <v>44454.960000000014</v>
      </c>
      <c r="AC43" s="47">
        <v>5</v>
      </c>
      <c r="AD43" s="80"/>
      <c r="AE43" s="27" t="e">
        <f>+#REF!</f>
        <v>#REF!</v>
      </c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</row>
    <row r="44" spans="2:60">
      <c r="B44" s="77"/>
      <c r="C44" s="46" t="s">
        <v>7</v>
      </c>
      <c r="D44" s="1">
        <v>1852.29</v>
      </c>
      <c r="E44" s="1">
        <v>1852.29</v>
      </c>
      <c r="F44" s="1">
        <v>1852.29</v>
      </c>
      <c r="G44" s="1">
        <v>1852.29</v>
      </c>
      <c r="H44" s="1">
        <v>1852.29</v>
      </c>
      <c r="I44" s="1">
        <v>1852.29</v>
      </c>
      <c r="J44" s="1">
        <v>1852.29</v>
      </c>
      <c r="K44" s="1">
        <v>1852.29</v>
      </c>
      <c r="L44" s="1">
        <v>1852.29</v>
      </c>
      <c r="M44" s="1">
        <v>1852.29</v>
      </c>
      <c r="N44" s="1">
        <v>1852.29</v>
      </c>
      <c r="O44" s="1">
        <v>1852.29</v>
      </c>
      <c r="P44" s="1">
        <v>1852.29</v>
      </c>
      <c r="Q44" s="1">
        <v>1852.29</v>
      </c>
      <c r="R44" s="1">
        <v>1852.29</v>
      </c>
      <c r="S44" s="1">
        <v>1852.29</v>
      </c>
      <c r="T44" s="1">
        <v>1852.29</v>
      </c>
      <c r="U44" s="1">
        <v>1852.29</v>
      </c>
      <c r="V44" s="1">
        <v>1852.29</v>
      </c>
      <c r="W44" s="1">
        <v>1852.29</v>
      </c>
      <c r="X44" s="1">
        <v>1852.29</v>
      </c>
      <c r="Y44" s="1">
        <v>1852.29</v>
      </c>
      <c r="Z44" s="1">
        <v>1852.29</v>
      </c>
      <c r="AA44" s="5">
        <v>1852.29</v>
      </c>
      <c r="AB44" s="47">
        <f t="shared" si="0"/>
        <v>44454.960000000014</v>
      </c>
      <c r="AC44" s="47">
        <v>4</v>
      </c>
      <c r="AD44" s="80"/>
      <c r="AE44" s="27" t="e">
        <f>+#REF!</f>
        <v>#REF!</v>
      </c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</row>
    <row r="45" spans="2:60" ht="15" thickBot="1">
      <c r="B45" s="78"/>
      <c r="C45" s="48" t="s">
        <v>8</v>
      </c>
      <c r="D45" s="3">
        <v>1852.29</v>
      </c>
      <c r="E45" s="3">
        <v>1852.29</v>
      </c>
      <c r="F45" s="3">
        <v>1852.29</v>
      </c>
      <c r="G45" s="3">
        <v>1852.29</v>
      </c>
      <c r="H45" s="3">
        <v>1852.29</v>
      </c>
      <c r="I45" s="3">
        <v>1852.29</v>
      </c>
      <c r="J45" s="3">
        <v>1852.29</v>
      </c>
      <c r="K45" s="3">
        <v>1852.29</v>
      </c>
      <c r="L45" s="3">
        <v>1852.29</v>
      </c>
      <c r="M45" s="3">
        <v>1852.29</v>
      </c>
      <c r="N45" s="3">
        <v>1852.29</v>
      </c>
      <c r="O45" s="3">
        <v>1852.29</v>
      </c>
      <c r="P45" s="3">
        <v>1852.29</v>
      </c>
      <c r="Q45" s="3">
        <v>1852.29</v>
      </c>
      <c r="R45" s="3">
        <v>1852.29</v>
      </c>
      <c r="S45" s="3">
        <v>1852.29</v>
      </c>
      <c r="T45" s="3">
        <v>1852.29</v>
      </c>
      <c r="U45" s="3">
        <v>1852.29</v>
      </c>
      <c r="V45" s="3">
        <v>1852.29</v>
      </c>
      <c r="W45" s="3">
        <v>1852.29</v>
      </c>
      <c r="X45" s="3">
        <v>1852.29</v>
      </c>
      <c r="Y45" s="3">
        <v>1852.29</v>
      </c>
      <c r="Z45" s="3">
        <v>1852.29</v>
      </c>
      <c r="AA45" s="6">
        <v>1852.29</v>
      </c>
      <c r="AB45" s="49">
        <f t="shared" si="0"/>
        <v>44454.960000000014</v>
      </c>
      <c r="AC45" s="49">
        <v>1</v>
      </c>
      <c r="AD45" s="81"/>
      <c r="AE45" s="27" t="e">
        <f>+#REF!</f>
        <v>#REF!</v>
      </c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</row>
    <row r="46" spans="2:60">
      <c r="B46" s="76">
        <v>46327</v>
      </c>
      <c r="C46" s="44" t="s">
        <v>5</v>
      </c>
      <c r="D46" s="2">
        <v>1975.94</v>
      </c>
      <c r="E46" s="2">
        <v>1975.94</v>
      </c>
      <c r="F46" s="2">
        <v>1975.94</v>
      </c>
      <c r="G46" s="2">
        <v>1975.94</v>
      </c>
      <c r="H46" s="2">
        <v>1975.94</v>
      </c>
      <c r="I46" s="2">
        <v>1975.94</v>
      </c>
      <c r="J46" s="2">
        <v>1975.94</v>
      </c>
      <c r="K46" s="2">
        <v>1975.94</v>
      </c>
      <c r="L46" s="2">
        <v>1975.94</v>
      </c>
      <c r="M46" s="2">
        <v>1975.94</v>
      </c>
      <c r="N46" s="2">
        <v>1975.94</v>
      </c>
      <c r="O46" s="2">
        <v>1975.94</v>
      </c>
      <c r="P46" s="2">
        <v>1975.94</v>
      </c>
      <c r="Q46" s="2">
        <v>1975.94</v>
      </c>
      <c r="R46" s="2">
        <v>1975.94</v>
      </c>
      <c r="S46" s="2">
        <v>1975.94</v>
      </c>
      <c r="T46" s="2">
        <v>1975.94</v>
      </c>
      <c r="U46" s="2">
        <v>1975.94</v>
      </c>
      <c r="V46" s="2">
        <v>1975.94</v>
      </c>
      <c r="W46" s="2">
        <v>1975.94</v>
      </c>
      <c r="X46" s="2">
        <v>1975.94</v>
      </c>
      <c r="Y46" s="2">
        <v>1975.94</v>
      </c>
      <c r="Z46" s="2">
        <v>1975.94</v>
      </c>
      <c r="AA46" s="4">
        <v>1975.94</v>
      </c>
      <c r="AB46" s="45">
        <f t="shared" si="0"/>
        <v>47422.560000000012</v>
      </c>
      <c r="AC46" s="45">
        <v>19</v>
      </c>
      <c r="AD46" s="79">
        <f>(AB46*AC46)+(AB47*AC47)+(AB48*AC48)+(AB49*AC49)</f>
        <v>1422676.8000000005</v>
      </c>
      <c r="AE46" s="27" t="e">
        <f>+#REF!</f>
        <v>#REF!</v>
      </c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</row>
    <row r="47" spans="2:60">
      <c r="B47" s="77"/>
      <c r="C47" s="46" t="s">
        <v>6</v>
      </c>
      <c r="D47" s="1">
        <v>1975.94</v>
      </c>
      <c r="E47" s="1">
        <v>1975.94</v>
      </c>
      <c r="F47" s="1">
        <v>1975.94</v>
      </c>
      <c r="G47" s="1">
        <v>1975.94</v>
      </c>
      <c r="H47" s="1">
        <v>1975.94</v>
      </c>
      <c r="I47" s="1">
        <v>1975.94</v>
      </c>
      <c r="J47" s="1">
        <v>1975.94</v>
      </c>
      <c r="K47" s="1">
        <v>1975.94</v>
      </c>
      <c r="L47" s="1">
        <v>1975.94</v>
      </c>
      <c r="M47" s="1">
        <v>1975.94</v>
      </c>
      <c r="N47" s="1">
        <v>1975.94</v>
      </c>
      <c r="O47" s="1">
        <v>1975.94</v>
      </c>
      <c r="P47" s="1">
        <v>1975.94</v>
      </c>
      <c r="Q47" s="1">
        <v>1975.94</v>
      </c>
      <c r="R47" s="1">
        <v>1975.94</v>
      </c>
      <c r="S47" s="1">
        <v>1975.94</v>
      </c>
      <c r="T47" s="1">
        <v>1975.94</v>
      </c>
      <c r="U47" s="1">
        <v>1975.94</v>
      </c>
      <c r="V47" s="1">
        <v>1975.94</v>
      </c>
      <c r="W47" s="1">
        <v>1975.94</v>
      </c>
      <c r="X47" s="1">
        <v>1975.94</v>
      </c>
      <c r="Y47" s="1">
        <v>1975.94</v>
      </c>
      <c r="Z47" s="1">
        <v>1975.94</v>
      </c>
      <c r="AA47" s="5">
        <v>1975.94</v>
      </c>
      <c r="AB47" s="47">
        <f t="shared" si="0"/>
        <v>47422.560000000012</v>
      </c>
      <c r="AC47" s="47">
        <v>4</v>
      </c>
      <c r="AD47" s="80"/>
      <c r="AE47" s="27" t="e">
        <f>+#REF!</f>
        <v>#REF!</v>
      </c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</row>
    <row r="48" spans="2:60">
      <c r="B48" s="77"/>
      <c r="C48" s="46" t="s">
        <v>7</v>
      </c>
      <c r="D48" s="1">
        <v>1975.94</v>
      </c>
      <c r="E48" s="1">
        <v>1975.94</v>
      </c>
      <c r="F48" s="1">
        <v>1975.94</v>
      </c>
      <c r="G48" s="1">
        <v>1975.94</v>
      </c>
      <c r="H48" s="1">
        <v>1975.94</v>
      </c>
      <c r="I48" s="1">
        <v>1975.94</v>
      </c>
      <c r="J48" s="1">
        <v>1975.94</v>
      </c>
      <c r="K48" s="1">
        <v>1975.94</v>
      </c>
      <c r="L48" s="1">
        <v>1975.94</v>
      </c>
      <c r="M48" s="1">
        <v>1975.94</v>
      </c>
      <c r="N48" s="1">
        <v>1975.94</v>
      </c>
      <c r="O48" s="1">
        <v>1975.94</v>
      </c>
      <c r="P48" s="1">
        <v>1975.94</v>
      </c>
      <c r="Q48" s="1">
        <v>1975.94</v>
      </c>
      <c r="R48" s="1">
        <v>1975.94</v>
      </c>
      <c r="S48" s="1">
        <v>1975.94</v>
      </c>
      <c r="T48" s="1">
        <v>1975.94</v>
      </c>
      <c r="U48" s="1">
        <v>1975.94</v>
      </c>
      <c r="V48" s="1">
        <v>1975.94</v>
      </c>
      <c r="W48" s="1">
        <v>1975.94</v>
      </c>
      <c r="X48" s="1">
        <v>1975.94</v>
      </c>
      <c r="Y48" s="1">
        <v>1975.94</v>
      </c>
      <c r="Z48" s="1">
        <v>1975.94</v>
      </c>
      <c r="AA48" s="5">
        <v>1975.94</v>
      </c>
      <c r="AB48" s="47">
        <f t="shared" si="0"/>
        <v>47422.560000000012</v>
      </c>
      <c r="AC48" s="47">
        <v>5</v>
      </c>
      <c r="AD48" s="80"/>
      <c r="AE48" s="27" t="e">
        <f>+#REF!</f>
        <v>#REF!</v>
      </c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</row>
    <row r="49" spans="2:60" ht="15" thickBot="1">
      <c r="B49" s="78"/>
      <c r="C49" s="48" t="s">
        <v>8</v>
      </c>
      <c r="D49" s="3">
        <v>1975.94</v>
      </c>
      <c r="E49" s="3">
        <v>1975.94</v>
      </c>
      <c r="F49" s="3">
        <v>1975.94</v>
      </c>
      <c r="G49" s="3">
        <v>1975.94</v>
      </c>
      <c r="H49" s="3">
        <v>1975.94</v>
      </c>
      <c r="I49" s="3">
        <v>1975.94</v>
      </c>
      <c r="J49" s="3">
        <v>1975.94</v>
      </c>
      <c r="K49" s="3">
        <v>1975.94</v>
      </c>
      <c r="L49" s="3">
        <v>1975.94</v>
      </c>
      <c r="M49" s="3">
        <v>1975.94</v>
      </c>
      <c r="N49" s="3">
        <v>1975.94</v>
      </c>
      <c r="O49" s="3">
        <v>1975.94</v>
      </c>
      <c r="P49" s="3">
        <v>1975.94</v>
      </c>
      <c r="Q49" s="3">
        <v>1975.94</v>
      </c>
      <c r="R49" s="3">
        <v>1975.94</v>
      </c>
      <c r="S49" s="3">
        <v>1975.94</v>
      </c>
      <c r="T49" s="3">
        <v>1975.94</v>
      </c>
      <c r="U49" s="3">
        <v>1975.94</v>
      </c>
      <c r="V49" s="3">
        <v>1975.94</v>
      </c>
      <c r="W49" s="3">
        <v>1975.94</v>
      </c>
      <c r="X49" s="3">
        <v>1975.94</v>
      </c>
      <c r="Y49" s="3">
        <v>1975.94</v>
      </c>
      <c r="Z49" s="3">
        <v>1975.94</v>
      </c>
      <c r="AA49" s="6">
        <v>1975.94</v>
      </c>
      <c r="AB49" s="49">
        <f t="shared" si="0"/>
        <v>47422.560000000012</v>
      </c>
      <c r="AC49" s="49">
        <v>2</v>
      </c>
      <c r="AD49" s="81"/>
      <c r="AE49" s="27" t="e">
        <f>+#REF!</f>
        <v>#REF!</v>
      </c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</row>
    <row r="50" spans="2:60">
      <c r="B50" s="76">
        <v>46357</v>
      </c>
      <c r="C50" s="44" t="s">
        <v>5</v>
      </c>
      <c r="D50" s="2">
        <v>2067.34</v>
      </c>
      <c r="E50" s="2">
        <v>2067.34</v>
      </c>
      <c r="F50" s="2">
        <v>2067.34</v>
      </c>
      <c r="G50" s="2">
        <v>2067.34</v>
      </c>
      <c r="H50" s="2">
        <v>2067.34</v>
      </c>
      <c r="I50" s="2">
        <v>2067.34</v>
      </c>
      <c r="J50" s="2">
        <v>2067.34</v>
      </c>
      <c r="K50" s="2">
        <v>2067.34</v>
      </c>
      <c r="L50" s="2">
        <v>2067.34</v>
      </c>
      <c r="M50" s="2">
        <v>2067.34</v>
      </c>
      <c r="N50" s="2">
        <v>2067.34</v>
      </c>
      <c r="O50" s="2">
        <v>2067.34</v>
      </c>
      <c r="P50" s="2">
        <v>2067.34</v>
      </c>
      <c r="Q50" s="2">
        <v>2067.34</v>
      </c>
      <c r="R50" s="2">
        <v>2067.34</v>
      </c>
      <c r="S50" s="2">
        <v>2067.34</v>
      </c>
      <c r="T50" s="2">
        <v>2067.34</v>
      </c>
      <c r="U50" s="2">
        <v>2067.34</v>
      </c>
      <c r="V50" s="2">
        <v>2067.34</v>
      </c>
      <c r="W50" s="2">
        <v>2067.34</v>
      </c>
      <c r="X50" s="2">
        <v>2067.34</v>
      </c>
      <c r="Y50" s="2">
        <v>2067.34</v>
      </c>
      <c r="Z50" s="2">
        <v>2067.34</v>
      </c>
      <c r="AA50" s="4">
        <v>2067.34</v>
      </c>
      <c r="AB50" s="45">
        <f t="shared" si="0"/>
        <v>49616.159999999974</v>
      </c>
      <c r="AC50" s="45">
        <v>21</v>
      </c>
      <c r="AD50" s="79">
        <f>(AB50*AC50)+(AB51*AC51)+(AB52*AC52)+(AB53*AC53)</f>
        <v>1538100.959999999</v>
      </c>
      <c r="AE50" s="27" t="e">
        <f>+#REF!</f>
        <v>#REF!</v>
      </c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</row>
    <row r="51" spans="2:60">
      <c r="B51" s="77"/>
      <c r="C51" s="46" t="s">
        <v>6</v>
      </c>
      <c r="D51" s="1">
        <v>2067.34</v>
      </c>
      <c r="E51" s="1">
        <v>2067.34</v>
      </c>
      <c r="F51" s="1">
        <v>2067.34</v>
      </c>
      <c r="G51" s="1">
        <v>2067.34</v>
      </c>
      <c r="H51" s="1">
        <v>2067.34</v>
      </c>
      <c r="I51" s="1">
        <v>2067.34</v>
      </c>
      <c r="J51" s="1">
        <v>2067.34</v>
      </c>
      <c r="K51" s="1">
        <v>2067.34</v>
      </c>
      <c r="L51" s="1">
        <v>2067.34</v>
      </c>
      <c r="M51" s="1">
        <v>2067.34</v>
      </c>
      <c r="N51" s="1">
        <v>2067.34</v>
      </c>
      <c r="O51" s="1">
        <v>2067.34</v>
      </c>
      <c r="P51" s="1">
        <v>2067.34</v>
      </c>
      <c r="Q51" s="1">
        <v>2067.34</v>
      </c>
      <c r="R51" s="1">
        <v>2067.34</v>
      </c>
      <c r="S51" s="1">
        <v>2067.34</v>
      </c>
      <c r="T51" s="1">
        <v>2067.34</v>
      </c>
      <c r="U51" s="1">
        <v>2067.34</v>
      </c>
      <c r="V51" s="1">
        <v>2067.34</v>
      </c>
      <c r="W51" s="1">
        <v>2067.34</v>
      </c>
      <c r="X51" s="1">
        <v>2067.34</v>
      </c>
      <c r="Y51" s="1">
        <v>2067.34</v>
      </c>
      <c r="Z51" s="1">
        <v>2067.34</v>
      </c>
      <c r="AA51" s="5">
        <v>2067.34</v>
      </c>
      <c r="AB51" s="47">
        <f t="shared" si="0"/>
        <v>49616.159999999974</v>
      </c>
      <c r="AC51" s="47">
        <v>4</v>
      </c>
      <c r="AD51" s="80"/>
      <c r="AE51" s="27" t="e">
        <f>+#REF!</f>
        <v>#REF!</v>
      </c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</row>
    <row r="52" spans="2:60">
      <c r="B52" s="77"/>
      <c r="C52" s="46" t="s">
        <v>7</v>
      </c>
      <c r="D52" s="1">
        <v>2067.34</v>
      </c>
      <c r="E52" s="1">
        <v>2067.34</v>
      </c>
      <c r="F52" s="1">
        <v>2067.34</v>
      </c>
      <c r="G52" s="1">
        <v>2067.34</v>
      </c>
      <c r="H52" s="1">
        <v>2067.34</v>
      </c>
      <c r="I52" s="1">
        <v>2067.34</v>
      </c>
      <c r="J52" s="1">
        <v>2067.34</v>
      </c>
      <c r="K52" s="1">
        <v>2067.34</v>
      </c>
      <c r="L52" s="1">
        <v>2067.34</v>
      </c>
      <c r="M52" s="1">
        <v>2067.34</v>
      </c>
      <c r="N52" s="1">
        <v>2067.34</v>
      </c>
      <c r="O52" s="1">
        <v>2067.34</v>
      </c>
      <c r="P52" s="1">
        <v>2067.34</v>
      </c>
      <c r="Q52" s="1">
        <v>2067.34</v>
      </c>
      <c r="R52" s="1">
        <v>2067.34</v>
      </c>
      <c r="S52" s="1">
        <v>2067.34</v>
      </c>
      <c r="T52" s="1">
        <v>2067.34</v>
      </c>
      <c r="U52" s="1">
        <v>2067.34</v>
      </c>
      <c r="V52" s="1">
        <v>2067.34</v>
      </c>
      <c r="W52" s="1">
        <v>2067.34</v>
      </c>
      <c r="X52" s="1">
        <v>2067.34</v>
      </c>
      <c r="Y52" s="1">
        <v>2067.34</v>
      </c>
      <c r="Z52" s="1">
        <v>2067.34</v>
      </c>
      <c r="AA52" s="5">
        <v>2067.34</v>
      </c>
      <c r="AB52" s="47">
        <f t="shared" si="0"/>
        <v>49616.159999999974</v>
      </c>
      <c r="AC52" s="47">
        <v>4</v>
      </c>
      <c r="AD52" s="80"/>
      <c r="AE52" s="27" t="e">
        <f>+#REF!</f>
        <v>#REF!</v>
      </c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</row>
    <row r="53" spans="2:60" ht="15" thickBot="1">
      <c r="B53" s="78"/>
      <c r="C53" s="48" t="s">
        <v>8</v>
      </c>
      <c r="D53" s="3">
        <v>2067.34</v>
      </c>
      <c r="E53" s="3">
        <v>2067.34</v>
      </c>
      <c r="F53" s="3">
        <v>2067.34</v>
      </c>
      <c r="G53" s="3">
        <v>2067.34</v>
      </c>
      <c r="H53" s="3">
        <v>2067.34</v>
      </c>
      <c r="I53" s="3">
        <v>2067.34</v>
      </c>
      <c r="J53" s="3">
        <v>2067.34</v>
      </c>
      <c r="K53" s="3">
        <v>2067.34</v>
      </c>
      <c r="L53" s="3">
        <v>2067.34</v>
      </c>
      <c r="M53" s="3">
        <v>2067.34</v>
      </c>
      <c r="N53" s="3">
        <v>2067.34</v>
      </c>
      <c r="O53" s="3">
        <v>2067.34</v>
      </c>
      <c r="P53" s="3">
        <v>2067.34</v>
      </c>
      <c r="Q53" s="3">
        <v>2067.34</v>
      </c>
      <c r="R53" s="3">
        <v>2067.34</v>
      </c>
      <c r="S53" s="3">
        <v>2067.34</v>
      </c>
      <c r="T53" s="3">
        <v>2067.34</v>
      </c>
      <c r="U53" s="3">
        <v>2067.34</v>
      </c>
      <c r="V53" s="3">
        <v>2067.34</v>
      </c>
      <c r="W53" s="3">
        <v>2067.34</v>
      </c>
      <c r="X53" s="3">
        <v>2067.34</v>
      </c>
      <c r="Y53" s="3">
        <v>2067.34</v>
      </c>
      <c r="Z53" s="3">
        <v>2067.34</v>
      </c>
      <c r="AA53" s="6">
        <v>2067.34</v>
      </c>
      <c r="AB53" s="49">
        <f t="shared" si="0"/>
        <v>49616.159999999974</v>
      </c>
      <c r="AC53" s="49">
        <v>2</v>
      </c>
      <c r="AD53" s="81"/>
      <c r="AE53" s="27" t="e">
        <f>+#REF!</f>
        <v>#REF!</v>
      </c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</row>
    <row r="54" spans="2:60" ht="15" thickBot="1">
      <c r="AD54" s="72">
        <f>SUM(AD6:AD53)</f>
        <v>5034033.5999999996</v>
      </c>
    </row>
  </sheetData>
  <mergeCells count="27">
    <mergeCell ref="B10:B13"/>
    <mergeCell ref="AD10:AD13"/>
    <mergeCell ref="B2:AB2"/>
    <mergeCell ref="B3:AB3"/>
    <mergeCell ref="B4:AB4"/>
    <mergeCell ref="B6:B9"/>
    <mergeCell ref="AD6:AD9"/>
    <mergeCell ref="B14:B17"/>
    <mergeCell ref="AD14:AD17"/>
    <mergeCell ref="B18:B21"/>
    <mergeCell ref="AD18:AD21"/>
    <mergeCell ref="B22:B25"/>
    <mergeCell ref="AD22:AD25"/>
    <mergeCell ref="B26:B29"/>
    <mergeCell ref="AD26:AD29"/>
    <mergeCell ref="B30:B33"/>
    <mergeCell ref="AD30:AD33"/>
    <mergeCell ref="B34:B37"/>
    <mergeCell ref="AD34:AD37"/>
    <mergeCell ref="B50:B53"/>
    <mergeCell ref="AD50:AD53"/>
    <mergeCell ref="B38:B41"/>
    <mergeCell ref="AD38:AD41"/>
    <mergeCell ref="B42:B45"/>
    <mergeCell ref="AD42:AD45"/>
    <mergeCell ref="B46:B49"/>
    <mergeCell ref="AD46:AD49"/>
  </mergeCells>
  <conditionalFormatting sqref="D6:AA5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5C3-AA03-4BA6-B1A4-CA681B83A717}">
  <dimension ref="B3:I30"/>
  <sheetViews>
    <sheetView showGridLines="0" topLeftCell="A7" zoomScale="88" zoomScaleNormal="88" workbookViewId="0">
      <selection activeCell="E20" sqref="E20"/>
    </sheetView>
  </sheetViews>
  <sheetFormatPr baseColWidth="10" defaultColWidth="11.453125" defaultRowHeight="14.5"/>
  <cols>
    <col min="1" max="1" width="9.36328125" style="8" customWidth="1"/>
    <col min="2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4.1796875" style="28" bestFit="1" customWidth="1"/>
    <col min="9" max="9" width="11.453125" style="29"/>
    <col min="10" max="16384" width="11.453125" style="8"/>
  </cols>
  <sheetData>
    <row r="3" spans="2:7" ht="15" thickBot="1"/>
    <row r="4" spans="2:7">
      <c r="B4" s="86" t="s">
        <v>40</v>
      </c>
      <c r="C4" s="87"/>
      <c r="D4" s="87"/>
      <c r="E4" s="87"/>
      <c r="F4" s="87"/>
      <c r="G4" s="88"/>
    </row>
    <row r="5" spans="2:7">
      <c r="B5" s="89" t="s">
        <v>9</v>
      </c>
      <c r="C5" s="90"/>
      <c r="D5" s="90"/>
      <c r="E5" s="90"/>
      <c r="F5" s="90"/>
      <c r="G5" s="91"/>
    </row>
    <row r="6" spans="2:7">
      <c r="B6" s="92" t="s">
        <v>10</v>
      </c>
      <c r="C6" s="93"/>
      <c r="D6" s="93"/>
      <c r="E6" s="93"/>
      <c r="F6" s="93"/>
      <c r="G6" s="94"/>
    </row>
    <row r="7" spans="2:7" ht="15" thickBot="1">
      <c r="B7" s="95" t="s">
        <v>46</v>
      </c>
      <c r="C7" s="96"/>
      <c r="D7" s="96"/>
      <c r="E7" s="96"/>
      <c r="F7" s="96"/>
      <c r="G7" s="97"/>
    </row>
    <row r="8" spans="2:7" ht="15" thickBot="1">
      <c r="B8" s="98" t="s">
        <v>37</v>
      </c>
      <c r="C8" s="99"/>
      <c r="D8" s="99"/>
      <c r="E8" s="99"/>
      <c r="F8" s="99"/>
      <c r="G8" s="100"/>
    </row>
    <row r="9" spans="2:7" ht="15.75" customHeight="1" thickBot="1">
      <c r="B9" s="101" t="s">
        <v>12</v>
      </c>
      <c r="C9" s="101" t="s">
        <v>13</v>
      </c>
      <c r="D9" s="104" t="s">
        <v>38</v>
      </c>
      <c r="E9" s="104"/>
      <c r="F9" s="104"/>
      <c r="G9" s="105"/>
    </row>
    <row r="10" spans="2:7" ht="26.5" thickBot="1">
      <c r="B10" s="102"/>
      <c r="C10" s="103"/>
      <c r="D10" s="9" t="s">
        <v>14</v>
      </c>
      <c r="E10" s="11" t="s">
        <v>15</v>
      </c>
      <c r="F10" s="10" t="s">
        <v>16</v>
      </c>
      <c r="G10" s="12" t="s">
        <v>17</v>
      </c>
    </row>
    <row r="11" spans="2:7">
      <c r="B11" s="21">
        <v>2026</v>
      </c>
      <c r="C11" s="22" t="s">
        <v>25</v>
      </c>
      <c r="D11" s="23">
        <f>+'Producto 2 Plano 26'!AE6</f>
        <v>0</v>
      </c>
      <c r="E11" s="74"/>
      <c r="F11" s="69">
        <f t="shared" ref="F11:F22" si="0">+E11*D11</f>
        <v>0</v>
      </c>
      <c r="G11" s="16"/>
    </row>
    <row r="12" spans="2:7">
      <c r="B12" s="13">
        <v>2026</v>
      </c>
      <c r="C12" s="14" t="s">
        <v>26</v>
      </c>
      <c r="D12" s="15">
        <f>+'Producto 2 Plano 26'!AE7</f>
        <v>0</v>
      </c>
      <c r="E12" s="74"/>
      <c r="F12" s="69">
        <f t="shared" si="0"/>
        <v>0</v>
      </c>
      <c r="G12" s="16"/>
    </row>
    <row r="13" spans="2:7">
      <c r="B13" s="13">
        <v>2026</v>
      </c>
      <c r="C13" s="14" t="s">
        <v>27</v>
      </c>
      <c r="D13" s="15">
        <f>+'Producto 2 Plano 26'!AE8</f>
        <v>0</v>
      </c>
      <c r="E13" s="74"/>
      <c r="F13" s="69">
        <f t="shared" si="0"/>
        <v>0</v>
      </c>
      <c r="G13" s="16"/>
    </row>
    <row r="14" spans="2:7">
      <c r="B14" s="13">
        <v>2026</v>
      </c>
      <c r="C14" s="14" t="s">
        <v>28</v>
      </c>
      <c r="D14" s="15">
        <f>+'Producto 2 Plano 26'!AE9</f>
        <v>0</v>
      </c>
      <c r="E14" s="74"/>
      <c r="F14" s="69">
        <f t="shared" si="0"/>
        <v>0</v>
      </c>
      <c r="G14" s="16"/>
    </row>
    <row r="15" spans="2:7">
      <c r="B15" s="13">
        <v>2026</v>
      </c>
      <c r="C15" s="14" t="s">
        <v>29</v>
      </c>
      <c r="D15" s="15">
        <f>+'Producto 2 Plano 26'!AE10</f>
        <v>0</v>
      </c>
      <c r="E15" s="74"/>
      <c r="F15" s="69">
        <f t="shared" si="0"/>
        <v>0</v>
      </c>
      <c r="G15" s="16"/>
    </row>
    <row r="16" spans="2:7">
      <c r="B16" s="13">
        <v>2026</v>
      </c>
      <c r="C16" s="14" t="s">
        <v>18</v>
      </c>
      <c r="D16" s="15">
        <f>+'Producto 2 Plano 26'!AE11</f>
        <v>0</v>
      </c>
      <c r="E16" s="74"/>
      <c r="F16" s="69">
        <f t="shared" si="0"/>
        <v>0</v>
      </c>
      <c r="G16" s="16"/>
    </row>
    <row r="17" spans="2:9">
      <c r="B17" s="13">
        <v>2026</v>
      </c>
      <c r="C17" s="14" t="s">
        <v>19</v>
      </c>
      <c r="D17" s="15">
        <f>+'Producto 2 Plano 26'!AE12</f>
        <v>0</v>
      </c>
      <c r="E17" s="74"/>
      <c r="F17" s="69">
        <f t="shared" si="0"/>
        <v>0</v>
      </c>
      <c r="G17" s="16"/>
    </row>
    <row r="18" spans="2:9">
      <c r="B18" s="13">
        <v>2026</v>
      </c>
      <c r="C18" s="14" t="s">
        <v>20</v>
      </c>
      <c r="D18" s="15">
        <f>+'Producto 2 Plano 26'!AE13</f>
        <v>0</v>
      </c>
      <c r="E18" s="74"/>
      <c r="F18" s="69">
        <f t="shared" si="0"/>
        <v>0</v>
      </c>
      <c r="G18" s="16"/>
    </row>
    <row r="19" spans="2:9">
      <c r="B19" s="13">
        <v>2026</v>
      </c>
      <c r="C19" s="14" t="s">
        <v>21</v>
      </c>
      <c r="D19" s="15">
        <f>+'Producto 2 Plano 26'!AE14</f>
        <v>695152.08000000007</v>
      </c>
      <c r="E19" s="74"/>
      <c r="F19" s="69">
        <f t="shared" si="0"/>
        <v>0</v>
      </c>
      <c r="G19" s="16"/>
    </row>
    <row r="20" spans="2:9">
      <c r="B20" s="13">
        <v>2026</v>
      </c>
      <c r="C20" s="14" t="s">
        <v>22</v>
      </c>
      <c r="D20" s="15">
        <f>+'Producto 2 Plano 26'!AE15</f>
        <v>1378103.7600000005</v>
      </c>
      <c r="E20" s="74"/>
      <c r="F20" s="69">
        <f t="shared" si="0"/>
        <v>0</v>
      </c>
      <c r="G20" s="16"/>
    </row>
    <row r="21" spans="2:9">
      <c r="B21" s="13">
        <v>2026</v>
      </c>
      <c r="C21" s="14" t="s">
        <v>23</v>
      </c>
      <c r="D21" s="15">
        <f>+'Producto 2 Plano 26'!AE16</f>
        <v>1422676.8000000005</v>
      </c>
      <c r="E21" s="74"/>
      <c r="F21" s="69">
        <f t="shared" si="0"/>
        <v>0</v>
      </c>
      <c r="G21" s="16"/>
    </row>
    <row r="22" spans="2:9" ht="15" thickBot="1">
      <c r="B22" s="17">
        <v>2026</v>
      </c>
      <c r="C22" s="18" t="s">
        <v>24</v>
      </c>
      <c r="D22" s="19">
        <f>+'Producto 2 Plano 26'!AE17</f>
        <v>1538100.959999999</v>
      </c>
      <c r="E22" s="75"/>
      <c r="F22" s="70">
        <f t="shared" si="0"/>
        <v>0</v>
      </c>
      <c r="G22" s="20"/>
      <c r="H22" s="28">
        <f>SUM(D11:D22)</f>
        <v>5034033.5999999996</v>
      </c>
      <c r="I22" s="30">
        <f>+H22/1000</f>
        <v>5034.0335999999998</v>
      </c>
    </row>
    <row r="23" spans="2:9" ht="15" thickBot="1">
      <c r="B23" s="84" t="s">
        <v>44</v>
      </c>
      <c r="C23" s="85"/>
      <c r="D23" s="24">
        <f>+SUM(D11:D22)</f>
        <v>5034033.5999999996</v>
      </c>
      <c r="I23" s="30">
        <f>+D23/1000</f>
        <v>5034.0335999999998</v>
      </c>
    </row>
    <row r="25" spans="2:9">
      <c r="B25" s="8" t="s">
        <v>30</v>
      </c>
    </row>
    <row r="26" spans="2:9">
      <c r="B26" s="8" t="s">
        <v>31</v>
      </c>
    </row>
    <row r="27" spans="2:9">
      <c r="B27" s="8" t="s">
        <v>32</v>
      </c>
    </row>
    <row r="28" spans="2:9">
      <c r="B28" s="8" t="s">
        <v>33</v>
      </c>
    </row>
    <row r="30" spans="2:9">
      <c r="D30" s="25"/>
    </row>
  </sheetData>
  <mergeCells count="9"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D0B5-67B4-4B23-A1BF-8696B3C53075}">
  <dimension ref="B2:AE37"/>
  <sheetViews>
    <sheetView showGridLines="0" zoomScale="70" zoomScaleNormal="70" workbookViewId="0">
      <selection activeCell="B5" sqref="B5"/>
    </sheetView>
  </sheetViews>
  <sheetFormatPr baseColWidth="10" defaultRowHeight="14.5"/>
  <cols>
    <col min="1" max="1" width="1.81640625" customWidth="1"/>
    <col min="2" max="2" width="10" customWidth="1"/>
    <col min="3" max="3" width="11" customWidth="1"/>
    <col min="4" max="27" width="9.54296875" bestFit="1" customWidth="1"/>
    <col min="28" max="28" width="9.08984375" bestFit="1" customWidth="1"/>
    <col min="29" max="29" width="7.453125" customWidth="1"/>
    <col min="30" max="30" width="19.1796875" customWidth="1"/>
    <col min="31" max="31" width="14.90625" style="26" customWidth="1"/>
    <col min="32" max="32" width="17.453125" bestFit="1" customWidth="1"/>
  </cols>
  <sheetData>
    <row r="2" spans="2:31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spans="2:31">
      <c r="B3" s="82" t="s">
        <v>41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2:31" ht="15" thickBot="1">
      <c r="B4" s="83" t="s">
        <v>47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spans="2:31" ht="25.5" customHeight="1" thickBot="1">
      <c r="B5" s="35"/>
      <c r="C5" s="36" t="s">
        <v>1</v>
      </c>
      <c r="D5" s="37">
        <v>1</v>
      </c>
      <c r="E5" s="37">
        <v>2</v>
      </c>
      <c r="F5" s="37">
        <v>3</v>
      </c>
      <c r="G5" s="37">
        <v>4</v>
      </c>
      <c r="H5" s="37">
        <v>5</v>
      </c>
      <c r="I5" s="37">
        <v>6</v>
      </c>
      <c r="J5" s="38">
        <v>7</v>
      </c>
      <c r="K5" s="38">
        <v>8</v>
      </c>
      <c r="L5" s="38">
        <v>9</v>
      </c>
      <c r="M5" s="38">
        <v>10</v>
      </c>
      <c r="N5" s="38">
        <v>11</v>
      </c>
      <c r="O5" s="38">
        <v>12</v>
      </c>
      <c r="P5" s="38">
        <v>13</v>
      </c>
      <c r="Q5" s="38">
        <v>14</v>
      </c>
      <c r="R5" s="38">
        <v>15</v>
      </c>
      <c r="S5" s="38">
        <v>16</v>
      </c>
      <c r="T5" s="38">
        <v>17</v>
      </c>
      <c r="U5" s="38">
        <v>18</v>
      </c>
      <c r="V5" s="39">
        <v>19</v>
      </c>
      <c r="W5" s="39">
        <v>20</v>
      </c>
      <c r="X5" s="39">
        <v>21</v>
      </c>
      <c r="Y5" s="37">
        <v>22</v>
      </c>
      <c r="Z5" s="37">
        <v>23</v>
      </c>
      <c r="AA5" s="40">
        <v>24</v>
      </c>
      <c r="AB5" s="41" t="s">
        <v>2</v>
      </c>
      <c r="AC5" s="42" t="s">
        <v>3</v>
      </c>
      <c r="AD5" s="43" t="s">
        <v>2</v>
      </c>
    </row>
    <row r="6" spans="2:31">
      <c r="B6" s="76">
        <v>46388</v>
      </c>
      <c r="C6" s="44" t="s">
        <v>5</v>
      </c>
      <c r="D6" s="2">
        <v>10884.85</v>
      </c>
      <c r="E6" s="2">
        <f t="shared" ref="E6:AA9" si="0">+$D$6</f>
        <v>10884.85</v>
      </c>
      <c r="F6" s="2">
        <f t="shared" si="0"/>
        <v>10884.85</v>
      </c>
      <c r="G6" s="2">
        <f t="shared" si="0"/>
        <v>10884.85</v>
      </c>
      <c r="H6" s="2">
        <f t="shared" si="0"/>
        <v>10884.85</v>
      </c>
      <c r="I6" s="2">
        <f t="shared" si="0"/>
        <v>10884.85</v>
      </c>
      <c r="J6" s="2">
        <f t="shared" si="0"/>
        <v>10884.85</v>
      </c>
      <c r="K6" s="2">
        <f t="shared" si="0"/>
        <v>10884.85</v>
      </c>
      <c r="L6" s="2">
        <f t="shared" si="0"/>
        <v>10884.85</v>
      </c>
      <c r="M6" s="2">
        <f t="shared" si="0"/>
        <v>10884.85</v>
      </c>
      <c r="N6" s="2">
        <f t="shared" si="0"/>
        <v>10884.85</v>
      </c>
      <c r="O6" s="2">
        <f t="shared" si="0"/>
        <v>10884.85</v>
      </c>
      <c r="P6" s="2">
        <f t="shared" si="0"/>
        <v>10884.85</v>
      </c>
      <c r="Q6" s="2">
        <f t="shared" si="0"/>
        <v>10884.85</v>
      </c>
      <c r="R6" s="2">
        <f t="shared" si="0"/>
        <v>10884.85</v>
      </c>
      <c r="S6" s="2">
        <f t="shared" si="0"/>
        <v>10884.85</v>
      </c>
      <c r="T6" s="2">
        <f t="shared" si="0"/>
        <v>10884.85</v>
      </c>
      <c r="U6" s="2">
        <f t="shared" si="0"/>
        <v>10884.85</v>
      </c>
      <c r="V6" s="2">
        <f t="shared" si="0"/>
        <v>10884.85</v>
      </c>
      <c r="W6" s="2">
        <f t="shared" si="0"/>
        <v>10884.85</v>
      </c>
      <c r="X6" s="2">
        <f t="shared" si="0"/>
        <v>10884.85</v>
      </c>
      <c r="Y6" s="2">
        <f t="shared" si="0"/>
        <v>10884.85</v>
      </c>
      <c r="Z6" s="2">
        <f t="shared" si="0"/>
        <v>10884.85</v>
      </c>
      <c r="AA6" s="4">
        <f t="shared" si="0"/>
        <v>10884.85</v>
      </c>
      <c r="AB6" s="45">
        <f t="shared" ref="AB6:AB33" si="1">(SUM(D6:AA6))</f>
        <v>261236.40000000008</v>
      </c>
      <c r="AC6" s="45">
        <v>19</v>
      </c>
      <c r="AD6" s="79">
        <f>(AB6*AC6)+(AB7*AC7)+(AB8*AC8)+(AB9*AC9)</f>
        <v>8098328.4000000013</v>
      </c>
      <c r="AE6" s="27">
        <f>+AD6</f>
        <v>8098328.4000000013</v>
      </c>
    </row>
    <row r="7" spans="2:31">
      <c r="B7" s="76"/>
      <c r="C7" s="46" t="s">
        <v>6</v>
      </c>
      <c r="D7" s="1">
        <f>+$D$6</f>
        <v>10884.85</v>
      </c>
      <c r="E7" s="1">
        <f t="shared" si="0"/>
        <v>10884.85</v>
      </c>
      <c r="F7" s="1">
        <f t="shared" si="0"/>
        <v>10884.85</v>
      </c>
      <c r="G7" s="1">
        <f t="shared" si="0"/>
        <v>10884.85</v>
      </c>
      <c r="H7" s="1">
        <f t="shared" si="0"/>
        <v>10884.85</v>
      </c>
      <c r="I7" s="1">
        <f t="shared" si="0"/>
        <v>10884.85</v>
      </c>
      <c r="J7" s="1">
        <f t="shared" si="0"/>
        <v>10884.85</v>
      </c>
      <c r="K7" s="1">
        <f t="shared" si="0"/>
        <v>10884.85</v>
      </c>
      <c r="L7" s="1">
        <f t="shared" si="0"/>
        <v>10884.85</v>
      </c>
      <c r="M7" s="1">
        <f t="shared" si="0"/>
        <v>10884.85</v>
      </c>
      <c r="N7" s="1">
        <f t="shared" si="0"/>
        <v>10884.85</v>
      </c>
      <c r="O7" s="1">
        <f t="shared" si="0"/>
        <v>10884.85</v>
      </c>
      <c r="P7" s="1">
        <f t="shared" si="0"/>
        <v>10884.85</v>
      </c>
      <c r="Q7" s="1">
        <f t="shared" si="0"/>
        <v>10884.85</v>
      </c>
      <c r="R7" s="1">
        <f t="shared" si="0"/>
        <v>10884.85</v>
      </c>
      <c r="S7" s="1">
        <f t="shared" si="0"/>
        <v>10884.85</v>
      </c>
      <c r="T7" s="1">
        <f t="shared" si="0"/>
        <v>10884.85</v>
      </c>
      <c r="U7" s="1">
        <f t="shared" si="0"/>
        <v>10884.85</v>
      </c>
      <c r="V7" s="1">
        <f t="shared" si="0"/>
        <v>10884.85</v>
      </c>
      <c r="W7" s="1">
        <f t="shared" si="0"/>
        <v>10884.85</v>
      </c>
      <c r="X7" s="1">
        <f t="shared" si="0"/>
        <v>10884.85</v>
      </c>
      <c r="Y7" s="1">
        <f t="shared" si="0"/>
        <v>10884.85</v>
      </c>
      <c r="Z7" s="1">
        <f t="shared" si="0"/>
        <v>10884.85</v>
      </c>
      <c r="AA7" s="5">
        <f t="shared" si="0"/>
        <v>10884.85</v>
      </c>
      <c r="AB7" s="47">
        <f t="shared" si="1"/>
        <v>261236.40000000008</v>
      </c>
      <c r="AC7" s="47">
        <v>5</v>
      </c>
      <c r="AD7" s="79"/>
      <c r="AE7" s="27">
        <f>+AD10</f>
        <v>8342712</v>
      </c>
    </row>
    <row r="8" spans="2:31">
      <c r="B8" s="76"/>
      <c r="C8" s="46" t="s">
        <v>7</v>
      </c>
      <c r="D8" s="1">
        <f t="shared" ref="D8:D9" si="2">+$D$6</f>
        <v>10884.85</v>
      </c>
      <c r="E8" s="1">
        <f t="shared" si="0"/>
        <v>10884.85</v>
      </c>
      <c r="F8" s="1">
        <f t="shared" si="0"/>
        <v>10884.85</v>
      </c>
      <c r="G8" s="1">
        <f t="shared" si="0"/>
        <v>10884.85</v>
      </c>
      <c r="H8" s="1">
        <f t="shared" si="0"/>
        <v>10884.85</v>
      </c>
      <c r="I8" s="1">
        <f t="shared" si="0"/>
        <v>10884.85</v>
      </c>
      <c r="J8" s="1">
        <f t="shared" si="0"/>
        <v>10884.85</v>
      </c>
      <c r="K8" s="1">
        <f t="shared" si="0"/>
        <v>10884.85</v>
      </c>
      <c r="L8" s="1">
        <f t="shared" si="0"/>
        <v>10884.85</v>
      </c>
      <c r="M8" s="1">
        <f t="shared" si="0"/>
        <v>10884.85</v>
      </c>
      <c r="N8" s="1">
        <f t="shared" si="0"/>
        <v>10884.85</v>
      </c>
      <c r="O8" s="1">
        <f t="shared" si="0"/>
        <v>10884.85</v>
      </c>
      <c r="P8" s="1">
        <f t="shared" si="0"/>
        <v>10884.85</v>
      </c>
      <c r="Q8" s="1">
        <f t="shared" si="0"/>
        <v>10884.85</v>
      </c>
      <c r="R8" s="1">
        <f t="shared" si="0"/>
        <v>10884.85</v>
      </c>
      <c r="S8" s="1">
        <f t="shared" si="0"/>
        <v>10884.85</v>
      </c>
      <c r="T8" s="1">
        <f t="shared" si="0"/>
        <v>10884.85</v>
      </c>
      <c r="U8" s="1">
        <f t="shared" si="0"/>
        <v>10884.85</v>
      </c>
      <c r="V8" s="1">
        <f t="shared" si="0"/>
        <v>10884.85</v>
      </c>
      <c r="W8" s="1">
        <f t="shared" si="0"/>
        <v>10884.85</v>
      </c>
      <c r="X8" s="1">
        <f t="shared" si="0"/>
        <v>10884.85</v>
      </c>
      <c r="Y8" s="1">
        <f t="shared" si="0"/>
        <v>10884.85</v>
      </c>
      <c r="Z8" s="1">
        <f t="shared" si="0"/>
        <v>10884.85</v>
      </c>
      <c r="AA8" s="5">
        <f t="shared" si="0"/>
        <v>10884.85</v>
      </c>
      <c r="AB8" s="47">
        <f t="shared" si="1"/>
        <v>261236.40000000008</v>
      </c>
      <c r="AC8" s="47">
        <v>5</v>
      </c>
      <c r="AD8" s="79"/>
      <c r="AE8" s="27">
        <f>+AD14</f>
        <v>7888260</v>
      </c>
    </row>
    <row r="9" spans="2:31" ht="15" thickBot="1">
      <c r="B9" s="76"/>
      <c r="C9" s="48" t="s">
        <v>8</v>
      </c>
      <c r="D9" s="3">
        <f t="shared" si="2"/>
        <v>10884.85</v>
      </c>
      <c r="E9" s="3">
        <f t="shared" si="0"/>
        <v>10884.85</v>
      </c>
      <c r="F9" s="3">
        <f t="shared" si="0"/>
        <v>10884.85</v>
      </c>
      <c r="G9" s="3">
        <f t="shared" si="0"/>
        <v>10884.85</v>
      </c>
      <c r="H9" s="3">
        <f t="shared" si="0"/>
        <v>10884.85</v>
      </c>
      <c r="I9" s="3">
        <f t="shared" si="0"/>
        <v>10884.85</v>
      </c>
      <c r="J9" s="3">
        <f t="shared" si="0"/>
        <v>10884.85</v>
      </c>
      <c r="K9" s="3">
        <f t="shared" si="0"/>
        <v>10884.85</v>
      </c>
      <c r="L9" s="3">
        <f t="shared" si="0"/>
        <v>10884.85</v>
      </c>
      <c r="M9" s="3">
        <f t="shared" si="0"/>
        <v>10884.85</v>
      </c>
      <c r="N9" s="3">
        <f t="shared" si="0"/>
        <v>10884.85</v>
      </c>
      <c r="O9" s="3">
        <f t="shared" si="0"/>
        <v>10884.85</v>
      </c>
      <c r="P9" s="3">
        <f t="shared" si="0"/>
        <v>10884.85</v>
      </c>
      <c r="Q9" s="3">
        <f t="shared" si="0"/>
        <v>10884.85</v>
      </c>
      <c r="R9" s="3">
        <f t="shared" si="0"/>
        <v>10884.85</v>
      </c>
      <c r="S9" s="3">
        <f t="shared" si="0"/>
        <v>10884.85</v>
      </c>
      <c r="T9" s="3">
        <f t="shared" si="0"/>
        <v>10884.85</v>
      </c>
      <c r="U9" s="3">
        <f t="shared" si="0"/>
        <v>10884.85</v>
      </c>
      <c r="V9" s="3">
        <f t="shared" si="0"/>
        <v>10884.85</v>
      </c>
      <c r="W9" s="3">
        <f t="shared" si="0"/>
        <v>10884.85</v>
      </c>
      <c r="X9" s="3">
        <f t="shared" si="0"/>
        <v>10884.85</v>
      </c>
      <c r="Y9" s="3">
        <f t="shared" si="0"/>
        <v>10884.85</v>
      </c>
      <c r="Z9" s="3">
        <f t="shared" si="0"/>
        <v>10884.85</v>
      </c>
      <c r="AA9" s="6">
        <f t="shared" si="0"/>
        <v>10884.85</v>
      </c>
      <c r="AB9" s="49">
        <f t="shared" si="1"/>
        <v>261236.40000000008</v>
      </c>
      <c r="AC9" s="49">
        <v>2</v>
      </c>
      <c r="AD9" s="79"/>
      <c r="AE9" s="27">
        <f>+AD18</f>
        <v>8281727.9999999972</v>
      </c>
    </row>
    <row r="10" spans="2:31">
      <c r="B10" s="76">
        <v>46419</v>
      </c>
      <c r="C10" s="44" t="s">
        <v>5</v>
      </c>
      <c r="D10" s="2">
        <v>12414.75</v>
      </c>
      <c r="E10" s="2">
        <f>+D10</f>
        <v>12414.75</v>
      </c>
      <c r="F10" s="2">
        <f>+D10</f>
        <v>12414.75</v>
      </c>
      <c r="G10" s="2">
        <f>+D10</f>
        <v>12414.75</v>
      </c>
      <c r="H10" s="2">
        <f>+D10</f>
        <v>12414.75</v>
      </c>
      <c r="I10" s="2">
        <f>+D10</f>
        <v>12414.75</v>
      </c>
      <c r="J10" s="2">
        <f>+D10</f>
        <v>12414.75</v>
      </c>
      <c r="K10" s="2">
        <f>+D10</f>
        <v>12414.75</v>
      </c>
      <c r="L10" s="2">
        <f>+D10</f>
        <v>12414.75</v>
      </c>
      <c r="M10" s="2">
        <f>+D10</f>
        <v>12414.75</v>
      </c>
      <c r="N10" s="2">
        <f>+D10</f>
        <v>12414.75</v>
      </c>
      <c r="O10" s="2">
        <f>+D10</f>
        <v>12414.75</v>
      </c>
      <c r="P10" s="2">
        <f>+D10</f>
        <v>12414.75</v>
      </c>
      <c r="Q10" s="2">
        <f>+D10</f>
        <v>12414.75</v>
      </c>
      <c r="R10" s="2">
        <f>+D10</f>
        <v>12414.75</v>
      </c>
      <c r="S10" s="2">
        <f>+D10</f>
        <v>12414.75</v>
      </c>
      <c r="T10" s="2">
        <f>+D10</f>
        <v>12414.75</v>
      </c>
      <c r="U10" s="2">
        <f>+D10</f>
        <v>12414.75</v>
      </c>
      <c r="V10" s="2">
        <f>+D10</f>
        <v>12414.75</v>
      </c>
      <c r="W10" s="2">
        <f>+D10</f>
        <v>12414.75</v>
      </c>
      <c r="X10" s="2">
        <f>+D10</f>
        <v>12414.75</v>
      </c>
      <c r="Y10" s="2">
        <f>+D10</f>
        <v>12414.75</v>
      </c>
      <c r="Z10" s="2">
        <f>+D10</f>
        <v>12414.75</v>
      </c>
      <c r="AA10" s="4">
        <f>+D10</f>
        <v>12414.75</v>
      </c>
      <c r="AB10" s="45">
        <f t="shared" si="1"/>
        <v>297954</v>
      </c>
      <c r="AC10" s="45">
        <v>20</v>
      </c>
      <c r="AD10" s="79">
        <f>(AB10*AC10)+(AB11*AC11)+(AB12*AC12)+(AB13*AC13)</f>
        <v>8342712</v>
      </c>
      <c r="AE10" s="27">
        <f>+AD22</f>
        <v>4722450.7200000025</v>
      </c>
    </row>
    <row r="11" spans="2:31">
      <c r="B11" s="76"/>
      <c r="C11" s="46" t="s">
        <v>6</v>
      </c>
      <c r="D11" s="1">
        <f>+D10</f>
        <v>12414.75</v>
      </c>
      <c r="E11" s="1">
        <f>+D10</f>
        <v>12414.75</v>
      </c>
      <c r="F11" s="1">
        <f>+D10</f>
        <v>12414.75</v>
      </c>
      <c r="G11" s="1">
        <f>+D10</f>
        <v>12414.75</v>
      </c>
      <c r="H11" s="1">
        <f>+D10</f>
        <v>12414.75</v>
      </c>
      <c r="I11" s="1">
        <f>+D10</f>
        <v>12414.75</v>
      </c>
      <c r="J11" s="1">
        <f>+D10</f>
        <v>12414.75</v>
      </c>
      <c r="K11" s="1">
        <f>+D10</f>
        <v>12414.75</v>
      </c>
      <c r="L11" s="1">
        <f>+D10</f>
        <v>12414.75</v>
      </c>
      <c r="M11" s="1">
        <f>+D10</f>
        <v>12414.75</v>
      </c>
      <c r="N11" s="1">
        <f>+D10</f>
        <v>12414.75</v>
      </c>
      <c r="O11" s="1">
        <f>+D10</f>
        <v>12414.75</v>
      </c>
      <c r="P11" s="1">
        <f>+D10</f>
        <v>12414.75</v>
      </c>
      <c r="Q11" s="1">
        <f>+D10</f>
        <v>12414.75</v>
      </c>
      <c r="R11" s="1">
        <f>+D10</f>
        <v>12414.75</v>
      </c>
      <c r="S11" s="1">
        <f>+D10</f>
        <v>12414.75</v>
      </c>
      <c r="T11" s="1">
        <f>+D10</f>
        <v>12414.75</v>
      </c>
      <c r="U11" s="1">
        <f>+D10</f>
        <v>12414.75</v>
      </c>
      <c r="V11" s="1">
        <f>+D10</f>
        <v>12414.75</v>
      </c>
      <c r="W11" s="1">
        <f>+D10</f>
        <v>12414.75</v>
      </c>
      <c r="X11" s="1">
        <f>+D10</f>
        <v>12414.75</v>
      </c>
      <c r="Y11" s="1">
        <f>+D10</f>
        <v>12414.75</v>
      </c>
      <c r="Z11" s="1">
        <f>+D10</f>
        <v>12414.75</v>
      </c>
      <c r="AA11" s="5">
        <f>+D10</f>
        <v>12414.75</v>
      </c>
      <c r="AB11" s="47">
        <f t="shared" si="1"/>
        <v>297954</v>
      </c>
      <c r="AC11" s="47">
        <v>4</v>
      </c>
      <c r="AD11" s="79"/>
      <c r="AE11" s="27">
        <f>+AD26</f>
        <v>5344408.8</v>
      </c>
    </row>
    <row r="12" spans="2:31">
      <c r="B12" s="76"/>
      <c r="C12" s="46" t="s">
        <v>7</v>
      </c>
      <c r="D12" s="1">
        <f>+D10</f>
        <v>12414.75</v>
      </c>
      <c r="E12" s="1">
        <f>+D10</f>
        <v>12414.75</v>
      </c>
      <c r="F12" s="1">
        <f>+D10</f>
        <v>12414.75</v>
      </c>
      <c r="G12" s="1">
        <f>+D10</f>
        <v>12414.75</v>
      </c>
      <c r="H12" s="1">
        <f>+D10</f>
        <v>12414.75</v>
      </c>
      <c r="I12" s="1">
        <f>+D10</f>
        <v>12414.75</v>
      </c>
      <c r="J12" s="1">
        <f>+D10</f>
        <v>12414.75</v>
      </c>
      <c r="K12" s="1">
        <f>+D10</f>
        <v>12414.75</v>
      </c>
      <c r="L12" s="1">
        <f>+D10</f>
        <v>12414.75</v>
      </c>
      <c r="M12" s="1">
        <f>+D10</f>
        <v>12414.75</v>
      </c>
      <c r="N12" s="1">
        <f>+D10</f>
        <v>12414.75</v>
      </c>
      <c r="O12" s="1">
        <f>+D10</f>
        <v>12414.75</v>
      </c>
      <c r="P12" s="1">
        <f>+D10</f>
        <v>12414.75</v>
      </c>
      <c r="Q12" s="1">
        <f>+D10</f>
        <v>12414.75</v>
      </c>
      <c r="R12" s="1">
        <f>+D10</f>
        <v>12414.75</v>
      </c>
      <c r="S12" s="1">
        <f>+D10</f>
        <v>12414.75</v>
      </c>
      <c r="T12" s="1">
        <f>+D10</f>
        <v>12414.75</v>
      </c>
      <c r="U12" s="1">
        <f>+D10</f>
        <v>12414.75</v>
      </c>
      <c r="V12" s="1">
        <f>+D10</f>
        <v>12414.75</v>
      </c>
      <c r="W12" s="1">
        <f>+D10</f>
        <v>12414.75</v>
      </c>
      <c r="X12" s="1">
        <f>+D10</f>
        <v>12414.75</v>
      </c>
      <c r="Y12" s="1">
        <f>+D10</f>
        <v>12414.75</v>
      </c>
      <c r="Z12" s="1">
        <f>+D10</f>
        <v>12414.75</v>
      </c>
      <c r="AA12" s="5">
        <f>+D10</f>
        <v>12414.75</v>
      </c>
      <c r="AB12" s="47">
        <f t="shared" si="1"/>
        <v>297954</v>
      </c>
      <c r="AC12" s="47">
        <v>4</v>
      </c>
      <c r="AD12" s="79"/>
      <c r="AE12" s="27">
        <f>+AD30</f>
        <v>4659277.68</v>
      </c>
    </row>
    <row r="13" spans="2:31" ht="15" thickBot="1">
      <c r="B13" s="76"/>
      <c r="C13" s="48" t="s">
        <v>8</v>
      </c>
      <c r="D13" s="3">
        <f>+D10</f>
        <v>12414.75</v>
      </c>
      <c r="E13" s="3">
        <f>+D10</f>
        <v>12414.75</v>
      </c>
      <c r="F13" s="3">
        <f>+D10</f>
        <v>12414.75</v>
      </c>
      <c r="G13" s="3">
        <f>+D10</f>
        <v>12414.75</v>
      </c>
      <c r="H13" s="3">
        <f>+D10</f>
        <v>12414.75</v>
      </c>
      <c r="I13" s="3">
        <f>+D10</f>
        <v>12414.75</v>
      </c>
      <c r="J13" s="3">
        <f>+D10</f>
        <v>12414.75</v>
      </c>
      <c r="K13" s="3">
        <f>+D10</f>
        <v>12414.75</v>
      </c>
      <c r="L13" s="3">
        <f>+D10</f>
        <v>12414.75</v>
      </c>
      <c r="M13" s="3">
        <f>+D10</f>
        <v>12414.75</v>
      </c>
      <c r="N13" s="3">
        <f>+D10</f>
        <v>12414.75</v>
      </c>
      <c r="O13" s="3">
        <f>+D10</f>
        <v>12414.75</v>
      </c>
      <c r="P13" s="3">
        <f>+D10</f>
        <v>12414.75</v>
      </c>
      <c r="Q13" s="3">
        <f>+D10</f>
        <v>12414.75</v>
      </c>
      <c r="R13" s="3">
        <f>+D10</f>
        <v>12414.75</v>
      </c>
      <c r="S13" s="3">
        <f>+D10</f>
        <v>12414.75</v>
      </c>
      <c r="T13" s="3">
        <f>+D10</f>
        <v>12414.75</v>
      </c>
      <c r="U13" s="3">
        <f>+D10</f>
        <v>12414.75</v>
      </c>
      <c r="V13" s="3">
        <f>+D10</f>
        <v>12414.75</v>
      </c>
      <c r="W13" s="3">
        <f>+D10</f>
        <v>12414.75</v>
      </c>
      <c r="X13" s="3">
        <f>+D10</f>
        <v>12414.75</v>
      </c>
      <c r="Y13" s="3">
        <f>+D10</f>
        <v>12414.75</v>
      </c>
      <c r="Z13" s="3">
        <f>+D10</f>
        <v>12414.75</v>
      </c>
      <c r="AA13" s="6">
        <f>+D10</f>
        <v>12414.75</v>
      </c>
      <c r="AB13" s="49">
        <f t="shared" si="1"/>
        <v>297954</v>
      </c>
      <c r="AC13" s="49">
        <v>0</v>
      </c>
      <c r="AD13" s="79"/>
      <c r="AE13" s="27" t="e">
        <f>+#REF!</f>
        <v>#REF!</v>
      </c>
    </row>
    <row r="14" spans="2:31">
      <c r="B14" s="76">
        <v>46447</v>
      </c>
      <c r="C14" s="44" t="s">
        <v>5</v>
      </c>
      <c r="D14" s="2">
        <v>10602.5</v>
      </c>
      <c r="E14" s="2">
        <f>+D14</f>
        <v>10602.5</v>
      </c>
      <c r="F14" s="2">
        <f>+D14</f>
        <v>10602.5</v>
      </c>
      <c r="G14" s="2">
        <f>+D14</f>
        <v>10602.5</v>
      </c>
      <c r="H14" s="2">
        <f>+D14</f>
        <v>10602.5</v>
      </c>
      <c r="I14" s="2">
        <f>+D14</f>
        <v>10602.5</v>
      </c>
      <c r="J14" s="2">
        <f>+D14</f>
        <v>10602.5</v>
      </c>
      <c r="K14" s="2">
        <f>+D14</f>
        <v>10602.5</v>
      </c>
      <c r="L14" s="2">
        <f>+D14</f>
        <v>10602.5</v>
      </c>
      <c r="M14" s="2">
        <f>+D14</f>
        <v>10602.5</v>
      </c>
      <c r="N14" s="2">
        <f>+D14</f>
        <v>10602.5</v>
      </c>
      <c r="O14" s="2">
        <f>+D14</f>
        <v>10602.5</v>
      </c>
      <c r="P14" s="2">
        <f>+D14</f>
        <v>10602.5</v>
      </c>
      <c r="Q14" s="2">
        <f>+D14</f>
        <v>10602.5</v>
      </c>
      <c r="R14" s="2">
        <f>+D14</f>
        <v>10602.5</v>
      </c>
      <c r="S14" s="2">
        <f>+D14</f>
        <v>10602.5</v>
      </c>
      <c r="T14" s="2">
        <f>+D14</f>
        <v>10602.5</v>
      </c>
      <c r="U14" s="2">
        <f>+D14</f>
        <v>10602.5</v>
      </c>
      <c r="V14" s="2">
        <f>+D14</f>
        <v>10602.5</v>
      </c>
      <c r="W14" s="2">
        <f>+D14</f>
        <v>10602.5</v>
      </c>
      <c r="X14" s="2">
        <f>+D14</f>
        <v>10602.5</v>
      </c>
      <c r="Y14" s="2">
        <f>+D14</f>
        <v>10602.5</v>
      </c>
      <c r="Z14" s="2">
        <f>+D14</f>
        <v>10602.5</v>
      </c>
      <c r="AA14" s="4">
        <f>+D14</f>
        <v>10602.5</v>
      </c>
      <c r="AB14" s="45">
        <f t="shared" si="1"/>
        <v>254460</v>
      </c>
      <c r="AC14" s="45">
        <v>20</v>
      </c>
      <c r="AD14" s="79">
        <f>(AB14*AC14)+(AB15*AC15)+(AB16*AC16)+(AB17*AC17)</f>
        <v>7888260</v>
      </c>
      <c r="AE14" s="27" t="e">
        <f>+#REF!</f>
        <v>#REF!</v>
      </c>
    </row>
    <row r="15" spans="2:31">
      <c r="B15" s="76"/>
      <c r="C15" s="46" t="s">
        <v>6</v>
      </c>
      <c r="D15" s="1">
        <f>+D14</f>
        <v>10602.5</v>
      </c>
      <c r="E15" s="1">
        <f>+D14</f>
        <v>10602.5</v>
      </c>
      <c r="F15" s="1">
        <f>+D14</f>
        <v>10602.5</v>
      </c>
      <c r="G15" s="1">
        <f>+D14</f>
        <v>10602.5</v>
      </c>
      <c r="H15" s="1">
        <f>+D14</f>
        <v>10602.5</v>
      </c>
      <c r="I15" s="1">
        <f>+D14</f>
        <v>10602.5</v>
      </c>
      <c r="J15" s="1">
        <f>+D14</f>
        <v>10602.5</v>
      </c>
      <c r="K15" s="1">
        <f>+D14</f>
        <v>10602.5</v>
      </c>
      <c r="L15" s="1">
        <f>+D14</f>
        <v>10602.5</v>
      </c>
      <c r="M15" s="1">
        <f>+D14</f>
        <v>10602.5</v>
      </c>
      <c r="N15" s="1">
        <f>+D14</f>
        <v>10602.5</v>
      </c>
      <c r="O15" s="1">
        <f>+D14</f>
        <v>10602.5</v>
      </c>
      <c r="P15" s="1">
        <f>+D14</f>
        <v>10602.5</v>
      </c>
      <c r="Q15" s="1">
        <f>+D14</f>
        <v>10602.5</v>
      </c>
      <c r="R15" s="1">
        <f>+D14</f>
        <v>10602.5</v>
      </c>
      <c r="S15" s="1">
        <f>+D14</f>
        <v>10602.5</v>
      </c>
      <c r="T15" s="1">
        <f>+D14</f>
        <v>10602.5</v>
      </c>
      <c r="U15" s="1">
        <f>+D14</f>
        <v>10602.5</v>
      </c>
      <c r="V15" s="1">
        <f>+D14</f>
        <v>10602.5</v>
      </c>
      <c r="W15" s="1">
        <f>+D14</f>
        <v>10602.5</v>
      </c>
      <c r="X15" s="1">
        <f>+D14</f>
        <v>10602.5</v>
      </c>
      <c r="Y15" s="1">
        <f>+D14</f>
        <v>10602.5</v>
      </c>
      <c r="Z15" s="1">
        <f>+D14</f>
        <v>10602.5</v>
      </c>
      <c r="AA15" s="5">
        <f>+D14</f>
        <v>10602.5</v>
      </c>
      <c r="AB15" s="47">
        <f t="shared" si="1"/>
        <v>254460</v>
      </c>
      <c r="AC15" s="47">
        <v>4</v>
      </c>
      <c r="AD15" s="79"/>
      <c r="AE15" s="27" t="e">
        <f>+#REF!</f>
        <v>#REF!</v>
      </c>
    </row>
    <row r="16" spans="2:31">
      <c r="B16" s="76"/>
      <c r="C16" s="46" t="s">
        <v>7</v>
      </c>
      <c r="D16" s="1">
        <f>+D14</f>
        <v>10602.5</v>
      </c>
      <c r="E16" s="1">
        <f>+D14</f>
        <v>10602.5</v>
      </c>
      <c r="F16" s="1">
        <f>+D14</f>
        <v>10602.5</v>
      </c>
      <c r="G16" s="1">
        <f>+D14</f>
        <v>10602.5</v>
      </c>
      <c r="H16" s="1">
        <f>+D14</f>
        <v>10602.5</v>
      </c>
      <c r="I16" s="1">
        <f>+D14</f>
        <v>10602.5</v>
      </c>
      <c r="J16" s="1">
        <f>+D14</f>
        <v>10602.5</v>
      </c>
      <c r="K16" s="1">
        <f>+D14</f>
        <v>10602.5</v>
      </c>
      <c r="L16" s="1">
        <f>+D14</f>
        <v>10602.5</v>
      </c>
      <c r="M16" s="1">
        <f>+D14</f>
        <v>10602.5</v>
      </c>
      <c r="N16" s="1">
        <f>+D14</f>
        <v>10602.5</v>
      </c>
      <c r="O16" s="1">
        <f>+D14</f>
        <v>10602.5</v>
      </c>
      <c r="P16" s="1">
        <f>+D14</f>
        <v>10602.5</v>
      </c>
      <c r="Q16" s="1">
        <f>+D14</f>
        <v>10602.5</v>
      </c>
      <c r="R16" s="1">
        <f>+D14</f>
        <v>10602.5</v>
      </c>
      <c r="S16" s="1">
        <f>+D14</f>
        <v>10602.5</v>
      </c>
      <c r="T16" s="1">
        <f>+D14</f>
        <v>10602.5</v>
      </c>
      <c r="U16" s="1">
        <f>+D14</f>
        <v>10602.5</v>
      </c>
      <c r="V16" s="1">
        <f>+D14</f>
        <v>10602.5</v>
      </c>
      <c r="W16" s="1">
        <f>+D14</f>
        <v>10602.5</v>
      </c>
      <c r="X16" s="1">
        <f>+D14</f>
        <v>10602.5</v>
      </c>
      <c r="Y16" s="1">
        <f>+D14</f>
        <v>10602.5</v>
      </c>
      <c r="Z16" s="1">
        <f>+D14</f>
        <v>10602.5</v>
      </c>
      <c r="AA16" s="5">
        <f>+D14</f>
        <v>10602.5</v>
      </c>
      <c r="AB16" s="47">
        <f t="shared" si="1"/>
        <v>254460</v>
      </c>
      <c r="AC16" s="47">
        <v>4</v>
      </c>
      <c r="AD16" s="79"/>
      <c r="AE16" s="27" t="e">
        <f>+#REF!</f>
        <v>#REF!</v>
      </c>
    </row>
    <row r="17" spans="2:31" ht="15" thickBot="1">
      <c r="B17" s="76"/>
      <c r="C17" s="48" t="s">
        <v>8</v>
      </c>
      <c r="D17" s="3">
        <f>+D14</f>
        <v>10602.5</v>
      </c>
      <c r="E17" s="3">
        <f>+D14</f>
        <v>10602.5</v>
      </c>
      <c r="F17" s="3">
        <f>+D14</f>
        <v>10602.5</v>
      </c>
      <c r="G17" s="3">
        <f>+D14</f>
        <v>10602.5</v>
      </c>
      <c r="H17" s="3">
        <f>+D14</f>
        <v>10602.5</v>
      </c>
      <c r="I17" s="3">
        <f>+D14</f>
        <v>10602.5</v>
      </c>
      <c r="J17" s="3">
        <f>+D14</f>
        <v>10602.5</v>
      </c>
      <c r="K17" s="3">
        <f>+D14</f>
        <v>10602.5</v>
      </c>
      <c r="L17" s="3">
        <f>+D14</f>
        <v>10602.5</v>
      </c>
      <c r="M17" s="3">
        <f>+D14</f>
        <v>10602.5</v>
      </c>
      <c r="N17" s="3">
        <f>+D14</f>
        <v>10602.5</v>
      </c>
      <c r="O17" s="3">
        <f>+D14</f>
        <v>10602.5</v>
      </c>
      <c r="P17" s="3">
        <f>+D14</f>
        <v>10602.5</v>
      </c>
      <c r="Q17" s="3">
        <f>+D14</f>
        <v>10602.5</v>
      </c>
      <c r="R17" s="3">
        <f>+D14</f>
        <v>10602.5</v>
      </c>
      <c r="S17" s="3">
        <f>+D14</f>
        <v>10602.5</v>
      </c>
      <c r="T17" s="3">
        <f>+D14</f>
        <v>10602.5</v>
      </c>
      <c r="U17" s="3">
        <f>+D14</f>
        <v>10602.5</v>
      </c>
      <c r="V17" s="3">
        <f>+D14</f>
        <v>10602.5</v>
      </c>
      <c r="W17" s="3">
        <f>+D14</f>
        <v>10602.5</v>
      </c>
      <c r="X17" s="3">
        <f>+D14</f>
        <v>10602.5</v>
      </c>
      <c r="Y17" s="3">
        <f>+D14</f>
        <v>10602.5</v>
      </c>
      <c r="Z17" s="3">
        <f>+D14</f>
        <v>10602.5</v>
      </c>
      <c r="AA17" s="6">
        <f>+D14</f>
        <v>10602.5</v>
      </c>
      <c r="AB17" s="49">
        <f t="shared" si="1"/>
        <v>254460</v>
      </c>
      <c r="AC17" s="49">
        <v>3</v>
      </c>
      <c r="AD17" s="79"/>
      <c r="AE17" s="27" t="e">
        <f>+#REF!</f>
        <v>#REF!</v>
      </c>
    </row>
    <row r="18" spans="2:31">
      <c r="B18" s="76">
        <v>46478</v>
      </c>
      <c r="C18" s="44" t="s">
        <v>5</v>
      </c>
      <c r="D18" s="2">
        <v>11502.4</v>
      </c>
      <c r="E18" s="2">
        <f>+D18</f>
        <v>11502.4</v>
      </c>
      <c r="F18" s="2">
        <f>+D18</f>
        <v>11502.4</v>
      </c>
      <c r="G18" s="2">
        <f>+D18</f>
        <v>11502.4</v>
      </c>
      <c r="H18" s="2">
        <f>+D18</f>
        <v>11502.4</v>
      </c>
      <c r="I18" s="2">
        <f>+D18</f>
        <v>11502.4</v>
      </c>
      <c r="J18" s="2">
        <f>+D18</f>
        <v>11502.4</v>
      </c>
      <c r="K18" s="2">
        <f>+D18</f>
        <v>11502.4</v>
      </c>
      <c r="L18" s="2">
        <f>+D18</f>
        <v>11502.4</v>
      </c>
      <c r="M18" s="2">
        <f>+D18</f>
        <v>11502.4</v>
      </c>
      <c r="N18" s="2">
        <f>+D18</f>
        <v>11502.4</v>
      </c>
      <c r="O18" s="2">
        <f>+D18</f>
        <v>11502.4</v>
      </c>
      <c r="P18" s="2">
        <f>+D18</f>
        <v>11502.4</v>
      </c>
      <c r="Q18" s="2">
        <f>+D18</f>
        <v>11502.4</v>
      </c>
      <c r="R18" s="2">
        <f>+D18</f>
        <v>11502.4</v>
      </c>
      <c r="S18" s="2">
        <f>+D18</f>
        <v>11502.4</v>
      </c>
      <c r="T18" s="2">
        <f>+D18</f>
        <v>11502.4</v>
      </c>
      <c r="U18" s="2">
        <f>+D18</f>
        <v>11502.4</v>
      </c>
      <c r="V18" s="2">
        <f>+D18</f>
        <v>11502.4</v>
      </c>
      <c r="W18" s="2">
        <f>+D18</f>
        <v>11502.4</v>
      </c>
      <c r="X18" s="2">
        <f>+D18</f>
        <v>11502.4</v>
      </c>
      <c r="Y18" s="2">
        <f>+D18</f>
        <v>11502.4</v>
      </c>
      <c r="Z18" s="2">
        <f>+D18</f>
        <v>11502.4</v>
      </c>
      <c r="AA18" s="4">
        <f>+D18</f>
        <v>11502.4</v>
      </c>
      <c r="AB18" s="45">
        <f t="shared" si="1"/>
        <v>276057.59999999992</v>
      </c>
      <c r="AC18" s="45">
        <v>22</v>
      </c>
      <c r="AD18" s="79">
        <f>(AB18*AC18)+(AB19*AC19)+(AB20*AC20)+(AB21*AC21)</f>
        <v>8281727.9999999972</v>
      </c>
      <c r="AE18" s="27"/>
    </row>
    <row r="19" spans="2:31">
      <c r="B19" s="76"/>
      <c r="C19" s="46" t="s">
        <v>6</v>
      </c>
      <c r="D19" s="1">
        <f>+D18</f>
        <v>11502.4</v>
      </c>
      <c r="E19" s="1">
        <f>+D18</f>
        <v>11502.4</v>
      </c>
      <c r="F19" s="1">
        <f>+D18</f>
        <v>11502.4</v>
      </c>
      <c r="G19" s="1">
        <f>+D18</f>
        <v>11502.4</v>
      </c>
      <c r="H19" s="1">
        <f>+D18</f>
        <v>11502.4</v>
      </c>
      <c r="I19" s="1">
        <f>+D18</f>
        <v>11502.4</v>
      </c>
      <c r="J19" s="1">
        <f>+D18</f>
        <v>11502.4</v>
      </c>
      <c r="K19" s="1">
        <f>+D18</f>
        <v>11502.4</v>
      </c>
      <c r="L19" s="1">
        <f>+D18</f>
        <v>11502.4</v>
      </c>
      <c r="M19" s="1">
        <f>+D18</f>
        <v>11502.4</v>
      </c>
      <c r="N19" s="1">
        <f>+D18</f>
        <v>11502.4</v>
      </c>
      <c r="O19" s="1">
        <f>+D18</f>
        <v>11502.4</v>
      </c>
      <c r="P19" s="1">
        <f>+D18</f>
        <v>11502.4</v>
      </c>
      <c r="Q19" s="1">
        <f>+D18</f>
        <v>11502.4</v>
      </c>
      <c r="R19" s="1">
        <f>+D18</f>
        <v>11502.4</v>
      </c>
      <c r="S19" s="1">
        <f>+D18</f>
        <v>11502.4</v>
      </c>
      <c r="T19" s="1">
        <f>+D18</f>
        <v>11502.4</v>
      </c>
      <c r="U19" s="1">
        <f>+D18</f>
        <v>11502.4</v>
      </c>
      <c r="V19" s="1">
        <f>+D18</f>
        <v>11502.4</v>
      </c>
      <c r="W19" s="1">
        <f>+D18</f>
        <v>11502.4</v>
      </c>
      <c r="X19" s="1">
        <f>+D18</f>
        <v>11502.4</v>
      </c>
      <c r="Y19" s="1">
        <f>+D18</f>
        <v>11502.4</v>
      </c>
      <c r="Z19" s="1">
        <f>+D18</f>
        <v>11502.4</v>
      </c>
      <c r="AA19" s="5">
        <f>+D18</f>
        <v>11502.4</v>
      </c>
      <c r="AB19" s="47">
        <f t="shared" si="1"/>
        <v>276057.59999999992</v>
      </c>
      <c r="AC19" s="47">
        <v>4</v>
      </c>
      <c r="AD19" s="79"/>
      <c r="AE19" s="27"/>
    </row>
    <row r="20" spans="2:31">
      <c r="B20" s="76"/>
      <c r="C20" s="46" t="s">
        <v>7</v>
      </c>
      <c r="D20" s="1">
        <f>+D18</f>
        <v>11502.4</v>
      </c>
      <c r="E20" s="1">
        <f>+D18</f>
        <v>11502.4</v>
      </c>
      <c r="F20" s="1">
        <f>+D18</f>
        <v>11502.4</v>
      </c>
      <c r="G20" s="1">
        <f>+D18</f>
        <v>11502.4</v>
      </c>
      <c r="H20" s="1">
        <f>+D18</f>
        <v>11502.4</v>
      </c>
      <c r="I20" s="1">
        <f>+D18</f>
        <v>11502.4</v>
      </c>
      <c r="J20" s="1">
        <f>+D18</f>
        <v>11502.4</v>
      </c>
      <c r="K20" s="1">
        <f>+D18</f>
        <v>11502.4</v>
      </c>
      <c r="L20" s="1">
        <f>+D18</f>
        <v>11502.4</v>
      </c>
      <c r="M20" s="1">
        <f>+D18</f>
        <v>11502.4</v>
      </c>
      <c r="N20" s="1">
        <f>+D18</f>
        <v>11502.4</v>
      </c>
      <c r="O20" s="1">
        <f>+D18</f>
        <v>11502.4</v>
      </c>
      <c r="P20" s="1">
        <f>+D18</f>
        <v>11502.4</v>
      </c>
      <c r="Q20" s="1">
        <f>+D18</f>
        <v>11502.4</v>
      </c>
      <c r="R20" s="1">
        <f>+D18</f>
        <v>11502.4</v>
      </c>
      <c r="S20" s="1">
        <f>+D18</f>
        <v>11502.4</v>
      </c>
      <c r="T20" s="1">
        <f>+D18</f>
        <v>11502.4</v>
      </c>
      <c r="U20" s="1">
        <f>+D18</f>
        <v>11502.4</v>
      </c>
      <c r="V20" s="1">
        <f>+D18</f>
        <v>11502.4</v>
      </c>
      <c r="W20" s="1">
        <f>+D18</f>
        <v>11502.4</v>
      </c>
      <c r="X20" s="1">
        <f>+D18</f>
        <v>11502.4</v>
      </c>
      <c r="Y20" s="1">
        <f>+D18</f>
        <v>11502.4</v>
      </c>
      <c r="Z20" s="1">
        <f>+D18</f>
        <v>11502.4</v>
      </c>
      <c r="AA20" s="5">
        <f>+D18</f>
        <v>11502.4</v>
      </c>
      <c r="AB20" s="47">
        <f t="shared" si="1"/>
        <v>276057.59999999992</v>
      </c>
      <c r="AC20" s="47">
        <v>4</v>
      </c>
      <c r="AD20" s="79"/>
      <c r="AE20" s="27"/>
    </row>
    <row r="21" spans="2:31" ht="15" thickBot="1">
      <c r="B21" s="76"/>
      <c r="C21" s="48" t="s">
        <v>8</v>
      </c>
      <c r="D21" s="3">
        <f>+D18</f>
        <v>11502.4</v>
      </c>
      <c r="E21" s="3">
        <f>+D18</f>
        <v>11502.4</v>
      </c>
      <c r="F21" s="3">
        <f>+D18</f>
        <v>11502.4</v>
      </c>
      <c r="G21" s="3">
        <f>+D18</f>
        <v>11502.4</v>
      </c>
      <c r="H21" s="3">
        <f>+D18</f>
        <v>11502.4</v>
      </c>
      <c r="I21" s="3">
        <f>+D18</f>
        <v>11502.4</v>
      </c>
      <c r="J21" s="3">
        <f>+D18</f>
        <v>11502.4</v>
      </c>
      <c r="K21" s="3">
        <f>+D18</f>
        <v>11502.4</v>
      </c>
      <c r="L21" s="3">
        <f>+D18</f>
        <v>11502.4</v>
      </c>
      <c r="M21" s="3">
        <f>+D18</f>
        <v>11502.4</v>
      </c>
      <c r="N21" s="3">
        <f>+D18</f>
        <v>11502.4</v>
      </c>
      <c r="O21" s="3">
        <f>+D18</f>
        <v>11502.4</v>
      </c>
      <c r="P21" s="3">
        <f>+D18</f>
        <v>11502.4</v>
      </c>
      <c r="Q21" s="3">
        <f>+D18</f>
        <v>11502.4</v>
      </c>
      <c r="R21" s="3">
        <f>+D18</f>
        <v>11502.4</v>
      </c>
      <c r="S21" s="3">
        <f>+D18</f>
        <v>11502.4</v>
      </c>
      <c r="T21" s="3">
        <f>+D18</f>
        <v>11502.4</v>
      </c>
      <c r="U21" s="3">
        <f>+D18</f>
        <v>11502.4</v>
      </c>
      <c r="V21" s="3">
        <f>+D18</f>
        <v>11502.4</v>
      </c>
      <c r="W21" s="3">
        <f>+D18</f>
        <v>11502.4</v>
      </c>
      <c r="X21" s="3">
        <f>+D18</f>
        <v>11502.4</v>
      </c>
      <c r="Y21" s="3">
        <f>+D18</f>
        <v>11502.4</v>
      </c>
      <c r="Z21" s="3">
        <f>+D18</f>
        <v>11502.4</v>
      </c>
      <c r="AA21" s="6">
        <f>+D18</f>
        <v>11502.4</v>
      </c>
      <c r="AB21" s="49">
        <f t="shared" si="1"/>
        <v>276057.59999999992</v>
      </c>
      <c r="AC21" s="49">
        <v>0</v>
      </c>
      <c r="AD21" s="79"/>
      <c r="AE21" s="27"/>
    </row>
    <row r="22" spans="2:31">
      <c r="B22" s="76">
        <v>46508</v>
      </c>
      <c r="C22" s="44" t="s">
        <v>5</v>
      </c>
      <c r="D22" s="2">
        <v>6347.38</v>
      </c>
      <c r="E22" s="2">
        <f>+D22</f>
        <v>6347.38</v>
      </c>
      <c r="F22" s="2">
        <f>+D22</f>
        <v>6347.38</v>
      </c>
      <c r="G22" s="2">
        <f>+D22</f>
        <v>6347.38</v>
      </c>
      <c r="H22" s="2">
        <f>+D22</f>
        <v>6347.38</v>
      </c>
      <c r="I22" s="2">
        <f>+D22</f>
        <v>6347.38</v>
      </c>
      <c r="J22" s="2">
        <f>+D22</f>
        <v>6347.38</v>
      </c>
      <c r="K22" s="2">
        <f>+D22</f>
        <v>6347.38</v>
      </c>
      <c r="L22" s="2">
        <f>+D22</f>
        <v>6347.38</v>
      </c>
      <c r="M22" s="2">
        <f>+D22</f>
        <v>6347.38</v>
      </c>
      <c r="N22" s="2">
        <f>+D22</f>
        <v>6347.38</v>
      </c>
      <c r="O22" s="2">
        <f>+D22</f>
        <v>6347.38</v>
      </c>
      <c r="P22" s="2">
        <f>+D22</f>
        <v>6347.38</v>
      </c>
      <c r="Q22" s="2">
        <f>+D22</f>
        <v>6347.38</v>
      </c>
      <c r="R22" s="2">
        <f>+D22</f>
        <v>6347.38</v>
      </c>
      <c r="S22" s="2">
        <f>+D22</f>
        <v>6347.38</v>
      </c>
      <c r="T22" s="2">
        <f>+D22</f>
        <v>6347.38</v>
      </c>
      <c r="U22" s="2">
        <f>+D22</f>
        <v>6347.38</v>
      </c>
      <c r="V22" s="2">
        <f>+D22</f>
        <v>6347.38</v>
      </c>
      <c r="W22" s="2">
        <f>+D22</f>
        <v>6347.38</v>
      </c>
      <c r="X22" s="2">
        <f>+D22</f>
        <v>6347.38</v>
      </c>
      <c r="Y22" s="2">
        <f>+D22</f>
        <v>6347.38</v>
      </c>
      <c r="Z22" s="2">
        <f>+D22</f>
        <v>6347.38</v>
      </c>
      <c r="AA22" s="4">
        <f>+D22</f>
        <v>6347.38</v>
      </c>
      <c r="AB22" s="45">
        <f t="shared" si="1"/>
        <v>152337.12000000005</v>
      </c>
      <c r="AC22" s="45">
        <v>19</v>
      </c>
      <c r="AD22" s="79">
        <f>(AB22*AC22)+(AB23*AC23)+(AB24*AC24)+(AB25*AC25)</f>
        <v>4722450.7200000025</v>
      </c>
      <c r="AE22" s="27"/>
    </row>
    <row r="23" spans="2:31">
      <c r="B23" s="76"/>
      <c r="C23" s="46" t="s">
        <v>6</v>
      </c>
      <c r="D23" s="1">
        <f>+D22</f>
        <v>6347.38</v>
      </c>
      <c r="E23" s="1">
        <f>+D22</f>
        <v>6347.38</v>
      </c>
      <c r="F23" s="1">
        <f>+D22</f>
        <v>6347.38</v>
      </c>
      <c r="G23" s="1">
        <f>+D22</f>
        <v>6347.38</v>
      </c>
      <c r="H23" s="1">
        <f>+D22</f>
        <v>6347.38</v>
      </c>
      <c r="I23" s="1">
        <f>+D22</f>
        <v>6347.38</v>
      </c>
      <c r="J23" s="1">
        <f>+D22</f>
        <v>6347.38</v>
      </c>
      <c r="K23" s="1">
        <f>+D22</f>
        <v>6347.38</v>
      </c>
      <c r="L23" s="1">
        <f>+D22</f>
        <v>6347.38</v>
      </c>
      <c r="M23" s="1">
        <f>+D22</f>
        <v>6347.38</v>
      </c>
      <c r="N23" s="1">
        <f>+D22</f>
        <v>6347.38</v>
      </c>
      <c r="O23" s="1">
        <f>+D22</f>
        <v>6347.38</v>
      </c>
      <c r="P23" s="1">
        <f>+D22</f>
        <v>6347.38</v>
      </c>
      <c r="Q23" s="1">
        <f>+D22</f>
        <v>6347.38</v>
      </c>
      <c r="R23" s="1">
        <f>+D22</f>
        <v>6347.38</v>
      </c>
      <c r="S23" s="1">
        <f>+D22</f>
        <v>6347.38</v>
      </c>
      <c r="T23" s="1">
        <f>+D22</f>
        <v>6347.38</v>
      </c>
      <c r="U23" s="1">
        <f>+D22</f>
        <v>6347.38</v>
      </c>
      <c r="V23" s="1">
        <f>+D22</f>
        <v>6347.38</v>
      </c>
      <c r="W23" s="1">
        <f>+D22</f>
        <v>6347.38</v>
      </c>
      <c r="X23" s="1">
        <f>+D22</f>
        <v>6347.38</v>
      </c>
      <c r="Y23" s="1">
        <f>+D22</f>
        <v>6347.38</v>
      </c>
      <c r="Z23" s="1">
        <f>+D22</f>
        <v>6347.38</v>
      </c>
      <c r="AA23" s="5">
        <f>+D22</f>
        <v>6347.38</v>
      </c>
      <c r="AB23" s="47">
        <f t="shared" si="1"/>
        <v>152337.12000000005</v>
      </c>
      <c r="AC23" s="47">
        <v>4</v>
      </c>
      <c r="AD23" s="79"/>
      <c r="AE23" s="27"/>
    </row>
    <row r="24" spans="2:31">
      <c r="B24" s="76"/>
      <c r="C24" s="46" t="s">
        <v>7</v>
      </c>
      <c r="D24" s="1">
        <f>+D22</f>
        <v>6347.38</v>
      </c>
      <c r="E24" s="1">
        <f>+D22</f>
        <v>6347.38</v>
      </c>
      <c r="F24" s="1">
        <f>+D22</f>
        <v>6347.38</v>
      </c>
      <c r="G24" s="1">
        <f>+D22</f>
        <v>6347.38</v>
      </c>
      <c r="H24" s="1">
        <f>+D22</f>
        <v>6347.38</v>
      </c>
      <c r="I24" s="1">
        <f>+D22</f>
        <v>6347.38</v>
      </c>
      <c r="J24" s="1">
        <f>+D22</f>
        <v>6347.38</v>
      </c>
      <c r="K24" s="1">
        <f>+D22</f>
        <v>6347.38</v>
      </c>
      <c r="L24" s="1">
        <f>+D22</f>
        <v>6347.38</v>
      </c>
      <c r="M24" s="1">
        <f>+D22</f>
        <v>6347.38</v>
      </c>
      <c r="N24" s="1">
        <f>+D22</f>
        <v>6347.38</v>
      </c>
      <c r="O24" s="1">
        <f>+D22</f>
        <v>6347.38</v>
      </c>
      <c r="P24" s="1">
        <f>+D22</f>
        <v>6347.38</v>
      </c>
      <c r="Q24" s="1">
        <f>+D22</f>
        <v>6347.38</v>
      </c>
      <c r="R24" s="1">
        <f>+D22</f>
        <v>6347.38</v>
      </c>
      <c r="S24" s="1">
        <f>+D22</f>
        <v>6347.38</v>
      </c>
      <c r="T24" s="1">
        <f>+D22</f>
        <v>6347.38</v>
      </c>
      <c r="U24" s="1">
        <f>+D22</f>
        <v>6347.38</v>
      </c>
      <c r="V24" s="1">
        <f>+D22</f>
        <v>6347.38</v>
      </c>
      <c r="W24" s="1">
        <f>+D22</f>
        <v>6347.38</v>
      </c>
      <c r="X24" s="1">
        <f>+D22</f>
        <v>6347.38</v>
      </c>
      <c r="Y24" s="1">
        <f>+D22</f>
        <v>6347.38</v>
      </c>
      <c r="Z24" s="1">
        <f>+D22</f>
        <v>6347.38</v>
      </c>
      <c r="AA24" s="5">
        <f>+D22</f>
        <v>6347.38</v>
      </c>
      <c r="AB24" s="47">
        <f t="shared" si="1"/>
        <v>152337.12000000005</v>
      </c>
      <c r="AC24" s="47">
        <v>5</v>
      </c>
      <c r="AD24" s="79"/>
      <c r="AE24" s="27"/>
    </row>
    <row r="25" spans="2:31" ht="15" thickBot="1">
      <c r="B25" s="76"/>
      <c r="C25" s="48" t="s">
        <v>8</v>
      </c>
      <c r="D25" s="3">
        <f>+D22</f>
        <v>6347.38</v>
      </c>
      <c r="E25" s="3">
        <f>+D22</f>
        <v>6347.38</v>
      </c>
      <c r="F25" s="3">
        <f>+D22</f>
        <v>6347.38</v>
      </c>
      <c r="G25" s="3">
        <f>+D22</f>
        <v>6347.38</v>
      </c>
      <c r="H25" s="3">
        <f>+D22</f>
        <v>6347.38</v>
      </c>
      <c r="I25" s="3">
        <f>+D22</f>
        <v>6347.38</v>
      </c>
      <c r="J25" s="3">
        <f>+D22</f>
        <v>6347.38</v>
      </c>
      <c r="K25" s="3">
        <f>+D22</f>
        <v>6347.38</v>
      </c>
      <c r="L25" s="3">
        <f>+D22</f>
        <v>6347.38</v>
      </c>
      <c r="M25" s="3">
        <f>+D22</f>
        <v>6347.38</v>
      </c>
      <c r="N25" s="3">
        <f>+D22</f>
        <v>6347.38</v>
      </c>
      <c r="O25" s="3">
        <f>+D22</f>
        <v>6347.38</v>
      </c>
      <c r="P25" s="3">
        <f>+D22</f>
        <v>6347.38</v>
      </c>
      <c r="Q25" s="3">
        <f>+D22</f>
        <v>6347.38</v>
      </c>
      <c r="R25" s="3">
        <f>+D22</f>
        <v>6347.38</v>
      </c>
      <c r="S25" s="3">
        <f>+D22</f>
        <v>6347.38</v>
      </c>
      <c r="T25" s="3">
        <f>+D22</f>
        <v>6347.38</v>
      </c>
      <c r="U25" s="3">
        <f>+D22</f>
        <v>6347.38</v>
      </c>
      <c r="V25" s="3">
        <f>+D22</f>
        <v>6347.38</v>
      </c>
      <c r="W25" s="3">
        <f>+D22</f>
        <v>6347.38</v>
      </c>
      <c r="X25" s="3">
        <f>+D22</f>
        <v>6347.38</v>
      </c>
      <c r="Y25" s="3">
        <f>+D22</f>
        <v>6347.38</v>
      </c>
      <c r="Z25" s="3">
        <f>+D22</f>
        <v>6347.38</v>
      </c>
      <c r="AA25" s="6">
        <f>+D22</f>
        <v>6347.38</v>
      </c>
      <c r="AB25" s="49">
        <f t="shared" si="1"/>
        <v>152337.12000000005</v>
      </c>
      <c r="AC25" s="49">
        <v>3</v>
      </c>
      <c r="AD25" s="79"/>
      <c r="AE25" s="27"/>
    </row>
    <row r="26" spans="2:31">
      <c r="B26" s="76">
        <v>46539</v>
      </c>
      <c r="C26" s="44" t="s">
        <v>5</v>
      </c>
      <c r="D26" s="2">
        <v>7422.79</v>
      </c>
      <c r="E26" s="2">
        <f>+D26</f>
        <v>7422.79</v>
      </c>
      <c r="F26" s="2">
        <f>+D26</f>
        <v>7422.79</v>
      </c>
      <c r="G26" s="2">
        <f>+D26</f>
        <v>7422.79</v>
      </c>
      <c r="H26" s="2">
        <f>+D26</f>
        <v>7422.79</v>
      </c>
      <c r="I26" s="2">
        <f>+D26</f>
        <v>7422.79</v>
      </c>
      <c r="J26" s="2">
        <f>+D26</f>
        <v>7422.79</v>
      </c>
      <c r="K26" s="2">
        <f>+D26</f>
        <v>7422.79</v>
      </c>
      <c r="L26" s="2">
        <f>+D26</f>
        <v>7422.79</v>
      </c>
      <c r="M26" s="2">
        <f>+D26</f>
        <v>7422.79</v>
      </c>
      <c r="N26" s="2">
        <f>+D26</f>
        <v>7422.79</v>
      </c>
      <c r="O26" s="2">
        <f>+D26</f>
        <v>7422.79</v>
      </c>
      <c r="P26" s="2">
        <f>+D26</f>
        <v>7422.79</v>
      </c>
      <c r="Q26" s="2">
        <f>+D26</f>
        <v>7422.79</v>
      </c>
      <c r="R26" s="2">
        <f>+D26</f>
        <v>7422.79</v>
      </c>
      <c r="S26" s="2">
        <f>+D26</f>
        <v>7422.79</v>
      </c>
      <c r="T26" s="2">
        <f>+D26</f>
        <v>7422.79</v>
      </c>
      <c r="U26" s="2">
        <f>+D26</f>
        <v>7422.79</v>
      </c>
      <c r="V26" s="2">
        <f>+D26</f>
        <v>7422.79</v>
      </c>
      <c r="W26" s="2">
        <f>+D26</f>
        <v>7422.79</v>
      </c>
      <c r="X26" s="2">
        <f>+D26</f>
        <v>7422.79</v>
      </c>
      <c r="Y26" s="2">
        <f>+D26</f>
        <v>7422.79</v>
      </c>
      <c r="Z26" s="2">
        <f>+D26</f>
        <v>7422.79</v>
      </c>
      <c r="AA26" s="4">
        <f>+D26</f>
        <v>7422.79</v>
      </c>
      <c r="AB26" s="45">
        <f t="shared" si="1"/>
        <v>178146.96</v>
      </c>
      <c r="AC26" s="45">
        <v>21</v>
      </c>
      <c r="AD26" s="79">
        <f>(AB26*AC26)+(AB27*AC27)+(AB28*AC28)+(AB29*AC29)</f>
        <v>5344408.8</v>
      </c>
      <c r="AE26" s="27"/>
    </row>
    <row r="27" spans="2:31">
      <c r="B27" s="76"/>
      <c r="C27" s="46" t="s">
        <v>6</v>
      </c>
      <c r="D27" s="1">
        <f>+D26</f>
        <v>7422.79</v>
      </c>
      <c r="E27" s="1">
        <f>+D26</f>
        <v>7422.79</v>
      </c>
      <c r="F27" s="1">
        <f>+D26</f>
        <v>7422.79</v>
      </c>
      <c r="G27" s="1">
        <f>+D26</f>
        <v>7422.79</v>
      </c>
      <c r="H27" s="1">
        <f>+D26</f>
        <v>7422.79</v>
      </c>
      <c r="I27" s="1">
        <f>+D26</f>
        <v>7422.79</v>
      </c>
      <c r="J27" s="1">
        <f>+D26</f>
        <v>7422.79</v>
      </c>
      <c r="K27" s="1">
        <f>+D26</f>
        <v>7422.79</v>
      </c>
      <c r="L27" s="1">
        <f>+D26</f>
        <v>7422.79</v>
      </c>
      <c r="M27" s="1">
        <f>+D26</f>
        <v>7422.79</v>
      </c>
      <c r="N27" s="1">
        <f>+D26</f>
        <v>7422.79</v>
      </c>
      <c r="O27" s="1">
        <f>+D26</f>
        <v>7422.79</v>
      </c>
      <c r="P27" s="1">
        <f>+D26</f>
        <v>7422.79</v>
      </c>
      <c r="Q27" s="1">
        <f>+D26</f>
        <v>7422.79</v>
      </c>
      <c r="R27" s="1">
        <f>+D26</f>
        <v>7422.79</v>
      </c>
      <c r="S27" s="1">
        <f>+D26</f>
        <v>7422.79</v>
      </c>
      <c r="T27" s="1">
        <f>+D26</f>
        <v>7422.79</v>
      </c>
      <c r="U27" s="1">
        <f>+D26</f>
        <v>7422.79</v>
      </c>
      <c r="V27" s="1">
        <f>+D26</f>
        <v>7422.79</v>
      </c>
      <c r="W27" s="1">
        <f>+D26</f>
        <v>7422.79</v>
      </c>
      <c r="X27" s="1">
        <f>+D26</f>
        <v>7422.79</v>
      </c>
      <c r="Y27" s="1">
        <f>+D26</f>
        <v>7422.79</v>
      </c>
      <c r="Z27" s="1">
        <f>+D26</f>
        <v>7422.79</v>
      </c>
      <c r="AA27" s="5">
        <f>+D26</f>
        <v>7422.79</v>
      </c>
      <c r="AB27" s="47">
        <f t="shared" si="1"/>
        <v>178146.96</v>
      </c>
      <c r="AC27" s="47">
        <v>4</v>
      </c>
      <c r="AD27" s="79"/>
      <c r="AE27" s="27"/>
    </row>
    <row r="28" spans="2:31">
      <c r="B28" s="76"/>
      <c r="C28" s="46" t="s">
        <v>7</v>
      </c>
      <c r="D28" s="1">
        <f>+D26</f>
        <v>7422.79</v>
      </c>
      <c r="E28" s="1">
        <f>+D26</f>
        <v>7422.79</v>
      </c>
      <c r="F28" s="1">
        <f>+D26</f>
        <v>7422.79</v>
      </c>
      <c r="G28" s="1">
        <f>+D26</f>
        <v>7422.79</v>
      </c>
      <c r="H28" s="1">
        <f>+D26</f>
        <v>7422.79</v>
      </c>
      <c r="I28" s="1">
        <f>+D26</f>
        <v>7422.79</v>
      </c>
      <c r="J28" s="1">
        <f>+D26</f>
        <v>7422.79</v>
      </c>
      <c r="K28" s="1">
        <f>+D26</f>
        <v>7422.79</v>
      </c>
      <c r="L28" s="1">
        <f>+D26</f>
        <v>7422.79</v>
      </c>
      <c r="M28" s="1">
        <f>+D26</f>
        <v>7422.79</v>
      </c>
      <c r="N28" s="1">
        <f>+D26</f>
        <v>7422.79</v>
      </c>
      <c r="O28" s="1">
        <f>+D26</f>
        <v>7422.79</v>
      </c>
      <c r="P28" s="1">
        <f>+D26</f>
        <v>7422.79</v>
      </c>
      <c r="Q28" s="1">
        <f>+D26</f>
        <v>7422.79</v>
      </c>
      <c r="R28" s="1">
        <f>+D26</f>
        <v>7422.79</v>
      </c>
      <c r="S28" s="1">
        <f>+D26</f>
        <v>7422.79</v>
      </c>
      <c r="T28" s="1">
        <f>+D26</f>
        <v>7422.79</v>
      </c>
      <c r="U28" s="1">
        <f>+D26</f>
        <v>7422.79</v>
      </c>
      <c r="V28" s="1">
        <f>+D26</f>
        <v>7422.79</v>
      </c>
      <c r="W28" s="1">
        <f>+D26</f>
        <v>7422.79</v>
      </c>
      <c r="X28" s="1">
        <f>+D26</f>
        <v>7422.79</v>
      </c>
      <c r="Y28" s="1">
        <f>+D26</f>
        <v>7422.79</v>
      </c>
      <c r="Z28" s="1">
        <f>+D26</f>
        <v>7422.79</v>
      </c>
      <c r="AA28" s="5">
        <f>+D26</f>
        <v>7422.79</v>
      </c>
      <c r="AB28" s="47">
        <f t="shared" si="1"/>
        <v>178146.96</v>
      </c>
      <c r="AC28" s="47">
        <v>4</v>
      </c>
      <c r="AD28" s="79"/>
      <c r="AE28" s="27"/>
    </row>
    <row r="29" spans="2:31" ht="15" thickBot="1">
      <c r="B29" s="76"/>
      <c r="C29" s="48" t="s">
        <v>8</v>
      </c>
      <c r="D29" s="3">
        <f>+D26</f>
        <v>7422.79</v>
      </c>
      <c r="E29" s="3">
        <f>+D26</f>
        <v>7422.79</v>
      </c>
      <c r="F29" s="3">
        <f>+D26</f>
        <v>7422.79</v>
      </c>
      <c r="G29" s="3">
        <f>+D26</f>
        <v>7422.79</v>
      </c>
      <c r="H29" s="3">
        <f>+D26</f>
        <v>7422.79</v>
      </c>
      <c r="I29" s="3">
        <f>+D26</f>
        <v>7422.79</v>
      </c>
      <c r="J29" s="3">
        <f>+D26</f>
        <v>7422.79</v>
      </c>
      <c r="K29" s="3">
        <f>+D26</f>
        <v>7422.79</v>
      </c>
      <c r="L29" s="3">
        <f>+D26</f>
        <v>7422.79</v>
      </c>
      <c r="M29" s="3">
        <f>+D26</f>
        <v>7422.79</v>
      </c>
      <c r="N29" s="3">
        <f>+D26</f>
        <v>7422.79</v>
      </c>
      <c r="O29" s="3">
        <f>+D26</f>
        <v>7422.79</v>
      </c>
      <c r="P29" s="3">
        <f>+D26</f>
        <v>7422.79</v>
      </c>
      <c r="Q29" s="3">
        <f>+D26</f>
        <v>7422.79</v>
      </c>
      <c r="R29" s="3">
        <f>+D26</f>
        <v>7422.79</v>
      </c>
      <c r="S29" s="3">
        <f>+D26</f>
        <v>7422.79</v>
      </c>
      <c r="T29" s="3">
        <f>+D26</f>
        <v>7422.79</v>
      </c>
      <c r="U29" s="3">
        <f>+D26</f>
        <v>7422.79</v>
      </c>
      <c r="V29" s="3">
        <f>+D26</f>
        <v>7422.79</v>
      </c>
      <c r="W29" s="3">
        <f>+D26</f>
        <v>7422.79</v>
      </c>
      <c r="X29" s="3">
        <f>+D26</f>
        <v>7422.79</v>
      </c>
      <c r="Y29" s="3">
        <f>+D26</f>
        <v>7422.79</v>
      </c>
      <c r="Z29" s="3">
        <f>+D26</f>
        <v>7422.79</v>
      </c>
      <c r="AA29" s="6">
        <f>+D26</f>
        <v>7422.79</v>
      </c>
      <c r="AB29" s="49">
        <f t="shared" si="1"/>
        <v>178146.96</v>
      </c>
      <c r="AC29" s="49">
        <v>1</v>
      </c>
      <c r="AD29" s="79"/>
      <c r="AE29" s="27"/>
    </row>
    <row r="30" spans="2:31">
      <c r="B30" s="76">
        <v>46569</v>
      </c>
      <c r="C30" s="44" t="s">
        <v>5</v>
      </c>
      <c r="D30" s="2">
        <v>6262.47</v>
      </c>
      <c r="E30" s="2">
        <f>+D30</f>
        <v>6262.47</v>
      </c>
      <c r="F30" s="2">
        <f>+D30</f>
        <v>6262.47</v>
      </c>
      <c r="G30" s="2">
        <f>+D30</f>
        <v>6262.47</v>
      </c>
      <c r="H30" s="2">
        <f>+D30</f>
        <v>6262.47</v>
      </c>
      <c r="I30" s="2">
        <f>+D30</f>
        <v>6262.47</v>
      </c>
      <c r="J30" s="2">
        <f>+D30</f>
        <v>6262.47</v>
      </c>
      <c r="K30" s="2">
        <f>+D30</f>
        <v>6262.47</v>
      </c>
      <c r="L30" s="2">
        <f>+D30</f>
        <v>6262.47</v>
      </c>
      <c r="M30" s="2">
        <f>+D30</f>
        <v>6262.47</v>
      </c>
      <c r="N30" s="2">
        <f>+D30</f>
        <v>6262.47</v>
      </c>
      <c r="O30" s="2">
        <f>+D30</f>
        <v>6262.47</v>
      </c>
      <c r="P30" s="2">
        <f>+D30</f>
        <v>6262.47</v>
      </c>
      <c r="Q30" s="2">
        <f>+D30</f>
        <v>6262.47</v>
      </c>
      <c r="R30" s="2">
        <f>+D30</f>
        <v>6262.47</v>
      </c>
      <c r="S30" s="2">
        <f>+D30</f>
        <v>6262.47</v>
      </c>
      <c r="T30" s="2">
        <f>+D30</f>
        <v>6262.47</v>
      </c>
      <c r="U30" s="2">
        <f>+D30</f>
        <v>6262.47</v>
      </c>
      <c r="V30" s="2">
        <f>+D30</f>
        <v>6262.47</v>
      </c>
      <c r="W30" s="2">
        <f>+D30</f>
        <v>6262.47</v>
      </c>
      <c r="X30" s="2">
        <f>+D30</f>
        <v>6262.47</v>
      </c>
      <c r="Y30" s="2">
        <f>+D30</f>
        <v>6262.47</v>
      </c>
      <c r="Z30" s="2">
        <f>+D30</f>
        <v>6262.47</v>
      </c>
      <c r="AA30" s="4">
        <f>+D30</f>
        <v>6262.47</v>
      </c>
      <c r="AB30" s="45">
        <f t="shared" si="1"/>
        <v>150299.28</v>
      </c>
      <c r="AC30" s="45">
        <v>20</v>
      </c>
      <c r="AD30" s="79">
        <f>(AB30*AC30)+(AB31*AC31)+(AB32*AC32)+(AB33*AC33)</f>
        <v>4659277.68</v>
      </c>
      <c r="AE30" s="27"/>
    </row>
    <row r="31" spans="2:31">
      <c r="B31" s="76"/>
      <c r="C31" s="46" t="s">
        <v>6</v>
      </c>
      <c r="D31" s="1">
        <f>+D30</f>
        <v>6262.47</v>
      </c>
      <c r="E31" s="1">
        <f>+D30</f>
        <v>6262.47</v>
      </c>
      <c r="F31" s="1">
        <f>+D30</f>
        <v>6262.47</v>
      </c>
      <c r="G31" s="1">
        <f>+D30</f>
        <v>6262.47</v>
      </c>
      <c r="H31" s="1">
        <f>+D30</f>
        <v>6262.47</v>
      </c>
      <c r="I31" s="1">
        <f>+D30</f>
        <v>6262.47</v>
      </c>
      <c r="J31" s="1">
        <f>+D30</f>
        <v>6262.47</v>
      </c>
      <c r="K31" s="1">
        <f>+D30</f>
        <v>6262.47</v>
      </c>
      <c r="L31" s="1">
        <f>+D30</f>
        <v>6262.47</v>
      </c>
      <c r="M31" s="1">
        <f>+D30</f>
        <v>6262.47</v>
      </c>
      <c r="N31" s="1">
        <f>+D30</f>
        <v>6262.47</v>
      </c>
      <c r="O31" s="1">
        <f>+D30</f>
        <v>6262.47</v>
      </c>
      <c r="P31" s="1">
        <f>+D30</f>
        <v>6262.47</v>
      </c>
      <c r="Q31" s="1">
        <f>+D30</f>
        <v>6262.47</v>
      </c>
      <c r="R31" s="1">
        <f>+D30</f>
        <v>6262.47</v>
      </c>
      <c r="S31" s="1">
        <f>+D30</f>
        <v>6262.47</v>
      </c>
      <c r="T31" s="1">
        <f>+D30</f>
        <v>6262.47</v>
      </c>
      <c r="U31" s="1">
        <f>+D30</f>
        <v>6262.47</v>
      </c>
      <c r="V31" s="1">
        <f>+D30</f>
        <v>6262.47</v>
      </c>
      <c r="W31" s="1">
        <f>+D30</f>
        <v>6262.47</v>
      </c>
      <c r="X31" s="1">
        <f>+D30</f>
        <v>6262.47</v>
      </c>
      <c r="Y31" s="1">
        <f>+D30</f>
        <v>6262.47</v>
      </c>
      <c r="Z31" s="1">
        <f>+D30</f>
        <v>6262.47</v>
      </c>
      <c r="AA31" s="5">
        <f>+D30</f>
        <v>6262.47</v>
      </c>
      <c r="AB31" s="47">
        <f t="shared" si="1"/>
        <v>150299.28</v>
      </c>
      <c r="AC31" s="47">
        <v>5</v>
      </c>
      <c r="AD31" s="79"/>
      <c r="AE31" s="27"/>
    </row>
    <row r="32" spans="2:31">
      <c r="B32" s="76"/>
      <c r="C32" s="46" t="s">
        <v>4</v>
      </c>
      <c r="D32" s="1">
        <f>+D30</f>
        <v>6262.47</v>
      </c>
      <c r="E32" s="1">
        <f>+D30</f>
        <v>6262.47</v>
      </c>
      <c r="F32" s="1">
        <f>+D30</f>
        <v>6262.47</v>
      </c>
      <c r="G32" s="1">
        <f>+D30</f>
        <v>6262.47</v>
      </c>
      <c r="H32" s="1">
        <f>+D30</f>
        <v>6262.47</v>
      </c>
      <c r="I32" s="1">
        <f>+D30</f>
        <v>6262.47</v>
      </c>
      <c r="J32" s="1">
        <f>+D30</f>
        <v>6262.47</v>
      </c>
      <c r="K32" s="1">
        <f>+D30</f>
        <v>6262.47</v>
      </c>
      <c r="L32" s="1">
        <f>+D30</f>
        <v>6262.47</v>
      </c>
      <c r="M32" s="1">
        <f>+D30</f>
        <v>6262.47</v>
      </c>
      <c r="N32" s="1">
        <f>+D30</f>
        <v>6262.47</v>
      </c>
      <c r="O32" s="1">
        <f>+D30</f>
        <v>6262.47</v>
      </c>
      <c r="P32" s="1">
        <f>+D30</f>
        <v>6262.47</v>
      </c>
      <c r="Q32" s="1">
        <f>+D30</f>
        <v>6262.47</v>
      </c>
      <c r="R32" s="1">
        <f>+D30</f>
        <v>6262.47</v>
      </c>
      <c r="S32" s="1">
        <f>+D30</f>
        <v>6262.47</v>
      </c>
      <c r="T32" s="1">
        <f>+D30</f>
        <v>6262.47</v>
      </c>
      <c r="U32" s="1">
        <f>+D30</f>
        <v>6262.47</v>
      </c>
      <c r="V32" s="1">
        <f>+D30</f>
        <v>6262.47</v>
      </c>
      <c r="W32" s="1">
        <f>+D30</f>
        <v>6262.47</v>
      </c>
      <c r="X32" s="1">
        <f>+D30</f>
        <v>6262.47</v>
      </c>
      <c r="Y32" s="1">
        <f>+D30</f>
        <v>6262.47</v>
      </c>
      <c r="Z32" s="1">
        <f>+D30</f>
        <v>6262.47</v>
      </c>
      <c r="AA32" s="5">
        <f>+D30</f>
        <v>6262.47</v>
      </c>
      <c r="AB32" s="47">
        <f t="shared" si="1"/>
        <v>150299.28</v>
      </c>
      <c r="AC32" s="47">
        <v>4</v>
      </c>
      <c r="AD32" s="79"/>
      <c r="AE32" s="27"/>
    </row>
    <row r="33" spans="2:31" ht="15" thickBot="1">
      <c r="B33" s="76"/>
      <c r="C33" s="48" t="s">
        <v>8</v>
      </c>
      <c r="D33" s="3">
        <f>+D30</f>
        <v>6262.47</v>
      </c>
      <c r="E33" s="3">
        <f>+D30</f>
        <v>6262.47</v>
      </c>
      <c r="F33" s="3">
        <f>+D30</f>
        <v>6262.47</v>
      </c>
      <c r="G33" s="3">
        <f>+D30</f>
        <v>6262.47</v>
      </c>
      <c r="H33" s="3">
        <f>+D30</f>
        <v>6262.47</v>
      </c>
      <c r="I33" s="3">
        <f>+D30</f>
        <v>6262.47</v>
      </c>
      <c r="J33" s="3">
        <f>+D30</f>
        <v>6262.47</v>
      </c>
      <c r="K33" s="3">
        <f>+D30</f>
        <v>6262.47</v>
      </c>
      <c r="L33" s="3">
        <f>+D30</f>
        <v>6262.47</v>
      </c>
      <c r="M33" s="3">
        <f>+D30</f>
        <v>6262.47</v>
      </c>
      <c r="N33" s="3">
        <f>+D30</f>
        <v>6262.47</v>
      </c>
      <c r="O33" s="3">
        <f>+D30</f>
        <v>6262.47</v>
      </c>
      <c r="P33" s="3">
        <f>+D30</f>
        <v>6262.47</v>
      </c>
      <c r="Q33" s="3">
        <f>+D30</f>
        <v>6262.47</v>
      </c>
      <c r="R33" s="3">
        <f>+D30</f>
        <v>6262.47</v>
      </c>
      <c r="S33" s="3">
        <f>+D30</f>
        <v>6262.47</v>
      </c>
      <c r="T33" s="3">
        <f>+D30</f>
        <v>6262.47</v>
      </c>
      <c r="U33" s="3">
        <f>+D30</f>
        <v>6262.47</v>
      </c>
      <c r="V33" s="3">
        <f>+D30</f>
        <v>6262.47</v>
      </c>
      <c r="W33" s="3">
        <f>+D30</f>
        <v>6262.47</v>
      </c>
      <c r="X33" s="3">
        <f>+D30</f>
        <v>6262.47</v>
      </c>
      <c r="Y33" s="3">
        <f>+D30</f>
        <v>6262.47</v>
      </c>
      <c r="Z33" s="3">
        <f>+D30</f>
        <v>6262.47</v>
      </c>
      <c r="AA33" s="6">
        <f>+D30</f>
        <v>6262.47</v>
      </c>
      <c r="AB33" s="49">
        <f t="shared" si="1"/>
        <v>150299.28</v>
      </c>
      <c r="AC33" s="49">
        <v>2</v>
      </c>
      <c r="AD33" s="79"/>
      <c r="AE33" s="27"/>
    </row>
    <row r="34" spans="2:31" ht="15" thickBot="1">
      <c r="AD34" s="72">
        <f>SUM(AD6:AD33)</f>
        <v>47337165.600000001</v>
      </c>
    </row>
    <row r="36" spans="2:31">
      <c r="AD36" s="33"/>
    </row>
    <row r="37" spans="2:31">
      <c r="D37" s="73"/>
    </row>
  </sheetData>
  <mergeCells count="17">
    <mergeCell ref="B10:B13"/>
    <mergeCell ref="AD10:AD13"/>
    <mergeCell ref="B2:AB2"/>
    <mergeCell ref="B3:AB3"/>
    <mergeCell ref="B4:AB4"/>
    <mergeCell ref="B6:B9"/>
    <mergeCell ref="AD6:AD9"/>
    <mergeCell ref="B26:B29"/>
    <mergeCell ref="AD26:AD29"/>
    <mergeCell ref="B30:B33"/>
    <mergeCell ref="AD30:AD33"/>
    <mergeCell ref="B14:B17"/>
    <mergeCell ref="AD14:AD17"/>
    <mergeCell ref="B18:B21"/>
    <mergeCell ref="AD18:AD21"/>
    <mergeCell ref="B22:B25"/>
    <mergeCell ref="AD22:AD25"/>
  </mergeCells>
  <conditionalFormatting sqref="D6:AA3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3DAE-201A-4D3F-9EFB-F7979A403BF8}">
  <dimension ref="B3:M28"/>
  <sheetViews>
    <sheetView showGridLines="0" tabSelected="1" zoomScale="90" zoomScaleNormal="90" workbookViewId="0">
      <selection activeCell="F27" sqref="F27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3.26953125" style="8" customWidth="1"/>
    <col min="7" max="7" width="11.453125" style="8"/>
    <col min="8" max="8" width="12.6328125" style="26" bestFit="1" customWidth="1"/>
    <col min="9" max="9" width="11.453125" style="29"/>
    <col min="10" max="11" width="16.36328125" style="8" bestFit="1" customWidth="1"/>
    <col min="12" max="16384" width="11.453125" style="8"/>
  </cols>
  <sheetData>
    <row r="3" spans="2:13" ht="15" thickBot="1"/>
    <row r="4" spans="2:13">
      <c r="B4" s="108" t="s">
        <v>42</v>
      </c>
      <c r="C4" s="109"/>
      <c r="D4" s="109"/>
      <c r="E4" s="109"/>
      <c r="F4" s="109"/>
      <c r="G4" s="110"/>
    </row>
    <row r="5" spans="2:13">
      <c r="B5" s="111" t="s">
        <v>9</v>
      </c>
      <c r="C5" s="112"/>
      <c r="D5" s="112"/>
      <c r="E5" s="112"/>
      <c r="F5" s="112"/>
      <c r="G5" s="113"/>
    </row>
    <row r="6" spans="2:13">
      <c r="B6" s="114" t="s">
        <v>10</v>
      </c>
      <c r="C6" s="115"/>
      <c r="D6" s="115"/>
      <c r="E6" s="115"/>
      <c r="F6" s="115"/>
      <c r="G6" s="116"/>
    </row>
    <row r="7" spans="2:13" ht="15" thickBot="1">
      <c r="B7" s="117" t="s">
        <v>46</v>
      </c>
      <c r="C7" s="118"/>
      <c r="D7" s="118"/>
      <c r="E7" s="118"/>
      <c r="F7" s="118"/>
      <c r="G7" s="119"/>
    </row>
    <row r="8" spans="2:13" ht="15" thickBot="1">
      <c r="B8" s="120" t="s">
        <v>41</v>
      </c>
      <c r="C8" s="121"/>
      <c r="D8" s="121"/>
      <c r="E8" s="121"/>
      <c r="F8" s="121"/>
      <c r="G8" s="122"/>
    </row>
    <row r="9" spans="2:13">
      <c r="B9" s="50">
        <v>2027</v>
      </c>
      <c r="C9" s="51" t="s">
        <v>25</v>
      </c>
      <c r="D9" s="52">
        <f>+'Producto 3 Plano 27'!AE6</f>
        <v>8098328.4000000013</v>
      </c>
      <c r="E9" s="74"/>
      <c r="F9" s="53">
        <f t="shared" ref="F9:F15" si="0">+E9*D9</f>
        <v>0</v>
      </c>
      <c r="G9" s="54"/>
      <c r="H9" s="32"/>
      <c r="I9" s="30"/>
    </row>
    <row r="10" spans="2:13">
      <c r="B10" s="55">
        <f t="shared" ref="B10:B20" si="1">+B9</f>
        <v>2027</v>
      </c>
      <c r="C10" s="56" t="s">
        <v>26</v>
      </c>
      <c r="D10" s="57">
        <f>+'Producto 3 Plano 27'!AE7</f>
        <v>8342712</v>
      </c>
      <c r="E10" s="74"/>
      <c r="F10" s="58">
        <f t="shared" si="0"/>
        <v>0</v>
      </c>
      <c r="G10" s="59"/>
    </row>
    <row r="11" spans="2:13">
      <c r="B11" s="55">
        <f t="shared" si="1"/>
        <v>2027</v>
      </c>
      <c r="C11" s="56" t="s">
        <v>27</v>
      </c>
      <c r="D11" s="57">
        <f>+'Producto 3 Plano 27'!AE8</f>
        <v>7888260</v>
      </c>
      <c r="E11" s="74"/>
      <c r="F11" s="58">
        <f t="shared" si="0"/>
        <v>0</v>
      </c>
      <c r="G11" s="59"/>
    </row>
    <row r="12" spans="2:13">
      <c r="B12" s="55">
        <f t="shared" si="1"/>
        <v>2027</v>
      </c>
      <c r="C12" s="56" t="s">
        <v>28</v>
      </c>
      <c r="D12" s="57">
        <f>+'Producto 3 Plano 27'!AE9</f>
        <v>8281727.9999999972</v>
      </c>
      <c r="E12" s="74"/>
      <c r="F12" s="58">
        <f t="shared" si="0"/>
        <v>0</v>
      </c>
      <c r="G12" s="59"/>
      <c r="I12" s="60"/>
      <c r="J12" s="61"/>
      <c r="K12" s="62"/>
      <c r="M12" s="62"/>
    </row>
    <row r="13" spans="2:13">
      <c r="B13" s="55">
        <f t="shared" si="1"/>
        <v>2027</v>
      </c>
      <c r="C13" s="56" t="s">
        <v>29</v>
      </c>
      <c r="D13" s="57">
        <f>+'Producto 3 Plano 27'!AE10</f>
        <v>4722450.7200000025</v>
      </c>
      <c r="E13" s="74"/>
      <c r="F13" s="58">
        <f t="shared" si="0"/>
        <v>0</v>
      </c>
      <c r="G13" s="59"/>
      <c r="I13" s="60"/>
      <c r="J13" s="61"/>
      <c r="K13" s="34"/>
      <c r="M13" s="62"/>
    </row>
    <row r="14" spans="2:13">
      <c r="B14" s="55">
        <f t="shared" si="1"/>
        <v>2027</v>
      </c>
      <c r="C14" s="56" t="s">
        <v>18</v>
      </c>
      <c r="D14" s="57">
        <f>+'Producto 3 Plano 27'!AE11</f>
        <v>5344408.8</v>
      </c>
      <c r="E14" s="74"/>
      <c r="F14" s="58">
        <f t="shared" si="0"/>
        <v>0</v>
      </c>
      <c r="G14" s="59"/>
      <c r="I14" s="60"/>
      <c r="J14" s="61"/>
      <c r="K14" s="62"/>
      <c r="M14" s="62"/>
    </row>
    <row r="15" spans="2:13">
      <c r="B15" s="55">
        <f t="shared" si="1"/>
        <v>2027</v>
      </c>
      <c r="C15" s="56" t="s">
        <v>19</v>
      </c>
      <c r="D15" s="57">
        <f>+'Producto 3 Plano 27'!AE12</f>
        <v>4659277.68</v>
      </c>
      <c r="E15" s="74"/>
      <c r="F15" s="58">
        <f t="shared" si="0"/>
        <v>0</v>
      </c>
      <c r="G15" s="59"/>
      <c r="I15" s="60"/>
      <c r="J15" s="61"/>
      <c r="K15" s="62"/>
      <c r="M15" s="62"/>
    </row>
    <row r="16" spans="2:13">
      <c r="B16" s="55">
        <f t="shared" si="1"/>
        <v>2027</v>
      </c>
      <c r="C16" s="56" t="s">
        <v>20</v>
      </c>
      <c r="D16" s="57">
        <v>0</v>
      </c>
      <c r="E16" s="74"/>
      <c r="F16" s="58">
        <f t="shared" ref="F16:F20" si="2">+E16*D16</f>
        <v>0</v>
      </c>
      <c r="G16" s="59"/>
      <c r="I16" s="60"/>
      <c r="J16" s="61"/>
      <c r="K16" s="62"/>
      <c r="M16" s="62"/>
    </row>
    <row r="17" spans="2:13">
      <c r="B17" s="55">
        <f t="shared" si="1"/>
        <v>2027</v>
      </c>
      <c r="C17" s="56" t="s">
        <v>21</v>
      </c>
      <c r="D17" s="57">
        <v>0</v>
      </c>
      <c r="E17" s="74"/>
      <c r="F17" s="58">
        <f t="shared" si="2"/>
        <v>0</v>
      </c>
      <c r="G17" s="59"/>
      <c r="I17" s="60"/>
      <c r="J17" s="61"/>
      <c r="K17" s="62"/>
      <c r="M17" s="62"/>
    </row>
    <row r="18" spans="2:13">
      <c r="B18" s="55">
        <f t="shared" si="1"/>
        <v>2027</v>
      </c>
      <c r="C18" s="56" t="s">
        <v>22</v>
      </c>
      <c r="D18" s="57">
        <v>0</v>
      </c>
      <c r="E18" s="74"/>
      <c r="F18" s="58">
        <f t="shared" si="2"/>
        <v>0</v>
      </c>
      <c r="G18" s="59"/>
      <c r="I18" s="60"/>
      <c r="J18" s="61"/>
      <c r="K18" s="62"/>
      <c r="M18" s="62"/>
    </row>
    <row r="19" spans="2:13">
      <c r="B19" s="55">
        <f t="shared" si="1"/>
        <v>2027</v>
      </c>
      <c r="C19" s="56" t="s">
        <v>23</v>
      </c>
      <c r="D19" s="57">
        <v>0</v>
      </c>
      <c r="E19" s="74"/>
      <c r="F19" s="58">
        <f t="shared" si="2"/>
        <v>0</v>
      </c>
      <c r="G19" s="59"/>
      <c r="I19" s="60"/>
      <c r="J19" s="61"/>
      <c r="K19" s="62"/>
      <c r="M19" s="62"/>
    </row>
    <row r="20" spans="2:13" ht="15" thickBot="1">
      <c r="B20" s="63">
        <f t="shared" si="1"/>
        <v>2027</v>
      </c>
      <c r="C20" s="64" t="s">
        <v>24</v>
      </c>
      <c r="D20" s="65">
        <v>0</v>
      </c>
      <c r="E20" s="75"/>
      <c r="F20" s="66">
        <f t="shared" si="2"/>
        <v>0</v>
      </c>
      <c r="G20" s="67"/>
      <c r="I20" s="60"/>
      <c r="J20" s="61"/>
      <c r="K20" s="62"/>
      <c r="M20" s="62"/>
    </row>
    <row r="21" spans="2:13" ht="15" thickBot="1">
      <c r="B21" s="106" t="s">
        <v>43</v>
      </c>
      <c r="C21" s="107"/>
      <c r="D21" s="24">
        <f>+SUM(D9:D20)</f>
        <v>47337165.600000001</v>
      </c>
      <c r="J21" s="31"/>
      <c r="K21" s="68"/>
    </row>
    <row r="23" spans="2:13">
      <c r="B23" s="8" t="s">
        <v>30</v>
      </c>
    </row>
    <row r="24" spans="2:13">
      <c r="B24" s="8" t="s">
        <v>31</v>
      </c>
    </row>
    <row r="25" spans="2:13">
      <c r="B25" s="8" t="s">
        <v>32</v>
      </c>
    </row>
    <row r="26" spans="2:13">
      <c r="B26" s="8" t="s">
        <v>33</v>
      </c>
    </row>
    <row r="28" spans="2:13">
      <c r="D28" s="25"/>
    </row>
  </sheetData>
  <mergeCells count="6">
    <mergeCell ref="B21:C21"/>
    <mergeCell ref="B4:G4"/>
    <mergeCell ref="B5:G5"/>
    <mergeCell ref="B6:G6"/>
    <mergeCell ref="B7:G7"/>
    <mergeCell ref="B8:G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1 Plano 26</vt:lpstr>
      <vt:lpstr>Anexo 2 Producto 1</vt:lpstr>
      <vt:lpstr>Producto 2 Plano 26</vt:lpstr>
      <vt:lpstr>Anexo 2 Producto 2</vt:lpstr>
      <vt:lpstr>Producto 3 Plano 27</vt:lpstr>
      <vt:lpstr>Anexo 2 Producto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Kelly Johana Muñoz Novoa</cp:lastModifiedBy>
  <dcterms:created xsi:type="dcterms:W3CDTF">2021-03-30T14:28:44Z</dcterms:created>
  <dcterms:modified xsi:type="dcterms:W3CDTF">2026-07-29T00:38:14Z</dcterms:modified>
</cp:coreProperties>
</file>