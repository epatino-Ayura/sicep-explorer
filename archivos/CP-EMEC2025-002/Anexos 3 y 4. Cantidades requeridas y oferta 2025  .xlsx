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meesa\programas\Comercial\Regulado\Licitacion 2025-2026-2027\"/>
    </mc:Choice>
  </mc:AlternateContent>
  <bookViews>
    <workbookView xWindow="0" yWindow="0" windowWidth="20385" windowHeight="7440" activeTab="2"/>
  </bookViews>
  <sheets>
    <sheet name="Cant. Requeridas- dia. " sheetId="1" r:id="rId1"/>
    <sheet name="Oferta " sheetId="2" r:id="rId2"/>
    <sheet name="Cant. Requeridas Producto. " sheetId="7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C26" i="2" s="1"/>
  <c r="E23" i="2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7" i="7"/>
  <c r="C25" i="2"/>
  <c r="C24" i="2"/>
  <c r="AA12" i="1"/>
  <c r="Z22" i="1"/>
  <c r="Z17" i="1"/>
  <c r="Z12" i="1"/>
  <c r="AA38" i="7" l="1"/>
  <c r="AA22" i="1"/>
  <c r="AA17" i="1"/>
  <c r="E17" i="2"/>
  <c r="E18" i="2"/>
  <c r="E15" i="2"/>
  <c r="E19" i="2"/>
  <c r="E16" i="2"/>
  <c r="E20" i="2" l="1"/>
  <c r="E26" i="2" s="1"/>
</calcChain>
</file>

<file path=xl/sharedStrings.xml><?xml version="1.0" encoding="utf-8"?>
<sst xmlns="http://schemas.openxmlformats.org/spreadsheetml/2006/main" count="144" uniqueCount="56">
  <si>
    <t>Mes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</si>
  <si>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</si>
  <si>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</si>
  <si>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</si>
  <si>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</si>
  <si>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</si>
  <si>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</si>
  <si>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</si>
  <si>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</si>
  <si>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</si>
  <si>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</si>
  <si>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</si>
  <si>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</si>
  <si>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</si>
  <si>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</si>
  <si>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</si>
  <si>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</si>
  <si>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TOTAL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</si>
  <si>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</si>
  <si>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</si>
  <si>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</si>
  <si>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</si>
  <si>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</si>
  <si>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</si>
  <si>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</si>
  <si>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</si>
  <si>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</si>
  <si>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% E. Ofertado</t>
  </si>
  <si>
    <t>E. Ofertada
[kWh]</t>
  </si>
  <si>
    <t>$/kWh</t>
  </si>
  <si>
    <t>TOTAL</t>
  </si>
  <si>
    <t>Precios y cantidades de la energía ofertada</t>
  </si>
  <si>
    <t>Representante legal</t>
  </si>
  <si>
    <t>Nombre Oferente</t>
  </si>
  <si>
    <t>ANEXO 3 - CANTIDADES DE  ENERGÍA SOLICITADA EN kWh</t>
  </si>
  <si>
    <t>Tipo de día</t>
  </si>
  <si>
    <t>TO</t>
  </si>
  <si>
    <t>CURVA DE ENERGÍA REQUERIDA OPCIÓN 24 HORAS:</t>
  </si>
  <si>
    <t>Año</t>
  </si>
  <si>
    <t>OPCIÓN 24 HORAS</t>
  </si>
  <si>
    <t>E. Solicitada
[kWh-año]</t>
  </si>
  <si>
    <t>E. Solicitada
[kWh-mes]</t>
  </si>
  <si>
    <t xml:space="preserve">ANEXO 4. FORMATO DE OFERTA - </t>
  </si>
  <si>
    <t>El oferente debe diligenciar conforme la opción que desea ofertar.</t>
  </si>
  <si>
    <t>EMPRESA MUNICIPAL DE ENERGÍA ELÉCTRICA S.A.E.S.P</t>
  </si>
  <si>
    <t>Año 2025</t>
  </si>
  <si>
    <t>Año 2026</t>
  </si>
  <si>
    <t>Año 2027</t>
  </si>
  <si>
    <t>CONVOCATORIA PÚBLICA EMEC2024-001</t>
  </si>
  <si>
    <t xml:space="preserve">PRODUCTO 1 - PAGUE LO CONTRATADO </t>
  </si>
  <si>
    <t>CONVOCATORIA PÚBLICA EMEC2025-001</t>
  </si>
  <si>
    <t>Periodo: 1 de junio de 2025 a 31 diciembre de 2027</t>
  </si>
  <si>
    <t>En pesos de (mes) de 2025</t>
  </si>
  <si>
    <t>El oferente debe despachar el bloque completo de la energia requerida.</t>
  </si>
  <si>
    <t>Total energia=</t>
  </si>
  <si>
    <t>Periodo: 1 de junio de 2025 a 31 diciembre de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</si>
</sst>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* #,##0\ _€_-;\-* #,##0\ _€_-;_-* &quot;-&quot;??\ _€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0"/>
      <name val="DIN-Regular"/>
      <family val="2"/>
    </font>
    <font>
      <sz val="10"/>
      <name val="DIN-Regular"/>
      <family val="2"/>
    </font>
    <font>
      <b/>
      <sz val="10"/>
      <name val="DIN-Regular"/>
    </font>
    <font>
      <sz val="10"/>
      <name val="DIN-Regular"/>
    </font>
    <font>
      <b/>
      <u/>
      <sz val="11"/>
      <name val="Arial"/>
      <family val="2"/>
    </font>
    <font>
      <b/>
      <sz val="12"/>
      <name val="Calibri"/>
      <family val="2"/>
      <scheme val="minor"/>
    </font>
    <font>
      <i/>
      <sz val="10"/>
      <color theme="1"/>
      <name val="Arial"/>
      <family val="2"/>
    </font>
    <font>
      <b/>
      <sz val="11"/>
      <color rgb="FF00B0F0"/>
      <name val="Arial"/>
      <family val="2"/>
    </font>
    <font>
      <b/>
      <sz val="10"/>
      <color rgb="FF00B0F0"/>
      <name val="DIN-Regula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4"/>
    <xf numFmtId="0" fontId="4" fillId="0" borderId="0" xfId="0" applyFont="1"/>
    <xf numFmtId="0" fontId="1" fillId="0" borderId="0" xfId="0" applyFont="1"/>
    <xf numFmtId="0" fontId="6" fillId="0" borderId="0" xfId="4" applyFont="1"/>
    <xf numFmtId="3" fontId="6" fillId="0" borderId="0" xfId="4" applyNumberFormat="1" applyFont="1"/>
    <xf numFmtId="0" fontId="5" fillId="0" borderId="1" xfId="4" applyFont="1" applyBorder="1" applyAlignment="1">
      <alignment horizontal="center"/>
    </xf>
    <xf numFmtId="3" fontId="5" fillId="0" borderId="1" xfId="4" applyNumberFormat="1" applyFont="1" applyBorder="1" applyAlignment="1">
      <alignment horizontal="center"/>
    </xf>
    <xf numFmtId="17" fontId="1" fillId="0" borderId="1" xfId="0" applyNumberFormat="1" applyFont="1" applyBorder="1"/>
    <xf numFmtId="164" fontId="1" fillId="0" borderId="1" xfId="1" applyNumberFormat="1" applyFont="1" applyBorder="1"/>
    <xf numFmtId="165" fontId="9" fillId="0" borderId="2" xfId="1" applyNumberFormat="1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 wrapText="1"/>
    </xf>
    <xf numFmtId="0" fontId="8" fillId="0" borderId="6" xfId="4" applyFont="1" applyBorder="1" applyAlignment="1">
      <alignment horizontal="center" vertical="center" wrapText="1"/>
    </xf>
    <xf numFmtId="165" fontId="8" fillId="0" borderId="6" xfId="1" applyNumberFormat="1" applyFont="1" applyFill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 wrapText="1"/>
    </xf>
    <xf numFmtId="17" fontId="8" fillId="0" borderId="4" xfId="4" applyNumberFormat="1" applyFont="1" applyBorder="1" applyAlignment="1">
      <alignment horizontal="left" vertical="center"/>
    </xf>
    <xf numFmtId="164" fontId="9" fillId="0" borderId="3" xfId="1" applyNumberFormat="1" applyFont="1" applyFill="1" applyBorder="1" applyAlignment="1">
      <alignment vertical="center"/>
    </xf>
    <xf numFmtId="41" fontId="10" fillId="0" borderId="4" xfId="2" applyFont="1" applyFill="1" applyBorder="1" applyAlignment="1">
      <alignment horizontal="center" vertical="center"/>
    </xf>
    <xf numFmtId="164" fontId="2" fillId="0" borderId="4" xfId="1" applyNumberFormat="1" applyFont="1" applyFill="1" applyBorder="1"/>
    <xf numFmtId="0" fontId="0" fillId="0" borderId="8" xfId="0" applyBorder="1"/>
    <xf numFmtId="0" fontId="8" fillId="0" borderId="0" xfId="0" applyFont="1" applyAlignment="1">
      <alignment horizontal="center"/>
    </xf>
    <xf numFmtId="9" fontId="9" fillId="0" borderId="9" xfId="3" applyFont="1" applyFill="1" applyBorder="1" applyAlignment="1">
      <alignment horizontal="center" vertical="center"/>
    </xf>
    <xf numFmtId="0" fontId="12" fillId="0" borderId="0" xfId="4" applyFont="1"/>
    <xf numFmtId="0" fontId="8" fillId="0" borderId="10" xfId="4" applyFont="1" applyBorder="1" applyAlignment="1">
      <alignment horizontal="center" vertical="center"/>
    </xf>
    <xf numFmtId="0" fontId="3" fillId="0" borderId="4" xfId="4" applyBorder="1"/>
    <xf numFmtId="44" fontId="9" fillId="0" borderId="3" xfId="5" applyFont="1" applyFill="1" applyBorder="1" applyAlignment="1">
      <alignment vertical="center"/>
    </xf>
    <xf numFmtId="165" fontId="11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4" fillId="0" borderId="0" xfId="4" applyFont="1"/>
    <xf numFmtId="0" fontId="5" fillId="2" borderId="1" xfId="4" applyFont="1" applyFill="1" applyBorder="1"/>
    <xf numFmtId="1" fontId="0" fillId="0" borderId="1" xfId="0" applyNumberFormat="1" applyBorder="1"/>
    <xf numFmtId="164" fontId="1" fillId="0" borderId="0" xfId="1" applyNumberFormat="1" applyFont="1"/>
    <xf numFmtId="164" fontId="13" fillId="0" borderId="1" xfId="1" applyNumberFormat="1" applyFont="1" applyBorder="1"/>
    <xf numFmtId="164" fontId="0" fillId="0" borderId="0" xfId="1" applyNumberFormat="1" applyFont="1"/>
    <xf numFmtId="164" fontId="6" fillId="0" borderId="0" xfId="1" applyNumberFormat="1" applyFont="1"/>
    <xf numFmtId="164" fontId="5" fillId="0" borderId="1" xfId="1" applyNumberFormat="1" applyFont="1" applyBorder="1" applyAlignment="1">
      <alignment horizontal="center"/>
    </xf>
    <xf numFmtId="0" fontId="5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16" fillId="0" borderId="0" xfId="4" applyFont="1" applyAlignment="1">
      <alignment horizontal="center"/>
    </xf>
    <xf numFmtId="0" fontId="15" fillId="0" borderId="0" xfId="4" applyFont="1" applyAlignment="1">
      <alignment horizontal="center"/>
    </xf>
    <xf numFmtId="0" fontId="8" fillId="0" borderId="11" xfId="4" applyFont="1" applyBorder="1" applyAlignment="1">
      <alignment horizontal="center"/>
    </xf>
    <xf numFmtId="0" fontId="8" fillId="0" borderId="12" xfId="4" applyFont="1" applyBorder="1" applyAlignment="1">
      <alignment horizontal="center"/>
    </xf>
    <xf numFmtId="0" fontId="8" fillId="0" borderId="13" xfId="4" applyFont="1" applyBorder="1" applyAlignment="1">
      <alignment horizontal="center"/>
    </xf>
    <xf numFmtId="0" fontId="8" fillId="0" borderId="1" xfId="4" applyFont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 wrapText="1"/>
    </xf>
    <xf numFmtId="17" fontId="8" fillId="0" borderId="1" xfId="4" applyNumberFormat="1" applyFont="1" applyBorder="1" applyAlignment="1">
      <alignment horizontal="center" vertical="center"/>
    </xf>
    <xf numFmtId="9" fontId="11" fillId="0" borderId="1" xfId="3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164" fontId="0" fillId="0" borderId="0" xfId="0" applyNumberFormat="1"/>
  </cellXfs>
  <cellStyles count="6">
    <cellStyle name="Millares" xfId="1" builtinId="3"/>
    <cellStyle name="Millares [0]" xfId="2" builtinId="6"/>
    <cellStyle name="Moneda" xfId="5" builtinId="4"/>
    <cellStyle name="Normal" xfId="0" builtinId="0"/>
    <cellStyle name="Normal 2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zoomScale="80" zoomScaleNormal="80" workbookViewId="0">
      <pane xSplit="1" topLeftCell="L1" activePane="topRight" state="frozen"/>
      <selection pane="topRight" activeCell="AA22" sqref="AA22"/>
    </sheetView>
  </sheetViews>
  <sheetFormatPr baseColWidth="10" defaultRowHeight="15"/>
  <cols>
    <col min="2" max="3" width="12.5703125" bestFit="1" customWidth="1"/>
    <col min="4" max="4" width="11.28515625" customWidth="1"/>
    <col min="5" max="25" width="12.5703125" bestFit="1" customWidth="1"/>
    <col min="26" max="26" width="13.42578125" style="33" bestFit="1" customWidth="1"/>
    <col min="27" max="27" width="13.7109375" style="33" bestFit="1" customWidth="1"/>
  </cols>
  <sheetData>
    <row r="1" spans="1:27" s="3" customFormat="1">
      <c r="A1" s="36" t="s">
        <v>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1"/>
    </row>
    <row r="2" spans="1:27" s="3" customFormat="1">
      <c r="A2" s="36" t="s">
        <v>49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1"/>
    </row>
    <row r="3" spans="1:27" s="3" customFormat="1">
      <c r="A3" s="36" t="s">
        <v>51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1"/>
    </row>
    <row r="4" spans="1:27" s="3" customFormat="1">
      <c r="A4" s="36" t="s">
        <v>50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1"/>
    </row>
    <row r="5" spans="1:27" s="3" customFormat="1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4"/>
      <c r="AA5" s="31"/>
    </row>
    <row r="6" spans="1:27" s="3" customFormat="1">
      <c r="A6" s="4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4"/>
      <c r="AA6" s="31"/>
    </row>
    <row r="7" spans="1:27" s="3" customFormat="1">
      <c r="A7" s="4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4"/>
      <c r="AA7" s="31"/>
    </row>
    <row r="8" spans="1:27" s="3" customFormat="1">
      <c r="A8" s="22" t="s">
        <v>37</v>
      </c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4"/>
      <c r="AA8" s="31"/>
    </row>
    <row r="9" spans="1:27" s="3" customFormat="1">
      <c r="A9" s="4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4"/>
      <c r="AA9" s="31"/>
    </row>
    <row r="10" spans="1:27" s="3" customFormat="1">
      <c r="A10" s="29" t="s">
        <v>45</v>
      </c>
      <c r="B10" s="29">
        <v>2025</v>
      </c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4"/>
      <c r="AA10" s="31"/>
    </row>
    <row r="11" spans="1:27" s="2" customFormat="1" ht="15.75">
      <c r="A11" s="6" t="s">
        <v>35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1</v>
      </c>
      <c r="L11" s="7" t="s">
        <v>2</v>
      </c>
      <c r="M11" s="7" t="s">
        <v>3</v>
      </c>
      <c r="N11" s="7" t="s">
        <v>4</v>
      </c>
      <c r="O11" s="7" t="s">
        <v>5</v>
      </c>
      <c r="P11" s="7" t="s">
        <v>6</v>
      </c>
      <c r="Q11" s="7" t="s">
        <v>7</v>
      </c>
      <c r="R11" s="7" t="s">
        <v>8</v>
      </c>
      <c r="S11" s="7" t="s">
        <v>9</v>
      </c>
      <c r="T11" s="7" t="s">
        <v>10</v>
      </c>
      <c r="U11" s="7" t="s">
        <v>11</v>
      </c>
      <c r="V11" s="7" t="s">
        <v>12</v>
      </c>
      <c r="W11" s="7" t="s">
        <v>13</v>
      </c>
      <c r="X11" s="7" t="s">
        <v>14</v>
      </c>
      <c r="Y11" s="7" t="s">
        <v>15</v>
      </c>
      <c r="Z11" s="35" t="s">
        <v>17</v>
      </c>
      <c r="AA11" s="32" t="s">
        <v>38</v>
      </c>
    </row>
    <row r="12" spans="1:27" s="3" customFormat="1">
      <c r="A12" s="8" t="s">
        <v>36</v>
      </c>
      <c r="B12" s="27">
        <v>1000</v>
      </c>
      <c r="C12" s="27">
        <v>1000</v>
      </c>
      <c r="D12" s="27">
        <v>1000</v>
      </c>
      <c r="E12" s="27">
        <v>1000</v>
      </c>
      <c r="F12" s="27">
        <v>1000</v>
      </c>
      <c r="G12" s="27">
        <v>1000</v>
      </c>
      <c r="H12" s="27">
        <v>1000</v>
      </c>
      <c r="I12" s="27">
        <v>1000</v>
      </c>
      <c r="J12" s="27">
        <v>1000</v>
      </c>
      <c r="K12" s="27">
        <v>1000</v>
      </c>
      <c r="L12" s="27">
        <v>1000</v>
      </c>
      <c r="M12" s="27">
        <v>1000</v>
      </c>
      <c r="N12" s="27">
        <v>1000</v>
      </c>
      <c r="O12" s="27">
        <v>1000</v>
      </c>
      <c r="P12" s="27">
        <v>1000</v>
      </c>
      <c r="Q12" s="27">
        <v>1000</v>
      </c>
      <c r="R12" s="27">
        <v>1000</v>
      </c>
      <c r="S12" s="27">
        <v>1000</v>
      </c>
      <c r="T12" s="27">
        <v>1000</v>
      </c>
      <c r="U12" s="27">
        <v>1000</v>
      </c>
      <c r="V12" s="27">
        <v>1000</v>
      </c>
      <c r="W12" s="27">
        <v>1000</v>
      </c>
      <c r="X12" s="27">
        <v>1000</v>
      </c>
      <c r="Y12" s="27">
        <v>1000</v>
      </c>
      <c r="Z12" s="27">
        <f>SUM(B12:Y12)</f>
        <v>24000</v>
      </c>
      <c r="AA12" s="9">
        <f>+Z12*214</f>
        <v>5136000</v>
      </c>
    </row>
    <row r="15" spans="1:27">
      <c r="A15" s="29" t="s">
        <v>46</v>
      </c>
      <c r="B15" s="29">
        <v>2026</v>
      </c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34"/>
    </row>
    <row r="16" spans="1:27" ht="15.75">
      <c r="A16" s="6" t="s">
        <v>35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24</v>
      </c>
      <c r="I16" s="7" t="s">
        <v>25</v>
      </c>
      <c r="J16" s="7" t="s">
        <v>26</v>
      </c>
      <c r="K16" s="7" t="s">
        <v>1</v>
      </c>
      <c r="L16" s="7" t="s">
        <v>2</v>
      </c>
      <c r="M16" s="7" t="s">
        <v>3</v>
      </c>
      <c r="N16" s="7" t="s">
        <v>4</v>
      </c>
      <c r="O16" s="7" t="s">
        <v>5</v>
      </c>
      <c r="P16" s="7" t="s">
        <v>6</v>
      </c>
      <c r="Q16" s="7" t="s">
        <v>7</v>
      </c>
      <c r="R16" s="7" t="s">
        <v>8</v>
      </c>
      <c r="S16" s="7" t="s">
        <v>9</v>
      </c>
      <c r="T16" s="7" t="s">
        <v>10</v>
      </c>
      <c r="U16" s="7" t="s">
        <v>11</v>
      </c>
      <c r="V16" s="7" t="s">
        <v>12</v>
      </c>
      <c r="W16" s="7" t="s">
        <v>13</v>
      </c>
      <c r="X16" s="7" t="s">
        <v>14</v>
      </c>
      <c r="Y16" s="7" t="s">
        <v>15</v>
      </c>
      <c r="Z16" s="35" t="s">
        <v>17</v>
      </c>
      <c r="AA16" s="32" t="s">
        <v>38</v>
      </c>
    </row>
    <row r="17" spans="1:27">
      <c r="A17" s="8" t="s">
        <v>36</v>
      </c>
      <c r="B17" s="30">
        <v>1000</v>
      </c>
      <c r="C17" s="30">
        <v>1000</v>
      </c>
      <c r="D17" s="30">
        <v>1000</v>
      </c>
      <c r="E17" s="30">
        <v>1000</v>
      </c>
      <c r="F17" s="30">
        <v>1000</v>
      </c>
      <c r="G17" s="30">
        <v>1000</v>
      </c>
      <c r="H17" s="30">
        <v>1000</v>
      </c>
      <c r="I17" s="30">
        <v>1000</v>
      </c>
      <c r="J17" s="30">
        <v>1000</v>
      </c>
      <c r="K17" s="30">
        <v>1000</v>
      </c>
      <c r="L17" s="30">
        <v>1000</v>
      </c>
      <c r="M17" s="30">
        <v>1000</v>
      </c>
      <c r="N17" s="30">
        <v>1000</v>
      </c>
      <c r="O17" s="30">
        <v>1000</v>
      </c>
      <c r="P17" s="30">
        <v>1000</v>
      </c>
      <c r="Q17" s="30">
        <v>1000</v>
      </c>
      <c r="R17" s="30">
        <v>1000</v>
      </c>
      <c r="S17" s="30">
        <v>1000</v>
      </c>
      <c r="T17" s="30">
        <v>1000</v>
      </c>
      <c r="U17" s="30">
        <v>1000</v>
      </c>
      <c r="V17" s="30">
        <v>1000</v>
      </c>
      <c r="W17" s="30">
        <v>1000</v>
      </c>
      <c r="X17" s="30">
        <v>1000</v>
      </c>
      <c r="Y17" s="30">
        <v>1000</v>
      </c>
      <c r="Z17" s="9">
        <f>SUM(B17:Y17)</f>
        <v>24000</v>
      </c>
      <c r="AA17" s="9">
        <f>Z17*365</f>
        <v>8760000</v>
      </c>
    </row>
    <row r="20" spans="1:27">
      <c r="A20" s="29" t="s">
        <v>47</v>
      </c>
      <c r="B20" s="29">
        <v>2027</v>
      </c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34"/>
    </row>
    <row r="21" spans="1:27" ht="15.75">
      <c r="A21" s="6" t="s">
        <v>35</v>
      </c>
      <c r="B21" s="7" t="s">
        <v>18</v>
      </c>
      <c r="C21" s="7" t="s">
        <v>19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24</v>
      </c>
      <c r="I21" s="7" t="s">
        <v>25</v>
      </c>
      <c r="J21" s="7" t="s">
        <v>26</v>
      </c>
      <c r="K21" s="7" t="s">
        <v>1</v>
      </c>
      <c r="L21" s="7" t="s">
        <v>2</v>
      </c>
      <c r="M21" s="7" t="s">
        <v>3</v>
      </c>
      <c r="N21" s="7" t="s">
        <v>4</v>
      </c>
      <c r="O21" s="7" t="s">
        <v>5</v>
      </c>
      <c r="P21" s="7" t="s">
        <v>6</v>
      </c>
      <c r="Q21" s="7" t="s">
        <v>7</v>
      </c>
      <c r="R21" s="7" t="s">
        <v>8</v>
      </c>
      <c r="S21" s="7" t="s">
        <v>9</v>
      </c>
      <c r="T21" s="7" t="s">
        <v>10</v>
      </c>
      <c r="U21" s="7" t="s">
        <v>11</v>
      </c>
      <c r="V21" s="7" t="s">
        <v>12</v>
      </c>
      <c r="W21" s="7" t="s">
        <v>13</v>
      </c>
      <c r="X21" s="7" t="s">
        <v>14</v>
      </c>
      <c r="Y21" s="7" t="s">
        <v>15</v>
      </c>
      <c r="Z21" s="35" t="s">
        <v>17</v>
      </c>
      <c r="AA21" s="32" t="s">
        <v>38</v>
      </c>
    </row>
    <row r="22" spans="1:27">
      <c r="A22" s="8" t="s">
        <v>36</v>
      </c>
      <c r="B22" s="30">
        <v>1000</v>
      </c>
      <c r="C22" s="30">
        <v>1000</v>
      </c>
      <c r="D22" s="30">
        <v>1000</v>
      </c>
      <c r="E22" s="30">
        <v>1000</v>
      </c>
      <c r="F22" s="30">
        <v>1000</v>
      </c>
      <c r="G22" s="30">
        <v>1000</v>
      </c>
      <c r="H22" s="30">
        <v>1000</v>
      </c>
      <c r="I22" s="30">
        <v>1000</v>
      </c>
      <c r="J22" s="30">
        <v>1000</v>
      </c>
      <c r="K22" s="30">
        <v>1000</v>
      </c>
      <c r="L22" s="30">
        <v>1000</v>
      </c>
      <c r="M22" s="30">
        <v>1000</v>
      </c>
      <c r="N22" s="30">
        <v>1000</v>
      </c>
      <c r="O22" s="30">
        <v>1000</v>
      </c>
      <c r="P22" s="30">
        <v>1000</v>
      </c>
      <c r="Q22" s="30">
        <v>1000</v>
      </c>
      <c r="R22" s="30">
        <v>1000</v>
      </c>
      <c r="S22" s="30">
        <v>1000</v>
      </c>
      <c r="T22" s="30">
        <v>1000</v>
      </c>
      <c r="U22" s="30">
        <v>1000</v>
      </c>
      <c r="V22" s="30">
        <v>1000</v>
      </c>
      <c r="W22" s="30">
        <v>1000</v>
      </c>
      <c r="X22" s="30">
        <v>1000</v>
      </c>
      <c r="Y22" s="30">
        <v>1000</v>
      </c>
      <c r="Z22" s="9">
        <f>SUM(B22:Y22)</f>
        <v>24000</v>
      </c>
      <c r="AA22" s="9">
        <f>Z22*365</f>
        <v>8760000</v>
      </c>
    </row>
  </sheetData>
  <mergeCells count="4">
    <mergeCell ref="A1:Z1"/>
    <mergeCell ref="A2:Z2"/>
    <mergeCell ref="A3:Z3"/>
    <mergeCell ref="A4:Z4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5"/>
  <sheetViews>
    <sheetView topLeftCell="A10" workbookViewId="0">
      <selection activeCell="C23" sqref="C23"/>
    </sheetView>
  </sheetViews>
  <sheetFormatPr baseColWidth="10" defaultRowHeight="15"/>
  <cols>
    <col min="1" max="1" width="5.5703125" customWidth="1"/>
    <col min="3" max="3" width="14" bestFit="1" customWidth="1"/>
    <col min="4" max="4" width="12" bestFit="1" customWidth="1"/>
    <col min="5" max="5" width="12.42578125" bestFit="1" customWidth="1"/>
    <col min="6" max="6" width="13" bestFit="1" customWidth="1"/>
  </cols>
  <sheetData>
    <row r="4" spans="1:7">
      <c r="A4" s="1"/>
      <c r="B4" s="37" t="s">
        <v>50</v>
      </c>
      <c r="C4" s="37"/>
      <c r="D4" s="37"/>
      <c r="E4" s="37"/>
      <c r="F4" s="37"/>
      <c r="G4" s="37"/>
    </row>
    <row r="5" spans="1:7">
      <c r="A5" s="1"/>
      <c r="B5" s="37" t="s">
        <v>42</v>
      </c>
      <c r="C5" s="37"/>
      <c r="D5" s="37"/>
      <c r="E5" s="37"/>
      <c r="F5" s="37"/>
      <c r="G5" s="37"/>
    </row>
    <row r="6" spans="1:7">
      <c r="A6" s="1"/>
      <c r="B6" s="37" t="s">
        <v>44</v>
      </c>
      <c r="C6" s="37"/>
      <c r="D6" s="37"/>
      <c r="E6" s="37"/>
      <c r="F6" s="37"/>
      <c r="G6" s="37"/>
    </row>
    <row r="7" spans="1:7">
      <c r="A7" s="1"/>
      <c r="B7" s="37" t="s">
        <v>31</v>
      </c>
      <c r="C7" s="37"/>
      <c r="D7" s="37"/>
      <c r="E7" s="37"/>
      <c r="F7" s="37"/>
      <c r="G7" s="37"/>
    </row>
    <row r="8" spans="1:7">
      <c r="A8" s="1"/>
      <c r="B8" s="38" t="s">
        <v>52</v>
      </c>
      <c r="C8" s="37"/>
      <c r="D8" s="37"/>
      <c r="E8" s="37"/>
      <c r="F8" s="37"/>
      <c r="G8" s="37"/>
    </row>
    <row r="9" spans="1:7">
      <c r="A9" s="1"/>
      <c r="B9" s="20"/>
      <c r="C9" s="20"/>
      <c r="D9" s="20"/>
      <c r="E9" s="20"/>
      <c r="F9" s="20"/>
      <c r="G9" s="20"/>
    </row>
    <row r="10" spans="1:7">
      <c r="B10" s="28" t="s">
        <v>43</v>
      </c>
      <c r="C10" s="20"/>
      <c r="D10" s="20"/>
      <c r="E10" s="20"/>
      <c r="F10" s="20"/>
      <c r="G10" s="20"/>
    </row>
    <row r="11" spans="1:7" ht="15.75" thickBot="1">
      <c r="A11" s="1"/>
      <c r="B11" s="20"/>
      <c r="C11" s="20"/>
      <c r="D11" s="20"/>
      <c r="E11" s="20"/>
      <c r="F11" s="20"/>
      <c r="G11" s="20"/>
    </row>
    <row r="12" spans="1:7">
      <c r="A12" s="1"/>
      <c r="B12" s="40" t="s">
        <v>39</v>
      </c>
      <c r="C12" s="41"/>
      <c r="D12" s="41"/>
      <c r="E12" s="41"/>
      <c r="F12" s="42"/>
      <c r="G12" s="20"/>
    </row>
    <row r="13" spans="1:7" ht="25.5">
      <c r="A13" s="1"/>
      <c r="B13" s="43">
        <v>2025</v>
      </c>
      <c r="C13" s="43" t="s">
        <v>41</v>
      </c>
      <c r="D13" s="43" t="s">
        <v>27</v>
      </c>
      <c r="E13" s="44" t="s">
        <v>28</v>
      </c>
      <c r="F13" s="43" t="s">
        <v>29</v>
      </c>
      <c r="G13" s="20"/>
    </row>
    <row r="14" spans="1:7">
      <c r="A14" s="1"/>
      <c r="B14" s="45">
        <v>45809</v>
      </c>
      <c r="C14" s="43">
        <v>720000</v>
      </c>
      <c r="D14" s="43"/>
      <c r="E14" s="44"/>
      <c r="F14" s="43"/>
      <c r="G14" s="20"/>
    </row>
    <row r="15" spans="1:7">
      <c r="A15" s="1"/>
      <c r="B15" s="45">
        <v>45839</v>
      </c>
      <c r="C15" s="43">
        <v>744000</v>
      </c>
      <c r="D15" s="46"/>
      <c r="E15" s="26">
        <f t="shared" ref="E15:E20" si="0">+D15*C15</f>
        <v>0</v>
      </c>
      <c r="F15" s="47"/>
      <c r="G15" s="20"/>
    </row>
    <row r="16" spans="1:7">
      <c r="A16" s="1"/>
      <c r="B16" s="45">
        <v>45870</v>
      </c>
      <c r="C16" s="43">
        <v>744000</v>
      </c>
      <c r="D16" s="46"/>
      <c r="E16" s="26">
        <f t="shared" si="0"/>
        <v>0</v>
      </c>
      <c r="F16" s="47"/>
      <c r="G16" s="20"/>
    </row>
    <row r="17" spans="1:7">
      <c r="A17" s="1"/>
      <c r="B17" s="45">
        <v>45901</v>
      </c>
      <c r="C17" s="43">
        <v>720000</v>
      </c>
      <c r="D17" s="46"/>
      <c r="E17" s="26">
        <f t="shared" si="0"/>
        <v>0</v>
      </c>
      <c r="F17" s="47"/>
      <c r="G17" s="20"/>
    </row>
    <row r="18" spans="1:7">
      <c r="A18" s="1"/>
      <c r="B18" s="45">
        <v>45931</v>
      </c>
      <c r="C18" s="43">
        <v>744000</v>
      </c>
      <c r="D18" s="46"/>
      <c r="E18" s="26">
        <f t="shared" si="0"/>
        <v>0</v>
      </c>
      <c r="F18" s="47"/>
      <c r="G18" s="20"/>
    </row>
    <row r="19" spans="1:7">
      <c r="A19" s="1"/>
      <c r="B19" s="45">
        <v>45962</v>
      </c>
      <c r="C19" s="43">
        <v>720000</v>
      </c>
      <c r="D19" s="46"/>
      <c r="E19" s="26">
        <f t="shared" si="0"/>
        <v>0</v>
      </c>
      <c r="F19" s="47"/>
      <c r="G19" s="20"/>
    </row>
    <row r="20" spans="1:7">
      <c r="A20" s="1"/>
      <c r="B20" s="45">
        <v>45992</v>
      </c>
      <c r="C20" s="43">
        <v>744000</v>
      </c>
      <c r="D20" s="46"/>
      <c r="E20" s="26">
        <f t="shared" si="0"/>
        <v>0</v>
      </c>
      <c r="F20" s="47"/>
      <c r="G20" s="20"/>
    </row>
    <row r="21" spans="1:7" ht="15.75" thickBot="1">
      <c r="A21" s="1"/>
      <c r="G21" s="20"/>
    </row>
    <row r="22" spans="1:7" ht="26.25" thickBot="1">
      <c r="A22" s="1"/>
      <c r="B22" s="11" t="s">
        <v>38</v>
      </c>
      <c r="C22" s="12" t="s">
        <v>40</v>
      </c>
      <c r="D22" s="12" t="s">
        <v>27</v>
      </c>
      <c r="E22" s="13" t="s">
        <v>28</v>
      </c>
      <c r="F22" s="14" t="s">
        <v>29</v>
      </c>
      <c r="G22" s="20"/>
    </row>
    <row r="23" spans="1:7">
      <c r="A23" s="1"/>
      <c r="B23" s="23">
        <v>2025</v>
      </c>
      <c r="C23" s="10">
        <f>+'Cant. Requeridas- dia. '!AA12</f>
        <v>5136000</v>
      </c>
      <c r="D23" s="21"/>
      <c r="E23" s="16">
        <f>+C23*$D$23</f>
        <v>0</v>
      </c>
      <c r="F23" s="25"/>
      <c r="G23" s="20"/>
    </row>
    <row r="24" spans="1:7">
      <c r="A24" s="1"/>
      <c r="B24" s="23">
        <v>2026</v>
      </c>
      <c r="C24" s="10">
        <f>+'Cant. Requeridas- dia. '!AA17</f>
        <v>8760000</v>
      </c>
      <c r="D24" s="21"/>
      <c r="E24" s="16"/>
      <c r="F24" s="25"/>
      <c r="G24" s="20"/>
    </row>
    <row r="25" spans="1:7" ht="15.75" thickBot="1">
      <c r="A25" s="1"/>
      <c r="B25" s="23">
        <v>2027</v>
      </c>
      <c r="C25" s="10">
        <f>+'Cant. Requeridas- dia. '!AA22</f>
        <v>8760000</v>
      </c>
      <c r="D25" s="21"/>
      <c r="E25" s="16"/>
      <c r="F25" s="25"/>
      <c r="G25" s="20"/>
    </row>
    <row r="26" spans="1:7" ht="30.75" customHeight="1" thickBot="1">
      <c r="A26" s="1"/>
      <c r="B26" s="15" t="s">
        <v>30</v>
      </c>
      <c r="C26" s="17">
        <f>+C23+C24+C25</f>
        <v>22656000</v>
      </c>
      <c r="D26" s="18"/>
      <c r="E26" s="18">
        <f>SUM(E20:E25)</f>
        <v>0</v>
      </c>
      <c r="F26" s="24"/>
      <c r="G26" s="20"/>
    </row>
    <row r="27" spans="1:7">
      <c r="A27" s="1"/>
      <c r="B27" s="20"/>
      <c r="C27" s="20"/>
      <c r="D27" s="20"/>
      <c r="E27" s="20"/>
      <c r="F27" s="20"/>
      <c r="G27" s="20"/>
    </row>
    <row r="29" spans="1:7">
      <c r="B29" t="s">
        <v>53</v>
      </c>
    </row>
    <row r="33" spans="2:3">
      <c r="B33" s="19"/>
      <c r="C33" s="19"/>
    </row>
    <row r="34" spans="2:3">
      <c r="B34" t="s">
        <v>32</v>
      </c>
    </row>
    <row r="35" spans="2:3">
      <c r="B35" t="s">
        <v>33</v>
      </c>
    </row>
  </sheetData>
  <mergeCells count="7">
    <mergeCell ref="B4:G4"/>
    <mergeCell ref="B5:G5"/>
    <mergeCell ref="B6:G6"/>
    <mergeCell ref="B7:G7"/>
    <mergeCell ref="B8:G8"/>
    <mergeCell ref="B12:F12"/>
    <mergeCell ref="F15:F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tabSelected="1" zoomScale="80" zoomScaleNormal="80" workbookViewId="0">
      <pane xSplit="1" ySplit="6" topLeftCell="J25" activePane="bottomRight" state="frozen"/>
      <selection pane="topRight" activeCell="C1" sqref="C1"/>
      <selection pane="bottomLeft" activeCell="A7" sqref="A7"/>
      <selection pane="bottomRight" activeCell="W39" sqref="W39"/>
    </sheetView>
  </sheetViews>
  <sheetFormatPr baseColWidth="10" defaultRowHeight="15"/>
  <cols>
    <col min="26" max="26" width="19" customWidth="1"/>
    <col min="27" max="27" width="15" customWidth="1"/>
  </cols>
  <sheetData>
    <row r="1" spans="1:27" s="3" customFormat="1">
      <c r="A1" s="36" t="s">
        <v>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s="3" customFormat="1">
      <c r="A2" s="39" t="s">
        <v>49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7" s="3" customFormat="1">
      <c r="A3" s="36" t="s">
        <v>55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s="3" customFormat="1">
      <c r="A4" s="36" t="s">
        <v>48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s="3" customFormat="1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2" customFormat="1">
      <c r="A6" s="6" t="s">
        <v>0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I6" s="7" t="s">
        <v>25</v>
      </c>
      <c r="J6" s="7" t="s">
        <v>26</v>
      </c>
      <c r="K6" s="7" t="s">
        <v>1</v>
      </c>
      <c r="L6" s="7" t="s">
        <v>2</v>
      </c>
      <c r="M6" s="7" t="s">
        <v>3</v>
      </c>
      <c r="N6" s="7" t="s">
        <v>4</v>
      </c>
      <c r="O6" s="7" t="s">
        <v>5</v>
      </c>
      <c r="P6" s="7" t="s">
        <v>6</v>
      </c>
      <c r="Q6" s="7" t="s">
        <v>7</v>
      </c>
      <c r="R6" s="7" t="s">
        <v>8</v>
      </c>
      <c r="S6" s="7" t="s">
        <v>9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17</v>
      </c>
      <c r="AA6" s="7" t="s">
        <v>16</v>
      </c>
    </row>
    <row r="7" spans="1:27">
      <c r="A7" s="8">
        <v>45809</v>
      </c>
      <c r="B7" s="30">
        <v>1000</v>
      </c>
      <c r="C7" s="30">
        <v>1000</v>
      </c>
      <c r="D7" s="30">
        <v>1000</v>
      </c>
      <c r="E7" s="30">
        <v>1000</v>
      </c>
      <c r="F7" s="30">
        <v>1000</v>
      </c>
      <c r="G7" s="30">
        <v>1000</v>
      </c>
      <c r="H7" s="30">
        <v>1000</v>
      </c>
      <c r="I7" s="30">
        <v>1000</v>
      </c>
      <c r="J7" s="30">
        <v>1000</v>
      </c>
      <c r="K7" s="30">
        <v>1000</v>
      </c>
      <c r="L7" s="30">
        <v>1000</v>
      </c>
      <c r="M7" s="30">
        <v>1000</v>
      </c>
      <c r="N7" s="30">
        <v>1000</v>
      </c>
      <c r="O7" s="30">
        <v>1000</v>
      </c>
      <c r="P7" s="30">
        <v>1000</v>
      </c>
      <c r="Q7" s="30">
        <v>1000</v>
      </c>
      <c r="R7" s="30">
        <v>1000</v>
      </c>
      <c r="S7" s="30">
        <v>1000</v>
      </c>
      <c r="T7" s="30">
        <v>1000</v>
      </c>
      <c r="U7" s="30">
        <v>1000</v>
      </c>
      <c r="V7" s="30">
        <v>1000</v>
      </c>
      <c r="W7" s="30">
        <v>1000</v>
      </c>
      <c r="X7" s="30">
        <v>1000</v>
      </c>
      <c r="Y7" s="30">
        <v>1000</v>
      </c>
      <c r="Z7" s="30">
        <f>SUM(B7:Y7)</f>
        <v>24000</v>
      </c>
      <c r="AA7" s="9">
        <f>+Z7*30</f>
        <v>720000</v>
      </c>
    </row>
    <row r="8" spans="1:27">
      <c r="A8" s="8">
        <v>45839</v>
      </c>
      <c r="B8" s="30">
        <v>1000</v>
      </c>
      <c r="C8" s="30">
        <v>1000</v>
      </c>
      <c r="D8" s="30">
        <v>1000</v>
      </c>
      <c r="E8" s="30">
        <v>1000</v>
      </c>
      <c r="F8" s="30">
        <v>1000</v>
      </c>
      <c r="G8" s="30">
        <v>1000</v>
      </c>
      <c r="H8" s="30">
        <v>1000</v>
      </c>
      <c r="I8" s="30">
        <v>1000</v>
      </c>
      <c r="J8" s="30">
        <v>1000</v>
      </c>
      <c r="K8" s="30">
        <v>1000</v>
      </c>
      <c r="L8" s="30">
        <v>1000</v>
      </c>
      <c r="M8" s="30">
        <v>1000</v>
      </c>
      <c r="N8" s="30">
        <v>1000</v>
      </c>
      <c r="O8" s="30">
        <v>1000</v>
      </c>
      <c r="P8" s="30">
        <v>1000</v>
      </c>
      <c r="Q8" s="30">
        <v>1000</v>
      </c>
      <c r="R8" s="30">
        <v>1000</v>
      </c>
      <c r="S8" s="30">
        <v>1000</v>
      </c>
      <c r="T8" s="30">
        <v>1000</v>
      </c>
      <c r="U8" s="30">
        <v>1000</v>
      </c>
      <c r="V8" s="30">
        <v>1000</v>
      </c>
      <c r="W8" s="30">
        <v>1000</v>
      </c>
      <c r="X8" s="30">
        <v>1000</v>
      </c>
      <c r="Y8" s="30">
        <v>1000</v>
      </c>
      <c r="Z8" s="30">
        <f t="shared" ref="Z8:Z37" si="0">SUM(B8:Y8)</f>
        <v>24000</v>
      </c>
      <c r="AA8" s="9">
        <f>+Z8*31</f>
        <v>744000</v>
      </c>
    </row>
    <row r="9" spans="1:27">
      <c r="A9" s="8">
        <v>45870</v>
      </c>
      <c r="B9" s="30">
        <v>1000</v>
      </c>
      <c r="C9" s="30">
        <v>1000</v>
      </c>
      <c r="D9" s="30">
        <v>1000</v>
      </c>
      <c r="E9" s="30">
        <v>1000</v>
      </c>
      <c r="F9" s="30">
        <v>1000</v>
      </c>
      <c r="G9" s="30">
        <v>1000</v>
      </c>
      <c r="H9" s="30">
        <v>1000</v>
      </c>
      <c r="I9" s="30">
        <v>1000</v>
      </c>
      <c r="J9" s="30">
        <v>1000</v>
      </c>
      <c r="K9" s="30">
        <v>1000</v>
      </c>
      <c r="L9" s="30">
        <v>1000</v>
      </c>
      <c r="M9" s="30">
        <v>1000</v>
      </c>
      <c r="N9" s="30">
        <v>1000</v>
      </c>
      <c r="O9" s="30">
        <v>1000</v>
      </c>
      <c r="P9" s="30">
        <v>1000</v>
      </c>
      <c r="Q9" s="30">
        <v>1000</v>
      </c>
      <c r="R9" s="30">
        <v>1000</v>
      </c>
      <c r="S9" s="30">
        <v>1000</v>
      </c>
      <c r="T9" s="30">
        <v>1000</v>
      </c>
      <c r="U9" s="30">
        <v>1000</v>
      </c>
      <c r="V9" s="30">
        <v>1000</v>
      </c>
      <c r="W9" s="30">
        <v>1000</v>
      </c>
      <c r="X9" s="30">
        <v>1000</v>
      </c>
      <c r="Y9" s="30">
        <v>1000</v>
      </c>
      <c r="Z9" s="30">
        <f t="shared" si="0"/>
        <v>24000</v>
      </c>
      <c r="AA9" s="9">
        <f>+Z9*31</f>
        <v>744000</v>
      </c>
    </row>
    <row r="10" spans="1:27">
      <c r="A10" s="8">
        <v>45901</v>
      </c>
      <c r="B10" s="30">
        <v>1000</v>
      </c>
      <c r="C10" s="30">
        <v>1000</v>
      </c>
      <c r="D10" s="30">
        <v>1000</v>
      </c>
      <c r="E10" s="30">
        <v>1000</v>
      </c>
      <c r="F10" s="30">
        <v>1000</v>
      </c>
      <c r="G10" s="30">
        <v>1000</v>
      </c>
      <c r="H10" s="30">
        <v>1000</v>
      </c>
      <c r="I10" s="30">
        <v>1000</v>
      </c>
      <c r="J10" s="30">
        <v>1000</v>
      </c>
      <c r="K10" s="30">
        <v>1000</v>
      </c>
      <c r="L10" s="30">
        <v>1000</v>
      </c>
      <c r="M10" s="30">
        <v>1000</v>
      </c>
      <c r="N10" s="30">
        <v>1000</v>
      </c>
      <c r="O10" s="30">
        <v>1000</v>
      </c>
      <c r="P10" s="30">
        <v>1000</v>
      </c>
      <c r="Q10" s="30">
        <v>1000</v>
      </c>
      <c r="R10" s="30">
        <v>1000</v>
      </c>
      <c r="S10" s="30">
        <v>1000</v>
      </c>
      <c r="T10" s="30">
        <v>1000</v>
      </c>
      <c r="U10" s="30">
        <v>1000</v>
      </c>
      <c r="V10" s="30">
        <v>1000</v>
      </c>
      <c r="W10" s="30">
        <v>1000</v>
      </c>
      <c r="X10" s="30">
        <v>1000</v>
      </c>
      <c r="Y10" s="30">
        <v>1000</v>
      </c>
      <c r="Z10" s="30">
        <f t="shared" si="0"/>
        <v>24000</v>
      </c>
      <c r="AA10" s="9">
        <f>+Z10*30</f>
        <v>720000</v>
      </c>
    </row>
    <row r="11" spans="1:27">
      <c r="A11" s="8">
        <v>45931</v>
      </c>
      <c r="B11" s="30">
        <v>1000</v>
      </c>
      <c r="C11" s="30">
        <v>1000</v>
      </c>
      <c r="D11" s="30">
        <v>1000</v>
      </c>
      <c r="E11" s="30">
        <v>1000</v>
      </c>
      <c r="F11" s="30">
        <v>1000</v>
      </c>
      <c r="G11" s="30">
        <v>1000</v>
      </c>
      <c r="H11" s="30">
        <v>1000</v>
      </c>
      <c r="I11" s="30">
        <v>1000</v>
      </c>
      <c r="J11" s="30">
        <v>1000</v>
      </c>
      <c r="K11" s="30">
        <v>1000</v>
      </c>
      <c r="L11" s="30">
        <v>1000</v>
      </c>
      <c r="M11" s="30">
        <v>1000</v>
      </c>
      <c r="N11" s="30">
        <v>1000</v>
      </c>
      <c r="O11" s="30">
        <v>1000</v>
      </c>
      <c r="P11" s="30">
        <v>1000</v>
      </c>
      <c r="Q11" s="30">
        <v>1000</v>
      </c>
      <c r="R11" s="30">
        <v>1000</v>
      </c>
      <c r="S11" s="30">
        <v>1000</v>
      </c>
      <c r="T11" s="30">
        <v>1000</v>
      </c>
      <c r="U11" s="30">
        <v>1000</v>
      </c>
      <c r="V11" s="30">
        <v>1000</v>
      </c>
      <c r="W11" s="30">
        <v>1000</v>
      </c>
      <c r="X11" s="30">
        <v>1000</v>
      </c>
      <c r="Y11" s="30">
        <v>1000</v>
      </c>
      <c r="Z11" s="30">
        <f t="shared" si="0"/>
        <v>24000</v>
      </c>
      <c r="AA11" s="9">
        <f>+Z11*31</f>
        <v>744000</v>
      </c>
    </row>
    <row r="12" spans="1:27">
      <c r="A12" s="8">
        <v>45962</v>
      </c>
      <c r="B12" s="30">
        <v>1000</v>
      </c>
      <c r="C12" s="30">
        <v>1000</v>
      </c>
      <c r="D12" s="30">
        <v>1000</v>
      </c>
      <c r="E12" s="30">
        <v>1000</v>
      </c>
      <c r="F12" s="30">
        <v>1000</v>
      </c>
      <c r="G12" s="30">
        <v>1000</v>
      </c>
      <c r="H12" s="30">
        <v>1000</v>
      </c>
      <c r="I12" s="30">
        <v>1000</v>
      </c>
      <c r="J12" s="30">
        <v>1000</v>
      </c>
      <c r="K12" s="30">
        <v>1000</v>
      </c>
      <c r="L12" s="30">
        <v>1000</v>
      </c>
      <c r="M12" s="30">
        <v>1000</v>
      </c>
      <c r="N12" s="30">
        <v>1000</v>
      </c>
      <c r="O12" s="30">
        <v>1000</v>
      </c>
      <c r="P12" s="30">
        <v>1000</v>
      </c>
      <c r="Q12" s="30">
        <v>1000</v>
      </c>
      <c r="R12" s="30">
        <v>1000</v>
      </c>
      <c r="S12" s="30">
        <v>1000</v>
      </c>
      <c r="T12" s="30">
        <v>1000</v>
      </c>
      <c r="U12" s="30">
        <v>1000</v>
      </c>
      <c r="V12" s="30">
        <v>1000</v>
      </c>
      <c r="W12" s="30">
        <v>1000</v>
      </c>
      <c r="X12" s="30">
        <v>1000</v>
      </c>
      <c r="Y12" s="30">
        <v>1000</v>
      </c>
      <c r="Z12" s="30">
        <f t="shared" si="0"/>
        <v>24000</v>
      </c>
      <c r="AA12" s="9">
        <f>+Z12*30</f>
        <v>720000</v>
      </c>
    </row>
    <row r="13" spans="1:27">
      <c r="A13" s="8">
        <v>45992</v>
      </c>
      <c r="B13" s="30">
        <v>1000</v>
      </c>
      <c r="C13" s="30">
        <v>1000</v>
      </c>
      <c r="D13" s="30">
        <v>1000</v>
      </c>
      <c r="E13" s="30">
        <v>1000</v>
      </c>
      <c r="F13" s="30">
        <v>1000</v>
      </c>
      <c r="G13" s="30">
        <v>1000</v>
      </c>
      <c r="H13" s="30">
        <v>1000</v>
      </c>
      <c r="I13" s="30">
        <v>1000</v>
      </c>
      <c r="J13" s="30">
        <v>1000</v>
      </c>
      <c r="K13" s="30">
        <v>1000</v>
      </c>
      <c r="L13" s="30">
        <v>1000</v>
      </c>
      <c r="M13" s="30">
        <v>1000</v>
      </c>
      <c r="N13" s="30">
        <v>1000</v>
      </c>
      <c r="O13" s="30">
        <v>1000</v>
      </c>
      <c r="P13" s="30">
        <v>1000</v>
      </c>
      <c r="Q13" s="30">
        <v>1000</v>
      </c>
      <c r="R13" s="30">
        <v>1000</v>
      </c>
      <c r="S13" s="30">
        <v>1000</v>
      </c>
      <c r="T13" s="30">
        <v>1000</v>
      </c>
      <c r="U13" s="30">
        <v>1000</v>
      </c>
      <c r="V13" s="30">
        <v>1000</v>
      </c>
      <c r="W13" s="30">
        <v>1000</v>
      </c>
      <c r="X13" s="30">
        <v>1000</v>
      </c>
      <c r="Y13" s="30">
        <v>1000</v>
      </c>
      <c r="Z13" s="30">
        <f t="shared" si="0"/>
        <v>24000</v>
      </c>
      <c r="AA13" s="9">
        <f>+Z13*31</f>
        <v>744000</v>
      </c>
    </row>
    <row r="14" spans="1:27">
      <c r="A14" s="8">
        <v>46023</v>
      </c>
      <c r="B14" s="30">
        <v>1000</v>
      </c>
      <c r="C14" s="30">
        <v>1000</v>
      </c>
      <c r="D14" s="30">
        <v>1000</v>
      </c>
      <c r="E14" s="30">
        <v>1000</v>
      </c>
      <c r="F14" s="30">
        <v>1000</v>
      </c>
      <c r="G14" s="30">
        <v>1000</v>
      </c>
      <c r="H14" s="30">
        <v>1000</v>
      </c>
      <c r="I14" s="30">
        <v>1000</v>
      </c>
      <c r="J14" s="30">
        <v>1000</v>
      </c>
      <c r="K14" s="30">
        <v>1000</v>
      </c>
      <c r="L14" s="30">
        <v>1000</v>
      </c>
      <c r="M14" s="30">
        <v>1000</v>
      </c>
      <c r="N14" s="30">
        <v>1000</v>
      </c>
      <c r="O14" s="30">
        <v>1000</v>
      </c>
      <c r="P14" s="30">
        <v>1000</v>
      </c>
      <c r="Q14" s="30">
        <v>1000</v>
      </c>
      <c r="R14" s="30">
        <v>1000</v>
      </c>
      <c r="S14" s="30">
        <v>1000</v>
      </c>
      <c r="T14" s="30">
        <v>1000</v>
      </c>
      <c r="U14" s="30">
        <v>1000</v>
      </c>
      <c r="V14" s="30">
        <v>1000</v>
      </c>
      <c r="W14" s="30">
        <v>1000</v>
      </c>
      <c r="X14" s="30">
        <v>1000</v>
      </c>
      <c r="Y14" s="30">
        <v>1000</v>
      </c>
      <c r="Z14" s="30">
        <f t="shared" si="0"/>
        <v>24000</v>
      </c>
      <c r="AA14" s="9">
        <f>+Z14*31</f>
        <v>744000</v>
      </c>
    </row>
    <row r="15" spans="1:27">
      <c r="A15" s="8">
        <v>46054</v>
      </c>
      <c r="B15" s="30">
        <v>1000</v>
      </c>
      <c r="C15" s="30">
        <v>1000</v>
      </c>
      <c r="D15" s="30">
        <v>1000</v>
      </c>
      <c r="E15" s="30">
        <v>1000</v>
      </c>
      <c r="F15" s="30">
        <v>1000</v>
      </c>
      <c r="G15" s="30">
        <v>1000</v>
      </c>
      <c r="H15" s="30">
        <v>1000</v>
      </c>
      <c r="I15" s="30">
        <v>1000</v>
      </c>
      <c r="J15" s="30">
        <v>1000</v>
      </c>
      <c r="K15" s="30">
        <v>1000</v>
      </c>
      <c r="L15" s="30">
        <v>1000</v>
      </c>
      <c r="M15" s="30">
        <v>1000</v>
      </c>
      <c r="N15" s="30">
        <v>1000</v>
      </c>
      <c r="O15" s="30">
        <v>1000</v>
      </c>
      <c r="P15" s="30">
        <v>1000</v>
      </c>
      <c r="Q15" s="30">
        <v>1000</v>
      </c>
      <c r="R15" s="30">
        <v>1000</v>
      </c>
      <c r="S15" s="30">
        <v>1000</v>
      </c>
      <c r="T15" s="30">
        <v>1000</v>
      </c>
      <c r="U15" s="30">
        <v>1000</v>
      </c>
      <c r="V15" s="30">
        <v>1000</v>
      </c>
      <c r="W15" s="30">
        <v>1000</v>
      </c>
      <c r="X15" s="30">
        <v>1000</v>
      </c>
      <c r="Y15" s="30">
        <v>1000</v>
      </c>
      <c r="Z15" s="30">
        <f t="shared" si="0"/>
        <v>24000</v>
      </c>
      <c r="AA15" s="9">
        <f>+Z15*28</f>
        <v>672000</v>
      </c>
    </row>
    <row r="16" spans="1:27">
      <c r="A16" s="8">
        <v>46082</v>
      </c>
      <c r="B16" s="30">
        <v>1000</v>
      </c>
      <c r="C16" s="30">
        <v>1000</v>
      </c>
      <c r="D16" s="30">
        <v>1000</v>
      </c>
      <c r="E16" s="30">
        <v>1000</v>
      </c>
      <c r="F16" s="30">
        <v>1000</v>
      </c>
      <c r="G16" s="30">
        <v>1000</v>
      </c>
      <c r="H16" s="30">
        <v>1000</v>
      </c>
      <c r="I16" s="30">
        <v>1000</v>
      </c>
      <c r="J16" s="30">
        <v>1000</v>
      </c>
      <c r="K16" s="30">
        <v>1000</v>
      </c>
      <c r="L16" s="30">
        <v>1000</v>
      </c>
      <c r="M16" s="30">
        <v>1000</v>
      </c>
      <c r="N16" s="30">
        <v>1000</v>
      </c>
      <c r="O16" s="30">
        <v>1000</v>
      </c>
      <c r="P16" s="30">
        <v>1000</v>
      </c>
      <c r="Q16" s="30">
        <v>1000</v>
      </c>
      <c r="R16" s="30">
        <v>1000</v>
      </c>
      <c r="S16" s="30">
        <v>1000</v>
      </c>
      <c r="T16" s="30">
        <v>1000</v>
      </c>
      <c r="U16" s="30">
        <v>1000</v>
      </c>
      <c r="V16" s="30">
        <v>1000</v>
      </c>
      <c r="W16" s="30">
        <v>1000</v>
      </c>
      <c r="X16" s="30">
        <v>1000</v>
      </c>
      <c r="Y16" s="30">
        <v>1000</v>
      </c>
      <c r="Z16" s="30">
        <f t="shared" si="0"/>
        <v>24000</v>
      </c>
      <c r="AA16" s="9">
        <f>+Z16*31</f>
        <v>744000</v>
      </c>
    </row>
    <row r="17" spans="1:27">
      <c r="A17" s="8">
        <v>46113</v>
      </c>
      <c r="B17" s="30">
        <v>1000</v>
      </c>
      <c r="C17" s="30">
        <v>1000</v>
      </c>
      <c r="D17" s="30">
        <v>1000</v>
      </c>
      <c r="E17" s="30">
        <v>1000</v>
      </c>
      <c r="F17" s="30">
        <v>1000</v>
      </c>
      <c r="G17" s="30">
        <v>1000</v>
      </c>
      <c r="H17" s="30">
        <v>1000</v>
      </c>
      <c r="I17" s="30">
        <v>1000</v>
      </c>
      <c r="J17" s="30">
        <v>1000</v>
      </c>
      <c r="K17" s="30">
        <v>1000</v>
      </c>
      <c r="L17" s="30">
        <v>1000</v>
      </c>
      <c r="M17" s="30">
        <v>1000</v>
      </c>
      <c r="N17" s="30">
        <v>1000</v>
      </c>
      <c r="O17" s="30">
        <v>1000</v>
      </c>
      <c r="P17" s="30">
        <v>1000</v>
      </c>
      <c r="Q17" s="30">
        <v>1000</v>
      </c>
      <c r="R17" s="30">
        <v>1000</v>
      </c>
      <c r="S17" s="30">
        <v>1000</v>
      </c>
      <c r="T17" s="30">
        <v>1000</v>
      </c>
      <c r="U17" s="30">
        <v>1000</v>
      </c>
      <c r="V17" s="30">
        <v>1000</v>
      </c>
      <c r="W17" s="30">
        <v>1000</v>
      </c>
      <c r="X17" s="30">
        <v>1000</v>
      </c>
      <c r="Y17" s="30">
        <v>1000</v>
      </c>
      <c r="Z17" s="30">
        <f t="shared" si="0"/>
        <v>24000</v>
      </c>
      <c r="AA17" s="9">
        <f>+Z17*30</f>
        <v>720000</v>
      </c>
    </row>
    <row r="18" spans="1:27">
      <c r="A18" s="8">
        <v>46143</v>
      </c>
      <c r="B18" s="30">
        <v>1000</v>
      </c>
      <c r="C18" s="30">
        <v>1000</v>
      </c>
      <c r="D18" s="30">
        <v>1000</v>
      </c>
      <c r="E18" s="30">
        <v>1000</v>
      </c>
      <c r="F18" s="30">
        <v>1000</v>
      </c>
      <c r="G18" s="30">
        <v>1000</v>
      </c>
      <c r="H18" s="30">
        <v>1000</v>
      </c>
      <c r="I18" s="30">
        <v>1000</v>
      </c>
      <c r="J18" s="30">
        <v>1000</v>
      </c>
      <c r="K18" s="30">
        <v>1000</v>
      </c>
      <c r="L18" s="30">
        <v>1000</v>
      </c>
      <c r="M18" s="30">
        <v>1000</v>
      </c>
      <c r="N18" s="30">
        <v>1000</v>
      </c>
      <c r="O18" s="30">
        <v>1000</v>
      </c>
      <c r="P18" s="30">
        <v>1000</v>
      </c>
      <c r="Q18" s="30">
        <v>1000</v>
      </c>
      <c r="R18" s="30">
        <v>1000</v>
      </c>
      <c r="S18" s="30">
        <v>1000</v>
      </c>
      <c r="T18" s="30">
        <v>1000</v>
      </c>
      <c r="U18" s="30">
        <v>1000</v>
      </c>
      <c r="V18" s="30">
        <v>1000</v>
      </c>
      <c r="W18" s="30">
        <v>1000</v>
      </c>
      <c r="X18" s="30">
        <v>1000</v>
      </c>
      <c r="Y18" s="30">
        <v>1000</v>
      </c>
      <c r="Z18" s="30">
        <f t="shared" si="0"/>
        <v>24000</v>
      </c>
      <c r="AA18" s="9">
        <f>+Z18*31</f>
        <v>744000</v>
      </c>
    </row>
    <row r="19" spans="1:27">
      <c r="A19" s="8">
        <v>46174</v>
      </c>
      <c r="B19" s="30">
        <v>1000</v>
      </c>
      <c r="C19" s="30">
        <v>1000</v>
      </c>
      <c r="D19" s="30">
        <v>1000</v>
      </c>
      <c r="E19" s="30">
        <v>1000</v>
      </c>
      <c r="F19" s="30">
        <v>1000</v>
      </c>
      <c r="G19" s="30">
        <v>1000</v>
      </c>
      <c r="H19" s="30">
        <v>1000</v>
      </c>
      <c r="I19" s="30">
        <v>1000</v>
      </c>
      <c r="J19" s="30">
        <v>1000</v>
      </c>
      <c r="K19" s="30">
        <v>1000</v>
      </c>
      <c r="L19" s="30">
        <v>1000</v>
      </c>
      <c r="M19" s="30">
        <v>1000</v>
      </c>
      <c r="N19" s="30">
        <v>1000</v>
      </c>
      <c r="O19" s="30">
        <v>1000</v>
      </c>
      <c r="P19" s="30">
        <v>1000</v>
      </c>
      <c r="Q19" s="30">
        <v>1000</v>
      </c>
      <c r="R19" s="30">
        <v>1000</v>
      </c>
      <c r="S19" s="30">
        <v>1000</v>
      </c>
      <c r="T19" s="30">
        <v>1000</v>
      </c>
      <c r="U19" s="30">
        <v>1000</v>
      </c>
      <c r="V19" s="30">
        <v>1000</v>
      </c>
      <c r="W19" s="30">
        <v>1000</v>
      </c>
      <c r="X19" s="30">
        <v>1000</v>
      </c>
      <c r="Y19" s="30">
        <v>1000</v>
      </c>
      <c r="Z19" s="30">
        <f t="shared" si="0"/>
        <v>24000</v>
      </c>
      <c r="AA19" s="9">
        <f>+Z19*30</f>
        <v>720000</v>
      </c>
    </row>
    <row r="20" spans="1:27">
      <c r="A20" s="8">
        <v>46204</v>
      </c>
      <c r="B20" s="30">
        <v>1000</v>
      </c>
      <c r="C20" s="30">
        <v>1000</v>
      </c>
      <c r="D20" s="30">
        <v>1000</v>
      </c>
      <c r="E20" s="30">
        <v>1000</v>
      </c>
      <c r="F20" s="30">
        <v>1000</v>
      </c>
      <c r="G20" s="30">
        <v>1000</v>
      </c>
      <c r="H20" s="30">
        <v>1000</v>
      </c>
      <c r="I20" s="30">
        <v>1000</v>
      </c>
      <c r="J20" s="30">
        <v>1000</v>
      </c>
      <c r="K20" s="30">
        <v>1000</v>
      </c>
      <c r="L20" s="30">
        <v>1000</v>
      </c>
      <c r="M20" s="30">
        <v>1000</v>
      </c>
      <c r="N20" s="30">
        <v>1000</v>
      </c>
      <c r="O20" s="30">
        <v>1000</v>
      </c>
      <c r="P20" s="30">
        <v>1000</v>
      </c>
      <c r="Q20" s="30">
        <v>1000</v>
      </c>
      <c r="R20" s="30">
        <v>1000</v>
      </c>
      <c r="S20" s="30">
        <v>1000</v>
      </c>
      <c r="T20" s="30">
        <v>1000</v>
      </c>
      <c r="U20" s="30">
        <v>1000</v>
      </c>
      <c r="V20" s="30">
        <v>1000</v>
      </c>
      <c r="W20" s="30">
        <v>1000</v>
      </c>
      <c r="X20" s="30">
        <v>1000</v>
      </c>
      <c r="Y20" s="30">
        <v>1000</v>
      </c>
      <c r="Z20" s="30">
        <f t="shared" si="0"/>
        <v>24000</v>
      </c>
      <c r="AA20" s="9">
        <f>+Z20*31</f>
        <v>744000</v>
      </c>
    </row>
    <row r="21" spans="1:27">
      <c r="A21" s="8">
        <v>46235</v>
      </c>
      <c r="B21" s="30">
        <v>1000</v>
      </c>
      <c r="C21" s="30">
        <v>1000</v>
      </c>
      <c r="D21" s="30">
        <v>1000</v>
      </c>
      <c r="E21" s="30">
        <v>1000</v>
      </c>
      <c r="F21" s="30">
        <v>1000</v>
      </c>
      <c r="G21" s="30">
        <v>1000</v>
      </c>
      <c r="H21" s="30">
        <v>1000</v>
      </c>
      <c r="I21" s="30">
        <v>1000</v>
      </c>
      <c r="J21" s="30">
        <v>1000</v>
      </c>
      <c r="K21" s="30">
        <v>1000</v>
      </c>
      <c r="L21" s="30">
        <v>1000</v>
      </c>
      <c r="M21" s="30">
        <v>1000</v>
      </c>
      <c r="N21" s="30">
        <v>1000</v>
      </c>
      <c r="O21" s="30">
        <v>1000</v>
      </c>
      <c r="P21" s="30">
        <v>1000</v>
      </c>
      <c r="Q21" s="30">
        <v>1000</v>
      </c>
      <c r="R21" s="30">
        <v>1000</v>
      </c>
      <c r="S21" s="30">
        <v>1000</v>
      </c>
      <c r="T21" s="30">
        <v>1000</v>
      </c>
      <c r="U21" s="30">
        <v>1000</v>
      </c>
      <c r="V21" s="30">
        <v>1000</v>
      </c>
      <c r="W21" s="30">
        <v>1000</v>
      </c>
      <c r="X21" s="30">
        <v>1000</v>
      </c>
      <c r="Y21" s="30">
        <v>1000</v>
      </c>
      <c r="Z21" s="30">
        <f t="shared" si="0"/>
        <v>24000</v>
      </c>
      <c r="AA21" s="9">
        <f>+Z21*31</f>
        <v>744000</v>
      </c>
    </row>
    <row r="22" spans="1:27">
      <c r="A22" s="8">
        <v>46266</v>
      </c>
      <c r="B22" s="30">
        <v>1000</v>
      </c>
      <c r="C22" s="30">
        <v>1000</v>
      </c>
      <c r="D22" s="30">
        <v>1000</v>
      </c>
      <c r="E22" s="30">
        <v>1000</v>
      </c>
      <c r="F22" s="30">
        <v>1000</v>
      </c>
      <c r="G22" s="30">
        <v>1000</v>
      </c>
      <c r="H22" s="30">
        <v>1000</v>
      </c>
      <c r="I22" s="30">
        <v>1000</v>
      </c>
      <c r="J22" s="30">
        <v>1000</v>
      </c>
      <c r="K22" s="30">
        <v>1000</v>
      </c>
      <c r="L22" s="30">
        <v>1000</v>
      </c>
      <c r="M22" s="30">
        <v>1000</v>
      </c>
      <c r="N22" s="30">
        <v>1000</v>
      </c>
      <c r="O22" s="30">
        <v>1000</v>
      </c>
      <c r="P22" s="30">
        <v>1000</v>
      </c>
      <c r="Q22" s="30">
        <v>1000</v>
      </c>
      <c r="R22" s="30">
        <v>1000</v>
      </c>
      <c r="S22" s="30">
        <v>1000</v>
      </c>
      <c r="T22" s="30">
        <v>1000</v>
      </c>
      <c r="U22" s="30">
        <v>1000</v>
      </c>
      <c r="V22" s="30">
        <v>1000</v>
      </c>
      <c r="W22" s="30">
        <v>1000</v>
      </c>
      <c r="X22" s="30">
        <v>1000</v>
      </c>
      <c r="Y22" s="30">
        <v>1000</v>
      </c>
      <c r="Z22" s="30">
        <f t="shared" si="0"/>
        <v>24000</v>
      </c>
      <c r="AA22" s="9">
        <f>+Z22*30</f>
        <v>720000</v>
      </c>
    </row>
    <row r="23" spans="1:27">
      <c r="A23" s="8">
        <v>46296</v>
      </c>
      <c r="B23" s="30">
        <v>1000</v>
      </c>
      <c r="C23" s="30">
        <v>1000</v>
      </c>
      <c r="D23" s="30">
        <v>1000</v>
      </c>
      <c r="E23" s="30">
        <v>1000</v>
      </c>
      <c r="F23" s="30">
        <v>1000</v>
      </c>
      <c r="G23" s="30">
        <v>1000</v>
      </c>
      <c r="H23" s="30">
        <v>1000</v>
      </c>
      <c r="I23" s="30">
        <v>1000</v>
      </c>
      <c r="J23" s="30">
        <v>1000</v>
      </c>
      <c r="K23" s="30">
        <v>1000</v>
      </c>
      <c r="L23" s="30">
        <v>1000</v>
      </c>
      <c r="M23" s="30">
        <v>1000</v>
      </c>
      <c r="N23" s="30">
        <v>1000</v>
      </c>
      <c r="O23" s="30">
        <v>1000</v>
      </c>
      <c r="P23" s="30">
        <v>1000</v>
      </c>
      <c r="Q23" s="30">
        <v>1000</v>
      </c>
      <c r="R23" s="30">
        <v>1000</v>
      </c>
      <c r="S23" s="30">
        <v>1000</v>
      </c>
      <c r="T23" s="30">
        <v>1000</v>
      </c>
      <c r="U23" s="30">
        <v>1000</v>
      </c>
      <c r="V23" s="30">
        <v>1000</v>
      </c>
      <c r="W23" s="30">
        <v>1000</v>
      </c>
      <c r="X23" s="30">
        <v>1000</v>
      </c>
      <c r="Y23" s="30">
        <v>1000</v>
      </c>
      <c r="Z23" s="30">
        <f t="shared" si="0"/>
        <v>24000</v>
      </c>
      <c r="AA23" s="9">
        <f>+Z23*31</f>
        <v>744000</v>
      </c>
    </row>
    <row r="24" spans="1:27">
      <c r="A24" s="8">
        <v>46327</v>
      </c>
      <c r="B24" s="30">
        <v>1000</v>
      </c>
      <c r="C24" s="30">
        <v>1000</v>
      </c>
      <c r="D24" s="30">
        <v>1000</v>
      </c>
      <c r="E24" s="30">
        <v>1000</v>
      </c>
      <c r="F24" s="30">
        <v>1000</v>
      </c>
      <c r="G24" s="30">
        <v>1000</v>
      </c>
      <c r="H24" s="30">
        <v>1000</v>
      </c>
      <c r="I24" s="30">
        <v>1000</v>
      </c>
      <c r="J24" s="30">
        <v>1000</v>
      </c>
      <c r="K24" s="30">
        <v>1000</v>
      </c>
      <c r="L24" s="30">
        <v>1000</v>
      </c>
      <c r="M24" s="30">
        <v>1000</v>
      </c>
      <c r="N24" s="30">
        <v>1000</v>
      </c>
      <c r="O24" s="30">
        <v>1000</v>
      </c>
      <c r="P24" s="30">
        <v>1000</v>
      </c>
      <c r="Q24" s="30">
        <v>1000</v>
      </c>
      <c r="R24" s="30">
        <v>1000</v>
      </c>
      <c r="S24" s="30">
        <v>1000</v>
      </c>
      <c r="T24" s="30">
        <v>1000</v>
      </c>
      <c r="U24" s="30">
        <v>1000</v>
      </c>
      <c r="V24" s="30">
        <v>1000</v>
      </c>
      <c r="W24" s="30">
        <v>1000</v>
      </c>
      <c r="X24" s="30">
        <v>1000</v>
      </c>
      <c r="Y24" s="30">
        <v>1000</v>
      </c>
      <c r="Z24" s="30">
        <f t="shared" si="0"/>
        <v>24000</v>
      </c>
      <c r="AA24" s="9">
        <f>+Z24*30</f>
        <v>720000</v>
      </c>
    </row>
    <row r="25" spans="1:27">
      <c r="A25" s="8">
        <v>46357</v>
      </c>
      <c r="B25" s="30">
        <v>1000</v>
      </c>
      <c r="C25" s="30">
        <v>1000</v>
      </c>
      <c r="D25" s="30">
        <v>1000</v>
      </c>
      <c r="E25" s="30">
        <v>1000</v>
      </c>
      <c r="F25" s="30">
        <v>1000</v>
      </c>
      <c r="G25" s="30">
        <v>1000</v>
      </c>
      <c r="H25" s="30">
        <v>1000</v>
      </c>
      <c r="I25" s="30">
        <v>1000</v>
      </c>
      <c r="J25" s="30">
        <v>1000</v>
      </c>
      <c r="K25" s="30">
        <v>1000</v>
      </c>
      <c r="L25" s="30">
        <v>1000</v>
      </c>
      <c r="M25" s="30">
        <v>1000</v>
      </c>
      <c r="N25" s="30">
        <v>1000</v>
      </c>
      <c r="O25" s="30">
        <v>1000</v>
      </c>
      <c r="P25" s="30">
        <v>1000</v>
      </c>
      <c r="Q25" s="30">
        <v>1000</v>
      </c>
      <c r="R25" s="30">
        <v>1000</v>
      </c>
      <c r="S25" s="30">
        <v>1000</v>
      </c>
      <c r="T25" s="30">
        <v>1000</v>
      </c>
      <c r="U25" s="30">
        <v>1000</v>
      </c>
      <c r="V25" s="30">
        <v>1000</v>
      </c>
      <c r="W25" s="30">
        <v>1000</v>
      </c>
      <c r="X25" s="30">
        <v>1000</v>
      </c>
      <c r="Y25" s="30">
        <v>1000</v>
      </c>
      <c r="Z25" s="30">
        <f t="shared" si="0"/>
        <v>24000</v>
      </c>
      <c r="AA25" s="9">
        <f>+Z25*31</f>
        <v>744000</v>
      </c>
    </row>
    <row r="26" spans="1:27">
      <c r="A26" s="8">
        <v>46388</v>
      </c>
      <c r="B26" s="30">
        <v>1000</v>
      </c>
      <c r="C26" s="30">
        <v>1000</v>
      </c>
      <c r="D26" s="30">
        <v>1000</v>
      </c>
      <c r="E26" s="30">
        <v>1000</v>
      </c>
      <c r="F26" s="30">
        <v>1000</v>
      </c>
      <c r="G26" s="30">
        <v>1000</v>
      </c>
      <c r="H26" s="30">
        <v>1000</v>
      </c>
      <c r="I26" s="30">
        <v>1000</v>
      </c>
      <c r="J26" s="30">
        <v>1000</v>
      </c>
      <c r="K26" s="30">
        <v>1000</v>
      </c>
      <c r="L26" s="30">
        <v>1000</v>
      </c>
      <c r="M26" s="30">
        <v>1000</v>
      </c>
      <c r="N26" s="30">
        <v>1000</v>
      </c>
      <c r="O26" s="30">
        <v>1000</v>
      </c>
      <c r="P26" s="30">
        <v>1000</v>
      </c>
      <c r="Q26" s="30">
        <v>1000</v>
      </c>
      <c r="R26" s="30">
        <v>1000</v>
      </c>
      <c r="S26" s="30">
        <v>1000</v>
      </c>
      <c r="T26" s="30">
        <v>1000</v>
      </c>
      <c r="U26" s="30">
        <v>1000</v>
      </c>
      <c r="V26" s="30">
        <v>1000</v>
      </c>
      <c r="W26" s="30">
        <v>1000</v>
      </c>
      <c r="X26" s="30">
        <v>1000</v>
      </c>
      <c r="Y26" s="30">
        <v>1000</v>
      </c>
      <c r="Z26" s="30">
        <f t="shared" si="0"/>
        <v>24000</v>
      </c>
      <c r="AA26" s="9">
        <f>+Z26*31</f>
        <v>744000</v>
      </c>
    </row>
    <row r="27" spans="1:27">
      <c r="A27" s="8">
        <v>46419</v>
      </c>
      <c r="B27" s="30">
        <v>1000</v>
      </c>
      <c r="C27" s="30">
        <v>1000</v>
      </c>
      <c r="D27" s="30">
        <v>1000</v>
      </c>
      <c r="E27" s="30">
        <v>1000</v>
      </c>
      <c r="F27" s="30">
        <v>1000</v>
      </c>
      <c r="G27" s="30">
        <v>1000</v>
      </c>
      <c r="H27" s="30">
        <v>1000</v>
      </c>
      <c r="I27" s="30">
        <v>1000</v>
      </c>
      <c r="J27" s="30">
        <v>1000</v>
      </c>
      <c r="K27" s="30">
        <v>1000</v>
      </c>
      <c r="L27" s="30">
        <v>1000</v>
      </c>
      <c r="M27" s="30">
        <v>1000</v>
      </c>
      <c r="N27" s="30">
        <v>1000</v>
      </c>
      <c r="O27" s="30">
        <v>1000</v>
      </c>
      <c r="P27" s="30">
        <v>1000</v>
      </c>
      <c r="Q27" s="30">
        <v>1000</v>
      </c>
      <c r="R27" s="30">
        <v>1000</v>
      </c>
      <c r="S27" s="30">
        <v>1000</v>
      </c>
      <c r="T27" s="30">
        <v>1000</v>
      </c>
      <c r="U27" s="30">
        <v>1000</v>
      </c>
      <c r="V27" s="30">
        <v>1000</v>
      </c>
      <c r="W27" s="30">
        <v>1000</v>
      </c>
      <c r="X27" s="30">
        <v>1000</v>
      </c>
      <c r="Y27" s="30">
        <v>1000</v>
      </c>
      <c r="Z27" s="30">
        <f t="shared" si="0"/>
        <v>24000</v>
      </c>
      <c r="AA27" s="9">
        <f>+Z27*28</f>
        <v>672000</v>
      </c>
    </row>
    <row r="28" spans="1:27">
      <c r="A28" s="8">
        <v>46447</v>
      </c>
      <c r="B28" s="30">
        <v>1000</v>
      </c>
      <c r="C28" s="30">
        <v>1000</v>
      </c>
      <c r="D28" s="30">
        <v>1000</v>
      </c>
      <c r="E28" s="30">
        <v>1000</v>
      </c>
      <c r="F28" s="30">
        <v>1000</v>
      </c>
      <c r="G28" s="30">
        <v>1000</v>
      </c>
      <c r="H28" s="30">
        <v>1000</v>
      </c>
      <c r="I28" s="30">
        <v>1000</v>
      </c>
      <c r="J28" s="30">
        <v>1000</v>
      </c>
      <c r="K28" s="30">
        <v>1000</v>
      </c>
      <c r="L28" s="30">
        <v>1000</v>
      </c>
      <c r="M28" s="30">
        <v>1000</v>
      </c>
      <c r="N28" s="30">
        <v>1000</v>
      </c>
      <c r="O28" s="30">
        <v>1000</v>
      </c>
      <c r="P28" s="30">
        <v>1000</v>
      </c>
      <c r="Q28" s="30">
        <v>1000</v>
      </c>
      <c r="R28" s="30">
        <v>1000</v>
      </c>
      <c r="S28" s="30">
        <v>1000</v>
      </c>
      <c r="T28" s="30">
        <v>1000</v>
      </c>
      <c r="U28" s="30">
        <v>1000</v>
      </c>
      <c r="V28" s="30">
        <v>1000</v>
      </c>
      <c r="W28" s="30">
        <v>1000</v>
      </c>
      <c r="X28" s="30">
        <v>1000</v>
      </c>
      <c r="Y28" s="30">
        <v>1000</v>
      </c>
      <c r="Z28" s="30">
        <f t="shared" si="0"/>
        <v>24000</v>
      </c>
      <c r="AA28" s="9">
        <f>+Z28*31</f>
        <v>744000</v>
      </c>
    </row>
    <row r="29" spans="1:27">
      <c r="A29" s="8">
        <v>46478</v>
      </c>
      <c r="B29" s="30">
        <v>1000</v>
      </c>
      <c r="C29" s="30">
        <v>1000</v>
      </c>
      <c r="D29" s="30">
        <v>1000</v>
      </c>
      <c r="E29" s="30">
        <v>1000</v>
      </c>
      <c r="F29" s="30">
        <v>1000</v>
      </c>
      <c r="G29" s="30">
        <v>1000</v>
      </c>
      <c r="H29" s="30">
        <v>1000</v>
      </c>
      <c r="I29" s="30">
        <v>1000</v>
      </c>
      <c r="J29" s="30">
        <v>1000</v>
      </c>
      <c r="K29" s="30">
        <v>1000</v>
      </c>
      <c r="L29" s="30">
        <v>1000</v>
      </c>
      <c r="M29" s="30">
        <v>1000</v>
      </c>
      <c r="N29" s="30">
        <v>1000</v>
      </c>
      <c r="O29" s="30">
        <v>1000</v>
      </c>
      <c r="P29" s="30">
        <v>1000</v>
      </c>
      <c r="Q29" s="30">
        <v>1000</v>
      </c>
      <c r="R29" s="30">
        <v>1000</v>
      </c>
      <c r="S29" s="30">
        <v>1000</v>
      </c>
      <c r="T29" s="30">
        <v>1000</v>
      </c>
      <c r="U29" s="30">
        <v>1000</v>
      </c>
      <c r="V29" s="30">
        <v>1000</v>
      </c>
      <c r="W29" s="30">
        <v>1000</v>
      </c>
      <c r="X29" s="30">
        <v>1000</v>
      </c>
      <c r="Y29" s="30">
        <v>1000</v>
      </c>
      <c r="Z29" s="30">
        <f t="shared" si="0"/>
        <v>24000</v>
      </c>
      <c r="AA29" s="9">
        <f>+Z29*30</f>
        <v>720000</v>
      </c>
    </row>
    <row r="30" spans="1:27">
      <c r="A30" s="8">
        <v>46508</v>
      </c>
      <c r="B30" s="30">
        <v>1000</v>
      </c>
      <c r="C30" s="30">
        <v>1000</v>
      </c>
      <c r="D30" s="30">
        <v>1000</v>
      </c>
      <c r="E30" s="30">
        <v>1000</v>
      </c>
      <c r="F30" s="30">
        <v>1000</v>
      </c>
      <c r="G30" s="30">
        <v>1000</v>
      </c>
      <c r="H30" s="30">
        <v>1000</v>
      </c>
      <c r="I30" s="30">
        <v>1000</v>
      </c>
      <c r="J30" s="30">
        <v>1000</v>
      </c>
      <c r="K30" s="30">
        <v>1000</v>
      </c>
      <c r="L30" s="30">
        <v>1000</v>
      </c>
      <c r="M30" s="30">
        <v>1000</v>
      </c>
      <c r="N30" s="30">
        <v>1000</v>
      </c>
      <c r="O30" s="30">
        <v>1000</v>
      </c>
      <c r="P30" s="30">
        <v>1000</v>
      </c>
      <c r="Q30" s="30">
        <v>1000</v>
      </c>
      <c r="R30" s="30">
        <v>1000</v>
      </c>
      <c r="S30" s="30">
        <v>1000</v>
      </c>
      <c r="T30" s="30">
        <v>1000</v>
      </c>
      <c r="U30" s="30">
        <v>1000</v>
      </c>
      <c r="V30" s="30">
        <v>1000</v>
      </c>
      <c r="W30" s="30">
        <v>1000</v>
      </c>
      <c r="X30" s="30">
        <v>1000</v>
      </c>
      <c r="Y30" s="30">
        <v>1000</v>
      </c>
      <c r="Z30" s="30">
        <f t="shared" si="0"/>
        <v>24000</v>
      </c>
      <c r="AA30" s="9">
        <f>+Z30*31</f>
        <v>744000</v>
      </c>
    </row>
    <row r="31" spans="1:27">
      <c r="A31" s="8">
        <v>46539</v>
      </c>
      <c r="B31" s="30">
        <v>1000</v>
      </c>
      <c r="C31" s="30">
        <v>1000</v>
      </c>
      <c r="D31" s="30">
        <v>1000</v>
      </c>
      <c r="E31" s="30">
        <v>1000</v>
      </c>
      <c r="F31" s="30">
        <v>1000</v>
      </c>
      <c r="G31" s="30">
        <v>1000</v>
      </c>
      <c r="H31" s="30">
        <v>1000</v>
      </c>
      <c r="I31" s="30">
        <v>1000</v>
      </c>
      <c r="J31" s="30">
        <v>1000</v>
      </c>
      <c r="K31" s="30">
        <v>1000</v>
      </c>
      <c r="L31" s="30">
        <v>1000</v>
      </c>
      <c r="M31" s="30">
        <v>1000</v>
      </c>
      <c r="N31" s="30">
        <v>1000</v>
      </c>
      <c r="O31" s="30">
        <v>1000</v>
      </c>
      <c r="P31" s="30">
        <v>1000</v>
      </c>
      <c r="Q31" s="30">
        <v>1000</v>
      </c>
      <c r="R31" s="30">
        <v>1000</v>
      </c>
      <c r="S31" s="30">
        <v>1000</v>
      </c>
      <c r="T31" s="30">
        <v>1000</v>
      </c>
      <c r="U31" s="30">
        <v>1000</v>
      </c>
      <c r="V31" s="30">
        <v>1000</v>
      </c>
      <c r="W31" s="30">
        <v>1000</v>
      </c>
      <c r="X31" s="30">
        <v>1000</v>
      </c>
      <c r="Y31" s="30">
        <v>1000</v>
      </c>
      <c r="Z31" s="30">
        <f t="shared" si="0"/>
        <v>24000</v>
      </c>
      <c r="AA31" s="9">
        <f>+Z31*30</f>
        <v>720000</v>
      </c>
    </row>
    <row r="32" spans="1:27">
      <c r="A32" s="8">
        <v>46569</v>
      </c>
      <c r="B32" s="30">
        <v>1000</v>
      </c>
      <c r="C32" s="30">
        <v>1000</v>
      </c>
      <c r="D32" s="30">
        <v>1000</v>
      </c>
      <c r="E32" s="30">
        <v>1000</v>
      </c>
      <c r="F32" s="30">
        <v>1000</v>
      </c>
      <c r="G32" s="30">
        <v>1000</v>
      </c>
      <c r="H32" s="30">
        <v>1000</v>
      </c>
      <c r="I32" s="30">
        <v>1000</v>
      </c>
      <c r="J32" s="30">
        <v>1000</v>
      </c>
      <c r="K32" s="30">
        <v>1000</v>
      </c>
      <c r="L32" s="30">
        <v>1000</v>
      </c>
      <c r="M32" s="30">
        <v>1000</v>
      </c>
      <c r="N32" s="30">
        <v>1000</v>
      </c>
      <c r="O32" s="30">
        <v>1000</v>
      </c>
      <c r="P32" s="30">
        <v>1000</v>
      </c>
      <c r="Q32" s="30">
        <v>1000</v>
      </c>
      <c r="R32" s="30">
        <v>1000</v>
      </c>
      <c r="S32" s="30">
        <v>1000</v>
      </c>
      <c r="T32" s="30">
        <v>1000</v>
      </c>
      <c r="U32" s="30">
        <v>1000</v>
      </c>
      <c r="V32" s="30">
        <v>1000</v>
      </c>
      <c r="W32" s="30">
        <v>1000</v>
      </c>
      <c r="X32" s="30">
        <v>1000</v>
      </c>
      <c r="Y32" s="30">
        <v>1000</v>
      </c>
      <c r="Z32" s="30">
        <f t="shared" si="0"/>
        <v>24000</v>
      </c>
      <c r="AA32" s="9">
        <f>+Z32*31</f>
        <v>744000</v>
      </c>
    </row>
    <row r="33" spans="1:27">
      <c r="A33" s="8">
        <v>46600</v>
      </c>
      <c r="B33" s="30">
        <v>1000</v>
      </c>
      <c r="C33" s="30">
        <v>1000</v>
      </c>
      <c r="D33" s="30">
        <v>1000</v>
      </c>
      <c r="E33" s="30">
        <v>1000</v>
      </c>
      <c r="F33" s="30">
        <v>1000</v>
      </c>
      <c r="G33" s="30">
        <v>1000</v>
      </c>
      <c r="H33" s="30">
        <v>1000</v>
      </c>
      <c r="I33" s="30">
        <v>1000</v>
      </c>
      <c r="J33" s="30">
        <v>1000</v>
      </c>
      <c r="K33" s="30">
        <v>1000</v>
      </c>
      <c r="L33" s="30">
        <v>1000</v>
      </c>
      <c r="M33" s="30">
        <v>1000</v>
      </c>
      <c r="N33" s="30">
        <v>1000</v>
      </c>
      <c r="O33" s="30">
        <v>1000</v>
      </c>
      <c r="P33" s="30">
        <v>1000</v>
      </c>
      <c r="Q33" s="30">
        <v>1000</v>
      </c>
      <c r="R33" s="30">
        <v>1000</v>
      </c>
      <c r="S33" s="30">
        <v>1000</v>
      </c>
      <c r="T33" s="30">
        <v>1000</v>
      </c>
      <c r="U33" s="30">
        <v>1000</v>
      </c>
      <c r="V33" s="30">
        <v>1000</v>
      </c>
      <c r="W33" s="30">
        <v>1000</v>
      </c>
      <c r="X33" s="30">
        <v>1000</v>
      </c>
      <c r="Y33" s="30">
        <v>1000</v>
      </c>
      <c r="Z33" s="30">
        <f t="shared" si="0"/>
        <v>24000</v>
      </c>
      <c r="AA33" s="9">
        <f>+Z33*31</f>
        <v>744000</v>
      </c>
    </row>
    <row r="34" spans="1:27">
      <c r="A34" s="8">
        <v>46631</v>
      </c>
      <c r="B34" s="30">
        <v>1000</v>
      </c>
      <c r="C34" s="30">
        <v>1000</v>
      </c>
      <c r="D34" s="30">
        <v>1000</v>
      </c>
      <c r="E34" s="30">
        <v>1000</v>
      </c>
      <c r="F34" s="30">
        <v>1000</v>
      </c>
      <c r="G34" s="30">
        <v>1000</v>
      </c>
      <c r="H34" s="30">
        <v>1000</v>
      </c>
      <c r="I34" s="30">
        <v>1000</v>
      </c>
      <c r="J34" s="30">
        <v>1000</v>
      </c>
      <c r="K34" s="30">
        <v>1000</v>
      </c>
      <c r="L34" s="30">
        <v>1000</v>
      </c>
      <c r="M34" s="30">
        <v>1000</v>
      </c>
      <c r="N34" s="30">
        <v>1000</v>
      </c>
      <c r="O34" s="30">
        <v>1000</v>
      </c>
      <c r="P34" s="30">
        <v>1000</v>
      </c>
      <c r="Q34" s="30">
        <v>1000</v>
      </c>
      <c r="R34" s="30">
        <v>1000</v>
      </c>
      <c r="S34" s="30">
        <v>1000</v>
      </c>
      <c r="T34" s="30">
        <v>1000</v>
      </c>
      <c r="U34" s="30">
        <v>1000</v>
      </c>
      <c r="V34" s="30">
        <v>1000</v>
      </c>
      <c r="W34" s="30">
        <v>1000</v>
      </c>
      <c r="X34" s="30">
        <v>1000</v>
      </c>
      <c r="Y34" s="30">
        <v>1000</v>
      </c>
      <c r="Z34" s="30">
        <f t="shared" si="0"/>
        <v>24000</v>
      </c>
      <c r="AA34" s="9">
        <f>+Z34*30</f>
        <v>720000</v>
      </c>
    </row>
    <row r="35" spans="1:27">
      <c r="A35" s="8">
        <v>46661</v>
      </c>
      <c r="B35" s="30">
        <v>1000</v>
      </c>
      <c r="C35" s="30">
        <v>1000</v>
      </c>
      <c r="D35" s="30">
        <v>1000</v>
      </c>
      <c r="E35" s="30">
        <v>1000</v>
      </c>
      <c r="F35" s="30">
        <v>1000</v>
      </c>
      <c r="G35" s="30">
        <v>1000</v>
      </c>
      <c r="H35" s="30">
        <v>1000</v>
      </c>
      <c r="I35" s="30">
        <v>1000</v>
      </c>
      <c r="J35" s="30">
        <v>1000</v>
      </c>
      <c r="K35" s="30">
        <v>1000</v>
      </c>
      <c r="L35" s="30">
        <v>1000</v>
      </c>
      <c r="M35" s="30">
        <v>1000</v>
      </c>
      <c r="N35" s="30">
        <v>1000</v>
      </c>
      <c r="O35" s="30">
        <v>1000</v>
      </c>
      <c r="P35" s="30">
        <v>1000</v>
      </c>
      <c r="Q35" s="30">
        <v>1000</v>
      </c>
      <c r="R35" s="30">
        <v>1000</v>
      </c>
      <c r="S35" s="30">
        <v>1000</v>
      </c>
      <c r="T35" s="30">
        <v>1000</v>
      </c>
      <c r="U35" s="30">
        <v>1000</v>
      </c>
      <c r="V35" s="30">
        <v>1000</v>
      </c>
      <c r="W35" s="30">
        <v>1000</v>
      </c>
      <c r="X35" s="30">
        <v>1000</v>
      </c>
      <c r="Y35" s="30">
        <v>1000</v>
      </c>
      <c r="Z35" s="30">
        <f t="shared" si="0"/>
        <v>24000</v>
      </c>
      <c r="AA35" s="9">
        <f>+Z35*31</f>
        <v>744000</v>
      </c>
    </row>
    <row r="36" spans="1:27">
      <c r="A36" s="8">
        <v>46692</v>
      </c>
      <c r="B36" s="30">
        <v>1000</v>
      </c>
      <c r="C36" s="30">
        <v>1000</v>
      </c>
      <c r="D36" s="30">
        <v>1000</v>
      </c>
      <c r="E36" s="30">
        <v>1000</v>
      </c>
      <c r="F36" s="30">
        <v>1000</v>
      </c>
      <c r="G36" s="30">
        <v>1000</v>
      </c>
      <c r="H36" s="30">
        <v>1000</v>
      </c>
      <c r="I36" s="30">
        <v>1000</v>
      </c>
      <c r="J36" s="30">
        <v>1000</v>
      </c>
      <c r="K36" s="30">
        <v>1000</v>
      </c>
      <c r="L36" s="30">
        <v>1000</v>
      </c>
      <c r="M36" s="30">
        <v>1000</v>
      </c>
      <c r="N36" s="30">
        <v>1000</v>
      </c>
      <c r="O36" s="30">
        <v>1000</v>
      </c>
      <c r="P36" s="30">
        <v>1000</v>
      </c>
      <c r="Q36" s="30">
        <v>1000</v>
      </c>
      <c r="R36" s="30">
        <v>1000</v>
      </c>
      <c r="S36" s="30">
        <v>1000</v>
      </c>
      <c r="T36" s="30">
        <v>1000</v>
      </c>
      <c r="U36" s="30">
        <v>1000</v>
      </c>
      <c r="V36" s="30">
        <v>1000</v>
      </c>
      <c r="W36" s="30">
        <v>1000</v>
      </c>
      <c r="X36" s="30">
        <v>1000</v>
      </c>
      <c r="Y36" s="30">
        <v>1000</v>
      </c>
      <c r="Z36" s="30">
        <f t="shared" si="0"/>
        <v>24000</v>
      </c>
      <c r="AA36" s="9">
        <f>+Z36*30</f>
        <v>720000</v>
      </c>
    </row>
    <row r="37" spans="1:27">
      <c r="A37" s="8">
        <v>46722</v>
      </c>
      <c r="B37" s="30">
        <v>1000</v>
      </c>
      <c r="C37" s="30">
        <v>1000</v>
      </c>
      <c r="D37" s="30">
        <v>1000</v>
      </c>
      <c r="E37" s="30">
        <v>1000</v>
      </c>
      <c r="F37" s="30">
        <v>1000</v>
      </c>
      <c r="G37" s="30">
        <v>1000</v>
      </c>
      <c r="H37" s="30">
        <v>1000</v>
      </c>
      <c r="I37" s="30">
        <v>1000</v>
      </c>
      <c r="J37" s="30">
        <v>1000</v>
      </c>
      <c r="K37" s="30">
        <v>1000</v>
      </c>
      <c r="L37" s="30">
        <v>1000</v>
      </c>
      <c r="M37" s="30">
        <v>1000</v>
      </c>
      <c r="N37" s="30">
        <v>1000</v>
      </c>
      <c r="O37" s="30">
        <v>1000</v>
      </c>
      <c r="P37" s="30">
        <v>1000</v>
      </c>
      <c r="Q37" s="30">
        <v>1000</v>
      </c>
      <c r="R37" s="30">
        <v>1000</v>
      </c>
      <c r="S37" s="30">
        <v>1000</v>
      </c>
      <c r="T37" s="30">
        <v>1000</v>
      </c>
      <c r="U37" s="30">
        <v>1000</v>
      </c>
      <c r="V37" s="30">
        <v>1000</v>
      </c>
      <c r="W37" s="30">
        <v>1000</v>
      </c>
      <c r="X37" s="30">
        <v>1000</v>
      </c>
      <c r="Y37" s="30">
        <v>1000</v>
      </c>
      <c r="Z37" s="30">
        <f t="shared" si="0"/>
        <v>24000</v>
      </c>
      <c r="AA37" s="9">
        <f>+Z37*31</f>
        <v>744000</v>
      </c>
    </row>
    <row r="38" spans="1:27">
      <c r="Z38" t="s">
        <v>54</v>
      </c>
      <c r="AA38" s="48">
        <f>SUM(AA7:AA37)</f>
        <v>22656000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Cant. Requeridas- dia. </vt:lpstr>
      <vt:lpstr>Oferta </vt:lpstr>
      <vt:lpstr>Cant. Requeridas Producto.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 of trading BIA</dc:creator>
  <cp:lastModifiedBy>ASUS</cp:lastModifiedBy>
  <cp:lastPrinted>2024-03-14T20:10:54Z</cp:lastPrinted>
  <dcterms:created xsi:type="dcterms:W3CDTF">2022-08-03T18:43:37Z</dcterms:created>
  <dcterms:modified xsi:type="dcterms:W3CDTF">2025-02-07T15:55:33Z</dcterms:modified>
</cp:coreProperties>
</file>