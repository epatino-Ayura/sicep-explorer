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jperez\Documents\CEDENAR 2026\COMPRA DE ENERGIA\CP-CDNC2026-001\ADENDA\"/>
    </mc:Choice>
  </mc:AlternateContent>
  <xr:revisionPtr revIDLastSave="0" documentId="13_ncr:1_{A8DC6A50-519D-4A39-84E5-13C0788A7322}" xr6:coauthVersionLast="47" xr6:coauthVersionMax="47" xr10:uidLastSave="{00000000-0000-0000-0000-000000000000}"/>
  <bookViews>
    <workbookView xWindow="-120" yWindow="-120" windowWidth="24240" windowHeight="13020" tabRatio="965" xr2:uid="{00000000-000D-0000-FFFF-FFFF00000000}"/>
  </bookViews>
  <sheets>
    <sheet name="A2P1" sheetId="47" r:id="rId1"/>
    <sheet name="A3P2" sheetId="52" r:id="rId2"/>
    <sheet name="A4P3" sheetId="53" r:id="rId3"/>
    <sheet name="A5P4" sheetId="54" r:id="rId4"/>
    <sheet name="A6P5" sheetId="55" r:id="rId5"/>
    <sheet name="A7P6" sheetId="56" r:id="rId6"/>
    <sheet name="A8P7" sheetId="57" r:id="rId7"/>
    <sheet name="a9P1" sheetId="51" r:id="rId8"/>
    <sheet name="a10P2" sheetId="58" r:id="rId9"/>
    <sheet name="a11P3" sheetId="59" r:id="rId10"/>
    <sheet name="a12P4" sheetId="60" r:id="rId11"/>
    <sheet name="a13P5" sheetId="61" r:id="rId12"/>
    <sheet name="a14P6" sheetId="62" r:id="rId13"/>
    <sheet name="a15P7" sheetId="6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5" i="64" l="1"/>
  <c r="B24" i="64"/>
  <c r="B23" i="64"/>
  <c r="B22" i="64"/>
  <c r="B21" i="64"/>
  <c r="B20" i="64"/>
  <c r="B19" i="64"/>
  <c r="B18" i="64"/>
  <c r="B17" i="64"/>
  <c r="B16" i="64"/>
  <c r="B26" i="64" l="1"/>
  <c r="N41" i="57" l="1"/>
  <c r="H38" i="57"/>
  <c r="M37" i="57"/>
  <c r="M40" i="57" s="1"/>
  <c r="L37" i="57"/>
  <c r="L40" i="57" s="1"/>
  <c r="K37" i="57"/>
  <c r="K40" i="57" s="1"/>
  <c r="J37" i="57"/>
  <c r="J40" i="57" s="1"/>
  <c r="I37" i="57"/>
  <c r="I40" i="57" s="1"/>
  <c r="H37" i="57"/>
  <c r="H40" i="57" s="1"/>
  <c r="G37" i="57"/>
  <c r="G40" i="57" s="1"/>
  <c r="F37" i="57"/>
  <c r="F40" i="57" s="1"/>
  <c r="E37" i="57"/>
  <c r="E40" i="57" s="1"/>
  <c r="D37" i="57"/>
  <c r="D40" i="57" s="1"/>
  <c r="M36" i="57"/>
  <c r="M39" i="57" s="1"/>
  <c r="L36" i="57"/>
  <c r="L39" i="57" s="1"/>
  <c r="K36" i="57"/>
  <c r="K39" i="57" s="1"/>
  <c r="J36" i="57"/>
  <c r="J39" i="57" s="1"/>
  <c r="I36" i="57"/>
  <c r="I39" i="57" s="1"/>
  <c r="H36" i="57"/>
  <c r="H39" i="57" s="1"/>
  <c r="G36" i="57"/>
  <c r="G39" i="57" s="1"/>
  <c r="F36" i="57"/>
  <c r="F39" i="57" s="1"/>
  <c r="E36" i="57"/>
  <c r="E39" i="57" s="1"/>
  <c r="D36" i="57"/>
  <c r="D39" i="57" s="1"/>
  <c r="M35" i="57"/>
  <c r="M38" i="57" s="1"/>
  <c r="L35" i="57"/>
  <c r="L38" i="57" s="1"/>
  <c r="K35" i="57"/>
  <c r="K38" i="57" s="1"/>
  <c r="J35" i="57"/>
  <c r="J38" i="57" s="1"/>
  <c r="I35" i="57"/>
  <c r="I38" i="57" s="1"/>
  <c r="H35" i="57"/>
  <c r="G35" i="57"/>
  <c r="G38" i="57" s="1"/>
  <c r="F35" i="57"/>
  <c r="F38" i="57" s="1"/>
  <c r="E35" i="57"/>
  <c r="E38" i="57" s="1"/>
  <c r="D35" i="57"/>
  <c r="D38" i="57" s="1"/>
  <c r="K41" i="57" l="1"/>
  <c r="I41" i="57"/>
  <c r="E41" i="57"/>
  <c r="G41" i="57"/>
  <c r="J41" i="57"/>
  <c r="D41" i="57"/>
  <c r="F41" i="57"/>
  <c r="L41" i="57"/>
  <c r="H41" i="57"/>
  <c r="M41" i="57"/>
  <c r="O37" i="56" l="1"/>
  <c r="O40" i="56" s="1"/>
  <c r="N37" i="56"/>
  <c r="N40" i="56" s="1"/>
  <c r="M37" i="56"/>
  <c r="M40" i="56" s="1"/>
  <c r="L37" i="56"/>
  <c r="L40" i="56" s="1"/>
  <c r="K37" i="56"/>
  <c r="K40" i="56" s="1"/>
  <c r="J37" i="56"/>
  <c r="J40" i="56" s="1"/>
  <c r="I37" i="56"/>
  <c r="I40" i="56" s="1"/>
  <c r="H37" i="56"/>
  <c r="H40" i="56" s="1"/>
  <c r="G37" i="56"/>
  <c r="G40" i="56" s="1"/>
  <c r="F37" i="56"/>
  <c r="F40" i="56" s="1"/>
  <c r="E37" i="56"/>
  <c r="E40" i="56" s="1"/>
  <c r="D37" i="56"/>
  <c r="D40" i="56" s="1"/>
  <c r="O36" i="56"/>
  <c r="O39" i="56" s="1"/>
  <c r="N36" i="56"/>
  <c r="N39" i="56" s="1"/>
  <c r="M36" i="56"/>
  <c r="M39" i="56" s="1"/>
  <c r="L36" i="56"/>
  <c r="L39" i="56" s="1"/>
  <c r="K36" i="56"/>
  <c r="K39" i="56" s="1"/>
  <c r="J36" i="56"/>
  <c r="J39" i="56" s="1"/>
  <c r="I36" i="56"/>
  <c r="I39" i="56" s="1"/>
  <c r="H36" i="56"/>
  <c r="H39" i="56" s="1"/>
  <c r="G36" i="56"/>
  <c r="G39" i="56" s="1"/>
  <c r="F36" i="56"/>
  <c r="F39" i="56" s="1"/>
  <c r="E36" i="56"/>
  <c r="E39" i="56" s="1"/>
  <c r="D36" i="56"/>
  <c r="D39" i="56" s="1"/>
  <c r="O35" i="56"/>
  <c r="O38" i="56" s="1"/>
  <c r="N35" i="56"/>
  <c r="N38" i="56" s="1"/>
  <c r="M35" i="56"/>
  <c r="M38" i="56" s="1"/>
  <c r="L35" i="56"/>
  <c r="L38" i="56" s="1"/>
  <c r="K35" i="56"/>
  <c r="K38" i="56" s="1"/>
  <c r="J35" i="56"/>
  <c r="J38" i="56" s="1"/>
  <c r="I35" i="56"/>
  <c r="I38" i="56" s="1"/>
  <c r="H35" i="56"/>
  <c r="H38" i="56" s="1"/>
  <c r="G35" i="56"/>
  <c r="G38" i="56" s="1"/>
  <c r="F35" i="56"/>
  <c r="F38" i="56" s="1"/>
  <c r="E35" i="56"/>
  <c r="E38" i="56" s="1"/>
  <c r="D35" i="56"/>
  <c r="D38" i="56" s="1"/>
  <c r="E40" i="55"/>
  <c r="E38" i="55"/>
  <c r="O37" i="55"/>
  <c r="O40" i="55" s="1"/>
  <c r="N37" i="55"/>
  <c r="N40" i="55" s="1"/>
  <c r="M37" i="55"/>
  <c r="M40" i="55" s="1"/>
  <c r="L37" i="55"/>
  <c r="L40" i="55" s="1"/>
  <c r="K37" i="55"/>
  <c r="K40" i="55" s="1"/>
  <c r="J37" i="55"/>
  <c r="J40" i="55" s="1"/>
  <c r="I37" i="55"/>
  <c r="I40" i="55" s="1"/>
  <c r="H37" i="55"/>
  <c r="H40" i="55" s="1"/>
  <c r="G37" i="55"/>
  <c r="G40" i="55" s="1"/>
  <c r="F37" i="55"/>
  <c r="F40" i="55" s="1"/>
  <c r="E37" i="55"/>
  <c r="D37" i="55"/>
  <c r="D40" i="55" s="1"/>
  <c r="O36" i="55"/>
  <c r="O39" i="55" s="1"/>
  <c r="N36" i="55"/>
  <c r="N39" i="55" s="1"/>
  <c r="M36" i="55"/>
  <c r="M39" i="55" s="1"/>
  <c r="L36" i="55"/>
  <c r="L39" i="55" s="1"/>
  <c r="K36" i="55"/>
  <c r="K39" i="55" s="1"/>
  <c r="J36" i="55"/>
  <c r="J39" i="55" s="1"/>
  <c r="I36" i="55"/>
  <c r="I39" i="55" s="1"/>
  <c r="H36" i="55"/>
  <c r="H39" i="55" s="1"/>
  <c r="G36" i="55"/>
  <c r="G39" i="55" s="1"/>
  <c r="F36" i="55"/>
  <c r="F39" i="55" s="1"/>
  <c r="E36" i="55"/>
  <c r="E39" i="55" s="1"/>
  <c r="D36" i="55"/>
  <c r="D39" i="55" s="1"/>
  <c r="O35" i="55"/>
  <c r="O38" i="55" s="1"/>
  <c r="N35" i="55"/>
  <c r="N38" i="55" s="1"/>
  <c r="M35" i="55"/>
  <c r="M38" i="55" s="1"/>
  <c r="L35" i="55"/>
  <c r="L38" i="55" s="1"/>
  <c r="K35" i="55"/>
  <c r="K38" i="55" s="1"/>
  <c r="J35" i="55"/>
  <c r="J38" i="55" s="1"/>
  <c r="I35" i="55"/>
  <c r="I38" i="55" s="1"/>
  <c r="H35" i="55"/>
  <c r="H38" i="55" s="1"/>
  <c r="G35" i="55"/>
  <c r="G38" i="55" s="1"/>
  <c r="F35" i="55"/>
  <c r="F38" i="55" s="1"/>
  <c r="E35" i="55"/>
  <c r="D35" i="55"/>
  <c r="D38" i="55" s="1"/>
  <c r="O37" i="54"/>
  <c r="O40" i="54" s="1"/>
  <c r="N37" i="54"/>
  <c r="N40" i="54" s="1"/>
  <c r="M37" i="54"/>
  <c r="M40" i="54" s="1"/>
  <c r="L37" i="54"/>
  <c r="L40" i="54" s="1"/>
  <c r="K37" i="54"/>
  <c r="K40" i="54" s="1"/>
  <c r="J37" i="54"/>
  <c r="J40" i="54" s="1"/>
  <c r="I37" i="54"/>
  <c r="I40" i="54" s="1"/>
  <c r="H37" i="54"/>
  <c r="H40" i="54" s="1"/>
  <c r="G37" i="54"/>
  <c r="G40" i="54" s="1"/>
  <c r="F37" i="54"/>
  <c r="F40" i="54" s="1"/>
  <c r="E37" i="54"/>
  <c r="E40" i="54" s="1"/>
  <c r="D37" i="54"/>
  <c r="D40" i="54" s="1"/>
  <c r="O36" i="54"/>
  <c r="O39" i="54" s="1"/>
  <c r="N36" i="54"/>
  <c r="N39" i="54" s="1"/>
  <c r="M36" i="54"/>
  <c r="M39" i="54" s="1"/>
  <c r="L36" i="54"/>
  <c r="L39" i="54" s="1"/>
  <c r="K36" i="54"/>
  <c r="K39" i="54" s="1"/>
  <c r="J36" i="54"/>
  <c r="J39" i="54" s="1"/>
  <c r="I36" i="54"/>
  <c r="I39" i="54" s="1"/>
  <c r="H36" i="54"/>
  <c r="H39" i="54" s="1"/>
  <c r="G36" i="54"/>
  <c r="G39" i="54" s="1"/>
  <c r="F36" i="54"/>
  <c r="F39" i="54" s="1"/>
  <c r="E36" i="54"/>
  <c r="E39" i="54" s="1"/>
  <c r="D36" i="54"/>
  <c r="D39" i="54" s="1"/>
  <c r="O35" i="54"/>
  <c r="O38" i="54" s="1"/>
  <c r="N35" i="54"/>
  <c r="N38" i="54" s="1"/>
  <c r="M35" i="54"/>
  <c r="M38" i="54" s="1"/>
  <c r="L35" i="54"/>
  <c r="L38" i="54" s="1"/>
  <c r="K35" i="54"/>
  <c r="K38" i="54" s="1"/>
  <c r="J35" i="54"/>
  <c r="J38" i="54" s="1"/>
  <c r="I35" i="54"/>
  <c r="I38" i="54" s="1"/>
  <c r="H35" i="54"/>
  <c r="H38" i="54" s="1"/>
  <c r="G35" i="54"/>
  <c r="G38" i="54" s="1"/>
  <c r="F35" i="54"/>
  <c r="F38" i="54" s="1"/>
  <c r="E35" i="54"/>
  <c r="E38" i="54" s="1"/>
  <c r="D35" i="54"/>
  <c r="D38" i="54" s="1"/>
  <c r="O37" i="53"/>
  <c r="O40" i="53" s="1"/>
  <c r="N37" i="53"/>
  <c r="N40" i="53" s="1"/>
  <c r="M37" i="53"/>
  <c r="M40" i="53" s="1"/>
  <c r="L37" i="53"/>
  <c r="L40" i="53" s="1"/>
  <c r="K37" i="53"/>
  <c r="K40" i="53" s="1"/>
  <c r="J37" i="53"/>
  <c r="J40" i="53" s="1"/>
  <c r="I37" i="53"/>
  <c r="I40" i="53" s="1"/>
  <c r="H37" i="53"/>
  <c r="H40" i="53" s="1"/>
  <c r="G37" i="53"/>
  <c r="G40" i="53" s="1"/>
  <c r="F37" i="53"/>
  <c r="F40" i="53" s="1"/>
  <c r="E37" i="53"/>
  <c r="E40" i="53" s="1"/>
  <c r="D37" i="53"/>
  <c r="D40" i="53" s="1"/>
  <c r="O36" i="53"/>
  <c r="O39" i="53" s="1"/>
  <c r="N36" i="53"/>
  <c r="N39" i="53" s="1"/>
  <c r="M36" i="53"/>
  <c r="M39" i="53" s="1"/>
  <c r="L36" i="53"/>
  <c r="L39" i="53" s="1"/>
  <c r="K36" i="53"/>
  <c r="K39" i="53" s="1"/>
  <c r="J36" i="53"/>
  <c r="J39" i="53" s="1"/>
  <c r="I36" i="53"/>
  <c r="I39" i="53" s="1"/>
  <c r="H36" i="53"/>
  <c r="H39" i="53" s="1"/>
  <c r="G36" i="53"/>
  <c r="G39" i="53" s="1"/>
  <c r="F36" i="53"/>
  <c r="F39" i="53" s="1"/>
  <c r="E36" i="53"/>
  <c r="E39" i="53" s="1"/>
  <c r="D36" i="53"/>
  <c r="D39" i="53" s="1"/>
  <c r="O35" i="53"/>
  <c r="O38" i="53" s="1"/>
  <c r="N35" i="53"/>
  <c r="N38" i="53" s="1"/>
  <c r="M35" i="53"/>
  <c r="M38" i="53" s="1"/>
  <c r="L35" i="53"/>
  <c r="L38" i="53" s="1"/>
  <c r="K35" i="53"/>
  <c r="K38" i="53" s="1"/>
  <c r="J35" i="53"/>
  <c r="J38" i="53" s="1"/>
  <c r="I35" i="53"/>
  <c r="I38" i="53" s="1"/>
  <c r="H35" i="53"/>
  <c r="H38" i="53" s="1"/>
  <c r="G35" i="53"/>
  <c r="G38" i="53" s="1"/>
  <c r="F35" i="53"/>
  <c r="F38" i="53" s="1"/>
  <c r="E35" i="53"/>
  <c r="E38" i="53" s="1"/>
  <c r="D35" i="53"/>
  <c r="D38" i="53" s="1"/>
  <c r="O37" i="52"/>
  <c r="O40" i="52" s="1"/>
  <c r="N37" i="52"/>
  <c r="N40" i="52" s="1"/>
  <c r="M37" i="52"/>
  <c r="M40" i="52" s="1"/>
  <c r="L37" i="52"/>
  <c r="L40" i="52" s="1"/>
  <c r="K37" i="52"/>
  <c r="K40" i="52" s="1"/>
  <c r="J37" i="52"/>
  <c r="J40" i="52" s="1"/>
  <c r="I37" i="52"/>
  <c r="I40" i="52" s="1"/>
  <c r="H37" i="52"/>
  <c r="H40" i="52" s="1"/>
  <c r="G37" i="52"/>
  <c r="G40" i="52" s="1"/>
  <c r="F37" i="52"/>
  <c r="F40" i="52" s="1"/>
  <c r="E37" i="52"/>
  <c r="E40" i="52" s="1"/>
  <c r="D37" i="52"/>
  <c r="D40" i="52" s="1"/>
  <c r="O36" i="52"/>
  <c r="O39" i="52" s="1"/>
  <c r="N36" i="52"/>
  <c r="N39" i="52" s="1"/>
  <c r="M36" i="52"/>
  <c r="M39" i="52" s="1"/>
  <c r="L36" i="52"/>
  <c r="L39" i="52" s="1"/>
  <c r="K36" i="52"/>
  <c r="K39" i="52" s="1"/>
  <c r="J36" i="52"/>
  <c r="J39" i="52" s="1"/>
  <c r="I36" i="52"/>
  <c r="I39" i="52" s="1"/>
  <c r="H36" i="52"/>
  <c r="H39" i="52" s="1"/>
  <c r="G36" i="52"/>
  <c r="G39" i="52" s="1"/>
  <c r="F36" i="52"/>
  <c r="F39" i="52" s="1"/>
  <c r="E36" i="52"/>
  <c r="E39" i="52" s="1"/>
  <c r="D36" i="52"/>
  <c r="D39" i="52" s="1"/>
  <c r="O35" i="52"/>
  <c r="O38" i="52" s="1"/>
  <c r="N35" i="52"/>
  <c r="N38" i="52" s="1"/>
  <c r="M35" i="52"/>
  <c r="M38" i="52" s="1"/>
  <c r="L35" i="52"/>
  <c r="L38" i="52" s="1"/>
  <c r="K35" i="52"/>
  <c r="K38" i="52" s="1"/>
  <c r="J35" i="52"/>
  <c r="J38" i="52" s="1"/>
  <c r="I35" i="52"/>
  <c r="I38" i="52" s="1"/>
  <c r="H35" i="52"/>
  <c r="H38" i="52" s="1"/>
  <c r="G35" i="52"/>
  <c r="G38" i="52" s="1"/>
  <c r="F35" i="52"/>
  <c r="F38" i="52" s="1"/>
  <c r="E35" i="52"/>
  <c r="E38" i="52" s="1"/>
  <c r="D35" i="52"/>
  <c r="D38" i="52" s="1"/>
  <c r="O37" i="47"/>
  <c r="O40" i="47" s="1"/>
  <c r="N37" i="47"/>
  <c r="N40" i="47" s="1"/>
  <c r="M37" i="47"/>
  <c r="M40" i="47" s="1"/>
  <c r="L37" i="47"/>
  <c r="L40" i="47" s="1"/>
  <c r="K37" i="47"/>
  <c r="K40" i="47" s="1"/>
  <c r="J37" i="47"/>
  <c r="J40" i="47" s="1"/>
  <c r="I37" i="47"/>
  <c r="I40" i="47" s="1"/>
  <c r="H37" i="47"/>
  <c r="H40" i="47" s="1"/>
  <c r="G37" i="47"/>
  <c r="G40" i="47" s="1"/>
  <c r="F37" i="47"/>
  <c r="F40" i="47" s="1"/>
  <c r="E37" i="47"/>
  <c r="E40" i="47" s="1"/>
  <c r="D37" i="47"/>
  <c r="D40" i="47" s="1"/>
  <c r="O36" i="47"/>
  <c r="O39" i="47" s="1"/>
  <c r="N36" i="47"/>
  <c r="N39" i="47" s="1"/>
  <c r="M36" i="47"/>
  <c r="M39" i="47" s="1"/>
  <c r="L36" i="47"/>
  <c r="L39" i="47" s="1"/>
  <c r="K36" i="47"/>
  <c r="K39" i="47" s="1"/>
  <c r="J36" i="47"/>
  <c r="J39" i="47" s="1"/>
  <c r="I36" i="47"/>
  <c r="I39" i="47" s="1"/>
  <c r="H36" i="47"/>
  <c r="H39" i="47" s="1"/>
  <c r="G36" i="47"/>
  <c r="G39" i="47" s="1"/>
  <c r="F36" i="47"/>
  <c r="F39" i="47" s="1"/>
  <c r="E36" i="47"/>
  <c r="E39" i="47" s="1"/>
  <c r="D36" i="47"/>
  <c r="D39" i="47" s="1"/>
  <c r="O35" i="47"/>
  <c r="O38" i="47" s="1"/>
  <c r="N35" i="47"/>
  <c r="N38" i="47" s="1"/>
  <c r="M35" i="47"/>
  <c r="M38" i="47" s="1"/>
  <c r="L35" i="47"/>
  <c r="L38" i="47" s="1"/>
  <c r="K35" i="47"/>
  <c r="K38" i="47" s="1"/>
  <c r="J35" i="47"/>
  <c r="J38" i="47" s="1"/>
  <c r="I35" i="47"/>
  <c r="I38" i="47" s="1"/>
  <c r="H35" i="47"/>
  <c r="H38" i="47" s="1"/>
  <c r="G35" i="47"/>
  <c r="G38" i="47" s="1"/>
  <c r="F35" i="47"/>
  <c r="F38" i="47" s="1"/>
  <c r="E35" i="47"/>
  <c r="E38" i="47" s="1"/>
  <c r="D35" i="47"/>
  <c r="D38" i="47" s="1"/>
  <c r="H41" i="52" l="1"/>
  <c r="B20" i="58" s="1"/>
  <c r="M41" i="56"/>
  <c r="B25" i="62" s="1"/>
  <c r="K41" i="55"/>
  <c r="B23" i="61" s="1"/>
  <c r="N41" i="55"/>
  <c r="B26" i="61" s="1"/>
  <c r="M41" i="55"/>
  <c r="B25" i="61" s="1"/>
  <c r="E41" i="54"/>
  <c r="B17" i="60" s="1"/>
  <c r="O41" i="53"/>
  <c r="B27" i="59" s="1"/>
  <c r="H41" i="53"/>
  <c r="B20" i="59" s="1"/>
  <c r="I41" i="53"/>
  <c r="B21" i="59" s="1"/>
  <c r="L41" i="56"/>
  <c r="B24" i="62" s="1"/>
  <c r="E41" i="56"/>
  <c r="B17" i="62" s="1"/>
  <c r="F41" i="56"/>
  <c r="B18" i="62" s="1"/>
  <c r="N41" i="56"/>
  <c r="B26" i="62" s="1"/>
  <c r="O41" i="56"/>
  <c r="B27" i="62" s="1"/>
  <c r="H41" i="56"/>
  <c r="B20" i="62" s="1"/>
  <c r="D41" i="56"/>
  <c r="I41" i="56"/>
  <c r="B21" i="62" s="1"/>
  <c r="G41" i="56"/>
  <c r="B19" i="62" s="1"/>
  <c r="J41" i="56"/>
  <c r="B22" i="62" s="1"/>
  <c r="K41" i="56"/>
  <c r="B23" i="62" s="1"/>
  <c r="D41" i="55"/>
  <c r="L41" i="55"/>
  <c r="B24" i="61" s="1"/>
  <c r="F41" i="55"/>
  <c r="B18" i="61" s="1"/>
  <c r="G41" i="55"/>
  <c r="B19" i="61" s="1"/>
  <c r="I41" i="55"/>
  <c r="B21" i="61" s="1"/>
  <c r="E41" i="55"/>
  <c r="B17" i="61" s="1"/>
  <c r="O41" i="55"/>
  <c r="B27" i="61" s="1"/>
  <c r="J41" i="55"/>
  <c r="B22" i="61" s="1"/>
  <c r="H41" i="55"/>
  <c r="B20" i="61" s="1"/>
  <c r="J41" i="54"/>
  <c r="B22" i="60" s="1"/>
  <c r="K41" i="54"/>
  <c r="B23" i="60" s="1"/>
  <c r="D41" i="54"/>
  <c r="L41" i="54"/>
  <c r="B24" i="60" s="1"/>
  <c r="F41" i="54"/>
  <c r="B18" i="60" s="1"/>
  <c r="N41" i="54"/>
  <c r="B26" i="60" s="1"/>
  <c r="G41" i="54"/>
  <c r="B19" i="60" s="1"/>
  <c r="H41" i="54"/>
  <c r="B20" i="60" s="1"/>
  <c r="M41" i="54"/>
  <c r="B25" i="60" s="1"/>
  <c r="I41" i="54"/>
  <c r="B21" i="60" s="1"/>
  <c r="O41" i="54"/>
  <c r="B27" i="60" s="1"/>
  <c r="J41" i="53"/>
  <c r="B22" i="59" s="1"/>
  <c r="E41" i="53"/>
  <c r="B17" i="59" s="1"/>
  <c r="G41" i="53"/>
  <c r="B19" i="59" s="1"/>
  <c r="D41" i="53"/>
  <c r="K41" i="53"/>
  <c r="B23" i="59" s="1"/>
  <c r="F41" i="53"/>
  <c r="B18" i="59" s="1"/>
  <c r="L41" i="53"/>
  <c r="B24" i="59" s="1"/>
  <c r="M41" i="53"/>
  <c r="B25" i="59" s="1"/>
  <c r="N41" i="53"/>
  <c r="B26" i="59" s="1"/>
  <c r="I41" i="52"/>
  <c r="B21" i="58" s="1"/>
  <c r="E41" i="52"/>
  <c r="B17" i="58" s="1"/>
  <c r="J41" i="52"/>
  <c r="B22" i="58" s="1"/>
  <c r="F41" i="52"/>
  <c r="B18" i="58" s="1"/>
  <c r="K41" i="52"/>
  <c r="B23" i="58" s="1"/>
  <c r="G41" i="52"/>
  <c r="B19" i="58" s="1"/>
  <c r="L41" i="52"/>
  <c r="B24" i="58" s="1"/>
  <c r="M41" i="52"/>
  <c r="B25" i="58" s="1"/>
  <c r="N41" i="52"/>
  <c r="B26" i="58" s="1"/>
  <c r="D41" i="52"/>
  <c r="O41" i="52"/>
  <c r="B27" i="58" s="1"/>
  <c r="L41" i="47"/>
  <c r="B24" i="51" s="1"/>
  <c r="D41" i="47"/>
  <c r="I41" i="47"/>
  <c r="B21" i="51" s="1"/>
  <c r="K41" i="47"/>
  <c r="B23" i="51" s="1"/>
  <c r="F41" i="47"/>
  <c r="B18" i="51" s="1"/>
  <c r="E41" i="47"/>
  <c r="B17" i="51" s="1"/>
  <c r="G41" i="47"/>
  <c r="B19" i="51" s="1"/>
  <c r="J41" i="47"/>
  <c r="B22" i="51" s="1"/>
  <c r="M41" i="47"/>
  <c r="B25" i="51" s="1"/>
  <c r="N41" i="47"/>
  <c r="B26" i="51" s="1"/>
  <c r="H41" i="47"/>
  <c r="B20" i="51" s="1"/>
  <c r="O41" i="47"/>
  <c r="B27" i="51" s="1"/>
  <c r="B16" i="62" l="1"/>
  <c r="B28" i="62" s="1"/>
  <c r="P41" i="56"/>
  <c r="B16" i="61"/>
  <c r="B28" i="61" s="1"/>
  <c r="P41" i="55"/>
  <c r="B16" i="60"/>
  <c r="B28" i="60" s="1"/>
  <c r="P41" i="54"/>
  <c r="B16" i="59"/>
  <c r="B28" i="59" s="1"/>
  <c r="P41" i="53"/>
  <c r="B16" i="58"/>
  <c r="B28" i="58" s="1"/>
  <c r="P41" i="52"/>
  <c r="B16" i="51"/>
  <c r="P41" i="47"/>
  <c r="B28" i="51"/>
</calcChain>
</file>

<file path=xl/sharedStrings.xml><?xml version="1.0" encoding="utf-8"?>
<sst xmlns="http://schemas.openxmlformats.org/spreadsheetml/2006/main" count="393" uniqueCount="161">
  <si>
    <t>Franja</t>
  </si>
  <si>
    <t>Baja</t>
  </si>
  <si>
    <t>Media</t>
  </si>
  <si>
    <t>Alta</t>
  </si>
  <si>
    <t xml:space="preserve"> </t>
  </si>
  <si>
    <t>MWh</t>
  </si>
  <si>
    <t>CENTRALES ELECTRICAS DE NARIÑO S.A. E.S.P.</t>
  </si>
  <si>
    <t>Hora</t>
  </si>
  <si>
    <t>Días</t>
  </si>
  <si>
    <t>Subtotal Baja</t>
  </si>
  <si>
    <t>Subtotal Media</t>
  </si>
  <si>
    <t>Subtotal Alta</t>
  </si>
  <si>
    <t>Total</t>
  </si>
  <si>
    <t>OFERENTE:</t>
  </si>
  <si>
    <t>INVITACIÓN:</t>
  </si>
  <si>
    <t>CANTIDAD EN:</t>
  </si>
  <si>
    <t>MODALIDAD:</t>
  </si>
  <si>
    <t>NIVEL DE COBERTURA ESPERADO
 (%)</t>
  </si>
  <si>
    <t xml:space="preserve">ENERGÍA OFRECIDA (MWh)
</t>
  </si>
  <si>
    <t>TOTAL</t>
  </si>
  <si>
    <t>NOTAS:</t>
  </si>
  <si>
    <t xml:space="preserve">ENERGÍA SOLICITADA (MWh) 
</t>
  </si>
  <si>
    <t>TIPO DE OFERTA:</t>
  </si>
  <si>
    <t>PRECIOS $/kWh de:</t>
  </si>
  <si>
    <t xml:space="preserve">PRECIO OFERTADO ($/kWh)
</t>
  </si>
  <si>
    <t>CURVA DE ENERGIA DE REFERENCIA PARA  OFERTAR  MENSUAL</t>
  </si>
  <si>
    <t xml:space="preserve">ANEXO 2 PRODUCTO 1 - CUADRO DE CANTIDADES DE ENERGÍA </t>
  </si>
  <si>
    <t xml:space="preserve">ANEXO 3 PRODUCTO 2 - CUADRO DE CANTIDADES DE ENERGÍA </t>
  </si>
  <si>
    <t xml:space="preserve">ANEXO 4 PRODUCTO 3 - CUADRO DE CANTIDADES DE ENERGÍA </t>
  </si>
  <si>
    <t xml:space="preserve">ANEXO 5 PRODUCTO 4 - CUADRO DE CANTIDADES DE ENERGÍA </t>
  </si>
  <si>
    <t xml:space="preserve">ANEXO 6 PRODUCTO 5 - CUADRO DE CANTIDADES DE ENERGÍA </t>
  </si>
  <si>
    <t>AÑO 2031 MWh</t>
  </si>
  <si>
    <t>Resúmen Periodo Año 2031 MWh</t>
  </si>
  <si>
    <t>AÑO 2031</t>
  </si>
  <si>
    <t>ENE2031</t>
  </si>
  <si>
    <t>FEB2031</t>
  </si>
  <si>
    <t>MAR2031</t>
  </si>
  <si>
    <t>ABR2031</t>
  </si>
  <si>
    <t>MAY2031</t>
  </si>
  <si>
    <t>JUN2031</t>
  </si>
  <si>
    <t>JUL2031</t>
  </si>
  <si>
    <t>AGO2031</t>
  </si>
  <si>
    <t>SEP2031</t>
  </si>
  <si>
    <t>OCT2031</t>
  </si>
  <si>
    <t>NOV2031</t>
  </si>
  <si>
    <t>DIC2031</t>
  </si>
  <si>
    <t>AÑO 2032 MWh</t>
  </si>
  <si>
    <t xml:space="preserve">ANEXO 7 PRODUCTO 6 - CUADRO DE CANTIDADES DE ENERGÍA </t>
  </si>
  <si>
    <t>Resúmen Periodo Año 2032 MWh</t>
  </si>
  <si>
    <t xml:space="preserve">ANEXO 8 PRODUCTO 7 - CUADRO DE CANTIDADES DE ENERGÍA </t>
  </si>
  <si>
    <t>AÑO 2033 MWh</t>
  </si>
  <si>
    <t>Resúmen Periodo Año 2033 MWh</t>
  </si>
  <si>
    <t>AÑO 2034 MWh</t>
  </si>
  <si>
    <t>Resúmen Periodo Año 2034 MWh</t>
  </si>
  <si>
    <t>AÑO 2035 MWh</t>
  </si>
  <si>
    <t>Resúmen Periodo Año 2035 MWh</t>
  </si>
  <si>
    <t>AÑO 2036 MWh</t>
  </si>
  <si>
    <t>Resúmen Periodo Año 2036 MWh</t>
  </si>
  <si>
    <t>CURVA DE ENERGIA DE REFERENCIA PARA  OFERTAR  ANUAL</t>
  </si>
  <si>
    <t>BLOQUE</t>
  </si>
  <si>
    <t>B1</t>
  </si>
  <si>
    <t>B2</t>
  </si>
  <si>
    <t>B3</t>
  </si>
  <si>
    <t>Subtotal B1</t>
  </si>
  <si>
    <t>Subtotal B2</t>
  </si>
  <si>
    <t>Subtotal B3</t>
  </si>
  <si>
    <t>PERIODO 2027 A 2036  MWh</t>
  </si>
  <si>
    <t>PERIODO 2027 a 2036 MWh</t>
  </si>
  <si>
    <t>Resúmen Periodo 2027 a 2036 MWh</t>
  </si>
  <si>
    <t>ANEXO No. 13</t>
  </si>
  <si>
    <t>AÑO 2032</t>
  </si>
  <si>
    <t>ENE2032</t>
  </si>
  <si>
    <t>FEB2032</t>
  </si>
  <si>
    <t>ENE2033</t>
  </si>
  <si>
    <t>FEB2033</t>
  </si>
  <si>
    <t>MAR2032</t>
  </si>
  <si>
    <t>ABR2032</t>
  </si>
  <si>
    <t>MAY2032</t>
  </si>
  <si>
    <t>JUN2032</t>
  </si>
  <si>
    <t>JUL2032</t>
  </si>
  <si>
    <t>AGO2032</t>
  </si>
  <si>
    <t>SEP2032</t>
  </si>
  <si>
    <t>OCT2032</t>
  </si>
  <si>
    <t>NOV2032</t>
  </si>
  <si>
    <t>DIC2032</t>
  </si>
  <si>
    <t>AÑO 2033</t>
  </si>
  <si>
    <t>MAR2033</t>
  </si>
  <si>
    <t>ABR2033</t>
  </si>
  <si>
    <t>MAY2033</t>
  </si>
  <si>
    <t>JUN2033</t>
  </si>
  <si>
    <t>JUL2033</t>
  </si>
  <si>
    <t>AGO2033</t>
  </si>
  <si>
    <t>SEP2033</t>
  </si>
  <si>
    <t>OCT2033</t>
  </si>
  <si>
    <t>NOV2033</t>
  </si>
  <si>
    <t>DIC2033</t>
  </si>
  <si>
    <t>AÑO 2034</t>
  </si>
  <si>
    <t>ENE2034</t>
  </si>
  <si>
    <t>FEB2034</t>
  </si>
  <si>
    <t>MAR2034</t>
  </si>
  <si>
    <t>ABR2034</t>
  </si>
  <si>
    <t>MAY2034</t>
  </si>
  <si>
    <t>JUN2034</t>
  </si>
  <si>
    <t>JUL2034</t>
  </si>
  <si>
    <t>AGO2034</t>
  </si>
  <si>
    <t>SEP2034</t>
  </si>
  <si>
    <t>OCT2034</t>
  </si>
  <si>
    <t>NOV2034</t>
  </si>
  <si>
    <t>DIC2034</t>
  </si>
  <si>
    <t>AÑO 2035</t>
  </si>
  <si>
    <t>ENE2035</t>
  </si>
  <si>
    <t>FEB2035</t>
  </si>
  <si>
    <t>ENE2036</t>
  </si>
  <si>
    <t>FEB2036</t>
  </si>
  <si>
    <t>MAR2035</t>
  </si>
  <si>
    <t>ABR2035</t>
  </si>
  <si>
    <t>MAY2035</t>
  </si>
  <si>
    <t>JUN2035</t>
  </si>
  <si>
    <t>JUL2035</t>
  </si>
  <si>
    <t>AGO2035</t>
  </si>
  <si>
    <t>SEP2035</t>
  </si>
  <si>
    <t>OCT2035</t>
  </si>
  <si>
    <t>NOV2035</t>
  </si>
  <si>
    <t>DIC2035</t>
  </si>
  <si>
    <t>AÑO 2036</t>
  </si>
  <si>
    <t>MAR2036</t>
  </si>
  <si>
    <t>ABR2036</t>
  </si>
  <si>
    <t>MAY2036</t>
  </si>
  <si>
    <t>JUN2036</t>
  </si>
  <si>
    <t>JUL2036</t>
  </si>
  <si>
    <t>AGO2036</t>
  </si>
  <si>
    <t>SEP2036</t>
  </si>
  <si>
    <t>OCT2036</t>
  </si>
  <si>
    <t>NOV2036</t>
  </si>
  <si>
    <t>DIC2036</t>
  </si>
  <si>
    <t>ANEXO No. 14</t>
  </si>
  <si>
    <t>ANEXO No. 15</t>
  </si>
  <si>
    <t>AÑOS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</si>
  <si>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</si>
  <si>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</si>
  <si>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</si>
  <si>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</si>
  <si>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</si>
  <si>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</si>
  <si>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</si>
  <si>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</si>
  <si>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</si>
  <si>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</si>
  <si>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ANEXO No. 9</t>
  </si>
  <si>
    <t>ANEXO No. 10</t>
  </si>
  <si>
    <t>ANEXO No. 11</t>
  </si>
  <si>
    <t>ANEXO No. 12</t>
  </si>
  <si>
    <t xml:space="preserve">PROPUESTA ECONOMICA PRODUCTO 1
01 ENERO 2031 A 31 DICIEMBRE 2031  </t>
  </si>
  <si>
    <t xml:space="preserve">PROPUESTA ECONOMICA PRODUCTO 2
01 ENERO 2032 A 31 DICIEMBRE 2032  </t>
  </si>
  <si>
    <t>PROPUESTA ECONOMICA PRODUCTO 3
01 ENERO 2033 A 31 DICIEMBRE 2033</t>
  </si>
  <si>
    <t>PROPUESTA ECONOMICA PRODUCTO 4
01 ENERO 2034 A 31 DICIEMBRE 2034</t>
  </si>
  <si>
    <t>PROPUESTA ECONOMICA PRODUCTO 5
01 ENERO 2035 A 31 DICIEMBRE 2035</t>
  </si>
  <si>
    <t>PROPUESTA ECONOMICA PRODUCTO 6
01 ENERO 2036 A 31 DICIEMBRE 2036</t>
  </si>
  <si>
    <t>PROPUESTA ECONOMICA PRODUCTO 7
01 ENERO 2027 A 31 DICIEMBRE 2036</t>
  </si>
  <si>
    <t>CP-CDNC2026-001</t>
  </si>
  <si>
    <t>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</si>
</sst>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#,##0_ ;[Red]\-#,##0\ "/>
    <numFmt numFmtId="166" formatCode="_ * #,##0.00_ ;_ * \-#,##0.00_ ;_ * &quot;-&quot;??_ ;_ @_ "/>
    <numFmt numFmtId="167" formatCode="#,##0.0000"/>
  </numFmts>
  <fonts count="2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Times New Roman"/>
      <family val="1"/>
    </font>
    <font>
      <sz val="10"/>
      <name val="Trebuchet MS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sz val="13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164" fontId="16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6" fillId="0" borderId="0"/>
    <xf numFmtId="0" fontId="4" fillId="0" borderId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109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/>
    </xf>
    <xf numFmtId="17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7" fillId="2" borderId="0" xfId="4" applyFont="1" applyFill="1" applyAlignment="1">
      <alignment vertical="top"/>
    </xf>
    <xf numFmtId="0" fontId="5" fillId="2" borderId="0" xfId="4" applyFont="1" applyFill="1" applyAlignment="1">
      <alignment vertical="top"/>
    </xf>
    <xf numFmtId="0" fontId="7" fillId="2" borderId="0" xfId="4" applyFont="1" applyFill="1"/>
    <xf numFmtId="0" fontId="7" fillId="2" borderId="0" xfId="4" applyFont="1" applyFill="1" applyAlignment="1">
      <alignment horizontal="center"/>
    </xf>
    <xf numFmtId="0" fontId="5" fillId="2" borderId="0" xfId="4" applyFont="1" applyFill="1"/>
    <xf numFmtId="0" fontId="11" fillId="2" borderId="0" xfId="3" applyFont="1" applyFill="1" applyAlignment="1">
      <alignment horizontal="left"/>
    </xf>
    <xf numFmtId="164" fontId="11" fillId="2" borderId="0" xfId="2" applyFont="1" applyFill="1" applyBorder="1" applyAlignment="1" applyProtection="1">
      <alignment horizontal="left"/>
      <protection locked="0"/>
    </xf>
    <xf numFmtId="164" fontId="11" fillId="2" borderId="0" xfId="2" applyFont="1" applyFill="1" applyBorder="1" applyAlignment="1" applyProtection="1">
      <alignment horizontal="center"/>
      <protection locked="0"/>
    </xf>
    <xf numFmtId="0" fontId="7" fillId="2" borderId="0" xfId="4" applyFont="1" applyFill="1" applyProtection="1">
      <protection locked="0"/>
    </xf>
    <xf numFmtId="4" fontId="11" fillId="2" borderId="0" xfId="3" applyNumberFormat="1" applyFont="1" applyFill="1" applyAlignment="1">
      <alignment horizontal="left"/>
    </xf>
    <xf numFmtId="4" fontId="11" fillId="2" borderId="0" xfId="3" applyNumberFormat="1" applyFont="1" applyFill="1" applyAlignment="1">
      <alignment horizontal="center"/>
    </xf>
    <xf numFmtId="4" fontId="11" fillId="2" borderId="0" xfId="3" applyNumberFormat="1" applyFont="1" applyFill="1" applyAlignment="1" applyProtection="1">
      <alignment horizontal="left"/>
      <protection locked="0"/>
    </xf>
    <xf numFmtId="4" fontId="11" fillId="2" borderId="0" xfId="3" applyNumberFormat="1" applyFont="1" applyFill="1" applyAlignment="1" applyProtection="1">
      <alignment horizontal="center"/>
      <protection locked="0"/>
    </xf>
    <xf numFmtId="4" fontId="8" fillId="2" borderId="0" xfId="4" applyNumberFormat="1" applyFont="1" applyFill="1"/>
    <xf numFmtId="0" fontId="12" fillId="2" borderId="0" xfId="3" applyFont="1" applyFill="1" applyAlignment="1">
      <alignment horizontal="left"/>
    </xf>
    <xf numFmtId="4" fontId="8" fillId="2" borderId="0" xfId="4" applyNumberFormat="1" applyFont="1" applyFill="1" applyAlignment="1">
      <alignment horizontal="center"/>
    </xf>
    <xf numFmtId="0" fontId="1" fillId="2" borderId="0" xfId="3" applyFont="1" applyFill="1" applyAlignment="1">
      <alignment horizontal="center" vertical="center"/>
    </xf>
    <xf numFmtId="164" fontId="13" fillId="2" borderId="0" xfId="2" applyFont="1" applyFill="1" applyBorder="1" applyProtection="1"/>
    <xf numFmtId="164" fontId="13" fillId="2" borderId="0" xfId="2" applyFont="1" applyFill="1" applyBorder="1" applyAlignment="1" applyProtection="1">
      <alignment horizontal="center"/>
    </xf>
    <xf numFmtId="164" fontId="14" fillId="2" borderId="0" xfId="2" applyFont="1" applyFill="1" applyBorder="1" applyProtection="1"/>
    <xf numFmtId="166" fontId="9" fillId="2" borderId="0" xfId="4" applyNumberFormat="1" applyFont="1" applyFill="1"/>
    <xf numFmtId="0" fontId="9" fillId="2" borderId="0" xfId="4" applyFont="1" applyFill="1"/>
    <xf numFmtId="0" fontId="17" fillId="2" borderId="0" xfId="0" applyFont="1" applyFill="1"/>
    <xf numFmtId="0" fontId="4" fillId="2" borderId="0" xfId="4" applyFill="1"/>
    <xf numFmtId="0" fontId="9" fillId="2" borderId="0" xfId="0" applyFont="1" applyFill="1"/>
    <xf numFmtId="0" fontId="9" fillId="2" borderId="0" xfId="4" applyFont="1" applyFill="1" applyProtection="1">
      <protection locked="0"/>
    </xf>
    <xf numFmtId="0" fontId="1" fillId="2" borderId="0" xfId="4" applyFont="1" applyFill="1"/>
    <xf numFmtId="0" fontId="1" fillId="2" borderId="0" xfId="4" applyFont="1" applyFill="1" applyProtection="1">
      <protection locked="0"/>
    </xf>
    <xf numFmtId="164" fontId="7" fillId="2" borderId="0" xfId="1" applyFont="1" applyFill="1" applyProtection="1"/>
    <xf numFmtId="4" fontId="18" fillId="2" borderId="0" xfId="3" applyNumberFormat="1" applyFont="1" applyFill="1" applyAlignment="1">
      <alignment horizontal="left"/>
    </xf>
    <xf numFmtId="3" fontId="1" fillId="2" borderId="9" xfId="0" applyNumberFormat="1" applyFont="1" applyFill="1" applyBorder="1"/>
    <xf numFmtId="0" fontId="3" fillId="2" borderId="9" xfId="0" applyFont="1" applyFill="1" applyBorder="1" applyAlignment="1">
      <alignment horizontal="center" vertical="center"/>
    </xf>
    <xf numFmtId="167" fontId="0" fillId="2" borderId="0" xfId="0" applyNumberFormat="1" applyFill="1"/>
    <xf numFmtId="4" fontId="15" fillId="2" borderId="3" xfId="6" applyNumberFormat="1" applyFont="1" applyFill="1" applyBorder="1" applyAlignment="1" applyProtection="1">
      <alignment horizontal="center" vertical="center"/>
    </xf>
    <xf numFmtId="4" fontId="8" fillId="2" borderId="5" xfId="6" applyNumberFormat="1" applyFont="1" applyFill="1" applyBorder="1" applyAlignment="1" applyProtection="1">
      <alignment horizontal="center" vertical="center"/>
    </xf>
    <xf numFmtId="37" fontId="3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2" borderId="0" xfId="4" applyFont="1" applyFill="1"/>
    <xf numFmtId="49" fontId="11" fillId="2" borderId="2" xfId="3" applyNumberFormat="1" applyFont="1" applyFill="1" applyBorder="1" applyAlignment="1">
      <alignment horizontal="center" vertical="center"/>
    </xf>
    <xf numFmtId="0" fontId="11" fillId="2" borderId="4" xfId="3" applyFont="1" applyFill="1" applyBorder="1" applyAlignment="1">
      <alignment horizontal="center" vertical="center"/>
    </xf>
    <xf numFmtId="9" fontId="19" fillId="2" borderId="3" xfId="2" applyNumberFormat="1" applyFont="1" applyFill="1" applyBorder="1" applyAlignment="1" applyProtection="1">
      <alignment horizontal="center"/>
    </xf>
    <xf numFmtId="9" fontId="11" fillId="2" borderId="6" xfId="5" applyFont="1" applyFill="1" applyBorder="1" applyAlignment="1" applyProtection="1">
      <alignment horizontal="center"/>
    </xf>
    <xf numFmtId="0" fontId="11" fillId="2" borderId="0" xfId="4" applyFont="1" applyFill="1" applyAlignment="1">
      <alignment horizontal="left"/>
    </xf>
    <xf numFmtId="9" fontId="19" fillId="2" borderId="3" xfId="5" applyFont="1" applyFill="1" applyBorder="1" applyAlignment="1" applyProtection="1">
      <alignment horizontal="center" vertical="center"/>
    </xf>
    <xf numFmtId="40" fontId="3" fillId="3" borderId="1" xfId="0" applyNumberFormat="1" applyFont="1" applyFill="1" applyBorder="1" applyAlignment="1">
      <alignment horizontal="center" vertical="center"/>
    </xf>
    <xf numFmtId="39" fontId="3" fillId="2" borderId="1" xfId="0" applyNumberFormat="1" applyFont="1" applyFill="1" applyBorder="1" applyAlignment="1">
      <alignment horizontal="center" vertical="center"/>
    </xf>
    <xf numFmtId="39" fontId="0" fillId="2" borderId="0" xfId="0" applyNumberFormat="1" applyFill="1"/>
    <xf numFmtId="1" fontId="2" fillId="2" borderId="9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40" fontId="3" fillId="3" borderId="22" xfId="0" applyNumberFormat="1" applyFont="1" applyFill="1" applyBorder="1" applyAlignment="1">
      <alignment horizontal="center" vertical="center"/>
    </xf>
    <xf numFmtId="40" fontId="3" fillId="3" borderId="23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40" fontId="3" fillId="3" borderId="25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40" fontId="3" fillId="3" borderId="28" xfId="0" applyNumberFormat="1" applyFont="1" applyFill="1" applyBorder="1" applyAlignment="1">
      <alignment horizontal="center" vertical="center"/>
    </xf>
    <xf numFmtId="40" fontId="3" fillId="3" borderId="29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39" fontId="3" fillId="2" borderId="1" xfId="1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4" fontId="19" fillId="2" borderId="3" xfId="6" applyNumberFormat="1" applyFont="1" applyFill="1" applyBorder="1" applyAlignment="1" applyProtection="1">
      <alignment horizontal="center" vertical="center"/>
    </xf>
    <xf numFmtId="4" fontId="11" fillId="2" borderId="5" xfId="6" applyNumberFormat="1" applyFont="1" applyFill="1" applyBorder="1" applyAlignment="1" applyProtection="1">
      <alignment horizontal="center" vertical="center"/>
    </xf>
    <xf numFmtId="49" fontId="11" fillId="2" borderId="34" xfId="3" applyNumberFormat="1" applyFont="1" applyFill="1" applyBorder="1" applyAlignment="1">
      <alignment horizontal="center" vertical="center"/>
    </xf>
    <xf numFmtId="49" fontId="11" fillId="2" borderId="31" xfId="3" applyNumberFormat="1" applyFont="1" applyFill="1" applyBorder="1" applyAlignment="1">
      <alignment horizontal="center" vertical="center"/>
    </xf>
    <xf numFmtId="4" fontId="15" fillId="2" borderId="2" xfId="6" applyNumberFormat="1" applyFont="1" applyFill="1" applyBorder="1" applyAlignment="1" applyProtection="1">
      <alignment horizontal="center" vertical="center"/>
    </xf>
    <xf numFmtId="4" fontId="15" fillId="2" borderId="0" xfId="2" applyNumberFormat="1" applyFont="1" applyFill="1" applyBorder="1" applyAlignment="1" applyProtection="1">
      <alignment vertical="center"/>
      <protection locked="0"/>
    </xf>
    <xf numFmtId="4" fontId="15" fillId="2" borderId="20" xfId="2" applyNumberFormat="1" applyFont="1" applyFill="1" applyBorder="1" applyAlignment="1" applyProtection="1">
      <alignment vertical="center"/>
      <protection locked="0"/>
    </xf>
    <xf numFmtId="4" fontId="15" fillId="2" borderId="24" xfId="2" applyNumberFormat="1" applyFont="1" applyFill="1" applyBorder="1" applyAlignment="1" applyProtection="1">
      <alignment vertical="center"/>
      <protection locked="0"/>
    </xf>
    <xf numFmtId="4" fontId="15" fillId="2" borderId="26" xfId="2" applyNumberFormat="1" applyFont="1" applyFill="1" applyBorder="1" applyAlignment="1" applyProtection="1">
      <alignment vertical="center"/>
      <protection locked="0"/>
    </xf>
    <xf numFmtId="3" fontId="1" fillId="2" borderId="9" xfId="0" applyNumberFormat="1" applyFont="1" applyFill="1" applyBorder="1" applyAlignment="1">
      <alignment horizontal="center" vertical="center" textRotation="90"/>
    </xf>
    <xf numFmtId="3" fontId="1" fillId="2" borderId="11" xfId="0" applyNumberFormat="1" applyFont="1" applyFill="1" applyBorder="1" applyAlignment="1">
      <alignment horizontal="center" vertical="center" textRotation="90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 vertical="center" textRotation="90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3" fontId="1" fillId="2" borderId="20" xfId="0" applyNumberFormat="1" applyFont="1" applyFill="1" applyBorder="1" applyAlignment="1">
      <alignment horizontal="center" vertical="center"/>
    </xf>
    <xf numFmtId="3" fontId="1" fillId="2" borderId="24" xfId="0" applyNumberFormat="1" applyFont="1" applyFill="1" applyBorder="1" applyAlignment="1">
      <alignment horizontal="center" vertical="center"/>
    </xf>
    <xf numFmtId="3" fontId="1" fillId="2" borderId="26" xfId="0" applyNumberFormat="1" applyFont="1" applyFill="1" applyBorder="1" applyAlignment="1">
      <alignment horizontal="center" vertical="center"/>
    </xf>
    <xf numFmtId="3" fontId="1" fillId="2" borderId="13" xfId="0" applyNumberFormat="1" applyFont="1" applyFill="1" applyBorder="1" applyAlignment="1">
      <alignment horizontal="center" vertical="center"/>
    </xf>
    <xf numFmtId="3" fontId="1" fillId="2" borderId="31" xfId="0" applyNumberFormat="1" applyFont="1" applyFill="1" applyBorder="1" applyAlignment="1">
      <alignment horizontal="center" vertical="center"/>
    </xf>
    <xf numFmtId="3" fontId="1" fillId="2" borderId="14" xfId="0" applyNumberFormat="1" applyFont="1" applyFill="1" applyBorder="1" applyAlignment="1">
      <alignment horizontal="center" vertical="center"/>
    </xf>
    <xf numFmtId="165" fontId="1" fillId="2" borderId="11" xfId="0" applyNumberFormat="1" applyFont="1" applyFill="1" applyBorder="1" applyAlignment="1">
      <alignment horizontal="left"/>
    </xf>
    <xf numFmtId="4" fontId="15" fillId="2" borderId="19" xfId="2" applyNumberFormat="1" applyFont="1" applyFill="1" applyBorder="1" applyAlignment="1" applyProtection="1">
      <alignment horizontal="center" vertical="center"/>
      <protection locked="0"/>
    </xf>
    <xf numFmtId="4" fontId="15" fillId="2" borderId="16" xfId="2" applyNumberFormat="1" applyFont="1" applyFill="1" applyBorder="1" applyAlignment="1" applyProtection="1">
      <alignment horizontal="center" vertical="center"/>
      <protection locked="0"/>
    </xf>
    <xf numFmtId="0" fontId="9" fillId="2" borderId="0" xfId="4" applyFont="1" applyFill="1" applyAlignment="1">
      <alignment horizontal="left" wrapText="1"/>
    </xf>
    <xf numFmtId="0" fontId="10" fillId="2" borderId="0" xfId="4" applyFont="1" applyFill="1" applyAlignment="1">
      <alignment horizontal="center" vertical="top"/>
    </xf>
    <xf numFmtId="0" fontId="10" fillId="2" borderId="0" xfId="4" applyFont="1" applyFill="1" applyAlignment="1">
      <alignment horizontal="center" vertical="top" wrapText="1"/>
    </xf>
    <xf numFmtId="0" fontId="11" fillId="2" borderId="13" xfId="3" applyFont="1" applyFill="1" applyBorder="1" applyAlignment="1">
      <alignment horizontal="center" vertical="center" wrapText="1"/>
    </xf>
    <xf numFmtId="0" fontId="11" fillId="2" borderId="14" xfId="3" applyFont="1" applyFill="1" applyBorder="1" applyAlignment="1">
      <alignment horizontal="center" vertical="center" wrapText="1"/>
    </xf>
    <xf numFmtId="0" fontId="1" fillId="2" borderId="15" xfId="3" applyFont="1" applyFill="1" applyBorder="1" applyAlignment="1">
      <alignment horizontal="center" vertical="center" wrapText="1"/>
    </xf>
    <xf numFmtId="0" fontId="1" fillId="2" borderId="16" xfId="3" applyFont="1" applyFill="1" applyBorder="1" applyAlignment="1">
      <alignment horizontal="center" vertical="center" wrapText="1"/>
    </xf>
    <xf numFmtId="0" fontId="1" fillId="2" borderId="17" xfId="4" applyFont="1" applyFill="1" applyBorder="1" applyAlignment="1">
      <alignment horizontal="center" vertical="center" wrapText="1"/>
    </xf>
    <xf numFmtId="0" fontId="1" fillId="2" borderId="18" xfId="4" applyFont="1" applyFill="1" applyBorder="1" applyAlignment="1">
      <alignment horizontal="center" vertical="center" wrapText="1"/>
    </xf>
    <xf numFmtId="0" fontId="1" fillId="2" borderId="35" xfId="4" applyFont="1" applyFill="1" applyBorder="1" applyAlignment="1">
      <alignment horizontal="center" vertical="center" wrapText="1"/>
    </xf>
  </cellXfs>
  <cellStyles count="7">
    <cellStyle name="Millares" xfId="1" builtinId="3"/>
    <cellStyle name="Millares_PLIEGOS_GR-07-006" xfId="2" xr:uid="{00000000-0005-0000-0000-000001000000}"/>
    <cellStyle name="Moneda" xfId="6" builtinId="4"/>
    <cellStyle name="Normal" xfId="0" builtinId="0"/>
    <cellStyle name="Normal_ENE99" xfId="3" xr:uid="{00000000-0005-0000-0000-000004000000}"/>
    <cellStyle name="Normal_GC00-001" xfId="4" xr:uid="{00000000-0005-0000-0000-000005000000}"/>
    <cellStyle name="Porcentaje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P45"/>
  <sheetViews>
    <sheetView tabSelected="1" zoomScale="80" zoomScaleNormal="80" workbookViewId="0">
      <selection activeCell="D7" sqref="D7:O7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79" t="s">
        <v>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2:15" x14ac:dyDescent="0.25">
      <c r="B2" s="79" t="s">
        <v>25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2:15" x14ac:dyDescent="0.25">
      <c r="B3" s="79" t="s">
        <v>26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</row>
    <row r="4" spans="2:15" x14ac:dyDescent="0.25">
      <c r="B4" s="79" t="s">
        <v>31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80" t="s">
        <v>0</v>
      </c>
      <c r="C7" s="80" t="s">
        <v>7</v>
      </c>
      <c r="D7" s="81" t="s">
        <v>31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80"/>
      <c r="C8" s="80"/>
      <c r="D8" s="3">
        <v>47849</v>
      </c>
      <c r="E8" s="3">
        <v>47880</v>
      </c>
      <c r="F8" s="3">
        <v>47908</v>
      </c>
      <c r="G8" s="3">
        <v>47939</v>
      </c>
      <c r="H8" s="3">
        <v>47969</v>
      </c>
      <c r="I8" s="3">
        <v>48000</v>
      </c>
      <c r="J8" s="3">
        <v>48030</v>
      </c>
      <c r="K8" s="3">
        <v>48061</v>
      </c>
      <c r="L8" s="3">
        <v>48092</v>
      </c>
      <c r="M8" s="3">
        <v>48122</v>
      </c>
      <c r="N8" s="3">
        <v>48153</v>
      </c>
      <c r="O8" s="3">
        <v>48183</v>
      </c>
    </row>
    <row r="9" spans="2:15" x14ac:dyDescent="0.25">
      <c r="B9" s="77" t="s">
        <v>1</v>
      </c>
      <c r="C9" s="4">
        <v>1</v>
      </c>
      <c r="D9" s="50">
        <v>16.899999999999999</v>
      </c>
      <c r="E9" s="50">
        <v>16.899999999999999</v>
      </c>
      <c r="F9" s="50">
        <v>16.899999999999999</v>
      </c>
      <c r="G9" s="50">
        <v>16.899999999999999</v>
      </c>
      <c r="H9" s="50">
        <v>16.899999999999999</v>
      </c>
      <c r="I9" s="50">
        <v>16.899999999999999</v>
      </c>
      <c r="J9" s="50">
        <v>16.899999999999999</v>
      </c>
      <c r="K9" s="50">
        <v>16.899999999999999</v>
      </c>
      <c r="L9" s="50">
        <v>16.899999999999999</v>
      </c>
      <c r="M9" s="50">
        <v>16.899999999999999</v>
      </c>
      <c r="N9" s="50">
        <v>16.899999999999999</v>
      </c>
      <c r="O9" s="50">
        <v>16.899999999999999</v>
      </c>
    </row>
    <row r="10" spans="2:15" x14ac:dyDescent="0.25">
      <c r="B10" s="84"/>
      <c r="C10" s="4">
        <v>2</v>
      </c>
      <c r="D10" s="50">
        <v>16.899999999999999</v>
      </c>
      <c r="E10" s="50">
        <v>16.899999999999999</v>
      </c>
      <c r="F10" s="50">
        <v>16.899999999999999</v>
      </c>
      <c r="G10" s="50">
        <v>16.899999999999999</v>
      </c>
      <c r="H10" s="50">
        <v>16.899999999999999</v>
      </c>
      <c r="I10" s="50">
        <v>16.899999999999999</v>
      </c>
      <c r="J10" s="50">
        <v>16.899999999999999</v>
      </c>
      <c r="K10" s="50">
        <v>16.899999999999999</v>
      </c>
      <c r="L10" s="50">
        <v>16.899999999999999</v>
      </c>
      <c r="M10" s="50">
        <v>16.899999999999999</v>
      </c>
      <c r="N10" s="50">
        <v>16.899999999999999</v>
      </c>
      <c r="O10" s="50">
        <v>16.899999999999999</v>
      </c>
    </row>
    <row r="11" spans="2:15" x14ac:dyDescent="0.25">
      <c r="B11" s="84"/>
      <c r="C11" s="4">
        <v>3</v>
      </c>
      <c r="D11" s="50">
        <v>16.899999999999999</v>
      </c>
      <c r="E11" s="50">
        <v>16.899999999999999</v>
      </c>
      <c r="F11" s="50">
        <v>16.899999999999999</v>
      </c>
      <c r="G11" s="50">
        <v>16.899999999999999</v>
      </c>
      <c r="H11" s="50">
        <v>16.899999999999999</v>
      </c>
      <c r="I11" s="50">
        <v>16.899999999999999</v>
      </c>
      <c r="J11" s="50">
        <v>16.899999999999999</v>
      </c>
      <c r="K11" s="50">
        <v>16.899999999999999</v>
      </c>
      <c r="L11" s="50">
        <v>16.899999999999999</v>
      </c>
      <c r="M11" s="50">
        <v>16.899999999999999</v>
      </c>
      <c r="N11" s="50">
        <v>16.899999999999999</v>
      </c>
      <c r="O11" s="50">
        <v>16.899999999999999</v>
      </c>
    </row>
    <row r="12" spans="2:15" x14ac:dyDescent="0.25">
      <c r="B12" s="78"/>
      <c r="C12" s="4">
        <v>4</v>
      </c>
      <c r="D12" s="50">
        <v>16.899999999999999</v>
      </c>
      <c r="E12" s="50">
        <v>16.899999999999999</v>
      </c>
      <c r="F12" s="50">
        <v>16.899999999999999</v>
      </c>
      <c r="G12" s="50">
        <v>16.899999999999999</v>
      </c>
      <c r="H12" s="50">
        <v>16.899999999999999</v>
      </c>
      <c r="I12" s="50">
        <v>16.899999999999999</v>
      </c>
      <c r="J12" s="50">
        <v>16.899999999999999</v>
      </c>
      <c r="K12" s="50">
        <v>16.899999999999999</v>
      </c>
      <c r="L12" s="50">
        <v>16.899999999999999</v>
      </c>
      <c r="M12" s="50">
        <v>16.899999999999999</v>
      </c>
      <c r="N12" s="50">
        <v>16.899999999999999</v>
      </c>
      <c r="O12" s="50">
        <v>16.899999999999999</v>
      </c>
    </row>
    <row r="13" spans="2:15" x14ac:dyDescent="0.25">
      <c r="B13" s="77" t="s">
        <v>2</v>
      </c>
      <c r="C13" s="4">
        <v>5</v>
      </c>
      <c r="D13" s="50">
        <v>16.899999999999999</v>
      </c>
      <c r="E13" s="50">
        <v>16.899999999999999</v>
      </c>
      <c r="F13" s="50">
        <v>16.899999999999999</v>
      </c>
      <c r="G13" s="50">
        <v>16.899999999999999</v>
      </c>
      <c r="H13" s="50">
        <v>16.899999999999999</v>
      </c>
      <c r="I13" s="50">
        <v>16.899999999999999</v>
      </c>
      <c r="J13" s="50">
        <v>16.899999999999999</v>
      </c>
      <c r="K13" s="50">
        <v>16.899999999999999</v>
      </c>
      <c r="L13" s="50">
        <v>16.899999999999999</v>
      </c>
      <c r="M13" s="50">
        <v>16.899999999999999</v>
      </c>
      <c r="N13" s="50">
        <v>16.899999999999999</v>
      </c>
      <c r="O13" s="50">
        <v>16.899999999999999</v>
      </c>
    </row>
    <row r="14" spans="2:15" x14ac:dyDescent="0.25">
      <c r="B14" s="84"/>
      <c r="C14" s="4">
        <v>6</v>
      </c>
      <c r="D14" s="50">
        <v>16.899999999999999</v>
      </c>
      <c r="E14" s="50">
        <v>16.899999999999999</v>
      </c>
      <c r="F14" s="50">
        <v>16.899999999999999</v>
      </c>
      <c r="G14" s="50">
        <v>16.899999999999999</v>
      </c>
      <c r="H14" s="50">
        <v>16.899999999999999</v>
      </c>
      <c r="I14" s="50">
        <v>16.899999999999999</v>
      </c>
      <c r="J14" s="50">
        <v>16.899999999999999</v>
      </c>
      <c r="K14" s="50">
        <v>16.899999999999999</v>
      </c>
      <c r="L14" s="50">
        <v>16.899999999999999</v>
      </c>
      <c r="M14" s="50">
        <v>16.899999999999999</v>
      </c>
      <c r="N14" s="50">
        <v>16.899999999999999</v>
      </c>
      <c r="O14" s="50">
        <v>16.899999999999999</v>
      </c>
    </row>
    <row r="15" spans="2:15" x14ac:dyDescent="0.25">
      <c r="B15" s="84"/>
      <c r="C15" s="4">
        <v>7</v>
      </c>
      <c r="D15" s="50">
        <v>16.899999999999999</v>
      </c>
      <c r="E15" s="50">
        <v>16.899999999999999</v>
      </c>
      <c r="F15" s="50">
        <v>16.899999999999999</v>
      </c>
      <c r="G15" s="50">
        <v>16.899999999999999</v>
      </c>
      <c r="H15" s="50">
        <v>16.899999999999999</v>
      </c>
      <c r="I15" s="50">
        <v>16.899999999999999</v>
      </c>
      <c r="J15" s="50">
        <v>16.899999999999999</v>
      </c>
      <c r="K15" s="50">
        <v>16.899999999999999</v>
      </c>
      <c r="L15" s="50">
        <v>16.899999999999999</v>
      </c>
      <c r="M15" s="50">
        <v>16.899999999999999</v>
      </c>
      <c r="N15" s="50">
        <v>16.899999999999999</v>
      </c>
      <c r="O15" s="50">
        <v>16.899999999999999</v>
      </c>
    </row>
    <row r="16" spans="2:15" x14ac:dyDescent="0.25">
      <c r="B16" s="84"/>
      <c r="C16" s="4">
        <v>8</v>
      </c>
      <c r="D16" s="50">
        <v>16.899999999999999</v>
      </c>
      <c r="E16" s="50">
        <v>16.899999999999999</v>
      </c>
      <c r="F16" s="50">
        <v>16.899999999999999</v>
      </c>
      <c r="G16" s="50">
        <v>16.899999999999999</v>
      </c>
      <c r="H16" s="50">
        <v>16.899999999999999</v>
      </c>
      <c r="I16" s="50">
        <v>16.899999999999999</v>
      </c>
      <c r="J16" s="50">
        <v>16.899999999999999</v>
      </c>
      <c r="K16" s="50">
        <v>16.899999999999999</v>
      </c>
      <c r="L16" s="50">
        <v>16.899999999999999</v>
      </c>
      <c r="M16" s="50">
        <v>16.899999999999999</v>
      </c>
      <c r="N16" s="50">
        <v>16.899999999999999</v>
      </c>
      <c r="O16" s="50">
        <v>16.899999999999999</v>
      </c>
    </row>
    <row r="17" spans="2:15" x14ac:dyDescent="0.25">
      <c r="B17" s="78"/>
      <c r="C17" s="4">
        <v>9</v>
      </c>
      <c r="D17" s="50">
        <v>16.899999999999999</v>
      </c>
      <c r="E17" s="50">
        <v>16.899999999999999</v>
      </c>
      <c r="F17" s="50">
        <v>16.899999999999999</v>
      </c>
      <c r="G17" s="50">
        <v>16.899999999999999</v>
      </c>
      <c r="H17" s="50">
        <v>16.899999999999999</v>
      </c>
      <c r="I17" s="50">
        <v>16.899999999999999</v>
      </c>
      <c r="J17" s="50">
        <v>16.899999999999999</v>
      </c>
      <c r="K17" s="50">
        <v>16.899999999999999</v>
      </c>
      <c r="L17" s="50">
        <v>16.899999999999999</v>
      </c>
      <c r="M17" s="50">
        <v>16.899999999999999</v>
      </c>
      <c r="N17" s="50">
        <v>16.899999999999999</v>
      </c>
      <c r="O17" s="50">
        <v>16.899999999999999</v>
      </c>
    </row>
    <row r="18" spans="2:15" x14ac:dyDescent="0.25">
      <c r="B18" s="77" t="s">
        <v>3</v>
      </c>
      <c r="C18" s="4">
        <v>10</v>
      </c>
      <c r="D18" s="50">
        <v>16.899999999999999</v>
      </c>
      <c r="E18" s="50">
        <v>16.899999999999999</v>
      </c>
      <c r="F18" s="50">
        <v>16.899999999999999</v>
      </c>
      <c r="G18" s="50">
        <v>16.899999999999999</v>
      </c>
      <c r="H18" s="50">
        <v>16.899999999999999</v>
      </c>
      <c r="I18" s="50">
        <v>16.899999999999999</v>
      </c>
      <c r="J18" s="50">
        <v>16.899999999999999</v>
      </c>
      <c r="K18" s="50">
        <v>16.899999999999999</v>
      </c>
      <c r="L18" s="50">
        <v>16.899999999999999</v>
      </c>
      <c r="M18" s="50">
        <v>16.899999999999999</v>
      </c>
      <c r="N18" s="50">
        <v>16.899999999999999</v>
      </c>
      <c r="O18" s="50">
        <v>16.899999999999999</v>
      </c>
    </row>
    <row r="19" spans="2:15" x14ac:dyDescent="0.25">
      <c r="B19" s="84"/>
      <c r="C19" s="4">
        <v>11</v>
      </c>
      <c r="D19" s="50">
        <v>16.899999999999999</v>
      </c>
      <c r="E19" s="50">
        <v>16.899999999999999</v>
      </c>
      <c r="F19" s="50">
        <v>16.899999999999999</v>
      </c>
      <c r="G19" s="50">
        <v>16.899999999999999</v>
      </c>
      <c r="H19" s="50">
        <v>16.899999999999999</v>
      </c>
      <c r="I19" s="50">
        <v>16.899999999999999</v>
      </c>
      <c r="J19" s="50">
        <v>16.899999999999999</v>
      </c>
      <c r="K19" s="50">
        <v>16.899999999999999</v>
      </c>
      <c r="L19" s="50">
        <v>16.899999999999999</v>
      </c>
      <c r="M19" s="50">
        <v>16.899999999999999</v>
      </c>
      <c r="N19" s="50">
        <v>16.899999999999999</v>
      </c>
      <c r="O19" s="50">
        <v>16.899999999999999</v>
      </c>
    </row>
    <row r="20" spans="2:15" x14ac:dyDescent="0.25">
      <c r="B20" s="78"/>
      <c r="C20" s="4">
        <v>12</v>
      </c>
      <c r="D20" s="50">
        <v>16.899999999999999</v>
      </c>
      <c r="E20" s="50">
        <v>16.899999999999999</v>
      </c>
      <c r="F20" s="50">
        <v>16.899999999999999</v>
      </c>
      <c r="G20" s="50">
        <v>16.899999999999999</v>
      </c>
      <c r="H20" s="50">
        <v>16.899999999999999</v>
      </c>
      <c r="I20" s="50">
        <v>16.899999999999999</v>
      </c>
      <c r="J20" s="50">
        <v>16.899999999999999</v>
      </c>
      <c r="K20" s="50">
        <v>16.899999999999999</v>
      </c>
      <c r="L20" s="50">
        <v>16.899999999999999</v>
      </c>
      <c r="M20" s="50">
        <v>16.899999999999999</v>
      </c>
      <c r="N20" s="50">
        <v>16.899999999999999</v>
      </c>
      <c r="O20" s="50">
        <v>16.899999999999999</v>
      </c>
    </row>
    <row r="21" spans="2:15" x14ac:dyDescent="0.25">
      <c r="B21" s="77" t="s">
        <v>2</v>
      </c>
      <c r="C21" s="4">
        <v>13</v>
      </c>
      <c r="D21" s="50">
        <v>16.899999999999999</v>
      </c>
      <c r="E21" s="50">
        <v>16.899999999999999</v>
      </c>
      <c r="F21" s="50">
        <v>16.899999999999999</v>
      </c>
      <c r="G21" s="50">
        <v>16.899999999999999</v>
      </c>
      <c r="H21" s="50">
        <v>16.899999999999999</v>
      </c>
      <c r="I21" s="50">
        <v>16.899999999999999</v>
      </c>
      <c r="J21" s="50">
        <v>16.899999999999999</v>
      </c>
      <c r="K21" s="50">
        <v>16.899999999999999</v>
      </c>
      <c r="L21" s="50">
        <v>16.899999999999999</v>
      </c>
      <c r="M21" s="50">
        <v>16.899999999999999</v>
      </c>
      <c r="N21" s="50">
        <v>16.899999999999999</v>
      </c>
      <c r="O21" s="50">
        <v>16.899999999999999</v>
      </c>
    </row>
    <row r="22" spans="2:15" x14ac:dyDescent="0.25">
      <c r="B22" s="84"/>
      <c r="C22" s="4">
        <v>14</v>
      </c>
      <c r="D22" s="50">
        <v>16.899999999999999</v>
      </c>
      <c r="E22" s="50">
        <v>16.899999999999999</v>
      </c>
      <c r="F22" s="50">
        <v>16.899999999999999</v>
      </c>
      <c r="G22" s="50">
        <v>16.899999999999999</v>
      </c>
      <c r="H22" s="50">
        <v>16.899999999999999</v>
      </c>
      <c r="I22" s="50">
        <v>16.899999999999999</v>
      </c>
      <c r="J22" s="50">
        <v>16.899999999999999</v>
      </c>
      <c r="K22" s="50">
        <v>16.899999999999999</v>
      </c>
      <c r="L22" s="50">
        <v>16.899999999999999</v>
      </c>
      <c r="M22" s="50">
        <v>16.899999999999999</v>
      </c>
      <c r="N22" s="50">
        <v>16.899999999999999</v>
      </c>
      <c r="O22" s="50">
        <v>16.899999999999999</v>
      </c>
    </row>
    <row r="23" spans="2:15" x14ac:dyDescent="0.25">
      <c r="B23" s="84"/>
      <c r="C23" s="4">
        <v>15</v>
      </c>
      <c r="D23" s="50">
        <v>16.899999999999999</v>
      </c>
      <c r="E23" s="50">
        <v>16.899999999999999</v>
      </c>
      <c r="F23" s="50">
        <v>16.899999999999999</v>
      </c>
      <c r="G23" s="50">
        <v>16.899999999999999</v>
      </c>
      <c r="H23" s="50">
        <v>16.899999999999999</v>
      </c>
      <c r="I23" s="50">
        <v>16.899999999999999</v>
      </c>
      <c r="J23" s="50">
        <v>16.899999999999999</v>
      </c>
      <c r="K23" s="50">
        <v>16.899999999999999</v>
      </c>
      <c r="L23" s="50">
        <v>16.899999999999999</v>
      </c>
      <c r="M23" s="50">
        <v>16.899999999999999</v>
      </c>
      <c r="N23" s="50">
        <v>16.899999999999999</v>
      </c>
      <c r="O23" s="50">
        <v>16.899999999999999</v>
      </c>
    </row>
    <row r="24" spans="2:15" x14ac:dyDescent="0.25">
      <c r="B24" s="84"/>
      <c r="C24" s="4">
        <v>16</v>
      </c>
      <c r="D24" s="50">
        <v>16.899999999999999</v>
      </c>
      <c r="E24" s="50">
        <v>16.899999999999999</v>
      </c>
      <c r="F24" s="50">
        <v>16.899999999999999</v>
      </c>
      <c r="G24" s="50">
        <v>16.899999999999999</v>
      </c>
      <c r="H24" s="50">
        <v>16.899999999999999</v>
      </c>
      <c r="I24" s="50">
        <v>16.899999999999999</v>
      </c>
      <c r="J24" s="50">
        <v>16.899999999999999</v>
      </c>
      <c r="K24" s="50">
        <v>16.899999999999999</v>
      </c>
      <c r="L24" s="50">
        <v>16.899999999999999</v>
      </c>
      <c r="M24" s="50">
        <v>16.899999999999999</v>
      </c>
      <c r="N24" s="50">
        <v>16.899999999999999</v>
      </c>
      <c r="O24" s="50">
        <v>16.899999999999999</v>
      </c>
    </row>
    <row r="25" spans="2:15" x14ac:dyDescent="0.25">
      <c r="B25" s="84"/>
      <c r="C25" s="4">
        <v>17</v>
      </c>
      <c r="D25" s="50">
        <v>16.899999999999999</v>
      </c>
      <c r="E25" s="50">
        <v>16.899999999999999</v>
      </c>
      <c r="F25" s="50">
        <v>16.899999999999999</v>
      </c>
      <c r="G25" s="50">
        <v>16.899999999999999</v>
      </c>
      <c r="H25" s="50">
        <v>16.899999999999999</v>
      </c>
      <c r="I25" s="50">
        <v>16.899999999999999</v>
      </c>
      <c r="J25" s="50">
        <v>16.899999999999999</v>
      </c>
      <c r="K25" s="50">
        <v>16.899999999999999</v>
      </c>
      <c r="L25" s="50">
        <v>16.899999999999999</v>
      </c>
      <c r="M25" s="50">
        <v>16.899999999999999</v>
      </c>
      <c r="N25" s="50">
        <v>16.899999999999999</v>
      </c>
      <c r="O25" s="50">
        <v>16.899999999999999</v>
      </c>
    </row>
    <row r="26" spans="2:15" x14ac:dyDescent="0.25">
      <c r="B26" s="78"/>
      <c r="C26" s="4">
        <v>18</v>
      </c>
      <c r="D26" s="50">
        <v>16.899999999999999</v>
      </c>
      <c r="E26" s="50">
        <v>16.899999999999999</v>
      </c>
      <c r="F26" s="50">
        <v>16.899999999999999</v>
      </c>
      <c r="G26" s="50">
        <v>16.899999999999999</v>
      </c>
      <c r="H26" s="50">
        <v>16.899999999999999</v>
      </c>
      <c r="I26" s="50">
        <v>16.899999999999999</v>
      </c>
      <c r="J26" s="50">
        <v>16.899999999999999</v>
      </c>
      <c r="K26" s="50">
        <v>16.899999999999999</v>
      </c>
      <c r="L26" s="50">
        <v>16.899999999999999</v>
      </c>
      <c r="M26" s="50">
        <v>16.899999999999999</v>
      </c>
      <c r="N26" s="50">
        <v>16.899999999999999</v>
      </c>
      <c r="O26" s="50">
        <v>16.899999999999999</v>
      </c>
    </row>
    <row r="27" spans="2:15" x14ac:dyDescent="0.25">
      <c r="B27" s="77" t="s">
        <v>3</v>
      </c>
      <c r="C27" s="4">
        <v>19</v>
      </c>
      <c r="D27" s="50">
        <v>16.899999999999999</v>
      </c>
      <c r="E27" s="50">
        <v>16.899999999999999</v>
      </c>
      <c r="F27" s="50">
        <v>16.899999999999999</v>
      </c>
      <c r="G27" s="50">
        <v>16.899999999999999</v>
      </c>
      <c r="H27" s="50">
        <v>16.899999999999999</v>
      </c>
      <c r="I27" s="50">
        <v>16.899999999999999</v>
      </c>
      <c r="J27" s="50">
        <v>16.899999999999999</v>
      </c>
      <c r="K27" s="50">
        <v>16.899999999999999</v>
      </c>
      <c r="L27" s="50">
        <v>16.899999999999999</v>
      </c>
      <c r="M27" s="50">
        <v>16.899999999999999</v>
      </c>
      <c r="N27" s="50">
        <v>16.899999999999999</v>
      </c>
      <c r="O27" s="50">
        <v>16.899999999999999</v>
      </c>
    </row>
    <row r="28" spans="2:15" x14ac:dyDescent="0.25">
      <c r="B28" s="84"/>
      <c r="C28" s="4">
        <v>20</v>
      </c>
      <c r="D28" s="50">
        <v>16.899999999999999</v>
      </c>
      <c r="E28" s="50">
        <v>16.899999999999999</v>
      </c>
      <c r="F28" s="50">
        <v>16.899999999999999</v>
      </c>
      <c r="G28" s="50">
        <v>16.899999999999999</v>
      </c>
      <c r="H28" s="50">
        <v>16.899999999999999</v>
      </c>
      <c r="I28" s="50">
        <v>16.899999999999999</v>
      </c>
      <c r="J28" s="50">
        <v>16.899999999999999</v>
      </c>
      <c r="K28" s="50">
        <v>16.899999999999999</v>
      </c>
      <c r="L28" s="50">
        <v>16.899999999999999</v>
      </c>
      <c r="M28" s="50">
        <v>16.899999999999999</v>
      </c>
      <c r="N28" s="50">
        <v>16.899999999999999</v>
      </c>
      <c r="O28" s="50">
        <v>16.899999999999999</v>
      </c>
    </row>
    <row r="29" spans="2:15" x14ac:dyDescent="0.25">
      <c r="B29" s="78"/>
      <c r="C29" s="4">
        <v>21</v>
      </c>
      <c r="D29" s="50">
        <v>16.899999999999999</v>
      </c>
      <c r="E29" s="50">
        <v>16.899999999999999</v>
      </c>
      <c r="F29" s="50">
        <v>16.899999999999999</v>
      </c>
      <c r="G29" s="50">
        <v>16.899999999999999</v>
      </c>
      <c r="H29" s="50">
        <v>16.899999999999999</v>
      </c>
      <c r="I29" s="50">
        <v>16.899999999999999</v>
      </c>
      <c r="J29" s="50">
        <v>16.899999999999999</v>
      </c>
      <c r="K29" s="50">
        <v>16.899999999999999</v>
      </c>
      <c r="L29" s="50">
        <v>16.899999999999999</v>
      </c>
      <c r="M29" s="50">
        <v>16.899999999999999</v>
      </c>
      <c r="N29" s="50">
        <v>16.899999999999999</v>
      </c>
      <c r="O29" s="50">
        <v>16.899999999999999</v>
      </c>
    </row>
    <row r="30" spans="2:15" x14ac:dyDescent="0.25">
      <c r="B30" s="77" t="s">
        <v>2</v>
      </c>
      <c r="C30" s="4">
        <v>22</v>
      </c>
      <c r="D30" s="50">
        <v>16.899999999999999</v>
      </c>
      <c r="E30" s="50">
        <v>16.899999999999999</v>
      </c>
      <c r="F30" s="50">
        <v>16.899999999999999</v>
      </c>
      <c r="G30" s="50">
        <v>16.899999999999999</v>
      </c>
      <c r="H30" s="50">
        <v>16.899999999999999</v>
      </c>
      <c r="I30" s="50">
        <v>16.899999999999999</v>
      </c>
      <c r="J30" s="50">
        <v>16.899999999999999</v>
      </c>
      <c r="K30" s="50">
        <v>16.899999999999999</v>
      </c>
      <c r="L30" s="50">
        <v>16.899999999999999</v>
      </c>
      <c r="M30" s="50">
        <v>16.899999999999999</v>
      </c>
      <c r="N30" s="50">
        <v>16.899999999999999</v>
      </c>
      <c r="O30" s="50">
        <v>16.899999999999999</v>
      </c>
    </row>
    <row r="31" spans="2:15" ht="16.149999999999999" customHeight="1" x14ac:dyDescent="0.25">
      <c r="B31" s="78"/>
      <c r="C31" s="4">
        <v>23</v>
      </c>
      <c r="D31" s="50">
        <v>16.899999999999999</v>
      </c>
      <c r="E31" s="50">
        <v>16.899999999999999</v>
      </c>
      <c r="F31" s="50">
        <v>16.899999999999999</v>
      </c>
      <c r="G31" s="50">
        <v>16.899999999999999</v>
      </c>
      <c r="H31" s="50">
        <v>16.899999999999999</v>
      </c>
      <c r="I31" s="50">
        <v>16.899999999999999</v>
      </c>
      <c r="J31" s="50">
        <v>16.899999999999999</v>
      </c>
      <c r="K31" s="50">
        <v>16.899999999999999</v>
      </c>
      <c r="L31" s="50">
        <v>16.899999999999999</v>
      </c>
      <c r="M31" s="50">
        <v>16.899999999999999</v>
      </c>
      <c r="N31" s="50">
        <v>16.899999999999999</v>
      </c>
      <c r="O31" s="50">
        <v>16.899999999999999</v>
      </c>
    </row>
    <row r="32" spans="2:15" x14ac:dyDescent="0.25">
      <c r="B32" s="36" t="s">
        <v>1</v>
      </c>
      <c r="C32" s="37">
        <v>24</v>
      </c>
      <c r="D32" s="50">
        <v>16.899999999999999</v>
      </c>
      <c r="E32" s="50">
        <v>16.899999999999999</v>
      </c>
      <c r="F32" s="50">
        <v>16.899999999999999</v>
      </c>
      <c r="G32" s="50">
        <v>16.899999999999999</v>
      </c>
      <c r="H32" s="50">
        <v>16.899999999999999</v>
      </c>
      <c r="I32" s="50">
        <v>16.899999999999999</v>
      </c>
      <c r="J32" s="50">
        <v>16.899999999999999</v>
      </c>
      <c r="K32" s="50">
        <v>16.899999999999999</v>
      </c>
      <c r="L32" s="50">
        <v>16.899999999999999</v>
      </c>
      <c r="M32" s="50">
        <v>16.899999999999999</v>
      </c>
      <c r="N32" s="50">
        <v>16.899999999999999</v>
      </c>
      <c r="O32" s="50">
        <v>16.899999999999999</v>
      </c>
    </row>
    <row r="33" spans="2:16" x14ac:dyDescent="0.25">
      <c r="B33" s="87" t="s">
        <v>8</v>
      </c>
      <c r="C33" s="87"/>
      <c r="D33" s="5">
        <v>31</v>
      </c>
      <c r="E33" s="4">
        <v>28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8" t="s">
        <v>32</v>
      </c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</row>
    <row r="35" spans="2:16" x14ac:dyDescent="0.25">
      <c r="B35" s="87" t="s">
        <v>1</v>
      </c>
      <c r="C35" s="87"/>
      <c r="D35" s="41">
        <f t="shared" ref="D35:G35" si="0">(SUM(D9:D12)+D32)</f>
        <v>84.5</v>
      </c>
      <c r="E35" s="41">
        <f t="shared" si="0"/>
        <v>84.5</v>
      </c>
      <c r="F35" s="41">
        <f t="shared" si="0"/>
        <v>84.5</v>
      </c>
      <c r="G35" s="41">
        <f t="shared" si="0"/>
        <v>84.5</v>
      </c>
      <c r="H35" s="41">
        <f t="shared" ref="H35:O35" si="1">(SUM(H9:H12)+H32)</f>
        <v>84.5</v>
      </c>
      <c r="I35" s="41">
        <f t="shared" si="1"/>
        <v>84.5</v>
      </c>
      <c r="J35" s="41">
        <f t="shared" si="1"/>
        <v>84.5</v>
      </c>
      <c r="K35" s="41">
        <f t="shared" si="1"/>
        <v>84.5</v>
      </c>
      <c r="L35" s="41">
        <f t="shared" si="1"/>
        <v>84.5</v>
      </c>
      <c r="M35" s="41">
        <f t="shared" si="1"/>
        <v>84.5</v>
      </c>
      <c r="N35" s="41">
        <f t="shared" si="1"/>
        <v>84.5</v>
      </c>
      <c r="O35" s="41">
        <f t="shared" si="1"/>
        <v>84.5</v>
      </c>
    </row>
    <row r="36" spans="2:16" x14ac:dyDescent="0.25">
      <c r="B36" s="87" t="s">
        <v>2</v>
      </c>
      <c r="C36" s="87"/>
      <c r="D36" s="41">
        <f t="shared" ref="D36:G36" si="2">(SUM(D13:D17)+SUM(D21:D26)+D30+D31)</f>
        <v>219.70000000000002</v>
      </c>
      <c r="E36" s="41">
        <f t="shared" si="2"/>
        <v>219.70000000000002</v>
      </c>
      <c r="F36" s="41">
        <f t="shared" si="2"/>
        <v>219.70000000000002</v>
      </c>
      <c r="G36" s="41">
        <f t="shared" si="2"/>
        <v>219.70000000000002</v>
      </c>
      <c r="H36" s="41">
        <f t="shared" ref="H36:O36" si="3">(SUM(H13:H17)+SUM(H21:H26)+H30+H31)</f>
        <v>219.70000000000002</v>
      </c>
      <c r="I36" s="41">
        <f t="shared" si="3"/>
        <v>219.70000000000002</v>
      </c>
      <c r="J36" s="41">
        <f t="shared" si="3"/>
        <v>219.70000000000002</v>
      </c>
      <c r="K36" s="41">
        <f t="shared" si="3"/>
        <v>219.70000000000002</v>
      </c>
      <c r="L36" s="41">
        <f t="shared" si="3"/>
        <v>219.70000000000002</v>
      </c>
      <c r="M36" s="41">
        <f t="shared" si="3"/>
        <v>219.70000000000002</v>
      </c>
      <c r="N36" s="41">
        <f t="shared" si="3"/>
        <v>219.70000000000002</v>
      </c>
      <c r="O36" s="41">
        <f t="shared" si="3"/>
        <v>219.70000000000002</v>
      </c>
    </row>
    <row r="37" spans="2:16" x14ac:dyDescent="0.25">
      <c r="B37" s="87" t="s">
        <v>3</v>
      </c>
      <c r="C37" s="87"/>
      <c r="D37" s="41">
        <f t="shared" ref="D37:G37" si="4">(SUM(D18:D20)+SUM(D27:D29))</f>
        <v>101.39999999999999</v>
      </c>
      <c r="E37" s="41">
        <f t="shared" si="4"/>
        <v>101.39999999999999</v>
      </c>
      <c r="F37" s="41">
        <f t="shared" si="4"/>
        <v>101.39999999999999</v>
      </c>
      <c r="G37" s="41">
        <f t="shared" si="4"/>
        <v>101.39999999999999</v>
      </c>
      <c r="H37" s="41">
        <f t="shared" ref="H37:O37" si="5">(SUM(H18:H20)+SUM(H27:H29))</f>
        <v>101.39999999999999</v>
      </c>
      <c r="I37" s="41">
        <f t="shared" si="5"/>
        <v>101.39999999999999</v>
      </c>
      <c r="J37" s="41">
        <f t="shared" si="5"/>
        <v>101.39999999999999</v>
      </c>
      <c r="K37" s="41">
        <f t="shared" si="5"/>
        <v>101.39999999999999</v>
      </c>
      <c r="L37" s="41">
        <f t="shared" si="5"/>
        <v>101.39999999999999</v>
      </c>
      <c r="M37" s="41">
        <f t="shared" si="5"/>
        <v>101.39999999999999</v>
      </c>
      <c r="N37" s="41">
        <f t="shared" si="5"/>
        <v>101.39999999999999</v>
      </c>
      <c r="O37" s="41">
        <f t="shared" si="5"/>
        <v>101.39999999999999</v>
      </c>
    </row>
    <row r="38" spans="2:16" x14ac:dyDescent="0.25">
      <c r="B38" s="85" t="s">
        <v>9</v>
      </c>
      <c r="C38" s="86"/>
      <c r="D38" s="41">
        <f t="shared" ref="D38:O38" si="6">D35*D33</f>
        <v>2619.5</v>
      </c>
      <c r="E38" s="41">
        <f t="shared" si="6"/>
        <v>2366</v>
      </c>
      <c r="F38" s="41">
        <f t="shared" si="6"/>
        <v>2619.5</v>
      </c>
      <c r="G38" s="41">
        <f t="shared" si="6"/>
        <v>2535</v>
      </c>
      <c r="H38" s="41">
        <f t="shared" si="6"/>
        <v>2619.5</v>
      </c>
      <c r="I38" s="41">
        <f t="shared" si="6"/>
        <v>2535</v>
      </c>
      <c r="J38" s="41">
        <f t="shared" si="6"/>
        <v>2619.5</v>
      </c>
      <c r="K38" s="41">
        <f t="shared" si="6"/>
        <v>2619.5</v>
      </c>
      <c r="L38" s="41">
        <f t="shared" si="6"/>
        <v>2535</v>
      </c>
      <c r="M38" s="41">
        <f t="shared" si="6"/>
        <v>2619.5</v>
      </c>
      <c r="N38" s="41">
        <f t="shared" si="6"/>
        <v>2535</v>
      </c>
      <c r="O38" s="41">
        <f t="shared" si="6"/>
        <v>2619.5</v>
      </c>
    </row>
    <row r="39" spans="2:16" x14ac:dyDescent="0.25">
      <c r="B39" s="85" t="s">
        <v>10</v>
      </c>
      <c r="C39" s="86"/>
      <c r="D39" s="41">
        <f t="shared" ref="D39:O39" si="7">D33*D36</f>
        <v>6810.7000000000007</v>
      </c>
      <c r="E39" s="41">
        <f t="shared" si="7"/>
        <v>6151.6</v>
      </c>
      <c r="F39" s="41">
        <f t="shared" si="7"/>
        <v>6810.7000000000007</v>
      </c>
      <c r="G39" s="41">
        <f t="shared" si="7"/>
        <v>6591.0000000000009</v>
      </c>
      <c r="H39" s="41">
        <f t="shared" si="7"/>
        <v>6810.7000000000007</v>
      </c>
      <c r="I39" s="41">
        <f t="shared" si="7"/>
        <v>6591.0000000000009</v>
      </c>
      <c r="J39" s="41">
        <f t="shared" si="7"/>
        <v>6810.7000000000007</v>
      </c>
      <c r="K39" s="41">
        <f t="shared" si="7"/>
        <v>6810.7000000000007</v>
      </c>
      <c r="L39" s="41">
        <f t="shared" si="7"/>
        <v>6591.0000000000009</v>
      </c>
      <c r="M39" s="41">
        <f t="shared" si="7"/>
        <v>6810.7000000000007</v>
      </c>
      <c r="N39" s="41">
        <f t="shared" si="7"/>
        <v>6591.0000000000009</v>
      </c>
      <c r="O39" s="41">
        <f t="shared" si="7"/>
        <v>6810.7000000000007</v>
      </c>
    </row>
    <row r="40" spans="2:16" x14ac:dyDescent="0.25">
      <c r="B40" s="85" t="s">
        <v>11</v>
      </c>
      <c r="C40" s="86"/>
      <c r="D40" s="41">
        <f t="shared" ref="D40:O40" si="8">D33*D37</f>
        <v>3143.3999999999996</v>
      </c>
      <c r="E40" s="41">
        <f t="shared" si="8"/>
        <v>2839.2</v>
      </c>
      <c r="F40" s="41">
        <f t="shared" si="8"/>
        <v>3143.3999999999996</v>
      </c>
      <c r="G40" s="41">
        <f t="shared" si="8"/>
        <v>3041.9999999999995</v>
      </c>
      <c r="H40" s="41">
        <f t="shared" si="8"/>
        <v>3143.3999999999996</v>
      </c>
      <c r="I40" s="41">
        <f t="shared" si="8"/>
        <v>3041.9999999999995</v>
      </c>
      <c r="J40" s="41">
        <f t="shared" si="8"/>
        <v>3143.3999999999996</v>
      </c>
      <c r="K40" s="41">
        <f t="shared" si="8"/>
        <v>3143.3999999999996</v>
      </c>
      <c r="L40" s="41">
        <f t="shared" si="8"/>
        <v>3041.9999999999995</v>
      </c>
      <c r="M40" s="41">
        <f t="shared" si="8"/>
        <v>3143.3999999999996</v>
      </c>
      <c r="N40" s="41">
        <f t="shared" si="8"/>
        <v>3041.9999999999995</v>
      </c>
      <c r="O40" s="41">
        <f t="shared" si="8"/>
        <v>3143.3999999999996</v>
      </c>
    </row>
    <row r="41" spans="2:16" x14ac:dyDescent="0.25">
      <c r="B41" s="81" t="s">
        <v>12</v>
      </c>
      <c r="C41" s="82"/>
      <c r="D41" s="51">
        <f t="shared" ref="D41:O41" si="9">D40+D39+D38</f>
        <v>12573.6</v>
      </c>
      <c r="E41" s="51">
        <f t="shared" si="9"/>
        <v>11356.8</v>
      </c>
      <c r="F41" s="51">
        <f t="shared" si="9"/>
        <v>12573.6</v>
      </c>
      <c r="G41" s="51">
        <f t="shared" si="9"/>
        <v>12168</v>
      </c>
      <c r="H41" s="51">
        <f t="shared" si="9"/>
        <v>12573.6</v>
      </c>
      <c r="I41" s="51">
        <f t="shared" si="9"/>
        <v>12168</v>
      </c>
      <c r="J41" s="51">
        <f t="shared" si="9"/>
        <v>12573.6</v>
      </c>
      <c r="K41" s="51">
        <f t="shared" si="9"/>
        <v>12573.6</v>
      </c>
      <c r="L41" s="51">
        <f t="shared" si="9"/>
        <v>12168</v>
      </c>
      <c r="M41" s="51">
        <f t="shared" si="9"/>
        <v>12573.6</v>
      </c>
      <c r="N41" s="51">
        <f t="shared" si="9"/>
        <v>12168</v>
      </c>
      <c r="O41" s="51">
        <f t="shared" si="9"/>
        <v>12573.6</v>
      </c>
      <c r="P41" s="52">
        <f>SUM(D41:O41)</f>
        <v>148044.00000000003</v>
      </c>
    </row>
    <row r="42" spans="2:16" x14ac:dyDescent="0.25">
      <c r="D42" s="3">
        <v>47849</v>
      </c>
      <c r="E42" s="3">
        <v>47880</v>
      </c>
      <c r="F42" s="3">
        <v>47908</v>
      </c>
      <c r="G42" s="3">
        <v>47939</v>
      </c>
      <c r="H42" s="3">
        <v>47969</v>
      </c>
      <c r="I42" s="3">
        <v>48000</v>
      </c>
      <c r="J42" s="3">
        <v>48030</v>
      </c>
      <c r="K42" s="3">
        <v>48061</v>
      </c>
      <c r="L42" s="3">
        <v>48092</v>
      </c>
      <c r="M42" s="3">
        <v>48122</v>
      </c>
      <c r="N42" s="3">
        <v>48153</v>
      </c>
      <c r="O42" s="3">
        <v>48183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290B4-2F85-43E7-BA3A-81BBC87060AE}">
  <dimension ref="B1:P45"/>
  <sheetViews>
    <sheetView zoomScale="80" zoomScaleNormal="80" workbookViewId="0">
      <selection activeCell="D7" sqref="D7:O7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79" t="s">
        <v>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2:15" x14ac:dyDescent="0.25">
      <c r="B2" s="79" t="s">
        <v>25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2:15" x14ac:dyDescent="0.25">
      <c r="B3" s="79" t="s">
        <v>27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</row>
    <row r="4" spans="2:15" x14ac:dyDescent="0.25">
      <c r="B4" s="79" t="s">
        <v>46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80" t="s">
        <v>0</v>
      </c>
      <c r="C7" s="80" t="s">
        <v>7</v>
      </c>
      <c r="D7" s="81" t="s">
        <v>46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80"/>
      <c r="C8" s="80"/>
      <c r="D8" s="3">
        <v>48214</v>
      </c>
      <c r="E8" s="3">
        <v>48245</v>
      </c>
      <c r="F8" s="3">
        <v>48274</v>
      </c>
      <c r="G8" s="3">
        <v>48305</v>
      </c>
      <c r="H8" s="3">
        <v>48335</v>
      </c>
      <c r="I8" s="3">
        <v>48366</v>
      </c>
      <c r="J8" s="3">
        <v>48396</v>
      </c>
      <c r="K8" s="3">
        <v>48427</v>
      </c>
      <c r="L8" s="3">
        <v>48458</v>
      </c>
      <c r="M8" s="3">
        <v>48488</v>
      </c>
      <c r="N8" s="3">
        <v>48519</v>
      </c>
      <c r="O8" s="3">
        <v>48549</v>
      </c>
    </row>
    <row r="9" spans="2:15" x14ac:dyDescent="0.25">
      <c r="B9" s="77" t="s">
        <v>1</v>
      </c>
      <c r="C9" s="4">
        <v>1</v>
      </c>
      <c r="D9" s="50">
        <v>14.6</v>
      </c>
      <c r="E9" s="50">
        <v>14.6</v>
      </c>
      <c r="F9" s="50">
        <v>14.6</v>
      </c>
      <c r="G9" s="50">
        <v>14.6</v>
      </c>
      <c r="H9" s="50">
        <v>14.6</v>
      </c>
      <c r="I9" s="50">
        <v>14.6</v>
      </c>
      <c r="J9" s="50">
        <v>14.6</v>
      </c>
      <c r="K9" s="50">
        <v>14.6</v>
      </c>
      <c r="L9" s="50">
        <v>14.6</v>
      </c>
      <c r="M9" s="50">
        <v>14.6</v>
      </c>
      <c r="N9" s="50">
        <v>14.6</v>
      </c>
      <c r="O9" s="50">
        <v>14.6</v>
      </c>
    </row>
    <row r="10" spans="2:15" x14ac:dyDescent="0.25">
      <c r="B10" s="84"/>
      <c r="C10" s="4">
        <v>2</v>
      </c>
      <c r="D10" s="50">
        <v>14.6</v>
      </c>
      <c r="E10" s="50">
        <v>14.6</v>
      </c>
      <c r="F10" s="50">
        <v>14.6</v>
      </c>
      <c r="G10" s="50">
        <v>14.6</v>
      </c>
      <c r="H10" s="50">
        <v>14.6</v>
      </c>
      <c r="I10" s="50">
        <v>14.6</v>
      </c>
      <c r="J10" s="50">
        <v>14.6</v>
      </c>
      <c r="K10" s="50">
        <v>14.6</v>
      </c>
      <c r="L10" s="50">
        <v>14.6</v>
      </c>
      <c r="M10" s="50">
        <v>14.6</v>
      </c>
      <c r="N10" s="50">
        <v>14.6</v>
      </c>
      <c r="O10" s="50">
        <v>14.6</v>
      </c>
    </row>
    <row r="11" spans="2:15" x14ac:dyDescent="0.25">
      <c r="B11" s="84"/>
      <c r="C11" s="4">
        <v>3</v>
      </c>
      <c r="D11" s="50">
        <v>14.6</v>
      </c>
      <c r="E11" s="50">
        <v>14.6</v>
      </c>
      <c r="F11" s="50">
        <v>14.6</v>
      </c>
      <c r="G11" s="50">
        <v>14.6</v>
      </c>
      <c r="H11" s="50">
        <v>14.6</v>
      </c>
      <c r="I11" s="50">
        <v>14.6</v>
      </c>
      <c r="J11" s="50">
        <v>14.6</v>
      </c>
      <c r="K11" s="50">
        <v>14.6</v>
      </c>
      <c r="L11" s="50">
        <v>14.6</v>
      </c>
      <c r="M11" s="50">
        <v>14.6</v>
      </c>
      <c r="N11" s="50">
        <v>14.6</v>
      </c>
      <c r="O11" s="50">
        <v>14.6</v>
      </c>
    </row>
    <row r="12" spans="2:15" x14ac:dyDescent="0.25">
      <c r="B12" s="78"/>
      <c r="C12" s="4">
        <v>4</v>
      </c>
      <c r="D12" s="50">
        <v>14.6</v>
      </c>
      <c r="E12" s="50">
        <v>14.6</v>
      </c>
      <c r="F12" s="50">
        <v>14.6</v>
      </c>
      <c r="G12" s="50">
        <v>14.6</v>
      </c>
      <c r="H12" s="50">
        <v>14.6</v>
      </c>
      <c r="I12" s="50">
        <v>14.6</v>
      </c>
      <c r="J12" s="50">
        <v>14.6</v>
      </c>
      <c r="K12" s="50">
        <v>14.6</v>
      </c>
      <c r="L12" s="50">
        <v>14.6</v>
      </c>
      <c r="M12" s="50">
        <v>14.6</v>
      </c>
      <c r="N12" s="50">
        <v>14.6</v>
      </c>
      <c r="O12" s="50">
        <v>14.6</v>
      </c>
    </row>
    <row r="13" spans="2:15" x14ac:dyDescent="0.25">
      <c r="B13" s="77" t="s">
        <v>2</v>
      </c>
      <c r="C13" s="4">
        <v>5</v>
      </c>
      <c r="D13" s="50">
        <v>14.6</v>
      </c>
      <c r="E13" s="50">
        <v>14.6</v>
      </c>
      <c r="F13" s="50">
        <v>14.6</v>
      </c>
      <c r="G13" s="50">
        <v>14.6</v>
      </c>
      <c r="H13" s="50">
        <v>14.6</v>
      </c>
      <c r="I13" s="50">
        <v>14.6</v>
      </c>
      <c r="J13" s="50">
        <v>14.6</v>
      </c>
      <c r="K13" s="50">
        <v>14.6</v>
      </c>
      <c r="L13" s="50">
        <v>14.6</v>
      </c>
      <c r="M13" s="50">
        <v>14.6</v>
      </c>
      <c r="N13" s="50">
        <v>14.6</v>
      </c>
      <c r="O13" s="50">
        <v>14.6</v>
      </c>
    </row>
    <row r="14" spans="2:15" x14ac:dyDescent="0.25">
      <c r="B14" s="84"/>
      <c r="C14" s="4">
        <v>6</v>
      </c>
      <c r="D14" s="50">
        <v>14.6</v>
      </c>
      <c r="E14" s="50">
        <v>14.6</v>
      </c>
      <c r="F14" s="50">
        <v>14.6</v>
      </c>
      <c r="G14" s="50">
        <v>14.6</v>
      </c>
      <c r="H14" s="50">
        <v>14.6</v>
      </c>
      <c r="I14" s="50">
        <v>14.6</v>
      </c>
      <c r="J14" s="50">
        <v>14.6</v>
      </c>
      <c r="K14" s="50">
        <v>14.6</v>
      </c>
      <c r="L14" s="50">
        <v>14.6</v>
      </c>
      <c r="M14" s="50">
        <v>14.6</v>
      </c>
      <c r="N14" s="50">
        <v>14.6</v>
      </c>
      <c r="O14" s="50">
        <v>14.6</v>
      </c>
    </row>
    <row r="15" spans="2:15" x14ac:dyDescent="0.25">
      <c r="B15" s="84"/>
      <c r="C15" s="4">
        <v>7</v>
      </c>
      <c r="D15" s="50">
        <v>14.6</v>
      </c>
      <c r="E15" s="50">
        <v>14.6</v>
      </c>
      <c r="F15" s="50">
        <v>14.6</v>
      </c>
      <c r="G15" s="50">
        <v>14.6</v>
      </c>
      <c r="H15" s="50">
        <v>14.6</v>
      </c>
      <c r="I15" s="50">
        <v>14.6</v>
      </c>
      <c r="J15" s="50">
        <v>14.6</v>
      </c>
      <c r="K15" s="50">
        <v>14.6</v>
      </c>
      <c r="L15" s="50">
        <v>14.6</v>
      </c>
      <c r="M15" s="50">
        <v>14.6</v>
      </c>
      <c r="N15" s="50">
        <v>14.6</v>
      </c>
      <c r="O15" s="50">
        <v>14.6</v>
      </c>
    </row>
    <row r="16" spans="2:15" x14ac:dyDescent="0.25">
      <c r="B16" s="84"/>
      <c r="C16" s="4">
        <v>8</v>
      </c>
      <c r="D16" s="50">
        <v>14.6</v>
      </c>
      <c r="E16" s="50">
        <v>14.6</v>
      </c>
      <c r="F16" s="50">
        <v>14.6</v>
      </c>
      <c r="G16" s="50">
        <v>14.6</v>
      </c>
      <c r="H16" s="50">
        <v>14.6</v>
      </c>
      <c r="I16" s="50">
        <v>14.6</v>
      </c>
      <c r="J16" s="50">
        <v>14.6</v>
      </c>
      <c r="K16" s="50">
        <v>14.6</v>
      </c>
      <c r="L16" s="50">
        <v>14.6</v>
      </c>
      <c r="M16" s="50">
        <v>14.6</v>
      </c>
      <c r="N16" s="50">
        <v>14.6</v>
      </c>
      <c r="O16" s="50">
        <v>14.6</v>
      </c>
    </row>
    <row r="17" spans="2:15" x14ac:dyDescent="0.25">
      <c r="B17" s="78"/>
      <c r="C17" s="4">
        <v>9</v>
      </c>
      <c r="D17" s="50">
        <v>14.6</v>
      </c>
      <c r="E17" s="50">
        <v>14.6</v>
      </c>
      <c r="F17" s="50">
        <v>14.6</v>
      </c>
      <c r="G17" s="50">
        <v>14.6</v>
      </c>
      <c r="H17" s="50">
        <v>14.6</v>
      </c>
      <c r="I17" s="50">
        <v>14.6</v>
      </c>
      <c r="J17" s="50">
        <v>14.6</v>
      </c>
      <c r="K17" s="50">
        <v>14.6</v>
      </c>
      <c r="L17" s="50">
        <v>14.6</v>
      </c>
      <c r="M17" s="50">
        <v>14.6</v>
      </c>
      <c r="N17" s="50">
        <v>14.6</v>
      </c>
      <c r="O17" s="50">
        <v>14.6</v>
      </c>
    </row>
    <row r="18" spans="2:15" x14ac:dyDescent="0.25">
      <c r="B18" s="77" t="s">
        <v>3</v>
      </c>
      <c r="C18" s="4">
        <v>10</v>
      </c>
      <c r="D18" s="50">
        <v>14.6</v>
      </c>
      <c r="E18" s="50">
        <v>14.6</v>
      </c>
      <c r="F18" s="50">
        <v>14.6</v>
      </c>
      <c r="G18" s="50">
        <v>14.6</v>
      </c>
      <c r="H18" s="50">
        <v>14.6</v>
      </c>
      <c r="I18" s="50">
        <v>14.6</v>
      </c>
      <c r="J18" s="50">
        <v>14.6</v>
      </c>
      <c r="K18" s="50">
        <v>14.6</v>
      </c>
      <c r="L18" s="50">
        <v>14.6</v>
      </c>
      <c r="M18" s="50">
        <v>14.6</v>
      </c>
      <c r="N18" s="50">
        <v>14.6</v>
      </c>
      <c r="O18" s="50">
        <v>14.6</v>
      </c>
    </row>
    <row r="19" spans="2:15" x14ac:dyDescent="0.25">
      <c r="B19" s="84"/>
      <c r="C19" s="4">
        <v>11</v>
      </c>
      <c r="D19" s="50">
        <v>14.6</v>
      </c>
      <c r="E19" s="50">
        <v>14.6</v>
      </c>
      <c r="F19" s="50">
        <v>14.6</v>
      </c>
      <c r="G19" s="50">
        <v>14.6</v>
      </c>
      <c r="H19" s="50">
        <v>14.6</v>
      </c>
      <c r="I19" s="50">
        <v>14.6</v>
      </c>
      <c r="J19" s="50">
        <v>14.6</v>
      </c>
      <c r="K19" s="50">
        <v>14.6</v>
      </c>
      <c r="L19" s="50">
        <v>14.6</v>
      </c>
      <c r="M19" s="50">
        <v>14.6</v>
      </c>
      <c r="N19" s="50">
        <v>14.6</v>
      </c>
      <c r="O19" s="50">
        <v>14.6</v>
      </c>
    </row>
    <row r="20" spans="2:15" x14ac:dyDescent="0.25">
      <c r="B20" s="78"/>
      <c r="C20" s="4">
        <v>12</v>
      </c>
      <c r="D20" s="50">
        <v>14.6</v>
      </c>
      <c r="E20" s="50">
        <v>14.6</v>
      </c>
      <c r="F20" s="50">
        <v>14.6</v>
      </c>
      <c r="G20" s="50">
        <v>14.6</v>
      </c>
      <c r="H20" s="50">
        <v>14.6</v>
      </c>
      <c r="I20" s="50">
        <v>14.6</v>
      </c>
      <c r="J20" s="50">
        <v>14.6</v>
      </c>
      <c r="K20" s="50">
        <v>14.6</v>
      </c>
      <c r="L20" s="50">
        <v>14.6</v>
      </c>
      <c r="M20" s="50">
        <v>14.6</v>
      </c>
      <c r="N20" s="50">
        <v>14.6</v>
      </c>
      <c r="O20" s="50">
        <v>14.6</v>
      </c>
    </row>
    <row r="21" spans="2:15" x14ac:dyDescent="0.25">
      <c r="B21" s="77" t="s">
        <v>2</v>
      </c>
      <c r="C21" s="4">
        <v>13</v>
      </c>
      <c r="D21" s="50">
        <v>14.6</v>
      </c>
      <c r="E21" s="50">
        <v>14.6</v>
      </c>
      <c r="F21" s="50">
        <v>14.6</v>
      </c>
      <c r="G21" s="50">
        <v>14.6</v>
      </c>
      <c r="H21" s="50">
        <v>14.6</v>
      </c>
      <c r="I21" s="50">
        <v>14.6</v>
      </c>
      <c r="J21" s="50">
        <v>14.6</v>
      </c>
      <c r="K21" s="50">
        <v>14.6</v>
      </c>
      <c r="L21" s="50">
        <v>14.6</v>
      </c>
      <c r="M21" s="50">
        <v>14.6</v>
      </c>
      <c r="N21" s="50">
        <v>14.6</v>
      </c>
      <c r="O21" s="50">
        <v>14.6</v>
      </c>
    </row>
    <row r="22" spans="2:15" x14ac:dyDescent="0.25">
      <c r="B22" s="84"/>
      <c r="C22" s="4">
        <v>14</v>
      </c>
      <c r="D22" s="50">
        <v>14.6</v>
      </c>
      <c r="E22" s="50">
        <v>14.6</v>
      </c>
      <c r="F22" s="50">
        <v>14.6</v>
      </c>
      <c r="G22" s="50">
        <v>14.6</v>
      </c>
      <c r="H22" s="50">
        <v>14.6</v>
      </c>
      <c r="I22" s="50">
        <v>14.6</v>
      </c>
      <c r="J22" s="50">
        <v>14.6</v>
      </c>
      <c r="K22" s="50">
        <v>14.6</v>
      </c>
      <c r="L22" s="50">
        <v>14.6</v>
      </c>
      <c r="M22" s="50">
        <v>14.6</v>
      </c>
      <c r="N22" s="50">
        <v>14.6</v>
      </c>
      <c r="O22" s="50">
        <v>14.6</v>
      </c>
    </row>
    <row r="23" spans="2:15" x14ac:dyDescent="0.25">
      <c r="B23" s="84"/>
      <c r="C23" s="4">
        <v>15</v>
      </c>
      <c r="D23" s="50">
        <v>14.6</v>
      </c>
      <c r="E23" s="50">
        <v>14.6</v>
      </c>
      <c r="F23" s="50">
        <v>14.6</v>
      </c>
      <c r="G23" s="50">
        <v>14.6</v>
      </c>
      <c r="H23" s="50">
        <v>14.6</v>
      </c>
      <c r="I23" s="50">
        <v>14.6</v>
      </c>
      <c r="J23" s="50">
        <v>14.6</v>
      </c>
      <c r="K23" s="50">
        <v>14.6</v>
      </c>
      <c r="L23" s="50">
        <v>14.6</v>
      </c>
      <c r="M23" s="50">
        <v>14.6</v>
      </c>
      <c r="N23" s="50">
        <v>14.6</v>
      </c>
      <c r="O23" s="50">
        <v>14.6</v>
      </c>
    </row>
    <row r="24" spans="2:15" x14ac:dyDescent="0.25">
      <c r="B24" s="84"/>
      <c r="C24" s="4">
        <v>16</v>
      </c>
      <c r="D24" s="50">
        <v>14.6</v>
      </c>
      <c r="E24" s="50">
        <v>14.6</v>
      </c>
      <c r="F24" s="50">
        <v>14.6</v>
      </c>
      <c r="G24" s="50">
        <v>14.6</v>
      </c>
      <c r="H24" s="50">
        <v>14.6</v>
      </c>
      <c r="I24" s="50">
        <v>14.6</v>
      </c>
      <c r="J24" s="50">
        <v>14.6</v>
      </c>
      <c r="K24" s="50">
        <v>14.6</v>
      </c>
      <c r="L24" s="50">
        <v>14.6</v>
      </c>
      <c r="M24" s="50">
        <v>14.6</v>
      </c>
      <c r="N24" s="50">
        <v>14.6</v>
      </c>
      <c r="O24" s="50">
        <v>14.6</v>
      </c>
    </row>
    <row r="25" spans="2:15" x14ac:dyDescent="0.25">
      <c r="B25" s="84"/>
      <c r="C25" s="4">
        <v>17</v>
      </c>
      <c r="D25" s="50">
        <v>14.6</v>
      </c>
      <c r="E25" s="50">
        <v>14.6</v>
      </c>
      <c r="F25" s="50">
        <v>14.6</v>
      </c>
      <c r="G25" s="50">
        <v>14.6</v>
      </c>
      <c r="H25" s="50">
        <v>14.6</v>
      </c>
      <c r="I25" s="50">
        <v>14.6</v>
      </c>
      <c r="J25" s="50">
        <v>14.6</v>
      </c>
      <c r="K25" s="50">
        <v>14.6</v>
      </c>
      <c r="L25" s="50">
        <v>14.6</v>
      </c>
      <c r="M25" s="50">
        <v>14.6</v>
      </c>
      <c r="N25" s="50">
        <v>14.6</v>
      </c>
      <c r="O25" s="50">
        <v>14.6</v>
      </c>
    </row>
    <row r="26" spans="2:15" x14ac:dyDescent="0.25">
      <c r="B26" s="78"/>
      <c r="C26" s="4">
        <v>18</v>
      </c>
      <c r="D26" s="50">
        <v>14.6</v>
      </c>
      <c r="E26" s="50">
        <v>14.6</v>
      </c>
      <c r="F26" s="50">
        <v>14.6</v>
      </c>
      <c r="G26" s="50">
        <v>14.6</v>
      </c>
      <c r="H26" s="50">
        <v>14.6</v>
      </c>
      <c r="I26" s="50">
        <v>14.6</v>
      </c>
      <c r="J26" s="50">
        <v>14.6</v>
      </c>
      <c r="K26" s="50">
        <v>14.6</v>
      </c>
      <c r="L26" s="50">
        <v>14.6</v>
      </c>
      <c r="M26" s="50">
        <v>14.6</v>
      </c>
      <c r="N26" s="50">
        <v>14.6</v>
      </c>
      <c r="O26" s="50">
        <v>14.6</v>
      </c>
    </row>
    <row r="27" spans="2:15" x14ac:dyDescent="0.25">
      <c r="B27" s="77" t="s">
        <v>3</v>
      </c>
      <c r="C27" s="4">
        <v>19</v>
      </c>
      <c r="D27" s="50">
        <v>14.6</v>
      </c>
      <c r="E27" s="50">
        <v>14.6</v>
      </c>
      <c r="F27" s="50">
        <v>14.6</v>
      </c>
      <c r="G27" s="50">
        <v>14.6</v>
      </c>
      <c r="H27" s="50">
        <v>14.6</v>
      </c>
      <c r="I27" s="50">
        <v>14.6</v>
      </c>
      <c r="J27" s="50">
        <v>14.6</v>
      </c>
      <c r="K27" s="50">
        <v>14.6</v>
      </c>
      <c r="L27" s="50">
        <v>14.6</v>
      </c>
      <c r="M27" s="50">
        <v>14.6</v>
      </c>
      <c r="N27" s="50">
        <v>14.6</v>
      </c>
      <c r="O27" s="50">
        <v>14.6</v>
      </c>
    </row>
    <row r="28" spans="2:15" x14ac:dyDescent="0.25">
      <c r="B28" s="84"/>
      <c r="C28" s="4">
        <v>20</v>
      </c>
      <c r="D28" s="50">
        <v>14.6</v>
      </c>
      <c r="E28" s="50">
        <v>14.6</v>
      </c>
      <c r="F28" s="50">
        <v>14.6</v>
      </c>
      <c r="G28" s="50">
        <v>14.6</v>
      </c>
      <c r="H28" s="50">
        <v>14.6</v>
      </c>
      <c r="I28" s="50">
        <v>14.6</v>
      </c>
      <c r="J28" s="50">
        <v>14.6</v>
      </c>
      <c r="K28" s="50">
        <v>14.6</v>
      </c>
      <c r="L28" s="50">
        <v>14.6</v>
      </c>
      <c r="M28" s="50">
        <v>14.6</v>
      </c>
      <c r="N28" s="50">
        <v>14.6</v>
      </c>
      <c r="O28" s="50">
        <v>14.6</v>
      </c>
    </row>
    <row r="29" spans="2:15" x14ac:dyDescent="0.25">
      <c r="B29" s="78"/>
      <c r="C29" s="4">
        <v>21</v>
      </c>
      <c r="D29" s="50">
        <v>14.6</v>
      </c>
      <c r="E29" s="50">
        <v>14.6</v>
      </c>
      <c r="F29" s="50">
        <v>14.6</v>
      </c>
      <c r="G29" s="50">
        <v>14.6</v>
      </c>
      <c r="H29" s="50">
        <v>14.6</v>
      </c>
      <c r="I29" s="50">
        <v>14.6</v>
      </c>
      <c r="J29" s="50">
        <v>14.6</v>
      </c>
      <c r="K29" s="50">
        <v>14.6</v>
      </c>
      <c r="L29" s="50">
        <v>14.6</v>
      </c>
      <c r="M29" s="50">
        <v>14.6</v>
      </c>
      <c r="N29" s="50">
        <v>14.6</v>
      </c>
      <c r="O29" s="50">
        <v>14.6</v>
      </c>
    </row>
    <row r="30" spans="2:15" x14ac:dyDescent="0.25">
      <c r="B30" s="77" t="s">
        <v>2</v>
      </c>
      <c r="C30" s="4">
        <v>22</v>
      </c>
      <c r="D30" s="50">
        <v>14.6</v>
      </c>
      <c r="E30" s="50">
        <v>14.6</v>
      </c>
      <c r="F30" s="50">
        <v>14.6</v>
      </c>
      <c r="G30" s="50">
        <v>14.6</v>
      </c>
      <c r="H30" s="50">
        <v>14.6</v>
      </c>
      <c r="I30" s="50">
        <v>14.6</v>
      </c>
      <c r="J30" s="50">
        <v>14.6</v>
      </c>
      <c r="K30" s="50">
        <v>14.6</v>
      </c>
      <c r="L30" s="50">
        <v>14.6</v>
      </c>
      <c r="M30" s="50">
        <v>14.6</v>
      </c>
      <c r="N30" s="50">
        <v>14.6</v>
      </c>
      <c r="O30" s="50">
        <v>14.6</v>
      </c>
    </row>
    <row r="31" spans="2:15" ht="16.149999999999999" customHeight="1" x14ac:dyDescent="0.25">
      <c r="B31" s="78"/>
      <c r="C31" s="4">
        <v>23</v>
      </c>
      <c r="D31" s="50">
        <v>14.6</v>
      </c>
      <c r="E31" s="50">
        <v>14.6</v>
      </c>
      <c r="F31" s="50">
        <v>14.6</v>
      </c>
      <c r="G31" s="50">
        <v>14.6</v>
      </c>
      <c r="H31" s="50">
        <v>14.6</v>
      </c>
      <c r="I31" s="50">
        <v>14.6</v>
      </c>
      <c r="J31" s="50">
        <v>14.6</v>
      </c>
      <c r="K31" s="50">
        <v>14.6</v>
      </c>
      <c r="L31" s="50">
        <v>14.6</v>
      </c>
      <c r="M31" s="50">
        <v>14.6</v>
      </c>
      <c r="N31" s="50">
        <v>14.6</v>
      </c>
      <c r="O31" s="50">
        <v>14.6</v>
      </c>
    </row>
    <row r="32" spans="2:15" x14ac:dyDescent="0.25">
      <c r="B32" s="36" t="s">
        <v>1</v>
      </c>
      <c r="C32" s="37">
        <v>24</v>
      </c>
      <c r="D32" s="50">
        <v>14.6</v>
      </c>
      <c r="E32" s="50">
        <v>14.6</v>
      </c>
      <c r="F32" s="50">
        <v>14.6</v>
      </c>
      <c r="G32" s="50">
        <v>14.6</v>
      </c>
      <c r="H32" s="50">
        <v>14.6</v>
      </c>
      <c r="I32" s="50">
        <v>14.6</v>
      </c>
      <c r="J32" s="50">
        <v>14.6</v>
      </c>
      <c r="K32" s="50">
        <v>14.6</v>
      </c>
      <c r="L32" s="50">
        <v>14.6</v>
      </c>
      <c r="M32" s="50">
        <v>14.6</v>
      </c>
      <c r="N32" s="50">
        <v>14.6</v>
      </c>
      <c r="O32" s="50">
        <v>14.6</v>
      </c>
    </row>
    <row r="33" spans="2:16" x14ac:dyDescent="0.25">
      <c r="B33" s="87" t="s">
        <v>8</v>
      </c>
      <c r="C33" s="87"/>
      <c r="D33" s="5">
        <v>31</v>
      </c>
      <c r="E33" s="4">
        <v>29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8" t="s">
        <v>48</v>
      </c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</row>
    <row r="35" spans="2:16" x14ac:dyDescent="0.25">
      <c r="B35" s="87" t="s">
        <v>1</v>
      </c>
      <c r="C35" s="87"/>
      <c r="D35" s="41">
        <f t="shared" ref="D35:G35" si="0">(SUM(D9:D12)+D32)</f>
        <v>73</v>
      </c>
      <c r="E35" s="41">
        <f t="shared" si="0"/>
        <v>73</v>
      </c>
      <c r="F35" s="41">
        <f t="shared" si="0"/>
        <v>73</v>
      </c>
      <c r="G35" s="41">
        <f t="shared" si="0"/>
        <v>73</v>
      </c>
      <c r="H35" s="41">
        <f t="shared" ref="H35:O35" si="1">(SUM(H9:H12)+H32)</f>
        <v>73</v>
      </c>
      <c r="I35" s="41">
        <f t="shared" si="1"/>
        <v>73</v>
      </c>
      <c r="J35" s="41">
        <f t="shared" si="1"/>
        <v>73</v>
      </c>
      <c r="K35" s="41">
        <f t="shared" si="1"/>
        <v>73</v>
      </c>
      <c r="L35" s="41">
        <f t="shared" si="1"/>
        <v>73</v>
      </c>
      <c r="M35" s="41">
        <f t="shared" si="1"/>
        <v>73</v>
      </c>
      <c r="N35" s="41">
        <f t="shared" si="1"/>
        <v>73</v>
      </c>
      <c r="O35" s="41">
        <f t="shared" si="1"/>
        <v>73</v>
      </c>
    </row>
    <row r="36" spans="2:16" x14ac:dyDescent="0.25">
      <c r="B36" s="87" t="s">
        <v>2</v>
      </c>
      <c r="C36" s="87"/>
      <c r="D36" s="41">
        <f t="shared" ref="D36:G36" si="2">(SUM(D13:D17)+SUM(D21:D26)+D30+D31)</f>
        <v>189.79999999999998</v>
      </c>
      <c r="E36" s="41">
        <f t="shared" si="2"/>
        <v>189.79999999999998</v>
      </c>
      <c r="F36" s="41">
        <f t="shared" si="2"/>
        <v>189.79999999999998</v>
      </c>
      <c r="G36" s="41">
        <f t="shared" si="2"/>
        <v>189.79999999999998</v>
      </c>
      <c r="H36" s="41">
        <f t="shared" ref="H36:O36" si="3">(SUM(H13:H17)+SUM(H21:H26)+H30+H31)</f>
        <v>189.79999999999998</v>
      </c>
      <c r="I36" s="41">
        <f t="shared" si="3"/>
        <v>189.79999999999998</v>
      </c>
      <c r="J36" s="41">
        <f t="shared" si="3"/>
        <v>189.79999999999998</v>
      </c>
      <c r="K36" s="41">
        <f t="shared" si="3"/>
        <v>189.79999999999998</v>
      </c>
      <c r="L36" s="41">
        <f t="shared" si="3"/>
        <v>189.79999999999998</v>
      </c>
      <c r="M36" s="41">
        <f t="shared" si="3"/>
        <v>189.79999999999998</v>
      </c>
      <c r="N36" s="41">
        <f t="shared" si="3"/>
        <v>189.79999999999998</v>
      </c>
      <c r="O36" s="41">
        <f t="shared" si="3"/>
        <v>189.79999999999998</v>
      </c>
    </row>
    <row r="37" spans="2:16" x14ac:dyDescent="0.25">
      <c r="B37" s="87" t="s">
        <v>3</v>
      </c>
      <c r="C37" s="87"/>
      <c r="D37" s="41">
        <f t="shared" ref="D37:G37" si="4">(SUM(D18:D20)+SUM(D27:D29))</f>
        <v>87.6</v>
      </c>
      <c r="E37" s="41">
        <f t="shared" si="4"/>
        <v>87.6</v>
      </c>
      <c r="F37" s="41">
        <f t="shared" si="4"/>
        <v>87.6</v>
      </c>
      <c r="G37" s="41">
        <f t="shared" si="4"/>
        <v>87.6</v>
      </c>
      <c r="H37" s="41">
        <f t="shared" ref="H37:O37" si="5">(SUM(H18:H20)+SUM(H27:H29))</f>
        <v>87.6</v>
      </c>
      <c r="I37" s="41">
        <f t="shared" si="5"/>
        <v>87.6</v>
      </c>
      <c r="J37" s="41">
        <f t="shared" si="5"/>
        <v>87.6</v>
      </c>
      <c r="K37" s="41">
        <f t="shared" si="5"/>
        <v>87.6</v>
      </c>
      <c r="L37" s="41">
        <f t="shared" si="5"/>
        <v>87.6</v>
      </c>
      <c r="M37" s="41">
        <f t="shared" si="5"/>
        <v>87.6</v>
      </c>
      <c r="N37" s="41">
        <f t="shared" si="5"/>
        <v>87.6</v>
      </c>
      <c r="O37" s="41">
        <f t="shared" si="5"/>
        <v>87.6</v>
      </c>
    </row>
    <row r="38" spans="2:16" x14ac:dyDescent="0.25">
      <c r="B38" s="85" t="s">
        <v>9</v>
      </c>
      <c r="C38" s="86"/>
      <c r="D38" s="41">
        <f t="shared" ref="D38:O38" si="6">D35*D33</f>
        <v>2263</v>
      </c>
      <c r="E38" s="41">
        <f t="shared" si="6"/>
        <v>2117</v>
      </c>
      <c r="F38" s="41">
        <f t="shared" si="6"/>
        <v>2263</v>
      </c>
      <c r="G38" s="41">
        <f t="shared" si="6"/>
        <v>2190</v>
      </c>
      <c r="H38" s="41">
        <f t="shared" si="6"/>
        <v>2263</v>
      </c>
      <c r="I38" s="41">
        <f t="shared" si="6"/>
        <v>2190</v>
      </c>
      <c r="J38" s="41">
        <f t="shared" si="6"/>
        <v>2263</v>
      </c>
      <c r="K38" s="41">
        <f t="shared" si="6"/>
        <v>2263</v>
      </c>
      <c r="L38" s="41">
        <f t="shared" si="6"/>
        <v>2190</v>
      </c>
      <c r="M38" s="41">
        <f t="shared" si="6"/>
        <v>2263</v>
      </c>
      <c r="N38" s="41">
        <f t="shared" si="6"/>
        <v>2190</v>
      </c>
      <c r="O38" s="41">
        <f t="shared" si="6"/>
        <v>2263</v>
      </c>
    </row>
    <row r="39" spans="2:16" x14ac:dyDescent="0.25">
      <c r="B39" s="85" t="s">
        <v>10</v>
      </c>
      <c r="C39" s="86"/>
      <c r="D39" s="41">
        <f t="shared" ref="D39:O39" si="7">D33*D36</f>
        <v>5883.7999999999993</v>
      </c>
      <c r="E39" s="41">
        <f t="shared" si="7"/>
        <v>5504.2</v>
      </c>
      <c r="F39" s="41">
        <f t="shared" si="7"/>
        <v>5883.7999999999993</v>
      </c>
      <c r="G39" s="41">
        <f t="shared" si="7"/>
        <v>5693.9999999999991</v>
      </c>
      <c r="H39" s="41">
        <f t="shared" si="7"/>
        <v>5883.7999999999993</v>
      </c>
      <c r="I39" s="41">
        <f t="shared" si="7"/>
        <v>5693.9999999999991</v>
      </c>
      <c r="J39" s="41">
        <f t="shared" si="7"/>
        <v>5883.7999999999993</v>
      </c>
      <c r="K39" s="41">
        <f t="shared" si="7"/>
        <v>5883.7999999999993</v>
      </c>
      <c r="L39" s="41">
        <f t="shared" si="7"/>
        <v>5693.9999999999991</v>
      </c>
      <c r="M39" s="41">
        <f t="shared" si="7"/>
        <v>5883.7999999999993</v>
      </c>
      <c r="N39" s="41">
        <f t="shared" si="7"/>
        <v>5693.9999999999991</v>
      </c>
      <c r="O39" s="41">
        <f t="shared" si="7"/>
        <v>5883.7999999999993</v>
      </c>
    </row>
    <row r="40" spans="2:16" x14ac:dyDescent="0.25">
      <c r="B40" s="85" t="s">
        <v>11</v>
      </c>
      <c r="C40" s="86"/>
      <c r="D40" s="41">
        <f t="shared" ref="D40:O40" si="8">D33*D37</f>
        <v>2715.6</v>
      </c>
      <c r="E40" s="41">
        <f t="shared" si="8"/>
        <v>2540.3999999999996</v>
      </c>
      <c r="F40" s="41">
        <f t="shared" si="8"/>
        <v>2715.6</v>
      </c>
      <c r="G40" s="41">
        <f t="shared" si="8"/>
        <v>2628</v>
      </c>
      <c r="H40" s="41">
        <f t="shared" si="8"/>
        <v>2715.6</v>
      </c>
      <c r="I40" s="41">
        <f t="shared" si="8"/>
        <v>2628</v>
      </c>
      <c r="J40" s="41">
        <f t="shared" si="8"/>
        <v>2715.6</v>
      </c>
      <c r="K40" s="41">
        <f t="shared" si="8"/>
        <v>2715.6</v>
      </c>
      <c r="L40" s="41">
        <f t="shared" si="8"/>
        <v>2628</v>
      </c>
      <c r="M40" s="41">
        <f t="shared" si="8"/>
        <v>2715.6</v>
      </c>
      <c r="N40" s="41">
        <f t="shared" si="8"/>
        <v>2628</v>
      </c>
      <c r="O40" s="41">
        <f t="shared" si="8"/>
        <v>2715.6</v>
      </c>
    </row>
    <row r="41" spans="2:16" x14ac:dyDescent="0.25">
      <c r="B41" s="81" t="s">
        <v>12</v>
      </c>
      <c r="C41" s="82"/>
      <c r="D41" s="51">
        <f t="shared" ref="D41:O41" si="9">D40+D39+D38</f>
        <v>10862.4</v>
      </c>
      <c r="E41" s="51">
        <f t="shared" si="9"/>
        <v>10161.599999999999</v>
      </c>
      <c r="F41" s="51">
        <f t="shared" si="9"/>
        <v>10862.4</v>
      </c>
      <c r="G41" s="51">
        <f t="shared" si="9"/>
        <v>10512</v>
      </c>
      <c r="H41" s="51">
        <f t="shared" si="9"/>
        <v>10862.4</v>
      </c>
      <c r="I41" s="51">
        <f t="shared" si="9"/>
        <v>10512</v>
      </c>
      <c r="J41" s="51">
        <f t="shared" si="9"/>
        <v>10862.4</v>
      </c>
      <c r="K41" s="51">
        <f t="shared" si="9"/>
        <v>10862.4</v>
      </c>
      <c r="L41" s="51">
        <f t="shared" si="9"/>
        <v>10512</v>
      </c>
      <c r="M41" s="51">
        <f t="shared" si="9"/>
        <v>10862.4</v>
      </c>
      <c r="N41" s="51">
        <f t="shared" si="9"/>
        <v>10512</v>
      </c>
      <c r="O41" s="51">
        <f t="shared" si="9"/>
        <v>10862.4</v>
      </c>
      <c r="P41" s="52">
        <f>SUM(D41:O41)</f>
        <v>128246.39999999998</v>
      </c>
    </row>
    <row r="42" spans="2:16" x14ac:dyDescent="0.25">
      <c r="D42" s="3">
        <v>48214</v>
      </c>
      <c r="E42" s="3">
        <v>48245</v>
      </c>
      <c r="F42" s="3">
        <v>48274</v>
      </c>
      <c r="G42" s="3">
        <v>48305</v>
      </c>
      <c r="H42" s="3">
        <v>48335</v>
      </c>
      <c r="I42" s="3">
        <v>48366</v>
      </c>
      <c r="J42" s="3">
        <v>48396</v>
      </c>
      <c r="K42" s="3">
        <v>48427</v>
      </c>
      <c r="L42" s="3">
        <v>48458</v>
      </c>
      <c r="M42" s="3">
        <v>48488</v>
      </c>
      <c r="N42" s="3">
        <v>48519</v>
      </c>
      <c r="O42" s="3">
        <v>48549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7742-D95A-4840-B665-3A3A24497FC1}">
  <dimension ref="B1:P45"/>
  <sheetViews>
    <sheetView zoomScale="80" zoomScaleNormal="80" workbookViewId="0">
      <selection activeCell="D7" sqref="D7:O7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79" t="s">
        <v>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2:15" x14ac:dyDescent="0.25">
      <c r="B2" s="79" t="s">
        <v>25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2:15" x14ac:dyDescent="0.25">
      <c r="B3" s="79" t="s">
        <v>28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</row>
    <row r="4" spans="2:15" x14ac:dyDescent="0.25">
      <c r="B4" s="79" t="s">
        <v>50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80" t="s">
        <v>0</v>
      </c>
      <c r="C7" s="80" t="s">
        <v>7</v>
      </c>
      <c r="D7" s="81" t="s">
        <v>50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80"/>
      <c r="C8" s="80"/>
      <c r="D8" s="3">
        <v>48580</v>
      </c>
      <c r="E8" s="3">
        <v>48611</v>
      </c>
      <c r="F8" s="3">
        <v>48639</v>
      </c>
      <c r="G8" s="3">
        <v>48670</v>
      </c>
      <c r="H8" s="3">
        <v>48700</v>
      </c>
      <c r="I8" s="3">
        <v>48731</v>
      </c>
      <c r="J8" s="3">
        <v>48761</v>
      </c>
      <c r="K8" s="3">
        <v>48792</v>
      </c>
      <c r="L8" s="3">
        <v>48823</v>
      </c>
      <c r="M8" s="3">
        <v>48853</v>
      </c>
      <c r="N8" s="3">
        <v>48884</v>
      </c>
      <c r="O8" s="3">
        <v>48914</v>
      </c>
    </row>
    <row r="9" spans="2:15" x14ac:dyDescent="0.25">
      <c r="B9" s="77" t="s">
        <v>1</v>
      </c>
      <c r="C9" s="4">
        <v>1</v>
      </c>
      <c r="D9" s="50">
        <v>18.2</v>
      </c>
      <c r="E9" s="50">
        <v>18.2</v>
      </c>
      <c r="F9" s="50">
        <v>18.2</v>
      </c>
      <c r="G9" s="50">
        <v>18.2</v>
      </c>
      <c r="H9" s="50">
        <v>18.2</v>
      </c>
      <c r="I9" s="50">
        <v>18.2</v>
      </c>
      <c r="J9" s="50">
        <v>18.2</v>
      </c>
      <c r="K9" s="50">
        <v>18.2</v>
      </c>
      <c r="L9" s="50">
        <v>18.2</v>
      </c>
      <c r="M9" s="50">
        <v>18.2</v>
      </c>
      <c r="N9" s="50">
        <v>18.2</v>
      </c>
      <c r="O9" s="50">
        <v>18.2</v>
      </c>
    </row>
    <row r="10" spans="2:15" x14ac:dyDescent="0.25">
      <c r="B10" s="84"/>
      <c r="C10" s="4">
        <v>2</v>
      </c>
      <c r="D10" s="50">
        <v>18.2</v>
      </c>
      <c r="E10" s="50">
        <v>18.2</v>
      </c>
      <c r="F10" s="50">
        <v>18.2</v>
      </c>
      <c r="G10" s="50">
        <v>18.2</v>
      </c>
      <c r="H10" s="50">
        <v>18.2</v>
      </c>
      <c r="I10" s="50">
        <v>18.2</v>
      </c>
      <c r="J10" s="50">
        <v>18.2</v>
      </c>
      <c r="K10" s="50">
        <v>18.2</v>
      </c>
      <c r="L10" s="50">
        <v>18.2</v>
      </c>
      <c r="M10" s="50">
        <v>18.2</v>
      </c>
      <c r="N10" s="50">
        <v>18.2</v>
      </c>
      <c r="O10" s="50">
        <v>18.2</v>
      </c>
    </row>
    <row r="11" spans="2:15" x14ac:dyDescent="0.25">
      <c r="B11" s="84"/>
      <c r="C11" s="4">
        <v>3</v>
      </c>
      <c r="D11" s="50">
        <v>18.2</v>
      </c>
      <c r="E11" s="50">
        <v>18.2</v>
      </c>
      <c r="F11" s="50">
        <v>18.2</v>
      </c>
      <c r="G11" s="50">
        <v>18.2</v>
      </c>
      <c r="H11" s="50">
        <v>18.2</v>
      </c>
      <c r="I11" s="50">
        <v>18.2</v>
      </c>
      <c r="J11" s="50">
        <v>18.2</v>
      </c>
      <c r="K11" s="50">
        <v>18.2</v>
      </c>
      <c r="L11" s="50">
        <v>18.2</v>
      </c>
      <c r="M11" s="50">
        <v>18.2</v>
      </c>
      <c r="N11" s="50">
        <v>18.2</v>
      </c>
      <c r="O11" s="50">
        <v>18.2</v>
      </c>
    </row>
    <row r="12" spans="2:15" x14ac:dyDescent="0.25">
      <c r="B12" s="78"/>
      <c r="C12" s="4">
        <v>4</v>
      </c>
      <c r="D12" s="50">
        <v>18.2</v>
      </c>
      <c r="E12" s="50">
        <v>18.2</v>
      </c>
      <c r="F12" s="50">
        <v>18.2</v>
      </c>
      <c r="G12" s="50">
        <v>18.2</v>
      </c>
      <c r="H12" s="50">
        <v>18.2</v>
      </c>
      <c r="I12" s="50">
        <v>18.2</v>
      </c>
      <c r="J12" s="50">
        <v>18.2</v>
      </c>
      <c r="K12" s="50">
        <v>18.2</v>
      </c>
      <c r="L12" s="50">
        <v>18.2</v>
      </c>
      <c r="M12" s="50">
        <v>18.2</v>
      </c>
      <c r="N12" s="50">
        <v>18.2</v>
      </c>
      <c r="O12" s="50">
        <v>18.2</v>
      </c>
    </row>
    <row r="13" spans="2:15" x14ac:dyDescent="0.25">
      <c r="B13" s="77" t="s">
        <v>2</v>
      </c>
      <c r="C13" s="4">
        <v>5</v>
      </c>
      <c r="D13" s="50">
        <v>18.2</v>
      </c>
      <c r="E13" s="50">
        <v>18.2</v>
      </c>
      <c r="F13" s="50">
        <v>18.2</v>
      </c>
      <c r="G13" s="50">
        <v>18.2</v>
      </c>
      <c r="H13" s="50">
        <v>18.2</v>
      </c>
      <c r="I13" s="50">
        <v>18.2</v>
      </c>
      <c r="J13" s="50">
        <v>18.2</v>
      </c>
      <c r="K13" s="50">
        <v>18.2</v>
      </c>
      <c r="L13" s="50">
        <v>18.2</v>
      </c>
      <c r="M13" s="50">
        <v>18.2</v>
      </c>
      <c r="N13" s="50">
        <v>18.2</v>
      </c>
      <c r="O13" s="50">
        <v>18.2</v>
      </c>
    </row>
    <row r="14" spans="2:15" x14ac:dyDescent="0.25">
      <c r="B14" s="84"/>
      <c r="C14" s="4">
        <v>6</v>
      </c>
      <c r="D14" s="50">
        <v>18.2</v>
      </c>
      <c r="E14" s="50">
        <v>18.2</v>
      </c>
      <c r="F14" s="50">
        <v>18.2</v>
      </c>
      <c r="G14" s="50">
        <v>18.2</v>
      </c>
      <c r="H14" s="50">
        <v>18.2</v>
      </c>
      <c r="I14" s="50">
        <v>18.2</v>
      </c>
      <c r="J14" s="50">
        <v>18.2</v>
      </c>
      <c r="K14" s="50">
        <v>18.2</v>
      </c>
      <c r="L14" s="50">
        <v>18.2</v>
      </c>
      <c r="M14" s="50">
        <v>18.2</v>
      </c>
      <c r="N14" s="50">
        <v>18.2</v>
      </c>
      <c r="O14" s="50">
        <v>18.2</v>
      </c>
    </row>
    <row r="15" spans="2:15" x14ac:dyDescent="0.25">
      <c r="B15" s="84"/>
      <c r="C15" s="4">
        <v>7</v>
      </c>
      <c r="D15" s="50">
        <v>18.2</v>
      </c>
      <c r="E15" s="50">
        <v>18.2</v>
      </c>
      <c r="F15" s="50">
        <v>18.2</v>
      </c>
      <c r="G15" s="50">
        <v>18.2</v>
      </c>
      <c r="H15" s="50">
        <v>18.2</v>
      </c>
      <c r="I15" s="50">
        <v>18.2</v>
      </c>
      <c r="J15" s="50">
        <v>18.2</v>
      </c>
      <c r="K15" s="50">
        <v>18.2</v>
      </c>
      <c r="L15" s="50">
        <v>18.2</v>
      </c>
      <c r="M15" s="50">
        <v>18.2</v>
      </c>
      <c r="N15" s="50">
        <v>18.2</v>
      </c>
      <c r="O15" s="50">
        <v>18.2</v>
      </c>
    </row>
    <row r="16" spans="2:15" x14ac:dyDescent="0.25">
      <c r="B16" s="84"/>
      <c r="C16" s="4">
        <v>8</v>
      </c>
      <c r="D16" s="50">
        <v>18.2</v>
      </c>
      <c r="E16" s="50">
        <v>18.2</v>
      </c>
      <c r="F16" s="50">
        <v>18.2</v>
      </c>
      <c r="G16" s="50">
        <v>18.2</v>
      </c>
      <c r="H16" s="50">
        <v>18.2</v>
      </c>
      <c r="I16" s="50">
        <v>18.2</v>
      </c>
      <c r="J16" s="50">
        <v>18.2</v>
      </c>
      <c r="K16" s="50">
        <v>18.2</v>
      </c>
      <c r="L16" s="50">
        <v>18.2</v>
      </c>
      <c r="M16" s="50">
        <v>18.2</v>
      </c>
      <c r="N16" s="50">
        <v>18.2</v>
      </c>
      <c r="O16" s="50">
        <v>18.2</v>
      </c>
    </row>
    <row r="17" spans="2:15" x14ac:dyDescent="0.25">
      <c r="B17" s="78"/>
      <c r="C17" s="4">
        <v>9</v>
      </c>
      <c r="D17" s="50">
        <v>18.2</v>
      </c>
      <c r="E17" s="50">
        <v>18.2</v>
      </c>
      <c r="F17" s="50">
        <v>18.2</v>
      </c>
      <c r="G17" s="50">
        <v>18.2</v>
      </c>
      <c r="H17" s="50">
        <v>18.2</v>
      </c>
      <c r="I17" s="50">
        <v>18.2</v>
      </c>
      <c r="J17" s="50">
        <v>18.2</v>
      </c>
      <c r="K17" s="50">
        <v>18.2</v>
      </c>
      <c r="L17" s="50">
        <v>18.2</v>
      </c>
      <c r="M17" s="50">
        <v>18.2</v>
      </c>
      <c r="N17" s="50">
        <v>18.2</v>
      </c>
      <c r="O17" s="50">
        <v>18.2</v>
      </c>
    </row>
    <row r="18" spans="2:15" x14ac:dyDescent="0.25">
      <c r="B18" s="77" t="s">
        <v>3</v>
      </c>
      <c r="C18" s="4">
        <v>10</v>
      </c>
      <c r="D18" s="50">
        <v>18.2</v>
      </c>
      <c r="E18" s="50">
        <v>18.2</v>
      </c>
      <c r="F18" s="50">
        <v>18.2</v>
      </c>
      <c r="G18" s="50">
        <v>18.2</v>
      </c>
      <c r="H18" s="50">
        <v>18.2</v>
      </c>
      <c r="I18" s="50">
        <v>18.2</v>
      </c>
      <c r="J18" s="50">
        <v>18.2</v>
      </c>
      <c r="K18" s="50">
        <v>18.2</v>
      </c>
      <c r="L18" s="50">
        <v>18.2</v>
      </c>
      <c r="M18" s="50">
        <v>18.2</v>
      </c>
      <c r="N18" s="50">
        <v>18.2</v>
      </c>
      <c r="O18" s="50">
        <v>18.2</v>
      </c>
    </row>
    <row r="19" spans="2:15" x14ac:dyDescent="0.25">
      <c r="B19" s="84"/>
      <c r="C19" s="4">
        <v>11</v>
      </c>
      <c r="D19" s="50">
        <v>18.2</v>
      </c>
      <c r="E19" s="50">
        <v>18.2</v>
      </c>
      <c r="F19" s="50">
        <v>18.2</v>
      </c>
      <c r="G19" s="50">
        <v>18.2</v>
      </c>
      <c r="H19" s="50">
        <v>18.2</v>
      </c>
      <c r="I19" s="50">
        <v>18.2</v>
      </c>
      <c r="J19" s="50">
        <v>18.2</v>
      </c>
      <c r="K19" s="50">
        <v>18.2</v>
      </c>
      <c r="L19" s="50">
        <v>18.2</v>
      </c>
      <c r="M19" s="50">
        <v>18.2</v>
      </c>
      <c r="N19" s="50">
        <v>18.2</v>
      </c>
      <c r="O19" s="50">
        <v>18.2</v>
      </c>
    </row>
    <row r="20" spans="2:15" x14ac:dyDescent="0.25">
      <c r="B20" s="78"/>
      <c r="C20" s="4">
        <v>12</v>
      </c>
      <c r="D20" s="50">
        <v>18.2</v>
      </c>
      <c r="E20" s="50">
        <v>18.2</v>
      </c>
      <c r="F20" s="50">
        <v>18.2</v>
      </c>
      <c r="G20" s="50">
        <v>18.2</v>
      </c>
      <c r="H20" s="50">
        <v>18.2</v>
      </c>
      <c r="I20" s="50">
        <v>18.2</v>
      </c>
      <c r="J20" s="50">
        <v>18.2</v>
      </c>
      <c r="K20" s="50">
        <v>18.2</v>
      </c>
      <c r="L20" s="50">
        <v>18.2</v>
      </c>
      <c r="M20" s="50">
        <v>18.2</v>
      </c>
      <c r="N20" s="50">
        <v>18.2</v>
      </c>
      <c r="O20" s="50">
        <v>18.2</v>
      </c>
    </row>
    <row r="21" spans="2:15" x14ac:dyDescent="0.25">
      <c r="B21" s="77" t="s">
        <v>2</v>
      </c>
      <c r="C21" s="4">
        <v>13</v>
      </c>
      <c r="D21" s="50">
        <v>18.2</v>
      </c>
      <c r="E21" s="50">
        <v>18.2</v>
      </c>
      <c r="F21" s="50">
        <v>18.2</v>
      </c>
      <c r="G21" s="50">
        <v>18.2</v>
      </c>
      <c r="H21" s="50">
        <v>18.2</v>
      </c>
      <c r="I21" s="50">
        <v>18.2</v>
      </c>
      <c r="J21" s="50">
        <v>18.2</v>
      </c>
      <c r="K21" s="50">
        <v>18.2</v>
      </c>
      <c r="L21" s="50">
        <v>18.2</v>
      </c>
      <c r="M21" s="50">
        <v>18.2</v>
      </c>
      <c r="N21" s="50">
        <v>18.2</v>
      </c>
      <c r="O21" s="50">
        <v>18.2</v>
      </c>
    </row>
    <row r="22" spans="2:15" x14ac:dyDescent="0.25">
      <c r="B22" s="84"/>
      <c r="C22" s="4">
        <v>14</v>
      </c>
      <c r="D22" s="50">
        <v>18.2</v>
      </c>
      <c r="E22" s="50">
        <v>18.2</v>
      </c>
      <c r="F22" s="50">
        <v>18.2</v>
      </c>
      <c r="G22" s="50">
        <v>18.2</v>
      </c>
      <c r="H22" s="50">
        <v>18.2</v>
      </c>
      <c r="I22" s="50">
        <v>18.2</v>
      </c>
      <c r="J22" s="50">
        <v>18.2</v>
      </c>
      <c r="K22" s="50">
        <v>18.2</v>
      </c>
      <c r="L22" s="50">
        <v>18.2</v>
      </c>
      <c r="M22" s="50">
        <v>18.2</v>
      </c>
      <c r="N22" s="50">
        <v>18.2</v>
      </c>
      <c r="O22" s="50">
        <v>18.2</v>
      </c>
    </row>
    <row r="23" spans="2:15" x14ac:dyDescent="0.25">
      <c r="B23" s="84"/>
      <c r="C23" s="4">
        <v>15</v>
      </c>
      <c r="D23" s="50">
        <v>18.2</v>
      </c>
      <c r="E23" s="50">
        <v>18.2</v>
      </c>
      <c r="F23" s="50">
        <v>18.2</v>
      </c>
      <c r="G23" s="50">
        <v>18.2</v>
      </c>
      <c r="H23" s="50">
        <v>18.2</v>
      </c>
      <c r="I23" s="50">
        <v>18.2</v>
      </c>
      <c r="J23" s="50">
        <v>18.2</v>
      </c>
      <c r="K23" s="50">
        <v>18.2</v>
      </c>
      <c r="L23" s="50">
        <v>18.2</v>
      </c>
      <c r="M23" s="50">
        <v>18.2</v>
      </c>
      <c r="N23" s="50">
        <v>18.2</v>
      </c>
      <c r="O23" s="50">
        <v>18.2</v>
      </c>
    </row>
    <row r="24" spans="2:15" x14ac:dyDescent="0.25">
      <c r="B24" s="84"/>
      <c r="C24" s="4">
        <v>16</v>
      </c>
      <c r="D24" s="50">
        <v>18.2</v>
      </c>
      <c r="E24" s="50">
        <v>18.2</v>
      </c>
      <c r="F24" s="50">
        <v>18.2</v>
      </c>
      <c r="G24" s="50">
        <v>18.2</v>
      </c>
      <c r="H24" s="50">
        <v>18.2</v>
      </c>
      <c r="I24" s="50">
        <v>18.2</v>
      </c>
      <c r="J24" s="50">
        <v>18.2</v>
      </c>
      <c r="K24" s="50">
        <v>18.2</v>
      </c>
      <c r="L24" s="50">
        <v>18.2</v>
      </c>
      <c r="M24" s="50">
        <v>18.2</v>
      </c>
      <c r="N24" s="50">
        <v>18.2</v>
      </c>
      <c r="O24" s="50">
        <v>18.2</v>
      </c>
    </row>
    <row r="25" spans="2:15" x14ac:dyDescent="0.25">
      <c r="B25" s="84"/>
      <c r="C25" s="4">
        <v>17</v>
      </c>
      <c r="D25" s="50">
        <v>18.2</v>
      </c>
      <c r="E25" s="50">
        <v>18.2</v>
      </c>
      <c r="F25" s="50">
        <v>18.2</v>
      </c>
      <c r="G25" s="50">
        <v>18.2</v>
      </c>
      <c r="H25" s="50">
        <v>18.2</v>
      </c>
      <c r="I25" s="50">
        <v>18.2</v>
      </c>
      <c r="J25" s="50">
        <v>18.2</v>
      </c>
      <c r="K25" s="50">
        <v>18.2</v>
      </c>
      <c r="L25" s="50">
        <v>18.2</v>
      </c>
      <c r="M25" s="50">
        <v>18.2</v>
      </c>
      <c r="N25" s="50">
        <v>18.2</v>
      </c>
      <c r="O25" s="50">
        <v>18.2</v>
      </c>
    </row>
    <row r="26" spans="2:15" x14ac:dyDescent="0.25">
      <c r="B26" s="78"/>
      <c r="C26" s="4">
        <v>18</v>
      </c>
      <c r="D26" s="50">
        <v>18.2</v>
      </c>
      <c r="E26" s="50">
        <v>18.2</v>
      </c>
      <c r="F26" s="50">
        <v>18.2</v>
      </c>
      <c r="G26" s="50">
        <v>18.2</v>
      </c>
      <c r="H26" s="50">
        <v>18.2</v>
      </c>
      <c r="I26" s="50">
        <v>18.2</v>
      </c>
      <c r="J26" s="50">
        <v>18.2</v>
      </c>
      <c r="K26" s="50">
        <v>18.2</v>
      </c>
      <c r="L26" s="50">
        <v>18.2</v>
      </c>
      <c r="M26" s="50">
        <v>18.2</v>
      </c>
      <c r="N26" s="50">
        <v>18.2</v>
      </c>
      <c r="O26" s="50">
        <v>18.2</v>
      </c>
    </row>
    <row r="27" spans="2:15" x14ac:dyDescent="0.25">
      <c r="B27" s="77" t="s">
        <v>3</v>
      </c>
      <c r="C27" s="4">
        <v>19</v>
      </c>
      <c r="D27" s="50">
        <v>18.2</v>
      </c>
      <c r="E27" s="50">
        <v>18.2</v>
      </c>
      <c r="F27" s="50">
        <v>18.2</v>
      </c>
      <c r="G27" s="50">
        <v>18.2</v>
      </c>
      <c r="H27" s="50">
        <v>18.2</v>
      </c>
      <c r="I27" s="50">
        <v>18.2</v>
      </c>
      <c r="J27" s="50">
        <v>18.2</v>
      </c>
      <c r="K27" s="50">
        <v>18.2</v>
      </c>
      <c r="L27" s="50">
        <v>18.2</v>
      </c>
      <c r="M27" s="50">
        <v>18.2</v>
      </c>
      <c r="N27" s="50">
        <v>18.2</v>
      </c>
      <c r="O27" s="50">
        <v>18.2</v>
      </c>
    </row>
    <row r="28" spans="2:15" x14ac:dyDescent="0.25">
      <c r="B28" s="84"/>
      <c r="C28" s="4">
        <v>20</v>
      </c>
      <c r="D28" s="50">
        <v>18.2</v>
      </c>
      <c r="E28" s="50">
        <v>18.2</v>
      </c>
      <c r="F28" s="50">
        <v>18.2</v>
      </c>
      <c r="G28" s="50">
        <v>18.2</v>
      </c>
      <c r="H28" s="50">
        <v>18.2</v>
      </c>
      <c r="I28" s="50">
        <v>18.2</v>
      </c>
      <c r="J28" s="50">
        <v>18.2</v>
      </c>
      <c r="K28" s="50">
        <v>18.2</v>
      </c>
      <c r="L28" s="50">
        <v>18.2</v>
      </c>
      <c r="M28" s="50">
        <v>18.2</v>
      </c>
      <c r="N28" s="50">
        <v>18.2</v>
      </c>
      <c r="O28" s="50">
        <v>18.2</v>
      </c>
    </row>
    <row r="29" spans="2:15" x14ac:dyDescent="0.25">
      <c r="B29" s="78"/>
      <c r="C29" s="4">
        <v>21</v>
      </c>
      <c r="D29" s="50">
        <v>18.2</v>
      </c>
      <c r="E29" s="50">
        <v>18.2</v>
      </c>
      <c r="F29" s="50">
        <v>18.2</v>
      </c>
      <c r="G29" s="50">
        <v>18.2</v>
      </c>
      <c r="H29" s="50">
        <v>18.2</v>
      </c>
      <c r="I29" s="50">
        <v>18.2</v>
      </c>
      <c r="J29" s="50">
        <v>18.2</v>
      </c>
      <c r="K29" s="50">
        <v>18.2</v>
      </c>
      <c r="L29" s="50">
        <v>18.2</v>
      </c>
      <c r="M29" s="50">
        <v>18.2</v>
      </c>
      <c r="N29" s="50">
        <v>18.2</v>
      </c>
      <c r="O29" s="50">
        <v>18.2</v>
      </c>
    </row>
    <row r="30" spans="2:15" x14ac:dyDescent="0.25">
      <c r="B30" s="77" t="s">
        <v>2</v>
      </c>
      <c r="C30" s="4">
        <v>22</v>
      </c>
      <c r="D30" s="50">
        <v>18.2</v>
      </c>
      <c r="E30" s="50">
        <v>18.2</v>
      </c>
      <c r="F30" s="50">
        <v>18.2</v>
      </c>
      <c r="G30" s="50">
        <v>18.2</v>
      </c>
      <c r="H30" s="50">
        <v>18.2</v>
      </c>
      <c r="I30" s="50">
        <v>18.2</v>
      </c>
      <c r="J30" s="50">
        <v>18.2</v>
      </c>
      <c r="K30" s="50">
        <v>18.2</v>
      </c>
      <c r="L30" s="50">
        <v>18.2</v>
      </c>
      <c r="M30" s="50">
        <v>18.2</v>
      </c>
      <c r="N30" s="50">
        <v>18.2</v>
      </c>
      <c r="O30" s="50">
        <v>18.2</v>
      </c>
    </row>
    <row r="31" spans="2:15" ht="16.149999999999999" customHeight="1" x14ac:dyDescent="0.25">
      <c r="B31" s="78"/>
      <c r="C31" s="4">
        <v>23</v>
      </c>
      <c r="D31" s="50">
        <v>18.2</v>
      </c>
      <c r="E31" s="50">
        <v>18.2</v>
      </c>
      <c r="F31" s="50">
        <v>18.2</v>
      </c>
      <c r="G31" s="50">
        <v>18.2</v>
      </c>
      <c r="H31" s="50">
        <v>18.2</v>
      </c>
      <c r="I31" s="50">
        <v>18.2</v>
      </c>
      <c r="J31" s="50">
        <v>18.2</v>
      </c>
      <c r="K31" s="50">
        <v>18.2</v>
      </c>
      <c r="L31" s="50">
        <v>18.2</v>
      </c>
      <c r="M31" s="50">
        <v>18.2</v>
      </c>
      <c r="N31" s="50">
        <v>18.2</v>
      </c>
      <c r="O31" s="50">
        <v>18.2</v>
      </c>
    </row>
    <row r="32" spans="2:15" x14ac:dyDescent="0.25">
      <c r="B32" s="36" t="s">
        <v>1</v>
      </c>
      <c r="C32" s="37">
        <v>24</v>
      </c>
      <c r="D32" s="50">
        <v>18.2</v>
      </c>
      <c r="E32" s="50">
        <v>18.2</v>
      </c>
      <c r="F32" s="50">
        <v>18.2</v>
      </c>
      <c r="G32" s="50">
        <v>18.2</v>
      </c>
      <c r="H32" s="50">
        <v>18.2</v>
      </c>
      <c r="I32" s="50">
        <v>18.2</v>
      </c>
      <c r="J32" s="50">
        <v>18.2</v>
      </c>
      <c r="K32" s="50">
        <v>18.2</v>
      </c>
      <c r="L32" s="50">
        <v>18.2</v>
      </c>
      <c r="M32" s="50">
        <v>18.2</v>
      </c>
      <c r="N32" s="50">
        <v>18.2</v>
      </c>
      <c r="O32" s="50">
        <v>18.2</v>
      </c>
    </row>
    <row r="33" spans="2:16" x14ac:dyDescent="0.25">
      <c r="B33" s="87" t="s">
        <v>8</v>
      </c>
      <c r="C33" s="87"/>
      <c r="D33" s="5">
        <v>31</v>
      </c>
      <c r="E33" s="4">
        <v>28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8" t="s">
        <v>51</v>
      </c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</row>
    <row r="35" spans="2:16" x14ac:dyDescent="0.25">
      <c r="B35" s="87" t="s">
        <v>1</v>
      </c>
      <c r="C35" s="87"/>
      <c r="D35" s="41">
        <f t="shared" ref="D35:G35" si="0">(SUM(D9:D12)+D32)</f>
        <v>91</v>
      </c>
      <c r="E35" s="41">
        <f t="shared" si="0"/>
        <v>91</v>
      </c>
      <c r="F35" s="41">
        <f t="shared" si="0"/>
        <v>91</v>
      </c>
      <c r="G35" s="41">
        <f t="shared" si="0"/>
        <v>91</v>
      </c>
      <c r="H35" s="41">
        <f t="shared" ref="H35:O35" si="1">(SUM(H9:H12)+H32)</f>
        <v>91</v>
      </c>
      <c r="I35" s="41">
        <f t="shared" si="1"/>
        <v>91</v>
      </c>
      <c r="J35" s="41">
        <f t="shared" si="1"/>
        <v>91</v>
      </c>
      <c r="K35" s="41">
        <f t="shared" si="1"/>
        <v>91</v>
      </c>
      <c r="L35" s="41">
        <f t="shared" si="1"/>
        <v>91</v>
      </c>
      <c r="M35" s="41">
        <f t="shared" si="1"/>
        <v>91</v>
      </c>
      <c r="N35" s="41">
        <f t="shared" si="1"/>
        <v>91</v>
      </c>
      <c r="O35" s="41">
        <f t="shared" si="1"/>
        <v>91</v>
      </c>
    </row>
    <row r="36" spans="2:16" x14ac:dyDescent="0.25">
      <c r="B36" s="87" t="s">
        <v>2</v>
      </c>
      <c r="C36" s="87"/>
      <c r="D36" s="41">
        <f t="shared" ref="D36:G36" si="2">(SUM(D13:D17)+SUM(D21:D26)+D30+D31)</f>
        <v>236.59999999999997</v>
      </c>
      <c r="E36" s="41">
        <f t="shared" si="2"/>
        <v>236.59999999999997</v>
      </c>
      <c r="F36" s="41">
        <f t="shared" si="2"/>
        <v>236.59999999999997</v>
      </c>
      <c r="G36" s="41">
        <f t="shared" si="2"/>
        <v>236.59999999999997</v>
      </c>
      <c r="H36" s="41">
        <f t="shared" ref="H36:O36" si="3">(SUM(H13:H17)+SUM(H21:H26)+H30+H31)</f>
        <v>236.59999999999997</v>
      </c>
      <c r="I36" s="41">
        <f t="shared" si="3"/>
        <v>236.59999999999997</v>
      </c>
      <c r="J36" s="41">
        <f t="shared" si="3"/>
        <v>236.59999999999997</v>
      </c>
      <c r="K36" s="41">
        <f t="shared" si="3"/>
        <v>236.59999999999997</v>
      </c>
      <c r="L36" s="41">
        <f t="shared" si="3"/>
        <v>236.59999999999997</v>
      </c>
      <c r="M36" s="41">
        <f t="shared" si="3"/>
        <v>236.59999999999997</v>
      </c>
      <c r="N36" s="41">
        <f t="shared" si="3"/>
        <v>236.59999999999997</v>
      </c>
      <c r="O36" s="41">
        <f t="shared" si="3"/>
        <v>236.59999999999997</v>
      </c>
    </row>
    <row r="37" spans="2:16" x14ac:dyDescent="0.25">
      <c r="B37" s="87" t="s">
        <v>3</v>
      </c>
      <c r="C37" s="87"/>
      <c r="D37" s="41">
        <f t="shared" ref="D37:G37" si="4">(SUM(D18:D20)+SUM(D27:D29))</f>
        <v>109.19999999999999</v>
      </c>
      <c r="E37" s="41">
        <f t="shared" si="4"/>
        <v>109.19999999999999</v>
      </c>
      <c r="F37" s="41">
        <f t="shared" si="4"/>
        <v>109.19999999999999</v>
      </c>
      <c r="G37" s="41">
        <f t="shared" si="4"/>
        <v>109.19999999999999</v>
      </c>
      <c r="H37" s="41">
        <f t="shared" ref="H37:O37" si="5">(SUM(H18:H20)+SUM(H27:H29))</f>
        <v>109.19999999999999</v>
      </c>
      <c r="I37" s="41">
        <f t="shared" si="5"/>
        <v>109.19999999999999</v>
      </c>
      <c r="J37" s="41">
        <f t="shared" si="5"/>
        <v>109.19999999999999</v>
      </c>
      <c r="K37" s="41">
        <f t="shared" si="5"/>
        <v>109.19999999999999</v>
      </c>
      <c r="L37" s="41">
        <f t="shared" si="5"/>
        <v>109.19999999999999</v>
      </c>
      <c r="M37" s="41">
        <f t="shared" si="5"/>
        <v>109.19999999999999</v>
      </c>
      <c r="N37" s="41">
        <f t="shared" si="5"/>
        <v>109.19999999999999</v>
      </c>
      <c r="O37" s="41">
        <f t="shared" si="5"/>
        <v>109.19999999999999</v>
      </c>
    </row>
    <row r="38" spans="2:16" x14ac:dyDescent="0.25">
      <c r="B38" s="85" t="s">
        <v>9</v>
      </c>
      <c r="C38" s="86"/>
      <c r="D38" s="41">
        <f t="shared" ref="D38:O38" si="6">D35*D33</f>
        <v>2821</v>
      </c>
      <c r="E38" s="41">
        <f t="shared" si="6"/>
        <v>2548</v>
      </c>
      <c r="F38" s="41">
        <f t="shared" si="6"/>
        <v>2821</v>
      </c>
      <c r="G38" s="41">
        <f t="shared" si="6"/>
        <v>2730</v>
      </c>
      <c r="H38" s="41">
        <f t="shared" si="6"/>
        <v>2821</v>
      </c>
      <c r="I38" s="41">
        <f t="shared" si="6"/>
        <v>2730</v>
      </c>
      <c r="J38" s="41">
        <f t="shared" si="6"/>
        <v>2821</v>
      </c>
      <c r="K38" s="41">
        <f t="shared" si="6"/>
        <v>2821</v>
      </c>
      <c r="L38" s="41">
        <f t="shared" si="6"/>
        <v>2730</v>
      </c>
      <c r="M38" s="41">
        <f t="shared" si="6"/>
        <v>2821</v>
      </c>
      <c r="N38" s="41">
        <f t="shared" si="6"/>
        <v>2730</v>
      </c>
      <c r="O38" s="41">
        <f t="shared" si="6"/>
        <v>2821</v>
      </c>
    </row>
    <row r="39" spans="2:16" x14ac:dyDescent="0.25">
      <c r="B39" s="85" t="s">
        <v>10</v>
      </c>
      <c r="C39" s="86"/>
      <c r="D39" s="41">
        <f t="shared" ref="D39:O39" si="7">D33*D36</f>
        <v>7334.5999999999985</v>
      </c>
      <c r="E39" s="41">
        <f t="shared" si="7"/>
        <v>6624.7999999999993</v>
      </c>
      <c r="F39" s="41">
        <f t="shared" si="7"/>
        <v>7334.5999999999985</v>
      </c>
      <c r="G39" s="41">
        <f t="shared" si="7"/>
        <v>7097.9999999999991</v>
      </c>
      <c r="H39" s="41">
        <f t="shared" si="7"/>
        <v>7334.5999999999985</v>
      </c>
      <c r="I39" s="41">
        <f t="shared" si="7"/>
        <v>7097.9999999999991</v>
      </c>
      <c r="J39" s="41">
        <f t="shared" si="7"/>
        <v>7334.5999999999985</v>
      </c>
      <c r="K39" s="41">
        <f t="shared" si="7"/>
        <v>7334.5999999999985</v>
      </c>
      <c r="L39" s="41">
        <f t="shared" si="7"/>
        <v>7097.9999999999991</v>
      </c>
      <c r="M39" s="41">
        <f t="shared" si="7"/>
        <v>7334.5999999999985</v>
      </c>
      <c r="N39" s="41">
        <f t="shared" si="7"/>
        <v>7097.9999999999991</v>
      </c>
      <c r="O39" s="41">
        <f t="shared" si="7"/>
        <v>7334.5999999999985</v>
      </c>
    </row>
    <row r="40" spans="2:16" x14ac:dyDescent="0.25">
      <c r="B40" s="85" t="s">
        <v>11</v>
      </c>
      <c r="C40" s="86"/>
      <c r="D40" s="41">
        <f t="shared" ref="D40:O40" si="8">D33*D37</f>
        <v>3385.2</v>
      </c>
      <c r="E40" s="41">
        <f t="shared" si="8"/>
        <v>3057.5999999999995</v>
      </c>
      <c r="F40" s="41">
        <f t="shared" si="8"/>
        <v>3385.2</v>
      </c>
      <c r="G40" s="41">
        <f t="shared" si="8"/>
        <v>3275.9999999999995</v>
      </c>
      <c r="H40" s="41">
        <f t="shared" si="8"/>
        <v>3385.2</v>
      </c>
      <c r="I40" s="41">
        <f t="shared" si="8"/>
        <v>3275.9999999999995</v>
      </c>
      <c r="J40" s="41">
        <f t="shared" si="8"/>
        <v>3385.2</v>
      </c>
      <c r="K40" s="41">
        <f t="shared" si="8"/>
        <v>3385.2</v>
      </c>
      <c r="L40" s="41">
        <f t="shared" si="8"/>
        <v>3275.9999999999995</v>
      </c>
      <c r="M40" s="41">
        <f t="shared" si="8"/>
        <v>3385.2</v>
      </c>
      <c r="N40" s="41">
        <f t="shared" si="8"/>
        <v>3275.9999999999995</v>
      </c>
      <c r="O40" s="41">
        <f t="shared" si="8"/>
        <v>3385.2</v>
      </c>
    </row>
    <row r="41" spans="2:16" x14ac:dyDescent="0.25">
      <c r="B41" s="81" t="s">
        <v>12</v>
      </c>
      <c r="C41" s="82"/>
      <c r="D41" s="51">
        <f t="shared" ref="D41:O41" si="9">D40+D39+D38</f>
        <v>13540.8</v>
      </c>
      <c r="E41" s="51">
        <f t="shared" si="9"/>
        <v>12230.399999999998</v>
      </c>
      <c r="F41" s="51">
        <f t="shared" si="9"/>
        <v>13540.8</v>
      </c>
      <c r="G41" s="51">
        <f t="shared" si="9"/>
        <v>13103.999999999998</v>
      </c>
      <c r="H41" s="51">
        <f t="shared" si="9"/>
        <v>13540.8</v>
      </c>
      <c r="I41" s="51">
        <f t="shared" si="9"/>
        <v>13103.999999999998</v>
      </c>
      <c r="J41" s="51">
        <f t="shared" si="9"/>
        <v>13540.8</v>
      </c>
      <c r="K41" s="51">
        <f t="shared" si="9"/>
        <v>13540.8</v>
      </c>
      <c r="L41" s="51">
        <f t="shared" si="9"/>
        <v>13103.999999999998</v>
      </c>
      <c r="M41" s="51">
        <f t="shared" si="9"/>
        <v>13540.8</v>
      </c>
      <c r="N41" s="51">
        <f t="shared" si="9"/>
        <v>13103.999999999998</v>
      </c>
      <c r="O41" s="51">
        <f t="shared" si="9"/>
        <v>13540.8</v>
      </c>
      <c r="P41" s="52">
        <f>SUM(D41:O41)</f>
        <v>159432</v>
      </c>
    </row>
    <row r="42" spans="2:16" x14ac:dyDescent="0.25">
      <c r="D42" s="3">
        <v>48580</v>
      </c>
      <c r="E42" s="3">
        <v>48611</v>
      </c>
      <c r="F42" s="3">
        <v>48639</v>
      </c>
      <c r="G42" s="3">
        <v>48670</v>
      </c>
      <c r="H42" s="3">
        <v>48700</v>
      </c>
      <c r="I42" s="3">
        <v>48731</v>
      </c>
      <c r="J42" s="3">
        <v>48761</v>
      </c>
      <c r="K42" s="3">
        <v>48792</v>
      </c>
      <c r="L42" s="3">
        <v>48823</v>
      </c>
      <c r="M42" s="3">
        <v>48853</v>
      </c>
      <c r="N42" s="3">
        <v>48884</v>
      </c>
      <c r="O42" s="3">
        <v>48914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3866-CDED-4804-9BA8-11634492C3E9}">
  <dimension ref="B1:P45"/>
  <sheetViews>
    <sheetView zoomScale="80" zoomScaleNormal="80" workbookViewId="0">
      <selection activeCell="D7" sqref="D7:O7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79" t="s">
        <v>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2:15" x14ac:dyDescent="0.25">
      <c r="B2" s="79" t="s">
        <v>25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2:15" x14ac:dyDescent="0.25">
      <c r="B3" s="79" t="s">
        <v>29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</row>
    <row r="4" spans="2:15" x14ac:dyDescent="0.25">
      <c r="B4" s="79" t="s">
        <v>52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80" t="s">
        <v>0</v>
      </c>
      <c r="C7" s="80" t="s">
        <v>7</v>
      </c>
      <c r="D7" s="81" t="s">
        <v>52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80"/>
      <c r="C8" s="80"/>
      <c r="D8" s="3">
        <v>48945</v>
      </c>
      <c r="E8" s="3">
        <v>48976</v>
      </c>
      <c r="F8" s="3">
        <v>49004</v>
      </c>
      <c r="G8" s="3">
        <v>49035</v>
      </c>
      <c r="H8" s="3">
        <v>49065</v>
      </c>
      <c r="I8" s="3">
        <v>49096</v>
      </c>
      <c r="J8" s="3">
        <v>49126</v>
      </c>
      <c r="K8" s="3">
        <v>49157</v>
      </c>
      <c r="L8" s="3">
        <v>49188</v>
      </c>
      <c r="M8" s="3">
        <v>49218</v>
      </c>
      <c r="N8" s="3">
        <v>49249</v>
      </c>
      <c r="O8" s="3">
        <v>49279</v>
      </c>
    </row>
    <row r="9" spans="2:15" x14ac:dyDescent="0.25">
      <c r="B9" s="77" t="s">
        <v>1</v>
      </c>
      <c r="C9" s="4">
        <v>1</v>
      </c>
      <c r="D9" s="50">
        <v>8.5</v>
      </c>
      <c r="E9" s="50">
        <v>8.5</v>
      </c>
      <c r="F9" s="50">
        <v>8.5</v>
      </c>
      <c r="G9" s="50">
        <v>8.5</v>
      </c>
      <c r="H9" s="50">
        <v>8.5</v>
      </c>
      <c r="I9" s="50">
        <v>8.5</v>
      </c>
      <c r="J9" s="50">
        <v>8.5</v>
      </c>
      <c r="K9" s="50">
        <v>8.5</v>
      </c>
      <c r="L9" s="50">
        <v>8.5</v>
      </c>
      <c r="M9" s="50">
        <v>8.5</v>
      </c>
      <c r="N9" s="50">
        <v>8.5</v>
      </c>
      <c r="O9" s="50">
        <v>8.5</v>
      </c>
    </row>
    <row r="10" spans="2:15" x14ac:dyDescent="0.25">
      <c r="B10" s="84"/>
      <c r="C10" s="4">
        <v>2</v>
      </c>
      <c r="D10" s="50">
        <v>8.5</v>
      </c>
      <c r="E10" s="50">
        <v>8.5</v>
      </c>
      <c r="F10" s="50">
        <v>8.5</v>
      </c>
      <c r="G10" s="50">
        <v>8.5</v>
      </c>
      <c r="H10" s="50">
        <v>8.5</v>
      </c>
      <c r="I10" s="50">
        <v>8.5</v>
      </c>
      <c r="J10" s="50">
        <v>8.5</v>
      </c>
      <c r="K10" s="50">
        <v>8.5</v>
      </c>
      <c r="L10" s="50">
        <v>8.5</v>
      </c>
      <c r="M10" s="50">
        <v>8.5</v>
      </c>
      <c r="N10" s="50">
        <v>8.5</v>
      </c>
      <c r="O10" s="50">
        <v>8.5</v>
      </c>
    </row>
    <row r="11" spans="2:15" x14ac:dyDescent="0.25">
      <c r="B11" s="84"/>
      <c r="C11" s="4">
        <v>3</v>
      </c>
      <c r="D11" s="50">
        <v>8.5</v>
      </c>
      <c r="E11" s="50">
        <v>8.5</v>
      </c>
      <c r="F11" s="50">
        <v>8.5</v>
      </c>
      <c r="G11" s="50">
        <v>8.5</v>
      </c>
      <c r="H11" s="50">
        <v>8.5</v>
      </c>
      <c r="I11" s="50">
        <v>8.5</v>
      </c>
      <c r="J11" s="50">
        <v>8.5</v>
      </c>
      <c r="K11" s="50">
        <v>8.5</v>
      </c>
      <c r="L11" s="50">
        <v>8.5</v>
      </c>
      <c r="M11" s="50">
        <v>8.5</v>
      </c>
      <c r="N11" s="50">
        <v>8.5</v>
      </c>
      <c r="O11" s="50">
        <v>8.5</v>
      </c>
    </row>
    <row r="12" spans="2:15" x14ac:dyDescent="0.25">
      <c r="B12" s="78"/>
      <c r="C12" s="4">
        <v>4</v>
      </c>
      <c r="D12" s="50">
        <v>8.5</v>
      </c>
      <c r="E12" s="50">
        <v>8.5</v>
      </c>
      <c r="F12" s="50">
        <v>8.5</v>
      </c>
      <c r="G12" s="50">
        <v>8.5</v>
      </c>
      <c r="H12" s="50">
        <v>8.5</v>
      </c>
      <c r="I12" s="50">
        <v>8.5</v>
      </c>
      <c r="J12" s="50">
        <v>8.5</v>
      </c>
      <c r="K12" s="50">
        <v>8.5</v>
      </c>
      <c r="L12" s="50">
        <v>8.5</v>
      </c>
      <c r="M12" s="50">
        <v>8.5</v>
      </c>
      <c r="N12" s="50">
        <v>8.5</v>
      </c>
      <c r="O12" s="50">
        <v>8.5</v>
      </c>
    </row>
    <row r="13" spans="2:15" x14ac:dyDescent="0.25">
      <c r="B13" s="77" t="s">
        <v>2</v>
      </c>
      <c r="C13" s="4">
        <v>5</v>
      </c>
      <c r="D13" s="50">
        <v>8.5</v>
      </c>
      <c r="E13" s="50">
        <v>8.5</v>
      </c>
      <c r="F13" s="50">
        <v>8.5</v>
      </c>
      <c r="G13" s="50">
        <v>8.5</v>
      </c>
      <c r="H13" s="50">
        <v>8.5</v>
      </c>
      <c r="I13" s="50">
        <v>8.5</v>
      </c>
      <c r="J13" s="50">
        <v>8.5</v>
      </c>
      <c r="K13" s="50">
        <v>8.5</v>
      </c>
      <c r="L13" s="50">
        <v>8.5</v>
      </c>
      <c r="M13" s="50">
        <v>8.5</v>
      </c>
      <c r="N13" s="50">
        <v>8.5</v>
      </c>
      <c r="O13" s="50">
        <v>8.5</v>
      </c>
    </row>
    <row r="14" spans="2:15" x14ac:dyDescent="0.25">
      <c r="B14" s="84"/>
      <c r="C14" s="4">
        <v>6</v>
      </c>
      <c r="D14" s="50">
        <v>8.5</v>
      </c>
      <c r="E14" s="50">
        <v>8.5</v>
      </c>
      <c r="F14" s="50">
        <v>8.5</v>
      </c>
      <c r="G14" s="50">
        <v>8.5</v>
      </c>
      <c r="H14" s="50">
        <v>8.5</v>
      </c>
      <c r="I14" s="50">
        <v>8.5</v>
      </c>
      <c r="J14" s="50">
        <v>8.5</v>
      </c>
      <c r="K14" s="50">
        <v>8.5</v>
      </c>
      <c r="L14" s="50">
        <v>8.5</v>
      </c>
      <c r="M14" s="50">
        <v>8.5</v>
      </c>
      <c r="N14" s="50">
        <v>8.5</v>
      </c>
      <c r="O14" s="50">
        <v>8.5</v>
      </c>
    </row>
    <row r="15" spans="2:15" x14ac:dyDescent="0.25">
      <c r="B15" s="84"/>
      <c r="C15" s="4">
        <v>7</v>
      </c>
      <c r="D15" s="50">
        <v>8.5</v>
      </c>
      <c r="E15" s="50">
        <v>8.5</v>
      </c>
      <c r="F15" s="50">
        <v>8.5</v>
      </c>
      <c r="G15" s="50">
        <v>8.5</v>
      </c>
      <c r="H15" s="50">
        <v>8.5</v>
      </c>
      <c r="I15" s="50">
        <v>8.5</v>
      </c>
      <c r="J15" s="50">
        <v>8.5</v>
      </c>
      <c r="K15" s="50">
        <v>8.5</v>
      </c>
      <c r="L15" s="50">
        <v>8.5</v>
      </c>
      <c r="M15" s="50">
        <v>8.5</v>
      </c>
      <c r="N15" s="50">
        <v>8.5</v>
      </c>
      <c r="O15" s="50">
        <v>8.5</v>
      </c>
    </row>
    <row r="16" spans="2:15" x14ac:dyDescent="0.25">
      <c r="B16" s="84"/>
      <c r="C16" s="4">
        <v>8</v>
      </c>
      <c r="D16" s="50">
        <v>8.5</v>
      </c>
      <c r="E16" s="50">
        <v>8.5</v>
      </c>
      <c r="F16" s="50">
        <v>8.5</v>
      </c>
      <c r="G16" s="50">
        <v>8.5</v>
      </c>
      <c r="H16" s="50">
        <v>8.5</v>
      </c>
      <c r="I16" s="50">
        <v>8.5</v>
      </c>
      <c r="J16" s="50">
        <v>8.5</v>
      </c>
      <c r="K16" s="50">
        <v>8.5</v>
      </c>
      <c r="L16" s="50">
        <v>8.5</v>
      </c>
      <c r="M16" s="50">
        <v>8.5</v>
      </c>
      <c r="N16" s="50">
        <v>8.5</v>
      </c>
      <c r="O16" s="50">
        <v>8.5</v>
      </c>
    </row>
    <row r="17" spans="2:15" x14ac:dyDescent="0.25">
      <c r="B17" s="78"/>
      <c r="C17" s="4">
        <v>9</v>
      </c>
      <c r="D17" s="50">
        <v>8.5</v>
      </c>
      <c r="E17" s="50">
        <v>8.5</v>
      </c>
      <c r="F17" s="50">
        <v>8.5</v>
      </c>
      <c r="G17" s="50">
        <v>8.5</v>
      </c>
      <c r="H17" s="50">
        <v>8.5</v>
      </c>
      <c r="I17" s="50">
        <v>8.5</v>
      </c>
      <c r="J17" s="50">
        <v>8.5</v>
      </c>
      <c r="K17" s="50">
        <v>8.5</v>
      </c>
      <c r="L17" s="50">
        <v>8.5</v>
      </c>
      <c r="M17" s="50">
        <v>8.5</v>
      </c>
      <c r="N17" s="50">
        <v>8.5</v>
      </c>
      <c r="O17" s="50">
        <v>8.5</v>
      </c>
    </row>
    <row r="18" spans="2:15" x14ac:dyDescent="0.25">
      <c r="B18" s="77" t="s">
        <v>3</v>
      </c>
      <c r="C18" s="4">
        <v>10</v>
      </c>
      <c r="D18" s="50">
        <v>8.5</v>
      </c>
      <c r="E18" s="50">
        <v>8.5</v>
      </c>
      <c r="F18" s="50">
        <v>8.5</v>
      </c>
      <c r="G18" s="50">
        <v>8.5</v>
      </c>
      <c r="H18" s="50">
        <v>8.5</v>
      </c>
      <c r="I18" s="50">
        <v>8.5</v>
      </c>
      <c r="J18" s="50">
        <v>8.5</v>
      </c>
      <c r="K18" s="50">
        <v>8.5</v>
      </c>
      <c r="L18" s="50">
        <v>8.5</v>
      </c>
      <c r="M18" s="50">
        <v>8.5</v>
      </c>
      <c r="N18" s="50">
        <v>8.5</v>
      </c>
      <c r="O18" s="50">
        <v>8.5</v>
      </c>
    </row>
    <row r="19" spans="2:15" x14ac:dyDescent="0.25">
      <c r="B19" s="84"/>
      <c r="C19" s="4">
        <v>11</v>
      </c>
      <c r="D19" s="50">
        <v>8.5</v>
      </c>
      <c r="E19" s="50">
        <v>8.5</v>
      </c>
      <c r="F19" s="50">
        <v>8.5</v>
      </c>
      <c r="G19" s="50">
        <v>8.5</v>
      </c>
      <c r="H19" s="50">
        <v>8.5</v>
      </c>
      <c r="I19" s="50">
        <v>8.5</v>
      </c>
      <c r="J19" s="50">
        <v>8.5</v>
      </c>
      <c r="K19" s="50">
        <v>8.5</v>
      </c>
      <c r="L19" s="50">
        <v>8.5</v>
      </c>
      <c r="M19" s="50">
        <v>8.5</v>
      </c>
      <c r="N19" s="50">
        <v>8.5</v>
      </c>
      <c r="O19" s="50">
        <v>8.5</v>
      </c>
    </row>
    <row r="20" spans="2:15" x14ac:dyDescent="0.25">
      <c r="B20" s="78"/>
      <c r="C20" s="4">
        <v>12</v>
      </c>
      <c r="D20" s="50">
        <v>8.5</v>
      </c>
      <c r="E20" s="50">
        <v>8.5</v>
      </c>
      <c r="F20" s="50">
        <v>8.5</v>
      </c>
      <c r="G20" s="50">
        <v>8.5</v>
      </c>
      <c r="H20" s="50">
        <v>8.5</v>
      </c>
      <c r="I20" s="50">
        <v>8.5</v>
      </c>
      <c r="J20" s="50">
        <v>8.5</v>
      </c>
      <c r="K20" s="50">
        <v>8.5</v>
      </c>
      <c r="L20" s="50">
        <v>8.5</v>
      </c>
      <c r="M20" s="50">
        <v>8.5</v>
      </c>
      <c r="N20" s="50">
        <v>8.5</v>
      </c>
      <c r="O20" s="50">
        <v>8.5</v>
      </c>
    </row>
    <row r="21" spans="2:15" x14ac:dyDescent="0.25">
      <c r="B21" s="77" t="s">
        <v>2</v>
      </c>
      <c r="C21" s="4">
        <v>13</v>
      </c>
      <c r="D21" s="50">
        <v>8.5</v>
      </c>
      <c r="E21" s="50">
        <v>8.5</v>
      </c>
      <c r="F21" s="50">
        <v>8.5</v>
      </c>
      <c r="G21" s="50">
        <v>8.5</v>
      </c>
      <c r="H21" s="50">
        <v>8.5</v>
      </c>
      <c r="I21" s="50">
        <v>8.5</v>
      </c>
      <c r="J21" s="50">
        <v>8.5</v>
      </c>
      <c r="K21" s="50">
        <v>8.5</v>
      </c>
      <c r="L21" s="50">
        <v>8.5</v>
      </c>
      <c r="M21" s="50">
        <v>8.5</v>
      </c>
      <c r="N21" s="50">
        <v>8.5</v>
      </c>
      <c r="O21" s="50">
        <v>8.5</v>
      </c>
    </row>
    <row r="22" spans="2:15" x14ac:dyDescent="0.25">
      <c r="B22" s="84"/>
      <c r="C22" s="4">
        <v>14</v>
      </c>
      <c r="D22" s="50">
        <v>8.5</v>
      </c>
      <c r="E22" s="50">
        <v>8.5</v>
      </c>
      <c r="F22" s="50">
        <v>8.5</v>
      </c>
      <c r="G22" s="50">
        <v>8.5</v>
      </c>
      <c r="H22" s="50">
        <v>8.5</v>
      </c>
      <c r="I22" s="50">
        <v>8.5</v>
      </c>
      <c r="J22" s="50">
        <v>8.5</v>
      </c>
      <c r="K22" s="50">
        <v>8.5</v>
      </c>
      <c r="L22" s="50">
        <v>8.5</v>
      </c>
      <c r="M22" s="50">
        <v>8.5</v>
      </c>
      <c r="N22" s="50">
        <v>8.5</v>
      </c>
      <c r="O22" s="50">
        <v>8.5</v>
      </c>
    </row>
    <row r="23" spans="2:15" x14ac:dyDescent="0.25">
      <c r="B23" s="84"/>
      <c r="C23" s="4">
        <v>15</v>
      </c>
      <c r="D23" s="50">
        <v>8.5</v>
      </c>
      <c r="E23" s="50">
        <v>8.5</v>
      </c>
      <c r="F23" s="50">
        <v>8.5</v>
      </c>
      <c r="G23" s="50">
        <v>8.5</v>
      </c>
      <c r="H23" s="50">
        <v>8.5</v>
      </c>
      <c r="I23" s="50">
        <v>8.5</v>
      </c>
      <c r="J23" s="50">
        <v>8.5</v>
      </c>
      <c r="K23" s="50">
        <v>8.5</v>
      </c>
      <c r="L23" s="50">
        <v>8.5</v>
      </c>
      <c r="M23" s="50">
        <v>8.5</v>
      </c>
      <c r="N23" s="50">
        <v>8.5</v>
      </c>
      <c r="O23" s="50">
        <v>8.5</v>
      </c>
    </row>
    <row r="24" spans="2:15" x14ac:dyDescent="0.25">
      <c r="B24" s="84"/>
      <c r="C24" s="4">
        <v>16</v>
      </c>
      <c r="D24" s="50">
        <v>8.5</v>
      </c>
      <c r="E24" s="50">
        <v>8.5</v>
      </c>
      <c r="F24" s="50">
        <v>8.5</v>
      </c>
      <c r="G24" s="50">
        <v>8.5</v>
      </c>
      <c r="H24" s="50">
        <v>8.5</v>
      </c>
      <c r="I24" s="50">
        <v>8.5</v>
      </c>
      <c r="J24" s="50">
        <v>8.5</v>
      </c>
      <c r="K24" s="50">
        <v>8.5</v>
      </c>
      <c r="L24" s="50">
        <v>8.5</v>
      </c>
      <c r="M24" s="50">
        <v>8.5</v>
      </c>
      <c r="N24" s="50">
        <v>8.5</v>
      </c>
      <c r="O24" s="50">
        <v>8.5</v>
      </c>
    </row>
    <row r="25" spans="2:15" x14ac:dyDescent="0.25">
      <c r="B25" s="84"/>
      <c r="C25" s="4">
        <v>17</v>
      </c>
      <c r="D25" s="50">
        <v>8.5</v>
      </c>
      <c r="E25" s="50">
        <v>8.5</v>
      </c>
      <c r="F25" s="50">
        <v>8.5</v>
      </c>
      <c r="G25" s="50">
        <v>8.5</v>
      </c>
      <c r="H25" s="50">
        <v>8.5</v>
      </c>
      <c r="I25" s="50">
        <v>8.5</v>
      </c>
      <c r="J25" s="50">
        <v>8.5</v>
      </c>
      <c r="K25" s="50">
        <v>8.5</v>
      </c>
      <c r="L25" s="50">
        <v>8.5</v>
      </c>
      <c r="M25" s="50">
        <v>8.5</v>
      </c>
      <c r="N25" s="50">
        <v>8.5</v>
      </c>
      <c r="O25" s="50">
        <v>8.5</v>
      </c>
    </row>
    <row r="26" spans="2:15" x14ac:dyDescent="0.25">
      <c r="B26" s="78"/>
      <c r="C26" s="4">
        <v>18</v>
      </c>
      <c r="D26" s="50">
        <v>8.5</v>
      </c>
      <c r="E26" s="50">
        <v>8.5</v>
      </c>
      <c r="F26" s="50">
        <v>8.5</v>
      </c>
      <c r="G26" s="50">
        <v>8.5</v>
      </c>
      <c r="H26" s="50">
        <v>8.5</v>
      </c>
      <c r="I26" s="50">
        <v>8.5</v>
      </c>
      <c r="J26" s="50">
        <v>8.5</v>
      </c>
      <c r="K26" s="50">
        <v>8.5</v>
      </c>
      <c r="L26" s="50">
        <v>8.5</v>
      </c>
      <c r="M26" s="50">
        <v>8.5</v>
      </c>
      <c r="N26" s="50">
        <v>8.5</v>
      </c>
      <c r="O26" s="50">
        <v>8.5</v>
      </c>
    </row>
    <row r="27" spans="2:15" x14ac:dyDescent="0.25">
      <c r="B27" s="77" t="s">
        <v>3</v>
      </c>
      <c r="C27" s="4">
        <v>19</v>
      </c>
      <c r="D27" s="50">
        <v>8.5</v>
      </c>
      <c r="E27" s="50">
        <v>8.5</v>
      </c>
      <c r="F27" s="50">
        <v>8.5</v>
      </c>
      <c r="G27" s="50">
        <v>8.5</v>
      </c>
      <c r="H27" s="50">
        <v>8.5</v>
      </c>
      <c r="I27" s="50">
        <v>8.5</v>
      </c>
      <c r="J27" s="50">
        <v>8.5</v>
      </c>
      <c r="K27" s="50">
        <v>8.5</v>
      </c>
      <c r="L27" s="50">
        <v>8.5</v>
      </c>
      <c r="M27" s="50">
        <v>8.5</v>
      </c>
      <c r="N27" s="50">
        <v>8.5</v>
      </c>
      <c r="O27" s="50">
        <v>8.5</v>
      </c>
    </row>
    <row r="28" spans="2:15" x14ac:dyDescent="0.25">
      <c r="B28" s="84"/>
      <c r="C28" s="4">
        <v>20</v>
      </c>
      <c r="D28" s="50">
        <v>8.5</v>
      </c>
      <c r="E28" s="50">
        <v>8.5</v>
      </c>
      <c r="F28" s="50">
        <v>8.5</v>
      </c>
      <c r="G28" s="50">
        <v>8.5</v>
      </c>
      <c r="H28" s="50">
        <v>8.5</v>
      </c>
      <c r="I28" s="50">
        <v>8.5</v>
      </c>
      <c r="J28" s="50">
        <v>8.5</v>
      </c>
      <c r="K28" s="50">
        <v>8.5</v>
      </c>
      <c r="L28" s="50">
        <v>8.5</v>
      </c>
      <c r="M28" s="50">
        <v>8.5</v>
      </c>
      <c r="N28" s="50">
        <v>8.5</v>
      </c>
      <c r="O28" s="50">
        <v>8.5</v>
      </c>
    </row>
    <row r="29" spans="2:15" x14ac:dyDescent="0.25">
      <c r="B29" s="78"/>
      <c r="C29" s="4">
        <v>21</v>
      </c>
      <c r="D29" s="50">
        <v>8.5</v>
      </c>
      <c r="E29" s="50">
        <v>8.5</v>
      </c>
      <c r="F29" s="50">
        <v>8.5</v>
      </c>
      <c r="G29" s="50">
        <v>8.5</v>
      </c>
      <c r="H29" s="50">
        <v>8.5</v>
      </c>
      <c r="I29" s="50">
        <v>8.5</v>
      </c>
      <c r="J29" s="50">
        <v>8.5</v>
      </c>
      <c r="K29" s="50">
        <v>8.5</v>
      </c>
      <c r="L29" s="50">
        <v>8.5</v>
      </c>
      <c r="M29" s="50">
        <v>8.5</v>
      </c>
      <c r="N29" s="50">
        <v>8.5</v>
      </c>
      <c r="O29" s="50">
        <v>8.5</v>
      </c>
    </row>
    <row r="30" spans="2:15" x14ac:dyDescent="0.25">
      <c r="B30" s="77" t="s">
        <v>2</v>
      </c>
      <c r="C30" s="4">
        <v>22</v>
      </c>
      <c r="D30" s="50">
        <v>8.5</v>
      </c>
      <c r="E30" s="50">
        <v>8.5</v>
      </c>
      <c r="F30" s="50">
        <v>8.5</v>
      </c>
      <c r="G30" s="50">
        <v>8.5</v>
      </c>
      <c r="H30" s="50">
        <v>8.5</v>
      </c>
      <c r="I30" s="50">
        <v>8.5</v>
      </c>
      <c r="J30" s="50">
        <v>8.5</v>
      </c>
      <c r="K30" s="50">
        <v>8.5</v>
      </c>
      <c r="L30" s="50">
        <v>8.5</v>
      </c>
      <c r="M30" s="50">
        <v>8.5</v>
      </c>
      <c r="N30" s="50">
        <v>8.5</v>
      </c>
      <c r="O30" s="50">
        <v>8.5</v>
      </c>
    </row>
    <row r="31" spans="2:15" ht="16.149999999999999" customHeight="1" x14ac:dyDescent="0.25">
      <c r="B31" s="78"/>
      <c r="C31" s="4">
        <v>23</v>
      </c>
      <c r="D31" s="50">
        <v>8.5</v>
      </c>
      <c r="E31" s="50">
        <v>8.5</v>
      </c>
      <c r="F31" s="50">
        <v>8.5</v>
      </c>
      <c r="G31" s="50">
        <v>8.5</v>
      </c>
      <c r="H31" s="50">
        <v>8.5</v>
      </c>
      <c r="I31" s="50">
        <v>8.5</v>
      </c>
      <c r="J31" s="50">
        <v>8.5</v>
      </c>
      <c r="K31" s="50">
        <v>8.5</v>
      </c>
      <c r="L31" s="50">
        <v>8.5</v>
      </c>
      <c r="M31" s="50">
        <v>8.5</v>
      </c>
      <c r="N31" s="50">
        <v>8.5</v>
      </c>
      <c r="O31" s="50">
        <v>8.5</v>
      </c>
    </row>
    <row r="32" spans="2:15" x14ac:dyDescent="0.25">
      <c r="B32" s="36" t="s">
        <v>1</v>
      </c>
      <c r="C32" s="37">
        <v>24</v>
      </c>
      <c r="D32" s="50">
        <v>8.5</v>
      </c>
      <c r="E32" s="50">
        <v>8.5</v>
      </c>
      <c r="F32" s="50">
        <v>8.5</v>
      </c>
      <c r="G32" s="50">
        <v>8.5</v>
      </c>
      <c r="H32" s="50">
        <v>8.5</v>
      </c>
      <c r="I32" s="50">
        <v>8.5</v>
      </c>
      <c r="J32" s="50">
        <v>8.5</v>
      </c>
      <c r="K32" s="50">
        <v>8.5</v>
      </c>
      <c r="L32" s="50">
        <v>8.5</v>
      </c>
      <c r="M32" s="50">
        <v>8.5</v>
      </c>
      <c r="N32" s="50">
        <v>8.5</v>
      </c>
      <c r="O32" s="50">
        <v>8.5</v>
      </c>
    </row>
    <row r="33" spans="2:16" x14ac:dyDescent="0.25">
      <c r="B33" s="87" t="s">
        <v>8</v>
      </c>
      <c r="C33" s="87"/>
      <c r="D33" s="5">
        <v>31</v>
      </c>
      <c r="E33" s="4">
        <v>28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8" t="s">
        <v>53</v>
      </c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</row>
    <row r="35" spans="2:16" x14ac:dyDescent="0.25">
      <c r="B35" s="87" t="s">
        <v>1</v>
      </c>
      <c r="C35" s="87"/>
      <c r="D35" s="41">
        <f t="shared" ref="D35:G35" si="0">(SUM(D9:D12)+D32)</f>
        <v>42.5</v>
      </c>
      <c r="E35" s="41">
        <f t="shared" si="0"/>
        <v>42.5</v>
      </c>
      <c r="F35" s="41">
        <f t="shared" si="0"/>
        <v>42.5</v>
      </c>
      <c r="G35" s="41">
        <f t="shared" si="0"/>
        <v>42.5</v>
      </c>
      <c r="H35" s="41">
        <f t="shared" ref="H35:O35" si="1">(SUM(H9:H12)+H32)</f>
        <v>42.5</v>
      </c>
      <c r="I35" s="41">
        <f t="shared" si="1"/>
        <v>42.5</v>
      </c>
      <c r="J35" s="41">
        <f t="shared" si="1"/>
        <v>42.5</v>
      </c>
      <c r="K35" s="41">
        <f t="shared" si="1"/>
        <v>42.5</v>
      </c>
      <c r="L35" s="41">
        <f t="shared" si="1"/>
        <v>42.5</v>
      </c>
      <c r="M35" s="41">
        <f t="shared" si="1"/>
        <v>42.5</v>
      </c>
      <c r="N35" s="41">
        <f t="shared" si="1"/>
        <v>42.5</v>
      </c>
      <c r="O35" s="41">
        <f t="shared" si="1"/>
        <v>42.5</v>
      </c>
    </row>
    <row r="36" spans="2:16" x14ac:dyDescent="0.25">
      <c r="B36" s="87" t="s">
        <v>2</v>
      </c>
      <c r="C36" s="87"/>
      <c r="D36" s="41">
        <f t="shared" ref="D36:G36" si="2">(SUM(D13:D17)+SUM(D21:D26)+D30+D31)</f>
        <v>110.5</v>
      </c>
      <c r="E36" s="41">
        <f t="shared" si="2"/>
        <v>110.5</v>
      </c>
      <c r="F36" s="41">
        <f t="shared" si="2"/>
        <v>110.5</v>
      </c>
      <c r="G36" s="41">
        <f t="shared" si="2"/>
        <v>110.5</v>
      </c>
      <c r="H36" s="41">
        <f t="shared" ref="H36:O36" si="3">(SUM(H13:H17)+SUM(H21:H26)+H30+H31)</f>
        <v>110.5</v>
      </c>
      <c r="I36" s="41">
        <f t="shared" si="3"/>
        <v>110.5</v>
      </c>
      <c r="J36" s="41">
        <f t="shared" si="3"/>
        <v>110.5</v>
      </c>
      <c r="K36" s="41">
        <f t="shared" si="3"/>
        <v>110.5</v>
      </c>
      <c r="L36" s="41">
        <f t="shared" si="3"/>
        <v>110.5</v>
      </c>
      <c r="M36" s="41">
        <f t="shared" si="3"/>
        <v>110.5</v>
      </c>
      <c r="N36" s="41">
        <f t="shared" si="3"/>
        <v>110.5</v>
      </c>
      <c r="O36" s="41">
        <f t="shared" si="3"/>
        <v>110.5</v>
      </c>
    </row>
    <row r="37" spans="2:16" x14ac:dyDescent="0.25">
      <c r="B37" s="87" t="s">
        <v>3</v>
      </c>
      <c r="C37" s="87"/>
      <c r="D37" s="41">
        <f t="shared" ref="D37:G37" si="4">(SUM(D18:D20)+SUM(D27:D29))</f>
        <v>51</v>
      </c>
      <c r="E37" s="41">
        <f t="shared" si="4"/>
        <v>51</v>
      </c>
      <c r="F37" s="41">
        <f t="shared" si="4"/>
        <v>51</v>
      </c>
      <c r="G37" s="41">
        <f t="shared" si="4"/>
        <v>51</v>
      </c>
      <c r="H37" s="41">
        <f t="shared" ref="H37:O37" si="5">(SUM(H18:H20)+SUM(H27:H29))</f>
        <v>51</v>
      </c>
      <c r="I37" s="41">
        <f t="shared" si="5"/>
        <v>51</v>
      </c>
      <c r="J37" s="41">
        <f t="shared" si="5"/>
        <v>51</v>
      </c>
      <c r="K37" s="41">
        <f t="shared" si="5"/>
        <v>51</v>
      </c>
      <c r="L37" s="41">
        <f t="shared" si="5"/>
        <v>51</v>
      </c>
      <c r="M37" s="41">
        <f t="shared" si="5"/>
        <v>51</v>
      </c>
      <c r="N37" s="41">
        <f t="shared" si="5"/>
        <v>51</v>
      </c>
      <c r="O37" s="41">
        <f t="shared" si="5"/>
        <v>51</v>
      </c>
    </row>
    <row r="38" spans="2:16" x14ac:dyDescent="0.25">
      <c r="B38" s="85" t="s">
        <v>9</v>
      </c>
      <c r="C38" s="86"/>
      <c r="D38" s="41">
        <f t="shared" ref="D38:O38" si="6">D35*D33</f>
        <v>1317.5</v>
      </c>
      <c r="E38" s="41">
        <f t="shared" si="6"/>
        <v>1190</v>
      </c>
      <c r="F38" s="41">
        <f t="shared" si="6"/>
        <v>1317.5</v>
      </c>
      <c r="G38" s="41">
        <f t="shared" si="6"/>
        <v>1275</v>
      </c>
      <c r="H38" s="41">
        <f t="shared" si="6"/>
        <v>1317.5</v>
      </c>
      <c r="I38" s="41">
        <f t="shared" si="6"/>
        <v>1275</v>
      </c>
      <c r="J38" s="41">
        <f t="shared" si="6"/>
        <v>1317.5</v>
      </c>
      <c r="K38" s="41">
        <f t="shared" si="6"/>
        <v>1317.5</v>
      </c>
      <c r="L38" s="41">
        <f t="shared" si="6"/>
        <v>1275</v>
      </c>
      <c r="M38" s="41">
        <f t="shared" si="6"/>
        <v>1317.5</v>
      </c>
      <c r="N38" s="41">
        <f t="shared" si="6"/>
        <v>1275</v>
      </c>
      <c r="O38" s="41">
        <f t="shared" si="6"/>
        <v>1317.5</v>
      </c>
    </row>
    <row r="39" spans="2:16" x14ac:dyDescent="0.25">
      <c r="B39" s="85" t="s">
        <v>10</v>
      </c>
      <c r="C39" s="86"/>
      <c r="D39" s="41">
        <f t="shared" ref="D39:O39" si="7">D33*D36</f>
        <v>3425.5</v>
      </c>
      <c r="E39" s="41">
        <f t="shared" si="7"/>
        <v>3094</v>
      </c>
      <c r="F39" s="41">
        <f t="shared" si="7"/>
        <v>3425.5</v>
      </c>
      <c r="G39" s="41">
        <f t="shared" si="7"/>
        <v>3315</v>
      </c>
      <c r="H39" s="41">
        <f t="shared" si="7"/>
        <v>3425.5</v>
      </c>
      <c r="I39" s="41">
        <f t="shared" si="7"/>
        <v>3315</v>
      </c>
      <c r="J39" s="41">
        <f t="shared" si="7"/>
        <v>3425.5</v>
      </c>
      <c r="K39" s="41">
        <f t="shared" si="7"/>
        <v>3425.5</v>
      </c>
      <c r="L39" s="41">
        <f t="shared" si="7"/>
        <v>3315</v>
      </c>
      <c r="M39" s="41">
        <f t="shared" si="7"/>
        <v>3425.5</v>
      </c>
      <c r="N39" s="41">
        <f t="shared" si="7"/>
        <v>3315</v>
      </c>
      <c r="O39" s="41">
        <f t="shared" si="7"/>
        <v>3425.5</v>
      </c>
    </row>
    <row r="40" spans="2:16" x14ac:dyDescent="0.25">
      <c r="B40" s="85" t="s">
        <v>11</v>
      </c>
      <c r="C40" s="86"/>
      <c r="D40" s="41">
        <f t="shared" ref="D40:O40" si="8">D33*D37</f>
        <v>1581</v>
      </c>
      <c r="E40" s="41">
        <f t="shared" si="8"/>
        <v>1428</v>
      </c>
      <c r="F40" s="41">
        <f t="shared" si="8"/>
        <v>1581</v>
      </c>
      <c r="G40" s="41">
        <f t="shared" si="8"/>
        <v>1530</v>
      </c>
      <c r="H40" s="41">
        <f t="shared" si="8"/>
        <v>1581</v>
      </c>
      <c r="I40" s="41">
        <f t="shared" si="8"/>
        <v>1530</v>
      </c>
      <c r="J40" s="41">
        <f t="shared" si="8"/>
        <v>1581</v>
      </c>
      <c r="K40" s="41">
        <f t="shared" si="8"/>
        <v>1581</v>
      </c>
      <c r="L40" s="41">
        <f t="shared" si="8"/>
        <v>1530</v>
      </c>
      <c r="M40" s="41">
        <f t="shared" si="8"/>
        <v>1581</v>
      </c>
      <c r="N40" s="41">
        <f t="shared" si="8"/>
        <v>1530</v>
      </c>
      <c r="O40" s="41">
        <f t="shared" si="8"/>
        <v>1581</v>
      </c>
    </row>
    <row r="41" spans="2:16" x14ac:dyDescent="0.25">
      <c r="B41" s="81" t="s">
        <v>12</v>
      </c>
      <c r="C41" s="82"/>
      <c r="D41" s="51">
        <f t="shared" ref="D41:O41" si="9">D40+D39+D38</f>
        <v>6324</v>
      </c>
      <c r="E41" s="51">
        <f t="shared" si="9"/>
        <v>5712</v>
      </c>
      <c r="F41" s="51">
        <f t="shared" si="9"/>
        <v>6324</v>
      </c>
      <c r="G41" s="51">
        <f t="shared" si="9"/>
        <v>6120</v>
      </c>
      <c r="H41" s="51">
        <f t="shared" si="9"/>
        <v>6324</v>
      </c>
      <c r="I41" s="51">
        <f t="shared" si="9"/>
        <v>6120</v>
      </c>
      <c r="J41" s="51">
        <f t="shared" si="9"/>
        <v>6324</v>
      </c>
      <c r="K41" s="51">
        <f t="shared" si="9"/>
        <v>6324</v>
      </c>
      <c r="L41" s="51">
        <f t="shared" si="9"/>
        <v>6120</v>
      </c>
      <c r="M41" s="51">
        <f t="shared" si="9"/>
        <v>6324</v>
      </c>
      <c r="N41" s="51">
        <f t="shared" si="9"/>
        <v>6120</v>
      </c>
      <c r="O41" s="51">
        <f t="shared" si="9"/>
        <v>6324</v>
      </c>
      <c r="P41" s="52">
        <f>SUM(D41:O41)</f>
        <v>74460</v>
      </c>
    </row>
    <row r="42" spans="2:16" x14ac:dyDescent="0.25">
      <c r="D42" s="3">
        <v>48945</v>
      </c>
      <c r="E42" s="3">
        <v>48976</v>
      </c>
      <c r="F42" s="3">
        <v>49004</v>
      </c>
      <c r="G42" s="3">
        <v>49035</v>
      </c>
      <c r="H42" s="3">
        <v>49065</v>
      </c>
      <c r="I42" s="3">
        <v>49096</v>
      </c>
      <c r="J42" s="3">
        <v>49126</v>
      </c>
      <c r="K42" s="3">
        <v>49157</v>
      </c>
      <c r="L42" s="3">
        <v>49188</v>
      </c>
      <c r="M42" s="3">
        <v>49218</v>
      </c>
      <c r="N42" s="3">
        <v>49249</v>
      </c>
      <c r="O42" s="3">
        <v>49279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284B-8D50-412A-AC46-4C6E4E6AC7D1}">
  <dimension ref="B1:P45"/>
  <sheetViews>
    <sheetView zoomScale="80" zoomScaleNormal="80" workbookViewId="0">
      <selection activeCell="D7" sqref="D7:O7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79" t="s">
        <v>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2:15" x14ac:dyDescent="0.25">
      <c r="B2" s="79" t="s">
        <v>25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2:15" x14ac:dyDescent="0.25">
      <c r="B3" s="79" t="s">
        <v>30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</row>
    <row r="4" spans="2:15" x14ac:dyDescent="0.25">
      <c r="B4" s="79" t="s">
        <v>54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80" t="s">
        <v>0</v>
      </c>
      <c r="C7" s="80" t="s">
        <v>7</v>
      </c>
      <c r="D7" s="81" t="s">
        <v>54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80"/>
      <c r="C8" s="80"/>
      <c r="D8" s="3">
        <v>49310</v>
      </c>
      <c r="E8" s="3">
        <v>49341</v>
      </c>
      <c r="F8" s="3">
        <v>49369</v>
      </c>
      <c r="G8" s="3">
        <v>49400</v>
      </c>
      <c r="H8" s="3">
        <v>49430</v>
      </c>
      <c r="I8" s="3">
        <v>49461</v>
      </c>
      <c r="J8" s="3">
        <v>49491</v>
      </c>
      <c r="K8" s="3">
        <v>49522</v>
      </c>
      <c r="L8" s="3">
        <v>49553</v>
      </c>
      <c r="M8" s="3">
        <v>49583</v>
      </c>
      <c r="N8" s="3">
        <v>49614</v>
      </c>
      <c r="O8" s="3">
        <v>49644</v>
      </c>
    </row>
    <row r="9" spans="2:15" x14ac:dyDescent="0.25">
      <c r="B9" s="77" t="s">
        <v>1</v>
      </c>
      <c r="C9" s="4">
        <v>1</v>
      </c>
      <c r="D9" s="50">
        <v>7.6</v>
      </c>
      <c r="E9" s="50">
        <v>7.6</v>
      </c>
      <c r="F9" s="50">
        <v>7.6</v>
      </c>
      <c r="G9" s="50">
        <v>7.6</v>
      </c>
      <c r="H9" s="50">
        <v>7.6</v>
      </c>
      <c r="I9" s="50">
        <v>7.6</v>
      </c>
      <c r="J9" s="50">
        <v>7.6</v>
      </c>
      <c r="K9" s="50">
        <v>7.6</v>
      </c>
      <c r="L9" s="50">
        <v>7.6</v>
      </c>
      <c r="M9" s="50">
        <v>7.6</v>
      </c>
      <c r="N9" s="50">
        <v>7.6</v>
      </c>
      <c r="O9" s="50">
        <v>7.6</v>
      </c>
    </row>
    <row r="10" spans="2:15" x14ac:dyDescent="0.25">
      <c r="B10" s="84"/>
      <c r="C10" s="4">
        <v>2</v>
      </c>
      <c r="D10" s="50">
        <v>7.6</v>
      </c>
      <c r="E10" s="50">
        <v>7.6</v>
      </c>
      <c r="F10" s="50">
        <v>7.6</v>
      </c>
      <c r="G10" s="50">
        <v>7.6</v>
      </c>
      <c r="H10" s="50">
        <v>7.6</v>
      </c>
      <c r="I10" s="50">
        <v>7.6</v>
      </c>
      <c r="J10" s="50">
        <v>7.6</v>
      </c>
      <c r="K10" s="50">
        <v>7.6</v>
      </c>
      <c r="L10" s="50">
        <v>7.6</v>
      </c>
      <c r="M10" s="50">
        <v>7.6</v>
      </c>
      <c r="N10" s="50">
        <v>7.6</v>
      </c>
      <c r="O10" s="50">
        <v>7.6</v>
      </c>
    </row>
    <row r="11" spans="2:15" x14ac:dyDescent="0.25">
      <c r="B11" s="84"/>
      <c r="C11" s="4">
        <v>3</v>
      </c>
      <c r="D11" s="50">
        <v>7.6</v>
      </c>
      <c r="E11" s="50">
        <v>7.6</v>
      </c>
      <c r="F11" s="50">
        <v>7.6</v>
      </c>
      <c r="G11" s="50">
        <v>7.6</v>
      </c>
      <c r="H11" s="50">
        <v>7.6</v>
      </c>
      <c r="I11" s="50">
        <v>7.6</v>
      </c>
      <c r="J11" s="50">
        <v>7.6</v>
      </c>
      <c r="K11" s="50">
        <v>7.6</v>
      </c>
      <c r="L11" s="50">
        <v>7.6</v>
      </c>
      <c r="M11" s="50">
        <v>7.6</v>
      </c>
      <c r="N11" s="50">
        <v>7.6</v>
      </c>
      <c r="O11" s="50">
        <v>7.6</v>
      </c>
    </row>
    <row r="12" spans="2:15" x14ac:dyDescent="0.25">
      <c r="B12" s="78"/>
      <c r="C12" s="4">
        <v>4</v>
      </c>
      <c r="D12" s="50">
        <v>7.6</v>
      </c>
      <c r="E12" s="50">
        <v>7.6</v>
      </c>
      <c r="F12" s="50">
        <v>7.6</v>
      </c>
      <c r="G12" s="50">
        <v>7.6</v>
      </c>
      <c r="H12" s="50">
        <v>7.6</v>
      </c>
      <c r="I12" s="50">
        <v>7.6</v>
      </c>
      <c r="J12" s="50">
        <v>7.6</v>
      </c>
      <c r="K12" s="50">
        <v>7.6</v>
      </c>
      <c r="L12" s="50">
        <v>7.6</v>
      </c>
      <c r="M12" s="50">
        <v>7.6</v>
      </c>
      <c r="N12" s="50">
        <v>7.6</v>
      </c>
      <c r="O12" s="50">
        <v>7.6</v>
      </c>
    </row>
    <row r="13" spans="2:15" x14ac:dyDescent="0.25">
      <c r="B13" s="77" t="s">
        <v>2</v>
      </c>
      <c r="C13" s="4">
        <v>5</v>
      </c>
      <c r="D13" s="50">
        <v>7.6</v>
      </c>
      <c r="E13" s="50">
        <v>7.6</v>
      </c>
      <c r="F13" s="50">
        <v>7.6</v>
      </c>
      <c r="G13" s="50">
        <v>7.6</v>
      </c>
      <c r="H13" s="50">
        <v>7.6</v>
      </c>
      <c r="I13" s="50">
        <v>7.6</v>
      </c>
      <c r="J13" s="50">
        <v>7.6</v>
      </c>
      <c r="K13" s="50">
        <v>7.6</v>
      </c>
      <c r="L13" s="50">
        <v>7.6</v>
      </c>
      <c r="M13" s="50">
        <v>7.6</v>
      </c>
      <c r="N13" s="50">
        <v>7.6</v>
      </c>
      <c r="O13" s="50">
        <v>7.6</v>
      </c>
    </row>
    <row r="14" spans="2:15" x14ac:dyDescent="0.25">
      <c r="B14" s="84"/>
      <c r="C14" s="4">
        <v>6</v>
      </c>
      <c r="D14" s="50">
        <v>7.6</v>
      </c>
      <c r="E14" s="50">
        <v>7.6</v>
      </c>
      <c r="F14" s="50">
        <v>7.6</v>
      </c>
      <c r="G14" s="50">
        <v>7.6</v>
      </c>
      <c r="H14" s="50">
        <v>7.6</v>
      </c>
      <c r="I14" s="50">
        <v>7.6</v>
      </c>
      <c r="J14" s="50">
        <v>7.6</v>
      </c>
      <c r="K14" s="50">
        <v>7.6</v>
      </c>
      <c r="L14" s="50">
        <v>7.6</v>
      </c>
      <c r="M14" s="50">
        <v>7.6</v>
      </c>
      <c r="N14" s="50">
        <v>7.6</v>
      </c>
      <c r="O14" s="50">
        <v>7.6</v>
      </c>
    </row>
    <row r="15" spans="2:15" x14ac:dyDescent="0.25">
      <c r="B15" s="84"/>
      <c r="C15" s="4">
        <v>7</v>
      </c>
      <c r="D15" s="50">
        <v>7.6</v>
      </c>
      <c r="E15" s="50">
        <v>7.6</v>
      </c>
      <c r="F15" s="50">
        <v>7.6</v>
      </c>
      <c r="G15" s="50">
        <v>7.6</v>
      </c>
      <c r="H15" s="50">
        <v>7.6</v>
      </c>
      <c r="I15" s="50">
        <v>7.6</v>
      </c>
      <c r="J15" s="50">
        <v>7.6</v>
      </c>
      <c r="K15" s="50">
        <v>7.6</v>
      </c>
      <c r="L15" s="50">
        <v>7.6</v>
      </c>
      <c r="M15" s="50">
        <v>7.6</v>
      </c>
      <c r="N15" s="50">
        <v>7.6</v>
      </c>
      <c r="O15" s="50">
        <v>7.6</v>
      </c>
    </row>
    <row r="16" spans="2:15" x14ac:dyDescent="0.25">
      <c r="B16" s="84"/>
      <c r="C16" s="4">
        <v>8</v>
      </c>
      <c r="D16" s="50">
        <v>7.6</v>
      </c>
      <c r="E16" s="50">
        <v>7.6</v>
      </c>
      <c r="F16" s="50">
        <v>7.6</v>
      </c>
      <c r="G16" s="50">
        <v>7.6</v>
      </c>
      <c r="H16" s="50">
        <v>7.6</v>
      </c>
      <c r="I16" s="50">
        <v>7.6</v>
      </c>
      <c r="J16" s="50">
        <v>7.6</v>
      </c>
      <c r="K16" s="50">
        <v>7.6</v>
      </c>
      <c r="L16" s="50">
        <v>7.6</v>
      </c>
      <c r="M16" s="50">
        <v>7.6</v>
      </c>
      <c r="N16" s="50">
        <v>7.6</v>
      </c>
      <c r="O16" s="50">
        <v>7.6</v>
      </c>
    </row>
    <row r="17" spans="2:15" x14ac:dyDescent="0.25">
      <c r="B17" s="78"/>
      <c r="C17" s="4">
        <v>9</v>
      </c>
      <c r="D17" s="50">
        <v>7.6</v>
      </c>
      <c r="E17" s="50">
        <v>7.6</v>
      </c>
      <c r="F17" s="50">
        <v>7.6</v>
      </c>
      <c r="G17" s="50">
        <v>7.6</v>
      </c>
      <c r="H17" s="50">
        <v>7.6</v>
      </c>
      <c r="I17" s="50">
        <v>7.6</v>
      </c>
      <c r="J17" s="50">
        <v>7.6</v>
      </c>
      <c r="K17" s="50">
        <v>7.6</v>
      </c>
      <c r="L17" s="50">
        <v>7.6</v>
      </c>
      <c r="M17" s="50">
        <v>7.6</v>
      </c>
      <c r="N17" s="50">
        <v>7.6</v>
      </c>
      <c r="O17" s="50">
        <v>7.6</v>
      </c>
    </row>
    <row r="18" spans="2:15" x14ac:dyDescent="0.25">
      <c r="B18" s="77" t="s">
        <v>3</v>
      </c>
      <c r="C18" s="4">
        <v>10</v>
      </c>
      <c r="D18" s="50">
        <v>7.6</v>
      </c>
      <c r="E18" s="50">
        <v>7.6</v>
      </c>
      <c r="F18" s="50">
        <v>7.6</v>
      </c>
      <c r="G18" s="50">
        <v>7.6</v>
      </c>
      <c r="H18" s="50">
        <v>7.6</v>
      </c>
      <c r="I18" s="50">
        <v>7.6</v>
      </c>
      <c r="J18" s="50">
        <v>7.6</v>
      </c>
      <c r="K18" s="50">
        <v>7.6</v>
      </c>
      <c r="L18" s="50">
        <v>7.6</v>
      </c>
      <c r="M18" s="50">
        <v>7.6</v>
      </c>
      <c r="N18" s="50">
        <v>7.6</v>
      </c>
      <c r="O18" s="50">
        <v>7.6</v>
      </c>
    </row>
    <row r="19" spans="2:15" x14ac:dyDescent="0.25">
      <c r="B19" s="84"/>
      <c r="C19" s="4">
        <v>11</v>
      </c>
      <c r="D19" s="50">
        <v>7.6</v>
      </c>
      <c r="E19" s="50">
        <v>7.6</v>
      </c>
      <c r="F19" s="50">
        <v>7.6</v>
      </c>
      <c r="G19" s="50">
        <v>7.6</v>
      </c>
      <c r="H19" s="50">
        <v>7.6</v>
      </c>
      <c r="I19" s="50">
        <v>7.6</v>
      </c>
      <c r="J19" s="50">
        <v>7.6</v>
      </c>
      <c r="K19" s="50">
        <v>7.6</v>
      </c>
      <c r="L19" s="50">
        <v>7.6</v>
      </c>
      <c r="M19" s="50">
        <v>7.6</v>
      </c>
      <c r="N19" s="50">
        <v>7.6</v>
      </c>
      <c r="O19" s="50">
        <v>7.6</v>
      </c>
    </row>
    <row r="20" spans="2:15" x14ac:dyDescent="0.25">
      <c r="B20" s="78"/>
      <c r="C20" s="4">
        <v>12</v>
      </c>
      <c r="D20" s="50">
        <v>7.6</v>
      </c>
      <c r="E20" s="50">
        <v>7.6</v>
      </c>
      <c r="F20" s="50">
        <v>7.6</v>
      </c>
      <c r="G20" s="50">
        <v>7.6</v>
      </c>
      <c r="H20" s="50">
        <v>7.6</v>
      </c>
      <c r="I20" s="50">
        <v>7.6</v>
      </c>
      <c r="J20" s="50">
        <v>7.6</v>
      </c>
      <c r="K20" s="50">
        <v>7.6</v>
      </c>
      <c r="L20" s="50">
        <v>7.6</v>
      </c>
      <c r="M20" s="50">
        <v>7.6</v>
      </c>
      <c r="N20" s="50">
        <v>7.6</v>
      </c>
      <c r="O20" s="50">
        <v>7.6</v>
      </c>
    </row>
    <row r="21" spans="2:15" x14ac:dyDescent="0.25">
      <c r="B21" s="77" t="s">
        <v>2</v>
      </c>
      <c r="C21" s="4">
        <v>13</v>
      </c>
      <c r="D21" s="50">
        <v>7.6</v>
      </c>
      <c r="E21" s="50">
        <v>7.6</v>
      </c>
      <c r="F21" s="50">
        <v>7.6</v>
      </c>
      <c r="G21" s="50">
        <v>7.6</v>
      </c>
      <c r="H21" s="50">
        <v>7.6</v>
      </c>
      <c r="I21" s="50">
        <v>7.6</v>
      </c>
      <c r="J21" s="50">
        <v>7.6</v>
      </c>
      <c r="K21" s="50">
        <v>7.6</v>
      </c>
      <c r="L21" s="50">
        <v>7.6</v>
      </c>
      <c r="M21" s="50">
        <v>7.6</v>
      </c>
      <c r="N21" s="50">
        <v>7.6</v>
      </c>
      <c r="O21" s="50">
        <v>7.6</v>
      </c>
    </row>
    <row r="22" spans="2:15" x14ac:dyDescent="0.25">
      <c r="B22" s="84"/>
      <c r="C22" s="4">
        <v>14</v>
      </c>
      <c r="D22" s="50">
        <v>7.6</v>
      </c>
      <c r="E22" s="50">
        <v>7.6</v>
      </c>
      <c r="F22" s="50">
        <v>7.6</v>
      </c>
      <c r="G22" s="50">
        <v>7.6</v>
      </c>
      <c r="H22" s="50">
        <v>7.6</v>
      </c>
      <c r="I22" s="50">
        <v>7.6</v>
      </c>
      <c r="J22" s="50">
        <v>7.6</v>
      </c>
      <c r="K22" s="50">
        <v>7.6</v>
      </c>
      <c r="L22" s="50">
        <v>7.6</v>
      </c>
      <c r="M22" s="50">
        <v>7.6</v>
      </c>
      <c r="N22" s="50">
        <v>7.6</v>
      </c>
      <c r="O22" s="50">
        <v>7.6</v>
      </c>
    </row>
    <row r="23" spans="2:15" x14ac:dyDescent="0.25">
      <c r="B23" s="84"/>
      <c r="C23" s="4">
        <v>15</v>
      </c>
      <c r="D23" s="50">
        <v>7.6</v>
      </c>
      <c r="E23" s="50">
        <v>7.6</v>
      </c>
      <c r="F23" s="50">
        <v>7.6</v>
      </c>
      <c r="G23" s="50">
        <v>7.6</v>
      </c>
      <c r="H23" s="50">
        <v>7.6</v>
      </c>
      <c r="I23" s="50">
        <v>7.6</v>
      </c>
      <c r="J23" s="50">
        <v>7.6</v>
      </c>
      <c r="K23" s="50">
        <v>7.6</v>
      </c>
      <c r="L23" s="50">
        <v>7.6</v>
      </c>
      <c r="M23" s="50">
        <v>7.6</v>
      </c>
      <c r="N23" s="50">
        <v>7.6</v>
      </c>
      <c r="O23" s="50">
        <v>7.6</v>
      </c>
    </row>
    <row r="24" spans="2:15" x14ac:dyDescent="0.25">
      <c r="B24" s="84"/>
      <c r="C24" s="4">
        <v>16</v>
      </c>
      <c r="D24" s="50">
        <v>7.6</v>
      </c>
      <c r="E24" s="50">
        <v>7.6</v>
      </c>
      <c r="F24" s="50">
        <v>7.6</v>
      </c>
      <c r="G24" s="50">
        <v>7.6</v>
      </c>
      <c r="H24" s="50">
        <v>7.6</v>
      </c>
      <c r="I24" s="50">
        <v>7.6</v>
      </c>
      <c r="J24" s="50">
        <v>7.6</v>
      </c>
      <c r="K24" s="50">
        <v>7.6</v>
      </c>
      <c r="L24" s="50">
        <v>7.6</v>
      </c>
      <c r="M24" s="50">
        <v>7.6</v>
      </c>
      <c r="N24" s="50">
        <v>7.6</v>
      </c>
      <c r="O24" s="50">
        <v>7.6</v>
      </c>
    </row>
    <row r="25" spans="2:15" x14ac:dyDescent="0.25">
      <c r="B25" s="84"/>
      <c r="C25" s="4">
        <v>17</v>
      </c>
      <c r="D25" s="50">
        <v>7.6</v>
      </c>
      <c r="E25" s="50">
        <v>7.6</v>
      </c>
      <c r="F25" s="50">
        <v>7.6</v>
      </c>
      <c r="G25" s="50">
        <v>7.6</v>
      </c>
      <c r="H25" s="50">
        <v>7.6</v>
      </c>
      <c r="I25" s="50">
        <v>7.6</v>
      </c>
      <c r="J25" s="50">
        <v>7.6</v>
      </c>
      <c r="K25" s="50">
        <v>7.6</v>
      </c>
      <c r="L25" s="50">
        <v>7.6</v>
      </c>
      <c r="M25" s="50">
        <v>7.6</v>
      </c>
      <c r="N25" s="50">
        <v>7.6</v>
      </c>
      <c r="O25" s="50">
        <v>7.6</v>
      </c>
    </row>
    <row r="26" spans="2:15" x14ac:dyDescent="0.25">
      <c r="B26" s="78"/>
      <c r="C26" s="4">
        <v>18</v>
      </c>
      <c r="D26" s="50">
        <v>7.6</v>
      </c>
      <c r="E26" s="50">
        <v>7.6</v>
      </c>
      <c r="F26" s="50">
        <v>7.6</v>
      </c>
      <c r="G26" s="50">
        <v>7.6</v>
      </c>
      <c r="H26" s="50">
        <v>7.6</v>
      </c>
      <c r="I26" s="50">
        <v>7.6</v>
      </c>
      <c r="J26" s="50">
        <v>7.6</v>
      </c>
      <c r="K26" s="50">
        <v>7.6</v>
      </c>
      <c r="L26" s="50">
        <v>7.6</v>
      </c>
      <c r="M26" s="50">
        <v>7.6</v>
      </c>
      <c r="N26" s="50">
        <v>7.6</v>
      </c>
      <c r="O26" s="50">
        <v>7.6</v>
      </c>
    </row>
    <row r="27" spans="2:15" x14ac:dyDescent="0.25">
      <c r="B27" s="77" t="s">
        <v>3</v>
      </c>
      <c r="C27" s="4">
        <v>19</v>
      </c>
      <c r="D27" s="50">
        <v>7.6</v>
      </c>
      <c r="E27" s="50">
        <v>7.6</v>
      </c>
      <c r="F27" s="50">
        <v>7.6</v>
      </c>
      <c r="G27" s="50">
        <v>7.6</v>
      </c>
      <c r="H27" s="50">
        <v>7.6</v>
      </c>
      <c r="I27" s="50">
        <v>7.6</v>
      </c>
      <c r="J27" s="50">
        <v>7.6</v>
      </c>
      <c r="K27" s="50">
        <v>7.6</v>
      </c>
      <c r="L27" s="50">
        <v>7.6</v>
      </c>
      <c r="M27" s="50">
        <v>7.6</v>
      </c>
      <c r="N27" s="50">
        <v>7.6</v>
      </c>
      <c r="O27" s="50">
        <v>7.6</v>
      </c>
    </row>
    <row r="28" spans="2:15" x14ac:dyDescent="0.25">
      <c r="B28" s="84"/>
      <c r="C28" s="4">
        <v>20</v>
      </c>
      <c r="D28" s="50">
        <v>7.6</v>
      </c>
      <c r="E28" s="50">
        <v>7.6</v>
      </c>
      <c r="F28" s="50">
        <v>7.6</v>
      </c>
      <c r="G28" s="50">
        <v>7.6</v>
      </c>
      <c r="H28" s="50">
        <v>7.6</v>
      </c>
      <c r="I28" s="50">
        <v>7.6</v>
      </c>
      <c r="J28" s="50">
        <v>7.6</v>
      </c>
      <c r="K28" s="50">
        <v>7.6</v>
      </c>
      <c r="L28" s="50">
        <v>7.6</v>
      </c>
      <c r="M28" s="50">
        <v>7.6</v>
      </c>
      <c r="N28" s="50">
        <v>7.6</v>
      </c>
      <c r="O28" s="50">
        <v>7.6</v>
      </c>
    </row>
    <row r="29" spans="2:15" x14ac:dyDescent="0.25">
      <c r="B29" s="78"/>
      <c r="C29" s="4">
        <v>21</v>
      </c>
      <c r="D29" s="50">
        <v>7.6</v>
      </c>
      <c r="E29" s="50">
        <v>7.6</v>
      </c>
      <c r="F29" s="50">
        <v>7.6</v>
      </c>
      <c r="G29" s="50">
        <v>7.6</v>
      </c>
      <c r="H29" s="50">
        <v>7.6</v>
      </c>
      <c r="I29" s="50">
        <v>7.6</v>
      </c>
      <c r="J29" s="50">
        <v>7.6</v>
      </c>
      <c r="K29" s="50">
        <v>7.6</v>
      </c>
      <c r="L29" s="50">
        <v>7.6</v>
      </c>
      <c r="M29" s="50">
        <v>7.6</v>
      </c>
      <c r="N29" s="50">
        <v>7.6</v>
      </c>
      <c r="O29" s="50">
        <v>7.6</v>
      </c>
    </row>
    <row r="30" spans="2:15" x14ac:dyDescent="0.25">
      <c r="B30" s="77" t="s">
        <v>2</v>
      </c>
      <c r="C30" s="4">
        <v>22</v>
      </c>
      <c r="D30" s="50">
        <v>7.6</v>
      </c>
      <c r="E30" s="50">
        <v>7.6</v>
      </c>
      <c r="F30" s="50">
        <v>7.6</v>
      </c>
      <c r="G30" s="50">
        <v>7.6</v>
      </c>
      <c r="H30" s="50">
        <v>7.6</v>
      </c>
      <c r="I30" s="50">
        <v>7.6</v>
      </c>
      <c r="J30" s="50">
        <v>7.6</v>
      </c>
      <c r="K30" s="50">
        <v>7.6</v>
      </c>
      <c r="L30" s="50">
        <v>7.6</v>
      </c>
      <c r="M30" s="50">
        <v>7.6</v>
      </c>
      <c r="N30" s="50">
        <v>7.6</v>
      </c>
      <c r="O30" s="50">
        <v>7.6</v>
      </c>
    </row>
    <row r="31" spans="2:15" ht="16.149999999999999" customHeight="1" x14ac:dyDescent="0.25">
      <c r="B31" s="78"/>
      <c r="C31" s="4">
        <v>23</v>
      </c>
      <c r="D31" s="50">
        <v>7.6</v>
      </c>
      <c r="E31" s="50">
        <v>7.6</v>
      </c>
      <c r="F31" s="50">
        <v>7.6</v>
      </c>
      <c r="G31" s="50">
        <v>7.6</v>
      </c>
      <c r="H31" s="50">
        <v>7.6</v>
      </c>
      <c r="I31" s="50">
        <v>7.6</v>
      </c>
      <c r="J31" s="50">
        <v>7.6</v>
      </c>
      <c r="K31" s="50">
        <v>7.6</v>
      </c>
      <c r="L31" s="50">
        <v>7.6</v>
      </c>
      <c r="M31" s="50">
        <v>7.6</v>
      </c>
      <c r="N31" s="50">
        <v>7.6</v>
      </c>
      <c r="O31" s="50">
        <v>7.6</v>
      </c>
    </row>
    <row r="32" spans="2:15" x14ac:dyDescent="0.25">
      <c r="B32" s="36" t="s">
        <v>1</v>
      </c>
      <c r="C32" s="37">
        <v>24</v>
      </c>
      <c r="D32" s="50">
        <v>7.6</v>
      </c>
      <c r="E32" s="50">
        <v>7.6</v>
      </c>
      <c r="F32" s="50">
        <v>7.6</v>
      </c>
      <c r="G32" s="50">
        <v>7.6</v>
      </c>
      <c r="H32" s="50">
        <v>7.6</v>
      </c>
      <c r="I32" s="50">
        <v>7.6</v>
      </c>
      <c r="J32" s="50">
        <v>7.6</v>
      </c>
      <c r="K32" s="50">
        <v>7.6</v>
      </c>
      <c r="L32" s="50">
        <v>7.6</v>
      </c>
      <c r="M32" s="50">
        <v>7.6</v>
      </c>
      <c r="N32" s="50">
        <v>7.6</v>
      </c>
      <c r="O32" s="50">
        <v>7.6</v>
      </c>
    </row>
    <row r="33" spans="2:16" x14ac:dyDescent="0.25">
      <c r="B33" s="87" t="s">
        <v>8</v>
      </c>
      <c r="C33" s="87"/>
      <c r="D33" s="5">
        <v>31</v>
      </c>
      <c r="E33" s="4">
        <v>28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8" t="s">
        <v>55</v>
      </c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</row>
    <row r="35" spans="2:16" x14ac:dyDescent="0.25">
      <c r="B35" s="87" t="s">
        <v>1</v>
      </c>
      <c r="C35" s="87"/>
      <c r="D35" s="41">
        <f t="shared" ref="D35:G35" si="0">(SUM(D9:D12)+D32)</f>
        <v>38</v>
      </c>
      <c r="E35" s="41">
        <f t="shared" si="0"/>
        <v>38</v>
      </c>
      <c r="F35" s="41">
        <f t="shared" si="0"/>
        <v>38</v>
      </c>
      <c r="G35" s="41">
        <f t="shared" si="0"/>
        <v>38</v>
      </c>
      <c r="H35" s="41">
        <f t="shared" ref="H35:O35" si="1">(SUM(H9:H12)+H32)</f>
        <v>38</v>
      </c>
      <c r="I35" s="41">
        <f t="shared" si="1"/>
        <v>38</v>
      </c>
      <c r="J35" s="41">
        <f t="shared" si="1"/>
        <v>38</v>
      </c>
      <c r="K35" s="41">
        <f t="shared" si="1"/>
        <v>38</v>
      </c>
      <c r="L35" s="41">
        <f t="shared" si="1"/>
        <v>38</v>
      </c>
      <c r="M35" s="41">
        <f t="shared" si="1"/>
        <v>38</v>
      </c>
      <c r="N35" s="41">
        <f t="shared" si="1"/>
        <v>38</v>
      </c>
      <c r="O35" s="41">
        <f t="shared" si="1"/>
        <v>38</v>
      </c>
    </row>
    <row r="36" spans="2:16" x14ac:dyDescent="0.25">
      <c r="B36" s="87" t="s">
        <v>2</v>
      </c>
      <c r="C36" s="87"/>
      <c r="D36" s="41">
        <f t="shared" ref="D36:G36" si="2">(SUM(D13:D17)+SUM(D21:D26)+D30+D31)</f>
        <v>98.799999999999983</v>
      </c>
      <c r="E36" s="41">
        <f t="shared" si="2"/>
        <v>98.799999999999983</v>
      </c>
      <c r="F36" s="41">
        <f t="shared" si="2"/>
        <v>98.799999999999983</v>
      </c>
      <c r="G36" s="41">
        <f t="shared" si="2"/>
        <v>98.799999999999983</v>
      </c>
      <c r="H36" s="41">
        <f t="shared" ref="H36:O36" si="3">(SUM(H13:H17)+SUM(H21:H26)+H30+H31)</f>
        <v>98.799999999999983</v>
      </c>
      <c r="I36" s="41">
        <f t="shared" si="3"/>
        <v>98.799999999999983</v>
      </c>
      <c r="J36" s="41">
        <f t="shared" si="3"/>
        <v>98.799999999999983</v>
      </c>
      <c r="K36" s="41">
        <f t="shared" si="3"/>
        <v>98.799999999999983</v>
      </c>
      <c r="L36" s="41">
        <f t="shared" si="3"/>
        <v>98.799999999999983</v>
      </c>
      <c r="M36" s="41">
        <f t="shared" si="3"/>
        <v>98.799999999999983</v>
      </c>
      <c r="N36" s="41">
        <f t="shared" si="3"/>
        <v>98.799999999999983</v>
      </c>
      <c r="O36" s="41">
        <f t="shared" si="3"/>
        <v>98.799999999999983</v>
      </c>
    </row>
    <row r="37" spans="2:16" x14ac:dyDescent="0.25">
      <c r="B37" s="87" t="s">
        <v>3</v>
      </c>
      <c r="C37" s="87"/>
      <c r="D37" s="41">
        <f t="shared" ref="D37:G37" si="4">(SUM(D18:D20)+SUM(D27:D29))</f>
        <v>45.599999999999994</v>
      </c>
      <c r="E37" s="41">
        <f t="shared" si="4"/>
        <v>45.599999999999994</v>
      </c>
      <c r="F37" s="41">
        <f t="shared" si="4"/>
        <v>45.599999999999994</v>
      </c>
      <c r="G37" s="41">
        <f t="shared" si="4"/>
        <v>45.599999999999994</v>
      </c>
      <c r="H37" s="41">
        <f t="shared" ref="H37:O37" si="5">(SUM(H18:H20)+SUM(H27:H29))</f>
        <v>45.599999999999994</v>
      </c>
      <c r="I37" s="41">
        <f t="shared" si="5"/>
        <v>45.599999999999994</v>
      </c>
      <c r="J37" s="41">
        <f t="shared" si="5"/>
        <v>45.599999999999994</v>
      </c>
      <c r="K37" s="41">
        <f t="shared" si="5"/>
        <v>45.599999999999994</v>
      </c>
      <c r="L37" s="41">
        <f t="shared" si="5"/>
        <v>45.599999999999994</v>
      </c>
      <c r="M37" s="41">
        <f t="shared" si="5"/>
        <v>45.599999999999994</v>
      </c>
      <c r="N37" s="41">
        <f t="shared" si="5"/>
        <v>45.599999999999994</v>
      </c>
      <c r="O37" s="41">
        <f t="shared" si="5"/>
        <v>45.599999999999994</v>
      </c>
    </row>
    <row r="38" spans="2:16" x14ac:dyDescent="0.25">
      <c r="B38" s="85" t="s">
        <v>9</v>
      </c>
      <c r="C38" s="86"/>
      <c r="D38" s="41">
        <f t="shared" ref="D38:O38" si="6">D35*D33</f>
        <v>1178</v>
      </c>
      <c r="E38" s="41">
        <f t="shared" si="6"/>
        <v>1064</v>
      </c>
      <c r="F38" s="41">
        <f t="shared" si="6"/>
        <v>1178</v>
      </c>
      <c r="G38" s="41">
        <f t="shared" si="6"/>
        <v>1140</v>
      </c>
      <c r="H38" s="41">
        <f t="shared" si="6"/>
        <v>1178</v>
      </c>
      <c r="I38" s="41">
        <f t="shared" si="6"/>
        <v>1140</v>
      </c>
      <c r="J38" s="41">
        <f t="shared" si="6"/>
        <v>1178</v>
      </c>
      <c r="K38" s="41">
        <f t="shared" si="6"/>
        <v>1178</v>
      </c>
      <c r="L38" s="41">
        <f t="shared" si="6"/>
        <v>1140</v>
      </c>
      <c r="M38" s="41">
        <f t="shared" si="6"/>
        <v>1178</v>
      </c>
      <c r="N38" s="41">
        <f t="shared" si="6"/>
        <v>1140</v>
      </c>
      <c r="O38" s="41">
        <f t="shared" si="6"/>
        <v>1178</v>
      </c>
    </row>
    <row r="39" spans="2:16" x14ac:dyDescent="0.25">
      <c r="B39" s="85" t="s">
        <v>10</v>
      </c>
      <c r="C39" s="86"/>
      <c r="D39" s="41">
        <f t="shared" ref="D39:O39" si="7">D33*D36</f>
        <v>3062.7999999999993</v>
      </c>
      <c r="E39" s="41">
        <f t="shared" si="7"/>
        <v>2766.3999999999996</v>
      </c>
      <c r="F39" s="41">
        <f t="shared" si="7"/>
        <v>3062.7999999999993</v>
      </c>
      <c r="G39" s="41">
        <f t="shared" si="7"/>
        <v>2963.9999999999995</v>
      </c>
      <c r="H39" s="41">
        <f t="shared" si="7"/>
        <v>3062.7999999999993</v>
      </c>
      <c r="I39" s="41">
        <f t="shared" si="7"/>
        <v>2963.9999999999995</v>
      </c>
      <c r="J39" s="41">
        <f t="shared" si="7"/>
        <v>3062.7999999999993</v>
      </c>
      <c r="K39" s="41">
        <f t="shared" si="7"/>
        <v>3062.7999999999993</v>
      </c>
      <c r="L39" s="41">
        <f t="shared" si="7"/>
        <v>2963.9999999999995</v>
      </c>
      <c r="M39" s="41">
        <f t="shared" si="7"/>
        <v>3062.7999999999993</v>
      </c>
      <c r="N39" s="41">
        <f t="shared" si="7"/>
        <v>2963.9999999999995</v>
      </c>
      <c r="O39" s="41">
        <f t="shared" si="7"/>
        <v>3062.7999999999993</v>
      </c>
    </row>
    <row r="40" spans="2:16" x14ac:dyDescent="0.25">
      <c r="B40" s="85" t="s">
        <v>11</v>
      </c>
      <c r="C40" s="86"/>
      <c r="D40" s="41">
        <f t="shared" ref="D40:O40" si="8">D33*D37</f>
        <v>1413.6</v>
      </c>
      <c r="E40" s="41">
        <f t="shared" si="8"/>
        <v>1276.7999999999997</v>
      </c>
      <c r="F40" s="41">
        <f t="shared" si="8"/>
        <v>1413.6</v>
      </c>
      <c r="G40" s="41">
        <f t="shared" si="8"/>
        <v>1367.9999999999998</v>
      </c>
      <c r="H40" s="41">
        <f t="shared" si="8"/>
        <v>1413.6</v>
      </c>
      <c r="I40" s="41">
        <f t="shared" si="8"/>
        <v>1367.9999999999998</v>
      </c>
      <c r="J40" s="41">
        <f t="shared" si="8"/>
        <v>1413.6</v>
      </c>
      <c r="K40" s="41">
        <f t="shared" si="8"/>
        <v>1413.6</v>
      </c>
      <c r="L40" s="41">
        <f t="shared" si="8"/>
        <v>1367.9999999999998</v>
      </c>
      <c r="M40" s="41">
        <f t="shared" si="8"/>
        <v>1413.6</v>
      </c>
      <c r="N40" s="41">
        <f t="shared" si="8"/>
        <v>1367.9999999999998</v>
      </c>
      <c r="O40" s="41">
        <f t="shared" si="8"/>
        <v>1413.6</v>
      </c>
    </row>
    <row r="41" spans="2:16" x14ac:dyDescent="0.25">
      <c r="B41" s="81" t="s">
        <v>12</v>
      </c>
      <c r="C41" s="82"/>
      <c r="D41" s="51">
        <f t="shared" ref="D41:O41" si="9">D40+D39+D38</f>
        <v>5654.4</v>
      </c>
      <c r="E41" s="51">
        <f t="shared" si="9"/>
        <v>5107.1999999999989</v>
      </c>
      <c r="F41" s="51">
        <f t="shared" si="9"/>
        <v>5654.4</v>
      </c>
      <c r="G41" s="51">
        <f t="shared" si="9"/>
        <v>5471.9999999999991</v>
      </c>
      <c r="H41" s="51">
        <f t="shared" si="9"/>
        <v>5654.4</v>
      </c>
      <c r="I41" s="51">
        <f t="shared" si="9"/>
        <v>5471.9999999999991</v>
      </c>
      <c r="J41" s="51">
        <f t="shared" si="9"/>
        <v>5654.4</v>
      </c>
      <c r="K41" s="51">
        <f t="shared" si="9"/>
        <v>5654.4</v>
      </c>
      <c r="L41" s="51">
        <f t="shared" si="9"/>
        <v>5471.9999999999991</v>
      </c>
      <c r="M41" s="51">
        <f t="shared" si="9"/>
        <v>5654.4</v>
      </c>
      <c r="N41" s="51">
        <f t="shared" si="9"/>
        <v>5471.9999999999991</v>
      </c>
      <c r="O41" s="51">
        <f t="shared" si="9"/>
        <v>5654.4</v>
      </c>
      <c r="P41" s="52">
        <f>SUM(D41:O41)</f>
        <v>66576</v>
      </c>
    </row>
    <row r="42" spans="2:16" x14ac:dyDescent="0.25">
      <c r="D42" s="3">
        <v>49310</v>
      </c>
      <c r="E42" s="3">
        <v>49341</v>
      </c>
      <c r="F42" s="3">
        <v>49369</v>
      </c>
      <c r="G42" s="3">
        <v>49400</v>
      </c>
      <c r="H42" s="3">
        <v>49430</v>
      </c>
      <c r="I42" s="3">
        <v>49461</v>
      </c>
      <c r="J42" s="3">
        <v>49491</v>
      </c>
      <c r="K42" s="3">
        <v>49522</v>
      </c>
      <c r="L42" s="3">
        <v>49553</v>
      </c>
      <c r="M42" s="3">
        <v>49583</v>
      </c>
      <c r="N42" s="3">
        <v>49614</v>
      </c>
      <c r="O42" s="3">
        <v>49644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0BDB-77FA-4B80-87B9-59CDC00B240D}">
  <dimension ref="B1:P45"/>
  <sheetViews>
    <sheetView zoomScale="80" zoomScaleNormal="80" workbookViewId="0">
      <selection activeCell="D7" sqref="D7:O7"/>
    </sheetView>
  </sheetViews>
  <sheetFormatPr baseColWidth="10" defaultColWidth="11.42578125" defaultRowHeight="15" x14ac:dyDescent="0.25"/>
  <cols>
    <col min="1" max="1" width="11.42578125" style="1"/>
    <col min="2" max="2" width="8" style="1" customWidth="1"/>
    <col min="3" max="3" width="6.140625" style="1" customWidth="1"/>
    <col min="4" max="15" width="9.85546875" style="1" bestFit="1" customWidth="1"/>
    <col min="16" max="16384" width="11.42578125" style="1"/>
  </cols>
  <sheetData>
    <row r="1" spans="2:15" x14ac:dyDescent="0.25">
      <c r="B1" s="79" t="s">
        <v>6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2:15" x14ac:dyDescent="0.25">
      <c r="B2" s="79" t="s">
        <v>25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2:15" x14ac:dyDescent="0.25">
      <c r="B3" s="79" t="s">
        <v>47</v>
      </c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</row>
    <row r="4" spans="2:15" x14ac:dyDescent="0.25">
      <c r="B4" s="79" t="s">
        <v>56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2:15" x14ac:dyDescent="0.25">
      <c r="C5" s="42"/>
      <c r="D5" s="42"/>
      <c r="E5" s="42"/>
      <c r="F5" s="42"/>
      <c r="G5" s="42"/>
    </row>
    <row r="6" spans="2:15" x14ac:dyDescent="0.25">
      <c r="C6" s="2"/>
      <c r="D6" s="2"/>
      <c r="E6" s="2"/>
      <c r="F6" s="2"/>
      <c r="G6" s="2"/>
    </row>
    <row r="7" spans="2:15" ht="15" customHeight="1" x14ac:dyDescent="0.25">
      <c r="B7" s="80" t="s">
        <v>0</v>
      </c>
      <c r="C7" s="80" t="s">
        <v>7</v>
      </c>
      <c r="D7" s="81" t="s">
        <v>56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3"/>
    </row>
    <row r="8" spans="2:15" x14ac:dyDescent="0.25">
      <c r="B8" s="80"/>
      <c r="C8" s="80"/>
      <c r="D8" s="3">
        <v>49675</v>
      </c>
      <c r="E8" s="3">
        <v>49706</v>
      </c>
      <c r="F8" s="3">
        <v>49735</v>
      </c>
      <c r="G8" s="3">
        <v>49766</v>
      </c>
      <c r="H8" s="3">
        <v>49796</v>
      </c>
      <c r="I8" s="3">
        <v>49827</v>
      </c>
      <c r="J8" s="3">
        <v>49857</v>
      </c>
      <c r="K8" s="3">
        <v>49888</v>
      </c>
      <c r="L8" s="3">
        <v>49919</v>
      </c>
      <c r="M8" s="3">
        <v>49949</v>
      </c>
      <c r="N8" s="3">
        <v>49980</v>
      </c>
      <c r="O8" s="3">
        <v>50010</v>
      </c>
    </row>
    <row r="9" spans="2:15" x14ac:dyDescent="0.25">
      <c r="B9" s="77" t="s">
        <v>1</v>
      </c>
      <c r="C9" s="4">
        <v>1</v>
      </c>
      <c r="D9" s="50">
        <v>2.2999999999999998</v>
      </c>
      <c r="E9" s="50">
        <v>2.2999999999999998</v>
      </c>
      <c r="F9" s="50">
        <v>2.2999999999999998</v>
      </c>
      <c r="G9" s="50">
        <v>2.2999999999999998</v>
      </c>
      <c r="H9" s="50">
        <v>2.2999999999999998</v>
      </c>
      <c r="I9" s="50">
        <v>2.2999999999999998</v>
      </c>
      <c r="J9" s="50">
        <v>2.2999999999999998</v>
      </c>
      <c r="K9" s="50">
        <v>2.2999999999999998</v>
      </c>
      <c r="L9" s="50">
        <v>2.2999999999999998</v>
      </c>
      <c r="M9" s="50">
        <v>2.2999999999999998</v>
      </c>
      <c r="N9" s="50">
        <v>2.2999999999999998</v>
      </c>
      <c r="O9" s="50">
        <v>2.2999999999999998</v>
      </c>
    </row>
    <row r="10" spans="2:15" x14ac:dyDescent="0.25">
      <c r="B10" s="84"/>
      <c r="C10" s="4">
        <v>2</v>
      </c>
      <c r="D10" s="50">
        <v>2.2999999999999998</v>
      </c>
      <c r="E10" s="50">
        <v>2.2999999999999998</v>
      </c>
      <c r="F10" s="50">
        <v>2.2999999999999998</v>
      </c>
      <c r="G10" s="50">
        <v>2.2999999999999998</v>
      </c>
      <c r="H10" s="50">
        <v>2.2999999999999998</v>
      </c>
      <c r="I10" s="50">
        <v>2.2999999999999998</v>
      </c>
      <c r="J10" s="50">
        <v>2.2999999999999998</v>
      </c>
      <c r="K10" s="50">
        <v>2.2999999999999998</v>
      </c>
      <c r="L10" s="50">
        <v>2.2999999999999998</v>
      </c>
      <c r="M10" s="50">
        <v>2.2999999999999998</v>
      </c>
      <c r="N10" s="50">
        <v>2.2999999999999998</v>
      </c>
      <c r="O10" s="50">
        <v>2.2999999999999998</v>
      </c>
    </row>
    <row r="11" spans="2:15" x14ac:dyDescent="0.25">
      <c r="B11" s="84"/>
      <c r="C11" s="4">
        <v>3</v>
      </c>
      <c r="D11" s="50">
        <v>2.2999999999999998</v>
      </c>
      <c r="E11" s="50">
        <v>2.2999999999999998</v>
      </c>
      <c r="F11" s="50">
        <v>2.2999999999999998</v>
      </c>
      <c r="G11" s="50">
        <v>2.2999999999999998</v>
      </c>
      <c r="H11" s="50">
        <v>2.2999999999999998</v>
      </c>
      <c r="I11" s="50">
        <v>2.2999999999999998</v>
      </c>
      <c r="J11" s="50">
        <v>2.2999999999999998</v>
      </c>
      <c r="K11" s="50">
        <v>2.2999999999999998</v>
      </c>
      <c r="L11" s="50">
        <v>2.2999999999999998</v>
      </c>
      <c r="M11" s="50">
        <v>2.2999999999999998</v>
      </c>
      <c r="N11" s="50">
        <v>2.2999999999999998</v>
      </c>
      <c r="O11" s="50">
        <v>2.2999999999999998</v>
      </c>
    </row>
    <row r="12" spans="2:15" x14ac:dyDescent="0.25">
      <c r="B12" s="78"/>
      <c r="C12" s="4">
        <v>4</v>
      </c>
      <c r="D12" s="50">
        <v>2.2999999999999998</v>
      </c>
      <c r="E12" s="50">
        <v>2.2999999999999998</v>
      </c>
      <c r="F12" s="50">
        <v>2.2999999999999998</v>
      </c>
      <c r="G12" s="50">
        <v>2.2999999999999998</v>
      </c>
      <c r="H12" s="50">
        <v>2.2999999999999998</v>
      </c>
      <c r="I12" s="50">
        <v>2.2999999999999998</v>
      </c>
      <c r="J12" s="50">
        <v>2.2999999999999998</v>
      </c>
      <c r="K12" s="50">
        <v>2.2999999999999998</v>
      </c>
      <c r="L12" s="50">
        <v>2.2999999999999998</v>
      </c>
      <c r="M12" s="50">
        <v>2.2999999999999998</v>
      </c>
      <c r="N12" s="50">
        <v>2.2999999999999998</v>
      </c>
      <c r="O12" s="50">
        <v>2.2999999999999998</v>
      </c>
    </row>
    <row r="13" spans="2:15" x14ac:dyDescent="0.25">
      <c r="B13" s="77" t="s">
        <v>2</v>
      </c>
      <c r="C13" s="4">
        <v>5</v>
      </c>
      <c r="D13" s="50">
        <v>2.2999999999999998</v>
      </c>
      <c r="E13" s="50">
        <v>2.2999999999999998</v>
      </c>
      <c r="F13" s="50">
        <v>2.2999999999999998</v>
      </c>
      <c r="G13" s="50">
        <v>2.2999999999999998</v>
      </c>
      <c r="H13" s="50">
        <v>2.2999999999999998</v>
      </c>
      <c r="I13" s="50">
        <v>2.2999999999999998</v>
      </c>
      <c r="J13" s="50">
        <v>2.2999999999999998</v>
      </c>
      <c r="K13" s="50">
        <v>2.2999999999999998</v>
      </c>
      <c r="L13" s="50">
        <v>2.2999999999999998</v>
      </c>
      <c r="M13" s="50">
        <v>2.2999999999999998</v>
      </c>
      <c r="N13" s="50">
        <v>2.2999999999999998</v>
      </c>
      <c r="O13" s="50">
        <v>2.2999999999999998</v>
      </c>
    </row>
    <row r="14" spans="2:15" x14ac:dyDescent="0.25">
      <c r="B14" s="84"/>
      <c r="C14" s="4">
        <v>6</v>
      </c>
      <c r="D14" s="50">
        <v>2.2999999999999998</v>
      </c>
      <c r="E14" s="50">
        <v>2.2999999999999998</v>
      </c>
      <c r="F14" s="50">
        <v>2.2999999999999998</v>
      </c>
      <c r="G14" s="50">
        <v>2.2999999999999998</v>
      </c>
      <c r="H14" s="50">
        <v>2.2999999999999998</v>
      </c>
      <c r="I14" s="50">
        <v>2.2999999999999998</v>
      </c>
      <c r="J14" s="50">
        <v>2.2999999999999998</v>
      </c>
      <c r="K14" s="50">
        <v>2.2999999999999998</v>
      </c>
      <c r="L14" s="50">
        <v>2.2999999999999998</v>
      </c>
      <c r="M14" s="50">
        <v>2.2999999999999998</v>
      </c>
      <c r="N14" s="50">
        <v>2.2999999999999998</v>
      </c>
      <c r="O14" s="50">
        <v>2.2999999999999998</v>
      </c>
    </row>
    <row r="15" spans="2:15" x14ac:dyDescent="0.25">
      <c r="B15" s="84"/>
      <c r="C15" s="4">
        <v>7</v>
      </c>
      <c r="D15" s="50">
        <v>2.2999999999999998</v>
      </c>
      <c r="E15" s="50">
        <v>2.2999999999999998</v>
      </c>
      <c r="F15" s="50">
        <v>2.2999999999999998</v>
      </c>
      <c r="G15" s="50">
        <v>2.2999999999999998</v>
      </c>
      <c r="H15" s="50">
        <v>2.2999999999999998</v>
      </c>
      <c r="I15" s="50">
        <v>2.2999999999999998</v>
      </c>
      <c r="J15" s="50">
        <v>2.2999999999999998</v>
      </c>
      <c r="K15" s="50">
        <v>2.2999999999999998</v>
      </c>
      <c r="L15" s="50">
        <v>2.2999999999999998</v>
      </c>
      <c r="M15" s="50">
        <v>2.2999999999999998</v>
      </c>
      <c r="N15" s="50">
        <v>2.2999999999999998</v>
      </c>
      <c r="O15" s="50">
        <v>2.2999999999999998</v>
      </c>
    </row>
    <row r="16" spans="2:15" x14ac:dyDescent="0.25">
      <c r="B16" s="84"/>
      <c r="C16" s="4">
        <v>8</v>
      </c>
      <c r="D16" s="50">
        <v>2.2999999999999998</v>
      </c>
      <c r="E16" s="50">
        <v>2.2999999999999998</v>
      </c>
      <c r="F16" s="50">
        <v>2.2999999999999998</v>
      </c>
      <c r="G16" s="50">
        <v>2.2999999999999998</v>
      </c>
      <c r="H16" s="50">
        <v>2.2999999999999998</v>
      </c>
      <c r="I16" s="50">
        <v>2.2999999999999998</v>
      </c>
      <c r="J16" s="50">
        <v>2.2999999999999998</v>
      </c>
      <c r="K16" s="50">
        <v>2.2999999999999998</v>
      </c>
      <c r="L16" s="50">
        <v>2.2999999999999998</v>
      </c>
      <c r="M16" s="50">
        <v>2.2999999999999998</v>
      </c>
      <c r="N16" s="50">
        <v>2.2999999999999998</v>
      </c>
      <c r="O16" s="50">
        <v>2.2999999999999998</v>
      </c>
    </row>
    <row r="17" spans="2:15" x14ac:dyDescent="0.25">
      <c r="B17" s="78"/>
      <c r="C17" s="4">
        <v>9</v>
      </c>
      <c r="D17" s="50">
        <v>2.2999999999999998</v>
      </c>
      <c r="E17" s="50">
        <v>2.2999999999999998</v>
      </c>
      <c r="F17" s="50">
        <v>2.2999999999999998</v>
      </c>
      <c r="G17" s="50">
        <v>2.2999999999999998</v>
      </c>
      <c r="H17" s="50">
        <v>2.2999999999999998</v>
      </c>
      <c r="I17" s="50">
        <v>2.2999999999999998</v>
      </c>
      <c r="J17" s="50">
        <v>2.2999999999999998</v>
      </c>
      <c r="K17" s="50">
        <v>2.2999999999999998</v>
      </c>
      <c r="L17" s="50">
        <v>2.2999999999999998</v>
      </c>
      <c r="M17" s="50">
        <v>2.2999999999999998</v>
      </c>
      <c r="N17" s="50">
        <v>2.2999999999999998</v>
      </c>
      <c r="O17" s="50">
        <v>2.2999999999999998</v>
      </c>
    </row>
    <row r="18" spans="2:15" x14ac:dyDescent="0.25">
      <c r="B18" s="77" t="s">
        <v>3</v>
      </c>
      <c r="C18" s="4">
        <v>10</v>
      </c>
      <c r="D18" s="50">
        <v>2.2999999999999998</v>
      </c>
      <c r="E18" s="50">
        <v>2.2999999999999998</v>
      </c>
      <c r="F18" s="50">
        <v>2.2999999999999998</v>
      </c>
      <c r="G18" s="50">
        <v>2.2999999999999998</v>
      </c>
      <c r="H18" s="50">
        <v>2.2999999999999998</v>
      </c>
      <c r="I18" s="50">
        <v>2.2999999999999998</v>
      </c>
      <c r="J18" s="50">
        <v>2.2999999999999998</v>
      </c>
      <c r="K18" s="50">
        <v>2.2999999999999998</v>
      </c>
      <c r="L18" s="50">
        <v>2.2999999999999998</v>
      </c>
      <c r="M18" s="50">
        <v>2.2999999999999998</v>
      </c>
      <c r="N18" s="50">
        <v>2.2999999999999998</v>
      </c>
      <c r="O18" s="50">
        <v>2.2999999999999998</v>
      </c>
    </row>
    <row r="19" spans="2:15" x14ac:dyDescent="0.25">
      <c r="B19" s="84"/>
      <c r="C19" s="4">
        <v>11</v>
      </c>
      <c r="D19" s="50">
        <v>2.2999999999999998</v>
      </c>
      <c r="E19" s="50">
        <v>2.2999999999999998</v>
      </c>
      <c r="F19" s="50">
        <v>2.2999999999999998</v>
      </c>
      <c r="G19" s="50">
        <v>2.2999999999999998</v>
      </c>
      <c r="H19" s="50">
        <v>2.2999999999999998</v>
      </c>
      <c r="I19" s="50">
        <v>2.2999999999999998</v>
      </c>
      <c r="J19" s="50">
        <v>2.2999999999999998</v>
      </c>
      <c r="K19" s="50">
        <v>2.2999999999999998</v>
      </c>
      <c r="L19" s="50">
        <v>2.2999999999999998</v>
      </c>
      <c r="M19" s="50">
        <v>2.2999999999999998</v>
      </c>
      <c r="N19" s="50">
        <v>2.2999999999999998</v>
      </c>
      <c r="O19" s="50">
        <v>2.2999999999999998</v>
      </c>
    </row>
    <row r="20" spans="2:15" x14ac:dyDescent="0.25">
      <c r="B20" s="78"/>
      <c r="C20" s="4">
        <v>12</v>
      </c>
      <c r="D20" s="50">
        <v>2.2999999999999998</v>
      </c>
      <c r="E20" s="50">
        <v>2.2999999999999998</v>
      </c>
      <c r="F20" s="50">
        <v>2.2999999999999998</v>
      </c>
      <c r="G20" s="50">
        <v>2.2999999999999998</v>
      </c>
      <c r="H20" s="50">
        <v>2.2999999999999998</v>
      </c>
      <c r="I20" s="50">
        <v>2.2999999999999998</v>
      </c>
      <c r="J20" s="50">
        <v>2.2999999999999998</v>
      </c>
      <c r="K20" s="50">
        <v>2.2999999999999998</v>
      </c>
      <c r="L20" s="50">
        <v>2.2999999999999998</v>
      </c>
      <c r="M20" s="50">
        <v>2.2999999999999998</v>
      </c>
      <c r="N20" s="50">
        <v>2.2999999999999998</v>
      </c>
      <c r="O20" s="50">
        <v>2.2999999999999998</v>
      </c>
    </row>
    <row r="21" spans="2:15" x14ac:dyDescent="0.25">
      <c r="B21" s="77" t="s">
        <v>2</v>
      </c>
      <c r="C21" s="4">
        <v>13</v>
      </c>
      <c r="D21" s="50">
        <v>2.2999999999999998</v>
      </c>
      <c r="E21" s="50">
        <v>2.2999999999999998</v>
      </c>
      <c r="F21" s="50">
        <v>2.2999999999999998</v>
      </c>
      <c r="G21" s="50">
        <v>2.2999999999999998</v>
      </c>
      <c r="H21" s="50">
        <v>2.2999999999999998</v>
      </c>
      <c r="I21" s="50">
        <v>2.2999999999999998</v>
      </c>
      <c r="J21" s="50">
        <v>2.2999999999999998</v>
      </c>
      <c r="K21" s="50">
        <v>2.2999999999999998</v>
      </c>
      <c r="L21" s="50">
        <v>2.2999999999999998</v>
      </c>
      <c r="M21" s="50">
        <v>2.2999999999999998</v>
      </c>
      <c r="N21" s="50">
        <v>2.2999999999999998</v>
      </c>
      <c r="O21" s="50">
        <v>2.2999999999999998</v>
      </c>
    </row>
    <row r="22" spans="2:15" x14ac:dyDescent="0.25">
      <c r="B22" s="84"/>
      <c r="C22" s="4">
        <v>14</v>
      </c>
      <c r="D22" s="50">
        <v>2.2999999999999998</v>
      </c>
      <c r="E22" s="50">
        <v>2.2999999999999998</v>
      </c>
      <c r="F22" s="50">
        <v>2.2999999999999998</v>
      </c>
      <c r="G22" s="50">
        <v>2.2999999999999998</v>
      </c>
      <c r="H22" s="50">
        <v>2.2999999999999998</v>
      </c>
      <c r="I22" s="50">
        <v>2.2999999999999998</v>
      </c>
      <c r="J22" s="50">
        <v>2.2999999999999998</v>
      </c>
      <c r="K22" s="50">
        <v>2.2999999999999998</v>
      </c>
      <c r="L22" s="50">
        <v>2.2999999999999998</v>
      </c>
      <c r="M22" s="50">
        <v>2.2999999999999998</v>
      </c>
      <c r="N22" s="50">
        <v>2.2999999999999998</v>
      </c>
      <c r="O22" s="50">
        <v>2.2999999999999998</v>
      </c>
    </row>
    <row r="23" spans="2:15" x14ac:dyDescent="0.25">
      <c r="B23" s="84"/>
      <c r="C23" s="4">
        <v>15</v>
      </c>
      <c r="D23" s="50">
        <v>2.2999999999999998</v>
      </c>
      <c r="E23" s="50">
        <v>2.2999999999999998</v>
      </c>
      <c r="F23" s="50">
        <v>2.2999999999999998</v>
      </c>
      <c r="G23" s="50">
        <v>2.2999999999999998</v>
      </c>
      <c r="H23" s="50">
        <v>2.2999999999999998</v>
      </c>
      <c r="I23" s="50">
        <v>2.2999999999999998</v>
      </c>
      <c r="J23" s="50">
        <v>2.2999999999999998</v>
      </c>
      <c r="K23" s="50">
        <v>2.2999999999999998</v>
      </c>
      <c r="L23" s="50">
        <v>2.2999999999999998</v>
      </c>
      <c r="M23" s="50">
        <v>2.2999999999999998</v>
      </c>
      <c r="N23" s="50">
        <v>2.2999999999999998</v>
      </c>
      <c r="O23" s="50">
        <v>2.2999999999999998</v>
      </c>
    </row>
    <row r="24" spans="2:15" x14ac:dyDescent="0.25">
      <c r="B24" s="84"/>
      <c r="C24" s="4">
        <v>16</v>
      </c>
      <c r="D24" s="50">
        <v>2.2999999999999998</v>
      </c>
      <c r="E24" s="50">
        <v>2.2999999999999998</v>
      </c>
      <c r="F24" s="50">
        <v>2.2999999999999998</v>
      </c>
      <c r="G24" s="50">
        <v>2.2999999999999998</v>
      </c>
      <c r="H24" s="50">
        <v>2.2999999999999998</v>
      </c>
      <c r="I24" s="50">
        <v>2.2999999999999998</v>
      </c>
      <c r="J24" s="50">
        <v>2.2999999999999998</v>
      </c>
      <c r="K24" s="50">
        <v>2.2999999999999998</v>
      </c>
      <c r="L24" s="50">
        <v>2.2999999999999998</v>
      </c>
      <c r="M24" s="50">
        <v>2.2999999999999998</v>
      </c>
      <c r="N24" s="50">
        <v>2.2999999999999998</v>
      </c>
      <c r="O24" s="50">
        <v>2.2999999999999998</v>
      </c>
    </row>
    <row r="25" spans="2:15" x14ac:dyDescent="0.25">
      <c r="B25" s="84"/>
      <c r="C25" s="4">
        <v>17</v>
      </c>
      <c r="D25" s="50">
        <v>2.2999999999999998</v>
      </c>
      <c r="E25" s="50">
        <v>2.2999999999999998</v>
      </c>
      <c r="F25" s="50">
        <v>2.2999999999999998</v>
      </c>
      <c r="G25" s="50">
        <v>2.2999999999999998</v>
      </c>
      <c r="H25" s="50">
        <v>2.2999999999999998</v>
      </c>
      <c r="I25" s="50">
        <v>2.2999999999999998</v>
      </c>
      <c r="J25" s="50">
        <v>2.2999999999999998</v>
      </c>
      <c r="K25" s="50">
        <v>2.2999999999999998</v>
      </c>
      <c r="L25" s="50">
        <v>2.2999999999999998</v>
      </c>
      <c r="M25" s="50">
        <v>2.2999999999999998</v>
      </c>
      <c r="N25" s="50">
        <v>2.2999999999999998</v>
      </c>
      <c r="O25" s="50">
        <v>2.2999999999999998</v>
      </c>
    </row>
    <row r="26" spans="2:15" x14ac:dyDescent="0.25">
      <c r="B26" s="78"/>
      <c r="C26" s="4">
        <v>18</v>
      </c>
      <c r="D26" s="50">
        <v>2.2999999999999998</v>
      </c>
      <c r="E26" s="50">
        <v>2.2999999999999998</v>
      </c>
      <c r="F26" s="50">
        <v>2.2999999999999998</v>
      </c>
      <c r="G26" s="50">
        <v>2.2999999999999998</v>
      </c>
      <c r="H26" s="50">
        <v>2.2999999999999998</v>
      </c>
      <c r="I26" s="50">
        <v>2.2999999999999998</v>
      </c>
      <c r="J26" s="50">
        <v>2.2999999999999998</v>
      </c>
      <c r="K26" s="50">
        <v>2.2999999999999998</v>
      </c>
      <c r="L26" s="50">
        <v>2.2999999999999998</v>
      </c>
      <c r="M26" s="50">
        <v>2.2999999999999998</v>
      </c>
      <c r="N26" s="50">
        <v>2.2999999999999998</v>
      </c>
      <c r="O26" s="50">
        <v>2.2999999999999998</v>
      </c>
    </row>
    <row r="27" spans="2:15" x14ac:dyDescent="0.25">
      <c r="B27" s="77" t="s">
        <v>3</v>
      </c>
      <c r="C27" s="4">
        <v>19</v>
      </c>
      <c r="D27" s="50">
        <v>2.2999999999999998</v>
      </c>
      <c r="E27" s="50">
        <v>2.2999999999999998</v>
      </c>
      <c r="F27" s="50">
        <v>2.2999999999999998</v>
      </c>
      <c r="G27" s="50">
        <v>2.2999999999999998</v>
      </c>
      <c r="H27" s="50">
        <v>2.2999999999999998</v>
      </c>
      <c r="I27" s="50">
        <v>2.2999999999999998</v>
      </c>
      <c r="J27" s="50">
        <v>2.2999999999999998</v>
      </c>
      <c r="K27" s="50">
        <v>2.2999999999999998</v>
      </c>
      <c r="L27" s="50">
        <v>2.2999999999999998</v>
      </c>
      <c r="M27" s="50">
        <v>2.2999999999999998</v>
      </c>
      <c r="N27" s="50">
        <v>2.2999999999999998</v>
      </c>
      <c r="O27" s="50">
        <v>2.2999999999999998</v>
      </c>
    </row>
    <row r="28" spans="2:15" x14ac:dyDescent="0.25">
      <c r="B28" s="84"/>
      <c r="C28" s="4">
        <v>20</v>
      </c>
      <c r="D28" s="50">
        <v>2.2999999999999998</v>
      </c>
      <c r="E28" s="50">
        <v>2.2999999999999998</v>
      </c>
      <c r="F28" s="50">
        <v>2.2999999999999998</v>
      </c>
      <c r="G28" s="50">
        <v>2.2999999999999998</v>
      </c>
      <c r="H28" s="50">
        <v>2.2999999999999998</v>
      </c>
      <c r="I28" s="50">
        <v>2.2999999999999998</v>
      </c>
      <c r="J28" s="50">
        <v>2.2999999999999998</v>
      </c>
      <c r="K28" s="50">
        <v>2.2999999999999998</v>
      </c>
      <c r="L28" s="50">
        <v>2.2999999999999998</v>
      </c>
      <c r="M28" s="50">
        <v>2.2999999999999998</v>
      </c>
      <c r="N28" s="50">
        <v>2.2999999999999998</v>
      </c>
      <c r="O28" s="50">
        <v>2.2999999999999998</v>
      </c>
    </row>
    <row r="29" spans="2:15" x14ac:dyDescent="0.25">
      <c r="B29" s="78"/>
      <c r="C29" s="4">
        <v>21</v>
      </c>
      <c r="D29" s="50">
        <v>2.2999999999999998</v>
      </c>
      <c r="E29" s="50">
        <v>2.2999999999999998</v>
      </c>
      <c r="F29" s="50">
        <v>2.2999999999999998</v>
      </c>
      <c r="G29" s="50">
        <v>2.2999999999999998</v>
      </c>
      <c r="H29" s="50">
        <v>2.2999999999999998</v>
      </c>
      <c r="I29" s="50">
        <v>2.2999999999999998</v>
      </c>
      <c r="J29" s="50">
        <v>2.2999999999999998</v>
      </c>
      <c r="K29" s="50">
        <v>2.2999999999999998</v>
      </c>
      <c r="L29" s="50">
        <v>2.2999999999999998</v>
      </c>
      <c r="M29" s="50">
        <v>2.2999999999999998</v>
      </c>
      <c r="N29" s="50">
        <v>2.2999999999999998</v>
      </c>
      <c r="O29" s="50">
        <v>2.2999999999999998</v>
      </c>
    </row>
    <row r="30" spans="2:15" x14ac:dyDescent="0.25">
      <c r="B30" s="77" t="s">
        <v>2</v>
      </c>
      <c r="C30" s="4">
        <v>22</v>
      </c>
      <c r="D30" s="50">
        <v>2.2999999999999998</v>
      </c>
      <c r="E30" s="50">
        <v>2.2999999999999998</v>
      </c>
      <c r="F30" s="50">
        <v>2.2999999999999998</v>
      </c>
      <c r="G30" s="50">
        <v>2.2999999999999998</v>
      </c>
      <c r="H30" s="50">
        <v>2.2999999999999998</v>
      </c>
      <c r="I30" s="50">
        <v>2.2999999999999998</v>
      </c>
      <c r="J30" s="50">
        <v>2.2999999999999998</v>
      </c>
      <c r="K30" s="50">
        <v>2.2999999999999998</v>
      </c>
      <c r="L30" s="50">
        <v>2.2999999999999998</v>
      </c>
      <c r="M30" s="50">
        <v>2.2999999999999998</v>
      </c>
      <c r="N30" s="50">
        <v>2.2999999999999998</v>
      </c>
      <c r="O30" s="50">
        <v>2.2999999999999998</v>
      </c>
    </row>
    <row r="31" spans="2:15" ht="16.149999999999999" customHeight="1" x14ac:dyDescent="0.25">
      <c r="B31" s="78"/>
      <c r="C31" s="4">
        <v>23</v>
      </c>
      <c r="D31" s="50">
        <v>2.2999999999999998</v>
      </c>
      <c r="E31" s="50">
        <v>2.2999999999999998</v>
      </c>
      <c r="F31" s="50">
        <v>2.2999999999999998</v>
      </c>
      <c r="G31" s="50">
        <v>2.2999999999999998</v>
      </c>
      <c r="H31" s="50">
        <v>2.2999999999999998</v>
      </c>
      <c r="I31" s="50">
        <v>2.2999999999999998</v>
      </c>
      <c r="J31" s="50">
        <v>2.2999999999999998</v>
      </c>
      <c r="K31" s="50">
        <v>2.2999999999999998</v>
      </c>
      <c r="L31" s="50">
        <v>2.2999999999999998</v>
      </c>
      <c r="M31" s="50">
        <v>2.2999999999999998</v>
      </c>
      <c r="N31" s="50">
        <v>2.2999999999999998</v>
      </c>
      <c r="O31" s="50">
        <v>2.2999999999999998</v>
      </c>
    </row>
    <row r="32" spans="2:15" x14ac:dyDescent="0.25">
      <c r="B32" s="36" t="s">
        <v>1</v>
      </c>
      <c r="C32" s="37">
        <v>24</v>
      </c>
      <c r="D32" s="50">
        <v>2.2999999999999998</v>
      </c>
      <c r="E32" s="50">
        <v>2.2999999999999998</v>
      </c>
      <c r="F32" s="50">
        <v>2.2999999999999998</v>
      </c>
      <c r="G32" s="50">
        <v>2.2999999999999998</v>
      </c>
      <c r="H32" s="50">
        <v>2.2999999999999998</v>
      </c>
      <c r="I32" s="50">
        <v>2.2999999999999998</v>
      </c>
      <c r="J32" s="50">
        <v>2.2999999999999998</v>
      </c>
      <c r="K32" s="50">
        <v>2.2999999999999998</v>
      </c>
      <c r="L32" s="50">
        <v>2.2999999999999998</v>
      </c>
      <c r="M32" s="50">
        <v>2.2999999999999998</v>
      </c>
      <c r="N32" s="50">
        <v>2.2999999999999998</v>
      </c>
      <c r="O32" s="50">
        <v>2.2999999999999998</v>
      </c>
    </row>
    <row r="33" spans="2:16" x14ac:dyDescent="0.25">
      <c r="B33" s="87" t="s">
        <v>8</v>
      </c>
      <c r="C33" s="87"/>
      <c r="D33" s="5">
        <v>31</v>
      </c>
      <c r="E33" s="4">
        <v>29</v>
      </c>
      <c r="F33" s="4">
        <v>31</v>
      </c>
      <c r="G33" s="4">
        <v>30</v>
      </c>
      <c r="H33" s="4">
        <v>31</v>
      </c>
      <c r="I33" s="4">
        <v>30</v>
      </c>
      <c r="J33" s="4">
        <v>31</v>
      </c>
      <c r="K33" s="4">
        <v>31</v>
      </c>
      <c r="L33" s="4">
        <v>30</v>
      </c>
      <c r="M33" s="4">
        <v>31</v>
      </c>
      <c r="N33" s="4">
        <v>30</v>
      </c>
      <c r="O33" s="4">
        <v>31</v>
      </c>
    </row>
    <row r="34" spans="2:16" x14ac:dyDescent="0.25">
      <c r="B34" s="88" t="s">
        <v>57</v>
      </c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</row>
    <row r="35" spans="2:16" x14ac:dyDescent="0.25">
      <c r="B35" s="87" t="s">
        <v>1</v>
      </c>
      <c r="C35" s="87"/>
      <c r="D35" s="41">
        <f t="shared" ref="D35:G35" si="0">(SUM(D9:D12)+D32)</f>
        <v>11.5</v>
      </c>
      <c r="E35" s="41">
        <f t="shared" si="0"/>
        <v>11.5</v>
      </c>
      <c r="F35" s="41">
        <f t="shared" si="0"/>
        <v>11.5</v>
      </c>
      <c r="G35" s="41">
        <f t="shared" si="0"/>
        <v>11.5</v>
      </c>
      <c r="H35" s="41">
        <f t="shared" ref="H35:O35" si="1">(SUM(H9:H12)+H32)</f>
        <v>11.5</v>
      </c>
      <c r="I35" s="41">
        <f t="shared" si="1"/>
        <v>11.5</v>
      </c>
      <c r="J35" s="41">
        <f t="shared" si="1"/>
        <v>11.5</v>
      </c>
      <c r="K35" s="41">
        <f t="shared" si="1"/>
        <v>11.5</v>
      </c>
      <c r="L35" s="41">
        <f t="shared" si="1"/>
        <v>11.5</v>
      </c>
      <c r="M35" s="41">
        <f t="shared" si="1"/>
        <v>11.5</v>
      </c>
      <c r="N35" s="41">
        <f t="shared" si="1"/>
        <v>11.5</v>
      </c>
      <c r="O35" s="41">
        <f t="shared" si="1"/>
        <v>11.5</v>
      </c>
    </row>
    <row r="36" spans="2:16" x14ac:dyDescent="0.25">
      <c r="B36" s="87" t="s">
        <v>2</v>
      </c>
      <c r="C36" s="87"/>
      <c r="D36" s="41">
        <f t="shared" ref="D36:G36" si="2">(SUM(D13:D17)+SUM(D21:D26)+D30+D31)</f>
        <v>29.900000000000002</v>
      </c>
      <c r="E36" s="41">
        <f t="shared" si="2"/>
        <v>29.900000000000002</v>
      </c>
      <c r="F36" s="41">
        <f t="shared" si="2"/>
        <v>29.900000000000002</v>
      </c>
      <c r="G36" s="41">
        <f t="shared" si="2"/>
        <v>29.900000000000002</v>
      </c>
      <c r="H36" s="41">
        <f t="shared" ref="H36:O36" si="3">(SUM(H13:H17)+SUM(H21:H26)+H30+H31)</f>
        <v>29.900000000000002</v>
      </c>
      <c r="I36" s="41">
        <f t="shared" si="3"/>
        <v>29.900000000000002</v>
      </c>
      <c r="J36" s="41">
        <f t="shared" si="3"/>
        <v>29.900000000000002</v>
      </c>
      <c r="K36" s="41">
        <f t="shared" si="3"/>
        <v>29.900000000000002</v>
      </c>
      <c r="L36" s="41">
        <f t="shared" si="3"/>
        <v>29.900000000000002</v>
      </c>
      <c r="M36" s="41">
        <f t="shared" si="3"/>
        <v>29.900000000000002</v>
      </c>
      <c r="N36" s="41">
        <f t="shared" si="3"/>
        <v>29.900000000000002</v>
      </c>
      <c r="O36" s="41">
        <f t="shared" si="3"/>
        <v>29.900000000000002</v>
      </c>
    </row>
    <row r="37" spans="2:16" x14ac:dyDescent="0.25">
      <c r="B37" s="87" t="s">
        <v>3</v>
      </c>
      <c r="C37" s="87"/>
      <c r="D37" s="41">
        <f t="shared" ref="D37:G37" si="4">(SUM(D18:D20)+SUM(D27:D29))</f>
        <v>13.799999999999999</v>
      </c>
      <c r="E37" s="41">
        <f t="shared" si="4"/>
        <v>13.799999999999999</v>
      </c>
      <c r="F37" s="41">
        <f t="shared" si="4"/>
        <v>13.799999999999999</v>
      </c>
      <c r="G37" s="41">
        <f t="shared" si="4"/>
        <v>13.799999999999999</v>
      </c>
      <c r="H37" s="41">
        <f t="shared" ref="H37:O37" si="5">(SUM(H18:H20)+SUM(H27:H29))</f>
        <v>13.799999999999999</v>
      </c>
      <c r="I37" s="41">
        <f t="shared" si="5"/>
        <v>13.799999999999999</v>
      </c>
      <c r="J37" s="41">
        <f t="shared" si="5"/>
        <v>13.799999999999999</v>
      </c>
      <c r="K37" s="41">
        <f t="shared" si="5"/>
        <v>13.799999999999999</v>
      </c>
      <c r="L37" s="41">
        <f t="shared" si="5"/>
        <v>13.799999999999999</v>
      </c>
      <c r="M37" s="41">
        <f t="shared" si="5"/>
        <v>13.799999999999999</v>
      </c>
      <c r="N37" s="41">
        <f t="shared" si="5"/>
        <v>13.799999999999999</v>
      </c>
      <c r="O37" s="41">
        <f t="shared" si="5"/>
        <v>13.799999999999999</v>
      </c>
    </row>
    <row r="38" spans="2:16" x14ac:dyDescent="0.25">
      <c r="B38" s="85" t="s">
        <v>9</v>
      </c>
      <c r="C38" s="86"/>
      <c r="D38" s="41">
        <f t="shared" ref="D38:O38" si="6">D35*D33</f>
        <v>356.5</v>
      </c>
      <c r="E38" s="41">
        <f t="shared" si="6"/>
        <v>333.5</v>
      </c>
      <c r="F38" s="41">
        <f t="shared" si="6"/>
        <v>356.5</v>
      </c>
      <c r="G38" s="41">
        <f t="shared" si="6"/>
        <v>345</v>
      </c>
      <c r="H38" s="41">
        <f t="shared" si="6"/>
        <v>356.5</v>
      </c>
      <c r="I38" s="41">
        <f t="shared" si="6"/>
        <v>345</v>
      </c>
      <c r="J38" s="41">
        <f t="shared" si="6"/>
        <v>356.5</v>
      </c>
      <c r="K38" s="41">
        <f t="shared" si="6"/>
        <v>356.5</v>
      </c>
      <c r="L38" s="41">
        <f t="shared" si="6"/>
        <v>345</v>
      </c>
      <c r="M38" s="41">
        <f t="shared" si="6"/>
        <v>356.5</v>
      </c>
      <c r="N38" s="41">
        <f t="shared" si="6"/>
        <v>345</v>
      </c>
      <c r="O38" s="41">
        <f t="shared" si="6"/>
        <v>356.5</v>
      </c>
    </row>
    <row r="39" spans="2:16" x14ac:dyDescent="0.25">
      <c r="B39" s="85" t="s">
        <v>10</v>
      </c>
      <c r="C39" s="86"/>
      <c r="D39" s="41">
        <f t="shared" ref="D39:O39" si="7">D33*D36</f>
        <v>926.90000000000009</v>
      </c>
      <c r="E39" s="41">
        <f t="shared" si="7"/>
        <v>867.1</v>
      </c>
      <c r="F39" s="41">
        <f t="shared" si="7"/>
        <v>926.90000000000009</v>
      </c>
      <c r="G39" s="41">
        <f t="shared" si="7"/>
        <v>897.00000000000011</v>
      </c>
      <c r="H39" s="41">
        <f t="shared" si="7"/>
        <v>926.90000000000009</v>
      </c>
      <c r="I39" s="41">
        <f t="shared" si="7"/>
        <v>897.00000000000011</v>
      </c>
      <c r="J39" s="41">
        <f t="shared" si="7"/>
        <v>926.90000000000009</v>
      </c>
      <c r="K39" s="41">
        <f t="shared" si="7"/>
        <v>926.90000000000009</v>
      </c>
      <c r="L39" s="41">
        <f t="shared" si="7"/>
        <v>897.00000000000011</v>
      </c>
      <c r="M39" s="41">
        <f t="shared" si="7"/>
        <v>926.90000000000009</v>
      </c>
      <c r="N39" s="41">
        <f t="shared" si="7"/>
        <v>897.00000000000011</v>
      </c>
      <c r="O39" s="41">
        <f t="shared" si="7"/>
        <v>926.90000000000009</v>
      </c>
    </row>
    <row r="40" spans="2:16" x14ac:dyDescent="0.25">
      <c r="B40" s="85" t="s">
        <v>11</v>
      </c>
      <c r="C40" s="86"/>
      <c r="D40" s="41">
        <f t="shared" ref="D40:O40" si="8">D33*D37</f>
        <v>427.79999999999995</v>
      </c>
      <c r="E40" s="41">
        <f t="shared" si="8"/>
        <v>400.2</v>
      </c>
      <c r="F40" s="41">
        <f t="shared" si="8"/>
        <v>427.79999999999995</v>
      </c>
      <c r="G40" s="41">
        <f t="shared" si="8"/>
        <v>413.99999999999994</v>
      </c>
      <c r="H40" s="41">
        <f t="shared" si="8"/>
        <v>427.79999999999995</v>
      </c>
      <c r="I40" s="41">
        <f t="shared" si="8"/>
        <v>413.99999999999994</v>
      </c>
      <c r="J40" s="41">
        <f t="shared" si="8"/>
        <v>427.79999999999995</v>
      </c>
      <c r="K40" s="41">
        <f t="shared" si="8"/>
        <v>427.79999999999995</v>
      </c>
      <c r="L40" s="41">
        <f t="shared" si="8"/>
        <v>413.99999999999994</v>
      </c>
      <c r="M40" s="41">
        <f t="shared" si="8"/>
        <v>427.79999999999995</v>
      </c>
      <c r="N40" s="41">
        <f t="shared" si="8"/>
        <v>413.99999999999994</v>
      </c>
      <c r="O40" s="41">
        <f t="shared" si="8"/>
        <v>427.79999999999995</v>
      </c>
    </row>
    <row r="41" spans="2:16" x14ac:dyDescent="0.25">
      <c r="B41" s="81" t="s">
        <v>12</v>
      </c>
      <c r="C41" s="82"/>
      <c r="D41" s="51">
        <f t="shared" ref="D41:O41" si="9">D40+D39+D38</f>
        <v>1711.2</v>
      </c>
      <c r="E41" s="51">
        <f t="shared" si="9"/>
        <v>1600.8</v>
      </c>
      <c r="F41" s="51">
        <f t="shared" si="9"/>
        <v>1711.2</v>
      </c>
      <c r="G41" s="51">
        <f t="shared" si="9"/>
        <v>1656</v>
      </c>
      <c r="H41" s="51">
        <f t="shared" si="9"/>
        <v>1711.2</v>
      </c>
      <c r="I41" s="51">
        <f t="shared" si="9"/>
        <v>1656</v>
      </c>
      <c r="J41" s="51">
        <f t="shared" si="9"/>
        <v>1711.2</v>
      </c>
      <c r="K41" s="51">
        <f t="shared" si="9"/>
        <v>1711.2</v>
      </c>
      <c r="L41" s="51">
        <f t="shared" si="9"/>
        <v>1656</v>
      </c>
      <c r="M41" s="51">
        <f t="shared" si="9"/>
        <v>1711.2</v>
      </c>
      <c r="N41" s="51">
        <f t="shared" si="9"/>
        <v>1656</v>
      </c>
      <c r="O41" s="51">
        <f t="shared" si="9"/>
        <v>1711.2</v>
      </c>
      <c r="P41" s="52">
        <f>SUM(D41:O41)</f>
        <v>20203.2</v>
      </c>
    </row>
    <row r="42" spans="2:16" x14ac:dyDescent="0.25">
      <c r="D42" s="3">
        <v>49675</v>
      </c>
      <c r="E42" s="3">
        <v>49706</v>
      </c>
      <c r="F42" s="3">
        <v>49735</v>
      </c>
      <c r="G42" s="3">
        <v>49766</v>
      </c>
      <c r="H42" s="3">
        <v>49796</v>
      </c>
      <c r="I42" s="3">
        <v>49827</v>
      </c>
      <c r="J42" s="3">
        <v>49857</v>
      </c>
      <c r="K42" s="3">
        <v>49888</v>
      </c>
      <c r="L42" s="3">
        <v>49919</v>
      </c>
      <c r="M42" s="3">
        <v>49949</v>
      </c>
      <c r="N42" s="3">
        <v>49980</v>
      </c>
      <c r="O42" s="3">
        <v>50010</v>
      </c>
    </row>
    <row r="44" spans="2:16" x14ac:dyDescent="0.25">
      <c r="D44" s="38"/>
      <c r="E44" s="38"/>
      <c r="F44" s="38"/>
      <c r="G44" s="38"/>
    </row>
    <row r="45" spans="2:16" x14ac:dyDescent="0.25">
      <c r="D45" s="38"/>
      <c r="E45" s="38"/>
      <c r="F45" s="38"/>
      <c r="G45" s="38"/>
    </row>
  </sheetData>
  <mergeCells count="22">
    <mergeCell ref="B39:C39"/>
    <mergeCell ref="B40:C40"/>
    <mergeCell ref="B41:C41"/>
    <mergeCell ref="B33:C33"/>
    <mergeCell ref="B34:O34"/>
    <mergeCell ref="B35:C35"/>
    <mergeCell ref="B36:C36"/>
    <mergeCell ref="B37:C37"/>
    <mergeCell ref="B38:C38"/>
    <mergeCell ref="B30:B31"/>
    <mergeCell ref="B1:O1"/>
    <mergeCell ref="B2:O2"/>
    <mergeCell ref="B3:O3"/>
    <mergeCell ref="B4:O4"/>
    <mergeCell ref="B7:B8"/>
    <mergeCell ref="C7:C8"/>
    <mergeCell ref="D7:O7"/>
    <mergeCell ref="B9:B12"/>
    <mergeCell ref="B13:B17"/>
    <mergeCell ref="B18:B20"/>
    <mergeCell ref="B21:B26"/>
    <mergeCell ref="B27:B2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A95F-D704-4E53-A990-A3508049B49A}">
  <dimension ref="B1:N44"/>
  <sheetViews>
    <sheetView zoomScale="80" zoomScaleNormal="80" workbookViewId="0">
      <selection activeCell="D7" sqref="D7:M7"/>
    </sheetView>
  </sheetViews>
  <sheetFormatPr baseColWidth="10" defaultColWidth="11.42578125" defaultRowHeight="15" x14ac:dyDescent="0.25"/>
  <cols>
    <col min="1" max="1" width="11.42578125" style="1"/>
    <col min="2" max="2" width="8.7109375" style="1" bestFit="1" customWidth="1"/>
    <col min="3" max="3" width="5.140625" style="1" bestFit="1" customWidth="1"/>
    <col min="4" max="13" width="9.85546875" style="1" bestFit="1" customWidth="1"/>
    <col min="14" max="14" width="12" style="1" bestFit="1" customWidth="1"/>
    <col min="15" max="16384" width="11.42578125" style="1"/>
  </cols>
  <sheetData>
    <row r="1" spans="2:13" x14ac:dyDescent="0.25">
      <c r="C1" s="79" t="s">
        <v>6</v>
      </c>
      <c r="D1" s="79"/>
      <c r="E1" s="79"/>
      <c r="F1" s="79"/>
      <c r="G1" s="79"/>
      <c r="H1" s="79"/>
      <c r="I1" s="79"/>
      <c r="J1" s="79"/>
      <c r="K1" s="79"/>
      <c r="L1" s="79"/>
      <c r="M1" s="79"/>
    </row>
    <row r="2" spans="2:13" x14ac:dyDescent="0.25">
      <c r="C2" s="79" t="s">
        <v>58</v>
      </c>
      <c r="D2" s="79"/>
      <c r="E2" s="79"/>
      <c r="F2" s="79"/>
      <c r="G2" s="79"/>
      <c r="H2" s="79"/>
      <c r="I2" s="79"/>
      <c r="J2" s="79"/>
      <c r="K2" s="79"/>
      <c r="L2" s="79"/>
      <c r="M2" s="79"/>
    </row>
    <row r="3" spans="2:13" x14ac:dyDescent="0.25">
      <c r="C3" s="79" t="s">
        <v>49</v>
      </c>
      <c r="D3" s="79"/>
      <c r="E3" s="79"/>
      <c r="F3" s="79"/>
      <c r="G3" s="79"/>
      <c r="H3" s="79"/>
      <c r="I3" s="79"/>
      <c r="J3" s="79"/>
      <c r="K3" s="79"/>
      <c r="L3" s="79"/>
      <c r="M3" s="79"/>
    </row>
    <row r="4" spans="2:13" x14ac:dyDescent="0.25">
      <c r="C4" s="79" t="s">
        <v>66</v>
      </c>
      <c r="D4" s="79"/>
      <c r="E4" s="79"/>
      <c r="F4" s="79"/>
      <c r="G4" s="79"/>
      <c r="H4" s="79"/>
      <c r="I4" s="79"/>
      <c r="J4" s="79"/>
      <c r="K4" s="79"/>
      <c r="L4" s="79"/>
      <c r="M4" s="79"/>
    </row>
    <row r="5" spans="2:13" x14ac:dyDescent="0.25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</row>
    <row r="6" spans="2:13" x14ac:dyDescent="0.25"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 ht="15" customHeight="1" x14ac:dyDescent="0.25">
      <c r="B7" s="80" t="s">
        <v>59</v>
      </c>
      <c r="C7" s="80" t="s">
        <v>7</v>
      </c>
      <c r="D7" s="80" t="s">
        <v>67</v>
      </c>
      <c r="E7" s="80"/>
      <c r="F7" s="80"/>
      <c r="G7" s="80"/>
      <c r="H7" s="80"/>
      <c r="I7" s="80"/>
      <c r="J7" s="80"/>
      <c r="K7" s="80"/>
      <c r="L7" s="80"/>
      <c r="M7" s="80"/>
    </row>
    <row r="8" spans="2:13" ht="15.75" thickBot="1" x14ac:dyDescent="0.3">
      <c r="B8" s="89"/>
      <c r="C8" s="89"/>
      <c r="D8" s="53">
        <v>2027</v>
      </c>
      <c r="E8" s="53">
        <v>2028</v>
      </c>
      <c r="F8" s="53">
        <v>2029</v>
      </c>
      <c r="G8" s="53">
        <v>2030</v>
      </c>
      <c r="H8" s="53">
        <v>2031</v>
      </c>
      <c r="I8" s="53">
        <v>2032</v>
      </c>
      <c r="J8" s="53">
        <v>2033</v>
      </c>
      <c r="K8" s="53">
        <v>2034</v>
      </c>
      <c r="L8" s="53">
        <v>2035</v>
      </c>
      <c r="M8" s="53">
        <v>2036</v>
      </c>
    </row>
    <row r="9" spans="2:13" ht="14.45" customHeight="1" x14ac:dyDescent="0.25">
      <c r="B9" s="90" t="s">
        <v>60</v>
      </c>
      <c r="C9" s="54">
        <v>1</v>
      </c>
      <c r="D9" s="55">
        <v>2.8</v>
      </c>
      <c r="E9" s="55">
        <v>2.8</v>
      </c>
      <c r="F9" s="55">
        <v>2.8</v>
      </c>
      <c r="G9" s="55">
        <v>2.8</v>
      </c>
      <c r="H9" s="55">
        <v>2.8</v>
      </c>
      <c r="I9" s="55">
        <v>2.8</v>
      </c>
      <c r="J9" s="55">
        <v>2.8</v>
      </c>
      <c r="K9" s="55">
        <v>2.8</v>
      </c>
      <c r="L9" s="55">
        <v>2.8</v>
      </c>
      <c r="M9" s="56">
        <v>2.8</v>
      </c>
    </row>
    <row r="10" spans="2:13" x14ac:dyDescent="0.25">
      <c r="B10" s="91"/>
      <c r="C10" s="57">
        <v>2</v>
      </c>
      <c r="D10" s="50">
        <v>2.8</v>
      </c>
      <c r="E10" s="50">
        <v>2.8</v>
      </c>
      <c r="F10" s="50">
        <v>2.8</v>
      </c>
      <c r="G10" s="50">
        <v>2.8</v>
      </c>
      <c r="H10" s="50">
        <v>2.8</v>
      </c>
      <c r="I10" s="50">
        <v>2.8</v>
      </c>
      <c r="J10" s="50">
        <v>2.8</v>
      </c>
      <c r="K10" s="50">
        <v>2.8</v>
      </c>
      <c r="L10" s="50">
        <v>2.8</v>
      </c>
      <c r="M10" s="58">
        <v>2.8</v>
      </c>
    </row>
    <row r="11" spans="2:13" x14ac:dyDescent="0.25">
      <c r="B11" s="91"/>
      <c r="C11" s="57">
        <v>3</v>
      </c>
      <c r="D11" s="50">
        <v>2.8</v>
      </c>
      <c r="E11" s="50">
        <v>2.8</v>
      </c>
      <c r="F11" s="50">
        <v>2.8</v>
      </c>
      <c r="G11" s="50">
        <v>2.8</v>
      </c>
      <c r="H11" s="50">
        <v>2.8</v>
      </c>
      <c r="I11" s="50">
        <v>2.8</v>
      </c>
      <c r="J11" s="50">
        <v>2.8</v>
      </c>
      <c r="K11" s="50">
        <v>2.8</v>
      </c>
      <c r="L11" s="50">
        <v>2.8</v>
      </c>
      <c r="M11" s="58">
        <v>2.8</v>
      </c>
    </row>
    <row r="12" spans="2:13" x14ac:dyDescent="0.25">
      <c r="B12" s="91"/>
      <c r="C12" s="57">
        <v>4</v>
      </c>
      <c r="D12" s="50">
        <v>2.8</v>
      </c>
      <c r="E12" s="50">
        <v>2.8</v>
      </c>
      <c r="F12" s="50">
        <v>2.8</v>
      </c>
      <c r="G12" s="50">
        <v>2.8</v>
      </c>
      <c r="H12" s="50">
        <v>2.8</v>
      </c>
      <c r="I12" s="50">
        <v>2.8</v>
      </c>
      <c r="J12" s="50">
        <v>2.8</v>
      </c>
      <c r="K12" s="50">
        <v>2.8</v>
      </c>
      <c r="L12" s="50">
        <v>2.8</v>
      </c>
      <c r="M12" s="58">
        <v>2.8</v>
      </c>
    </row>
    <row r="13" spans="2:13" ht="14.45" customHeight="1" x14ac:dyDescent="0.25">
      <c r="B13" s="91"/>
      <c r="C13" s="57">
        <v>5</v>
      </c>
      <c r="D13" s="50">
        <v>2.8</v>
      </c>
      <c r="E13" s="50">
        <v>2.8</v>
      </c>
      <c r="F13" s="50">
        <v>2.8</v>
      </c>
      <c r="G13" s="50">
        <v>2.8</v>
      </c>
      <c r="H13" s="50">
        <v>2.8</v>
      </c>
      <c r="I13" s="50">
        <v>2.8</v>
      </c>
      <c r="J13" s="50">
        <v>2.8</v>
      </c>
      <c r="K13" s="50">
        <v>2.8</v>
      </c>
      <c r="L13" s="50">
        <v>2.8</v>
      </c>
      <c r="M13" s="58">
        <v>2.8</v>
      </c>
    </row>
    <row r="14" spans="2:13" x14ac:dyDescent="0.25">
      <c r="B14" s="91"/>
      <c r="C14" s="57">
        <v>6</v>
      </c>
      <c r="D14" s="50">
        <v>2.8</v>
      </c>
      <c r="E14" s="50">
        <v>2.8</v>
      </c>
      <c r="F14" s="50">
        <v>2.8</v>
      </c>
      <c r="G14" s="50">
        <v>2.8</v>
      </c>
      <c r="H14" s="50">
        <v>2.8</v>
      </c>
      <c r="I14" s="50">
        <v>2.8</v>
      </c>
      <c r="J14" s="50">
        <v>2.8</v>
      </c>
      <c r="K14" s="50">
        <v>2.8</v>
      </c>
      <c r="L14" s="50">
        <v>2.8</v>
      </c>
      <c r="M14" s="58">
        <v>2.8</v>
      </c>
    </row>
    <row r="15" spans="2:13" ht="15.75" thickBot="1" x14ac:dyDescent="0.3">
      <c r="B15" s="92"/>
      <c r="C15" s="59">
        <v>7</v>
      </c>
      <c r="D15" s="60">
        <v>2.8</v>
      </c>
      <c r="E15" s="60">
        <v>2.8</v>
      </c>
      <c r="F15" s="60">
        <v>2.8</v>
      </c>
      <c r="G15" s="60">
        <v>2.8</v>
      </c>
      <c r="H15" s="60">
        <v>2.8</v>
      </c>
      <c r="I15" s="60">
        <v>2.8</v>
      </c>
      <c r="J15" s="60">
        <v>2.8</v>
      </c>
      <c r="K15" s="60">
        <v>2.8</v>
      </c>
      <c r="L15" s="60">
        <v>2.8</v>
      </c>
      <c r="M15" s="61">
        <v>2.8</v>
      </c>
    </row>
    <row r="16" spans="2:13" ht="14.45" customHeight="1" x14ac:dyDescent="0.25">
      <c r="B16" s="93" t="s">
        <v>61</v>
      </c>
      <c r="C16" s="62">
        <v>8</v>
      </c>
      <c r="D16" s="55">
        <v>2.8</v>
      </c>
      <c r="E16" s="55">
        <v>2.8</v>
      </c>
      <c r="F16" s="55">
        <v>2.8</v>
      </c>
      <c r="G16" s="55">
        <v>2.8</v>
      </c>
      <c r="H16" s="55">
        <v>2.8</v>
      </c>
      <c r="I16" s="55">
        <v>2.8</v>
      </c>
      <c r="J16" s="55">
        <v>2.8</v>
      </c>
      <c r="K16" s="55">
        <v>2.8</v>
      </c>
      <c r="L16" s="55">
        <v>2.8</v>
      </c>
      <c r="M16" s="56">
        <v>2.8</v>
      </c>
    </row>
    <row r="17" spans="2:13" x14ac:dyDescent="0.25">
      <c r="B17" s="94"/>
      <c r="C17" s="63">
        <v>9</v>
      </c>
      <c r="D17" s="50">
        <v>2.8</v>
      </c>
      <c r="E17" s="50">
        <v>2.8</v>
      </c>
      <c r="F17" s="50">
        <v>2.8</v>
      </c>
      <c r="G17" s="50">
        <v>2.8</v>
      </c>
      <c r="H17" s="50">
        <v>2.8</v>
      </c>
      <c r="I17" s="50">
        <v>2.8</v>
      </c>
      <c r="J17" s="50">
        <v>2.8</v>
      </c>
      <c r="K17" s="50">
        <v>2.8</v>
      </c>
      <c r="L17" s="50">
        <v>2.8</v>
      </c>
      <c r="M17" s="58">
        <v>2.8</v>
      </c>
    </row>
    <row r="18" spans="2:13" ht="14.45" customHeight="1" x14ac:dyDescent="0.25">
      <c r="B18" s="94"/>
      <c r="C18" s="63">
        <v>10</v>
      </c>
      <c r="D18" s="50">
        <v>2.8</v>
      </c>
      <c r="E18" s="50">
        <v>2.8</v>
      </c>
      <c r="F18" s="50">
        <v>2.8</v>
      </c>
      <c r="G18" s="50">
        <v>2.8</v>
      </c>
      <c r="H18" s="50">
        <v>2.8</v>
      </c>
      <c r="I18" s="50">
        <v>2.8</v>
      </c>
      <c r="J18" s="50">
        <v>2.8</v>
      </c>
      <c r="K18" s="50">
        <v>2.8</v>
      </c>
      <c r="L18" s="50">
        <v>2.8</v>
      </c>
      <c r="M18" s="58">
        <v>2.8</v>
      </c>
    </row>
    <row r="19" spans="2:13" x14ac:dyDescent="0.25">
      <c r="B19" s="94"/>
      <c r="C19" s="63">
        <v>11</v>
      </c>
      <c r="D19" s="50">
        <v>2.8</v>
      </c>
      <c r="E19" s="50">
        <v>2.8</v>
      </c>
      <c r="F19" s="50">
        <v>2.8</v>
      </c>
      <c r="G19" s="50">
        <v>2.8</v>
      </c>
      <c r="H19" s="50">
        <v>2.8</v>
      </c>
      <c r="I19" s="50">
        <v>2.8</v>
      </c>
      <c r="J19" s="50">
        <v>2.8</v>
      </c>
      <c r="K19" s="50">
        <v>2.8</v>
      </c>
      <c r="L19" s="50">
        <v>2.8</v>
      </c>
      <c r="M19" s="58">
        <v>2.8</v>
      </c>
    </row>
    <row r="20" spans="2:13" x14ac:dyDescent="0.25">
      <c r="B20" s="94"/>
      <c r="C20" s="63">
        <v>12</v>
      </c>
      <c r="D20" s="50">
        <v>2.8</v>
      </c>
      <c r="E20" s="50">
        <v>2.8</v>
      </c>
      <c r="F20" s="50">
        <v>2.8</v>
      </c>
      <c r="G20" s="50">
        <v>2.8</v>
      </c>
      <c r="H20" s="50">
        <v>2.8</v>
      </c>
      <c r="I20" s="50">
        <v>2.8</v>
      </c>
      <c r="J20" s="50">
        <v>2.8</v>
      </c>
      <c r="K20" s="50">
        <v>2.8</v>
      </c>
      <c r="L20" s="50">
        <v>2.8</v>
      </c>
      <c r="M20" s="58">
        <v>2.8</v>
      </c>
    </row>
    <row r="21" spans="2:13" ht="14.45" customHeight="1" x14ac:dyDescent="0.25">
      <c r="B21" s="94"/>
      <c r="C21" s="63">
        <v>13</v>
      </c>
      <c r="D21" s="50">
        <v>2.8</v>
      </c>
      <c r="E21" s="50">
        <v>2.8</v>
      </c>
      <c r="F21" s="50">
        <v>2.8</v>
      </c>
      <c r="G21" s="50">
        <v>2.8</v>
      </c>
      <c r="H21" s="50">
        <v>2.8</v>
      </c>
      <c r="I21" s="50">
        <v>2.8</v>
      </c>
      <c r="J21" s="50">
        <v>2.8</v>
      </c>
      <c r="K21" s="50">
        <v>2.8</v>
      </c>
      <c r="L21" s="50">
        <v>2.8</v>
      </c>
      <c r="M21" s="58">
        <v>2.8</v>
      </c>
    </row>
    <row r="22" spans="2:13" x14ac:dyDescent="0.25">
      <c r="B22" s="94"/>
      <c r="C22" s="63">
        <v>14</v>
      </c>
      <c r="D22" s="50">
        <v>2.8</v>
      </c>
      <c r="E22" s="50">
        <v>2.8</v>
      </c>
      <c r="F22" s="50">
        <v>2.8</v>
      </c>
      <c r="G22" s="50">
        <v>2.8</v>
      </c>
      <c r="H22" s="50">
        <v>2.8</v>
      </c>
      <c r="I22" s="50">
        <v>2.8</v>
      </c>
      <c r="J22" s="50">
        <v>2.8</v>
      </c>
      <c r="K22" s="50">
        <v>2.8</v>
      </c>
      <c r="L22" s="50">
        <v>2.8</v>
      </c>
      <c r="M22" s="58">
        <v>2.8</v>
      </c>
    </row>
    <row r="23" spans="2:13" x14ac:dyDescent="0.25">
      <c r="B23" s="94"/>
      <c r="C23" s="63">
        <v>15</v>
      </c>
      <c r="D23" s="50">
        <v>2.8</v>
      </c>
      <c r="E23" s="50">
        <v>2.8</v>
      </c>
      <c r="F23" s="50">
        <v>2.8</v>
      </c>
      <c r="G23" s="50">
        <v>2.8</v>
      </c>
      <c r="H23" s="50">
        <v>2.8</v>
      </c>
      <c r="I23" s="50">
        <v>2.8</v>
      </c>
      <c r="J23" s="50">
        <v>2.8</v>
      </c>
      <c r="K23" s="50">
        <v>2.8</v>
      </c>
      <c r="L23" s="50">
        <v>2.8</v>
      </c>
      <c r="M23" s="58">
        <v>2.8</v>
      </c>
    </row>
    <row r="24" spans="2:13" x14ac:dyDescent="0.25">
      <c r="B24" s="94"/>
      <c r="C24" s="63">
        <v>16</v>
      </c>
      <c r="D24" s="50">
        <v>2.8</v>
      </c>
      <c r="E24" s="50">
        <v>2.8</v>
      </c>
      <c r="F24" s="50">
        <v>2.8</v>
      </c>
      <c r="G24" s="50">
        <v>2.8</v>
      </c>
      <c r="H24" s="50">
        <v>2.8</v>
      </c>
      <c r="I24" s="50">
        <v>2.8</v>
      </c>
      <c r="J24" s="50">
        <v>2.8</v>
      </c>
      <c r="K24" s="50">
        <v>2.8</v>
      </c>
      <c r="L24" s="50">
        <v>2.8</v>
      </c>
      <c r="M24" s="58">
        <v>2.8</v>
      </c>
    </row>
    <row r="25" spans="2:13" ht="15.75" thickBot="1" x14ac:dyDescent="0.3">
      <c r="B25" s="95"/>
      <c r="C25" s="64">
        <v>17</v>
      </c>
      <c r="D25" s="60">
        <v>2.8</v>
      </c>
      <c r="E25" s="60">
        <v>2.8</v>
      </c>
      <c r="F25" s="60">
        <v>2.8</v>
      </c>
      <c r="G25" s="60">
        <v>2.8</v>
      </c>
      <c r="H25" s="60">
        <v>2.8</v>
      </c>
      <c r="I25" s="60">
        <v>2.8</v>
      </c>
      <c r="J25" s="60">
        <v>2.8</v>
      </c>
      <c r="K25" s="60">
        <v>2.8</v>
      </c>
      <c r="L25" s="60">
        <v>2.8</v>
      </c>
      <c r="M25" s="61">
        <v>2.8</v>
      </c>
    </row>
    <row r="26" spans="2:13" ht="14.45" customHeight="1" x14ac:dyDescent="0.25">
      <c r="B26" s="93" t="s">
        <v>62</v>
      </c>
      <c r="C26" s="62">
        <v>18</v>
      </c>
      <c r="D26" s="55">
        <v>2.8</v>
      </c>
      <c r="E26" s="55">
        <v>2.8</v>
      </c>
      <c r="F26" s="55">
        <v>2.8</v>
      </c>
      <c r="G26" s="55">
        <v>2.8</v>
      </c>
      <c r="H26" s="55">
        <v>2.8</v>
      </c>
      <c r="I26" s="55">
        <v>2.8</v>
      </c>
      <c r="J26" s="55">
        <v>2.8</v>
      </c>
      <c r="K26" s="55">
        <v>2.8</v>
      </c>
      <c r="L26" s="55">
        <v>2.8</v>
      </c>
      <c r="M26" s="56">
        <v>2.8</v>
      </c>
    </row>
    <row r="27" spans="2:13" ht="14.45" customHeight="1" x14ac:dyDescent="0.25">
      <c r="B27" s="94"/>
      <c r="C27" s="63">
        <v>19</v>
      </c>
      <c r="D27" s="50">
        <v>2.8</v>
      </c>
      <c r="E27" s="50">
        <v>2.8</v>
      </c>
      <c r="F27" s="50">
        <v>2.8</v>
      </c>
      <c r="G27" s="50">
        <v>2.8</v>
      </c>
      <c r="H27" s="50">
        <v>2.8</v>
      </c>
      <c r="I27" s="50">
        <v>2.8</v>
      </c>
      <c r="J27" s="50">
        <v>2.8</v>
      </c>
      <c r="K27" s="50">
        <v>2.8</v>
      </c>
      <c r="L27" s="50">
        <v>2.8</v>
      </c>
      <c r="M27" s="58">
        <v>2.8</v>
      </c>
    </row>
    <row r="28" spans="2:13" x14ac:dyDescent="0.25">
      <c r="B28" s="94"/>
      <c r="C28" s="63">
        <v>20</v>
      </c>
      <c r="D28" s="50">
        <v>2.8</v>
      </c>
      <c r="E28" s="50">
        <v>2.8</v>
      </c>
      <c r="F28" s="50">
        <v>2.8</v>
      </c>
      <c r="G28" s="50">
        <v>2.8</v>
      </c>
      <c r="H28" s="50">
        <v>2.8</v>
      </c>
      <c r="I28" s="50">
        <v>2.8</v>
      </c>
      <c r="J28" s="50">
        <v>2.8</v>
      </c>
      <c r="K28" s="50">
        <v>2.8</v>
      </c>
      <c r="L28" s="50">
        <v>2.8</v>
      </c>
      <c r="M28" s="58">
        <v>2.8</v>
      </c>
    </row>
    <row r="29" spans="2:13" x14ac:dyDescent="0.25">
      <c r="B29" s="94"/>
      <c r="C29" s="63">
        <v>21</v>
      </c>
      <c r="D29" s="50">
        <v>2.8</v>
      </c>
      <c r="E29" s="50">
        <v>2.8</v>
      </c>
      <c r="F29" s="50">
        <v>2.8</v>
      </c>
      <c r="G29" s="50">
        <v>2.8</v>
      </c>
      <c r="H29" s="50">
        <v>2.8</v>
      </c>
      <c r="I29" s="50">
        <v>2.8</v>
      </c>
      <c r="J29" s="50">
        <v>2.8</v>
      </c>
      <c r="K29" s="50">
        <v>2.8</v>
      </c>
      <c r="L29" s="50">
        <v>2.8</v>
      </c>
      <c r="M29" s="58">
        <v>2.8</v>
      </c>
    </row>
    <row r="30" spans="2:13" ht="14.45" customHeight="1" x14ac:dyDescent="0.25">
      <c r="B30" s="94"/>
      <c r="C30" s="63">
        <v>22</v>
      </c>
      <c r="D30" s="50">
        <v>2.8</v>
      </c>
      <c r="E30" s="50">
        <v>2.8</v>
      </c>
      <c r="F30" s="50">
        <v>2.8</v>
      </c>
      <c r="G30" s="50">
        <v>2.8</v>
      </c>
      <c r="H30" s="50">
        <v>2.8</v>
      </c>
      <c r="I30" s="50">
        <v>2.8</v>
      </c>
      <c r="J30" s="50">
        <v>2.8</v>
      </c>
      <c r="K30" s="50">
        <v>2.8</v>
      </c>
      <c r="L30" s="50">
        <v>2.8</v>
      </c>
      <c r="M30" s="58">
        <v>2.8</v>
      </c>
    </row>
    <row r="31" spans="2:13" x14ac:dyDescent="0.25">
      <c r="B31" s="94"/>
      <c r="C31" s="63">
        <v>23</v>
      </c>
      <c r="D31" s="50">
        <v>2.8</v>
      </c>
      <c r="E31" s="50">
        <v>2.8</v>
      </c>
      <c r="F31" s="50">
        <v>2.8</v>
      </c>
      <c r="G31" s="50">
        <v>2.8</v>
      </c>
      <c r="H31" s="50">
        <v>2.8</v>
      </c>
      <c r="I31" s="50">
        <v>2.8</v>
      </c>
      <c r="J31" s="50">
        <v>2.8</v>
      </c>
      <c r="K31" s="50">
        <v>2.8</v>
      </c>
      <c r="L31" s="50">
        <v>2.8</v>
      </c>
      <c r="M31" s="58">
        <v>2.8</v>
      </c>
    </row>
    <row r="32" spans="2:13" ht="15.75" thickBot="1" x14ac:dyDescent="0.3">
      <c r="B32" s="95"/>
      <c r="C32" s="64">
        <v>24</v>
      </c>
      <c r="D32" s="60">
        <v>2.8</v>
      </c>
      <c r="E32" s="60">
        <v>2.8</v>
      </c>
      <c r="F32" s="60">
        <v>2.8</v>
      </c>
      <c r="G32" s="60">
        <v>2.8</v>
      </c>
      <c r="H32" s="60">
        <v>2.8</v>
      </c>
      <c r="I32" s="60">
        <v>2.8</v>
      </c>
      <c r="J32" s="60">
        <v>2.8</v>
      </c>
      <c r="K32" s="60">
        <v>2.8</v>
      </c>
      <c r="L32" s="60">
        <v>2.8</v>
      </c>
      <c r="M32" s="61">
        <v>2.8</v>
      </c>
    </row>
    <row r="33" spans="2:14" x14ac:dyDescent="0.25">
      <c r="B33" s="96" t="s">
        <v>8</v>
      </c>
      <c r="C33" s="96"/>
      <c r="D33" s="65">
        <v>365</v>
      </c>
      <c r="E33" s="65">
        <v>366</v>
      </c>
      <c r="F33" s="65">
        <v>365</v>
      </c>
      <c r="G33" s="65">
        <v>365</v>
      </c>
      <c r="H33" s="65">
        <v>365</v>
      </c>
      <c r="I33" s="65">
        <v>366</v>
      </c>
      <c r="J33" s="65">
        <v>365</v>
      </c>
      <c r="K33" s="65">
        <v>365</v>
      </c>
      <c r="L33" s="65">
        <v>365</v>
      </c>
      <c r="M33" s="65">
        <v>366</v>
      </c>
    </row>
    <row r="34" spans="2:14" x14ac:dyDescent="0.25">
      <c r="B34" s="88" t="s">
        <v>68</v>
      </c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</row>
    <row r="35" spans="2:14" x14ac:dyDescent="0.25">
      <c r="B35" s="88" t="s">
        <v>60</v>
      </c>
      <c r="C35" s="88"/>
      <c r="D35" s="51">
        <f t="shared" ref="D35:H35" si="0">SUM(D9:D15)</f>
        <v>19.600000000000001</v>
      </c>
      <c r="E35" s="51">
        <f t="shared" si="0"/>
        <v>19.600000000000001</v>
      </c>
      <c r="F35" s="51">
        <f t="shared" si="0"/>
        <v>19.600000000000001</v>
      </c>
      <c r="G35" s="51">
        <f t="shared" si="0"/>
        <v>19.600000000000001</v>
      </c>
      <c r="H35" s="51">
        <f t="shared" si="0"/>
        <v>19.600000000000001</v>
      </c>
      <c r="I35" s="51">
        <f t="shared" ref="I35:M35" si="1">SUM(I9:I15)</f>
        <v>19.600000000000001</v>
      </c>
      <c r="J35" s="51">
        <f t="shared" si="1"/>
        <v>19.600000000000001</v>
      </c>
      <c r="K35" s="51">
        <f t="shared" si="1"/>
        <v>19.600000000000001</v>
      </c>
      <c r="L35" s="51">
        <f t="shared" si="1"/>
        <v>19.600000000000001</v>
      </c>
      <c r="M35" s="51">
        <f t="shared" si="1"/>
        <v>19.600000000000001</v>
      </c>
    </row>
    <row r="36" spans="2:14" x14ac:dyDescent="0.25">
      <c r="B36" s="88" t="s">
        <v>61</v>
      </c>
      <c r="C36" s="88"/>
      <c r="D36" s="51">
        <f t="shared" ref="D36:M36" si="2">SUM(D16:D25)</f>
        <v>28.000000000000004</v>
      </c>
      <c r="E36" s="51">
        <f t="shared" si="2"/>
        <v>28.000000000000004</v>
      </c>
      <c r="F36" s="51">
        <f t="shared" si="2"/>
        <v>28.000000000000004</v>
      </c>
      <c r="G36" s="51">
        <f t="shared" si="2"/>
        <v>28.000000000000004</v>
      </c>
      <c r="H36" s="51">
        <f t="shared" si="2"/>
        <v>28.000000000000004</v>
      </c>
      <c r="I36" s="51">
        <f t="shared" si="2"/>
        <v>28.000000000000004</v>
      </c>
      <c r="J36" s="51">
        <f t="shared" si="2"/>
        <v>28.000000000000004</v>
      </c>
      <c r="K36" s="51">
        <f t="shared" si="2"/>
        <v>28.000000000000004</v>
      </c>
      <c r="L36" s="51">
        <f t="shared" si="2"/>
        <v>28.000000000000004</v>
      </c>
      <c r="M36" s="51">
        <f t="shared" si="2"/>
        <v>28.000000000000004</v>
      </c>
    </row>
    <row r="37" spans="2:14" x14ac:dyDescent="0.25">
      <c r="B37" s="88" t="s">
        <v>62</v>
      </c>
      <c r="C37" s="88"/>
      <c r="D37" s="51">
        <f t="shared" ref="D37:M37" si="3">SUM(D26:D32)</f>
        <v>19.600000000000001</v>
      </c>
      <c r="E37" s="51">
        <f t="shared" si="3"/>
        <v>19.600000000000001</v>
      </c>
      <c r="F37" s="51">
        <f t="shared" si="3"/>
        <v>19.600000000000001</v>
      </c>
      <c r="G37" s="51">
        <f t="shared" si="3"/>
        <v>19.600000000000001</v>
      </c>
      <c r="H37" s="51">
        <f t="shared" si="3"/>
        <v>19.600000000000001</v>
      </c>
      <c r="I37" s="51">
        <f t="shared" si="3"/>
        <v>19.600000000000001</v>
      </c>
      <c r="J37" s="51">
        <f t="shared" si="3"/>
        <v>19.600000000000001</v>
      </c>
      <c r="K37" s="51">
        <f t="shared" si="3"/>
        <v>19.600000000000001</v>
      </c>
      <c r="L37" s="51">
        <f t="shared" si="3"/>
        <v>19.600000000000001</v>
      </c>
      <c r="M37" s="51">
        <f t="shared" si="3"/>
        <v>19.600000000000001</v>
      </c>
    </row>
    <row r="38" spans="2:14" x14ac:dyDescent="0.25">
      <c r="B38" s="81" t="s">
        <v>63</v>
      </c>
      <c r="C38" s="82"/>
      <c r="D38" s="66">
        <f t="shared" ref="D38:M38" si="4">D35*D33</f>
        <v>7154.0000000000009</v>
      </c>
      <c r="E38" s="66">
        <f t="shared" si="4"/>
        <v>7173.6</v>
      </c>
      <c r="F38" s="66">
        <f t="shared" si="4"/>
        <v>7154.0000000000009</v>
      </c>
      <c r="G38" s="66">
        <f t="shared" si="4"/>
        <v>7154.0000000000009</v>
      </c>
      <c r="H38" s="66">
        <f t="shared" si="4"/>
        <v>7154.0000000000009</v>
      </c>
      <c r="I38" s="66">
        <f t="shared" si="4"/>
        <v>7173.6</v>
      </c>
      <c r="J38" s="66">
        <f t="shared" si="4"/>
        <v>7154.0000000000009</v>
      </c>
      <c r="K38" s="66">
        <f t="shared" si="4"/>
        <v>7154.0000000000009</v>
      </c>
      <c r="L38" s="66">
        <f t="shared" si="4"/>
        <v>7154.0000000000009</v>
      </c>
      <c r="M38" s="66">
        <f t="shared" si="4"/>
        <v>7173.6</v>
      </c>
    </row>
    <row r="39" spans="2:14" x14ac:dyDescent="0.25">
      <c r="B39" s="81" t="s">
        <v>64</v>
      </c>
      <c r="C39" s="82"/>
      <c r="D39" s="66">
        <f t="shared" ref="D39:M39" si="5">D33*D36</f>
        <v>10220.000000000002</v>
      </c>
      <c r="E39" s="66">
        <f t="shared" si="5"/>
        <v>10248.000000000002</v>
      </c>
      <c r="F39" s="66">
        <f t="shared" si="5"/>
        <v>10220.000000000002</v>
      </c>
      <c r="G39" s="66">
        <f t="shared" si="5"/>
        <v>10220.000000000002</v>
      </c>
      <c r="H39" s="66">
        <f t="shared" si="5"/>
        <v>10220.000000000002</v>
      </c>
      <c r="I39" s="66">
        <f t="shared" si="5"/>
        <v>10248.000000000002</v>
      </c>
      <c r="J39" s="66">
        <f t="shared" si="5"/>
        <v>10220.000000000002</v>
      </c>
      <c r="K39" s="66">
        <f t="shared" si="5"/>
        <v>10220.000000000002</v>
      </c>
      <c r="L39" s="66">
        <f t="shared" si="5"/>
        <v>10220.000000000002</v>
      </c>
      <c r="M39" s="66">
        <f t="shared" si="5"/>
        <v>10248.000000000002</v>
      </c>
    </row>
    <row r="40" spans="2:14" x14ac:dyDescent="0.25">
      <c r="B40" s="81" t="s">
        <v>65</v>
      </c>
      <c r="C40" s="82"/>
      <c r="D40" s="66">
        <f t="shared" ref="D40:M40" si="6">D33*D37</f>
        <v>7154.0000000000009</v>
      </c>
      <c r="E40" s="66">
        <f t="shared" si="6"/>
        <v>7173.6</v>
      </c>
      <c r="F40" s="66">
        <f t="shared" si="6"/>
        <v>7154.0000000000009</v>
      </c>
      <c r="G40" s="66">
        <f t="shared" si="6"/>
        <v>7154.0000000000009</v>
      </c>
      <c r="H40" s="66">
        <f t="shared" si="6"/>
        <v>7154.0000000000009</v>
      </c>
      <c r="I40" s="66">
        <f t="shared" si="6"/>
        <v>7173.6</v>
      </c>
      <c r="J40" s="66">
        <f t="shared" si="6"/>
        <v>7154.0000000000009</v>
      </c>
      <c r="K40" s="66">
        <f t="shared" si="6"/>
        <v>7154.0000000000009</v>
      </c>
      <c r="L40" s="66">
        <f t="shared" si="6"/>
        <v>7154.0000000000009</v>
      </c>
      <c r="M40" s="66">
        <f t="shared" si="6"/>
        <v>7173.6</v>
      </c>
    </row>
    <row r="41" spans="2:14" x14ac:dyDescent="0.25">
      <c r="B41" s="81" t="s">
        <v>12</v>
      </c>
      <c r="C41" s="82"/>
      <c r="D41" s="66">
        <f t="shared" ref="D41:M41" si="7">D40+D39+D38</f>
        <v>24528.000000000004</v>
      </c>
      <c r="E41" s="66">
        <f t="shared" si="7"/>
        <v>24595.200000000004</v>
      </c>
      <c r="F41" s="66">
        <f t="shared" si="7"/>
        <v>24528.000000000004</v>
      </c>
      <c r="G41" s="66">
        <f t="shared" si="7"/>
        <v>24528.000000000004</v>
      </c>
      <c r="H41" s="66">
        <f t="shared" si="7"/>
        <v>24528.000000000004</v>
      </c>
      <c r="I41" s="66">
        <f t="shared" si="7"/>
        <v>24595.200000000004</v>
      </c>
      <c r="J41" s="66">
        <f t="shared" si="7"/>
        <v>24528.000000000004</v>
      </c>
      <c r="K41" s="66">
        <f t="shared" si="7"/>
        <v>24528.000000000004</v>
      </c>
      <c r="L41" s="66">
        <f t="shared" si="7"/>
        <v>24528.000000000004</v>
      </c>
      <c r="M41" s="66">
        <f t="shared" si="7"/>
        <v>24595.200000000004</v>
      </c>
      <c r="N41" s="52">
        <f>SUM(D41:M41)</f>
        <v>245481.60000000003</v>
      </c>
    </row>
    <row r="42" spans="2:14" x14ac:dyDescent="0.25">
      <c r="D42" s="67">
        <v>2027</v>
      </c>
      <c r="E42" s="67">
        <v>2028</v>
      </c>
      <c r="F42" s="67">
        <v>2029</v>
      </c>
      <c r="G42" s="67">
        <v>2030</v>
      </c>
      <c r="H42" s="67">
        <v>2031</v>
      </c>
      <c r="I42" s="67">
        <v>2032</v>
      </c>
      <c r="J42" s="67">
        <v>2033</v>
      </c>
      <c r="K42" s="67">
        <v>2034</v>
      </c>
      <c r="L42" s="67">
        <v>2035</v>
      </c>
      <c r="M42" s="67">
        <v>2036</v>
      </c>
    </row>
    <row r="43" spans="2:14" x14ac:dyDescent="0.25">
      <c r="D43" s="38"/>
      <c r="E43" s="38"/>
      <c r="F43" s="38"/>
      <c r="G43" s="38"/>
      <c r="H43" s="38"/>
      <c r="I43" s="38"/>
      <c r="J43" s="38"/>
      <c r="K43" s="38"/>
      <c r="L43" s="38"/>
      <c r="M43" s="38"/>
    </row>
    <row r="44" spans="2:14" x14ac:dyDescent="0.25">
      <c r="D44" s="38"/>
      <c r="E44" s="38"/>
      <c r="F44" s="38"/>
      <c r="G44" s="38"/>
      <c r="H44" s="38"/>
      <c r="I44" s="38"/>
      <c r="J44" s="38"/>
      <c r="K44" s="38"/>
      <c r="L44" s="38"/>
      <c r="M44" s="38"/>
    </row>
  </sheetData>
  <mergeCells count="19">
    <mergeCell ref="B41:C41"/>
    <mergeCell ref="B9:B15"/>
    <mergeCell ref="B16:B25"/>
    <mergeCell ref="B26:B32"/>
    <mergeCell ref="B33:C33"/>
    <mergeCell ref="B35:C35"/>
    <mergeCell ref="B34:M34"/>
    <mergeCell ref="B36:C36"/>
    <mergeCell ref="B37:C37"/>
    <mergeCell ref="B38:C38"/>
    <mergeCell ref="B39:C39"/>
    <mergeCell ref="B40:C40"/>
    <mergeCell ref="C1:M1"/>
    <mergeCell ref="C2:M2"/>
    <mergeCell ref="C3:M3"/>
    <mergeCell ref="C4:M4"/>
    <mergeCell ref="B7:B8"/>
    <mergeCell ref="C7:C8"/>
    <mergeCell ref="D7:M7"/>
  </mergeCells>
  <pageMargins left="0.7" right="0.7" top="0.75" bottom="0.75" header="0.3" footer="0.3"/>
  <pageSetup paperSize="9" orientation="portrait" r:id="rId1"/>
  <ignoredErrors>
    <ignoredError sqref="D35:M37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9"/>
  <sheetViews>
    <sheetView zoomScale="70" zoomScaleNormal="70" workbookViewId="0">
      <selection activeCell="E16" sqref="E16:E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152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148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159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160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33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34</v>
      </c>
      <c r="B16" s="68">
        <f>+A2P1!D41</f>
        <v>12573.6</v>
      </c>
      <c r="C16" s="46">
        <v>1</v>
      </c>
      <c r="D16" s="39"/>
      <c r="E16" s="97"/>
      <c r="F16" s="8"/>
    </row>
    <row r="17" spans="1:7" ht="18" x14ac:dyDescent="0.25">
      <c r="A17" s="44" t="s">
        <v>35</v>
      </c>
      <c r="B17" s="68">
        <f>+A2P1!E41</f>
        <v>11356.8</v>
      </c>
      <c r="C17" s="46">
        <v>1</v>
      </c>
      <c r="D17" s="39"/>
      <c r="E17" s="97"/>
      <c r="F17" s="8"/>
    </row>
    <row r="18" spans="1:7" ht="18" x14ac:dyDescent="0.25">
      <c r="A18" s="44" t="s">
        <v>36</v>
      </c>
      <c r="B18" s="68">
        <f>+A2P1!F41</f>
        <v>12573.6</v>
      </c>
      <c r="C18" s="46">
        <v>1</v>
      </c>
      <c r="D18" s="39"/>
      <c r="E18" s="97"/>
      <c r="F18" s="8"/>
    </row>
    <row r="19" spans="1:7" ht="18" x14ac:dyDescent="0.25">
      <c r="A19" s="44" t="s">
        <v>37</v>
      </c>
      <c r="B19" s="68">
        <f>+A2P1!G41</f>
        <v>12168</v>
      </c>
      <c r="C19" s="49">
        <v>1</v>
      </c>
      <c r="D19" s="39"/>
      <c r="E19" s="97"/>
      <c r="F19" s="8"/>
    </row>
    <row r="20" spans="1:7" ht="18" x14ac:dyDescent="0.25">
      <c r="A20" s="44" t="s">
        <v>38</v>
      </c>
      <c r="B20" s="68">
        <f>+A2P1!H41</f>
        <v>12573.6</v>
      </c>
      <c r="C20" s="46">
        <v>1</v>
      </c>
      <c r="D20" s="39"/>
      <c r="E20" s="97"/>
      <c r="F20" s="8"/>
    </row>
    <row r="21" spans="1:7" ht="18" x14ac:dyDescent="0.25">
      <c r="A21" s="44" t="s">
        <v>39</v>
      </c>
      <c r="B21" s="68">
        <f>+A2P1!I41</f>
        <v>12168</v>
      </c>
      <c r="C21" s="46">
        <v>1</v>
      </c>
      <c r="D21" s="39"/>
      <c r="E21" s="97"/>
      <c r="F21" s="8"/>
    </row>
    <row r="22" spans="1:7" ht="18" x14ac:dyDescent="0.25">
      <c r="A22" s="44" t="s">
        <v>40</v>
      </c>
      <c r="B22" s="68">
        <f>+A2P1!J41</f>
        <v>12573.6</v>
      </c>
      <c r="C22" s="46">
        <v>1</v>
      </c>
      <c r="D22" s="39"/>
      <c r="E22" s="97"/>
      <c r="F22" s="8"/>
    </row>
    <row r="23" spans="1:7" ht="18" x14ac:dyDescent="0.25">
      <c r="A23" s="44" t="s">
        <v>41</v>
      </c>
      <c r="B23" s="68">
        <f>+A2P1!K41</f>
        <v>12573.6</v>
      </c>
      <c r="C23" s="49">
        <v>1</v>
      </c>
      <c r="D23" s="39"/>
      <c r="E23" s="97"/>
      <c r="F23" s="8"/>
    </row>
    <row r="24" spans="1:7" ht="18" x14ac:dyDescent="0.25">
      <c r="A24" s="44" t="s">
        <v>42</v>
      </c>
      <c r="B24" s="68">
        <f>+A2P1!L41</f>
        <v>12168</v>
      </c>
      <c r="C24" s="46">
        <v>1</v>
      </c>
      <c r="D24" s="39"/>
      <c r="E24" s="97"/>
      <c r="F24" s="8"/>
    </row>
    <row r="25" spans="1:7" ht="18" x14ac:dyDescent="0.25">
      <c r="A25" s="44" t="s">
        <v>43</v>
      </c>
      <c r="B25" s="68">
        <f>+A2P1!M41</f>
        <v>12573.6</v>
      </c>
      <c r="C25" s="46">
        <v>1</v>
      </c>
      <c r="D25" s="39"/>
      <c r="E25" s="97"/>
      <c r="F25" s="8"/>
    </row>
    <row r="26" spans="1:7" ht="18" x14ac:dyDescent="0.25">
      <c r="A26" s="44" t="s">
        <v>44</v>
      </c>
      <c r="B26" s="68">
        <f>+A2P1!N41</f>
        <v>12168</v>
      </c>
      <c r="C26" s="46">
        <v>1</v>
      </c>
      <c r="D26" s="39"/>
      <c r="E26" s="97"/>
      <c r="F26" s="8"/>
    </row>
    <row r="27" spans="1:7" ht="18.75" thickBot="1" x14ac:dyDescent="0.3">
      <c r="A27" s="44" t="s">
        <v>45</v>
      </c>
      <c r="B27" s="68">
        <f>+A2P1!O41</f>
        <v>12573.6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148044.00000000003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54B29-8915-4135-978A-968094A6C446}">
  <dimension ref="A1:G139"/>
  <sheetViews>
    <sheetView zoomScale="70" zoomScaleNormal="70" workbookViewId="0">
      <selection activeCell="E16" sqref="E16:E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153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149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159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160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70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71</v>
      </c>
      <c r="B16" s="68">
        <f>+A3P2!D41</f>
        <v>10862.4</v>
      </c>
      <c r="C16" s="46">
        <v>1</v>
      </c>
      <c r="D16" s="39"/>
      <c r="E16" s="97"/>
      <c r="F16" s="8"/>
    </row>
    <row r="17" spans="1:7" ht="18" x14ac:dyDescent="0.25">
      <c r="A17" s="44" t="s">
        <v>72</v>
      </c>
      <c r="B17" s="68">
        <f>+A3P2!E41</f>
        <v>10161.599999999999</v>
      </c>
      <c r="C17" s="46">
        <v>1</v>
      </c>
      <c r="D17" s="39"/>
      <c r="E17" s="97"/>
      <c r="F17" s="8"/>
    </row>
    <row r="18" spans="1:7" ht="18" x14ac:dyDescent="0.25">
      <c r="A18" s="44" t="s">
        <v>75</v>
      </c>
      <c r="B18" s="68">
        <f>+A3P2!F41</f>
        <v>10862.4</v>
      </c>
      <c r="C18" s="46">
        <v>1</v>
      </c>
      <c r="D18" s="39"/>
      <c r="E18" s="97"/>
      <c r="F18" s="8"/>
    </row>
    <row r="19" spans="1:7" ht="18" x14ac:dyDescent="0.25">
      <c r="A19" s="44" t="s">
        <v>76</v>
      </c>
      <c r="B19" s="68">
        <f>+A3P2!G41</f>
        <v>10512</v>
      </c>
      <c r="C19" s="49">
        <v>1</v>
      </c>
      <c r="D19" s="39"/>
      <c r="E19" s="97"/>
      <c r="F19" s="8"/>
    </row>
    <row r="20" spans="1:7" ht="18" x14ac:dyDescent="0.25">
      <c r="A20" s="44" t="s">
        <v>77</v>
      </c>
      <c r="B20" s="68">
        <f>+A3P2!H41</f>
        <v>10862.4</v>
      </c>
      <c r="C20" s="46">
        <v>1</v>
      </c>
      <c r="D20" s="39"/>
      <c r="E20" s="97"/>
      <c r="F20" s="8"/>
    </row>
    <row r="21" spans="1:7" ht="18" x14ac:dyDescent="0.25">
      <c r="A21" s="44" t="s">
        <v>78</v>
      </c>
      <c r="B21" s="68">
        <f>+A3P2!I41</f>
        <v>10512</v>
      </c>
      <c r="C21" s="46">
        <v>1</v>
      </c>
      <c r="D21" s="39"/>
      <c r="E21" s="97"/>
      <c r="F21" s="8"/>
    </row>
    <row r="22" spans="1:7" ht="18" x14ac:dyDescent="0.25">
      <c r="A22" s="44" t="s">
        <v>79</v>
      </c>
      <c r="B22" s="68">
        <f>+A3P2!J41</f>
        <v>10862.4</v>
      </c>
      <c r="C22" s="46">
        <v>1</v>
      </c>
      <c r="D22" s="39"/>
      <c r="E22" s="97"/>
      <c r="F22" s="8"/>
    </row>
    <row r="23" spans="1:7" ht="18" x14ac:dyDescent="0.25">
      <c r="A23" s="44" t="s">
        <v>80</v>
      </c>
      <c r="B23" s="68">
        <f>+A3P2!K41</f>
        <v>10862.4</v>
      </c>
      <c r="C23" s="49">
        <v>1</v>
      </c>
      <c r="D23" s="39"/>
      <c r="E23" s="97"/>
      <c r="F23" s="8"/>
    </row>
    <row r="24" spans="1:7" ht="18" x14ac:dyDescent="0.25">
      <c r="A24" s="44" t="s">
        <v>81</v>
      </c>
      <c r="B24" s="68">
        <f>+A3P2!L41</f>
        <v>10512</v>
      </c>
      <c r="C24" s="46">
        <v>1</v>
      </c>
      <c r="D24" s="39"/>
      <c r="E24" s="97"/>
      <c r="F24" s="8"/>
    </row>
    <row r="25" spans="1:7" ht="18" x14ac:dyDescent="0.25">
      <c r="A25" s="44" t="s">
        <v>82</v>
      </c>
      <c r="B25" s="68">
        <f>+A3P2!M41</f>
        <v>10862.4</v>
      </c>
      <c r="C25" s="46">
        <v>1</v>
      </c>
      <c r="D25" s="39"/>
      <c r="E25" s="97"/>
      <c r="F25" s="8"/>
    </row>
    <row r="26" spans="1:7" ht="18" x14ac:dyDescent="0.25">
      <c r="A26" s="44" t="s">
        <v>83</v>
      </c>
      <c r="B26" s="68">
        <f>+A3P2!N41</f>
        <v>10512</v>
      </c>
      <c r="C26" s="46">
        <v>1</v>
      </c>
      <c r="D26" s="39"/>
      <c r="E26" s="97"/>
      <c r="F26" s="8"/>
    </row>
    <row r="27" spans="1:7" ht="18.75" thickBot="1" x14ac:dyDescent="0.3">
      <c r="A27" s="44" t="s">
        <v>84</v>
      </c>
      <c r="B27" s="68">
        <f>+A3P2!O41</f>
        <v>10862.4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128246.39999999998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honeticPr fontId="20" type="noConversion"/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8701-64FF-412E-B470-7371150033CB}">
  <dimension ref="A1:G139"/>
  <sheetViews>
    <sheetView zoomScale="70" zoomScaleNormal="70" workbookViewId="0">
      <selection activeCell="E16" sqref="E16:E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154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150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159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160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85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73</v>
      </c>
      <c r="B16" s="68">
        <f>+A4P3!D41</f>
        <v>13540.8</v>
      </c>
      <c r="C16" s="46">
        <v>1</v>
      </c>
      <c r="D16" s="39"/>
      <c r="E16" s="97"/>
      <c r="F16" s="8"/>
    </row>
    <row r="17" spans="1:7" ht="18" x14ac:dyDescent="0.25">
      <c r="A17" s="44" t="s">
        <v>74</v>
      </c>
      <c r="B17" s="68">
        <f>+A4P3!E41</f>
        <v>12230.399999999998</v>
      </c>
      <c r="C17" s="46">
        <v>1</v>
      </c>
      <c r="D17" s="39"/>
      <c r="E17" s="97"/>
      <c r="F17" s="8"/>
    </row>
    <row r="18" spans="1:7" ht="18" x14ac:dyDescent="0.25">
      <c r="A18" s="44" t="s">
        <v>86</v>
      </c>
      <c r="B18" s="68">
        <f>+A4P3!F41</f>
        <v>13540.8</v>
      </c>
      <c r="C18" s="46">
        <v>1</v>
      </c>
      <c r="D18" s="39"/>
      <c r="E18" s="97"/>
      <c r="F18" s="8"/>
    </row>
    <row r="19" spans="1:7" ht="18" x14ac:dyDescent="0.25">
      <c r="A19" s="44" t="s">
        <v>87</v>
      </c>
      <c r="B19" s="68">
        <f>+A4P3!G41</f>
        <v>13103.999999999998</v>
      </c>
      <c r="C19" s="49">
        <v>1</v>
      </c>
      <c r="D19" s="39"/>
      <c r="E19" s="97"/>
      <c r="F19" s="8"/>
    </row>
    <row r="20" spans="1:7" ht="18" x14ac:dyDescent="0.25">
      <c r="A20" s="44" t="s">
        <v>88</v>
      </c>
      <c r="B20" s="68">
        <f>+A4P3!H41</f>
        <v>13540.8</v>
      </c>
      <c r="C20" s="46">
        <v>1</v>
      </c>
      <c r="D20" s="39"/>
      <c r="E20" s="97"/>
      <c r="F20" s="8"/>
    </row>
    <row r="21" spans="1:7" ht="18" x14ac:dyDescent="0.25">
      <c r="A21" s="44" t="s">
        <v>89</v>
      </c>
      <c r="B21" s="68">
        <f>+A4P3!I41</f>
        <v>13103.999999999998</v>
      </c>
      <c r="C21" s="46">
        <v>1</v>
      </c>
      <c r="D21" s="39"/>
      <c r="E21" s="97"/>
      <c r="F21" s="8"/>
    </row>
    <row r="22" spans="1:7" ht="18" x14ac:dyDescent="0.25">
      <c r="A22" s="44" t="s">
        <v>90</v>
      </c>
      <c r="B22" s="68">
        <f>+A4P3!J41</f>
        <v>13540.8</v>
      </c>
      <c r="C22" s="46">
        <v>1</v>
      </c>
      <c r="D22" s="39"/>
      <c r="E22" s="97"/>
      <c r="F22" s="8"/>
    </row>
    <row r="23" spans="1:7" ht="18" x14ac:dyDescent="0.25">
      <c r="A23" s="44" t="s">
        <v>91</v>
      </c>
      <c r="B23" s="68">
        <f>+A4P3!K41</f>
        <v>13540.8</v>
      </c>
      <c r="C23" s="49">
        <v>1</v>
      </c>
      <c r="D23" s="39"/>
      <c r="E23" s="97"/>
      <c r="F23" s="8"/>
    </row>
    <row r="24" spans="1:7" ht="18" x14ac:dyDescent="0.25">
      <c r="A24" s="44" t="s">
        <v>92</v>
      </c>
      <c r="B24" s="68">
        <f>+A4P3!L41</f>
        <v>13103.999999999998</v>
      </c>
      <c r="C24" s="46">
        <v>1</v>
      </c>
      <c r="D24" s="39"/>
      <c r="E24" s="97"/>
      <c r="F24" s="8"/>
    </row>
    <row r="25" spans="1:7" ht="18" x14ac:dyDescent="0.25">
      <c r="A25" s="44" t="s">
        <v>93</v>
      </c>
      <c r="B25" s="68">
        <f>+A4P3!M41</f>
        <v>13540.8</v>
      </c>
      <c r="C25" s="46">
        <v>1</v>
      </c>
      <c r="D25" s="39"/>
      <c r="E25" s="97"/>
      <c r="F25" s="8"/>
    </row>
    <row r="26" spans="1:7" ht="18" x14ac:dyDescent="0.25">
      <c r="A26" s="44" t="s">
        <v>94</v>
      </c>
      <c r="B26" s="68">
        <f>+A4P3!N41</f>
        <v>13103.999999999998</v>
      </c>
      <c r="C26" s="46">
        <v>1</v>
      </c>
      <c r="D26" s="39"/>
      <c r="E26" s="97"/>
      <c r="F26" s="8"/>
    </row>
    <row r="27" spans="1:7" ht="18.75" thickBot="1" x14ac:dyDescent="0.3">
      <c r="A27" s="44" t="s">
        <v>95</v>
      </c>
      <c r="B27" s="68">
        <f>+A4P3!O41</f>
        <v>13540.8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159432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honeticPr fontId="20" type="noConversion"/>
  <pageMargins left="0.7" right="0.7" top="0.75" bottom="0.75" header="0.3" footer="0.3"/>
  <pageSetup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4DED-4DFD-45BA-8316-23BA93B07E7A}">
  <dimension ref="A1:G139"/>
  <sheetViews>
    <sheetView zoomScale="70" zoomScaleNormal="70" workbookViewId="0">
      <selection activeCell="E16" sqref="E16:E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155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151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159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160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96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97</v>
      </c>
      <c r="B16" s="68">
        <f>+A5P4!D41</f>
        <v>6324</v>
      </c>
      <c r="C16" s="46">
        <v>1</v>
      </c>
      <c r="D16" s="39"/>
      <c r="E16" s="97"/>
      <c r="F16" s="8"/>
    </row>
    <row r="17" spans="1:7" ht="18" x14ac:dyDescent="0.25">
      <c r="A17" s="44" t="s">
        <v>98</v>
      </c>
      <c r="B17" s="68">
        <f>+A5P4!E41</f>
        <v>5712</v>
      </c>
      <c r="C17" s="46">
        <v>1</v>
      </c>
      <c r="D17" s="39"/>
      <c r="E17" s="97"/>
      <c r="F17" s="8"/>
    </row>
    <row r="18" spans="1:7" ht="18" x14ac:dyDescent="0.25">
      <c r="A18" s="44" t="s">
        <v>99</v>
      </c>
      <c r="B18" s="68">
        <f>+A5P4!F41</f>
        <v>6324</v>
      </c>
      <c r="C18" s="46">
        <v>1</v>
      </c>
      <c r="D18" s="39"/>
      <c r="E18" s="97"/>
      <c r="F18" s="8"/>
    </row>
    <row r="19" spans="1:7" ht="18" x14ac:dyDescent="0.25">
      <c r="A19" s="44" t="s">
        <v>100</v>
      </c>
      <c r="B19" s="68">
        <f>+A5P4!G41</f>
        <v>6120</v>
      </c>
      <c r="C19" s="49">
        <v>1</v>
      </c>
      <c r="D19" s="39"/>
      <c r="E19" s="97"/>
      <c r="F19" s="8"/>
    </row>
    <row r="20" spans="1:7" ht="18" x14ac:dyDescent="0.25">
      <c r="A20" s="44" t="s">
        <v>101</v>
      </c>
      <c r="B20" s="68">
        <f>+A5P4!H41</f>
        <v>6324</v>
      </c>
      <c r="C20" s="46">
        <v>1</v>
      </c>
      <c r="D20" s="39"/>
      <c r="E20" s="97"/>
      <c r="F20" s="8"/>
    </row>
    <row r="21" spans="1:7" ht="18" x14ac:dyDescent="0.25">
      <c r="A21" s="44" t="s">
        <v>102</v>
      </c>
      <c r="B21" s="68">
        <f>+A5P4!I41</f>
        <v>6120</v>
      </c>
      <c r="C21" s="46">
        <v>1</v>
      </c>
      <c r="D21" s="39"/>
      <c r="E21" s="97"/>
      <c r="F21" s="8"/>
    </row>
    <row r="22" spans="1:7" ht="18" x14ac:dyDescent="0.25">
      <c r="A22" s="44" t="s">
        <v>103</v>
      </c>
      <c r="B22" s="68">
        <f>+A5P4!J41</f>
        <v>6324</v>
      </c>
      <c r="C22" s="46">
        <v>1</v>
      </c>
      <c r="D22" s="39"/>
      <c r="E22" s="97"/>
      <c r="F22" s="8"/>
    </row>
    <row r="23" spans="1:7" ht="18" x14ac:dyDescent="0.25">
      <c r="A23" s="44" t="s">
        <v>104</v>
      </c>
      <c r="B23" s="68">
        <f>+A5P4!K41</f>
        <v>6324</v>
      </c>
      <c r="C23" s="49">
        <v>1</v>
      </c>
      <c r="D23" s="39"/>
      <c r="E23" s="97"/>
      <c r="F23" s="8"/>
    </row>
    <row r="24" spans="1:7" ht="18" x14ac:dyDescent="0.25">
      <c r="A24" s="44" t="s">
        <v>105</v>
      </c>
      <c r="B24" s="68">
        <f>+A5P4!L41</f>
        <v>6120</v>
      </c>
      <c r="C24" s="46">
        <v>1</v>
      </c>
      <c r="D24" s="39"/>
      <c r="E24" s="97"/>
      <c r="F24" s="8"/>
    </row>
    <row r="25" spans="1:7" ht="18" x14ac:dyDescent="0.25">
      <c r="A25" s="44" t="s">
        <v>106</v>
      </c>
      <c r="B25" s="68">
        <f>+A5P4!M41</f>
        <v>6324</v>
      </c>
      <c r="C25" s="46">
        <v>1</v>
      </c>
      <c r="D25" s="39"/>
      <c r="E25" s="97"/>
      <c r="F25" s="8"/>
    </row>
    <row r="26" spans="1:7" ht="18" x14ac:dyDescent="0.25">
      <c r="A26" s="44" t="s">
        <v>107</v>
      </c>
      <c r="B26" s="68">
        <f>+A5P4!N41</f>
        <v>6120</v>
      </c>
      <c r="C26" s="46">
        <v>1</v>
      </c>
      <c r="D26" s="39"/>
      <c r="E26" s="97"/>
      <c r="F26" s="8"/>
    </row>
    <row r="27" spans="1:7" ht="18.75" thickBot="1" x14ac:dyDescent="0.3">
      <c r="A27" s="44" t="s">
        <v>108</v>
      </c>
      <c r="B27" s="68">
        <f>+A5P4!O41</f>
        <v>6324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74460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4A13-BD0E-4E16-8A77-7601E7D78809}">
  <dimension ref="A1:G139"/>
  <sheetViews>
    <sheetView zoomScale="70" zoomScaleNormal="70" workbookViewId="0">
      <selection activeCell="E16" sqref="E16:E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156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69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159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160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109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110</v>
      </c>
      <c r="B16" s="68">
        <f>+A6P5!D41</f>
        <v>5654.4</v>
      </c>
      <c r="C16" s="46">
        <v>1</v>
      </c>
      <c r="D16" s="39"/>
      <c r="E16" s="97"/>
      <c r="F16" s="8"/>
    </row>
    <row r="17" spans="1:7" ht="18" x14ac:dyDescent="0.25">
      <c r="A17" s="44" t="s">
        <v>111</v>
      </c>
      <c r="B17" s="68">
        <f>+A6P5!E41</f>
        <v>5107.1999999999989</v>
      </c>
      <c r="C17" s="46">
        <v>1</v>
      </c>
      <c r="D17" s="39"/>
      <c r="E17" s="97"/>
      <c r="F17" s="8"/>
    </row>
    <row r="18" spans="1:7" ht="18" x14ac:dyDescent="0.25">
      <c r="A18" s="44" t="s">
        <v>114</v>
      </c>
      <c r="B18" s="68">
        <f>+A6P5!F41</f>
        <v>5654.4</v>
      </c>
      <c r="C18" s="46">
        <v>1</v>
      </c>
      <c r="D18" s="39"/>
      <c r="E18" s="97"/>
      <c r="F18" s="8"/>
    </row>
    <row r="19" spans="1:7" ht="18" x14ac:dyDescent="0.25">
      <c r="A19" s="44" t="s">
        <v>115</v>
      </c>
      <c r="B19" s="68">
        <f>+A6P5!G41</f>
        <v>5471.9999999999991</v>
      </c>
      <c r="C19" s="49">
        <v>1</v>
      </c>
      <c r="D19" s="39"/>
      <c r="E19" s="97"/>
      <c r="F19" s="8"/>
    </row>
    <row r="20" spans="1:7" ht="18" x14ac:dyDescent="0.25">
      <c r="A20" s="44" t="s">
        <v>116</v>
      </c>
      <c r="B20" s="68">
        <f>+A6P5!H41</f>
        <v>5654.4</v>
      </c>
      <c r="C20" s="46">
        <v>1</v>
      </c>
      <c r="D20" s="39"/>
      <c r="E20" s="97"/>
      <c r="F20" s="8"/>
    </row>
    <row r="21" spans="1:7" ht="18" x14ac:dyDescent="0.25">
      <c r="A21" s="44" t="s">
        <v>117</v>
      </c>
      <c r="B21" s="68">
        <f>+A6P5!I41</f>
        <v>5471.9999999999991</v>
      </c>
      <c r="C21" s="46">
        <v>1</v>
      </c>
      <c r="D21" s="39"/>
      <c r="E21" s="97"/>
      <c r="F21" s="8"/>
    </row>
    <row r="22" spans="1:7" ht="18" x14ac:dyDescent="0.25">
      <c r="A22" s="44" t="s">
        <v>118</v>
      </c>
      <c r="B22" s="68">
        <f>+A6P5!J41</f>
        <v>5654.4</v>
      </c>
      <c r="C22" s="46">
        <v>1</v>
      </c>
      <c r="D22" s="39"/>
      <c r="E22" s="97"/>
      <c r="F22" s="8"/>
    </row>
    <row r="23" spans="1:7" ht="18" x14ac:dyDescent="0.25">
      <c r="A23" s="44" t="s">
        <v>119</v>
      </c>
      <c r="B23" s="68">
        <f>+A6P5!K41</f>
        <v>5654.4</v>
      </c>
      <c r="C23" s="49">
        <v>1</v>
      </c>
      <c r="D23" s="39"/>
      <c r="E23" s="97"/>
      <c r="F23" s="8"/>
    </row>
    <row r="24" spans="1:7" ht="18" x14ac:dyDescent="0.25">
      <c r="A24" s="44" t="s">
        <v>120</v>
      </c>
      <c r="B24" s="68">
        <f>+A6P5!L41</f>
        <v>5471.9999999999991</v>
      </c>
      <c r="C24" s="46">
        <v>1</v>
      </c>
      <c r="D24" s="39"/>
      <c r="E24" s="97"/>
      <c r="F24" s="8"/>
    </row>
    <row r="25" spans="1:7" ht="18" x14ac:dyDescent="0.25">
      <c r="A25" s="44" t="s">
        <v>121</v>
      </c>
      <c r="B25" s="68">
        <f>+A6P5!M41</f>
        <v>5654.4</v>
      </c>
      <c r="C25" s="46">
        <v>1</v>
      </c>
      <c r="D25" s="39"/>
      <c r="E25" s="97"/>
      <c r="F25" s="8"/>
    </row>
    <row r="26" spans="1:7" ht="18" x14ac:dyDescent="0.25">
      <c r="A26" s="44" t="s">
        <v>122</v>
      </c>
      <c r="B26" s="68">
        <f>+A6P5!N41</f>
        <v>5471.9999999999991</v>
      </c>
      <c r="C26" s="46">
        <v>1</v>
      </c>
      <c r="D26" s="39"/>
      <c r="E26" s="97"/>
      <c r="F26" s="8"/>
    </row>
    <row r="27" spans="1:7" ht="18.75" thickBot="1" x14ac:dyDescent="0.3">
      <c r="A27" s="44" t="s">
        <v>123</v>
      </c>
      <c r="B27" s="68">
        <f>+A6P5!O41</f>
        <v>5654.4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66576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honeticPr fontId="20" type="noConversion"/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352A-64FC-4737-8E0B-61C7A85045FB}">
  <dimension ref="A1:G139"/>
  <sheetViews>
    <sheetView zoomScale="70" zoomScaleNormal="70" workbookViewId="0">
      <selection activeCell="E16" sqref="E16:E28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" customHeight="1" x14ac:dyDescent="0.25">
      <c r="A2" s="101" t="s">
        <v>157</v>
      </c>
      <c r="B2" s="100"/>
      <c r="C2" s="100"/>
      <c r="D2" s="100"/>
      <c r="E2" s="100"/>
      <c r="F2" s="6"/>
      <c r="G2" s="7"/>
    </row>
    <row r="3" spans="1:7" ht="21.6" customHeight="1" x14ac:dyDescent="0.25">
      <c r="A3" s="100" t="s">
        <v>135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159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160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124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7"/>
      <c r="F15" s="8"/>
    </row>
    <row r="16" spans="1:7" ht="18" x14ac:dyDescent="0.25">
      <c r="A16" s="44" t="s">
        <v>112</v>
      </c>
      <c r="B16" s="68">
        <f>+A7P6!D41</f>
        <v>1711.2</v>
      </c>
      <c r="C16" s="46">
        <v>1</v>
      </c>
      <c r="D16" s="39"/>
      <c r="E16" s="97"/>
      <c r="F16" s="8"/>
    </row>
    <row r="17" spans="1:7" ht="18" x14ac:dyDescent="0.25">
      <c r="A17" s="44" t="s">
        <v>113</v>
      </c>
      <c r="B17" s="68">
        <f>+A7P6!E41</f>
        <v>1600.8</v>
      </c>
      <c r="C17" s="46">
        <v>1</v>
      </c>
      <c r="D17" s="39"/>
      <c r="E17" s="97"/>
      <c r="F17" s="8"/>
    </row>
    <row r="18" spans="1:7" ht="18" x14ac:dyDescent="0.25">
      <c r="A18" s="44" t="s">
        <v>125</v>
      </c>
      <c r="B18" s="68">
        <f>+A7P6!F41</f>
        <v>1711.2</v>
      </c>
      <c r="C18" s="46">
        <v>1</v>
      </c>
      <c r="D18" s="39"/>
      <c r="E18" s="97"/>
      <c r="F18" s="8"/>
    </row>
    <row r="19" spans="1:7" ht="18" x14ac:dyDescent="0.25">
      <c r="A19" s="44" t="s">
        <v>126</v>
      </c>
      <c r="B19" s="68">
        <f>+A7P6!G41</f>
        <v>1656</v>
      </c>
      <c r="C19" s="49">
        <v>1</v>
      </c>
      <c r="D19" s="39"/>
      <c r="E19" s="97"/>
      <c r="F19" s="8"/>
    </row>
    <row r="20" spans="1:7" ht="18" x14ac:dyDescent="0.25">
      <c r="A20" s="44" t="s">
        <v>127</v>
      </c>
      <c r="B20" s="68">
        <f>+A7P6!H41</f>
        <v>1711.2</v>
      </c>
      <c r="C20" s="46">
        <v>1</v>
      </c>
      <c r="D20" s="39"/>
      <c r="E20" s="97"/>
      <c r="F20" s="8"/>
    </row>
    <row r="21" spans="1:7" ht="18" x14ac:dyDescent="0.25">
      <c r="A21" s="44" t="s">
        <v>128</v>
      </c>
      <c r="B21" s="68">
        <f>+A7P6!I41</f>
        <v>1656</v>
      </c>
      <c r="C21" s="46">
        <v>1</v>
      </c>
      <c r="D21" s="39"/>
      <c r="E21" s="97"/>
      <c r="F21" s="8"/>
    </row>
    <row r="22" spans="1:7" ht="18" x14ac:dyDescent="0.25">
      <c r="A22" s="44" t="s">
        <v>129</v>
      </c>
      <c r="B22" s="68">
        <f>+A7P6!J41</f>
        <v>1711.2</v>
      </c>
      <c r="C22" s="46">
        <v>1</v>
      </c>
      <c r="D22" s="39"/>
      <c r="E22" s="97"/>
      <c r="F22" s="8"/>
    </row>
    <row r="23" spans="1:7" ht="18" x14ac:dyDescent="0.25">
      <c r="A23" s="44" t="s">
        <v>130</v>
      </c>
      <c r="B23" s="68">
        <f>+A7P6!K41</f>
        <v>1711.2</v>
      </c>
      <c r="C23" s="49">
        <v>1</v>
      </c>
      <c r="D23" s="39"/>
      <c r="E23" s="97"/>
      <c r="F23" s="8"/>
    </row>
    <row r="24" spans="1:7" ht="18" x14ac:dyDescent="0.25">
      <c r="A24" s="44" t="s">
        <v>131</v>
      </c>
      <c r="B24" s="68">
        <f>+A7P6!L41</f>
        <v>1656</v>
      </c>
      <c r="C24" s="46">
        <v>1</v>
      </c>
      <c r="D24" s="39"/>
      <c r="E24" s="97"/>
      <c r="F24" s="8"/>
    </row>
    <row r="25" spans="1:7" ht="18" x14ac:dyDescent="0.25">
      <c r="A25" s="44" t="s">
        <v>132</v>
      </c>
      <c r="B25" s="68">
        <f>+A7P6!M41</f>
        <v>1711.2</v>
      </c>
      <c r="C25" s="46">
        <v>1</v>
      </c>
      <c r="D25" s="39"/>
      <c r="E25" s="97"/>
      <c r="F25" s="8"/>
    </row>
    <row r="26" spans="1:7" ht="18" x14ac:dyDescent="0.25">
      <c r="A26" s="44" t="s">
        <v>133</v>
      </c>
      <c r="B26" s="68">
        <f>+A7P6!N41</f>
        <v>1656</v>
      </c>
      <c r="C26" s="46">
        <v>1</v>
      </c>
      <c r="D26" s="39"/>
      <c r="E26" s="97"/>
      <c r="F26" s="8"/>
    </row>
    <row r="27" spans="1:7" ht="18.75" thickBot="1" x14ac:dyDescent="0.3">
      <c r="A27" s="44" t="s">
        <v>134</v>
      </c>
      <c r="B27" s="68">
        <f>+A7P6!O41</f>
        <v>1711.2</v>
      </c>
      <c r="C27" s="49">
        <v>1</v>
      </c>
      <c r="D27" s="39"/>
      <c r="E27" s="97"/>
      <c r="F27" s="8"/>
    </row>
    <row r="28" spans="1:7" ht="18.75" thickBot="1" x14ac:dyDescent="0.3">
      <c r="A28" s="45" t="s">
        <v>19</v>
      </c>
      <c r="B28" s="69">
        <f>SUM(B16:B27)</f>
        <v>20203.2</v>
      </c>
      <c r="C28" s="47">
        <v>1</v>
      </c>
      <c r="D28" s="40"/>
      <c r="E28" s="98"/>
      <c r="F28" s="8"/>
    </row>
    <row r="29" spans="1:7" ht="15.75" x14ac:dyDescent="0.3">
      <c r="A29" s="22"/>
      <c r="B29" s="23"/>
      <c r="C29" s="23"/>
      <c r="D29" s="24"/>
      <c r="E29" s="23"/>
      <c r="F29" s="25"/>
      <c r="G29" s="10"/>
    </row>
    <row r="30" spans="1:7" ht="16.5" x14ac:dyDescent="0.25">
      <c r="A30" s="48" t="s">
        <v>20</v>
      </c>
      <c r="B30" s="26"/>
      <c r="C30" s="26"/>
      <c r="D30" s="27"/>
      <c r="E30" s="27"/>
      <c r="F30" s="28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5.75" x14ac:dyDescent="0.25">
      <c r="A32" s="99"/>
      <c r="B32" s="99"/>
      <c r="C32" s="99"/>
      <c r="D32" s="99"/>
      <c r="E32" s="99"/>
      <c r="F32" s="99"/>
      <c r="G32" s="29"/>
    </row>
    <row r="33" spans="1:7" ht="15.75" x14ac:dyDescent="0.25">
      <c r="A33" s="27"/>
      <c r="B33" s="27"/>
      <c r="C33" s="27"/>
      <c r="D33" s="27"/>
      <c r="E33" s="27"/>
      <c r="F33" s="30"/>
      <c r="G33" s="29"/>
    </row>
    <row r="34" spans="1:7" ht="16.5" x14ac:dyDescent="0.3">
      <c r="A34" s="27"/>
      <c r="B34" s="27"/>
      <c r="C34" s="27"/>
      <c r="D34" s="27"/>
      <c r="E34" s="27"/>
      <c r="F34" s="30"/>
      <c r="G34" s="10"/>
    </row>
    <row r="35" spans="1:7" ht="16.5" x14ac:dyDescent="0.3">
      <c r="A35" s="99"/>
      <c r="B35" s="99"/>
      <c r="C35" s="99"/>
      <c r="D35" s="99"/>
      <c r="E35" s="99"/>
      <c r="F35" s="99"/>
      <c r="G35" s="10"/>
    </row>
    <row r="36" spans="1:7" ht="16.5" x14ac:dyDescent="0.3">
      <c r="A36" s="27"/>
      <c r="B36" s="30"/>
      <c r="C36" s="30"/>
      <c r="D36" s="30"/>
      <c r="E36" s="30"/>
      <c r="F36" s="30"/>
      <c r="G36" s="10"/>
    </row>
    <row r="37" spans="1:7" ht="16.5" x14ac:dyDescent="0.3">
      <c r="A37" s="31"/>
      <c r="B37" s="31"/>
      <c r="C37" s="31"/>
      <c r="D37" s="31"/>
      <c r="E37" s="27"/>
      <c r="F37" s="30"/>
      <c r="G37" s="10"/>
    </row>
    <row r="38" spans="1:7" ht="16.5" x14ac:dyDescent="0.3">
      <c r="A38" s="27"/>
      <c r="B38" s="31"/>
      <c r="C38" s="31"/>
      <c r="D38" s="31"/>
      <c r="E38" s="27"/>
      <c r="F38" s="30"/>
      <c r="G38" s="10"/>
    </row>
    <row r="39" spans="1:7" ht="16.5" x14ac:dyDescent="0.3">
      <c r="A39" s="27"/>
      <c r="B39" s="31"/>
      <c r="C39" s="31"/>
      <c r="D39" s="31"/>
      <c r="E39" s="27"/>
      <c r="F39" s="30"/>
      <c r="G39" s="10"/>
    </row>
    <row r="40" spans="1:7" ht="15.75" x14ac:dyDescent="0.3">
      <c r="A40" s="32"/>
      <c r="B40" s="33"/>
      <c r="C40" s="33"/>
      <c r="D40" s="33"/>
      <c r="E40" s="8"/>
      <c r="F40" s="2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5.75" x14ac:dyDescent="0.3">
      <c r="A42" s="8"/>
      <c r="B42" s="8"/>
      <c r="C42" s="8"/>
      <c r="D42" s="9"/>
      <c r="E42" s="8"/>
      <c r="F42" s="8"/>
      <c r="G42" s="10"/>
    </row>
    <row r="43" spans="1:7" ht="15.75" x14ac:dyDescent="0.3">
      <c r="A43" s="8"/>
      <c r="B43" s="8"/>
      <c r="C43" s="8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34"/>
      <c r="F44" s="8"/>
      <c r="G44" s="10"/>
    </row>
    <row r="45" spans="1:7" ht="16.5" x14ac:dyDescent="0.3">
      <c r="A45" s="27"/>
      <c r="B45" s="27"/>
      <c r="C45" s="27"/>
      <c r="D45" s="9"/>
      <c r="E45" s="8"/>
      <c r="F45" s="8"/>
      <c r="G45" s="10"/>
    </row>
    <row r="46" spans="1:7" ht="16.5" x14ac:dyDescent="0.3">
      <c r="A46" s="27"/>
      <c r="B46" s="27"/>
      <c r="C46" s="27"/>
      <c r="D46" s="9"/>
      <c r="E46" s="8"/>
      <c r="F46" s="8"/>
      <c r="G46" s="10"/>
    </row>
    <row r="47" spans="1:7" ht="16.5" x14ac:dyDescent="0.3">
      <c r="A47" s="27"/>
      <c r="B47" s="27"/>
      <c r="C47" s="27"/>
      <c r="D47" s="9"/>
      <c r="E47" s="34"/>
      <c r="F47" s="8"/>
      <c r="G47" s="10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  <row r="138" spans="1:6" x14ac:dyDescent="0.25">
      <c r="A138" s="28"/>
      <c r="B138" s="28"/>
      <c r="C138" s="28"/>
      <c r="D138" s="28"/>
      <c r="E138" s="28"/>
      <c r="F138" s="28"/>
    </row>
    <row r="139" spans="1:6" x14ac:dyDescent="0.25">
      <c r="A139" s="28"/>
      <c r="B139" s="28"/>
      <c r="C139" s="28"/>
      <c r="D139" s="28"/>
      <c r="E139" s="28"/>
      <c r="F139" s="28"/>
    </row>
  </sheetData>
  <mergeCells count="11">
    <mergeCell ref="E16:E28"/>
    <mergeCell ref="A32:F32"/>
    <mergeCell ref="A35:F35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75458-C67F-436D-B461-1EBAEE23218D}">
  <dimension ref="A1:G137"/>
  <sheetViews>
    <sheetView zoomScale="70" zoomScaleNormal="70" workbookViewId="0">
      <selection activeCell="B26" sqref="B26"/>
    </sheetView>
  </sheetViews>
  <sheetFormatPr baseColWidth="10" defaultColWidth="11.42578125" defaultRowHeight="15" x14ac:dyDescent="0.25"/>
  <cols>
    <col min="1" max="1" width="25.5703125" style="1" customWidth="1"/>
    <col min="2" max="3" width="23.42578125" style="1" customWidth="1"/>
    <col min="4" max="4" width="17.140625" style="1" bestFit="1" customWidth="1"/>
    <col min="5" max="5" width="14.7109375" style="1" bestFit="1" customWidth="1"/>
    <col min="6" max="6" width="11.42578125" style="1"/>
    <col min="7" max="7" width="12.5703125" style="1" customWidth="1"/>
    <col min="8" max="16384" width="11.42578125" style="1"/>
  </cols>
  <sheetData>
    <row r="1" spans="1:7" ht="19.5" x14ac:dyDescent="0.25">
      <c r="A1" s="100" t="s">
        <v>6</v>
      </c>
      <c r="B1" s="100"/>
      <c r="C1" s="100"/>
      <c r="D1" s="100"/>
      <c r="E1" s="100"/>
      <c r="F1" s="6"/>
      <c r="G1" s="7"/>
    </row>
    <row r="2" spans="1:7" ht="39.6" customHeight="1" x14ac:dyDescent="0.25">
      <c r="A2" s="101" t="s">
        <v>158</v>
      </c>
      <c r="B2" s="100"/>
      <c r="C2" s="100"/>
      <c r="D2" s="100"/>
      <c r="E2" s="100"/>
      <c r="F2" s="6"/>
      <c r="G2" s="7"/>
    </row>
    <row r="3" spans="1:7" ht="18" customHeight="1" x14ac:dyDescent="0.25">
      <c r="A3" s="100" t="s">
        <v>136</v>
      </c>
      <c r="B3" s="100"/>
      <c r="C3" s="100"/>
      <c r="D3" s="100"/>
      <c r="E3" s="100"/>
      <c r="F3" s="6"/>
      <c r="G3" s="7"/>
    </row>
    <row r="4" spans="1:7" ht="15.75" x14ac:dyDescent="0.3">
      <c r="A4" s="8"/>
      <c r="B4" s="8"/>
      <c r="C4" s="8"/>
      <c r="D4" s="9"/>
      <c r="E4" s="8"/>
      <c r="F4" s="8"/>
      <c r="G4" s="10"/>
    </row>
    <row r="5" spans="1:7" ht="17.25" x14ac:dyDescent="0.3">
      <c r="A5" s="11"/>
      <c r="B5" s="12"/>
      <c r="C5" s="12"/>
      <c r="D5" s="13"/>
      <c r="E5" s="14"/>
      <c r="F5" s="8"/>
      <c r="G5" s="10"/>
    </row>
    <row r="6" spans="1:7" ht="17.25" x14ac:dyDescent="0.3">
      <c r="A6" s="11" t="s">
        <v>14</v>
      </c>
      <c r="B6" s="35" t="s">
        <v>159</v>
      </c>
      <c r="C6" s="35"/>
      <c r="D6" s="16"/>
      <c r="E6" s="8"/>
      <c r="F6" s="8"/>
      <c r="G6" s="10"/>
    </row>
    <row r="7" spans="1:7" ht="17.25" x14ac:dyDescent="0.3">
      <c r="A7" s="11" t="s">
        <v>13</v>
      </c>
      <c r="B7" s="17" t="s">
        <v>4</v>
      </c>
      <c r="C7" s="17"/>
      <c r="D7" s="18"/>
      <c r="E7" s="14"/>
      <c r="F7" s="8"/>
      <c r="G7" s="10"/>
    </row>
    <row r="8" spans="1:7" ht="18.75" x14ac:dyDescent="0.3">
      <c r="A8" s="11" t="s">
        <v>22</v>
      </c>
      <c r="B8" s="19" t="s">
        <v>4</v>
      </c>
      <c r="C8" s="19"/>
      <c r="D8" s="18"/>
      <c r="E8" s="8"/>
      <c r="F8" s="8"/>
      <c r="G8" s="10"/>
    </row>
    <row r="9" spans="1:7" ht="17.25" x14ac:dyDescent="0.3">
      <c r="A9" s="11" t="s">
        <v>15</v>
      </c>
      <c r="B9" s="15" t="s">
        <v>5</v>
      </c>
      <c r="C9" s="15"/>
      <c r="D9" s="16"/>
      <c r="E9" s="8"/>
      <c r="F9" s="8"/>
      <c r="G9" s="10"/>
    </row>
    <row r="10" spans="1:7" ht="17.25" x14ac:dyDescent="0.3">
      <c r="A10" s="20" t="s">
        <v>23</v>
      </c>
      <c r="B10" s="35" t="s">
        <v>160</v>
      </c>
      <c r="C10" s="35"/>
      <c r="D10" s="16"/>
      <c r="E10" s="8"/>
      <c r="F10" s="8"/>
      <c r="G10" s="10"/>
    </row>
    <row r="11" spans="1:7" ht="18.75" x14ac:dyDescent="0.3">
      <c r="A11" s="43" t="s">
        <v>16</v>
      </c>
      <c r="B11" s="19" t="s">
        <v>4</v>
      </c>
      <c r="C11" s="19"/>
      <c r="D11" s="21"/>
      <c r="E11" s="8"/>
      <c r="F11" s="8"/>
      <c r="G11" s="10"/>
    </row>
    <row r="12" spans="1:7" ht="15.75" x14ac:dyDescent="0.3">
      <c r="A12" s="8"/>
      <c r="B12" s="8"/>
      <c r="C12" s="8"/>
      <c r="D12" s="9"/>
      <c r="E12" s="8"/>
      <c r="F12" s="8"/>
      <c r="G12" s="10"/>
    </row>
    <row r="13" spans="1:7" ht="16.5" thickBot="1" x14ac:dyDescent="0.35">
      <c r="A13" s="22"/>
      <c r="B13" s="23"/>
      <c r="C13" s="23"/>
      <c r="D13" s="24"/>
      <c r="E13" s="25"/>
      <c r="F13" s="8"/>
      <c r="G13" s="10"/>
    </row>
    <row r="14" spans="1:7" ht="15" customHeight="1" x14ac:dyDescent="0.25">
      <c r="A14" s="102" t="s">
        <v>137</v>
      </c>
      <c r="B14" s="104" t="s">
        <v>21</v>
      </c>
      <c r="C14" s="104" t="s">
        <v>17</v>
      </c>
      <c r="D14" s="104" t="s">
        <v>18</v>
      </c>
      <c r="E14" s="106" t="s">
        <v>24</v>
      </c>
      <c r="F14" s="8"/>
    </row>
    <row r="15" spans="1:7" ht="39.75" customHeight="1" thickBot="1" x14ac:dyDescent="0.3">
      <c r="A15" s="103"/>
      <c r="B15" s="105"/>
      <c r="C15" s="105"/>
      <c r="D15" s="105"/>
      <c r="E15" s="108"/>
      <c r="F15" s="8"/>
    </row>
    <row r="16" spans="1:7" ht="18" x14ac:dyDescent="0.25">
      <c r="A16" s="70" t="s">
        <v>138</v>
      </c>
      <c r="B16" s="68">
        <f>+A8P7!D41</f>
        <v>24528.000000000004</v>
      </c>
      <c r="C16" s="46">
        <v>1</v>
      </c>
      <c r="D16" s="72"/>
      <c r="E16" s="74"/>
      <c r="F16" s="8"/>
    </row>
    <row r="17" spans="1:7" ht="18" x14ac:dyDescent="0.25">
      <c r="A17" s="70" t="s">
        <v>139</v>
      </c>
      <c r="B17" s="68">
        <f>+A8P7!E41</f>
        <v>24595.200000000004</v>
      </c>
      <c r="C17" s="46">
        <v>1</v>
      </c>
      <c r="D17" s="72"/>
      <c r="E17" s="75"/>
      <c r="F17" s="8"/>
    </row>
    <row r="18" spans="1:7" ht="18" x14ac:dyDescent="0.25">
      <c r="A18" s="70" t="s">
        <v>140</v>
      </c>
      <c r="B18" s="68">
        <f>+A8P7!F41</f>
        <v>24528.000000000004</v>
      </c>
      <c r="C18" s="46">
        <v>1</v>
      </c>
      <c r="D18" s="72"/>
      <c r="E18" s="75"/>
      <c r="F18" s="8"/>
    </row>
    <row r="19" spans="1:7" ht="18" x14ac:dyDescent="0.25">
      <c r="A19" s="70" t="s">
        <v>141</v>
      </c>
      <c r="B19" s="68">
        <f>+A8P7!G41</f>
        <v>24528.000000000004</v>
      </c>
      <c r="C19" s="46">
        <v>1</v>
      </c>
      <c r="D19" s="72"/>
      <c r="E19" s="75"/>
      <c r="F19" s="8"/>
    </row>
    <row r="20" spans="1:7" ht="18" x14ac:dyDescent="0.25">
      <c r="A20" s="70" t="s">
        <v>142</v>
      </c>
      <c r="B20" s="68">
        <f>+A8P7!H41</f>
        <v>24528.000000000004</v>
      </c>
      <c r="C20" s="46">
        <v>1</v>
      </c>
      <c r="D20" s="72"/>
      <c r="E20" s="75"/>
      <c r="F20" s="8"/>
    </row>
    <row r="21" spans="1:7" ht="18" x14ac:dyDescent="0.25">
      <c r="A21" s="70" t="s">
        <v>143</v>
      </c>
      <c r="B21" s="68">
        <f>+A8P7!I41</f>
        <v>24595.200000000004</v>
      </c>
      <c r="C21" s="46">
        <v>1</v>
      </c>
      <c r="D21" s="72"/>
      <c r="E21" s="75"/>
      <c r="F21" s="8"/>
    </row>
    <row r="22" spans="1:7" ht="18" x14ac:dyDescent="0.25">
      <c r="A22" s="71" t="s">
        <v>144</v>
      </c>
      <c r="B22" s="68">
        <f>+A8P7!J41</f>
        <v>24528.000000000004</v>
      </c>
      <c r="C22" s="46">
        <v>1</v>
      </c>
      <c r="D22" s="72"/>
      <c r="E22" s="75"/>
      <c r="F22" s="8"/>
    </row>
    <row r="23" spans="1:7" ht="18" x14ac:dyDescent="0.25">
      <c r="A23" s="70" t="s">
        <v>145</v>
      </c>
      <c r="B23" s="68">
        <f>+A8P7!K41</f>
        <v>24528.000000000004</v>
      </c>
      <c r="C23" s="46">
        <v>1</v>
      </c>
      <c r="D23" s="72"/>
      <c r="E23" s="75"/>
      <c r="F23" s="8"/>
    </row>
    <row r="24" spans="1:7" ht="18" x14ac:dyDescent="0.25">
      <c r="A24" s="70" t="s">
        <v>146</v>
      </c>
      <c r="B24" s="68">
        <f>+A8P7!L41</f>
        <v>24528.000000000004</v>
      </c>
      <c r="C24" s="46">
        <v>1</v>
      </c>
      <c r="D24" s="72"/>
      <c r="E24" s="75"/>
      <c r="F24" s="8"/>
    </row>
    <row r="25" spans="1:7" ht="18.75" thickBot="1" x14ac:dyDescent="0.3">
      <c r="A25" s="70" t="s">
        <v>147</v>
      </c>
      <c r="B25" s="68">
        <f>+A8P7!M41</f>
        <v>24595.200000000004</v>
      </c>
      <c r="C25" s="46">
        <v>1</v>
      </c>
      <c r="D25" s="72"/>
      <c r="E25" s="76"/>
      <c r="F25" s="8"/>
    </row>
    <row r="26" spans="1:7" ht="18.75" thickBot="1" x14ac:dyDescent="0.3">
      <c r="A26" s="45" t="s">
        <v>19</v>
      </c>
      <c r="B26" s="69">
        <f>SUM(B16:B25)</f>
        <v>245481.60000000003</v>
      </c>
      <c r="C26" s="47">
        <v>1</v>
      </c>
      <c r="D26" s="40"/>
      <c r="E26" s="73"/>
      <c r="F26" s="8"/>
    </row>
    <row r="27" spans="1:7" ht="15.75" x14ac:dyDescent="0.3">
      <c r="A27" s="22"/>
      <c r="B27" s="23"/>
      <c r="C27" s="23"/>
      <c r="D27" s="24"/>
      <c r="E27" s="23"/>
      <c r="F27" s="25"/>
      <c r="G27" s="10"/>
    </row>
    <row r="28" spans="1:7" ht="16.5" x14ac:dyDescent="0.25">
      <c r="A28" s="48" t="s">
        <v>20</v>
      </c>
      <c r="B28" s="26"/>
      <c r="C28" s="26"/>
      <c r="D28" s="27"/>
      <c r="E28" s="27"/>
      <c r="F28" s="28"/>
      <c r="G28" s="29"/>
    </row>
    <row r="29" spans="1:7" ht="15.75" x14ac:dyDescent="0.25">
      <c r="A29" s="27"/>
      <c r="B29" s="27"/>
      <c r="C29" s="27"/>
      <c r="D29" s="27"/>
      <c r="E29" s="27"/>
      <c r="F29" s="30"/>
      <c r="G29" s="29"/>
    </row>
    <row r="30" spans="1:7" ht="15.75" x14ac:dyDescent="0.25">
      <c r="A30" s="99"/>
      <c r="B30" s="99"/>
      <c r="C30" s="99"/>
      <c r="D30" s="99"/>
      <c r="E30" s="99"/>
      <c r="F30" s="99"/>
      <c r="G30" s="29"/>
    </row>
    <row r="31" spans="1:7" ht="15.75" x14ac:dyDescent="0.25">
      <c r="A31" s="27"/>
      <c r="B31" s="27"/>
      <c r="C31" s="27"/>
      <c r="D31" s="27"/>
      <c r="E31" s="27"/>
      <c r="F31" s="30"/>
      <c r="G31" s="29"/>
    </row>
    <row r="32" spans="1:7" ht="16.5" x14ac:dyDescent="0.3">
      <c r="A32" s="27"/>
      <c r="B32" s="27"/>
      <c r="C32" s="27"/>
      <c r="D32" s="27"/>
      <c r="E32" s="27"/>
      <c r="F32" s="30"/>
      <c r="G32" s="10"/>
    </row>
    <row r="33" spans="1:7" ht="16.5" x14ac:dyDescent="0.3">
      <c r="A33" s="99"/>
      <c r="B33" s="99"/>
      <c r="C33" s="99"/>
      <c r="D33" s="99"/>
      <c r="E33" s="99"/>
      <c r="F33" s="99"/>
      <c r="G33" s="10"/>
    </row>
    <row r="34" spans="1:7" ht="16.5" x14ac:dyDescent="0.3">
      <c r="A34" s="27"/>
      <c r="B34" s="30"/>
      <c r="C34" s="30"/>
      <c r="D34" s="30"/>
      <c r="E34" s="30"/>
      <c r="F34" s="30"/>
      <c r="G34" s="10"/>
    </row>
    <row r="35" spans="1:7" ht="16.5" x14ac:dyDescent="0.3">
      <c r="A35" s="31"/>
      <c r="B35" s="31"/>
      <c r="C35" s="31"/>
      <c r="D35" s="31"/>
      <c r="E35" s="27"/>
      <c r="F35" s="30"/>
      <c r="G35" s="10"/>
    </row>
    <row r="36" spans="1:7" ht="16.5" x14ac:dyDescent="0.3">
      <c r="A36" s="27"/>
      <c r="B36" s="31"/>
      <c r="C36" s="31"/>
      <c r="D36" s="31"/>
      <c r="E36" s="27"/>
      <c r="F36" s="30"/>
      <c r="G36" s="10"/>
    </row>
    <row r="37" spans="1:7" ht="16.5" x14ac:dyDescent="0.3">
      <c r="A37" s="27"/>
      <c r="B37" s="31"/>
      <c r="C37" s="31"/>
      <c r="D37" s="31"/>
      <c r="E37" s="27"/>
      <c r="F37" s="30"/>
      <c r="G37" s="10"/>
    </row>
    <row r="38" spans="1:7" ht="15.75" x14ac:dyDescent="0.3">
      <c r="A38" s="32"/>
      <c r="B38" s="33"/>
      <c r="C38" s="33"/>
      <c r="D38" s="33"/>
      <c r="E38" s="8"/>
      <c r="F38" s="28"/>
      <c r="G38" s="10"/>
    </row>
    <row r="39" spans="1:7" ht="15.75" x14ac:dyDescent="0.3">
      <c r="A39" s="8"/>
      <c r="B39" s="8"/>
      <c r="C39" s="8"/>
      <c r="D39" s="9"/>
      <c r="E39" s="8"/>
      <c r="F39" s="8"/>
      <c r="G39" s="10"/>
    </row>
    <row r="40" spans="1:7" ht="15.75" x14ac:dyDescent="0.3">
      <c r="A40" s="8"/>
      <c r="B40" s="8"/>
      <c r="C40" s="8"/>
      <c r="D40" s="9"/>
      <c r="E40" s="8"/>
      <c r="F40" s="8"/>
      <c r="G40" s="10"/>
    </row>
    <row r="41" spans="1:7" ht="15.75" x14ac:dyDescent="0.3">
      <c r="A41" s="8"/>
      <c r="B41" s="8"/>
      <c r="C41" s="8"/>
      <c r="D41" s="9"/>
      <c r="E41" s="8"/>
      <c r="F41" s="8"/>
      <c r="G41" s="10"/>
    </row>
    <row r="42" spans="1:7" ht="16.5" x14ac:dyDescent="0.3">
      <c r="A42" s="27"/>
      <c r="B42" s="27"/>
      <c r="C42" s="27"/>
      <c r="D42" s="9"/>
      <c r="E42" s="34"/>
      <c r="F42" s="8"/>
      <c r="G42" s="10"/>
    </row>
    <row r="43" spans="1:7" ht="16.5" x14ac:dyDescent="0.3">
      <c r="A43" s="27"/>
      <c r="B43" s="27"/>
      <c r="C43" s="27"/>
      <c r="D43" s="9"/>
      <c r="E43" s="8"/>
      <c r="F43" s="8"/>
      <c r="G43" s="10"/>
    </row>
    <row r="44" spans="1:7" ht="16.5" x14ac:dyDescent="0.3">
      <c r="A44" s="27"/>
      <c r="B44" s="27"/>
      <c r="C44" s="27"/>
      <c r="D44" s="9"/>
      <c r="E44" s="8"/>
      <c r="F44" s="8"/>
      <c r="G44" s="10"/>
    </row>
    <row r="45" spans="1:7" ht="16.5" x14ac:dyDescent="0.3">
      <c r="A45" s="27"/>
      <c r="B45" s="27"/>
      <c r="C45" s="27"/>
      <c r="D45" s="9"/>
      <c r="E45" s="34"/>
      <c r="F45" s="8"/>
      <c r="G45" s="10"/>
    </row>
    <row r="46" spans="1:7" x14ac:dyDescent="0.25">
      <c r="A46" s="28"/>
      <c r="B46" s="28"/>
      <c r="C46" s="28"/>
      <c r="D46" s="28"/>
      <c r="E46" s="28"/>
      <c r="F46" s="28"/>
    </row>
    <row r="47" spans="1:7" x14ac:dyDescent="0.25">
      <c r="A47" s="28"/>
      <c r="B47" s="28"/>
      <c r="C47" s="28"/>
      <c r="D47" s="28"/>
      <c r="E47" s="28"/>
      <c r="F47" s="28"/>
    </row>
    <row r="48" spans="1:7" x14ac:dyDescent="0.25">
      <c r="A48" s="28"/>
      <c r="B48" s="28"/>
      <c r="C48" s="28"/>
      <c r="D48" s="28"/>
      <c r="E48" s="28"/>
      <c r="F48" s="28"/>
    </row>
    <row r="49" spans="1:6" x14ac:dyDescent="0.25">
      <c r="A49" s="28"/>
      <c r="B49" s="28"/>
      <c r="C49" s="28"/>
      <c r="D49" s="28"/>
      <c r="E49" s="28"/>
      <c r="F49" s="28"/>
    </row>
    <row r="50" spans="1:6" x14ac:dyDescent="0.25">
      <c r="A50" s="28"/>
      <c r="B50" s="28"/>
      <c r="C50" s="28"/>
      <c r="D50" s="28"/>
      <c r="E50" s="28"/>
      <c r="F50" s="28"/>
    </row>
    <row r="51" spans="1:6" x14ac:dyDescent="0.25">
      <c r="A51" s="28"/>
      <c r="B51" s="28"/>
      <c r="C51" s="28"/>
      <c r="D51" s="28"/>
      <c r="E51" s="28"/>
      <c r="F51" s="28"/>
    </row>
    <row r="52" spans="1:6" x14ac:dyDescent="0.25">
      <c r="A52" s="28"/>
      <c r="B52" s="28"/>
      <c r="C52" s="28"/>
      <c r="D52" s="28"/>
      <c r="E52" s="28"/>
      <c r="F52" s="28"/>
    </row>
    <row r="53" spans="1:6" x14ac:dyDescent="0.25">
      <c r="A53" s="28"/>
      <c r="B53" s="28"/>
      <c r="C53" s="28"/>
      <c r="D53" s="28"/>
      <c r="E53" s="28"/>
      <c r="F53" s="28"/>
    </row>
    <row r="54" spans="1:6" x14ac:dyDescent="0.25">
      <c r="A54" s="28"/>
      <c r="B54" s="28"/>
      <c r="C54" s="28"/>
      <c r="D54" s="28"/>
      <c r="E54" s="28"/>
      <c r="F54" s="28"/>
    </row>
    <row r="55" spans="1:6" x14ac:dyDescent="0.25">
      <c r="A55" s="28"/>
      <c r="B55" s="28"/>
      <c r="C55" s="28"/>
      <c r="D55" s="28"/>
      <c r="E55" s="28"/>
      <c r="F55" s="28"/>
    </row>
    <row r="56" spans="1:6" x14ac:dyDescent="0.25">
      <c r="A56" s="28"/>
      <c r="B56" s="28"/>
      <c r="C56" s="28"/>
      <c r="D56" s="28"/>
      <c r="E56" s="28"/>
      <c r="F56" s="28"/>
    </row>
    <row r="57" spans="1:6" x14ac:dyDescent="0.25">
      <c r="A57" s="28"/>
      <c r="B57" s="28"/>
      <c r="C57" s="28"/>
      <c r="D57" s="28"/>
      <c r="E57" s="28"/>
      <c r="F57" s="28"/>
    </row>
    <row r="58" spans="1:6" x14ac:dyDescent="0.25">
      <c r="A58" s="28"/>
      <c r="B58" s="28"/>
      <c r="C58" s="28"/>
      <c r="D58" s="28"/>
      <c r="E58" s="28"/>
      <c r="F58" s="28"/>
    </row>
    <row r="59" spans="1:6" x14ac:dyDescent="0.25">
      <c r="A59" s="28"/>
      <c r="B59" s="28"/>
      <c r="C59" s="28"/>
      <c r="D59" s="28"/>
      <c r="E59" s="28"/>
      <c r="F59" s="28"/>
    </row>
    <row r="60" spans="1:6" x14ac:dyDescent="0.25">
      <c r="A60" s="28"/>
      <c r="B60" s="28"/>
      <c r="C60" s="28"/>
      <c r="D60" s="28"/>
      <c r="E60" s="28"/>
      <c r="F60" s="28"/>
    </row>
    <row r="61" spans="1:6" x14ac:dyDescent="0.25">
      <c r="A61" s="28"/>
      <c r="B61" s="28"/>
      <c r="C61" s="28"/>
      <c r="D61" s="28"/>
      <c r="E61" s="28"/>
      <c r="F61" s="28"/>
    </row>
    <row r="62" spans="1:6" x14ac:dyDescent="0.25">
      <c r="A62" s="28"/>
      <c r="B62" s="28"/>
      <c r="C62" s="28"/>
      <c r="D62" s="28"/>
      <c r="E62" s="28"/>
      <c r="F62" s="28"/>
    </row>
    <row r="63" spans="1:6" x14ac:dyDescent="0.25">
      <c r="A63" s="28"/>
      <c r="B63" s="28"/>
      <c r="C63" s="28"/>
      <c r="D63" s="28"/>
      <c r="E63" s="28"/>
      <c r="F63" s="28"/>
    </row>
    <row r="64" spans="1:6" x14ac:dyDescent="0.25">
      <c r="A64" s="28"/>
      <c r="B64" s="28"/>
      <c r="C64" s="28"/>
      <c r="D64" s="28"/>
      <c r="E64" s="28"/>
      <c r="F64" s="28"/>
    </row>
    <row r="65" spans="1:6" x14ac:dyDescent="0.25">
      <c r="A65" s="28"/>
      <c r="B65" s="28"/>
      <c r="C65" s="28"/>
      <c r="D65" s="28"/>
      <c r="E65" s="28"/>
      <c r="F65" s="28"/>
    </row>
    <row r="66" spans="1:6" x14ac:dyDescent="0.25">
      <c r="A66" s="28"/>
      <c r="B66" s="28"/>
      <c r="C66" s="28"/>
      <c r="D66" s="28"/>
      <c r="E66" s="28"/>
      <c r="F66" s="28"/>
    </row>
    <row r="67" spans="1:6" x14ac:dyDescent="0.25">
      <c r="A67" s="28"/>
      <c r="B67" s="28"/>
      <c r="C67" s="28"/>
      <c r="D67" s="28"/>
      <c r="E67" s="28"/>
      <c r="F67" s="28"/>
    </row>
    <row r="68" spans="1:6" x14ac:dyDescent="0.25">
      <c r="A68" s="28"/>
      <c r="B68" s="28"/>
      <c r="C68" s="28"/>
      <c r="D68" s="28"/>
      <c r="E68" s="28"/>
      <c r="F68" s="28"/>
    </row>
    <row r="69" spans="1:6" x14ac:dyDescent="0.25">
      <c r="A69" s="28"/>
      <c r="B69" s="28"/>
      <c r="C69" s="28"/>
      <c r="D69" s="28"/>
      <c r="E69" s="28"/>
      <c r="F69" s="28"/>
    </row>
    <row r="70" spans="1:6" x14ac:dyDescent="0.25">
      <c r="A70" s="28"/>
      <c r="B70" s="28"/>
      <c r="C70" s="28"/>
      <c r="D70" s="28"/>
      <c r="E70" s="28"/>
      <c r="F70" s="28"/>
    </row>
    <row r="71" spans="1:6" x14ac:dyDescent="0.25">
      <c r="A71" s="28"/>
      <c r="B71" s="28"/>
      <c r="C71" s="28"/>
      <c r="D71" s="28"/>
      <c r="E71" s="28"/>
      <c r="F71" s="28"/>
    </row>
    <row r="72" spans="1:6" x14ac:dyDescent="0.25">
      <c r="A72" s="28"/>
      <c r="B72" s="28"/>
      <c r="C72" s="28"/>
      <c r="D72" s="28"/>
      <c r="E72" s="28"/>
      <c r="F72" s="28"/>
    </row>
    <row r="73" spans="1:6" x14ac:dyDescent="0.25">
      <c r="A73" s="28"/>
      <c r="B73" s="28"/>
      <c r="C73" s="28"/>
      <c r="D73" s="28"/>
      <c r="E73" s="28"/>
      <c r="F73" s="28"/>
    </row>
    <row r="74" spans="1:6" x14ac:dyDescent="0.25">
      <c r="A74" s="28"/>
      <c r="B74" s="28"/>
      <c r="C74" s="28"/>
      <c r="D74" s="28"/>
      <c r="E74" s="28"/>
      <c r="F74" s="28"/>
    </row>
    <row r="75" spans="1:6" x14ac:dyDescent="0.25">
      <c r="A75" s="28"/>
      <c r="B75" s="28"/>
      <c r="C75" s="28"/>
      <c r="D75" s="28"/>
      <c r="E75" s="28"/>
      <c r="F75" s="28"/>
    </row>
    <row r="76" spans="1:6" x14ac:dyDescent="0.25">
      <c r="A76" s="28"/>
      <c r="B76" s="28"/>
      <c r="C76" s="28"/>
      <c r="D76" s="28"/>
      <c r="E76" s="28"/>
      <c r="F76" s="28"/>
    </row>
    <row r="77" spans="1:6" x14ac:dyDescent="0.25">
      <c r="A77" s="28"/>
      <c r="B77" s="28"/>
      <c r="C77" s="28"/>
      <c r="D77" s="28"/>
      <c r="E77" s="28"/>
      <c r="F77" s="28"/>
    </row>
    <row r="78" spans="1:6" x14ac:dyDescent="0.25">
      <c r="A78" s="28"/>
      <c r="B78" s="28"/>
      <c r="C78" s="28"/>
      <c r="D78" s="28"/>
      <c r="E78" s="28"/>
      <c r="F78" s="28"/>
    </row>
    <row r="79" spans="1:6" x14ac:dyDescent="0.25">
      <c r="A79" s="28"/>
      <c r="B79" s="28"/>
      <c r="C79" s="28"/>
      <c r="D79" s="28"/>
      <c r="E79" s="28"/>
      <c r="F79" s="28"/>
    </row>
    <row r="80" spans="1:6" x14ac:dyDescent="0.25">
      <c r="A80" s="28"/>
      <c r="B80" s="28"/>
      <c r="C80" s="28"/>
      <c r="D80" s="28"/>
      <c r="E80" s="28"/>
      <c r="F80" s="28"/>
    </row>
    <row r="81" spans="1:6" x14ac:dyDescent="0.25">
      <c r="A81" s="28"/>
      <c r="B81" s="28"/>
      <c r="C81" s="28"/>
      <c r="D81" s="28"/>
      <c r="E81" s="28"/>
      <c r="F81" s="28"/>
    </row>
    <row r="82" spans="1:6" x14ac:dyDescent="0.25">
      <c r="A82" s="28"/>
      <c r="B82" s="28"/>
      <c r="C82" s="28"/>
      <c r="D82" s="28"/>
      <c r="E82" s="28"/>
      <c r="F82" s="28"/>
    </row>
    <row r="83" spans="1:6" x14ac:dyDescent="0.25">
      <c r="A83" s="28"/>
      <c r="B83" s="28"/>
      <c r="C83" s="28"/>
      <c r="D83" s="28"/>
      <c r="E83" s="28"/>
      <c r="F83" s="28"/>
    </row>
    <row r="84" spans="1:6" x14ac:dyDescent="0.25">
      <c r="A84" s="28"/>
      <c r="B84" s="28"/>
      <c r="C84" s="28"/>
      <c r="D84" s="28"/>
      <c r="E84" s="28"/>
      <c r="F84" s="28"/>
    </row>
    <row r="85" spans="1:6" x14ac:dyDescent="0.25">
      <c r="A85" s="28"/>
      <c r="B85" s="28"/>
      <c r="C85" s="28"/>
      <c r="D85" s="28"/>
      <c r="E85" s="28"/>
      <c r="F85" s="28"/>
    </row>
    <row r="86" spans="1:6" x14ac:dyDescent="0.25">
      <c r="A86" s="28"/>
      <c r="B86" s="28"/>
      <c r="C86" s="28"/>
      <c r="D86" s="28"/>
      <c r="E86" s="28"/>
      <c r="F86" s="28"/>
    </row>
    <row r="87" spans="1:6" x14ac:dyDescent="0.25">
      <c r="A87" s="28"/>
      <c r="B87" s="28"/>
      <c r="C87" s="28"/>
      <c r="D87" s="28"/>
      <c r="E87" s="28"/>
      <c r="F87" s="28"/>
    </row>
    <row r="88" spans="1:6" x14ac:dyDescent="0.25">
      <c r="A88" s="28"/>
      <c r="B88" s="28"/>
      <c r="C88" s="28"/>
      <c r="D88" s="28"/>
      <c r="E88" s="28"/>
      <c r="F88" s="28"/>
    </row>
    <row r="89" spans="1:6" x14ac:dyDescent="0.25">
      <c r="A89" s="28"/>
      <c r="B89" s="28"/>
      <c r="C89" s="28"/>
      <c r="D89" s="28"/>
      <c r="E89" s="28"/>
      <c r="F89" s="28"/>
    </row>
    <row r="90" spans="1:6" x14ac:dyDescent="0.25">
      <c r="A90" s="28"/>
      <c r="B90" s="28"/>
      <c r="C90" s="28"/>
      <c r="D90" s="28"/>
      <c r="E90" s="28"/>
      <c r="F90" s="28"/>
    </row>
    <row r="91" spans="1:6" x14ac:dyDescent="0.25">
      <c r="A91" s="28"/>
      <c r="B91" s="28"/>
      <c r="C91" s="28"/>
      <c r="D91" s="28"/>
      <c r="E91" s="28"/>
      <c r="F91" s="28"/>
    </row>
    <row r="92" spans="1:6" x14ac:dyDescent="0.25">
      <c r="A92" s="28"/>
      <c r="B92" s="28"/>
      <c r="C92" s="28"/>
      <c r="D92" s="28"/>
      <c r="E92" s="28"/>
      <c r="F92" s="28"/>
    </row>
    <row r="93" spans="1:6" x14ac:dyDescent="0.25">
      <c r="A93" s="28"/>
      <c r="B93" s="28"/>
      <c r="C93" s="28"/>
      <c r="D93" s="28"/>
      <c r="E93" s="28"/>
      <c r="F93" s="28"/>
    </row>
    <row r="94" spans="1:6" x14ac:dyDescent="0.25">
      <c r="A94" s="28"/>
      <c r="B94" s="28"/>
      <c r="C94" s="28"/>
      <c r="D94" s="28"/>
      <c r="E94" s="28"/>
      <c r="F94" s="28"/>
    </row>
    <row r="95" spans="1:6" x14ac:dyDescent="0.25">
      <c r="A95" s="28"/>
      <c r="B95" s="28"/>
      <c r="C95" s="28"/>
      <c r="D95" s="28"/>
      <c r="E95" s="28"/>
      <c r="F95" s="28"/>
    </row>
    <row r="96" spans="1:6" x14ac:dyDescent="0.25">
      <c r="A96" s="28"/>
      <c r="B96" s="28"/>
      <c r="C96" s="28"/>
      <c r="D96" s="28"/>
      <c r="E96" s="28"/>
      <c r="F96" s="28"/>
    </row>
    <row r="97" spans="1:6" x14ac:dyDescent="0.25">
      <c r="A97" s="28"/>
      <c r="B97" s="28"/>
      <c r="C97" s="28"/>
      <c r="D97" s="28"/>
      <c r="E97" s="28"/>
      <c r="F97" s="28"/>
    </row>
    <row r="98" spans="1:6" x14ac:dyDescent="0.25">
      <c r="A98" s="28"/>
      <c r="B98" s="28"/>
      <c r="C98" s="28"/>
      <c r="D98" s="28"/>
      <c r="E98" s="28"/>
      <c r="F98" s="28"/>
    </row>
    <row r="99" spans="1:6" x14ac:dyDescent="0.25">
      <c r="A99" s="28"/>
      <c r="B99" s="28"/>
      <c r="C99" s="28"/>
      <c r="D99" s="28"/>
      <c r="E99" s="28"/>
      <c r="F99" s="28"/>
    </row>
    <row r="100" spans="1:6" x14ac:dyDescent="0.25">
      <c r="A100" s="28"/>
      <c r="B100" s="28"/>
      <c r="C100" s="28"/>
      <c r="D100" s="28"/>
      <c r="E100" s="28"/>
      <c r="F100" s="28"/>
    </row>
    <row r="101" spans="1:6" x14ac:dyDescent="0.25">
      <c r="A101" s="28"/>
      <c r="B101" s="28"/>
      <c r="C101" s="28"/>
      <c r="D101" s="28"/>
      <c r="E101" s="28"/>
      <c r="F101" s="28"/>
    </row>
    <row r="102" spans="1:6" x14ac:dyDescent="0.25">
      <c r="A102" s="28"/>
      <c r="B102" s="28"/>
      <c r="C102" s="28"/>
      <c r="D102" s="28"/>
      <c r="E102" s="28"/>
      <c r="F102" s="28"/>
    </row>
    <row r="103" spans="1:6" x14ac:dyDescent="0.25">
      <c r="A103" s="28"/>
      <c r="B103" s="28"/>
      <c r="C103" s="28"/>
      <c r="D103" s="28"/>
      <c r="E103" s="28"/>
      <c r="F103" s="28"/>
    </row>
    <row r="104" spans="1:6" x14ac:dyDescent="0.25">
      <c r="A104" s="28"/>
      <c r="B104" s="28"/>
      <c r="C104" s="28"/>
      <c r="D104" s="28"/>
      <c r="E104" s="28"/>
      <c r="F104" s="28"/>
    </row>
    <row r="105" spans="1:6" x14ac:dyDescent="0.25">
      <c r="A105" s="28"/>
      <c r="B105" s="28"/>
      <c r="C105" s="28"/>
      <c r="D105" s="28"/>
      <c r="E105" s="28"/>
      <c r="F105" s="28"/>
    </row>
    <row r="106" spans="1:6" x14ac:dyDescent="0.25">
      <c r="A106" s="28"/>
      <c r="B106" s="28"/>
      <c r="C106" s="28"/>
      <c r="D106" s="28"/>
      <c r="E106" s="28"/>
      <c r="F106" s="28"/>
    </row>
    <row r="107" spans="1:6" x14ac:dyDescent="0.25">
      <c r="A107" s="28"/>
      <c r="B107" s="28"/>
      <c r="C107" s="28"/>
      <c r="D107" s="28"/>
      <c r="E107" s="28"/>
      <c r="F107" s="28"/>
    </row>
    <row r="108" spans="1:6" x14ac:dyDescent="0.25">
      <c r="A108" s="28"/>
      <c r="B108" s="28"/>
      <c r="C108" s="28"/>
      <c r="D108" s="28"/>
      <c r="E108" s="28"/>
      <c r="F108" s="28"/>
    </row>
    <row r="109" spans="1:6" x14ac:dyDescent="0.25">
      <c r="A109" s="28"/>
      <c r="B109" s="28"/>
      <c r="C109" s="28"/>
      <c r="D109" s="28"/>
      <c r="E109" s="28"/>
      <c r="F109" s="28"/>
    </row>
    <row r="110" spans="1:6" x14ac:dyDescent="0.25">
      <c r="A110" s="28"/>
      <c r="B110" s="28"/>
      <c r="C110" s="28"/>
      <c r="D110" s="28"/>
      <c r="E110" s="28"/>
      <c r="F110" s="28"/>
    </row>
    <row r="111" spans="1:6" x14ac:dyDescent="0.25">
      <c r="A111" s="28"/>
      <c r="B111" s="28"/>
      <c r="C111" s="28"/>
      <c r="D111" s="28"/>
      <c r="E111" s="28"/>
      <c r="F111" s="28"/>
    </row>
    <row r="112" spans="1:6" x14ac:dyDescent="0.25">
      <c r="A112" s="28"/>
      <c r="B112" s="28"/>
      <c r="C112" s="28"/>
      <c r="D112" s="28"/>
      <c r="E112" s="28"/>
      <c r="F112" s="28"/>
    </row>
    <row r="113" spans="1:6" x14ac:dyDescent="0.25">
      <c r="A113" s="28"/>
      <c r="B113" s="28"/>
      <c r="C113" s="28"/>
      <c r="D113" s="28"/>
      <c r="E113" s="28"/>
      <c r="F113" s="28"/>
    </row>
    <row r="114" spans="1:6" x14ac:dyDescent="0.25">
      <c r="A114" s="28"/>
      <c r="B114" s="28"/>
      <c r="C114" s="28"/>
      <c r="D114" s="28"/>
      <c r="E114" s="28"/>
      <c r="F114" s="28"/>
    </row>
    <row r="115" spans="1:6" x14ac:dyDescent="0.25">
      <c r="A115" s="28"/>
      <c r="B115" s="28"/>
      <c r="C115" s="28"/>
      <c r="D115" s="28"/>
      <c r="E115" s="28"/>
      <c r="F115" s="28"/>
    </row>
    <row r="116" spans="1:6" x14ac:dyDescent="0.25">
      <c r="A116" s="28"/>
      <c r="B116" s="28"/>
      <c r="C116" s="28"/>
      <c r="D116" s="28"/>
      <c r="E116" s="28"/>
      <c r="F116" s="28"/>
    </row>
    <row r="117" spans="1:6" x14ac:dyDescent="0.25">
      <c r="A117" s="28"/>
      <c r="B117" s="28"/>
      <c r="C117" s="28"/>
      <c r="D117" s="28"/>
      <c r="E117" s="28"/>
      <c r="F117" s="28"/>
    </row>
    <row r="118" spans="1:6" x14ac:dyDescent="0.25">
      <c r="A118" s="28"/>
      <c r="B118" s="28"/>
      <c r="C118" s="28"/>
      <c r="D118" s="28"/>
      <c r="E118" s="28"/>
      <c r="F118" s="28"/>
    </row>
    <row r="119" spans="1:6" x14ac:dyDescent="0.25">
      <c r="A119" s="28"/>
      <c r="B119" s="28"/>
      <c r="C119" s="28"/>
      <c r="D119" s="28"/>
      <c r="E119" s="28"/>
      <c r="F119" s="28"/>
    </row>
    <row r="120" spans="1:6" x14ac:dyDescent="0.25">
      <c r="A120" s="28"/>
      <c r="B120" s="28"/>
      <c r="C120" s="28"/>
      <c r="D120" s="28"/>
      <c r="E120" s="28"/>
      <c r="F120" s="28"/>
    </row>
    <row r="121" spans="1:6" x14ac:dyDescent="0.25">
      <c r="A121" s="28"/>
      <c r="B121" s="28"/>
      <c r="C121" s="28"/>
      <c r="D121" s="28"/>
      <c r="E121" s="28"/>
      <c r="F121" s="28"/>
    </row>
    <row r="122" spans="1:6" x14ac:dyDescent="0.25">
      <c r="A122" s="28"/>
      <c r="B122" s="28"/>
      <c r="C122" s="28"/>
      <c r="D122" s="28"/>
      <c r="E122" s="28"/>
      <c r="F122" s="28"/>
    </row>
    <row r="123" spans="1:6" x14ac:dyDescent="0.25">
      <c r="A123" s="28"/>
      <c r="B123" s="28"/>
      <c r="C123" s="28"/>
      <c r="D123" s="28"/>
      <c r="E123" s="28"/>
      <c r="F123" s="28"/>
    </row>
    <row r="124" spans="1:6" x14ac:dyDescent="0.25">
      <c r="A124" s="28"/>
      <c r="B124" s="28"/>
      <c r="C124" s="28"/>
      <c r="D124" s="28"/>
      <c r="E124" s="28"/>
      <c r="F124" s="28"/>
    </row>
    <row r="125" spans="1:6" x14ac:dyDescent="0.25">
      <c r="A125" s="28"/>
      <c r="B125" s="28"/>
      <c r="C125" s="28"/>
      <c r="D125" s="28"/>
      <c r="E125" s="28"/>
      <c r="F125" s="28"/>
    </row>
    <row r="126" spans="1:6" x14ac:dyDescent="0.25">
      <c r="A126" s="28"/>
      <c r="B126" s="28"/>
      <c r="C126" s="28"/>
      <c r="D126" s="28"/>
      <c r="E126" s="28"/>
      <c r="F126" s="28"/>
    </row>
    <row r="127" spans="1:6" x14ac:dyDescent="0.25">
      <c r="A127" s="28"/>
      <c r="B127" s="28"/>
      <c r="C127" s="28"/>
      <c r="D127" s="28"/>
      <c r="E127" s="28"/>
      <c r="F127" s="28"/>
    </row>
    <row r="128" spans="1:6" x14ac:dyDescent="0.25">
      <c r="A128" s="28"/>
      <c r="B128" s="28"/>
      <c r="C128" s="28"/>
      <c r="D128" s="28"/>
      <c r="E128" s="28"/>
      <c r="F128" s="28"/>
    </row>
    <row r="129" spans="1:6" x14ac:dyDescent="0.25">
      <c r="A129" s="28"/>
      <c r="B129" s="28"/>
      <c r="C129" s="28"/>
      <c r="D129" s="28"/>
      <c r="E129" s="28"/>
      <c r="F129" s="28"/>
    </row>
    <row r="130" spans="1:6" x14ac:dyDescent="0.25">
      <c r="A130" s="28"/>
      <c r="B130" s="28"/>
      <c r="C130" s="28"/>
      <c r="D130" s="28"/>
      <c r="E130" s="28"/>
      <c r="F130" s="28"/>
    </row>
    <row r="131" spans="1:6" x14ac:dyDescent="0.25">
      <c r="A131" s="28"/>
      <c r="B131" s="28"/>
      <c r="C131" s="28"/>
      <c r="D131" s="28"/>
      <c r="E131" s="28"/>
      <c r="F131" s="28"/>
    </row>
    <row r="132" spans="1:6" x14ac:dyDescent="0.25">
      <c r="A132" s="28"/>
      <c r="B132" s="28"/>
      <c r="C132" s="28"/>
      <c r="D132" s="28"/>
      <c r="E132" s="28"/>
      <c r="F132" s="28"/>
    </row>
    <row r="133" spans="1:6" x14ac:dyDescent="0.25">
      <c r="A133" s="28"/>
      <c r="B133" s="28"/>
      <c r="C133" s="28"/>
      <c r="D133" s="28"/>
      <c r="E133" s="28"/>
      <c r="F133" s="28"/>
    </row>
    <row r="134" spans="1:6" x14ac:dyDescent="0.25">
      <c r="A134" s="28"/>
      <c r="B134" s="28"/>
      <c r="C134" s="28"/>
      <c r="D134" s="28"/>
      <c r="E134" s="28"/>
      <c r="F134" s="28"/>
    </row>
    <row r="135" spans="1:6" x14ac:dyDescent="0.25">
      <c r="A135" s="28"/>
      <c r="B135" s="28"/>
      <c r="C135" s="28"/>
      <c r="D135" s="28"/>
      <c r="E135" s="28"/>
      <c r="F135" s="28"/>
    </row>
    <row r="136" spans="1:6" x14ac:dyDescent="0.25">
      <c r="A136" s="28"/>
      <c r="B136" s="28"/>
      <c r="C136" s="28"/>
      <c r="D136" s="28"/>
      <c r="E136" s="28"/>
      <c r="F136" s="28"/>
    </row>
    <row r="137" spans="1:6" x14ac:dyDescent="0.25">
      <c r="A137" s="28"/>
      <c r="B137" s="28"/>
      <c r="C137" s="28"/>
      <c r="D137" s="28"/>
      <c r="E137" s="28"/>
      <c r="F137" s="28"/>
    </row>
  </sheetData>
  <mergeCells count="10">
    <mergeCell ref="A30:F30"/>
    <mergeCell ref="A33:F33"/>
    <mergeCell ref="A1:E1"/>
    <mergeCell ref="A2:E2"/>
    <mergeCell ref="A3:E3"/>
    <mergeCell ref="A14:A15"/>
    <mergeCell ref="B14:B15"/>
    <mergeCell ref="C14:C15"/>
    <mergeCell ref="D14:D15"/>
    <mergeCell ref="E14:E15"/>
  </mergeCells>
  <pageMargins left="0.7" right="0.7" top="0.75" bottom="0.75" header="0.3" footer="0.3"/>
  <pageSetup orientation="portrait" horizontalDpi="300" verticalDpi="300" r:id="rId1"/>
  <ignoredErrors>
    <ignoredError sqref="A16:A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A2P1</vt:lpstr>
      <vt:lpstr>A3P2</vt:lpstr>
      <vt:lpstr>A4P3</vt:lpstr>
      <vt:lpstr>A5P4</vt:lpstr>
      <vt:lpstr>A6P5</vt:lpstr>
      <vt:lpstr>A7P6</vt:lpstr>
      <vt:lpstr>A8P7</vt:lpstr>
      <vt:lpstr>a9P1</vt:lpstr>
      <vt:lpstr>a10P2</vt:lpstr>
      <vt:lpstr>a11P3</vt:lpstr>
      <vt:lpstr>a12P4</vt:lpstr>
      <vt:lpstr>a13P5</vt:lpstr>
      <vt:lpstr>a14P6</vt:lpstr>
      <vt:lpstr>a15P7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jacosta</dc:creator>
  <cp:lastModifiedBy>Jesus Andres Perez Sanchez</cp:lastModifiedBy>
  <dcterms:created xsi:type="dcterms:W3CDTF">2009-10-23T21:44:37Z</dcterms:created>
  <dcterms:modified xsi:type="dcterms:W3CDTF">2026-04-23T14:40:40Z</dcterms:modified>
</cp:coreProperties>
</file>